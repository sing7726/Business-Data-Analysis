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lla\Desktop\"/>
    </mc:Choice>
  </mc:AlternateContent>
  <xr:revisionPtr revIDLastSave="0" documentId="8_{B5AF3E3F-7B5D-438C-BC3D-7522D0C752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stics_dataset" sheetId="1" r:id="rId1"/>
    <sheet name="Pivot_Tables" sheetId="3" r:id="rId2"/>
    <sheet name="Category_Analysis" sheetId="4" r:id="rId3"/>
    <sheet name="Zone_Analysis" sheetId="5" r:id="rId4"/>
    <sheet name="Reorder_Priority" sheetId="6" r:id="rId5"/>
    <sheet name="Dashboard_v2" sheetId="7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3" l="1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M18" i="3"/>
  <c r="L18" i="3"/>
  <c r="K18" i="3"/>
  <c r="J18" i="3"/>
  <c r="I18" i="3"/>
  <c r="M17" i="3"/>
  <c r="L17" i="3"/>
  <c r="K17" i="3"/>
  <c r="J17" i="3"/>
  <c r="I17" i="3"/>
  <c r="M16" i="3"/>
  <c r="L16" i="3"/>
  <c r="K16" i="3"/>
  <c r="J16" i="3"/>
  <c r="I16" i="3"/>
  <c r="M15" i="3"/>
  <c r="L15" i="3"/>
  <c r="K15" i="3"/>
  <c r="J15" i="3"/>
  <c r="I15" i="3"/>
  <c r="F10" i="3"/>
  <c r="C10" i="3"/>
  <c r="B10" i="3"/>
  <c r="F9" i="3"/>
  <c r="C9" i="3"/>
  <c r="B9" i="3"/>
  <c r="F8" i="3"/>
  <c r="C8" i="3"/>
  <c r="B8" i="3"/>
  <c r="F7" i="3"/>
  <c r="C7" i="3"/>
  <c r="B7" i="3"/>
  <c r="F6" i="3"/>
  <c r="C6" i="3"/>
  <c r="B6" i="3"/>
  <c r="AE3205" i="1"/>
  <c r="AD3205" i="1"/>
  <c r="AC3205" i="1"/>
  <c r="AB3205" i="1"/>
  <c r="AA3205" i="1"/>
  <c r="Y3205" i="1"/>
  <c r="Z3205" i="1" s="1"/>
  <c r="X3205" i="1"/>
  <c r="AE3204" i="1"/>
  <c r="AD3204" i="1"/>
  <c r="AC3204" i="1"/>
  <c r="AB3204" i="1"/>
  <c r="AA3204" i="1"/>
  <c r="Y3204" i="1"/>
  <c r="Z3204" i="1" s="1"/>
  <c r="X3204" i="1"/>
  <c r="AE3203" i="1"/>
  <c r="AD3203" i="1"/>
  <c r="AC3203" i="1"/>
  <c r="AB3203" i="1"/>
  <c r="AA3203" i="1"/>
  <c r="Y3203" i="1"/>
  <c r="Z3203" i="1" s="1"/>
  <c r="X3203" i="1"/>
  <c r="AE3202" i="1"/>
  <c r="AD3202" i="1"/>
  <c r="AC3202" i="1"/>
  <c r="AB3202" i="1"/>
  <c r="AA3202" i="1"/>
  <c r="Y3202" i="1"/>
  <c r="Z3202" i="1" s="1"/>
  <c r="X3202" i="1"/>
  <c r="AE3201" i="1"/>
  <c r="AD3201" i="1"/>
  <c r="AC3201" i="1"/>
  <c r="AB3201" i="1"/>
  <c r="AA3201" i="1"/>
  <c r="Y3201" i="1"/>
  <c r="Z3201" i="1" s="1"/>
  <c r="X3201" i="1"/>
  <c r="AE3200" i="1"/>
  <c r="AD3200" i="1"/>
  <c r="AC3200" i="1"/>
  <c r="AB3200" i="1"/>
  <c r="AA3200" i="1"/>
  <c r="Y3200" i="1"/>
  <c r="Z3200" i="1" s="1"/>
  <c r="X3200" i="1"/>
  <c r="AE3199" i="1"/>
  <c r="AD3199" i="1"/>
  <c r="AC3199" i="1"/>
  <c r="AB3199" i="1"/>
  <c r="AA3199" i="1"/>
  <c r="Y3199" i="1"/>
  <c r="Z3199" i="1" s="1"/>
  <c r="X3199" i="1"/>
  <c r="AE3198" i="1"/>
  <c r="AD3198" i="1"/>
  <c r="AC3198" i="1"/>
  <c r="AB3198" i="1"/>
  <c r="AA3198" i="1"/>
  <c r="Y3198" i="1"/>
  <c r="Z3198" i="1" s="1"/>
  <c r="X3198" i="1"/>
  <c r="AE3197" i="1"/>
  <c r="AD3197" i="1"/>
  <c r="AC3197" i="1"/>
  <c r="AB3197" i="1"/>
  <c r="AA3197" i="1"/>
  <c r="Y3197" i="1"/>
  <c r="Z3197" i="1" s="1"/>
  <c r="X3197" i="1"/>
  <c r="AE3196" i="1"/>
  <c r="AD3196" i="1"/>
  <c r="AC3196" i="1"/>
  <c r="AB3196" i="1"/>
  <c r="AA3196" i="1"/>
  <c r="Y3196" i="1"/>
  <c r="Z3196" i="1" s="1"/>
  <c r="X3196" i="1"/>
  <c r="AE3195" i="1"/>
  <c r="AD3195" i="1"/>
  <c r="AC3195" i="1"/>
  <c r="AB3195" i="1"/>
  <c r="AA3195" i="1"/>
  <c r="Y3195" i="1"/>
  <c r="Z3195" i="1" s="1"/>
  <c r="X3195" i="1"/>
  <c r="AE3194" i="1"/>
  <c r="AD3194" i="1"/>
  <c r="AC3194" i="1"/>
  <c r="AB3194" i="1"/>
  <c r="AA3194" i="1"/>
  <c r="Y3194" i="1"/>
  <c r="Z3194" i="1" s="1"/>
  <c r="X3194" i="1"/>
  <c r="AE3193" i="1"/>
  <c r="AD3193" i="1"/>
  <c r="AC3193" i="1"/>
  <c r="AB3193" i="1"/>
  <c r="AA3193" i="1"/>
  <c r="Y3193" i="1"/>
  <c r="Z3193" i="1" s="1"/>
  <c r="X3193" i="1"/>
  <c r="AE3192" i="1"/>
  <c r="AD3192" i="1"/>
  <c r="AC3192" i="1"/>
  <c r="AB3192" i="1"/>
  <c r="AA3192" i="1"/>
  <c r="Y3192" i="1"/>
  <c r="Z3192" i="1" s="1"/>
  <c r="X3192" i="1"/>
  <c r="AE3191" i="1"/>
  <c r="AD3191" i="1"/>
  <c r="AC3191" i="1"/>
  <c r="AB3191" i="1"/>
  <c r="AA3191" i="1"/>
  <c r="Y3191" i="1"/>
  <c r="Z3191" i="1" s="1"/>
  <c r="X3191" i="1"/>
  <c r="AE3190" i="1"/>
  <c r="AD3190" i="1"/>
  <c r="AC3190" i="1"/>
  <c r="AB3190" i="1"/>
  <c r="AA3190" i="1"/>
  <c r="Y3190" i="1"/>
  <c r="Z3190" i="1" s="1"/>
  <c r="X3190" i="1"/>
  <c r="AE3189" i="1"/>
  <c r="AD3189" i="1"/>
  <c r="AC3189" i="1"/>
  <c r="AB3189" i="1"/>
  <c r="AA3189" i="1"/>
  <c r="Y3189" i="1"/>
  <c r="Z3189" i="1" s="1"/>
  <c r="X3189" i="1"/>
  <c r="AE3188" i="1"/>
  <c r="AD3188" i="1"/>
  <c r="AC3188" i="1"/>
  <c r="AB3188" i="1"/>
  <c r="AA3188" i="1"/>
  <c r="Y3188" i="1"/>
  <c r="Z3188" i="1" s="1"/>
  <c r="X3188" i="1"/>
  <c r="AE3187" i="1"/>
  <c r="AD3187" i="1"/>
  <c r="AC3187" i="1"/>
  <c r="AB3187" i="1"/>
  <c r="AA3187" i="1"/>
  <c r="Y3187" i="1"/>
  <c r="Z3187" i="1" s="1"/>
  <c r="X3187" i="1"/>
  <c r="AE3186" i="1"/>
  <c r="AD3186" i="1"/>
  <c r="AC3186" i="1"/>
  <c r="AB3186" i="1"/>
  <c r="AA3186" i="1"/>
  <c r="Y3186" i="1"/>
  <c r="Z3186" i="1" s="1"/>
  <c r="X3186" i="1"/>
  <c r="AE3185" i="1"/>
  <c r="AD3185" i="1"/>
  <c r="AC3185" i="1"/>
  <c r="AB3185" i="1"/>
  <c r="AA3185" i="1"/>
  <c r="Y3185" i="1"/>
  <c r="Z3185" i="1" s="1"/>
  <c r="X3185" i="1"/>
  <c r="AE3184" i="1"/>
  <c r="AD3184" i="1"/>
  <c r="AC3184" i="1"/>
  <c r="AB3184" i="1"/>
  <c r="AA3184" i="1"/>
  <c r="Y3184" i="1"/>
  <c r="Z3184" i="1" s="1"/>
  <c r="X3184" i="1"/>
  <c r="AE3183" i="1"/>
  <c r="AD3183" i="1"/>
  <c r="AC3183" i="1"/>
  <c r="AB3183" i="1"/>
  <c r="AA3183" i="1"/>
  <c r="Y3183" i="1"/>
  <c r="Z3183" i="1" s="1"/>
  <c r="X3183" i="1"/>
  <c r="AE3182" i="1"/>
  <c r="AD3182" i="1"/>
  <c r="AC3182" i="1"/>
  <c r="AB3182" i="1"/>
  <c r="AA3182" i="1"/>
  <c r="Y3182" i="1"/>
  <c r="Z3182" i="1" s="1"/>
  <c r="X3182" i="1"/>
  <c r="AE3181" i="1"/>
  <c r="AD3181" i="1"/>
  <c r="AC3181" i="1"/>
  <c r="AB3181" i="1"/>
  <c r="AA3181" i="1"/>
  <c r="Y3181" i="1"/>
  <c r="Z3181" i="1" s="1"/>
  <c r="X3181" i="1"/>
  <c r="AE3180" i="1"/>
  <c r="AD3180" i="1"/>
  <c r="AC3180" i="1"/>
  <c r="AB3180" i="1"/>
  <c r="AA3180" i="1"/>
  <c r="Y3180" i="1"/>
  <c r="Z3180" i="1" s="1"/>
  <c r="X3180" i="1"/>
  <c r="AE3179" i="1"/>
  <c r="AD3179" i="1"/>
  <c r="AC3179" i="1"/>
  <c r="AB3179" i="1"/>
  <c r="AA3179" i="1"/>
  <c r="Y3179" i="1"/>
  <c r="Z3179" i="1" s="1"/>
  <c r="X3179" i="1"/>
  <c r="AE3178" i="1"/>
  <c r="AD3178" i="1"/>
  <c r="AC3178" i="1"/>
  <c r="AB3178" i="1"/>
  <c r="AA3178" i="1"/>
  <c r="Y3178" i="1"/>
  <c r="Z3178" i="1" s="1"/>
  <c r="X3178" i="1"/>
  <c r="AE3177" i="1"/>
  <c r="AD3177" i="1"/>
  <c r="AC3177" i="1"/>
  <c r="AB3177" i="1"/>
  <c r="AA3177" i="1"/>
  <c r="Y3177" i="1"/>
  <c r="Z3177" i="1" s="1"/>
  <c r="X3177" i="1"/>
  <c r="AE3176" i="1"/>
  <c r="AD3176" i="1"/>
  <c r="AC3176" i="1"/>
  <c r="AB3176" i="1"/>
  <c r="AA3176" i="1"/>
  <c r="Y3176" i="1"/>
  <c r="Z3176" i="1" s="1"/>
  <c r="X3176" i="1"/>
  <c r="AE3175" i="1"/>
  <c r="AD3175" i="1"/>
  <c r="AC3175" i="1"/>
  <c r="AB3175" i="1"/>
  <c r="AA3175" i="1"/>
  <c r="Y3175" i="1"/>
  <c r="Z3175" i="1" s="1"/>
  <c r="X3175" i="1"/>
  <c r="AE3174" i="1"/>
  <c r="AD3174" i="1"/>
  <c r="AC3174" i="1"/>
  <c r="AB3174" i="1"/>
  <c r="AA3174" i="1"/>
  <c r="Y3174" i="1"/>
  <c r="Z3174" i="1" s="1"/>
  <c r="X3174" i="1"/>
  <c r="AE3173" i="1"/>
  <c r="AD3173" i="1"/>
  <c r="AC3173" i="1"/>
  <c r="AB3173" i="1"/>
  <c r="AA3173" i="1"/>
  <c r="Y3173" i="1"/>
  <c r="Z3173" i="1" s="1"/>
  <c r="X3173" i="1"/>
  <c r="AE3172" i="1"/>
  <c r="AD3172" i="1"/>
  <c r="AC3172" i="1"/>
  <c r="AB3172" i="1"/>
  <c r="AA3172" i="1"/>
  <c r="Y3172" i="1"/>
  <c r="Z3172" i="1" s="1"/>
  <c r="X3172" i="1"/>
  <c r="AE3171" i="1"/>
  <c r="AD3171" i="1"/>
  <c r="AC3171" i="1"/>
  <c r="AB3171" i="1"/>
  <c r="AA3171" i="1"/>
  <c r="Y3171" i="1"/>
  <c r="Z3171" i="1" s="1"/>
  <c r="X3171" i="1"/>
  <c r="AE3170" i="1"/>
  <c r="AD3170" i="1"/>
  <c r="AC3170" i="1"/>
  <c r="AB3170" i="1"/>
  <c r="AA3170" i="1"/>
  <c r="Y3170" i="1"/>
  <c r="Z3170" i="1" s="1"/>
  <c r="X3170" i="1"/>
  <c r="AE3169" i="1"/>
  <c r="AD3169" i="1"/>
  <c r="AC3169" i="1"/>
  <c r="AB3169" i="1"/>
  <c r="AA3169" i="1"/>
  <c r="Y3169" i="1"/>
  <c r="Z3169" i="1" s="1"/>
  <c r="X3169" i="1"/>
  <c r="AE3168" i="1"/>
  <c r="AD3168" i="1"/>
  <c r="AC3168" i="1"/>
  <c r="AB3168" i="1"/>
  <c r="AA3168" i="1"/>
  <c r="Y3168" i="1"/>
  <c r="Z3168" i="1" s="1"/>
  <c r="X3168" i="1"/>
  <c r="AE3167" i="1"/>
  <c r="AD3167" i="1"/>
  <c r="AC3167" i="1"/>
  <c r="AB3167" i="1"/>
  <c r="AA3167" i="1"/>
  <c r="Y3167" i="1"/>
  <c r="Z3167" i="1" s="1"/>
  <c r="X3167" i="1"/>
  <c r="AE3166" i="1"/>
  <c r="AD3166" i="1"/>
  <c r="AC3166" i="1"/>
  <c r="AB3166" i="1"/>
  <c r="AA3166" i="1"/>
  <c r="Y3166" i="1"/>
  <c r="Z3166" i="1" s="1"/>
  <c r="X3166" i="1"/>
  <c r="AE3165" i="1"/>
  <c r="AD3165" i="1"/>
  <c r="AC3165" i="1"/>
  <c r="AB3165" i="1"/>
  <c r="AA3165" i="1"/>
  <c r="Y3165" i="1"/>
  <c r="Z3165" i="1" s="1"/>
  <c r="X3165" i="1"/>
  <c r="AE3164" i="1"/>
  <c r="AD3164" i="1"/>
  <c r="AC3164" i="1"/>
  <c r="AB3164" i="1"/>
  <c r="AA3164" i="1"/>
  <c r="Y3164" i="1"/>
  <c r="Z3164" i="1" s="1"/>
  <c r="X3164" i="1"/>
  <c r="AE3163" i="1"/>
  <c r="AD3163" i="1"/>
  <c r="AC3163" i="1"/>
  <c r="AB3163" i="1"/>
  <c r="AA3163" i="1"/>
  <c r="Y3163" i="1"/>
  <c r="Z3163" i="1" s="1"/>
  <c r="X3163" i="1"/>
  <c r="AE3162" i="1"/>
  <c r="AD3162" i="1"/>
  <c r="AC3162" i="1"/>
  <c r="AB3162" i="1"/>
  <c r="AA3162" i="1"/>
  <c r="Y3162" i="1"/>
  <c r="Z3162" i="1" s="1"/>
  <c r="X3162" i="1"/>
  <c r="AE3161" i="1"/>
  <c r="AD3161" i="1"/>
  <c r="AC3161" i="1"/>
  <c r="AB3161" i="1"/>
  <c r="AA3161" i="1"/>
  <c r="Y3161" i="1"/>
  <c r="Z3161" i="1" s="1"/>
  <c r="X3161" i="1"/>
  <c r="AE3160" i="1"/>
  <c r="AD3160" i="1"/>
  <c r="AC3160" i="1"/>
  <c r="AB3160" i="1"/>
  <c r="AA3160" i="1"/>
  <c r="Y3160" i="1"/>
  <c r="Z3160" i="1" s="1"/>
  <c r="X3160" i="1"/>
  <c r="AE3159" i="1"/>
  <c r="AD3159" i="1"/>
  <c r="AC3159" i="1"/>
  <c r="AB3159" i="1"/>
  <c r="AA3159" i="1"/>
  <c r="Y3159" i="1"/>
  <c r="Z3159" i="1" s="1"/>
  <c r="X3159" i="1"/>
  <c r="AE3158" i="1"/>
  <c r="AD3158" i="1"/>
  <c r="AC3158" i="1"/>
  <c r="AB3158" i="1"/>
  <c r="AA3158" i="1"/>
  <c r="Y3158" i="1"/>
  <c r="Z3158" i="1" s="1"/>
  <c r="X3158" i="1"/>
  <c r="AE3157" i="1"/>
  <c r="AD3157" i="1"/>
  <c r="AC3157" i="1"/>
  <c r="AB3157" i="1"/>
  <c r="AA3157" i="1"/>
  <c r="Y3157" i="1"/>
  <c r="Z3157" i="1" s="1"/>
  <c r="X3157" i="1"/>
  <c r="AE3156" i="1"/>
  <c r="AD3156" i="1"/>
  <c r="AC3156" i="1"/>
  <c r="AB3156" i="1"/>
  <c r="AA3156" i="1"/>
  <c r="Y3156" i="1"/>
  <c r="Z3156" i="1" s="1"/>
  <c r="X3156" i="1"/>
  <c r="AE3155" i="1"/>
  <c r="AD3155" i="1"/>
  <c r="AC3155" i="1"/>
  <c r="AB3155" i="1"/>
  <c r="AA3155" i="1"/>
  <c r="Y3155" i="1"/>
  <c r="Z3155" i="1" s="1"/>
  <c r="X3155" i="1"/>
  <c r="AE3154" i="1"/>
  <c r="AD3154" i="1"/>
  <c r="AC3154" i="1"/>
  <c r="AB3154" i="1"/>
  <c r="AA3154" i="1"/>
  <c r="Y3154" i="1"/>
  <c r="Z3154" i="1" s="1"/>
  <c r="X3154" i="1"/>
  <c r="AE3153" i="1"/>
  <c r="AD3153" i="1"/>
  <c r="AC3153" i="1"/>
  <c r="AB3153" i="1"/>
  <c r="AA3153" i="1"/>
  <c r="Y3153" i="1"/>
  <c r="Z3153" i="1" s="1"/>
  <c r="X3153" i="1"/>
  <c r="AE3152" i="1"/>
  <c r="AD3152" i="1"/>
  <c r="AC3152" i="1"/>
  <c r="AB3152" i="1"/>
  <c r="AA3152" i="1"/>
  <c r="Y3152" i="1"/>
  <c r="Z3152" i="1" s="1"/>
  <c r="X3152" i="1"/>
  <c r="AE3151" i="1"/>
  <c r="AD3151" i="1"/>
  <c r="AC3151" i="1"/>
  <c r="AB3151" i="1"/>
  <c r="AA3151" i="1"/>
  <c r="Y3151" i="1"/>
  <c r="Z3151" i="1" s="1"/>
  <c r="X3151" i="1"/>
  <c r="AE3150" i="1"/>
  <c r="AD3150" i="1"/>
  <c r="AC3150" i="1"/>
  <c r="AB3150" i="1"/>
  <c r="AA3150" i="1"/>
  <c r="Y3150" i="1"/>
  <c r="Z3150" i="1" s="1"/>
  <c r="X3150" i="1"/>
  <c r="AE3149" i="1"/>
  <c r="AD3149" i="1"/>
  <c r="AC3149" i="1"/>
  <c r="AB3149" i="1"/>
  <c r="AA3149" i="1"/>
  <c r="Y3149" i="1"/>
  <c r="Z3149" i="1" s="1"/>
  <c r="X3149" i="1"/>
  <c r="AE3148" i="1"/>
  <c r="AD3148" i="1"/>
  <c r="AC3148" i="1"/>
  <c r="AB3148" i="1"/>
  <c r="AA3148" i="1"/>
  <c r="Y3148" i="1"/>
  <c r="Z3148" i="1" s="1"/>
  <c r="X3148" i="1"/>
  <c r="AE3147" i="1"/>
  <c r="AD3147" i="1"/>
  <c r="AC3147" i="1"/>
  <c r="AB3147" i="1"/>
  <c r="AA3147" i="1"/>
  <c r="Y3147" i="1"/>
  <c r="Z3147" i="1" s="1"/>
  <c r="X3147" i="1"/>
  <c r="AE3146" i="1"/>
  <c r="AD3146" i="1"/>
  <c r="AC3146" i="1"/>
  <c r="AB3146" i="1"/>
  <c r="AA3146" i="1"/>
  <c r="Y3146" i="1"/>
  <c r="Z3146" i="1" s="1"/>
  <c r="X3146" i="1"/>
  <c r="AE3145" i="1"/>
  <c r="AD3145" i="1"/>
  <c r="AC3145" i="1"/>
  <c r="AB3145" i="1"/>
  <c r="AA3145" i="1"/>
  <c r="Y3145" i="1"/>
  <c r="Z3145" i="1" s="1"/>
  <c r="X3145" i="1"/>
  <c r="AE3144" i="1"/>
  <c r="AD3144" i="1"/>
  <c r="AC3144" i="1"/>
  <c r="AB3144" i="1"/>
  <c r="AA3144" i="1"/>
  <c r="Y3144" i="1"/>
  <c r="Z3144" i="1" s="1"/>
  <c r="X3144" i="1"/>
  <c r="AE3143" i="1"/>
  <c r="AD3143" i="1"/>
  <c r="AC3143" i="1"/>
  <c r="AB3143" i="1"/>
  <c r="AA3143" i="1"/>
  <c r="Y3143" i="1"/>
  <c r="Z3143" i="1" s="1"/>
  <c r="X3143" i="1"/>
  <c r="AE3142" i="1"/>
  <c r="AD3142" i="1"/>
  <c r="AC3142" i="1"/>
  <c r="AB3142" i="1"/>
  <c r="AA3142" i="1"/>
  <c r="Y3142" i="1"/>
  <c r="Z3142" i="1" s="1"/>
  <c r="X3142" i="1"/>
  <c r="AE3141" i="1"/>
  <c r="AD3141" i="1"/>
  <c r="AC3141" i="1"/>
  <c r="AB3141" i="1"/>
  <c r="AA3141" i="1"/>
  <c r="Y3141" i="1"/>
  <c r="Z3141" i="1" s="1"/>
  <c r="X3141" i="1"/>
  <c r="AE3140" i="1"/>
  <c r="AD3140" i="1"/>
  <c r="AC3140" i="1"/>
  <c r="AB3140" i="1"/>
  <c r="AA3140" i="1"/>
  <c r="Y3140" i="1"/>
  <c r="Z3140" i="1" s="1"/>
  <c r="X3140" i="1"/>
  <c r="AE3139" i="1"/>
  <c r="AD3139" i="1"/>
  <c r="AC3139" i="1"/>
  <c r="AB3139" i="1"/>
  <c r="AA3139" i="1"/>
  <c r="Y3139" i="1"/>
  <c r="Z3139" i="1" s="1"/>
  <c r="X3139" i="1"/>
  <c r="AE3138" i="1"/>
  <c r="AD3138" i="1"/>
  <c r="AC3138" i="1"/>
  <c r="AB3138" i="1"/>
  <c r="AA3138" i="1"/>
  <c r="Y3138" i="1"/>
  <c r="Z3138" i="1" s="1"/>
  <c r="X3138" i="1"/>
  <c r="AE3137" i="1"/>
  <c r="AD3137" i="1"/>
  <c r="AC3137" i="1"/>
  <c r="AB3137" i="1"/>
  <c r="AA3137" i="1"/>
  <c r="Y3137" i="1"/>
  <c r="Z3137" i="1" s="1"/>
  <c r="X3137" i="1"/>
  <c r="AE3136" i="1"/>
  <c r="AD3136" i="1"/>
  <c r="AC3136" i="1"/>
  <c r="AB3136" i="1"/>
  <c r="AA3136" i="1"/>
  <c r="Y3136" i="1"/>
  <c r="Z3136" i="1" s="1"/>
  <c r="X3136" i="1"/>
  <c r="AE3135" i="1"/>
  <c r="AD3135" i="1"/>
  <c r="AC3135" i="1"/>
  <c r="AB3135" i="1"/>
  <c r="AA3135" i="1"/>
  <c r="Y3135" i="1"/>
  <c r="Z3135" i="1" s="1"/>
  <c r="X3135" i="1"/>
  <c r="AE3134" i="1"/>
  <c r="AD3134" i="1"/>
  <c r="AC3134" i="1"/>
  <c r="AB3134" i="1"/>
  <c r="AA3134" i="1"/>
  <c r="Y3134" i="1"/>
  <c r="Z3134" i="1" s="1"/>
  <c r="X3134" i="1"/>
  <c r="AE3133" i="1"/>
  <c r="AD3133" i="1"/>
  <c r="AC3133" i="1"/>
  <c r="AB3133" i="1"/>
  <c r="AA3133" i="1"/>
  <c r="Y3133" i="1"/>
  <c r="Z3133" i="1" s="1"/>
  <c r="X3133" i="1"/>
  <c r="AE3132" i="1"/>
  <c r="AD3132" i="1"/>
  <c r="AC3132" i="1"/>
  <c r="AB3132" i="1"/>
  <c r="AA3132" i="1"/>
  <c r="Y3132" i="1"/>
  <c r="Z3132" i="1" s="1"/>
  <c r="X3132" i="1"/>
  <c r="AE3131" i="1"/>
  <c r="AD3131" i="1"/>
  <c r="AC3131" i="1"/>
  <c r="AB3131" i="1"/>
  <c r="AA3131" i="1"/>
  <c r="Y3131" i="1"/>
  <c r="Z3131" i="1" s="1"/>
  <c r="X3131" i="1"/>
  <c r="AE3130" i="1"/>
  <c r="AD3130" i="1"/>
  <c r="AC3130" i="1"/>
  <c r="AB3130" i="1"/>
  <c r="AA3130" i="1"/>
  <c r="Y3130" i="1"/>
  <c r="Z3130" i="1" s="1"/>
  <c r="X3130" i="1"/>
  <c r="AE3129" i="1"/>
  <c r="AD3129" i="1"/>
  <c r="AC3129" i="1"/>
  <c r="AB3129" i="1"/>
  <c r="AA3129" i="1"/>
  <c r="Y3129" i="1"/>
  <c r="Z3129" i="1" s="1"/>
  <c r="X3129" i="1"/>
  <c r="AE3128" i="1"/>
  <c r="AD3128" i="1"/>
  <c r="AC3128" i="1"/>
  <c r="AB3128" i="1"/>
  <c r="AA3128" i="1"/>
  <c r="Y3128" i="1"/>
  <c r="Z3128" i="1" s="1"/>
  <c r="X3128" i="1"/>
  <c r="AE3127" i="1"/>
  <c r="AD3127" i="1"/>
  <c r="AC3127" i="1"/>
  <c r="AB3127" i="1"/>
  <c r="AA3127" i="1"/>
  <c r="Y3127" i="1"/>
  <c r="Z3127" i="1" s="1"/>
  <c r="X3127" i="1"/>
  <c r="AE3126" i="1"/>
  <c r="AD3126" i="1"/>
  <c r="AC3126" i="1"/>
  <c r="AB3126" i="1"/>
  <c r="AA3126" i="1"/>
  <c r="Y3126" i="1"/>
  <c r="Z3126" i="1" s="1"/>
  <c r="X3126" i="1"/>
  <c r="AE3125" i="1"/>
  <c r="AD3125" i="1"/>
  <c r="AC3125" i="1"/>
  <c r="AB3125" i="1"/>
  <c r="AA3125" i="1"/>
  <c r="Y3125" i="1"/>
  <c r="Z3125" i="1" s="1"/>
  <c r="X3125" i="1"/>
  <c r="AE3124" i="1"/>
  <c r="AD3124" i="1"/>
  <c r="AC3124" i="1"/>
  <c r="AB3124" i="1"/>
  <c r="AA3124" i="1"/>
  <c r="Y3124" i="1"/>
  <c r="Z3124" i="1" s="1"/>
  <c r="X3124" i="1"/>
  <c r="AE3123" i="1"/>
  <c r="AD3123" i="1"/>
  <c r="AC3123" i="1"/>
  <c r="AB3123" i="1"/>
  <c r="AA3123" i="1"/>
  <c r="Y3123" i="1"/>
  <c r="Z3123" i="1" s="1"/>
  <c r="X3123" i="1"/>
  <c r="AE3122" i="1"/>
  <c r="AD3122" i="1"/>
  <c r="AC3122" i="1"/>
  <c r="AB3122" i="1"/>
  <c r="AA3122" i="1"/>
  <c r="Y3122" i="1"/>
  <c r="Z3122" i="1" s="1"/>
  <c r="X3122" i="1"/>
  <c r="AE3121" i="1"/>
  <c r="AD3121" i="1"/>
  <c r="AC3121" i="1"/>
  <c r="AB3121" i="1"/>
  <c r="AA3121" i="1"/>
  <c r="Y3121" i="1"/>
  <c r="Z3121" i="1" s="1"/>
  <c r="X3121" i="1"/>
  <c r="AE3120" i="1"/>
  <c r="AD3120" i="1"/>
  <c r="AC3120" i="1"/>
  <c r="AB3120" i="1"/>
  <c r="AA3120" i="1"/>
  <c r="Y3120" i="1"/>
  <c r="Z3120" i="1" s="1"/>
  <c r="X3120" i="1"/>
  <c r="AE3119" i="1"/>
  <c r="AD3119" i="1"/>
  <c r="AC3119" i="1"/>
  <c r="AB3119" i="1"/>
  <c r="AA3119" i="1"/>
  <c r="Y3119" i="1"/>
  <c r="Z3119" i="1" s="1"/>
  <c r="X3119" i="1"/>
  <c r="AE3118" i="1"/>
  <c r="AD3118" i="1"/>
  <c r="AC3118" i="1"/>
  <c r="AB3118" i="1"/>
  <c r="AA3118" i="1"/>
  <c r="Y3118" i="1"/>
  <c r="Z3118" i="1" s="1"/>
  <c r="X3118" i="1"/>
  <c r="AE3117" i="1"/>
  <c r="AD3117" i="1"/>
  <c r="AC3117" i="1"/>
  <c r="AB3117" i="1"/>
  <c r="AA3117" i="1"/>
  <c r="Y3117" i="1"/>
  <c r="Z3117" i="1" s="1"/>
  <c r="X3117" i="1"/>
  <c r="AE3116" i="1"/>
  <c r="AD3116" i="1"/>
  <c r="AC3116" i="1"/>
  <c r="AB3116" i="1"/>
  <c r="AA3116" i="1"/>
  <c r="Y3116" i="1"/>
  <c r="Z3116" i="1" s="1"/>
  <c r="X3116" i="1"/>
  <c r="AE3115" i="1"/>
  <c r="AD3115" i="1"/>
  <c r="AC3115" i="1"/>
  <c r="AB3115" i="1"/>
  <c r="AA3115" i="1"/>
  <c r="Y3115" i="1"/>
  <c r="Z3115" i="1" s="1"/>
  <c r="X3115" i="1"/>
  <c r="AE3114" i="1"/>
  <c r="AD3114" i="1"/>
  <c r="AC3114" i="1"/>
  <c r="AB3114" i="1"/>
  <c r="AA3114" i="1"/>
  <c r="Y3114" i="1"/>
  <c r="Z3114" i="1" s="1"/>
  <c r="X3114" i="1"/>
  <c r="AE3113" i="1"/>
  <c r="AD3113" i="1"/>
  <c r="AC3113" i="1"/>
  <c r="AB3113" i="1"/>
  <c r="AA3113" i="1"/>
  <c r="Y3113" i="1"/>
  <c r="Z3113" i="1" s="1"/>
  <c r="X3113" i="1"/>
  <c r="AE3112" i="1"/>
  <c r="AD3112" i="1"/>
  <c r="AC3112" i="1"/>
  <c r="AB3112" i="1"/>
  <c r="AA3112" i="1"/>
  <c r="Y3112" i="1"/>
  <c r="Z3112" i="1" s="1"/>
  <c r="X3112" i="1"/>
  <c r="AE3111" i="1"/>
  <c r="AD3111" i="1"/>
  <c r="AC3111" i="1"/>
  <c r="AB3111" i="1"/>
  <c r="AA3111" i="1"/>
  <c r="Y3111" i="1"/>
  <c r="Z3111" i="1" s="1"/>
  <c r="X3111" i="1"/>
  <c r="AE3110" i="1"/>
  <c r="AD3110" i="1"/>
  <c r="AC3110" i="1"/>
  <c r="AB3110" i="1"/>
  <c r="AA3110" i="1"/>
  <c r="Y3110" i="1"/>
  <c r="Z3110" i="1" s="1"/>
  <c r="X3110" i="1"/>
  <c r="AE3109" i="1"/>
  <c r="AD3109" i="1"/>
  <c r="AC3109" i="1"/>
  <c r="AB3109" i="1"/>
  <c r="AA3109" i="1"/>
  <c r="Y3109" i="1"/>
  <c r="Z3109" i="1" s="1"/>
  <c r="X3109" i="1"/>
  <c r="AE3108" i="1"/>
  <c r="AD3108" i="1"/>
  <c r="AC3108" i="1"/>
  <c r="AB3108" i="1"/>
  <c r="AA3108" i="1"/>
  <c r="Y3108" i="1"/>
  <c r="Z3108" i="1" s="1"/>
  <c r="X3108" i="1"/>
  <c r="AE3107" i="1"/>
  <c r="AD3107" i="1"/>
  <c r="AC3107" i="1"/>
  <c r="AB3107" i="1"/>
  <c r="AA3107" i="1"/>
  <c r="Y3107" i="1"/>
  <c r="Z3107" i="1" s="1"/>
  <c r="X3107" i="1"/>
  <c r="AE3106" i="1"/>
  <c r="AD3106" i="1"/>
  <c r="AC3106" i="1"/>
  <c r="AB3106" i="1"/>
  <c r="AA3106" i="1"/>
  <c r="Y3106" i="1"/>
  <c r="Z3106" i="1" s="1"/>
  <c r="X3106" i="1"/>
  <c r="AE3105" i="1"/>
  <c r="AD3105" i="1"/>
  <c r="AC3105" i="1"/>
  <c r="AB3105" i="1"/>
  <c r="AA3105" i="1"/>
  <c r="Y3105" i="1"/>
  <c r="Z3105" i="1" s="1"/>
  <c r="X3105" i="1"/>
  <c r="AE3104" i="1"/>
  <c r="AD3104" i="1"/>
  <c r="AC3104" i="1"/>
  <c r="AB3104" i="1"/>
  <c r="AA3104" i="1"/>
  <c r="Y3104" i="1"/>
  <c r="Z3104" i="1" s="1"/>
  <c r="X3104" i="1"/>
  <c r="AE3103" i="1"/>
  <c r="AD3103" i="1"/>
  <c r="AC3103" i="1"/>
  <c r="AB3103" i="1"/>
  <c r="AA3103" i="1"/>
  <c r="Y3103" i="1"/>
  <c r="Z3103" i="1" s="1"/>
  <c r="X3103" i="1"/>
  <c r="AE3102" i="1"/>
  <c r="AD3102" i="1"/>
  <c r="AC3102" i="1"/>
  <c r="AB3102" i="1"/>
  <c r="AA3102" i="1"/>
  <c r="Y3102" i="1"/>
  <c r="Z3102" i="1" s="1"/>
  <c r="X3102" i="1"/>
  <c r="AE3101" i="1"/>
  <c r="AD3101" i="1"/>
  <c r="AC3101" i="1"/>
  <c r="AB3101" i="1"/>
  <c r="AA3101" i="1"/>
  <c r="Y3101" i="1"/>
  <c r="Z3101" i="1" s="1"/>
  <c r="X3101" i="1"/>
  <c r="AE3100" i="1"/>
  <c r="AD3100" i="1"/>
  <c r="AC3100" i="1"/>
  <c r="AB3100" i="1"/>
  <c r="AA3100" i="1"/>
  <c r="Y3100" i="1"/>
  <c r="Z3100" i="1" s="1"/>
  <c r="X3100" i="1"/>
  <c r="AE3099" i="1"/>
  <c r="AD3099" i="1"/>
  <c r="AC3099" i="1"/>
  <c r="AB3099" i="1"/>
  <c r="AA3099" i="1"/>
  <c r="Y3099" i="1"/>
  <c r="Z3099" i="1" s="1"/>
  <c r="X3099" i="1"/>
  <c r="AE3098" i="1"/>
  <c r="AD3098" i="1"/>
  <c r="AC3098" i="1"/>
  <c r="AB3098" i="1"/>
  <c r="AA3098" i="1"/>
  <c r="Y3098" i="1"/>
  <c r="Z3098" i="1" s="1"/>
  <c r="X3098" i="1"/>
  <c r="AE3097" i="1"/>
  <c r="AD3097" i="1"/>
  <c r="AC3097" i="1"/>
  <c r="AB3097" i="1"/>
  <c r="AA3097" i="1"/>
  <c r="Y3097" i="1"/>
  <c r="Z3097" i="1" s="1"/>
  <c r="X3097" i="1"/>
  <c r="AE3096" i="1"/>
  <c r="AD3096" i="1"/>
  <c r="AC3096" i="1"/>
  <c r="AB3096" i="1"/>
  <c r="AA3096" i="1"/>
  <c r="Y3096" i="1"/>
  <c r="Z3096" i="1" s="1"/>
  <c r="X3096" i="1"/>
  <c r="AE3095" i="1"/>
  <c r="AD3095" i="1"/>
  <c r="AC3095" i="1"/>
  <c r="AB3095" i="1"/>
  <c r="AA3095" i="1"/>
  <c r="Y3095" i="1"/>
  <c r="Z3095" i="1" s="1"/>
  <c r="X3095" i="1"/>
  <c r="AE3094" i="1"/>
  <c r="AD3094" i="1"/>
  <c r="AC3094" i="1"/>
  <c r="AB3094" i="1"/>
  <c r="AA3094" i="1"/>
  <c r="Y3094" i="1"/>
  <c r="Z3094" i="1" s="1"/>
  <c r="X3094" i="1"/>
  <c r="AE3093" i="1"/>
  <c r="AD3093" i="1"/>
  <c r="AC3093" i="1"/>
  <c r="AB3093" i="1"/>
  <c r="AA3093" i="1"/>
  <c r="Y3093" i="1"/>
  <c r="Z3093" i="1" s="1"/>
  <c r="X3093" i="1"/>
  <c r="AE3092" i="1"/>
  <c r="AD3092" i="1"/>
  <c r="AC3092" i="1"/>
  <c r="AB3092" i="1"/>
  <c r="AA3092" i="1"/>
  <c r="Y3092" i="1"/>
  <c r="Z3092" i="1" s="1"/>
  <c r="X3092" i="1"/>
  <c r="AE3091" i="1"/>
  <c r="AD3091" i="1"/>
  <c r="AC3091" i="1"/>
  <c r="AB3091" i="1"/>
  <c r="AA3091" i="1"/>
  <c r="Y3091" i="1"/>
  <c r="Z3091" i="1" s="1"/>
  <c r="X3091" i="1"/>
  <c r="AE3090" i="1"/>
  <c r="AD3090" i="1"/>
  <c r="AC3090" i="1"/>
  <c r="AB3090" i="1"/>
  <c r="AA3090" i="1"/>
  <c r="Y3090" i="1"/>
  <c r="Z3090" i="1" s="1"/>
  <c r="X3090" i="1"/>
  <c r="AE3089" i="1"/>
  <c r="AD3089" i="1"/>
  <c r="AC3089" i="1"/>
  <c r="AB3089" i="1"/>
  <c r="AA3089" i="1"/>
  <c r="Y3089" i="1"/>
  <c r="Z3089" i="1" s="1"/>
  <c r="X3089" i="1"/>
  <c r="AE3088" i="1"/>
  <c r="AD3088" i="1"/>
  <c r="AC3088" i="1"/>
  <c r="AB3088" i="1"/>
  <c r="AA3088" i="1"/>
  <c r="Y3088" i="1"/>
  <c r="Z3088" i="1" s="1"/>
  <c r="X3088" i="1"/>
  <c r="AE3087" i="1"/>
  <c r="AD3087" i="1"/>
  <c r="AC3087" i="1"/>
  <c r="AB3087" i="1"/>
  <c r="AA3087" i="1"/>
  <c r="Y3087" i="1"/>
  <c r="Z3087" i="1" s="1"/>
  <c r="X3087" i="1"/>
  <c r="AE3086" i="1"/>
  <c r="AD3086" i="1"/>
  <c r="AC3086" i="1"/>
  <c r="AB3086" i="1"/>
  <c r="AA3086" i="1"/>
  <c r="Y3086" i="1"/>
  <c r="Z3086" i="1" s="1"/>
  <c r="X3086" i="1"/>
  <c r="AE3085" i="1"/>
  <c r="AD3085" i="1"/>
  <c r="AC3085" i="1"/>
  <c r="AB3085" i="1"/>
  <c r="AA3085" i="1"/>
  <c r="Y3085" i="1"/>
  <c r="Z3085" i="1" s="1"/>
  <c r="X3085" i="1"/>
  <c r="AE3084" i="1"/>
  <c r="AD3084" i="1"/>
  <c r="AC3084" i="1"/>
  <c r="AB3084" i="1"/>
  <c r="AA3084" i="1"/>
  <c r="Y3084" i="1"/>
  <c r="Z3084" i="1" s="1"/>
  <c r="X3084" i="1"/>
  <c r="AE3083" i="1"/>
  <c r="AD3083" i="1"/>
  <c r="AC3083" i="1"/>
  <c r="AB3083" i="1"/>
  <c r="AA3083" i="1"/>
  <c r="Y3083" i="1"/>
  <c r="Z3083" i="1" s="1"/>
  <c r="X3083" i="1"/>
  <c r="AE3082" i="1"/>
  <c r="AD3082" i="1"/>
  <c r="AC3082" i="1"/>
  <c r="AB3082" i="1"/>
  <c r="AA3082" i="1"/>
  <c r="Y3082" i="1"/>
  <c r="Z3082" i="1" s="1"/>
  <c r="X3082" i="1"/>
  <c r="AE3081" i="1"/>
  <c r="AD3081" i="1"/>
  <c r="AC3081" i="1"/>
  <c r="AB3081" i="1"/>
  <c r="AA3081" i="1"/>
  <c r="Y3081" i="1"/>
  <c r="Z3081" i="1" s="1"/>
  <c r="X3081" i="1"/>
  <c r="AE3080" i="1"/>
  <c r="AD3080" i="1"/>
  <c r="AC3080" i="1"/>
  <c r="AB3080" i="1"/>
  <c r="AA3080" i="1"/>
  <c r="Y3080" i="1"/>
  <c r="Z3080" i="1" s="1"/>
  <c r="X3080" i="1"/>
  <c r="AE3079" i="1"/>
  <c r="AD3079" i="1"/>
  <c r="AC3079" i="1"/>
  <c r="AB3079" i="1"/>
  <c r="AA3079" i="1"/>
  <c r="Y3079" i="1"/>
  <c r="Z3079" i="1" s="1"/>
  <c r="X3079" i="1"/>
  <c r="AE3078" i="1"/>
  <c r="AD3078" i="1"/>
  <c r="AC3078" i="1"/>
  <c r="AB3078" i="1"/>
  <c r="AA3078" i="1"/>
  <c r="Y3078" i="1"/>
  <c r="Z3078" i="1" s="1"/>
  <c r="X3078" i="1"/>
  <c r="AE3077" i="1"/>
  <c r="AD3077" i="1"/>
  <c r="AC3077" i="1"/>
  <c r="AB3077" i="1"/>
  <c r="AA3077" i="1"/>
  <c r="Y3077" i="1"/>
  <c r="Z3077" i="1" s="1"/>
  <c r="X3077" i="1"/>
  <c r="AE3076" i="1"/>
  <c r="AD3076" i="1"/>
  <c r="AC3076" i="1"/>
  <c r="AB3076" i="1"/>
  <c r="AA3076" i="1"/>
  <c r="Y3076" i="1"/>
  <c r="Z3076" i="1" s="1"/>
  <c r="X3076" i="1"/>
  <c r="AE3075" i="1"/>
  <c r="AD3075" i="1"/>
  <c r="AC3075" i="1"/>
  <c r="AB3075" i="1"/>
  <c r="AA3075" i="1"/>
  <c r="Y3075" i="1"/>
  <c r="Z3075" i="1" s="1"/>
  <c r="X3075" i="1"/>
  <c r="AE3074" i="1"/>
  <c r="AD3074" i="1"/>
  <c r="AC3074" i="1"/>
  <c r="AB3074" i="1"/>
  <c r="AA3074" i="1"/>
  <c r="Y3074" i="1"/>
  <c r="Z3074" i="1" s="1"/>
  <c r="X3074" i="1"/>
  <c r="AE3073" i="1"/>
  <c r="AD3073" i="1"/>
  <c r="AC3073" i="1"/>
  <c r="AB3073" i="1"/>
  <c r="AA3073" i="1"/>
  <c r="Y3073" i="1"/>
  <c r="Z3073" i="1" s="1"/>
  <c r="X3073" i="1"/>
  <c r="AE3072" i="1"/>
  <c r="AD3072" i="1"/>
  <c r="AC3072" i="1"/>
  <c r="AB3072" i="1"/>
  <c r="AA3072" i="1"/>
  <c r="Y3072" i="1"/>
  <c r="Z3072" i="1" s="1"/>
  <c r="X3072" i="1"/>
  <c r="AE3071" i="1"/>
  <c r="AD3071" i="1"/>
  <c r="AC3071" i="1"/>
  <c r="AB3071" i="1"/>
  <c r="AA3071" i="1"/>
  <c r="Y3071" i="1"/>
  <c r="Z3071" i="1" s="1"/>
  <c r="X3071" i="1"/>
  <c r="AE3070" i="1"/>
  <c r="AD3070" i="1"/>
  <c r="AC3070" i="1"/>
  <c r="AB3070" i="1"/>
  <c r="AA3070" i="1"/>
  <c r="Y3070" i="1"/>
  <c r="Z3070" i="1" s="1"/>
  <c r="X3070" i="1"/>
  <c r="AE3069" i="1"/>
  <c r="AD3069" i="1"/>
  <c r="AC3069" i="1"/>
  <c r="AB3069" i="1"/>
  <c r="AA3069" i="1"/>
  <c r="Y3069" i="1"/>
  <c r="Z3069" i="1" s="1"/>
  <c r="X3069" i="1"/>
  <c r="AE3068" i="1"/>
  <c r="AD3068" i="1"/>
  <c r="AC3068" i="1"/>
  <c r="AB3068" i="1"/>
  <c r="AA3068" i="1"/>
  <c r="Y3068" i="1"/>
  <c r="Z3068" i="1" s="1"/>
  <c r="X3068" i="1"/>
  <c r="AE3067" i="1"/>
  <c r="AD3067" i="1"/>
  <c r="AC3067" i="1"/>
  <c r="AB3067" i="1"/>
  <c r="AA3067" i="1"/>
  <c r="Y3067" i="1"/>
  <c r="Z3067" i="1" s="1"/>
  <c r="X3067" i="1"/>
  <c r="AE3066" i="1"/>
  <c r="AD3066" i="1"/>
  <c r="AC3066" i="1"/>
  <c r="AB3066" i="1"/>
  <c r="AA3066" i="1"/>
  <c r="Y3066" i="1"/>
  <c r="Z3066" i="1" s="1"/>
  <c r="X3066" i="1"/>
  <c r="AE3065" i="1"/>
  <c r="AD3065" i="1"/>
  <c r="AC3065" i="1"/>
  <c r="AB3065" i="1"/>
  <c r="AA3065" i="1"/>
  <c r="Y3065" i="1"/>
  <c r="Z3065" i="1" s="1"/>
  <c r="X3065" i="1"/>
  <c r="AE3064" i="1"/>
  <c r="AD3064" i="1"/>
  <c r="AC3064" i="1"/>
  <c r="AB3064" i="1"/>
  <c r="AA3064" i="1"/>
  <c r="Y3064" i="1"/>
  <c r="Z3064" i="1" s="1"/>
  <c r="X3064" i="1"/>
  <c r="AE3063" i="1"/>
  <c r="AD3063" i="1"/>
  <c r="AC3063" i="1"/>
  <c r="AB3063" i="1"/>
  <c r="AA3063" i="1"/>
  <c r="Y3063" i="1"/>
  <c r="Z3063" i="1" s="1"/>
  <c r="X3063" i="1"/>
  <c r="AE3062" i="1"/>
  <c r="AD3062" i="1"/>
  <c r="AC3062" i="1"/>
  <c r="AB3062" i="1"/>
  <c r="AA3062" i="1"/>
  <c r="Y3062" i="1"/>
  <c r="Z3062" i="1" s="1"/>
  <c r="X3062" i="1"/>
  <c r="AE3061" i="1"/>
  <c r="AD3061" i="1"/>
  <c r="AC3061" i="1"/>
  <c r="AB3061" i="1"/>
  <c r="AA3061" i="1"/>
  <c r="Y3061" i="1"/>
  <c r="Z3061" i="1" s="1"/>
  <c r="X3061" i="1"/>
  <c r="AE3060" i="1"/>
  <c r="AD3060" i="1"/>
  <c r="AC3060" i="1"/>
  <c r="AB3060" i="1"/>
  <c r="AA3060" i="1"/>
  <c r="Y3060" i="1"/>
  <c r="Z3060" i="1" s="1"/>
  <c r="X3060" i="1"/>
  <c r="AE3059" i="1"/>
  <c r="AD3059" i="1"/>
  <c r="AC3059" i="1"/>
  <c r="AB3059" i="1"/>
  <c r="AA3059" i="1"/>
  <c r="Y3059" i="1"/>
  <c r="Z3059" i="1" s="1"/>
  <c r="X3059" i="1"/>
  <c r="AE3058" i="1"/>
  <c r="AD3058" i="1"/>
  <c r="AC3058" i="1"/>
  <c r="AB3058" i="1"/>
  <c r="AA3058" i="1"/>
  <c r="Y3058" i="1"/>
  <c r="Z3058" i="1" s="1"/>
  <c r="X3058" i="1"/>
  <c r="AE3057" i="1"/>
  <c r="AD3057" i="1"/>
  <c r="AC3057" i="1"/>
  <c r="AB3057" i="1"/>
  <c r="AA3057" i="1"/>
  <c r="Y3057" i="1"/>
  <c r="Z3057" i="1" s="1"/>
  <c r="X3057" i="1"/>
  <c r="AE3056" i="1"/>
  <c r="AD3056" i="1"/>
  <c r="AC3056" i="1"/>
  <c r="AB3056" i="1"/>
  <c r="AA3056" i="1"/>
  <c r="Y3056" i="1"/>
  <c r="Z3056" i="1" s="1"/>
  <c r="X3056" i="1"/>
  <c r="AE3055" i="1"/>
  <c r="AD3055" i="1"/>
  <c r="AC3055" i="1"/>
  <c r="AB3055" i="1"/>
  <c r="AA3055" i="1"/>
  <c r="Y3055" i="1"/>
  <c r="Z3055" i="1" s="1"/>
  <c r="X3055" i="1"/>
  <c r="AE3054" i="1"/>
  <c r="AD3054" i="1"/>
  <c r="AC3054" i="1"/>
  <c r="AB3054" i="1"/>
  <c r="AA3054" i="1"/>
  <c r="Y3054" i="1"/>
  <c r="Z3054" i="1" s="1"/>
  <c r="X3054" i="1"/>
  <c r="AE3053" i="1"/>
  <c r="AD3053" i="1"/>
  <c r="AC3053" i="1"/>
  <c r="AB3053" i="1"/>
  <c r="AA3053" i="1"/>
  <c r="Y3053" i="1"/>
  <c r="Z3053" i="1" s="1"/>
  <c r="X3053" i="1"/>
  <c r="AE3052" i="1"/>
  <c r="AD3052" i="1"/>
  <c r="AC3052" i="1"/>
  <c r="AB3052" i="1"/>
  <c r="AA3052" i="1"/>
  <c r="Y3052" i="1"/>
  <c r="Z3052" i="1" s="1"/>
  <c r="X3052" i="1"/>
  <c r="AE3051" i="1"/>
  <c r="AD3051" i="1"/>
  <c r="AC3051" i="1"/>
  <c r="AB3051" i="1"/>
  <c r="AA3051" i="1"/>
  <c r="Y3051" i="1"/>
  <c r="Z3051" i="1" s="1"/>
  <c r="X3051" i="1"/>
  <c r="AE3050" i="1"/>
  <c r="AD3050" i="1"/>
  <c r="AC3050" i="1"/>
  <c r="AB3050" i="1"/>
  <c r="AA3050" i="1"/>
  <c r="Y3050" i="1"/>
  <c r="Z3050" i="1" s="1"/>
  <c r="X3050" i="1"/>
  <c r="AE3049" i="1"/>
  <c r="AD3049" i="1"/>
  <c r="AC3049" i="1"/>
  <c r="AB3049" i="1"/>
  <c r="AA3049" i="1"/>
  <c r="Y3049" i="1"/>
  <c r="Z3049" i="1" s="1"/>
  <c r="X3049" i="1"/>
  <c r="AE3048" i="1"/>
  <c r="AD3048" i="1"/>
  <c r="AC3048" i="1"/>
  <c r="AB3048" i="1"/>
  <c r="AA3048" i="1"/>
  <c r="Y3048" i="1"/>
  <c r="Z3048" i="1" s="1"/>
  <c r="X3048" i="1"/>
  <c r="AE3047" i="1"/>
  <c r="AD3047" i="1"/>
  <c r="AC3047" i="1"/>
  <c r="AB3047" i="1"/>
  <c r="AA3047" i="1"/>
  <c r="Y3047" i="1"/>
  <c r="Z3047" i="1" s="1"/>
  <c r="X3047" i="1"/>
  <c r="AE3046" i="1"/>
  <c r="AD3046" i="1"/>
  <c r="AC3046" i="1"/>
  <c r="AB3046" i="1"/>
  <c r="AA3046" i="1"/>
  <c r="Y3046" i="1"/>
  <c r="Z3046" i="1" s="1"/>
  <c r="X3046" i="1"/>
  <c r="AE3045" i="1"/>
  <c r="AD3045" i="1"/>
  <c r="AC3045" i="1"/>
  <c r="AB3045" i="1"/>
  <c r="AA3045" i="1"/>
  <c r="Y3045" i="1"/>
  <c r="Z3045" i="1" s="1"/>
  <c r="X3045" i="1"/>
  <c r="AE3044" i="1"/>
  <c r="AD3044" i="1"/>
  <c r="AC3044" i="1"/>
  <c r="AB3044" i="1"/>
  <c r="AA3044" i="1"/>
  <c r="Y3044" i="1"/>
  <c r="Z3044" i="1" s="1"/>
  <c r="X3044" i="1"/>
  <c r="AE3043" i="1"/>
  <c r="AD3043" i="1"/>
  <c r="AC3043" i="1"/>
  <c r="AB3043" i="1"/>
  <c r="AA3043" i="1"/>
  <c r="Y3043" i="1"/>
  <c r="Z3043" i="1" s="1"/>
  <c r="X3043" i="1"/>
  <c r="AE3042" i="1"/>
  <c r="AD3042" i="1"/>
  <c r="AC3042" i="1"/>
  <c r="AB3042" i="1"/>
  <c r="AA3042" i="1"/>
  <c r="Y3042" i="1"/>
  <c r="Z3042" i="1" s="1"/>
  <c r="X3042" i="1"/>
  <c r="AE3041" i="1"/>
  <c r="AD3041" i="1"/>
  <c r="AC3041" i="1"/>
  <c r="AB3041" i="1"/>
  <c r="AA3041" i="1"/>
  <c r="Y3041" i="1"/>
  <c r="Z3041" i="1" s="1"/>
  <c r="X3041" i="1"/>
  <c r="AE3040" i="1"/>
  <c r="AD3040" i="1"/>
  <c r="AC3040" i="1"/>
  <c r="AB3040" i="1"/>
  <c r="AA3040" i="1"/>
  <c r="Y3040" i="1"/>
  <c r="Z3040" i="1" s="1"/>
  <c r="X3040" i="1"/>
  <c r="AE3039" i="1"/>
  <c r="AD3039" i="1"/>
  <c r="AC3039" i="1"/>
  <c r="AB3039" i="1"/>
  <c r="AA3039" i="1"/>
  <c r="Y3039" i="1"/>
  <c r="Z3039" i="1" s="1"/>
  <c r="X3039" i="1"/>
  <c r="AE3038" i="1"/>
  <c r="AD3038" i="1"/>
  <c r="AC3038" i="1"/>
  <c r="AB3038" i="1"/>
  <c r="AA3038" i="1"/>
  <c r="Y3038" i="1"/>
  <c r="Z3038" i="1" s="1"/>
  <c r="X3038" i="1"/>
  <c r="AE3037" i="1"/>
  <c r="AD3037" i="1"/>
  <c r="AC3037" i="1"/>
  <c r="AB3037" i="1"/>
  <c r="AA3037" i="1"/>
  <c r="Y3037" i="1"/>
  <c r="Z3037" i="1" s="1"/>
  <c r="X3037" i="1"/>
  <c r="AE3036" i="1"/>
  <c r="AD3036" i="1"/>
  <c r="AC3036" i="1"/>
  <c r="AB3036" i="1"/>
  <c r="AA3036" i="1"/>
  <c r="Y3036" i="1"/>
  <c r="Z3036" i="1" s="1"/>
  <c r="X3036" i="1"/>
  <c r="AE3035" i="1"/>
  <c r="AD3035" i="1"/>
  <c r="AC3035" i="1"/>
  <c r="AB3035" i="1"/>
  <c r="AA3035" i="1"/>
  <c r="Y3035" i="1"/>
  <c r="Z3035" i="1" s="1"/>
  <c r="X3035" i="1"/>
  <c r="AE3034" i="1"/>
  <c r="AD3034" i="1"/>
  <c r="AC3034" i="1"/>
  <c r="AB3034" i="1"/>
  <c r="AA3034" i="1"/>
  <c r="Y3034" i="1"/>
  <c r="Z3034" i="1" s="1"/>
  <c r="X3034" i="1"/>
  <c r="AE3033" i="1"/>
  <c r="AD3033" i="1"/>
  <c r="AC3033" i="1"/>
  <c r="AB3033" i="1"/>
  <c r="AA3033" i="1"/>
  <c r="Y3033" i="1"/>
  <c r="Z3033" i="1" s="1"/>
  <c r="X3033" i="1"/>
  <c r="AE3032" i="1"/>
  <c r="AD3032" i="1"/>
  <c r="AC3032" i="1"/>
  <c r="AB3032" i="1"/>
  <c r="AA3032" i="1"/>
  <c r="Y3032" i="1"/>
  <c r="Z3032" i="1" s="1"/>
  <c r="X3032" i="1"/>
  <c r="AE3031" i="1"/>
  <c r="AD3031" i="1"/>
  <c r="AC3031" i="1"/>
  <c r="AB3031" i="1"/>
  <c r="AA3031" i="1"/>
  <c r="Y3031" i="1"/>
  <c r="Z3031" i="1" s="1"/>
  <c r="X3031" i="1"/>
  <c r="AE3030" i="1"/>
  <c r="AD3030" i="1"/>
  <c r="AC3030" i="1"/>
  <c r="AB3030" i="1"/>
  <c r="AA3030" i="1"/>
  <c r="Y3030" i="1"/>
  <c r="Z3030" i="1" s="1"/>
  <c r="X3030" i="1"/>
  <c r="AE3029" i="1"/>
  <c r="AD3029" i="1"/>
  <c r="AC3029" i="1"/>
  <c r="AB3029" i="1"/>
  <c r="AA3029" i="1"/>
  <c r="Y3029" i="1"/>
  <c r="Z3029" i="1" s="1"/>
  <c r="X3029" i="1"/>
  <c r="AE3028" i="1"/>
  <c r="AD3028" i="1"/>
  <c r="AC3028" i="1"/>
  <c r="AB3028" i="1"/>
  <c r="AA3028" i="1"/>
  <c r="Y3028" i="1"/>
  <c r="Z3028" i="1" s="1"/>
  <c r="X3028" i="1"/>
  <c r="AE3027" i="1"/>
  <c r="AD3027" i="1"/>
  <c r="AC3027" i="1"/>
  <c r="AB3027" i="1"/>
  <c r="AA3027" i="1"/>
  <c r="Y3027" i="1"/>
  <c r="Z3027" i="1" s="1"/>
  <c r="X3027" i="1"/>
  <c r="AE3026" i="1"/>
  <c r="AD3026" i="1"/>
  <c r="AC3026" i="1"/>
  <c r="AB3026" i="1"/>
  <c r="AA3026" i="1"/>
  <c r="Y3026" i="1"/>
  <c r="Z3026" i="1" s="1"/>
  <c r="X3026" i="1"/>
  <c r="AE3025" i="1"/>
  <c r="AD3025" i="1"/>
  <c r="AC3025" i="1"/>
  <c r="AB3025" i="1"/>
  <c r="AA3025" i="1"/>
  <c r="Y3025" i="1"/>
  <c r="Z3025" i="1" s="1"/>
  <c r="X3025" i="1"/>
  <c r="AE3024" i="1"/>
  <c r="AD3024" i="1"/>
  <c r="AC3024" i="1"/>
  <c r="AB3024" i="1"/>
  <c r="AA3024" i="1"/>
  <c r="Y3024" i="1"/>
  <c r="Z3024" i="1" s="1"/>
  <c r="X3024" i="1"/>
  <c r="AE3023" i="1"/>
  <c r="AD3023" i="1"/>
  <c r="AC3023" i="1"/>
  <c r="AB3023" i="1"/>
  <c r="AA3023" i="1"/>
  <c r="Y3023" i="1"/>
  <c r="Z3023" i="1" s="1"/>
  <c r="X3023" i="1"/>
  <c r="AE3022" i="1"/>
  <c r="AD3022" i="1"/>
  <c r="AC3022" i="1"/>
  <c r="AB3022" i="1"/>
  <c r="AA3022" i="1"/>
  <c r="Y3022" i="1"/>
  <c r="Z3022" i="1" s="1"/>
  <c r="X3022" i="1"/>
  <c r="AE3021" i="1"/>
  <c r="AD3021" i="1"/>
  <c r="AC3021" i="1"/>
  <c r="AB3021" i="1"/>
  <c r="AA3021" i="1"/>
  <c r="Y3021" i="1"/>
  <c r="Z3021" i="1" s="1"/>
  <c r="X3021" i="1"/>
  <c r="AE3020" i="1"/>
  <c r="AD3020" i="1"/>
  <c r="AC3020" i="1"/>
  <c r="AB3020" i="1"/>
  <c r="AA3020" i="1"/>
  <c r="Y3020" i="1"/>
  <c r="Z3020" i="1" s="1"/>
  <c r="X3020" i="1"/>
  <c r="AE3019" i="1"/>
  <c r="AD3019" i="1"/>
  <c r="AC3019" i="1"/>
  <c r="AB3019" i="1"/>
  <c r="AA3019" i="1"/>
  <c r="Y3019" i="1"/>
  <c r="Z3019" i="1" s="1"/>
  <c r="X3019" i="1"/>
  <c r="AE3018" i="1"/>
  <c r="AD3018" i="1"/>
  <c r="AC3018" i="1"/>
  <c r="AB3018" i="1"/>
  <c r="AA3018" i="1"/>
  <c r="Y3018" i="1"/>
  <c r="Z3018" i="1" s="1"/>
  <c r="X3018" i="1"/>
  <c r="AE3017" i="1"/>
  <c r="AD3017" i="1"/>
  <c r="AC3017" i="1"/>
  <c r="AB3017" i="1"/>
  <c r="AA3017" i="1"/>
  <c r="Y3017" i="1"/>
  <c r="Z3017" i="1" s="1"/>
  <c r="X3017" i="1"/>
  <c r="AE3016" i="1"/>
  <c r="AD3016" i="1"/>
  <c r="AC3016" i="1"/>
  <c r="AB3016" i="1"/>
  <c r="AA3016" i="1"/>
  <c r="Y3016" i="1"/>
  <c r="Z3016" i="1" s="1"/>
  <c r="X3016" i="1"/>
  <c r="AE3015" i="1"/>
  <c r="AD3015" i="1"/>
  <c r="AC3015" i="1"/>
  <c r="AB3015" i="1"/>
  <c r="AA3015" i="1"/>
  <c r="Y3015" i="1"/>
  <c r="Z3015" i="1" s="1"/>
  <c r="X3015" i="1"/>
  <c r="AE3014" i="1"/>
  <c r="AD3014" i="1"/>
  <c r="AC3014" i="1"/>
  <c r="AB3014" i="1"/>
  <c r="AA3014" i="1"/>
  <c r="Y3014" i="1"/>
  <c r="Z3014" i="1" s="1"/>
  <c r="X3014" i="1"/>
  <c r="AE3013" i="1"/>
  <c r="AD3013" i="1"/>
  <c r="AC3013" i="1"/>
  <c r="AB3013" i="1"/>
  <c r="AA3013" i="1"/>
  <c r="Y3013" i="1"/>
  <c r="Z3013" i="1" s="1"/>
  <c r="X3013" i="1"/>
  <c r="AE3012" i="1"/>
  <c r="AD3012" i="1"/>
  <c r="AC3012" i="1"/>
  <c r="AB3012" i="1"/>
  <c r="AA3012" i="1"/>
  <c r="Y3012" i="1"/>
  <c r="Z3012" i="1" s="1"/>
  <c r="X3012" i="1"/>
  <c r="AE3011" i="1"/>
  <c r="AD3011" i="1"/>
  <c r="AC3011" i="1"/>
  <c r="AB3011" i="1"/>
  <c r="AA3011" i="1"/>
  <c r="Y3011" i="1"/>
  <c r="Z3011" i="1" s="1"/>
  <c r="X3011" i="1"/>
  <c r="AE3010" i="1"/>
  <c r="AD3010" i="1"/>
  <c r="AC3010" i="1"/>
  <c r="AB3010" i="1"/>
  <c r="AA3010" i="1"/>
  <c r="Y3010" i="1"/>
  <c r="Z3010" i="1" s="1"/>
  <c r="X3010" i="1"/>
  <c r="AE3009" i="1"/>
  <c r="AD3009" i="1"/>
  <c r="AC3009" i="1"/>
  <c r="AB3009" i="1"/>
  <c r="AA3009" i="1"/>
  <c r="Y3009" i="1"/>
  <c r="Z3009" i="1" s="1"/>
  <c r="X3009" i="1"/>
  <c r="AE3008" i="1"/>
  <c r="AD3008" i="1"/>
  <c r="AC3008" i="1"/>
  <c r="AB3008" i="1"/>
  <c r="AA3008" i="1"/>
  <c r="Y3008" i="1"/>
  <c r="Z3008" i="1" s="1"/>
  <c r="X3008" i="1"/>
  <c r="AE3007" i="1"/>
  <c r="AD3007" i="1"/>
  <c r="AC3007" i="1"/>
  <c r="AB3007" i="1"/>
  <c r="AA3007" i="1"/>
  <c r="Y3007" i="1"/>
  <c r="Z3007" i="1" s="1"/>
  <c r="X3007" i="1"/>
  <c r="AE3006" i="1"/>
  <c r="AD3006" i="1"/>
  <c r="AC3006" i="1"/>
  <c r="AB3006" i="1"/>
  <c r="AA3006" i="1"/>
  <c r="Y3006" i="1"/>
  <c r="Z3006" i="1" s="1"/>
  <c r="X3006" i="1"/>
  <c r="AE3005" i="1"/>
  <c r="AD3005" i="1"/>
  <c r="AC3005" i="1"/>
  <c r="AB3005" i="1"/>
  <c r="AA3005" i="1"/>
  <c r="Y3005" i="1"/>
  <c r="Z3005" i="1" s="1"/>
  <c r="X3005" i="1"/>
  <c r="AE3004" i="1"/>
  <c r="AD3004" i="1"/>
  <c r="AC3004" i="1"/>
  <c r="AB3004" i="1"/>
  <c r="AA3004" i="1"/>
  <c r="Y3004" i="1"/>
  <c r="Z3004" i="1" s="1"/>
  <c r="X3004" i="1"/>
  <c r="AE3003" i="1"/>
  <c r="AD3003" i="1"/>
  <c r="AC3003" i="1"/>
  <c r="AB3003" i="1"/>
  <c r="AA3003" i="1"/>
  <c r="Y3003" i="1"/>
  <c r="Z3003" i="1" s="1"/>
  <c r="X3003" i="1"/>
  <c r="AE3002" i="1"/>
  <c r="AD3002" i="1"/>
  <c r="AC3002" i="1"/>
  <c r="AB3002" i="1"/>
  <c r="AA3002" i="1"/>
  <c r="Y3002" i="1"/>
  <c r="Z3002" i="1" s="1"/>
  <c r="X3002" i="1"/>
  <c r="AE3001" i="1"/>
  <c r="AD3001" i="1"/>
  <c r="AC3001" i="1"/>
  <c r="AB3001" i="1"/>
  <c r="AA3001" i="1"/>
  <c r="Y3001" i="1"/>
  <c r="Z3001" i="1" s="1"/>
  <c r="X3001" i="1"/>
  <c r="AE3000" i="1"/>
  <c r="AD3000" i="1"/>
  <c r="AC3000" i="1"/>
  <c r="AB3000" i="1"/>
  <c r="AA3000" i="1"/>
  <c r="Y3000" i="1"/>
  <c r="Z3000" i="1" s="1"/>
  <c r="X3000" i="1"/>
  <c r="AE2999" i="1"/>
  <c r="AD2999" i="1"/>
  <c r="AC2999" i="1"/>
  <c r="AB2999" i="1"/>
  <c r="AA2999" i="1"/>
  <c r="Y2999" i="1"/>
  <c r="Z2999" i="1" s="1"/>
  <c r="X2999" i="1"/>
  <c r="AE2998" i="1"/>
  <c r="AD2998" i="1"/>
  <c r="AC2998" i="1"/>
  <c r="AB2998" i="1"/>
  <c r="AA2998" i="1"/>
  <c r="Y2998" i="1"/>
  <c r="Z2998" i="1" s="1"/>
  <c r="X2998" i="1"/>
  <c r="AE2997" i="1"/>
  <c r="AD2997" i="1"/>
  <c r="AC2997" i="1"/>
  <c r="AB2997" i="1"/>
  <c r="AA2997" i="1"/>
  <c r="Y2997" i="1"/>
  <c r="Z2997" i="1" s="1"/>
  <c r="X2997" i="1"/>
  <c r="AE2996" i="1"/>
  <c r="AD2996" i="1"/>
  <c r="AC2996" i="1"/>
  <c r="AB2996" i="1"/>
  <c r="AA2996" i="1"/>
  <c r="Y2996" i="1"/>
  <c r="Z2996" i="1" s="1"/>
  <c r="X2996" i="1"/>
  <c r="AE2995" i="1"/>
  <c r="AD2995" i="1"/>
  <c r="AC2995" i="1"/>
  <c r="AB2995" i="1"/>
  <c r="AA2995" i="1"/>
  <c r="Y2995" i="1"/>
  <c r="Z2995" i="1" s="1"/>
  <c r="X2995" i="1"/>
  <c r="AE2994" i="1"/>
  <c r="AD2994" i="1"/>
  <c r="AC2994" i="1"/>
  <c r="AB2994" i="1"/>
  <c r="AA2994" i="1"/>
  <c r="Y2994" i="1"/>
  <c r="Z2994" i="1" s="1"/>
  <c r="X2994" i="1"/>
  <c r="AE2993" i="1"/>
  <c r="AD2993" i="1"/>
  <c r="AC2993" i="1"/>
  <c r="AB2993" i="1"/>
  <c r="AA2993" i="1"/>
  <c r="Y2993" i="1"/>
  <c r="Z2993" i="1" s="1"/>
  <c r="X2993" i="1"/>
  <c r="AE2992" i="1"/>
  <c r="AD2992" i="1"/>
  <c r="AC2992" i="1"/>
  <c r="AB2992" i="1"/>
  <c r="AA2992" i="1"/>
  <c r="Y2992" i="1"/>
  <c r="Z2992" i="1" s="1"/>
  <c r="X2992" i="1"/>
  <c r="AE2991" i="1"/>
  <c r="AD2991" i="1"/>
  <c r="AC2991" i="1"/>
  <c r="AB2991" i="1"/>
  <c r="AA2991" i="1"/>
  <c r="Y2991" i="1"/>
  <c r="Z2991" i="1" s="1"/>
  <c r="X2991" i="1"/>
  <c r="AE2990" i="1"/>
  <c r="AD2990" i="1"/>
  <c r="AC2990" i="1"/>
  <c r="AB2990" i="1"/>
  <c r="AA2990" i="1"/>
  <c r="Y2990" i="1"/>
  <c r="Z2990" i="1" s="1"/>
  <c r="X2990" i="1"/>
  <c r="AE2989" i="1"/>
  <c r="AD2989" i="1"/>
  <c r="AC2989" i="1"/>
  <c r="AB2989" i="1"/>
  <c r="AA2989" i="1"/>
  <c r="Y2989" i="1"/>
  <c r="Z2989" i="1" s="1"/>
  <c r="X2989" i="1"/>
  <c r="AE2988" i="1"/>
  <c r="AD2988" i="1"/>
  <c r="AC2988" i="1"/>
  <c r="AB2988" i="1"/>
  <c r="AA2988" i="1"/>
  <c r="Y2988" i="1"/>
  <c r="Z2988" i="1" s="1"/>
  <c r="X2988" i="1"/>
  <c r="AE2987" i="1"/>
  <c r="AD2987" i="1"/>
  <c r="AC2987" i="1"/>
  <c r="AB2987" i="1"/>
  <c r="AA2987" i="1"/>
  <c r="Y2987" i="1"/>
  <c r="Z2987" i="1" s="1"/>
  <c r="X2987" i="1"/>
  <c r="AE2986" i="1"/>
  <c r="AD2986" i="1"/>
  <c r="AC2986" i="1"/>
  <c r="AB2986" i="1"/>
  <c r="AA2986" i="1"/>
  <c r="Y2986" i="1"/>
  <c r="Z2986" i="1" s="1"/>
  <c r="X2986" i="1"/>
  <c r="AE2985" i="1"/>
  <c r="AD2985" i="1"/>
  <c r="AC2985" i="1"/>
  <c r="AB2985" i="1"/>
  <c r="AA2985" i="1"/>
  <c r="Y2985" i="1"/>
  <c r="Z2985" i="1" s="1"/>
  <c r="X2985" i="1"/>
  <c r="AE2984" i="1"/>
  <c r="AD2984" i="1"/>
  <c r="AC2984" i="1"/>
  <c r="AB2984" i="1"/>
  <c r="AA2984" i="1"/>
  <c r="Y2984" i="1"/>
  <c r="Z2984" i="1" s="1"/>
  <c r="X2984" i="1"/>
  <c r="AE2983" i="1"/>
  <c r="AD2983" i="1"/>
  <c r="AC2983" i="1"/>
  <c r="AB2983" i="1"/>
  <c r="AA2983" i="1"/>
  <c r="Y2983" i="1"/>
  <c r="Z2983" i="1" s="1"/>
  <c r="X2983" i="1"/>
  <c r="AE2982" i="1"/>
  <c r="AD2982" i="1"/>
  <c r="AC2982" i="1"/>
  <c r="AB2982" i="1"/>
  <c r="AA2982" i="1"/>
  <c r="Y2982" i="1"/>
  <c r="Z2982" i="1" s="1"/>
  <c r="X2982" i="1"/>
  <c r="AE2981" i="1"/>
  <c r="AD2981" i="1"/>
  <c r="AC2981" i="1"/>
  <c r="AB2981" i="1"/>
  <c r="AA2981" i="1"/>
  <c r="Y2981" i="1"/>
  <c r="Z2981" i="1" s="1"/>
  <c r="X2981" i="1"/>
  <c r="AE2980" i="1"/>
  <c r="AD2980" i="1"/>
  <c r="AC2980" i="1"/>
  <c r="AB2980" i="1"/>
  <c r="AA2980" i="1"/>
  <c r="Y2980" i="1"/>
  <c r="Z2980" i="1" s="1"/>
  <c r="X2980" i="1"/>
  <c r="AE2979" i="1"/>
  <c r="AD2979" i="1"/>
  <c r="AC2979" i="1"/>
  <c r="AB2979" i="1"/>
  <c r="AA2979" i="1"/>
  <c r="Y2979" i="1"/>
  <c r="Z2979" i="1" s="1"/>
  <c r="X2979" i="1"/>
  <c r="AE2978" i="1"/>
  <c r="AD2978" i="1"/>
  <c r="AC2978" i="1"/>
  <c r="AB2978" i="1"/>
  <c r="AA2978" i="1"/>
  <c r="Y2978" i="1"/>
  <c r="Z2978" i="1" s="1"/>
  <c r="X2978" i="1"/>
  <c r="AE2977" i="1"/>
  <c r="AD2977" i="1"/>
  <c r="AC2977" i="1"/>
  <c r="AB2977" i="1"/>
  <c r="AA2977" i="1"/>
  <c r="Y2977" i="1"/>
  <c r="Z2977" i="1" s="1"/>
  <c r="X2977" i="1"/>
  <c r="AE2976" i="1"/>
  <c r="AD2976" i="1"/>
  <c r="AC2976" i="1"/>
  <c r="AB2976" i="1"/>
  <c r="AA2976" i="1"/>
  <c r="Y2976" i="1"/>
  <c r="Z2976" i="1" s="1"/>
  <c r="X2976" i="1"/>
  <c r="AE2975" i="1"/>
  <c r="AD2975" i="1"/>
  <c r="AC2975" i="1"/>
  <c r="AB2975" i="1"/>
  <c r="AA2975" i="1"/>
  <c r="Y2975" i="1"/>
  <c r="Z2975" i="1" s="1"/>
  <c r="X2975" i="1"/>
  <c r="AE2974" i="1"/>
  <c r="AD2974" i="1"/>
  <c r="AC2974" i="1"/>
  <c r="AB2974" i="1"/>
  <c r="AA2974" i="1"/>
  <c r="Y2974" i="1"/>
  <c r="Z2974" i="1" s="1"/>
  <c r="X2974" i="1"/>
  <c r="AE2973" i="1"/>
  <c r="AD2973" i="1"/>
  <c r="AC2973" i="1"/>
  <c r="AB2973" i="1"/>
  <c r="AA2973" i="1"/>
  <c r="Y2973" i="1"/>
  <c r="Z2973" i="1" s="1"/>
  <c r="X2973" i="1"/>
  <c r="AE2972" i="1"/>
  <c r="AD2972" i="1"/>
  <c r="AC2972" i="1"/>
  <c r="AB2972" i="1"/>
  <c r="AA2972" i="1"/>
  <c r="Y2972" i="1"/>
  <c r="Z2972" i="1" s="1"/>
  <c r="X2972" i="1"/>
  <c r="AE2971" i="1"/>
  <c r="AD2971" i="1"/>
  <c r="AC2971" i="1"/>
  <c r="AB2971" i="1"/>
  <c r="AA2971" i="1"/>
  <c r="Y2971" i="1"/>
  <c r="Z2971" i="1" s="1"/>
  <c r="X2971" i="1"/>
  <c r="AE2970" i="1"/>
  <c r="AD2970" i="1"/>
  <c r="AC2970" i="1"/>
  <c r="AB2970" i="1"/>
  <c r="AA2970" i="1"/>
  <c r="Y2970" i="1"/>
  <c r="Z2970" i="1" s="1"/>
  <c r="X2970" i="1"/>
  <c r="AE2969" i="1"/>
  <c r="AD2969" i="1"/>
  <c r="AC2969" i="1"/>
  <c r="AB2969" i="1"/>
  <c r="AA2969" i="1"/>
  <c r="Y2969" i="1"/>
  <c r="Z2969" i="1" s="1"/>
  <c r="X2969" i="1"/>
  <c r="AE2968" i="1"/>
  <c r="AD2968" i="1"/>
  <c r="AC2968" i="1"/>
  <c r="AB2968" i="1"/>
  <c r="AA2968" i="1"/>
  <c r="Y2968" i="1"/>
  <c r="Z2968" i="1" s="1"/>
  <c r="X2968" i="1"/>
  <c r="AE2967" i="1"/>
  <c r="AD2967" i="1"/>
  <c r="AC2967" i="1"/>
  <c r="AB2967" i="1"/>
  <c r="AA2967" i="1"/>
  <c r="Y2967" i="1"/>
  <c r="Z2967" i="1" s="1"/>
  <c r="X2967" i="1"/>
  <c r="AE2966" i="1"/>
  <c r="AD2966" i="1"/>
  <c r="AC2966" i="1"/>
  <c r="AB2966" i="1"/>
  <c r="AA2966" i="1"/>
  <c r="Y2966" i="1"/>
  <c r="Z2966" i="1" s="1"/>
  <c r="X2966" i="1"/>
  <c r="AE2965" i="1"/>
  <c r="AD2965" i="1"/>
  <c r="AC2965" i="1"/>
  <c r="AB2965" i="1"/>
  <c r="AA2965" i="1"/>
  <c r="Y2965" i="1"/>
  <c r="Z2965" i="1" s="1"/>
  <c r="X2965" i="1"/>
  <c r="AE2964" i="1"/>
  <c r="AD2964" i="1"/>
  <c r="AC2964" i="1"/>
  <c r="AB2964" i="1"/>
  <c r="AA2964" i="1"/>
  <c r="Y2964" i="1"/>
  <c r="Z2964" i="1" s="1"/>
  <c r="X2964" i="1"/>
  <c r="AE2963" i="1"/>
  <c r="AD2963" i="1"/>
  <c r="AC2963" i="1"/>
  <c r="AB2963" i="1"/>
  <c r="AA2963" i="1"/>
  <c r="Y2963" i="1"/>
  <c r="Z2963" i="1" s="1"/>
  <c r="X2963" i="1"/>
  <c r="AE2962" i="1"/>
  <c r="AD2962" i="1"/>
  <c r="AC2962" i="1"/>
  <c r="AB2962" i="1"/>
  <c r="AA2962" i="1"/>
  <c r="Y2962" i="1"/>
  <c r="Z2962" i="1" s="1"/>
  <c r="X2962" i="1"/>
  <c r="AE2961" i="1"/>
  <c r="AD2961" i="1"/>
  <c r="AC2961" i="1"/>
  <c r="AB2961" i="1"/>
  <c r="AA2961" i="1"/>
  <c r="Y2961" i="1"/>
  <c r="Z2961" i="1" s="1"/>
  <c r="X2961" i="1"/>
  <c r="AE2960" i="1"/>
  <c r="AD2960" i="1"/>
  <c r="AC2960" i="1"/>
  <c r="AB2960" i="1"/>
  <c r="AA2960" i="1"/>
  <c r="Y2960" i="1"/>
  <c r="Z2960" i="1" s="1"/>
  <c r="X2960" i="1"/>
  <c r="AE2959" i="1"/>
  <c r="AD2959" i="1"/>
  <c r="AC2959" i="1"/>
  <c r="AB2959" i="1"/>
  <c r="AA2959" i="1"/>
  <c r="Y2959" i="1"/>
  <c r="Z2959" i="1" s="1"/>
  <c r="X2959" i="1"/>
  <c r="AE2958" i="1"/>
  <c r="AD2958" i="1"/>
  <c r="AC2958" i="1"/>
  <c r="AB2958" i="1"/>
  <c r="AA2958" i="1"/>
  <c r="Y2958" i="1"/>
  <c r="Z2958" i="1" s="1"/>
  <c r="X2958" i="1"/>
  <c r="AE2957" i="1"/>
  <c r="AD2957" i="1"/>
  <c r="AC2957" i="1"/>
  <c r="AB2957" i="1"/>
  <c r="AA2957" i="1"/>
  <c r="Y2957" i="1"/>
  <c r="Z2957" i="1" s="1"/>
  <c r="X2957" i="1"/>
  <c r="AE2956" i="1"/>
  <c r="AD2956" i="1"/>
  <c r="AC2956" i="1"/>
  <c r="AB2956" i="1"/>
  <c r="AA2956" i="1"/>
  <c r="Y2956" i="1"/>
  <c r="Z2956" i="1" s="1"/>
  <c r="X2956" i="1"/>
  <c r="AE2955" i="1"/>
  <c r="AD2955" i="1"/>
  <c r="AC2955" i="1"/>
  <c r="AB2955" i="1"/>
  <c r="AA2955" i="1"/>
  <c r="Y2955" i="1"/>
  <c r="Z2955" i="1" s="1"/>
  <c r="X2955" i="1"/>
  <c r="AE2954" i="1"/>
  <c r="AD2954" i="1"/>
  <c r="AC2954" i="1"/>
  <c r="AB2954" i="1"/>
  <c r="AA2954" i="1"/>
  <c r="Y2954" i="1"/>
  <c r="Z2954" i="1" s="1"/>
  <c r="X2954" i="1"/>
  <c r="AE2953" i="1"/>
  <c r="AD2953" i="1"/>
  <c r="AC2953" i="1"/>
  <c r="AB2953" i="1"/>
  <c r="AA2953" i="1"/>
  <c r="Y2953" i="1"/>
  <c r="Z2953" i="1" s="1"/>
  <c r="X2953" i="1"/>
  <c r="AE2952" i="1"/>
  <c r="AD2952" i="1"/>
  <c r="AC2952" i="1"/>
  <c r="AB2952" i="1"/>
  <c r="AA2952" i="1"/>
  <c r="Y2952" i="1"/>
  <c r="Z2952" i="1" s="1"/>
  <c r="X2952" i="1"/>
  <c r="AE2951" i="1"/>
  <c r="AD2951" i="1"/>
  <c r="AC2951" i="1"/>
  <c r="AB2951" i="1"/>
  <c r="AA2951" i="1"/>
  <c r="Y2951" i="1"/>
  <c r="Z2951" i="1" s="1"/>
  <c r="X2951" i="1"/>
  <c r="AE2950" i="1"/>
  <c r="AD2950" i="1"/>
  <c r="AC2950" i="1"/>
  <c r="AB2950" i="1"/>
  <c r="AA2950" i="1"/>
  <c r="Y2950" i="1"/>
  <c r="Z2950" i="1" s="1"/>
  <c r="X2950" i="1"/>
  <c r="AE2949" i="1"/>
  <c r="AD2949" i="1"/>
  <c r="AC2949" i="1"/>
  <c r="AB2949" i="1"/>
  <c r="AA2949" i="1"/>
  <c r="Y2949" i="1"/>
  <c r="Z2949" i="1" s="1"/>
  <c r="X2949" i="1"/>
  <c r="AE2948" i="1"/>
  <c r="AD2948" i="1"/>
  <c r="AC2948" i="1"/>
  <c r="AB2948" i="1"/>
  <c r="AA2948" i="1"/>
  <c r="Y2948" i="1"/>
  <c r="Z2948" i="1" s="1"/>
  <c r="X2948" i="1"/>
  <c r="AE2947" i="1"/>
  <c r="AD2947" i="1"/>
  <c r="AC2947" i="1"/>
  <c r="AB2947" i="1"/>
  <c r="AA2947" i="1"/>
  <c r="Y2947" i="1"/>
  <c r="Z2947" i="1" s="1"/>
  <c r="X2947" i="1"/>
  <c r="AE2946" i="1"/>
  <c r="AD2946" i="1"/>
  <c r="AC2946" i="1"/>
  <c r="AB2946" i="1"/>
  <c r="AA2946" i="1"/>
  <c r="Y2946" i="1"/>
  <c r="Z2946" i="1" s="1"/>
  <c r="X2946" i="1"/>
  <c r="AE2945" i="1"/>
  <c r="AD2945" i="1"/>
  <c r="AC2945" i="1"/>
  <c r="AB2945" i="1"/>
  <c r="AA2945" i="1"/>
  <c r="Y2945" i="1"/>
  <c r="Z2945" i="1" s="1"/>
  <c r="X2945" i="1"/>
  <c r="AE2944" i="1"/>
  <c r="AD2944" i="1"/>
  <c r="AC2944" i="1"/>
  <c r="AB2944" i="1"/>
  <c r="AA2944" i="1"/>
  <c r="Y2944" i="1"/>
  <c r="Z2944" i="1" s="1"/>
  <c r="X2944" i="1"/>
  <c r="AE2943" i="1"/>
  <c r="AD2943" i="1"/>
  <c r="AC2943" i="1"/>
  <c r="AB2943" i="1"/>
  <c r="AA2943" i="1"/>
  <c r="Y2943" i="1"/>
  <c r="Z2943" i="1" s="1"/>
  <c r="X2943" i="1"/>
  <c r="AE2942" i="1"/>
  <c r="AD2942" i="1"/>
  <c r="AC2942" i="1"/>
  <c r="AB2942" i="1"/>
  <c r="AA2942" i="1"/>
  <c r="Y2942" i="1"/>
  <c r="Z2942" i="1" s="1"/>
  <c r="X2942" i="1"/>
  <c r="AE2941" i="1"/>
  <c r="AD2941" i="1"/>
  <c r="AC2941" i="1"/>
  <c r="AB2941" i="1"/>
  <c r="AA2941" i="1"/>
  <c r="Y2941" i="1"/>
  <c r="Z2941" i="1" s="1"/>
  <c r="X2941" i="1"/>
  <c r="AE2940" i="1"/>
  <c r="AD2940" i="1"/>
  <c r="AC2940" i="1"/>
  <c r="AB2940" i="1"/>
  <c r="AA2940" i="1"/>
  <c r="Y2940" i="1"/>
  <c r="Z2940" i="1" s="1"/>
  <c r="X2940" i="1"/>
  <c r="AE2939" i="1"/>
  <c r="AD2939" i="1"/>
  <c r="AC2939" i="1"/>
  <c r="AB2939" i="1"/>
  <c r="AA2939" i="1"/>
  <c r="Y2939" i="1"/>
  <c r="Z2939" i="1" s="1"/>
  <c r="X2939" i="1"/>
  <c r="AE2938" i="1"/>
  <c r="AD2938" i="1"/>
  <c r="AC2938" i="1"/>
  <c r="AB2938" i="1"/>
  <c r="AA2938" i="1"/>
  <c r="Y2938" i="1"/>
  <c r="Z2938" i="1" s="1"/>
  <c r="X2938" i="1"/>
  <c r="AE2937" i="1"/>
  <c r="AD2937" i="1"/>
  <c r="AC2937" i="1"/>
  <c r="AB2937" i="1"/>
  <c r="AA2937" i="1"/>
  <c r="Y2937" i="1"/>
  <c r="Z2937" i="1" s="1"/>
  <c r="X2937" i="1"/>
  <c r="AE2936" i="1"/>
  <c r="AD2936" i="1"/>
  <c r="AC2936" i="1"/>
  <c r="AB2936" i="1"/>
  <c r="AA2936" i="1"/>
  <c r="Y2936" i="1"/>
  <c r="Z2936" i="1" s="1"/>
  <c r="X2936" i="1"/>
  <c r="AE2935" i="1"/>
  <c r="AD2935" i="1"/>
  <c r="AC2935" i="1"/>
  <c r="AB2935" i="1"/>
  <c r="AA2935" i="1"/>
  <c r="Y2935" i="1"/>
  <c r="Z2935" i="1" s="1"/>
  <c r="X2935" i="1"/>
  <c r="AE2934" i="1"/>
  <c r="AD2934" i="1"/>
  <c r="AC2934" i="1"/>
  <c r="AB2934" i="1"/>
  <c r="AA2934" i="1"/>
  <c r="Y2934" i="1"/>
  <c r="Z2934" i="1" s="1"/>
  <c r="X2934" i="1"/>
  <c r="AE2933" i="1"/>
  <c r="AD2933" i="1"/>
  <c r="AC2933" i="1"/>
  <c r="AB2933" i="1"/>
  <c r="AA2933" i="1"/>
  <c r="Y2933" i="1"/>
  <c r="Z2933" i="1" s="1"/>
  <c r="X2933" i="1"/>
  <c r="AE2932" i="1"/>
  <c r="AD2932" i="1"/>
  <c r="AC2932" i="1"/>
  <c r="AB2932" i="1"/>
  <c r="AA2932" i="1"/>
  <c r="Y2932" i="1"/>
  <c r="Z2932" i="1" s="1"/>
  <c r="X2932" i="1"/>
  <c r="AE2931" i="1"/>
  <c r="AD2931" i="1"/>
  <c r="AC2931" i="1"/>
  <c r="AB2931" i="1"/>
  <c r="AA2931" i="1"/>
  <c r="Y2931" i="1"/>
  <c r="Z2931" i="1" s="1"/>
  <c r="X2931" i="1"/>
  <c r="AE2930" i="1"/>
  <c r="AD2930" i="1"/>
  <c r="AC2930" i="1"/>
  <c r="AB2930" i="1"/>
  <c r="AA2930" i="1"/>
  <c r="Y2930" i="1"/>
  <c r="Z2930" i="1" s="1"/>
  <c r="X2930" i="1"/>
  <c r="AE2929" i="1"/>
  <c r="AD2929" i="1"/>
  <c r="AC2929" i="1"/>
  <c r="AB2929" i="1"/>
  <c r="AA2929" i="1"/>
  <c r="Y2929" i="1"/>
  <c r="Z2929" i="1" s="1"/>
  <c r="X2929" i="1"/>
  <c r="AE2928" i="1"/>
  <c r="AD2928" i="1"/>
  <c r="AC2928" i="1"/>
  <c r="AB2928" i="1"/>
  <c r="AA2928" i="1"/>
  <c r="Y2928" i="1"/>
  <c r="Z2928" i="1" s="1"/>
  <c r="X2928" i="1"/>
  <c r="AE2927" i="1"/>
  <c r="AD2927" i="1"/>
  <c r="AC2927" i="1"/>
  <c r="AB2927" i="1"/>
  <c r="AA2927" i="1"/>
  <c r="Y2927" i="1"/>
  <c r="Z2927" i="1" s="1"/>
  <c r="X2927" i="1"/>
  <c r="AE2926" i="1"/>
  <c r="AD2926" i="1"/>
  <c r="AC2926" i="1"/>
  <c r="AB2926" i="1"/>
  <c r="AA2926" i="1"/>
  <c r="Y2926" i="1"/>
  <c r="Z2926" i="1" s="1"/>
  <c r="X2926" i="1"/>
  <c r="AE2925" i="1"/>
  <c r="AD2925" i="1"/>
  <c r="AC2925" i="1"/>
  <c r="AB2925" i="1"/>
  <c r="AA2925" i="1"/>
  <c r="Y2925" i="1"/>
  <c r="Z2925" i="1" s="1"/>
  <c r="X2925" i="1"/>
  <c r="AE2924" i="1"/>
  <c r="AD2924" i="1"/>
  <c r="AC2924" i="1"/>
  <c r="AB2924" i="1"/>
  <c r="AA2924" i="1"/>
  <c r="Y2924" i="1"/>
  <c r="Z2924" i="1" s="1"/>
  <c r="X2924" i="1"/>
  <c r="AE2923" i="1"/>
  <c r="AD2923" i="1"/>
  <c r="AC2923" i="1"/>
  <c r="AB2923" i="1"/>
  <c r="AA2923" i="1"/>
  <c r="Y2923" i="1"/>
  <c r="Z2923" i="1" s="1"/>
  <c r="X2923" i="1"/>
  <c r="AE2922" i="1"/>
  <c r="AD2922" i="1"/>
  <c r="AC2922" i="1"/>
  <c r="AB2922" i="1"/>
  <c r="AA2922" i="1"/>
  <c r="Y2922" i="1"/>
  <c r="Z2922" i="1" s="1"/>
  <c r="X2922" i="1"/>
  <c r="AE2921" i="1"/>
  <c r="AD2921" i="1"/>
  <c r="AC2921" i="1"/>
  <c r="AB2921" i="1"/>
  <c r="AA2921" i="1"/>
  <c r="Y2921" i="1"/>
  <c r="Z2921" i="1" s="1"/>
  <c r="X2921" i="1"/>
  <c r="AE2920" i="1"/>
  <c r="AD2920" i="1"/>
  <c r="AC2920" i="1"/>
  <c r="AB2920" i="1"/>
  <c r="AA2920" i="1"/>
  <c r="Y2920" i="1"/>
  <c r="Z2920" i="1" s="1"/>
  <c r="X2920" i="1"/>
  <c r="AE2919" i="1"/>
  <c r="AD2919" i="1"/>
  <c r="AC2919" i="1"/>
  <c r="AB2919" i="1"/>
  <c r="AA2919" i="1"/>
  <c r="Y2919" i="1"/>
  <c r="Z2919" i="1" s="1"/>
  <c r="X2919" i="1"/>
  <c r="AE2918" i="1"/>
  <c r="AD2918" i="1"/>
  <c r="AC2918" i="1"/>
  <c r="AB2918" i="1"/>
  <c r="AA2918" i="1"/>
  <c r="Y2918" i="1"/>
  <c r="Z2918" i="1" s="1"/>
  <c r="X2918" i="1"/>
  <c r="AE2917" i="1"/>
  <c r="AD2917" i="1"/>
  <c r="AC2917" i="1"/>
  <c r="AB2917" i="1"/>
  <c r="AA2917" i="1"/>
  <c r="Y2917" i="1"/>
  <c r="Z2917" i="1" s="1"/>
  <c r="X2917" i="1"/>
  <c r="AE2916" i="1"/>
  <c r="AD2916" i="1"/>
  <c r="AC2916" i="1"/>
  <c r="AB2916" i="1"/>
  <c r="AA2916" i="1"/>
  <c r="Y2916" i="1"/>
  <c r="Z2916" i="1" s="1"/>
  <c r="X2916" i="1"/>
  <c r="AE2915" i="1"/>
  <c r="AD2915" i="1"/>
  <c r="AC2915" i="1"/>
  <c r="AB2915" i="1"/>
  <c r="AA2915" i="1"/>
  <c r="Y2915" i="1"/>
  <c r="Z2915" i="1" s="1"/>
  <c r="X2915" i="1"/>
  <c r="AE2914" i="1"/>
  <c r="AD2914" i="1"/>
  <c r="AC2914" i="1"/>
  <c r="AB2914" i="1"/>
  <c r="AA2914" i="1"/>
  <c r="Y2914" i="1"/>
  <c r="Z2914" i="1" s="1"/>
  <c r="X2914" i="1"/>
  <c r="AE2913" i="1"/>
  <c r="AD2913" i="1"/>
  <c r="AC2913" i="1"/>
  <c r="AB2913" i="1"/>
  <c r="AA2913" i="1"/>
  <c r="Y2913" i="1"/>
  <c r="Z2913" i="1" s="1"/>
  <c r="X2913" i="1"/>
  <c r="AE2912" i="1"/>
  <c r="AD2912" i="1"/>
  <c r="AC2912" i="1"/>
  <c r="AB2912" i="1"/>
  <c r="AA2912" i="1"/>
  <c r="Y2912" i="1"/>
  <c r="Z2912" i="1" s="1"/>
  <c r="X2912" i="1"/>
  <c r="AE2911" i="1"/>
  <c r="AD2911" i="1"/>
  <c r="AC2911" i="1"/>
  <c r="AB2911" i="1"/>
  <c r="AA2911" i="1"/>
  <c r="Y2911" i="1"/>
  <c r="Z2911" i="1" s="1"/>
  <c r="X2911" i="1"/>
  <c r="AE2910" i="1"/>
  <c r="AD2910" i="1"/>
  <c r="AC2910" i="1"/>
  <c r="AB2910" i="1"/>
  <c r="AA2910" i="1"/>
  <c r="Y2910" i="1"/>
  <c r="Z2910" i="1" s="1"/>
  <c r="X2910" i="1"/>
  <c r="AE2909" i="1"/>
  <c r="AD2909" i="1"/>
  <c r="AC2909" i="1"/>
  <c r="AB2909" i="1"/>
  <c r="AA2909" i="1"/>
  <c r="Y2909" i="1"/>
  <c r="Z2909" i="1" s="1"/>
  <c r="X2909" i="1"/>
  <c r="AE2908" i="1"/>
  <c r="AD2908" i="1"/>
  <c r="AC2908" i="1"/>
  <c r="AB2908" i="1"/>
  <c r="AA2908" i="1"/>
  <c r="Y2908" i="1"/>
  <c r="Z2908" i="1" s="1"/>
  <c r="X2908" i="1"/>
  <c r="AE2907" i="1"/>
  <c r="AD2907" i="1"/>
  <c r="AC2907" i="1"/>
  <c r="AB2907" i="1"/>
  <c r="AA2907" i="1"/>
  <c r="Y2907" i="1"/>
  <c r="Z2907" i="1" s="1"/>
  <c r="X2907" i="1"/>
  <c r="AE2906" i="1"/>
  <c r="AD2906" i="1"/>
  <c r="AC2906" i="1"/>
  <c r="AB2906" i="1"/>
  <c r="AA2906" i="1"/>
  <c r="Y2906" i="1"/>
  <c r="Z2906" i="1" s="1"/>
  <c r="X2906" i="1"/>
  <c r="AE2905" i="1"/>
  <c r="AD2905" i="1"/>
  <c r="AC2905" i="1"/>
  <c r="AB2905" i="1"/>
  <c r="AA2905" i="1"/>
  <c r="Y2905" i="1"/>
  <c r="Z2905" i="1" s="1"/>
  <c r="X2905" i="1"/>
  <c r="AE2904" i="1"/>
  <c r="AD2904" i="1"/>
  <c r="AC2904" i="1"/>
  <c r="AB2904" i="1"/>
  <c r="AA2904" i="1"/>
  <c r="Y2904" i="1"/>
  <c r="Z2904" i="1" s="1"/>
  <c r="X2904" i="1"/>
  <c r="AE2903" i="1"/>
  <c r="AD2903" i="1"/>
  <c r="AC2903" i="1"/>
  <c r="AB2903" i="1"/>
  <c r="AA2903" i="1"/>
  <c r="Y2903" i="1"/>
  <c r="Z2903" i="1" s="1"/>
  <c r="X2903" i="1"/>
  <c r="AE2902" i="1"/>
  <c r="AD2902" i="1"/>
  <c r="AC2902" i="1"/>
  <c r="AB2902" i="1"/>
  <c r="AA2902" i="1"/>
  <c r="Y2902" i="1"/>
  <c r="Z2902" i="1" s="1"/>
  <c r="X2902" i="1"/>
  <c r="AE2901" i="1"/>
  <c r="AD2901" i="1"/>
  <c r="AC2901" i="1"/>
  <c r="AB2901" i="1"/>
  <c r="AA2901" i="1"/>
  <c r="Y2901" i="1"/>
  <c r="Z2901" i="1" s="1"/>
  <c r="X2901" i="1"/>
  <c r="AE2900" i="1"/>
  <c r="AD2900" i="1"/>
  <c r="AC2900" i="1"/>
  <c r="AB2900" i="1"/>
  <c r="AA2900" i="1"/>
  <c r="Y2900" i="1"/>
  <c r="Z2900" i="1" s="1"/>
  <c r="X2900" i="1"/>
  <c r="AE2899" i="1"/>
  <c r="AD2899" i="1"/>
  <c r="AC2899" i="1"/>
  <c r="AB2899" i="1"/>
  <c r="AA2899" i="1"/>
  <c r="Y2899" i="1"/>
  <c r="Z2899" i="1" s="1"/>
  <c r="X2899" i="1"/>
  <c r="AE2898" i="1"/>
  <c r="AD2898" i="1"/>
  <c r="AC2898" i="1"/>
  <c r="AB2898" i="1"/>
  <c r="AA2898" i="1"/>
  <c r="Y2898" i="1"/>
  <c r="Z2898" i="1" s="1"/>
  <c r="X2898" i="1"/>
  <c r="AE2897" i="1"/>
  <c r="AD2897" i="1"/>
  <c r="AC2897" i="1"/>
  <c r="AB2897" i="1"/>
  <c r="AA2897" i="1"/>
  <c r="Y2897" i="1"/>
  <c r="Z2897" i="1" s="1"/>
  <c r="X2897" i="1"/>
  <c r="AE2896" i="1"/>
  <c r="AD2896" i="1"/>
  <c r="AC2896" i="1"/>
  <c r="AB2896" i="1"/>
  <c r="AA2896" i="1"/>
  <c r="Y2896" i="1"/>
  <c r="Z2896" i="1" s="1"/>
  <c r="X2896" i="1"/>
  <c r="AE2895" i="1"/>
  <c r="AD2895" i="1"/>
  <c r="AC2895" i="1"/>
  <c r="AB2895" i="1"/>
  <c r="AA2895" i="1"/>
  <c r="Y2895" i="1"/>
  <c r="Z2895" i="1" s="1"/>
  <c r="X2895" i="1"/>
  <c r="AE2894" i="1"/>
  <c r="AD2894" i="1"/>
  <c r="AC2894" i="1"/>
  <c r="AB2894" i="1"/>
  <c r="AA2894" i="1"/>
  <c r="Y2894" i="1"/>
  <c r="Z2894" i="1" s="1"/>
  <c r="X2894" i="1"/>
  <c r="AE2893" i="1"/>
  <c r="AD2893" i="1"/>
  <c r="AC2893" i="1"/>
  <c r="AB2893" i="1"/>
  <c r="AA2893" i="1"/>
  <c r="Y2893" i="1"/>
  <c r="Z2893" i="1" s="1"/>
  <c r="X2893" i="1"/>
  <c r="AE2892" i="1"/>
  <c r="AD2892" i="1"/>
  <c r="AC2892" i="1"/>
  <c r="AB2892" i="1"/>
  <c r="AA2892" i="1"/>
  <c r="Y2892" i="1"/>
  <c r="Z2892" i="1" s="1"/>
  <c r="X2892" i="1"/>
  <c r="AE2891" i="1"/>
  <c r="AD2891" i="1"/>
  <c r="AC2891" i="1"/>
  <c r="AB2891" i="1"/>
  <c r="AA2891" i="1"/>
  <c r="Y2891" i="1"/>
  <c r="Z2891" i="1" s="1"/>
  <c r="X2891" i="1"/>
  <c r="AE2890" i="1"/>
  <c r="AD2890" i="1"/>
  <c r="AC2890" i="1"/>
  <c r="AB2890" i="1"/>
  <c r="AA2890" i="1"/>
  <c r="Y2890" i="1"/>
  <c r="Z2890" i="1" s="1"/>
  <c r="X2890" i="1"/>
  <c r="AE2889" i="1"/>
  <c r="AD2889" i="1"/>
  <c r="AC2889" i="1"/>
  <c r="AB2889" i="1"/>
  <c r="AA2889" i="1"/>
  <c r="Y2889" i="1"/>
  <c r="Z2889" i="1" s="1"/>
  <c r="X2889" i="1"/>
  <c r="AE2888" i="1"/>
  <c r="AD2888" i="1"/>
  <c r="AC2888" i="1"/>
  <c r="AB2888" i="1"/>
  <c r="AA2888" i="1"/>
  <c r="Y2888" i="1"/>
  <c r="Z2888" i="1" s="1"/>
  <c r="X2888" i="1"/>
  <c r="AE2887" i="1"/>
  <c r="AD2887" i="1"/>
  <c r="AC2887" i="1"/>
  <c r="AB2887" i="1"/>
  <c r="AA2887" i="1"/>
  <c r="Y2887" i="1"/>
  <c r="Z2887" i="1" s="1"/>
  <c r="X2887" i="1"/>
  <c r="AE2886" i="1"/>
  <c r="AD2886" i="1"/>
  <c r="AC2886" i="1"/>
  <c r="AB2886" i="1"/>
  <c r="AA2886" i="1"/>
  <c r="Y2886" i="1"/>
  <c r="Z2886" i="1" s="1"/>
  <c r="X2886" i="1"/>
  <c r="AE2885" i="1"/>
  <c r="AD2885" i="1"/>
  <c r="AC2885" i="1"/>
  <c r="AB2885" i="1"/>
  <c r="AA2885" i="1"/>
  <c r="Y2885" i="1"/>
  <c r="Z2885" i="1" s="1"/>
  <c r="X2885" i="1"/>
  <c r="AE2884" i="1"/>
  <c r="AD2884" i="1"/>
  <c r="AC2884" i="1"/>
  <c r="AB2884" i="1"/>
  <c r="AA2884" i="1"/>
  <c r="Y2884" i="1"/>
  <c r="Z2884" i="1" s="1"/>
  <c r="X2884" i="1"/>
  <c r="AE2883" i="1"/>
  <c r="AD2883" i="1"/>
  <c r="AC2883" i="1"/>
  <c r="AB2883" i="1"/>
  <c r="AA2883" i="1"/>
  <c r="Y2883" i="1"/>
  <c r="Z2883" i="1" s="1"/>
  <c r="X2883" i="1"/>
  <c r="AE2882" i="1"/>
  <c r="AD2882" i="1"/>
  <c r="AC2882" i="1"/>
  <c r="AB2882" i="1"/>
  <c r="AA2882" i="1"/>
  <c r="Y2882" i="1"/>
  <c r="Z2882" i="1" s="1"/>
  <c r="X2882" i="1"/>
  <c r="AE2881" i="1"/>
  <c r="AD2881" i="1"/>
  <c r="AC2881" i="1"/>
  <c r="AB2881" i="1"/>
  <c r="AA2881" i="1"/>
  <c r="Y2881" i="1"/>
  <c r="Z2881" i="1" s="1"/>
  <c r="X2881" i="1"/>
  <c r="AE2880" i="1"/>
  <c r="AD2880" i="1"/>
  <c r="AC2880" i="1"/>
  <c r="AB2880" i="1"/>
  <c r="AA2880" i="1"/>
  <c r="Y2880" i="1"/>
  <c r="Z2880" i="1" s="1"/>
  <c r="X2880" i="1"/>
  <c r="AE2879" i="1"/>
  <c r="AD2879" i="1"/>
  <c r="AC2879" i="1"/>
  <c r="AB2879" i="1"/>
  <c r="AA2879" i="1"/>
  <c r="Y2879" i="1"/>
  <c r="Z2879" i="1" s="1"/>
  <c r="X2879" i="1"/>
  <c r="AE2878" i="1"/>
  <c r="AD2878" i="1"/>
  <c r="AC2878" i="1"/>
  <c r="AB2878" i="1"/>
  <c r="AA2878" i="1"/>
  <c r="Y2878" i="1"/>
  <c r="Z2878" i="1" s="1"/>
  <c r="X2878" i="1"/>
  <c r="AE2877" i="1"/>
  <c r="AD2877" i="1"/>
  <c r="AC2877" i="1"/>
  <c r="AB2877" i="1"/>
  <c r="AA2877" i="1"/>
  <c r="Y2877" i="1"/>
  <c r="Z2877" i="1" s="1"/>
  <c r="X2877" i="1"/>
  <c r="AE2876" i="1"/>
  <c r="AD2876" i="1"/>
  <c r="AC2876" i="1"/>
  <c r="AB2876" i="1"/>
  <c r="AA2876" i="1"/>
  <c r="Y2876" i="1"/>
  <c r="Z2876" i="1" s="1"/>
  <c r="X2876" i="1"/>
  <c r="AE2875" i="1"/>
  <c r="AD2875" i="1"/>
  <c r="AC2875" i="1"/>
  <c r="AB2875" i="1"/>
  <c r="AA2875" i="1"/>
  <c r="Y2875" i="1"/>
  <c r="Z2875" i="1" s="1"/>
  <c r="X2875" i="1"/>
  <c r="AE2874" i="1"/>
  <c r="AD2874" i="1"/>
  <c r="AC2874" i="1"/>
  <c r="AB2874" i="1"/>
  <c r="AA2874" i="1"/>
  <c r="Y2874" i="1"/>
  <c r="Z2874" i="1" s="1"/>
  <c r="X2874" i="1"/>
  <c r="AE2873" i="1"/>
  <c r="AD2873" i="1"/>
  <c r="AC2873" i="1"/>
  <c r="AB2873" i="1"/>
  <c r="AA2873" i="1"/>
  <c r="Y2873" i="1"/>
  <c r="Z2873" i="1" s="1"/>
  <c r="X2873" i="1"/>
  <c r="AE2872" i="1"/>
  <c r="AD2872" i="1"/>
  <c r="AC2872" i="1"/>
  <c r="AB2872" i="1"/>
  <c r="AA2872" i="1"/>
  <c r="Y2872" i="1"/>
  <c r="Z2872" i="1" s="1"/>
  <c r="X2872" i="1"/>
  <c r="AE2871" i="1"/>
  <c r="AD2871" i="1"/>
  <c r="AC2871" i="1"/>
  <c r="AB2871" i="1"/>
  <c r="AA2871" i="1"/>
  <c r="Y2871" i="1"/>
  <c r="Z2871" i="1" s="1"/>
  <c r="X2871" i="1"/>
  <c r="AE2870" i="1"/>
  <c r="AD2870" i="1"/>
  <c r="AC2870" i="1"/>
  <c r="AB2870" i="1"/>
  <c r="AA2870" i="1"/>
  <c r="Y2870" i="1"/>
  <c r="Z2870" i="1" s="1"/>
  <c r="X2870" i="1"/>
  <c r="AE2869" i="1"/>
  <c r="AD2869" i="1"/>
  <c r="AC2869" i="1"/>
  <c r="AB2869" i="1"/>
  <c r="AA2869" i="1"/>
  <c r="Y2869" i="1"/>
  <c r="Z2869" i="1" s="1"/>
  <c r="X2869" i="1"/>
  <c r="AE2868" i="1"/>
  <c r="AD2868" i="1"/>
  <c r="AC2868" i="1"/>
  <c r="AB2868" i="1"/>
  <c r="AA2868" i="1"/>
  <c r="Y2868" i="1"/>
  <c r="Z2868" i="1" s="1"/>
  <c r="X2868" i="1"/>
  <c r="AE2867" i="1"/>
  <c r="AD2867" i="1"/>
  <c r="AC2867" i="1"/>
  <c r="AB2867" i="1"/>
  <c r="AA2867" i="1"/>
  <c r="Y2867" i="1"/>
  <c r="Z2867" i="1" s="1"/>
  <c r="X2867" i="1"/>
  <c r="AE2866" i="1"/>
  <c r="AD2866" i="1"/>
  <c r="AC2866" i="1"/>
  <c r="AB2866" i="1"/>
  <c r="AA2866" i="1"/>
  <c r="Y2866" i="1"/>
  <c r="Z2866" i="1" s="1"/>
  <c r="X2866" i="1"/>
  <c r="AE2865" i="1"/>
  <c r="AD2865" i="1"/>
  <c r="AC2865" i="1"/>
  <c r="AB2865" i="1"/>
  <c r="AA2865" i="1"/>
  <c r="Y2865" i="1"/>
  <c r="Z2865" i="1" s="1"/>
  <c r="X2865" i="1"/>
  <c r="AE2864" i="1"/>
  <c r="AD2864" i="1"/>
  <c r="AC2864" i="1"/>
  <c r="AB2864" i="1"/>
  <c r="AA2864" i="1"/>
  <c r="Y2864" i="1"/>
  <c r="Z2864" i="1" s="1"/>
  <c r="X2864" i="1"/>
  <c r="AE2863" i="1"/>
  <c r="AD2863" i="1"/>
  <c r="AC2863" i="1"/>
  <c r="AB2863" i="1"/>
  <c r="AA2863" i="1"/>
  <c r="Y2863" i="1"/>
  <c r="Z2863" i="1" s="1"/>
  <c r="X2863" i="1"/>
  <c r="AE2862" i="1"/>
  <c r="AD2862" i="1"/>
  <c r="AC2862" i="1"/>
  <c r="AB2862" i="1"/>
  <c r="AA2862" i="1"/>
  <c r="Y2862" i="1"/>
  <c r="Z2862" i="1" s="1"/>
  <c r="X2862" i="1"/>
  <c r="AE2861" i="1"/>
  <c r="AD2861" i="1"/>
  <c r="AC2861" i="1"/>
  <c r="AB2861" i="1"/>
  <c r="AA2861" i="1"/>
  <c r="Y2861" i="1"/>
  <c r="Z2861" i="1" s="1"/>
  <c r="X2861" i="1"/>
  <c r="AE2860" i="1"/>
  <c r="AD2860" i="1"/>
  <c r="AC2860" i="1"/>
  <c r="AB2860" i="1"/>
  <c r="AA2860" i="1"/>
  <c r="Y2860" i="1"/>
  <c r="Z2860" i="1" s="1"/>
  <c r="X2860" i="1"/>
  <c r="AE2859" i="1"/>
  <c r="AD2859" i="1"/>
  <c r="AC2859" i="1"/>
  <c r="AB2859" i="1"/>
  <c r="AA2859" i="1"/>
  <c r="Y2859" i="1"/>
  <c r="Z2859" i="1" s="1"/>
  <c r="X2859" i="1"/>
  <c r="AE2858" i="1"/>
  <c r="AD2858" i="1"/>
  <c r="AC2858" i="1"/>
  <c r="AB2858" i="1"/>
  <c r="AA2858" i="1"/>
  <c r="Y2858" i="1"/>
  <c r="Z2858" i="1" s="1"/>
  <c r="X2858" i="1"/>
  <c r="AE2857" i="1"/>
  <c r="AD2857" i="1"/>
  <c r="AC2857" i="1"/>
  <c r="AB2857" i="1"/>
  <c r="AA2857" i="1"/>
  <c r="Y2857" i="1"/>
  <c r="Z2857" i="1" s="1"/>
  <c r="X2857" i="1"/>
  <c r="AE2856" i="1"/>
  <c r="AD2856" i="1"/>
  <c r="AC2856" i="1"/>
  <c r="AB2856" i="1"/>
  <c r="AA2856" i="1"/>
  <c r="Y2856" i="1"/>
  <c r="Z2856" i="1" s="1"/>
  <c r="X2856" i="1"/>
  <c r="AE2855" i="1"/>
  <c r="AD2855" i="1"/>
  <c r="AC2855" i="1"/>
  <c r="AB2855" i="1"/>
  <c r="AA2855" i="1"/>
  <c r="Y2855" i="1"/>
  <c r="Z2855" i="1" s="1"/>
  <c r="X2855" i="1"/>
  <c r="AE2854" i="1"/>
  <c r="AD2854" i="1"/>
  <c r="AC2854" i="1"/>
  <c r="AB2854" i="1"/>
  <c r="AA2854" i="1"/>
  <c r="Y2854" i="1"/>
  <c r="Z2854" i="1" s="1"/>
  <c r="X2854" i="1"/>
  <c r="AE2853" i="1"/>
  <c r="AD2853" i="1"/>
  <c r="AC2853" i="1"/>
  <c r="AB2853" i="1"/>
  <c r="AA2853" i="1"/>
  <c r="Y2853" i="1"/>
  <c r="Z2853" i="1" s="1"/>
  <c r="X2853" i="1"/>
  <c r="AE2852" i="1"/>
  <c r="AD2852" i="1"/>
  <c r="AC2852" i="1"/>
  <c r="AB2852" i="1"/>
  <c r="AA2852" i="1"/>
  <c r="Y2852" i="1"/>
  <c r="Z2852" i="1" s="1"/>
  <c r="X2852" i="1"/>
  <c r="AE2851" i="1"/>
  <c r="AD2851" i="1"/>
  <c r="AC2851" i="1"/>
  <c r="AB2851" i="1"/>
  <c r="AA2851" i="1"/>
  <c r="Y2851" i="1"/>
  <c r="Z2851" i="1" s="1"/>
  <c r="X2851" i="1"/>
  <c r="AE2850" i="1"/>
  <c r="AD2850" i="1"/>
  <c r="AC2850" i="1"/>
  <c r="AB2850" i="1"/>
  <c r="AA2850" i="1"/>
  <c r="Y2850" i="1"/>
  <c r="Z2850" i="1" s="1"/>
  <c r="X2850" i="1"/>
  <c r="AE2849" i="1"/>
  <c r="AD2849" i="1"/>
  <c r="AC2849" i="1"/>
  <c r="AB2849" i="1"/>
  <c r="AA2849" i="1"/>
  <c r="Y2849" i="1"/>
  <c r="Z2849" i="1" s="1"/>
  <c r="X2849" i="1"/>
  <c r="AE2848" i="1"/>
  <c r="AD2848" i="1"/>
  <c r="AC2848" i="1"/>
  <c r="AB2848" i="1"/>
  <c r="AA2848" i="1"/>
  <c r="Y2848" i="1"/>
  <c r="Z2848" i="1" s="1"/>
  <c r="X2848" i="1"/>
  <c r="AE2847" i="1"/>
  <c r="AD2847" i="1"/>
  <c r="AC2847" i="1"/>
  <c r="AB2847" i="1"/>
  <c r="AA2847" i="1"/>
  <c r="Y2847" i="1"/>
  <c r="Z2847" i="1" s="1"/>
  <c r="X2847" i="1"/>
  <c r="AE2846" i="1"/>
  <c r="AD2846" i="1"/>
  <c r="AC2846" i="1"/>
  <c r="AB2846" i="1"/>
  <c r="AA2846" i="1"/>
  <c r="Y2846" i="1"/>
  <c r="Z2846" i="1" s="1"/>
  <c r="X2846" i="1"/>
  <c r="AE2845" i="1"/>
  <c r="AD2845" i="1"/>
  <c r="AC2845" i="1"/>
  <c r="AB2845" i="1"/>
  <c r="AA2845" i="1"/>
  <c r="Y2845" i="1"/>
  <c r="Z2845" i="1" s="1"/>
  <c r="X2845" i="1"/>
  <c r="AE2844" i="1"/>
  <c r="AD2844" i="1"/>
  <c r="AC2844" i="1"/>
  <c r="AB2844" i="1"/>
  <c r="AA2844" i="1"/>
  <c r="Y2844" i="1"/>
  <c r="Z2844" i="1" s="1"/>
  <c r="X2844" i="1"/>
  <c r="AE2843" i="1"/>
  <c r="AD2843" i="1"/>
  <c r="AC2843" i="1"/>
  <c r="AB2843" i="1"/>
  <c r="AA2843" i="1"/>
  <c r="Y2843" i="1"/>
  <c r="Z2843" i="1" s="1"/>
  <c r="X2843" i="1"/>
  <c r="AE2842" i="1"/>
  <c r="AD2842" i="1"/>
  <c r="AC2842" i="1"/>
  <c r="AB2842" i="1"/>
  <c r="AA2842" i="1"/>
  <c r="Y2842" i="1"/>
  <c r="Z2842" i="1" s="1"/>
  <c r="X2842" i="1"/>
  <c r="AE2841" i="1"/>
  <c r="AD2841" i="1"/>
  <c r="AC2841" i="1"/>
  <c r="AB2841" i="1"/>
  <c r="AA2841" i="1"/>
  <c r="Y2841" i="1"/>
  <c r="Z2841" i="1" s="1"/>
  <c r="X2841" i="1"/>
  <c r="AE2840" i="1"/>
  <c r="AD2840" i="1"/>
  <c r="AC2840" i="1"/>
  <c r="AB2840" i="1"/>
  <c r="AA2840" i="1"/>
  <c r="Y2840" i="1"/>
  <c r="Z2840" i="1" s="1"/>
  <c r="X2840" i="1"/>
  <c r="AE2839" i="1"/>
  <c r="AD2839" i="1"/>
  <c r="AC2839" i="1"/>
  <c r="AB2839" i="1"/>
  <c r="AA2839" i="1"/>
  <c r="Y2839" i="1"/>
  <c r="Z2839" i="1" s="1"/>
  <c r="X2839" i="1"/>
  <c r="AE2838" i="1"/>
  <c r="AD2838" i="1"/>
  <c r="AC2838" i="1"/>
  <c r="AB2838" i="1"/>
  <c r="AA2838" i="1"/>
  <c r="Y2838" i="1"/>
  <c r="Z2838" i="1" s="1"/>
  <c r="X2838" i="1"/>
  <c r="AE2837" i="1"/>
  <c r="AD2837" i="1"/>
  <c r="AC2837" i="1"/>
  <c r="AB2837" i="1"/>
  <c r="AA2837" i="1"/>
  <c r="Y2837" i="1"/>
  <c r="Z2837" i="1" s="1"/>
  <c r="X2837" i="1"/>
  <c r="AE2836" i="1"/>
  <c r="AD2836" i="1"/>
  <c r="AC2836" i="1"/>
  <c r="AB2836" i="1"/>
  <c r="AA2836" i="1"/>
  <c r="Y2836" i="1"/>
  <c r="Z2836" i="1" s="1"/>
  <c r="X2836" i="1"/>
  <c r="AE2835" i="1"/>
  <c r="AD2835" i="1"/>
  <c r="AC2835" i="1"/>
  <c r="AB2835" i="1"/>
  <c r="AA2835" i="1"/>
  <c r="Y2835" i="1"/>
  <c r="Z2835" i="1" s="1"/>
  <c r="X2835" i="1"/>
  <c r="AE2834" i="1"/>
  <c r="AD2834" i="1"/>
  <c r="AC2834" i="1"/>
  <c r="AB2834" i="1"/>
  <c r="AA2834" i="1"/>
  <c r="Y2834" i="1"/>
  <c r="Z2834" i="1" s="1"/>
  <c r="X2834" i="1"/>
  <c r="AE2833" i="1"/>
  <c r="AD2833" i="1"/>
  <c r="AC2833" i="1"/>
  <c r="AB2833" i="1"/>
  <c r="AA2833" i="1"/>
  <c r="Y2833" i="1"/>
  <c r="Z2833" i="1" s="1"/>
  <c r="X2833" i="1"/>
  <c r="AE2832" i="1"/>
  <c r="AD2832" i="1"/>
  <c r="AC2832" i="1"/>
  <c r="AB2832" i="1"/>
  <c r="AA2832" i="1"/>
  <c r="Y2832" i="1"/>
  <c r="Z2832" i="1" s="1"/>
  <c r="X2832" i="1"/>
  <c r="AE2831" i="1"/>
  <c r="AD2831" i="1"/>
  <c r="AC2831" i="1"/>
  <c r="AB2831" i="1"/>
  <c r="AA2831" i="1"/>
  <c r="Y2831" i="1"/>
  <c r="Z2831" i="1" s="1"/>
  <c r="X2831" i="1"/>
  <c r="AE2830" i="1"/>
  <c r="AD2830" i="1"/>
  <c r="AC2830" i="1"/>
  <c r="AB2830" i="1"/>
  <c r="AA2830" i="1"/>
  <c r="Y2830" i="1"/>
  <c r="Z2830" i="1" s="1"/>
  <c r="X2830" i="1"/>
  <c r="AE2829" i="1"/>
  <c r="AD2829" i="1"/>
  <c r="AC2829" i="1"/>
  <c r="AB2829" i="1"/>
  <c r="AA2829" i="1"/>
  <c r="Y2829" i="1"/>
  <c r="Z2829" i="1" s="1"/>
  <c r="X2829" i="1"/>
  <c r="AE2828" i="1"/>
  <c r="AD2828" i="1"/>
  <c r="AC2828" i="1"/>
  <c r="AB2828" i="1"/>
  <c r="AA2828" i="1"/>
  <c r="Y2828" i="1"/>
  <c r="Z2828" i="1" s="1"/>
  <c r="X2828" i="1"/>
  <c r="AE2827" i="1"/>
  <c r="AD2827" i="1"/>
  <c r="AC2827" i="1"/>
  <c r="AB2827" i="1"/>
  <c r="AA2827" i="1"/>
  <c r="Y2827" i="1"/>
  <c r="Z2827" i="1" s="1"/>
  <c r="X2827" i="1"/>
  <c r="AE2826" i="1"/>
  <c r="AD2826" i="1"/>
  <c r="AC2826" i="1"/>
  <c r="AB2826" i="1"/>
  <c r="AA2826" i="1"/>
  <c r="Y2826" i="1"/>
  <c r="Z2826" i="1" s="1"/>
  <c r="X2826" i="1"/>
  <c r="AE2825" i="1"/>
  <c r="AD2825" i="1"/>
  <c r="AC2825" i="1"/>
  <c r="AB2825" i="1"/>
  <c r="AA2825" i="1"/>
  <c r="Y2825" i="1"/>
  <c r="Z2825" i="1" s="1"/>
  <c r="X2825" i="1"/>
  <c r="AE2824" i="1"/>
  <c r="AD2824" i="1"/>
  <c r="AC2824" i="1"/>
  <c r="AB2824" i="1"/>
  <c r="AA2824" i="1"/>
  <c r="Y2824" i="1"/>
  <c r="Z2824" i="1" s="1"/>
  <c r="X2824" i="1"/>
  <c r="AE2823" i="1"/>
  <c r="AD2823" i="1"/>
  <c r="AC2823" i="1"/>
  <c r="AB2823" i="1"/>
  <c r="AA2823" i="1"/>
  <c r="Y2823" i="1"/>
  <c r="Z2823" i="1" s="1"/>
  <c r="X2823" i="1"/>
  <c r="AE2822" i="1"/>
  <c r="AD2822" i="1"/>
  <c r="AC2822" i="1"/>
  <c r="AB2822" i="1"/>
  <c r="AA2822" i="1"/>
  <c r="Y2822" i="1"/>
  <c r="Z2822" i="1" s="1"/>
  <c r="X2822" i="1"/>
  <c r="AE2821" i="1"/>
  <c r="AD2821" i="1"/>
  <c r="AC2821" i="1"/>
  <c r="AB2821" i="1"/>
  <c r="AA2821" i="1"/>
  <c r="Y2821" i="1"/>
  <c r="Z2821" i="1" s="1"/>
  <c r="X2821" i="1"/>
  <c r="AE2820" i="1"/>
  <c r="AD2820" i="1"/>
  <c r="AC2820" i="1"/>
  <c r="AB2820" i="1"/>
  <c r="AA2820" i="1"/>
  <c r="Y2820" i="1"/>
  <c r="Z2820" i="1" s="1"/>
  <c r="X2820" i="1"/>
  <c r="AE2819" i="1"/>
  <c r="AD2819" i="1"/>
  <c r="AC2819" i="1"/>
  <c r="AB2819" i="1"/>
  <c r="AA2819" i="1"/>
  <c r="Y2819" i="1"/>
  <c r="Z2819" i="1" s="1"/>
  <c r="X2819" i="1"/>
  <c r="AE2818" i="1"/>
  <c r="AD2818" i="1"/>
  <c r="AC2818" i="1"/>
  <c r="AB2818" i="1"/>
  <c r="AA2818" i="1"/>
  <c r="Y2818" i="1"/>
  <c r="Z2818" i="1" s="1"/>
  <c r="X2818" i="1"/>
  <c r="AE2817" i="1"/>
  <c r="AD2817" i="1"/>
  <c r="AC2817" i="1"/>
  <c r="AB2817" i="1"/>
  <c r="AA2817" i="1"/>
  <c r="Y2817" i="1"/>
  <c r="Z2817" i="1" s="1"/>
  <c r="X2817" i="1"/>
  <c r="AE2816" i="1"/>
  <c r="AD2816" i="1"/>
  <c r="AC2816" i="1"/>
  <c r="AB2816" i="1"/>
  <c r="AA2816" i="1"/>
  <c r="Y2816" i="1"/>
  <c r="Z2816" i="1" s="1"/>
  <c r="X2816" i="1"/>
  <c r="AE2815" i="1"/>
  <c r="AD2815" i="1"/>
  <c r="AC2815" i="1"/>
  <c r="AB2815" i="1"/>
  <c r="AA2815" i="1"/>
  <c r="Y2815" i="1"/>
  <c r="Z2815" i="1" s="1"/>
  <c r="X2815" i="1"/>
  <c r="AE2814" i="1"/>
  <c r="AD2814" i="1"/>
  <c r="AC2814" i="1"/>
  <c r="AB2814" i="1"/>
  <c r="AA2814" i="1"/>
  <c r="Y2814" i="1"/>
  <c r="Z2814" i="1" s="1"/>
  <c r="X2814" i="1"/>
  <c r="AE2813" i="1"/>
  <c r="AD2813" i="1"/>
  <c r="AC2813" i="1"/>
  <c r="AB2813" i="1"/>
  <c r="AA2813" i="1"/>
  <c r="Y2813" i="1"/>
  <c r="Z2813" i="1" s="1"/>
  <c r="X2813" i="1"/>
  <c r="AE2812" i="1"/>
  <c r="AD2812" i="1"/>
  <c r="AC2812" i="1"/>
  <c r="AB2812" i="1"/>
  <c r="AA2812" i="1"/>
  <c r="Y2812" i="1"/>
  <c r="Z2812" i="1" s="1"/>
  <c r="X2812" i="1"/>
  <c r="AE2811" i="1"/>
  <c r="AD2811" i="1"/>
  <c r="AC2811" i="1"/>
  <c r="AB2811" i="1"/>
  <c r="AA2811" i="1"/>
  <c r="Y2811" i="1"/>
  <c r="Z2811" i="1" s="1"/>
  <c r="X2811" i="1"/>
  <c r="AE2810" i="1"/>
  <c r="AD2810" i="1"/>
  <c r="AC2810" i="1"/>
  <c r="AB2810" i="1"/>
  <c r="AA2810" i="1"/>
  <c r="Y2810" i="1"/>
  <c r="Z2810" i="1" s="1"/>
  <c r="X2810" i="1"/>
  <c r="AE2809" i="1"/>
  <c r="AD2809" i="1"/>
  <c r="AC2809" i="1"/>
  <c r="AB2809" i="1"/>
  <c r="AA2809" i="1"/>
  <c r="Y2809" i="1"/>
  <c r="Z2809" i="1" s="1"/>
  <c r="X2809" i="1"/>
  <c r="AE2808" i="1"/>
  <c r="AD2808" i="1"/>
  <c r="AC2808" i="1"/>
  <c r="AB2808" i="1"/>
  <c r="AA2808" i="1"/>
  <c r="Y2808" i="1"/>
  <c r="Z2808" i="1" s="1"/>
  <c r="X2808" i="1"/>
  <c r="AE2807" i="1"/>
  <c r="AD2807" i="1"/>
  <c r="AC2807" i="1"/>
  <c r="AB2807" i="1"/>
  <c r="AA2807" i="1"/>
  <c r="Y2807" i="1"/>
  <c r="Z2807" i="1" s="1"/>
  <c r="X2807" i="1"/>
  <c r="AE2806" i="1"/>
  <c r="AD2806" i="1"/>
  <c r="AC2806" i="1"/>
  <c r="AB2806" i="1"/>
  <c r="AA2806" i="1"/>
  <c r="Y2806" i="1"/>
  <c r="Z2806" i="1" s="1"/>
  <c r="X2806" i="1"/>
  <c r="AE2805" i="1"/>
  <c r="AD2805" i="1"/>
  <c r="AC2805" i="1"/>
  <c r="AB2805" i="1"/>
  <c r="AA2805" i="1"/>
  <c r="Y2805" i="1"/>
  <c r="Z2805" i="1" s="1"/>
  <c r="X2805" i="1"/>
  <c r="AE2804" i="1"/>
  <c r="AD2804" i="1"/>
  <c r="AC2804" i="1"/>
  <c r="AB2804" i="1"/>
  <c r="AA2804" i="1"/>
  <c r="Y2804" i="1"/>
  <c r="Z2804" i="1" s="1"/>
  <c r="X2804" i="1"/>
  <c r="AE2803" i="1"/>
  <c r="AD2803" i="1"/>
  <c r="AC2803" i="1"/>
  <c r="AB2803" i="1"/>
  <c r="AA2803" i="1"/>
  <c r="Y2803" i="1"/>
  <c r="Z2803" i="1" s="1"/>
  <c r="X2803" i="1"/>
  <c r="AE2802" i="1"/>
  <c r="AD2802" i="1"/>
  <c r="AC2802" i="1"/>
  <c r="AB2802" i="1"/>
  <c r="AA2802" i="1"/>
  <c r="Y2802" i="1"/>
  <c r="Z2802" i="1" s="1"/>
  <c r="X2802" i="1"/>
  <c r="AE2801" i="1"/>
  <c r="AD2801" i="1"/>
  <c r="AC2801" i="1"/>
  <c r="AB2801" i="1"/>
  <c r="AA2801" i="1"/>
  <c r="Y2801" i="1"/>
  <c r="Z2801" i="1" s="1"/>
  <c r="X2801" i="1"/>
  <c r="AE2800" i="1"/>
  <c r="AD2800" i="1"/>
  <c r="AC2800" i="1"/>
  <c r="AB2800" i="1"/>
  <c r="AA2800" i="1"/>
  <c r="Y2800" i="1"/>
  <c r="Z2800" i="1" s="1"/>
  <c r="X2800" i="1"/>
  <c r="AE2799" i="1"/>
  <c r="AD2799" i="1"/>
  <c r="AC2799" i="1"/>
  <c r="AB2799" i="1"/>
  <c r="AA2799" i="1"/>
  <c r="Y2799" i="1"/>
  <c r="Z2799" i="1" s="1"/>
  <c r="X2799" i="1"/>
  <c r="AE2798" i="1"/>
  <c r="AD2798" i="1"/>
  <c r="AC2798" i="1"/>
  <c r="AB2798" i="1"/>
  <c r="AA2798" i="1"/>
  <c r="Y2798" i="1"/>
  <c r="Z2798" i="1" s="1"/>
  <c r="X2798" i="1"/>
  <c r="AE2797" i="1"/>
  <c r="AD2797" i="1"/>
  <c r="AC2797" i="1"/>
  <c r="AB2797" i="1"/>
  <c r="AA2797" i="1"/>
  <c r="Y2797" i="1"/>
  <c r="Z2797" i="1" s="1"/>
  <c r="X2797" i="1"/>
  <c r="AE2796" i="1"/>
  <c r="AD2796" i="1"/>
  <c r="AC2796" i="1"/>
  <c r="AB2796" i="1"/>
  <c r="AA2796" i="1"/>
  <c r="Y2796" i="1"/>
  <c r="Z2796" i="1" s="1"/>
  <c r="X2796" i="1"/>
  <c r="AE2795" i="1"/>
  <c r="AD2795" i="1"/>
  <c r="AC2795" i="1"/>
  <c r="AB2795" i="1"/>
  <c r="AA2795" i="1"/>
  <c r="Y2795" i="1"/>
  <c r="Z2795" i="1" s="1"/>
  <c r="X2795" i="1"/>
  <c r="AE2794" i="1"/>
  <c r="AD2794" i="1"/>
  <c r="AC2794" i="1"/>
  <c r="AB2794" i="1"/>
  <c r="AA2794" i="1"/>
  <c r="Y2794" i="1"/>
  <c r="Z2794" i="1" s="1"/>
  <c r="X2794" i="1"/>
  <c r="AE2793" i="1"/>
  <c r="AD2793" i="1"/>
  <c r="AC2793" i="1"/>
  <c r="AB2793" i="1"/>
  <c r="AA2793" i="1"/>
  <c r="Y2793" i="1"/>
  <c r="Z2793" i="1" s="1"/>
  <c r="X2793" i="1"/>
  <c r="AE2792" i="1"/>
  <c r="AD2792" i="1"/>
  <c r="AC2792" i="1"/>
  <c r="AB2792" i="1"/>
  <c r="AA2792" i="1"/>
  <c r="Y2792" i="1"/>
  <c r="Z2792" i="1" s="1"/>
  <c r="X2792" i="1"/>
  <c r="AE2791" i="1"/>
  <c r="AD2791" i="1"/>
  <c r="AC2791" i="1"/>
  <c r="AB2791" i="1"/>
  <c r="AA2791" i="1"/>
  <c r="Y2791" i="1"/>
  <c r="Z2791" i="1" s="1"/>
  <c r="X2791" i="1"/>
  <c r="AE2790" i="1"/>
  <c r="AD2790" i="1"/>
  <c r="AC2790" i="1"/>
  <c r="AB2790" i="1"/>
  <c r="AA2790" i="1"/>
  <c r="Y2790" i="1"/>
  <c r="Z2790" i="1" s="1"/>
  <c r="X2790" i="1"/>
  <c r="AE2789" i="1"/>
  <c r="AD2789" i="1"/>
  <c r="AC2789" i="1"/>
  <c r="AB2789" i="1"/>
  <c r="AA2789" i="1"/>
  <c r="Y2789" i="1"/>
  <c r="Z2789" i="1" s="1"/>
  <c r="X2789" i="1"/>
  <c r="AE2788" i="1"/>
  <c r="AD2788" i="1"/>
  <c r="AC2788" i="1"/>
  <c r="AB2788" i="1"/>
  <c r="AA2788" i="1"/>
  <c r="Y2788" i="1"/>
  <c r="Z2788" i="1" s="1"/>
  <c r="X2788" i="1"/>
  <c r="AE2787" i="1"/>
  <c r="AD2787" i="1"/>
  <c r="AC2787" i="1"/>
  <c r="AB2787" i="1"/>
  <c r="AA2787" i="1"/>
  <c r="Y2787" i="1"/>
  <c r="Z2787" i="1" s="1"/>
  <c r="X2787" i="1"/>
  <c r="AE2786" i="1"/>
  <c r="AD2786" i="1"/>
  <c r="AC2786" i="1"/>
  <c r="AB2786" i="1"/>
  <c r="AA2786" i="1"/>
  <c r="Y2786" i="1"/>
  <c r="Z2786" i="1" s="1"/>
  <c r="X2786" i="1"/>
  <c r="AE2785" i="1"/>
  <c r="AD2785" i="1"/>
  <c r="AC2785" i="1"/>
  <c r="AB2785" i="1"/>
  <c r="AA2785" i="1"/>
  <c r="Y2785" i="1"/>
  <c r="Z2785" i="1" s="1"/>
  <c r="X2785" i="1"/>
  <c r="AE2784" i="1"/>
  <c r="AD2784" i="1"/>
  <c r="AC2784" i="1"/>
  <c r="AB2784" i="1"/>
  <c r="AA2784" i="1"/>
  <c r="Y2784" i="1"/>
  <c r="Z2784" i="1" s="1"/>
  <c r="X2784" i="1"/>
  <c r="AE2783" i="1"/>
  <c r="AD2783" i="1"/>
  <c r="AC2783" i="1"/>
  <c r="AB2783" i="1"/>
  <c r="AA2783" i="1"/>
  <c r="Y2783" i="1"/>
  <c r="Z2783" i="1" s="1"/>
  <c r="X2783" i="1"/>
  <c r="AE2782" i="1"/>
  <c r="AD2782" i="1"/>
  <c r="AC2782" i="1"/>
  <c r="AB2782" i="1"/>
  <c r="AA2782" i="1"/>
  <c r="Y2782" i="1"/>
  <c r="Z2782" i="1" s="1"/>
  <c r="X2782" i="1"/>
  <c r="AE2781" i="1"/>
  <c r="AD2781" i="1"/>
  <c r="AC2781" i="1"/>
  <c r="AB2781" i="1"/>
  <c r="AA2781" i="1"/>
  <c r="Y2781" i="1"/>
  <c r="Z2781" i="1" s="1"/>
  <c r="X2781" i="1"/>
  <c r="AE2780" i="1"/>
  <c r="AD2780" i="1"/>
  <c r="AC2780" i="1"/>
  <c r="AB2780" i="1"/>
  <c r="AA2780" i="1"/>
  <c r="Y2780" i="1"/>
  <c r="Z2780" i="1" s="1"/>
  <c r="X2780" i="1"/>
  <c r="AE2779" i="1"/>
  <c r="AD2779" i="1"/>
  <c r="AC2779" i="1"/>
  <c r="AB2779" i="1"/>
  <c r="AA2779" i="1"/>
  <c r="Y2779" i="1"/>
  <c r="Z2779" i="1" s="1"/>
  <c r="X2779" i="1"/>
  <c r="AE2778" i="1"/>
  <c r="AD2778" i="1"/>
  <c r="AC2778" i="1"/>
  <c r="AB2778" i="1"/>
  <c r="AA2778" i="1"/>
  <c r="Y2778" i="1"/>
  <c r="Z2778" i="1" s="1"/>
  <c r="X2778" i="1"/>
  <c r="AE2777" i="1"/>
  <c r="AD2777" i="1"/>
  <c r="AC2777" i="1"/>
  <c r="AB2777" i="1"/>
  <c r="AA2777" i="1"/>
  <c r="Y2777" i="1"/>
  <c r="Z2777" i="1" s="1"/>
  <c r="X2777" i="1"/>
  <c r="AE2776" i="1"/>
  <c r="AD2776" i="1"/>
  <c r="AC2776" i="1"/>
  <c r="AB2776" i="1"/>
  <c r="AA2776" i="1"/>
  <c r="Y2776" i="1"/>
  <c r="Z2776" i="1" s="1"/>
  <c r="X2776" i="1"/>
  <c r="AE2775" i="1"/>
  <c r="AD2775" i="1"/>
  <c r="AC2775" i="1"/>
  <c r="AB2775" i="1"/>
  <c r="AA2775" i="1"/>
  <c r="Y2775" i="1"/>
  <c r="Z2775" i="1" s="1"/>
  <c r="X2775" i="1"/>
  <c r="AE2774" i="1"/>
  <c r="AD2774" i="1"/>
  <c r="AC2774" i="1"/>
  <c r="AB2774" i="1"/>
  <c r="AA2774" i="1"/>
  <c r="Y2774" i="1"/>
  <c r="Z2774" i="1" s="1"/>
  <c r="X2774" i="1"/>
  <c r="AE2773" i="1"/>
  <c r="AD2773" i="1"/>
  <c r="AC2773" i="1"/>
  <c r="AB2773" i="1"/>
  <c r="AA2773" i="1"/>
  <c r="Y2773" i="1"/>
  <c r="Z2773" i="1" s="1"/>
  <c r="X2773" i="1"/>
  <c r="AE2772" i="1"/>
  <c r="AD2772" i="1"/>
  <c r="AC2772" i="1"/>
  <c r="AB2772" i="1"/>
  <c r="AA2772" i="1"/>
  <c r="Y2772" i="1"/>
  <c r="Z2772" i="1" s="1"/>
  <c r="X2772" i="1"/>
  <c r="AE2771" i="1"/>
  <c r="AD2771" i="1"/>
  <c r="AC2771" i="1"/>
  <c r="AB2771" i="1"/>
  <c r="AA2771" i="1"/>
  <c r="Y2771" i="1"/>
  <c r="Z2771" i="1" s="1"/>
  <c r="X2771" i="1"/>
  <c r="AE2770" i="1"/>
  <c r="AD2770" i="1"/>
  <c r="AC2770" i="1"/>
  <c r="AB2770" i="1"/>
  <c r="AA2770" i="1"/>
  <c r="Y2770" i="1"/>
  <c r="Z2770" i="1" s="1"/>
  <c r="X2770" i="1"/>
  <c r="AE2769" i="1"/>
  <c r="AD2769" i="1"/>
  <c r="AC2769" i="1"/>
  <c r="AB2769" i="1"/>
  <c r="AA2769" i="1"/>
  <c r="Y2769" i="1"/>
  <c r="Z2769" i="1" s="1"/>
  <c r="X2769" i="1"/>
  <c r="AE2768" i="1"/>
  <c r="AD2768" i="1"/>
  <c r="AC2768" i="1"/>
  <c r="AB2768" i="1"/>
  <c r="AA2768" i="1"/>
  <c r="Y2768" i="1"/>
  <c r="Z2768" i="1" s="1"/>
  <c r="X2768" i="1"/>
  <c r="AE2767" i="1"/>
  <c r="AD2767" i="1"/>
  <c r="AC2767" i="1"/>
  <c r="AB2767" i="1"/>
  <c r="AA2767" i="1"/>
  <c r="Y2767" i="1"/>
  <c r="Z2767" i="1" s="1"/>
  <c r="X2767" i="1"/>
  <c r="AE2766" i="1"/>
  <c r="AD2766" i="1"/>
  <c r="AC2766" i="1"/>
  <c r="AB2766" i="1"/>
  <c r="AA2766" i="1"/>
  <c r="Y2766" i="1"/>
  <c r="Z2766" i="1" s="1"/>
  <c r="X2766" i="1"/>
  <c r="AE2765" i="1"/>
  <c r="AD2765" i="1"/>
  <c r="AC2765" i="1"/>
  <c r="AB2765" i="1"/>
  <c r="AA2765" i="1"/>
  <c r="Y2765" i="1"/>
  <c r="Z2765" i="1" s="1"/>
  <c r="X2765" i="1"/>
  <c r="AE2764" i="1"/>
  <c r="AD2764" i="1"/>
  <c r="AC2764" i="1"/>
  <c r="AB2764" i="1"/>
  <c r="AA2764" i="1"/>
  <c r="Y2764" i="1"/>
  <c r="Z2764" i="1" s="1"/>
  <c r="X2764" i="1"/>
  <c r="AE2763" i="1"/>
  <c r="AD2763" i="1"/>
  <c r="AC2763" i="1"/>
  <c r="AB2763" i="1"/>
  <c r="AA2763" i="1"/>
  <c r="Y2763" i="1"/>
  <c r="Z2763" i="1" s="1"/>
  <c r="X2763" i="1"/>
  <c r="AE2762" i="1"/>
  <c r="AD2762" i="1"/>
  <c r="AC2762" i="1"/>
  <c r="AB2762" i="1"/>
  <c r="AA2762" i="1"/>
  <c r="Y2762" i="1"/>
  <c r="Z2762" i="1" s="1"/>
  <c r="X2762" i="1"/>
  <c r="AE2761" i="1"/>
  <c r="AD2761" i="1"/>
  <c r="AC2761" i="1"/>
  <c r="AB2761" i="1"/>
  <c r="AA2761" i="1"/>
  <c r="Y2761" i="1"/>
  <c r="Z2761" i="1" s="1"/>
  <c r="X2761" i="1"/>
  <c r="AE2760" i="1"/>
  <c r="AD2760" i="1"/>
  <c r="AC2760" i="1"/>
  <c r="AB2760" i="1"/>
  <c r="AA2760" i="1"/>
  <c r="Y2760" i="1"/>
  <c r="Z2760" i="1" s="1"/>
  <c r="X2760" i="1"/>
  <c r="AE2759" i="1"/>
  <c r="AD2759" i="1"/>
  <c r="AC2759" i="1"/>
  <c r="AB2759" i="1"/>
  <c r="AA2759" i="1"/>
  <c r="Y2759" i="1"/>
  <c r="Z2759" i="1" s="1"/>
  <c r="X2759" i="1"/>
  <c r="AE2758" i="1"/>
  <c r="AD2758" i="1"/>
  <c r="AC2758" i="1"/>
  <c r="AB2758" i="1"/>
  <c r="AA2758" i="1"/>
  <c r="Y2758" i="1"/>
  <c r="Z2758" i="1" s="1"/>
  <c r="X2758" i="1"/>
  <c r="AE2757" i="1"/>
  <c r="AD2757" i="1"/>
  <c r="AC2757" i="1"/>
  <c r="AB2757" i="1"/>
  <c r="AA2757" i="1"/>
  <c r="Y2757" i="1"/>
  <c r="Z2757" i="1" s="1"/>
  <c r="X2757" i="1"/>
  <c r="AE2756" i="1"/>
  <c r="AD2756" i="1"/>
  <c r="AC2756" i="1"/>
  <c r="AB2756" i="1"/>
  <c r="AA2756" i="1"/>
  <c r="Y2756" i="1"/>
  <c r="Z2756" i="1" s="1"/>
  <c r="X2756" i="1"/>
  <c r="AE2755" i="1"/>
  <c r="AD2755" i="1"/>
  <c r="AC2755" i="1"/>
  <c r="AB2755" i="1"/>
  <c r="AA2755" i="1"/>
  <c r="Y2755" i="1"/>
  <c r="Z2755" i="1" s="1"/>
  <c r="X2755" i="1"/>
  <c r="AE2754" i="1"/>
  <c r="AD2754" i="1"/>
  <c r="AC2754" i="1"/>
  <c r="AB2754" i="1"/>
  <c r="AA2754" i="1"/>
  <c r="Y2754" i="1"/>
  <c r="Z2754" i="1" s="1"/>
  <c r="X2754" i="1"/>
  <c r="AE2753" i="1"/>
  <c r="AD2753" i="1"/>
  <c r="AC2753" i="1"/>
  <c r="AB2753" i="1"/>
  <c r="AA2753" i="1"/>
  <c r="Y2753" i="1"/>
  <c r="Z2753" i="1" s="1"/>
  <c r="X2753" i="1"/>
  <c r="AE2752" i="1"/>
  <c r="AD2752" i="1"/>
  <c r="AC2752" i="1"/>
  <c r="AB2752" i="1"/>
  <c r="AA2752" i="1"/>
  <c r="Y2752" i="1"/>
  <c r="Z2752" i="1" s="1"/>
  <c r="X2752" i="1"/>
  <c r="AE2751" i="1"/>
  <c r="AD2751" i="1"/>
  <c r="AC2751" i="1"/>
  <c r="AB2751" i="1"/>
  <c r="AA2751" i="1"/>
  <c r="Y2751" i="1"/>
  <c r="Z2751" i="1" s="1"/>
  <c r="X2751" i="1"/>
  <c r="AE2750" i="1"/>
  <c r="AD2750" i="1"/>
  <c r="AC2750" i="1"/>
  <c r="AB2750" i="1"/>
  <c r="AA2750" i="1"/>
  <c r="Y2750" i="1"/>
  <c r="Z2750" i="1" s="1"/>
  <c r="X2750" i="1"/>
  <c r="AE2749" i="1"/>
  <c r="AD2749" i="1"/>
  <c r="AC2749" i="1"/>
  <c r="AB2749" i="1"/>
  <c r="AA2749" i="1"/>
  <c r="Y2749" i="1"/>
  <c r="Z2749" i="1" s="1"/>
  <c r="X2749" i="1"/>
  <c r="AE2748" i="1"/>
  <c r="AD2748" i="1"/>
  <c r="AC2748" i="1"/>
  <c r="AB2748" i="1"/>
  <c r="AA2748" i="1"/>
  <c r="Y2748" i="1"/>
  <c r="Z2748" i="1" s="1"/>
  <c r="X2748" i="1"/>
  <c r="AE2747" i="1"/>
  <c r="AD2747" i="1"/>
  <c r="AC2747" i="1"/>
  <c r="AB2747" i="1"/>
  <c r="AA2747" i="1"/>
  <c r="Y2747" i="1"/>
  <c r="Z2747" i="1" s="1"/>
  <c r="X2747" i="1"/>
  <c r="AE2746" i="1"/>
  <c r="AD2746" i="1"/>
  <c r="AC2746" i="1"/>
  <c r="AB2746" i="1"/>
  <c r="AA2746" i="1"/>
  <c r="Y2746" i="1"/>
  <c r="Z2746" i="1" s="1"/>
  <c r="X2746" i="1"/>
  <c r="AE2745" i="1"/>
  <c r="AD2745" i="1"/>
  <c r="AC2745" i="1"/>
  <c r="AB2745" i="1"/>
  <c r="AA2745" i="1"/>
  <c r="Y2745" i="1"/>
  <c r="Z2745" i="1" s="1"/>
  <c r="X2745" i="1"/>
  <c r="AE2744" i="1"/>
  <c r="AD2744" i="1"/>
  <c r="AC2744" i="1"/>
  <c r="AB2744" i="1"/>
  <c r="AA2744" i="1"/>
  <c r="Y2744" i="1"/>
  <c r="Z2744" i="1" s="1"/>
  <c r="X2744" i="1"/>
  <c r="AE2743" i="1"/>
  <c r="AD2743" i="1"/>
  <c r="AC2743" i="1"/>
  <c r="AB2743" i="1"/>
  <c r="AA2743" i="1"/>
  <c r="Y2743" i="1"/>
  <c r="Z2743" i="1" s="1"/>
  <c r="X2743" i="1"/>
  <c r="AE2742" i="1"/>
  <c r="AD2742" i="1"/>
  <c r="AC2742" i="1"/>
  <c r="AB2742" i="1"/>
  <c r="AA2742" i="1"/>
  <c r="Y2742" i="1"/>
  <c r="Z2742" i="1" s="1"/>
  <c r="X2742" i="1"/>
  <c r="AE2741" i="1"/>
  <c r="AD2741" i="1"/>
  <c r="AC2741" i="1"/>
  <c r="AB2741" i="1"/>
  <c r="AA2741" i="1"/>
  <c r="Y2741" i="1"/>
  <c r="Z2741" i="1" s="1"/>
  <c r="X2741" i="1"/>
  <c r="AE2740" i="1"/>
  <c r="AD2740" i="1"/>
  <c r="AC2740" i="1"/>
  <c r="AB2740" i="1"/>
  <c r="AA2740" i="1"/>
  <c r="Y2740" i="1"/>
  <c r="Z2740" i="1" s="1"/>
  <c r="X2740" i="1"/>
  <c r="AE2739" i="1"/>
  <c r="AD2739" i="1"/>
  <c r="AC2739" i="1"/>
  <c r="AB2739" i="1"/>
  <c r="AA2739" i="1"/>
  <c r="Y2739" i="1"/>
  <c r="Z2739" i="1" s="1"/>
  <c r="X2739" i="1"/>
  <c r="AE2738" i="1"/>
  <c r="AD2738" i="1"/>
  <c r="AC2738" i="1"/>
  <c r="AB2738" i="1"/>
  <c r="AA2738" i="1"/>
  <c r="Y2738" i="1"/>
  <c r="Z2738" i="1" s="1"/>
  <c r="X2738" i="1"/>
  <c r="AE2737" i="1"/>
  <c r="AD2737" i="1"/>
  <c r="AC2737" i="1"/>
  <c r="AB2737" i="1"/>
  <c r="AA2737" i="1"/>
  <c r="Y2737" i="1"/>
  <c r="Z2737" i="1" s="1"/>
  <c r="X2737" i="1"/>
  <c r="AE2736" i="1"/>
  <c r="AD2736" i="1"/>
  <c r="AC2736" i="1"/>
  <c r="AB2736" i="1"/>
  <c r="AA2736" i="1"/>
  <c r="Y2736" i="1"/>
  <c r="Z2736" i="1" s="1"/>
  <c r="X2736" i="1"/>
  <c r="AE2735" i="1"/>
  <c r="AD2735" i="1"/>
  <c r="AC2735" i="1"/>
  <c r="AB2735" i="1"/>
  <c r="AA2735" i="1"/>
  <c r="Y2735" i="1"/>
  <c r="Z2735" i="1" s="1"/>
  <c r="X2735" i="1"/>
  <c r="AE2734" i="1"/>
  <c r="AD2734" i="1"/>
  <c r="AC2734" i="1"/>
  <c r="AB2734" i="1"/>
  <c r="AA2734" i="1"/>
  <c r="Y2734" i="1"/>
  <c r="Z2734" i="1" s="1"/>
  <c r="X2734" i="1"/>
  <c r="AE2733" i="1"/>
  <c r="AD2733" i="1"/>
  <c r="AC2733" i="1"/>
  <c r="AB2733" i="1"/>
  <c r="AA2733" i="1"/>
  <c r="Y2733" i="1"/>
  <c r="Z2733" i="1" s="1"/>
  <c r="X2733" i="1"/>
  <c r="AE2732" i="1"/>
  <c r="AD2732" i="1"/>
  <c r="AC2732" i="1"/>
  <c r="AB2732" i="1"/>
  <c r="AA2732" i="1"/>
  <c r="Y2732" i="1"/>
  <c r="Z2732" i="1" s="1"/>
  <c r="X2732" i="1"/>
  <c r="AE2731" i="1"/>
  <c r="AD2731" i="1"/>
  <c r="AC2731" i="1"/>
  <c r="AB2731" i="1"/>
  <c r="AA2731" i="1"/>
  <c r="Y2731" i="1"/>
  <c r="Z2731" i="1" s="1"/>
  <c r="X2731" i="1"/>
  <c r="AE2730" i="1"/>
  <c r="AD2730" i="1"/>
  <c r="AC2730" i="1"/>
  <c r="AB2730" i="1"/>
  <c r="AA2730" i="1"/>
  <c r="Y2730" i="1"/>
  <c r="Z2730" i="1" s="1"/>
  <c r="X2730" i="1"/>
  <c r="AE2729" i="1"/>
  <c r="AD2729" i="1"/>
  <c r="AC2729" i="1"/>
  <c r="AB2729" i="1"/>
  <c r="AA2729" i="1"/>
  <c r="Y2729" i="1"/>
  <c r="Z2729" i="1" s="1"/>
  <c r="X2729" i="1"/>
  <c r="AE2728" i="1"/>
  <c r="AD2728" i="1"/>
  <c r="AC2728" i="1"/>
  <c r="AB2728" i="1"/>
  <c r="AA2728" i="1"/>
  <c r="Y2728" i="1"/>
  <c r="Z2728" i="1" s="1"/>
  <c r="X2728" i="1"/>
  <c r="AE2727" i="1"/>
  <c r="AD2727" i="1"/>
  <c r="AC2727" i="1"/>
  <c r="AB2727" i="1"/>
  <c r="AA2727" i="1"/>
  <c r="Y2727" i="1"/>
  <c r="Z2727" i="1" s="1"/>
  <c r="X2727" i="1"/>
  <c r="AE2726" i="1"/>
  <c r="AD2726" i="1"/>
  <c r="AC2726" i="1"/>
  <c r="AB2726" i="1"/>
  <c r="AA2726" i="1"/>
  <c r="Y2726" i="1"/>
  <c r="Z2726" i="1" s="1"/>
  <c r="X2726" i="1"/>
  <c r="AE2725" i="1"/>
  <c r="AD2725" i="1"/>
  <c r="AC2725" i="1"/>
  <c r="AB2725" i="1"/>
  <c r="AA2725" i="1"/>
  <c r="Y2725" i="1"/>
  <c r="Z2725" i="1" s="1"/>
  <c r="X2725" i="1"/>
  <c r="AE2724" i="1"/>
  <c r="AD2724" i="1"/>
  <c r="AC2724" i="1"/>
  <c r="AB2724" i="1"/>
  <c r="AA2724" i="1"/>
  <c r="Y2724" i="1"/>
  <c r="Z2724" i="1" s="1"/>
  <c r="X2724" i="1"/>
  <c r="AE2723" i="1"/>
  <c r="AD2723" i="1"/>
  <c r="AC2723" i="1"/>
  <c r="AB2723" i="1"/>
  <c r="AA2723" i="1"/>
  <c r="Y2723" i="1"/>
  <c r="Z2723" i="1" s="1"/>
  <c r="X2723" i="1"/>
  <c r="AE2722" i="1"/>
  <c r="AD2722" i="1"/>
  <c r="AC2722" i="1"/>
  <c r="AB2722" i="1"/>
  <c r="AA2722" i="1"/>
  <c r="Y2722" i="1"/>
  <c r="Z2722" i="1" s="1"/>
  <c r="X2722" i="1"/>
  <c r="AE2721" i="1"/>
  <c r="AD2721" i="1"/>
  <c r="AC2721" i="1"/>
  <c r="AB2721" i="1"/>
  <c r="AA2721" i="1"/>
  <c r="Y2721" i="1"/>
  <c r="Z2721" i="1" s="1"/>
  <c r="X2721" i="1"/>
  <c r="AE2720" i="1"/>
  <c r="AD2720" i="1"/>
  <c r="AC2720" i="1"/>
  <c r="AB2720" i="1"/>
  <c r="AA2720" i="1"/>
  <c r="Y2720" i="1"/>
  <c r="Z2720" i="1" s="1"/>
  <c r="X2720" i="1"/>
  <c r="AE2719" i="1"/>
  <c r="AD2719" i="1"/>
  <c r="AC2719" i="1"/>
  <c r="AB2719" i="1"/>
  <c r="AA2719" i="1"/>
  <c r="Y2719" i="1"/>
  <c r="Z2719" i="1" s="1"/>
  <c r="X2719" i="1"/>
  <c r="AE2718" i="1"/>
  <c r="AD2718" i="1"/>
  <c r="AC2718" i="1"/>
  <c r="AB2718" i="1"/>
  <c r="AA2718" i="1"/>
  <c r="Y2718" i="1"/>
  <c r="Z2718" i="1" s="1"/>
  <c r="X2718" i="1"/>
  <c r="AE2717" i="1"/>
  <c r="AD2717" i="1"/>
  <c r="AC2717" i="1"/>
  <c r="AB2717" i="1"/>
  <c r="AA2717" i="1"/>
  <c r="Y2717" i="1"/>
  <c r="Z2717" i="1" s="1"/>
  <c r="X2717" i="1"/>
  <c r="AE2716" i="1"/>
  <c r="AD2716" i="1"/>
  <c r="AC2716" i="1"/>
  <c r="AB2716" i="1"/>
  <c r="AA2716" i="1"/>
  <c r="Y2716" i="1"/>
  <c r="Z2716" i="1" s="1"/>
  <c r="X2716" i="1"/>
  <c r="AE2715" i="1"/>
  <c r="AD2715" i="1"/>
  <c r="AC2715" i="1"/>
  <c r="AB2715" i="1"/>
  <c r="AA2715" i="1"/>
  <c r="Y2715" i="1"/>
  <c r="Z2715" i="1" s="1"/>
  <c r="X2715" i="1"/>
  <c r="AE2714" i="1"/>
  <c r="AD2714" i="1"/>
  <c r="AC2714" i="1"/>
  <c r="AB2714" i="1"/>
  <c r="AA2714" i="1"/>
  <c r="Y2714" i="1"/>
  <c r="Z2714" i="1" s="1"/>
  <c r="X2714" i="1"/>
  <c r="AE2713" i="1"/>
  <c r="AD2713" i="1"/>
  <c r="AC2713" i="1"/>
  <c r="AB2713" i="1"/>
  <c r="AA2713" i="1"/>
  <c r="Y2713" i="1"/>
  <c r="Z2713" i="1" s="1"/>
  <c r="X2713" i="1"/>
  <c r="AE2712" i="1"/>
  <c r="AD2712" i="1"/>
  <c r="AC2712" i="1"/>
  <c r="AB2712" i="1"/>
  <c r="AA2712" i="1"/>
  <c r="Y2712" i="1"/>
  <c r="Z2712" i="1" s="1"/>
  <c r="X2712" i="1"/>
  <c r="AE2711" i="1"/>
  <c r="AD2711" i="1"/>
  <c r="AC2711" i="1"/>
  <c r="AB2711" i="1"/>
  <c r="AA2711" i="1"/>
  <c r="Y2711" i="1"/>
  <c r="Z2711" i="1" s="1"/>
  <c r="X2711" i="1"/>
  <c r="AE2710" i="1"/>
  <c r="AD2710" i="1"/>
  <c r="AC2710" i="1"/>
  <c r="AB2710" i="1"/>
  <c r="AA2710" i="1"/>
  <c r="Y2710" i="1"/>
  <c r="Z2710" i="1" s="1"/>
  <c r="X2710" i="1"/>
  <c r="AE2709" i="1"/>
  <c r="AD2709" i="1"/>
  <c r="AC2709" i="1"/>
  <c r="AB2709" i="1"/>
  <c r="AA2709" i="1"/>
  <c r="Y2709" i="1"/>
  <c r="Z2709" i="1" s="1"/>
  <c r="X2709" i="1"/>
  <c r="AE2708" i="1"/>
  <c r="AD2708" i="1"/>
  <c r="AC2708" i="1"/>
  <c r="AB2708" i="1"/>
  <c r="AA2708" i="1"/>
  <c r="Y2708" i="1"/>
  <c r="Z2708" i="1" s="1"/>
  <c r="X2708" i="1"/>
  <c r="AE2707" i="1"/>
  <c r="AD2707" i="1"/>
  <c r="AC2707" i="1"/>
  <c r="AB2707" i="1"/>
  <c r="AA2707" i="1"/>
  <c r="Y2707" i="1"/>
  <c r="Z2707" i="1" s="1"/>
  <c r="X2707" i="1"/>
  <c r="AE2706" i="1"/>
  <c r="AD2706" i="1"/>
  <c r="AC2706" i="1"/>
  <c r="AB2706" i="1"/>
  <c r="AA2706" i="1"/>
  <c r="Y2706" i="1"/>
  <c r="Z2706" i="1" s="1"/>
  <c r="X2706" i="1"/>
  <c r="AE2705" i="1"/>
  <c r="AD2705" i="1"/>
  <c r="AC2705" i="1"/>
  <c r="AB2705" i="1"/>
  <c r="AA2705" i="1"/>
  <c r="Y2705" i="1"/>
  <c r="Z2705" i="1" s="1"/>
  <c r="X2705" i="1"/>
  <c r="AE2704" i="1"/>
  <c r="AD2704" i="1"/>
  <c r="AC2704" i="1"/>
  <c r="AB2704" i="1"/>
  <c r="AA2704" i="1"/>
  <c r="Y2704" i="1"/>
  <c r="Z2704" i="1" s="1"/>
  <c r="X2704" i="1"/>
  <c r="AE2703" i="1"/>
  <c r="AD2703" i="1"/>
  <c r="AC2703" i="1"/>
  <c r="AB2703" i="1"/>
  <c r="AA2703" i="1"/>
  <c r="Y2703" i="1"/>
  <c r="Z2703" i="1" s="1"/>
  <c r="X2703" i="1"/>
  <c r="AE2702" i="1"/>
  <c r="AD2702" i="1"/>
  <c r="AC2702" i="1"/>
  <c r="AB2702" i="1"/>
  <c r="AA2702" i="1"/>
  <c r="Y2702" i="1"/>
  <c r="Z2702" i="1" s="1"/>
  <c r="X2702" i="1"/>
  <c r="AE2701" i="1"/>
  <c r="AD2701" i="1"/>
  <c r="AC2701" i="1"/>
  <c r="AB2701" i="1"/>
  <c r="AA2701" i="1"/>
  <c r="Y2701" i="1"/>
  <c r="Z2701" i="1" s="1"/>
  <c r="X2701" i="1"/>
  <c r="AE2700" i="1"/>
  <c r="AD2700" i="1"/>
  <c r="AC2700" i="1"/>
  <c r="AB2700" i="1"/>
  <c r="AA2700" i="1"/>
  <c r="Y2700" i="1"/>
  <c r="Z2700" i="1" s="1"/>
  <c r="X2700" i="1"/>
  <c r="AE2699" i="1"/>
  <c r="AD2699" i="1"/>
  <c r="AC2699" i="1"/>
  <c r="AB2699" i="1"/>
  <c r="AA2699" i="1"/>
  <c r="Y2699" i="1"/>
  <c r="Z2699" i="1" s="1"/>
  <c r="X2699" i="1"/>
  <c r="AE2698" i="1"/>
  <c r="AD2698" i="1"/>
  <c r="AC2698" i="1"/>
  <c r="AB2698" i="1"/>
  <c r="AA2698" i="1"/>
  <c r="Y2698" i="1"/>
  <c r="Z2698" i="1" s="1"/>
  <c r="X2698" i="1"/>
  <c r="AE2697" i="1"/>
  <c r="AD2697" i="1"/>
  <c r="AC2697" i="1"/>
  <c r="AB2697" i="1"/>
  <c r="AA2697" i="1"/>
  <c r="Y2697" i="1"/>
  <c r="Z2697" i="1" s="1"/>
  <c r="X2697" i="1"/>
  <c r="AE2696" i="1"/>
  <c r="AD2696" i="1"/>
  <c r="AC2696" i="1"/>
  <c r="AB2696" i="1"/>
  <c r="AA2696" i="1"/>
  <c r="Y2696" i="1"/>
  <c r="Z2696" i="1" s="1"/>
  <c r="X2696" i="1"/>
  <c r="AE2695" i="1"/>
  <c r="AD2695" i="1"/>
  <c r="AC2695" i="1"/>
  <c r="AB2695" i="1"/>
  <c r="AA2695" i="1"/>
  <c r="Y2695" i="1"/>
  <c r="Z2695" i="1" s="1"/>
  <c r="X2695" i="1"/>
  <c r="AE2694" i="1"/>
  <c r="AD2694" i="1"/>
  <c r="AC2694" i="1"/>
  <c r="AB2694" i="1"/>
  <c r="AA2694" i="1"/>
  <c r="Y2694" i="1"/>
  <c r="Z2694" i="1" s="1"/>
  <c r="X2694" i="1"/>
  <c r="AE2693" i="1"/>
  <c r="AD2693" i="1"/>
  <c r="AC2693" i="1"/>
  <c r="AB2693" i="1"/>
  <c r="AA2693" i="1"/>
  <c r="Y2693" i="1"/>
  <c r="Z2693" i="1" s="1"/>
  <c r="X2693" i="1"/>
  <c r="AE2692" i="1"/>
  <c r="AD2692" i="1"/>
  <c r="AC2692" i="1"/>
  <c r="AB2692" i="1"/>
  <c r="AA2692" i="1"/>
  <c r="Y2692" i="1"/>
  <c r="Z2692" i="1" s="1"/>
  <c r="X2692" i="1"/>
  <c r="AE2691" i="1"/>
  <c r="AD2691" i="1"/>
  <c r="AC2691" i="1"/>
  <c r="AB2691" i="1"/>
  <c r="AA2691" i="1"/>
  <c r="Y2691" i="1"/>
  <c r="Z2691" i="1" s="1"/>
  <c r="X2691" i="1"/>
  <c r="AE2690" i="1"/>
  <c r="AD2690" i="1"/>
  <c r="AC2690" i="1"/>
  <c r="AB2690" i="1"/>
  <c r="AA2690" i="1"/>
  <c r="Y2690" i="1"/>
  <c r="Z2690" i="1" s="1"/>
  <c r="X2690" i="1"/>
  <c r="AE2689" i="1"/>
  <c r="AD2689" i="1"/>
  <c r="AC2689" i="1"/>
  <c r="AB2689" i="1"/>
  <c r="AA2689" i="1"/>
  <c r="Y2689" i="1"/>
  <c r="Z2689" i="1" s="1"/>
  <c r="X2689" i="1"/>
  <c r="AE2688" i="1"/>
  <c r="AD2688" i="1"/>
  <c r="AC2688" i="1"/>
  <c r="AB2688" i="1"/>
  <c r="AA2688" i="1"/>
  <c r="Y2688" i="1"/>
  <c r="Z2688" i="1" s="1"/>
  <c r="X2688" i="1"/>
  <c r="AE2687" i="1"/>
  <c r="AD2687" i="1"/>
  <c r="AC2687" i="1"/>
  <c r="AB2687" i="1"/>
  <c r="AA2687" i="1"/>
  <c r="Y2687" i="1"/>
  <c r="Z2687" i="1" s="1"/>
  <c r="X2687" i="1"/>
  <c r="AE2686" i="1"/>
  <c r="AD2686" i="1"/>
  <c r="AC2686" i="1"/>
  <c r="AB2686" i="1"/>
  <c r="AA2686" i="1"/>
  <c r="Y2686" i="1"/>
  <c r="Z2686" i="1" s="1"/>
  <c r="X2686" i="1"/>
  <c r="AE2685" i="1"/>
  <c r="AD2685" i="1"/>
  <c r="AC2685" i="1"/>
  <c r="AB2685" i="1"/>
  <c r="AA2685" i="1"/>
  <c r="Y2685" i="1"/>
  <c r="Z2685" i="1" s="1"/>
  <c r="X2685" i="1"/>
  <c r="AE2684" i="1"/>
  <c r="AD2684" i="1"/>
  <c r="AC2684" i="1"/>
  <c r="AB2684" i="1"/>
  <c r="AA2684" i="1"/>
  <c r="Y2684" i="1"/>
  <c r="Z2684" i="1" s="1"/>
  <c r="X2684" i="1"/>
  <c r="AE2683" i="1"/>
  <c r="AD2683" i="1"/>
  <c r="AC2683" i="1"/>
  <c r="AB2683" i="1"/>
  <c r="AA2683" i="1"/>
  <c r="Y2683" i="1"/>
  <c r="Z2683" i="1" s="1"/>
  <c r="X2683" i="1"/>
  <c r="AE2682" i="1"/>
  <c r="AD2682" i="1"/>
  <c r="AC2682" i="1"/>
  <c r="AB2682" i="1"/>
  <c r="AA2682" i="1"/>
  <c r="Y2682" i="1"/>
  <c r="Z2682" i="1" s="1"/>
  <c r="X2682" i="1"/>
  <c r="AE2681" i="1"/>
  <c r="AD2681" i="1"/>
  <c r="AC2681" i="1"/>
  <c r="AB2681" i="1"/>
  <c r="AA2681" i="1"/>
  <c r="Y2681" i="1"/>
  <c r="Z2681" i="1" s="1"/>
  <c r="X2681" i="1"/>
  <c r="AE2680" i="1"/>
  <c r="AD2680" i="1"/>
  <c r="AC2680" i="1"/>
  <c r="AB2680" i="1"/>
  <c r="AA2680" i="1"/>
  <c r="Y2680" i="1"/>
  <c r="Z2680" i="1" s="1"/>
  <c r="X2680" i="1"/>
  <c r="AE2679" i="1"/>
  <c r="AD2679" i="1"/>
  <c r="AC2679" i="1"/>
  <c r="AB2679" i="1"/>
  <c r="AA2679" i="1"/>
  <c r="Y2679" i="1"/>
  <c r="Z2679" i="1" s="1"/>
  <c r="X2679" i="1"/>
  <c r="AE2678" i="1"/>
  <c r="AD2678" i="1"/>
  <c r="AC2678" i="1"/>
  <c r="AB2678" i="1"/>
  <c r="AA2678" i="1"/>
  <c r="Y2678" i="1"/>
  <c r="Z2678" i="1" s="1"/>
  <c r="X2678" i="1"/>
  <c r="AE2677" i="1"/>
  <c r="AD2677" i="1"/>
  <c r="AC2677" i="1"/>
  <c r="AB2677" i="1"/>
  <c r="AA2677" i="1"/>
  <c r="Y2677" i="1"/>
  <c r="Z2677" i="1" s="1"/>
  <c r="X2677" i="1"/>
  <c r="AE2676" i="1"/>
  <c r="AD2676" i="1"/>
  <c r="AC2676" i="1"/>
  <c r="AB2676" i="1"/>
  <c r="AA2676" i="1"/>
  <c r="Y2676" i="1"/>
  <c r="Z2676" i="1" s="1"/>
  <c r="X2676" i="1"/>
  <c r="AE2675" i="1"/>
  <c r="AD2675" i="1"/>
  <c r="AC2675" i="1"/>
  <c r="AB2675" i="1"/>
  <c r="AA2675" i="1"/>
  <c r="Y2675" i="1"/>
  <c r="Z2675" i="1" s="1"/>
  <c r="X2675" i="1"/>
  <c r="AE2674" i="1"/>
  <c r="AD2674" i="1"/>
  <c r="AC2674" i="1"/>
  <c r="AB2674" i="1"/>
  <c r="AA2674" i="1"/>
  <c r="Y2674" i="1"/>
  <c r="Z2674" i="1" s="1"/>
  <c r="X2674" i="1"/>
  <c r="AE2673" i="1"/>
  <c r="AD2673" i="1"/>
  <c r="AC2673" i="1"/>
  <c r="AB2673" i="1"/>
  <c r="AA2673" i="1"/>
  <c r="Y2673" i="1"/>
  <c r="Z2673" i="1" s="1"/>
  <c r="X2673" i="1"/>
  <c r="AE2672" i="1"/>
  <c r="AD2672" i="1"/>
  <c r="AC2672" i="1"/>
  <c r="AB2672" i="1"/>
  <c r="AA2672" i="1"/>
  <c r="Y2672" i="1"/>
  <c r="Z2672" i="1" s="1"/>
  <c r="X2672" i="1"/>
  <c r="AE2671" i="1"/>
  <c r="AD2671" i="1"/>
  <c r="AC2671" i="1"/>
  <c r="AB2671" i="1"/>
  <c r="AA2671" i="1"/>
  <c r="Y2671" i="1"/>
  <c r="Z2671" i="1" s="1"/>
  <c r="X2671" i="1"/>
  <c r="AE2670" i="1"/>
  <c r="AD2670" i="1"/>
  <c r="AC2670" i="1"/>
  <c r="AB2670" i="1"/>
  <c r="AA2670" i="1"/>
  <c r="Y2670" i="1"/>
  <c r="Z2670" i="1" s="1"/>
  <c r="X2670" i="1"/>
  <c r="AE2669" i="1"/>
  <c r="AD2669" i="1"/>
  <c r="AC2669" i="1"/>
  <c r="AB2669" i="1"/>
  <c r="AA2669" i="1"/>
  <c r="Y2669" i="1"/>
  <c r="Z2669" i="1" s="1"/>
  <c r="X2669" i="1"/>
  <c r="AE2668" i="1"/>
  <c r="AD2668" i="1"/>
  <c r="AC2668" i="1"/>
  <c r="AB2668" i="1"/>
  <c r="AA2668" i="1"/>
  <c r="Y2668" i="1"/>
  <c r="Z2668" i="1" s="1"/>
  <c r="X2668" i="1"/>
  <c r="AE2667" i="1"/>
  <c r="AD2667" i="1"/>
  <c r="AC2667" i="1"/>
  <c r="AB2667" i="1"/>
  <c r="AA2667" i="1"/>
  <c r="Y2667" i="1"/>
  <c r="Z2667" i="1" s="1"/>
  <c r="X2667" i="1"/>
  <c r="AE2666" i="1"/>
  <c r="AD2666" i="1"/>
  <c r="AC2666" i="1"/>
  <c r="AB2666" i="1"/>
  <c r="AA2666" i="1"/>
  <c r="Y2666" i="1"/>
  <c r="Z2666" i="1" s="1"/>
  <c r="X2666" i="1"/>
  <c r="AE2665" i="1"/>
  <c r="AD2665" i="1"/>
  <c r="AC2665" i="1"/>
  <c r="AB2665" i="1"/>
  <c r="AA2665" i="1"/>
  <c r="Y2665" i="1"/>
  <c r="Z2665" i="1" s="1"/>
  <c r="X2665" i="1"/>
  <c r="AE2664" i="1"/>
  <c r="AD2664" i="1"/>
  <c r="AC2664" i="1"/>
  <c r="AB2664" i="1"/>
  <c r="AA2664" i="1"/>
  <c r="Y2664" i="1"/>
  <c r="Z2664" i="1" s="1"/>
  <c r="X2664" i="1"/>
  <c r="AE2663" i="1"/>
  <c r="AD2663" i="1"/>
  <c r="AC2663" i="1"/>
  <c r="AB2663" i="1"/>
  <c r="AA2663" i="1"/>
  <c r="Y2663" i="1"/>
  <c r="Z2663" i="1" s="1"/>
  <c r="X2663" i="1"/>
  <c r="AE2662" i="1"/>
  <c r="AD2662" i="1"/>
  <c r="AC2662" i="1"/>
  <c r="AB2662" i="1"/>
  <c r="AA2662" i="1"/>
  <c r="Y2662" i="1"/>
  <c r="Z2662" i="1" s="1"/>
  <c r="X2662" i="1"/>
  <c r="AE2661" i="1"/>
  <c r="AD2661" i="1"/>
  <c r="AC2661" i="1"/>
  <c r="AB2661" i="1"/>
  <c r="AA2661" i="1"/>
  <c r="Y2661" i="1"/>
  <c r="Z2661" i="1" s="1"/>
  <c r="X2661" i="1"/>
  <c r="AE2660" i="1"/>
  <c r="AD2660" i="1"/>
  <c r="AC2660" i="1"/>
  <c r="AB2660" i="1"/>
  <c r="AA2660" i="1"/>
  <c r="Y2660" i="1"/>
  <c r="Z2660" i="1" s="1"/>
  <c r="X2660" i="1"/>
  <c r="AE2659" i="1"/>
  <c r="AD2659" i="1"/>
  <c r="AC2659" i="1"/>
  <c r="AB2659" i="1"/>
  <c r="AA2659" i="1"/>
  <c r="Y2659" i="1"/>
  <c r="Z2659" i="1" s="1"/>
  <c r="X2659" i="1"/>
  <c r="AE2658" i="1"/>
  <c r="AD2658" i="1"/>
  <c r="AC2658" i="1"/>
  <c r="AB2658" i="1"/>
  <c r="AA2658" i="1"/>
  <c r="Y2658" i="1"/>
  <c r="Z2658" i="1" s="1"/>
  <c r="X2658" i="1"/>
  <c r="AE2657" i="1"/>
  <c r="AD2657" i="1"/>
  <c r="AC2657" i="1"/>
  <c r="AB2657" i="1"/>
  <c r="AA2657" i="1"/>
  <c r="Y2657" i="1"/>
  <c r="Z2657" i="1" s="1"/>
  <c r="X2657" i="1"/>
  <c r="AE2656" i="1"/>
  <c r="AD2656" i="1"/>
  <c r="AC2656" i="1"/>
  <c r="AB2656" i="1"/>
  <c r="AA2656" i="1"/>
  <c r="Y2656" i="1"/>
  <c r="Z2656" i="1" s="1"/>
  <c r="X2656" i="1"/>
  <c r="AE2655" i="1"/>
  <c r="AD2655" i="1"/>
  <c r="AC2655" i="1"/>
  <c r="AB2655" i="1"/>
  <c r="AA2655" i="1"/>
  <c r="Y2655" i="1"/>
  <c r="Z2655" i="1" s="1"/>
  <c r="X2655" i="1"/>
  <c r="AE2654" i="1"/>
  <c r="AD2654" i="1"/>
  <c r="AC2654" i="1"/>
  <c r="AB2654" i="1"/>
  <c r="AA2654" i="1"/>
  <c r="Y2654" i="1"/>
  <c r="Z2654" i="1" s="1"/>
  <c r="X2654" i="1"/>
  <c r="AE2653" i="1"/>
  <c r="AD2653" i="1"/>
  <c r="AC2653" i="1"/>
  <c r="AB2653" i="1"/>
  <c r="AA2653" i="1"/>
  <c r="Y2653" i="1"/>
  <c r="Z2653" i="1" s="1"/>
  <c r="X2653" i="1"/>
  <c r="AE2652" i="1"/>
  <c r="AD2652" i="1"/>
  <c r="AC2652" i="1"/>
  <c r="AB2652" i="1"/>
  <c r="AA2652" i="1"/>
  <c r="Y2652" i="1"/>
  <c r="Z2652" i="1" s="1"/>
  <c r="X2652" i="1"/>
  <c r="AE2651" i="1"/>
  <c r="AD2651" i="1"/>
  <c r="AC2651" i="1"/>
  <c r="AB2651" i="1"/>
  <c r="AA2651" i="1"/>
  <c r="Y2651" i="1"/>
  <c r="Z2651" i="1" s="1"/>
  <c r="X2651" i="1"/>
  <c r="AE2650" i="1"/>
  <c r="AD2650" i="1"/>
  <c r="AC2650" i="1"/>
  <c r="AB2650" i="1"/>
  <c r="AA2650" i="1"/>
  <c r="Y2650" i="1"/>
  <c r="Z2650" i="1" s="1"/>
  <c r="X2650" i="1"/>
  <c r="AE2649" i="1"/>
  <c r="AD2649" i="1"/>
  <c r="AC2649" i="1"/>
  <c r="AB2649" i="1"/>
  <c r="AA2649" i="1"/>
  <c r="Y2649" i="1"/>
  <c r="Z2649" i="1" s="1"/>
  <c r="X2649" i="1"/>
  <c r="AE2648" i="1"/>
  <c r="AD2648" i="1"/>
  <c r="AC2648" i="1"/>
  <c r="AB2648" i="1"/>
  <c r="AA2648" i="1"/>
  <c r="Y2648" i="1"/>
  <c r="Z2648" i="1" s="1"/>
  <c r="X2648" i="1"/>
  <c r="AE2647" i="1"/>
  <c r="AD2647" i="1"/>
  <c r="AC2647" i="1"/>
  <c r="AB2647" i="1"/>
  <c r="AA2647" i="1"/>
  <c r="Y2647" i="1"/>
  <c r="Z2647" i="1" s="1"/>
  <c r="X2647" i="1"/>
  <c r="AE2646" i="1"/>
  <c r="AD2646" i="1"/>
  <c r="AC2646" i="1"/>
  <c r="AB2646" i="1"/>
  <c r="AA2646" i="1"/>
  <c r="Y2646" i="1"/>
  <c r="Z2646" i="1" s="1"/>
  <c r="X2646" i="1"/>
  <c r="AE2645" i="1"/>
  <c r="AD2645" i="1"/>
  <c r="AC2645" i="1"/>
  <c r="AB2645" i="1"/>
  <c r="AA2645" i="1"/>
  <c r="Y2645" i="1"/>
  <c r="Z2645" i="1" s="1"/>
  <c r="X2645" i="1"/>
  <c r="AE2644" i="1"/>
  <c r="AD2644" i="1"/>
  <c r="AC2644" i="1"/>
  <c r="AB2644" i="1"/>
  <c r="AA2644" i="1"/>
  <c r="Y2644" i="1"/>
  <c r="Z2644" i="1" s="1"/>
  <c r="X2644" i="1"/>
  <c r="AE2643" i="1"/>
  <c r="AD2643" i="1"/>
  <c r="AC2643" i="1"/>
  <c r="AB2643" i="1"/>
  <c r="AA2643" i="1"/>
  <c r="Y2643" i="1"/>
  <c r="Z2643" i="1" s="1"/>
  <c r="X2643" i="1"/>
  <c r="AE2642" i="1"/>
  <c r="AD2642" i="1"/>
  <c r="AC2642" i="1"/>
  <c r="AB2642" i="1"/>
  <c r="AA2642" i="1"/>
  <c r="Y2642" i="1"/>
  <c r="Z2642" i="1" s="1"/>
  <c r="X2642" i="1"/>
  <c r="AE2641" i="1"/>
  <c r="AD2641" i="1"/>
  <c r="AC2641" i="1"/>
  <c r="AB2641" i="1"/>
  <c r="AA2641" i="1"/>
  <c r="Y2641" i="1"/>
  <c r="Z2641" i="1" s="1"/>
  <c r="X2641" i="1"/>
  <c r="AE2640" i="1"/>
  <c r="AD2640" i="1"/>
  <c r="AC2640" i="1"/>
  <c r="AB2640" i="1"/>
  <c r="AA2640" i="1"/>
  <c r="Y2640" i="1"/>
  <c r="Z2640" i="1" s="1"/>
  <c r="X2640" i="1"/>
  <c r="AE2639" i="1"/>
  <c r="AD2639" i="1"/>
  <c r="AC2639" i="1"/>
  <c r="AB2639" i="1"/>
  <c r="AA2639" i="1"/>
  <c r="Y2639" i="1"/>
  <c r="Z2639" i="1" s="1"/>
  <c r="X2639" i="1"/>
  <c r="AE2638" i="1"/>
  <c r="AD2638" i="1"/>
  <c r="AC2638" i="1"/>
  <c r="AB2638" i="1"/>
  <c r="AA2638" i="1"/>
  <c r="Y2638" i="1"/>
  <c r="Z2638" i="1" s="1"/>
  <c r="X2638" i="1"/>
  <c r="AE2637" i="1"/>
  <c r="AD2637" i="1"/>
  <c r="AC2637" i="1"/>
  <c r="AB2637" i="1"/>
  <c r="AA2637" i="1"/>
  <c r="Y2637" i="1"/>
  <c r="Z2637" i="1" s="1"/>
  <c r="X2637" i="1"/>
  <c r="AE2636" i="1"/>
  <c r="AD2636" i="1"/>
  <c r="AC2636" i="1"/>
  <c r="AB2636" i="1"/>
  <c r="AA2636" i="1"/>
  <c r="Y2636" i="1"/>
  <c r="Z2636" i="1" s="1"/>
  <c r="X2636" i="1"/>
  <c r="AE2635" i="1"/>
  <c r="AD2635" i="1"/>
  <c r="AC2635" i="1"/>
  <c r="AB2635" i="1"/>
  <c r="AA2635" i="1"/>
  <c r="Y2635" i="1"/>
  <c r="Z2635" i="1" s="1"/>
  <c r="X2635" i="1"/>
  <c r="AE2634" i="1"/>
  <c r="AD2634" i="1"/>
  <c r="AC2634" i="1"/>
  <c r="AB2634" i="1"/>
  <c r="AA2634" i="1"/>
  <c r="Y2634" i="1"/>
  <c r="Z2634" i="1" s="1"/>
  <c r="X2634" i="1"/>
  <c r="AE2633" i="1"/>
  <c r="AD2633" i="1"/>
  <c r="AC2633" i="1"/>
  <c r="AB2633" i="1"/>
  <c r="AA2633" i="1"/>
  <c r="Y2633" i="1"/>
  <c r="Z2633" i="1" s="1"/>
  <c r="X2633" i="1"/>
  <c r="AE2632" i="1"/>
  <c r="AD2632" i="1"/>
  <c r="AC2632" i="1"/>
  <c r="AB2632" i="1"/>
  <c r="AA2632" i="1"/>
  <c r="Y2632" i="1"/>
  <c r="Z2632" i="1" s="1"/>
  <c r="X2632" i="1"/>
  <c r="AE2631" i="1"/>
  <c r="AD2631" i="1"/>
  <c r="AC2631" i="1"/>
  <c r="AB2631" i="1"/>
  <c r="AA2631" i="1"/>
  <c r="Y2631" i="1"/>
  <c r="Z2631" i="1" s="1"/>
  <c r="X2631" i="1"/>
  <c r="AE2630" i="1"/>
  <c r="AD2630" i="1"/>
  <c r="AC2630" i="1"/>
  <c r="AB2630" i="1"/>
  <c r="AA2630" i="1"/>
  <c r="Y2630" i="1"/>
  <c r="Z2630" i="1" s="1"/>
  <c r="X2630" i="1"/>
  <c r="AE2629" i="1"/>
  <c r="AD2629" i="1"/>
  <c r="AC2629" i="1"/>
  <c r="AB2629" i="1"/>
  <c r="AA2629" i="1"/>
  <c r="Y2629" i="1"/>
  <c r="Z2629" i="1" s="1"/>
  <c r="X2629" i="1"/>
  <c r="AE2628" i="1"/>
  <c r="AD2628" i="1"/>
  <c r="AC2628" i="1"/>
  <c r="AB2628" i="1"/>
  <c r="AA2628" i="1"/>
  <c r="Y2628" i="1"/>
  <c r="Z2628" i="1" s="1"/>
  <c r="X2628" i="1"/>
  <c r="AE2627" i="1"/>
  <c r="AD2627" i="1"/>
  <c r="AC2627" i="1"/>
  <c r="AB2627" i="1"/>
  <c r="AA2627" i="1"/>
  <c r="Y2627" i="1"/>
  <c r="Z2627" i="1" s="1"/>
  <c r="X2627" i="1"/>
  <c r="AE2626" i="1"/>
  <c r="AD2626" i="1"/>
  <c r="AC2626" i="1"/>
  <c r="AB2626" i="1"/>
  <c r="AA2626" i="1"/>
  <c r="Y2626" i="1"/>
  <c r="Z2626" i="1" s="1"/>
  <c r="X2626" i="1"/>
  <c r="AE2625" i="1"/>
  <c r="AD2625" i="1"/>
  <c r="AC2625" i="1"/>
  <c r="AB2625" i="1"/>
  <c r="AA2625" i="1"/>
  <c r="Y2625" i="1"/>
  <c r="Z2625" i="1" s="1"/>
  <c r="X2625" i="1"/>
  <c r="AE2624" i="1"/>
  <c r="AD2624" i="1"/>
  <c r="AC2624" i="1"/>
  <c r="AB2624" i="1"/>
  <c r="AA2624" i="1"/>
  <c r="Y2624" i="1"/>
  <c r="Z2624" i="1" s="1"/>
  <c r="X2624" i="1"/>
  <c r="AE2623" i="1"/>
  <c r="AD2623" i="1"/>
  <c r="AC2623" i="1"/>
  <c r="AB2623" i="1"/>
  <c r="AA2623" i="1"/>
  <c r="Y2623" i="1"/>
  <c r="Z2623" i="1" s="1"/>
  <c r="X2623" i="1"/>
  <c r="AE2622" i="1"/>
  <c r="AD2622" i="1"/>
  <c r="AC2622" i="1"/>
  <c r="AB2622" i="1"/>
  <c r="AA2622" i="1"/>
  <c r="Y2622" i="1"/>
  <c r="Z2622" i="1" s="1"/>
  <c r="X2622" i="1"/>
  <c r="AE2621" i="1"/>
  <c r="AD2621" i="1"/>
  <c r="AC2621" i="1"/>
  <c r="AB2621" i="1"/>
  <c r="AA2621" i="1"/>
  <c r="Y2621" i="1"/>
  <c r="Z2621" i="1" s="1"/>
  <c r="X2621" i="1"/>
  <c r="AE2620" i="1"/>
  <c r="AD2620" i="1"/>
  <c r="AC2620" i="1"/>
  <c r="AB2620" i="1"/>
  <c r="AA2620" i="1"/>
  <c r="Y2620" i="1"/>
  <c r="Z2620" i="1" s="1"/>
  <c r="X2620" i="1"/>
  <c r="AE2619" i="1"/>
  <c r="AD2619" i="1"/>
  <c r="AC2619" i="1"/>
  <c r="AB2619" i="1"/>
  <c r="AA2619" i="1"/>
  <c r="Y2619" i="1"/>
  <c r="Z2619" i="1" s="1"/>
  <c r="X2619" i="1"/>
  <c r="AE2618" i="1"/>
  <c r="AD2618" i="1"/>
  <c r="AC2618" i="1"/>
  <c r="AB2618" i="1"/>
  <c r="AA2618" i="1"/>
  <c r="Y2618" i="1"/>
  <c r="Z2618" i="1" s="1"/>
  <c r="X2618" i="1"/>
  <c r="AE2617" i="1"/>
  <c r="AD2617" i="1"/>
  <c r="AC2617" i="1"/>
  <c r="AB2617" i="1"/>
  <c r="AA2617" i="1"/>
  <c r="Y2617" i="1"/>
  <c r="Z2617" i="1" s="1"/>
  <c r="X2617" i="1"/>
  <c r="AE2616" i="1"/>
  <c r="AD2616" i="1"/>
  <c r="AC2616" i="1"/>
  <c r="AB2616" i="1"/>
  <c r="AA2616" i="1"/>
  <c r="Y2616" i="1"/>
  <c r="Z2616" i="1" s="1"/>
  <c r="X2616" i="1"/>
  <c r="AE2615" i="1"/>
  <c r="AD2615" i="1"/>
  <c r="AC2615" i="1"/>
  <c r="AB2615" i="1"/>
  <c r="AA2615" i="1"/>
  <c r="Y2615" i="1"/>
  <c r="Z2615" i="1" s="1"/>
  <c r="X2615" i="1"/>
  <c r="AE2614" i="1"/>
  <c r="AD2614" i="1"/>
  <c r="AC2614" i="1"/>
  <c r="AB2614" i="1"/>
  <c r="AA2614" i="1"/>
  <c r="Y2614" i="1"/>
  <c r="Z2614" i="1" s="1"/>
  <c r="X2614" i="1"/>
  <c r="AE2613" i="1"/>
  <c r="AD2613" i="1"/>
  <c r="AC2613" i="1"/>
  <c r="AB2613" i="1"/>
  <c r="AA2613" i="1"/>
  <c r="Y2613" i="1"/>
  <c r="Z2613" i="1" s="1"/>
  <c r="X2613" i="1"/>
  <c r="AE2612" i="1"/>
  <c r="AD2612" i="1"/>
  <c r="AC2612" i="1"/>
  <c r="AB2612" i="1"/>
  <c r="AA2612" i="1"/>
  <c r="Y2612" i="1"/>
  <c r="Z2612" i="1" s="1"/>
  <c r="X2612" i="1"/>
  <c r="AE2611" i="1"/>
  <c r="AD2611" i="1"/>
  <c r="AC2611" i="1"/>
  <c r="AB2611" i="1"/>
  <c r="AA2611" i="1"/>
  <c r="Y2611" i="1"/>
  <c r="Z2611" i="1" s="1"/>
  <c r="X2611" i="1"/>
  <c r="AE2610" i="1"/>
  <c r="AD2610" i="1"/>
  <c r="AC2610" i="1"/>
  <c r="AB2610" i="1"/>
  <c r="AA2610" i="1"/>
  <c r="Y2610" i="1"/>
  <c r="Z2610" i="1" s="1"/>
  <c r="X2610" i="1"/>
  <c r="AE2609" i="1"/>
  <c r="AD2609" i="1"/>
  <c r="AC2609" i="1"/>
  <c r="AB2609" i="1"/>
  <c r="AA2609" i="1"/>
  <c r="Y2609" i="1"/>
  <c r="Z2609" i="1" s="1"/>
  <c r="X2609" i="1"/>
  <c r="AE2608" i="1"/>
  <c r="AD2608" i="1"/>
  <c r="AC2608" i="1"/>
  <c r="AB2608" i="1"/>
  <c r="AA2608" i="1"/>
  <c r="Y2608" i="1"/>
  <c r="Z2608" i="1" s="1"/>
  <c r="X2608" i="1"/>
  <c r="AE2607" i="1"/>
  <c r="AD2607" i="1"/>
  <c r="AC2607" i="1"/>
  <c r="AB2607" i="1"/>
  <c r="AA2607" i="1"/>
  <c r="Y2607" i="1"/>
  <c r="Z2607" i="1" s="1"/>
  <c r="X2607" i="1"/>
  <c r="AE2606" i="1"/>
  <c r="AD2606" i="1"/>
  <c r="AC2606" i="1"/>
  <c r="AB2606" i="1"/>
  <c r="AA2606" i="1"/>
  <c r="Y2606" i="1"/>
  <c r="Z2606" i="1" s="1"/>
  <c r="X2606" i="1"/>
  <c r="AE2605" i="1"/>
  <c r="AD2605" i="1"/>
  <c r="AC2605" i="1"/>
  <c r="AB2605" i="1"/>
  <c r="AA2605" i="1"/>
  <c r="Y2605" i="1"/>
  <c r="Z2605" i="1" s="1"/>
  <c r="X2605" i="1"/>
  <c r="AE2604" i="1"/>
  <c r="AD2604" i="1"/>
  <c r="AC2604" i="1"/>
  <c r="AB2604" i="1"/>
  <c r="AA2604" i="1"/>
  <c r="Y2604" i="1"/>
  <c r="Z2604" i="1" s="1"/>
  <c r="X2604" i="1"/>
  <c r="AE2603" i="1"/>
  <c r="AD2603" i="1"/>
  <c r="AC2603" i="1"/>
  <c r="AB2603" i="1"/>
  <c r="AA2603" i="1"/>
  <c r="Y2603" i="1"/>
  <c r="Z2603" i="1" s="1"/>
  <c r="X2603" i="1"/>
  <c r="AE2602" i="1"/>
  <c r="AD2602" i="1"/>
  <c r="AC2602" i="1"/>
  <c r="AB2602" i="1"/>
  <c r="AA2602" i="1"/>
  <c r="Y2602" i="1"/>
  <c r="Z2602" i="1" s="1"/>
  <c r="X2602" i="1"/>
  <c r="AE2601" i="1"/>
  <c r="AD2601" i="1"/>
  <c r="AC2601" i="1"/>
  <c r="AB2601" i="1"/>
  <c r="AA2601" i="1"/>
  <c r="Y2601" i="1"/>
  <c r="Z2601" i="1" s="1"/>
  <c r="X2601" i="1"/>
  <c r="AE2600" i="1"/>
  <c r="AD2600" i="1"/>
  <c r="AC2600" i="1"/>
  <c r="AB2600" i="1"/>
  <c r="AA2600" i="1"/>
  <c r="Y2600" i="1"/>
  <c r="Z2600" i="1" s="1"/>
  <c r="X2600" i="1"/>
  <c r="AE2599" i="1"/>
  <c r="AD2599" i="1"/>
  <c r="AC2599" i="1"/>
  <c r="AB2599" i="1"/>
  <c r="AA2599" i="1"/>
  <c r="Y2599" i="1"/>
  <c r="Z2599" i="1" s="1"/>
  <c r="X2599" i="1"/>
  <c r="AE2598" i="1"/>
  <c r="AD2598" i="1"/>
  <c r="AC2598" i="1"/>
  <c r="AB2598" i="1"/>
  <c r="AA2598" i="1"/>
  <c r="Y2598" i="1"/>
  <c r="Z2598" i="1" s="1"/>
  <c r="X2598" i="1"/>
  <c r="AE2597" i="1"/>
  <c r="AD2597" i="1"/>
  <c r="AC2597" i="1"/>
  <c r="AB2597" i="1"/>
  <c r="AA2597" i="1"/>
  <c r="Y2597" i="1"/>
  <c r="Z2597" i="1" s="1"/>
  <c r="X2597" i="1"/>
  <c r="AE2596" i="1"/>
  <c r="AD2596" i="1"/>
  <c r="AC2596" i="1"/>
  <c r="AB2596" i="1"/>
  <c r="AA2596" i="1"/>
  <c r="Y2596" i="1"/>
  <c r="Z2596" i="1" s="1"/>
  <c r="X2596" i="1"/>
  <c r="AE2595" i="1"/>
  <c r="AD2595" i="1"/>
  <c r="AC2595" i="1"/>
  <c r="AB2595" i="1"/>
  <c r="AA2595" i="1"/>
  <c r="Y2595" i="1"/>
  <c r="Z2595" i="1" s="1"/>
  <c r="X2595" i="1"/>
  <c r="AE2594" i="1"/>
  <c r="AD2594" i="1"/>
  <c r="AC2594" i="1"/>
  <c r="AB2594" i="1"/>
  <c r="AA2594" i="1"/>
  <c r="Y2594" i="1"/>
  <c r="Z2594" i="1" s="1"/>
  <c r="X2594" i="1"/>
  <c r="AE2593" i="1"/>
  <c r="AD2593" i="1"/>
  <c r="AC2593" i="1"/>
  <c r="AB2593" i="1"/>
  <c r="AA2593" i="1"/>
  <c r="Y2593" i="1"/>
  <c r="Z2593" i="1" s="1"/>
  <c r="X2593" i="1"/>
  <c r="AE2592" i="1"/>
  <c r="AD2592" i="1"/>
  <c r="AC2592" i="1"/>
  <c r="AB2592" i="1"/>
  <c r="AA2592" i="1"/>
  <c r="Y2592" i="1"/>
  <c r="Z2592" i="1" s="1"/>
  <c r="X2592" i="1"/>
  <c r="AE2591" i="1"/>
  <c r="AD2591" i="1"/>
  <c r="AC2591" i="1"/>
  <c r="AB2591" i="1"/>
  <c r="AA2591" i="1"/>
  <c r="Y2591" i="1"/>
  <c r="Z2591" i="1" s="1"/>
  <c r="X2591" i="1"/>
  <c r="AE2590" i="1"/>
  <c r="AD2590" i="1"/>
  <c r="AC2590" i="1"/>
  <c r="AB2590" i="1"/>
  <c r="AA2590" i="1"/>
  <c r="Y2590" i="1"/>
  <c r="Z2590" i="1" s="1"/>
  <c r="X2590" i="1"/>
  <c r="AE2589" i="1"/>
  <c r="AD2589" i="1"/>
  <c r="AC2589" i="1"/>
  <c r="AB2589" i="1"/>
  <c r="AA2589" i="1"/>
  <c r="Y2589" i="1"/>
  <c r="Z2589" i="1" s="1"/>
  <c r="X2589" i="1"/>
  <c r="AE2588" i="1"/>
  <c r="AD2588" i="1"/>
  <c r="AC2588" i="1"/>
  <c r="AB2588" i="1"/>
  <c r="AA2588" i="1"/>
  <c r="Y2588" i="1"/>
  <c r="Z2588" i="1" s="1"/>
  <c r="X2588" i="1"/>
  <c r="AE2587" i="1"/>
  <c r="AD2587" i="1"/>
  <c r="AC2587" i="1"/>
  <c r="AB2587" i="1"/>
  <c r="AA2587" i="1"/>
  <c r="Y2587" i="1"/>
  <c r="Z2587" i="1" s="1"/>
  <c r="X2587" i="1"/>
  <c r="AE2586" i="1"/>
  <c r="AD2586" i="1"/>
  <c r="AC2586" i="1"/>
  <c r="AB2586" i="1"/>
  <c r="AA2586" i="1"/>
  <c r="Y2586" i="1"/>
  <c r="Z2586" i="1" s="1"/>
  <c r="X2586" i="1"/>
  <c r="AE2585" i="1"/>
  <c r="AD2585" i="1"/>
  <c r="AC2585" i="1"/>
  <c r="AB2585" i="1"/>
  <c r="AA2585" i="1"/>
  <c r="Y2585" i="1"/>
  <c r="Z2585" i="1" s="1"/>
  <c r="X2585" i="1"/>
  <c r="AE2584" i="1"/>
  <c r="AD2584" i="1"/>
  <c r="AC2584" i="1"/>
  <c r="AB2584" i="1"/>
  <c r="AA2584" i="1"/>
  <c r="Y2584" i="1"/>
  <c r="Z2584" i="1" s="1"/>
  <c r="X2584" i="1"/>
  <c r="AE2583" i="1"/>
  <c r="AD2583" i="1"/>
  <c r="AC2583" i="1"/>
  <c r="AB2583" i="1"/>
  <c r="AA2583" i="1"/>
  <c r="Y2583" i="1"/>
  <c r="Z2583" i="1" s="1"/>
  <c r="X2583" i="1"/>
  <c r="AE2582" i="1"/>
  <c r="AD2582" i="1"/>
  <c r="AC2582" i="1"/>
  <c r="AB2582" i="1"/>
  <c r="AA2582" i="1"/>
  <c r="Y2582" i="1"/>
  <c r="Z2582" i="1" s="1"/>
  <c r="X2582" i="1"/>
  <c r="AE2581" i="1"/>
  <c r="AD2581" i="1"/>
  <c r="AC2581" i="1"/>
  <c r="AB2581" i="1"/>
  <c r="AA2581" i="1"/>
  <c r="Y2581" i="1"/>
  <c r="Z2581" i="1" s="1"/>
  <c r="X2581" i="1"/>
  <c r="AE2580" i="1"/>
  <c r="AD2580" i="1"/>
  <c r="AC2580" i="1"/>
  <c r="AB2580" i="1"/>
  <c r="AA2580" i="1"/>
  <c r="Y2580" i="1"/>
  <c r="Z2580" i="1" s="1"/>
  <c r="X2580" i="1"/>
  <c r="AE2579" i="1"/>
  <c r="AD2579" i="1"/>
  <c r="AC2579" i="1"/>
  <c r="AB2579" i="1"/>
  <c r="AA2579" i="1"/>
  <c r="Y2579" i="1"/>
  <c r="Z2579" i="1" s="1"/>
  <c r="X2579" i="1"/>
  <c r="AE2578" i="1"/>
  <c r="AD2578" i="1"/>
  <c r="AC2578" i="1"/>
  <c r="AB2578" i="1"/>
  <c r="AA2578" i="1"/>
  <c r="Y2578" i="1"/>
  <c r="Z2578" i="1" s="1"/>
  <c r="X2578" i="1"/>
  <c r="AE2577" i="1"/>
  <c r="AD2577" i="1"/>
  <c r="AC2577" i="1"/>
  <c r="AB2577" i="1"/>
  <c r="AA2577" i="1"/>
  <c r="Y2577" i="1"/>
  <c r="Z2577" i="1" s="1"/>
  <c r="X2577" i="1"/>
  <c r="AE2576" i="1"/>
  <c r="AD2576" i="1"/>
  <c r="AC2576" i="1"/>
  <c r="AB2576" i="1"/>
  <c r="AA2576" i="1"/>
  <c r="Y2576" i="1"/>
  <c r="Z2576" i="1" s="1"/>
  <c r="X2576" i="1"/>
  <c r="AE2575" i="1"/>
  <c r="AD2575" i="1"/>
  <c r="AC2575" i="1"/>
  <c r="AB2575" i="1"/>
  <c r="AA2575" i="1"/>
  <c r="Y2575" i="1"/>
  <c r="Z2575" i="1" s="1"/>
  <c r="X2575" i="1"/>
  <c r="AE2574" i="1"/>
  <c r="AD2574" i="1"/>
  <c r="AC2574" i="1"/>
  <c r="AB2574" i="1"/>
  <c r="AA2574" i="1"/>
  <c r="Y2574" i="1"/>
  <c r="Z2574" i="1" s="1"/>
  <c r="X2574" i="1"/>
  <c r="AE2573" i="1"/>
  <c r="AD2573" i="1"/>
  <c r="AC2573" i="1"/>
  <c r="AB2573" i="1"/>
  <c r="AA2573" i="1"/>
  <c r="Y2573" i="1"/>
  <c r="Z2573" i="1" s="1"/>
  <c r="X2573" i="1"/>
  <c r="AE2572" i="1"/>
  <c r="AD2572" i="1"/>
  <c r="AC2572" i="1"/>
  <c r="AB2572" i="1"/>
  <c r="AA2572" i="1"/>
  <c r="Y2572" i="1"/>
  <c r="Z2572" i="1" s="1"/>
  <c r="X2572" i="1"/>
  <c r="AE2571" i="1"/>
  <c r="AD2571" i="1"/>
  <c r="AC2571" i="1"/>
  <c r="AB2571" i="1"/>
  <c r="AA2571" i="1"/>
  <c r="Y2571" i="1"/>
  <c r="Z2571" i="1" s="1"/>
  <c r="X2571" i="1"/>
  <c r="AE2570" i="1"/>
  <c r="AD2570" i="1"/>
  <c r="AC2570" i="1"/>
  <c r="AB2570" i="1"/>
  <c r="AA2570" i="1"/>
  <c r="Y2570" i="1"/>
  <c r="Z2570" i="1" s="1"/>
  <c r="X2570" i="1"/>
  <c r="AE2569" i="1"/>
  <c r="AD2569" i="1"/>
  <c r="AC2569" i="1"/>
  <c r="AB2569" i="1"/>
  <c r="AA2569" i="1"/>
  <c r="Y2569" i="1"/>
  <c r="Z2569" i="1" s="1"/>
  <c r="X2569" i="1"/>
  <c r="AE2568" i="1"/>
  <c r="AD2568" i="1"/>
  <c r="AC2568" i="1"/>
  <c r="AB2568" i="1"/>
  <c r="AA2568" i="1"/>
  <c r="Y2568" i="1"/>
  <c r="Z2568" i="1" s="1"/>
  <c r="X2568" i="1"/>
  <c r="AE2567" i="1"/>
  <c r="AD2567" i="1"/>
  <c r="AC2567" i="1"/>
  <c r="AB2567" i="1"/>
  <c r="AA2567" i="1"/>
  <c r="Y2567" i="1"/>
  <c r="Z2567" i="1" s="1"/>
  <c r="X2567" i="1"/>
  <c r="AE2566" i="1"/>
  <c r="AD2566" i="1"/>
  <c r="AC2566" i="1"/>
  <c r="AB2566" i="1"/>
  <c r="AA2566" i="1"/>
  <c r="Y2566" i="1"/>
  <c r="Z2566" i="1" s="1"/>
  <c r="X2566" i="1"/>
  <c r="AE2565" i="1"/>
  <c r="AD2565" i="1"/>
  <c r="AC2565" i="1"/>
  <c r="AB2565" i="1"/>
  <c r="AA2565" i="1"/>
  <c r="Y2565" i="1"/>
  <c r="Z2565" i="1" s="1"/>
  <c r="X2565" i="1"/>
  <c r="AE2564" i="1"/>
  <c r="AD2564" i="1"/>
  <c r="AC2564" i="1"/>
  <c r="AB2564" i="1"/>
  <c r="AA2564" i="1"/>
  <c r="Y2564" i="1"/>
  <c r="Z2564" i="1" s="1"/>
  <c r="X2564" i="1"/>
  <c r="AE2563" i="1"/>
  <c r="AD2563" i="1"/>
  <c r="AC2563" i="1"/>
  <c r="AB2563" i="1"/>
  <c r="AA2563" i="1"/>
  <c r="Y2563" i="1"/>
  <c r="Z2563" i="1" s="1"/>
  <c r="X2563" i="1"/>
  <c r="AE2562" i="1"/>
  <c r="AD2562" i="1"/>
  <c r="AC2562" i="1"/>
  <c r="AB2562" i="1"/>
  <c r="AA2562" i="1"/>
  <c r="Y2562" i="1"/>
  <c r="Z2562" i="1" s="1"/>
  <c r="X2562" i="1"/>
  <c r="AE2561" i="1"/>
  <c r="AD2561" i="1"/>
  <c r="AC2561" i="1"/>
  <c r="AB2561" i="1"/>
  <c r="AA2561" i="1"/>
  <c r="Y2561" i="1"/>
  <c r="Z2561" i="1" s="1"/>
  <c r="X2561" i="1"/>
  <c r="AE2560" i="1"/>
  <c r="AD2560" i="1"/>
  <c r="AC2560" i="1"/>
  <c r="AB2560" i="1"/>
  <c r="AA2560" i="1"/>
  <c r="Y2560" i="1"/>
  <c r="Z2560" i="1" s="1"/>
  <c r="X2560" i="1"/>
  <c r="AE2559" i="1"/>
  <c r="AD2559" i="1"/>
  <c r="AC2559" i="1"/>
  <c r="AB2559" i="1"/>
  <c r="AA2559" i="1"/>
  <c r="Y2559" i="1"/>
  <c r="Z2559" i="1" s="1"/>
  <c r="X2559" i="1"/>
  <c r="AE2558" i="1"/>
  <c r="AD2558" i="1"/>
  <c r="AC2558" i="1"/>
  <c r="AB2558" i="1"/>
  <c r="AA2558" i="1"/>
  <c r="Y2558" i="1"/>
  <c r="Z2558" i="1" s="1"/>
  <c r="X2558" i="1"/>
  <c r="AE2557" i="1"/>
  <c r="AD2557" i="1"/>
  <c r="AC2557" i="1"/>
  <c r="AB2557" i="1"/>
  <c r="AA2557" i="1"/>
  <c r="Y2557" i="1"/>
  <c r="Z2557" i="1" s="1"/>
  <c r="X2557" i="1"/>
  <c r="AE2556" i="1"/>
  <c r="AD2556" i="1"/>
  <c r="AC2556" i="1"/>
  <c r="AB2556" i="1"/>
  <c r="AA2556" i="1"/>
  <c r="Y2556" i="1"/>
  <c r="Z2556" i="1" s="1"/>
  <c r="X2556" i="1"/>
  <c r="AE2555" i="1"/>
  <c r="AD2555" i="1"/>
  <c r="AC2555" i="1"/>
  <c r="AB2555" i="1"/>
  <c r="AA2555" i="1"/>
  <c r="Y2555" i="1"/>
  <c r="Z2555" i="1" s="1"/>
  <c r="X2555" i="1"/>
  <c r="AE2554" i="1"/>
  <c r="AD2554" i="1"/>
  <c r="AC2554" i="1"/>
  <c r="AB2554" i="1"/>
  <c r="AA2554" i="1"/>
  <c r="Y2554" i="1"/>
  <c r="Z2554" i="1" s="1"/>
  <c r="X2554" i="1"/>
  <c r="AE2553" i="1"/>
  <c r="AD2553" i="1"/>
  <c r="AC2553" i="1"/>
  <c r="AB2553" i="1"/>
  <c r="AA2553" i="1"/>
  <c r="Y2553" i="1"/>
  <c r="Z2553" i="1" s="1"/>
  <c r="X2553" i="1"/>
  <c r="AE2552" i="1"/>
  <c r="AD2552" i="1"/>
  <c r="AC2552" i="1"/>
  <c r="AB2552" i="1"/>
  <c r="AA2552" i="1"/>
  <c r="Y2552" i="1"/>
  <c r="Z2552" i="1" s="1"/>
  <c r="X2552" i="1"/>
  <c r="AE2551" i="1"/>
  <c r="AD2551" i="1"/>
  <c r="AC2551" i="1"/>
  <c r="AB2551" i="1"/>
  <c r="AA2551" i="1"/>
  <c r="Y2551" i="1"/>
  <c r="Z2551" i="1" s="1"/>
  <c r="X2551" i="1"/>
  <c r="AE2550" i="1"/>
  <c r="AD2550" i="1"/>
  <c r="AC2550" i="1"/>
  <c r="AB2550" i="1"/>
  <c r="AA2550" i="1"/>
  <c r="Y2550" i="1"/>
  <c r="Z2550" i="1" s="1"/>
  <c r="X2550" i="1"/>
  <c r="AE2549" i="1"/>
  <c r="AD2549" i="1"/>
  <c r="AC2549" i="1"/>
  <c r="AB2549" i="1"/>
  <c r="AA2549" i="1"/>
  <c r="Y2549" i="1"/>
  <c r="Z2549" i="1" s="1"/>
  <c r="X2549" i="1"/>
  <c r="AE2548" i="1"/>
  <c r="AD2548" i="1"/>
  <c r="AC2548" i="1"/>
  <c r="AB2548" i="1"/>
  <c r="AA2548" i="1"/>
  <c r="Y2548" i="1"/>
  <c r="Z2548" i="1" s="1"/>
  <c r="X2548" i="1"/>
  <c r="AE2547" i="1"/>
  <c r="AD2547" i="1"/>
  <c r="AC2547" i="1"/>
  <c r="AB2547" i="1"/>
  <c r="AA2547" i="1"/>
  <c r="Y2547" i="1"/>
  <c r="Z2547" i="1" s="1"/>
  <c r="X2547" i="1"/>
  <c r="AE2546" i="1"/>
  <c r="AD2546" i="1"/>
  <c r="AC2546" i="1"/>
  <c r="AB2546" i="1"/>
  <c r="AA2546" i="1"/>
  <c r="Y2546" i="1"/>
  <c r="Z2546" i="1" s="1"/>
  <c r="X2546" i="1"/>
  <c r="AE2545" i="1"/>
  <c r="AD2545" i="1"/>
  <c r="AC2545" i="1"/>
  <c r="AB2545" i="1"/>
  <c r="AA2545" i="1"/>
  <c r="Y2545" i="1"/>
  <c r="Z2545" i="1" s="1"/>
  <c r="X2545" i="1"/>
  <c r="AE2544" i="1"/>
  <c r="AD2544" i="1"/>
  <c r="AC2544" i="1"/>
  <c r="AB2544" i="1"/>
  <c r="AA2544" i="1"/>
  <c r="Y2544" i="1"/>
  <c r="Z2544" i="1" s="1"/>
  <c r="X2544" i="1"/>
  <c r="AE2543" i="1"/>
  <c r="AD2543" i="1"/>
  <c r="AC2543" i="1"/>
  <c r="AB2543" i="1"/>
  <c r="AA2543" i="1"/>
  <c r="Y2543" i="1"/>
  <c r="Z2543" i="1" s="1"/>
  <c r="X2543" i="1"/>
  <c r="AE2542" i="1"/>
  <c r="AD2542" i="1"/>
  <c r="AC2542" i="1"/>
  <c r="AB2542" i="1"/>
  <c r="AA2542" i="1"/>
  <c r="Y2542" i="1"/>
  <c r="Z2542" i="1" s="1"/>
  <c r="X2542" i="1"/>
  <c r="AE2541" i="1"/>
  <c r="AD2541" i="1"/>
  <c r="AC2541" i="1"/>
  <c r="AB2541" i="1"/>
  <c r="AA2541" i="1"/>
  <c r="Y2541" i="1"/>
  <c r="Z2541" i="1" s="1"/>
  <c r="X2541" i="1"/>
  <c r="AE2540" i="1"/>
  <c r="AD2540" i="1"/>
  <c r="AC2540" i="1"/>
  <c r="AB2540" i="1"/>
  <c r="AA2540" i="1"/>
  <c r="Y2540" i="1"/>
  <c r="Z2540" i="1" s="1"/>
  <c r="X2540" i="1"/>
  <c r="AE2539" i="1"/>
  <c r="AD2539" i="1"/>
  <c r="AC2539" i="1"/>
  <c r="AB2539" i="1"/>
  <c r="AA2539" i="1"/>
  <c r="Y2539" i="1"/>
  <c r="Z2539" i="1" s="1"/>
  <c r="X2539" i="1"/>
  <c r="AE2538" i="1"/>
  <c r="AD2538" i="1"/>
  <c r="AC2538" i="1"/>
  <c r="AB2538" i="1"/>
  <c r="AA2538" i="1"/>
  <c r="Y2538" i="1"/>
  <c r="Z2538" i="1" s="1"/>
  <c r="X2538" i="1"/>
  <c r="AE2537" i="1"/>
  <c r="AD2537" i="1"/>
  <c r="AC2537" i="1"/>
  <c r="AB2537" i="1"/>
  <c r="AA2537" i="1"/>
  <c r="Y2537" i="1"/>
  <c r="Z2537" i="1" s="1"/>
  <c r="X2537" i="1"/>
  <c r="AE2536" i="1"/>
  <c r="AD2536" i="1"/>
  <c r="AC2536" i="1"/>
  <c r="AB2536" i="1"/>
  <c r="AA2536" i="1"/>
  <c r="Y2536" i="1"/>
  <c r="Z2536" i="1" s="1"/>
  <c r="X2536" i="1"/>
  <c r="AE2535" i="1"/>
  <c r="AD2535" i="1"/>
  <c r="AC2535" i="1"/>
  <c r="AB2535" i="1"/>
  <c r="AA2535" i="1"/>
  <c r="Y2535" i="1"/>
  <c r="Z2535" i="1" s="1"/>
  <c r="X2535" i="1"/>
  <c r="AE2534" i="1"/>
  <c r="AD2534" i="1"/>
  <c r="AC2534" i="1"/>
  <c r="AB2534" i="1"/>
  <c r="AA2534" i="1"/>
  <c r="Y2534" i="1"/>
  <c r="Z2534" i="1" s="1"/>
  <c r="X2534" i="1"/>
  <c r="AE2533" i="1"/>
  <c r="AD2533" i="1"/>
  <c r="AC2533" i="1"/>
  <c r="AB2533" i="1"/>
  <c r="AA2533" i="1"/>
  <c r="Y2533" i="1"/>
  <c r="Z2533" i="1" s="1"/>
  <c r="X2533" i="1"/>
  <c r="AE2532" i="1"/>
  <c r="AD2532" i="1"/>
  <c r="AC2532" i="1"/>
  <c r="AB2532" i="1"/>
  <c r="AA2532" i="1"/>
  <c r="Y2532" i="1"/>
  <c r="Z2532" i="1" s="1"/>
  <c r="X2532" i="1"/>
  <c r="AE2531" i="1"/>
  <c r="AD2531" i="1"/>
  <c r="AC2531" i="1"/>
  <c r="AB2531" i="1"/>
  <c r="AA2531" i="1"/>
  <c r="Y2531" i="1"/>
  <c r="Z2531" i="1" s="1"/>
  <c r="X2531" i="1"/>
  <c r="AE2530" i="1"/>
  <c r="AD2530" i="1"/>
  <c r="AC2530" i="1"/>
  <c r="AB2530" i="1"/>
  <c r="AA2530" i="1"/>
  <c r="Y2530" i="1"/>
  <c r="Z2530" i="1" s="1"/>
  <c r="X2530" i="1"/>
  <c r="AE2529" i="1"/>
  <c r="AD2529" i="1"/>
  <c r="AC2529" i="1"/>
  <c r="AB2529" i="1"/>
  <c r="AA2529" i="1"/>
  <c r="Y2529" i="1"/>
  <c r="Z2529" i="1" s="1"/>
  <c r="X2529" i="1"/>
  <c r="AE2528" i="1"/>
  <c r="AD2528" i="1"/>
  <c r="AC2528" i="1"/>
  <c r="AB2528" i="1"/>
  <c r="AA2528" i="1"/>
  <c r="Y2528" i="1"/>
  <c r="Z2528" i="1" s="1"/>
  <c r="X2528" i="1"/>
  <c r="AE2527" i="1"/>
  <c r="AD2527" i="1"/>
  <c r="AC2527" i="1"/>
  <c r="AB2527" i="1"/>
  <c r="AA2527" i="1"/>
  <c r="Y2527" i="1"/>
  <c r="Z2527" i="1" s="1"/>
  <c r="X2527" i="1"/>
  <c r="AE2526" i="1"/>
  <c r="AD2526" i="1"/>
  <c r="AC2526" i="1"/>
  <c r="AB2526" i="1"/>
  <c r="AA2526" i="1"/>
  <c r="Y2526" i="1"/>
  <c r="Z2526" i="1" s="1"/>
  <c r="X2526" i="1"/>
  <c r="AE2525" i="1"/>
  <c r="AD2525" i="1"/>
  <c r="AC2525" i="1"/>
  <c r="AB2525" i="1"/>
  <c r="AA2525" i="1"/>
  <c r="Y2525" i="1"/>
  <c r="Z2525" i="1" s="1"/>
  <c r="X2525" i="1"/>
  <c r="AE2524" i="1"/>
  <c r="AD2524" i="1"/>
  <c r="AC2524" i="1"/>
  <c r="AB2524" i="1"/>
  <c r="AA2524" i="1"/>
  <c r="Y2524" i="1"/>
  <c r="Z2524" i="1" s="1"/>
  <c r="X2524" i="1"/>
  <c r="AE2523" i="1"/>
  <c r="AD2523" i="1"/>
  <c r="AC2523" i="1"/>
  <c r="AB2523" i="1"/>
  <c r="AA2523" i="1"/>
  <c r="Y2523" i="1"/>
  <c r="Z2523" i="1" s="1"/>
  <c r="X2523" i="1"/>
  <c r="AE2522" i="1"/>
  <c r="AD2522" i="1"/>
  <c r="AC2522" i="1"/>
  <c r="AB2522" i="1"/>
  <c r="AA2522" i="1"/>
  <c r="Y2522" i="1"/>
  <c r="Z2522" i="1" s="1"/>
  <c r="X2522" i="1"/>
  <c r="AE2521" i="1"/>
  <c r="AD2521" i="1"/>
  <c r="AC2521" i="1"/>
  <c r="AB2521" i="1"/>
  <c r="AA2521" i="1"/>
  <c r="Y2521" i="1"/>
  <c r="Z2521" i="1" s="1"/>
  <c r="X2521" i="1"/>
  <c r="AE2520" i="1"/>
  <c r="AD2520" i="1"/>
  <c r="AC2520" i="1"/>
  <c r="AB2520" i="1"/>
  <c r="AA2520" i="1"/>
  <c r="Y2520" i="1"/>
  <c r="Z2520" i="1" s="1"/>
  <c r="X2520" i="1"/>
  <c r="AE2519" i="1"/>
  <c r="AD2519" i="1"/>
  <c r="AC2519" i="1"/>
  <c r="AB2519" i="1"/>
  <c r="AA2519" i="1"/>
  <c r="Y2519" i="1"/>
  <c r="Z2519" i="1" s="1"/>
  <c r="X2519" i="1"/>
  <c r="AE2518" i="1"/>
  <c r="AD2518" i="1"/>
  <c r="AC2518" i="1"/>
  <c r="AB2518" i="1"/>
  <c r="AA2518" i="1"/>
  <c r="Y2518" i="1"/>
  <c r="Z2518" i="1" s="1"/>
  <c r="X2518" i="1"/>
  <c r="AE2517" i="1"/>
  <c r="AD2517" i="1"/>
  <c r="AC2517" i="1"/>
  <c r="AB2517" i="1"/>
  <c r="AA2517" i="1"/>
  <c r="Y2517" i="1"/>
  <c r="Z2517" i="1" s="1"/>
  <c r="X2517" i="1"/>
  <c r="AE2516" i="1"/>
  <c r="AD2516" i="1"/>
  <c r="AC2516" i="1"/>
  <c r="AB2516" i="1"/>
  <c r="AA2516" i="1"/>
  <c r="Y2516" i="1"/>
  <c r="Z2516" i="1" s="1"/>
  <c r="X2516" i="1"/>
  <c r="AE2515" i="1"/>
  <c r="AD2515" i="1"/>
  <c r="AC2515" i="1"/>
  <c r="AB2515" i="1"/>
  <c r="AA2515" i="1"/>
  <c r="Y2515" i="1"/>
  <c r="Z2515" i="1" s="1"/>
  <c r="X2515" i="1"/>
  <c r="AE2514" i="1"/>
  <c r="AD2514" i="1"/>
  <c r="AC2514" i="1"/>
  <c r="AB2514" i="1"/>
  <c r="AA2514" i="1"/>
  <c r="Y2514" i="1"/>
  <c r="Z2514" i="1" s="1"/>
  <c r="X2514" i="1"/>
  <c r="AE2513" i="1"/>
  <c r="AD2513" i="1"/>
  <c r="AC2513" i="1"/>
  <c r="AB2513" i="1"/>
  <c r="AA2513" i="1"/>
  <c r="Y2513" i="1"/>
  <c r="Z2513" i="1" s="1"/>
  <c r="X2513" i="1"/>
  <c r="AE2512" i="1"/>
  <c r="AD2512" i="1"/>
  <c r="AC2512" i="1"/>
  <c r="AB2512" i="1"/>
  <c r="AA2512" i="1"/>
  <c r="Y2512" i="1"/>
  <c r="Z2512" i="1" s="1"/>
  <c r="X2512" i="1"/>
  <c r="AE2511" i="1"/>
  <c r="AD2511" i="1"/>
  <c r="AC2511" i="1"/>
  <c r="AB2511" i="1"/>
  <c r="AA2511" i="1"/>
  <c r="Y2511" i="1"/>
  <c r="Z2511" i="1" s="1"/>
  <c r="X2511" i="1"/>
  <c r="AE2510" i="1"/>
  <c r="AD2510" i="1"/>
  <c r="AC2510" i="1"/>
  <c r="AB2510" i="1"/>
  <c r="AA2510" i="1"/>
  <c r="Y2510" i="1"/>
  <c r="Z2510" i="1" s="1"/>
  <c r="X2510" i="1"/>
  <c r="AE2509" i="1"/>
  <c r="AD2509" i="1"/>
  <c r="AC2509" i="1"/>
  <c r="AB2509" i="1"/>
  <c r="AA2509" i="1"/>
  <c r="Y2509" i="1"/>
  <c r="Z2509" i="1" s="1"/>
  <c r="X2509" i="1"/>
  <c r="AE2508" i="1"/>
  <c r="AD2508" i="1"/>
  <c r="AC2508" i="1"/>
  <c r="AB2508" i="1"/>
  <c r="AA2508" i="1"/>
  <c r="Y2508" i="1"/>
  <c r="Z2508" i="1" s="1"/>
  <c r="X2508" i="1"/>
  <c r="AE2507" i="1"/>
  <c r="AD2507" i="1"/>
  <c r="AC2507" i="1"/>
  <c r="AB2507" i="1"/>
  <c r="AA2507" i="1"/>
  <c r="Y2507" i="1"/>
  <c r="Z2507" i="1" s="1"/>
  <c r="X2507" i="1"/>
  <c r="AE2506" i="1"/>
  <c r="AD2506" i="1"/>
  <c r="AC2506" i="1"/>
  <c r="AB2506" i="1"/>
  <c r="AA2506" i="1"/>
  <c r="Y2506" i="1"/>
  <c r="Z2506" i="1" s="1"/>
  <c r="X2506" i="1"/>
  <c r="AE2505" i="1"/>
  <c r="AD2505" i="1"/>
  <c r="AC2505" i="1"/>
  <c r="AB2505" i="1"/>
  <c r="AA2505" i="1"/>
  <c r="Y2505" i="1"/>
  <c r="Z2505" i="1" s="1"/>
  <c r="X2505" i="1"/>
  <c r="AE2504" i="1"/>
  <c r="AD2504" i="1"/>
  <c r="AC2504" i="1"/>
  <c r="AB2504" i="1"/>
  <c r="AA2504" i="1"/>
  <c r="Y2504" i="1"/>
  <c r="Z2504" i="1" s="1"/>
  <c r="X2504" i="1"/>
  <c r="AE2503" i="1"/>
  <c r="AD2503" i="1"/>
  <c r="AC2503" i="1"/>
  <c r="AB2503" i="1"/>
  <c r="AA2503" i="1"/>
  <c r="Y2503" i="1"/>
  <c r="Z2503" i="1" s="1"/>
  <c r="X2503" i="1"/>
  <c r="AE2502" i="1"/>
  <c r="AD2502" i="1"/>
  <c r="AC2502" i="1"/>
  <c r="AB2502" i="1"/>
  <c r="AA2502" i="1"/>
  <c r="Y2502" i="1"/>
  <c r="Z2502" i="1" s="1"/>
  <c r="X2502" i="1"/>
  <c r="AE2501" i="1"/>
  <c r="AD2501" i="1"/>
  <c r="AC2501" i="1"/>
  <c r="AB2501" i="1"/>
  <c r="AA2501" i="1"/>
  <c r="Y2501" i="1"/>
  <c r="Z2501" i="1" s="1"/>
  <c r="X2501" i="1"/>
  <c r="AE2500" i="1"/>
  <c r="AD2500" i="1"/>
  <c r="AC2500" i="1"/>
  <c r="AB2500" i="1"/>
  <c r="AA2500" i="1"/>
  <c r="Y2500" i="1"/>
  <c r="Z2500" i="1" s="1"/>
  <c r="X2500" i="1"/>
  <c r="AE2499" i="1"/>
  <c r="AD2499" i="1"/>
  <c r="AC2499" i="1"/>
  <c r="AB2499" i="1"/>
  <c r="AA2499" i="1"/>
  <c r="Y2499" i="1"/>
  <c r="Z2499" i="1" s="1"/>
  <c r="X2499" i="1"/>
  <c r="AE2498" i="1"/>
  <c r="AD2498" i="1"/>
  <c r="AC2498" i="1"/>
  <c r="AB2498" i="1"/>
  <c r="AA2498" i="1"/>
  <c r="Y2498" i="1"/>
  <c r="Z2498" i="1" s="1"/>
  <c r="X2498" i="1"/>
  <c r="AE2497" i="1"/>
  <c r="AD2497" i="1"/>
  <c r="AC2497" i="1"/>
  <c r="AB2497" i="1"/>
  <c r="AA2497" i="1"/>
  <c r="Y2497" i="1"/>
  <c r="Z2497" i="1" s="1"/>
  <c r="X2497" i="1"/>
  <c r="AE2496" i="1"/>
  <c r="AD2496" i="1"/>
  <c r="AC2496" i="1"/>
  <c r="AB2496" i="1"/>
  <c r="AA2496" i="1"/>
  <c r="Y2496" i="1"/>
  <c r="Z2496" i="1" s="1"/>
  <c r="X2496" i="1"/>
  <c r="AE2495" i="1"/>
  <c r="AD2495" i="1"/>
  <c r="AC2495" i="1"/>
  <c r="AB2495" i="1"/>
  <c r="AA2495" i="1"/>
  <c r="Y2495" i="1"/>
  <c r="Z2495" i="1" s="1"/>
  <c r="X2495" i="1"/>
  <c r="AE2494" i="1"/>
  <c r="AD2494" i="1"/>
  <c r="AC2494" i="1"/>
  <c r="AB2494" i="1"/>
  <c r="AA2494" i="1"/>
  <c r="Y2494" i="1"/>
  <c r="Z2494" i="1" s="1"/>
  <c r="X2494" i="1"/>
  <c r="AE2493" i="1"/>
  <c r="AD2493" i="1"/>
  <c r="AC2493" i="1"/>
  <c r="AB2493" i="1"/>
  <c r="AA2493" i="1"/>
  <c r="Y2493" i="1"/>
  <c r="Z2493" i="1" s="1"/>
  <c r="X2493" i="1"/>
  <c r="AE2492" i="1"/>
  <c r="AD2492" i="1"/>
  <c r="AC2492" i="1"/>
  <c r="AB2492" i="1"/>
  <c r="AA2492" i="1"/>
  <c r="Y2492" i="1"/>
  <c r="Z2492" i="1" s="1"/>
  <c r="X2492" i="1"/>
  <c r="AE2491" i="1"/>
  <c r="AD2491" i="1"/>
  <c r="AC2491" i="1"/>
  <c r="AB2491" i="1"/>
  <c r="AA2491" i="1"/>
  <c r="Y2491" i="1"/>
  <c r="Z2491" i="1" s="1"/>
  <c r="X2491" i="1"/>
  <c r="AE2490" i="1"/>
  <c r="AD2490" i="1"/>
  <c r="AC2490" i="1"/>
  <c r="AB2490" i="1"/>
  <c r="AA2490" i="1"/>
  <c r="Y2490" i="1"/>
  <c r="Z2490" i="1" s="1"/>
  <c r="X2490" i="1"/>
  <c r="AE2489" i="1"/>
  <c r="AD2489" i="1"/>
  <c r="AC2489" i="1"/>
  <c r="AB2489" i="1"/>
  <c r="AA2489" i="1"/>
  <c r="Y2489" i="1"/>
  <c r="Z2489" i="1" s="1"/>
  <c r="X2489" i="1"/>
  <c r="AE2488" i="1"/>
  <c r="AD2488" i="1"/>
  <c r="AC2488" i="1"/>
  <c r="AB2488" i="1"/>
  <c r="AA2488" i="1"/>
  <c r="Y2488" i="1"/>
  <c r="Z2488" i="1" s="1"/>
  <c r="X2488" i="1"/>
  <c r="AE2487" i="1"/>
  <c r="AD2487" i="1"/>
  <c r="AC2487" i="1"/>
  <c r="AB2487" i="1"/>
  <c r="AA2487" i="1"/>
  <c r="Y2487" i="1"/>
  <c r="Z2487" i="1" s="1"/>
  <c r="X2487" i="1"/>
  <c r="AE2486" i="1"/>
  <c r="AD2486" i="1"/>
  <c r="AC2486" i="1"/>
  <c r="AB2486" i="1"/>
  <c r="AA2486" i="1"/>
  <c r="Y2486" i="1"/>
  <c r="Z2486" i="1" s="1"/>
  <c r="X2486" i="1"/>
  <c r="AE2485" i="1"/>
  <c r="AD2485" i="1"/>
  <c r="AC2485" i="1"/>
  <c r="AB2485" i="1"/>
  <c r="AA2485" i="1"/>
  <c r="Y2485" i="1"/>
  <c r="Z2485" i="1" s="1"/>
  <c r="X2485" i="1"/>
  <c r="AE2484" i="1"/>
  <c r="AD2484" i="1"/>
  <c r="AC2484" i="1"/>
  <c r="AB2484" i="1"/>
  <c r="AA2484" i="1"/>
  <c r="Y2484" i="1"/>
  <c r="Z2484" i="1" s="1"/>
  <c r="X2484" i="1"/>
  <c r="AE2483" i="1"/>
  <c r="AD2483" i="1"/>
  <c r="AC2483" i="1"/>
  <c r="AB2483" i="1"/>
  <c r="AA2483" i="1"/>
  <c r="Y2483" i="1"/>
  <c r="Z2483" i="1" s="1"/>
  <c r="X2483" i="1"/>
  <c r="AE2482" i="1"/>
  <c r="AD2482" i="1"/>
  <c r="AC2482" i="1"/>
  <c r="AB2482" i="1"/>
  <c r="AA2482" i="1"/>
  <c r="Y2482" i="1"/>
  <c r="Z2482" i="1" s="1"/>
  <c r="X2482" i="1"/>
  <c r="AE2481" i="1"/>
  <c r="AD2481" i="1"/>
  <c r="AC2481" i="1"/>
  <c r="AB2481" i="1"/>
  <c r="AA2481" i="1"/>
  <c r="Y2481" i="1"/>
  <c r="Z2481" i="1" s="1"/>
  <c r="X2481" i="1"/>
  <c r="AE2480" i="1"/>
  <c r="AD2480" i="1"/>
  <c r="AC2480" i="1"/>
  <c r="AB2480" i="1"/>
  <c r="AA2480" i="1"/>
  <c r="Y2480" i="1"/>
  <c r="Z2480" i="1" s="1"/>
  <c r="X2480" i="1"/>
  <c r="AE2479" i="1"/>
  <c r="AD2479" i="1"/>
  <c r="AC2479" i="1"/>
  <c r="AB2479" i="1"/>
  <c r="AA2479" i="1"/>
  <c r="Y2479" i="1"/>
  <c r="Z2479" i="1" s="1"/>
  <c r="X2479" i="1"/>
  <c r="AE2478" i="1"/>
  <c r="AD2478" i="1"/>
  <c r="AC2478" i="1"/>
  <c r="AB2478" i="1"/>
  <c r="AA2478" i="1"/>
  <c r="Y2478" i="1"/>
  <c r="Z2478" i="1" s="1"/>
  <c r="X2478" i="1"/>
  <c r="AE2477" i="1"/>
  <c r="AD2477" i="1"/>
  <c r="AC2477" i="1"/>
  <c r="AB2477" i="1"/>
  <c r="AA2477" i="1"/>
  <c r="Y2477" i="1"/>
  <c r="Z2477" i="1" s="1"/>
  <c r="X2477" i="1"/>
  <c r="AE2476" i="1"/>
  <c r="AD2476" i="1"/>
  <c r="AC2476" i="1"/>
  <c r="AB2476" i="1"/>
  <c r="AA2476" i="1"/>
  <c r="Y2476" i="1"/>
  <c r="Z2476" i="1" s="1"/>
  <c r="X2476" i="1"/>
  <c r="AE2475" i="1"/>
  <c r="AD2475" i="1"/>
  <c r="AC2475" i="1"/>
  <c r="AB2475" i="1"/>
  <c r="AA2475" i="1"/>
  <c r="Y2475" i="1"/>
  <c r="Z2475" i="1" s="1"/>
  <c r="X2475" i="1"/>
  <c r="AE2474" i="1"/>
  <c r="AD2474" i="1"/>
  <c r="AC2474" i="1"/>
  <c r="AB2474" i="1"/>
  <c r="AA2474" i="1"/>
  <c r="Y2474" i="1"/>
  <c r="Z2474" i="1" s="1"/>
  <c r="X2474" i="1"/>
  <c r="AE2473" i="1"/>
  <c r="AD2473" i="1"/>
  <c r="AC2473" i="1"/>
  <c r="AB2473" i="1"/>
  <c r="AA2473" i="1"/>
  <c r="Y2473" i="1"/>
  <c r="Z2473" i="1" s="1"/>
  <c r="X2473" i="1"/>
  <c r="AE2472" i="1"/>
  <c r="AD2472" i="1"/>
  <c r="AC2472" i="1"/>
  <c r="AB2472" i="1"/>
  <c r="AA2472" i="1"/>
  <c r="Y2472" i="1"/>
  <c r="Z2472" i="1" s="1"/>
  <c r="X2472" i="1"/>
  <c r="AE2471" i="1"/>
  <c r="AD2471" i="1"/>
  <c r="AC2471" i="1"/>
  <c r="AB2471" i="1"/>
  <c r="AA2471" i="1"/>
  <c r="Y2471" i="1"/>
  <c r="Z2471" i="1" s="1"/>
  <c r="X2471" i="1"/>
  <c r="AE2470" i="1"/>
  <c r="AD2470" i="1"/>
  <c r="AC2470" i="1"/>
  <c r="AB2470" i="1"/>
  <c r="AA2470" i="1"/>
  <c r="Y2470" i="1"/>
  <c r="Z2470" i="1" s="1"/>
  <c r="X2470" i="1"/>
  <c r="AE2469" i="1"/>
  <c r="AD2469" i="1"/>
  <c r="AC2469" i="1"/>
  <c r="AB2469" i="1"/>
  <c r="AA2469" i="1"/>
  <c r="Y2469" i="1"/>
  <c r="Z2469" i="1" s="1"/>
  <c r="X2469" i="1"/>
  <c r="AE2468" i="1"/>
  <c r="AD2468" i="1"/>
  <c r="AC2468" i="1"/>
  <c r="AB2468" i="1"/>
  <c r="AA2468" i="1"/>
  <c r="Y2468" i="1"/>
  <c r="Z2468" i="1" s="1"/>
  <c r="X2468" i="1"/>
  <c r="AE2467" i="1"/>
  <c r="AD2467" i="1"/>
  <c r="AC2467" i="1"/>
  <c r="AB2467" i="1"/>
  <c r="AA2467" i="1"/>
  <c r="Y2467" i="1"/>
  <c r="Z2467" i="1" s="1"/>
  <c r="X2467" i="1"/>
  <c r="AE2466" i="1"/>
  <c r="AD2466" i="1"/>
  <c r="AC2466" i="1"/>
  <c r="AB2466" i="1"/>
  <c r="AA2466" i="1"/>
  <c r="Y2466" i="1"/>
  <c r="Z2466" i="1" s="1"/>
  <c r="X2466" i="1"/>
  <c r="AE2465" i="1"/>
  <c r="AD2465" i="1"/>
  <c r="AC2465" i="1"/>
  <c r="AB2465" i="1"/>
  <c r="AA2465" i="1"/>
  <c r="Y2465" i="1"/>
  <c r="Z2465" i="1" s="1"/>
  <c r="X2465" i="1"/>
  <c r="AE2464" i="1"/>
  <c r="AD2464" i="1"/>
  <c r="AC2464" i="1"/>
  <c r="AB2464" i="1"/>
  <c r="AA2464" i="1"/>
  <c r="Y2464" i="1"/>
  <c r="Z2464" i="1" s="1"/>
  <c r="X2464" i="1"/>
  <c r="AE2463" i="1"/>
  <c r="AD2463" i="1"/>
  <c r="AC2463" i="1"/>
  <c r="AB2463" i="1"/>
  <c r="AA2463" i="1"/>
  <c r="Y2463" i="1"/>
  <c r="Z2463" i="1" s="1"/>
  <c r="X2463" i="1"/>
  <c r="AE2462" i="1"/>
  <c r="AD2462" i="1"/>
  <c r="AC2462" i="1"/>
  <c r="AB2462" i="1"/>
  <c r="AA2462" i="1"/>
  <c r="Y2462" i="1"/>
  <c r="Z2462" i="1" s="1"/>
  <c r="X2462" i="1"/>
  <c r="AE2461" i="1"/>
  <c r="AD2461" i="1"/>
  <c r="AC2461" i="1"/>
  <c r="AB2461" i="1"/>
  <c r="AA2461" i="1"/>
  <c r="Y2461" i="1"/>
  <c r="Z2461" i="1" s="1"/>
  <c r="X2461" i="1"/>
  <c r="AE2460" i="1"/>
  <c r="AD2460" i="1"/>
  <c r="AC2460" i="1"/>
  <c r="AB2460" i="1"/>
  <c r="AA2460" i="1"/>
  <c r="Y2460" i="1"/>
  <c r="Z2460" i="1" s="1"/>
  <c r="X2460" i="1"/>
  <c r="AE2459" i="1"/>
  <c r="AD2459" i="1"/>
  <c r="AC2459" i="1"/>
  <c r="AB2459" i="1"/>
  <c r="AA2459" i="1"/>
  <c r="Y2459" i="1"/>
  <c r="Z2459" i="1" s="1"/>
  <c r="X2459" i="1"/>
  <c r="AE2458" i="1"/>
  <c r="AD2458" i="1"/>
  <c r="AC2458" i="1"/>
  <c r="AB2458" i="1"/>
  <c r="AA2458" i="1"/>
  <c r="Y2458" i="1"/>
  <c r="Z2458" i="1" s="1"/>
  <c r="X2458" i="1"/>
  <c r="AE2457" i="1"/>
  <c r="AD2457" i="1"/>
  <c r="AC2457" i="1"/>
  <c r="AB2457" i="1"/>
  <c r="AA2457" i="1"/>
  <c r="Y2457" i="1"/>
  <c r="Z2457" i="1" s="1"/>
  <c r="X2457" i="1"/>
  <c r="AE2456" i="1"/>
  <c r="AD2456" i="1"/>
  <c r="AC2456" i="1"/>
  <c r="AB2456" i="1"/>
  <c r="AA2456" i="1"/>
  <c r="Y2456" i="1"/>
  <c r="Z2456" i="1" s="1"/>
  <c r="X2456" i="1"/>
  <c r="AE2455" i="1"/>
  <c r="AD2455" i="1"/>
  <c r="AC2455" i="1"/>
  <c r="AB2455" i="1"/>
  <c r="AA2455" i="1"/>
  <c r="Y2455" i="1"/>
  <c r="Z2455" i="1" s="1"/>
  <c r="X2455" i="1"/>
  <c r="AE2454" i="1"/>
  <c r="AD2454" i="1"/>
  <c r="AC2454" i="1"/>
  <c r="AB2454" i="1"/>
  <c r="AA2454" i="1"/>
  <c r="Y2454" i="1"/>
  <c r="Z2454" i="1" s="1"/>
  <c r="X2454" i="1"/>
  <c r="AE2453" i="1"/>
  <c r="AD2453" i="1"/>
  <c r="AC2453" i="1"/>
  <c r="AB2453" i="1"/>
  <c r="AA2453" i="1"/>
  <c r="Y2453" i="1"/>
  <c r="Z2453" i="1" s="1"/>
  <c r="X2453" i="1"/>
  <c r="AE2452" i="1"/>
  <c r="AD2452" i="1"/>
  <c r="AC2452" i="1"/>
  <c r="AB2452" i="1"/>
  <c r="AA2452" i="1"/>
  <c r="Y2452" i="1"/>
  <c r="Z2452" i="1" s="1"/>
  <c r="X2452" i="1"/>
  <c r="AE2451" i="1"/>
  <c r="AD2451" i="1"/>
  <c r="AC2451" i="1"/>
  <c r="AB2451" i="1"/>
  <c r="AA2451" i="1"/>
  <c r="Y2451" i="1"/>
  <c r="Z2451" i="1" s="1"/>
  <c r="X2451" i="1"/>
  <c r="AE2450" i="1"/>
  <c r="AD2450" i="1"/>
  <c r="AC2450" i="1"/>
  <c r="AB2450" i="1"/>
  <c r="AA2450" i="1"/>
  <c r="Y2450" i="1"/>
  <c r="Z2450" i="1" s="1"/>
  <c r="X2450" i="1"/>
  <c r="AE2449" i="1"/>
  <c r="AD2449" i="1"/>
  <c r="AC2449" i="1"/>
  <c r="AB2449" i="1"/>
  <c r="AA2449" i="1"/>
  <c r="Y2449" i="1"/>
  <c r="Z2449" i="1" s="1"/>
  <c r="X2449" i="1"/>
  <c r="AE2448" i="1"/>
  <c r="AD2448" i="1"/>
  <c r="AC2448" i="1"/>
  <c r="AB2448" i="1"/>
  <c r="AA2448" i="1"/>
  <c r="Y2448" i="1"/>
  <c r="Z2448" i="1" s="1"/>
  <c r="X2448" i="1"/>
  <c r="AE2447" i="1"/>
  <c r="AD2447" i="1"/>
  <c r="AC2447" i="1"/>
  <c r="AB2447" i="1"/>
  <c r="AA2447" i="1"/>
  <c r="Y2447" i="1"/>
  <c r="Z2447" i="1" s="1"/>
  <c r="X2447" i="1"/>
  <c r="AE2446" i="1"/>
  <c r="AD2446" i="1"/>
  <c r="AC2446" i="1"/>
  <c r="AB2446" i="1"/>
  <c r="AA2446" i="1"/>
  <c r="Y2446" i="1"/>
  <c r="Z2446" i="1" s="1"/>
  <c r="X2446" i="1"/>
  <c r="AE2445" i="1"/>
  <c r="AD2445" i="1"/>
  <c r="AC2445" i="1"/>
  <c r="AB2445" i="1"/>
  <c r="AA2445" i="1"/>
  <c r="Y2445" i="1"/>
  <c r="Z2445" i="1" s="1"/>
  <c r="X2445" i="1"/>
  <c r="AE2444" i="1"/>
  <c r="AD2444" i="1"/>
  <c r="AC2444" i="1"/>
  <c r="AB2444" i="1"/>
  <c r="AA2444" i="1"/>
  <c r="Y2444" i="1"/>
  <c r="Z2444" i="1" s="1"/>
  <c r="X2444" i="1"/>
  <c r="AE2443" i="1"/>
  <c r="AD2443" i="1"/>
  <c r="AC2443" i="1"/>
  <c r="AB2443" i="1"/>
  <c r="AA2443" i="1"/>
  <c r="Y2443" i="1"/>
  <c r="Z2443" i="1" s="1"/>
  <c r="X2443" i="1"/>
  <c r="AE2442" i="1"/>
  <c r="AD2442" i="1"/>
  <c r="AC2442" i="1"/>
  <c r="AB2442" i="1"/>
  <c r="AA2442" i="1"/>
  <c r="Y2442" i="1"/>
  <c r="Z2442" i="1" s="1"/>
  <c r="X2442" i="1"/>
  <c r="AE2441" i="1"/>
  <c r="AD2441" i="1"/>
  <c r="AC2441" i="1"/>
  <c r="AB2441" i="1"/>
  <c r="AA2441" i="1"/>
  <c r="Y2441" i="1"/>
  <c r="Z2441" i="1" s="1"/>
  <c r="X2441" i="1"/>
  <c r="AE2440" i="1"/>
  <c r="AD2440" i="1"/>
  <c r="AC2440" i="1"/>
  <c r="AB2440" i="1"/>
  <c r="AA2440" i="1"/>
  <c r="Y2440" i="1"/>
  <c r="Z2440" i="1" s="1"/>
  <c r="X2440" i="1"/>
  <c r="AE2439" i="1"/>
  <c r="AD2439" i="1"/>
  <c r="AC2439" i="1"/>
  <c r="AB2439" i="1"/>
  <c r="AA2439" i="1"/>
  <c r="Y2439" i="1"/>
  <c r="Z2439" i="1" s="1"/>
  <c r="X2439" i="1"/>
  <c r="AE2438" i="1"/>
  <c r="AD2438" i="1"/>
  <c r="AC2438" i="1"/>
  <c r="AB2438" i="1"/>
  <c r="AA2438" i="1"/>
  <c r="Y2438" i="1"/>
  <c r="Z2438" i="1" s="1"/>
  <c r="X2438" i="1"/>
  <c r="AE2437" i="1"/>
  <c r="AD2437" i="1"/>
  <c r="AC2437" i="1"/>
  <c r="AB2437" i="1"/>
  <c r="AA2437" i="1"/>
  <c r="Y2437" i="1"/>
  <c r="Z2437" i="1" s="1"/>
  <c r="X2437" i="1"/>
  <c r="AE2436" i="1"/>
  <c r="AD2436" i="1"/>
  <c r="AC2436" i="1"/>
  <c r="AB2436" i="1"/>
  <c r="AA2436" i="1"/>
  <c r="Y2436" i="1"/>
  <c r="Z2436" i="1" s="1"/>
  <c r="X2436" i="1"/>
  <c r="AE2435" i="1"/>
  <c r="AD2435" i="1"/>
  <c r="AC2435" i="1"/>
  <c r="AB2435" i="1"/>
  <c r="AA2435" i="1"/>
  <c r="Y2435" i="1"/>
  <c r="Z2435" i="1" s="1"/>
  <c r="X2435" i="1"/>
  <c r="AE2434" i="1"/>
  <c r="AD2434" i="1"/>
  <c r="AC2434" i="1"/>
  <c r="AB2434" i="1"/>
  <c r="AA2434" i="1"/>
  <c r="Y2434" i="1"/>
  <c r="Z2434" i="1" s="1"/>
  <c r="X2434" i="1"/>
  <c r="AE2433" i="1"/>
  <c r="AD2433" i="1"/>
  <c r="AC2433" i="1"/>
  <c r="AB2433" i="1"/>
  <c r="AA2433" i="1"/>
  <c r="Y2433" i="1"/>
  <c r="Z2433" i="1" s="1"/>
  <c r="X2433" i="1"/>
  <c r="AE2432" i="1"/>
  <c r="AD2432" i="1"/>
  <c r="AC2432" i="1"/>
  <c r="AB2432" i="1"/>
  <c r="AA2432" i="1"/>
  <c r="Y2432" i="1"/>
  <c r="Z2432" i="1" s="1"/>
  <c r="X2432" i="1"/>
  <c r="AE2431" i="1"/>
  <c r="AD2431" i="1"/>
  <c r="AC2431" i="1"/>
  <c r="AB2431" i="1"/>
  <c r="AA2431" i="1"/>
  <c r="Y2431" i="1"/>
  <c r="Z2431" i="1" s="1"/>
  <c r="X2431" i="1"/>
  <c r="AE2430" i="1"/>
  <c r="AD2430" i="1"/>
  <c r="AC2430" i="1"/>
  <c r="AB2430" i="1"/>
  <c r="AA2430" i="1"/>
  <c r="Y2430" i="1"/>
  <c r="Z2430" i="1" s="1"/>
  <c r="X2430" i="1"/>
  <c r="AE2429" i="1"/>
  <c r="AD2429" i="1"/>
  <c r="AC2429" i="1"/>
  <c r="AB2429" i="1"/>
  <c r="AA2429" i="1"/>
  <c r="Y2429" i="1"/>
  <c r="Z2429" i="1" s="1"/>
  <c r="X2429" i="1"/>
  <c r="AE2428" i="1"/>
  <c r="AD2428" i="1"/>
  <c r="AC2428" i="1"/>
  <c r="AB2428" i="1"/>
  <c r="AA2428" i="1"/>
  <c r="Y2428" i="1"/>
  <c r="Z2428" i="1" s="1"/>
  <c r="X2428" i="1"/>
  <c r="AE2427" i="1"/>
  <c r="AD2427" i="1"/>
  <c r="AC2427" i="1"/>
  <c r="AB2427" i="1"/>
  <c r="AA2427" i="1"/>
  <c r="Y2427" i="1"/>
  <c r="Z2427" i="1" s="1"/>
  <c r="X2427" i="1"/>
  <c r="AE2426" i="1"/>
  <c r="AD2426" i="1"/>
  <c r="AC2426" i="1"/>
  <c r="AB2426" i="1"/>
  <c r="AA2426" i="1"/>
  <c r="Y2426" i="1"/>
  <c r="Z2426" i="1" s="1"/>
  <c r="X2426" i="1"/>
  <c r="AE2425" i="1"/>
  <c r="AD2425" i="1"/>
  <c r="AC2425" i="1"/>
  <c r="AB2425" i="1"/>
  <c r="AA2425" i="1"/>
  <c r="Y2425" i="1"/>
  <c r="Z2425" i="1" s="1"/>
  <c r="X2425" i="1"/>
  <c r="AE2424" i="1"/>
  <c r="AD2424" i="1"/>
  <c r="AC2424" i="1"/>
  <c r="AB2424" i="1"/>
  <c r="AA2424" i="1"/>
  <c r="Y2424" i="1"/>
  <c r="Z2424" i="1" s="1"/>
  <c r="X2424" i="1"/>
  <c r="AE2423" i="1"/>
  <c r="AD2423" i="1"/>
  <c r="AC2423" i="1"/>
  <c r="AB2423" i="1"/>
  <c r="AA2423" i="1"/>
  <c r="Y2423" i="1"/>
  <c r="Z2423" i="1" s="1"/>
  <c r="X2423" i="1"/>
  <c r="AE2422" i="1"/>
  <c r="AD2422" i="1"/>
  <c r="AC2422" i="1"/>
  <c r="AB2422" i="1"/>
  <c r="AA2422" i="1"/>
  <c r="Y2422" i="1"/>
  <c r="Z2422" i="1" s="1"/>
  <c r="X2422" i="1"/>
  <c r="AE2421" i="1"/>
  <c r="AD2421" i="1"/>
  <c r="AC2421" i="1"/>
  <c r="AB2421" i="1"/>
  <c r="AA2421" i="1"/>
  <c r="Y2421" i="1"/>
  <c r="Z2421" i="1" s="1"/>
  <c r="X2421" i="1"/>
  <c r="AE2420" i="1"/>
  <c r="AD2420" i="1"/>
  <c r="AC2420" i="1"/>
  <c r="AB2420" i="1"/>
  <c r="AA2420" i="1"/>
  <c r="Y2420" i="1"/>
  <c r="Z2420" i="1" s="1"/>
  <c r="X2420" i="1"/>
  <c r="AE2419" i="1"/>
  <c r="AD2419" i="1"/>
  <c r="AC2419" i="1"/>
  <c r="AB2419" i="1"/>
  <c r="AA2419" i="1"/>
  <c r="Y2419" i="1"/>
  <c r="Z2419" i="1" s="1"/>
  <c r="X2419" i="1"/>
  <c r="AE2418" i="1"/>
  <c r="AD2418" i="1"/>
  <c r="AC2418" i="1"/>
  <c r="AB2418" i="1"/>
  <c r="AA2418" i="1"/>
  <c r="Y2418" i="1"/>
  <c r="Z2418" i="1" s="1"/>
  <c r="X2418" i="1"/>
  <c r="AE2417" i="1"/>
  <c r="AD2417" i="1"/>
  <c r="AC2417" i="1"/>
  <c r="AB2417" i="1"/>
  <c r="AA2417" i="1"/>
  <c r="Y2417" i="1"/>
  <c r="Z2417" i="1" s="1"/>
  <c r="X2417" i="1"/>
  <c r="AE2416" i="1"/>
  <c r="AD2416" i="1"/>
  <c r="AC2416" i="1"/>
  <c r="AB2416" i="1"/>
  <c r="AA2416" i="1"/>
  <c r="Y2416" i="1"/>
  <c r="Z2416" i="1" s="1"/>
  <c r="X2416" i="1"/>
  <c r="AE2415" i="1"/>
  <c r="AD2415" i="1"/>
  <c r="AC2415" i="1"/>
  <c r="AB2415" i="1"/>
  <c r="AA2415" i="1"/>
  <c r="Y2415" i="1"/>
  <c r="Z2415" i="1" s="1"/>
  <c r="X2415" i="1"/>
  <c r="AE2414" i="1"/>
  <c r="AD2414" i="1"/>
  <c r="AC2414" i="1"/>
  <c r="AB2414" i="1"/>
  <c r="AA2414" i="1"/>
  <c r="Y2414" i="1"/>
  <c r="Z2414" i="1" s="1"/>
  <c r="X2414" i="1"/>
  <c r="AE2413" i="1"/>
  <c r="AD2413" i="1"/>
  <c r="AC2413" i="1"/>
  <c r="AB2413" i="1"/>
  <c r="AA2413" i="1"/>
  <c r="Y2413" i="1"/>
  <c r="Z2413" i="1" s="1"/>
  <c r="X2413" i="1"/>
  <c r="AE2412" i="1"/>
  <c r="AD2412" i="1"/>
  <c r="AC2412" i="1"/>
  <c r="AB2412" i="1"/>
  <c r="AA2412" i="1"/>
  <c r="Y2412" i="1"/>
  <c r="Z2412" i="1" s="1"/>
  <c r="X2412" i="1"/>
  <c r="AE2411" i="1"/>
  <c r="AD2411" i="1"/>
  <c r="AC2411" i="1"/>
  <c r="AB2411" i="1"/>
  <c r="AA2411" i="1"/>
  <c r="Y2411" i="1"/>
  <c r="Z2411" i="1" s="1"/>
  <c r="X2411" i="1"/>
  <c r="AE2410" i="1"/>
  <c r="AD2410" i="1"/>
  <c r="AC2410" i="1"/>
  <c r="AB2410" i="1"/>
  <c r="AA2410" i="1"/>
  <c r="Y2410" i="1"/>
  <c r="Z2410" i="1" s="1"/>
  <c r="X2410" i="1"/>
  <c r="AE2409" i="1"/>
  <c r="AD2409" i="1"/>
  <c r="AC2409" i="1"/>
  <c r="AB2409" i="1"/>
  <c r="AA2409" i="1"/>
  <c r="Y2409" i="1"/>
  <c r="Z2409" i="1" s="1"/>
  <c r="X2409" i="1"/>
  <c r="AE2408" i="1"/>
  <c r="AD2408" i="1"/>
  <c r="AC2408" i="1"/>
  <c r="AB2408" i="1"/>
  <c r="AA2408" i="1"/>
  <c r="Y2408" i="1"/>
  <c r="Z2408" i="1" s="1"/>
  <c r="X2408" i="1"/>
  <c r="AE2407" i="1"/>
  <c r="AD2407" i="1"/>
  <c r="AC2407" i="1"/>
  <c r="AB2407" i="1"/>
  <c r="AA2407" i="1"/>
  <c r="Y2407" i="1"/>
  <c r="Z2407" i="1" s="1"/>
  <c r="X2407" i="1"/>
  <c r="AE2406" i="1"/>
  <c r="AD2406" i="1"/>
  <c r="AC2406" i="1"/>
  <c r="AB2406" i="1"/>
  <c r="AA2406" i="1"/>
  <c r="Y2406" i="1"/>
  <c r="Z2406" i="1" s="1"/>
  <c r="X2406" i="1"/>
  <c r="AE2405" i="1"/>
  <c r="AD2405" i="1"/>
  <c r="AC2405" i="1"/>
  <c r="AB2405" i="1"/>
  <c r="AA2405" i="1"/>
  <c r="Y2405" i="1"/>
  <c r="Z2405" i="1" s="1"/>
  <c r="X2405" i="1"/>
  <c r="AE2404" i="1"/>
  <c r="AD2404" i="1"/>
  <c r="AC2404" i="1"/>
  <c r="AB2404" i="1"/>
  <c r="AA2404" i="1"/>
  <c r="Y2404" i="1"/>
  <c r="Z2404" i="1" s="1"/>
  <c r="X2404" i="1"/>
  <c r="AE2403" i="1"/>
  <c r="AD2403" i="1"/>
  <c r="AC2403" i="1"/>
  <c r="AB2403" i="1"/>
  <c r="AA2403" i="1"/>
  <c r="Y2403" i="1"/>
  <c r="Z2403" i="1" s="1"/>
  <c r="X2403" i="1"/>
  <c r="AE2402" i="1"/>
  <c r="AD2402" i="1"/>
  <c r="AC2402" i="1"/>
  <c r="AB2402" i="1"/>
  <c r="AA2402" i="1"/>
  <c r="Y2402" i="1"/>
  <c r="Z2402" i="1" s="1"/>
  <c r="X2402" i="1"/>
  <c r="AE2401" i="1"/>
  <c r="AD2401" i="1"/>
  <c r="AC2401" i="1"/>
  <c r="AB2401" i="1"/>
  <c r="AA2401" i="1"/>
  <c r="Y2401" i="1"/>
  <c r="Z2401" i="1" s="1"/>
  <c r="X2401" i="1"/>
  <c r="AE2400" i="1"/>
  <c r="AD2400" i="1"/>
  <c r="AC2400" i="1"/>
  <c r="AB2400" i="1"/>
  <c r="AA2400" i="1"/>
  <c r="Y2400" i="1"/>
  <c r="Z2400" i="1" s="1"/>
  <c r="X2400" i="1"/>
  <c r="AE2399" i="1"/>
  <c r="AD2399" i="1"/>
  <c r="AC2399" i="1"/>
  <c r="AB2399" i="1"/>
  <c r="AA2399" i="1"/>
  <c r="Y2399" i="1"/>
  <c r="Z2399" i="1" s="1"/>
  <c r="X2399" i="1"/>
  <c r="AE2398" i="1"/>
  <c r="AD2398" i="1"/>
  <c r="AC2398" i="1"/>
  <c r="AB2398" i="1"/>
  <c r="AA2398" i="1"/>
  <c r="Y2398" i="1"/>
  <c r="Z2398" i="1" s="1"/>
  <c r="X2398" i="1"/>
  <c r="AE2397" i="1"/>
  <c r="AD2397" i="1"/>
  <c r="AC2397" i="1"/>
  <c r="AB2397" i="1"/>
  <c r="AA2397" i="1"/>
  <c r="Y2397" i="1"/>
  <c r="Z2397" i="1" s="1"/>
  <c r="X2397" i="1"/>
  <c r="AE2396" i="1"/>
  <c r="AD2396" i="1"/>
  <c r="AC2396" i="1"/>
  <c r="AB2396" i="1"/>
  <c r="AA2396" i="1"/>
  <c r="Y2396" i="1"/>
  <c r="Z2396" i="1" s="1"/>
  <c r="X2396" i="1"/>
  <c r="AE2395" i="1"/>
  <c r="AD2395" i="1"/>
  <c r="AC2395" i="1"/>
  <c r="AB2395" i="1"/>
  <c r="AA2395" i="1"/>
  <c r="Y2395" i="1"/>
  <c r="Z2395" i="1" s="1"/>
  <c r="X2395" i="1"/>
  <c r="AE2394" i="1"/>
  <c r="AD2394" i="1"/>
  <c r="AC2394" i="1"/>
  <c r="AB2394" i="1"/>
  <c r="AA2394" i="1"/>
  <c r="Y2394" i="1"/>
  <c r="Z2394" i="1" s="1"/>
  <c r="X2394" i="1"/>
  <c r="AE2393" i="1"/>
  <c r="AD2393" i="1"/>
  <c r="AC2393" i="1"/>
  <c r="AB2393" i="1"/>
  <c r="AA2393" i="1"/>
  <c r="Y2393" i="1"/>
  <c r="Z2393" i="1" s="1"/>
  <c r="X2393" i="1"/>
  <c r="AE2392" i="1"/>
  <c r="AD2392" i="1"/>
  <c r="AC2392" i="1"/>
  <c r="AB2392" i="1"/>
  <c r="AA2392" i="1"/>
  <c r="Y2392" i="1"/>
  <c r="Z2392" i="1" s="1"/>
  <c r="X2392" i="1"/>
  <c r="AE2391" i="1"/>
  <c r="AD2391" i="1"/>
  <c r="AC2391" i="1"/>
  <c r="AB2391" i="1"/>
  <c r="AA2391" i="1"/>
  <c r="Y2391" i="1"/>
  <c r="Z2391" i="1" s="1"/>
  <c r="X2391" i="1"/>
  <c r="AE2390" i="1"/>
  <c r="AD2390" i="1"/>
  <c r="AC2390" i="1"/>
  <c r="AB2390" i="1"/>
  <c r="AA2390" i="1"/>
  <c r="Y2390" i="1"/>
  <c r="Z2390" i="1" s="1"/>
  <c r="X2390" i="1"/>
  <c r="AE2389" i="1"/>
  <c r="AD2389" i="1"/>
  <c r="AC2389" i="1"/>
  <c r="AB2389" i="1"/>
  <c r="AA2389" i="1"/>
  <c r="Y2389" i="1"/>
  <c r="Z2389" i="1" s="1"/>
  <c r="X2389" i="1"/>
  <c r="AE2388" i="1"/>
  <c r="AD2388" i="1"/>
  <c r="AC2388" i="1"/>
  <c r="AB2388" i="1"/>
  <c r="AA2388" i="1"/>
  <c r="Y2388" i="1"/>
  <c r="Z2388" i="1" s="1"/>
  <c r="X2388" i="1"/>
  <c r="AE2387" i="1"/>
  <c r="AD2387" i="1"/>
  <c r="AC2387" i="1"/>
  <c r="AB2387" i="1"/>
  <c r="AA2387" i="1"/>
  <c r="Y2387" i="1"/>
  <c r="Z2387" i="1" s="1"/>
  <c r="X2387" i="1"/>
  <c r="AE2386" i="1"/>
  <c r="AD2386" i="1"/>
  <c r="AC2386" i="1"/>
  <c r="AB2386" i="1"/>
  <c r="AA2386" i="1"/>
  <c r="Y2386" i="1"/>
  <c r="Z2386" i="1" s="1"/>
  <c r="X2386" i="1"/>
  <c r="AE2385" i="1"/>
  <c r="AD2385" i="1"/>
  <c r="AC2385" i="1"/>
  <c r="AB2385" i="1"/>
  <c r="AA2385" i="1"/>
  <c r="Y2385" i="1"/>
  <c r="Z2385" i="1" s="1"/>
  <c r="X2385" i="1"/>
  <c r="AE2384" i="1"/>
  <c r="AD2384" i="1"/>
  <c r="AC2384" i="1"/>
  <c r="AB2384" i="1"/>
  <c r="AA2384" i="1"/>
  <c r="Y2384" i="1"/>
  <c r="Z2384" i="1" s="1"/>
  <c r="X2384" i="1"/>
  <c r="AE2383" i="1"/>
  <c r="AD2383" i="1"/>
  <c r="AC2383" i="1"/>
  <c r="AB2383" i="1"/>
  <c r="AA2383" i="1"/>
  <c r="Y2383" i="1"/>
  <c r="Z2383" i="1" s="1"/>
  <c r="X2383" i="1"/>
  <c r="AE2382" i="1"/>
  <c r="AD2382" i="1"/>
  <c r="AC2382" i="1"/>
  <c r="AB2382" i="1"/>
  <c r="AA2382" i="1"/>
  <c r="Y2382" i="1"/>
  <c r="Z2382" i="1" s="1"/>
  <c r="X2382" i="1"/>
  <c r="AE2381" i="1"/>
  <c r="AD2381" i="1"/>
  <c r="AC2381" i="1"/>
  <c r="AB2381" i="1"/>
  <c r="AA2381" i="1"/>
  <c r="Y2381" i="1"/>
  <c r="Z2381" i="1" s="1"/>
  <c r="X2381" i="1"/>
  <c r="AE2380" i="1"/>
  <c r="AD2380" i="1"/>
  <c r="AC2380" i="1"/>
  <c r="AB2380" i="1"/>
  <c r="AA2380" i="1"/>
  <c r="Y2380" i="1"/>
  <c r="Z2380" i="1" s="1"/>
  <c r="X2380" i="1"/>
  <c r="AE2379" i="1"/>
  <c r="AD2379" i="1"/>
  <c r="AC2379" i="1"/>
  <c r="AB2379" i="1"/>
  <c r="AA2379" i="1"/>
  <c r="Y2379" i="1"/>
  <c r="Z2379" i="1" s="1"/>
  <c r="X2379" i="1"/>
  <c r="AE2378" i="1"/>
  <c r="AD2378" i="1"/>
  <c r="AC2378" i="1"/>
  <c r="AB2378" i="1"/>
  <c r="AA2378" i="1"/>
  <c r="Y2378" i="1"/>
  <c r="Z2378" i="1" s="1"/>
  <c r="X2378" i="1"/>
  <c r="AE2377" i="1"/>
  <c r="AD2377" i="1"/>
  <c r="AC2377" i="1"/>
  <c r="AB2377" i="1"/>
  <c r="AA2377" i="1"/>
  <c r="Y2377" i="1"/>
  <c r="Z2377" i="1" s="1"/>
  <c r="X2377" i="1"/>
  <c r="AE2376" i="1"/>
  <c r="AD2376" i="1"/>
  <c r="AC2376" i="1"/>
  <c r="AB2376" i="1"/>
  <c r="AA2376" i="1"/>
  <c r="Y2376" i="1"/>
  <c r="Z2376" i="1" s="1"/>
  <c r="X2376" i="1"/>
  <c r="AE2375" i="1"/>
  <c r="AD2375" i="1"/>
  <c r="AC2375" i="1"/>
  <c r="AB2375" i="1"/>
  <c r="AA2375" i="1"/>
  <c r="Y2375" i="1"/>
  <c r="Z2375" i="1" s="1"/>
  <c r="X2375" i="1"/>
  <c r="AE2374" i="1"/>
  <c r="AD2374" i="1"/>
  <c r="AC2374" i="1"/>
  <c r="AB2374" i="1"/>
  <c r="AA2374" i="1"/>
  <c r="Y2374" i="1"/>
  <c r="Z2374" i="1" s="1"/>
  <c r="X2374" i="1"/>
  <c r="AE2373" i="1"/>
  <c r="AD2373" i="1"/>
  <c r="AC2373" i="1"/>
  <c r="AB2373" i="1"/>
  <c r="AA2373" i="1"/>
  <c r="Y2373" i="1"/>
  <c r="Z2373" i="1" s="1"/>
  <c r="X2373" i="1"/>
  <c r="AE2372" i="1"/>
  <c r="AD2372" i="1"/>
  <c r="AC2372" i="1"/>
  <c r="AB2372" i="1"/>
  <c r="AA2372" i="1"/>
  <c r="Y2372" i="1"/>
  <c r="Z2372" i="1" s="1"/>
  <c r="X2372" i="1"/>
  <c r="AE2371" i="1"/>
  <c r="AD2371" i="1"/>
  <c r="AC2371" i="1"/>
  <c r="AB2371" i="1"/>
  <c r="AA2371" i="1"/>
  <c r="Y2371" i="1"/>
  <c r="Z2371" i="1" s="1"/>
  <c r="X2371" i="1"/>
  <c r="AE2370" i="1"/>
  <c r="AD2370" i="1"/>
  <c r="AC2370" i="1"/>
  <c r="AB2370" i="1"/>
  <c r="AA2370" i="1"/>
  <c r="Y2370" i="1"/>
  <c r="Z2370" i="1" s="1"/>
  <c r="X2370" i="1"/>
  <c r="AE2369" i="1"/>
  <c r="AD2369" i="1"/>
  <c r="AC2369" i="1"/>
  <c r="AB2369" i="1"/>
  <c r="AA2369" i="1"/>
  <c r="Y2369" i="1"/>
  <c r="Z2369" i="1" s="1"/>
  <c r="X2369" i="1"/>
  <c r="AE2368" i="1"/>
  <c r="AD2368" i="1"/>
  <c r="AC2368" i="1"/>
  <c r="AB2368" i="1"/>
  <c r="AA2368" i="1"/>
  <c r="Y2368" i="1"/>
  <c r="Z2368" i="1" s="1"/>
  <c r="X2368" i="1"/>
  <c r="AE2367" i="1"/>
  <c r="AD2367" i="1"/>
  <c r="AC2367" i="1"/>
  <c r="AB2367" i="1"/>
  <c r="AA2367" i="1"/>
  <c r="Y2367" i="1"/>
  <c r="Z2367" i="1" s="1"/>
  <c r="X2367" i="1"/>
  <c r="AE2366" i="1"/>
  <c r="AD2366" i="1"/>
  <c r="AC2366" i="1"/>
  <c r="AB2366" i="1"/>
  <c r="AA2366" i="1"/>
  <c r="Y2366" i="1"/>
  <c r="Z2366" i="1" s="1"/>
  <c r="X2366" i="1"/>
  <c r="AE2365" i="1"/>
  <c r="AD2365" i="1"/>
  <c r="AC2365" i="1"/>
  <c r="AB2365" i="1"/>
  <c r="AA2365" i="1"/>
  <c r="Y2365" i="1"/>
  <c r="Z2365" i="1" s="1"/>
  <c r="X2365" i="1"/>
  <c r="AE2364" i="1"/>
  <c r="AD2364" i="1"/>
  <c r="AC2364" i="1"/>
  <c r="AB2364" i="1"/>
  <c r="AA2364" i="1"/>
  <c r="Y2364" i="1"/>
  <c r="Z2364" i="1" s="1"/>
  <c r="X2364" i="1"/>
  <c r="AE2363" i="1"/>
  <c r="AD2363" i="1"/>
  <c r="AC2363" i="1"/>
  <c r="AB2363" i="1"/>
  <c r="AA2363" i="1"/>
  <c r="Y2363" i="1"/>
  <c r="Z2363" i="1" s="1"/>
  <c r="X2363" i="1"/>
  <c r="AE2362" i="1"/>
  <c r="AD2362" i="1"/>
  <c r="AC2362" i="1"/>
  <c r="AB2362" i="1"/>
  <c r="AA2362" i="1"/>
  <c r="Y2362" i="1"/>
  <c r="Z2362" i="1" s="1"/>
  <c r="X2362" i="1"/>
  <c r="AE2361" i="1"/>
  <c r="AD2361" i="1"/>
  <c r="AC2361" i="1"/>
  <c r="AB2361" i="1"/>
  <c r="AA2361" i="1"/>
  <c r="Y2361" i="1"/>
  <c r="Z2361" i="1" s="1"/>
  <c r="X2361" i="1"/>
  <c r="AE2360" i="1"/>
  <c r="AD2360" i="1"/>
  <c r="AC2360" i="1"/>
  <c r="AB2360" i="1"/>
  <c r="AA2360" i="1"/>
  <c r="Y2360" i="1"/>
  <c r="Z2360" i="1" s="1"/>
  <c r="X2360" i="1"/>
  <c r="AE2359" i="1"/>
  <c r="AD2359" i="1"/>
  <c r="AC2359" i="1"/>
  <c r="AB2359" i="1"/>
  <c r="AA2359" i="1"/>
  <c r="Y2359" i="1"/>
  <c r="Z2359" i="1" s="1"/>
  <c r="X2359" i="1"/>
  <c r="AE2358" i="1"/>
  <c r="AD2358" i="1"/>
  <c r="AC2358" i="1"/>
  <c r="AB2358" i="1"/>
  <c r="AA2358" i="1"/>
  <c r="Y2358" i="1"/>
  <c r="Z2358" i="1" s="1"/>
  <c r="X2358" i="1"/>
  <c r="AE2357" i="1"/>
  <c r="AD2357" i="1"/>
  <c r="AC2357" i="1"/>
  <c r="AB2357" i="1"/>
  <c r="AA2357" i="1"/>
  <c r="Y2357" i="1"/>
  <c r="Z2357" i="1" s="1"/>
  <c r="X2357" i="1"/>
  <c r="AE2356" i="1"/>
  <c r="AD2356" i="1"/>
  <c r="AC2356" i="1"/>
  <c r="AB2356" i="1"/>
  <c r="AA2356" i="1"/>
  <c r="Y2356" i="1"/>
  <c r="Z2356" i="1" s="1"/>
  <c r="X2356" i="1"/>
  <c r="AE2355" i="1"/>
  <c r="AD2355" i="1"/>
  <c r="AC2355" i="1"/>
  <c r="AB2355" i="1"/>
  <c r="AA2355" i="1"/>
  <c r="Y2355" i="1"/>
  <c r="Z2355" i="1" s="1"/>
  <c r="X2355" i="1"/>
  <c r="AE2354" i="1"/>
  <c r="AD2354" i="1"/>
  <c r="AC2354" i="1"/>
  <c r="AB2354" i="1"/>
  <c r="AA2354" i="1"/>
  <c r="Y2354" i="1"/>
  <c r="Z2354" i="1" s="1"/>
  <c r="X2354" i="1"/>
  <c r="AE2353" i="1"/>
  <c r="AD2353" i="1"/>
  <c r="AC2353" i="1"/>
  <c r="AB2353" i="1"/>
  <c r="AA2353" i="1"/>
  <c r="Y2353" i="1"/>
  <c r="Z2353" i="1" s="1"/>
  <c r="X2353" i="1"/>
  <c r="AE2352" i="1"/>
  <c r="AD2352" i="1"/>
  <c r="AC2352" i="1"/>
  <c r="AB2352" i="1"/>
  <c r="AA2352" i="1"/>
  <c r="Y2352" i="1"/>
  <c r="Z2352" i="1" s="1"/>
  <c r="X2352" i="1"/>
  <c r="AE2351" i="1"/>
  <c r="AD2351" i="1"/>
  <c r="AC2351" i="1"/>
  <c r="AB2351" i="1"/>
  <c r="AA2351" i="1"/>
  <c r="Y2351" i="1"/>
  <c r="Z2351" i="1" s="1"/>
  <c r="X2351" i="1"/>
  <c r="AE2350" i="1"/>
  <c r="AD2350" i="1"/>
  <c r="AC2350" i="1"/>
  <c r="AB2350" i="1"/>
  <c r="AA2350" i="1"/>
  <c r="Y2350" i="1"/>
  <c r="Z2350" i="1" s="1"/>
  <c r="X2350" i="1"/>
  <c r="AE2349" i="1"/>
  <c r="AD2349" i="1"/>
  <c r="AC2349" i="1"/>
  <c r="AB2349" i="1"/>
  <c r="AA2349" i="1"/>
  <c r="Y2349" i="1"/>
  <c r="Z2349" i="1" s="1"/>
  <c r="X2349" i="1"/>
  <c r="AE2348" i="1"/>
  <c r="AD2348" i="1"/>
  <c r="AC2348" i="1"/>
  <c r="AB2348" i="1"/>
  <c r="AA2348" i="1"/>
  <c r="Y2348" i="1"/>
  <c r="Z2348" i="1" s="1"/>
  <c r="X2348" i="1"/>
  <c r="AE2347" i="1"/>
  <c r="AD2347" i="1"/>
  <c r="AC2347" i="1"/>
  <c r="AB2347" i="1"/>
  <c r="AA2347" i="1"/>
  <c r="Y2347" i="1"/>
  <c r="Z2347" i="1" s="1"/>
  <c r="X2347" i="1"/>
  <c r="AE2346" i="1"/>
  <c r="AD2346" i="1"/>
  <c r="AC2346" i="1"/>
  <c r="AB2346" i="1"/>
  <c r="AA2346" i="1"/>
  <c r="Y2346" i="1"/>
  <c r="Z2346" i="1" s="1"/>
  <c r="X2346" i="1"/>
  <c r="AE2345" i="1"/>
  <c r="AD2345" i="1"/>
  <c r="AC2345" i="1"/>
  <c r="AB2345" i="1"/>
  <c r="AA2345" i="1"/>
  <c r="Y2345" i="1"/>
  <c r="Z2345" i="1" s="1"/>
  <c r="X2345" i="1"/>
  <c r="AE2344" i="1"/>
  <c r="AD2344" i="1"/>
  <c r="AC2344" i="1"/>
  <c r="AB2344" i="1"/>
  <c r="AA2344" i="1"/>
  <c r="Y2344" i="1"/>
  <c r="Z2344" i="1" s="1"/>
  <c r="X2344" i="1"/>
  <c r="AE2343" i="1"/>
  <c r="AD2343" i="1"/>
  <c r="AC2343" i="1"/>
  <c r="AB2343" i="1"/>
  <c r="AA2343" i="1"/>
  <c r="Y2343" i="1"/>
  <c r="Z2343" i="1" s="1"/>
  <c r="X2343" i="1"/>
  <c r="AE2342" i="1"/>
  <c r="AD2342" i="1"/>
  <c r="AC2342" i="1"/>
  <c r="AB2342" i="1"/>
  <c r="AA2342" i="1"/>
  <c r="Y2342" i="1"/>
  <c r="Z2342" i="1" s="1"/>
  <c r="X2342" i="1"/>
  <c r="AE2341" i="1"/>
  <c r="AD2341" i="1"/>
  <c r="AC2341" i="1"/>
  <c r="AB2341" i="1"/>
  <c r="AA2341" i="1"/>
  <c r="Y2341" i="1"/>
  <c r="Z2341" i="1" s="1"/>
  <c r="X2341" i="1"/>
  <c r="AE2340" i="1"/>
  <c r="AD2340" i="1"/>
  <c r="AC2340" i="1"/>
  <c r="AB2340" i="1"/>
  <c r="AA2340" i="1"/>
  <c r="Y2340" i="1"/>
  <c r="Z2340" i="1" s="1"/>
  <c r="X2340" i="1"/>
  <c r="AE2339" i="1"/>
  <c r="AD2339" i="1"/>
  <c r="AC2339" i="1"/>
  <c r="AB2339" i="1"/>
  <c r="AA2339" i="1"/>
  <c r="Y2339" i="1"/>
  <c r="Z2339" i="1" s="1"/>
  <c r="X2339" i="1"/>
  <c r="AE2338" i="1"/>
  <c r="AD2338" i="1"/>
  <c r="AC2338" i="1"/>
  <c r="AB2338" i="1"/>
  <c r="AA2338" i="1"/>
  <c r="Y2338" i="1"/>
  <c r="Z2338" i="1" s="1"/>
  <c r="X2338" i="1"/>
  <c r="AE2337" i="1"/>
  <c r="AD2337" i="1"/>
  <c r="AC2337" i="1"/>
  <c r="AB2337" i="1"/>
  <c r="AA2337" i="1"/>
  <c r="Y2337" i="1"/>
  <c r="Z2337" i="1" s="1"/>
  <c r="X2337" i="1"/>
  <c r="AE2336" i="1"/>
  <c r="AD2336" i="1"/>
  <c r="AC2336" i="1"/>
  <c r="AB2336" i="1"/>
  <c r="AA2336" i="1"/>
  <c r="Y2336" i="1"/>
  <c r="Z2336" i="1" s="1"/>
  <c r="X2336" i="1"/>
  <c r="AE2335" i="1"/>
  <c r="AD2335" i="1"/>
  <c r="AC2335" i="1"/>
  <c r="AB2335" i="1"/>
  <c r="AA2335" i="1"/>
  <c r="Y2335" i="1"/>
  <c r="Z2335" i="1" s="1"/>
  <c r="X2335" i="1"/>
  <c r="AE2334" i="1"/>
  <c r="AD2334" i="1"/>
  <c r="AC2334" i="1"/>
  <c r="AB2334" i="1"/>
  <c r="AA2334" i="1"/>
  <c r="Y2334" i="1"/>
  <c r="Z2334" i="1" s="1"/>
  <c r="X2334" i="1"/>
  <c r="AE2333" i="1"/>
  <c r="AD2333" i="1"/>
  <c r="AC2333" i="1"/>
  <c r="AB2333" i="1"/>
  <c r="AA2333" i="1"/>
  <c r="Y2333" i="1"/>
  <c r="Z2333" i="1" s="1"/>
  <c r="X2333" i="1"/>
  <c r="AE2332" i="1"/>
  <c r="AD2332" i="1"/>
  <c r="AC2332" i="1"/>
  <c r="AB2332" i="1"/>
  <c r="AA2332" i="1"/>
  <c r="Y2332" i="1"/>
  <c r="Z2332" i="1" s="1"/>
  <c r="X2332" i="1"/>
  <c r="AE2331" i="1"/>
  <c r="AD2331" i="1"/>
  <c r="AC2331" i="1"/>
  <c r="AB2331" i="1"/>
  <c r="AA2331" i="1"/>
  <c r="Y2331" i="1"/>
  <c r="Z2331" i="1" s="1"/>
  <c r="X2331" i="1"/>
  <c r="AE2330" i="1"/>
  <c r="AD2330" i="1"/>
  <c r="AC2330" i="1"/>
  <c r="AB2330" i="1"/>
  <c r="AA2330" i="1"/>
  <c r="Y2330" i="1"/>
  <c r="Z2330" i="1" s="1"/>
  <c r="X2330" i="1"/>
  <c r="AE2329" i="1"/>
  <c r="AD2329" i="1"/>
  <c r="AC2329" i="1"/>
  <c r="AB2329" i="1"/>
  <c r="AA2329" i="1"/>
  <c r="Y2329" i="1"/>
  <c r="Z2329" i="1" s="1"/>
  <c r="X2329" i="1"/>
  <c r="AE2328" i="1"/>
  <c r="AD2328" i="1"/>
  <c r="AC2328" i="1"/>
  <c r="AB2328" i="1"/>
  <c r="AA2328" i="1"/>
  <c r="Y2328" i="1"/>
  <c r="Z2328" i="1" s="1"/>
  <c r="X2328" i="1"/>
  <c r="AE2327" i="1"/>
  <c r="AD2327" i="1"/>
  <c r="AC2327" i="1"/>
  <c r="AB2327" i="1"/>
  <c r="AA2327" i="1"/>
  <c r="Y2327" i="1"/>
  <c r="Z2327" i="1" s="1"/>
  <c r="X2327" i="1"/>
  <c r="AE2326" i="1"/>
  <c r="AD2326" i="1"/>
  <c r="AC2326" i="1"/>
  <c r="AB2326" i="1"/>
  <c r="AA2326" i="1"/>
  <c r="Y2326" i="1"/>
  <c r="Z2326" i="1" s="1"/>
  <c r="X2326" i="1"/>
  <c r="AE2325" i="1"/>
  <c r="AD2325" i="1"/>
  <c r="AC2325" i="1"/>
  <c r="AB2325" i="1"/>
  <c r="AA2325" i="1"/>
  <c r="Y2325" i="1"/>
  <c r="Z2325" i="1" s="1"/>
  <c r="X2325" i="1"/>
  <c r="AE2324" i="1"/>
  <c r="AD2324" i="1"/>
  <c r="AC2324" i="1"/>
  <c r="AB2324" i="1"/>
  <c r="AA2324" i="1"/>
  <c r="Y2324" i="1"/>
  <c r="Z2324" i="1" s="1"/>
  <c r="X2324" i="1"/>
  <c r="AE2323" i="1"/>
  <c r="AD2323" i="1"/>
  <c r="AC2323" i="1"/>
  <c r="AB2323" i="1"/>
  <c r="AA2323" i="1"/>
  <c r="Y2323" i="1"/>
  <c r="Z2323" i="1" s="1"/>
  <c r="X2323" i="1"/>
  <c r="AE2322" i="1"/>
  <c r="AD2322" i="1"/>
  <c r="AC2322" i="1"/>
  <c r="AB2322" i="1"/>
  <c r="AA2322" i="1"/>
  <c r="Y2322" i="1"/>
  <c r="Z2322" i="1" s="1"/>
  <c r="X2322" i="1"/>
  <c r="AE2321" i="1"/>
  <c r="AD2321" i="1"/>
  <c r="AC2321" i="1"/>
  <c r="AB2321" i="1"/>
  <c r="AA2321" i="1"/>
  <c r="Y2321" i="1"/>
  <c r="Z2321" i="1" s="1"/>
  <c r="X2321" i="1"/>
  <c r="AE2320" i="1"/>
  <c r="AD2320" i="1"/>
  <c r="AC2320" i="1"/>
  <c r="AB2320" i="1"/>
  <c r="AA2320" i="1"/>
  <c r="Y2320" i="1"/>
  <c r="Z2320" i="1" s="1"/>
  <c r="X2320" i="1"/>
  <c r="AE2319" i="1"/>
  <c r="AD2319" i="1"/>
  <c r="AC2319" i="1"/>
  <c r="AB2319" i="1"/>
  <c r="AA2319" i="1"/>
  <c r="Y2319" i="1"/>
  <c r="Z2319" i="1" s="1"/>
  <c r="X2319" i="1"/>
  <c r="AE2318" i="1"/>
  <c r="AD2318" i="1"/>
  <c r="AC2318" i="1"/>
  <c r="AB2318" i="1"/>
  <c r="AA2318" i="1"/>
  <c r="Y2318" i="1"/>
  <c r="Z2318" i="1" s="1"/>
  <c r="X2318" i="1"/>
  <c r="AE2317" i="1"/>
  <c r="AD2317" i="1"/>
  <c r="AC2317" i="1"/>
  <c r="AB2317" i="1"/>
  <c r="AA2317" i="1"/>
  <c r="Y2317" i="1"/>
  <c r="Z2317" i="1" s="1"/>
  <c r="X2317" i="1"/>
  <c r="AE2316" i="1"/>
  <c r="AD2316" i="1"/>
  <c r="AC2316" i="1"/>
  <c r="AB2316" i="1"/>
  <c r="AA2316" i="1"/>
  <c r="Y2316" i="1"/>
  <c r="Z2316" i="1" s="1"/>
  <c r="X2316" i="1"/>
  <c r="AE2315" i="1"/>
  <c r="AD2315" i="1"/>
  <c r="AC2315" i="1"/>
  <c r="AB2315" i="1"/>
  <c r="AA2315" i="1"/>
  <c r="Y2315" i="1"/>
  <c r="Z2315" i="1" s="1"/>
  <c r="X2315" i="1"/>
  <c r="AE2314" i="1"/>
  <c r="AD2314" i="1"/>
  <c r="AC2314" i="1"/>
  <c r="AB2314" i="1"/>
  <c r="AA2314" i="1"/>
  <c r="Y2314" i="1"/>
  <c r="Z2314" i="1" s="1"/>
  <c r="X2314" i="1"/>
  <c r="AE2313" i="1"/>
  <c r="AD2313" i="1"/>
  <c r="AC2313" i="1"/>
  <c r="AB2313" i="1"/>
  <c r="AA2313" i="1"/>
  <c r="Y2313" i="1"/>
  <c r="Z2313" i="1" s="1"/>
  <c r="X2313" i="1"/>
  <c r="AE2312" i="1"/>
  <c r="AD2312" i="1"/>
  <c r="AC2312" i="1"/>
  <c r="AB2312" i="1"/>
  <c r="AA2312" i="1"/>
  <c r="Y2312" i="1"/>
  <c r="Z2312" i="1" s="1"/>
  <c r="X2312" i="1"/>
  <c r="AE2311" i="1"/>
  <c r="AD2311" i="1"/>
  <c r="AC2311" i="1"/>
  <c r="AB2311" i="1"/>
  <c r="AA2311" i="1"/>
  <c r="Y2311" i="1"/>
  <c r="Z2311" i="1" s="1"/>
  <c r="X2311" i="1"/>
  <c r="AE2310" i="1"/>
  <c r="AD2310" i="1"/>
  <c r="AC2310" i="1"/>
  <c r="AB2310" i="1"/>
  <c r="AA2310" i="1"/>
  <c r="Y2310" i="1"/>
  <c r="Z2310" i="1" s="1"/>
  <c r="X2310" i="1"/>
  <c r="AE2309" i="1"/>
  <c r="AD2309" i="1"/>
  <c r="AC2309" i="1"/>
  <c r="AB2309" i="1"/>
  <c r="AA2309" i="1"/>
  <c r="Y2309" i="1"/>
  <c r="Z2309" i="1" s="1"/>
  <c r="X2309" i="1"/>
  <c r="AE2308" i="1"/>
  <c r="AD2308" i="1"/>
  <c r="AC2308" i="1"/>
  <c r="AB2308" i="1"/>
  <c r="AA2308" i="1"/>
  <c r="Y2308" i="1"/>
  <c r="Z2308" i="1" s="1"/>
  <c r="X2308" i="1"/>
  <c r="AE2307" i="1"/>
  <c r="AD2307" i="1"/>
  <c r="AC2307" i="1"/>
  <c r="AB2307" i="1"/>
  <c r="AA2307" i="1"/>
  <c r="Y2307" i="1"/>
  <c r="Z2307" i="1" s="1"/>
  <c r="X2307" i="1"/>
  <c r="AE2306" i="1"/>
  <c r="AD2306" i="1"/>
  <c r="AC2306" i="1"/>
  <c r="AB2306" i="1"/>
  <c r="AA2306" i="1"/>
  <c r="Y2306" i="1"/>
  <c r="Z2306" i="1" s="1"/>
  <c r="X2306" i="1"/>
  <c r="AE2305" i="1"/>
  <c r="AD2305" i="1"/>
  <c r="AC2305" i="1"/>
  <c r="AB2305" i="1"/>
  <c r="AA2305" i="1"/>
  <c r="Y2305" i="1"/>
  <c r="Z2305" i="1" s="1"/>
  <c r="X2305" i="1"/>
  <c r="AE2304" i="1"/>
  <c r="AD2304" i="1"/>
  <c r="AC2304" i="1"/>
  <c r="AB2304" i="1"/>
  <c r="AA2304" i="1"/>
  <c r="Y2304" i="1"/>
  <c r="Z2304" i="1" s="1"/>
  <c r="X2304" i="1"/>
  <c r="AE2303" i="1"/>
  <c r="AD2303" i="1"/>
  <c r="AC2303" i="1"/>
  <c r="AB2303" i="1"/>
  <c r="AA2303" i="1"/>
  <c r="Y2303" i="1"/>
  <c r="Z2303" i="1" s="1"/>
  <c r="X2303" i="1"/>
  <c r="AE2302" i="1"/>
  <c r="AD2302" i="1"/>
  <c r="AC2302" i="1"/>
  <c r="AB2302" i="1"/>
  <c r="AA2302" i="1"/>
  <c r="Y2302" i="1"/>
  <c r="Z2302" i="1" s="1"/>
  <c r="X2302" i="1"/>
  <c r="AE2301" i="1"/>
  <c r="AD2301" i="1"/>
  <c r="AC2301" i="1"/>
  <c r="AB2301" i="1"/>
  <c r="AA2301" i="1"/>
  <c r="Y2301" i="1"/>
  <c r="Z2301" i="1" s="1"/>
  <c r="X2301" i="1"/>
  <c r="AE2300" i="1"/>
  <c r="AD2300" i="1"/>
  <c r="AC2300" i="1"/>
  <c r="AB2300" i="1"/>
  <c r="AA2300" i="1"/>
  <c r="Y2300" i="1"/>
  <c r="Z2300" i="1" s="1"/>
  <c r="X2300" i="1"/>
  <c r="AE2299" i="1"/>
  <c r="AD2299" i="1"/>
  <c r="AC2299" i="1"/>
  <c r="AB2299" i="1"/>
  <c r="AA2299" i="1"/>
  <c r="Y2299" i="1"/>
  <c r="Z2299" i="1" s="1"/>
  <c r="X2299" i="1"/>
  <c r="AE2298" i="1"/>
  <c r="AD2298" i="1"/>
  <c r="AC2298" i="1"/>
  <c r="AB2298" i="1"/>
  <c r="AA2298" i="1"/>
  <c r="Y2298" i="1"/>
  <c r="Z2298" i="1" s="1"/>
  <c r="X2298" i="1"/>
  <c r="AE2297" i="1"/>
  <c r="AD2297" i="1"/>
  <c r="AC2297" i="1"/>
  <c r="AB2297" i="1"/>
  <c r="AA2297" i="1"/>
  <c r="Y2297" i="1"/>
  <c r="Z2297" i="1" s="1"/>
  <c r="X2297" i="1"/>
  <c r="AE2296" i="1"/>
  <c r="AD2296" i="1"/>
  <c r="AC2296" i="1"/>
  <c r="AB2296" i="1"/>
  <c r="AA2296" i="1"/>
  <c r="Y2296" i="1"/>
  <c r="Z2296" i="1" s="1"/>
  <c r="X2296" i="1"/>
  <c r="AE2295" i="1"/>
  <c r="AD2295" i="1"/>
  <c r="AC2295" i="1"/>
  <c r="AB2295" i="1"/>
  <c r="AA2295" i="1"/>
  <c r="Y2295" i="1"/>
  <c r="Z2295" i="1" s="1"/>
  <c r="X2295" i="1"/>
  <c r="AE2294" i="1"/>
  <c r="AD2294" i="1"/>
  <c r="AC2294" i="1"/>
  <c r="AB2294" i="1"/>
  <c r="AA2294" i="1"/>
  <c r="Y2294" i="1"/>
  <c r="Z2294" i="1" s="1"/>
  <c r="X2294" i="1"/>
  <c r="AE2293" i="1"/>
  <c r="AD2293" i="1"/>
  <c r="AC2293" i="1"/>
  <c r="AB2293" i="1"/>
  <c r="AA2293" i="1"/>
  <c r="Y2293" i="1"/>
  <c r="Z2293" i="1" s="1"/>
  <c r="X2293" i="1"/>
  <c r="AE2292" i="1"/>
  <c r="AD2292" i="1"/>
  <c r="AC2292" i="1"/>
  <c r="AB2292" i="1"/>
  <c r="AA2292" i="1"/>
  <c r="Y2292" i="1"/>
  <c r="Z2292" i="1" s="1"/>
  <c r="X2292" i="1"/>
  <c r="AE2291" i="1"/>
  <c r="AD2291" i="1"/>
  <c r="AC2291" i="1"/>
  <c r="AB2291" i="1"/>
  <c r="AA2291" i="1"/>
  <c r="Y2291" i="1"/>
  <c r="Z2291" i="1" s="1"/>
  <c r="X2291" i="1"/>
  <c r="AE2290" i="1"/>
  <c r="AD2290" i="1"/>
  <c r="AC2290" i="1"/>
  <c r="AB2290" i="1"/>
  <c r="AA2290" i="1"/>
  <c r="Y2290" i="1"/>
  <c r="Z2290" i="1" s="1"/>
  <c r="X2290" i="1"/>
  <c r="AE2289" i="1"/>
  <c r="AD2289" i="1"/>
  <c r="AC2289" i="1"/>
  <c r="AB2289" i="1"/>
  <c r="AA2289" i="1"/>
  <c r="Y2289" i="1"/>
  <c r="Z2289" i="1" s="1"/>
  <c r="X2289" i="1"/>
  <c r="AE2288" i="1"/>
  <c r="AD2288" i="1"/>
  <c r="AC2288" i="1"/>
  <c r="AB2288" i="1"/>
  <c r="AA2288" i="1"/>
  <c r="Y2288" i="1"/>
  <c r="Z2288" i="1" s="1"/>
  <c r="X2288" i="1"/>
  <c r="AE2287" i="1"/>
  <c r="AD2287" i="1"/>
  <c r="AC2287" i="1"/>
  <c r="AB2287" i="1"/>
  <c r="AA2287" i="1"/>
  <c r="Y2287" i="1"/>
  <c r="Z2287" i="1" s="1"/>
  <c r="X2287" i="1"/>
  <c r="AE2286" i="1"/>
  <c r="AD2286" i="1"/>
  <c r="AC2286" i="1"/>
  <c r="AB2286" i="1"/>
  <c r="AA2286" i="1"/>
  <c r="Y2286" i="1"/>
  <c r="Z2286" i="1" s="1"/>
  <c r="X2286" i="1"/>
  <c r="AE2285" i="1"/>
  <c r="AD2285" i="1"/>
  <c r="AC2285" i="1"/>
  <c r="AB2285" i="1"/>
  <c r="AA2285" i="1"/>
  <c r="Y2285" i="1"/>
  <c r="Z2285" i="1" s="1"/>
  <c r="X2285" i="1"/>
  <c r="AE2284" i="1"/>
  <c r="AD2284" i="1"/>
  <c r="AC2284" i="1"/>
  <c r="AB2284" i="1"/>
  <c r="AA2284" i="1"/>
  <c r="Y2284" i="1"/>
  <c r="Z2284" i="1" s="1"/>
  <c r="X2284" i="1"/>
  <c r="AE2283" i="1"/>
  <c r="AD2283" i="1"/>
  <c r="AC2283" i="1"/>
  <c r="AB2283" i="1"/>
  <c r="AA2283" i="1"/>
  <c r="Y2283" i="1"/>
  <c r="Z2283" i="1" s="1"/>
  <c r="X2283" i="1"/>
  <c r="AE2282" i="1"/>
  <c r="AD2282" i="1"/>
  <c r="AC2282" i="1"/>
  <c r="AB2282" i="1"/>
  <c r="AA2282" i="1"/>
  <c r="Y2282" i="1"/>
  <c r="Z2282" i="1" s="1"/>
  <c r="X2282" i="1"/>
  <c r="AE2281" i="1"/>
  <c r="AD2281" i="1"/>
  <c r="AC2281" i="1"/>
  <c r="AB2281" i="1"/>
  <c r="AA2281" i="1"/>
  <c r="Y2281" i="1"/>
  <c r="Z2281" i="1" s="1"/>
  <c r="X2281" i="1"/>
  <c r="AE2280" i="1"/>
  <c r="AD2280" i="1"/>
  <c r="AC2280" i="1"/>
  <c r="AB2280" i="1"/>
  <c r="AA2280" i="1"/>
  <c r="Y2280" i="1"/>
  <c r="Z2280" i="1" s="1"/>
  <c r="X2280" i="1"/>
  <c r="AE2279" i="1"/>
  <c r="AD2279" i="1"/>
  <c r="AC2279" i="1"/>
  <c r="AB2279" i="1"/>
  <c r="AA2279" i="1"/>
  <c r="Y2279" i="1"/>
  <c r="Z2279" i="1" s="1"/>
  <c r="X2279" i="1"/>
  <c r="AE2278" i="1"/>
  <c r="AD2278" i="1"/>
  <c r="AC2278" i="1"/>
  <c r="AB2278" i="1"/>
  <c r="AA2278" i="1"/>
  <c r="Y2278" i="1"/>
  <c r="Z2278" i="1" s="1"/>
  <c r="X2278" i="1"/>
  <c r="AE2277" i="1"/>
  <c r="AD2277" i="1"/>
  <c r="AC2277" i="1"/>
  <c r="AB2277" i="1"/>
  <c r="AA2277" i="1"/>
  <c r="Y2277" i="1"/>
  <c r="Z2277" i="1" s="1"/>
  <c r="X2277" i="1"/>
  <c r="AE2276" i="1"/>
  <c r="AD2276" i="1"/>
  <c r="AC2276" i="1"/>
  <c r="AB2276" i="1"/>
  <c r="AA2276" i="1"/>
  <c r="Y2276" i="1"/>
  <c r="Z2276" i="1" s="1"/>
  <c r="X2276" i="1"/>
  <c r="AE2275" i="1"/>
  <c r="AD2275" i="1"/>
  <c r="AC2275" i="1"/>
  <c r="AB2275" i="1"/>
  <c r="AA2275" i="1"/>
  <c r="Y2275" i="1"/>
  <c r="Z2275" i="1" s="1"/>
  <c r="X2275" i="1"/>
  <c r="AE2274" i="1"/>
  <c r="AD2274" i="1"/>
  <c r="AC2274" i="1"/>
  <c r="AB2274" i="1"/>
  <c r="AA2274" i="1"/>
  <c r="Y2274" i="1"/>
  <c r="Z2274" i="1" s="1"/>
  <c r="X2274" i="1"/>
  <c r="AE2273" i="1"/>
  <c r="AD2273" i="1"/>
  <c r="AC2273" i="1"/>
  <c r="AB2273" i="1"/>
  <c r="AA2273" i="1"/>
  <c r="Y2273" i="1"/>
  <c r="Z2273" i="1" s="1"/>
  <c r="X2273" i="1"/>
  <c r="AE2272" i="1"/>
  <c r="AD2272" i="1"/>
  <c r="AC2272" i="1"/>
  <c r="AB2272" i="1"/>
  <c r="AA2272" i="1"/>
  <c r="Y2272" i="1"/>
  <c r="Z2272" i="1" s="1"/>
  <c r="X2272" i="1"/>
  <c r="AE2271" i="1"/>
  <c r="AD2271" i="1"/>
  <c r="AC2271" i="1"/>
  <c r="AB2271" i="1"/>
  <c r="AA2271" i="1"/>
  <c r="Y2271" i="1"/>
  <c r="Z2271" i="1" s="1"/>
  <c r="X2271" i="1"/>
  <c r="AE2270" i="1"/>
  <c r="AD2270" i="1"/>
  <c r="AC2270" i="1"/>
  <c r="AB2270" i="1"/>
  <c r="AA2270" i="1"/>
  <c r="Y2270" i="1"/>
  <c r="Z2270" i="1" s="1"/>
  <c r="X2270" i="1"/>
  <c r="AE2269" i="1"/>
  <c r="AD2269" i="1"/>
  <c r="AC2269" i="1"/>
  <c r="AB2269" i="1"/>
  <c r="AA2269" i="1"/>
  <c r="Y2269" i="1"/>
  <c r="Z2269" i="1" s="1"/>
  <c r="X2269" i="1"/>
  <c r="AE2268" i="1"/>
  <c r="AD2268" i="1"/>
  <c r="AC2268" i="1"/>
  <c r="AB2268" i="1"/>
  <c r="AA2268" i="1"/>
  <c r="Y2268" i="1"/>
  <c r="Z2268" i="1" s="1"/>
  <c r="X2268" i="1"/>
  <c r="AE2267" i="1"/>
  <c r="AD2267" i="1"/>
  <c r="AC2267" i="1"/>
  <c r="AB2267" i="1"/>
  <c r="AA2267" i="1"/>
  <c r="Y2267" i="1"/>
  <c r="Z2267" i="1" s="1"/>
  <c r="X2267" i="1"/>
  <c r="AE2266" i="1"/>
  <c r="AD2266" i="1"/>
  <c r="AC2266" i="1"/>
  <c r="AB2266" i="1"/>
  <c r="AA2266" i="1"/>
  <c r="Y2266" i="1"/>
  <c r="Z2266" i="1" s="1"/>
  <c r="X2266" i="1"/>
  <c r="AE2265" i="1"/>
  <c r="AD2265" i="1"/>
  <c r="AC2265" i="1"/>
  <c r="AB2265" i="1"/>
  <c r="AA2265" i="1"/>
  <c r="Y2265" i="1"/>
  <c r="Z2265" i="1" s="1"/>
  <c r="X2265" i="1"/>
  <c r="AE2264" i="1"/>
  <c r="AD2264" i="1"/>
  <c r="AC2264" i="1"/>
  <c r="AB2264" i="1"/>
  <c r="AA2264" i="1"/>
  <c r="Y2264" i="1"/>
  <c r="Z2264" i="1" s="1"/>
  <c r="X2264" i="1"/>
  <c r="AE2263" i="1"/>
  <c r="AD2263" i="1"/>
  <c r="AC2263" i="1"/>
  <c r="AB2263" i="1"/>
  <c r="AA2263" i="1"/>
  <c r="Y2263" i="1"/>
  <c r="Z2263" i="1" s="1"/>
  <c r="X2263" i="1"/>
  <c r="AE2262" i="1"/>
  <c r="AD2262" i="1"/>
  <c r="AC2262" i="1"/>
  <c r="AB2262" i="1"/>
  <c r="AA2262" i="1"/>
  <c r="Y2262" i="1"/>
  <c r="Z2262" i="1" s="1"/>
  <c r="X2262" i="1"/>
  <c r="AE2261" i="1"/>
  <c r="AD2261" i="1"/>
  <c r="AC2261" i="1"/>
  <c r="AB2261" i="1"/>
  <c r="AA2261" i="1"/>
  <c r="Y2261" i="1"/>
  <c r="Z2261" i="1" s="1"/>
  <c r="X2261" i="1"/>
  <c r="AE2260" i="1"/>
  <c r="AD2260" i="1"/>
  <c r="AC2260" i="1"/>
  <c r="AB2260" i="1"/>
  <c r="AA2260" i="1"/>
  <c r="Y2260" i="1"/>
  <c r="Z2260" i="1" s="1"/>
  <c r="X2260" i="1"/>
  <c r="AE2259" i="1"/>
  <c r="AD2259" i="1"/>
  <c r="AC2259" i="1"/>
  <c r="AB2259" i="1"/>
  <c r="AA2259" i="1"/>
  <c r="Y2259" i="1"/>
  <c r="Z2259" i="1" s="1"/>
  <c r="X2259" i="1"/>
  <c r="AE2258" i="1"/>
  <c r="AD2258" i="1"/>
  <c r="AC2258" i="1"/>
  <c r="AB2258" i="1"/>
  <c r="AA2258" i="1"/>
  <c r="Y2258" i="1"/>
  <c r="Z2258" i="1" s="1"/>
  <c r="X2258" i="1"/>
  <c r="AE2257" i="1"/>
  <c r="AD2257" i="1"/>
  <c r="AC2257" i="1"/>
  <c r="AB2257" i="1"/>
  <c r="AA2257" i="1"/>
  <c r="Y2257" i="1"/>
  <c r="Z2257" i="1" s="1"/>
  <c r="X2257" i="1"/>
  <c r="AE2256" i="1"/>
  <c r="AD2256" i="1"/>
  <c r="AC2256" i="1"/>
  <c r="AB2256" i="1"/>
  <c r="AA2256" i="1"/>
  <c r="Y2256" i="1"/>
  <c r="Z2256" i="1" s="1"/>
  <c r="X2256" i="1"/>
  <c r="AE2255" i="1"/>
  <c r="AD2255" i="1"/>
  <c r="AC2255" i="1"/>
  <c r="AB2255" i="1"/>
  <c r="AA2255" i="1"/>
  <c r="Y2255" i="1"/>
  <c r="Z2255" i="1" s="1"/>
  <c r="X2255" i="1"/>
  <c r="AE2254" i="1"/>
  <c r="AD2254" i="1"/>
  <c r="AC2254" i="1"/>
  <c r="AB2254" i="1"/>
  <c r="AA2254" i="1"/>
  <c r="Y2254" i="1"/>
  <c r="Z2254" i="1" s="1"/>
  <c r="X2254" i="1"/>
  <c r="AE2253" i="1"/>
  <c r="AD2253" i="1"/>
  <c r="AC2253" i="1"/>
  <c r="AB2253" i="1"/>
  <c r="AA2253" i="1"/>
  <c r="Y2253" i="1"/>
  <c r="Z2253" i="1" s="1"/>
  <c r="X2253" i="1"/>
  <c r="AE2252" i="1"/>
  <c r="AD2252" i="1"/>
  <c r="AC2252" i="1"/>
  <c r="AB2252" i="1"/>
  <c r="AA2252" i="1"/>
  <c r="Y2252" i="1"/>
  <c r="Z2252" i="1" s="1"/>
  <c r="X2252" i="1"/>
  <c r="AE2251" i="1"/>
  <c r="AD2251" i="1"/>
  <c r="AC2251" i="1"/>
  <c r="AB2251" i="1"/>
  <c r="AA2251" i="1"/>
  <c r="Y2251" i="1"/>
  <c r="Z2251" i="1" s="1"/>
  <c r="X2251" i="1"/>
  <c r="AE2250" i="1"/>
  <c r="AD2250" i="1"/>
  <c r="AC2250" i="1"/>
  <c r="AB2250" i="1"/>
  <c r="AA2250" i="1"/>
  <c r="Y2250" i="1"/>
  <c r="Z2250" i="1" s="1"/>
  <c r="X2250" i="1"/>
  <c r="AE2249" i="1"/>
  <c r="AD2249" i="1"/>
  <c r="AC2249" i="1"/>
  <c r="AB2249" i="1"/>
  <c r="AA2249" i="1"/>
  <c r="Y2249" i="1"/>
  <c r="Z2249" i="1" s="1"/>
  <c r="X2249" i="1"/>
  <c r="AE2248" i="1"/>
  <c r="AD2248" i="1"/>
  <c r="AC2248" i="1"/>
  <c r="AB2248" i="1"/>
  <c r="AA2248" i="1"/>
  <c r="Y2248" i="1"/>
  <c r="Z2248" i="1" s="1"/>
  <c r="X2248" i="1"/>
  <c r="AE2247" i="1"/>
  <c r="AD2247" i="1"/>
  <c r="AC2247" i="1"/>
  <c r="AB2247" i="1"/>
  <c r="AA2247" i="1"/>
  <c r="Y2247" i="1"/>
  <c r="Z2247" i="1" s="1"/>
  <c r="X2247" i="1"/>
  <c r="AE2246" i="1"/>
  <c r="AD2246" i="1"/>
  <c r="AC2246" i="1"/>
  <c r="AB2246" i="1"/>
  <c r="AA2246" i="1"/>
  <c r="Y2246" i="1"/>
  <c r="Z2246" i="1" s="1"/>
  <c r="X2246" i="1"/>
  <c r="AE2245" i="1"/>
  <c r="AD2245" i="1"/>
  <c r="AC2245" i="1"/>
  <c r="AB2245" i="1"/>
  <c r="AA2245" i="1"/>
  <c r="Y2245" i="1"/>
  <c r="Z2245" i="1" s="1"/>
  <c r="X2245" i="1"/>
  <c r="AE2244" i="1"/>
  <c r="AD2244" i="1"/>
  <c r="AC2244" i="1"/>
  <c r="AB2244" i="1"/>
  <c r="AA2244" i="1"/>
  <c r="Y2244" i="1"/>
  <c r="Z2244" i="1" s="1"/>
  <c r="X2244" i="1"/>
  <c r="AE2243" i="1"/>
  <c r="AD2243" i="1"/>
  <c r="AC2243" i="1"/>
  <c r="AB2243" i="1"/>
  <c r="AA2243" i="1"/>
  <c r="Y2243" i="1"/>
  <c r="Z2243" i="1" s="1"/>
  <c r="X2243" i="1"/>
  <c r="AE2242" i="1"/>
  <c r="AD2242" i="1"/>
  <c r="AC2242" i="1"/>
  <c r="AB2242" i="1"/>
  <c r="AA2242" i="1"/>
  <c r="Y2242" i="1"/>
  <c r="Z2242" i="1" s="1"/>
  <c r="X2242" i="1"/>
  <c r="AE2241" i="1"/>
  <c r="AD2241" i="1"/>
  <c r="AC2241" i="1"/>
  <c r="AB2241" i="1"/>
  <c r="AA2241" i="1"/>
  <c r="Y2241" i="1"/>
  <c r="Z2241" i="1" s="1"/>
  <c r="X2241" i="1"/>
  <c r="AE2240" i="1"/>
  <c r="AD2240" i="1"/>
  <c r="AC2240" i="1"/>
  <c r="AB2240" i="1"/>
  <c r="AA2240" i="1"/>
  <c r="Y2240" i="1"/>
  <c r="Z2240" i="1" s="1"/>
  <c r="X2240" i="1"/>
  <c r="AE2239" i="1"/>
  <c r="AD2239" i="1"/>
  <c r="AC2239" i="1"/>
  <c r="AB2239" i="1"/>
  <c r="AA2239" i="1"/>
  <c r="Y2239" i="1"/>
  <c r="Z2239" i="1" s="1"/>
  <c r="X2239" i="1"/>
  <c r="AE2238" i="1"/>
  <c r="AD2238" i="1"/>
  <c r="AC2238" i="1"/>
  <c r="AB2238" i="1"/>
  <c r="AA2238" i="1"/>
  <c r="Y2238" i="1"/>
  <c r="Z2238" i="1" s="1"/>
  <c r="X2238" i="1"/>
  <c r="AE2237" i="1"/>
  <c r="AD2237" i="1"/>
  <c r="AC2237" i="1"/>
  <c r="AB2237" i="1"/>
  <c r="AA2237" i="1"/>
  <c r="Y2237" i="1"/>
  <c r="Z2237" i="1" s="1"/>
  <c r="X2237" i="1"/>
  <c r="AE2236" i="1"/>
  <c r="AD2236" i="1"/>
  <c r="AC2236" i="1"/>
  <c r="AB2236" i="1"/>
  <c r="AA2236" i="1"/>
  <c r="Y2236" i="1"/>
  <c r="Z2236" i="1" s="1"/>
  <c r="X2236" i="1"/>
  <c r="AE2235" i="1"/>
  <c r="AD2235" i="1"/>
  <c r="AC2235" i="1"/>
  <c r="AB2235" i="1"/>
  <c r="AA2235" i="1"/>
  <c r="Y2235" i="1"/>
  <c r="Z2235" i="1" s="1"/>
  <c r="X2235" i="1"/>
  <c r="AE2234" i="1"/>
  <c r="AD2234" i="1"/>
  <c r="AC2234" i="1"/>
  <c r="AB2234" i="1"/>
  <c r="AA2234" i="1"/>
  <c r="Y2234" i="1"/>
  <c r="Z2234" i="1" s="1"/>
  <c r="X2234" i="1"/>
  <c r="AE2233" i="1"/>
  <c r="AD2233" i="1"/>
  <c r="AC2233" i="1"/>
  <c r="AB2233" i="1"/>
  <c r="AA2233" i="1"/>
  <c r="Y2233" i="1"/>
  <c r="Z2233" i="1" s="1"/>
  <c r="X2233" i="1"/>
  <c r="AE2232" i="1"/>
  <c r="AD2232" i="1"/>
  <c r="AC2232" i="1"/>
  <c r="AB2232" i="1"/>
  <c r="AA2232" i="1"/>
  <c r="Y2232" i="1"/>
  <c r="Z2232" i="1" s="1"/>
  <c r="X2232" i="1"/>
  <c r="AE2231" i="1"/>
  <c r="AD2231" i="1"/>
  <c r="AC2231" i="1"/>
  <c r="AB2231" i="1"/>
  <c r="AA2231" i="1"/>
  <c r="Y2231" i="1"/>
  <c r="Z2231" i="1" s="1"/>
  <c r="X2231" i="1"/>
  <c r="AE2230" i="1"/>
  <c r="AD2230" i="1"/>
  <c r="AC2230" i="1"/>
  <c r="AB2230" i="1"/>
  <c r="AA2230" i="1"/>
  <c r="Y2230" i="1"/>
  <c r="Z2230" i="1" s="1"/>
  <c r="X2230" i="1"/>
  <c r="AE2229" i="1"/>
  <c r="AD2229" i="1"/>
  <c r="AC2229" i="1"/>
  <c r="AB2229" i="1"/>
  <c r="AA2229" i="1"/>
  <c r="Y2229" i="1"/>
  <c r="Z2229" i="1" s="1"/>
  <c r="X2229" i="1"/>
  <c r="AE2228" i="1"/>
  <c r="AD2228" i="1"/>
  <c r="AC2228" i="1"/>
  <c r="AB2228" i="1"/>
  <c r="AA2228" i="1"/>
  <c r="Y2228" i="1"/>
  <c r="Z2228" i="1" s="1"/>
  <c r="X2228" i="1"/>
  <c r="AE2227" i="1"/>
  <c r="AD2227" i="1"/>
  <c r="AC2227" i="1"/>
  <c r="AB2227" i="1"/>
  <c r="AA2227" i="1"/>
  <c r="Y2227" i="1"/>
  <c r="Z2227" i="1" s="1"/>
  <c r="X2227" i="1"/>
  <c r="AE2226" i="1"/>
  <c r="AD2226" i="1"/>
  <c r="AC2226" i="1"/>
  <c r="AB2226" i="1"/>
  <c r="AA2226" i="1"/>
  <c r="Y2226" i="1"/>
  <c r="Z2226" i="1" s="1"/>
  <c r="X2226" i="1"/>
  <c r="AE2225" i="1"/>
  <c r="AD2225" i="1"/>
  <c r="AC2225" i="1"/>
  <c r="AB2225" i="1"/>
  <c r="AA2225" i="1"/>
  <c r="Y2225" i="1"/>
  <c r="Z2225" i="1" s="1"/>
  <c r="X2225" i="1"/>
  <c r="AE2224" i="1"/>
  <c r="AD2224" i="1"/>
  <c r="AC2224" i="1"/>
  <c r="AB2224" i="1"/>
  <c r="AA2224" i="1"/>
  <c r="Y2224" i="1"/>
  <c r="Z2224" i="1" s="1"/>
  <c r="X2224" i="1"/>
  <c r="AE2223" i="1"/>
  <c r="AD2223" i="1"/>
  <c r="AC2223" i="1"/>
  <c r="AB2223" i="1"/>
  <c r="AA2223" i="1"/>
  <c r="Y2223" i="1"/>
  <c r="Z2223" i="1" s="1"/>
  <c r="X2223" i="1"/>
  <c r="AE2222" i="1"/>
  <c r="AD2222" i="1"/>
  <c r="AC2222" i="1"/>
  <c r="AB2222" i="1"/>
  <c r="AA2222" i="1"/>
  <c r="Y2222" i="1"/>
  <c r="Z2222" i="1" s="1"/>
  <c r="X2222" i="1"/>
  <c r="AE2221" i="1"/>
  <c r="AD2221" i="1"/>
  <c r="AC2221" i="1"/>
  <c r="AB2221" i="1"/>
  <c r="AA2221" i="1"/>
  <c r="Y2221" i="1"/>
  <c r="Z2221" i="1" s="1"/>
  <c r="X2221" i="1"/>
  <c r="AE2220" i="1"/>
  <c r="AD2220" i="1"/>
  <c r="AC2220" i="1"/>
  <c r="AB2220" i="1"/>
  <c r="AA2220" i="1"/>
  <c r="Y2220" i="1"/>
  <c r="Z2220" i="1" s="1"/>
  <c r="X2220" i="1"/>
  <c r="AE2219" i="1"/>
  <c r="AD2219" i="1"/>
  <c r="AC2219" i="1"/>
  <c r="AB2219" i="1"/>
  <c r="AA2219" i="1"/>
  <c r="Y2219" i="1"/>
  <c r="Z2219" i="1" s="1"/>
  <c r="X2219" i="1"/>
  <c r="AE2218" i="1"/>
  <c r="AD2218" i="1"/>
  <c r="AC2218" i="1"/>
  <c r="AB2218" i="1"/>
  <c r="AA2218" i="1"/>
  <c r="Y2218" i="1"/>
  <c r="Z2218" i="1" s="1"/>
  <c r="X2218" i="1"/>
  <c r="AE2217" i="1"/>
  <c r="AD2217" i="1"/>
  <c r="AC2217" i="1"/>
  <c r="AB2217" i="1"/>
  <c r="AA2217" i="1"/>
  <c r="Y2217" i="1"/>
  <c r="Z2217" i="1" s="1"/>
  <c r="X2217" i="1"/>
  <c r="AE2216" i="1"/>
  <c r="AD2216" i="1"/>
  <c r="AC2216" i="1"/>
  <c r="AB2216" i="1"/>
  <c r="AA2216" i="1"/>
  <c r="Y2216" i="1"/>
  <c r="Z2216" i="1" s="1"/>
  <c r="X2216" i="1"/>
  <c r="AE2215" i="1"/>
  <c r="AD2215" i="1"/>
  <c r="AC2215" i="1"/>
  <c r="AB2215" i="1"/>
  <c r="AA2215" i="1"/>
  <c r="Y2215" i="1"/>
  <c r="Z2215" i="1" s="1"/>
  <c r="X2215" i="1"/>
  <c r="AE2214" i="1"/>
  <c r="AD2214" i="1"/>
  <c r="AC2214" i="1"/>
  <c r="AB2214" i="1"/>
  <c r="AA2214" i="1"/>
  <c r="Y2214" i="1"/>
  <c r="Z2214" i="1" s="1"/>
  <c r="X2214" i="1"/>
  <c r="AE2213" i="1"/>
  <c r="AD2213" i="1"/>
  <c r="AC2213" i="1"/>
  <c r="AB2213" i="1"/>
  <c r="AA2213" i="1"/>
  <c r="Y2213" i="1"/>
  <c r="Z2213" i="1" s="1"/>
  <c r="X2213" i="1"/>
  <c r="AE2212" i="1"/>
  <c r="AD2212" i="1"/>
  <c r="AC2212" i="1"/>
  <c r="AB2212" i="1"/>
  <c r="AA2212" i="1"/>
  <c r="Y2212" i="1"/>
  <c r="Z2212" i="1" s="1"/>
  <c r="X2212" i="1"/>
  <c r="AE2211" i="1"/>
  <c r="AD2211" i="1"/>
  <c r="AC2211" i="1"/>
  <c r="AB2211" i="1"/>
  <c r="AA2211" i="1"/>
  <c r="Y2211" i="1"/>
  <c r="Z2211" i="1" s="1"/>
  <c r="X2211" i="1"/>
  <c r="AE2210" i="1"/>
  <c r="AD2210" i="1"/>
  <c r="AC2210" i="1"/>
  <c r="AB2210" i="1"/>
  <c r="AA2210" i="1"/>
  <c r="Y2210" i="1"/>
  <c r="Z2210" i="1" s="1"/>
  <c r="X2210" i="1"/>
  <c r="AE2209" i="1"/>
  <c r="AD2209" i="1"/>
  <c r="AC2209" i="1"/>
  <c r="AB2209" i="1"/>
  <c r="AA2209" i="1"/>
  <c r="Y2209" i="1"/>
  <c r="Z2209" i="1" s="1"/>
  <c r="X2209" i="1"/>
  <c r="AE2208" i="1"/>
  <c r="AD2208" i="1"/>
  <c r="AC2208" i="1"/>
  <c r="AB2208" i="1"/>
  <c r="AA2208" i="1"/>
  <c r="Y2208" i="1"/>
  <c r="Z2208" i="1" s="1"/>
  <c r="X2208" i="1"/>
  <c r="AE2207" i="1"/>
  <c r="AD2207" i="1"/>
  <c r="AC2207" i="1"/>
  <c r="AB2207" i="1"/>
  <c r="AA2207" i="1"/>
  <c r="Y2207" i="1"/>
  <c r="Z2207" i="1" s="1"/>
  <c r="X2207" i="1"/>
  <c r="AE2206" i="1"/>
  <c r="AD2206" i="1"/>
  <c r="AC2206" i="1"/>
  <c r="AB2206" i="1"/>
  <c r="AA2206" i="1"/>
  <c r="Y2206" i="1"/>
  <c r="Z2206" i="1" s="1"/>
  <c r="X2206" i="1"/>
  <c r="AE2205" i="1"/>
  <c r="AD2205" i="1"/>
  <c r="AC2205" i="1"/>
  <c r="AB2205" i="1"/>
  <c r="AA2205" i="1"/>
  <c r="Y2205" i="1"/>
  <c r="Z2205" i="1" s="1"/>
  <c r="X2205" i="1"/>
  <c r="AE2204" i="1"/>
  <c r="AD2204" i="1"/>
  <c r="AC2204" i="1"/>
  <c r="AB2204" i="1"/>
  <c r="AA2204" i="1"/>
  <c r="Y2204" i="1"/>
  <c r="Z2204" i="1" s="1"/>
  <c r="X2204" i="1"/>
  <c r="AE2203" i="1"/>
  <c r="AD2203" i="1"/>
  <c r="AC2203" i="1"/>
  <c r="AB2203" i="1"/>
  <c r="AA2203" i="1"/>
  <c r="Y2203" i="1"/>
  <c r="Z2203" i="1" s="1"/>
  <c r="X2203" i="1"/>
  <c r="AE2202" i="1"/>
  <c r="AD2202" i="1"/>
  <c r="AC2202" i="1"/>
  <c r="AB2202" i="1"/>
  <c r="AA2202" i="1"/>
  <c r="Y2202" i="1"/>
  <c r="Z2202" i="1" s="1"/>
  <c r="X2202" i="1"/>
  <c r="AE2201" i="1"/>
  <c r="AD2201" i="1"/>
  <c r="AC2201" i="1"/>
  <c r="AB2201" i="1"/>
  <c r="AA2201" i="1"/>
  <c r="Y2201" i="1"/>
  <c r="Z2201" i="1" s="1"/>
  <c r="X2201" i="1"/>
  <c r="AE2200" i="1"/>
  <c r="AD2200" i="1"/>
  <c r="AC2200" i="1"/>
  <c r="AB2200" i="1"/>
  <c r="AA2200" i="1"/>
  <c r="Y2200" i="1"/>
  <c r="Z2200" i="1" s="1"/>
  <c r="X2200" i="1"/>
  <c r="AE2199" i="1"/>
  <c r="AD2199" i="1"/>
  <c r="AC2199" i="1"/>
  <c r="AB2199" i="1"/>
  <c r="AA2199" i="1"/>
  <c r="Y2199" i="1"/>
  <c r="Z2199" i="1" s="1"/>
  <c r="X2199" i="1"/>
  <c r="AE2198" i="1"/>
  <c r="AD2198" i="1"/>
  <c r="AC2198" i="1"/>
  <c r="AB2198" i="1"/>
  <c r="AA2198" i="1"/>
  <c r="Y2198" i="1"/>
  <c r="Z2198" i="1" s="1"/>
  <c r="X2198" i="1"/>
  <c r="AE2197" i="1"/>
  <c r="AD2197" i="1"/>
  <c r="AC2197" i="1"/>
  <c r="AB2197" i="1"/>
  <c r="AA2197" i="1"/>
  <c r="Y2197" i="1"/>
  <c r="Z2197" i="1" s="1"/>
  <c r="X2197" i="1"/>
  <c r="AE2196" i="1"/>
  <c r="AD2196" i="1"/>
  <c r="AC2196" i="1"/>
  <c r="AB2196" i="1"/>
  <c r="AA2196" i="1"/>
  <c r="Y2196" i="1"/>
  <c r="Z2196" i="1" s="1"/>
  <c r="X2196" i="1"/>
  <c r="AE2195" i="1"/>
  <c r="AD2195" i="1"/>
  <c r="AC2195" i="1"/>
  <c r="AB2195" i="1"/>
  <c r="AA2195" i="1"/>
  <c r="Y2195" i="1"/>
  <c r="Z2195" i="1" s="1"/>
  <c r="X2195" i="1"/>
  <c r="AE2194" i="1"/>
  <c r="AD2194" i="1"/>
  <c r="AC2194" i="1"/>
  <c r="AB2194" i="1"/>
  <c r="AA2194" i="1"/>
  <c r="Y2194" i="1"/>
  <c r="Z2194" i="1" s="1"/>
  <c r="X2194" i="1"/>
  <c r="AE2193" i="1"/>
  <c r="AD2193" i="1"/>
  <c r="AC2193" i="1"/>
  <c r="AB2193" i="1"/>
  <c r="AA2193" i="1"/>
  <c r="Y2193" i="1"/>
  <c r="Z2193" i="1" s="1"/>
  <c r="X2193" i="1"/>
  <c r="AE2192" i="1"/>
  <c r="AD2192" i="1"/>
  <c r="AC2192" i="1"/>
  <c r="AB2192" i="1"/>
  <c r="AA2192" i="1"/>
  <c r="Y2192" i="1"/>
  <c r="Z2192" i="1" s="1"/>
  <c r="X2192" i="1"/>
  <c r="AE2191" i="1"/>
  <c r="AD2191" i="1"/>
  <c r="AC2191" i="1"/>
  <c r="AB2191" i="1"/>
  <c r="AA2191" i="1"/>
  <c r="Y2191" i="1"/>
  <c r="Z2191" i="1" s="1"/>
  <c r="X2191" i="1"/>
  <c r="AE2190" i="1"/>
  <c r="AD2190" i="1"/>
  <c r="AC2190" i="1"/>
  <c r="AB2190" i="1"/>
  <c r="AA2190" i="1"/>
  <c r="Y2190" i="1"/>
  <c r="Z2190" i="1" s="1"/>
  <c r="X2190" i="1"/>
  <c r="AE2189" i="1"/>
  <c r="AD2189" i="1"/>
  <c r="AC2189" i="1"/>
  <c r="AB2189" i="1"/>
  <c r="AA2189" i="1"/>
  <c r="Y2189" i="1"/>
  <c r="Z2189" i="1" s="1"/>
  <c r="X2189" i="1"/>
  <c r="AE2188" i="1"/>
  <c r="AD2188" i="1"/>
  <c r="AC2188" i="1"/>
  <c r="AB2188" i="1"/>
  <c r="AA2188" i="1"/>
  <c r="Y2188" i="1"/>
  <c r="Z2188" i="1" s="1"/>
  <c r="X2188" i="1"/>
  <c r="AE2187" i="1"/>
  <c r="AD2187" i="1"/>
  <c r="AC2187" i="1"/>
  <c r="AB2187" i="1"/>
  <c r="AA2187" i="1"/>
  <c r="Y2187" i="1"/>
  <c r="Z2187" i="1" s="1"/>
  <c r="X2187" i="1"/>
  <c r="AE2186" i="1"/>
  <c r="AD2186" i="1"/>
  <c r="AC2186" i="1"/>
  <c r="AB2186" i="1"/>
  <c r="AA2186" i="1"/>
  <c r="Y2186" i="1"/>
  <c r="Z2186" i="1" s="1"/>
  <c r="X2186" i="1"/>
  <c r="AE2185" i="1"/>
  <c r="AD2185" i="1"/>
  <c r="AC2185" i="1"/>
  <c r="AB2185" i="1"/>
  <c r="AA2185" i="1"/>
  <c r="Y2185" i="1"/>
  <c r="Z2185" i="1" s="1"/>
  <c r="X2185" i="1"/>
  <c r="AE2184" i="1"/>
  <c r="AD2184" i="1"/>
  <c r="AC2184" i="1"/>
  <c r="AB2184" i="1"/>
  <c r="AA2184" i="1"/>
  <c r="Y2184" i="1"/>
  <c r="Z2184" i="1" s="1"/>
  <c r="X2184" i="1"/>
  <c r="AE2183" i="1"/>
  <c r="AD2183" i="1"/>
  <c r="AC2183" i="1"/>
  <c r="AB2183" i="1"/>
  <c r="AA2183" i="1"/>
  <c r="Y2183" i="1"/>
  <c r="Z2183" i="1" s="1"/>
  <c r="X2183" i="1"/>
  <c r="AE2182" i="1"/>
  <c r="AD2182" i="1"/>
  <c r="AC2182" i="1"/>
  <c r="AB2182" i="1"/>
  <c r="AA2182" i="1"/>
  <c r="Y2182" i="1"/>
  <c r="Z2182" i="1" s="1"/>
  <c r="X2182" i="1"/>
  <c r="AE2181" i="1"/>
  <c r="AD2181" i="1"/>
  <c r="AC2181" i="1"/>
  <c r="AB2181" i="1"/>
  <c r="AA2181" i="1"/>
  <c r="Y2181" i="1"/>
  <c r="Z2181" i="1" s="1"/>
  <c r="X2181" i="1"/>
  <c r="AE2180" i="1"/>
  <c r="AD2180" i="1"/>
  <c r="AC2180" i="1"/>
  <c r="AB2180" i="1"/>
  <c r="AA2180" i="1"/>
  <c r="Y2180" i="1"/>
  <c r="Z2180" i="1" s="1"/>
  <c r="X2180" i="1"/>
  <c r="AE2179" i="1"/>
  <c r="AD2179" i="1"/>
  <c r="AC2179" i="1"/>
  <c r="AB2179" i="1"/>
  <c r="AA2179" i="1"/>
  <c r="Y2179" i="1"/>
  <c r="Z2179" i="1" s="1"/>
  <c r="X2179" i="1"/>
  <c r="AE2178" i="1"/>
  <c r="AD2178" i="1"/>
  <c r="AC2178" i="1"/>
  <c r="AB2178" i="1"/>
  <c r="AA2178" i="1"/>
  <c r="Y2178" i="1"/>
  <c r="Z2178" i="1" s="1"/>
  <c r="X2178" i="1"/>
  <c r="AE2177" i="1"/>
  <c r="AD2177" i="1"/>
  <c r="AC2177" i="1"/>
  <c r="AB2177" i="1"/>
  <c r="AA2177" i="1"/>
  <c r="Y2177" i="1"/>
  <c r="Z2177" i="1" s="1"/>
  <c r="X2177" i="1"/>
  <c r="AE2176" i="1"/>
  <c r="AD2176" i="1"/>
  <c r="AC2176" i="1"/>
  <c r="AB2176" i="1"/>
  <c r="AA2176" i="1"/>
  <c r="Y2176" i="1"/>
  <c r="Z2176" i="1" s="1"/>
  <c r="X2176" i="1"/>
  <c r="AE2175" i="1"/>
  <c r="AD2175" i="1"/>
  <c r="AC2175" i="1"/>
  <c r="AB2175" i="1"/>
  <c r="AA2175" i="1"/>
  <c r="Y2175" i="1"/>
  <c r="Z2175" i="1" s="1"/>
  <c r="X2175" i="1"/>
  <c r="AE2174" i="1"/>
  <c r="AD2174" i="1"/>
  <c r="AC2174" i="1"/>
  <c r="AB2174" i="1"/>
  <c r="AA2174" i="1"/>
  <c r="Y2174" i="1"/>
  <c r="Z2174" i="1" s="1"/>
  <c r="X2174" i="1"/>
  <c r="AE2173" i="1"/>
  <c r="AD2173" i="1"/>
  <c r="AC2173" i="1"/>
  <c r="AB2173" i="1"/>
  <c r="AA2173" i="1"/>
  <c r="Y2173" i="1"/>
  <c r="Z2173" i="1" s="1"/>
  <c r="X2173" i="1"/>
  <c r="AE2172" i="1"/>
  <c r="AD2172" i="1"/>
  <c r="AC2172" i="1"/>
  <c r="AB2172" i="1"/>
  <c r="AA2172" i="1"/>
  <c r="Y2172" i="1"/>
  <c r="Z2172" i="1" s="1"/>
  <c r="X2172" i="1"/>
  <c r="AE2171" i="1"/>
  <c r="AD2171" i="1"/>
  <c r="AC2171" i="1"/>
  <c r="AB2171" i="1"/>
  <c r="AA2171" i="1"/>
  <c r="Y2171" i="1"/>
  <c r="Z2171" i="1" s="1"/>
  <c r="X2171" i="1"/>
  <c r="AE2170" i="1"/>
  <c r="AD2170" i="1"/>
  <c r="AC2170" i="1"/>
  <c r="AB2170" i="1"/>
  <c r="AA2170" i="1"/>
  <c r="Y2170" i="1"/>
  <c r="Z2170" i="1" s="1"/>
  <c r="X2170" i="1"/>
  <c r="AE2169" i="1"/>
  <c r="AD2169" i="1"/>
  <c r="AC2169" i="1"/>
  <c r="AB2169" i="1"/>
  <c r="AA2169" i="1"/>
  <c r="Y2169" i="1"/>
  <c r="Z2169" i="1" s="1"/>
  <c r="X2169" i="1"/>
  <c r="AE2168" i="1"/>
  <c r="AD2168" i="1"/>
  <c r="AC2168" i="1"/>
  <c r="AB2168" i="1"/>
  <c r="AA2168" i="1"/>
  <c r="Y2168" i="1"/>
  <c r="Z2168" i="1" s="1"/>
  <c r="X2168" i="1"/>
  <c r="AE2167" i="1"/>
  <c r="AD2167" i="1"/>
  <c r="AC2167" i="1"/>
  <c r="AB2167" i="1"/>
  <c r="AA2167" i="1"/>
  <c r="Y2167" i="1"/>
  <c r="Z2167" i="1" s="1"/>
  <c r="X2167" i="1"/>
  <c r="AE2166" i="1"/>
  <c r="AD2166" i="1"/>
  <c r="AC2166" i="1"/>
  <c r="AB2166" i="1"/>
  <c r="AA2166" i="1"/>
  <c r="Y2166" i="1"/>
  <c r="Z2166" i="1" s="1"/>
  <c r="X2166" i="1"/>
  <c r="AE2165" i="1"/>
  <c r="AD2165" i="1"/>
  <c r="AC2165" i="1"/>
  <c r="AB2165" i="1"/>
  <c r="AA2165" i="1"/>
  <c r="Y2165" i="1"/>
  <c r="Z2165" i="1" s="1"/>
  <c r="X2165" i="1"/>
  <c r="AE2164" i="1"/>
  <c r="AD2164" i="1"/>
  <c r="AC2164" i="1"/>
  <c r="AB2164" i="1"/>
  <c r="AA2164" i="1"/>
  <c r="Y2164" i="1"/>
  <c r="Z2164" i="1" s="1"/>
  <c r="X2164" i="1"/>
  <c r="AE2163" i="1"/>
  <c r="AD2163" i="1"/>
  <c r="AC2163" i="1"/>
  <c r="AB2163" i="1"/>
  <c r="AA2163" i="1"/>
  <c r="Y2163" i="1"/>
  <c r="Z2163" i="1" s="1"/>
  <c r="X2163" i="1"/>
  <c r="AE2162" i="1"/>
  <c r="AD2162" i="1"/>
  <c r="AC2162" i="1"/>
  <c r="AB2162" i="1"/>
  <c r="AA2162" i="1"/>
  <c r="Y2162" i="1"/>
  <c r="Z2162" i="1" s="1"/>
  <c r="X2162" i="1"/>
  <c r="AE2161" i="1"/>
  <c r="AD2161" i="1"/>
  <c r="AC2161" i="1"/>
  <c r="AB2161" i="1"/>
  <c r="AA2161" i="1"/>
  <c r="Y2161" i="1"/>
  <c r="Z2161" i="1" s="1"/>
  <c r="X2161" i="1"/>
  <c r="AE2160" i="1"/>
  <c r="AD2160" i="1"/>
  <c r="AC2160" i="1"/>
  <c r="AB2160" i="1"/>
  <c r="AA2160" i="1"/>
  <c r="Y2160" i="1"/>
  <c r="Z2160" i="1" s="1"/>
  <c r="X2160" i="1"/>
  <c r="AE2159" i="1"/>
  <c r="AD2159" i="1"/>
  <c r="AC2159" i="1"/>
  <c r="AB2159" i="1"/>
  <c r="AA2159" i="1"/>
  <c r="Y2159" i="1"/>
  <c r="Z2159" i="1" s="1"/>
  <c r="X2159" i="1"/>
  <c r="AE2158" i="1"/>
  <c r="AD2158" i="1"/>
  <c r="AC2158" i="1"/>
  <c r="AB2158" i="1"/>
  <c r="AA2158" i="1"/>
  <c r="Y2158" i="1"/>
  <c r="Z2158" i="1" s="1"/>
  <c r="X2158" i="1"/>
  <c r="AE2157" i="1"/>
  <c r="AD2157" i="1"/>
  <c r="AC2157" i="1"/>
  <c r="AB2157" i="1"/>
  <c r="AA2157" i="1"/>
  <c r="Y2157" i="1"/>
  <c r="Z2157" i="1" s="1"/>
  <c r="X2157" i="1"/>
  <c r="AE2156" i="1"/>
  <c r="AD2156" i="1"/>
  <c r="AC2156" i="1"/>
  <c r="AB2156" i="1"/>
  <c r="AA2156" i="1"/>
  <c r="Y2156" i="1"/>
  <c r="Z2156" i="1" s="1"/>
  <c r="X2156" i="1"/>
  <c r="AE2155" i="1"/>
  <c r="AD2155" i="1"/>
  <c r="AC2155" i="1"/>
  <c r="AB2155" i="1"/>
  <c r="AA2155" i="1"/>
  <c r="Y2155" i="1"/>
  <c r="Z2155" i="1" s="1"/>
  <c r="X2155" i="1"/>
  <c r="AE2154" i="1"/>
  <c r="AD2154" i="1"/>
  <c r="AC2154" i="1"/>
  <c r="AB2154" i="1"/>
  <c r="AA2154" i="1"/>
  <c r="Y2154" i="1"/>
  <c r="Z2154" i="1" s="1"/>
  <c r="X2154" i="1"/>
  <c r="AE2153" i="1"/>
  <c r="AD2153" i="1"/>
  <c r="AC2153" i="1"/>
  <c r="AB2153" i="1"/>
  <c r="AA2153" i="1"/>
  <c r="Y2153" i="1"/>
  <c r="Z2153" i="1" s="1"/>
  <c r="X2153" i="1"/>
  <c r="AE2152" i="1"/>
  <c r="AD2152" i="1"/>
  <c r="AC2152" i="1"/>
  <c r="AB2152" i="1"/>
  <c r="AA2152" i="1"/>
  <c r="Y2152" i="1"/>
  <c r="Z2152" i="1" s="1"/>
  <c r="X2152" i="1"/>
  <c r="AE2151" i="1"/>
  <c r="AD2151" i="1"/>
  <c r="AC2151" i="1"/>
  <c r="AB2151" i="1"/>
  <c r="AA2151" i="1"/>
  <c r="Y2151" i="1"/>
  <c r="Z2151" i="1" s="1"/>
  <c r="X2151" i="1"/>
  <c r="AE2150" i="1"/>
  <c r="AD2150" i="1"/>
  <c r="AC2150" i="1"/>
  <c r="AB2150" i="1"/>
  <c r="AA2150" i="1"/>
  <c r="Y2150" i="1"/>
  <c r="Z2150" i="1" s="1"/>
  <c r="X2150" i="1"/>
  <c r="AE2149" i="1"/>
  <c r="AD2149" i="1"/>
  <c r="AC2149" i="1"/>
  <c r="AB2149" i="1"/>
  <c r="AA2149" i="1"/>
  <c r="Y2149" i="1"/>
  <c r="Z2149" i="1" s="1"/>
  <c r="X2149" i="1"/>
  <c r="AE2148" i="1"/>
  <c r="AD2148" i="1"/>
  <c r="AC2148" i="1"/>
  <c r="AB2148" i="1"/>
  <c r="AA2148" i="1"/>
  <c r="Y2148" i="1"/>
  <c r="Z2148" i="1" s="1"/>
  <c r="X2148" i="1"/>
  <c r="AE2147" i="1"/>
  <c r="AD2147" i="1"/>
  <c r="AC2147" i="1"/>
  <c r="AB2147" i="1"/>
  <c r="AA2147" i="1"/>
  <c r="Y2147" i="1"/>
  <c r="Z2147" i="1" s="1"/>
  <c r="X2147" i="1"/>
  <c r="AE2146" i="1"/>
  <c r="AD2146" i="1"/>
  <c r="AC2146" i="1"/>
  <c r="AB2146" i="1"/>
  <c r="AA2146" i="1"/>
  <c r="Y2146" i="1"/>
  <c r="Z2146" i="1" s="1"/>
  <c r="X2146" i="1"/>
  <c r="AE2145" i="1"/>
  <c r="AD2145" i="1"/>
  <c r="AC2145" i="1"/>
  <c r="AB2145" i="1"/>
  <c r="AA2145" i="1"/>
  <c r="Y2145" i="1"/>
  <c r="Z2145" i="1" s="1"/>
  <c r="X2145" i="1"/>
  <c r="AE2144" i="1"/>
  <c r="AD2144" i="1"/>
  <c r="AC2144" i="1"/>
  <c r="AB2144" i="1"/>
  <c r="AA2144" i="1"/>
  <c r="Y2144" i="1"/>
  <c r="Z2144" i="1" s="1"/>
  <c r="X2144" i="1"/>
  <c r="AE2143" i="1"/>
  <c r="AD2143" i="1"/>
  <c r="AC2143" i="1"/>
  <c r="AB2143" i="1"/>
  <c r="AA2143" i="1"/>
  <c r="Y2143" i="1"/>
  <c r="Z2143" i="1" s="1"/>
  <c r="X2143" i="1"/>
  <c r="AE2142" i="1"/>
  <c r="AD2142" i="1"/>
  <c r="AC2142" i="1"/>
  <c r="AB2142" i="1"/>
  <c r="AA2142" i="1"/>
  <c r="Y2142" i="1"/>
  <c r="Z2142" i="1" s="1"/>
  <c r="X2142" i="1"/>
  <c r="AE2141" i="1"/>
  <c r="AD2141" i="1"/>
  <c r="AC2141" i="1"/>
  <c r="AB2141" i="1"/>
  <c r="AA2141" i="1"/>
  <c r="Y2141" i="1"/>
  <c r="Z2141" i="1" s="1"/>
  <c r="X2141" i="1"/>
  <c r="AE2140" i="1"/>
  <c r="AD2140" i="1"/>
  <c r="AC2140" i="1"/>
  <c r="AB2140" i="1"/>
  <c r="AA2140" i="1"/>
  <c r="Y2140" i="1"/>
  <c r="Z2140" i="1" s="1"/>
  <c r="X2140" i="1"/>
  <c r="AE2139" i="1"/>
  <c r="AD2139" i="1"/>
  <c r="AC2139" i="1"/>
  <c r="AB2139" i="1"/>
  <c r="AA2139" i="1"/>
  <c r="Y2139" i="1"/>
  <c r="Z2139" i="1" s="1"/>
  <c r="X2139" i="1"/>
  <c r="AE2138" i="1"/>
  <c r="AD2138" i="1"/>
  <c r="AC2138" i="1"/>
  <c r="AB2138" i="1"/>
  <c r="AA2138" i="1"/>
  <c r="Y2138" i="1"/>
  <c r="Z2138" i="1" s="1"/>
  <c r="X2138" i="1"/>
  <c r="AE2137" i="1"/>
  <c r="AD2137" i="1"/>
  <c r="AC2137" i="1"/>
  <c r="AB2137" i="1"/>
  <c r="AA2137" i="1"/>
  <c r="Y2137" i="1"/>
  <c r="Z2137" i="1" s="1"/>
  <c r="X2137" i="1"/>
  <c r="AE2136" i="1"/>
  <c r="AD2136" i="1"/>
  <c r="AC2136" i="1"/>
  <c r="AB2136" i="1"/>
  <c r="AA2136" i="1"/>
  <c r="Y2136" i="1"/>
  <c r="Z2136" i="1" s="1"/>
  <c r="X2136" i="1"/>
  <c r="AE2135" i="1"/>
  <c r="AD2135" i="1"/>
  <c r="AC2135" i="1"/>
  <c r="AB2135" i="1"/>
  <c r="AA2135" i="1"/>
  <c r="Y2135" i="1"/>
  <c r="Z2135" i="1" s="1"/>
  <c r="X2135" i="1"/>
  <c r="AE2134" i="1"/>
  <c r="AD2134" i="1"/>
  <c r="AC2134" i="1"/>
  <c r="AB2134" i="1"/>
  <c r="AA2134" i="1"/>
  <c r="Y2134" i="1"/>
  <c r="Z2134" i="1" s="1"/>
  <c r="X2134" i="1"/>
  <c r="AE2133" i="1"/>
  <c r="AD2133" i="1"/>
  <c r="AC2133" i="1"/>
  <c r="AB2133" i="1"/>
  <c r="AA2133" i="1"/>
  <c r="Y2133" i="1"/>
  <c r="Z2133" i="1" s="1"/>
  <c r="X2133" i="1"/>
  <c r="AE2132" i="1"/>
  <c r="AD2132" i="1"/>
  <c r="AC2132" i="1"/>
  <c r="AB2132" i="1"/>
  <c r="AA2132" i="1"/>
  <c r="Y2132" i="1"/>
  <c r="Z2132" i="1" s="1"/>
  <c r="X2132" i="1"/>
  <c r="AE2131" i="1"/>
  <c r="AD2131" i="1"/>
  <c r="AC2131" i="1"/>
  <c r="AB2131" i="1"/>
  <c r="AA2131" i="1"/>
  <c r="Y2131" i="1"/>
  <c r="Z2131" i="1" s="1"/>
  <c r="X2131" i="1"/>
  <c r="AE2130" i="1"/>
  <c r="AD2130" i="1"/>
  <c r="AC2130" i="1"/>
  <c r="AB2130" i="1"/>
  <c r="AA2130" i="1"/>
  <c r="Y2130" i="1"/>
  <c r="Z2130" i="1" s="1"/>
  <c r="X2130" i="1"/>
  <c r="AE2129" i="1"/>
  <c r="AD2129" i="1"/>
  <c r="AC2129" i="1"/>
  <c r="AB2129" i="1"/>
  <c r="AA2129" i="1"/>
  <c r="Y2129" i="1"/>
  <c r="Z2129" i="1" s="1"/>
  <c r="X2129" i="1"/>
  <c r="AE2128" i="1"/>
  <c r="AD2128" i="1"/>
  <c r="AC2128" i="1"/>
  <c r="AB2128" i="1"/>
  <c r="AA2128" i="1"/>
  <c r="Y2128" i="1"/>
  <c r="Z2128" i="1" s="1"/>
  <c r="X2128" i="1"/>
  <c r="AE2127" i="1"/>
  <c r="AD2127" i="1"/>
  <c r="AC2127" i="1"/>
  <c r="AB2127" i="1"/>
  <c r="AA2127" i="1"/>
  <c r="Y2127" i="1"/>
  <c r="Z2127" i="1" s="1"/>
  <c r="X2127" i="1"/>
  <c r="AE2126" i="1"/>
  <c r="AD2126" i="1"/>
  <c r="AC2126" i="1"/>
  <c r="AB2126" i="1"/>
  <c r="AA2126" i="1"/>
  <c r="Y2126" i="1"/>
  <c r="Z2126" i="1" s="1"/>
  <c r="X2126" i="1"/>
  <c r="AE2125" i="1"/>
  <c r="AD2125" i="1"/>
  <c r="AC2125" i="1"/>
  <c r="AB2125" i="1"/>
  <c r="AA2125" i="1"/>
  <c r="Y2125" i="1"/>
  <c r="Z2125" i="1" s="1"/>
  <c r="X2125" i="1"/>
  <c r="AE2124" i="1"/>
  <c r="AD2124" i="1"/>
  <c r="AC2124" i="1"/>
  <c r="AB2124" i="1"/>
  <c r="AA2124" i="1"/>
  <c r="Y2124" i="1"/>
  <c r="Z2124" i="1" s="1"/>
  <c r="X2124" i="1"/>
  <c r="AE2123" i="1"/>
  <c r="AD2123" i="1"/>
  <c r="AC2123" i="1"/>
  <c r="AB2123" i="1"/>
  <c r="AA2123" i="1"/>
  <c r="Y2123" i="1"/>
  <c r="Z2123" i="1" s="1"/>
  <c r="X2123" i="1"/>
  <c r="AE2122" i="1"/>
  <c r="AD2122" i="1"/>
  <c r="AC2122" i="1"/>
  <c r="AB2122" i="1"/>
  <c r="AA2122" i="1"/>
  <c r="Y2122" i="1"/>
  <c r="Z2122" i="1" s="1"/>
  <c r="X2122" i="1"/>
  <c r="AE2121" i="1"/>
  <c r="AD2121" i="1"/>
  <c r="AC2121" i="1"/>
  <c r="AB2121" i="1"/>
  <c r="AA2121" i="1"/>
  <c r="Y2121" i="1"/>
  <c r="Z2121" i="1" s="1"/>
  <c r="X2121" i="1"/>
  <c r="AE2120" i="1"/>
  <c r="AD2120" i="1"/>
  <c r="AC2120" i="1"/>
  <c r="AB2120" i="1"/>
  <c r="AA2120" i="1"/>
  <c r="Y2120" i="1"/>
  <c r="Z2120" i="1" s="1"/>
  <c r="X2120" i="1"/>
  <c r="AE2119" i="1"/>
  <c r="AD2119" i="1"/>
  <c r="AC2119" i="1"/>
  <c r="AB2119" i="1"/>
  <c r="AA2119" i="1"/>
  <c r="Y2119" i="1"/>
  <c r="Z2119" i="1" s="1"/>
  <c r="X2119" i="1"/>
  <c r="AE2118" i="1"/>
  <c r="AD2118" i="1"/>
  <c r="AC2118" i="1"/>
  <c r="AB2118" i="1"/>
  <c r="AA2118" i="1"/>
  <c r="Y2118" i="1"/>
  <c r="Z2118" i="1" s="1"/>
  <c r="X2118" i="1"/>
  <c r="AE2117" i="1"/>
  <c r="AD2117" i="1"/>
  <c r="AC2117" i="1"/>
  <c r="AB2117" i="1"/>
  <c r="AA2117" i="1"/>
  <c r="Y2117" i="1"/>
  <c r="Z2117" i="1" s="1"/>
  <c r="X2117" i="1"/>
  <c r="AE2116" i="1"/>
  <c r="AD2116" i="1"/>
  <c r="AC2116" i="1"/>
  <c r="AB2116" i="1"/>
  <c r="AA2116" i="1"/>
  <c r="Y2116" i="1"/>
  <c r="Z2116" i="1" s="1"/>
  <c r="X2116" i="1"/>
  <c r="AE2115" i="1"/>
  <c r="AD2115" i="1"/>
  <c r="AC2115" i="1"/>
  <c r="AB2115" i="1"/>
  <c r="AA2115" i="1"/>
  <c r="Y2115" i="1"/>
  <c r="Z2115" i="1" s="1"/>
  <c r="X2115" i="1"/>
  <c r="AE2114" i="1"/>
  <c r="AD2114" i="1"/>
  <c r="AC2114" i="1"/>
  <c r="AB2114" i="1"/>
  <c r="AA2114" i="1"/>
  <c r="Y2114" i="1"/>
  <c r="Z2114" i="1" s="1"/>
  <c r="X2114" i="1"/>
  <c r="AE2113" i="1"/>
  <c r="AD2113" i="1"/>
  <c r="AC2113" i="1"/>
  <c r="AB2113" i="1"/>
  <c r="AA2113" i="1"/>
  <c r="Y2113" i="1"/>
  <c r="Z2113" i="1" s="1"/>
  <c r="X2113" i="1"/>
  <c r="AE2112" i="1"/>
  <c r="AD2112" i="1"/>
  <c r="AC2112" i="1"/>
  <c r="AB2112" i="1"/>
  <c r="AA2112" i="1"/>
  <c r="Y2112" i="1"/>
  <c r="Z2112" i="1" s="1"/>
  <c r="X2112" i="1"/>
  <c r="AE2111" i="1"/>
  <c r="AD2111" i="1"/>
  <c r="AC2111" i="1"/>
  <c r="AB2111" i="1"/>
  <c r="AA2111" i="1"/>
  <c r="Y2111" i="1"/>
  <c r="Z2111" i="1" s="1"/>
  <c r="X2111" i="1"/>
  <c r="AE2110" i="1"/>
  <c r="AD2110" i="1"/>
  <c r="AC2110" i="1"/>
  <c r="AB2110" i="1"/>
  <c r="AA2110" i="1"/>
  <c r="Y2110" i="1"/>
  <c r="Z2110" i="1" s="1"/>
  <c r="X2110" i="1"/>
  <c r="AE2109" i="1"/>
  <c r="AD2109" i="1"/>
  <c r="AC2109" i="1"/>
  <c r="AB2109" i="1"/>
  <c r="AA2109" i="1"/>
  <c r="Y2109" i="1"/>
  <c r="Z2109" i="1" s="1"/>
  <c r="X2109" i="1"/>
  <c r="AE2108" i="1"/>
  <c r="AD2108" i="1"/>
  <c r="AC2108" i="1"/>
  <c r="AB2108" i="1"/>
  <c r="AA2108" i="1"/>
  <c r="Y2108" i="1"/>
  <c r="Z2108" i="1" s="1"/>
  <c r="X2108" i="1"/>
  <c r="AE2107" i="1"/>
  <c r="AD2107" i="1"/>
  <c r="AC2107" i="1"/>
  <c r="AB2107" i="1"/>
  <c r="AA2107" i="1"/>
  <c r="Y2107" i="1"/>
  <c r="Z2107" i="1" s="1"/>
  <c r="X2107" i="1"/>
  <c r="AE2106" i="1"/>
  <c r="AD2106" i="1"/>
  <c r="AC2106" i="1"/>
  <c r="AB2106" i="1"/>
  <c r="AA2106" i="1"/>
  <c r="Y2106" i="1"/>
  <c r="Z2106" i="1" s="1"/>
  <c r="X2106" i="1"/>
  <c r="AE2105" i="1"/>
  <c r="AD2105" i="1"/>
  <c r="AC2105" i="1"/>
  <c r="AB2105" i="1"/>
  <c r="AA2105" i="1"/>
  <c r="Y2105" i="1"/>
  <c r="Z2105" i="1" s="1"/>
  <c r="X2105" i="1"/>
  <c r="AE2104" i="1"/>
  <c r="AD2104" i="1"/>
  <c r="AC2104" i="1"/>
  <c r="AB2104" i="1"/>
  <c r="AA2104" i="1"/>
  <c r="Y2104" i="1"/>
  <c r="Z2104" i="1" s="1"/>
  <c r="X2104" i="1"/>
  <c r="AE2103" i="1"/>
  <c r="AD2103" i="1"/>
  <c r="AC2103" i="1"/>
  <c r="AB2103" i="1"/>
  <c r="AA2103" i="1"/>
  <c r="Y2103" i="1"/>
  <c r="Z2103" i="1" s="1"/>
  <c r="X2103" i="1"/>
  <c r="AE2102" i="1"/>
  <c r="AD2102" i="1"/>
  <c r="AC2102" i="1"/>
  <c r="AB2102" i="1"/>
  <c r="AA2102" i="1"/>
  <c r="Y2102" i="1"/>
  <c r="Z2102" i="1" s="1"/>
  <c r="X2102" i="1"/>
  <c r="AE2101" i="1"/>
  <c r="AD2101" i="1"/>
  <c r="AC2101" i="1"/>
  <c r="AB2101" i="1"/>
  <c r="AA2101" i="1"/>
  <c r="Y2101" i="1"/>
  <c r="Z2101" i="1" s="1"/>
  <c r="X2101" i="1"/>
  <c r="AE2100" i="1"/>
  <c r="AD2100" i="1"/>
  <c r="AC2100" i="1"/>
  <c r="AB2100" i="1"/>
  <c r="AA2100" i="1"/>
  <c r="Y2100" i="1"/>
  <c r="Z2100" i="1" s="1"/>
  <c r="X2100" i="1"/>
  <c r="AE2099" i="1"/>
  <c r="AD2099" i="1"/>
  <c r="AC2099" i="1"/>
  <c r="AB2099" i="1"/>
  <c r="AA2099" i="1"/>
  <c r="Y2099" i="1"/>
  <c r="Z2099" i="1" s="1"/>
  <c r="X2099" i="1"/>
  <c r="AE2098" i="1"/>
  <c r="AD2098" i="1"/>
  <c r="AC2098" i="1"/>
  <c r="AB2098" i="1"/>
  <c r="AA2098" i="1"/>
  <c r="Y2098" i="1"/>
  <c r="Z2098" i="1" s="1"/>
  <c r="X2098" i="1"/>
  <c r="AE2097" i="1"/>
  <c r="AD2097" i="1"/>
  <c r="AC2097" i="1"/>
  <c r="AB2097" i="1"/>
  <c r="AA2097" i="1"/>
  <c r="Y2097" i="1"/>
  <c r="Z2097" i="1" s="1"/>
  <c r="X2097" i="1"/>
  <c r="AE2096" i="1"/>
  <c r="AD2096" i="1"/>
  <c r="AC2096" i="1"/>
  <c r="AB2096" i="1"/>
  <c r="AA2096" i="1"/>
  <c r="Y2096" i="1"/>
  <c r="Z2096" i="1" s="1"/>
  <c r="X2096" i="1"/>
  <c r="AE2095" i="1"/>
  <c r="AD2095" i="1"/>
  <c r="AC2095" i="1"/>
  <c r="AB2095" i="1"/>
  <c r="AA2095" i="1"/>
  <c r="Y2095" i="1"/>
  <c r="Z2095" i="1" s="1"/>
  <c r="X2095" i="1"/>
  <c r="AE2094" i="1"/>
  <c r="AD2094" i="1"/>
  <c r="AC2094" i="1"/>
  <c r="AB2094" i="1"/>
  <c r="AA2094" i="1"/>
  <c r="Y2094" i="1"/>
  <c r="Z2094" i="1" s="1"/>
  <c r="X2094" i="1"/>
  <c r="AE2093" i="1"/>
  <c r="AD2093" i="1"/>
  <c r="AC2093" i="1"/>
  <c r="AB2093" i="1"/>
  <c r="AA2093" i="1"/>
  <c r="Y2093" i="1"/>
  <c r="Z2093" i="1" s="1"/>
  <c r="X2093" i="1"/>
  <c r="AE2092" i="1"/>
  <c r="AD2092" i="1"/>
  <c r="AC2092" i="1"/>
  <c r="AB2092" i="1"/>
  <c r="AA2092" i="1"/>
  <c r="Y2092" i="1"/>
  <c r="Z2092" i="1" s="1"/>
  <c r="X2092" i="1"/>
  <c r="AE2091" i="1"/>
  <c r="AD2091" i="1"/>
  <c r="AC2091" i="1"/>
  <c r="AB2091" i="1"/>
  <c r="AA2091" i="1"/>
  <c r="Y2091" i="1"/>
  <c r="Z2091" i="1" s="1"/>
  <c r="X2091" i="1"/>
  <c r="AE2090" i="1"/>
  <c r="AD2090" i="1"/>
  <c r="AC2090" i="1"/>
  <c r="AB2090" i="1"/>
  <c r="AA2090" i="1"/>
  <c r="Y2090" i="1"/>
  <c r="Z2090" i="1" s="1"/>
  <c r="X2090" i="1"/>
  <c r="AE2089" i="1"/>
  <c r="AD2089" i="1"/>
  <c r="AC2089" i="1"/>
  <c r="AB2089" i="1"/>
  <c r="AA2089" i="1"/>
  <c r="Y2089" i="1"/>
  <c r="Z2089" i="1" s="1"/>
  <c r="X2089" i="1"/>
  <c r="AE2088" i="1"/>
  <c r="AD2088" i="1"/>
  <c r="AC2088" i="1"/>
  <c r="AB2088" i="1"/>
  <c r="AA2088" i="1"/>
  <c r="Y2088" i="1"/>
  <c r="Z2088" i="1" s="1"/>
  <c r="X2088" i="1"/>
  <c r="AE2087" i="1"/>
  <c r="AD2087" i="1"/>
  <c r="AC2087" i="1"/>
  <c r="AB2087" i="1"/>
  <c r="AA2087" i="1"/>
  <c r="Y2087" i="1"/>
  <c r="Z2087" i="1" s="1"/>
  <c r="X2087" i="1"/>
  <c r="AE2086" i="1"/>
  <c r="AD2086" i="1"/>
  <c r="AC2086" i="1"/>
  <c r="AB2086" i="1"/>
  <c r="AA2086" i="1"/>
  <c r="Y2086" i="1"/>
  <c r="Z2086" i="1" s="1"/>
  <c r="X2086" i="1"/>
  <c r="AE2085" i="1"/>
  <c r="AD2085" i="1"/>
  <c r="AC2085" i="1"/>
  <c r="AB2085" i="1"/>
  <c r="AA2085" i="1"/>
  <c r="Y2085" i="1"/>
  <c r="Z2085" i="1" s="1"/>
  <c r="X2085" i="1"/>
  <c r="AE2084" i="1"/>
  <c r="AD2084" i="1"/>
  <c r="AC2084" i="1"/>
  <c r="AB2084" i="1"/>
  <c r="AA2084" i="1"/>
  <c r="Y2084" i="1"/>
  <c r="Z2084" i="1" s="1"/>
  <c r="X2084" i="1"/>
  <c r="AE2083" i="1"/>
  <c r="AD2083" i="1"/>
  <c r="AC2083" i="1"/>
  <c r="AB2083" i="1"/>
  <c r="AA2083" i="1"/>
  <c r="Y2083" i="1"/>
  <c r="Z2083" i="1" s="1"/>
  <c r="X2083" i="1"/>
  <c r="AE2082" i="1"/>
  <c r="AD2082" i="1"/>
  <c r="AC2082" i="1"/>
  <c r="AB2082" i="1"/>
  <c r="AA2082" i="1"/>
  <c r="Y2082" i="1"/>
  <c r="Z2082" i="1" s="1"/>
  <c r="X2082" i="1"/>
  <c r="AE2081" i="1"/>
  <c r="AD2081" i="1"/>
  <c r="AC2081" i="1"/>
  <c r="AB2081" i="1"/>
  <c r="AA2081" i="1"/>
  <c r="Y2081" i="1"/>
  <c r="Z2081" i="1" s="1"/>
  <c r="X2081" i="1"/>
  <c r="AE2080" i="1"/>
  <c r="AD2080" i="1"/>
  <c r="AC2080" i="1"/>
  <c r="AB2080" i="1"/>
  <c r="AA2080" i="1"/>
  <c r="Y2080" i="1"/>
  <c r="Z2080" i="1" s="1"/>
  <c r="X2080" i="1"/>
  <c r="AE2079" i="1"/>
  <c r="AD2079" i="1"/>
  <c r="AC2079" i="1"/>
  <c r="AB2079" i="1"/>
  <c r="AA2079" i="1"/>
  <c r="Y2079" i="1"/>
  <c r="Z2079" i="1" s="1"/>
  <c r="X2079" i="1"/>
  <c r="AE2078" i="1"/>
  <c r="AD2078" i="1"/>
  <c r="AC2078" i="1"/>
  <c r="AB2078" i="1"/>
  <c r="AA2078" i="1"/>
  <c r="Y2078" i="1"/>
  <c r="Z2078" i="1" s="1"/>
  <c r="X2078" i="1"/>
  <c r="AE2077" i="1"/>
  <c r="AD2077" i="1"/>
  <c r="AC2077" i="1"/>
  <c r="AB2077" i="1"/>
  <c r="AA2077" i="1"/>
  <c r="Y2077" i="1"/>
  <c r="Z2077" i="1" s="1"/>
  <c r="X2077" i="1"/>
  <c r="AE2076" i="1"/>
  <c r="AD2076" i="1"/>
  <c r="AC2076" i="1"/>
  <c r="AB2076" i="1"/>
  <c r="AA2076" i="1"/>
  <c r="Y2076" i="1"/>
  <c r="Z2076" i="1" s="1"/>
  <c r="X2076" i="1"/>
  <c r="AE2075" i="1"/>
  <c r="AD2075" i="1"/>
  <c r="AC2075" i="1"/>
  <c r="AB2075" i="1"/>
  <c r="AA2075" i="1"/>
  <c r="Y2075" i="1"/>
  <c r="Z2075" i="1" s="1"/>
  <c r="X2075" i="1"/>
  <c r="AE2074" i="1"/>
  <c r="AD2074" i="1"/>
  <c r="AC2074" i="1"/>
  <c r="AB2074" i="1"/>
  <c r="AA2074" i="1"/>
  <c r="Y2074" i="1"/>
  <c r="Z2074" i="1" s="1"/>
  <c r="X2074" i="1"/>
  <c r="AE2073" i="1"/>
  <c r="AD2073" i="1"/>
  <c r="AC2073" i="1"/>
  <c r="AB2073" i="1"/>
  <c r="AA2073" i="1"/>
  <c r="Y2073" i="1"/>
  <c r="Z2073" i="1" s="1"/>
  <c r="X2073" i="1"/>
  <c r="AE2072" i="1"/>
  <c r="AD2072" i="1"/>
  <c r="AC2072" i="1"/>
  <c r="AB2072" i="1"/>
  <c r="AA2072" i="1"/>
  <c r="Y2072" i="1"/>
  <c r="Z2072" i="1" s="1"/>
  <c r="X2072" i="1"/>
  <c r="AE2071" i="1"/>
  <c r="AD2071" i="1"/>
  <c r="AC2071" i="1"/>
  <c r="AB2071" i="1"/>
  <c r="AA2071" i="1"/>
  <c r="Y2071" i="1"/>
  <c r="Z2071" i="1" s="1"/>
  <c r="X2071" i="1"/>
  <c r="AE2070" i="1"/>
  <c r="AD2070" i="1"/>
  <c r="AC2070" i="1"/>
  <c r="AB2070" i="1"/>
  <c r="AA2070" i="1"/>
  <c r="Y2070" i="1"/>
  <c r="Z2070" i="1" s="1"/>
  <c r="X2070" i="1"/>
  <c r="AE2069" i="1"/>
  <c r="AD2069" i="1"/>
  <c r="AC2069" i="1"/>
  <c r="AB2069" i="1"/>
  <c r="AA2069" i="1"/>
  <c r="Y2069" i="1"/>
  <c r="Z2069" i="1" s="1"/>
  <c r="X2069" i="1"/>
  <c r="AE2068" i="1"/>
  <c r="AD2068" i="1"/>
  <c r="AC2068" i="1"/>
  <c r="AB2068" i="1"/>
  <c r="AA2068" i="1"/>
  <c r="Y2068" i="1"/>
  <c r="Z2068" i="1" s="1"/>
  <c r="X2068" i="1"/>
  <c r="AE2067" i="1"/>
  <c r="AD2067" i="1"/>
  <c r="AC2067" i="1"/>
  <c r="AB2067" i="1"/>
  <c r="AA2067" i="1"/>
  <c r="Y2067" i="1"/>
  <c r="Z2067" i="1" s="1"/>
  <c r="X2067" i="1"/>
  <c r="AE2066" i="1"/>
  <c r="AD2066" i="1"/>
  <c r="AC2066" i="1"/>
  <c r="AB2066" i="1"/>
  <c r="AA2066" i="1"/>
  <c r="Y2066" i="1"/>
  <c r="Z2066" i="1" s="1"/>
  <c r="X2066" i="1"/>
  <c r="AE2065" i="1"/>
  <c r="AD2065" i="1"/>
  <c r="AC2065" i="1"/>
  <c r="AB2065" i="1"/>
  <c r="AA2065" i="1"/>
  <c r="Y2065" i="1"/>
  <c r="Z2065" i="1" s="1"/>
  <c r="X2065" i="1"/>
  <c r="AE2064" i="1"/>
  <c r="AD2064" i="1"/>
  <c r="AC2064" i="1"/>
  <c r="AB2064" i="1"/>
  <c r="AA2064" i="1"/>
  <c r="Y2064" i="1"/>
  <c r="Z2064" i="1" s="1"/>
  <c r="X2064" i="1"/>
  <c r="AE2063" i="1"/>
  <c r="AD2063" i="1"/>
  <c r="AC2063" i="1"/>
  <c r="AB2063" i="1"/>
  <c r="AA2063" i="1"/>
  <c r="Y2063" i="1"/>
  <c r="Z2063" i="1" s="1"/>
  <c r="X2063" i="1"/>
  <c r="AE2062" i="1"/>
  <c r="AD2062" i="1"/>
  <c r="AC2062" i="1"/>
  <c r="AB2062" i="1"/>
  <c r="AA2062" i="1"/>
  <c r="Y2062" i="1"/>
  <c r="Z2062" i="1" s="1"/>
  <c r="X2062" i="1"/>
  <c r="AE2061" i="1"/>
  <c r="AD2061" i="1"/>
  <c r="AC2061" i="1"/>
  <c r="AB2061" i="1"/>
  <c r="AA2061" i="1"/>
  <c r="Y2061" i="1"/>
  <c r="Z2061" i="1" s="1"/>
  <c r="X2061" i="1"/>
  <c r="AE2060" i="1"/>
  <c r="AD2060" i="1"/>
  <c r="AC2060" i="1"/>
  <c r="AB2060" i="1"/>
  <c r="AA2060" i="1"/>
  <c r="Y2060" i="1"/>
  <c r="Z2060" i="1" s="1"/>
  <c r="X2060" i="1"/>
  <c r="AE2059" i="1"/>
  <c r="AD2059" i="1"/>
  <c r="AC2059" i="1"/>
  <c r="AB2059" i="1"/>
  <c r="AA2059" i="1"/>
  <c r="Y2059" i="1"/>
  <c r="Z2059" i="1" s="1"/>
  <c r="X2059" i="1"/>
  <c r="AE2058" i="1"/>
  <c r="AD2058" i="1"/>
  <c r="AC2058" i="1"/>
  <c r="AB2058" i="1"/>
  <c r="AA2058" i="1"/>
  <c r="Y2058" i="1"/>
  <c r="Z2058" i="1" s="1"/>
  <c r="X2058" i="1"/>
  <c r="AE2057" i="1"/>
  <c r="AD2057" i="1"/>
  <c r="AC2057" i="1"/>
  <c r="AB2057" i="1"/>
  <c r="AA2057" i="1"/>
  <c r="Y2057" i="1"/>
  <c r="Z2057" i="1" s="1"/>
  <c r="X2057" i="1"/>
  <c r="AE2056" i="1"/>
  <c r="AD2056" i="1"/>
  <c r="AC2056" i="1"/>
  <c r="AB2056" i="1"/>
  <c r="AA2056" i="1"/>
  <c r="Y2056" i="1"/>
  <c r="Z2056" i="1" s="1"/>
  <c r="X2056" i="1"/>
  <c r="AE2055" i="1"/>
  <c r="AD2055" i="1"/>
  <c r="AC2055" i="1"/>
  <c r="AB2055" i="1"/>
  <c r="AA2055" i="1"/>
  <c r="Y2055" i="1"/>
  <c r="Z2055" i="1" s="1"/>
  <c r="X2055" i="1"/>
  <c r="AE2054" i="1"/>
  <c r="AD2054" i="1"/>
  <c r="AC2054" i="1"/>
  <c r="AB2054" i="1"/>
  <c r="AA2054" i="1"/>
  <c r="Y2054" i="1"/>
  <c r="Z2054" i="1" s="1"/>
  <c r="X2054" i="1"/>
  <c r="AE2053" i="1"/>
  <c r="AD2053" i="1"/>
  <c r="AC2053" i="1"/>
  <c r="AB2053" i="1"/>
  <c r="AA2053" i="1"/>
  <c r="Y2053" i="1"/>
  <c r="Z2053" i="1" s="1"/>
  <c r="X2053" i="1"/>
  <c r="AE2052" i="1"/>
  <c r="AD2052" i="1"/>
  <c r="AC2052" i="1"/>
  <c r="AB2052" i="1"/>
  <c r="AA2052" i="1"/>
  <c r="Y2052" i="1"/>
  <c r="Z2052" i="1" s="1"/>
  <c r="X2052" i="1"/>
  <c r="AE2051" i="1"/>
  <c r="AD2051" i="1"/>
  <c r="AC2051" i="1"/>
  <c r="AB2051" i="1"/>
  <c r="AA2051" i="1"/>
  <c r="Y2051" i="1"/>
  <c r="Z2051" i="1" s="1"/>
  <c r="X2051" i="1"/>
  <c r="AE2050" i="1"/>
  <c r="AD2050" i="1"/>
  <c r="AC2050" i="1"/>
  <c r="AB2050" i="1"/>
  <c r="AA2050" i="1"/>
  <c r="Y2050" i="1"/>
  <c r="Z2050" i="1" s="1"/>
  <c r="X2050" i="1"/>
  <c r="AE2049" i="1"/>
  <c r="AD2049" i="1"/>
  <c r="AC2049" i="1"/>
  <c r="AB2049" i="1"/>
  <c r="AA2049" i="1"/>
  <c r="Y2049" i="1"/>
  <c r="Z2049" i="1" s="1"/>
  <c r="X2049" i="1"/>
  <c r="AE2048" i="1"/>
  <c r="AD2048" i="1"/>
  <c r="AC2048" i="1"/>
  <c r="AB2048" i="1"/>
  <c r="AA2048" i="1"/>
  <c r="Y2048" i="1"/>
  <c r="Z2048" i="1" s="1"/>
  <c r="X2048" i="1"/>
  <c r="AE2047" i="1"/>
  <c r="AD2047" i="1"/>
  <c r="AC2047" i="1"/>
  <c r="AB2047" i="1"/>
  <c r="AA2047" i="1"/>
  <c r="Y2047" i="1"/>
  <c r="Z2047" i="1" s="1"/>
  <c r="X2047" i="1"/>
  <c r="AE2046" i="1"/>
  <c r="AD2046" i="1"/>
  <c r="AC2046" i="1"/>
  <c r="AB2046" i="1"/>
  <c r="AA2046" i="1"/>
  <c r="Y2046" i="1"/>
  <c r="Z2046" i="1" s="1"/>
  <c r="X2046" i="1"/>
  <c r="AE2045" i="1"/>
  <c r="AD2045" i="1"/>
  <c r="AC2045" i="1"/>
  <c r="AB2045" i="1"/>
  <c r="AA2045" i="1"/>
  <c r="Y2045" i="1"/>
  <c r="Z2045" i="1" s="1"/>
  <c r="X2045" i="1"/>
  <c r="AE2044" i="1"/>
  <c r="AD2044" i="1"/>
  <c r="AC2044" i="1"/>
  <c r="AB2044" i="1"/>
  <c r="AA2044" i="1"/>
  <c r="Y2044" i="1"/>
  <c r="Z2044" i="1" s="1"/>
  <c r="X2044" i="1"/>
  <c r="AE2043" i="1"/>
  <c r="AD2043" i="1"/>
  <c r="AC2043" i="1"/>
  <c r="AB2043" i="1"/>
  <c r="AA2043" i="1"/>
  <c r="Y2043" i="1"/>
  <c r="Z2043" i="1" s="1"/>
  <c r="X2043" i="1"/>
  <c r="AE2042" i="1"/>
  <c r="AD2042" i="1"/>
  <c r="AC2042" i="1"/>
  <c r="AB2042" i="1"/>
  <c r="AA2042" i="1"/>
  <c r="Y2042" i="1"/>
  <c r="Z2042" i="1" s="1"/>
  <c r="X2042" i="1"/>
  <c r="AE2041" i="1"/>
  <c r="AD2041" i="1"/>
  <c r="AC2041" i="1"/>
  <c r="AB2041" i="1"/>
  <c r="AA2041" i="1"/>
  <c r="Y2041" i="1"/>
  <c r="Z2041" i="1" s="1"/>
  <c r="X2041" i="1"/>
  <c r="AE2040" i="1"/>
  <c r="AD2040" i="1"/>
  <c r="AC2040" i="1"/>
  <c r="AB2040" i="1"/>
  <c r="AA2040" i="1"/>
  <c r="Y2040" i="1"/>
  <c r="Z2040" i="1" s="1"/>
  <c r="X2040" i="1"/>
  <c r="AE2039" i="1"/>
  <c r="AD2039" i="1"/>
  <c r="AC2039" i="1"/>
  <c r="AB2039" i="1"/>
  <c r="AA2039" i="1"/>
  <c r="Y2039" i="1"/>
  <c r="Z2039" i="1" s="1"/>
  <c r="X2039" i="1"/>
  <c r="AE2038" i="1"/>
  <c r="AD2038" i="1"/>
  <c r="AC2038" i="1"/>
  <c r="AB2038" i="1"/>
  <c r="AA2038" i="1"/>
  <c r="Y2038" i="1"/>
  <c r="Z2038" i="1" s="1"/>
  <c r="X2038" i="1"/>
  <c r="AE2037" i="1"/>
  <c r="AD2037" i="1"/>
  <c r="AC2037" i="1"/>
  <c r="AB2037" i="1"/>
  <c r="AA2037" i="1"/>
  <c r="Y2037" i="1"/>
  <c r="Z2037" i="1" s="1"/>
  <c r="X2037" i="1"/>
  <c r="AE2036" i="1"/>
  <c r="AD2036" i="1"/>
  <c r="AC2036" i="1"/>
  <c r="AB2036" i="1"/>
  <c r="AA2036" i="1"/>
  <c r="Y2036" i="1"/>
  <c r="Z2036" i="1" s="1"/>
  <c r="X2036" i="1"/>
  <c r="AE2035" i="1"/>
  <c r="AD2035" i="1"/>
  <c r="AC2035" i="1"/>
  <c r="AB2035" i="1"/>
  <c r="AA2035" i="1"/>
  <c r="Y2035" i="1"/>
  <c r="Z2035" i="1" s="1"/>
  <c r="X2035" i="1"/>
  <c r="AE2034" i="1"/>
  <c r="AD2034" i="1"/>
  <c r="AC2034" i="1"/>
  <c r="AB2034" i="1"/>
  <c r="AA2034" i="1"/>
  <c r="Y2034" i="1"/>
  <c r="Z2034" i="1" s="1"/>
  <c r="X2034" i="1"/>
  <c r="AE2033" i="1"/>
  <c r="AD2033" i="1"/>
  <c r="AC2033" i="1"/>
  <c r="AB2033" i="1"/>
  <c r="AA2033" i="1"/>
  <c r="Y2033" i="1"/>
  <c r="Z2033" i="1" s="1"/>
  <c r="X2033" i="1"/>
  <c r="AE2032" i="1"/>
  <c r="AD2032" i="1"/>
  <c r="AC2032" i="1"/>
  <c r="AB2032" i="1"/>
  <c r="AA2032" i="1"/>
  <c r="Y2032" i="1"/>
  <c r="Z2032" i="1" s="1"/>
  <c r="X2032" i="1"/>
  <c r="AE2031" i="1"/>
  <c r="AD2031" i="1"/>
  <c r="AC2031" i="1"/>
  <c r="AB2031" i="1"/>
  <c r="AA2031" i="1"/>
  <c r="Y2031" i="1"/>
  <c r="Z2031" i="1" s="1"/>
  <c r="X2031" i="1"/>
  <c r="AE2030" i="1"/>
  <c r="AD2030" i="1"/>
  <c r="AC2030" i="1"/>
  <c r="AB2030" i="1"/>
  <c r="AA2030" i="1"/>
  <c r="Y2030" i="1"/>
  <c r="Z2030" i="1" s="1"/>
  <c r="X2030" i="1"/>
  <c r="AE2029" i="1"/>
  <c r="AD2029" i="1"/>
  <c r="AC2029" i="1"/>
  <c r="AB2029" i="1"/>
  <c r="AA2029" i="1"/>
  <c r="Y2029" i="1"/>
  <c r="Z2029" i="1" s="1"/>
  <c r="X2029" i="1"/>
  <c r="AE2028" i="1"/>
  <c r="AD2028" i="1"/>
  <c r="AC2028" i="1"/>
  <c r="AB2028" i="1"/>
  <c r="AA2028" i="1"/>
  <c r="Y2028" i="1"/>
  <c r="Z2028" i="1" s="1"/>
  <c r="X2028" i="1"/>
  <c r="AE2027" i="1"/>
  <c r="AD2027" i="1"/>
  <c r="AC2027" i="1"/>
  <c r="AB2027" i="1"/>
  <c r="AA2027" i="1"/>
  <c r="Y2027" i="1"/>
  <c r="Z2027" i="1" s="1"/>
  <c r="X2027" i="1"/>
  <c r="AE2026" i="1"/>
  <c r="AD2026" i="1"/>
  <c r="AC2026" i="1"/>
  <c r="AB2026" i="1"/>
  <c r="AA2026" i="1"/>
  <c r="Y2026" i="1"/>
  <c r="Z2026" i="1" s="1"/>
  <c r="X2026" i="1"/>
  <c r="AE2025" i="1"/>
  <c r="AD2025" i="1"/>
  <c r="AC2025" i="1"/>
  <c r="AB2025" i="1"/>
  <c r="AA2025" i="1"/>
  <c r="Y2025" i="1"/>
  <c r="Z2025" i="1" s="1"/>
  <c r="X2025" i="1"/>
  <c r="AE2024" i="1"/>
  <c r="AD2024" i="1"/>
  <c r="AC2024" i="1"/>
  <c r="AB2024" i="1"/>
  <c r="AA2024" i="1"/>
  <c r="Y2024" i="1"/>
  <c r="Z2024" i="1" s="1"/>
  <c r="X2024" i="1"/>
  <c r="AE2023" i="1"/>
  <c r="AD2023" i="1"/>
  <c r="AC2023" i="1"/>
  <c r="AB2023" i="1"/>
  <c r="AA2023" i="1"/>
  <c r="Y2023" i="1"/>
  <c r="Z2023" i="1" s="1"/>
  <c r="X2023" i="1"/>
  <c r="AE2022" i="1"/>
  <c r="AD2022" i="1"/>
  <c r="AC2022" i="1"/>
  <c r="AB2022" i="1"/>
  <c r="AA2022" i="1"/>
  <c r="Y2022" i="1"/>
  <c r="Z2022" i="1" s="1"/>
  <c r="X2022" i="1"/>
  <c r="AE2021" i="1"/>
  <c r="AD2021" i="1"/>
  <c r="AC2021" i="1"/>
  <c r="AB2021" i="1"/>
  <c r="AA2021" i="1"/>
  <c r="Y2021" i="1"/>
  <c r="Z2021" i="1" s="1"/>
  <c r="X2021" i="1"/>
  <c r="AE2020" i="1"/>
  <c r="AD2020" i="1"/>
  <c r="AC2020" i="1"/>
  <c r="AB2020" i="1"/>
  <c r="AA2020" i="1"/>
  <c r="Y2020" i="1"/>
  <c r="Z2020" i="1" s="1"/>
  <c r="X2020" i="1"/>
  <c r="AE2019" i="1"/>
  <c r="AD2019" i="1"/>
  <c r="AC2019" i="1"/>
  <c r="AB2019" i="1"/>
  <c r="AA2019" i="1"/>
  <c r="Y2019" i="1"/>
  <c r="Z2019" i="1" s="1"/>
  <c r="X2019" i="1"/>
  <c r="AE2018" i="1"/>
  <c r="AD2018" i="1"/>
  <c r="AC2018" i="1"/>
  <c r="AB2018" i="1"/>
  <c r="AA2018" i="1"/>
  <c r="Y2018" i="1"/>
  <c r="Z2018" i="1" s="1"/>
  <c r="X2018" i="1"/>
  <c r="AE2017" i="1"/>
  <c r="AD2017" i="1"/>
  <c r="AC2017" i="1"/>
  <c r="AB2017" i="1"/>
  <c r="AA2017" i="1"/>
  <c r="Y2017" i="1"/>
  <c r="Z2017" i="1" s="1"/>
  <c r="X2017" i="1"/>
  <c r="AE2016" i="1"/>
  <c r="AD2016" i="1"/>
  <c r="AC2016" i="1"/>
  <c r="AB2016" i="1"/>
  <c r="AA2016" i="1"/>
  <c r="Y2016" i="1"/>
  <c r="Z2016" i="1" s="1"/>
  <c r="X2016" i="1"/>
  <c r="AE2015" i="1"/>
  <c r="AD2015" i="1"/>
  <c r="AC2015" i="1"/>
  <c r="AB2015" i="1"/>
  <c r="AA2015" i="1"/>
  <c r="Y2015" i="1"/>
  <c r="Z2015" i="1" s="1"/>
  <c r="X2015" i="1"/>
  <c r="AE2014" i="1"/>
  <c r="AD2014" i="1"/>
  <c r="AC2014" i="1"/>
  <c r="AB2014" i="1"/>
  <c r="AA2014" i="1"/>
  <c r="Y2014" i="1"/>
  <c r="Z2014" i="1" s="1"/>
  <c r="X2014" i="1"/>
  <c r="AE2013" i="1"/>
  <c r="AD2013" i="1"/>
  <c r="AC2013" i="1"/>
  <c r="AB2013" i="1"/>
  <c r="AA2013" i="1"/>
  <c r="Y2013" i="1"/>
  <c r="Z2013" i="1" s="1"/>
  <c r="X2013" i="1"/>
  <c r="AE2012" i="1"/>
  <c r="AD2012" i="1"/>
  <c r="AC2012" i="1"/>
  <c r="AB2012" i="1"/>
  <c r="AA2012" i="1"/>
  <c r="Y2012" i="1"/>
  <c r="Z2012" i="1" s="1"/>
  <c r="X2012" i="1"/>
  <c r="AE2011" i="1"/>
  <c r="AD2011" i="1"/>
  <c r="AC2011" i="1"/>
  <c r="AB2011" i="1"/>
  <c r="AA2011" i="1"/>
  <c r="Y2011" i="1"/>
  <c r="Z2011" i="1" s="1"/>
  <c r="X2011" i="1"/>
  <c r="AE2010" i="1"/>
  <c r="AD2010" i="1"/>
  <c r="AC2010" i="1"/>
  <c r="AB2010" i="1"/>
  <c r="AA2010" i="1"/>
  <c r="Y2010" i="1"/>
  <c r="Z2010" i="1" s="1"/>
  <c r="X2010" i="1"/>
  <c r="AE2009" i="1"/>
  <c r="AD2009" i="1"/>
  <c r="AC2009" i="1"/>
  <c r="AB2009" i="1"/>
  <c r="AA2009" i="1"/>
  <c r="Y2009" i="1"/>
  <c r="Z2009" i="1" s="1"/>
  <c r="X2009" i="1"/>
  <c r="AE2008" i="1"/>
  <c r="AD2008" i="1"/>
  <c r="AC2008" i="1"/>
  <c r="AB2008" i="1"/>
  <c r="AA2008" i="1"/>
  <c r="Y2008" i="1"/>
  <c r="Z2008" i="1" s="1"/>
  <c r="X2008" i="1"/>
  <c r="AE2007" i="1"/>
  <c r="AD2007" i="1"/>
  <c r="AC2007" i="1"/>
  <c r="AB2007" i="1"/>
  <c r="AA2007" i="1"/>
  <c r="Y2007" i="1"/>
  <c r="Z2007" i="1" s="1"/>
  <c r="X2007" i="1"/>
  <c r="AE2006" i="1"/>
  <c r="AD2006" i="1"/>
  <c r="AC2006" i="1"/>
  <c r="AB2006" i="1"/>
  <c r="AA2006" i="1"/>
  <c r="Y2006" i="1"/>
  <c r="Z2006" i="1" s="1"/>
  <c r="X2006" i="1"/>
  <c r="AE2005" i="1"/>
  <c r="AD2005" i="1"/>
  <c r="AC2005" i="1"/>
  <c r="AB2005" i="1"/>
  <c r="AA2005" i="1"/>
  <c r="Y2005" i="1"/>
  <c r="Z2005" i="1" s="1"/>
  <c r="X2005" i="1"/>
  <c r="AE2004" i="1"/>
  <c r="AD2004" i="1"/>
  <c r="AC2004" i="1"/>
  <c r="AB2004" i="1"/>
  <c r="AA2004" i="1"/>
  <c r="Y2004" i="1"/>
  <c r="Z2004" i="1" s="1"/>
  <c r="X2004" i="1"/>
  <c r="AE2003" i="1"/>
  <c r="AD2003" i="1"/>
  <c r="AC2003" i="1"/>
  <c r="AB2003" i="1"/>
  <c r="AA2003" i="1"/>
  <c r="Y2003" i="1"/>
  <c r="Z2003" i="1" s="1"/>
  <c r="X2003" i="1"/>
  <c r="AE2002" i="1"/>
  <c r="AD2002" i="1"/>
  <c r="AC2002" i="1"/>
  <c r="AB2002" i="1"/>
  <c r="AA2002" i="1"/>
  <c r="Y2002" i="1"/>
  <c r="Z2002" i="1" s="1"/>
  <c r="X2002" i="1"/>
  <c r="AE2001" i="1"/>
  <c r="AD2001" i="1"/>
  <c r="AC2001" i="1"/>
  <c r="AB2001" i="1"/>
  <c r="AA2001" i="1"/>
  <c r="Y2001" i="1"/>
  <c r="Z2001" i="1" s="1"/>
  <c r="X2001" i="1"/>
  <c r="AE2000" i="1"/>
  <c r="AD2000" i="1"/>
  <c r="AC2000" i="1"/>
  <c r="AB2000" i="1"/>
  <c r="AA2000" i="1"/>
  <c r="Y2000" i="1"/>
  <c r="Z2000" i="1" s="1"/>
  <c r="X2000" i="1"/>
  <c r="AE1999" i="1"/>
  <c r="AD1999" i="1"/>
  <c r="AC1999" i="1"/>
  <c r="AB1999" i="1"/>
  <c r="AA1999" i="1"/>
  <c r="Y1999" i="1"/>
  <c r="Z1999" i="1" s="1"/>
  <c r="X1999" i="1"/>
  <c r="AE1998" i="1"/>
  <c r="AD1998" i="1"/>
  <c r="AC1998" i="1"/>
  <c r="AB1998" i="1"/>
  <c r="AA1998" i="1"/>
  <c r="Y1998" i="1"/>
  <c r="Z1998" i="1" s="1"/>
  <c r="X1998" i="1"/>
  <c r="AE1997" i="1"/>
  <c r="AD1997" i="1"/>
  <c r="AC1997" i="1"/>
  <c r="AB1997" i="1"/>
  <c r="AA1997" i="1"/>
  <c r="Y1997" i="1"/>
  <c r="Z1997" i="1" s="1"/>
  <c r="X1997" i="1"/>
  <c r="AE1996" i="1"/>
  <c r="AD1996" i="1"/>
  <c r="AC1996" i="1"/>
  <c r="AB1996" i="1"/>
  <c r="AA1996" i="1"/>
  <c r="Y1996" i="1"/>
  <c r="Z1996" i="1" s="1"/>
  <c r="X1996" i="1"/>
  <c r="AE1995" i="1"/>
  <c r="AD1995" i="1"/>
  <c r="AC1995" i="1"/>
  <c r="AB1995" i="1"/>
  <c r="AA1995" i="1"/>
  <c r="Y1995" i="1"/>
  <c r="Z1995" i="1" s="1"/>
  <c r="X1995" i="1"/>
  <c r="AE1994" i="1"/>
  <c r="AD1994" i="1"/>
  <c r="AC1994" i="1"/>
  <c r="AB1994" i="1"/>
  <c r="AA1994" i="1"/>
  <c r="Y1994" i="1"/>
  <c r="Z1994" i="1" s="1"/>
  <c r="X1994" i="1"/>
  <c r="AE1993" i="1"/>
  <c r="AD1993" i="1"/>
  <c r="AC1993" i="1"/>
  <c r="AB1993" i="1"/>
  <c r="AA1993" i="1"/>
  <c r="Y1993" i="1"/>
  <c r="Z1993" i="1" s="1"/>
  <c r="X1993" i="1"/>
  <c r="AE1992" i="1"/>
  <c r="AD1992" i="1"/>
  <c r="AC1992" i="1"/>
  <c r="AB1992" i="1"/>
  <c r="AA1992" i="1"/>
  <c r="Y1992" i="1"/>
  <c r="Z1992" i="1" s="1"/>
  <c r="X1992" i="1"/>
  <c r="AE1991" i="1"/>
  <c r="AD1991" i="1"/>
  <c r="AC1991" i="1"/>
  <c r="AB1991" i="1"/>
  <c r="AA1991" i="1"/>
  <c r="Y1991" i="1"/>
  <c r="Z1991" i="1" s="1"/>
  <c r="X1991" i="1"/>
  <c r="AE1990" i="1"/>
  <c r="AD1990" i="1"/>
  <c r="AC1990" i="1"/>
  <c r="AB1990" i="1"/>
  <c r="AA1990" i="1"/>
  <c r="Y1990" i="1"/>
  <c r="Z1990" i="1" s="1"/>
  <c r="X1990" i="1"/>
  <c r="AE1989" i="1"/>
  <c r="AD1989" i="1"/>
  <c r="AC1989" i="1"/>
  <c r="AB1989" i="1"/>
  <c r="AA1989" i="1"/>
  <c r="Y1989" i="1"/>
  <c r="Z1989" i="1" s="1"/>
  <c r="X1989" i="1"/>
  <c r="AE1988" i="1"/>
  <c r="AD1988" i="1"/>
  <c r="AC1988" i="1"/>
  <c r="AB1988" i="1"/>
  <c r="AA1988" i="1"/>
  <c r="Y1988" i="1"/>
  <c r="Z1988" i="1" s="1"/>
  <c r="X1988" i="1"/>
  <c r="AE1987" i="1"/>
  <c r="AD1987" i="1"/>
  <c r="AC1987" i="1"/>
  <c r="AB1987" i="1"/>
  <c r="AA1987" i="1"/>
  <c r="Y1987" i="1"/>
  <c r="Z1987" i="1" s="1"/>
  <c r="X1987" i="1"/>
  <c r="AE1986" i="1"/>
  <c r="AD1986" i="1"/>
  <c r="AC1986" i="1"/>
  <c r="AB1986" i="1"/>
  <c r="AA1986" i="1"/>
  <c r="Y1986" i="1"/>
  <c r="Z1986" i="1" s="1"/>
  <c r="X1986" i="1"/>
  <c r="AE1985" i="1"/>
  <c r="AD1985" i="1"/>
  <c r="AC1985" i="1"/>
  <c r="AB1985" i="1"/>
  <c r="AA1985" i="1"/>
  <c r="Y1985" i="1"/>
  <c r="Z1985" i="1" s="1"/>
  <c r="X1985" i="1"/>
  <c r="AE1984" i="1"/>
  <c r="AD1984" i="1"/>
  <c r="AC1984" i="1"/>
  <c r="AB1984" i="1"/>
  <c r="AA1984" i="1"/>
  <c r="Y1984" i="1"/>
  <c r="Z1984" i="1" s="1"/>
  <c r="X1984" i="1"/>
  <c r="AE1983" i="1"/>
  <c r="AD1983" i="1"/>
  <c r="AC1983" i="1"/>
  <c r="AB1983" i="1"/>
  <c r="AA1983" i="1"/>
  <c r="Y1983" i="1"/>
  <c r="Z1983" i="1" s="1"/>
  <c r="X1983" i="1"/>
  <c r="AE1982" i="1"/>
  <c r="AD1982" i="1"/>
  <c r="AC1982" i="1"/>
  <c r="AB1982" i="1"/>
  <c r="AA1982" i="1"/>
  <c r="Y1982" i="1"/>
  <c r="Z1982" i="1" s="1"/>
  <c r="X1982" i="1"/>
  <c r="AE1981" i="1"/>
  <c r="AD1981" i="1"/>
  <c r="AC1981" i="1"/>
  <c r="AB1981" i="1"/>
  <c r="AA1981" i="1"/>
  <c r="Y1981" i="1"/>
  <c r="Z1981" i="1" s="1"/>
  <c r="X1981" i="1"/>
  <c r="AE1980" i="1"/>
  <c r="AD1980" i="1"/>
  <c r="AC1980" i="1"/>
  <c r="AB1980" i="1"/>
  <c r="AA1980" i="1"/>
  <c r="Y1980" i="1"/>
  <c r="Z1980" i="1" s="1"/>
  <c r="X1980" i="1"/>
  <c r="AE1979" i="1"/>
  <c r="AD1979" i="1"/>
  <c r="AC1979" i="1"/>
  <c r="AB1979" i="1"/>
  <c r="AA1979" i="1"/>
  <c r="Y1979" i="1"/>
  <c r="Z1979" i="1" s="1"/>
  <c r="X1979" i="1"/>
  <c r="AE1978" i="1"/>
  <c r="AD1978" i="1"/>
  <c r="AC1978" i="1"/>
  <c r="AB1978" i="1"/>
  <c r="AA1978" i="1"/>
  <c r="Y1978" i="1"/>
  <c r="Z1978" i="1" s="1"/>
  <c r="X1978" i="1"/>
  <c r="AE1977" i="1"/>
  <c r="AD1977" i="1"/>
  <c r="AC1977" i="1"/>
  <c r="AB1977" i="1"/>
  <c r="AA1977" i="1"/>
  <c r="Y1977" i="1"/>
  <c r="Z1977" i="1" s="1"/>
  <c r="X1977" i="1"/>
  <c r="AE1976" i="1"/>
  <c r="AD1976" i="1"/>
  <c r="AC1976" i="1"/>
  <c r="AB1976" i="1"/>
  <c r="AA1976" i="1"/>
  <c r="Y1976" i="1"/>
  <c r="Z1976" i="1" s="1"/>
  <c r="X1976" i="1"/>
  <c r="AE1975" i="1"/>
  <c r="AD1975" i="1"/>
  <c r="AC1975" i="1"/>
  <c r="AB1975" i="1"/>
  <c r="AA1975" i="1"/>
  <c r="Y1975" i="1"/>
  <c r="Z1975" i="1" s="1"/>
  <c r="X1975" i="1"/>
  <c r="AE1974" i="1"/>
  <c r="AD1974" i="1"/>
  <c r="AC1974" i="1"/>
  <c r="AB1974" i="1"/>
  <c r="AA1974" i="1"/>
  <c r="Y1974" i="1"/>
  <c r="Z1974" i="1" s="1"/>
  <c r="X1974" i="1"/>
  <c r="AE1973" i="1"/>
  <c r="AD1973" i="1"/>
  <c r="AC1973" i="1"/>
  <c r="AB1973" i="1"/>
  <c r="AA1973" i="1"/>
  <c r="Y1973" i="1"/>
  <c r="Z1973" i="1" s="1"/>
  <c r="X1973" i="1"/>
  <c r="AE1972" i="1"/>
  <c r="AD1972" i="1"/>
  <c r="AC1972" i="1"/>
  <c r="AB1972" i="1"/>
  <c r="AA1972" i="1"/>
  <c r="Y1972" i="1"/>
  <c r="Z1972" i="1" s="1"/>
  <c r="X1972" i="1"/>
  <c r="AE1971" i="1"/>
  <c r="AD1971" i="1"/>
  <c r="AC1971" i="1"/>
  <c r="AB1971" i="1"/>
  <c r="AA1971" i="1"/>
  <c r="Y1971" i="1"/>
  <c r="Z1971" i="1" s="1"/>
  <c r="X1971" i="1"/>
  <c r="AE1970" i="1"/>
  <c r="AD1970" i="1"/>
  <c r="AC1970" i="1"/>
  <c r="AB1970" i="1"/>
  <c r="AA1970" i="1"/>
  <c r="Y1970" i="1"/>
  <c r="Z1970" i="1" s="1"/>
  <c r="X1970" i="1"/>
  <c r="AE1969" i="1"/>
  <c r="AD1969" i="1"/>
  <c r="AC1969" i="1"/>
  <c r="AB1969" i="1"/>
  <c r="AA1969" i="1"/>
  <c r="Y1969" i="1"/>
  <c r="Z1969" i="1" s="1"/>
  <c r="X1969" i="1"/>
  <c r="AE1968" i="1"/>
  <c r="AD1968" i="1"/>
  <c r="AC1968" i="1"/>
  <c r="AB1968" i="1"/>
  <c r="AA1968" i="1"/>
  <c r="Y1968" i="1"/>
  <c r="Z1968" i="1" s="1"/>
  <c r="X1968" i="1"/>
  <c r="AE1967" i="1"/>
  <c r="AD1967" i="1"/>
  <c r="AC1967" i="1"/>
  <c r="AB1967" i="1"/>
  <c r="AA1967" i="1"/>
  <c r="Y1967" i="1"/>
  <c r="Z1967" i="1" s="1"/>
  <c r="X1967" i="1"/>
  <c r="AE1966" i="1"/>
  <c r="AD1966" i="1"/>
  <c r="AC1966" i="1"/>
  <c r="AB1966" i="1"/>
  <c r="AA1966" i="1"/>
  <c r="Y1966" i="1"/>
  <c r="Z1966" i="1" s="1"/>
  <c r="X1966" i="1"/>
  <c r="AE1965" i="1"/>
  <c r="AD1965" i="1"/>
  <c r="AC1965" i="1"/>
  <c r="AB1965" i="1"/>
  <c r="AA1965" i="1"/>
  <c r="Y1965" i="1"/>
  <c r="Z1965" i="1" s="1"/>
  <c r="X1965" i="1"/>
  <c r="AE1964" i="1"/>
  <c r="AD1964" i="1"/>
  <c r="AC1964" i="1"/>
  <c r="AB1964" i="1"/>
  <c r="AA1964" i="1"/>
  <c r="Y1964" i="1"/>
  <c r="Z1964" i="1" s="1"/>
  <c r="X1964" i="1"/>
  <c r="AE1963" i="1"/>
  <c r="AD1963" i="1"/>
  <c r="AC1963" i="1"/>
  <c r="AB1963" i="1"/>
  <c r="AA1963" i="1"/>
  <c r="Y1963" i="1"/>
  <c r="Z1963" i="1" s="1"/>
  <c r="X1963" i="1"/>
  <c r="AE1962" i="1"/>
  <c r="AD1962" i="1"/>
  <c r="AC1962" i="1"/>
  <c r="AB1962" i="1"/>
  <c r="AA1962" i="1"/>
  <c r="Y1962" i="1"/>
  <c r="Z1962" i="1" s="1"/>
  <c r="X1962" i="1"/>
  <c r="AE1961" i="1"/>
  <c r="AD1961" i="1"/>
  <c r="AC1961" i="1"/>
  <c r="AB1961" i="1"/>
  <c r="AA1961" i="1"/>
  <c r="Y1961" i="1"/>
  <c r="Z1961" i="1" s="1"/>
  <c r="X1961" i="1"/>
  <c r="AE1960" i="1"/>
  <c r="AD1960" i="1"/>
  <c r="AC1960" i="1"/>
  <c r="AB1960" i="1"/>
  <c r="AA1960" i="1"/>
  <c r="Y1960" i="1"/>
  <c r="Z1960" i="1" s="1"/>
  <c r="X1960" i="1"/>
  <c r="AE1959" i="1"/>
  <c r="AD1959" i="1"/>
  <c r="AC1959" i="1"/>
  <c r="AB1959" i="1"/>
  <c r="AA1959" i="1"/>
  <c r="Y1959" i="1"/>
  <c r="Z1959" i="1" s="1"/>
  <c r="X1959" i="1"/>
  <c r="AE1958" i="1"/>
  <c r="AD1958" i="1"/>
  <c r="AC1958" i="1"/>
  <c r="AB1958" i="1"/>
  <c r="AA1958" i="1"/>
  <c r="Y1958" i="1"/>
  <c r="Z1958" i="1" s="1"/>
  <c r="X1958" i="1"/>
  <c r="AE1957" i="1"/>
  <c r="AD1957" i="1"/>
  <c r="AC1957" i="1"/>
  <c r="AB1957" i="1"/>
  <c r="AA1957" i="1"/>
  <c r="Y1957" i="1"/>
  <c r="Z1957" i="1" s="1"/>
  <c r="X1957" i="1"/>
  <c r="AE1956" i="1"/>
  <c r="AD1956" i="1"/>
  <c r="AC1956" i="1"/>
  <c r="AB1956" i="1"/>
  <c r="AA1956" i="1"/>
  <c r="Y1956" i="1"/>
  <c r="Z1956" i="1" s="1"/>
  <c r="X1956" i="1"/>
  <c r="AE1955" i="1"/>
  <c r="AD1955" i="1"/>
  <c r="AC1955" i="1"/>
  <c r="AB1955" i="1"/>
  <c r="AA1955" i="1"/>
  <c r="Y1955" i="1"/>
  <c r="Z1955" i="1" s="1"/>
  <c r="X1955" i="1"/>
  <c r="AE1954" i="1"/>
  <c r="AD1954" i="1"/>
  <c r="AC1954" i="1"/>
  <c r="AB1954" i="1"/>
  <c r="AA1954" i="1"/>
  <c r="Y1954" i="1"/>
  <c r="Z1954" i="1" s="1"/>
  <c r="X1954" i="1"/>
  <c r="AE1953" i="1"/>
  <c r="AD1953" i="1"/>
  <c r="AC1953" i="1"/>
  <c r="AB1953" i="1"/>
  <c r="AA1953" i="1"/>
  <c r="Y1953" i="1"/>
  <c r="Z1953" i="1" s="1"/>
  <c r="X1953" i="1"/>
  <c r="AE1952" i="1"/>
  <c r="AD1952" i="1"/>
  <c r="AC1952" i="1"/>
  <c r="AB1952" i="1"/>
  <c r="AA1952" i="1"/>
  <c r="Y1952" i="1"/>
  <c r="Z1952" i="1" s="1"/>
  <c r="X1952" i="1"/>
  <c r="AE1951" i="1"/>
  <c r="AD1951" i="1"/>
  <c r="AC1951" i="1"/>
  <c r="AB1951" i="1"/>
  <c r="AA1951" i="1"/>
  <c r="Y1951" i="1"/>
  <c r="Z1951" i="1" s="1"/>
  <c r="X1951" i="1"/>
  <c r="AE1950" i="1"/>
  <c r="AD1950" i="1"/>
  <c r="AC1950" i="1"/>
  <c r="AB1950" i="1"/>
  <c r="AA1950" i="1"/>
  <c r="Y1950" i="1"/>
  <c r="Z1950" i="1" s="1"/>
  <c r="X1950" i="1"/>
  <c r="AE1949" i="1"/>
  <c r="AD1949" i="1"/>
  <c r="AC1949" i="1"/>
  <c r="AB1949" i="1"/>
  <c r="AA1949" i="1"/>
  <c r="Y1949" i="1"/>
  <c r="Z1949" i="1" s="1"/>
  <c r="X1949" i="1"/>
  <c r="AE1948" i="1"/>
  <c r="AD1948" i="1"/>
  <c r="AC1948" i="1"/>
  <c r="AB1948" i="1"/>
  <c r="AA1948" i="1"/>
  <c r="Y1948" i="1"/>
  <c r="Z1948" i="1" s="1"/>
  <c r="X1948" i="1"/>
  <c r="AE1947" i="1"/>
  <c r="AD1947" i="1"/>
  <c r="AC1947" i="1"/>
  <c r="AB1947" i="1"/>
  <c r="AA1947" i="1"/>
  <c r="Y1947" i="1"/>
  <c r="Z1947" i="1" s="1"/>
  <c r="X1947" i="1"/>
  <c r="AE1946" i="1"/>
  <c r="AD1946" i="1"/>
  <c r="AC1946" i="1"/>
  <c r="AB1946" i="1"/>
  <c r="AA1946" i="1"/>
  <c r="Y1946" i="1"/>
  <c r="Z1946" i="1" s="1"/>
  <c r="X1946" i="1"/>
  <c r="AE1945" i="1"/>
  <c r="AD1945" i="1"/>
  <c r="AC1945" i="1"/>
  <c r="AB1945" i="1"/>
  <c r="AA1945" i="1"/>
  <c r="Y1945" i="1"/>
  <c r="Z1945" i="1" s="1"/>
  <c r="X1945" i="1"/>
  <c r="AE1944" i="1"/>
  <c r="AD1944" i="1"/>
  <c r="AC1944" i="1"/>
  <c r="AB1944" i="1"/>
  <c r="AA1944" i="1"/>
  <c r="Y1944" i="1"/>
  <c r="Z1944" i="1" s="1"/>
  <c r="X1944" i="1"/>
  <c r="AE1943" i="1"/>
  <c r="AD1943" i="1"/>
  <c r="AC1943" i="1"/>
  <c r="AB1943" i="1"/>
  <c r="AA1943" i="1"/>
  <c r="Y1943" i="1"/>
  <c r="Z1943" i="1" s="1"/>
  <c r="X1943" i="1"/>
  <c r="AE1942" i="1"/>
  <c r="AD1942" i="1"/>
  <c r="AC1942" i="1"/>
  <c r="AB1942" i="1"/>
  <c r="AA1942" i="1"/>
  <c r="Y1942" i="1"/>
  <c r="Z1942" i="1" s="1"/>
  <c r="X1942" i="1"/>
  <c r="AE1941" i="1"/>
  <c r="AD1941" i="1"/>
  <c r="AC1941" i="1"/>
  <c r="AB1941" i="1"/>
  <c r="AA1941" i="1"/>
  <c r="Y1941" i="1"/>
  <c r="Z1941" i="1" s="1"/>
  <c r="X1941" i="1"/>
  <c r="AE1940" i="1"/>
  <c r="AD1940" i="1"/>
  <c r="AC1940" i="1"/>
  <c r="AB1940" i="1"/>
  <c r="AA1940" i="1"/>
  <c r="Y1940" i="1"/>
  <c r="Z1940" i="1" s="1"/>
  <c r="X1940" i="1"/>
  <c r="AE1939" i="1"/>
  <c r="AD1939" i="1"/>
  <c r="AC1939" i="1"/>
  <c r="AB1939" i="1"/>
  <c r="AA1939" i="1"/>
  <c r="Y1939" i="1"/>
  <c r="Z1939" i="1" s="1"/>
  <c r="X1939" i="1"/>
  <c r="AE1938" i="1"/>
  <c r="AD1938" i="1"/>
  <c r="AC1938" i="1"/>
  <c r="AB1938" i="1"/>
  <c r="AA1938" i="1"/>
  <c r="Y1938" i="1"/>
  <c r="Z1938" i="1" s="1"/>
  <c r="X1938" i="1"/>
  <c r="AE1937" i="1"/>
  <c r="AD1937" i="1"/>
  <c r="AC1937" i="1"/>
  <c r="AB1937" i="1"/>
  <c r="AA1937" i="1"/>
  <c r="Y1937" i="1"/>
  <c r="Z1937" i="1" s="1"/>
  <c r="X1937" i="1"/>
  <c r="AE1936" i="1"/>
  <c r="AD1936" i="1"/>
  <c r="AC1936" i="1"/>
  <c r="AB1936" i="1"/>
  <c r="AA1936" i="1"/>
  <c r="Y1936" i="1"/>
  <c r="Z1936" i="1" s="1"/>
  <c r="X1936" i="1"/>
  <c r="AE1935" i="1"/>
  <c r="AD1935" i="1"/>
  <c r="AC1935" i="1"/>
  <c r="AB1935" i="1"/>
  <c r="AA1935" i="1"/>
  <c r="Y1935" i="1"/>
  <c r="Z1935" i="1" s="1"/>
  <c r="X1935" i="1"/>
  <c r="AE1934" i="1"/>
  <c r="AD1934" i="1"/>
  <c r="AC1934" i="1"/>
  <c r="AB1934" i="1"/>
  <c r="AA1934" i="1"/>
  <c r="Y1934" i="1"/>
  <c r="Z1934" i="1" s="1"/>
  <c r="X1934" i="1"/>
  <c r="AE1933" i="1"/>
  <c r="AD1933" i="1"/>
  <c r="AC1933" i="1"/>
  <c r="AB1933" i="1"/>
  <c r="AA1933" i="1"/>
  <c r="Y1933" i="1"/>
  <c r="Z1933" i="1" s="1"/>
  <c r="X1933" i="1"/>
  <c r="AE1932" i="1"/>
  <c r="AD1932" i="1"/>
  <c r="AC1932" i="1"/>
  <c r="AB1932" i="1"/>
  <c r="AA1932" i="1"/>
  <c r="Y1932" i="1"/>
  <c r="Z1932" i="1" s="1"/>
  <c r="X1932" i="1"/>
  <c r="AE1931" i="1"/>
  <c r="AD1931" i="1"/>
  <c r="AC1931" i="1"/>
  <c r="AB1931" i="1"/>
  <c r="AA1931" i="1"/>
  <c r="Y1931" i="1"/>
  <c r="Z1931" i="1" s="1"/>
  <c r="X1931" i="1"/>
  <c r="AE1930" i="1"/>
  <c r="AD1930" i="1"/>
  <c r="AC1930" i="1"/>
  <c r="AB1930" i="1"/>
  <c r="AA1930" i="1"/>
  <c r="Y1930" i="1"/>
  <c r="Z1930" i="1" s="1"/>
  <c r="X1930" i="1"/>
  <c r="AE1929" i="1"/>
  <c r="AD1929" i="1"/>
  <c r="AC1929" i="1"/>
  <c r="AB1929" i="1"/>
  <c r="AA1929" i="1"/>
  <c r="Y1929" i="1"/>
  <c r="Z1929" i="1" s="1"/>
  <c r="X1929" i="1"/>
  <c r="AE1928" i="1"/>
  <c r="AD1928" i="1"/>
  <c r="AC1928" i="1"/>
  <c r="AB1928" i="1"/>
  <c r="AA1928" i="1"/>
  <c r="Y1928" i="1"/>
  <c r="Z1928" i="1" s="1"/>
  <c r="X1928" i="1"/>
  <c r="AE1927" i="1"/>
  <c r="AD1927" i="1"/>
  <c r="AC1927" i="1"/>
  <c r="AB1927" i="1"/>
  <c r="AA1927" i="1"/>
  <c r="Y1927" i="1"/>
  <c r="Z1927" i="1" s="1"/>
  <c r="X1927" i="1"/>
  <c r="AE1926" i="1"/>
  <c r="AD1926" i="1"/>
  <c r="AC1926" i="1"/>
  <c r="AB1926" i="1"/>
  <c r="AA1926" i="1"/>
  <c r="Y1926" i="1"/>
  <c r="Z1926" i="1" s="1"/>
  <c r="X1926" i="1"/>
  <c r="AE1925" i="1"/>
  <c r="AD1925" i="1"/>
  <c r="AC1925" i="1"/>
  <c r="AB1925" i="1"/>
  <c r="AA1925" i="1"/>
  <c r="Y1925" i="1"/>
  <c r="Z1925" i="1" s="1"/>
  <c r="X1925" i="1"/>
  <c r="AE1924" i="1"/>
  <c r="AD1924" i="1"/>
  <c r="AC1924" i="1"/>
  <c r="AB1924" i="1"/>
  <c r="AA1924" i="1"/>
  <c r="Y1924" i="1"/>
  <c r="Z1924" i="1" s="1"/>
  <c r="X1924" i="1"/>
  <c r="AE1923" i="1"/>
  <c r="AD1923" i="1"/>
  <c r="AC1923" i="1"/>
  <c r="AB1923" i="1"/>
  <c r="AA1923" i="1"/>
  <c r="Y1923" i="1"/>
  <c r="Z1923" i="1" s="1"/>
  <c r="X1923" i="1"/>
  <c r="AE1922" i="1"/>
  <c r="AD1922" i="1"/>
  <c r="AC1922" i="1"/>
  <c r="AB1922" i="1"/>
  <c r="AA1922" i="1"/>
  <c r="Y1922" i="1"/>
  <c r="Z1922" i="1" s="1"/>
  <c r="X1922" i="1"/>
  <c r="AE1921" i="1"/>
  <c r="AD1921" i="1"/>
  <c r="AC1921" i="1"/>
  <c r="AB1921" i="1"/>
  <c r="AA1921" i="1"/>
  <c r="Y1921" i="1"/>
  <c r="Z1921" i="1" s="1"/>
  <c r="X1921" i="1"/>
  <c r="AE1920" i="1"/>
  <c r="AD1920" i="1"/>
  <c r="AC1920" i="1"/>
  <c r="AB1920" i="1"/>
  <c r="AA1920" i="1"/>
  <c r="Y1920" i="1"/>
  <c r="Z1920" i="1" s="1"/>
  <c r="X1920" i="1"/>
  <c r="AE1919" i="1"/>
  <c r="AD1919" i="1"/>
  <c r="AC1919" i="1"/>
  <c r="AB1919" i="1"/>
  <c r="AA1919" i="1"/>
  <c r="Y1919" i="1"/>
  <c r="Z1919" i="1" s="1"/>
  <c r="X1919" i="1"/>
  <c r="AE1918" i="1"/>
  <c r="AD1918" i="1"/>
  <c r="AC1918" i="1"/>
  <c r="AB1918" i="1"/>
  <c r="AA1918" i="1"/>
  <c r="Y1918" i="1"/>
  <c r="Z1918" i="1" s="1"/>
  <c r="X1918" i="1"/>
  <c r="AE1917" i="1"/>
  <c r="AD1917" i="1"/>
  <c r="AC1917" i="1"/>
  <c r="AB1917" i="1"/>
  <c r="AA1917" i="1"/>
  <c r="Y1917" i="1"/>
  <c r="Z1917" i="1" s="1"/>
  <c r="X1917" i="1"/>
  <c r="AE1916" i="1"/>
  <c r="AD1916" i="1"/>
  <c r="AC1916" i="1"/>
  <c r="AB1916" i="1"/>
  <c r="AA1916" i="1"/>
  <c r="Y1916" i="1"/>
  <c r="Z1916" i="1" s="1"/>
  <c r="X1916" i="1"/>
  <c r="AE1915" i="1"/>
  <c r="AD1915" i="1"/>
  <c r="AC1915" i="1"/>
  <c r="AB1915" i="1"/>
  <c r="AA1915" i="1"/>
  <c r="Y1915" i="1"/>
  <c r="Z1915" i="1" s="1"/>
  <c r="X1915" i="1"/>
  <c r="AE1914" i="1"/>
  <c r="AD1914" i="1"/>
  <c r="AC1914" i="1"/>
  <c r="AB1914" i="1"/>
  <c r="AA1914" i="1"/>
  <c r="Y1914" i="1"/>
  <c r="Z1914" i="1" s="1"/>
  <c r="X1914" i="1"/>
  <c r="AE1913" i="1"/>
  <c r="AD1913" i="1"/>
  <c r="AC1913" i="1"/>
  <c r="AB1913" i="1"/>
  <c r="AA1913" i="1"/>
  <c r="Y1913" i="1"/>
  <c r="Z1913" i="1" s="1"/>
  <c r="X1913" i="1"/>
  <c r="AE1912" i="1"/>
  <c r="AD1912" i="1"/>
  <c r="AC1912" i="1"/>
  <c r="AB1912" i="1"/>
  <c r="AA1912" i="1"/>
  <c r="Y1912" i="1"/>
  <c r="Z1912" i="1" s="1"/>
  <c r="X1912" i="1"/>
  <c r="AE1911" i="1"/>
  <c r="AD1911" i="1"/>
  <c r="AC1911" i="1"/>
  <c r="AB1911" i="1"/>
  <c r="AA1911" i="1"/>
  <c r="Y1911" i="1"/>
  <c r="Z1911" i="1" s="1"/>
  <c r="X1911" i="1"/>
  <c r="AE1910" i="1"/>
  <c r="AD1910" i="1"/>
  <c r="AC1910" i="1"/>
  <c r="AB1910" i="1"/>
  <c r="AA1910" i="1"/>
  <c r="Y1910" i="1"/>
  <c r="Z1910" i="1" s="1"/>
  <c r="X1910" i="1"/>
  <c r="AE1909" i="1"/>
  <c r="AD1909" i="1"/>
  <c r="AC1909" i="1"/>
  <c r="AB1909" i="1"/>
  <c r="AA1909" i="1"/>
  <c r="Y1909" i="1"/>
  <c r="Z1909" i="1" s="1"/>
  <c r="X1909" i="1"/>
  <c r="AE1908" i="1"/>
  <c r="AD1908" i="1"/>
  <c r="AC1908" i="1"/>
  <c r="AB1908" i="1"/>
  <c r="AA1908" i="1"/>
  <c r="Y1908" i="1"/>
  <c r="Z1908" i="1" s="1"/>
  <c r="X1908" i="1"/>
  <c r="AE1907" i="1"/>
  <c r="AD1907" i="1"/>
  <c r="AC1907" i="1"/>
  <c r="AB1907" i="1"/>
  <c r="AA1907" i="1"/>
  <c r="Y1907" i="1"/>
  <c r="Z1907" i="1" s="1"/>
  <c r="X1907" i="1"/>
  <c r="AE1906" i="1"/>
  <c r="AD1906" i="1"/>
  <c r="AC1906" i="1"/>
  <c r="AB1906" i="1"/>
  <c r="AA1906" i="1"/>
  <c r="Y1906" i="1"/>
  <c r="Z1906" i="1" s="1"/>
  <c r="X1906" i="1"/>
  <c r="AE1905" i="1"/>
  <c r="AD1905" i="1"/>
  <c r="AC1905" i="1"/>
  <c r="AB1905" i="1"/>
  <c r="AA1905" i="1"/>
  <c r="Y1905" i="1"/>
  <c r="Z1905" i="1" s="1"/>
  <c r="X1905" i="1"/>
  <c r="AE1904" i="1"/>
  <c r="AD1904" i="1"/>
  <c r="AC1904" i="1"/>
  <c r="AB1904" i="1"/>
  <c r="AA1904" i="1"/>
  <c r="Y1904" i="1"/>
  <c r="Z1904" i="1" s="1"/>
  <c r="X1904" i="1"/>
  <c r="AE1903" i="1"/>
  <c r="AD1903" i="1"/>
  <c r="AC1903" i="1"/>
  <c r="AB1903" i="1"/>
  <c r="AA1903" i="1"/>
  <c r="Y1903" i="1"/>
  <c r="Z1903" i="1" s="1"/>
  <c r="X1903" i="1"/>
  <c r="AE1902" i="1"/>
  <c r="AD1902" i="1"/>
  <c r="AC1902" i="1"/>
  <c r="AB1902" i="1"/>
  <c r="AA1902" i="1"/>
  <c r="Y1902" i="1"/>
  <c r="Z1902" i="1" s="1"/>
  <c r="X1902" i="1"/>
  <c r="AE1901" i="1"/>
  <c r="AD1901" i="1"/>
  <c r="AC1901" i="1"/>
  <c r="AB1901" i="1"/>
  <c r="AA1901" i="1"/>
  <c r="Y1901" i="1"/>
  <c r="Z1901" i="1" s="1"/>
  <c r="X1901" i="1"/>
  <c r="AE1900" i="1"/>
  <c r="AD1900" i="1"/>
  <c r="AC1900" i="1"/>
  <c r="AB1900" i="1"/>
  <c r="AA1900" i="1"/>
  <c r="Y1900" i="1"/>
  <c r="Z1900" i="1" s="1"/>
  <c r="X1900" i="1"/>
  <c r="AE1899" i="1"/>
  <c r="AD1899" i="1"/>
  <c r="AC1899" i="1"/>
  <c r="AB1899" i="1"/>
  <c r="AA1899" i="1"/>
  <c r="Y1899" i="1"/>
  <c r="Z1899" i="1" s="1"/>
  <c r="X1899" i="1"/>
  <c r="AE1898" i="1"/>
  <c r="AD1898" i="1"/>
  <c r="AC1898" i="1"/>
  <c r="AB1898" i="1"/>
  <c r="AA1898" i="1"/>
  <c r="Y1898" i="1"/>
  <c r="Z1898" i="1" s="1"/>
  <c r="X1898" i="1"/>
  <c r="AE1897" i="1"/>
  <c r="AD1897" i="1"/>
  <c r="AC1897" i="1"/>
  <c r="AB1897" i="1"/>
  <c r="AA1897" i="1"/>
  <c r="Y1897" i="1"/>
  <c r="Z1897" i="1" s="1"/>
  <c r="X1897" i="1"/>
  <c r="AE1896" i="1"/>
  <c r="AD1896" i="1"/>
  <c r="AC1896" i="1"/>
  <c r="AB1896" i="1"/>
  <c r="AA1896" i="1"/>
  <c r="Y1896" i="1"/>
  <c r="Z1896" i="1" s="1"/>
  <c r="X1896" i="1"/>
  <c r="AE1895" i="1"/>
  <c r="AD1895" i="1"/>
  <c r="AC1895" i="1"/>
  <c r="AB1895" i="1"/>
  <c r="AA1895" i="1"/>
  <c r="Y1895" i="1"/>
  <c r="Z1895" i="1" s="1"/>
  <c r="X1895" i="1"/>
  <c r="AE1894" i="1"/>
  <c r="AD1894" i="1"/>
  <c r="AC1894" i="1"/>
  <c r="AB1894" i="1"/>
  <c r="AA1894" i="1"/>
  <c r="Y1894" i="1"/>
  <c r="Z1894" i="1" s="1"/>
  <c r="X1894" i="1"/>
  <c r="AE1893" i="1"/>
  <c r="AD1893" i="1"/>
  <c r="AC1893" i="1"/>
  <c r="AB1893" i="1"/>
  <c r="AA1893" i="1"/>
  <c r="Y1893" i="1"/>
  <c r="Z1893" i="1" s="1"/>
  <c r="X1893" i="1"/>
  <c r="AE1892" i="1"/>
  <c r="AD1892" i="1"/>
  <c r="AC1892" i="1"/>
  <c r="AB1892" i="1"/>
  <c r="AA1892" i="1"/>
  <c r="Y1892" i="1"/>
  <c r="Z1892" i="1" s="1"/>
  <c r="X1892" i="1"/>
  <c r="AE1891" i="1"/>
  <c r="AD1891" i="1"/>
  <c r="AC1891" i="1"/>
  <c r="AB1891" i="1"/>
  <c r="AA1891" i="1"/>
  <c r="Y1891" i="1"/>
  <c r="Z1891" i="1" s="1"/>
  <c r="X1891" i="1"/>
  <c r="AE1890" i="1"/>
  <c r="AD1890" i="1"/>
  <c r="AC1890" i="1"/>
  <c r="AB1890" i="1"/>
  <c r="AA1890" i="1"/>
  <c r="Y1890" i="1"/>
  <c r="Z1890" i="1" s="1"/>
  <c r="X1890" i="1"/>
  <c r="AE1889" i="1"/>
  <c r="AD1889" i="1"/>
  <c r="AC1889" i="1"/>
  <c r="AB1889" i="1"/>
  <c r="AA1889" i="1"/>
  <c r="Y1889" i="1"/>
  <c r="Z1889" i="1" s="1"/>
  <c r="X1889" i="1"/>
  <c r="AE1888" i="1"/>
  <c r="AD1888" i="1"/>
  <c r="AC1888" i="1"/>
  <c r="AB1888" i="1"/>
  <c r="AA1888" i="1"/>
  <c r="Y1888" i="1"/>
  <c r="Z1888" i="1" s="1"/>
  <c r="X1888" i="1"/>
  <c r="AE1887" i="1"/>
  <c r="AD1887" i="1"/>
  <c r="AC1887" i="1"/>
  <c r="AB1887" i="1"/>
  <c r="AA1887" i="1"/>
  <c r="Y1887" i="1"/>
  <c r="Z1887" i="1" s="1"/>
  <c r="X1887" i="1"/>
  <c r="AE1886" i="1"/>
  <c r="AD1886" i="1"/>
  <c r="AC1886" i="1"/>
  <c r="AB1886" i="1"/>
  <c r="AA1886" i="1"/>
  <c r="Y1886" i="1"/>
  <c r="Z1886" i="1" s="1"/>
  <c r="X1886" i="1"/>
  <c r="AE1885" i="1"/>
  <c r="AD1885" i="1"/>
  <c r="AC1885" i="1"/>
  <c r="AB1885" i="1"/>
  <c r="AA1885" i="1"/>
  <c r="Y1885" i="1"/>
  <c r="Z1885" i="1" s="1"/>
  <c r="X1885" i="1"/>
  <c r="AE1884" i="1"/>
  <c r="AD1884" i="1"/>
  <c r="AC1884" i="1"/>
  <c r="AB1884" i="1"/>
  <c r="AA1884" i="1"/>
  <c r="Y1884" i="1"/>
  <c r="Z1884" i="1" s="1"/>
  <c r="X1884" i="1"/>
  <c r="AE1883" i="1"/>
  <c r="AD1883" i="1"/>
  <c r="AC1883" i="1"/>
  <c r="AB1883" i="1"/>
  <c r="AA1883" i="1"/>
  <c r="Y1883" i="1"/>
  <c r="Z1883" i="1" s="1"/>
  <c r="X1883" i="1"/>
  <c r="AE1882" i="1"/>
  <c r="AD1882" i="1"/>
  <c r="AC1882" i="1"/>
  <c r="AB1882" i="1"/>
  <c r="AA1882" i="1"/>
  <c r="Y1882" i="1"/>
  <c r="Z1882" i="1" s="1"/>
  <c r="X1882" i="1"/>
  <c r="AE1881" i="1"/>
  <c r="AD1881" i="1"/>
  <c r="AC1881" i="1"/>
  <c r="AB1881" i="1"/>
  <c r="AA1881" i="1"/>
  <c r="Y1881" i="1"/>
  <c r="Z1881" i="1" s="1"/>
  <c r="X1881" i="1"/>
  <c r="AE1880" i="1"/>
  <c r="AD1880" i="1"/>
  <c r="AC1880" i="1"/>
  <c r="AB1880" i="1"/>
  <c r="AA1880" i="1"/>
  <c r="Y1880" i="1"/>
  <c r="Z1880" i="1" s="1"/>
  <c r="X1880" i="1"/>
  <c r="AE1879" i="1"/>
  <c r="AD1879" i="1"/>
  <c r="AC1879" i="1"/>
  <c r="AB1879" i="1"/>
  <c r="AA1879" i="1"/>
  <c r="Y1879" i="1"/>
  <c r="Z1879" i="1" s="1"/>
  <c r="X1879" i="1"/>
  <c r="AE1878" i="1"/>
  <c r="AD1878" i="1"/>
  <c r="AC1878" i="1"/>
  <c r="AB1878" i="1"/>
  <c r="AA1878" i="1"/>
  <c r="Y1878" i="1"/>
  <c r="Z1878" i="1" s="1"/>
  <c r="X1878" i="1"/>
  <c r="AE1877" i="1"/>
  <c r="AD1877" i="1"/>
  <c r="AC1877" i="1"/>
  <c r="AB1877" i="1"/>
  <c r="AA1877" i="1"/>
  <c r="Y1877" i="1"/>
  <c r="Z1877" i="1" s="1"/>
  <c r="X1877" i="1"/>
  <c r="AE1876" i="1"/>
  <c r="AD1876" i="1"/>
  <c r="AC1876" i="1"/>
  <c r="AB1876" i="1"/>
  <c r="AA1876" i="1"/>
  <c r="Y1876" i="1"/>
  <c r="Z1876" i="1" s="1"/>
  <c r="X1876" i="1"/>
  <c r="AE1875" i="1"/>
  <c r="AD1875" i="1"/>
  <c r="AC1875" i="1"/>
  <c r="AB1875" i="1"/>
  <c r="AA1875" i="1"/>
  <c r="Y1875" i="1"/>
  <c r="Z1875" i="1" s="1"/>
  <c r="X1875" i="1"/>
  <c r="AE1874" i="1"/>
  <c r="AD1874" i="1"/>
  <c r="AC1874" i="1"/>
  <c r="AB1874" i="1"/>
  <c r="AA1874" i="1"/>
  <c r="Y1874" i="1"/>
  <c r="Z1874" i="1" s="1"/>
  <c r="X1874" i="1"/>
  <c r="AE1873" i="1"/>
  <c r="AD1873" i="1"/>
  <c r="AC1873" i="1"/>
  <c r="AB1873" i="1"/>
  <c r="AA1873" i="1"/>
  <c r="Y1873" i="1"/>
  <c r="Z1873" i="1" s="1"/>
  <c r="X1873" i="1"/>
  <c r="AE1872" i="1"/>
  <c r="AD1872" i="1"/>
  <c r="AC1872" i="1"/>
  <c r="AB1872" i="1"/>
  <c r="AA1872" i="1"/>
  <c r="Y1872" i="1"/>
  <c r="Z1872" i="1" s="1"/>
  <c r="X1872" i="1"/>
  <c r="AE1871" i="1"/>
  <c r="AD1871" i="1"/>
  <c r="AC1871" i="1"/>
  <c r="AB1871" i="1"/>
  <c r="AA1871" i="1"/>
  <c r="Y1871" i="1"/>
  <c r="Z1871" i="1" s="1"/>
  <c r="X1871" i="1"/>
  <c r="AE1870" i="1"/>
  <c r="AD1870" i="1"/>
  <c r="AC1870" i="1"/>
  <c r="AB1870" i="1"/>
  <c r="AA1870" i="1"/>
  <c r="Y1870" i="1"/>
  <c r="Z1870" i="1" s="1"/>
  <c r="X1870" i="1"/>
  <c r="AE1869" i="1"/>
  <c r="AD1869" i="1"/>
  <c r="AC1869" i="1"/>
  <c r="AB1869" i="1"/>
  <c r="AA1869" i="1"/>
  <c r="Y1869" i="1"/>
  <c r="Z1869" i="1" s="1"/>
  <c r="X1869" i="1"/>
  <c r="AE1868" i="1"/>
  <c r="AD1868" i="1"/>
  <c r="AC1868" i="1"/>
  <c r="AB1868" i="1"/>
  <c r="AA1868" i="1"/>
  <c r="Y1868" i="1"/>
  <c r="Z1868" i="1" s="1"/>
  <c r="X1868" i="1"/>
  <c r="AE1867" i="1"/>
  <c r="AD1867" i="1"/>
  <c r="AC1867" i="1"/>
  <c r="AB1867" i="1"/>
  <c r="AA1867" i="1"/>
  <c r="Y1867" i="1"/>
  <c r="Z1867" i="1" s="1"/>
  <c r="X1867" i="1"/>
  <c r="AE1866" i="1"/>
  <c r="AD1866" i="1"/>
  <c r="AC1866" i="1"/>
  <c r="AB1866" i="1"/>
  <c r="AA1866" i="1"/>
  <c r="Y1866" i="1"/>
  <c r="Z1866" i="1" s="1"/>
  <c r="X1866" i="1"/>
  <c r="AE1865" i="1"/>
  <c r="AD1865" i="1"/>
  <c r="AC1865" i="1"/>
  <c r="AB1865" i="1"/>
  <c r="AA1865" i="1"/>
  <c r="Y1865" i="1"/>
  <c r="Z1865" i="1" s="1"/>
  <c r="X1865" i="1"/>
  <c r="AE1864" i="1"/>
  <c r="AD1864" i="1"/>
  <c r="AC1864" i="1"/>
  <c r="AB1864" i="1"/>
  <c r="AA1864" i="1"/>
  <c r="Y1864" i="1"/>
  <c r="Z1864" i="1" s="1"/>
  <c r="X1864" i="1"/>
  <c r="AE1863" i="1"/>
  <c r="AD1863" i="1"/>
  <c r="AC1863" i="1"/>
  <c r="AB1863" i="1"/>
  <c r="AA1863" i="1"/>
  <c r="Y1863" i="1"/>
  <c r="Z1863" i="1" s="1"/>
  <c r="X1863" i="1"/>
  <c r="AE1862" i="1"/>
  <c r="AD1862" i="1"/>
  <c r="AC1862" i="1"/>
  <c r="AB1862" i="1"/>
  <c r="AA1862" i="1"/>
  <c r="Y1862" i="1"/>
  <c r="Z1862" i="1" s="1"/>
  <c r="X1862" i="1"/>
  <c r="AE1861" i="1"/>
  <c r="AD1861" i="1"/>
  <c r="AC1861" i="1"/>
  <c r="AB1861" i="1"/>
  <c r="AA1861" i="1"/>
  <c r="Y1861" i="1"/>
  <c r="Z1861" i="1" s="1"/>
  <c r="X1861" i="1"/>
  <c r="AE1860" i="1"/>
  <c r="AD1860" i="1"/>
  <c r="AC1860" i="1"/>
  <c r="AB1860" i="1"/>
  <c r="AA1860" i="1"/>
  <c r="Y1860" i="1"/>
  <c r="Z1860" i="1" s="1"/>
  <c r="X1860" i="1"/>
  <c r="AE1859" i="1"/>
  <c r="AD1859" i="1"/>
  <c r="AC1859" i="1"/>
  <c r="AB1859" i="1"/>
  <c r="AA1859" i="1"/>
  <c r="Y1859" i="1"/>
  <c r="Z1859" i="1" s="1"/>
  <c r="X1859" i="1"/>
  <c r="AE1858" i="1"/>
  <c r="AD1858" i="1"/>
  <c r="AC1858" i="1"/>
  <c r="AB1858" i="1"/>
  <c r="AA1858" i="1"/>
  <c r="Y1858" i="1"/>
  <c r="Z1858" i="1" s="1"/>
  <c r="X1858" i="1"/>
  <c r="AE1857" i="1"/>
  <c r="AD1857" i="1"/>
  <c r="AC1857" i="1"/>
  <c r="AB1857" i="1"/>
  <c r="AA1857" i="1"/>
  <c r="Y1857" i="1"/>
  <c r="Z1857" i="1" s="1"/>
  <c r="X1857" i="1"/>
  <c r="AE1856" i="1"/>
  <c r="AD1856" i="1"/>
  <c r="AC1856" i="1"/>
  <c r="AB1856" i="1"/>
  <c r="AA1856" i="1"/>
  <c r="Y1856" i="1"/>
  <c r="Z1856" i="1" s="1"/>
  <c r="X1856" i="1"/>
  <c r="AE1855" i="1"/>
  <c r="AD1855" i="1"/>
  <c r="AC1855" i="1"/>
  <c r="AB1855" i="1"/>
  <c r="AA1855" i="1"/>
  <c r="Y1855" i="1"/>
  <c r="Z1855" i="1" s="1"/>
  <c r="X1855" i="1"/>
  <c r="AE1854" i="1"/>
  <c r="AD1854" i="1"/>
  <c r="AC1854" i="1"/>
  <c r="AB1854" i="1"/>
  <c r="AA1854" i="1"/>
  <c r="Y1854" i="1"/>
  <c r="Z1854" i="1" s="1"/>
  <c r="X1854" i="1"/>
  <c r="AE1853" i="1"/>
  <c r="AD1853" i="1"/>
  <c r="AC1853" i="1"/>
  <c r="AB1853" i="1"/>
  <c r="AA1853" i="1"/>
  <c r="Y1853" i="1"/>
  <c r="Z1853" i="1" s="1"/>
  <c r="X1853" i="1"/>
  <c r="AE1852" i="1"/>
  <c r="AD1852" i="1"/>
  <c r="AC1852" i="1"/>
  <c r="AB1852" i="1"/>
  <c r="AA1852" i="1"/>
  <c r="Y1852" i="1"/>
  <c r="Z1852" i="1" s="1"/>
  <c r="X1852" i="1"/>
  <c r="AE1851" i="1"/>
  <c r="AD1851" i="1"/>
  <c r="AC1851" i="1"/>
  <c r="AB1851" i="1"/>
  <c r="AA1851" i="1"/>
  <c r="Y1851" i="1"/>
  <c r="Z1851" i="1" s="1"/>
  <c r="X1851" i="1"/>
  <c r="AE1850" i="1"/>
  <c r="AD1850" i="1"/>
  <c r="AC1850" i="1"/>
  <c r="AB1850" i="1"/>
  <c r="AA1850" i="1"/>
  <c r="Y1850" i="1"/>
  <c r="Z1850" i="1" s="1"/>
  <c r="X1850" i="1"/>
  <c r="AE1849" i="1"/>
  <c r="AD1849" i="1"/>
  <c r="AC1849" i="1"/>
  <c r="AB1849" i="1"/>
  <c r="AA1849" i="1"/>
  <c r="Y1849" i="1"/>
  <c r="Z1849" i="1" s="1"/>
  <c r="X1849" i="1"/>
  <c r="AE1848" i="1"/>
  <c r="AD1848" i="1"/>
  <c r="AC1848" i="1"/>
  <c r="AB1848" i="1"/>
  <c r="AA1848" i="1"/>
  <c r="Y1848" i="1"/>
  <c r="Z1848" i="1" s="1"/>
  <c r="X1848" i="1"/>
  <c r="AE1847" i="1"/>
  <c r="AD1847" i="1"/>
  <c r="AC1847" i="1"/>
  <c r="AB1847" i="1"/>
  <c r="AA1847" i="1"/>
  <c r="Y1847" i="1"/>
  <c r="Z1847" i="1" s="1"/>
  <c r="X1847" i="1"/>
  <c r="AE1846" i="1"/>
  <c r="AD1846" i="1"/>
  <c r="AC1846" i="1"/>
  <c r="AB1846" i="1"/>
  <c r="AA1846" i="1"/>
  <c r="Y1846" i="1"/>
  <c r="Z1846" i="1" s="1"/>
  <c r="X1846" i="1"/>
  <c r="AE1845" i="1"/>
  <c r="AD1845" i="1"/>
  <c r="AC1845" i="1"/>
  <c r="AB1845" i="1"/>
  <c r="AA1845" i="1"/>
  <c r="Y1845" i="1"/>
  <c r="Z1845" i="1" s="1"/>
  <c r="X1845" i="1"/>
  <c r="AE1844" i="1"/>
  <c r="AD1844" i="1"/>
  <c r="AC1844" i="1"/>
  <c r="AB1844" i="1"/>
  <c r="AA1844" i="1"/>
  <c r="Y1844" i="1"/>
  <c r="Z1844" i="1" s="1"/>
  <c r="X1844" i="1"/>
  <c r="AE1843" i="1"/>
  <c r="AD1843" i="1"/>
  <c r="AC1843" i="1"/>
  <c r="AB1843" i="1"/>
  <c r="AA1843" i="1"/>
  <c r="Y1843" i="1"/>
  <c r="Z1843" i="1" s="1"/>
  <c r="X1843" i="1"/>
  <c r="AE1842" i="1"/>
  <c r="AD1842" i="1"/>
  <c r="AC1842" i="1"/>
  <c r="AB1842" i="1"/>
  <c r="AA1842" i="1"/>
  <c r="Y1842" i="1"/>
  <c r="Z1842" i="1" s="1"/>
  <c r="X1842" i="1"/>
  <c r="AE1841" i="1"/>
  <c r="AD1841" i="1"/>
  <c r="AC1841" i="1"/>
  <c r="AB1841" i="1"/>
  <c r="AA1841" i="1"/>
  <c r="Y1841" i="1"/>
  <c r="Z1841" i="1" s="1"/>
  <c r="X1841" i="1"/>
  <c r="AE1840" i="1"/>
  <c r="AD1840" i="1"/>
  <c r="AC1840" i="1"/>
  <c r="AB1840" i="1"/>
  <c r="AA1840" i="1"/>
  <c r="Y1840" i="1"/>
  <c r="Z1840" i="1" s="1"/>
  <c r="X1840" i="1"/>
  <c r="AE1839" i="1"/>
  <c r="AD1839" i="1"/>
  <c r="AC1839" i="1"/>
  <c r="AB1839" i="1"/>
  <c r="AA1839" i="1"/>
  <c r="Y1839" i="1"/>
  <c r="Z1839" i="1" s="1"/>
  <c r="X1839" i="1"/>
  <c r="AE1838" i="1"/>
  <c r="AD1838" i="1"/>
  <c r="AC1838" i="1"/>
  <c r="AB1838" i="1"/>
  <c r="AA1838" i="1"/>
  <c r="Y1838" i="1"/>
  <c r="Z1838" i="1" s="1"/>
  <c r="X1838" i="1"/>
  <c r="AE1837" i="1"/>
  <c r="AD1837" i="1"/>
  <c r="AC1837" i="1"/>
  <c r="AB1837" i="1"/>
  <c r="AA1837" i="1"/>
  <c r="Y1837" i="1"/>
  <c r="Z1837" i="1" s="1"/>
  <c r="X1837" i="1"/>
  <c r="AE1836" i="1"/>
  <c r="AD1836" i="1"/>
  <c r="AC1836" i="1"/>
  <c r="AB1836" i="1"/>
  <c r="AA1836" i="1"/>
  <c r="Y1836" i="1"/>
  <c r="Z1836" i="1" s="1"/>
  <c r="X1836" i="1"/>
  <c r="AE1835" i="1"/>
  <c r="AD1835" i="1"/>
  <c r="AC1835" i="1"/>
  <c r="AB1835" i="1"/>
  <c r="AA1835" i="1"/>
  <c r="Y1835" i="1"/>
  <c r="Z1835" i="1" s="1"/>
  <c r="X1835" i="1"/>
  <c r="AE1834" i="1"/>
  <c r="AD1834" i="1"/>
  <c r="AC1834" i="1"/>
  <c r="AB1834" i="1"/>
  <c r="AA1834" i="1"/>
  <c r="Y1834" i="1"/>
  <c r="Z1834" i="1" s="1"/>
  <c r="X1834" i="1"/>
  <c r="AE1833" i="1"/>
  <c r="AD1833" i="1"/>
  <c r="AC1833" i="1"/>
  <c r="AB1833" i="1"/>
  <c r="AA1833" i="1"/>
  <c r="Y1833" i="1"/>
  <c r="Z1833" i="1" s="1"/>
  <c r="X1833" i="1"/>
  <c r="AE1832" i="1"/>
  <c r="AD1832" i="1"/>
  <c r="AC1832" i="1"/>
  <c r="AB1832" i="1"/>
  <c r="AA1832" i="1"/>
  <c r="Y1832" i="1"/>
  <c r="Z1832" i="1" s="1"/>
  <c r="X1832" i="1"/>
  <c r="AE1831" i="1"/>
  <c r="AD1831" i="1"/>
  <c r="AC1831" i="1"/>
  <c r="AB1831" i="1"/>
  <c r="AA1831" i="1"/>
  <c r="Y1831" i="1"/>
  <c r="Z1831" i="1" s="1"/>
  <c r="X1831" i="1"/>
  <c r="AE1830" i="1"/>
  <c r="AD1830" i="1"/>
  <c r="AC1830" i="1"/>
  <c r="AB1830" i="1"/>
  <c r="AA1830" i="1"/>
  <c r="Y1830" i="1"/>
  <c r="Z1830" i="1" s="1"/>
  <c r="X1830" i="1"/>
  <c r="AE1829" i="1"/>
  <c r="AD1829" i="1"/>
  <c r="AC1829" i="1"/>
  <c r="AB1829" i="1"/>
  <c r="AA1829" i="1"/>
  <c r="Y1829" i="1"/>
  <c r="Z1829" i="1" s="1"/>
  <c r="X1829" i="1"/>
  <c r="AE1828" i="1"/>
  <c r="AD1828" i="1"/>
  <c r="AC1828" i="1"/>
  <c r="AB1828" i="1"/>
  <c r="AA1828" i="1"/>
  <c r="Y1828" i="1"/>
  <c r="Z1828" i="1" s="1"/>
  <c r="X1828" i="1"/>
  <c r="AE1827" i="1"/>
  <c r="AD1827" i="1"/>
  <c r="AC1827" i="1"/>
  <c r="AB1827" i="1"/>
  <c r="AA1827" i="1"/>
  <c r="Y1827" i="1"/>
  <c r="Z1827" i="1" s="1"/>
  <c r="X1827" i="1"/>
  <c r="AE1826" i="1"/>
  <c r="AD1826" i="1"/>
  <c r="AC1826" i="1"/>
  <c r="AB1826" i="1"/>
  <c r="AA1826" i="1"/>
  <c r="Y1826" i="1"/>
  <c r="Z1826" i="1" s="1"/>
  <c r="X1826" i="1"/>
  <c r="AE1825" i="1"/>
  <c r="AD1825" i="1"/>
  <c r="AC1825" i="1"/>
  <c r="AB1825" i="1"/>
  <c r="AA1825" i="1"/>
  <c r="Y1825" i="1"/>
  <c r="Z1825" i="1" s="1"/>
  <c r="X1825" i="1"/>
  <c r="AE1824" i="1"/>
  <c r="AD1824" i="1"/>
  <c r="AC1824" i="1"/>
  <c r="AB1824" i="1"/>
  <c r="AA1824" i="1"/>
  <c r="Y1824" i="1"/>
  <c r="Z1824" i="1" s="1"/>
  <c r="X1824" i="1"/>
  <c r="AE1823" i="1"/>
  <c r="AD1823" i="1"/>
  <c r="AC1823" i="1"/>
  <c r="AB1823" i="1"/>
  <c r="AA1823" i="1"/>
  <c r="Y1823" i="1"/>
  <c r="Z1823" i="1" s="1"/>
  <c r="X1823" i="1"/>
  <c r="AE1822" i="1"/>
  <c r="AD1822" i="1"/>
  <c r="AC1822" i="1"/>
  <c r="AB1822" i="1"/>
  <c r="AA1822" i="1"/>
  <c r="Y1822" i="1"/>
  <c r="Z1822" i="1" s="1"/>
  <c r="X1822" i="1"/>
  <c r="AE1821" i="1"/>
  <c r="AD1821" i="1"/>
  <c r="AC1821" i="1"/>
  <c r="AB1821" i="1"/>
  <c r="AA1821" i="1"/>
  <c r="Y1821" i="1"/>
  <c r="Z1821" i="1" s="1"/>
  <c r="X1821" i="1"/>
  <c r="AE1820" i="1"/>
  <c r="AD1820" i="1"/>
  <c r="AC1820" i="1"/>
  <c r="AB1820" i="1"/>
  <c r="AA1820" i="1"/>
  <c r="Y1820" i="1"/>
  <c r="Z1820" i="1" s="1"/>
  <c r="X1820" i="1"/>
  <c r="AE1819" i="1"/>
  <c r="AD1819" i="1"/>
  <c r="AC1819" i="1"/>
  <c r="AB1819" i="1"/>
  <c r="AA1819" i="1"/>
  <c r="Y1819" i="1"/>
  <c r="Z1819" i="1" s="1"/>
  <c r="X1819" i="1"/>
  <c r="AE1818" i="1"/>
  <c r="AD1818" i="1"/>
  <c r="AC1818" i="1"/>
  <c r="AB1818" i="1"/>
  <c r="AA1818" i="1"/>
  <c r="Y1818" i="1"/>
  <c r="Z1818" i="1" s="1"/>
  <c r="X1818" i="1"/>
  <c r="AE1817" i="1"/>
  <c r="AD1817" i="1"/>
  <c r="AC1817" i="1"/>
  <c r="AB1817" i="1"/>
  <c r="AA1817" i="1"/>
  <c r="Y1817" i="1"/>
  <c r="Z1817" i="1" s="1"/>
  <c r="X1817" i="1"/>
  <c r="AE1816" i="1"/>
  <c r="AD1816" i="1"/>
  <c r="AC1816" i="1"/>
  <c r="AB1816" i="1"/>
  <c r="AA1816" i="1"/>
  <c r="Y1816" i="1"/>
  <c r="Z1816" i="1" s="1"/>
  <c r="X1816" i="1"/>
  <c r="AE1815" i="1"/>
  <c r="AD1815" i="1"/>
  <c r="AC1815" i="1"/>
  <c r="AB1815" i="1"/>
  <c r="AA1815" i="1"/>
  <c r="Y1815" i="1"/>
  <c r="Z1815" i="1" s="1"/>
  <c r="X1815" i="1"/>
  <c r="AE1814" i="1"/>
  <c r="AD1814" i="1"/>
  <c r="AC1814" i="1"/>
  <c r="AB1814" i="1"/>
  <c r="AA1814" i="1"/>
  <c r="Y1814" i="1"/>
  <c r="Z1814" i="1" s="1"/>
  <c r="X1814" i="1"/>
  <c r="AE1813" i="1"/>
  <c r="AD1813" i="1"/>
  <c r="AC1813" i="1"/>
  <c r="AB1813" i="1"/>
  <c r="AA1813" i="1"/>
  <c r="Y1813" i="1"/>
  <c r="Z1813" i="1" s="1"/>
  <c r="X1813" i="1"/>
  <c r="AE1812" i="1"/>
  <c r="AD1812" i="1"/>
  <c r="AC1812" i="1"/>
  <c r="AB1812" i="1"/>
  <c r="AA1812" i="1"/>
  <c r="Y1812" i="1"/>
  <c r="Z1812" i="1" s="1"/>
  <c r="X1812" i="1"/>
  <c r="AE1811" i="1"/>
  <c r="AD1811" i="1"/>
  <c r="AC1811" i="1"/>
  <c r="AB1811" i="1"/>
  <c r="AA1811" i="1"/>
  <c r="Y1811" i="1"/>
  <c r="Z1811" i="1" s="1"/>
  <c r="X1811" i="1"/>
  <c r="AE1810" i="1"/>
  <c r="AD1810" i="1"/>
  <c r="AC1810" i="1"/>
  <c r="AB1810" i="1"/>
  <c r="AA1810" i="1"/>
  <c r="Y1810" i="1"/>
  <c r="Z1810" i="1" s="1"/>
  <c r="X1810" i="1"/>
  <c r="AE1809" i="1"/>
  <c r="AD1809" i="1"/>
  <c r="AC1809" i="1"/>
  <c r="AB1809" i="1"/>
  <c r="AA1809" i="1"/>
  <c r="Y1809" i="1"/>
  <c r="Z1809" i="1" s="1"/>
  <c r="X1809" i="1"/>
  <c r="AE1808" i="1"/>
  <c r="AD1808" i="1"/>
  <c r="AC1808" i="1"/>
  <c r="AB1808" i="1"/>
  <c r="AA1808" i="1"/>
  <c r="Y1808" i="1"/>
  <c r="Z1808" i="1" s="1"/>
  <c r="X1808" i="1"/>
  <c r="AE1807" i="1"/>
  <c r="AD1807" i="1"/>
  <c r="AC1807" i="1"/>
  <c r="AB1807" i="1"/>
  <c r="AA1807" i="1"/>
  <c r="Y1807" i="1"/>
  <c r="Z1807" i="1" s="1"/>
  <c r="X1807" i="1"/>
  <c r="AE1806" i="1"/>
  <c r="AD1806" i="1"/>
  <c r="AC1806" i="1"/>
  <c r="AB1806" i="1"/>
  <c r="AA1806" i="1"/>
  <c r="Y1806" i="1"/>
  <c r="Z1806" i="1" s="1"/>
  <c r="X1806" i="1"/>
  <c r="AE1805" i="1"/>
  <c r="AD1805" i="1"/>
  <c r="AC1805" i="1"/>
  <c r="AB1805" i="1"/>
  <c r="AA1805" i="1"/>
  <c r="Y1805" i="1"/>
  <c r="Z1805" i="1" s="1"/>
  <c r="X1805" i="1"/>
  <c r="AE1804" i="1"/>
  <c r="AD1804" i="1"/>
  <c r="AC1804" i="1"/>
  <c r="AB1804" i="1"/>
  <c r="AA1804" i="1"/>
  <c r="Y1804" i="1"/>
  <c r="Z1804" i="1" s="1"/>
  <c r="X1804" i="1"/>
  <c r="AE1803" i="1"/>
  <c r="AD1803" i="1"/>
  <c r="AC1803" i="1"/>
  <c r="AB1803" i="1"/>
  <c r="AA1803" i="1"/>
  <c r="Y1803" i="1"/>
  <c r="Z1803" i="1" s="1"/>
  <c r="X1803" i="1"/>
  <c r="AE1802" i="1"/>
  <c r="AD1802" i="1"/>
  <c r="AC1802" i="1"/>
  <c r="AB1802" i="1"/>
  <c r="AA1802" i="1"/>
  <c r="Y1802" i="1"/>
  <c r="Z1802" i="1" s="1"/>
  <c r="X1802" i="1"/>
  <c r="AE1801" i="1"/>
  <c r="AD1801" i="1"/>
  <c r="AC1801" i="1"/>
  <c r="AB1801" i="1"/>
  <c r="AA1801" i="1"/>
  <c r="Y1801" i="1"/>
  <c r="Z1801" i="1" s="1"/>
  <c r="X1801" i="1"/>
  <c r="AE1800" i="1"/>
  <c r="AD1800" i="1"/>
  <c r="AC1800" i="1"/>
  <c r="AB1800" i="1"/>
  <c r="AA1800" i="1"/>
  <c r="Y1800" i="1"/>
  <c r="Z1800" i="1" s="1"/>
  <c r="X1800" i="1"/>
  <c r="AE1799" i="1"/>
  <c r="AD1799" i="1"/>
  <c r="AC1799" i="1"/>
  <c r="AB1799" i="1"/>
  <c r="AA1799" i="1"/>
  <c r="Y1799" i="1"/>
  <c r="Z1799" i="1" s="1"/>
  <c r="X1799" i="1"/>
  <c r="AE1798" i="1"/>
  <c r="AD1798" i="1"/>
  <c r="AC1798" i="1"/>
  <c r="AB1798" i="1"/>
  <c r="AA1798" i="1"/>
  <c r="Y1798" i="1"/>
  <c r="Z1798" i="1" s="1"/>
  <c r="X1798" i="1"/>
  <c r="AE1797" i="1"/>
  <c r="AD1797" i="1"/>
  <c r="AC1797" i="1"/>
  <c r="AB1797" i="1"/>
  <c r="AA1797" i="1"/>
  <c r="Y1797" i="1"/>
  <c r="Z1797" i="1" s="1"/>
  <c r="X1797" i="1"/>
  <c r="AE1796" i="1"/>
  <c r="AD1796" i="1"/>
  <c r="AC1796" i="1"/>
  <c r="AB1796" i="1"/>
  <c r="AA1796" i="1"/>
  <c r="Y1796" i="1"/>
  <c r="Z1796" i="1" s="1"/>
  <c r="X1796" i="1"/>
  <c r="AE1795" i="1"/>
  <c r="AD1795" i="1"/>
  <c r="AC1795" i="1"/>
  <c r="AB1795" i="1"/>
  <c r="AA1795" i="1"/>
  <c r="Y1795" i="1"/>
  <c r="Z1795" i="1" s="1"/>
  <c r="X1795" i="1"/>
  <c r="AE1794" i="1"/>
  <c r="AD1794" i="1"/>
  <c r="AC1794" i="1"/>
  <c r="AB1794" i="1"/>
  <c r="AA1794" i="1"/>
  <c r="Y1794" i="1"/>
  <c r="Z1794" i="1" s="1"/>
  <c r="X1794" i="1"/>
  <c r="AE1793" i="1"/>
  <c r="AD1793" i="1"/>
  <c r="AC1793" i="1"/>
  <c r="AB1793" i="1"/>
  <c r="AA1793" i="1"/>
  <c r="Y1793" i="1"/>
  <c r="Z1793" i="1" s="1"/>
  <c r="X1793" i="1"/>
  <c r="AE1792" i="1"/>
  <c r="AD1792" i="1"/>
  <c r="AC1792" i="1"/>
  <c r="AB1792" i="1"/>
  <c r="AA1792" i="1"/>
  <c r="Y1792" i="1"/>
  <c r="Z1792" i="1" s="1"/>
  <c r="X1792" i="1"/>
  <c r="AE1791" i="1"/>
  <c r="AD1791" i="1"/>
  <c r="AC1791" i="1"/>
  <c r="AB1791" i="1"/>
  <c r="AA1791" i="1"/>
  <c r="Y1791" i="1"/>
  <c r="Z1791" i="1" s="1"/>
  <c r="X1791" i="1"/>
  <c r="AE1790" i="1"/>
  <c r="AD1790" i="1"/>
  <c r="AC1790" i="1"/>
  <c r="AB1790" i="1"/>
  <c r="AA1790" i="1"/>
  <c r="Y1790" i="1"/>
  <c r="Z1790" i="1" s="1"/>
  <c r="X1790" i="1"/>
  <c r="AE1789" i="1"/>
  <c r="AD1789" i="1"/>
  <c r="AC1789" i="1"/>
  <c r="AB1789" i="1"/>
  <c r="AA1789" i="1"/>
  <c r="Y1789" i="1"/>
  <c r="Z1789" i="1" s="1"/>
  <c r="X1789" i="1"/>
  <c r="AE1788" i="1"/>
  <c r="AD1788" i="1"/>
  <c r="AC1788" i="1"/>
  <c r="AB1788" i="1"/>
  <c r="AA1788" i="1"/>
  <c r="Y1788" i="1"/>
  <c r="Z1788" i="1" s="1"/>
  <c r="X1788" i="1"/>
  <c r="AE1787" i="1"/>
  <c r="AD1787" i="1"/>
  <c r="AC1787" i="1"/>
  <c r="AB1787" i="1"/>
  <c r="AA1787" i="1"/>
  <c r="Y1787" i="1"/>
  <c r="Z1787" i="1" s="1"/>
  <c r="X1787" i="1"/>
  <c r="AE1786" i="1"/>
  <c r="AD1786" i="1"/>
  <c r="AC1786" i="1"/>
  <c r="AB1786" i="1"/>
  <c r="AA1786" i="1"/>
  <c r="Y1786" i="1"/>
  <c r="Z1786" i="1" s="1"/>
  <c r="X1786" i="1"/>
  <c r="AE1785" i="1"/>
  <c r="AD1785" i="1"/>
  <c r="AC1785" i="1"/>
  <c r="AB1785" i="1"/>
  <c r="AA1785" i="1"/>
  <c r="Y1785" i="1"/>
  <c r="Z1785" i="1" s="1"/>
  <c r="X1785" i="1"/>
  <c r="AE1784" i="1"/>
  <c r="AD1784" i="1"/>
  <c r="AC1784" i="1"/>
  <c r="AB1784" i="1"/>
  <c r="AA1784" i="1"/>
  <c r="Y1784" i="1"/>
  <c r="Z1784" i="1" s="1"/>
  <c r="X1784" i="1"/>
  <c r="AE1783" i="1"/>
  <c r="AD1783" i="1"/>
  <c r="AC1783" i="1"/>
  <c r="AB1783" i="1"/>
  <c r="AA1783" i="1"/>
  <c r="Y1783" i="1"/>
  <c r="Z1783" i="1" s="1"/>
  <c r="X1783" i="1"/>
  <c r="AE1782" i="1"/>
  <c r="AD1782" i="1"/>
  <c r="AC1782" i="1"/>
  <c r="AB1782" i="1"/>
  <c r="AA1782" i="1"/>
  <c r="Y1782" i="1"/>
  <c r="Z1782" i="1" s="1"/>
  <c r="X1782" i="1"/>
  <c r="AE1781" i="1"/>
  <c r="AD1781" i="1"/>
  <c r="AC1781" i="1"/>
  <c r="AB1781" i="1"/>
  <c r="AA1781" i="1"/>
  <c r="Y1781" i="1"/>
  <c r="Z1781" i="1" s="1"/>
  <c r="X1781" i="1"/>
  <c r="AE1780" i="1"/>
  <c r="AD1780" i="1"/>
  <c r="AC1780" i="1"/>
  <c r="AB1780" i="1"/>
  <c r="AA1780" i="1"/>
  <c r="Y1780" i="1"/>
  <c r="Z1780" i="1" s="1"/>
  <c r="X1780" i="1"/>
  <c r="AE1779" i="1"/>
  <c r="AD1779" i="1"/>
  <c r="AC1779" i="1"/>
  <c r="AB1779" i="1"/>
  <c r="AA1779" i="1"/>
  <c r="Y1779" i="1"/>
  <c r="Z1779" i="1" s="1"/>
  <c r="X1779" i="1"/>
  <c r="AE1778" i="1"/>
  <c r="AD1778" i="1"/>
  <c r="AC1778" i="1"/>
  <c r="AB1778" i="1"/>
  <c r="AA1778" i="1"/>
  <c r="Y1778" i="1"/>
  <c r="Z1778" i="1" s="1"/>
  <c r="X1778" i="1"/>
  <c r="AE1777" i="1"/>
  <c r="AD1777" i="1"/>
  <c r="AC1777" i="1"/>
  <c r="AB1777" i="1"/>
  <c r="AA1777" i="1"/>
  <c r="Y1777" i="1"/>
  <c r="Z1777" i="1" s="1"/>
  <c r="X1777" i="1"/>
  <c r="AE1776" i="1"/>
  <c r="AD1776" i="1"/>
  <c r="AC1776" i="1"/>
  <c r="AB1776" i="1"/>
  <c r="AA1776" i="1"/>
  <c r="Y1776" i="1"/>
  <c r="Z1776" i="1" s="1"/>
  <c r="X1776" i="1"/>
  <c r="AE1775" i="1"/>
  <c r="AD1775" i="1"/>
  <c r="AC1775" i="1"/>
  <c r="AB1775" i="1"/>
  <c r="AA1775" i="1"/>
  <c r="Y1775" i="1"/>
  <c r="Z1775" i="1" s="1"/>
  <c r="X1775" i="1"/>
  <c r="AE1774" i="1"/>
  <c r="AD1774" i="1"/>
  <c r="AC1774" i="1"/>
  <c r="AB1774" i="1"/>
  <c r="AA1774" i="1"/>
  <c r="Y1774" i="1"/>
  <c r="Z1774" i="1" s="1"/>
  <c r="X1774" i="1"/>
  <c r="AE1773" i="1"/>
  <c r="AD1773" i="1"/>
  <c r="AC1773" i="1"/>
  <c r="AB1773" i="1"/>
  <c r="AA1773" i="1"/>
  <c r="Y1773" i="1"/>
  <c r="Z1773" i="1" s="1"/>
  <c r="X1773" i="1"/>
  <c r="AE1772" i="1"/>
  <c r="AD1772" i="1"/>
  <c r="AC1772" i="1"/>
  <c r="AB1772" i="1"/>
  <c r="AA1772" i="1"/>
  <c r="Y1772" i="1"/>
  <c r="Z1772" i="1" s="1"/>
  <c r="X1772" i="1"/>
  <c r="AE1771" i="1"/>
  <c r="AD1771" i="1"/>
  <c r="AC1771" i="1"/>
  <c r="AB1771" i="1"/>
  <c r="AA1771" i="1"/>
  <c r="Y1771" i="1"/>
  <c r="Z1771" i="1" s="1"/>
  <c r="X1771" i="1"/>
  <c r="AE1770" i="1"/>
  <c r="AD1770" i="1"/>
  <c r="AC1770" i="1"/>
  <c r="AB1770" i="1"/>
  <c r="AA1770" i="1"/>
  <c r="Y1770" i="1"/>
  <c r="Z1770" i="1" s="1"/>
  <c r="X1770" i="1"/>
  <c r="AE1769" i="1"/>
  <c r="AD1769" i="1"/>
  <c r="AC1769" i="1"/>
  <c r="AB1769" i="1"/>
  <c r="AA1769" i="1"/>
  <c r="Y1769" i="1"/>
  <c r="Z1769" i="1" s="1"/>
  <c r="X1769" i="1"/>
  <c r="AE1768" i="1"/>
  <c r="AD1768" i="1"/>
  <c r="AC1768" i="1"/>
  <c r="AB1768" i="1"/>
  <c r="AA1768" i="1"/>
  <c r="Y1768" i="1"/>
  <c r="Z1768" i="1" s="1"/>
  <c r="X1768" i="1"/>
  <c r="AE1767" i="1"/>
  <c r="AD1767" i="1"/>
  <c r="AC1767" i="1"/>
  <c r="AB1767" i="1"/>
  <c r="AA1767" i="1"/>
  <c r="Y1767" i="1"/>
  <c r="Z1767" i="1" s="1"/>
  <c r="X1767" i="1"/>
  <c r="AE1766" i="1"/>
  <c r="AD1766" i="1"/>
  <c r="AC1766" i="1"/>
  <c r="AB1766" i="1"/>
  <c r="AA1766" i="1"/>
  <c r="Y1766" i="1"/>
  <c r="Z1766" i="1" s="1"/>
  <c r="X1766" i="1"/>
  <c r="AE1765" i="1"/>
  <c r="AD1765" i="1"/>
  <c r="AC1765" i="1"/>
  <c r="AB1765" i="1"/>
  <c r="AA1765" i="1"/>
  <c r="Y1765" i="1"/>
  <c r="Z1765" i="1" s="1"/>
  <c r="X1765" i="1"/>
  <c r="AE1764" i="1"/>
  <c r="AD1764" i="1"/>
  <c r="AC1764" i="1"/>
  <c r="AB1764" i="1"/>
  <c r="AA1764" i="1"/>
  <c r="Y1764" i="1"/>
  <c r="Z1764" i="1" s="1"/>
  <c r="X1764" i="1"/>
  <c r="AE1763" i="1"/>
  <c r="AD1763" i="1"/>
  <c r="AC1763" i="1"/>
  <c r="AB1763" i="1"/>
  <c r="AA1763" i="1"/>
  <c r="Y1763" i="1"/>
  <c r="Z1763" i="1" s="1"/>
  <c r="X1763" i="1"/>
  <c r="AE1762" i="1"/>
  <c r="AD1762" i="1"/>
  <c r="AC1762" i="1"/>
  <c r="AB1762" i="1"/>
  <c r="AA1762" i="1"/>
  <c r="Y1762" i="1"/>
  <c r="Z1762" i="1" s="1"/>
  <c r="X1762" i="1"/>
  <c r="AE1761" i="1"/>
  <c r="AD1761" i="1"/>
  <c r="AC1761" i="1"/>
  <c r="AB1761" i="1"/>
  <c r="AA1761" i="1"/>
  <c r="Y1761" i="1"/>
  <c r="Z1761" i="1" s="1"/>
  <c r="X1761" i="1"/>
  <c r="AE1760" i="1"/>
  <c r="AD1760" i="1"/>
  <c r="AC1760" i="1"/>
  <c r="AB1760" i="1"/>
  <c r="AA1760" i="1"/>
  <c r="Y1760" i="1"/>
  <c r="Z1760" i="1" s="1"/>
  <c r="X1760" i="1"/>
  <c r="AE1759" i="1"/>
  <c r="AD1759" i="1"/>
  <c r="AC1759" i="1"/>
  <c r="AB1759" i="1"/>
  <c r="AA1759" i="1"/>
  <c r="Y1759" i="1"/>
  <c r="Z1759" i="1" s="1"/>
  <c r="X1759" i="1"/>
  <c r="AE1758" i="1"/>
  <c r="AD1758" i="1"/>
  <c r="AC1758" i="1"/>
  <c r="AB1758" i="1"/>
  <c r="AA1758" i="1"/>
  <c r="Y1758" i="1"/>
  <c r="Z1758" i="1" s="1"/>
  <c r="X1758" i="1"/>
  <c r="AE1757" i="1"/>
  <c r="AD1757" i="1"/>
  <c r="AC1757" i="1"/>
  <c r="AB1757" i="1"/>
  <c r="AA1757" i="1"/>
  <c r="Y1757" i="1"/>
  <c r="Z1757" i="1" s="1"/>
  <c r="X1757" i="1"/>
  <c r="AE1756" i="1"/>
  <c r="AD1756" i="1"/>
  <c r="AC1756" i="1"/>
  <c r="AB1756" i="1"/>
  <c r="AA1756" i="1"/>
  <c r="Y1756" i="1"/>
  <c r="Z1756" i="1" s="1"/>
  <c r="X1756" i="1"/>
  <c r="AE1755" i="1"/>
  <c r="AD1755" i="1"/>
  <c r="AC1755" i="1"/>
  <c r="AB1755" i="1"/>
  <c r="AA1755" i="1"/>
  <c r="Y1755" i="1"/>
  <c r="Z1755" i="1" s="1"/>
  <c r="X1755" i="1"/>
  <c r="AE1754" i="1"/>
  <c r="AD1754" i="1"/>
  <c r="AC1754" i="1"/>
  <c r="AB1754" i="1"/>
  <c r="AA1754" i="1"/>
  <c r="Y1754" i="1"/>
  <c r="Z1754" i="1" s="1"/>
  <c r="X1754" i="1"/>
  <c r="AE1753" i="1"/>
  <c r="AD1753" i="1"/>
  <c r="AC1753" i="1"/>
  <c r="AB1753" i="1"/>
  <c r="AA1753" i="1"/>
  <c r="Y1753" i="1"/>
  <c r="Z1753" i="1" s="1"/>
  <c r="X1753" i="1"/>
  <c r="AE1752" i="1"/>
  <c r="AD1752" i="1"/>
  <c r="AC1752" i="1"/>
  <c r="AB1752" i="1"/>
  <c r="AA1752" i="1"/>
  <c r="Y1752" i="1"/>
  <c r="Z1752" i="1" s="1"/>
  <c r="X1752" i="1"/>
  <c r="AE1751" i="1"/>
  <c r="AD1751" i="1"/>
  <c r="AC1751" i="1"/>
  <c r="AB1751" i="1"/>
  <c r="AA1751" i="1"/>
  <c r="Y1751" i="1"/>
  <c r="Z1751" i="1" s="1"/>
  <c r="X1751" i="1"/>
  <c r="AE1750" i="1"/>
  <c r="AD1750" i="1"/>
  <c r="AC1750" i="1"/>
  <c r="AB1750" i="1"/>
  <c r="AA1750" i="1"/>
  <c r="Y1750" i="1"/>
  <c r="Z1750" i="1" s="1"/>
  <c r="X1750" i="1"/>
  <c r="AE1749" i="1"/>
  <c r="AD1749" i="1"/>
  <c r="AC1749" i="1"/>
  <c r="AB1749" i="1"/>
  <c r="AA1749" i="1"/>
  <c r="Y1749" i="1"/>
  <c r="Z1749" i="1" s="1"/>
  <c r="X1749" i="1"/>
  <c r="AE1748" i="1"/>
  <c r="AD1748" i="1"/>
  <c r="AC1748" i="1"/>
  <c r="AB1748" i="1"/>
  <c r="AA1748" i="1"/>
  <c r="Y1748" i="1"/>
  <c r="Z1748" i="1" s="1"/>
  <c r="X1748" i="1"/>
  <c r="AE1747" i="1"/>
  <c r="AD1747" i="1"/>
  <c r="AC1747" i="1"/>
  <c r="AB1747" i="1"/>
  <c r="AA1747" i="1"/>
  <c r="Y1747" i="1"/>
  <c r="Z1747" i="1" s="1"/>
  <c r="X1747" i="1"/>
  <c r="AE1746" i="1"/>
  <c r="AD1746" i="1"/>
  <c r="AC1746" i="1"/>
  <c r="AB1746" i="1"/>
  <c r="AA1746" i="1"/>
  <c r="Y1746" i="1"/>
  <c r="Z1746" i="1" s="1"/>
  <c r="X1746" i="1"/>
  <c r="AE1745" i="1"/>
  <c r="AD1745" i="1"/>
  <c r="AC1745" i="1"/>
  <c r="AB1745" i="1"/>
  <c r="AA1745" i="1"/>
  <c r="Y1745" i="1"/>
  <c r="Z1745" i="1" s="1"/>
  <c r="X1745" i="1"/>
  <c r="AE1744" i="1"/>
  <c r="AD1744" i="1"/>
  <c r="AC1744" i="1"/>
  <c r="AB1744" i="1"/>
  <c r="AA1744" i="1"/>
  <c r="Y1744" i="1"/>
  <c r="Z1744" i="1" s="1"/>
  <c r="X1744" i="1"/>
  <c r="AE1743" i="1"/>
  <c r="AD1743" i="1"/>
  <c r="AC1743" i="1"/>
  <c r="AB1743" i="1"/>
  <c r="AA1743" i="1"/>
  <c r="Y1743" i="1"/>
  <c r="Z1743" i="1" s="1"/>
  <c r="X1743" i="1"/>
  <c r="AE1742" i="1"/>
  <c r="AD1742" i="1"/>
  <c r="AC1742" i="1"/>
  <c r="AB1742" i="1"/>
  <c r="AA1742" i="1"/>
  <c r="Y1742" i="1"/>
  <c r="Z1742" i="1" s="1"/>
  <c r="X1742" i="1"/>
  <c r="AE1741" i="1"/>
  <c r="AD1741" i="1"/>
  <c r="AC1741" i="1"/>
  <c r="AB1741" i="1"/>
  <c r="AA1741" i="1"/>
  <c r="Y1741" i="1"/>
  <c r="Z1741" i="1" s="1"/>
  <c r="X1741" i="1"/>
  <c r="AE1740" i="1"/>
  <c r="AD1740" i="1"/>
  <c r="AC1740" i="1"/>
  <c r="AB1740" i="1"/>
  <c r="AA1740" i="1"/>
  <c r="Y1740" i="1"/>
  <c r="Z1740" i="1" s="1"/>
  <c r="X1740" i="1"/>
  <c r="AE1739" i="1"/>
  <c r="AD1739" i="1"/>
  <c r="AC1739" i="1"/>
  <c r="AB1739" i="1"/>
  <c r="AA1739" i="1"/>
  <c r="Y1739" i="1"/>
  <c r="Z1739" i="1" s="1"/>
  <c r="X1739" i="1"/>
  <c r="AE1738" i="1"/>
  <c r="AD1738" i="1"/>
  <c r="AC1738" i="1"/>
  <c r="AB1738" i="1"/>
  <c r="AA1738" i="1"/>
  <c r="Y1738" i="1"/>
  <c r="Z1738" i="1" s="1"/>
  <c r="X1738" i="1"/>
  <c r="AE1737" i="1"/>
  <c r="AD1737" i="1"/>
  <c r="AC1737" i="1"/>
  <c r="AB1737" i="1"/>
  <c r="AA1737" i="1"/>
  <c r="Y1737" i="1"/>
  <c r="Z1737" i="1" s="1"/>
  <c r="X1737" i="1"/>
  <c r="AE1736" i="1"/>
  <c r="AD1736" i="1"/>
  <c r="AC1736" i="1"/>
  <c r="AB1736" i="1"/>
  <c r="AA1736" i="1"/>
  <c r="Y1736" i="1"/>
  <c r="Z1736" i="1" s="1"/>
  <c r="X1736" i="1"/>
  <c r="AE1735" i="1"/>
  <c r="AD1735" i="1"/>
  <c r="AC1735" i="1"/>
  <c r="AB1735" i="1"/>
  <c r="AA1735" i="1"/>
  <c r="Y1735" i="1"/>
  <c r="Z1735" i="1" s="1"/>
  <c r="X1735" i="1"/>
  <c r="AE1734" i="1"/>
  <c r="AD1734" i="1"/>
  <c r="AC1734" i="1"/>
  <c r="AB1734" i="1"/>
  <c r="AA1734" i="1"/>
  <c r="Y1734" i="1"/>
  <c r="Z1734" i="1" s="1"/>
  <c r="X1734" i="1"/>
  <c r="AE1733" i="1"/>
  <c r="AD1733" i="1"/>
  <c r="AC1733" i="1"/>
  <c r="AB1733" i="1"/>
  <c r="AA1733" i="1"/>
  <c r="Y1733" i="1"/>
  <c r="Z1733" i="1" s="1"/>
  <c r="X1733" i="1"/>
  <c r="AE1732" i="1"/>
  <c r="AD1732" i="1"/>
  <c r="AC1732" i="1"/>
  <c r="AB1732" i="1"/>
  <c r="AA1732" i="1"/>
  <c r="Y1732" i="1"/>
  <c r="Z1732" i="1" s="1"/>
  <c r="X1732" i="1"/>
  <c r="AE1731" i="1"/>
  <c r="AD1731" i="1"/>
  <c r="AC1731" i="1"/>
  <c r="AB1731" i="1"/>
  <c r="AA1731" i="1"/>
  <c r="Y1731" i="1"/>
  <c r="Z1731" i="1" s="1"/>
  <c r="X1731" i="1"/>
  <c r="AE1730" i="1"/>
  <c r="AD1730" i="1"/>
  <c r="AC1730" i="1"/>
  <c r="AB1730" i="1"/>
  <c r="AA1730" i="1"/>
  <c r="Y1730" i="1"/>
  <c r="Z1730" i="1" s="1"/>
  <c r="X1730" i="1"/>
  <c r="AE1729" i="1"/>
  <c r="AD1729" i="1"/>
  <c r="AC1729" i="1"/>
  <c r="AB1729" i="1"/>
  <c r="AA1729" i="1"/>
  <c r="Y1729" i="1"/>
  <c r="Z1729" i="1" s="1"/>
  <c r="X1729" i="1"/>
  <c r="AE1728" i="1"/>
  <c r="AD1728" i="1"/>
  <c r="AC1728" i="1"/>
  <c r="AB1728" i="1"/>
  <c r="AA1728" i="1"/>
  <c r="Y1728" i="1"/>
  <c r="Z1728" i="1" s="1"/>
  <c r="X1728" i="1"/>
  <c r="AE1727" i="1"/>
  <c r="AD1727" i="1"/>
  <c r="AC1727" i="1"/>
  <c r="AB1727" i="1"/>
  <c r="AA1727" i="1"/>
  <c r="Y1727" i="1"/>
  <c r="Z1727" i="1" s="1"/>
  <c r="X1727" i="1"/>
  <c r="AE1726" i="1"/>
  <c r="AD1726" i="1"/>
  <c r="AC1726" i="1"/>
  <c r="AB1726" i="1"/>
  <c r="AA1726" i="1"/>
  <c r="Y1726" i="1"/>
  <c r="Z1726" i="1" s="1"/>
  <c r="X1726" i="1"/>
  <c r="AE1725" i="1"/>
  <c r="AD1725" i="1"/>
  <c r="AC1725" i="1"/>
  <c r="AB1725" i="1"/>
  <c r="AA1725" i="1"/>
  <c r="Y1725" i="1"/>
  <c r="Z1725" i="1" s="1"/>
  <c r="X1725" i="1"/>
  <c r="AE1724" i="1"/>
  <c r="AD1724" i="1"/>
  <c r="AC1724" i="1"/>
  <c r="AB1724" i="1"/>
  <c r="AA1724" i="1"/>
  <c r="Y1724" i="1"/>
  <c r="Z1724" i="1" s="1"/>
  <c r="X1724" i="1"/>
  <c r="AE1723" i="1"/>
  <c r="AD1723" i="1"/>
  <c r="AC1723" i="1"/>
  <c r="AB1723" i="1"/>
  <c r="AA1723" i="1"/>
  <c r="Y1723" i="1"/>
  <c r="Z1723" i="1" s="1"/>
  <c r="X1723" i="1"/>
  <c r="AE1722" i="1"/>
  <c r="AD1722" i="1"/>
  <c r="AC1722" i="1"/>
  <c r="AB1722" i="1"/>
  <c r="AA1722" i="1"/>
  <c r="Y1722" i="1"/>
  <c r="Z1722" i="1" s="1"/>
  <c r="X1722" i="1"/>
  <c r="AE1721" i="1"/>
  <c r="AD1721" i="1"/>
  <c r="AC1721" i="1"/>
  <c r="AB1721" i="1"/>
  <c r="AA1721" i="1"/>
  <c r="Y1721" i="1"/>
  <c r="Z1721" i="1" s="1"/>
  <c r="X1721" i="1"/>
  <c r="AE1720" i="1"/>
  <c r="AD1720" i="1"/>
  <c r="AC1720" i="1"/>
  <c r="AB1720" i="1"/>
  <c r="AA1720" i="1"/>
  <c r="Y1720" i="1"/>
  <c r="Z1720" i="1" s="1"/>
  <c r="X1720" i="1"/>
  <c r="AE1719" i="1"/>
  <c r="AD1719" i="1"/>
  <c r="AC1719" i="1"/>
  <c r="AB1719" i="1"/>
  <c r="AA1719" i="1"/>
  <c r="Y1719" i="1"/>
  <c r="Z1719" i="1" s="1"/>
  <c r="X1719" i="1"/>
  <c r="AE1718" i="1"/>
  <c r="AD1718" i="1"/>
  <c r="AC1718" i="1"/>
  <c r="AB1718" i="1"/>
  <c r="AA1718" i="1"/>
  <c r="Y1718" i="1"/>
  <c r="Z1718" i="1" s="1"/>
  <c r="X1718" i="1"/>
  <c r="AE1717" i="1"/>
  <c r="AD1717" i="1"/>
  <c r="AC1717" i="1"/>
  <c r="AB1717" i="1"/>
  <c r="AA1717" i="1"/>
  <c r="Y1717" i="1"/>
  <c r="Z1717" i="1" s="1"/>
  <c r="X1717" i="1"/>
  <c r="AE1716" i="1"/>
  <c r="AD1716" i="1"/>
  <c r="AC1716" i="1"/>
  <c r="AB1716" i="1"/>
  <c r="AA1716" i="1"/>
  <c r="Y1716" i="1"/>
  <c r="Z1716" i="1" s="1"/>
  <c r="X1716" i="1"/>
  <c r="AE1715" i="1"/>
  <c r="AD1715" i="1"/>
  <c r="AC1715" i="1"/>
  <c r="AB1715" i="1"/>
  <c r="AA1715" i="1"/>
  <c r="Y1715" i="1"/>
  <c r="Z1715" i="1" s="1"/>
  <c r="X1715" i="1"/>
  <c r="AE1714" i="1"/>
  <c r="AD1714" i="1"/>
  <c r="AC1714" i="1"/>
  <c r="AB1714" i="1"/>
  <c r="AA1714" i="1"/>
  <c r="Y1714" i="1"/>
  <c r="Z1714" i="1" s="1"/>
  <c r="X1714" i="1"/>
  <c r="AE1713" i="1"/>
  <c r="AD1713" i="1"/>
  <c r="AC1713" i="1"/>
  <c r="AB1713" i="1"/>
  <c r="AA1713" i="1"/>
  <c r="Y1713" i="1"/>
  <c r="Z1713" i="1" s="1"/>
  <c r="X1713" i="1"/>
  <c r="AE1712" i="1"/>
  <c r="AD1712" i="1"/>
  <c r="AC1712" i="1"/>
  <c r="AB1712" i="1"/>
  <c r="AA1712" i="1"/>
  <c r="Y1712" i="1"/>
  <c r="Z1712" i="1" s="1"/>
  <c r="X1712" i="1"/>
  <c r="AE1711" i="1"/>
  <c r="AD1711" i="1"/>
  <c r="AC1711" i="1"/>
  <c r="AB1711" i="1"/>
  <c r="AA1711" i="1"/>
  <c r="Y1711" i="1"/>
  <c r="Z1711" i="1" s="1"/>
  <c r="X1711" i="1"/>
  <c r="AE1710" i="1"/>
  <c r="AD1710" i="1"/>
  <c r="AC1710" i="1"/>
  <c r="AB1710" i="1"/>
  <c r="AA1710" i="1"/>
  <c r="Y1710" i="1"/>
  <c r="Z1710" i="1" s="1"/>
  <c r="X1710" i="1"/>
  <c r="AE1709" i="1"/>
  <c r="AD1709" i="1"/>
  <c r="AC1709" i="1"/>
  <c r="AB1709" i="1"/>
  <c r="AA1709" i="1"/>
  <c r="Y1709" i="1"/>
  <c r="Z1709" i="1" s="1"/>
  <c r="X1709" i="1"/>
  <c r="AE1708" i="1"/>
  <c r="AD1708" i="1"/>
  <c r="AC1708" i="1"/>
  <c r="AB1708" i="1"/>
  <c r="AA1708" i="1"/>
  <c r="Y1708" i="1"/>
  <c r="Z1708" i="1" s="1"/>
  <c r="X1708" i="1"/>
  <c r="AE1707" i="1"/>
  <c r="AD1707" i="1"/>
  <c r="AC1707" i="1"/>
  <c r="AB1707" i="1"/>
  <c r="AA1707" i="1"/>
  <c r="Y1707" i="1"/>
  <c r="Z1707" i="1" s="1"/>
  <c r="X1707" i="1"/>
  <c r="AE1706" i="1"/>
  <c r="AD1706" i="1"/>
  <c r="AC1706" i="1"/>
  <c r="AB1706" i="1"/>
  <c r="AA1706" i="1"/>
  <c r="Y1706" i="1"/>
  <c r="Z1706" i="1" s="1"/>
  <c r="X1706" i="1"/>
  <c r="AE1705" i="1"/>
  <c r="AD1705" i="1"/>
  <c r="AC1705" i="1"/>
  <c r="AB1705" i="1"/>
  <c r="AA1705" i="1"/>
  <c r="Y1705" i="1"/>
  <c r="Z1705" i="1" s="1"/>
  <c r="X1705" i="1"/>
  <c r="AE1704" i="1"/>
  <c r="AD1704" i="1"/>
  <c r="AC1704" i="1"/>
  <c r="AB1704" i="1"/>
  <c r="AA1704" i="1"/>
  <c r="Y1704" i="1"/>
  <c r="Z1704" i="1" s="1"/>
  <c r="X1704" i="1"/>
  <c r="AE1703" i="1"/>
  <c r="AD1703" i="1"/>
  <c r="AC1703" i="1"/>
  <c r="AB1703" i="1"/>
  <c r="AA1703" i="1"/>
  <c r="Y1703" i="1"/>
  <c r="Z1703" i="1" s="1"/>
  <c r="X1703" i="1"/>
  <c r="AE1702" i="1"/>
  <c r="AD1702" i="1"/>
  <c r="AC1702" i="1"/>
  <c r="AB1702" i="1"/>
  <c r="AA1702" i="1"/>
  <c r="Y1702" i="1"/>
  <c r="Z1702" i="1" s="1"/>
  <c r="X1702" i="1"/>
  <c r="AE1701" i="1"/>
  <c r="AD1701" i="1"/>
  <c r="AC1701" i="1"/>
  <c r="AB1701" i="1"/>
  <c r="AA1701" i="1"/>
  <c r="Y1701" i="1"/>
  <c r="Z1701" i="1" s="1"/>
  <c r="X1701" i="1"/>
  <c r="AE1700" i="1"/>
  <c r="AD1700" i="1"/>
  <c r="AC1700" i="1"/>
  <c r="AB1700" i="1"/>
  <c r="AA1700" i="1"/>
  <c r="Y1700" i="1"/>
  <c r="Z1700" i="1" s="1"/>
  <c r="X1700" i="1"/>
  <c r="AE1699" i="1"/>
  <c r="AD1699" i="1"/>
  <c r="AC1699" i="1"/>
  <c r="AB1699" i="1"/>
  <c r="AA1699" i="1"/>
  <c r="Y1699" i="1"/>
  <c r="Z1699" i="1" s="1"/>
  <c r="X1699" i="1"/>
  <c r="AE1698" i="1"/>
  <c r="AD1698" i="1"/>
  <c r="AC1698" i="1"/>
  <c r="AB1698" i="1"/>
  <c r="AA1698" i="1"/>
  <c r="Y1698" i="1"/>
  <c r="Z1698" i="1" s="1"/>
  <c r="X1698" i="1"/>
  <c r="AE1697" i="1"/>
  <c r="AD1697" i="1"/>
  <c r="AC1697" i="1"/>
  <c r="AB1697" i="1"/>
  <c r="AA1697" i="1"/>
  <c r="Y1697" i="1"/>
  <c r="Z1697" i="1" s="1"/>
  <c r="X1697" i="1"/>
  <c r="AE1696" i="1"/>
  <c r="AD1696" i="1"/>
  <c r="AC1696" i="1"/>
  <c r="AB1696" i="1"/>
  <c r="AA1696" i="1"/>
  <c r="Y1696" i="1"/>
  <c r="Z1696" i="1" s="1"/>
  <c r="X1696" i="1"/>
  <c r="AE1695" i="1"/>
  <c r="AD1695" i="1"/>
  <c r="AC1695" i="1"/>
  <c r="AB1695" i="1"/>
  <c r="AA1695" i="1"/>
  <c r="Y1695" i="1"/>
  <c r="Z1695" i="1" s="1"/>
  <c r="X1695" i="1"/>
  <c r="AE1694" i="1"/>
  <c r="AD1694" i="1"/>
  <c r="AC1694" i="1"/>
  <c r="AB1694" i="1"/>
  <c r="AA1694" i="1"/>
  <c r="Y1694" i="1"/>
  <c r="Z1694" i="1" s="1"/>
  <c r="X1694" i="1"/>
  <c r="AE1693" i="1"/>
  <c r="AD1693" i="1"/>
  <c r="AC1693" i="1"/>
  <c r="AB1693" i="1"/>
  <c r="AA1693" i="1"/>
  <c r="Y1693" i="1"/>
  <c r="Z1693" i="1" s="1"/>
  <c r="X1693" i="1"/>
  <c r="AE1692" i="1"/>
  <c r="AD1692" i="1"/>
  <c r="AC1692" i="1"/>
  <c r="AB1692" i="1"/>
  <c r="AA1692" i="1"/>
  <c r="Y1692" i="1"/>
  <c r="Z1692" i="1" s="1"/>
  <c r="X1692" i="1"/>
  <c r="AE1691" i="1"/>
  <c r="AD1691" i="1"/>
  <c r="AC1691" i="1"/>
  <c r="AB1691" i="1"/>
  <c r="AA1691" i="1"/>
  <c r="Y1691" i="1"/>
  <c r="Z1691" i="1" s="1"/>
  <c r="X1691" i="1"/>
  <c r="AE1690" i="1"/>
  <c r="AD1690" i="1"/>
  <c r="AC1690" i="1"/>
  <c r="AB1690" i="1"/>
  <c r="AA1690" i="1"/>
  <c r="Y1690" i="1"/>
  <c r="Z1690" i="1" s="1"/>
  <c r="X1690" i="1"/>
  <c r="AE1689" i="1"/>
  <c r="AD1689" i="1"/>
  <c r="AC1689" i="1"/>
  <c r="AB1689" i="1"/>
  <c r="AA1689" i="1"/>
  <c r="Y1689" i="1"/>
  <c r="Z1689" i="1" s="1"/>
  <c r="X1689" i="1"/>
  <c r="AE1688" i="1"/>
  <c r="AD1688" i="1"/>
  <c r="AC1688" i="1"/>
  <c r="AB1688" i="1"/>
  <c r="AA1688" i="1"/>
  <c r="Y1688" i="1"/>
  <c r="Z1688" i="1" s="1"/>
  <c r="X1688" i="1"/>
  <c r="AE1687" i="1"/>
  <c r="AD1687" i="1"/>
  <c r="AC1687" i="1"/>
  <c r="AB1687" i="1"/>
  <c r="AA1687" i="1"/>
  <c r="Y1687" i="1"/>
  <c r="Z1687" i="1" s="1"/>
  <c r="X1687" i="1"/>
  <c r="AE1686" i="1"/>
  <c r="AD1686" i="1"/>
  <c r="AC1686" i="1"/>
  <c r="AB1686" i="1"/>
  <c r="AA1686" i="1"/>
  <c r="Y1686" i="1"/>
  <c r="Z1686" i="1" s="1"/>
  <c r="X1686" i="1"/>
  <c r="AE1685" i="1"/>
  <c r="AD1685" i="1"/>
  <c r="AC1685" i="1"/>
  <c r="AB1685" i="1"/>
  <c r="AA1685" i="1"/>
  <c r="Y1685" i="1"/>
  <c r="Z1685" i="1" s="1"/>
  <c r="X1685" i="1"/>
  <c r="AE1684" i="1"/>
  <c r="AD1684" i="1"/>
  <c r="AC1684" i="1"/>
  <c r="AB1684" i="1"/>
  <c r="AA1684" i="1"/>
  <c r="Y1684" i="1"/>
  <c r="Z1684" i="1" s="1"/>
  <c r="X1684" i="1"/>
  <c r="AE1683" i="1"/>
  <c r="AD1683" i="1"/>
  <c r="AC1683" i="1"/>
  <c r="AB1683" i="1"/>
  <c r="AA1683" i="1"/>
  <c r="Y1683" i="1"/>
  <c r="Z1683" i="1" s="1"/>
  <c r="X1683" i="1"/>
  <c r="AE1682" i="1"/>
  <c r="AD1682" i="1"/>
  <c r="AC1682" i="1"/>
  <c r="AB1682" i="1"/>
  <c r="AA1682" i="1"/>
  <c r="Y1682" i="1"/>
  <c r="Z1682" i="1" s="1"/>
  <c r="X1682" i="1"/>
  <c r="AE1681" i="1"/>
  <c r="AD1681" i="1"/>
  <c r="AC1681" i="1"/>
  <c r="AB1681" i="1"/>
  <c r="AA1681" i="1"/>
  <c r="Y1681" i="1"/>
  <c r="Z1681" i="1" s="1"/>
  <c r="X1681" i="1"/>
  <c r="AE1680" i="1"/>
  <c r="AD1680" i="1"/>
  <c r="AC1680" i="1"/>
  <c r="AB1680" i="1"/>
  <c r="AA1680" i="1"/>
  <c r="Y1680" i="1"/>
  <c r="Z1680" i="1" s="1"/>
  <c r="X1680" i="1"/>
  <c r="AE1679" i="1"/>
  <c r="AD1679" i="1"/>
  <c r="AC1679" i="1"/>
  <c r="AB1679" i="1"/>
  <c r="AA1679" i="1"/>
  <c r="Y1679" i="1"/>
  <c r="Z1679" i="1" s="1"/>
  <c r="X1679" i="1"/>
  <c r="AE1678" i="1"/>
  <c r="AD1678" i="1"/>
  <c r="AC1678" i="1"/>
  <c r="AB1678" i="1"/>
  <c r="AA1678" i="1"/>
  <c r="Y1678" i="1"/>
  <c r="Z1678" i="1" s="1"/>
  <c r="X1678" i="1"/>
  <c r="AE1677" i="1"/>
  <c r="AD1677" i="1"/>
  <c r="AC1677" i="1"/>
  <c r="AB1677" i="1"/>
  <c r="AA1677" i="1"/>
  <c r="Y1677" i="1"/>
  <c r="Z1677" i="1" s="1"/>
  <c r="X1677" i="1"/>
  <c r="AE1676" i="1"/>
  <c r="AD1676" i="1"/>
  <c r="AC1676" i="1"/>
  <c r="AB1676" i="1"/>
  <c r="AA1676" i="1"/>
  <c r="Y1676" i="1"/>
  <c r="Z1676" i="1" s="1"/>
  <c r="X1676" i="1"/>
  <c r="AE1675" i="1"/>
  <c r="AD1675" i="1"/>
  <c r="AC1675" i="1"/>
  <c r="AB1675" i="1"/>
  <c r="AA1675" i="1"/>
  <c r="Y1675" i="1"/>
  <c r="Z1675" i="1" s="1"/>
  <c r="X1675" i="1"/>
  <c r="AE1674" i="1"/>
  <c r="AD1674" i="1"/>
  <c r="AC1674" i="1"/>
  <c r="AB1674" i="1"/>
  <c r="AA1674" i="1"/>
  <c r="Y1674" i="1"/>
  <c r="Z1674" i="1" s="1"/>
  <c r="X1674" i="1"/>
  <c r="AE1673" i="1"/>
  <c r="AD1673" i="1"/>
  <c r="AC1673" i="1"/>
  <c r="AB1673" i="1"/>
  <c r="AA1673" i="1"/>
  <c r="Y1673" i="1"/>
  <c r="Z1673" i="1" s="1"/>
  <c r="X1673" i="1"/>
  <c r="AE1672" i="1"/>
  <c r="AD1672" i="1"/>
  <c r="AC1672" i="1"/>
  <c r="AB1672" i="1"/>
  <c r="AA1672" i="1"/>
  <c r="Y1672" i="1"/>
  <c r="Z1672" i="1" s="1"/>
  <c r="X1672" i="1"/>
  <c r="AE1671" i="1"/>
  <c r="AD1671" i="1"/>
  <c r="AC1671" i="1"/>
  <c r="AB1671" i="1"/>
  <c r="AA1671" i="1"/>
  <c r="Y1671" i="1"/>
  <c r="Z1671" i="1" s="1"/>
  <c r="X1671" i="1"/>
  <c r="AE1670" i="1"/>
  <c r="AD1670" i="1"/>
  <c r="AC1670" i="1"/>
  <c r="AB1670" i="1"/>
  <c r="AA1670" i="1"/>
  <c r="Y1670" i="1"/>
  <c r="Z1670" i="1" s="1"/>
  <c r="X1670" i="1"/>
  <c r="AE1669" i="1"/>
  <c r="AD1669" i="1"/>
  <c r="AC1669" i="1"/>
  <c r="AB1669" i="1"/>
  <c r="AA1669" i="1"/>
  <c r="Y1669" i="1"/>
  <c r="Z1669" i="1" s="1"/>
  <c r="X1669" i="1"/>
  <c r="AE1668" i="1"/>
  <c r="AD1668" i="1"/>
  <c r="AC1668" i="1"/>
  <c r="AB1668" i="1"/>
  <c r="AA1668" i="1"/>
  <c r="Y1668" i="1"/>
  <c r="Z1668" i="1" s="1"/>
  <c r="X1668" i="1"/>
  <c r="AE1667" i="1"/>
  <c r="AD1667" i="1"/>
  <c r="AC1667" i="1"/>
  <c r="AB1667" i="1"/>
  <c r="AA1667" i="1"/>
  <c r="Y1667" i="1"/>
  <c r="Z1667" i="1" s="1"/>
  <c r="X1667" i="1"/>
  <c r="AE1666" i="1"/>
  <c r="AD1666" i="1"/>
  <c r="AC1666" i="1"/>
  <c r="AB1666" i="1"/>
  <c r="AA1666" i="1"/>
  <c r="Y1666" i="1"/>
  <c r="Z1666" i="1" s="1"/>
  <c r="X1666" i="1"/>
  <c r="AE1665" i="1"/>
  <c r="AD1665" i="1"/>
  <c r="AC1665" i="1"/>
  <c r="AB1665" i="1"/>
  <c r="AA1665" i="1"/>
  <c r="Y1665" i="1"/>
  <c r="Z1665" i="1" s="1"/>
  <c r="X1665" i="1"/>
  <c r="AE1664" i="1"/>
  <c r="AD1664" i="1"/>
  <c r="AC1664" i="1"/>
  <c r="AB1664" i="1"/>
  <c r="AA1664" i="1"/>
  <c r="Y1664" i="1"/>
  <c r="Z1664" i="1" s="1"/>
  <c r="X1664" i="1"/>
  <c r="AE1663" i="1"/>
  <c r="AD1663" i="1"/>
  <c r="AC1663" i="1"/>
  <c r="AB1663" i="1"/>
  <c r="AA1663" i="1"/>
  <c r="Y1663" i="1"/>
  <c r="Z1663" i="1" s="1"/>
  <c r="X1663" i="1"/>
  <c r="AE1662" i="1"/>
  <c r="AD1662" i="1"/>
  <c r="AC1662" i="1"/>
  <c r="AB1662" i="1"/>
  <c r="AA1662" i="1"/>
  <c r="Y1662" i="1"/>
  <c r="Z1662" i="1" s="1"/>
  <c r="X1662" i="1"/>
  <c r="AE1661" i="1"/>
  <c r="AD1661" i="1"/>
  <c r="AC1661" i="1"/>
  <c r="AB1661" i="1"/>
  <c r="AA1661" i="1"/>
  <c r="Y1661" i="1"/>
  <c r="Z1661" i="1" s="1"/>
  <c r="X1661" i="1"/>
  <c r="AE1660" i="1"/>
  <c r="AD1660" i="1"/>
  <c r="AC1660" i="1"/>
  <c r="AB1660" i="1"/>
  <c r="AA1660" i="1"/>
  <c r="Y1660" i="1"/>
  <c r="Z1660" i="1" s="1"/>
  <c r="X1660" i="1"/>
  <c r="AE1659" i="1"/>
  <c r="AD1659" i="1"/>
  <c r="AC1659" i="1"/>
  <c r="AB1659" i="1"/>
  <c r="AA1659" i="1"/>
  <c r="Y1659" i="1"/>
  <c r="Z1659" i="1" s="1"/>
  <c r="X1659" i="1"/>
  <c r="AE1658" i="1"/>
  <c r="AD1658" i="1"/>
  <c r="AC1658" i="1"/>
  <c r="AB1658" i="1"/>
  <c r="AA1658" i="1"/>
  <c r="Y1658" i="1"/>
  <c r="Z1658" i="1" s="1"/>
  <c r="X1658" i="1"/>
  <c r="AE1657" i="1"/>
  <c r="AD1657" i="1"/>
  <c r="AC1657" i="1"/>
  <c r="AB1657" i="1"/>
  <c r="AA1657" i="1"/>
  <c r="Y1657" i="1"/>
  <c r="Z1657" i="1" s="1"/>
  <c r="X1657" i="1"/>
  <c r="AE1656" i="1"/>
  <c r="AD1656" i="1"/>
  <c r="AC1656" i="1"/>
  <c r="AB1656" i="1"/>
  <c r="AA1656" i="1"/>
  <c r="Y1656" i="1"/>
  <c r="Z1656" i="1" s="1"/>
  <c r="X1656" i="1"/>
  <c r="AE1655" i="1"/>
  <c r="AD1655" i="1"/>
  <c r="AC1655" i="1"/>
  <c r="AB1655" i="1"/>
  <c r="AA1655" i="1"/>
  <c r="Y1655" i="1"/>
  <c r="Z1655" i="1" s="1"/>
  <c r="X1655" i="1"/>
  <c r="AE1654" i="1"/>
  <c r="AD1654" i="1"/>
  <c r="AC1654" i="1"/>
  <c r="AB1654" i="1"/>
  <c r="AA1654" i="1"/>
  <c r="Y1654" i="1"/>
  <c r="Z1654" i="1" s="1"/>
  <c r="X1654" i="1"/>
  <c r="AE1653" i="1"/>
  <c r="AD1653" i="1"/>
  <c r="AC1653" i="1"/>
  <c r="AB1653" i="1"/>
  <c r="AA1653" i="1"/>
  <c r="Y1653" i="1"/>
  <c r="Z1653" i="1" s="1"/>
  <c r="X1653" i="1"/>
  <c r="AE1652" i="1"/>
  <c r="AD1652" i="1"/>
  <c r="AC1652" i="1"/>
  <c r="AB1652" i="1"/>
  <c r="AA1652" i="1"/>
  <c r="Y1652" i="1"/>
  <c r="Z1652" i="1" s="1"/>
  <c r="X1652" i="1"/>
  <c r="AE1651" i="1"/>
  <c r="AD1651" i="1"/>
  <c r="AC1651" i="1"/>
  <c r="AB1651" i="1"/>
  <c r="AA1651" i="1"/>
  <c r="Y1651" i="1"/>
  <c r="Z1651" i="1" s="1"/>
  <c r="X1651" i="1"/>
  <c r="AE1650" i="1"/>
  <c r="AD1650" i="1"/>
  <c r="AC1650" i="1"/>
  <c r="AB1650" i="1"/>
  <c r="AA1650" i="1"/>
  <c r="Y1650" i="1"/>
  <c r="Z1650" i="1" s="1"/>
  <c r="X1650" i="1"/>
  <c r="AE1649" i="1"/>
  <c r="AD1649" i="1"/>
  <c r="AC1649" i="1"/>
  <c r="AB1649" i="1"/>
  <c r="AA1649" i="1"/>
  <c r="Y1649" i="1"/>
  <c r="Z1649" i="1" s="1"/>
  <c r="X1649" i="1"/>
  <c r="AE1648" i="1"/>
  <c r="AD1648" i="1"/>
  <c r="AC1648" i="1"/>
  <c r="AB1648" i="1"/>
  <c r="AA1648" i="1"/>
  <c r="Y1648" i="1"/>
  <c r="Z1648" i="1" s="1"/>
  <c r="X1648" i="1"/>
  <c r="AE1647" i="1"/>
  <c r="AD1647" i="1"/>
  <c r="AC1647" i="1"/>
  <c r="AB1647" i="1"/>
  <c r="AA1647" i="1"/>
  <c r="Y1647" i="1"/>
  <c r="Z1647" i="1" s="1"/>
  <c r="X1647" i="1"/>
  <c r="AE1646" i="1"/>
  <c r="AD1646" i="1"/>
  <c r="AC1646" i="1"/>
  <c r="AB1646" i="1"/>
  <c r="AA1646" i="1"/>
  <c r="Y1646" i="1"/>
  <c r="Z1646" i="1" s="1"/>
  <c r="X1646" i="1"/>
  <c r="AE1645" i="1"/>
  <c r="AD1645" i="1"/>
  <c r="AC1645" i="1"/>
  <c r="AB1645" i="1"/>
  <c r="AA1645" i="1"/>
  <c r="Y1645" i="1"/>
  <c r="Z1645" i="1" s="1"/>
  <c r="X1645" i="1"/>
  <c r="AE1644" i="1"/>
  <c r="AD1644" i="1"/>
  <c r="AC1644" i="1"/>
  <c r="AB1644" i="1"/>
  <c r="AA1644" i="1"/>
  <c r="Y1644" i="1"/>
  <c r="Z1644" i="1" s="1"/>
  <c r="X1644" i="1"/>
  <c r="AE1643" i="1"/>
  <c r="AD1643" i="1"/>
  <c r="AC1643" i="1"/>
  <c r="AB1643" i="1"/>
  <c r="AA1643" i="1"/>
  <c r="Y1643" i="1"/>
  <c r="Z1643" i="1" s="1"/>
  <c r="X1643" i="1"/>
  <c r="AE1642" i="1"/>
  <c r="AD1642" i="1"/>
  <c r="AC1642" i="1"/>
  <c r="AB1642" i="1"/>
  <c r="AA1642" i="1"/>
  <c r="Y1642" i="1"/>
  <c r="Z1642" i="1" s="1"/>
  <c r="X1642" i="1"/>
  <c r="AE1641" i="1"/>
  <c r="AD1641" i="1"/>
  <c r="AC1641" i="1"/>
  <c r="AB1641" i="1"/>
  <c r="AA1641" i="1"/>
  <c r="Y1641" i="1"/>
  <c r="Z1641" i="1" s="1"/>
  <c r="X1641" i="1"/>
  <c r="AE1640" i="1"/>
  <c r="AD1640" i="1"/>
  <c r="AC1640" i="1"/>
  <c r="AB1640" i="1"/>
  <c r="AA1640" i="1"/>
  <c r="Y1640" i="1"/>
  <c r="Z1640" i="1" s="1"/>
  <c r="X1640" i="1"/>
  <c r="AE1639" i="1"/>
  <c r="AD1639" i="1"/>
  <c r="AC1639" i="1"/>
  <c r="AB1639" i="1"/>
  <c r="AA1639" i="1"/>
  <c r="Y1639" i="1"/>
  <c r="Z1639" i="1" s="1"/>
  <c r="X1639" i="1"/>
  <c r="AE1638" i="1"/>
  <c r="AD1638" i="1"/>
  <c r="AC1638" i="1"/>
  <c r="AB1638" i="1"/>
  <c r="AA1638" i="1"/>
  <c r="Y1638" i="1"/>
  <c r="Z1638" i="1" s="1"/>
  <c r="X1638" i="1"/>
  <c r="AE1637" i="1"/>
  <c r="AD1637" i="1"/>
  <c r="AC1637" i="1"/>
  <c r="AB1637" i="1"/>
  <c r="AA1637" i="1"/>
  <c r="Y1637" i="1"/>
  <c r="Z1637" i="1" s="1"/>
  <c r="X1637" i="1"/>
  <c r="AE1636" i="1"/>
  <c r="AD1636" i="1"/>
  <c r="AC1636" i="1"/>
  <c r="AB1636" i="1"/>
  <c r="AA1636" i="1"/>
  <c r="Y1636" i="1"/>
  <c r="Z1636" i="1" s="1"/>
  <c r="X1636" i="1"/>
  <c r="AE1635" i="1"/>
  <c r="AD1635" i="1"/>
  <c r="AC1635" i="1"/>
  <c r="AB1635" i="1"/>
  <c r="AA1635" i="1"/>
  <c r="Y1635" i="1"/>
  <c r="Z1635" i="1" s="1"/>
  <c r="X1635" i="1"/>
  <c r="AE1634" i="1"/>
  <c r="AD1634" i="1"/>
  <c r="AC1634" i="1"/>
  <c r="AB1634" i="1"/>
  <c r="AA1634" i="1"/>
  <c r="Y1634" i="1"/>
  <c r="Z1634" i="1" s="1"/>
  <c r="X1634" i="1"/>
  <c r="AE1633" i="1"/>
  <c r="AD1633" i="1"/>
  <c r="AC1633" i="1"/>
  <c r="AB1633" i="1"/>
  <c r="AA1633" i="1"/>
  <c r="Y1633" i="1"/>
  <c r="Z1633" i="1" s="1"/>
  <c r="X1633" i="1"/>
  <c r="AE1632" i="1"/>
  <c r="AD1632" i="1"/>
  <c r="AC1632" i="1"/>
  <c r="AB1632" i="1"/>
  <c r="AA1632" i="1"/>
  <c r="Y1632" i="1"/>
  <c r="Z1632" i="1" s="1"/>
  <c r="X1632" i="1"/>
  <c r="AE1631" i="1"/>
  <c r="AD1631" i="1"/>
  <c r="AC1631" i="1"/>
  <c r="AB1631" i="1"/>
  <c r="AA1631" i="1"/>
  <c r="Y1631" i="1"/>
  <c r="Z1631" i="1" s="1"/>
  <c r="X1631" i="1"/>
  <c r="AE1630" i="1"/>
  <c r="AD1630" i="1"/>
  <c r="AC1630" i="1"/>
  <c r="AB1630" i="1"/>
  <c r="AA1630" i="1"/>
  <c r="Y1630" i="1"/>
  <c r="Z1630" i="1" s="1"/>
  <c r="X1630" i="1"/>
  <c r="AE1629" i="1"/>
  <c r="AD1629" i="1"/>
  <c r="AC1629" i="1"/>
  <c r="AB1629" i="1"/>
  <c r="AA1629" i="1"/>
  <c r="Y1629" i="1"/>
  <c r="Z1629" i="1" s="1"/>
  <c r="X1629" i="1"/>
  <c r="AE1628" i="1"/>
  <c r="AD1628" i="1"/>
  <c r="AC1628" i="1"/>
  <c r="AB1628" i="1"/>
  <c r="AA1628" i="1"/>
  <c r="Y1628" i="1"/>
  <c r="Z1628" i="1" s="1"/>
  <c r="X1628" i="1"/>
  <c r="AE1627" i="1"/>
  <c r="AD1627" i="1"/>
  <c r="AC1627" i="1"/>
  <c r="AB1627" i="1"/>
  <c r="AA1627" i="1"/>
  <c r="Y1627" i="1"/>
  <c r="Z1627" i="1" s="1"/>
  <c r="X1627" i="1"/>
  <c r="AE1626" i="1"/>
  <c r="AD1626" i="1"/>
  <c r="AC1626" i="1"/>
  <c r="AB1626" i="1"/>
  <c r="AA1626" i="1"/>
  <c r="Y1626" i="1"/>
  <c r="Z1626" i="1" s="1"/>
  <c r="X1626" i="1"/>
  <c r="AE1625" i="1"/>
  <c r="AD1625" i="1"/>
  <c r="AC1625" i="1"/>
  <c r="AB1625" i="1"/>
  <c r="AA1625" i="1"/>
  <c r="Y1625" i="1"/>
  <c r="Z1625" i="1" s="1"/>
  <c r="X1625" i="1"/>
  <c r="AE1624" i="1"/>
  <c r="AD1624" i="1"/>
  <c r="AC1624" i="1"/>
  <c r="AB1624" i="1"/>
  <c r="AA1624" i="1"/>
  <c r="Y1624" i="1"/>
  <c r="Z1624" i="1" s="1"/>
  <c r="X1624" i="1"/>
  <c r="AE1623" i="1"/>
  <c r="AD1623" i="1"/>
  <c r="AC1623" i="1"/>
  <c r="AB1623" i="1"/>
  <c r="AA1623" i="1"/>
  <c r="Y1623" i="1"/>
  <c r="Z1623" i="1" s="1"/>
  <c r="X1623" i="1"/>
  <c r="AE1622" i="1"/>
  <c r="AD1622" i="1"/>
  <c r="AC1622" i="1"/>
  <c r="AB1622" i="1"/>
  <c r="AA1622" i="1"/>
  <c r="Y1622" i="1"/>
  <c r="Z1622" i="1" s="1"/>
  <c r="X1622" i="1"/>
  <c r="AE1621" i="1"/>
  <c r="AD1621" i="1"/>
  <c r="AC1621" i="1"/>
  <c r="AB1621" i="1"/>
  <c r="AA1621" i="1"/>
  <c r="Y1621" i="1"/>
  <c r="Z1621" i="1" s="1"/>
  <c r="X1621" i="1"/>
  <c r="AE1620" i="1"/>
  <c r="AD1620" i="1"/>
  <c r="AC1620" i="1"/>
  <c r="AB1620" i="1"/>
  <c r="AA1620" i="1"/>
  <c r="Y1620" i="1"/>
  <c r="Z1620" i="1" s="1"/>
  <c r="X1620" i="1"/>
  <c r="AE1619" i="1"/>
  <c r="AD1619" i="1"/>
  <c r="AC1619" i="1"/>
  <c r="AB1619" i="1"/>
  <c r="AA1619" i="1"/>
  <c r="Y1619" i="1"/>
  <c r="Z1619" i="1" s="1"/>
  <c r="X1619" i="1"/>
  <c r="AE1618" i="1"/>
  <c r="AD1618" i="1"/>
  <c r="AC1618" i="1"/>
  <c r="AB1618" i="1"/>
  <c r="AA1618" i="1"/>
  <c r="Y1618" i="1"/>
  <c r="Z1618" i="1" s="1"/>
  <c r="X1618" i="1"/>
  <c r="AE1617" i="1"/>
  <c r="AD1617" i="1"/>
  <c r="AC1617" i="1"/>
  <c r="AB1617" i="1"/>
  <c r="AA1617" i="1"/>
  <c r="Y1617" i="1"/>
  <c r="Z1617" i="1" s="1"/>
  <c r="X1617" i="1"/>
  <c r="AE1616" i="1"/>
  <c r="AD1616" i="1"/>
  <c r="AC1616" i="1"/>
  <c r="AB1616" i="1"/>
  <c r="AA1616" i="1"/>
  <c r="Y1616" i="1"/>
  <c r="Z1616" i="1" s="1"/>
  <c r="X1616" i="1"/>
  <c r="AE1615" i="1"/>
  <c r="AD1615" i="1"/>
  <c r="AC1615" i="1"/>
  <c r="AB1615" i="1"/>
  <c r="AA1615" i="1"/>
  <c r="Y1615" i="1"/>
  <c r="Z1615" i="1" s="1"/>
  <c r="X1615" i="1"/>
  <c r="AE1614" i="1"/>
  <c r="AD1614" i="1"/>
  <c r="AC1614" i="1"/>
  <c r="AB1614" i="1"/>
  <c r="AA1614" i="1"/>
  <c r="Y1614" i="1"/>
  <c r="Z1614" i="1" s="1"/>
  <c r="X1614" i="1"/>
  <c r="AE1613" i="1"/>
  <c r="AD1613" i="1"/>
  <c r="AC1613" i="1"/>
  <c r="AB1613" i="1"/>
  <c r="AA1613" i="1"/>
  <c r="Y1613" i="1"/>
  <c r="Z1613" i="1" s="1"/>
  <c r="X1613" i="1"/>
  <c r="AE1612" i="1"/>
  <c r="AD1612" i="1"/>
  <c r="AC1612" i="1"/>
  <c r="AB1612" i="1"/>
  <c r="AA1612" i="1"/>
  <c r="Y1612" i="1"/>
  <c r="Z1612" i="1" s="1"/>
  <c r="X1612" i="1"/>
  <c r="AE1611" i="1"/>
  <c r="AD1611" i="1"/>
  <c r="AC1611" i="1"/>
  <c r="AB1611" i="1"/>
  <c r="AA1611" i="1"/>
  <c r="Y1611" i="1"/>
  <c r="Z1611" i="1" s="1"/>
  <c r="X1611" i="1"/>
  <c r="AE1610" i="1"/>
  <c r="AD1610" i="1"/>
  <c r="AC1610" i="1"/>
  <c r="AB1610" i="1"/>
  <c r="AA1610" i="1"/>
  <c r="Y1610" i="1"/>
  <c r="Z1610" i="1" s="1"/>
  <c r="X1610" i="1"/>
  <c r="AE1609" i="1"/>
  <c r="AD1609" i="1"/>
  <c r="AC1609" i="1"/>
  <c r="AB1609" i="1"/>
  <c r="AA1609" i="1"/>
  <c r="Y1609" i="1"/>
  <c r="Z1609" i="1" s="1"/>
  <c r="X1609" i="1"/>
  <c r="AE1608" i="1"/>
  <c r="AD1608" i="1"/>
  <c r="AC1608" i="1"/>
  <c r="AB1608" i="1"/>
  <c r="AA1608" i="1"/>
  <c r="Y1608" i="1"/>
  <c r="Z1608" i="1" s="1"/>
  <c r="X1608" i="1"/>
  <c r="AE1607" i="1"/>
  <c r="AD1607" i="1"/>
  <c r="AC1607" i="1"/>
  <c r="AB1607" i="1"/>
  <c r="AA1607" i="1"/>
  <c r="Y1607" i="1"/>
  <c r="Z1607" i="1" s="1"/>
  <c r="X1607" i="1"/>
  <c r="AE1606" i="1"/>
  <c r="AD1606" i="1"/>
  <c r="AC1606" i="1"/>
  <c r="AB1606" i="1"/>
  <c r="AA1606" i="1"/>
  <c r="Y1606" i="1"/>
  <c r="Z1606" i="1" s="1"/>
  <c r="X1606" i="1"/>
  <c r="AE1605" i="1"/>
  <c r="AD1605" i="1"/>
  <c r="AC1605" i="1"/>
  <c r="AB1605" i="1"/>
  <c r="AA1605" i="1"/>
  <c r="Y1605" i="1"/>
  <c r="Z1605" i="1" s="1"/>
  <c r="X1605" i="1"/>
  <c r="AE1604" i="1"/>
  <c r="AD1604" i="1"/>
  <c r="AC1604" i="1"/>
  <c r="AB1604" i="1"/>
  <c r="AA1604" i="1"/>
  <c r="Y1604" i="1"/>
  <c r="Z1604" i="1" s="1"/>
  <c r="X1604" i="1"/>
  <c r="AE1603" i="1"/>
  <c r="AD1603" i="1"/>
  <c r="AC1603" i="1"/>
  <c r="AB1603" i="1"/>
  <c r="AA1603" i="1"/>
  <c r="Y1603" i="1"/>
  <c r="Z1603" i="1" s="1"/>
  <c r="X1603" i="1"/>
  <c r="AE1602" i="1"/>
  <c r="AD1602" i="1"/>
  <c r="AC1602" i="1"/>
  <c r="AB1602" i="1"/>
  <c r="AA1602" i="1"/>
  <c r="Y1602" i="1"/>
  <c r="Z1602" i="1" s="1"/>
  <c r="X1602" i="1"/>
  <c r="AE1601" i="1"/>
  <c r="AD1601" i="1"/>
  <c r="AC1601" i="1"/>
  <c r="AB1601" i="1"/>
  <c r="AA1601" i="1"/>
  <c r="Y1601" i="1"/>
  <c r="Z1601" i="1" s="1"/>
  <c r="X1601" i="1"/>
  <c r="AE1600" i="1"/>
  <c r="AD1600" i="1"/>
  <c r="AC1600" i="1"/>
  <c r="AB1600" i="1"/>
  <c r="AA1600" i="1"/>
  <c r="Y1600" i="1"/>
  <c r="Z1600" i="1" s="1"/>
  <c r="X1600" i="1"/>
  <c r="AE1599" i="1"/>
  <c r="AD1599" i="1"/>
  <c r="AC1599" i="1"/>
  <c r="AB1599" i="1"/>
  <c r="AA1599" i="1"/>
  <c r="Y1599" i="1"/>
  <c r="Z1599" i="1" s="1"/>
  <c r="X1599" i="1"/>
  <c r="AE1598" i="1"/>
  <c r="AD1598" i="1"/>
  <c r="AC1598" i="1"/>
  <c r="AB1598" i="1"/>
  <c r="AA1598" i="1"/>
  <c r="Y1598" i="1"/>
  <c r="Z1598" i="1" s="1"/>
  <c r="X1598" i="1"/>
  <c r="AE1597" i="1"/>
  <c r="AD1597" i="1"/>
  <c r="AC1597" i="1"/>
  <c r="AB1597" i="1"/>
  <c r="AA1597" i="1"/>
  <c r="Y1597" i="1"/>
  <c r="Z1597" i="1" s="1"/>
  <c r="X1597" i="1"/>
  <c r="AE1596" i="1"/>
  <c r="AD1596" i="1"/>
  <c r="AC1596" i="1"/>
  <c r="AB1596" i="1"/>
  <c r="AA1596" i="1"/>
  <c r="Y1596" i="1"/>
  <c r="Z1596" i="1" s="1"/>
  <c r="X1596" i="1"/>
  <c r="AE1595" i="1"/>
  <c r="AD1595" i="1"/>
  <c r="AC1595" i="1"/>
  <c r="AB1595" i="1"/>
  <c r="AA1595" i="1"/>
  <c r="Y1595" i="1"/>
  <c r="Z1595" i="1" s="1"/>
  <c r="X1595" i="1"/>
  <c r="AE1594" i="1"/>
  <c r="AD1594" i="1"/>
  <c r="AC1594" i="1"/>
  <c r="AB1594" i="1"/>
  <c r="AA1594" i="1"/>
  <c r="Y1594" i="1"/>
  <c r="Z1594" i="1" s="1"/>
  <c r="X1594" i="1"/>
  <c r="AE1593" i="1"/>
  <c r="AD1593" i="1"/>
  <c r="AC1593" i="1"/>
  <c r="AB1593" i="1"/>
  <c r="AA1593" i="1"/>
  <c r="Y1593" i="1"/>
  <c r="Z1593" i="1" s="1"/>
  <c r="X1593" i="1"/>
  <c r="AE1592" i="1"/>
  <c r="AD1592" i="1"/>
  <c r="AC1592" i="1"/>
  <c r="AB1592" i="1"/>
  <c r="AA1592" i="1"/>
  <c r="Y1592" i="1"/>
  <c r="Z1592" i="1" s="1"/>
  <c r="X1592" i="1"/>
  <c r="AE1591" i="1"/>
  <c r="AD1591" i="1"/>
  <c r="AC1591" i="1"/>
  <c r="AB1591" i="1"/>
  <c r="AA1591" i="1"/>
  <c r="Y1591" i="1"/>
  <c r="Z1591" i="1" s="1"/>
  <c r="X1591" i="1"/>
  <c r="AE1590" i="1"/>
  <c r="AD1590" i="1"/>
  <c r="AC1590" i="1"/>
  <c r="AB1590" i="1"/>
  <c r="AA1590" i="1"/>
  <c r="Y1590" i="1"/>
  <c r="Z1590" i="1" s="1"/>
  <c r="X1590" i="1"/>
  <c r="AE1589" i="1"/>
  <c r="AD1589" i="1"/>
  <c r="AC1589" i="1"/>
  <c r="AB1589" i="1"/>
  <c r="AA1589" i="1"/>
  <c r="Y1589" i="1"/>
  <c r="Z1589" i="1" s="1"/>
  <c r="X1589" i="1"/>
  <c r="AE1588" i="1"/>
  <c r="AD1588" i="1"/>
  <c r="AC1588" i="1"/>
  <c r="AB1588" i="1"/>
  <c r="AA1588" i="1"/>
  <c r="Y1588" i="1"/>
  <c r="Z1588" i="1" s="1"/>
  <c r="X1588" i="1"/>
  <c r="AE1587" i="1"/>
  <c r="AD1587" i="1"/>
  <c r="AC1587" i="1"/>
  <c r="AB1587" i="1"/>
  <c r="AA1587" i="1"/>
  <c r="Y1587" i="1"/>
  <c r="Z1587" i="1" s="1"/>
  <c r="X1587" i="1"/>
  <c r="AE1586" i="1"/>
  <c r="AD1586" i="1"/>
  <c r="AC1586" i="1"/>
  <c r="AB1586" i="1"/>
  <c r="AA1586" i="1"/>
  <c r="Y1586" i="1"/>
  <c r="Z1586" i="1" s="1"/>
  <c r="X1586" i="1"/>
  <c r="AE1585" i="1"/>
  <c r="AD1585" i="1"/>
  <c r="AC1585" i="1"/>
  <c r="AB1585" i="1"/>
  <c r="AA1585" i="1"/>
  <c r="Y1585" i="1"/>
  <c r="Z1585" i="1" s="1"/>
  <c r="X1585" i="1"/>
  <c r="AE1584" i="1"/>
  <c r="AD1584" i="1"/>
  <c r="AC1584" i="1"/>
  <c r="AB1584" i="1"/>
  <c r="AA1584" i="1"/>
  <c r="Y1584" i="1"/>
  <c r="Z1584" i="1" s="1"/>
  <c r="X1584" i="1"/>
  <c r="AE1583" i="1"/>
  <c r="AD1583" i="1"/>
  <c r="AC1583" i="1"/>
  <c r="AB1583" i="1"/>
  <c r="AA1583" i="1"/>
  <c r="Y1583" i="1"/>
  <c r="Z1583" i="1" s="1"/>
  <c r="X1583" i="1"/>
  <c r="AE1582" i="1"/>
  <c r="AD1582" i="1"/>
  <c r="AC1582" i="1"/>
  <c r="AB1582" i="1"/>
  <c r="AA1582" i="1"/>
  <c r="Y1582" i="1"/>
  <c r="Z1582" i="1" s="1"/>
  <c r="X1582" i="1"/>
  <c r="AE1581" i="1"/>
  <c r="AD1581" i="1"/>
  <c r="AC1581" i="1"/>
  <c r="AB1581" i="1"/>
  <c r="AA1581" i="1"/>
  <c r="Y1581" i="1"/>
  <c r="Z1581" i="1" s="1"/>
  <c r="X1581" i="1"/>
  <c r="AE1580" i="1"/>
  <c r="AD1580" i="1"/>
  <c r="AC1580" i="1"/>
  <c r="AB1580" i="1"/>
  <c r="AA1580" i="1"/>
  <c r="Y1580" i="1"/>
  <c r="Z1580" i="1" s="1"/>
  <c r="X1580" i="1"/>
  <c r="AE1579" i="1"/>
  <c r="AD1579" i="1"/>
  <c r="AC1579" i="1"/>
  <c r="AB1579" i="1"/>
  <c r="AA1579" i="1"/>
  <c r="Y1579" i="1"/>
  <c r="Z1579" i="1" s="1"/>
  <c r="X1579" i="1"/>
  <c r="AE1578" i="1"/>
  <c r="AD1578" i="1"/>
  <c r="AC1578" i="1"/>
  <c r="AB1578" i="1"/>
  <c r="AA1578" i="1"/>
  <c r="Y1578" i="1"/>
  <c r="Z1578" i="1" s="1"/>
  <c r="X1578" i="1"/>
  <c r="AE1577" i="1"/>
  <c r="AD1577" i="1"/>
  <c r="AC1577" i="1"/>
  <c r="AB1577" i="1"/>
  <c r="AA1577" i="1"/>
  <c r="Y1577" i="1"/>
  <c r="Z1577" i="1" s="1"/>
  <c r="X1577" i="1"/>
  <c r="AE1576" i="1"/>
  <c r="AD1576" i="1"/>
  <c r="AC1576" i="1"/>
  <c r="AB1576" i="1"/>
  <c r="AA1576" i="1"/>
  <c r="Y1576" i="1"/>
  <c r="Z1576" i="1" s="1"/>
  <c r="X1576" i="1"/>
  <c r="AE1575" i="1"/>
  <c r="AD1575" i="1"/>
  <c r="AC1575" i="1"/>
  <c r="AB1575" i="1"/>
  <c r="AA1575" i="1"/>
  <c r="Y1575" i="1"/>
  <c r="Z1575" i="1" s="1"/>
  <c r="X1575" i="1"/>
  <c r="AE1574" i="1"/>
  <c r="AD1574" i="1"/>
  <c r="AC1574" i="1"/>
  <c r="AB1574" i="1"/>
  <c r="AA1574" i="1"/>
  <c r="Y1574" i="1"/>
  <c r="Z1574" i="1" s="1"/>
  <c r="X1574" i="1"/>
  <c r="AE1573" i="1"/>
  <c r="AD1573" i="1"/>
  <c r="AC1573" i="1"/>
  <c r="AB1573" i="1"/>
  <c r="AA1573" i="1"/>
  <c r="Y1573" i="1"/>
  <c r="Z1573" i="1" s="1"/>
  <c r="X1573" i="1"/>
  <c r="AE1572" i="1"/>
  <c r="AD1572" i="1"/>
  <c r="AC1572" i="1"/>
  <c r="AB1572" i="1"/>
  <c r="AA1572" i="1"/>
  <c r="Y1572" i="1"/>
  <c r="Z1572" i="1" s="1"/>
  <c r="X1572" i="1"/>
  <c r="AE1571" i="1"/>
  <c r="AD1571" i="1"/>
  <c r="AC1571" i="1"/>
  <c r="AB1571" i="1"/>
  <c r="AA1571" i="1"/>
  <c r="Y1571" i="1"/>
  <c r="Z1571" i="1" s="1"/>
  <c r="X1571" i="1"/>
  <c r="AE1570" i="1"/>
  <c r="AD1570" i="1"/>
  <c r="AC1570" i="1"/>
  <c r="AB1570" i="1"/>
  <c r="AA1570" i="1"/>
  <c r="Y1570" i="1"/>
  <c r="Z1570" i="1" s="1"/>
  <c r="X1570" i="1"/>
  <c r="AE1569" i="1"/>
  <c r="AD1569" i="1"/>
  <c r="AC1569" i="1"/>
  <c r="AB1569" i="1"/>
  <c r="AA1569" i="1"/>
  <c r="Y1569" i="1"/>
  <c r="Z1569" i="1" s="1"/>
  <c r="X1569" i="1"/>
  <c r="AE1568" i="1"/>
  <c r="AD1568" i="1"/>
  <c r="AC1568" i="1"/>
  <c r="AB1568" i="1"/>
  <c r="AA1568" i="1"/>
  <c r="Y1568" i="1"/>
  <c r="Z1568" i="1" s="1"/>
  <c r="X1568" i="1"/>
  <c r="AE1567" i="1"/>
  <c r="AD1567" i="1"/>
  <c r="AC1567" i="1"/>
  <c r="AB1567" i="1"/>
  <c r="AA1567" i="1"/>
  <c r="Y1567" i="1"/>
  <c r="Z1567" i="1" s="1"/>
  <c r="X1567" i="1"/>
  <c r="AE1566" i="1"/>
  <c r="AD1566" i="1"/>
  <c r="AC1566" i="1"/>
  <c r="AB1566" i="1"/>
  <c r="AA1566" i="1"/>
  <c r="Y1566" i="1"/>
  <c r="Z1566" i="1" s="1"/>
  <c r="X1566" i="1"/>
  <c r="AE1565" i="1"/>
  <c r="AD1565" i="1"/>
  <c r="AC1565" i="1"/>
  <c r="AB1565" i="1"/>
  <c r="AA1565" i="1"/>
  <c r="Y1565" i="1"/>
  <c r="Z1565" i="1" s="1"/>
  <c r="X1565" i="1"/>
  <c r="AE1564" i="1"/>
  <c r="AD1564" i="1"/>
  <c r="AC1564" i="1"/>
  <c r="AB1564" i="1"/>
  <c r="AA1564" i="1"/>
  <c r="Y1564" i="1"/>
  <c r="Z1564" i="1" s="1"/>
  <c r="X1564" i="1"/>
  <c r="AE1563" i="1"/>
  <c r="AD1563" i="1"/>
  <c r="AC1563" i="1"/>
  <c r="AB1563" i="1"/>
  <c r="AA1563" i="1"/>
  <c r="Y1563" i="1"/>
  <c r="Z1563" i="1" s="1"/>
  <c r="X1563" i="1"/>
  <c r="AE1562" i="1"/>
  <c r="AD1562" i="1"/>
  <c r="AC1562" i="1"/>
  <c r="AB1562" i="1"/>
  <c r="AA1562" i="1"/>
  <c r="Y1562" i="1"/>
  <c r="Z1562" i="1" s="1"/>
  <c r="X1562" i="1"/>
  <c r="AE1561" i="1"/>
  <c r="AD1561" i="1"/>
  <c r="AC1561" i="1"/>
  <c r="AB1561" i="1"/>
  <c r="AA1561" i="1"/>
  <c r="Y1561" i="1"/>
  <c r="Z1561" i="1" s="1"/>
  <c r="X1561" i="1"/>
  <c r="AE1560" i="1"/>
  <c r="AD1560" i="1"/>
  <c r="AC1560" i="1"/>
  <c r="AB1560" i="1"/>
  <c r="AA1560" i="1"/>
  <c r="Y1560" i="1"/>
  <c r="Z1560" i="1" s="1"/>
  <c r="X1560" i="1"/>
  <c r="AE1559" i="1"/>
  <c r="AD1559" i="1"/>
  <c r="AC1559" i="1"/>
  <c r="AB1559" i="1"/>
  <c r="AA1559" i="1"/>
  <c r="Y1559" i="1"/>
  <c r="Z1559" i="1" s="1"/>
  <c r="X1559" i="1"/>
  <c r="AE1558" i="1"/>
  <c r="AD1558" i="1"/>
  <c r="AC1558" i="1"/>
  <c r="AB1558" i="1"/>
  <c r="AA1558" i="1"/>
  <c r="Y1558" i="1"/>
  <c r="Z1558" i="1" s="1"/>
  <c r="X1558" i="1"/>
  <c r="AE1557" i="1"/>
  <c r="AD1557" i="1"/>
  <c r="AC1557" i="1"/>
  <c r="AB1557" i="1"/>
  <c r="AA1557" i="1"/>
  <c r="Y1557" i="1"/>
  <c r="Z1557" i="1" s="1"/>
  <c r="X1557" i="1"/>
  <c r="AE1556" i="1"/>
  <c r="AD1556" i="1"/>
  <c r="AC1556" i="1"/>
  <c r="AB1556" i="1"/>
  <c r="AA1556" i="1"/>
  <c r="Y1556" i="1"/>
  <c r="Z1556" i="1" s="1"/>
  <c r="X1556" i="1"/>
  <c r="AE1555" i="1"/>
  <c r="AD1555" i="1"/>
  <c r="AC1555" i="1"/>
  <c r="AB1555" i="1"/>
  <c r="AA1555" i="1"/>
  <c r="Y1555" i="1"/>
  <c r="Z1555" i="1" s="1"/>
  <c r="X1555" i="1"/>
  <c r="AE1554" i="1"/>
  <c r="AD1554" i="1"/>
  <c r="AC1554" i="1"/>
  <c r="AB1554" i="1"/>
  <c r="AA1554" i="1"/>
  <c r="Y1554" i="1"/>
  <c r="Z1554" i="1" s="1"/>
  <c r="X1554" i="1"/>
  <c r="AE1553" i="1"/>
  <c r="AD1553" i="1"/>
  <c r="AC1553" i="1"/>
  <c r="AB1553" i="1"/>
  <c r="AA1553" i="1"/>
  <c r="Y1553" i="1"/>
  <c r="Z1553" i="1" s="1"/>
  <c r="X1553" i="1"/>
  <c r="AE1552" i="1"/>
  <c r="AD1552" i="1"/>
  <c r="AC1552" i="1"/>
  <c r="AB1552" i="1"/>
  <c r="AA1552" i="1"/>
  <c r="Y1552" i="1"/>
  <c r="Z1552" i="1" s="1"/>
  <c r="X1552" i="1"/>
  <c r="AE1551" i="1"/>
  <c r="AD1551" i="1"/>
  <c r="AC1551" i="1"/>
  <c r="AB1551" i="1"/>
  <c r="AA1551" i="1"/>
  <c r="Y1551" i="1"/>
  <c r="Z1551" i="1" s="1"/>
  <c r="X1551" i="1"/>
  <c r="AE1550" i="1"/>
  <c r="AD1550" i="1"/>
  <c r="AC1550" i="1"/>
  <c r="AB1550" i="1"/>
  <c r="AA1550" i="1"/>
  <c r="Y1550" i="1"/>
  <c r="Z1550" i="1" s="1"/>
  <c r="X1550" i="1"/>
  <c r="AE1549" i="1"/>
  <c r="AD1549" i="1"/>
  <c r="AC1549" i="1"/>
  <c r="AB1549" i="1"/>
  <c r="AA1549" i="1"/>
  <c r="Y1549" i="1"/>
  <c r="Z1549" i="1" s="1"/>
  <c r="X1549" i="1"/>
  <c r="AE1548" i="1"/>
  <c r="AD1548" i="1"/>
  <c r="AC1548" i="1"/>
  <c r="AB1548" i="1"/>
  <c r="AA1548" i="1"/>
  <c r="Y1548" i="1"/>
  <c r="Z1548" i="1" s="1"/>
  <c r="X1548" i="1"/>
  <c r="AE1547" i="1"/>
  <c r="AD1547" i="1"/>
  <c r="AC1547" i="1"/>
  <c r="AB1547" i="1"/>
  <c r="AA1547" i="1"/>
  <c r="Y1547" i="1"/>
  <c r="Z1547" i="1" s="1"/>
  <c r="X1547" i="1"/>
  <c r="AE1546" i="1"/>
  <c r="AD1546" i="1"/>
  <c r="AC1546" i="1"/>
  <c r="AB1546" i="1"/>
  <c r="AA1546" i="1"/>
  <c r="Y1546" i="1"/>
  <c r="Z1546" i="1" s="1"/>
  <c r="X1546" i="1"/>
  <c r="AE1545" i="1"/>
  <c r="AD1545" i="1"/>
  <c r="AC1545" i="1"/>
  <c r="AB1545" i="1"/>
  <c r="AA1545" i="1"/>
  <c r="Y1545" i="1"/>
  <c r="Z1545" i="1" s="1"/>
  <c r="X1545" i="1"/>
  <c r="AE1544" i="1"/>
  <c r="AD1544" i="1"/>
  <c r="AC1544" i="1"/>
  <c r="AB1544" i="1"/>
  <c r="AA1544" i="1"/>
  <c r="Y1544" i="1"/>
  <c r="Z1544" i="1" s="1"/>
  <c r="X1544" i="1"/>
  <c r="AE1543" i="1"/>
  <c r="AD1543" i="1"/>
  <c r="AC1543" i="1"/>
  <c r="AB1543" i="1"/>
  <c r="AA1543" i="1"/>
  <c r="Y1543" i="1"/>
  <c r="Z1543" i="1" s="1"/>
  <c r="X1543" i="1"/>
  <c r="AE1542" i="1"/>
  <c r="AD1542" i="1"/>
  <c r="AC1542" i="1"/>
  <c r="AB1542" i="1"/>
  <c r="AA1542" i="1"/>
  <c r="Y1542" i="1"/>
  <c r="Z1542" i="1" s="1"/>
  <c r="X1542" i="1"/>
  <c r="AE1541" i="1"/>
  <c r="AD1541" i="1"/>
  <c r="AC1541" i="1"/>
  <c r="AB1541" i="1"/>
  <c r="AA1541" i="1"/>
  <c r="Y1541" i="1"/>
  <c r="Z1541" i="1" s="1"/>
  <c r="X1541" i="1"/>
  <c r="AE1540" i="1"/>
  <c r="AD1540" i="1"/>
  <c r="AC1540" i="1"/>
  <c r="AB1540" i="1"/>
  <c r="AA1540" i="1"/>
  <c r="Y1540" i="1"/>
  <c r="Z1540" i="1" s="1"/>
  <c r="X1540" i="1"/>
  <c r="AE1539" i="1"/>
  <c r="AD1539" i="1"/>
  <c r="AC1539" i="1"/>
  <c r="AB1539" i="1"/>
  <c r="AA1539" i="1"/>
  <c r="Y1539" i="1"/>
  <c r="Z1539" i="1" s="1"/>
  <c r="X1539" i="1"/>
  <c r="AE1538" i="1"/>
  <c r="AD1538" i="1"/>
  <c r="AC1538" i="1"/>
  <c r="AB1538" i="1"/>
  <c r="AA1538" i="1"/>
  <c r="Y1538" i="1"/>
  <c r="Z1538" i="1" s="1"/>
  <c r="X1538" i="1"/>
  <c r="AE1537" i="1"/>
  <c r="AD1537" i="1"/>
  <c r="AC1537" i="1"/>
  <c r="AB1537" i="1"/>
  <c r="AA1537" i="1"/>
  <c r="Y1537" i="1"/>
  <c r="Z1537" i="1" s="1"/>
  <c r="X1537" i="1"/>
  <c r="AE1536" i="1"/>
  <c r="AD1536" i="1"/>
  <c r="AC1536" i="1"/>
  <c r="AB1536" i="1"/>
  <c r="AA1536" i="1"/>
  <c r="Y1536" i="1"/>
  <c r="Z1536" i="1" s="1"/>
  <c r="X1536" i="1"/>
  <c r="AE1535" i="1"/>
  <c r="AD1535" i="1"/>
  <c r="AC1535" i="1"/>
  <c r="AB1535" i="1"/>
  <c r="AA1535" i="1"/>
  <c r="Y1535" i="1"/>
  <c r="Z1535" i="1" s="1"/>
  <c r="X1535" i="1"/>
  <c r="AE1534" i="1"/>
  <c r="AD1534" i="1"/>
  <c r="AC1534" i="1"/>
  <c r="AB1534" i="1"/>
  <c r="AA1534" i="1"/>
  <c r="Y1534" i="1"/>
  <c r="Z1534" i="1" s="1"/>
  <c r="X1534" i="1"/>
  <c r="AE1533" i="1"/>
  <c r="AD1533" i="1"/>
  <c r="AC1533" i="1"/>
  <c r="AB1533" i="1"/>
  <c r="AA1533" i="1"/>
  <c r="Y1533" i="1"/>
  <c r="Z1533" i="1" s="1"/>
  <c r="X1533" i="1"/>
  <c r="AE1532" i="1"/>
  <c r="AD1532" i="1"/>
  <c r="AC1532" i="1"/>
  <c r="AB1532" i="1"/>
  <c r="AA1532" i="1"/>
  <c r="Y1532" i="1"/>
  <c r="Z1532" i="1" s="1"/>
  <c r="X1532" i="1"/>
  <c r="AE1531" i="1"/>
  <c r="AD1531" i="1"/>
  <c r="AC1531" i="1"/>
  <c r="AB1531" i="1"/>
  <c r="AA1531" i="1"/>
  <c r="Y1531" i="1"/>
  <c r="Z1531" i="1" s="1"/>
  <c r="X1531" i="1"/>
  <c r="AE1530" i="1"/>
  <c r="AD1530" i="1"/>
  <c r="AC1530" i="1"/>
  <c r="AB1530" i="1"/>
  <c r="AA1530" i="1"/>
  <c r="Y1530" i="1"/>
  <c r="Z1530" i="1" s="1"/>
  <c r="X1530" i="1"/>
  <c r="AE1529" i="1"/>
  <c r="AD1529" i="1"/>
  <c r="AC1529" i="1"/>
  <c r="AB1529" i="1"/>
  <c r="AA1529" i="1"/>
  <c r="Y1529" i="1"/>
  <c r="Z1529" i="1" s="1"/>
  <c r="X1529" i="1"/>
  <c r="AE1528" i="1"/>
  <c r="AD1528" i="1"/>
  <c r="AC1528" i="1"/>
  <c r="AB1528" i="1"/>
  <c r="AA1528" i="1"/>
  <c r="Y1528" i="1"/>
  <c r="Z1528" i="1" s="1"/>
  <c r="X1528" i="1"/>
  <c r="AE1527" i="1"/>
  <c r="AD1527" i="1"/>
  <c r="AC1527" i="1"/>
  <c r="AB1527" i="1"/>
  <c r="AA1527" i="1"/>
  <c r="Y1527" i="1"/>
  <c r="Z1527" i="1" s="1"/>
  <c r="X1527" i="1"/>
  <c r="AE1526" i="1"/>
  <c r="AD1526" i="1"/>
  <c r="AC1526" i="1"/>
  <c r="AB1526" i="1"/>
  <c r="AA1526" i="1"/>
  <c r="Y1526" i="1"/>
  <c r="Z1526" i="1" s="1"/>
  <c r="X1526" i="1"/>
  <c r="AE1525" i="1"/>
  <c r="AD1525" i="1"/>
  <c r="AC1525" i="1"/>
  <c r="AB1525" i="1"/>
  <c r="AA1525" i="1"/>
  <c r="Y1525" i="1"/>
  <c r="Z1525" i="1" s="1"/>
  <c r="X1525" i="1"/>
  <c r="AE1524" i="1"/>
  <c r="AD1524" i="1"/>
  <c r="AC1524" i="1"/>
  <c r="AB1524" i="1"/>
  <c r="AA1524" i="1"/>
  <c r="Y1524" i="1"/>
  <c r="Z1524" i="1" s="1"/>
  <c r="X1524" i="1"/>
  <c r="AE1523" i="1"/>
  <c r="AD1523" i="1"/>
  <c r="AC1523" i="1"/>
  <c r="AB1523" i="1"/>
  <c r="AA1523" i="1"/>
  <c r="Y1523" i="1"/>
  <c r="Z1523" i="1" s="1"/>
  <c r="X1523" i="1"/>
  <c r="AE1522" i="1"/>
  <c r="AD1522" i="1"/>
  <c r="AC1522" i="1"/>
  <c r="AB1522" i="1"/>
  <c r="AA1522" i="1"/>
  <c r="Y1522" i="1"/>
  <c r="Z1522" i="1" s="1"/>
  <c r="X1522" i="1"/>
  <c r="AE1521" i="1"/>
  <c r="AD1521" i="1"/>
  <c r="AC1521" i="1"/>
  <c r="AB1521" i="1"/>
  <c r="AA1521" i="1"/>
  <c r="Y1521" i="1"/>
  <c r="Z1521" i="1" s="1"/>
  <c r="X1521" i="1"/>
  <c r="AE1520" i="1"/>
  <c r="AD1520" i="1"/>
  <c r="AC1520" i="1"/>
  <c r="AB1520" i="1"/>
  <c r="AA1520" i="1"/>
  <c r="Y1520" i="1"/>
  <c r="Z1520" i="1" s="1"/>
  <c r="X1520" i="1"/>
  <c r="AE1519" i="1"/>
  <c r="AD1519" i="1"/>
  <c r="AC1519" i="1"/>
  <c r="AB1519" i="1"/>
  <c r="AA1519" i="1"/>
  <c r="Y1519" i="1"/>
  <c r="Z1519" i="1" s="1"/>
  <c r="X1519" i="1"/>
  <c r="AE1518" i="1"/>
  <c r="AD1518" i="1"/>
  <c r="AC1518" i="1"/>
  <c r="AB1518" i="1"/>
  <c r="AA1518" i="1"/>
  <c r="Y1518" i="1"/>
  <c r="Z1518" i="1" s="1"/>
  <c r="X1518" i="1"/>
  <c r="AE1517" i="1"/>
  <c r="AD1517" i="1"/>
  <c r="AC1517" i="1"/>
  <c r="AB1517" i="1"/>
  <c r="AA1517" i="1"/>
  <c r="Y1517" i="1"/>
  <c r="Z1517" i="1" s="1"/>
  <c r="X1517" i="1"/>
  <c r="AE1516" i="1"/>
  <c r="AD1516" i="1"/>
  <c r="AC1516" i="1"/>
  <c r="AB1516" i="1"/>
  <c r="AA1516" i="1"/>
  <c r="Y1516" i="1"/>
  <c r="Z1516" i="1" s="1"/>
  <c r="X1516" i="1"/>
  <c r="AE1515" i="1"/>
  <c r="AD1515" i="1"/>
  <c r="AC1515" i="1"/>
  <c r="AB1515" i="1"/>
  <c r="AA1515" i="1"/>
  <c r="Y1515" i="1"/>
  <c r="Z1515" i="1" s="1"/>
  <c r="X1515" i="1"/>
  <c r="AE1514" i="1"/>
  <c r="AD1514" i="1"/>
  <c r="AC1514" i="1"/>
  <c r="AB1514" i="1"/>
  <c r="AA1514" i="1"/>
  <c r="Y1514" i="1"/>
  <c r="Z1514" i="1" s="1"/>
  <c r="X1514" i="1"/>
  <c r="AE1513" i="1"/>
  <c r="AD1513" i="1"/>
  <c r="AC1513" i="1"/>
  <c r="AB1513" i="1"/>
  <c r="AA1513" i="1"/>
  <c r="Y1513" i="1"/>
  <c r="Z1513" i="1" s="1"/>
  <c r="X1513" i="1"/>
  <c r="AE1512" i="1"/>
  <c r="AD1512" i="1"/>
  <c r="AC1512" i="1"/>
  <c r="AB1512" i="1"/>
  <c r="AA1512" i="1"/>
  <c r="Y1512" i="1"/>
  <c r="Z1512" i="1" s="1"/>
  <c r="X1512" i="1"/>
  <c r="AE1511" i="1"/>
  <c r="AD1511" i="1"/>
  <c r="AC1511" i="1"/>
  <c r="AB1511" i="1"/>
  <c r="AA1511" i="1"/>
  <c r="Y1511" i="1"/>
  <c r="Z1511" i="1" s="1"/>
  <c r="X1511" i="1"/>
  <c r="AE1510" i="1"/>
  <c r="AD1510" i="1"/>
  <c r="AC1510" i="1"/>
  <c r="AB1510" i="1"/>
  <c r="AA1510" i="1"/>
  <c r="Y1510" i="1"/>
  <c r="Z1510" i="1" s="1"/>
  <c r="X1510" i="1"/>
  <c r="AE1509" i="1"/>
  <c r="AD1509" i="1"/>
  <c r="AC1509" i="1"/>
  <c r="AB1509" i="1"/>
  <c r="AA1509" i="1"/>
  <c r="Y1509" i="1"/>
  <c r="Z1509" i="1" s="1"/>
  <c r="X1509" i="1"/>
  <c r="AE1508" i="1"/>
  <c r="AD1508" i="1"/>
  <c r="AC1508" i="1"/>
  <c r="AB1508" i="1"/>
  <c r="AA1508" i="1"/>
  <c r="Y1508" i="1"/>
  <c r="Z1508" i="1" s="1"/>
  <c r="X1508" i="1"/>
  <c r="AE1507" i="1"/>
  <c r="AD1507" i="1"/>
  <c r="AC1507" i="1"/>
  <c r="AB1507" i="1"/>
  <c r="AA1507" i="1"/>
  <c r="Y1507" i="1"/>
  <c r="Z1507" i="1" s="1"/>
  <c r="X1507" i="1"/>
  <c r="AE1506" i="1"/>
  <c r="AD1506" i="1"/>
  <c r="AC1506" i="1"/>
  <c r="AB1506" i="1"/>
  <c r="AA1506" i="1"/>
  <c r="Y1506" i="1"/>
  <c r="Z1506" i="1" s="1"/>
  <c r="X1506" i="1"/>
  <c r="AE1505" i="1"/>
  <c r="AD1505" i="1"/>
  <c r="AC1505" i="1"/>
  <c r="AB1505" i="1"/>
  <c r="AA1505" i="1"/>
  <c r="Y1505" i="1"/>
  <c r="Z1505" i="1" s="1"/>
  <c r="X1505" i="1"/>
  <c r="AE1504" i="1"/>
  <c r="AD1504" i="1"/>
  <c r="AC1504" i="1"/>
  <c r="AB1504" i="1"/>
  <c r="AA1504" i="1"/>
  <c r="Y1504" i="1"/>
  <c r="Z1504" i="1" s="1"/>
  <c r="X1504" i="1"/>
  <c r="AE1503" i="1"/>
  <c r="AD1503" i="1"/>
  <c r="AC1503" i="1"/>
  <c r="AB1503" i="1"/>
  <c r="AA1503" i="1"/>
  <c r="Y1503" i="1"/>
  <c r="Z1503" i="1" s="1"/>
  <c r="X1503" i="1"/>
  <c r="AE1502" i="1"/>
  <c r="AD1502" i="1"/>
  <c r="AC1502" i="1"/>
  <c r="AB1502" i="1"/>
  <c r="AA1502" i="1"/>
  <c r="Y1502" i="1"/>
  <c r="Z1502" i="1" s="1"/>
  <c r="X1502" i="1"/>
  <c r="AE1501" i="1"/>
  <c r="AD1501" i="1"/>
  <c r="AC1501" i="1"/>
  <c r="AB1501" i="1"/>
  <c r="AA1501" i="1"/>
  <c r="Y1501" i="1"/>
  <c r="Z1501" i="1" s="1"/>
  <c r="X1501" i="1"/>
  <c r="AE1500" i="1"/>
  <c r="AD1500" i="1"/>
  <c r="AC1500" i="1"/>
  <c r="AB1500" i="1"/>
  <c r="AA1500" i="1"/>
  <c r="Y1500" i="1"/>
  <c r="Z1500" i="1" s="1"/>
  <c r="X1500" i="1"/>
  <c r="AE1499" i="1"/>
  <c r="AD1499" i="1"/>
  <c r="AC1499" i="1"/>
  <c r="AB1499" i="1"/>
  <c r="AA1499" i="1"/>
  <c r="Y1499" i="1"/>
  <c r="Z1499" i="1" s="1"/>
  <c r="X1499" i="1"/>
  <c r="AE1498" i="1"/>
  <c r="AD1498" i="1"/>
  <c r="AC1498" i="1"/>
  <c r="AB1498" i="1"/>
  <c r="AA1498" i="1"/>
  <c r="Y1498" i="1"/>
  <c r="Z1498" i="1" s="1"/>
  <c r="X1498" i="1"/>
  <c r="AE1497" i="1"/>
  <c r="AD1497" i="1"/>
  <c r="AC1497" i="1"/>
  <c r="AB1497" i="1"/>
  <c r="AA1497" i="1"/>
  <c r="Y1497" i="1"/>
  <c r="Z1497" i="1" s="1"/>
  <c r="X1497" i="1"/>
  <c r="AE1496" i="1"/>
  <c r="AD1496" i="1"/>
  <c r="AC1496" i="1"/>
  <c r="AB1496" i="1"/>
  <c r="AA1496" i="1"/>
  <c r="Y1496" i="1"/>
  <c r="Z1496" i="1" s="1"/>
  <c r="X1496" i="1"/>
  <c r="AE1495" i="1"/>
  <c r="AD1495" i="1"/>
  <c r="AC1495" i="1"/>
  <c r="AB1495" i="1"/>
  <c r="AA1495" i="1"/>
  <c r="Y1495" i="1"/>
  <c r="Z1495" i="1" s="1"/>
  <c r="X1495" i="1"/>
  <c r="AE1494" i="1"/>
  <c r="AD1494" i="1"/>
  <c r="AC1494" i="1"/>
  <c r="AB1494" i="1"/>
  <c r="AA1494" i="1"/>
  <c r="Y1494" i="1"/>
  <c r="Z1494" i="1" s="1"/>
  <c r="X1494" i="1"/>
  <c r="AE1493" i="1"/>
  <c r="AD1493" i="1"/>
  <c r="AC1493" i="1"/>
  <c r="AB1493" i="1"/>
  <c r="AA1493" i="1"/>
  <c r="Y1493" i="1"/>
  <c r="Z1493" i="1" s="1"/>
  <c r="X1493" i="1"/>
  <c r="AE1492" i="1"/>
  <c r="AD1492" i="1"/>
  <c r="AC1492" i="1"/>
  <c r="AB1492" i="1"/>
  <c r="AA1492" i="1"/>
  <c r="Y1492" i="1"/>
  <c r="Z1492" i="1" s="1"/>
  <c r="X1492" i="1"/>
  <c r="AE1491" i="1"/>
  <c r="AD1491" i="1"/>
  <c r="AC1491" i="1"/>
  <c r="AB1491" i="1"/>
  <c r="AA1491" i="1"/>
  <c r="Y1491" i="1"/>
  <c r="Z1491" i="1" s="1"/>
  <c r="X1491" i="1"/>
  <c r="AE1490" i="1"/>
  <c r="AD1490" i="1"/>
  <c r="AC1490" i="1"/>
  <c r="AB1490" i="1"/>
  <c r="AA1490" i="1"/>
  <c r="Y1490" i="1"/>
  <c r="Z1490" i="1" s="1"/>
  <c r="X1490" i="1"/>
  <c r="AE1489" i="1"/>
  <c r="AD1489" i="1"/>
  <c r="AC1489" i="1"/>
  <c r="AB1489" i="1"/>
  <c r="AA1489" i="1"/>
  <c r="Y1489" i="1"/>
  <c r="Z1489" i="1" s="1"/>
  <c r="X1489" i="1"/>
  <c r="AE1488" i="1"/>
  <c r="AD1488" i="1"/>
  <c r="AC1488" i="1"/>
  <c r="AB1488" i="1"/>
  <c r="AA1488" i="1"/>
  <c r="Y1488" i="1"/>
  <c r="Z1488" i="1" s="1"/>
  <c r="X1488" i="1"/>
  <c r="AE1487" i="1"/>
  <c r="AD1487" i="1"/>
  <c r="AC1487" i="1"/>
  <c r="AB1487" i="1"/>
  <c r="AA1487" i="1"/>
  <c r="Y1487" i="1"/>
  <c r="Z1487" i="1" s="1"/>
  <c r="X1487" i="1"/>
  <c r="AE1486" i="1"/>
  <c r="AD1486" i="1"/>
  <c r="AC1486" i="1"/>
  <c r="AB1486" i="1"/>
  <c r="AA1486" i="1"/>
  <c r="Y1486" i="1"/>
  <c r="Z1486" i="1" s="1"/>
  <c r="X1486" i="1"/>
  <c r="AE1485" i="1"/>
  <c r="AD1485" i="1"/>
  <c r="AC1485" i="1"/>
  <c r="AB1485" i="1"/>
  <c r="AA1485" i="1"/>
  <c r="Y1485" i="1"/>
  <c r="Z1485" i="1" s="1"/>
  <c r="X1485" i="1"/>
  <c r="AE1484" i="1"/>
  <c r="AD1484" i="1"/>
  <c r="AC1484" i="1"/>
  <c r="AB1484" i="1"/>
  <c r="AA1484" i="1"/>
  <c r="Y1484" i="1"/>
  <c r="Z1484" i="1" s="1"/>
  <c r="X1484" i="1"/>
  <c r="AE1483" i="1"/>
  <c r="AD1483" i="1"/>
  <c r="AC1483" i="1"/>
  <c r="AB1483" i="1"/>
  <c r="AA1483" i="1"/>
  <c r="Y1483" i="1"/>
  <c r="Z1483" i="1" s="1"/>
  <c r="X1483" i="1"/>
  <c r="AE1482" i="1"/>
  <c r="AD1482" i="1"/>
  <c r="AC1482" i="1"/>
  <c r="AB1482" i="1"/>
  <c r="AA1482" i="1"/>
  <c r="Y1482" i="1"/>
  <c r="Z1482" i="1" s="1"/>
  <c r="X1482" i="1"/>
  <c r="AE1481" i="1"/>
  <c r="AD1481" i="1"/>
  <c r="AC1481" i="1"/>
  <c r="AB1481" i="1"/>
  <c r="AA1481" i="1"/>
  <c r="Y1481" i="1"/>
  <c r="Z1481" i="1" s="1"/>
  <c r="X1481" i="1"/>
  <c r="AE1480" i="1"/>
  <c r="AD1480" i="1"/>
  <c r="AC1480" i="1"/>
  <c r="AB1480" i="1"/>
  <c r="AA1480" i="1"/>
  <c r="Y1480" i="1"/>
  <c r="Z1480" i="1" s="1"/>
  <c r="X1480" i="1"/>
  <c r="AE1479" i="1"/>
  <c r="AD1479" i="1"/>
  <c r="AC1479" i="1"/>
  <c r="AB1479" i="1"/>
  <c r="AA1479" i="1"/>
  <c r="Y1479" i="1"/>
  <c r="Z1479" i="1" s="1"/>
  <c r="X1479" i="1"/>
  <c r="AE1478" i="1"/>
  <c r="AD1478" i="1"/>
  <c r="AC1478" i="1"/>
  <c r="AB1478" i="1"/>
  <c r="AA1478" i="1"/>
  <c r="Y1478" i="1"/>
  <c r="Z1478" i="1" s="1"/>
  <c r="X1478" i="1"/>
  <c r="AE1477" i="1"/>
  <c r="AD1477" i="1"/>
  <c r="AC1477" i="1"/>
  <c r="AB1477" i="1"/>
  <c r="AA1477" i="1"/>
  <c r="Y1477" i="1"/>
  <c r="Z1477" i="1" s="1"/>
  <c r="X1477" i="1"/>
  <c r="AE1476" i="1"/>
  <c r="AD1476" i="1"/>
  <c r="AC1476" i="1"/>
  <c r="AB1476" i="1"/>
  <c r="AA1476" i="1"/>
  <c r="Y1476" i="1"/>
  <c r="Z1476" i="1" s="1"/>
  <c r="X1476" i="1"/>
  <c r="AE1475" i="1"/>
  <c r="AD1475" i="1"/>
  <c r="AC1475" i="1"/>
  <c r="AB1475" i="1"/>
  <c r="AA1475" i="1"/>
  <c r="Y1475" i="1"/>
  <c r="Z1475" i="1" s="1"/>
  <c r="X1475" i="1"/>
  <c r="AE1474" i="1"/>
  <c r="AD1474" i="1"/>
  <c r="AC1474" i="1"/>
  <c r="AB1474" i="1"/>
  <c r="AA1474" i="1"/>
  <c r="Y1474" i="1"/>
  <c r="Z1474" i="1" s="1"/>
  <c r="X1474" i="1"/>
  <c r="AE1473" i="1"/>
  <c r="AD1473" i="1"/>
  <c r="AC1473" i="1"/>
  <c r="AB1473" i="1"/>
  <c r="AA1473" i="1"/>
  <c r="Y1473" i="1"/>
  <c r="Z1473" i="1" s="1"/>
  <c r="X1473" i="1"/>
  <c r="AE1472" i="1"/>
  <c r="AD1472" i="1"/>
  <c r="AC1472" i="1"/>
  <c r="AB1472" i="1"/>
  <c r="AA1472" i="1"/>
  <c r="Y1472" i="1"/>
  <c r="Z1472" i="1" s="1"/>
  <c r="X1472" i="1"/>
  <c r="AE1471" i="1"/>
  <c r="AD1471" i="1"/>
  <c r="AC1471" i="1"/>
  <c r="AB1471" i="1"/>
  <c r="AA1471" i="1"/>
  <c r="Y1471" i="1"/>
  <c r="Z1471" i="1" s="1"/>
  <c r="X1471" i="1"/>
  <c r="AE1470" i="1"/>
  <c r="AD1470" i="1"/>
  <c r="AC1470" i="1"/>
  <c r="AB1470" i="1"/>
  <c r="AA1470" i="1"/>
  <c r="Y1470" i="1"/>
  <c r="Z1470" i="1" s="1"/>
  <c r="X1470" i="1"/>
  <c r="AE1469" i="1"/>
  <c r="AD1469" i="1"/>
  <c r="AC1469" i="1"/>
  <c r="AB1469" i="1"/>
  <c r="AA1469" i="1"/>
  <c r="Y1469" i="1"/>
  <c r="Z1469" i="1" s="1"/>
  <c r="X1469" i="1"/>
  <c r="AE1468" i="1"/>
  <c r="AD1468" i="1"/>
  <c r="AC1468" i="1"/>
  <c r="AB1468" i="1"/>
  <c r="AA1468" i="1"/>
  <c r="Y1468" i="1"/>
  <c r="Z1468" i="1" s="1"/>
  <c r="X1468" i="1"/>
  <c r="AE1467" i="1"/>
  <c r="AD1467" i="1"/>
  <c r="AC1467" i="1"/>
  <c r="AB1467" i="1"/>
  <c r="AA1467" i="1"/>
  <c r="Y1467" i="1"/>
  <c r="Z1467" i="1" s="1"/>
  <c r="X1467" i="1"/>
  <c r="AE1466" i="1"/>
  <c r="AD1466" i="1"/>
  <c r="AC1466" i="1"/>
  <c r="AB1466" i="1"/>
  <c r="AA1466" i="1"/>
  <c r="Y1466" i="1"/>
  <c r="Z1466" i="1" s="1"/>
  <c r="X1466" i="1"/>
  <c r="AE1465" i="1"/>
  <c r="AD1465" i="1"/>
  <c r="AC1465" i="1"/>
  <c r="AB1465" i="1"/>
  <c r="AA1465" i="1"/>
  <c r="Y1465" i="1"/>
  <c r="Z1465" i="1" s="1"/>
  <c r="X1465" i="1"/>
  <c r="AE1464" i="1"/>
  <c r="AD1464" i="1"/>
  <c r="AC1464" i="1"/>
  <c r="AB1464" i="1"/>
  <c r="AA1464" i="1"/>
  <c r="Y1464" i="1"/>
  <c r="Z1464" i="1" s="1"/>
  <c r="X1464" i="1"/>
  <c r="AE1463" i="1"/>
  <c r="AD1463" i="1"/>
  <c r="AC1463" i="1"/>
  <c r="AB1463" i="1"/>
  <c r="AA1463" i="1"/>
  <c r="Y1463" i="1"/>
  <c r="Z1463" i="1" s="1"/>
  <c r="X1463" i="1"/>
  <c r="AE1462" i="1"/>
  <c r="AD1462" i="1"/>
  <c r="AC1462" i="1"/>
  <c r="AB1462" i="1"/>
  <c r="AA1462" i="1"/>
  <c r="Y1462" i="1"/>
  <c r="Z1462" i="1" s="1"/>
  <c r="X1462" i="1"/>
  <c r="AE1461" i="1"/>
  <c r="AD1461" i="1"/>
  <c r="AC1461" i="1"/>
  <c r="AB1461" i="1"/>
  <c r="AA1461" i="1"/>
  <c r="Y1461" i="1"/>
  <c r="Z1461" i="1" s="1"/>
  <c r="X1461" i="1"/>
  <c r="AE1460" i="1"/>
  <c r="AD1460" i="1"/>
  <c r="AC1460" i="1"/>
  <c r="AB1460" i="1"/>
  <c r="AA1460" i="1"/>
  <c r="Y1460" i="1"/>
  <c r="Z1460" i="1" s="1"/>
  <c r="X1460" i="1"/>
  <c r="AE1459" i="1"/>
  <c r="AD1459" i="1"/>
  <c r="AC1459" i="1"/>
  <c r="AB1459" i="1"/>
  <c r="AA1459" i="1"/>
  <c r="Y1459" i="1"/>
  <c r="Z1459" i="1" s="1"/>
  <c r="X1459" i="1"/>
  <c r="AE1458" i="1"/>
  <c r="AD1458" i="1"/>
  <c r="AC1458" i="1"/>
  <c r="AB1458" i="1"/>
  <c r="AA1458" i="1"/>
  <c r="Y1458" i="1"/>
  <c r="Z1458" i="1" s="1"/>
  <c r="X1458" i="1"/>
  <c r="AE1457" i="1"/>
  <c r="AD1457" i="1"/>
  <c r="AC1457" i="1"/>
  <c r="AB1457" i="1"/>
  <c r="AA1457" i="1"/>
  <c r="Y1457" i="1"/>
  <c r="Z1457" i="1" s="1"/>
  <c r="X1457" i="1"/>
  <c r="AE1456" i="1"/>
  <c r="AD1456" i="1"/>
  <c r="AC1456" i="1"/>
  <c r="AB1456" i="1"/>
  <c r="AA1456" i="1"/>
  <c r="Y1456" i="1"/>
  <c r="Z1456" i="1" s="1"/>
  <c r="X1456" i="1"/>
  <c r="AE1455" i="1"/>
  <c r="AD1455" i="1"/>
  <c r="AC1455" i="1"/>
  <c r="AB1455" i="1"/>
  <c r="AA1455" i="1"/>
  <c r="Y1455" i="1"/>
  <c r="Z1455" i="1" s="1"/>
  <c r="X1455" i="1"/>
  <c r="AE1454" i="1"/>
  <c r="AD1454" i="1"/>
  <c r="AC1454" i="1"/>
  <c r="AB1454" i="1"/>
  <c r="AA1454" i="1"/>
  <c r="Y1454" i="1"/>
  <c r="Z1454" i="1" s="1"/>
  <c r="X1454" i="1"/>
  <c r="AE1453" i="1"/>
  <c r="AD1453" i="1"/>
  <c r="AC1453" i="1"/>
  <c r="AB1453" i="1"/>
  <c r="AA1453" i="1"/>
  <c r="Y1453" i="1"/>
  <c r="Z1453" i="1" s="1"/>
  <c r="X1453" i="1"/>
  <c r="AE1452" i="1"/>
  <c r="AD1452" i="1"/>
  <c r="AC1452" i="1"/>
  <c r="AB1452" i="1"/>
  <c r="AA1452" i="1"/>
  <c r="Y1452" i="1"/>
  <c r="Z1452" i="1" s="1"/>
  <c r="X1452" i="1"/>
  <c r="AE1451" i="1"/>
  <c r="AD1451" i="1"/>
  <c r="AC1451" i="1"/>
  <c r="AB1451" i="1"/>
  <c r="AA1451" i="1"/>
  <c r="Y1451" i="1"/>
  <c r="Z1451" i="1" s="1"/>
  <c r="X1451" i="1"/>
  <c r="AE1450" i="1"/>
  <c r="AD1450" i="1"/>
  <c r="AC1450" i="1"/>
  <c r="AB1450" i="1"/>
  <c r="AA1450" i="1"/>
  <c r="Y1450" i="1"/>
  <c r="Z1450" i="1" s="1"/>
  <c r="X1450" i="1"/>
  <c r="AE1449" i="1"/>
  <c r="AD1449" i="1"/>
  <c r="AC1449" i="1"/>
  <c r="AB1449" i="1"/>
  <c r="AA1449" i="1"/>
  <c r="Y1449" i="1"/>
  <c r="Z1449" i="1" s="1"/>
  <c r="X1449" i="1"/>
  <c r="AE1448" i="1"/>
  <c r="AD1448" i="1"/>
  <c r="AC1448" i="1"/>
  <c r="AB1448" i="1"/>
  <c r="AA1448" i="1"/>
  <c r="Y1448" i="1"/>
  <c r="Z1448" i="1" s="1"/>
  <c r="X1448" i="1"/>
  <c r="AE1447" i="1"/>
  <c r="AD1447" i="1"/>
  <c r="AC1447" i="1"/>
  <c r="AB1447" i="1"/>
  <c r="AA1447" i="1"/>
  <c r="Y1447" i="1"/>
  <c r="Z1447" i="1" s="1"/>
  <c r="X1447" i="1"/>
  <c r="AE1446" i="1"/>
  <c r="AD1446" i="1"/>
  <c r="AC1446" i="1"/>
  <c r="AB1446" i="1"/>
  <c r="AA1446" i="1"/>
  <c r="Y1446" i="1"/>
  <c r="Z1446" i="1" s="1"/>
  <c r="X1446" i="1"/>
  <c r="AE1445" i="1"/>
  <c r="AD1445" i="1"/>
  <c r="AC1445" i="1"/>
  <c r="AB1445" i="1"/>
  <c r="AA1445" i="1"/>
  <c r="Y1445" i="1"/>
  <c r="Z1445" i="1" s="1"/>
  <c r="X1445" i="1"/>
  <c r="AE1444" i="1"/>
  <c r="AD1444" i="1"/>
  <c r="AC1444" i="1"/>
  <c r="AB1444" i="1"/>
  <c r="AA1444" i="1"/>
  <c r="Y1444" i="1"/>
  <c r="Z1444" i="1" s="1"/>
  <c r="X1444" i="1"/>
  <c r="AE1443" i="1"/>
  <c r="AD1443" i="1"/>
  <c r="AC1443" i="1"/>
  <c r="AB1443" i="1"/>
  <c r="AA1443" i="1"/>
  <c r="Y1443" i="1"/>
  <c r="Z1443" i="1" s="1"/>
  <c r="X1443" i="1"/>
  <c r="AE1442" i="1"/>
  <c r="AD1442" i="1"/>
  <c r="AC1442" i="1"/>
  <c r="AB1442" i="1"/>
  <c r="AA1442" i="1"/>
  <c r="Y1442" i="1"/>
  <c r="Z1442" i="1" s="1"/>
  <c r="X1442" i="1"/>
  <c r="AE1441" i="1"/>
  <c r="AD1441" i="1"/>
  <c r="AC1441" i="1"/>
  <c r="AB1441" i="1"/>
  <c r="AA1441" i="1"/>
  <c r="Y1441" i="1"/>
  <c r="Z1441" i="1" s="1"/>
  <c r="X1441" i="1"/>
  <c r="AE1440" i="1"/>
  <c r="AD1440" i="1"/>
  <c r="AC1440" i="1"/>
  <c r="AB1440" i="1"/>
  <c r="AA1440" i="1"/>
  <c r="Y1440" i="1"/>
  <c r="Z1440" i="1" s="1"/>
  <c r="X1440" i="1"/>
  <c r="AE1439" i="1"/>
  <c r="AD1439" i="1"/>
  <c r="AC1439" i="1"/>
  <c r="AB1439" i="1"/>
  <c r="AA1439" i="1"/>
  <c r="Y1439" i="1"/>
  <c r="Z1439" i="1" s="1"/>
  <c r="X1439" i="1"/>
  <c r="AE1438" i="1"/>
  <c r="AD1438" i="1"/>
  <c r="AC1438" i="1"/>
  <c r="AB1438" i="1"/>
  <c r="AA1438" i="1"/>
  <c r="Y1438" i="1"/>
  <c r="Z1438" i="1" s="1"/>
  <c r="X1438" i="1"/>
  <c r="AE1437" i="1"/>
  <c r="AD1437" i="1"/>
  <c r="AC1437" i="1"/>
  <c r="AB1437" i="1"/>
  <c r="AA1437" i="1"/>
  <c r="Y1437" i="1"/>
  <c r="Z1437" i="1" s="1"/>
  <c r="X1437" i="1"/>
  <c r="AE1436" i="1"/>
  <c r="AD1436" i="1"/>
  <c r="AC1436" i="1"/>
  <c r="AB1436" i="1"/>
  <c r="AA1436" i="1"/>
  <c r="Y1436" i="1"/>
  <c r="Z1436" i="1" s="1"/>
  <c r="X1436" i="1"/>
  <c r="AE1435" i="1"/>
  <c r="AD1435" i="1"/>
  <c r="AC1435" i="1"/>
  <c r="AB1435" i="1"/>
  <c r="AA1435" i="1"/>
  <c r="Y1435" i="1"/>
  <c r="Z1435" i="1" s="1"/>
  <c r="X1435" i="1"/>
  <c r="AE1434" i="1"/>
  <c r="AD1434" i="1"/>
  <c r="AC1434" i="1"/>
  <c r="AB1434" i="1"/>
  <c r="AA1434" i="1"/>
  <c r="Y1434" i="1"/>
  <c r="Z1434" i="1" s="1"/>
  <c r="X1434" i="1"/>
  <c r="AE1433" i="1"/>
  <c r="AD1433" i="1"/>
  <c r="AC1433" i="1"/>
  <c r="AB1433" i="1"/>
  <c r="AA1433" i="1"/>
  <c r="Y1433" i="1"/>
  <c r="Z1433" i="1" s="1"/>
  <c r="X1433" i="1"/>
  <c r="AE1432" i="1"/>
  <c r="AD1432" i="1"/>
  <c r="AC1432" i="1"/>
  <c r="AB1432" i="1"/>
  <c r="AA1432" i="1"/>
  <c r="Y1432" i="1"/>
  <c r="Z1432" i="1" s="1"/>
  <c r="X1432" i="1"/>
  <c r="AE1431" i="1"/>
  <c r="AD1431" i="1"/>
  <c r="AC1431" i="1"/>
  <c r="AB1431" i="1"/>
  <c r="AA1431" i="1"/>
  <c r="Y1431" i="1"/>
  <c r="Z1431" i="1" s="1"/>
  <c r="X1431" i="1"/>
  <c r="AE1430" i="1"/>
  <c r="AD1430" i="1"/>
  <c r="AC1430" i="1"/>
  <c r="AB1430" i="1"/>
  <c r="AA1430" i="1"/>
  <c r="Y1430" i="1"/>
  <c r="Z1430" i="1" s="1"/>
  <c r="X1430" i="1"/>
  <c r="AE1429" i="1"/>
  <c r="AD1429" i="1"/>
  <c r="AC1429" i="1"/>
  <c r="AB1429" i="1"/>
  <c r="AA1429" i="1"/>
  <c r="Y1429" i="1"/>
  <c r="Z1429" i="1" s="1"/>
  <c r="X1429" i="1"/>
  <c r="AE1428" i="1"/>
  <c r="AD1428" i="1"/>
  <c r="AC1428" i="1"/>
  <c r="AB1428" i="1"/>
  <c r="AA1428" i="1"/>
  <c r="Y1428" i="1"/>
  <c r="Z1428" i="1" s="1"/>
  <c r="X1428" i="1"/>
  <c r="AE1427" i="1"/>
  <c r="AD1427" i="1"/>
  <c r="AC1427" i="1"/>
  <c r="AB1427" i="1"/>
  <c r="AA1427" i="1"/>
  <c r="Y1427" i="1"/>
  <c r="Z1427" i="1" s="1"/>
  <c r="X1427" i="1"/>
  <c r="AE1426" i="1"/>
  <c r="AD1426" i="1"/>
  <c r="AC1426" i="1"/>
  <c r="AB1426" i="1"/>
  <c r="AA1426" i="1"/>
  <c r="Y1426" i="1"/>
  <c r="Z1426" i="1" s="1"/>
  <c r="X1426" i="1"/>
  <c r="AE1425" i="1"/>
  <c r="AD1425" i="1"/>
  <c r="AC1425" i="1"/>
  <c r="AB1425" i="1"/>
  <c r="AA1425" i="1"/>
  <c r="Y1425" i="1"/>
  <c r="Z1425" i="1" s="1"/>
  <c r="X1425" i="1"/>
  <c r="AE1424" i="1"/>
  <c r="AD1424" i="1"/>
  <c r="AC1424" i="1"/>
  <c r="AB1424" i="1"/>
  <c r="AA1424" i="1"/>
  <c r="Y1424" i="1"/>
  <c r="Z1424" i="1" s="1"/>
  <c r="X1424" i="1"/>
  <c r="AE1423" i="1"/>
  <c r="AD1423" i="1"/>
  <c r="AC1423" i="1"/>
  <c r="AB1423" i="1"/>
  <c r="AA1423" i="1"/>
  <c r="Y1423" i="1"/>
  <c r="Z1423" i="1" s="1"/>
  <c r="X1423" i="1"/>
  <c r="AE1422" i="1"/>
  <c r="AD1422" i="1"/>
  <c r="AC1422" i="1"/>
  <c r="AB1422" i="1"/>
  <c r="AA1422" i="1"/>
  <c r="Y1422" i="1"/>
  <c r="Z1422" i="1" s="1"/>
  <c r="X1422" i="1"/>
  <c r="AE1421" i="1"/>
  <c r="AD1421" i="1"/>
  <c r="AC1421" i="1"/>
  <c r="AB1421" i="1"/>
  <c r="AA1421" i="1"/>
  <c r="Y1421" i="1"/>
  <c r="Z1421" i="1" s="1"/>
  <c r="X1421" i="1"/>
  <c r="AE1420" i="1"/>
  <c r="AD1420" i="1"/>
  <c r="AC1420" i="1"/>
  <c r="AB1420" i="1"/>
  <c r="AA1420" i="1"/>
  <c r="Y1420" i="1"/>
  <c r="Z1420" i="1" s="1"/>
  <c r="X1420" i="1"/>
  <c r="AE1419" i="1"/>
  <c r="AD1419" i="1"/>
  <c r="AC1419" i="1"/>
  <c r="AB1419" i="1"/>
  <c r="AA1419" i="1"/>
  <c r="Y1419" i="1"/>
  <c r="Z1419" i="1" s="1"/>
  <c r="X1419" i="1"/>
  <c r="AE1418" i="1"/>
  <c r="AD1418" i="1"/>
  <c r="AC1418" i="1"/>
  <c r="AB1418" i="1"/>
  <c r="AA1418" i="1"/>
  <c r="Y1418" i="1"/>
  <c r="Z1418" i="1" s="1"/>
  <c r="X1418" i="1"/>
  <c r="AE1417" i="1"/>
  <c r="AD1417" i="1"/>
  <c r="AC1417" i="1"/>
  <c r="AB1417" i="1"/>
  <c r="AA1417" i="1"/>
  <c r="Y1417" i="1"/>
  <c r="Z1417" i="1" s="1"/>
  <c r="X1417" i="1"/>
  <c r="AE1416" i="1"/>
  <c r="AD1416" i="1"/>
  <c r="AC1416" i="1"/>
  <c r="AB1416" i="1"/>
  <c r="AA1416" i="1"/>
  <c r="Y1416" i="1"/>
  <c r="Z1416" i="1" s="1"/>
  <c r="X1416" i="1"/>
  <c r="AE1415" i="1"/>
  <c r="AD1415" i="1"/>
  <c r="AC1415" i="1"/>
  <c r="AB1415" i="1"/>
  <c r="AA1415" i="1"/>
  <c r="Y1415" i="1"/>
  <c r="Z1415" i="1" s="1"/>
  <c r="X1415" i="1"/>
  <c r="AE1414" i="1"/>
  <c r="AD1414" i="1"/>
  <c r="AC1414" i="1"/>
  <c r="AB1414" i="1"/>
  <c r="AA1414" i="1"/>
  <c r="Y1414" i="1"/>
  <c r="Z1414" i="1" s="1"/>
  <c r="X1414" i="1"/>
  <c r="AE1413" i="1"/>
  <c r="AD1413" i="1"/>
  <c r="AC1413" i="1"/>
  <c r="AB1413" i="1"/>
  <c r="AA1413" i="1"/>
  <c r="Y1413" i="1"/>
  <c r="Z1413" i="1" s="1"/>
  <c r="X1413" i="1"/>
  <c r="AE1412" i="1"/>
  <c r="AD1412" i="1"/>
  <c r="AC1412" i="1"/>
  <c r="AB1412" i="1"/>
  <c r="AA1412" i="1"/>
  <c r="Y1412" i="1"/>
  <c r="Z1412" i="1" s="1"/>
  <c r="X1412" i="1"/>
  <c r="AE1411" i="1"/>
  <c r="AD1411" i="1"/>
  <c r="AC1411" i="1"/>
  <c r="AB1411" i="1"/>
  <c r="AA1411" i="1"/>
  <c r="Y1411" i="1"/>
  <c r="Z1411" i="1" s="1"/>
  <c r="X1411" i="1"/>
  <c r="AE1410" i="1"/>
  <c r="AD1410" i="1"/>
  <c r="AC1410" i="1"/>
  <c r="AB1410" i="1"/>
  <c r="AA1410" i="1"/>
  <c r="Y1410" i="1"/>
  <c r="Z1410" i="1" s="1"/>
  <c r="X1410" i="1"/>
  <c r="AE1409" i="1"/>
  <c r="AD1409" i="1"/>
  <c r="AC1409" i="1"/>
  <c r="AB1409" i="1"/>
  <c r="AA1409" i="1"/>
  <c r="Y1409" i="1"/>
  <c r="Z1409" i="1" s="1"/>
  <c r="X1409" i="1"/>
  <c r="AE1408" i="1"/>
  <c r="AD1408" i="1"/>
  <c r="AC1408" i="1"/>
  <c r="AB1408" i="1"/>
  <c r="AA1408" i="1"/>
  <c r="Y1408" i="1"/>
  <c r="Z1408" i="1" s="1"/>
  <c r="X1408" i="1"/>
  <c r="AE1407" i="1"/>
  <c r="AD1407" i="1"/>
  <c r="AC1407" i="1"/>
  <c r="AB1407" i="1"/>
  <c r="AA1407" i="1"/>
  <c r="Y1407" i="1"/>
  <c r="Z1407" i="1" s="1"/>
  <c r="X1407" i="1"/>
  <c r="AE1406" i="1"/>
  <c r="AD1406" i="1"/>
  <c r="AC1406" i="1"/>
  <c r="AB1406" i="1"/>
  <c r="AA1406" i="1"/>
  <c r="Y1406" i="1"/>
  <c r="Z1406" i="1" s="1"/>
  <c r="X1406" i="1"/>
  <c r="AE1405" i="1"/>
  <c r="AD1405" i="1"/>
  <c r="AC1405" i="1"/>
  <c r="AB1405" i="1"/>
  <c r="AA1405" i="1"/>
  <c r="Y1405" i="1"/>
  <c r="Z1405" i="1" s="1"/>
  <c r="X1405" i="1"/>
  <c r="AE1404" i="1"/>
  <c r="AD1404" i="1"/>
  <c r="AC1404" i="1"/>
  <c r="AB1404" i="1"/>
  <c r="AA1404" i="1"/>
  <c r="Y1404" i="1"/>
  <c r="Z1404" i="1" s="1"/>
  <c r="X1404" i="1"/>
  <c r="AE1403" i="1"/>
  <c r="AD1403" i="1"/>
  <c r="AC1403" i="1"/>
  <c r="AB1403" i="1"/>
  <c r="AA1403" i="1"/>
  <c r="Y1403" i="1"/>
  <c r="Z1403" i="1" s="1"/>
  <c r="X1403" i="1"/>
  <c r="AE1402" i="1"/>
  <c r="AD1402" i="1"/>
  <c r="AC1402" i="1"/>
  <c r="AB1402" i="1"/>
  <c r="AA1402" i="1"/>
  <c r="Y1402" i="1"/>
  <c r="Z1402" i="1" s="1"/>
  <c r="X1402" i="1"/>
  <c r="AE1401" i="1"/>
  <c r="AD1401" i="1"/>
  <c r="AC1401" i="1"/>
  <c r="AB1401" i="1"/>
  <c r="AA1401" i="1"/>
  <c r="Y1401" i="1"/>
  <c r="Z1401" i="1" s="1"/>
  <c r="X1401" i="1"/>
  <c r="AE1400" i="1"/>
  <c r="AD1400" i="1"/>
  <c r="AC1400" i="1"/>
  <c r="AB1400" i="1"/>
  <c r="AA1400" i="1"/>
  <c r="Y1400" i="1"/>
  <c r="Z1400" i="1" s="1"/>
  <c r="X1400" i="1"/>
  <c r="AE1399" i="1"/>
  <c r="AD1399" i="1"/>
  <c r="AC1399" i="1"/>
  <c r="AB1399" i="1"/>
  <c r="AA1399" i="1"/>
  <c r="Y1399" i="1"/>
  <c r="Z1399" i="1" s="1"/>
  <c r="X1399" i="1"/>
  <c r="AE1398" i="1"/>
  <c r="AD1398" i="1"/>
  <c r="AC1398" i="1"/>
  <c r="AB1398" i="1"/>
  <c r="AA1398" i="1"/>
  <c r="Y1398" i="1"/>
  <c r="Z1398" i="1" s="1"/>
  <c r="X1398" i="1"/>
  <c r="AE1397" i="1"/>
  <c r="AD1397" i="1"/>
  <c r="AC1397" i="1"/>
  <c r="AB1397" i="1"/>
  <c r="AA1397" i="1"/>
  <c r="Y1397" i="1"/>
  <c r="Z1397" i="1" s="1"/>
  <c r="X1397" i="1"/>
  <c r="AE1396" i="1"/>
  <c r="AD1396" i="1"/>
  <c r="AC1396" i="1"/>
  <c r="AB1396" i="1"/>
  <c r="AA1396" i="1"/>
  <c r="Y1396" i="1"/>
  <c r="Z1396" i="1" s="1"/>
  <c r="X1396" i="1"/>
  <c r="AE1395" i="1"/>
  <c r="AD1395" i="1"/>
  <c r="AC1395" i="1"/>
  <c r="AB1395" i="1"/>
  <c r="AA1395" i="1"/>
  <c r="Y1395" i="1"/>
  <c r="Z1395" i="1" s="1"/>
  <c r="X1395" i="1"/>
  <c r="AE1394" i="1"/>
  <c r="AD1394" i="1"/>
  <c r="AC1394" i="1"/>
  <c r="AB1394" i="1"/>
  <c r="AA1394" i="1"/>
  <c r="Y1394" i="1"/>
  <c r="Z1394" i="1" s="1"/>
  <c r="X1394" i="1"/>
  <c r="AE1393" i="1"/>
  <c r="AD1393" i="1"/>
  <c r="AC1393" i="1"/>
  <c r="AB1393" i="1"/>
  <c r="AA1393" i="1"/>
  <c r="Y1393" i="1"/>
  <c r="Z1393" i="1" s="1"/>
  <c r="X1393" i="1"/>
  <c r="AE1392" i="1"/>
  <c r="AD1392" i="1"/>
  <c r="AC1392" i="1"/>
  <c r="AB1392" i="1"/>
  <c r="AA1392" i="1"/>
  <c r="Y1392" i="1"/>
  <c r="Z1392" i="1" s="1"/>
  <c r="X1392" i="1"/>
  <c r="AE1391" i="1"/>
  <c r="AD1391" i="1"/>
  <c r="AC1391" i="1"/>
  <c r="AB1391" i="1"/>
  <c r="AA1391" i="1"/>
  <c r="Y1391" i="1"/>
  <c r="Z1391" i="1" s="1"/>
  <c r="X1391" i="1"/>
  <c r="AE1390" i="1"/>
  <c r="AD1390" i="1"/>
  <c r="AC1390" i="1"/>
  <c r="AB1390" i="1"/>
  <c r="AA1390" i="1"/>
  <c r="Y1390" i="1"/>
  <c r="Z1390" i="1" s="1"/>
  <c r="X1390" i="1"/>
  <c r="AE1389" i="1"/>
  <c r="AD1389" i="1"/>
  <c r="AC1389" i="1"/>
  <c r="AB1389" i="1"/>
  <c r="AA1389" i="1"/>
  <c r="Y1389" i="1"/>
  <c r="Z1389" i="1" s="1"/>
  <c r="X1389" i="1"/>
  <c r="AE1388" i="1"/>
  <c r="AD1388" i="1"/>
  <c r="AC1388" i="1"/>
  <c r="AB1388" i="1"/>
  <c r="AA1388" i="1"/>
  <c r="Y1388" i="1"/>
  <c r="Z1388" i="1" s="1"/>
  <c r="X1388" i="1"/>
  <c r="AE1387" i="1"/>
  <c r="AD1387" i="1"/>
  <c r="AC1387" i="1"/>
  <c r="AB1387" i="1"/>
  <c r="AA1387" i="1"/>
  <c r="Y1387" i="1"/>
  <c r="Z1387" i="1" s="1"/>
  <c r="X1387" i="1"/>
  <c r="AE1386" i="1"/>
  <c r="AD1386" i="1"/>
  <c r="AC1386" i="1"/>
  <c r="AB1386" i="1"/>
  <c r="AA1386" i="1"/>
  <c r="Y1386" i="1"/>
  <c r="Z1386" i="1" s="1"/>
  <c r="X1386" i="1"/>
  <c r="AE1385" i="1"/>
  <c r="AD1385" i="1"/>
  <c r="AC1385" i="1"/>
  <c r="AB1385" i="1"/>
  <c r="AA1385" i="1"/>
  <c r="Y1385" i="1"/>
  <c r="Z1385" i="1" s="1"/>
  <c r="X1385" i="1"/>
  <c r="AE1384" i="1"/>
  <c r="AD1384" i="1"/>
  <c r="AC1384" i="1"/>
  <c r="AB1384" i="1"/>
  <c r="AA1384" i="1"/>
  <c r="Y1384" i="1"/>
  <c r="Z1384" i="1" s="1"/>
  <c r="X1384" i="1"/>
  <c r="AE1383" i="1"/>
  <c r="AD1383" i="1"/>
  <c r="AC1383" i="1"/>
  <c r="AB1383" i="1"/>
  <c r="AA1383" i="1"/>
  <c r="Y1383" i="1"/>
  <c r="Z1383" i="1" s="1"/>
  <c r="X1383" i="1"/>
  <c r="AE1382" i="1"/>
  <c r="AD1382" i="1"/>
  <c r="AC1382" i="1"/>
  <c r="AB1382" i="1"/>
  <c r="AA1382" i="1"/>
  <c r="Y1382" i="1"/>
  <c r="Z1382" i="1" s="1"/>
  <c r="X1382" i="1"/>
  <c r="AE1381" i="1"/>
  <c r="AD1381" i="1"/>
  <c r="AC1381" i="1"/>
  <c r="AB1381" i="1"/>
  <c r="AA1381" i="1"/>
  <c r="Y1381" i="1"/>
  <c r="Z1381" i="1" s="1"/>
  <c r="X1381" i="1"/>
  <c r="AE1380" i="1"/>
  <c r="AD1380" i="1"/>
  <c r="AC1380" i="1"/>
  <c r="AB1380" i="1"/>
  <c r="AA1380" i="1"/>
  <c r="Y1380" i="1"/>
  <c r="Z1380" i="1" s="1"/>
  <c r="X1380" i="1"/>
  <c r="AE1379" i="1"/>
  <c r="AD1379" i="1"/>
  <c r="AC1379" i="1"/>
  <c r="AB1379" i="1"/>
  <c r="AA1379" i="1"/>
  <c r="Y1379" i="1"/>
  <c r="Z1379" i="1" s="1"/>
  <c r="X1379" i="1"/>
  <c r="AE1378" i="1"/>
  <c r="AD1378" i="1"/>
  <c r="AC1378" i="1"/>
  <c r="AB1378" i="1"/>
  <c r="AA1378" i="1"/>
  <c r="Y1378" i="1"/>
  <c r="Z1378" i="1" s="1"/>
  <c r="X1378" i="1"/>
  <c r="AE1377" i="1"/>
  <c r="AD1377" i="1"/>
  <c r="AC1377" i="1"/>
  <c r="AB1377" i="1"/>
  <c r="AA1377" i="1"/>
  <c r="Y1377" i="1"/>
  <c r="Z1377" i="1" s="1"/>
  <c r="X1377" i="1"/>
  <c r="AE1376" i="1"/>
  <c r="AD1376" i="1"/>
  <c r="AC1376" i="1"/>
  <c r="AB1376" i="1"/>
  <c r="AA1376" i="1"/>
  <c r="Y1376" i="1"/>
  <c r="Z1376" i="1" s="1"/>
  <c r="X1376" i="1"/>
  <c r="AE1375" i="1"/>
  <c r="AD1375" i="1"/>
  <c r="AC1375" i="1"/>
  <c r="AB1375" i="1"/>
  <c r="AA1375" i="1"/>
  <c r="Y1375" i="1"/>
  <c r="Z1375" i="1" s="1"/>
  <c r="X1375" i="1"/>
  <c r="AE1374" i="1"/>
  <c r="AD1374" i="1"/>
  <c r="AC1374" i="1"/>
  <c r="AB1374" i="1"/>
  <c r="AA1374" i="1"/>
  <c r="Y1374" i="1"/>
  <c r="Z1374" i="1" s="1"/>
  <c r="X1374" i="1"/>
  <c r="AE1373" i="1"/>
  <c r="AD1373" i="1"/>
  <c r="AC1373" i="1"/>
  <c r="AB1373" i="1"/>
  <c r="AA1373" i="1"/>
  <c r="Y1373" i="1"/>
  <c r="Z1373" i="1" s="1"/>
  <c r="X1373" i="1"/>
  <c r="AE1372" i="1"/>
  <c r="AD1372" i="1"/>
  <c r="AC1372" i="1"/>
  <c r="AB1372" i="1"/>
  <c r="AA1372" i="1"/>
  <c r="Y1372" i="1"/>
  <c r="Z1372" i="1" s="1"/>
  <c r="X1372" i="1"/>
  <c r="AE1371" i="1"/>
  <c r="AD1371" i="1"/>
  <c r="AC1371" i="1"/>
  <c r="AB1371" i="1"/>
  <c r="AA1371" i="1"/>
  <c r="Y1371" i="1"/>
  <c r="Z1371" i="1" s="1"/>
  <c r="X1371" i="1"/>
  <c r="AE1370" i="1"/>
  <c r="AD1370" i="1"/>
  <c r="AC1370" i="1"/>
  <c r="AB1370" i="1"/>
  <c r="AA1370" i="1"/>
  <c r="Y1370" i="1"/>
  <c r="Z1370" i="1" s="1"/>
  <c r="X1370" i="1"/>
  <c r="AE1369" i="1"/>
  <c r="AD1369" i="1"/>
  <c r="AC1369" i="1"/>
  <c r="AB1369" i="1"/>
  <c r="AA1369" i="1"/>
  <c r="Y1369" i="1"/>
  <c r="Z1369" i="1" s="1"/>
  <c r="X1369" i="1"/>
  <c r="AE1368" i="1"/>
  <c r="AD1368" i="1"/>
  <c r="AC1368" i="1"/>
  <c r="AB1368" i="1"/>
  <c r="AA1368" i="1"/>
  <c r="Y1368" i="1"/>
  <c r="Z1368" i="1" s="1"/>
  <c r="X1368" i="1"/>
  <c r="AE1367" i="1"/>
  <c r="AD1367" i="1"/>
  <c r="AC1367" i="1"/>
  <c r="AB1367" i="1"/>
  <c r="AA1367" i="1"/>
  <c r="Y1367" i="1"/>
  <c r="Z1367" i="1" s="1"/>
  <c r="X1367" i="1"/>
  <c r="AE1366" i="1"/>
  <c r="AD1366" i="1"/>
  <c r="AC1366" i="1"/>
  <c r="AB1366" i="1"/>
  <c r="AA1366" i="1"/>
  <c r="Y1366" i="1"/>
  <c r="Z1366" i="1" s="1"/>
  <c r="X1366" i="1"/>
  <c r="AE1365" i="1"/>
  <c r="AD1365" i="1"/>
  <c r="AC1365" i="1"/>
  <c r="AB1365" i="1"/>
  <c r="AA1365" i="1"/>
  <c r="Y1365" i="1"/>
  <c r="Z1365" i="1" s="1"/>
  <c r="X1365" i="1"/>
  <c r="AE1364" i="1"/>
  <c r="AD1364" i="1"/>
  <c r="AC1364" i="1"/>
  <c r="AB1364" i="1"/>
  <c r="AA1364" i="1"/>
  <c r="Y1364" i="1"/>
  <c r="Z1364" i="1" s="1"/>
  <c r="X1364" i="1"/>
  <c r="AE1363" i="1"/>
  <c r="AD1363" i="1"/>
  <c r="AC1363" i="1"/>
  <c r="AB1363" i="1"/>
  <c r="AA1363" i="1"/>
  <c r="Y1363" i="1"/>
  <c r="Z1363" i="1" s="1"/>
  <c r="X1363" i="1"/>
  <c r="AE1362" i="1"/>
  <c r="AD1362" i="1"/>
  <c r="AC1362" i="1"/>
  <c r="AB1362" i="1"/>
  <c r="AA1362" i="1"/>
  <c r="Y1362" i="1"/>
  <c r="Z1362" i="1" s="1"/>
  <c r="X1362" i="1"/>
  <c r="AE1361" i="1"/>
  <c r="AD1361" i="1"/>
  <c r="AC1361" i="1"/>
  <c r="AB1361" i="1"/>
  <c r="AA1361" i="1"/>
  <c r="Y1361" i="1"/>
  <c r="Z1361" i="1" s="1"/>
  <c r="X1361" i="1"/>
  <c r="AE1360" i="1"/>
  <c r="AD1360" i="1"/>
  <c r="AC1360" i="1"/>
  <c r="AB1360" i="1"/>
  <c r="AA1360" i="1"/>
  <c r="Y1360" i="1"/>
  <c r="Z1360" i="1" s="1"/>
  <c r="X1360" i="1"/>
  <c r="AE1359" i="1"/>
  <c r="AD1359" i="1"/>
  <c r="AC1359" i="1"/>
  <c r="AB1359" i="1"/>
  <c r="AA1359" i="1"/>
  <c r="Y1359" i="1"/>
  <c r="Z1359" i="1" s="1"/>
  <c r="X1359" i="1"/>
  <c r="AE1358" i="1"/>
  <c r="AD1358" i="1"/>
  <c r="AC1358" i="1"/>
  <c r="AB1358" i="1"/>
  <c r="AA1358" i="1"/>
  <c r="Y1358" i="1"/>
  <c r="Z1358" i="1" s="1"/>
  <c r="X1358" i="1"/>
  <c r="AE1357" i="1"/>
  <c r="AD1357" i="1"/>
  <c r="AC1357" i="1"/>
  <c r="AB1357" i="1"/>
  <c r="AA1357" i="1"/>
  <c r="Y1357" i="1"/>
  <c r="Z1357" i="1" s="1"/>
  <c r="X1357" i="1"/>
  <c r="AE1356" i="1"/>
  <c r="AD1356" i="1"/>
  <c r="AC1356" i="1"/>
  <c r="AB1356" i="1"/>
  <c r="AA1356" i="1"/>
  <c r="Y1356" i="1"/>
  <c r="Z1356" i="1" s="1"/>
  <c r="X1356" i="1"/>
  <c r="AE1355" i="1"/>
  <c r="AD1355" i="1"/>
  <c r="AC1355" i="1"/>
  <c r="AB1355" i="1"/>
  <c r="AA1355" i="1"/>
  <c r="Y1355" i="1"/>
  <c r="Z1355" i="1" s="1"/>
  <c r="X1355" i="1"/>
  <c r="AE1354" i="1"/>
  <c r="AD1354" i="1"/>
  <c r="AC1354" i="1"/>
  <c r="AB1354" i="1"/>
  <c r="AA1354" i="1"/>
  <c r="Y1354" i="1"/>
  <c r="Z1354" i="1" s="1"/>
  <c r="X1354" i="1"/>
  <c r="AE1353" i="1"/>
  <c r="AD1353" i="1"/>
  <c r="AC1353" i="1"/>
  <c r="AB1353" i="1"/>
  <c r="AA1353" i="1"/>
  <c r="Y1353" i="1"/>
  <c r="Z1353" i="1" s="1"/>
  <c r="X1353" i="1"/>
  <c r="AE1352" i="1"/>
  <c r="AD1352" i="1"/>
  <c r="AC1352" i="1"/>
  <c r="AB1352" i="1"/>
  <c r="AA1352" i="1"/>
  <c r="Y1352" i="1"/>
  <c r="Z1352" i="1" s="1"/>
  <c r="X1352" i="1"/>
  <c r="AE1351" i="1"/>
  <c r="AD1351" i="1"/>
  <c r="AC1351" i="1"/>
  <c r="AB1351" i="1"/>
  <c r="AA1351" i="1"/>
  <c r="Y1351" i="1"/>
  <c r="Z1351" i="1" s="1"/>
  <c r="X1351" i="1"/>
  <c r="AE1350" i="1"/>
  <c r="AD1350" i="1"/>
  <c r="AC1350" i="1"/>
  <c r="AB1350" i="1"/>
  <c r="AA1350" i="1"/>
  <c r="Y1350" i="1"/>
  <c r="Z1350" i="1" s="1"/>
  <c r="X1350" i="1"/>
  <c r="AE1349" i="1"/>
  <c r="AD1349" i="1"/>
  <c r="AC1349" i="1"/>
  <c r="AB1349" i="1"/>
  <c r="AA1349" i="1"/>
  <c r="Y1349" i="1"/>
  <c r="Z1349" i="1" s="1"/>
  <c r="X1349" i="1"/>
  <c r="AE1348" i="1"/>
  <c r="AD1348" i="1"/>
  <c r="AC1348" i="1"/>
  <c r="AB1348" i="1"/>
  <c r="AA1348" i="1"/>
  <c r="Y1348" i="1"/>
  <c r="Z1348" i="1" s="1"/>
  <c r="X1348" i="1"/>
  <c r="AE1347" i="1"/>
  <c r="AD1347" i="1"/>
  <c r="AC1347" i="1"/>
  <c r="AB1347" i="1"/>
  <c r="AA1347" i="1"/>
  <c r="Y1347" i="1"/>
  <c r="Z1347" i="1" s="1"/>
  <c r="X1347" i="1"/>
  <c r="AE1346" i="1"/>
  <c r="AD1346" i="1"/>
  <c r="AC1346" i="1"/>
  <c r="AB1346" i="1"/>
  <c r="AA1346" i="1"/>
  <c r="Y1346" i="1"/>
  <c r="Z1346" i="1" s="1"/>
  <c r="X1346" i="1"/>
  <c r="AE1345" i="1"/>
  <c r="AD1345" i="1"/>
  <c r="AC1345" i="1"/>
  <c r="AB1345" i="1"/>
  <c r="AA1345" i="1"/>
  <c r="Y1345" i="1"/>
  <c r="Z1345" i="1" s="1"/>
  <c r="X1345" i="1"/>
  <c r="AE1344" i="1"/>
  <c r="AD1344" i="1"/>
  <c r="AC1344" i="1"/>
  <c r="AB1344" i="1"/>
  <c r="AA1344" i="1"/>
  <c r="Y1344" i="1"/>
  <c r="Z1344" i="1" s="1"/>
  <c r="X1344" i="1"/>
  <c r="AE1343" i="1"/>
  <c r="AD1343" i="1"/>
  <c r="AC1343" i="1"/>
  <c r="AB1343" i="1"/>
  <c r="AA1343" i="1"/>
  <c r="Y1343" i="1"/>
  <c r="Z1343" i="1" s="1"/>
  <c r="X1343" i="1"/>
  <c r="AE1342" i="1"/>
  <c r="AD1342" i="1"/>
  <c r="AC1342" i="1"/>
  <c r="AB1342" i="1"/>
  <c r="AA1342" i="1"/>
  <c r="Y1342" i="1"/>
  <c r="Z1342" i="1" s="1"/>
  <c r="X1342" i="1"/>
  <c r="AE1341" i="1"/>
  <c r="AD1341" i="1"/>
  <c r="AC1341" i="1"/>
  <c r="AB1341" i="1"/>
  <c r="AA1341" i="1"/>
  <c r="Y1341" i="1"/>
  <c r="Z1341" i="1" s="1"/>
  <c r="X1341" i="1"/>
  <c r="AE1340" i="1"/>
  <c r="AD1340" i="1"/>
  <c r="AC1340" i="1"/>
  <c r="AB1340" i="1"/>
  <c r="AA1340" i="1"/>
  <c r="Y1340" i="1"/>
  <c r="Z1340" i="1" s="1"/>
  <c r="X1340" i="1"/>
  <c r="AE1339" i="1"/>
  <c r="AD1339" i="1"/>
  <c r="AC1339" i="1"/>
  <c r="AB1339" i="1"/>
  <c r="AA1339" i="1"/>
  <c r="Y1339" i="1"/>
  <c r="Z1339" i="1" s="1"/>
  <c r="X1339" i="1"/>
  <c r="AE1338" i="1"/>
  <c r="AD1338" i="1"/>
  <c r="AC1338" i="1"/>
  <c r="AB1338" i="1"/>
  <c r="AA1338" i="1"/>
  <c r="Y1338" i="1"/>
  <c r="Z1338" i="1" s="1"/>
  <c r="X1338" i="1"/>
  <c r="AE1337" i="1"/>
  <c r="AD1337" i="1"/>
  <c r="AC1337" i="1"/>
  <c r="AB1337" i="1"/>
  <c r="AA1337" i="1"/>
  <c r="Y1337" i="1"/>
  <c r="Z1337" i="1" s="1"/>
  <c r="X1337" i="1"/>
  <c r="AE1336" i="1"/>
  <c r="AD1336" i="1"/>
  <c r="AC1336" i="1"/>
  <c r="AB1336" i="1"/>
  <c r="AA1336" i="1"/>
  <c r="Y1336" i="1"/>
  <c r="Z1336" i="1" s="1"/>
  <c r="X1336" i="1"/>
  <c r="AE1335" i="1"/>
  <c r="AD1335" i="1"/>
  <c r="AC1335" i="1"/>
  <c r="AB1335" i="1"/>
  <c r="AA1335" i="1"/>
  <c r="Y1335" i="1"/>
  <c r="Z1335" i="1" s="1"/>
  <c r="X1335" i="1"/>
  <c r="AE1334" i="1"/>
  <c r="AD1334" i="1"/>
  <c r="AC1334" i="1"/>
  <c r="AB1334" i="1"/>
  <c r="AA1334" i="1"/>
  <c r="Y1334" i="1"/>
  <c r="Z1334" i="1" s="1"/>
  <c r="X1334" i="1"/>
  <c r="AE1333" i="1"/>
  <c r="AD1333" i="1"/>
  <c r="AC1333" i="1"/>
  <c r="AB1333" i="1"/>
  <c r="AA1333" i="1"/>
  <c r="Y1333" i="1"/>
  <c r="Z1333" i="1" s="1"/>
  <c r="X1333" i="1"/>
  <c r="AE1332" i="1"/>
  <c r="AD1332" i="1"/>
  <c r="AC1332" i="1"/>
  <c r="AB1332" i="1"/>
  <c r="AA1332" i="1"/>
  <c r="Y1332" i="1"/>
  <c r="Z1332" i="1" s="1"/>
  <c r="X1332" i="1"/>
  <c r="AE1331" i="1"/>
  <c r="AD1331" i="1"/>
  <c r="AC1331" i="1"/>
  <c r="AB1331" i="1"/>
  <c r="AA1331" i="1"/>
  <c r="Y1331" i="1"/>
  <c r="Z1331" i="1" s="1"/>
  <c r="X1331" i="1"/>
  <c r="AE1330" i="1"/>
  <c r="AD1330" i="1"/>
  <c r="AC1330" i="1"/>
  <c r="AB1330" i="1"/>
  <c r="AA1330" i="1"/>
  <c r="Y1330" i="1"/>
  <c r="Z1330" i="1" s="1"/>
  <c r="X1330" i="1"/>
  <c r="AE1329" i="1"/>
  <c r="AD1329" i="1"/>
  <c r="AC1329" i="1"/>
  <c r="AB1329" i="1"/>
  <c r="AA1329" i="1"/>
  <c r="Y1329" i="1"/>
  <c r="Z1329" i="1" s="1"/>
  <c r="X1329" i="1"/>
  <c r="AE1328" i="1"/>
  <c r="AD1328" i="1"/>
  <c r="AC1328" i="1"/>
  <c r="AB1328" i="1"/>
  <c r="AA1328" i="1"/>
  <c r="Y1328" i="1"/>
  <c r="Z1328" i="1" s="1"/>
  <c r="X1328" i="1"/>
  <c r="AE1327" i="1"/>
  <c r="AD1327" i="1"/>
  <c r="AC1327" i="1"/>
  <c r="AB1327" i="1"/>
  <c r="AA1327" i="1"/>
  <c r="Y1327" i="1"/>
  <c r="Z1327" i="1" s="1"/>
  <c r="X1327" i="1"/>
  <c r="AE1326" i="1"/>
  <c r="AD1326" i="1"/>
  <c r="AC1326" i="1"/>
  <c r="AB1326" i="1"/>
  <c r="AA1326" i="1"/>
  <c r="Y1326" i="1"/>
  <c r="Z1326" i="1" s="1"/>
  <c r="X1326" i="1"/>
  <c r="AE1325" i="1"/>
  <c r="AD1325" i="1"/>
  <c r="AC1325" i="1"/>
  <c r="AB1325" i="1"/>
  <c r="AA1325" i="1"/>
  <c r="Y1325" i="1"/>
  <c r="Z1325" i="1" s="1"/>
  <c r="X1325" i="1"/>
  <c r="AE1324" i="1"/>
  <c r="AD1324" i="1"/>
  <c r="AC1324" i="1"/>
  <c r="AB1324" i="1"/>
  <c r="AA1324" i="1"/>
  <c r="Y1324" i="1"/>
  <c r="Z1324" i="1" s="1"/>
  <c r="X1324" i="1"/>
  <c r="AE1323" i="1"/>
  <c r="AD1323" i="1"/>
  <c r="AC1323" i="1"/>
  <c r="AB1323" i="1"/>
  <c r="AA1323" i="1"/>
  <c r="Y1323" i="1"/>
  <c r="Z1323" i="1" s="1"/>
  <c r="X1323" i="1"/>
  <c r="AE1322" i="1"/>
  <c r="AD1322" i="1"/>
  <c r="AC1322" i="1"/>
  <c r="AB1322" i="1"/>
  <c r="AA1322" i="1"/>
  <c r="Y1322" i="1"/>
  <c r="Z1322" i="1" s="1"/>
  <c r="X1322" i="1"/>
  <c r="AE1321" i="1"/>
  <c r="AD1321" i="1"/>
  <c r="AC1321" i="1"/>
  <c r="AB1321" i="1"/>
  <c r="AA1321" i="1"/>
  <c r="Y1321" i="1"/>
  <c r="Z1321" i="1" s="1"/>
  <c r="X1321" i="1"/>
  <c r="AE1320" i="1"/>
  <c r="AD1320" i="1"/>
  <c r="AC1320" i="1"/>
  <c r="AB1320" i="1"/>
  <c r="AA1320" i="1"/>
  <c r="Y1320" i="1"/>
  <c r="Z1320" i="1" s="1"/>
  <c r="X1320" i="1"/>
  <c r="AE1319" i="1"/>
  <c r="AD1319" i="1"/>
  <c r="AC1319" i="1"/>
  <c r="AB1319" i="1"/>
  <c r="AA1319" i="1"/>
  <c r="Y1319" i="1"/>
  <c r="Z1319" i="1" s="1"/>
  <c r="X1319" i="1"/>
  <c r="AE1318" i="1"/>
  <c r="AD1318" i="1"/>
  <c r="AC1318" i="1"/>
  <c r="AB1318" i="1"/>
  <c r="AA1318" i="1"/>
  <c r="Y1318" i="1"/>
  <c r="Z1318" i="1" s="1"/>
  <c r="X1318" i="1"/>
  <c r="AE1317" i="1"/>
  <c r="AD1317" i="1"/>
  <c r="AC1317" i="1"/>
  <c r="AB1317" i="1"/>
  <c r="AA1317" i="1"/>
  <c r="Y1317" i="1"/>
  <c r="Z1317" i="1" s="1"/>
  <c r="X1317" i="1"/>
  <c r="AE1316" i="1"/>
  <c r="AD1316" i="1"/>
  <c r="AC1316" i="1"/>
  <c r="AB1316" i="1"/>
  <c r="AA1316" i="1"/>
  <c r="Y1316" i="1"/>
  <c r="Z1316" i="1" s="1"/>
  <c r="X1316" i="1"/>
  <c r="AE1315" i="1"/>
  <c r="AD1315" i="1"/>
  <c r="AC1315" i="1"/>
  <c r="AB1315" i="1"/>
  <c r="AA1315" i="1"/>
  <c r="Y1315" i="1"/>
  <c r="Z1315" i="1" s="1"/>
  <c r="X1315" i="1"/>
  <c r="AE1314" i="1"/>
  <c r="AD1314" i="1"/>
  <c r="AC1314" i="1"/>
  <c r="AB1314" i="1"/>
  <c r="AA1314" i="1"/>
  <c r="Y1314" i="1"/>
  <c r="Z1314" i="1" s="1"/>
  <c r="X1314" i="1"/>
  <c r="AE1313" i="1"/>
  <c r="AD1313" i="1"/>
  <c r="AC1313" i="1"/>
  <c r="AB1313" i="1"/>
  <c r="AA1313" i="1"/>
  <c r="Y1313" i="1"/>
  <c r="Z1313" i="1" s="1"/>
  <c r="X1313" i="1"/>
  <c r="AE1312" i="1"/>
  <c r="AD1312" i="1"/>
  <c r="AC1312" i="1"/>
  <c r="AB1312" i="1"/>
  <c r="AA1312" i="1"/>
  <c r="Y1312" i="1"/>
  <c r="Z1312" i="1" s="1"/>
  <c r="X1312" i="1"/>
  <c r="AE1311" i="1"/>
  <c r="AD1311" i="1"/>
  <c r="AC1311" i="1"/>
  <c r="AB1311" i="1"/>
  <c r="AA1311" i="1"/>
  <c r="Y1311" i="1"/>
  <c r="Z1311" i="1" s="1"/>
  <c r="X1311" i="1"/>
  <c r="AE1310" i="1"/>
  <c r="AD1310" i="1"/>
  <c r="AC1310" i="1"/>
  <c r="AB1310" i="1"/>
  <c r="AA1310" i="1"/>
  <c r="Y1310" i="1"/>
  <c r="Z1310" i="1" s="1"/>
  <c r="X1310" i="1"/>
  <c r="AE1309" i="1"/>
  <c r="AD1309" i="1"/>
  <c r="AC1309" i="1"/>
  <c r="AB1309" i="1"/>
  <c r="AA1309" i="1"/>
  <c r="Y1309" i="1"/>
  <c r="Z1309" i="1" s="1"/>
  <c r="X1309" i="1"/>
  <c r="AE1308" i="1"/>
  <c r="AD1308" i="1"/>
  <c r="AC1308" i="1"/>
  <c r="AB1308" i="1"/>
  <c r="AA1308" i="1"/>
  <c r="Y1308" i="1"/>
  <c r="Z1308" i="1" s="1"/>
  <c r="X1308" i="1"/>
  <c r="AE1307" i="1"/>
  <c r="AD1307" i="1"/>
  <c r="AC1307" i="1"/>
  <c r="AB1307" i="1"/>
  <c r="AA1307" i="1"/>
  <c r="Y1307" i="1"/>
  <c r="Z1307" i="1" s="1"/>
  <c r="X1307" i="1"/>
  <c r="AE1306" i="1"/>
  <c r="AD1306" i="1"/>
  <c r="AC1306" i="1"/>
  <c r="AB1306" i="1"/>
  <c r="AA1306" i="1"/>
  <c r="Y1306" i="1"/>
  <c r="Z1306" i="1" s="1"/>
  <c r="X1306" i="1"/>
  <c r="AE1305" i="1"/>
  <c r="AD1305" i="1"/>
  <c r="AC1305" i="1"/>
  <c r="AB1305" i="1"/>
  <c r="AA1305" i="1"/>
  <c r="Y1305" i="1"/>
  <c r="Z1305" i="1" s="1"/>
  <c r="X1305" i="1"/>
  <c r="AE1304" i="1"/>
  <c r="AD1304" i="1"/>
  <c r="AC1304" i="1"/>
  <c r="AB1304" i="1"/>
  <c r="AA1304" i="1"/>
  <c r="Y1304" i="1"/>
  <c r="Z1304" i="1" s="1"/>
  <c r="X1304" i="1"/>
  <c r="AE1303" i="1"/>
  <c r="AD1303" i="1"/>
  <c r="AC1303" i="1"/>
  <c r="AB1303" i="1"/>
  <c r="AA1303" i="1"/>
  <c r="Y1303" i="1"/>
  <c r="Z1303" i="1" s="1"/>
  <c r="X1303" i="1"/>
  <c r="AE1302" i="1"/>
  <c r="AD1302" i="1"/>
  <c r="AC1302" i="1"/>
  <c r="AB1302" i="1"/>
  <c r="AA1302" i="1"/>
  <c r="Y1302" i="1"/>
  <c r="Z1302" i="1" s="1"/>
  <c r="X1302" i="1"/>
  <c r="AE1301" i="1"/>
  <c r="AD1301" i="1"/>
  <c r="AC1301" i="1"/>
  <c r="AB1301" i="1"/>
  <c r="AA1301" i="1"/>
  <c r="Y1301" i="1"/>
  <c r="Z1301" i="1" s="1"/>
  <c r="X1301" i="1"/>
  <c r="AE1300" i="1"/>
  <c r="AD1300" i="1"/>
  <c r="AC1300" i="1"/>
  <c r="AB1300" i="1"/>
  <c r="AA1300" i="1"/>
  <c r="Y1300" i="1"/>
  <c r="Z1300" i="1" s="1"/>
  <c r="X1300" i="1"/>
  <c r="AE1299" i="1"/>
  <c r="AD1299" i="1"/>
  <c r="AC1299" i="1"/>
  <c r="AB1299" i="1"/>
  <c r="AA1299" i="1"/>
  <c r="Y1299" i="1"/>
  <c r="Z1299" i="1" s="1"/>
  <c r="X1299" i="1"/>
  <c r="AE1298" i="1"/>
  <c r="AD1298" i="1"/>
  <c r="AC1298" i="1"/>
  <c r="AB1298" i="1"/>
  <c r="AA1298" i="1"/>
  <c r="Y1298" i="1"/>
  <c r="Z1298" i="1" s="1"/>
  <c r="X1298" i="1"/>
  <c r="AE1297" i="1"/>
  <c r="AD1297" i="1"/>
  <c r="AC1297" i="1"/>
  <c r="AB1297" i="1"/>
  <c r="AA1297" i="1"/>
  <c r="Y1297" i="1"/>
  <c r="Z1297" i="1" s="1"/>
  <c r="X1297" i="1"/>
  <c r="AE1296" i="1"/>
  <c r="AD1296" i="1"/>
  <c r="AC1296" i="1"/>
  <c r="AB1296" i="1"/>
  <c r="AA1296" i="1"/>
  <c r="Y1296" i="1"/>
  <c r="Z1296" i="1" s="1"/>
  <c r="X1296" i="1"/>
  <c r="AE1295" i="1"/>
  <c r="AD1295" i="1"/>
  <c r="AC1295" i="1"/>
  <c r="AB1295" i="1"/>
  <c r="AA1295" i="1"/>
  <c r="Y1295" i="1"/>
  <c r="Z1295" i="1" s="1"/>
  <c r="X1295" i="1"/>
  <c r="AE1294" i="1"/>
  <c r="AD1294" i="1"/>
  <c r="AC1294" i="1"/>
  <c r="AB1294" i="1"/>
  <c r="AA1294" i="1"/>
  <c r="Y1294" i="1"/>
  <c r="Z1294" i="1" s="1"/>
  <c r="X1294" i="1"/>
  <c r="AE1293" i="1"/>
  <c r="AD1293" i="1"/>
  <c r="AC1293" i="1"/>
  <c r="AB1293" i="1"/>
  <c r="AA1293" i="1"/>
  <c r="Y1293" i="1"/>
  <c r="Z1293" i="1" s="1"/>
  <c r="X1293" i="1"/>
  <c r="AE1292" i="1"/>
  <c r="AD1292" i="1"/>
  <c r="AC1292" i="1"/>
  <c r="AB1292" i="1"/>
  <c r="AA1292" i="1"/>
  <c r="Y1292" i="1"/>
  <c r="Z1292" i="1" s="1"/>
  <c r="X1292" i="1"/>
  <c r="AE1291" i="1"/>
  <c r="AD1291" i="1"/>
  <c r="AC1291" i="1"/>
  <c r="AB1291" i="1"/>
  <c r="AA1291" i="1"/>
  <c r="Y1291" i="1"/>
  <c r="Z1291" i="1" s="1"/>
  <c r="X1291" i="1"/>
  <c r="AE1290" i="1"/>
  <c r="AD1290" i="1"/>
  <c r="AC1290" i="1"/>
  <c r="AB1290" i="1"/>
  <c r="AA1290" i="1"/>
  <c r="Y1290" i="1"/>
  <c r="Z1290" i="1" s="1"/>
  <c r="X1290" i="1"/>
  <c r="AE1289" i="1"/>
  <c r="AD1289" i="1"/>
  <c r="AC1289" i="1"/>
  <c r="AB1289" i="1"/>
  <c r="AA1289" i="1"/>
  <c r="Y1289" i="1"/>
  <c r="Z1289" i="1" s="1"/>
  <c r="X1289" i="1"/>
  <c r="AE1288" i="1"/>
  <c r="AD1288" i="1"/>
  <c r="AC1288" i="1"/>
  <c r="AB1288" i="1"/>
  <c r="AA1288" i="1"/>
  <c r="Y1288" i="1"/>
  <c r="Z1288" i="1" s="1"/>
  <c r="X1288" i="1"/>
  <c r="AE1287" i="1"/>
  <c r="AD1287" i="1"/>
  <c r="AC1287" i="1"/>
  <c r="AB1287" i="1"/>
  <c r="AA1287" i="1"/>
  <c r="Y1287" i="1"/>
  <c r="Z1287" i="1" s="1"/>
  <c r="X1287" i="1"/>
  <c r="AE1286" i="1"/>
  <c r="AD1286" i="1"/>
  <c r="AC1286" i="1"/>
  <c r="AB1286" i="1"/>
  <c r="AA1286" i="1"/>
  <c r="Y1286" i="1"/>
  <c r="Z1286" i="1" s="1"/>
  <c r="X1286" i="1"/>
  <c r="AE1285" i="1"/>
  <c r="AD1285" i="1"/>
  <c r="AC1285" i="1"/>
  <c r="AB1285" i="1"/>
  <c r="AA1285" i="1"/>
  <c r="Y1285" i="1"/>
  <c r="Z1285" i="1" s="1"/>
  <c r="X1285" i="1"/>
  <c r="AE1284" i="1"/>
  <c r="AD1284" i="1"/>
  <c r="AC1284" i="1"/>
  <c r="AB1284" i="1"/>
  <c r="AA1284" i="1"/>
  <c r="Y1284" i="1"/>
  <c r="Z1284" i="1" s="1"/>
  <c r="X1284" i="1"/>
  <c r="AE1283" i="1"/>
  <c r="AD1283" i="1"/>
  <c r="AC1283" i="1"/>
  <c r="AB1283" i="1"/>
  <c r="AA1283" i="1"/>
  <c r="Y1283" i="1"/>
  <c r="Z1283" i="1" s="1"/>
  <c r="X1283" i="1"/>
  <c r="AE1282" i="1"/>
  <c r="AD1282" i="1"/>
  <c r="AC1282" i="1"/>
  <c r="AB1282" i="1"/>
  <c r="AA1282" i="1"/>
  <c r="Y1282" i="1"/>
  <c r="Z1282" i="1" s="1"/>
  <c r="X1282" i="1"/>
  <c r="AE1281" i="1"/>
  <c r="AD1281" i="1"/>
  <c r="AC1281" i="1"/>
  <c r="AB1281" i="1"/>
  <c r="AA1281" i="1"/>
  <c r="Y1281" i="1"/>
  <c r="Z1281" i="1" s="1"/>
  <c r="X1281" i="1"/>
  <c r="AE1280" i="1"/>
  <c r="AD1280" i="1"/>
  <c r="AC1280" i="1"/>
  <c r="AB1280" i="1"/>
  <c r="AA1280" i="1"/>
  <c r="Y1280" i="1"/>
  <c r="Z1280" i="1" s="1"/>
  <c r="X1280" i="1"/>
  <c r="AE1279" i="1"/>
  <c r="AD1279" i="1"/>
  <c r="AC1279" i="1"/>
  <c r="AB1279" i="1"/>
  <c r="AA1279" i="1"/>
  <c r="Y1279" i="1"/>
  <c r="Z1279" i="1" s="1"/>
  <c r="X1279" i="1"/>
  <c r="AE1278" i="1"/>
  <c r="AD1278" i="1"/>
  <c r="AC1278" i="1"/>
  <c r="AB1278" i="1"/>
  <c r="AA1278" i="1"/>
  <c r="Y1278" i="1"/>
  <c r="Z1278" i="1" s="1"/>
  <c r="X1278" i="1"/>
  <c r="AE1277" i="1"/>
  <c r="AD1277" i="1"/>
  <c r="AC1277" i="1"/>
  <c r="AB1277" i="1"/>
  <c r="AA1277" i="1"/>
  <c r="Y1277" i="1"/>
  <c r="Z1277" i="1" s="1"/>
  <c r="X1277" i="1"/>
  <c r="AE1276" i="1"/>
  <c r="AD1276" i="1"/>
  <c r="AC1276" i="1"/>
  <c r="AB1276" i="1"/>
  <c r="AA1276" i="1"/>
  <c r="Y1276" i="1"/>
  <c r="Z1276" i="1" s="1"/>
  <c r="X1276" i="1"/>
  <c r="AE1275" i="1"/>
  <c r="AD1275" i="1"/>
  <c r="AC1275" i="1"/>
  <c r="AB1275" i="1"/>
  <c r="AA1275" i="1"/>
  <c r="Y1275" i="1"/>
  <c r="Z1275" i="1" s="1"/>
  <c r="X1275" i="1"/>
  <c r="AE1274" i="1"/>
  <c r="AD1274" i="1"/>
  <c r="AC1274" i="1"/>
  <c r="AB1274" i="1"/>
  <c r="AA1274" i="1"/>
  <c r="Y1274" i="1"/>
  <c r="Z1274" i="1" s="1"/>
  <c r="X1274" i="1"/>
  <c r="AE1273" i="1"/>
  <c r="AD1273" i="1"/>
  <c r="AC1273" i="1"/>
  <c r="AB1273" i="1"/>
  <c r="AA1273" i="1"/>
  <c r="Y1273" i="1"/>
  <c r="Z1273" i="1" s="1"/>
  <c r="X1273" i="1"/>
  <c r="AE1272" i="1"/>
  <c r="AD1272" i="1"/>
  <c r="AC1272" i="1"/>
  <c r="AB1272" i="1"/>
  <c r="AA1272" i="1"/>
  <c r="Y1272" i="1"/>
  <c r="Z1272" i="1" s="1"/>
  <c r="X1272" i="1"/>
  <c r="AE1271" i="1"/>
  <c r="AD1271" i="1"/>
  <c r="AC1271" i="1"/>
  <c r="AB1271" i="1"/>
  <c r="AA1271" i="1"/>
  <c r="Y1271" i="1"/>
  <c r="Z1271" i="1" s="1"/>
  <c r="X1271" i="1"/>
  <c r="AE1270" i="1"/>
  <c r="AD1270" i="1"/>
  <c r="AC1270" i="1"/>
  <c r="AB1270" i="1"/>
  <c r="AA1270" i="1"/>
  <c r="Y1270" i="1"/>
  <c r="Z1270" i="1" s="1"/>
  <c r="X1270" i="1"/>
  <c r="AE1269" i="1"/>
  <c r="AD1269" i="1"/>
  <c r="AC1269" i="1"/>
  <c r="AB1269" i="1"/>
  <c r="AA1269" i="1"/>
  <c r="Y1269" i="1"/>
  <c r="Z1269" i="1" s="1"/>
  <c r="X1269" i="1"/>
  <c r="AE1268" i="1"/>
  <c r="AD1268" i="1"/>
  <c r="AC1268" i="1"/>
  <c r="AB1268" i="1"/>
  <c r="AA1268" i="1"/>
  <c r="Y1268" i="1"/>
  <c r="Z1268" i="1" s="1"/>
  <c r="X1268" i="1"/>
  <c r="AE1267" i="1"/>
  <c r="AD1267" i="1"/>
  <c r="AC1267" i="1"/>
  <c r="AB1267" i="1"/>
  <c r="AA1267" i="1"/>
  <c r="Y1267" i="1"/>
  <c r="Z1267" i="1" s="1"/>
  <c r="X1267" i="1"/>
  <c r="AE1266" i="1"/>
  <c r="AD1266" i="1"/>
  <c r="AC1266" i="1"/>
  <c r="AB1266" i="1"/>
  <c r="AA1266" i="1"/>
  <c r="Y1266" i="1"/>
  <c r="Z1266" i="1" s="1"/>
  <c r="X1266" i="1"/>
  <c r="AE1265" i="1"/>
  <c r="AD1265" i="1"/>
  <c r="AC1265" i="1"/>
  <c r="AB1265" i="1"/>
  <c r="AA1265" i="1"/>
  <c r="Y1265" i="1"/>
  <c r="Z1265" i="1" s="1"/>
  <c r="X1265" i="1"/>
  <c r="AE1264" i="1"/>
  <c r="AD1264" i="1"/>
  <c r="AC1264" i="1"/>
  <c r="AB1264" i="1"/>
  <c r="AA1264" i="1"/>
  <c r="Y1264" i="1"/>
  <c r="Z1264" i="1" s="1"/>
  <c r="X1264" i="1"/>
  <c r="AE1263" i="1"/>
  <c r="AD1263" i="1"/>
  <c r="AC1263" i="1"/>
  <c r="AB1263" i="1"/>
  <c r="AA1263" i="1"/>
  <c r="Y1263" i="1"/>
  <c r="Z1263" i="1" s="1"/>
  <c r="X1263" i="1"/>
  <c r="AE1262" i="1"/>
  <c r="AD1262" i="1"/>
  <c r="AC1262" i="1"/>
  <c r="AB1262" i="1"/>
  <c r="AA1262" i="1"/>
  <c r="Y1262" i="1"/>
  <c r="Z1262" i="1" s="1"/>
  <c r="X1262" i="1"/>
  <c r="AE1261" i="1"/>
  <c r="AD1261" i="1"/>
  <c r="AC1261" i="1"/>
  <c r="AB1261" i="1"/>
  <c r="AA1261" i="1"/>
  <c r="Y1261" i="1"/>
  <c r="Z1261" i="1" s="1"/>
  <c r="X1261" i="1"/>
  <c r="AE1260" i="1"/>
  <c r="AD1260" i="1"/>
  <c r="AC1260" i="1"/>
  <c r="AB1260" i="1"/>
  <c r="AA1260" i="1"/>
  <c r="Y1260" i="1"/>
  <c r="Z1260" i="1" s="1"/>
  <c r="X1260" i="1"/>
  <c r="AE1259" i="1"/>
  <c r="AD1259" i="1"/>
  <c r="AC1259" i="1"/>
  <c r="AB1259" i="1"/>
  <c r="AA1259" i="1"/>
  <c r="Y1259" i="1"/>
  <c r="Z1259" i="1" s="1"/>
  <c r="X1259" i="1"/>
  <c r="AE1258" i="1"/>
  <c r="AD1258" i="1"/>
  <c r="AC1258" i="1"/>
  <c r="AB1258" i="1"/>
  <c r="AA1258" i="1"/>
  <c r="Y1258" i="1"/>
  <c r="Z1258" i="1" s="1"/>
  <c r="X1258" i="1"/>
  <c r="AE1257" i="1"/>
  <c r="AD1257" i="1"/>
  <c r="AC1257" i="1"/>
  <c r="AB1257" i="1"/>
  <c r="AA1257" i="1"/>
  <c r="Y1257" i="1"/>
  <c r="Z1257" i="1" s="1"/>
  <c r="X1257" i="1"/>
  <c r="AE1256" i="1"/>
  <c r="AD1256" i="1"/>
  <c r="AC1256" i="1"/>
  <c r="AB1256" i="1"/>
  <c r="AA1256" i="1"/>
  <c r="Y1256" i="1"/>
  <c r="Z1256" i="1" s="1"/>
  <c r="X1256" i="1"/>
  <c r="AE1255" i="1"/>
  <c r="AD1255" i="1"/>
  <c r="AC1255" i="1"/>
  <c r="AB1255" i="1"/>
  <c r="AA1255" i="1"/>
  <c r="Y1255" i="1"/>
  <c r="Z1255" i="1" s="1"/>
  <c r="X1255" i="1"/>
  <c r="AE1254" i="1"/>
  <c r="AD1254" i="1"/>
  <c r="AC1254" i="1"/>
  <c r="AB1254" i="1"/>
  <c r="AA1254" i="1"/>
  <c r="Y1254" i="1"/>
  <c r="Z1254" i="1" s="1"/>
  <c r="X1254" i="1"/>
  <c r="AE1253" i="1"/>
  <c r="AD1253" i="1"/>
  <c r="AC1253" i="1"/>
  <c r="AB1253" i="1"/>
  <c r="AA1253" i="1"/>
  <c r="Y1253" i="1"/>
  <c r="Z1253" i="1" s="1"/>
  <c r="X1253" i="1"/>
  <c r="AE1252" i="1"/>
  <c r="AD1252" i="1"/>
  <c r="AC1252" i="1"/>
  <c r="AB1252" i="1"/>
  <c r="AA1252" i="1"/>
  <c r="Y1252" i="1"/>
  <c r="Z1252" i="1" s="1"/>
  <c r="X1252" i="1"/>
  <c r="AE1251" i="1"/>
  <c r="AD1251" i="1"/>
  <c r="AC1251" i="1"/>
  <c r="AB1251" i="1"/>
  <c r="AA1251" i="1"/>
  <c r="Y1251" i="1"/>
  <c r="Z1251" i="1" s="1"/>
  <c r="X1251" i="1"/>
  <c r="AE1250" i="1"/>
  <c r="AD1250" i="1"/>
  <c r="AC1250" i="1"/>
  <c r="AB1250" i="1"/>
  <c r="AA1250" i="1"/>
  <c r="Y1250" i="1"/>
  <c r="Z1250" i="1" s="1"/>
  <c r="X1250" i="1"/>
  <c r="AE1249" i="1"/>
  <c r="AD1249" i="1"/>
  <c r="AC1249" i="1"/>
  <c r="AB1249" i="1"/>
  <c r="AA1249" i="1"/>
  <c r="Y1249" i="1"/>
  <c r="Z1249" i="1" s="1"/>
  <c r="X1249" i="1"/>
  <c r="AE1248" i="1"/>
  <c r="AD1248" i="1"/>
  <c r="AC1248" i="1"/>
  <c r="AB1248" i="1"/>
  <c r="AA1248" i="1"/>
  <c r="Y1248" i="1"/>
  <c r="Z1248" i="1" s="1"/>
  <c r="X1248" i="1"/>
  <c r="AE1247" i="1"/>
  <c r="AD1247" i="1"/>
  <c r="AC1247" i="1"/>
  <c r="AB1247" i="1"/>
  <c r="AA1247" i="1"/>
  <c r="Y1247" i="1"/>
  <c r="Z1247" i="1" s="1"/>
  <c r="X1247" i="1"/>
  <c r="AE1246" i="1"/>
  <c r="AD1246" i="1"/>
  <c r="AC1246" i="1"/>
  <c r="AB1246" i="1"/>
  <c r="AA1246" i="1"/>
  <c r="Y1246" i="1"/>
  <c r="Z1246" i="1" s="1"/>
  <c r="X1246" i="1"/>
  <c r="AE1245" i="1"/>
  <c r="AD1245" i="1"/>
  <c r="AC1245" i="1"/>
  <c r="AB1245" i="1"/>
  <c r="AA1245" i="1"/>
  <c r="Y1245" i="1"/>
  <c r="Z1245" i="1" s="1"/>
  <c r="X1245" i="1"/>
  <c r="AE1244" i="1"/>
  <c r="AD1244" i="1"/>
  <c r="AC1244" i="1"/>
  <c r="AB1244" i="1"/>
  <c r="AA1244" i="1"/>
  <c r="Y1244" i="1"/>
  <c r="Z1244" i="1" s="1"/>
  <c r="X1244" i="1"/>
  <c r="AE1243" i="1"/>
  <c r="AD1243" i="1"/>
  <c r="AC1243" i="1"/>
  <c r="AB1243" i="1"/>
  <c r="AA1243" i="1"/>
  <c r="Y1243" i="1"/>
  <c r="Z1243" i="1" s="1"/>
  <c r="X1243" i="1"/>
  <c r="AE1242" i="1"/>
  <c r="AD1242" i="1"/>
  <c r="AC1242" i="1"/>
  <c r="AB1242" i="1"/>
  <c r="AA1242" i="1"/>
  <c r="Y1242" i="1"/>
  <c r="Z1242" i="1" s="1"/>
  <c r="X1242" i="1"/>
  <c r="AE1241" i="1"/>
  <c r="AD1241" i="1"/>
  <c r="AC1241" i="1"/>
  <c r="AB1241" i="1"/>
  <c r="AA1241" i="1"/>
  <c r="Y1241" i="1"/>
  <c r="Z1241" i="1" s="1"/>
  <c r="X1241" i="1"/>
  <c r="AE1240" i="1"/>
  <c r="AD1240" i="1"/>
  <c r="AC1240" i="1"/>
  <c r="AB1240" i="1"/>
  <c r="AA1240" i="1"/>
  <c r="Y1240" i="1"/>
  <c r="Z1240" i="1" s="1"/>
  <c r="X1240" i="1"/>
  <c r="AE1239" i="1"/>
  <c r="AD1239" i="1"/>
  <c r="AC1239" i="1"/>
  <c r="AB1239" i="1"/>
  <c r="AA1239" i="1"/>
  <c r="Y1239" i="1"/>
  <c r="Z1239" i="1" s="1"/>
  <c r="X1239" i="1"/>
  <c r="AE1238" i="1"/>
  <c r="AD1238" i="1"/>
  <c r="AC1238" i="1"/>
  <c r="AB1238" i="1"/>
  <c r="AA1238" i="1"/>
  <c r="Y1238" i="1"/>
  <c r="Z1238" i="1" s="1"/>
  <c r="X1238" i="1"/>
  <c r="AE1237" i="1"/>
  <c r="AD1237" i="1"/>
  <c r="AC1237" i="1"/>
  <c r="AB1237" i="1"/>
  <c r="AA1237" i="1"/>
  <c r="Y1237" i="1"/>
  <c r="Z1237" i="1" s="1"/>
  <c r="X1237" i="1"/>
  <c r="AE1236" i="1"/>
  <c r="AD1236" i="1"/>
  <c r="AC1236" i="1"/>
  <c r="AB1236" i="1"/>
  <c r="AA1236" i="1"/>
  <c r="Y1236" i="1"/>
  <c r="Z1236" i="1" s="1"/>
  <c r="X1236" i="1"/>
  <c r="AE1235" i="1"/>
  <c r="AD1235" i="1"/>
  <c r="AC1235" i="1"/>
  <c r="AB1235" i="1"/>
  <c r="AA1235" i="1"/>
  <c r="Y1235" i="1"/>
  <c r="Z1235" i="1" s="1"/>
  <c r="X1235" i="1"/>
  <c r="AE1234" i="1"/>
  <c r="AD1234" i="1"/>
  <c r="AC1234" i="1"/>
  <c r="AB1234" i="1"/>
  <c r="AA1234" i="1"/>
  <c r="Y1234" i="1"/>
  <c r="Z1234" i="1" s="1"/>
  <c r="X1234" i="1"/>
  <c r="AE1233" i="1"/>
  <c r="AD1233" i="1"/>
  <c r="AC1233" i="1"/>
  <c r="AB1233" i="1"/>
  <c r="AA1233" i="1"/>
  <c r="Y1233" i="1"/>
  <c r="Z1233" i="1" s="1"/>
  <c r="X1233" i="1"/>
  <c r="AE1232" i="1"/>
  <c r="AD1232" i="1"/>
  <c r="AC1232" i="1"/>
  <c r="AB1232" i="1"/>
  <c r="AA1232" i="1"/>
  <c r="Y1232" i="1"/>
  <c r="Z1232" i="1" s="1"/>
  <c r="X1232" i="1"/>
  <c r="AE1231" i="1"/>
  <c r="AD1231" i="1"/>
  <c r="AC1231" i="1"/>
  <c r="AB1231" i="1"/>
  <c r="AA1231" i="1"/>
  <c r="Y1231" i="1"/>
  <c r="Z1231" i="1" s="1"/>
  <c r="X1231" i="1"/>
  <c r="AE1230" i="1"/>
  <c r="AD1230" i="1"/>
  <c r="AC1230" i="1"/>
  <c r="AB1230" i="1"/>
  <c r="AA1230" i="1"/>
  <c r="Y1230" i="1"/>
  <c r="Z1230" i="1" s="1"/>
  <c r="X1230" i="1"/>
  <c r="AE1229" i="1"/>
  <c r="AD1229" i="1"/>
  <c r="AC1229" i="1"/>
  <c r="AB1229" i="1"/>
  <c r="AA1229" i="1"/>
  <c r="Y1229" i="1"/>
  <c r="Z1229" i="1" s="1"/>
  <c r="X1229" i="1"/>
  <c r="AE1228" i="1"/>
  <c r="AD1228" i="1"/>
  <c r="AC1228" i="1"/>
  <c r="AB1228" i="1"/>
  <c r="AA1228" i="1"/>
  <c r="Y1228" i="1"/>
  <c r="Z1228" i="1" s="1"/>
  <c r="X1228" i="1"/>
  <c r="AE1227" i="1"/>
  <c r="AD1227" i="1"/>
  <c r="AC1227" i="1"/>
  <c r="AB1227" i="1"/>
  <c r="AA1227" i="1"/>
  <c r="Y1227" i="1"/>
  <c r="Z1227" i="1" s="1"/>
  <c r="X1227" i="1"/>
  <c r="AE1226" i="1"/>
  <c r="AD1226" i="1"/>
  <c r="AC1226" i="1"/>
  <c r="AB1226" i="1"/>
  <c r="AA1226" i="1"/>
  <c r="Y1226" i="1"/>
  <c r="Z1226" i="1" s="1"/>
  <c r="X1226" i="1"/>
  <c r="AE1225" i="1"/>
  <c r="AD1225" i="1"/>
  <c r="AC1225" i="1"/>
  <c r="AB1225" i="1"/>
  <c r="AA1225" i="1"/>
  <c r="Y1225" i="1"/>
  <c r="Z1225" i="1" s="1"/>
  <c r="X1225" i="1"/>
  <c r="AE1224" i="1"/>
  <c r="AD1224" i="1"/>
  <c r="AC1224" i="1"/>
  <c r="AB1224" i="1"/>
  <c r="AA1224" i="1"/>
  <c r="Y1224" i="1"/>
  <c r="Z1224" i="1" s="1"/>
  <c r="X1224" i="1"/>
  <c r="AE1223" i="1"/>
  <c r="AD1223" i="1"/>
  <c r="AC1223" i="1"/>
  <c r="AB1223" i="1"/>
  <c r="AA1223" i="1"/>
  <c r="Y1223" i="1"/>
  <c r="Z1223" i="1" s="1"/>
  <c r="X1223" i="1"/>
  <c r="AE1222" i="1"/>
  <c r="AD1222" i="1"/>
  <c r="AC1222" i="1"/>
  <c r="AB1222" i="1"/>
  <c r="AA1222" i="1"/>
  <c r="Y1222" i="1"/>
  <c r="Z1222" i="1" s="1"/>
  <c r="X1222" i="1"/>
  <c r="AE1221" i="1"/>
  <c r="AD1221" i="1"/>
  <c r="AC1221" i="1"/>
  <c r="AB1221" i="1"/>
  <c r="AA1221" i="1"/>
  <c r="Y1221" i="1"/>
  <c r="Z1221" i="1" s="1"/>
  <c r="X1221" i="1"/>
  <c r="AE1220" i="1"/>
  <c r="AD1220" i="1"/>
  <c r="AC1220" i="1"/>
  <c r="AB1220" i="1"/>
  <c r="AA1220" i="1"/>
  <c r="Y1220" i="1"/>
  <c r="Z1220" i="1" s="1"/>
  <c r="X1220" i="1"/>
  <c r="AE1219" i="1"/>
  <c r="AD1219" i="1"/>
  <c r="AC1219" i="1"/>
  <c r="AB1219" i="1"/>
  <c r="AA1219" i="1"/>
  <c r="Y1219" i="1"/>
  <c r="Z1219" i="1" s="1"/>
  <c r="X1219" i="1"/>
  <c r="AE1218" i="1"/>
  <c r="AD1218" i="1"/>
  <c r="AC1218" i="1"/>
  <c r="AB1218" i="1"/>
  <c r="AA1218" i="1"/>
  <c r="Y1218" i="1"/>
  <c r="Z1218" i="1" s="1"/>
  <c r="X1218" i="1"/>
  <c r="AE1217" i="1"/>
  <c r="AD1217" i="1"/>
  <c r="AC1217" i="1"/>
  <c r="AB1217" i="1"/>
  <c r="AA1217" i="1"/>
  <c r="Y1217" i="1"/>
  <c r="Z1217" i="1" s="1"/>
  <c r="X1217" i="1"/>
  <c r="AE1216" i="1"/>
  <c r="AD1216" i="1"/>
  <c r="AC1216" i="1"/>
  <c r="AB1216" i="1"/>
  <c r="AA1216" i="1"/>
  <c r="Y1216" i="1"/>
  <c r="Z1216" i="1" s="1"/>
  <c r="X1216" i="1"/>
  <c r="AE1215" i="1"/>
  <c r="AD1215" i="1"/>
  <c r="AC1215" i="1"/>
  <c r="AB1215" i="1"/>
  <c r="AA1215" i="1"/>
  <c r="Y1215" i="1"/>
  <c r="Z1215" i="1" s="1"/>
  <c r="X1215" i="1"/>
  <c r="AE1214" i="1"/>
  <c r="AD1214" i="1"/>
  <c r="AC1214" i="1"/>
  <c r="AB1214" i="1"/>
  <c r="AA1214" i="1"/>
  <c r="Y1214" i="1"/>
  <c r="Z1214" i="1" s="1"/>
  <c r="X1214" i="1"/>
  <c r="AE1213" i="1"/>
  <c r="AD1213" i="1"/>
  <c r="AC1213" i="1"/>
  <c r="AB1213" i="1"/>
  <c r="AA1213" i="1"/>
  <c r="Y1213" i="1"/>
  <c r="Z1213" i="1" s="1"/>
  <c r="X1213" i="1"/>
  <c r="AE1212" i="1"/>
  <c r="AD1212" i="1"/>
  <c r="AC1212" i="1"/>
  <c r="AB1212" i="1"/>
  <c r="AA1212" i="1"/>
  <c r="Y1212" i="1"/>
  <c r="Z1212" i="1" s="1"/>
  <c r="X1212" i="1"/>
  <c r="AE1211" i="1"/>
  <c r="AD1211" i="1"/>
  <c r="AC1211" i="1"/>
  <c r="AB1211" i="1"/>
  <c r="AA1211" i="1"/>
  <c r="Y1211" i="1"/>
  <c r="Z1211" i="1" s="1"/>
  <c r="X1211" i="1"/>
  <c r="AE1210" i="1"/>
  <c r="AD1210" i="1"/>
  <c r="AC1210" i="1"/>
  <c r="AB1210" i="1"/>
  <c r="AA1210" i="1"/>
  <c r="Y1210" i="1"/>
  <c r="Z1210" i="1" s="1"/>
  <c r="X1210" i="1"/>
  <c r="AE1209" i="1"/>
  <c r="AD1209" i="1"/>
  <c r="AC1209" i="1"/>
  <c r="AB1209" i="1"/>
  <c r="AA1209" i="1"/>
  <c r="Y1209" i="1"/>
  <c r="Z1209" i="1" s="1"/>
  <c r="X1209" i="1"/>
  <c r="AE1208" i="1"/>
  <c r="AD1208" i="1"/>
  <c r="AC1208" i="1"/>
  <c r="AB1208" i="1"/>
  <c r="AA1208" i="1"/>
  <c r="Y1208" i="1"/>
  <c r="Z1208" i="1" s="1"/>
  <c r="X1208" i="1"/>
  <c r="AE1207" i="1"/>
  <c r="AD1207" i="1"/>
  <c r="AC1207" i="1"/>
  <c r="AB1207" i="1"/>
  <c r="AA1207" i="1"/>
  <c r="Y1207" i="1"/>
  <c r="Z1207" i="1" s="1"/>
  <c r="X1207" i="1"/>
  <c r="AE1206" i="1"/>
  <c r="AD1206" i="1"/>
  <c r="AC1206" i="1"/>
  <c r="AB1206" i="1"/>
  <c r="AA1206" i="1"/>
  <c r="Y1206" i="1"/>
  <c r="Z1206" i="1" s="1"/>
  <c r="X1206" i="1"/>
  <c r="AE1205" i="1"/>
  <c r="AD1205" i="1"/>
  <c r="AC1205" i="1"/>
  <c r="AB1205" i="1"/>
  <c r="AA1205" i="1"/>
  <c r="Y1205" i="1"/>
  <c r="Z1205" i="1" s="1"/>
  <c r="X1205" i="1"/>
  <c r="AE1204" i="1"/>
  <c r="AD1204" i="1"/>
  <c r="AC1204" i="1"/>
  <c r="AB1204" i="1"/>
  <c r="AA1204" i="1"/>
  <c r="Y1204" i="1"/>
  <c r="Z1204" i="1" s="1"/>
  <c r="X1204" i="1"/>
  <c r="AE1203" i="1"/>
  <c r="AD1203" i="1"/>
  <c r="AC1203" i="1"/>
  <c r="AB1203" i="1"/>
  <c r="AA1203" i="1"/>
  <c r="Y1203" i="1"/>
  <c r="Z1203" i="1" s="1"/>
  <c r="X1203" i="1"/>
  <c r="AE1202" i="1"/>
  <c r="AD1202" i="1"/>
  <c r="AC1202" i="1"/>
  <c r="AB1202" i="1"/>
  <c r="AA1202" i="1"/>
  <c r="Y1202" i="1"/>
  <c r="Z1202" i="1" s="1"/>
  <c r="X1202" i="1"/>
  <c r="AE1201" i="1"/>
  <c r="AD1201" i="1"/>
  <c r="AC1201" i="1"/>
  <c r="AB1201" i="1"/>
  <c r="AA1201" i="1"/>
  <c r="Y1201" i="1"/>
  <c r="Z1201" i="1" s="1"/>
  <c r="X1201" i="1"/>
  <c r="AE1200" i="1"/>
  <c r="AD1200" i="1"/>
  <c r="AC1200" i="1"/>
  <c r="AB1200" i="1"/>
  <c r="AA1200" i="1"/>
  <c r="Y1200" i="1"/>
  <c r="Z1200" i="1" s="1"/>
  <c r="X1200" i="1"/>
  <c r="AE1199" i="1"/>
  <c r="AD1199" i="1"/>
  <c r="AC1199" i="1"/>
  <c r="AB1199" i="1"/>
  <c r="AA1199" i="1"/>
  <c r="Y1199" i="1"/>
  <c r="Z1199" i="1" s="1"/>
  <c r="X1199" i="1"/>
  <c r="AE1198" i="1"/>
  <c r="AD1198" i="1"/>
  <c r="AC1198" i="1"/>
  <c r="AB1198" i="1"/>
  <c r="AA1198" i="1"/>
  <c r="Y1198" i="1"/>
  <c r="Z1198" i="1" s="1"/>
  <c r="X1198" i="1"/>
  <c r="AE1197" i="1"/>
  <c r="AD1197" i="1"/>
  <c r="AC1197" i="1"/>
  <c r="AB1197" i="1"/>
  <c r="AA1197" i="1"/>
  <c r="Y1197" i="1"/>
  <c r="Z1197" i="1" s="1"/>
  <c r="X1197" i="1"/>
  <c r="AE1196" i="1"/>
  <c r="AD1196" i="1"/>
  <c r="AC1196" i="1"/>
  <c r="AB1196" i="1"/>
  <c r="AA1196" i="1"/>
  <c r="Y1196" i="1"/>
  <c r="Z1196" i="1" s="1"/>
  <c r="X1196" i="1"/>
  <c r="AE1195" i="1"/>
  <c r="AD1195" i="1"/>
  <c r="AC1195" i="1"/>
  <c r="AB1195" i="1"/>
  <c r="AA1195" i="1"/>
  <c r="Y1195" i="1"/>
  <c r="Z1195" i="1" s="1"/>
  <c r="X1195" i="1"/>
  <c r="AE1194" i="1"/>
  <c r="AD1194" i="1"/>
  <c r="AC1194" i="1"/>
  <c r="AB1194" i="1"/>
  <c r="AA1194" i="1"/>
  <c r="Y1194" i="1"/>
  <c r="Z1194" i="1" s="1"/>
  <c r="X1194" i="1"/>
  <c r="AE1193" i="1"/>
  <c r="AD1193" i="1"/>
  <c r="AC1193" i="1"/>
  <c r="AB1193" i="1"/>
  <c r="AA1193" i="1"/>
  <c r="Y1193" i="1"/>
  <c r="Z1193" i="1" s="1"/>
  <c r="X1193" i="1"/>
  <c r="AE1192" i="1"/>
  <c r="AD1192" i="1"/>
  <c r="AC1192" i="1"/>
  <c r="AB1192" i="1"/>
  <c r="AA1192" i="1"/>
  <c r="Y1192" i="1"/>
  <c r="Z1192" i="1" s="1"/>
  <c r="X1192" i="1"/>
  <c r="AE1191" i="1"/>
  <c r="AD1191" i="1"/>
  <c r="AC1191" i="1"/>
  <c r="AB1191" i="1"/>
  <c r="AA1191" i="1"/>
  <c r="Y1191" i="1"/>
  <c r="Z1191" i="1" s="1"/>
  <c r="X1191" i="1"/>
  <c r="AE1190" i="1"/>
  <c r="AD1190" i="1"/>
  <c r="AC1190" i="1"/>
  <c r="AB1190" i="1"/>
  <c r="AA1190" i="1"/>
  <c r="Y1190" i="1"/>
  <c r="Z1190" i="1" s="1"/>
  <c r="X1190" i="1"/>
  <c r="AE1189" i="1"/>
  <c r="AD1189" i="1"/>
  <c r="AC1189" i="1"/>
  <c r="AB1189" i="1"/>
  <c r="AA1189" i="1"/>
  <c r="Y1189" i="1"/>
  <c r="Z1189" i="1" s="1"/>
  <c r="X1189" i="1"/>
  <c r="AE1188" i="1"/>
  <c r="AD1188" i="1"/>
  <c r="AC1188" i="1"/>
  <c r="AB1188" i="1"/>
  <c r="AA1188" i="1"/>
  <c r="Y1188" i="1"/>
  <c r="Z1188" i="1" s="1"/>
  <c r="X1188" i="1"/>
  <c r="AE1187" i="1"/>
  <c r="AD1187" i="1"/>
  <c r="AC1187" i="1"/>
  <c r="AB1187" i="1"/>
  <c r="AA1187" i="1"/>
  <c r="Y1187" i="1"/>
  <c r="Z1187" i="1" s="1"/>
  <c r="X1187" i="1"/>
  <c r="AE1186" i="1"/>
  <c r="AD1186" i="1"/>
  <c r="AC1186" i="1"/>
  <c r="AB1186" i="1"/>
  <c r="AA1186" i="1"/>
  <c r="Y1186" i="1"/>
  <c r="Z1186" i="1" s="1"/>
  <c r="X1186" i="1"/>
  <c r="AE1185" i="1"/>
  <c r="AD1185" i="1"/>
  <c r="AC1185" i="1"/>
  <c r="AB1185" i="1"/>
  <c r="AA1185" i="1"/>
  <c r="Y1185" i="1"/>
  <c r="Z1185" i="1" s="1"/>
  <c r="X1185" i="1"/>
  <c r="AE1184" i="1"/>
  <c r="AD1184" i="1"/>
  <c r="AC1184" i="1"/>
  <c r="AB1184" i="1"/>
  <c r="AA1184" i="1"/>
  <c r="Y1184" i="1"/>
  <c r="Z1184" i="1" s="1"/>
  <c r="X1184" i="1"/>
  <c r="AE1183" i="1"/>
  <c r="AD1183" i="1"/>
  <c r="AC1183" i="1"/>
  <c r="AB1183" i="1"/>
  <c r="AA1183" i="1"/>
  <c r="Y1183" i="1"/>
  <c r="Z1183" i="1" s="1"/>
  <c r="X1183" i="1"/>
  <c r="AE1182" i="1"/>
  <c r="AD1182" i="1"/>
  <c r="AC1182" i="1"/>
  <c r="AB1182" i="1"/>
  <c r="AA1182" i="1"/>
  <c r="Y1182" i="1"/>
  <c r="Z1182" i="1" s="1"/>
  <c r="X1182" i="1"/>
  <c r="AE1181" i="1"/>
  <c r="AD1181" i="1"/>
  <c r="AC1181" i="1"/>
  <c r="AB1181" i="1"/>
  <c r="AA1181" i="1"/>
  <c r="Y1181" i="1"/>
  <c r="Z1181" i="1" s="1"/>
  <c r="X1181" i="1"/>
  <c r="AE1180" i="1"/>
  <c r="AD1180" i="1"/>
  <c r="AC1180" i="1"/>
  <c r="AB1180" i="1"/>
  <c r="AA1180" i="1"/>
  <c r="Y1180" i="1"/>
  <c r="Z1180" i="1" s="1"/>
  <c r="X1180" i="1"/>
  <c r="AE1179" i="1"/>
  <c r="AD1179" i="1"/>
  <c r="AC1179" i="1"/>
  <c r="AB1179" i="1"/>
  <c r="AA1179" i="1"/>
  <c r="Y1179" i="1"/>
  <c r="Z1179" i="1" s="1"/>
  <c r="X1179" i="1"/>
  <c r="AE1178" i="1"/>
  <c r="AD1178" i="1"/>
  <c r="AC1178" i="1"/>
  <c r="AB1178" i="1"/>
  <c r="AA1178" i="1"/>
  <c r="Y1178" i="1"/>
  <c r="Z1178" i="1" s="1"/>
  <c r="X1178" i="1"/>
  <c r="AE1177" i="1"/>
  <c r="AD1177" i="1"/>
  <c r="AC1177" i="1"/>
  <c r="AB1177" i="1"/>
  <c r="AA1177" i="1"/>
  <c r="Y1177" i="1"/>
  <c r="Z1177" i="1" s="1"/>
  <c r="X1177" i="1"/>
  <c r="AE1176" i="1"/>
  <c r="AD1176" i="1"/>
  <c r="AC1176" i="1"/>
  <c r="AB1176" i="1"/>
  <c r="AA1176" i="1"/>
  <c r="Y1176" i="1"/>
  <c r="Z1176" i="1" s="1"/>
  <c r="X1176" i="1"/>
  <c r="AE1175" i="1"/>
  <c r="AD1175" i="1"/>
  <c r="AC1175" i="1"/>
  <c r="AB1175" i="1"/>
  <c r="AA1175" i="1"/>
  <c r="Y1175" i="1"/>
  <c r="Z1175" i="1" s="1"/>
  <c r="X1175" i="1"/>
  <c r="AE1174" i="1"/>
  <c r="AD1174" i="1"/>
  <c r="AC1174" i="1"/>
  <c r="AB1174" i="1"/>
  <c r="AA1174" i="1"/>
  <c r="Y1174" i="1"/>
  <c r="Z1174" i="1" s="1"/>
  <c r="X1174" i="1"/>
  <c r="AE1173" i="1"/>
  <c r="AD1173" i="1"/>
  <c r="AC1173" i="1"/>
  <c r="AB1173" i="1"/>
  <c r="AA1173" i="1"/>
  <c r="Y1173" i="1"/>
  <c r="Z1173" i="1" s="1"/>
  <c r="X1173" i="1"/>
  <c r="AE1172" i="1"/>
  <c r="AD1172" i="1"/>
  <c r="AC1172" i="1"/>
  <c r="AB1172" i="1"/>
  <c r="AA1172" i="1"/>
  <c r="Y1172" i="1"/>
  <c r="Z1172" i="1" s="1"/>
  <c r="X1172" i="1"/>
  <c r="AE1171" i="1"/>
  <c r="AD1171" i="1"/>
  <c r="AC1171" i="1"/>
  <c r="AB1171" i="1"/>
  <c r="AA1171" i="1"/>
  <c r="Y1171" i="1"/>
  <c r="Z1171" i="1" s="1"/>
  <c r="X1171" i="1"/>
  <c r="AE1170" i="1"/>
  <c r="AD1170" i="1"/>
  <c r="AC1170" i="1"/>
  <c r="AB1170" i="1"/>
  <c r="AA1170" i="1"/>
  <c r="Y1170" i="1"/>
  <c r="Z1170" i="1" s="1"/>
  <c r="X1170" i="1"/>
  <c r="AE1169" i="1"/>
  <c r="AD1169" i="1"/>
  <c r="AC1169" i="1"/>
  <c r="AB1169" i="1"/>
  <c r="AA1169" i="1"/>
  <c r="Y1169" i="1"/>
  <c r="Z1169" i="1" s="1"/>
  <c r="X1169" i="1"/>
  <c r="AE1168" i="1"/>
  <c r="AD1168" i="1"/>
  <c r="AC1168" i="1"/>
  <c r="AB1168" i="1"/>
  <c r="AA1168" i="1"/>
  <c r="Y1168" i="1"/>
  <c r="Z1168" i="1" s="1"/>
  <c r="X1168" i="1"/>
  <c r="AE1167" i="1"/>
  <c r="AD1167" i="1"/>
  <c r="AC1167" i="1"/>
  <c r="AB1167" i="1"/>
  <c r="AA1167" i="1"/>
  <c r="Y1167" i="1"/>
  <c r="Z1167" i="1" s="1"/>
  <c r="X1167" i="1"/>
  <c r="AE1166" i="1"/>
  <c r="AD1166" i="1"/>
  <c r="AC1166" i="1"/>
  <c r="AB1166" i="1"/>
  <c r="AA1166" i="1"/>
  <c r="Y1166" i="1"/>
  <c r="Z1166" i="1" s="1"/>
  <c r="X1166" i="1"/>
  <c r="AE1165" i="1"/>
  <c r="AD1165" i="1"/>
  <c r="AC1165" i="1"/>
  <c r="AB1165" i="1"/>
  <c r="AA1165" i="1"/>
  <c r="Y1165" i="1"/>
  <c r="Z1165" i="1" s="1"/>
  <c r="X1165" i="1"/>
  <c r="AE1164" i="1"/>
  <c r="AD1164" i="1"/>
  <c r="AC1164" i="1"/>
  <c r="AB1164" i="1"/>
  <c r="AA1164" i="1"/>
  <c r="Y1164" i="1"/>
  <c r="Z1164" i="1" s="1"/>
  <c r="X1164" i="1"/>
  <c r="AE1163" i="1"/>
  <c r="AD1163" i="1"/>
  <c r="AC1163" i="1"/>
  <c r="AB1163" i="1"/>
  <c r="AA1163" i="1"/>
  <c r="Y1163" i="1"/>
  <c r="Z1163" i="1" s="1"/>
  <c r="X1163" i="1"/>
  <c r="AE1162" i="1"/>
  <c r="AD1162" i="1"/>
  <c r="AC1162" i="1"/>
  <c r="AB1162" i="1"/>
  <c r="AA1162" i="1"/>
  <c r="Y1162" i="1"/>
  <c r="Z1162" i="1" s="1"/>
  <c r="X1162" i="1"/>
  <c r="AE1161" i="1"/>
  <c r="AD1161" i="1"/>
  <c r="AC1161" i="1"/>
  <c r="AB1161" i="1"/>
  <c r="AA1161" i="1"/>
  <c r="Y1161" i="1"/>
  <c r="Z1161" i="1" s="1"/>
  <c r="X1161" i="1"/>
  <c r="AE1160" i="1"/>
  <c r="AD1160" i="1"/>
  <c r="AC1160" i="1"/>
  <c r="AB1160" i="1"/>
  <c r="AA1160" i="1"/>
  <c r="Y1160" i="1"/>
  <c r="Z1160" i="1" s="1"/>
  <c r="X1160" i="1"/>
  <c r="AE1159" i="1"/>
  <c r="AD1159" i="1"/>
  <c r="AC1159" i="1"/>
  <c r="AB1159" i="1"/>
  <c r="AA1159" i="1"/>
  <c r="Y1159" i="1"/>
  <c r="Z1159" i="1" s="1"/>
  <c r="X1159" i="1"/>
  <c r="AE1158" i="1"/>
  <c r="AD1158" i="1"/>
  <c r="AC1158" i="1"/>
  <c r="AB1158" i="1"/>
  <c r="AA1158" i="1"/>
  <c r="Y1158" i="1"/>
  <c r="Z1158" i="1" s="1"/>
  <c r="X1158" i="1"/>
  <c r="AE1157" i="1"/>
  <c r="AD1157" i="1"/>
  <c r="AC1157" i="1"/>
  <c r="AB1157" i="1"/>
  <c r="AA1157" i="1"/>
  <c r="Y1157" i="1"/>
  <c r="Z1157" i="1" s="1"/>
  <c r="X1157" i="1"/>
  <c r="AE1156" i="1"/>
  <c r="AD1156" i="1"/>
  <c r="AC1156" i="1"/>
  <c r="AB1156" i="1"/>
  <c r="AA1156" i="1"/>
  <c r="Y1156" i="1"/>
  <c r="Z1156" i="1" s="1"/>
  <c r="X1156" i="1"/>
  <c r="AE1155" i="1"/>
  <c r="AD1155" i="1"/>
  <c r="AC1155" i="1"/>
  <c r="AB1155" i="1"/>
  <c r="AA1155" i="1"/>
  <c r="Y1155" i="1"/>
  <c r="Z1155" i="1" s="1"/>
  <c r="X1155" i="1"/>
  <c r="AE1154" i="1"/>
  <c r="AD1154" i="1"/>
  <c r="AC1154" i="1"/>
  <c r="AB1154" i="1"/>
  <c r="AA1154" i="1"/>
  <c r="Y1154" i="1"/>
  <c r="Z1154" i="1" s="1"/>
  <c r="X1154" i="1"/>
  <c r="AE1153" i="1"/>
  <c r="AD1153" i="1"/>
  <c r="AC1153" i="1"/>
  <c r="AB1153" i="1"/>
  <c r="AA1153" i="1"/>
  <c r="Y1153" i="1"/>
  <c r="Z1153" i="1" s="1"/>
  <c r="X1153" i="1"/>
  <c r="AE1152" i="1"/>
  <c r="AD1152" i="1"/>
  <c r="AC1152" i="1"/>
  <c r="AB1152" i="1"/>
  <c r="AA1152" i="1"/>
  <c r="Y1152" i="1"/>
  <c r="Z1152" i="1" s="1"/>
  <c r="X1152" i="1"/>
  <c r="AE1151" i="1"/>
  <c r="AD1151" i="1"/>
  <c r="AC1151" i="1"/>
  <c r="AB1151" i="1"/>
  <c r="AA1151" i="1"/>
  <c r="Y1151" i="1"/>
  <c r="Z1151" i="1" s="1"/>
  <c r="X1151" i="1"/>
  <c r="AE1150" i="1"/>
  <c r="AD1150" i="1"/>
  <c r="AC1150" i="1"/>
  <c r="AB1150" i="1"/>
  <c r="AA1150" i="1"/>
  <c r="Y1150" i="1"/>
  <c r="Z1150" i="1" s="1"/>
  <c r="X1150" i="1"/>
  <c r="AE1149" i="1"/>
  <c r="AD1149" i="1"/>
  <c r="AC1149" i="1"/>
  <c r="AB1149" i="1"/>
  <c r="AA1149" i="1"/>
  <c r="Y1149" i="1"/>
  <c r="Z1149" i="1" s="1"/>
  <c r="X1149" i="1"/>
  <c r="AE1148" i="1"/>
  <c r="AD1148" i="1"/>
  <c r="AC1148" i="1"/>
  <c r="AB1148" i="1"/>
  <c r="AA1148" i="1"/>
  <c r="Y1148" i="1"/>
  <c r="Z1148" i="1" s="1"/>
  <c r="X1148" i="1"/>
  <c r="AE1147" i="1"/>
  <c r="AD1147" i="1"/>
  <c r="AC1147" i="1"/>
  <c r="AB1147" i="1"/>
  <c r="AA1147" i="1"/>
  <c r="Y1147" i="1"/>
  <c r="Z1147" i="1" s="1"/>
  <c r="X1147" i="1"/>
  <c r="AE1146" i="1"/>
  <c r="AD1146" i="1"/>
  <c r="AC1146" i="1"/>
  <c r="AB1146" i="1"/>
  <c r="AA1146" i="1"/>
  <c r="Y1146" i="1"/>
  <c r="Z1146" i="1" s="1"/>
  <c r="X1146" i="1"/>
  <c r="AE1145" i="1"/>
  <c r="AD1145" i="1"/>
  <c r="AC1145" i="1"/>
  <c r="AB1145" i="1"/>
  <c r="AA1145" i="1"/>
  <c r="Y1145" i="1"/>
  <c r="Z1145" i="1" s="1"/>
  <c r="X1145" i="1"/>
  <c r="AE1144" i="1"/>
  <c r="AD1144" i="1"/>
  <c r="AC1144" i="1"/>
  <c r="AB1144" i="1"/>
  <c r="AA1144" i="1"/>
  <c r="Y1144" i="1"/>
  <c r="Z1144" i="1" s="1"/>
  <c r="X1144" i="1"/>
  <c r="AE1143" i="1"/>
  <c r="AD1143" i="1"/>
  <c r="AC1143" i="1"/>
  <c r="AB1143" i="1"/>
  <c r="AA1143" i="1"/>
  <c r="Y1143" i="1"/>
  <c r="Z1143" i="1" s="1"/>
  <c r="X1143" i="1"/>
  <c r="AE1142" i="1"/>
  <c r="AD1142" i="1"/>
  <c r="AC1142" i="1"/>
  <c r="AB1142" i="1"/>
  <c r="AA1142" i="1"/>
  <c r="Y1142" i="1"/>
  <c r="Z1142" i="1" s="1"/>
  <c r="X1142" i="1"/>
  <c r="AE1141" i="1"/>
  <c r="AD1141" i="1"/>
  <c r="AC1141" i="1"/>
  <c r="AB1141" i="1"/>
  <c r="AA1141" i="1"/>
  <c r="Y1141" i="1"/>
  <c r="Z1141" i="1" s="1"/>
  <c r="X1141" i="1"/>
  <c r="AE1140" i="1"/>
  <c r="AD1140" i="1"/>
  <c r="AC1140" i="1"/>
  <c r="AB1140" i="1"/>
  <c r="AA1140" i="1"/>
  <c r="Y1140" i="1"/>
  <c r="Z1140" i="1" s="1"/>
  <c r="X1140" i="1"/>
  <c r="AE1139" i="1"/>
  <c r="AD1139" i="1"/>
  <c r="AC1139" i="1"/>
  <c r="AB1139" i="1"/>
  <c r="AA1139" i="1"/>
  <c r="Y1139" i="1"/>
  <c r="Z1139" i="1" s="1"/>
  <c r="X1139" i="1"/>
  <c r="AE1138" i="1"/>
  <c r="AD1138" i="1"/>
  <c r="AC1138" i="1"/>
  <c r="AB1138" i="1"/>
  <c r="AA1138" i="1"/>
  <c r="Y1138" i="1"/>
  <c r="Z1138" i="1" s="1"/>
  <c r="X1138" i="1"/>
  <c r="AE1137" i="1"/>
  <c r="AD1137" i="1"/>
  <c r="AC1137" i="1"/>
  <c r="AB1137" i="1"/>
  <c r="AA1137" i="1"/>
  <c r="Y1137" i="1"/>
  <c r="Z1137" i="1" s="1"/>
  <c r="X1137" i="1"/>
  <c r="AE1136" i="1"/>
  <c r="AD1136" i="1"/>
  <c r="AC1136" i="1"/>
  <c r="AB1136" i="1"/>
  <c r="AA1136" i="1"/>
  <c r="Y1136" i="1"/>
  <c r="Z1136" i="1" s="1"/>
  <c r="X1136" i="1"/>
  <c r="AE1135" i="1"/>
  <c r="AD1135" i="1"/>
  <c r="AC1135" i="1"/>
  <c r="AB1135" i="1"/>
  <c r="AA1135" i="1"/>
  <c r="Y1135" i="1"/>
  <c r="Z1135" i="1" s="1"/>
  <c r="X1135" i="1"/>
  <c r="AE1134" i="1"/>
  <c r="AD1134" i="1"/>
  <c r="AC1134" i="1"/>
  <c r="AB1134" i="1"/>
  <c r="AA1134" i="1"/>
  <c r="Y1134" i="1"/>
  <c r="Z1134" i="1" s="1"/>
  <c r="X1134" i="1"/>
  <c r="AE1133" i="1"/>
  <c r="AD1133" i="1"/>
  <c r="AC1133" i="1"/>
  <c r="AB1133" i="1"/>
  <c r="AA1133" i="1"/>
  <c r="Y1133" i="1"/>
  <c r="Z1133" i="1" s="1"/>
  <c r="X1133" i="1"/>
  <c r="AE1132" i="1"/>
  <c r="AD1132" i="1"/>
  <c r="AC1132" i="1"/>
  <c r="AB1132" i="1"/>
  <c r="AA1132" i="1"/>
  <c r="Y1132" i="1"/>
  <c r="Z1132" i="1" s="1"/>
  <c r="X1132" i="1"/>
  <c r="AE1131" i="1"/>
  <c r="AD1131" i="1"/>
  <c r="AC1131" i="1"/>
  <c r="AB1131" i="1"/>
  <c r="AA1131" i="1"/>
  <c r="Y1131" i="1"/>
  <c r="Z1131" i="1" s="1"/>
  <c r="X1131" i="1"/>
  <c r="AE1130" i="1"/>
  <c r="AD1130" i="1"/>
  <c r="AC1130" i="1"/>
  <c r="AB1130" i="1"/>
  <c r="AA1130" i="1"/>
  <c r="Y1130" i="1"/>
  <c r="Z1130" i="1" s="1"/>
  <c r="X1130" i="1"/>
  <c r="AE1129" i="1"/>
  <c r="AD1129" i="1"/>
  <c r="AC1129" i="1"/>
  <c r="AB1129" i="1"/>
  <c r="AA1129" i="1"/>
  <c r="Y1129" i="1"/>
  <c r="Z1129" i="1" s="1"/>
  <c r="X1129" i="1"/>
  <c r="AE1128" i="1"/>
  <c r="AD1128" i="1"/>
  <c r="AC1128" i="1"/>
  <c r="AB1128" i="1"/>
  <c r="AA1128" i="1"/>
  <c r="Y1128" i="1"/>
  <c r="Z1128" i="1" s="1"/>
  <c r="X1128" i="1"/>
  <c r="AE1127" i="1"/>
  <c r="AD1127" i="1"/>
  <c r="AC1127" i="1"/>
  <c r="AB1127" i="1"/>
  <c r="AA1127" i="1"/>
  <c r="Y1127" i="1"/>
  <c r="Z1127" i="1" s="1"/>
  <c r="X1127" i="1"/>
  <c r="AE1126" i="1"/>
  <c r="AD1126" i="1"/>
  <c r="AC1126" i="1"/>
  <c r="AB1126" i="1"/>
  <c r="AA1126" i="1"/>
  <c r="Y1126" i="1"/>
  <c r="Z1126" i="1" s="1"/>
  <c r="X1126" i="1"/>
  <c r="AE1125" i="1"/>
  <c r="AD1125" i="1"/>
  <c r="AC1125" i="1"/>
  <c r="AB1125" i="1"/>
  <c r="AA1125" i="1"/>
  <c r="Y1125" i="1"/>
  <c r="Z1125" i="1" s="1"/>
  <c r="X1125" i="1"/>
  <c r="AE1124" i="1"/>
  <c r="AD1124" i="1"/>
  <c r="AC1124" i="1"/>
  <c r="AB1124" i="1"/>
  <c r="AA1124" i="1"/>
  <c r="Y1124" i="1"/>
  <c r="Z1124" i="1" s="1"/>
  <c r="X1124" i="1"/>
  <c r="AE1123" i="1"/>
  <c r="AD1123" i="1"/>
  <c r="AC1123" i="1"/>
  <c r="AB1123" i="1"/>
  <c r="AA1123" i="1"/>
  <c r="Y1123" i="1"/>
  <c r="Z1123" i="1" s="1"/>
  <c r="X1123" i="1"/>
  <c r="AE1122" i="1"/>
  <c r="AD1122" i="1"/>
  <c r="AC1122" i="1"/>
  <c r="AB1122" i="1"/>
  <c r="AA1122" i="1"/>
  <c r="Y1122" i="1"/>
  <c r="Z1122" i="1" s="1"/>
  <c r="X1122" i="1"/>
  <c r="AE1121" i="1"/>
  <c r="AD1121" i="1"/>
  <c r="AC1121" i="1"/>
  <c r="AB1121" i="1"/>
  <c r="AA1121" i="1"/>
  <c r="Y1121" i="1"/>
  <c r="Z1121" i="1" s="1"/>
  <c r="X1121" i="1"/>
  <c r="AE1120" i="1"/>
  <c r="AD1120" i="1"/>
  <c r="AC1120" i="1"/>
  <c r="AB1120" i="1"/>
  <c r="AA1120" i="1"/>
  <c r="Y1120" i="1"/>
  <c r="Z1120" i="1" s="1"/>
  <c r="X1120" i="1"/>
  <c r="AE1119" i="1"/>
  <c r="AD1119" i="1"/>
  <c r="AC1119" i="1"/>
  <c r="AB1119" i="1"/>
  <c r="AA1119" i="1"/>
  <c r="Y1119" i="1"/>
  <c r="Z1119" i="1" s="1"/>
  <c r="X1119" i="1"/>
  <c r="AE1118" i="1"/>
  <c r="AD1118" i="1"/>
  <c r="AC1118" i="1"/>
  <c r="AB1118" i="1"/>
  <c r="AA1118" i="1"/>
  <c r="Y1118" i="1"/>
  <c r="Z1118" i="1" s="1"/>
  <c r="X1118" i="1"/>
  <c r="AE1117" i="1"/>
  <c r="AD1117" i="1"/>
  <c r="AC1117" i="1"/>
  <c r="AB1117" i="1"/>
  <c r="AA1117" i="1"/>
  <c r="Y1117" i="1"/>
  <c r="Z1117" i="1" s="1"/>
  <c r="X1117" i="1"/>
  <c r="AE1116" i="1"/>
  <c r="AD1116" i="1"/>
  <c r="AC1116" i="1"/>
  <c r="AB1116" i="1"/>
  <c r="AA1116" i="1"/>
  <c r="Y1116" i="1"/>
  <c r="Z1116" i="1" s="1"/>
  <c r="X1116" i="1"/>
  <c r="AE1115" i="1"/>
  <c r="AD1115" i="1"/>
  <c r="AC1115" i="1"/>
  <c r="AB1115" i="1"/>
  <c r="AA1115" i="1"/>
  <c r="Y1115" i="1"/>
  <c r="Z1115" i="1" s="1"/>
  <c r="X1115" i="1"/>
  <c r="AE1114" i="1"/>
  <c r="AD1114" i="1"/>
  <c r="AC1114" i="1"/>
  <c r="AB1114" i="1"/>
  <c r="AA1114" i="1"/>
  <c r="Y1114" i="1"/>
  <c r="Z1114" i="1" s="1"/>
  <c r="X1114" i="1"/>
  <c r="AE1113" i="1"/>
  <c r="AD1113" i="1"/>
  <c r="AC1113" i="1"/>
  <c r="AB1113" i="1"/>
  <c r="AA1113" i="1"/>
  <c r="Y1113" i="1"/>
  <c r="Z1113" i="1" s="1"/>
  <c r="X1113" i="1"/>
  <c r="AE1112" i="1"/>
  <c r="AD1112" i="1"/>
  <c r="AC1112" i="1"/>
  <c r="AB1112" i="1"/>
  <c r="AA1112" i="1"/>
  <c r="Y1112" i="1"/>
  <c r="Z1112" i="1" s="1"/>
  <c r="X1112" i="1"/>
  <c r="AE1111" i="1"/>
  <c r="AD1111" i="1"/>
  <c r="AC1111" i="1"/>
  <c r="AB1111" i="1"/>
  <c r="AA1111" i="1"/>
  <c r="Y1111" i="1"/>
  <c r="Z1111" i="1" s="1"/>
  <c r="X1111" i="1"/>
  <c r="AE1110" i="1"/>
  <c r="AD1110" i="1"/>
  <c r="AC1110" i="1"/>
  <c r="AB1110" i="1"/>
  <c r="AA1110" i="1"/>
  <c r="Y1110" i="1"/>
  <c r="Z1110" i="1" s="1"/>
  <c r="X1110" i="1"/>
  <c r="AE1109" i="1"/>
  <c r="AD1109" i="1"/>
  <c r="AC1109" i="1"/>
  <c r="AB1109" i="1"/>
  <c r="AA1109" i="1"/>
  <c r="Y1109" i="1"/>
  <c r="Z1109" i="1" s="1"/>
  <c r="X1109" i="1"/>
  <c r="AE1108" i="1"/>
  <c r="AD1108" i="1"/>
  <c r="AC1108" i="1"/>
  <c r="AB1108" i="1"/>
  <c r="AA1108" i="1"/>
  <c r="Y1108" i="1"/>
  <c r="Z1108" i="1" s="1"/>
  <c r="X1108" i="1"/>
  <c r="AE1107" i="1"/>
  <c r="AD1107" i="1"/>
  <c r="AC1107" i="1"/>
  <c r="AB1107" i="1"/>
  <c r="AA1107" i="1"/>
  <c r="Y1107" i="1"/>
  <c r="Z1107" i="1" s="1"/>
  <c r="X1107" i="1"/>
  <c r="AE1106" i="1"/>
  <c r="AD1106" i="1"/>
  <c r="AC1106" i="1"/>
  <c r="AB1106" i="1"/>
  <c r="AA1106" i="1"/>
  <c r="Y1106" i="1"/>
  <c r="Z1106" i="1" s="1"/>
  <c r="X1106" i="1"/>
  <c r="AE1105" i="1"/>
  <c r="AD1105" i="1"/>
  <c r="AC1105" i="1"/>
  <c r="AB1105" i="1"/>
  <c r="AA1105" i="1"/>
  <c r="Y1105" i="1"/>
  <c r="Z1105" i="1" s="1"/>
  <c r="X1105" i="1"/>
  <c r="AE1104" i="1"/>
  <c r="AD1104" i="1"/>
  <c r="AC1104" i="1"/>
  <c r="AB1104" i="1"/>
  <c r="AA1104" i="1"/>
  <c r="Y1104" i="1"/>
  <c r="Z1104" i="1" s="1"/>
  <c r="X1104" i="1"/>
  <c r="AE1103" i="1"/>
  <c r="AD1103" i="1"/>
  <c r="AC1103" i="1"/>
  <c r="AB1103" i="1"/>
  <c r="AA1103" i="1"/>
  <c r="Y1103" i="1"/>
  <c r="Z1103" i="1" s="1"/>
  <c r="X1103" i="1"/>
  <c r="AE1102" i="1"/>
  <c r="AD1102" i="1"/>
  <c r="AC1102" i="1"/>
  <c r="AB1102" i="1"/>
  <c r="AA1102" i="1"/>
  <c r="Y1102" i="1"/>
  <c r="Z1102" i="1" s="1"/>
  <c r="X1102" i="1"/>
  <c r="AE1101" i="1"/>
  <c r="AD1101" i="1"/>
  <c r="AC1101" i="1"/>
  <c r="AB1101" i="1"/>
  <c r="AA1101" i="1"/>
  <c r="Y1101" i="1"/>
  <c r="Z1101" i="1" s="1"/>
  <c r="X1101" i="1"/>
  <c r="AE1100" i="1"/>
  <c r="AD1100" i="1"/>
  <c r="AC1100" i="1"/>
  <c r="AB1100" i="1"/>
  <c r="AA1100" i="1"/>
  <c r="Y1100" i="1"/>
  <c r="Z1100" i="1" s="1"/>
  <c r="X1100" i="1"/>
  <c r="AE1099" i="1"/>
  <c r="AD1099" i="1"/>
  <c r="AC1099" i="1"/>
  <c r="AB1099" i="1"/>
  <c r="AA1099" i="1"/>
  <c r="Y1099" i="1"/>
  <c r="Z1099" i="1" s="1"/>
  <c r="X1099" i="1"/>
  <c r="AE1098" i="1"/>
  <c r="AD1098" i="1"/>
  <c r="AC1098" i="1"/>
  <c r="AB1098" i="1"/>
  <c r="AA1098" i="1"/>
  <c r="Y1098" i="1"/>
  <c r="Z1098" i="1" s="1"/>
  <c r="X1098" i="1"/>
  <c r="AE1097" i="1"/>
  <c r="AD1097" i="1"/>
  <c r="AC1097" i="1"/>
  <c r="AB1097" i="1"/>
  <c r="AA1097" i="1"/>
  <c r="Y1097" i="1"/>
  <c r="Z1097" i="1" s="1"/>
  <c r="X1097" i="1"/>
  <c r="AE1096" i="1"/>
  <c r="AD1096" i="1"/>
  <c r="AC1096" i="1"/>
  <c r="AB1096" i="1"/>
  <c r="AA1096" i="1"/>
  <c r="Y1096" i="1"/>
  <c r="Z1096" i="1" s="1"/>
  <c r="X1096" i="1"/>
  <c r="AE1095" i="1"/>
  <c r="AD1095" i="1"/>
  <c r="AC1095" i="1"/>
  <c r="AB1095" i="1"/>
  <c r="AA1095" i="1"/>
  <c r="Y1095" i="1"/>
  <c r="Z1095" i="1" s="1"/>
  <c r="X1095" i="1"/>
  <c r="AE1094" i="1"/>
  <c r="AD1094" i="1"/>
  <c r="AC1094" i="1"/>
  <c r="AB1094" i="1"/>
  <c r="AA1094" i="1"/>
  <c r="Y1094" i="1"/>
  <c r="Z1094" i="1" s="1"/>
  <c r="X1094" i="1"/>
  <c r="AE1093" i="1"/>
  <c r="AD1093" i="1"/>
  <c r="AC1093" i="1"/>
  <c r="AB1093" i="1"/>
  <c r="AA1093" i="1"/>
  <c r="Y1093" i="1"/>
  <c r="Z1093" i="1" s="1"/>
  <c r="X1093" i="1"/>
  <c r="AE1092" i="1"/>
  <c r="AD1092" i="1"/>
  <c r="AC1092" i="1"/>
  <c r="AB1092" i="1"/>
  <c r="AA1092" i="1"/>
  <c r="Y1092" i="1"/>
  <c r="Z1092" i="1" s="1"/>
  <c r="X1092" i="1"/>
  <c r="AE1091" i="1"/>
  <c r="AD1091" i="1"/>
  <c r="AC1091" i="1"/>
  <c r="AB1091" i="1"/>
  <c r="AA1091" i="1"/>
  <c r="Y1091" i="1"/>
  <c r="Z1091" i="1" s="1"/>
  <c r="X1091" i="1"/>
  <c r="AE1090" i="1"/>
  <c r="AD1090" i="1"/>
  <c r="AC1090" i="1"/>
  <c r="AB1090" i="1"/>
  <c r="AA1090" i="1"/>
  <c r="Y1090" i="1"/>
  <c r="Z1090" i="1" s="1"/>
  <c r="X1090" i="1"/>
  <c r="AE1089" i="1"/>
  <c r="AD1089" i="1"/>
  <c r="AC1089" i="1"/>
  <c r="AB1089" i="1"/>
  <c r="AA1089" i="1"/>
  <c r="Y1089" i="1"/>
  <c r="Z1089" i="1" s="1"/>
  <c r="X1089" i="1"/>
  <c r="AE1088" i="1"/>
  <c r="AD1088" i="1"/>
  <c r="AC1088" i="1"/>
  <c r="AB1088" i="1"/>
  <c r="AA1088" i="1"/>
  <c r="Y1088" i="1"/>
  <c r="Z1088" i="1" s="1"/>
  <c r="X1088" i="1"/>
  <c r="AE1087" i="1"/>
  <c r="AD1087" i="1"/>
  <c r="AC1087" i="1"/>
  <c r="AB1087" i="1"/>
  <c r="AA1087" i="1"/>
  <c r="Y1087" i="1"/>
  <c r="Z1087" i="1" s="1"/>
  <c r="X1087" i="1"/>
  <c r="AE1086" i="1"/>
  <c r="AD1086" i="1"/>
  <c r="AC1086" i="1"/>
  <c r="AB1086" i="1"/>
  <c r="AA1086" i="1"/>
  <c r="Y1086" i="1"/>
  <c r="Z1086" i="1" s="1"/>
  <c r="X1086" i="1"/>
  <c r="AE1085" i="1"/>
  <c r="AD1085" i="1"/>
  <c r="AC1085" i="1"/>
  <c r="AB1085" i="1"/>
  <c r="AA1085" i="1"/>
  <c r="Y1085" i="1"/>
  <c r="Z1085" i="1" s="1"/>
  <c r="X1085" i="1"/>
  <c r="AE1084" i="1"/>
  <c r="AD1084" i="1"/>
  <c r="AC1084" i="1"/>
  <c r="AB1084" i="1"/>
  <c r="AA1084" i="1"/>
  <c r="Y1084" i="1"/>
  <c r="Z1084" i="1" s="1"/>
  <c r="X1084" i="1"/>
  <c r="AE1083" i="1"/>
  <c r="AD1083" i="1"/>
  <c r="AC1083" i="1"/>
  <c r="AB1083" i="1"/>
  <c r="AA1083" i="1"/>
  <c r="Y1083" i="1"/>
  <c r="Z1083" i="1" s="1"/>
  <c r="X1083" i="1"/>
  <c r="AE1082" i="1"/>
  <c r="AD1082" i="1"/>
  <c r="AC1082" i="1"/>
  <c r="AB1082" i="1"/>
  <c r="AA1082" i="1"/>
  <c r="Y1082" i="1"/>
  <c r="Z1082" i="1" s="1"/>
  <c r="X1082" i="1"/>
  <c r="AE1081" i="1"/>
  <c r="AD1081" i="1"/>
  <c r="AC1081" i="1"/>
  <c r="AB1081" i="1"/>
  <c r="AA1081" i="1"/>
  <c r="Y1081" i="1"/>
  <c r="Z1081" i="1" s="1"/>
  <c r="X1081" i="1"/>
  <c r="AE1080" i="1"/>
  <c r="AD1080" i="1"/>
  <c r="AC1080" i="1"/>
  <c r="AB1080" i="1"/>
  <c r="AA1080" i="1"/>
  <c r="Y1080" i="1"/>
  <c r="Z1080" i="1" s="1"/>
  <c r="X1080" i="1"/>
  <c r="AE1079" i="1"/>
  <c r="AD1079" i="1"/>
  <c r="AC1079" i="1"/>
  <c r="AB1079" i="1"/>
  <c r="AA1079" i="1"/>
  <c r="Y1079" i="1"/>
  <c r="Z1079" i="1" s="1"/>
  <c r="X1079" i="1"/>
  <c r="AE1078" i="1"/>
  <c r="AD1078" i="1"/>
  <c r="AC1078" i="1"/>
  <c r="AB1078" i="1"/>
  <c r="AA1078" i="1"/>
  <c r="Y1078" i="1"/>
  <c r="Z1078" i="1" s="1"/>
  <c r="X1078" i="1"/>
  <c r="AE1077" i="1"/>
  <c r="AD1077" i="1"/>
  <c r="AC1077" i="1"/>
  <c r="AB1077" i="1"/>
  <c r="AA1077" i="1"/>
  <c r="Y1077" i="1"/>
  <c r="Z1077" i="1" s="1"/>
  <c r="X1077" i="1"/>
  <c r="AE1076" i="1"/>
  <c r="AD1076" i="1"/>
  <c r="AC1076" i="1"/>
  <c r="AB1076" i="1"/>
  <c r="AA1076" i="1"/>
  <c r="Y1076" i="1"/>
  <c r="Z1076" i="1" s="1"/>
  <c r="X1076" i="1"/>
  <c r="AE1075" i="1"/>
  <c r="AD1075" i="1"/>
  <c r="AC1075" i="1"/>
  <c r="AB1075" i="1"/>
  <c r="AA1075" i="1"/>
  <c r="Y1075" i="1"/>
  <c r="Z1075" i="1" s="1"/>
  <c r="X1075" i="1"/>
  <c r="AE1074" i="1"/>
  <c r="AD1074" i="1"/>
  <c r="AC1074" i="1"/>
  <c r="AB1074" i="1"/>
  <c r="AA1074" i="1"/>
  <c r="Y1074" i="1"/>
  <c r="Z1074" i="1" s="1"/>
  <c r="X1074" i="1"/>
  <c r="AE1073" i="1"/>
  <c r="AD1073" i="1"/>
  <c r="AC1073" i="1"/>
  <c r="AB1073" i="1"/>
  <c r="AA1073" i="1"/>
  <c r="Y1073" i="1"/>
  <c r="Z1073" i="1" s="1"/>
  <c r="X1073" i="1"/>
  <c r="AE1072" i="1"/>
  <c r="AD1072" i="1"/>
  <c r="AC1072" i="1"/>
  <c r="AB1072" i="1"/>
  <c r="AA1072" i="1"/>
  <c r="Y1072" i="1"/>
  <c r="Z1072" i="1" s="1"/>
  <c r="X1072" i="1"/>
  <c r="AE1071" i="1"/>
  <c r="AD1071" i="1"/>
  <c r="AC1071" i="1"/>
  <c r="AB1071" i="1"/>
  <c r="AA1071" i="1"/>
  <c r="Y1071" i="1"/>
  <c r="Z1071" i="1" s="1"/>
  <c r="X1071" i="1"/>
  <c r="AE1070" i="1"/>
  <c r="AD1070" i="1"/>
  <c r="AC1070" i="1"/>
  <c r="AB1070" i="1"/>
  <c r="AA1070" i="1"/>
  <c r="Y1070" i="1"/>
  <c r="Z1070" i="1" s="1"/>
  <c r="X1070" i="1"/>
  <c r="AE1069" i="1"/>
  <c r="AD1069" i="1"/>
  <c r="AC1069" i="1"/>
  <c r="AB1069" i="1"/>
  <c r="AA1069" i="1"/>
  <c r="Y1069" i="1"/>
  <c r="Z1069" i="1" s="1"/>
  <c r="X1069" i="1"/>
  <c r="AE1068" i="1"/>
  <c r="AD1068" i="1"/>
  <c r="AC1068" i="1"/>
  <c r="AB1068" i="1"/>
  <c r="AA1068" i="1"/>
  <c r="Y1068" i="1"/>
  <c r="Z1068" i="1" s="1"/>
  <c r="X1068" i="1"/>
  <c r="AE1067" i="1"/>
  <c r="AD1067" i="1"/>
  <c r="AC1067" i="1"/>
  <c r="AB1067" i="1"/>
  <c r="AA1067" i="1"/>
  <c r="Y1067" i="1"/>
  <c r="Z1067" i="1" s="1"/>
  <c r="X1067" i="1"/>
  <c r="AE1066" i="1"/>
  <c r="AD1066" i="1"/>
  <c r="AC1066" i="1"/>
  <c r="AB1066" i="1"/>
  <c r="AA1066" i="1"/>
  <c r="Y1066" i="1"/>
  <c r="Z1066" i="1" s="1"/>
  <c r="X1066" i="1"/>
  <c r="AE1065" i="1"/>
  <c r="AD1065" i="1"/>
  <c r="AC1065" i="1"/>
  <c r="AB1065" i="1"/>
  <c r="AA1065" i="1"/>
  <c r="Y1065" i="1"/>
  <c r="Z1065" i="1" s="1"/>
  <c r="X1065" i="1"/>
  <c r="AE1064" i="1"/>
  <c r="AD1064" i="1"/>
  <c r="AC1064" i="1"/>
  <c r="AB1064" i="1"/>
  <c r="AA1064" i="1"/>
  <c r="Y1064" i="1"/>
  <c r="Z1064" i="1" s="1"/>
  <c r="X1064" i="1"/>
  <c r="AE1063" i="1"/>
  <c r="AD1063" i="1"/>
  <c r="AC1063" i="1"/>
  <c r="AB1063" i="1"/>
  <c r="AA1063" i="1"/>
  <c r="Y1063" i="1"/>
  <c r="Z1063" i="1" s="1"/>
  <c r="X1063" i="1"/>
  <c r="AE1062" i="1"/>
  <c r="AD1062" i="1"/>
  <c r="AC1062" i="1"/>
  <c r="AB1062" i="1"/>
  <c r="AA1062" i="1"/>
  <c r="Y1062" i="1"/>
  <c r="Z1062" i="1" s="1"/>
  <c r="X1062" i="1"/>
  <c r="AE1061" i="1"/>
  <c r="AD1061" i="1"/>
  <c r="AC1061" i="1"/>
  <c r="AB1061" i="1"/>
  <c r="AA1061" i="1"/>
  <c r="Y1061" i="1"/>
  <c r="Z1061" i="1" s="1"/>
  <c r="X1061" i="1"/>
  <c r="AE1060" i="1"/>
  <c r="AD1060" i="1"/>
  <c r="AC1060" i="1"/>
  <c r="AB1060" i="1"/>
  <c r="AA1060" i="1"/>
  <c r="Y1060" i="1"/>
  <c r="Z1060" i="1" s="1"/>
  <c r="X1060" i="1"/>
  <c r="AE1059" i="1"/>
  <c r="AD1059" i="1"/>
  <c r="AC1059" i="1"/>
  <c r="AB1059" i="1"/>
  <c r="AA1059" i="1"/>
  <c r="Y1059" i="1"/>
  <c r="Z1059" i="1" s="1"/>
  <c r="X1059" i="1"/>
  <c r="AE1058" i="1"/>
  <c r="AD1058" i="1"/>
  <c r="AC1058" i="1"/>
  <c r="AB1058" i="1"/>
  <c r="AA1058" i="1"/>
  <c r="Y1058" i="1"/>
  <c r="Z1058" i="1" s="1"/>
  <c r="X1058" i="1"/>
  <c r="AE1057" i="1"/>
  <c r="AD1057" i="1"/>
  <c r="AC1057" i="1"/>
  <c r="AB1057" i="1"/>
  <c r="AA1057" i="1"/>
  <c r="Y1057" i="1"/>
  <c r="Z1057" i="1" s="1"/>
  <c r="X1057" i="1"/>
  <c r="AE1056" i="1"/>
  <c r="AD1056" i="1"/>
  <c r="AC1056" i="1"/>
  <c r="AB1056" i="1"/>
  <c r="AA1056" i="1"/>
  <c r="Y1056" i="1"/>
  <c r="Z1056" i="1" s="1"/>
  <c r="X1056" i="1"/>
  <c r="AE1055" i="1"/>
  <c r="AD1055" i="1"/>
  <c r="AC1055" i="1"/>
  <c r="AB1055" i="1"/>
  <c r="AA1055" i="1"/>
  <c r="Y1055" i="1"/>
  <c r="Z1055" i="1" s="1"/>
  <c r="X1055" i="1"/>
  <c r="AE1054" i="1"/>
  <c r="AD1054" i="1"/>
  <c r="AC1054" i="1"/>
  <c r="AB1054" i="1"/>
  <c r="AA1054" i="1"/>
  <c r="Y1054" i="1"/>
  <c r="Z1054" i="1" s="1"/>
  <c r="X1054" i="1"/>
  <c r="AE1053" i="1"/>
  <c r="AD1053" i="1"/>
  <c r="AC1053" i="1"/>
  <c r="AB1053" i="1"/>
  <c r="AA1053" i="1"/>
  <c r="Y1053" i="1"/>
  <c r="Z1053" i="1" s="1"/>
  <c r="X1053" i="1"/>
  <c r="AE1052" i="1"/>
  <c r="AD1052" i="1"/>
  <c r="AC1052" i="1"/>
  <c r="AB1052" i="1"/>
  <c r="AA1052" i="1"/>
  <c r="Y1052" i="1"/>
  <c r="Z1052" i="1" s="1"/>
  <c r="X1052" i="1"/>
  <c r="AE1051" i="1"/>
  <c r="AD1051" i="1"/>
  <c r="AC1051" i="1"/>
  <c r="AB1051" i="1"/>
  <c r="AA1051" i="1"/>
  <c r="Y1051" i="1"/>
  <c r="Z1051" i="1" s="1"/>
  <c r="X1051" i="1"/>
  <c r="AE1050" i="1"/>
  <c r="AD1050" i="1"/>
  <c r="AC1050" i="1"/>
  <c r="AB1050" i="1"/>
  <c r="AA1050" i="1"/>
  <c r="Y1050" i="1"/>
  <c r="Z1050" i="1" s="1"/>
  <c r="X1050" i="1"/>
  <c r="AE1049" i="1"/>
  <c r="AD1049" i="1"/>
  <c r="AC1049" i="1"/>
  <c r="AB1049" i="1"/>
  <c r="AA1049" i="1"/>
  <c r="Y1049" i="1"/>
  <c r="Z1049" i="1" s="1"/>
  <c r="X1049" i="1"/>
  <c r="AE1048" i="1"/>
  <c r="AD1048" i="1"/>
  <c r="AC1048" i="1"/>
  <c r="AB1048" i="1"/>
  <c r="AA1048" i="1"/>
  <c r="Y1048" i="1"/>
  <c r="Z1048" i="1" s="1"/>
  <c r="X1048" i="1"/>
  <c r="AE1047" i="1"/>
  <c r="AD1047" i="1"/>
  <c r="AC1047" i="1"/>
  <c r="AB1047" i="1"/>
  <c r="AA1047" i="1"/>
  <c r="Y1047" i="1"/>
  <c r="Z1047" i="1" s="1"/>
  <c r="X1047" i="1"/>
  <c r="AE1046" i="1"/>
  <c r="AD1046" i="1"/>
  <c r="AC1046" i="1"/>
  <c r="AB1046" i="1"/>
  <c r="AA1046" i="1"/>
  <c r="Y1046" i="1"/>
  <c r="Z1046" i="1" s="1"/>
  <c r="X1046" i="1"/>
  <c r="AE1045" i="1"/>
  <c r="AD1045" i="1"/>
  <c r="AC1045" i="1"/>
  <c r="AB1045" i="1"/>
  <c r="AA1045" i="1"/>
  <c r="Y1045" i="1"/>
  <c r="Z1045" i="1" s="1"/>
  <c r="X1045" i="1"/>
  <c r="AE1044" i="1"/>
  <c r="AD1044" i="1"/>
  <c r="AC1044" i="1"/>
  <c r="AB1044" i="1"/>
  <c r="AA1044" i="1"/>
  <c r="Y1044" i="1"/>
  <c r="Z1044" i="1" s="1"/>
  <c r="X1044" i="1"/>
  <c r="AE1043" i="1"/>
  <c r="AD1043" i="1"/>
  <c r="AC1043" i="1"/>
  <c r="AB1043" i="1"/>
  <c r="AA1043" i="1"/>
  <c r="Y1043" i="1"/>
  <c r="Z1043" i="1" s="1"/>
  <c r="X1043" i="1"/>
  <c r="AE1042" i="1"/>
  <c r="AD1042" i="1"/>
  <c r="AC1042" i="1"/>
  <c r="AB1042" i="1"/>
  <c r="AA1042" i="1"/>
  <c r="Y1042" i="1"/>
  <c r="Z1042" i="1" s="1"/>
  <c r="X1042" i="1"/>
  <c r="AE1041" i="1"/>
  <c r="AD1041" i="1"/>
  <c r="AC1041" i="1"/>
  <c r="AB1041" i="1"/>
  <c r="AA1041" i="1"/>
  <c r="Y1041" i="1"/>
  <c r="Z1041" i="1" s="1"/>
  <c r="X1041" i="1"/>
  <c r="AE1040" i="1"/>
  <c r="AD1040" i="1"/>
  <c r="AC1040" i="1"/>
  <c r="AB1040" i="1"/>
  <c r="AA1040" i="1"/>
  <c r="Y1040" i="1"/>
  <c r="Z1040" i="1" s="1"/>
  <c r="X1040" i="1"/>
  <c r="AE1039" i="1"/>
  <c r="AD1039" i="1"/>
  <c r="AC1039" i="1"/>
  <c r="AB1039" i="1"/>
  <c r="AA1039" i="1"/>
  <c r="Y1039" i="1"/>
  <c r="Z1039" i="1" s="1"/>
  <c r="X1039" i="1"/>
  <c r="AE1038" i="1"/>
  <c r="AD1038" i="1"/>
  <c r="AC1038" i="1"/>
  <c r="AB1038" i="1"/>
  <c r="AA1038" i="1"/>
  <c r="Y1038" i="1"/>
  <c r="Z1038" i="1" s="1"/>
  <c r="X1038" i="1"/>
  <c r="AE1037" i="1"/>
  <c r="AD1037" i="1"/>
  <c r="AC1037" i="1"/>
  <c r="AB1037" i="1"/>
  <c r="AA1037" i="1"/>
  <c r="Y1037" i="1"/>
  <c r="Z1037" i="1" s="1"/>
  <c r="X1037" i="1"/>
  <c r="AE1036" i="1"/>
  <c r="AD1036" i="1"/>
  <c r="AC1036" i="1"/>
  <c r="AB1036" i="1"/>
  <c r="AA1036" i="1"/>
  <c r="Y1036" i="1"/>
  <c r="Z1036" i="1" s="1"/>
  <c r="X1036" i="1"/>
  <c r="AE1035" i="1"/>
  <c r="AD1035" i="1"/>
  <c r="AC1035" i="1"/>
  <c r="AB1035" i="1"/>
  <c r="AA1035" i="1"/>
  <c r="Y1035" i="1"/>
  <c r="Z1035" i="1" s="1"/>
  <c r="X1035" i="1"/>
  <c r="AE1034" i="1"/>
  <c r="AD1034" i="1"/>
  <c r="AC1034" i="1"/>
  <c r="AB1034" i="1"/>
  <c r="AA1034" i="1"/>
  <c r="Y1034" i="1"/>
  <c r="Z1034" i="1" s="1"/>
  <c r="X1034" i="1"/>
  <c r="AE1033" i="1"/>
  <c r="AD1033" i="1"/>
  <c r="AC1033" i="1"/>
  <c r="AB1033" i="1"/>
  <c r="AA1033" i="1"/>
  <c r="Y1033" i="1"/>
  <c r="Z1033" i="1" s="1"/>
  <c r="X1033" i="1"/>
  <c r="AE1032" i="1"/>
  <c r="AD1032" i="1"/>
  <c r="AC1032" i="1"/>
  <c r="AB1032" i="1"/>
  <c r="AA1032" i="1"/>
  <c r="Y1032" i="1"/>
  <c r="Z1032" i="1" s="1"/>
  <c r="X1032" i="1"/>
  <c r="AE1031" i="1"/>
  <c r="AD1031" i="1"/>
  <c r="AC1031" i="1"/>
  <c r="AB1031" i="1"/>
  <c r="AA1031" i="1"/>
  <c r="Y1031" i="1"/>
  <c r="Z1031" i="1" s="1"/>
  <c r="X1031" i="1"/>
  <c r="AE1030" i="1"/>
  <c r="AD1030" i="1"/>
  <c r="AC1030" i="1"/>
  <c r="AB1030" i="1"/>
  <c r="AA1030" i="1"/>
  <c r="Y1030" i="1"/>
  <c r="Z1030" i="1" s="1"/>
  <c r="X1030" i="1"/>
  <c r="AE1029" i="1"/>
  <c r="AD1029" i="1"/>
  <c r="AC1029" i="1"/>
  <c r="AB1029" i="1"/>
  <c r="AA1029" i="1"/>
  <c r="Y1029" i="1"/>
  <c r="Z1029" i="1" s="1"/>
  <c r="X1029" i="1"/>
  <c r="AE1028" i="1"/>
  <c r="AD1028" i="1"/>
  <c r="AC1028" i="1"/>
  <c r="AB1028" i="1"/>
  <c r="AA1028" i="1"/>
  <c r="Y1028" i="1"/>
  <c r="Z1028" i="1" s="1"/>
  <c r="X1028" i="1"/>
  <c r="AE1027" i="1"/>
  <c r="AD1027" i="1"/>
  <c r="AC1027" i="1"/>
  <c r="AB1027" i="1"/>
  <c r="AA1027" i="1"/>
  <c r="Y1027" i="1"/>
  <c r="Z1027" i="1" s="1"/>
  <c r="X1027" i="1"/>
  <c r="AE1026" i="1"/>
  <c r="AD1026" i="1"/>
  <c r="AC1026" i="1"/>
  <c r="AB1026" i="1"/>
  <c r="AA1026" i="1"/>
  <c r="Y1026" i="1"/>
  <c r="Z1026" i="1" s="1"/>
  <c r="X1026" i="1"/>
  <c r="AE1025" i="1"/>
  <c r="AD1025" i="1"/>
  <c r="AC1025" i="1"/>
  <c r="AB1025" i="1"/>
  <c r="AA1025" i="1"/>
  <c r="Y1025" i="1"/>
  <c r="Z1025" i="1" s="1"/>
  <c r="X1025" i="1"/>
  <c r="AE1024" i="1"/>
  <c r="AD1024" i="1"/>
  <c r="AC1024" i="1"/>
  <c r="AB1024" i="1"/>
  <c r="AA1024" i="1"/>
  <c r="Y1024" i="1"/>
  <c r="Z1024" i="1" s="1"/>
  <c r="X1024" i="1"/>
  <c r="AE1023" i="1"/>
  <c r="AD1023" i="1"/>
  <c r="AC1023" i="1"/>
  <c r="AB1023" i="1"/>
  <c r="AA1023" i="1"/>
  <c r="Y1023" i="1"/>
  <c r="Z1023" i="1" s="1"/>
  <c r="X1023" i="1"/>
  <c r="AE1022" i="1"/>
  <c r="AD1022" i="1"/>
  <c r="AC1022" i="1"/>
  <c r="AB1022" i="1"/>
  <c r="AA1022" i="1"/>
  <c r="Y1022" i="1"/>
  <c r="Z1022" i="1" s="1"/>
  <c r="X1022" i="1"/>
  <c r="AE1021" i="1"/>
  <c r="AD1021" i="1"/>
  <c r="AC1021" i="1"/>
  <c r="AB1021" i="1"/>
  <c r="AA1021" i="1"/>
  <c r="Y1021" i="1"/>
  <c r="Z1021" i="1" s="1"/>
  <c r="X1021" i="1"/>
  <c r="AE1020" i="1"/>
  <c r="AD1020" i="1"/>
  <c r="AC1020" i="1"/>
  <c r="AB1020" i="1"/>
  <c r="AA1020" i="1"/>
  <c r="Y1020" i="1"/>
  <c r="Z1020" i="1" s="1"/>
  <c r="X1020" i="1"/>
  <c r="AE1019" i="1"/>
  <c r="AD1019" i="1"/>
  <c r="AC1019" i="1"/>
  <c r="AB1019" i="1"/>
  <c r="AA1019" i="1"/>
  <c r="Y1019" i="1"/>
  <c r="Z1019" i="1" s="1"/>
  <c r="X1019" i="1"/>
  <c r="AE1018" i="1"/>
  <c r="AD1018" i="1"/>
  <c r="AC1018" i="1"/>
  <c r="AB1018" i="1"/>
  <c r="AA1018" i="1"/>
  <c r="Y1018" i="1"/>
  <c r="Z1018" i="1" s="1"/>
  <c r="X1018" i="1"/>
  <c r="AE1017" i="1"/>
  <c r="AD1017" i="1"/>
  <c r="AC1017" i="1"/>
  <c r="AB1017" i="1"/>
  <c r="AA1017" i="1"/>
  <c r="Y1017" i="1"/>
  <c r="Z1017" i="1" s="1"/>
  <c r="X1017" i="1"/>
  <c r="AE1016" i="1"/>
  <c r="AD1016" i="1"/>
  <c r="AC1016" i="1"/>
  <c r="AB1016" i="1"/>
  <c r="AA1016" i="1"/>
  <c r="Y1016" i="1"/>
  <c r="Z1016" i="1" s="1"/>
  <c r="X1016" i="1"/>
  <c r="AE1015" i="1"/>
  <c r="AD1015" i="1"/>
  <c r="AC1015" i="1"/>
  <c r="AB1015" i="1"/>
  <c r="AA1015" i="1"/>
  <c r="Y1015" i="1"/>
  <c r="Z1015" i="1" s="1"/>
  <c r="X1015" i="1"/>
  <c r="AE1014" i="1"/>
  <c r="AD1014" i="1"/>
  <c r="AC1014" i="1"/>
  <c r="AB1014" i="1"/>
  <c r="AA1014" i="1"/>
  <c r="Y1014" i="1"/>
  <c r="Z1014" i="1" s="1"/>
  <c r="X1014" i="1"/>
  <c r="AE1013" i="1"/>
  <c r="AD1013" i="1"/>
  <c r="AC1013" i="1"/>
  <c r="AB1013" i="1"/>
  <c r="AA1013" i="1"/>
  <c r="Y1013" i="1"/>
  <c r="Z1013" i="1" s="1"/>
  <c r="X1013" i="1"/>
  <c r="AE1012" i="1"/>
  <c r="AD1012" i="1"/>
  <c r="AC1012" i="1"/>
  <c r="AB1012" i="1"/>
  <c r="AA1012" i="1"/>
  <c r="Y1012" i="1"/>
  <c r="Z1012" i="1" s="1"/>
  <c r="X1012" i="1"/>
  <c r="AE1011" i="1"/>
  <c r="AD1011" i="1"/>
  <c r="AC1011" i="1"/>
  <c r="AB1011" i="1"/>
  <c r="AA1011" i="1"/>
  <c r="Y1011" i="1"/>
  <c r="Z1011" i="1" s="1"/>
  <c r="X1011" i="1"/>
  <c r="AE1010" i="1"/>
  <c r="AD1010" i="1"/>
  <c r="AC1010" i="1"/>
  <c r="AB1010" i="1"/>
  <c r="AA1010" i="1"/>
  <c r="Y1010" i="1"/>
  <c r="Z1010" i="1" s="1"/>
  <c r="X1010" i="1"/>
  <c r="AE1009" i="1"/>
  <c r="AD1009" i="1"/>
  <c r="AC1009" i="1"/>
  <c r="AB1009" i="1"/>
  <c r="AA1009" i="1"/>
  <c r="Y1009" i="1"/>
  <c r="Z1009" i="1" s="1"/>
  <c r="X1009" i="1"/>
  <c r="AE1008" i="1"/>
  <c r="AD1008" i="1"/>
  <c r="AC1008" i="1"/>
  <c r="AB1008" i="1"/>
  <c r="AA1008" i="1"/>
  <c r="Y1008" i="1"/>
  <c r="Z1008" i="1" s="1"/>
  <c r="X1008" i="1"/>
  <c r="AE1007" i="1"/>
  <c r="AD1007" i="1"/>
  <c r="AC1007" i="1"/>
  <c r="AB1007" i="1"/>
  <c r="AA1007" i="1"/>
  <c r="Y1007" i="1"/>
  <c r="Z1007" i="1" s="1"/>
  <c r="X1007" i="1"/>
  <c r="AE1006" i="1"/>
  <c r="AD1006" i="1"/>
  <c r="AC1006" i="1"/>
  <c r="AB1006" i="1"/>
  <c r="AA1006" i="1"/>
  <c r="Y1006" i="1"/>
  <c r="Z1006" i="1" s="1"/>
  <c r="X1006" i="1"/>
  <c r="AE1005" i="1"/>
  <c r="AD1005" i="1"/>
  <c r="AC1005" i="1"/>
  <c r="AB1005" i="1"/>
  <c r="AA1005" i="1"/>
  <c r="Y1005" i="1"/>
  <c r="Z1005" i="1" s="1"/>
  <c r="X1005" i="1"/>
  <c r="AE1004" i="1"/>
  <c r="AD1004" i="1"/>
  <c r="AC1004" i="1"/>
  <c r="AB1004" i="1"/>
  <c r="AA1004" i="1"/>
  <c r="Y1004" i="1"/>
  <c r="Z1004" i="1" s="1"/>
  <c r="X1004" i="1"/>
  <c r="AE1003" i="1"/>
  <c r="AD1003" i="1"/>
  <c r="AC1003" i="1"/>
  <c r="AB1003" i="1"/>
  <c r="AA1003" i="1"/>
  <c r="Y1003" i="1"/>
  <c r="Z1003" i="1" s="1"/>
  <c r="X1003" i="1"/>
  <c r="AE1002" i="1"/>
  <c r="AD1002" i="1"/>
  <c r="AC1002" i="1"/>
  <c r="AB1002" i="1"/>
  <c r="AA1002" i="1"/>
  <c r="Y1002" i="1"/>
  <c r="Z1002" i="1" s="1"/>
  <c r="X1002" i="1"/>
  <c r="AE1001" i="1"/>
  <c r="AD1001" i="1"/>
  <c r="AC1001" i="1"/>
  <c r="AB1001" i="1"/>
  <c r="AA1001" i="1"/>
  <c r="Y1001" i="1"/>
  <c r="Z1001" i="1" s="1"/>
  <c r="X1001" i="1"/>
  <c r="AE1000" i="1"/>
  <c r="AD1000" i="1"/>
  <c r="AC1000" i="1"/>
  <c r="AB1000" i="1"/>
  <c r="AA1000" i="1"/>
  <c r="Y1000" i="1"/>
  <c r="Z1000" i="1" s="1"/>
  <c r="X1000" i="1"/>
  <c r="AE999" i="1"/>
  <c r="AD999" i="1"/>
  <c r="AC999" i="1"/>
  <c r="AB999" i="1"/>
  <c r="AA999" i="1"/>
  <c r="Y999" i="1"/>
  <c r="Z999" i="1" s="1"/>
  <c r="X999" i="1"/>
  <c r="AE998" i="1"/>
  <c r="AD998" i="1"/>
  <c r="AC998" i="1"/>
  <c r="AB998" i="1"/>
  <c r="AA998" i="1"/>
  <c r="Y998" i="1"/>
  <c r="Z998" i="1" s="1"/>
  <c r="X998" i="1"/>
  <c r="AE997" i="1"/>
  <c r="AD997" i="1"/>
  <c r="AC997" i="1"/>
  <c r="AB997" i="1"/>
  <c r="AA997" i="1"/>
  <c r="Y997" i="1"/>
  <c r="Z997" i="1" s="1"/>
  <c r="X997" i="1"/>
  <c r="AE996" i="1"/>
  <c r="AD996" i="1"/>
  <c r="AC996" i="1"/>
  <c r="AB996" i="1"/>
  <c r="AA996" i="1"/>
  <c r="Y996" i="1"/>
  <c r="Z996" i="1" s="1"/>
  <c r="X996" i="1"/>
  <c r="AE995" i="1"/>
  <c r="AD995" i="1"/>
  <c r="AC995" i="1"/>
  <c r="AB995" i="1"/>
  <c r="AA995" i="1"/>
  <c r="Y995" i="1"/>
  <c r="Z995" i="1" s="1"/>
  <c r="X995" i="1"/>
  <c r="AE994" i="1"/>
  <c r="AD994" i="1"/>
  <c r="AC994" i="1"/>
  <c r="AB994" i="1"/>
  <c r="AA994" i="1"/>
  <c r="Y994" i="1"/>
  <c r="Z994" i="1" s="1"/>
  <c r="X994" i="1"/>
  <c r="AE993" i="1"/>
  <c r="AD993" i="1"/>
  <c r="AC993" i="1"/>
  <c r="AB993" i="1"/>
  <c r="AA993" i="1"/>
  <c r="Y993" i="1"/>
  <c r="Z993" i="1" s="1"/>
  <c r="X993" i="1"/>
  <c r="AE992" i="1"/>
  <c r="AD992" i="1"/>
  <c r="AC992" i="1"/>
  <c r="AB992" i="1"/>
  <c r="AA992" i="1"/>
  <c r="Y992" i="1"/>
  <c r="Z992" i="1" s="1"/>
  <c r="X992" i="1"/>
  <c r="AE991" i="1"/>
  <c r="AD991" i="1"/>
  <c r="AC991" i="1"/>
  <c r="AB991" i="1"/>
  <c r="AA991" i="1"/>
  <c r="Y991" i="1"/>
  <c r="Z991" i="1" s="1"/>
  <c r="X991" i="1"/>
  <c r="AE990" i="1"/>
  <c r="AD990" i="1"/>
  <c r="AC990" i="1"/>
  <c r="AB990" i="1"/>
  <c r="AA990" i="1"/>
  <c r="Y990" i="1"/>
  <c r="Z990" i="1" s="1"/>
  <c r="X990" i="1"/>
  <c r="AE989" i="1"/>
  <c r="AD989" i="1"/>
  <c r="AC989" i="1"/>
  <c r="AB989" i="1"/>
  <c r="AA989" i="1"/>
  <c r="Y989" i="1"/>
  <c r="Z989" i="1" s="1"/>
  <c r="X989" i="1"/>
  <c r="AE988" i="1"/>
  <c r="AD988" i="1"/>
  <c r="AC988" i="1"/>
  <c r="AB988" i="1"/>
  <c r="AA988" i="1"/>
  <c r="Y988" i="1"/>
  <c r="Z988" i="1" s="1"/>
  <c r="X988" i="1"/>
  <c r="AE987" i="1"/>
  <c r="AD987" i="1"/>
  <c r="AC987" i="1"/>
  <c r="AB987" i="1"/>
  <c r="AA987" i="1"/>
  <c r="Y987" i="1"/>
  <c r="Z987" i="1" s="1"/>
  <c r="X987" i="1"/>
  <c r="AE986" i="1"/>
  <c r="AD986" i="1"/>
  <c r="AC986" i="1"/>
  <c r="AB986" i="1"/>
  <c r="AA986" i="1"/>
  <c r="Y986" i="1"/>
  <c r="Z986" i="1" s="1"/>
  <c r="X986" i="1"/>
  <c r="AE985" i="1"/>
  <c r="AD985" i="1"/>
  <c r="AC985" i="1"/>
  <c r="AB985" i="1"/>
  <c r="AA985" i="1"/>
  <c r="Y985" i="1"/>
  <c r="Z985" i="1" s="1"/>
  <c r="X985" i="1"/>
  <c r="AE984" i="1"/>
  <c r="AD984" i="1"/>
  <c r="AC984" i="1"/>
  <c r="AB984" i="1"/>
  <c r="AA984" i="1"/>
  <c r="Y984" i="1"/>
  <c r="Z984" i="1" s="1"/>
  <c r="X984" i="1"/>
  <c r="AE983" i="1"/>
  <c r="AD983" i="1"/>
  <c r="AC983" i="1"/>
  <c r="AB983" i="1"/>
  <c r="AA983" i="1"/>
  <c r="Y983" i="1"/>
  <c r="Z983" i="1" s="1"/>
  <c r="X983" i="1"/>
  <c r="AE982" i="1"/>
  <c r="AD982" i="1"/>
  <c r="AC982" i="1"/>
  <c r="AB982" i="1"/>
  <c r="AA982" i="1"/>
  <c r="Y982" i="1"/>
  <c r="Z982" i="1" s="1"/>
  <c r="X982" i="1"/>
  <c r="AE981" i="1"/>
  <c r="AD981" i="1"/>
  <c r="AC981" i="1"/>
  <c r="AB981" i="1"/>
  <c r="AA981" i="1"/>
  <c r="Y981" i="1"/>
  <c r="Z981" i="1" s="1"/>
  <c r="X981" i="1"/>
  <c r="AE980" i="1"/>
  <c r="AD980" i="1"/>
  <c r="AC980" i="1"/>
  <c r="AB980" i="1"/>
  <c r="AA980" i="1"/>
  <c r="Y980" i="1"/>
  <c r="Z980" i="1" s="1"/>
  <c r="X980" i="1"/>
  <c r="AE979" i="1"/>
  <c r="AD979" i="1"/>
  <c r="AC979" i="1"/>
  <c r="AB979" i="1"/>
  <c r="AA979" i="1"/>
  <c r="Y979" i="1"/>
  <c r="Z979" i="1" s="1"/>
  <c r="X979" i="1"/>
  <c r="AE978" i="1"/>
  <c r="AD978" i="1"/>
  <c r="AC978" i="1"/>
  <c r="AB978" i="1"/>
  <c r="AA978" i="1"/>
  <c r="Y978" i="1"/>
  <c r="Z978" i="1" s="1"/>
  <c r="X978" i="1"/>
  <c r="AE977" i="1"/>
  <c r="AD977" i="1"/>
  <c r="AC977" i="1"/>
  <c r="AB977" i="1"/>
  <c r="AA977" i="1"/>
  <c r="Y977" i="1"/>
  <c r="Z977" i="1" s="1"/>
  <c r="X977" i="1"/>
  <c r="AE976" i="1"/>
  <c r="AD976" i="1"/>
  <c r="AC976" i="1"/>
  <c r="AB976" i="1"/>
  <c r="AA976" i="1"/>
  <c r="Y976" i="1"/>
  <c r="Z976" i="1" s="1"/>
  <c r="X976" i="1"/>
  <c r="AE975" i="1"/>
  <c r="AD975" i="1"/>
  <c r="AC975" i="1"/>
  <c r="AB975" i="1"/>
  <c r="AA975" i="1"/>
  <c r="Y975" i="1"/>
  <c r="Z975" i="1" s="1"/>
  <c r="X975" i="1"/>
  <c r="AE974" i="1"/>
  <c r="AD974" i="1"/>
  <c r="AC974" i="1"/>
  <c r="AB974" i="1"/>
  <c r="AA974" i="1"/>
  <c r="Y974" i="1"/>
  <c r="Z974" i="1" s="1"/>
  <c r="X974" i="1"/>
  <c r="AE973" i="1"/>
  <c r="AD973" i="1"/>
  <c r="AC973" i="1"/>
  <c r="AB973" i="1"/>
  <c r="AA973" i="1"/>
  <c r="Y973" i="1"/>
  <c r="Z973" i="1" s="1"/>
  <c r="X973" i="1"/>
  <c r="AE972" i="1"/>
  <c r="AD972" i="1"/>
  <c r="AC972" i="1"/>
  <c r="AB972" i="1"/>
  <c r="AA972" i="1"/>
  <c r="Y972" i="1"/>
  <c r="Z972" i="1" s="1"/>
  <c r="X972" i="1"/>
  <c r="AE971" i="1"/>
  <c r="AD971" i="1"/>
  <c r="AC971" i="1"/>
  <c r="AB971" i="1"/>
  <c r="AA971" i="1"/>
  <c r="Y971" i="1"/>
  <c r="Z971" i="1" s="1"/>
  <c r="X971" i="1"/>
  <c r="AE970" i="1"/>
  <c r="AD970" i="1"/>
  <c r="AC970" i="1"/>
  <c r="AB970" i="1"/>
  <c r="AA970" i="1"/>
  <c r="Y970" i="1"/>
  <c r="Z970" i="1" s="1"/>
  <c r="X970" i="1"/>
  <c r="AE969" i="1"/>
  <c r="AD969" i="1"/>
  <c r="AC969" i="1"/>
  <c r="AB969" i="1"/>
  <c r="AA969" i="1"/>
  <c r="Y969" i="1"/>
  <c r="Z969" i="1" s="1"/>
  <c r="X969" i="1"/>
  <c r="AE968" i="1"/>
  <c r="AD968" i="1"/>
  <c r="AC968" i="1"/>
  <c r="AB968" i="1"/>
  <c r="AA968" i="1"/>
  <c r="Y968" i="1"/>
  <c r="Z968" i="1" s="1"/>
  <c r="X968" i="1"/>
  <c r="AE967" i="1"/>
  <c r="AD967" i="1"/>
  <c r="AC967" i="1"/>
  <c r="AB967" i="1"/>
  <c r="AA967" i="1"/>
  <c r="Y967" i="1"/>
  <c r="Z967" i="1" s="1"/>
  <c r="X967" i="1"/>
  <c r="AE966" i="1"/>
  <c r="AD966" i="1"/>
  <c r="AC966" i="1"/>
  <c r="AB966" i="1"/>
  <c r="AA966" i="1"/>
  <c r="Y966" i="1"/>
  <c r="Z966" i="1" s="1"/>
  <c r="X966" i="1"/>
  <c r="AE965" i="1"/>
  <c r="AD965" i="1"/>
  <c r="AC965" i="1"/>
  <c r="AB965" i="1"/>
  <c r="AA965" i="1"/>
  <c r="Y965" i="1"/>
  <c r="Z965" i="1" s="1"/>
  <c r="X965" i="1"/>
  <c r="AE964" i="1"/>
  <c r="AD964" i="1"/>
  <c r="AC964" i="1"/>
  <c r="AB964" i="1"/>
  <c r="AA964" i="1"/>
  <c r="Y964" i="1"/>
  <c r="Z964" i="1" s="1"/>
  <c r="X964" i="1"/>
  <c r="AE963" i="1"/>
  <c r="AD963" i="1"/>
  <c r="AC963" i="1"/>
  <c r="AB963" i="1"/>
  <c r="AA963" i="1"/>
  <c r="Y963" i="1"/>
  <c r="Z963" i="1" s="1"/>
  <c r="X963" i="1"/>
  <c r="AE962" i="1"/>
  <c r="AD962" i="1"/>
  <c r="AC962" i="1"/>
  <c r="AB962" i="1"/>
  <c r="AA962" i="1"/>
  <c r="Y962" i="1"/>
  <c r="Z962" i="1" s="1"/>
  <c r="X962" i="1"/>
  <c r="AE961" i="1"/>
  <c r="AD961" i="1"/>
  <c r="AC961" i="1"/>
  <c r="AB961" i="1"/>
  <c r="AA961" i="1"/>
  <c r="Y961" i="1"/>
  <c r="Z961" i="1" s="1"/>
  <c r="X961" i="1"/>
  <c r="AE960" i="1"/>
  <c r="AD960" i="1"/>
  <c r="AC960" i="1"/>
  <c r="AB960" i="1"/>
  <c r="AA960" i="1"/>
  <c r="Y960" i="1"/>
  <c r="Z960" i="1" s="1"/>
  <c r="X960" i="1"/>
  <c r="AE959" i="1"/>
  <c r="AD959" i="1"/>
  <c r="AC959" i="1"/>
  <c r="AB959" i="1"/>
  <c r="AA959" i="1"/>
  <c r="Y959" i="1"/>
  <c r="Z959" i="1" s="1"/>
  <c r="X959" i="1"/>
  <c r="AE958" i="1"/>
  <c r="AD958" i="1"/>
  <c r="AC958" i="1"/>
  <c r="AB958" i="1"/>
  <c r="AA958" i="1"/>
  <c r="Y958" i="1"/>
  <c r="Z958" i="1" s="1"/>
  <c r="X958" i="1"/>
  <c r="AE957" i="1"/>
  <c r="AD957" i="1"/>
  <c r="AC957" i="1"/>
  <c r="AB957" i="1"/>
  <c r="AA957" i="1"/>
  <c r="Y957" i="1"/>
  <c r="Z957" i="1" s="1"/>
  <c r="X957" i="1"/>
  <c r="AE956" i="1"/>
  <c r="AD956" i="1"/>
  <c r="AC956" i="1"/>
  <c r="AB956" i="1"/>
  <c r="AA956" i="1"/>
  <c r="Y956" i="1"/>
  <c r="Z956" i="1" s="1"/>
  <c r="X956" i="1"/>
  <c r="AE955" i="1"/>
  <c r="AD955" i="1"/>
  <c r="AC955" i="1"/>
  <c r="AB955" i="1"/>
  <c r="AA955" i="1"/>
  <c r="Y955" i="1"/>
  <c r="Z955" i="1" s="1"/>
  <c r="X955" i="1"/>
  <c r="AE954" i="1"/>
  <c r="AD954" i="1"/>
  <c r="AC954" i="1"/>
  <c r="AB954" i="1"/>
  <c r="AA954" i="1"/>
  <c r="Y954" i="1"/>
  <c r="Z954" i="1" s="1"/>
  <c r="X954" i="1"/>
  <c r="AE953" i="1"/>
  <c r="AD953" i="1"/>
  <c r="AC953" i="1"/>
  <c r="AB953" i="1"/>
  <c r="AA953" i="1"/>
  <c r="Y953" i="1"/>
  <c r="Z953" i="1" s="1"/>
  <c r="X953" i="1"/>
  <c r="AE952" i="1"/>
  <c r="AD952" i="1"/>
  <c r="AC952" i="1"/>
  <c r="AB952" i="1"/>
  <c r="AA952" i="1"/>
  <c r="Y952" i="1"/>
  <c r="Z952" i="1" s="1"/>
  <c r="X952" i="1"/>
  <c r="AE951" i="1"/>
  <c r="AD951" i="1"/>
  <c r="AC951" i="1"/>
  <c r="AB951" i="1"/>
  <c r="AA951" i="1"/>
  <c r="Y951" i="1"/>
  <c r="Z951" i="1" s="1"/>
  <c r="X951" i="1"/>
  <c r="AE950" i="1"/>
  <c r="AD950" i="1"/>
  <c r="AC950" i="1"/>
  <c r="AB950" i="1"/>
  <c r="AA950" i="1"/>
  <c r="Y950" i="1"/>
  <c r="Z950" i="1" s="1"/>
  <c r="X950" i="1"/>
  <c r="AE949" i="1"/>
  <c r="AD949" i="1"/>
  <c r="AC949" i="1"/>
  <c r="AB949" i="1"/>
  <c r="AA949" i="1"/>
  <c r="Y949" i="1"/>
  <c r="Z949" i="1" s="1"/>
  <c r="X949" i="1"/>
  <c r="AE948" i="1"/>
  <c r="AD948" i="1"/>
  <c r="AC948" i="1"/>
  <c r="AB948" i="1"/>
  <c r="AA948" i="1"/>
  <c r="Y948" i="1"/>
  <c r="Z948" i="1" s="1"/>
  <c r="X948" i="1"/>
  <c r="AE947" i="1"/>
  <c r="AD947" i="1"/>
  <c r="AC947" i="1"/>
  <c r="AB947" i="1"/>
  <c r="AA947" i="1"/>
  <c r="Y947" i="1"/>
  <c r="Z947" i="1" s="1"/>
  <c r="X947" i="1"/>
  <c r="AE946" i="1"/>
  <c r="AD946" i="1"/>
  <c r="AC946" i="1"/>
  <c r="AB946" i="1"/>
  <c r="AA946" i="1"/>
  <c r="Y946" i="1"/>
  <c r="Z946" i="1" s="1"/>
  <c r="X946" i="1"/>
  <c r="AE945" i="1"/>
  <c r="AD945" i="1"/>
  <c r="AC945" i="1"/>
  <c r="AB945" i="1"/>
  <c r="AA945" i="1"/>
  <c r="Y945" i="1"/>
  <c r="Z945" i="1" s="1"/>
  <c r="X945" i="1"/>
  <c r="AE944" i="1"/>
  <c r="AD944" i="1"/>
  <c r="AC944" i="1"/>
  <c r="AB944" i="1"/>
  <c r="AA944" i="1"/>
  <c r="Y944" i="1"/>
  <c r="Z944" i="1" s="1"/>
  <c r="X944" i="1"/>
  <c r="AE943" i="1"/>
  <c r="AD943" i="1"/>
  <c r="AC943" i="1"/>
  <c r="AB943" i="1"/>
  <c r="AA943" i="1"/>
  <c r="Y943" i="1"/>
  <c r="Z943" i="1" s="1"/>
  <c r="X943" i="1"/>
  <c r="AE942" i="1"/>
  <c r="AD942" i="1"/>
  <c r="AC942" i="1"/>
  <c r="AB942" i="1"/>
  <c r="AA942" i="1"/>
  <c r="Y942" i="1"/>
  <c r="Z942" i="1" s="1"/>
  <c r="X942" i="1"/>
  <c r="AE941" i="1"/>
  <c r="AD941" i="1"/>
  <c r="AC941" i="1"/>
  <c r="AB941" i="1"/>
  <c r="AA941" i="1"/>
  <c r="Y941" i="1"/>
  <c r="Z941" i="1" s="1"/>
  <c r="X941" i="1"/>
  <c r="AE940" i="1"/>
  <c r="AD940" i="1"/>
  <c r="AC940" i="1"/>
  <c r="AB940" i="1"/>
  <c r="AA940" i="1"/>
  <c r="Y940" i="1"/>
  <c r="Z940" i="1" s="1"/>
  <c r="X940" i="1"/>
  <c r="AE939" i="1"/>
  <c r="AD939" i="1"/>
  <c r="AC939" i="1"/>
  <c r="AB939" i="1"/>
  <c r="AA939" i="1"/>
  <c r="Y939" i="1"/>
  <c r="Z939" i="1" s="1"/>
  <c r="X939" i="1"/>
  <c r="AE938" i="1"/>
  <c r="AD938" i="1"/>
  <c r="AC938" i="1"/>
  <c r="AB938" i="1"/>
  <c r="AA938" i="1"/>
  <c r="Y938" i="1"/>
  <c r="Z938" i="1" s="1"/>
  <c r="X938" i="1"/>
  <c r="AE937" i="1"/>
  <c r="AD937" i="1"/>
  <c r="AC937" i="1"/>
  <c r="AB937" i="1"/>
  <c r="AA937" i="1"/>
  <c r="Y937" i="1"/>
  <c r="Z937" i="1" s="1"/>
  <c r="X937" i="1"/>
  <c r="AE936" i="1"/>
  <c r="AD936" i="1"/>
  <c r="AC936" i="1"/>
  <c r="AB936" i="1"/>
  <c r="AA936" i="1"/>
  <c r="Y936" i="1"/>
  <c r="Z936" i="1" s="1"/>
  <c r="X936" i="1"/>
  <c r="AE935" i="1"/>
  <c r="AD935" i="1"/>
  <c r="AC935" i="1"/>
  <c r="AB935" i="1"/>
  <c r="AA935" i="1"/>
  <c r="Y935" i="1"/>
  <c r="Z935" i="1" s="1"/>
  <c r="X935" i="1"/>
  <c r="AE934" i="1"/>
  <c r="AD934" i="1"/>
  <c r="AC934" i="1"/>
  <c r="AB934" i="1"/>
  <c r="AA934" i="1"/>
  <c r="Y934" i="1"/>
  <c r="Z934" i="1" s="1"/>
  <c r="X934" i="1"/>
  <c r="AE933" i="1"/>
  <c r="AD933" i="1"/>
  <c r="AC933" i="1"/>
  <c r="AB933" i="1"/>
  <c r="AA933" i="1"/>
  <c r="Y933" i="1"/>
  <c r="Z933" i="1" s="1"/>
  <c r="X933" i="1"/>
  <c r="AE932" i="1"/>
  <c r="AD932" i="1"/>
  <c r="AC932" i="1"/>
  <c r="AB932" i="1"/>
  <c r="AA932" i="1"/>
  <c r="Y932" i="1"/>
  <c r="Z932" i="1" s="1"/>
  <c r="X932" i="1"/>
  <c r="AE931" i="1"/>
  <c r="AD931" i="1"/>
  <c r="AC931" i="1"/>
  <c r="AB931" i="1"/>
  <c r="AA931" i="1"/>
  <c r="Y931" i="1"/>
  <c r="Z931" i="1" s="1"/>
  <c r="X931" i="1"/>
  <c r="AE930" i="1"/>
  <c r="AD930" i="1"/>
  <c r="AC930" i="1"/>
  <c r="AB930" i="1"/>
  <c r="AA930" i="1"/>
  <c r="Y930" i="1"/>
  <c r="Z930" i="1" s="1"/>
  <c r="X930" i="1"/>
  <c r="AE929" i="1"/>
  <c r="AD929" i="1"/>
  <c r="AC929" i="1"/>
  <c r="AB929" i="1"/>
  <c r="AA929" i="1"/>
  <c r="Y929" i="1"/>
  <c r="Z929" i="1" s="1"/>
  <c r="X929" i="1"/>
  <c r="AE928" i="1"/>
  <c r="AD928" i="1"/>
  <c r="AC928" i="1"/>
  <c r="AB928" i="1"/>
  <c r="AA928" i="1"/>
  <c r="Y928" i="1"/>
  <c r="Z928" i="1" s="1"/>
  <c r="X928" i="1"/>
  <c r="AE927" i="1"/>
  <c r="AD927" i="1"/>
  <c r="AC927" i="1"/>
  <c r="AB927" i="1"/>
  <c r="AA927" i="1"/>
  <c r="Y927" i="1"/>
  <c r="Z927" i="1" s="1"/>
  <c r="X927" i="1"/>
  <c r="AE926" i="1"/>
  <c r="AD926" i="1"/>
  <c r="AC926" i="1"/>
  <c r="AB926" i="1"/>
  <c r="AA926" i="1"/>
  <c r="Y926" i="1"/>
  <c r="Z926" i="1" s="1"/>
  <c r="X926" i="1"/>
  <c r="AE925" i="1"/>
  <c r="AD925" i="1"/>
  <c r="AC925" i="1"/>
  <c r="AB925" i="1"/>
  <c r="AA925" i="1"/>
  <c r="Y925" i="1"/>
  <c r="Z925" i="1" s="1"/>
  <c r="X925" i="1"/>
  <c r="AE924" i="1"/>
  <c r="AD924" i="1"/>
  <c r="AC924" i="1"/>
  <c r="AB924" i="1"/>
  <c r="AA924" i="1"/>
  <c r="Y924" i="1"/>
  <c r="Z924" i="1" s="1"/>
  <c r="X924" i="1"/>
  <c r="AE923" i="1"/>
  <c r="AD923" i="1"/>
  <c r="AC923" i="1"/>
  <c r="AB923" i="1"/>
  <c r="AA923" i="1"/>
  <c r="Y923" i="1"/>
  <c r="Z923" i="1" s="1"/>
  <c r="X923" i="1"/>
  <c r="AE922" i="1"/>
  <c r="AD922" i="1"/>
  <c r="AC922" i="1"/>
  <c r="AB922" i="1"/>
  <c r="AA922" i="1"/>
  <c r="Y922" i="1"/>
  <c r="Z922" i="1" s="1"/>
  <c r="X922" i="1"/>
  <c r="AE921" i="1"/>
  <c r="AD921" i="1"/>
  <c r="AC921" i="1"/>
  <c r="AB921" i="1"/>
  <c r="AA921" i="1"/>
  <c r="Y921" i="1"/>
  <c r="Z921" i="1" s="1"/>
  <c r="X921" i="1"/>
  <c r="AE920" i="1"/>
  <c r="AD920" i="1"/>
  <c r="AC920" i="1"/>
  <c r="AB920" i="1"/>
  <c r="AA920" i="1"/>
  <c r="Y920" i="1"/>
  <c r="Z920" i="1" s="1"/>
  <c r="X920" i="1"/>
  <c r="AE919" i="1"/>
  <c r="AD919" i="1"/>
  <c r="AC919" i="1"/>
  <c r="AB919" i="1"/>
  <c r="AA919" i="1"/>
  <c r="Y919" i="1"/>
  <c r="Z919" i="1" s="1"/>
  <c r="X919" i="1"/>
  <c r="AE918" i="1"/>
  <c r="AD918" i="1"/>
  <c r="AC918" i="1"/>
  <c r="AB918" i="1"/>
  <c r="AA918" i="1"/>
  <c r="Y918" i="1"/>
  <c r="Z918" i="1" s="1"/>
  <c r="X918" i="1"/>
  <c r="AE917" i="1"/>
  <c r="AD917" i="1"/>
  <c r="AC917" i="1"/>
  <c r="AB917" i="1"/>
  <c r="AA917" i="1"/>
  <c r="Y917" i="1"/>
  <c r="Z917" i="1" s="1"/>
  <c r="X917" i="1"/>
  <c r="AE916" i="1"/>
  <c r="AD916" i="1"/>
  <c r="AC916" i="1"/>
  <c r="AB916" i="1"/>
  <c r="AA916" i="1"/>
  <c r="Y916" i="1"/>
  <c r="Z916" i="1" s="1"/>
  <c r="X916" i="1"/>
  <c r="AE915" i="1"/>
  <c r="AD915" i="1"/>
  <c r="AC915" i="1"/>
  <c r="AB915" i="1"/>
  <c r="AA915" i="1"/>
  <c r="Y915" i="1"/>
  <c r="Z915" i="1" s="1"/>
  <c r="X915" i="1"/>
  <c r="AE914" i="1"/>
  <c r="AD914" i="1"/>
  <c r="AC914" i="1"/>
  <c r="AB914" i="1"/>
  <c r="AA914" i="1"/>
  <c r="Y914" i="1"/>
  <c r="Z914" i="1" s="1"/>
  <c r="X914" i="1"/>
  <c r="AE913" i="1"/>
  <c r="AD913" i="1"/>
  <c r="AC913" i="1"/>
  <c r="AB913" i="1"/>
  <c r="AA913" i="1"/>
  <c r="Y913" i="1"/>
  <c r="Z913" i="1" s="1"/>
  <c r="X913" i="1"/>
  <c r="AE912" i="1"/>
  <c r="AD912" i="1"/>
  <c r="AC912" i="1"/>
  <c r="AB912" i="1"/>
  <c r="AA912" i="1"/>
  <c r="Y912" i="1"/>
  <c r="Z912" i="1" s="1"/>
  <c r="X912" i="1"/>
  <c r="AE911" i="1"/>
  <c r="AD911" i="1"/>
  <c r="AC911" i="1"/>
  <c r="AB911" i="1"/>
  <c r="AA911" i="1"/>
  <c r="Y911" i="1"/>
  <c r="Z911" i="1" s="1"/>
  <c r="X911" i="1"/>
  <c r="AE910" i="1"/>
  <c r="AD910" i="1"/>
  <c r="AC910" i="1"/>
  <c r="AB910" i="1"/>
  <c r="AA910" i="1"/>
  <c r="Y910" i="1"/>
  <c r="Z910" i="1" s="1"/>
  <c r="X910" i="1"/>
  <c r="AE909" i="1"/>
  <c r="AD909" i="1"/>
  <c r="AC909" i="1"/>
  <c r="AB909" i="1"/>
  <c r="AA909" i="1"/>
  <c r="Y909" i="1"/>
  <c r="Z909" i="1" s="1"/>
  <c r="X909" i="1"/>
  <c r="AE908" i="1"/>
  <c r="AD908" i="1"/>
  <c r="AC908" i="1"/>
  <c r="AB908" i="1"/>
  <c r="AA908" i="1"/>
  <c r="Y908" i="1"/>
  <c r="Z908" i="1" s="1"/>
  <c r="X908" i="1"/>
  <c r="AE907" i="1"/>
  <c r="AD907" i="1"/>
  <c r="AC907" i="1"/>
  <c r="AB907" i="1"/>
  <c r="AA907" i="1"/>
  <c r="Y907" i="1"/>
  <c r="Z907" i="1" s="1"/>
  <c r="X907" i="1"/>
  <c r="AE906" i="1"/>
  <c r="AD906" i="1"/>
  <c r="AC906" i="1"/>
  <c r="AB906" i="1"/>
  <c r="AA906" i="1"/>
  <c r="Y906" i="1"/>
  <c r="Z906" i="1" s="1"/>
  <c r="X906" i="1"/>
  <c r="AE905" i="1"/>
  <c r="AD905" i="1"/>
  <c r="AC905" i="1"/>
  <c r="AB905" i="1"/>
  <c r="AA905" i="1"/>
  <c r="Y905" i="1"/>
  <c r="Z905" i="1" s="1"/>
  <c r="X905" i="1"/>
  <c r="AE904" i="1"/>
  <c r="AD904" i="1"/>
  <c r="AC904" i="1"/>
  <c r="AB904" i="1"/>
  <c r="AA904" i="1"/>
  <c r="Y904" i="1"/>
  <c r="Z904" i="1" s="1"/>
  <c r="X904" i="1"/>
  <c r="AE903" i="1"/>
  <c r="AD903" i="1"/>
  <c r="AC903" i="1"/>
  <c r="AB903" i="1"/>
  <c r="AA903" i="1"/>
  <c r="Y903" i="1"/>
  <c r="Z903" i="1" s="1"/>
  <c r="X903" i="1"/>
  <c r="AE902" i="1"/>
  <c r="AD902" i="1"/>
  <c r="AC902" i="1"/>
  <c r="AB902" i="1"/>
  <c r="AA902" i="1"/>
  <c r="Y902" i="1"/>
  <c r="Z902" i="1" s="1"/>
  <c r="X902" i="1"/>
  <c r="AE901" i="1"/>
  <c r="AD901" i="1"/>
  <c r="AC901" i="1"/>
  <c r="AB901" i="1"/>
  <c r="AA901" i="1"/>
  <c r="Y901" i="1"/>
  <c r="Z901" i="1" s="1"/>
  <c r="X901" i="1"/>
  <c r="AE900" i="1"/>
  <c r="AD900" i="1"/>
  <c r="AC900" i="1"/>
  <c r="AB900" i="1"/>
  <c r="AA900" i="1"/>
  <c r="Y900" i="1"/>
  <c r="Z900" i="1" s="1"/>
  <c r="X900" i="1"/>
  <c r="AE899" i="1"/>
  <c r="AD899" i="1"/>
  <c r="AC899" i="1"/>
  <c r="AB899" i="1"/>
  <c r="AA899" i="1"/>
  <c r="Y899" i="1"/>
  <c r="Z899" i="1" s="1"/>
  <c r="X899" i="1"/>
  <c r="AE898" i="1"/>
  <c r="AD898" i="1"/>
  <c r="AC898" i="1"/>
  <c r="AB898" i="1"/>
  <c r="AA898" i="1"/>
  <c r="Y898" i="1"/>
  <c r="Z898" i="1" s="1"/>
  <c r="X898" i="1"/>
  <c r="AE897" i="1"/>
  <c r="AD897" i="1"/>
  <c r="AC897" i="1"/>
  <c r="AB897" i="1"/>
  <c r="AA897" i="1"/>
  <c r="Y897" i="1"/>
  <c r="Z897" i="1" s="1"/>
  <c r="X897" i="1"/>
  <c r="AE896" i="1"/>
  <c r="AD896" i="1"/>
  <c r="AC896" i="1"/>
  <c r="AB896" i="1"/>
  <c r="AA896" i="1"/>
  <c r="Y896" i="1"/>
  <c r="Z896" i="1" s="1"/>
  <c r="X896" i="1"/>
  <c r="AE895" i="1"/>
  <c r="AD895" i="1"/>
  <c r="AC895" i="1"/>
  <c r="AB895" i="1"/>
  <c r="AA895" i="1"/>
  <c r="Y895" i="1"/>
  <c r="Z895" i="1" s="1"/>
  <c r="X895" i="1"/>
  <c r="AE894" i="1"/>
  <c r="AD894" i="1"/>
  <c r="AC894" i="1"/>
  <c r="AB894" i="1"/>
  <c r="AA894" i="1"/>
  <c r="Y894" i="1"/>
  <c r="Z894" i="1" s="1"/>
  <c r="X894" i="1"/>
  <c r="AE893" i="1"/>
  <c r="AD893" i="1"/>
  <c r="AC893" i="1"/>
  <c r="AB893" i="1"/>
  <c r="AA893" i="1"/>
  <c r="Y893" i="1"/>
  <c r="Z893" i="1" s="1"/>
  <c r="X893" i="1"/>
  <c r="AE892" i="1"/>
  <c r="AD892" i="1"/>
  <c r="AC892" i="1"/>
  <c r="AB892" i="1"/>
  <c r="AA892" i="1"/>
  <c r="Y892" i="1"/>
  <c r="Z892" i="1" s="1"/>
  <c r="X892" i="1"/>
  <c r="AE891" i="1"/>
  <c r="AD891" i="1"/>
  <c r="AC891" i="1"/>
  <c r="AB891" i="1"/>
  <c r="AA891" i="1"/>
  <c r="Y891" i="1"/>
  <c r="Z891" i="1" s="1"/>
  <c r="X891" i="1"/>
  <c r="AE890" i="1"/>
  <c r="AD890" i="1"/>
  <c r="AC890" i="1"/>
  <c r="AB890" i="1"/>
  <c r="AA890" i="1"/>
  <c r="Y890" i="1"/>
  <c r="Z890" i="1" s="1"/>
  <c r="X890" i="1"/>
  <c r="AE889" i="1"/>
  <c r="AD889" i="1"/>
  <c r="AC889" i="1"/>
  <c r="AB889" i="1"/>
  <c r="AA889" i="1"/>
  <c r="Y889" i="1"/>
  <c r="Z889" i="1" s="1"/>
  <c r="X889" i="1"/>
  <c r="AE888" i="1"/>
  <c r="AD888" i="1"/>
  <c r="AC888" i="1"/>
  <c r="AB888" i="1"/>
  <c r="AA888" i="1"/>
  <c r="Y888" i="1"/>
  <c r="Z888" i="1" s="1"/>
  <c r="X888" i="1"/>
  <c r="AE887" i="1"/>
  <c r="AD887" i="1"/>
  <c r="AC887" i="1"/>
  <c r="AB887" i="1"/>
  <c r="AA887" i="1"/>
  <c r="Y887" i="1"/>
  <c r="Z887" i="1" s="1"/>
  <c r="X887" i="1"/>
  <c r="AE886" i="1"/>
  <c r="AD886" i="1"/>
  <c r="AC886" i="1"/>
  <c r="AB886" i="1"/>
  <c r="AA886" i="1"/>
  <c r="Y886" i="1"/>
  <c r="Z886" i="1" s="1"/>
  <c r="X886" i="1"/>
  <c r="AE885" i="1"/>
  <c r="AD885" i="1"/>
  <c r="AC885" i="1"/>
  <c r="AB885" i="1"/>
  <c r="AA885" i="1"/>
  <c r="Y885" i="1"/>
  <c r="Z885" i="1" s="1"/>
  <c r="X885" i="1"/>
  <c r="AE884" i="1"/>
  <c r="AD884" i="1"/>
  <c r="AC884" i="1"/>
  <c r="AB884" i="1"/>
  <c r="AA884" i="1"/>
  <c r="Y884" i="1"/>
  <c r="Z884" i="1" s="1"/>
  <c r="X884" i="1"/>
  <c r="AE883" i="1"/>
  <c r="AD883" i="1"/>
  <c r="AC883" i="1"/>
  <c r="AB883" i="1"/>
  <c r="AA883" i="1"/>
  <c r="Y883" i="1"/>
  <c r="Z883" i="1" s="1"/>
  <c r="X883" i="1"/>
  <c r="AE882" i="1"/>
  <c r="AD882" i="1"/>
  <c r="AC882" i="1"/>
  <c r="AB882" i="1"/>
  <c r="AA882" i="1"/>
  <c r="Y882" i="1"/>
  <c r="Z882" i="1" s="1"/>
  <c r="X882" i="1"/>
  <c r="AE881" i="1"/>
  <c r="AD881" i="1"/>
  <c r="AC881" i="1"/>
  <c r="AB881" i="1"/>
  <c r="AA881" i="1"/>
  <c r="Y881" i="1"/>
  <c r="Z881" i="1" s="1"/>
  <c r="X881" i="1"/>
  <c r="AE880" i="1"/>
  <c r="AD880" i="1"/>
  <c r="AC880" i="1"/>
  <c r="AB880" i="1"/>
  <c r="AA880" i="1"/>
  <c r="Y880" i="1"/>
  <c r="Z880" i="1" s="1"/>
  <c r="X880" i="1"/>
  <c r="AE879" i="1"/>
  <c r="AD879" i="1"/>
  <c r="AC879" i="1"/>
  <c r="AB879" i="1"/>
  <c r="AA879" i="1"/>
  <c r="Y879" i="1"/>
  <c r="Z879" i="1" s="1"/>
  <c r="X879" i="1"/>
  <c r="AE878" i="1"/>
  <c r="AD878" i="1"/>
  <c r="AC878" i="1"/>
  <c r="AB878" i="1"/>
  <c r="AA878" i="1"/>
  <c r="Y878" i="1"/>
  <c r="Z878" i="1" s="1"/>
  <c r="X878" i="1"/>
  <c r="AE877" i="1"/>
  <c r="AD877" i="1"/>
  <c r="AC877" i="1"/>
  <c r="AB877" i="1"/>
  <c r="AA877" i="1"/>
  <c r="Y877" i="1"/>
  <c r="Z877" i="1" s="1"/>
  <c r="X877" i="1"/>
  <c r="AE876" i="1"/>
  <c r="AD876" i="1"/>
  <c r="AC876" i="1"/>
  <c r="AB876" i="1"/>
  <c r="AA876" i="1"/>
  <c r="Y876" i="1"/>
  <c r="Z876" i="1" s="1"/>
  <c r="X876" i="1"/>
  <c r="AE875" i="1"/>
  <c r="AD875" i="1"/>
  <c r="AC875" i="1"/>
  <c r="AB875" i="1"/>
  <c r="AA875" i="1"/>
  <c r="Y875" i="1"/>
  <c r="Z875" i="1" s="1"/>
  <c r="X875" i="1"/>
  <c r="AE874" i="1"/>
  <c r="AD874" i="1"/>
  <c r="AC874" i="1"/>
  <c r="AB874" i="1"/>
  <c r="AA874" i="1"/>
  <c r="Y874" i="1"/>
  <c r="Z874" i="1" s="1"/>
  <c r="X874" i="1"/>
  <c r="AE873" i="1"/>
  <c r="AD873" i="1"/>
  <c r="AC873" i="1"/>
  <c r="AB873" i="1"/>
  <c r="AA873" i="1"/>
  <c r="Y873" i="1"/>
  <c r="Z873" i="1" s="1"/>
  <c r="X873" i="1"/>
  <c r="AE872" i="1"/>
  <c r="AD872" i="1"/>
  <c r="AC872" i="1"/>
  <c r="AB872" i="1"/>
  <c r="AA872" i="1"/>
  <c r="Y872" i="1"/>
  <c r="Z872" i="1" s="1"/>
  <c r="X872" i="1"/>
  <c r="AE871" i="1"/>
  <c r="AD871" i="1"/>
  <c r="AC871" i="1"/>
  <c r="AB871" i="1"/>
  <c r="AA871" i="1"/>
  <c r="Y871" i="1"/>
  <c r="Z871" i="1" s="1"/>
  <c r="X871" i="1"/>
  <c r="AE870" i="1"/>
  <c r="AD870" i="1"/>
  <c r="AC870" i="1"/>
  <c r="AB870" i="1"/>
  <c r="AA870" i="1"/>
  <c r="Y870" i="1"/>
  <c r="Z870" i="1" s="1"/>
  <c r="X870" i="1"/>
  <c r="AE869" i="1"/>
  <c r="AD869" i="1"/>
  <c r="AC869" i="1"/>
  <c r="AB869" i="1"/>
  <c r="AA869" i="1"/>
  <c r="Y869" i="1"/>
  <c r="Z869" i="1" s="1"/>
  <c r="X869" i="1"/>
  <c r="AE868" i="1"/>
  <c r="AD868" i="1"/>
  <c r="AC868" i="1"/>
  <c r="AB868" i="1"/>
  <c r="AA868" i="1"/>
  <c r="Y868" i="1"/>
  <c r="Z868" i="1" s="1"/>
  <c r="X868" i="1"/>
  <c r="AE867" i="1"/>
  <c r="AD867" i="1"/>
  <c r="AC867" i="1"/>
  <c r="AB867" i="1"/>
  <c r="AA867" i="1"/>
  <c r="Y867" i="1"/>
  <c r="Z867" i="1" s="1"/>
  <c r="X867" i="1"/>
  <c r="AE866" i="1"/>
  <c r="AD866" i="1"/>
  <c r="AC866" i="1"/>
  <c r="AB866" i="1"/>
  <c r="AA866" i="1"/>
  <c r="Y866" i="1"/>
  <c r="Z866" i="1" s="1"/>
  <c r="X866" i="1"/>
  <c r="AE865" i="1"/>
  <c r="AD865" i="1"/>
  <c r="AC865" i="1"/>
  <c r="AB865" i="1"/>
  <c r="AA865" i="1"/>
  <c r="Y865" i="1"/>
  <c r="Z865" i="1" s="1"/>
  <c r="X865" i="1"/>
  <c r="AE864" i="1"/>
  <c r="AD864" i="1"/>
  <c r="AC864" i="1"/>
  <c r="AB864" i="1"/>
  <c r="AA864" i="1"/>
  <c r="Y864" i="1"/>
  <c r="Z864" i="1" s="1"/>
  <c r="X864" i="1"/>
  <c r="AE863" i="1"/>
  <c r="AD863" i="1"/>
  <c r="AC863" i="1"/>
  <c r="AB863" i="1"/>
  <c r="AA863" i="1"/>
  <c r="Y863" i="1"/>
  <c r="Z863" i="1" s="1"/>
  <c r="X863" i="1"/>
  <c r="AE862" i="1"/>
  <c r="AD862" i="1"/>
  <c r="AC862" i="1"/>
  <c r="AB862" i="1"/>
  <c r="AA862" i="1"/>
  <c r="Y862" i="1"/>
  <c r="Z862" i="1" s="1"/>
  <c r="X862" i="1"/>
  <c r="AE861" i="1"/>
  <c r="AD861" i="1"/>
  <c r="AC861" i="1"/>
  <c r="AB861" i="1"/>
  <c r="AA861" i="1"/>
  <c r="Y861" i="1"/>
  <c r="Z861" i="1" s="1"/>
  <c r="X861" i="1"/>
  <c r="AE860" i="1"/>
  <c r="AD860" i="1"/>
  <c r="AC860" i="1"/>
  <c r="AB860" i="1"/>
  <c r="AA860" i="1"/>
  <c r="Y860" i="1"/>
  <c r="Z860" i="1" s="1"/>
  <c r="X860" i="1"/>
  <c r="AE859" i="1"/>
  <c r="AD859" i="1"/>
  <c r="AC859" i="1"/>
  <c r="AB859" i="1"/>
  <c r="AA859" i="1"/>
  <c r="Y859" i="1"/>
  <c r="Z859" i="1" s="1"/>
  <c r="X859" i="1"/>
  <c r="AE858" i="1"/>
  <c r="AD858" i="1"/>
  <c r="AC858" i="1"/>
  <c r="AB858" i="1"/>
  <c r="AA858" i="1"/>
  <c r="Y858" i="1"/>
  <c r="Z858" i="1" s="1"/>
  <c r="X858" i="1"/>
  <c r="AE857" i="1"/>
  <c r="AD857" i="1"/>
  <c r="AC857" i="1"/>
  <c r="AB857" i="1"/>
  <c r="AA857" i="1"/>
  <c r="Y857" i="1"/>
  <c r="Z857" i="1" s="1"/>
  <c r="X857" i="1"/>
  <c r="AE856" i="1"/>
  <c r="AD856" i="1"/>
  <c r="AC856" i="1"/>
  <c r="AB856" i="1"/>
  <c r="AA856" i="1"/>
  <c r="Y856" i="1"/>
  <c r="Z856" i="1" s="1"/>
  <c r="X856" i="1"/>
  <c r="AE855" i="1"/>
  <c r="AD855" i="1"/>
  <c r="AC855" i="1"/>
  <c r="AB855" i="1"/>
  <c r="AA855" i="1"/>
  <c r="Y855" i="1"/>
  <c r="Z855" i="1" s="1"/>
  <c r="X855" i="1"/>
  <c r="AE854" i="1"/>
  <c r="AD854" i="1"/>
  <c r="AC854" i="1"/>
  <c r="AB854" i="1"/>
  <c r="AA854" i="1"/>
  <c r="Y854" i="1"/>
  <c r="Z854" i="1" s="1"/>
  <c r="X854" i="1"/>
  <c r="AE853" i="1"/>
  <c r="AD853" i="1"/>
  <c r="AC853" i="1"/>
  <c r="AB853" i="1"/>
  <c r="AA853" i="1"/>
  <c r="Y853" i="1"/>
  <c r="Z853" i="1" s="1"/>
  <c r="X853" i="1"/>
  <c r="AE852" i="1"/>
  <c r="AD852" i="1"/>
  <c r="AC852" i="1"/>
  <c r="AB852" i="1"/>
  <c r="AA852" i="1"/>
  <c r="Y852" i="1"/>
  <c r="Z852" i="1" s="1"/>
  <c r="X852" i="1"/>
  <c r="AE851" i="1"/>
  <c r="AD851" i="1"/>
  <c r="AC851" i="1"/>
  <c r="AB851" i="1"/>
  <c r="AA851" i="1"/>
  <c r="Y851" i="1"/>
  <c r="Z851" i="1" s="1"/>
  <c r="X851" i="1"/>
  <c r="AE850" i="1"/>
  <c r="AD850" i="1"/>
  <c r="AC850" i="1"/>
  <c r="AB850" i="1"/>
  <c r="AA850" i="1"/>
  <c r="Y850" i="1"/>
  <c r="Z850" i="1" s="1"/>
  <c r="X850" i="1"/>
  <c r="AE849" i="1"/>
  <c r="AD849" i="1"/>
  <c r="AC849" i="1"/>
  <c r="AB849" i="1"/>
  <c r="AA849" i="1"/>
  <c r="Y849" i="1"/>
  <c r="Z849" i="1" s="1"/>
  <c r="X849" i="1"/>
  <c r="AE848" i="1"/>
  <c r="AD848" i="1"/>
  <c r="AC848" i="1"/>
  <c r="AB848" i="1"/>
  <c r="AA848" i="1"/>
  <c r="Y848" i="1"/>
  <c r="Z848" i="1" s="1"/>
  <c r="X848" i="1"/>
  <c r="AE847" i="1"/>
  <c r="AD847" i="1"/>
  <c r="AC847" i="1"/>
  <c r="AB847" i="1"/>
  <c r="AA847" i="1"/>
  <c r="Y847" i="1"/>
  <c r="Z847" i="1" s="1"/>
  <c r="X847" i="1"/>
  <c r="AE846" i="1"/>
  <c r="AD846" i="1"/>
  <c r="AC846" i="1"/>
  <c r="AB846" i="1"/>
  <c r="AA846" i="1"/>
  <c r="Y846" i="1"/>
  <c r="Z846" i="1" s="1"/>
  <c r="X846" i="1"/>
  <c r="AE845" i="1"/>
  <c r="AD845" i="1"/>
  <c r="AC845" i="1"/>
  <c r="AB845" i="1"/>
  <c r="AA845" i="1"/>
  <c r="Y845" i="1"/>
  <c r="Z845" i="1" s="1"/>
  <c r="X845" i="1"/>
  <c r="AE844" i="1"/>
  <c r="AD844" i="1"/>
  <c r="AC844" i="1"/>
  <c r="AB844" i="1"/>
  <c r="AA844" i="1"/>
  <c r="Y844" i="1"/>
  <c r="Z844" i="1" s="1"/>
  <c r="X844" i="1"/>
  <c r="AE843" i="1"/>
  <c r="AD843" i="1"/>
  <c r="AC843" i="1"/>
  <c r="AB843" i="1"/>
  <c r="AA843" i="1"/>
  <c r="Y843" i="1"/>
  <c r="Z843" i="1" s="1"/>
  <c r="X843" i="1"/>
  <c r="AE842" i="1"/>
  <c r="AD842" i="1"/>
  <c r="AC842" i="1"/>
  <c r="AB842" i="1"/>
  <c r="AA842" i="1"/>
  <c r="Y842" i="1"/>
  <c r="Z842" i="1" s="1"/>
  <c r="X842" i="1"/>
  <c r="AE841" i="1"/>
  <c r="AD841" i="1"/>
  <c r="AC841" i="1"/>
  <c r="AB841" i="1"/>
  <c r="AA841" i="1"/>
  <c r="Y841" i="1"/>
  <c r="Z841" i="1" s="1"/>
  <c r="X841" i="1"/>
  <c r="AE840" i="1"/>
  <c r="AD840" i="1"/>
  <c r="AC840" i="1"/>
  <c r="AB840" i="1"/>
  <c r="AA840" i="1"/>
  <c r="Y840" i="1"/>
  <c r="Z840" i="1" s="1"/>
  <c r="X840" i="1"/>
  <c r="AE839" i="1"/>
  <c r="AD839" i="1"/>
  <c r="AC839" i="1"/>
  <c r="AB839" i="1"/>
  <c r="AA839" i="1"/>
  <c r="Y839" i="1"/>
  <c r="Z839" i="1" s="1"/>
  <c r="X839" i="1"/>
  <c r="AE838" i="1"/>
  <c r="AD838" i="1"/>
  <c r="AC838" i="1"/>
  <c r="AB838" i="1"/>
  <c r="AA838" i="1"/>
  <c r="Y838" i="1"/>
  <c r="Z838" i="1" s="1"/>
  <c r="X838" i="1"/>
  <c r="AE837" i="1"/>
  <c r="AD837" i="1"/>
  <c r="AC837" i="1"/>
  <c r="AB837" i="1"/>
  <c r="AA837" i="1"/>
  <c r="Y837" i="1"/>
  <c r="Z837" i="1" s="1"/>
  <c r="X837" i="1"/>
  <c r="AE836" i="1"/>
  <c r="AD836" i="1"/>
  <c r="AC836" i="1"/>
  <c r="AB836" i="1"/>
  <c r="AA836" i="1"/>
  <c r="Y836" i="1"/>
  <c r="Z836" i="1" s="1"/>
  <c r="X836" i="1"/>
  <c r="AE835" i="1"/>
  <c r="AD835" i="1"/>
  <c r="AC835" i="1"/>
  <c r="AB835" i="1"/>
  <c r="AA835" i="1"/>
  <c r="Y835" i="1"/>
  <c r="Z835" i="1" s="1"/>
  <c r="X835" i="1"/>
  <c r="AE834" i="1"/>
  <c r="AD834" i="1"/>
  <c r="AC834" i="1"/>
  <c r="AB834" i="1"/>
  <c r="AA834" i="1"/>
  <c r="Y834" i="1"/>
  <c r="Z834" i="1" s="1"/>
  <c r="X834" i="1"/>
  <c r="AE833" i="1"/>
  <c r="AD833" i="1"/>
  <c r="AC833" i="1"/>
  <c r="AB833" i="1"/>
  <c r="AA833" i="1"/>
  <c r="Y833" i="1"/>
  <c r="Z833" i="1" s="1"/>
  <c r="X833" i="1"/>
  <c r="AE832" i="1"/>
  <c r="AD832" i="1"/>
  <c r="AC832" i="1"/>
  <c r="AB832" i="1"/>
  <c r="AA832" i="1"/>
  <c r="Y832" i="1"/>
  <c r="Z832" i="1" s="1"/>
  <c r="X832" i="1"/>
  <c r="AE831" i="1"/>
  <c r="AD831" i="1"/>
  <c r="AC831" i="1"/>
  <c r="AB831" i="1"/>
  <c r="AA831" i="1"/>
  <c r="Y831" i="1"/>
  <c r="Z831" i="1" s="1"/>
  <c r="X831" i="1"/>
  <c r="AE830" i="1"/>
  <c r="AD830" i="1"/>
  <c r="AC830" i="1"/>
  <c r="AB830" i="1"/>
  <c r="AA830" i="1"/>
  <c r="Y830" i="1"/>
  <c r="Z830" i="1" s="1"/>
  <c r="X830" i="1"/>
  <c r="AE829" i="1"/>
  <c r="AD829" i="1"/>
  <c r="AC829" i="1"/>
  <c r="AB829" i="1"/>
  <c r="AA829" i="1"/>
  <c r="Y829" i="1"/>
  <c r="Z829" i="1" s="1"/>
  <c r="X829" i="1"/>
  <c r="AE828" i="1"/>
  <c r="AD828" i="1"/>
  <c r="AC828" i="1"/>
  <c r="AB828" i="1"/>
  <c r="AA828" i="1"/>
  <c r="Y828" i="1"/>
  <c r="Z828" i="1" s="1"/>
  <c r="X828" i="1"/>
  <c r="AE827" i="1"/>
  <c r="AD827" i="1"/>
  <c r="AC827" i="1"/>
  <c r="AB827" i="1"/>
  <c r="AA827" i="1"/>
  <c r="Y827" i="1"/>
  <c r="Z827" i="1" s="1"/>
  <c r="X827" i="1"/>
  <c r="AE826" i="1"/>
  <c r="AD826" i="1"/>
  <c r="AC826" i="1"/>
  <c r="AB826" i="1"/>
  <c r="AA826" i="1"/>
  <c r="Y826" i="1"/>
  <c r="Z826" i="1" s="1"/>
  <c r="X826" i="1"/>
  <c r="AE825" i="1"/>
  <c r="AD825" i="1"/>
  <c r="AC825" i="1"/>
  <c r="AB825" i="1"/>
  <c r="AA825" i="1"/>
  <c r="Y825" i="1"/>
  <c r="Z825" i="1" s="1"/>
  <c r="X825" i="1"/>
  <c r="AE824" i="1"/>
  <c r="AD824" i="1"/>
  <c r="AC824" i="1"/>
  <c r="AB824" i="1"/>
  <c r="AA824" i="1"/>
  <c r="Y824" i="1"/>
  <c r="Z824" i="1" s="1"/>
  <c r="X824" i="1"/>
  <c r="AE823" i="1"/>
  <c r="AD823" i="1"/>
  <c r="AC823" i="1"/>
  <c r="AB823" i="1"/>
  <c r="AA823" i="1"/>
  <c r="Y823" i="1"/>
  <c r="Z823" i="1" s="1"/>
  <c r="X823" i="1"/>
  <c r="AE822" i="1"/>
  <c r="AD822" i="1"/>
  <c r="AC822" i="1"/>
  <c r="AB822" i="1"/>
  <c r="AA822" i="1"/>
  <c r="Y822" i="1"/>
  <c r="Z822" i="1" s="1"/>
  <c r="X822" i="1"/>
  <c r="AE821" i="1"/>
  <c r="AD821" i="1"/>
  <c r="AC821" i="1"/>
  <c r="AB821" i="1"/>
  <c r="AA821" i="1"/>
  <c r="Y821" i="1"/>
  <c r="Z821" i="1" s="1"/>
  <c r="X821" i="1"/>
  <c r="AE820" i="1"/>
  <c r="AD820" i="1"/>
  <c r="AC820" i="1"/>
  <c r="AB820" i="1"/>
  <c r="AA820" i="1"/>
  <c r="Y820" i="1"/>
  <c r="Z820" i="1" s="1"/>
  <c r="X820" i="1"/>
  <c r="AE819" i="1"/>
  <c r="AD819" i="1"/>
  <c r="AC819" i="1"/>
  <c r="AB819" i="1"/>
  <c r="AA819" i="1"/>
  <c r="Y819" i="1"/>
  <c r="Z819" i="1" s="1"/>
  <c r="X819" i="1"/>
  <c r="AE818" i="1"/>
  <c r="AD818" i="1"/>
  <c r="AC818" i="1"/>
  <c r="AB818" i="1"/>
  <c r="AA818" i="1"/>
  <c r="Y818" i="1"/>
  <c r="Z818" i="1" s="1"/>
  <c r="X818" i="1"/>
  <c r="AE817" i="1"/>
  <c r="AD817" i="1"/>
  <c r="AC817" i="1"/>
  <c r="AB817" i="1"/>
  <c r="AA817" i="1"/>
  <c r="Y817" i="1"/>
  <c r="Z817" i="1" s="1"/>
  <c r="X817" i="1"/>
  <c r="AE816" i="1"/>
  <c r="AD816" i="1"/>
  <c r="AC816" i="1"/>
  <c r="AB816" i="1"/>
  <c r="AA816" i="1"/>
  <c r="Y816" i="1"/>
  <c r="Z816" i="1" s="1"/>
  <c r="X816" i="1"/>
  <c r="AE815" i="1"/>
  <c r="AD815" i="1"/>
  <c r="AC815" i="1"/>
  <c r="AB815" i="1"/>
  <c r="AA815" i="1"/>
  <c r="Y815" i="1"/>
  <c r="Z815" i="1" s="1"/>
  <c r="X815" i="1"/>
  <c r="AE814" i="1"/>
  <c r="AD814" i="1"/>
  <c r="AC814" i="1"/>
  <c r="AB814" i="1"/>
  <c r="AA814" i="1"/>
  <c r="Y814" i="1"/>
  <c r="Z814" i="1" s="1"/>
  <c r="X814" i="1"/>
  <c r="AE813" i="1"/>
  <c r="AD813" i="1"/>
  <c r="AC813" i="1"/>
  <c r="AB813" i="1"/>
  <c r="AA813" i="1"/>
  <c r="Y813" i="1"/>
  <c r="Z813" i="1" s="1"/>
  <c r="X813" i="1"/>
  <c r="AE812" i="1"/>
  <c r="AD812" i="1"/>
  <c r="AC812" i="1"/>
  <c r="AB812" i="1"/>
  <c r="AA812" i="1"/>
  <c r="Y812" i="1"/>
  <c r="Z812" i="1" s="1"/>
  <c r="X812" i="1"/>
  <c r="AE811" i="1"/>
  <c r="AD811" i="1"/>
  <c r="AC811" i="1"/>
  <c r="AB811" i="1"/>
  <c r="AA811" i="1"/>
  <c r="Y811" i="1"/>
  <c r="Z811" i="1" s="1"/>
  <c r="X811" i="1"/>
  <c r="AE810" i="1"/>
  <c r="AD810" i="1"/>
  <c r="AC810" i="1"/>
  <c r="AB810" i="1"/>
  <c r="AA810" i="1"/>
  <c r="Y810" i="1"/>
  <c r="Z810" i="1" s="1"/>
  <c r="X810" i="1"/>
  <c r="AE809" i="1"/>
  <c r="AD809" i="1"/>
  <c r="AC809" i="1"/>
  <c r="AB809" i="1"/>
  <c r="AA809" i="1"/>
  <c r="Y809" i="1"/>
  <c r="Z809" i="1" s="1"/>
  <c r="X809" i="1"/>
  <c r="AE808" i="1"/>
  <c r="AD808" i="1"/>
  <c r="AC808" i="1"/>
  <c r="AB808" i="1"/>
  <c r="AA808" i="1"/>
  <c r="Y808" i="1"/>
  <c r="Z808" i="1" s="1"/>
  <c r="X808" i="1"/>
  <c r="AE807" i="1"/>
  <c r="AD807" i="1"/>
  <c r="AC807" i="1"/>
  <c r="AB807" i="1"/>
  <c r="AA807" i="1"/>
  <c r="Y807" i="1"/>
  <c r="Z807" i="1" s="1"/>
  <c r="X807" i="1"/>
  <c r="AE806" i="1"/>
  <c r="AD806" i="1"/>
  <c r="AC806" i="1"/>
  <c r="AB806" i="1"/>
  <c r="AA806" i="1"/>
  <c r="Y806" i="1"/>
  <c r="Z806" i="1" s="1"/>
  <c r="X806" i="1"/>
  <c r="AE805" i="1"/>
  <c r="AD805" i="1"/>
  <c r="AC805" i="1"/>
  <c r="AB805" i="1"/>
  <c r="AA805" i="1"/>
  <c r="Y805" i="1"/>
  <c r="Z805" i="1" s="1"/>
  <c r="X805" i="1"/>
  <c r="AE804" i="1"/>
  <c r="AD804" i="1"/>
  <c r="AC804" i="1"/>
  <c r="AB804" i="1"/>
  <c r="AA804" i="1"/>
  <c r="Y804" i="1"/>
  <c r="Z804" i="1" s="1"/>
  <c r="X804" i="1"/>
  <c r="AE803" i="1"/>
  <c r="AD803" i="1"/>
  <c r="AC803" i="1"/>
  <c r="AB803" i="1"/>
  <c r="AA803" i="1"/>
  <c r="Y803" i="1"/>
  <c r="Z803" i="1" s="1"/>
  <c r="X803" i="1"/>
  <c r="AE802" i="1"/>
  <c r="AD802" i="1"/>
  <c r="AC802" i="1"/>
  <c r="AB802" i="1"/>
  <c r="AA802" i="1"/>
  <c r="Y802" i="1"/>
  <c r="Z802" i="1" s="1"/>
  <c r="X802" i="1"/>
  <c r="AE801" i="1"/>
  <c r="AD801" i="1"/>
  <c r="AC801" i="1"/>
  <c r="AB801" i="1"/>
  <c r="AA801" i="1"/>
  <c r="Y801" i="1"/>
  <c r="Z801" i="1" s="1"/>
  <c r="X801" i="1"/>
  <c r="AE800" i="1"/>
  <c r="AD800" i="1"/>
  <c r="AC800" i="1"/>
  <c r="AB800" i="1"/>
  <c r="AA800" i="1"/>
  <c r="Y800" i="1"/>
  <c r="Z800" i="1" s="1"/>
  <c r="X800" i="1"/>
  <c r="AE799" i="1"/>
  <c r="AD799" i="1"/>
  <c r="AC799" i="1"/>
  <c r="AB799" i="1"/>
  <c r="AA799" i="1"/>
  <c r="Y799" i="1"/>
  <c r="Z799" i="1" s="1"/>
  <c r="X799" i="1"/>
  <c r="AE798" i="1"/>
  <c r="AD798" i="1"/>
  <c r="AC798" i="1"/>
  <c r="AB798" i="1"/>
  <c r="AA798" i="1"/>
  <c r="Y798" i="1"/>
  <c r="Z798" i="1" s="1"/>
  <c r="X798" i="1"/>
  <c r="AE797" i="1"/>
  <c r="AD797" i="1"/>
  <c r="AC797" i="1"/>
  <c r="AB797" i="1"/>
  <c r="AA797" i="1"/>
  <c r="Y797" i="1"/>
  <c r="Z797" i="1" s="1"/>
  <c r="X797" i="1"/>
  <c r="AE796" i="1"/>
  <c r="AD796" i="1"/>
  <c r="AC796" i="1"/>
  <c r="AB796" i="1"/>
  <c r="AA796" i="1"/>
  <c r="Y796" i="1"/>
  <c r="Z796" i="1" s="1"/>
  <c r="X796" i="1"/>
  <c r="AE795" i="1"/>
  <c r="AD795" i="1"/>
  <c r="AC795" i="1"/>
  <c r="AB795" i="1"/>
  <c r="AA795" i="1"/>
  <c r="Y795" i="1"/>
  <c r="Z795" i="1" s="1"/>
  <c r="X795" i="1"/>
  <c r="AE794" i="1"/>
  <c r="AD794" i="1"/>
  <c r="AC794" i="1"/>
  <c r="AB794" i="1"/>
  <c r="AA794" i="1"/>
  <c r="Y794" i="1"/>
  <c r="Z794" i="1" s="1"/>
  <c r="X794" i="1"/>
  <c r="AE793" i="1"/>
  <c r="AD793" i="1"/>
  <c r="AC793" i="1"/>
  <c r="AB793" i="1"/>
  <c r="AA793" i="1"/>
  <c r="Y793" i="1"/>
  <c r="Z793" i="1" s="1"/>
  <c r="X793" i="1"/>
  <c r="AE792" i="1"/>
  <c r="AD792" i="1"/>
  <c r="AC792" i="1"/>
  <c r="AB792" i="1"/>
  <c r="AA792" i="1"/>
  <c r="Y792" i="1"/>
  <c r="Z792" i="1" s="1"/>
  <c r="X792" i="1"/>
  <c r="AE791" i="1"/>
  <c r="AD791" i="1"/>
  <c r="AC791" i="1"/>
  <c r="AB791" i="1"/>
  <c r="AA791" i="1"/>
  <c r="Y791" i="1"/>
  <c r="Z791" i="1" s="1"/>
  <c r="X791" i="1"/>
  <c r="AE790" i="1"/>
  <c r="AD790" i="1"/>
  <c r="AC790" i="1"/>
  <c r="AB790" i="1"/>
  <c r="AA790" i="1"/>
  <c r="Y790" i="1"/>
  <c r="Z790" i="1" s="1"/>
  <c r="X790" i="1"/>
  <c r="AE789" i="1"/>
  <c r="AD789" i="1"/>
  <c r="AC789" i="1"/>
  <c r="AB789" i="1"/>
  <c r="AA789" i="1"/>
  <c r="Y789" i="1"/>
  <c r="Z789" i="1" s="1"/>
  <c r="X789" i="1"/>
  <c r="AE788" i="1"/>
  <c r="AD788" i="1"/>
  <c r="AC788" i="1"/>
  <c r="AB788" i="1"/>
  <c r="AA788" i="1"/>
  <c r="Y788" i="1"/>
  <c r="Z788" i="1" s="1"/>
  <c r="X788" i="1"/>
  <c r="AE787" i="1"/>
  <c r="AD787" i="1"/>
  <c r="AC787" i="1"/>
  <c r="AB787" i="1"/>
  <c r="AA787" i="1"/>
  <c r="Y787" i="1"/>
  <c r="Z787" i="1" s="1"/>
  <c r="X787" i="1"/>
  <c r="AE786" i="1"/>
  <c r="AD786" i="1"/>
  <c r="AC786" i="1"/>
  <c r="AB786" i="1"/>
  <c r="AA786" i="1"/>
  <c r="Y786" i="1"/>
  <c r="Z786" i="1" s="1"/>
  <c r="X786" i="1"/>
  <c r="AE785" i="1"/>
  <c r="AD785" i="1"/>
  <c r="AC785" i="1"/>
  <c r="AB785" i="1"/>
  <c r="AA785" i="1"/>
  <c r="Y785" i="1"/>
  <c r="Z785" i="1" s="1"/>
  <c r="X785" i="1"/>
  <c r="AE784" i="1"/>
  <c r="AD784" i="1"/>
  <c r="AC784" i="1"/>
  <c r="AB784" i="1"/>
  <c r="AA784" i="1"/>
  <c r="Y784" i="1"/>
  <c r="Z784" i="1" s="1"/>
  <c r="X784" i="1"/>
  <c r="AE783" i="1"/>
  <c r="AD783" i="1"/>
  <c r="AC783" i="1"/>
  <c r="AB783" i="1"/>
  <c r="AA783" i="1"/>
  <c r="Y783" i="1"/>
  <c r="Z783" i="1" s="1"/>
  <c r="X783" i="1"/>
  <c r="AE782" i="1"/>
  <c r="AD782" i="1"/>
  <c r="AC782" i="1"/>
  <c r="AB782" i="1"/>
  <c r="AA782" i="1"/>
  <c r="Y782" i="1"/>
  <c r="Z782" i="1" s="1"/>
  <c r="X782" i="1"/>
  <c r="AE781" i="1"/>
  <c r="AD781" i="1"/>
  <c r="AC781" i="1"/>
  <c r="AB781" i="1"/>
  <c r="AA781" i="1"/>
  <c r="Y781" i="1"/>
  <c r="Z781" i="1" s="1"/>
  <c r="X781" i="1"/>
  <c r="AE780" i="1"/>
  <c r="AD780" i="1"/>
  <c r="AC780" i="1"/>
  <c r="AB780" i="1"/>
  <c r="AA780" i="1"/>
  <c r="Y780" i="1"/>
  <c r="Z780" i="1" s="1"/>
  <c r="X780" i="1"/>
  <c r="AE779" i="1"/>
  <c r="AD779" i="1"/>
  <c r="AC779" i="1"/>
  <c r="AB779" i="1"/>
  <c r="AA779" i="1"/>
  <c r="Y779" i="1"/>
  <c r="Z779" i="1" s="1"/>
  <c r="X779" i="1"/>
  <c r="AE778" i="1"/>
  <c r="AD778" i="1"/>
  <c r="AC778" i="1"/>
  <c r="AB778" i="1"/>
  <c r="AA778" i="1"/>
  <c r="Y778" i="1"/>
  <c r="Z778" i="1" s="1"/>
  <c r="X778" i="1"/>
  <c r="AE777" i="1"/>
  <c r="AD777" i="1"/>
  <c r="AC777" i="1"/>
  <c r="AB777" i="1"/>
  <c r="AA777" i="1"/>
  <c r="Y777" i="1"/>
  <c r="Z777" i="1" s="1"/>
  <c r="X777" i="1"/>
  <c r="AE776" i="1"/>
  <c r="AD776" i="1"/>
  <c r="AC776" i="1"/>
  <c r="AB776" i="1"/>
  <c r="AA776" i="1"/>
  <c r="Y776" i="1"/>
  <c r="Z776" i="1" s="1"/>
  <c r="X776" i="1"/>
  <c r="AE775" i="1"/>
  <c r="AD775" i="1"/>
  <c r="AC775" i="1"/>
  <c r="AB775" i="1"/>
  <c r="AA775" i="1"/>
  <c r="Y775" i="1"/>
  <c r="Z775" i="1" s="1"/>
  <c r="X775" i="1"/>
  <c r="AE774" i="1"/>
  <c r="AD774" i="1"/>
  <c r="AC774" i="1"/>
  <c r="AB774" i="1"/>
  <c r="AA774" i="1"/>
  <c r="Y774" i="1"/>
  <c r="Z774" i="1" s="1"/>
  <c r="X774" i="1"/>
  <c r="AE773" i="1"/>
  <c r="AD773" i="1"/>
  <c r="AC773" i="1"/>
  <c r="AB773" i="1"/>
  <c r="AA773" i="1"/>
  <c r="Y773" i="1"/>
  <c r="Z773" i="1" s="1"/>
  <c r="X773" i="1"/>
  <c r="AE772" i="1"/>
  <c r="AD772" i="1"/>
  <c r="AC772" i="1"/>
  <c r="AB772" i="1"/>
  <c r="AA772" i="1"/>
  <c r="Y772" i="1"/>
  <c r="Z772" i="1" s="1"/>
  <c r="X772" i="1"/>
  <c r="AE771" i="1"/>
  <c r="AD771" i="1"/>
  <c r="AC771" i="1"/>
  <c r="AB771" i="1"/>
  <c r="AA771" i="1"/>
  <c r="Y771" i="1"/>
  <c r="Z771" i="1" s="1"/>
  <c r="X771" i="1"/>
  <c r="AE770" i="1"/>
  <c r="AD770" i="1"/>
  <c r="AC770" i="1"/>
  <c r="AB770" i="1"/>
  <c r="AA770" i="1"/>
  <c r="Y770" i="1"/>
  <c r="Z770" i="1" s="1"/>
  <c r="X770" i="1"/>
  <c r="AE769" i="1"/>
  <c r="AD769" i="1"/>
  <c r="AC769" i="1"/>
  <c r="AB769" i="1"/>
  <c r="AA769" i="1"/>
  <c r="Y769" i="1"/>
  <c r="Z769" i="1" s="1"/>
  <c r="X769" i="1"/>
  <c r="AE768" i="1"/>
  <c r="AD768" i="1"/>
  <c r="AC768" i="1"/>
  <c r="AB768" i="1"/>
  <c r="AA768" i="1"/>
  <c r="Y768" i="1"/>
  <c r="Z768" i="1" s="1"/>
  <c r="X768" i="1"/>
  <c r="AE767" i="1"/>
  <c r="AD767" i="1"/>
  <c r="AC767" i="1"/>
  <c r="AB767" i="1"/>
  <c r="AA767" i="1"/>
  <c r="Y767" i="1"/>
  <c r="Z767" i="1" s="1"/>
  <c r="X767" i="1"/>
  <c r="AE766" i="1"/>
  <c r="AD766" i="1"/>
  <c r="AC766" i="1"/>
  <c r="AB766" i="1"/>
  <c r="AA766" i="1"/>
  <c r="Y766" i="1"/>
  <c r="Z766" i="1" s="1"/>
  <c r="X766" i="1"/>
  <c r="AE765" i="1"/>
  <c r="AD765" i="1"/>
  <c r="AC765" i="1"/>
  <c r="AB765" i="1"/>
  <c r="AA765" i="1"/>
  <c r="Y765" i="1"/>
  <c r="Z765" i="1" s="1"/>
  <c r="X765" i="1"/>
  <c r="AE764" i="1"/>
  <c r="AD764" i="1"/>
  <c r="AC764" i="1"/>
  <c r="AB764" i="1"/>
  <c r="AA764" i="1"/>
  <c r="Y764" i="1"/>
  <c r="Z764" i="1" s="1"/>
  <c r="X764" i="1"/>
  <c r="AE763" i="1"/>
  <c r="AD763" i="1"/>
  <c r="AC763" i="1"/>
  <c r="AB763" i="1"/>
  <c r="AA763" i="1"/>
  <c r="Y763" i="1"/>
  <c r="Z763" i="1" s="1"/>
  <c r="X763" i="1"/>
  <c r="AE762" i="1"/>
  <c r="AD762" i="1"/>
  <c r="AC762" i="1"/>
  <c r="AB762" i="1"/>
  <c r="AA762" i="1"/>
  <c r="Y762" i="1"/>
  <c r="Z762" i="1" s="1"/>
  <c r="X762" i="1"/>
  <c r="AE761" i="1"/>
  <c r="AD761" i="1"/>
  <c r="AC761" i="1"/>
  <c r="AB761" i="1"/>
  <c r="AA761" i="1"/>
  <c r="Y761" i="1"/>
  <c r="Z761" i="1" s="1"/>
  <c r="X761" i="1"/>
  <c r="AE760" i="1"/>
  <c r="AD760" i="1"/>
  <c r="AC760" i="1"/>
  <c r="AB760" i="1"/>
  <c r="AA760" i="1"/>
  <c r="Y760" i="1"/>
  <c r="Z760" i="1" s="1"/>
  <c r="X760" i="1"/>
  <c r="AE759" i="1"/>
  <c r="AD759" i="1"/>
  <c r="AC759" i="1"/>
  <c r="AB759" i="1"/>
  <c r="AA759" i="1"/>
  <c r="Y759" i="1"/>
  <c r="Z759" i="1" s="1"/>
  <c r="X759" i="1"/>
  <c r="AE758" i="1"/>
  <c r="AD758" i="1"/>
  <c r="AC758" i="1"/>
  <c r="AB758" i="1"/>
  <c r="AA758" i="1"/>
  <c r="Y758" i="1"/>
  <c r="Z758" i="1" s="1"/>
  <c r="X758" i="1"/>
  <c r="AE757" i="1"/>
  <c r="AD757" i="1"/>
  <c r="AC757" i="1"/>
  <c r="AB757" i="1"/>
  <c r="AA757" i="1"/>
  <c r="Y757" i="1"/>
  <c r="Z757" i="1" s="1"/>
  <c r="X757" i="1"/>
  <c r="AE756" i="1"/>
  <c r="AD756" i="1"/>
  <c r="AC756" i="1"/>
  <c r="AB756" i="1"/>
  <c r="AA756" i="1"/>
  <c r="Y756" i="1"/>
  <c r="Z756" i="1" s="1"/>
  <c r="X756" i="1"/>
  <c r="AE755" i="1"/>
  <c r="AD755" i="1"/>
  <c r="AC755" i="1"/>
  <c r="AB755" i="1"/>
  <c r="AA755" i="1"/>
  <c r="Y755" i="1"/>
  <c r="Z755" i="1" s="1"/>
  <c r="X755" i="1"/>
  <c r="AE754" i="1"/>
  <c r="AD754" i="1"/>
  <c r="AC754" i="1"/>
  <c r="AB754" i="1"/>
  <c r="AA754" i="1"/>
  <c r="Y754" i="1"/>
  <c r="Z754" i="1" s="1"/>
  <c r="X754" i="1"/>
  <c r="AE753" i="1"/>
  <c r="AD753" i="1"/>
  <c r="AC753" i="1"/>
  <c r="AB753" i="1"/>
  <c r="AA753" i="1"/>
  <c r="Y753" i="1"/>
  <c r="Z753" i="1" s="1"/>
  <c r="X753" i="1"/>
  <c r="AE752" i="1"/>
  <c r="AD752" i="1"/>
  <c r="AC752" i="1"/>
  <c r="AB752" i="1"/>
  <c r="AA752" i="1"/>
  <c r="Y752" i="1"/>
  <c r="Z752" i="1" s="1"/>
  <c r="X752" i="1"/>
  <c r="AE751" i="1"/>
  <c r="AD751" i="1"/>
  <c r="AC751" i="1"/>
  <c r="AB751" i="1"/>
  <c r="AA751" i="1"/>
  <c r="Y751" i="1"/>
  <c r="Z751" i="1" s="1"/>
  <c r="X751" i="1"/>
  <c r="AE750" i="1"/>
  <c r="AD750" i="1"/>
  <c r="AC750" i="1"/>
  <c r="AB750" i="1"/>
  <c r="AA750" i="1"/>
  <c r="Y750" i="1"/>
  <c r="Z750" i="1" s="1"/>
  <c r="X750" i="1"/>
  <c r="AE749" i="1"/>
  <c r="AD749" i="1"/>
  <c r="AC749" i="1"/>
  <c r="AB749" i="1"/>
  <c r="AA749" i="1"/>
  <c r="Y749" i="1"/>
  <c r="Z749" i="1" s="1"/>
  <c r="X749" i="1"/>
  <c r="AE748" i="1"/>
  <c r="AD748" i="1"/>
  <c r="AC748" i="1"/>
  <c r="AB748" i="1"/>
  <c r="AA748" i="1"/>
  <c r="Y748" i="1"/>
  <c r="Z748" i="1" s="1"/>
  <c r="X748" i="1"/>
  <c r="AE747" i="1"/>
  <c r="AD747" i="1"/>
  <c r="AC747" i="1"/>
  <c r="AB747" i="1"/>
  <c r="AA747" i="1"/>
  <c r="Y747" i="1"/>
  <c r="Z747" i="1" s="1"/>
  <c r="X747" i="1"/>
  <c r="AE746" i="1"/>
  <c r="AD746" i="1"/>
  <c r="AC746" i="1"/>
  <c r="AB746" i="1"/>
  <c r="AA746" i="1"/>
  <c r="Y746" i="1"/>
  <c r="Z746" i="1" s="1"/>
  <c r="X746" i="1"/>
  <c r="AE745" i="1"/>
  <c r="AD745" i="1"/>
  <c r="AC745" i="1"/>
  <c r="AB745" i="1"/>
  <c r="AA745" i="1"/>
  <c r="Y745" i="1"/>
  <c r="Z745" i="1" s="1"/>
  <c r="X745" i="1"/>
  <c r="AE744" i="1"/>
  <c r="AD744" i="1"/>
  <c r="AC744" i="1"/>
  <c r="AB744" i="1"/>
  <c r="AA744" i="1"/>
  <c r="Y744" i="1"/>
  <c r="Z744" i="1" s="1"/>
  <c r="X744" i="1"/>
  <c r="AE743" i="1"/>
  <c r="AD743" i="1"/>
  <c r="AC743" i="1"/>
  <c r="AB743" i="1"/>
  <c r="AA743" i="1"/>
  <c r="Y743" i="1"/>
  <c r="Z743" i="1" s="1"/>
  <c r="X743" i="1"/>
  <c r="AE742" i="1"/>
  <c r="AD742" i="1"/>
  <c r="AC742" i="1"/>
  <c r="AB742" i="1"/>
  <c r="AA742" i="1"/>
  <c r="Y742" i="1"/>
  <c r="Z742" i="1" s="1"/>
  <c r="X742" i="1"/>
  <c r="AE741" i="1"/>
  <c r="AD741" i="1"/>
  <c r="AC741" i="1"/>
  <c r="AB741" i="1"/>
  <c r="AA741" i="1"/>
  <c r="Y741" i="1"/>
  <c r="Z741" i="1" s="1"/>
  <c r="X741" i="1"/>
  <c r="AE740" i="1"/>
  <c r="AD740" i="1"/>
  <c r="AC740" i="1"/>
  <c r="AB740" i="1"/>
  <c r="AA740" i="1"/>
  <c r="Y740" i="1"/>
  <c r="Z740" i="1" s="1"/>
  <c r="X740" i="1"/>
  <c r="AE739" i="1"/>
  <c r="AD739" i="1"/>
  <c r="AC739" i="1"/>
  <c r="AB739" i="1"/>
  <c r="AA739" i="1"/>
  <c r="Y739" i="1"/>
  <c r="Z739" i="1" s="1"/>
  <c r="X739" i="1"/>
  <c r="AE738" i="1"/>
  <c r="AD738" i="1"/>
  <c r="AC738" i="1"/>
  <c r="AB738" i="1"/>
  <c r="AA738" i="1"/>
  <c r="Y738" i="1"/>
  <c r="Z738" i="1" s="1"/>
  <c r="X738" i="1"/>
  <c r="AE737" i="1"/>
  <c r="AD737" i="1"/>
  <c r="AC737" i="1"/>
  <c r="AB737" i="1"/>
  <c r="AA737" i="1"/>
  <c r="Y737" i="1"/>
  <c r="Z737" i="1" s="1"/>
  <c r="X737" i="1"/>
  <c r="AE736" i="1"/>
  <c r="AD736" i="1"/>
  <c r="AC736" i="1"/>
  <c r="AB736" i="1"/>
  <c r="AA736" i="1"/>
  <c r="Y736" i="1"/>
  <c r="Z736" i="1" s="1"/>
  <c r="X736" i="1"/>
  <c r="AE735" i="1"/>
  <c r="AD735" i="1"/>
  <c r="AC735" i="1"/>
  <c r="AB735" i="1"/>
  <c r="AA735" i="1"/>
  <c r="Y735" i="1"/>
  <c r="Z735" i="1" s="1"/>
  <c r="X735" i="1"/>
  <c r="AE734" i="1"/>
  <c r="AD734" i="1"/>
  <c r="AC734" i="1"/>
  <c r="AB734" i="1"/>
  <c r="AA734" i="1"/>
  <c r="Y734" i="1"/>
  <c r="Z734" i="1" s="1"/>
  <c r="X734" i="1"/>
  <c r="AE733" i="1"/>
  <c r="AD733" i="1"/>
  <c r="AC733" i="1"/>
  <c r="AB733" i="1"/>
  <c r="AA733" i="1"/>
  <c r="Y733" i="1"/>
  <c r="Z733" i="1" s="1"/>
  <c r="X733" i="1"/>
  <c r="AE732" i="1"/>
  <c r="AD732" i="1"/>
  <c r="AC732" i="1"/>
  <c r="AB732" i="1"/>
  <c r="AA732" i="1"/>
  <c r="Y732" i="1"/>
  <c r="Z732" i="1" s="1"/>
  <c r="X732" i="1"/>
  <c r="AE731" i="1"/>
  <c r="AD731" i="1"/>
  <c r="AC731" i="1"/>
  <c r="AB731" i="1"/>
  <c r="AA731" i="1"/>
  <c r="Y731" i="1"/>
  <c r="Z731" i="1" s="1"/>
  <c r="X731" i="1"/>
  <c r="AE730" i="1"/>
  <c r="AD730" i="1"/>
  <c r="AC730" i="1"/>
  <c r="AB730" i="1"/>
  <c r="AA730" i="1"/>
  <c r="Y730" i="1"/>
  <c r="Z730" i="1" s="1"/>
  <c r="X730" i="1"/>
  <c r="AE729" i="1"/>
  <c r="AD729" i="1"/>
  <c r="AC729" i="1"/>
  <c r="AB729" i="1"/>
  <c r="AA729" i="1"/>
  <c r="Y729" i="1"/>
  <c r="Z729" i="1" s="1"/>
  <c r="X729" i="1"/>
  <c r="AE728" i="1"/>
  <c r="AD728" i="1"/>
  <c r="AC728" i="1"/>
  <c r="AB728" i="1"/>
  <c r="AA728" i="1"/>
  <c r="Y728" i="1"/>
  <c r="Z728" i="1" s="1"/>
  <c r="X728" i="1"/>
  <c r="AE727" i="1"/>
  <c r="AD727" i="1"/>
  <c r="AC727" i="1"/>
  <c r="AB727" i="1"/>
  <c r="AA727" i="1"/>
  <c r="Y727" i="1"/>
  <c r="Z727" i="1" s="1"/>
  <c r="X727" i="1"/>
  <c r="AE726" i="1"/>
  <c r="AD726" i="1"/>
  <c r="AC726" i="1"/>
  <c r="AB726" i="1"/>
  <c r="AA726" i="1"/>
  <c r="Y726" i="1"/>
  <c r="Z726" i="1" s="1"/>
  <c r="X726" i="1"/>
  <c r="AE725" i="1"/>
  <c r="AD725" i="1"/>
  <c r="AC725" i="1"/>
  <c r="AB725" i="1"/>
  <c r="AA725" i="1"/>
  <c r="Y725" i="1"/>
  <c r="Z725" i="1" s="1"/>
  <c r="X725" i="1"/>
  <c r="AE724" i="1"/>
  <c r="AD724" i="1"/>
  <c r="AC724" i="1"/>
  <c r="AB724" i="1"/>
  <c r="AA724" i="1"/>
  <c r="Y724" i="1"/>
  <c r="Z724" i="1" s="1"/>
  <c r="X724" i="1"/>
  <c r="AE723" i="1"/>
  <c r="AD723" i="1"/>
  <c r="AC723" i="1"/>
  <c r="AB723" i="1"/>
  <c r="AA723" i="1"/>
  <c r="Y723" i="1"/>
  <c r="Z723" i="1" s="1"/>
  <c r="X723" i="1"/>
  <c r="AE722" i="1"/>
  <c r="AD722" i="1"/>
  <c r="AC722" i="1"/>
  <c r="AB722" i="1"/>
  <c r="AA722" i="1"/>
  <c r="Y722" i="1"/>
  <c r="Z722" i="1" s="1"/>
  <c r="X722" i="1"/>
  <c r="AE721" i="1"/>
  <c r="AD721" i="1"/>
  <c r="AC721" i="1"/>
  <c r="AB721" i="1"/>
  <c r="AA721" i="1"/>
  <c r="Y721" i="1"/>
  <c r="Z721" i="1" s="1"/>
  <c r="X721" i="1"/>
  <c r="AE720" i="1"/>
  <c r="AD720" i="1"/>
  <c r="AC720" i="1"/>
  <c r="AB720" i="1"/>
  <c r="AA720" i="1"/>
  <c r="Y720" i="1"/>
  <c r="Z720" i="1" s="1"/>
  <c r="X720" i="1"/>
  <c r="AE719" i="1"/>
  <c r="AD719" i="1"/>
  <c r="AC719" i="1"/>
  <c r="AB719" i="1"/>
  <c r="AA719" i="1"/>
  <c r="Y719" i="1"/>
  <c r="Z719" i="1" s="1"/>
  <c r="X719" i="1"/>
  <c r="AE718" i="1"/>
  <c r="AD718" i="1"/>
  <c r="AC718" i="1"/>
  <c r="AB718" i="1"/>
  <c r="AA718" i="1"/>
  <c r="Y718" i="1"/>
  <c r="Z718" i="1" s="1"/>
  <c r="X718" i="1"/>
  <c r="AE717" i="1"/>
  <c r="AD717" i="1"/>
  <c r="AC717" i="1"/>
  <c r="AB717" i="1"/>
  <c r="AA717" i="1"/>
  <c r="Y717" i="1"/>
  <c r="Z717" i="1" s="1"/>
  <c r="X717" i="1"/>
  <c r="AE716" i="1"/>
  <c r="AD716" i="1"/>
  <c r="AC716" i="1"/>
  <c r="AB716" i="1"/>
  <c r="AA716" i="1"/>
  <c r="Y716" i="1"/>
  <c r="Z716" i="1" s="1"/>
  <c r="X716" i="1"/>
  <c r="AE715" i="1"/>
  <c r="AD715" i="1"/>
  <c r="AC715" i="1"/>
  <c r="AB715" i="1"/>
  <c r="AA715" i="1"/>
  <c r="Y715" i="1"/>
  <c r="Z715" i="1" s="1"/>
  <c r="X715" i="1"/>
  <c r="AE714" i="1"/>
  <c r="AD714" i="1"/>
  <c r="AC714" i="1"/>
  <c r="AB714" i="1"/>
  <c r="AA714" i="1"/>
  <c r="Y714" i="1"/>
  <c r="Z714" i="1" s="1"/>
  <c r="X714" i="1"/>
  <c r="AE713" i="1"/>
  <c r="AD713" i="1"/>
  <c r="AC713" i="1"/>
  <c r="AB713" i="1"/>
  <c r="AA713" i="1"/>
  <c r="Y713" i="1"/>
  <c r="Z713" i="1" s="1"/>
  <c r="X713" i="1"/>
  <c r="AE712" i="1"/>
  <c r="AD712" i="1"/>
  <c r="AC712" i="1"/>
  <c r="AB712" i="1"/>
  <c r="AA712" i="1"/>
  <c r="Y712" i="1"/>
  <c r="Z712" i="1" s="1"/>
  <c r="X712" i="1"/>
  <c r="AE711" i="1"/>
  <c r="AD711" i="1"/>
  <c r="AC711" i="1"/>
  <c r="AB711" i="1"/>
  <c r="AA711" i="1"/>
  <c r="Y711" i="1"/>
  <c r="Z711" i="1" s="1"/>
  <c r="X711" i="1"/>
  <c r="AE710" i="1"/>
  <c r="AD710" i="1"/>
  <c r="AC710" i="1"/>
  <c r="AB710" i="1"/>
  <c r="AA710" i="1"/>
  <c r="Y710" i="1"/>
  <c r="Z710" i="1" s="1"/>
  <c r="X710" i="1"/>
  <c r="AE709" i="1"/>
  <c r="AD709" i="1"/>
  <c r="AC709" i="1"/>
  <c r="AB709" i="1"/>
  <c r="AA709" i="1"/>
  <c r="Y709" i="1"/>
  <c r="Z709" i="1" s="1"/>
  <c r="X709" i="1"/>
  <c r="AE708" i="1"/>
  <c r="AD708" i="1"/>
  <c r="AC708" i="1"/>
  <c r="AB708" i="1"/>
  <c r="AA708" i="1"/>
  <c r="Y708" i="1"/>
  <c r="Z708" i="1" s="1"/>
  <c r="X708" i="1"/>
  <c r="AE707" i="1"/>
  <c r="AD707" i="1"/>
  <c r="AC707" i="1"/>
  <c r="AB707" i="1"/>
  <c r="AA707" i="1"/>
  <c r="Y707" i="1"/>
  <c r="Z707" i="1" s="1"/>
  <c r="X707" i="1"/>
  <c r="AE706" i="1"/>
  <c r="AD706" i="1"/>
  <c r="AC706" i="1"/>
  <c r="AB706" i="1"/>
  <c r="AA706" i="1"/>
  <c r="Y706" i="1"/>
  <c r="Z706" i="1" s="1"/>
  <c r="X706" i="1"/>
  <c r="AE705" i="1"/>
  <c r="AD705" i="1"/>
  <c r="AC705" i="1"/>
  <c r="AB705" i="1"/>
  <c r="AA705" i="1"/>
  <c r="Y705" i="1"/>
  <c r="Z705" i="1" s="1"/>
  <c r="X705" i="1"/>
  <c r="AE704" i="1"/>
  <c r="AD704" i="1"/>
  <c r="AC704" i="1"/>
  <c r="AB704" i="1"/>
  <c r="AA704" i="1"/>
  <c r="Y704" i="1"/>
  <c r="Z704" i="1" s="1"/>
  <c r="X704" i="1"/>
  <c r="AE703" i="1"/>
  <c r="AD703" i="1"/>
  <c r="AC703" i="1"/>
  <c r="AB703" i="1"/>
  <c r="AA703" i="1"/>
  <c r="Y703" i="1"/>
  <c r="Z703" i="1" s="1"/>
  <c r="X703" i="1"/>
  <c r="AE702" i="1"/>
  <c r="AD702" i="1"/>
  <c r="AC702" i="1"/>
  <c r="AB702" i="1"/>
  <c r="AA702" i="1"/>
  <c r="Y702" i="1"/>
  <c r="Z702" i="1" s="1"/>
  <c r="X702" i="1"/>
  <c r="AE701" i="1"/>
  <c r="AD701" i="1"/>
  <c r="AC701" i="1"/>
  <c r="AB701" i="1"/>
  <c r="AA701" i="1"/>
  <c r="Y701" i="1"/>
  <c r="Z701" i="1" s="1"/>
  <c r="X701" i="1"/>
  <c r="AE700" i="1"/>
  <c r="AD700" i="1"/>
  <c r="AC700" i="1"/>
  <c r="AB700" i="1"/>
  <c r="AA700" i="1"/>
  <c r="Y700" i="1"/>
  <c r="Z700" i="1" s="1"/>
  <c r="X700" i="1"/>
  <c r="AE699" i="1"/>
  <c r="AD699" i="1"/>
  <c r="AC699" i="1"/>
  <c r="AB699" i="1"/>
  <c r="AA699" i="1"/>
  <c r="Y699" i="1"/>
  <c r="Z699" i="1" s="1"/>
  <c r="X699" i="1"/>
  <c r="AE698" i="1"/>
  <c r="AD698" i="1"/>
  <c r="AC698" i="1"/>
  <c r="AB698" i="1"/>
  <c r="AA698" i="1"/>
  <c r="Y698" i="1"/>
  <c r="Z698" i="1" s="1"/>
  <c r="X698" i="1"/>
  <c r="AE697" i="1"/>
  <c r="AD697" i="1"/>
  <c r="AC697" i="1"/>
  <c r="AB697" i="1"/>
  <c r="AA697" i="1"/>
  <c r="Y697" i="1"/>
  <c r="Z697" i="1" s="1"/>
  <c r="X697" i="1"/>
  <c r="AE696" i="1"/>
  <c r="AD696" i="1"/>
  <c r="AC696" i="1"/>
  <c r="AB696" i="1"/>
  <c r="AA696" i="1"/>
  <c r="Y696" i="1"/>
  <c r="Z696" i="1" s="1"/>
  <c r="X696" i="1"/>
  <c r="AE695" i="1"/>
  <c r="AD695" i="1"/>
  <c r="AC695" i="1"/>
  <c r="AB695" i="1"/>
  <c r="AA695" i="1"/>
  <c r="Y695" i="1"/>
  <c r="Z695" i="1" s="1"/>
  <c r="X695" i="1"/>
  <c r="AE694" i="1"/>
  <c r="AD694" i="1"/>
  <c r="AC694" i="1"/>
  <c r="AB694" i="1"/>
  <c r="AA694" i="1"/>
  <c r="Y694" i="1"/>
  <c r="Z694" i="1" s="1"/>
  <c r="X694" i="1"/>
  <c r="AE693" i="1"/>
  <c r="AD693" i="1"/>
  <c r="AC693" i="1"/>
  <c r="AB693" i="1"/>
  <c r="AA693" i="1"/>
  <c r="Y693" i="1"/>
  <c r="Z693" i="1" s="1"/>
  <c r="X693" i="1"/>
  <c r="AE692" i="1"/>
  <c r="AD692" i="1"/>
  <c r="AC692" i="1"/>
  <c r="AB692" i="1"/>
  <c r="AA692" i="1"/>
  <c r="Y692" i="1"/>
  <c r="Z692" i="1" s="1"/>
  <c r="X692" i="1"/>
  <c r="AE691" i="1"/>
  <c r="AD691" i="1"/>
  <c r="AC691" i="1"/>
  <c r="AB691" i="1"/>
  <c r="AA691" i="1"/>
  <c r="Y691" i="1"/>
  <c r="Z691" i="1" s="1"/>
  <c r="X691" i="1"/>
  <c r="AE690" i="1"/>
  <c r="AD690" i="1"/>
  <c r="AC690" i="1"/>
  <c r="AB690" i="1"/>
  <c r="AA690" i="1"/>
  <c r="Y690" i="1"/>
  <c r="Z690" i="1" s="1"/>
  <c r="X690" i="1"/>
  <c r="AE689" i="1"/>
  <c r="AD689" i="1"/>
  <c r="AC689" i="1"/>
  <c r="AB689" i="1"/>
  <c r="AA689" i="1"/>
  <c r="Y689" i="1"/>
  <c r="Z689" i="1" s="1"/>
  <c r="X689" i="1"/>
  <c r="AE688" i="1"/>
  <c r="AD688" i="1"/>
  <c r="AC688" i="1"/>
  <c r="AB688" i="1"/>
  <c r="AA688" i="1"/>
  <c r="Y688" i="1"/>
  <c r="Z688" i="1" s="1"/>
  <c r="X688" i="1"/>
  <c r="AE687" i="1"/>
  <c r="AD687" i="1"/>
  <c r="AC687" i="1"/>
  <c r="AB687" i="1"/>
  <c r="AA687" i="1"/>
  <c r="Y687" i="1"/>
  <c r="Z687" i="1" s="1"/>
  <c r="X687" i="1"/>
  <c r="AE686" i="1"/>
  <c r="AD686" i="1"/>
  <c r="AC686" i="1"/>
  <c r="AB686" i="1"/>
  <c r="AA686" i="1"/>
  <c r="Y686" i="1"/>
  <c r="Z686" i="1" s="1"/>
  <c r="X686" i="1"/>
  <c r="AE685" i="1"/>
  <c r="AD685" i="1"/>
  <c r="AC685" i="1"/>
  <c r="AB685" i="1"/>
  <c r="AA685" i="1"/>
  <c r="Y685" i="1"/>
  <c r="Z685" i="1" s="1"/>
  <c r="X685" i="1"/>
  <c r="AE684" i="1"/>
  <c r="AD684" i="1"/>
  <c r="AC684" i="1"/>
  <c r="AB684" i="1"/>
  <c r="AA684" i="1"/>
  <c r="Y684" i="1"/>
  <c r="Z684" i="1" s="1"/>
  <c r="X684" i="1"/>
  <c r="AE683" i="1"/>
  <c r="AD683" i="1"/>
  <c r="AC683" i="1"/>
  <c r="AB683" i="1"/>
  <c r="AA683" i="1"/>
  <c r="Y683" i="1"/>
  <c r="Z683" i="1" s="1"/>
  <c r="X683" i="1"/>
  <c r="AE682" i="1"/>
  <c r="AD682" i="1"/>
  <c r="AC682" i="1"/>
  <c r="AB682" i="1"/>
  <c r="AA682" i="1"/>
  <c r="Y682" i="1"/>
  <c r="Z682" i="1" s="1"/>
  <c r="X682" i="1"/>
  <c r="AE681" i="1"/>
  <c r="AD681" i="1"/>
  <c r="AC681" i="1"/>
  <c r="AB681" i="1"/>
  <c r="AA681" i="1"/>
  <c r="Y681" i="1"/>
  <c r="Z681" i="1" s="1"/>
  <c r="X681" i="1"/>
  <c r="AE680" i="1"/>
  <c r="AD680" i="1"/>
  <c r="AC680" i="1"/>
  <c r="AB680" i="1"/>
  <c r="AA680" i="1"/>
  <c r="Y680" i="1"/>
  <c r="Z680" i="1" s="1"/>
  <c r="X680" i="1"/>
  <c r="AE679" i="1"/>
  <c r="AD679" i="1"/>
  <c r="AC679" i="1"/>
  <c r="AB679" i="1"/>
  <c r="AA679" i="1"/>
  <c r="Y679" i="1"/>
  <c r="Z679" i="1" s="1"/>
  <c r="X679" i="1"/>
  <c r="AE678" i="1"/>
  <c r="AD678" i="1"/>
  <c r="AC678" i="1"/>
  <c r="AB678" i="1"/>
  <c r="AA678" i="1"/>
  <c r="Y678" i="1"/>
  <c r="Z678" i="1" s="1"/>
  <c r="X678" i="1"/>
  <c r="AE677" i="1"/>
  <c r="AD677" i="1"/>
  <c r="AC677" i="1"/>
  <c r="AB677" i="1"/>
  <c r="AA677" i="1"/>
  <c r="Y677" i="1"/>
  <c r="Z677" i="1" s="1"/>
  <c r="X677" i="1"/>
  <c r="AE676" i="1"/>
  <c r="AD676" i="1"/>
  <c r="AC676" i="1"/>
  <c r="AB676" i="1"/>
  <c r="AA676" i="1"/>
  <c r="Y676" i="1"/>
  <c r="Z676" i="1" s="1"/>
  <c r="X676" i="1"/>
  <c r="AE675" i="1"/>
  <c r="AD675" i="1"/>
  <c r="AC675" i="1"/>
  <c r="AB675" i="1"/>
  <c r="AA675" i="1"/>
  <c r="Y675" i="1"/>
  <c r="Z675" i="1" s="1"/>
  <c r="X675" i="1"/>
  <c r="AE674" i="1"/>
  <c r="AD674" i="1"/>
  <c r="AC674" i="1"/>
  <c r="AB674" i="1"/>
  <c r="AA674" i="1"/>
  <c r="Y674" i="1"/>
  <c r="Z674" i="1" s="1"/>
  <c r="X674" i="1"/>
  <c r="AE673" i="1"/>
  <c r="AD673" i="1"/>
  <c r="AC673" i="1"/>
  <c r="AB673" i="1"/>
  <c r="AA673" i="1"/>
  <c r="Y673" i="1"/>
  <c r="Z673" i="1" s="1"/>
  <c r="X673" i="1"/>
  <c r="AE672" i="1"/>
  <c r="AD672" i="1"/>
  <c r="AC672" i="1"/>
  <c r="AB672" i="1"/>
  <c r="AA672" i="1"/>
  <c r="Y672" i="1"/>
  <c r="Z672" i="1" s="1"/>
  <c r="X672" i="1"/>
  <c r="AE671" i="1"/>
  <c r="AD671" i="1"/>
  <c r="AC671" i="1"/>
  <c r="AB671" i="1"/>
  <c r="AA671" i="1"/>
  <c r="Y671" i="1"/>
  <c r="Z671" i="1" s="1"/>
  <c r="X671" i="1"/>
  <c r="AE670" i="1"/>
  <c r="AD670" i="1"/>
  <c r="AC670" i="1"/>
  <c r="AB670" i="1"/>
  <c r="AA670" i="1"/>
  <c r="Y670" i="1"/>
  <c r="Z670" i="1" s="1"/>
  <c r="X670" i="1"/>
  <c r="AE669" i="1"/>
  <c r="AD669" i="1"/>
  <c r="AC669" i="1"/>
  <c r="AB669" i="1"/>
  <c r="AA669" i="1"/>
  <c r="Y669" i="1"/>
  <c r="Z669" i="1" s="1"/>
  <c r="X669" i="1"/>
  <c r="AE668" i="1"/>
  <c r="AD668" i="1"/>
  <c r="AC668" i="1"/>
  <c r="AB668" i="1"/>
  <c r="AA668" i="1"/>
  <c r="Y668" i="1"/>
  <c r="Z668" i="1" s="1"/>
  <c r="X668" i="1"/>
  <c r="AE667" i="1"/>
  <c r="AD667" i="1"/>
  <c r="AC667" i="1"/>
  <c r="AB667" i="1"/>
  <c r="AA667" i="1"/>
  <c r="Y667" i="1"/>
  <c r="Z667" i="1" s="1"/>
  <c r="X667" i="1"/>
  <c r="AE666" i="1"/>
  <c r="AD666" i="1"/>
  <c r="AC666" i="1"/>
  <c r="AB666" i="1"/>
  <c r="AA666" i="1"/>
  <c r="Y666" i="1"/>
  <c r="Z666" i="1" s="1"/>
  <c r="X666" i="1"/>
  <c r="AE665" i="1"/>
  <c r="AD665" i="1"/>
  <c r="AC665" i="1"/>
  <c r="AB665" i="1"/>
  <c r="AA665" i="1"/>
  <c r="Y665" i="1"/>
  <c r="Z665" i="1" s="1"/>
  <c r="X665" i="1"/>
  <c r="AE664" i="1"/>
  <c r="AD664" i="1"/>
  <c r="AC664" i="1"/>
  <c r="AB664" i="1"/>
  <c r="AA664" i="1"/>
  <c r="Y664" i="1"/>
  <c r="Z664" i="1" s="1"/>
  <c r="X664" i="1"/>
  <c r="AE663" i="1"/>
  <c r="AD663" i="1"/>
  <c r="AC663" i="1"/>
  <c r="AB663" i="1"/>
  <c r="AA663" i="1"/>
  <c r="Y663" i="1"/>
  <c r="Z663" i="1" s="1"/>
  <c r="X663" i="1"/>
  <c r="AE662" i="1"/>
  <c r="AD662" i="1"/>
  <c r="AC662" i="1"/>
  <c r="AB662" i="1"/>
  <c r="AA662" i="1"/>
  <c r="Y662" i="1"/>
  <c r="Z662" i="1" s="1"/>
  <c r="X662" i="1"/>
  <c r="AE661" i="1"/>
  <c r="AD661" i="1"/>
  <c r="AC661" i="1"/>
  <c r="AB661" i="1"/>
  <c r="AA661" i="1"/>
  <c r="Y661" i="1"/>
  <c r="Z661" i="1" s="1"/>
  <c r="X661" i="1"/>
  <c r="AE660" i="1"/>
  <c r="AD660" i="1"/>
  <c r="AC660" i="1"/>
  <c r="AB660" i="1"/>
  <c r="AA660" i="1"/>
  <c r="Y660" i="1"/>
  <c r="Z660" i="1" s="1"/>
  <c r="X660" i="1"/>
  <c r="AE659" i="1"/>
  <c r="AD659" i="1"/>
  <c r="AC659" i="1"/>
  <c r="AB659" i="1"/>
  <c r="AA659" i="1"/>
  <c r="Y659" i="1"/>
  <c r="Z659" i="1" s="1"/>
  <c r="X659" i="1"/>
  <c r="AE658" i="1"/>
  <c r="AD658" i="1"/>
  <c r="AC658" i="1"/>
  <c r="AB658" i="1"/>
  <c r="AA658" i="1"/>
  <c r="Y658" i="1"/>
  <c r="Z658" i="1" s="1"/>
  <c r="X658" i="1"/>
  <c r="AE657" i="1"/>
  <c r="AD657" i="1"/>
  <c r="AC657" i="1"/>
  <c r="AB657" i="1"/>
  <c r="AA657" i="1"/>
  <c r="Y657" i="1"/>
  <c r="Z657" i="1" s="1"/>
  <c r="X657" i="1"/>
  <c r="AE656" i="1"/>
  <c r="AD656" i="1"/>
  <c r="AC656" i="1"/>
  <c r="AB656" i="1"/>
  <c r="AA656" i="1"/>
  <c r="Y656" i="1"/>
  <c r="Z656" i="1" s="1"/>
  <c r="X656" i="1"/>
  <c r="AE655" i="1"/>
  <c r="AD655" i="1"/>
  <c r="AC655" i="1"/>
  <c r="AB655" i="1"/>
  <c r="AA655" i="1"/>
  <c r="Y655" i="1"/>
  <c r="Z655" i="1" s="1"/>
  <c r="X655" i="1"/>
  <c r="AE654" i="1"/>
  <c r="AD654" i="1"/>
  <c r="AC654" i="1"/>
  <c r="AB654" i="1"/>
  <c r="AA654" i="1"/>
  <c r="Y654" i="1"/>
  <c r="Z654" i="1" s="1"/>
  <c r="X654" i="1"/>
  <c r="AE653" i="1"/>
  <c r="AD653" i="1"/>
  <c r="AC653" i="1"/>
  <c r="AB653" i="1"/>
  <c r="AA653" i="1"/>
  <c r="Y653" i="1"/>
  <c r="Z653" i="1" s="1"/>
  <c r="X653" i="1"/>
  <c r="AE652" i="1"/>
  <c r="AD652" i="1"/>
  <c r="AC652" i="1"/>
  <c r="AB652" i="1"/>
  <c r="AA652" i="1"/>
  <c r="Y652" i="1"/>
  <c r="Z652" i="1" s="1"/>
  <c r="X652" i="1"/>
  <c r="AE651" i="1"/>
  <c r="AD651" i="1"/>
  <c r="AC651" i="1"/>
  <c r="AB651" i="1"/>
  <c r="AA651" i="1"/>
  <c r="Y651" i="1"/>
  <c r="Z651" i="1" s="1"/>
  <c r="X651" i="1"/>
  <c r="AE650" i="1"/>
  <c r="AD650" i="1"/>
  <c r="AC650" i="1"/>
  <c r="AB650" i="1"/>
  <c r="AA650" i="1"/>
  <c r="Y650" i="1"/>
  <c r="Z650" i="1" s="1"/>
  <c r="X650" i="1"/>
  <c r="AE649" i="1"/>
  <c r="AD649" i="1"/>
  <c r="AC649" i="1"/>
  <c r="AB649" i="1"/>
  <c r="AA649" i="1"/>
  <c r="Y649" i="1"/>
  <c r="Z649" i="1" s="1"/>
  <c r="X649" i="1"/>
  <c r="AE648" i="1"/>
  <c r="AD648" i="1"/>
  <c r="AC648" i="1"/>
  <c r="AB648" i="1"/>
  <c r="AA648" i="1"/>
  <c r="Y648" i="1"/>
  <c r="Z648" i="1" s="1"/>
  <c r="X648" i="1"/>
  <c r="AE647" i="1"/>
  <c r="AD647" i="1"/>
  <c r="AC647" i="1"/>
  <c r="AB647" i="1"/>
  <c r="AA647" i="1"/>
  <c r="Y647" i="1"/>
  <c r="Z647" i="1" s="1"/>
  <c r="X647" i="1"/>
  <c r="AE646" i="1"/>
  <c r="AD646" i="1"/>
  <c r="AC646" i="1"/>
  <c r="AB646" i="1"/>
  <c r="AA646" i="1"/>
  <c r="Y646" i="1"/>
  <c r="Z646" i="1" s="1"/>
  <c r="X646" i="1"/>
  <c r="AE645" i="1"/>
  <c r="AD645" i="1"/>
  <c r="AC645" i="1"/>
  <c r="AB645" i="1"/>
  <c r="AA645" i="1"/>
  <c r="Y645" i="1"/>
  <c r="Z645" i="1" s="1"/>
  <c r="X645" i="1"/>
  <c r="AE644" i="1"/>
  <c r="AD644" i="1"/>
  <c r="AC644" i="1"/>
  <c r="AB644" i="1"/>
  <c r="AA644" i="1"/>
  <c r="Y644" i="1"/>
  <c r="Z644" i="1" s="1"/>
  <c r="X644" i="1"/>
  <c r="AE643" i="1"/>
  <c r="AD643" i="1"/>
  <c r="AC643" i="1"/>
  <c r="AB643" i="1"/>
  <c r="AA643" i="1"/>
  <c r="Y643" i="1"/>
  <c r="Z643" i="1" s="1"/>
  <c r="X643" i="1"/>
  <c r="AE642" i="1"/>
  <c r="AD642" i="1"/>
  <c r="AC642" i="1"/>
  <c r="AB642" i="1"/>
  <c r="AA642" i="1"/>
  <c r="Y642" i="1"/>
  <c r="Z642" i="1" s="1"/>
  <c r="X642" i="1"/>
  <c r="AE641" i="1"/>
  <c r="AD641" i="1"/>
  <c r="AC641" i="1"/>
  <c r="AB641" i="1"/>
  <c r="AA641" i="1"/>
  <c r="Y641" i="1"/>
  <c r="Z641" i="1" s="1"/>
  <c r="X641" i="1"/>
  <c r="AE640" i="1"/>
  <c r="AD640" i="1"/>
  <c r="AC640" i="1"/>
  <c r="AB640" i="1"/>
  <c r="AA640" i="1"/>
  <c r="Y640" i="1"/>
  <c r="Z640" i="1" s="1"/>
  <c r="X640" i="1"/>
  <c r="AE639" i="1"/>
  <c r="AD639" i="1"/>
  <c r="AC639" i="1"/>
  <c r="AB639" i="1"/>
  <c r="AA639" i="1"/>
  <c r="Y639" i="1"/>
  <c r="Z639" i="1" s="1"/>
  <c r="X639" i="1"/>
  <c r="AE638" i="1"/>
  <c r="AD638" i="1"/>
  <c r="AC638" i="1"/>
  <c r="AB638" i="1"/>
  <c r="AA638" i="1"/>
  <c r="Y638" i="1"/>
  <c r="Z638" i="1" s="1"/>
  <c r="X638" i="1"/>
  <c r="AE637" i="1"/>
  <c r="AD637" i="1"/>
  <c r="AC637" i="1"/>
  <c r="AB637" i="1"/>
  <c r="AA637" i="1"/>
  <c r="Y637" i="1"/>
  <c r="Z637" i="1" s="1"/>
  <c r="X637" i="1"/>
  <c r="AE636" i="1"/>
  <c r="AD636" i="1"/>
  <c r="AC636" i="1"/>
  <c r="AB636" i="1"/>
  <c r="AA636" i="1"/>
  <c r="Y636" i="1"/>
  <c r="Z636" i="1" s="1"/>
  <c r="X636" i="1"/>
  <c r="AE635" i="1"/>
  <c r="AD635" i="1"/>
  <c r="AC635" i="1"/>
  <c r="AB635" i="1"/>
  <c r="AA635" i="1"/>
  <c r="Y635" i="1"/>
  <c r="Z635" i="1" s="1"/>
  <c r="X635" i="1"/>
  <c r="AE634" i="1"/>
  <c r="AD634" i="1"/>
  <c r="AC634" i="1"/>
  <c r="AB634" i="1"/>
  <c r="AA634" i="1"/>
  <c r="Y634" i="1"/>
  <c r="Z634" i="1" s="1"/>
  <c r="X634" i="1"/>
  <c r="AE633" i="1"/>
  <c r="AD633" i="1"/>
  <c r="AC633" i="1"/>
  <c r="AB633" i="1"/>
  <c r="AA633" i="1"/>
  <c r="Y633" i="1"/>
  <c r="Z633" i="1" s="1"/>
  <c r="X633" i="1"/>
  <c r="AE632" i="1"/>
  <c r="AD632" i="1"/>
  <c r="AC632" i="1"/>
  <c r="AB632" i="1"/>
  <c r="AA632" i="1"/>
  <c r="Y632" i="1"/>
  <c r="Z632" i="1" s="1"/>
  <c r="X632" i="1"/>
  <c r="AE631" i="1"/>
  <c r="AD631" i="1"/>
  <c r="AC631" i="1"/>
  <c r="AB631" i="1"/>
  <c r="AA631" i="1"/>
  <c r="Y631" i="1"/>
  <c r="Z631" i="1" s="1"/>
  <c r="X631" i="1"/>
  <c r="AE630" i="1"/>
  <c r="AD630" i="1"/>
  <c r="AC630" i="1"/>
  <c r="AB630" i="1"/>
  <c r="AA630" i="1"/>
  <c r="Y630" i="1"/>
  <c r="Z630" i="1" s="1"/>
  <c r="X630" i="1"/>
  <c r="AE629" i="1"/>
  <c r="AD629" i="1"/>
  <c r="AC629" i="1"/>
  <c r="AB629" i="1"/>
  <c r="AA629" i="1"/>
  <c r="Y629" i="1"/>
  <c r="Z629" i="1" s="1"/>
  <c r="X629" i="1"/>
  <c r="AE628" i="1"/>
  <c r="AD628" i="1"/>
  <c r="AC628" i="1"/>
  <c r="AB628" i="1"/>
  <c r="AA628" i="1"/>
  <c r="Y628" i="1"/>
  <c r="Z628" i="1" s="1"/>
  <c r="X628" i="1"/>
  <c r="AE627" i="1"/>
  <c r="AD627" i="1"/>
  <c r="AC627" i="1"/>
  <c r="AB627" i="1"/>
  <c r="AA627" i="1"/>
  <c r="Y627" i="1"/>
  <c r="Z627" i="1" s="1"/>
  <c r="X627" i="1"/>
  <c r="AE626" i="1"/>
  <c r="AD626" i="1"/>
  <c r="AC626" i="1"/>
  <c r="AB626" i="1"/>
  <c r="AA626" i="1"/>
  <c r="Y626" i="1"/>
  <c r="Z626" i="1" s="1"/>
  <c r="X626" i="1"/>
  <c r="AE625" i="1"/>
  <c r="AD625" i="1"/>
  <c r="AC625" i="1"/>
  <c r="AB625" i="1"/>
  <c r="AA625" i="1"/>
  <c r="Y625" i="1"/>
  <c r="Z625" i="1" s="1"/>
  <c r="X625" i="1"/>
  <c r="AE624" i="1"/>
  <c r="AD624" i="1"/>
  <c r="AC624" i="1"/>
  <c r="AB624" i="1"/>
  <c r="AA624" i="1"/>
  <c r="Y624" i="1"/>
  <c r="Z624" i="1" s="1"/>
  <c r="X624" i="1"/>
  <c r="AE623" i="1"/>
  <c r="AD623" i="1"/>
  <c r="AC623" i="1"/>
  <c r="AB623" i="1"/>
  <c r="AA623" i="1"/>
  <c r="Y623" i="1"/>
  <c r="Z623" i="1" s="1"/>
  <c r="X623" i="1"/>
  <c r="AE622" i="1"/>
  <c r="AD622" i="1"/>
  <c r="AC622" i="1"/>
  <c r="AB622" i="1"/>
  <c r="AA622" i="1"/>
  <c r="Y622" i="1"/>
  <c r="Z622" i="1" s="1"/>
  <c r="X622" i="1"/>
  <c r="AE621" i="1"/>
  <c r="AD621" i="1"/>
  <c r="AC621" i="1"/>
  <c r="AB621" i="1"/>
  <c r="AA621" i="1"/>
  <c r="Y621" i="1"/>
  <c r="Z621" i="1" s="1"/>
  <c r="X621" i="1"/>
  <c r="AE620" i="1"/>
  <c r="AD620" i="1"/>
  <c r="AC620" i="1"/>
  <c r="AB620" i="1"/>
  <c r="AA620" i="1"/>
  <c r="Y620" i="1"/>
  <c r="Z620" i="1" s="1"/>
  <c r="X620" i="1"/>
  <c r="AE619" i="1"/>
  <c r="AD619" i="1"/>
  <c r="AC619" i="1"/>
  <c r="AB619" i="1"/>
  <c r="AA619" i="1"/>
  <c r="Y619" i="1"/>
  <c r="Z619" i="1" s="1"/>
  <c r="X619" i="1"/>
  <c r="AE618" i="1"/>
  <c r="AD618" i="1"/>
  <c r="AC618" i="1"/>
  <c r="AB618" i="1"/>
  <c r="AA618" i="1"/>
  <c r="Y618" i="1"/>
  <c r="Z618" i="1" s="1"/>
  <c r="X618" i="1"/>
  <c r="AE617" i="1"/>
  <c r="AD617" i="1"/>
  <c r="AC617" i="1"/>
  <c r="AB617" i="1"/>
  <c r="AA617" i="1"/>
  <c r="Y617" i="1"/>
  <c r="Z617" i="1" s="1"/>
  <c r="X617" i="1"/>
  <c r="AE616" i="1"/>
  <c r="AD616" i="1"/>
  <c r="AC616" i="1"/>
  <c r="AB616" i="1"/>
  <c r="AA616" i="1"/>
  <c r="Y616" i="1"/>
  <c r="Z616" i="1" s="1"/>
  <c r="X616" i="1"/>
  <c r="AE615" i="1"/>
  <c r="AD615" i="1"/>
  <c r="AC615" i="1"/>
  <c r="AB615" i="1"/>
  <c r="AA615" i="1"/>
  <c r="Y615" i="1"/>
  <c r="Z615" i="1" s="1"/>
  <c r="X615" i="1"/>
  <c r="AE614" i="1"/>
  <c r="AD614" i="1"/>
  <c r="AC614" i="1"/>
  <c r="AB614" i="1"/>
  <c r="AA614" i="1"/>
  <c r="Y614" i="1"/>
  <c r="Z614" i="1" s="1"/>
  <c r="X614" i="1"/>
  <c r="AE613" i="1"/>
  <c r="AD613" i="1"/>
  <c r="AC613" i="1"/>
  <c r="AB613" i="1"/>
  <c r="AA613" i="1"/>
  <c r="Y613" i="1"/>
  <c r="Z613" i="1" s="1"/>
  <c r="X613" i="1"/>
  <c r="AE612" i="1"/>
  <c r="AD612" i="1"/>
  <c r="AC612" i="1"/>
  <c r="AB612" i="1"/>
  <c r="AA612" i="1"/>
  <c r="Y612" i="1"/>
  <c r="Z612" i="1" s="1"/>
  <c r="X612" i="1"/>
  <c r="AE611" i="1"/>
  <c r="AD611" i="1"/>
  <c r="AC611" i="1"/>
  <c r="AB611" i="1"/>
  <c r="AA611" i="1"/>
  <c r="Y611" i="1"/>
  <c r="Z611" i="1" s="1"/>
  <c r="X611" i="1"/>
  <c r="AE610" i="1"/>
  <c r="AD610" i="1"/>
  <c r="AC610" i="1"/>
  <c r="AB610" i="1"/>
  <c r="AA610" i="1"/>
  <c r="Y610" i="1"/>
  <c r="Z610" i="1" s="1"/>
  <c r="X610" i="1"/>
  <c r="AE609" i="1"/>
  <c r="AD609" i="1"/>
  <c r="AC609" i="1"/>
  <c r="AB609" i="1"/>
  <c r="AA609" i="1"/>
  <c r="Y609" i="1"/>
  <c r="Z609" i="1" s="1"/>
  <c r="X609" i="1"/>
  <c r="AE608" i="1"/>
  <c r="AD608" i="1"/>
  <c r="AC608" i="1"/>
  <c r="AB608" i="1"/>
  <c r="AA608" i="1"/>
  <c r="Y608" i="1"/>
  <c r="Z608" i="1" s="1"/>
  <c r="X608" i="1"/>
  <c r="AE607" i="1"/>
  <c r="AD607" i="1"/>
  <c r="AC607" i="1"/>
  <c r="AB607" i="1"/>
  <c r="AA607" i="1"/>
  <c r="Y607" i="1"/>
  <c r="Z607" i="1" s="1"/>
  <c r="X607" i="1"/>
  <c r="AE606" i="1"/>
  <c r="AD606" i="1"/>
  <c r="AC606" i="1"/>
  <c r="AB606" i="1"/>
  <c r="AA606" i="1"/>
  <c r="Y606" i="1"/>
  <c r="Z606" i="1" s="1"/>
  <c r="X606" i="1"/>
  <c r="AE605" i="1"/>
  <c r="AD605" i="1"/>
  <c r="AC605" i="1"/>
  <c r="AB605" i="1"/>
  <c r="AA605" i="1"/>
  <c r="Y605" i="1"/>
  <c r="Z605" i="1" s="1"/>
  <c r="X605" i="1"/>
  <c r="AE604" i="1"/>
  <c r="AD604" i="1"/>
  <c r="AC604" i="1"/>
  <c r="AB604" i="1"/>
  <c r="AA604" i="1"/>
  <c r="Y604" i="1"/>
  <c r="Z604" i="1" s="1"/>
  <c r="X604" i="1"/>
  <c r="AE603" i="1"/>
  <c r="AD603" i="1"/>
  <c r="AC603" i="1"/>
  <c r="AB603" i="1"/>
  <c r="AA603" i="1"/>
  <c r="Y603" i="1"/>
  <c r="Z603" i="1" s="1"/>
  <c r="X603" i="1"/>
  <c r="AE602" i="1"/>
  <c r="AD602" i="1"/>
  <c r="AC602" i="1"/>
  <c r="AB602" i="1"/>
  <c r="AA602" i="1"/>
  <c r="Y602" i="1"/>
  <c r="Z602" i="1" s="1"/>
  <c r="X602" i="1"/>
  <c r="AE601" i="1"/>
  <c r="AD601" i="1"/>
  <c r="AC601" i="1"/>
  <c r="AB601" i="1"/>
  <c r="AA601" i="1"/>
  <c r="Y601" i="1"/>
  <c r="Z601" i="1" s="1"/>
  <c r="X601" i="1"/>
  <c r="AE600" i="1"/>
  <c r="AD600" i="1"/>
  <c r="AC600" i="1"/>
  <c r="AB600" i="1"/>
  <c r="AA600" i="1"/>
  <c r="Y600" i="1"/>
  <c r="Z600" i="1" s="1"/>
  <c r="X600" i="1"/>
  <c r="AE599" i="1"/>
  <c r="AD599" i="1"/>
  <c r="AC599" i="1"/>
  <c r="AB599" i="1"/>
  <c r="AA599" i="1"/>
  <c r="Y599" i="1"/>
  <c r="Z599" i="1" s="1"/>
  <c r="X599" i="1"/>
  <c r="AE598" i="1"/>
  <c r="AD598" i="1"/>
  <c r="AC598" i="1"/>
  <c r="AB598" i="1"/>
  <c r="AA598" i="1"/>
  <c r="Y598" i="1"/>
  <c r="Z598" i="1" s="1"/>
  <c r="X598" i="1"/>
  <c r="AE597" i="1"/>
  <c r="AD597" i="1"/>
  <c r="AC597" i="1"/>
  <c r="AB597" i="1"/>
  <c r="AA597" i="1"/>
  <c r="Y597" i="1"/>
  <c r="Z597" i="1" s="1"/>
  <c r="X597" i="1"/>
  <c r="AE596" i="1"/>
  <c r="AD596" i="1"/>
  <c r="AC596" i="1"/>
  <c r="AB596" i="1"/>
  <c r="AA596" i="1"/>
  <c r="Y596" i="1"/>
  <c r="Z596" i="1" s="1"/>
  <c r="X596" i="1"/>
  <c r="AE595" i="1"/>
  <c r="AD595" i="1"/>
  <c r="AC595" i="1"/>
  <c r="AB595" i="1"/>
  <c r="AA595" i="1"/>
  <c r="Y595" i="1"/>
  <c r="Z595" i="1" s="1"/>
  <c r="X595" i="1"/>
  <c r="AE594" i="1"/>
  <c r="AD594" i="1"/>
  <c r="AC594" i="1"/>
  <c r="AB594" i="1"/>
  <c r="AA594" i="1"/>
  <c r="Y594" i="1"/>
  <c r="Z594" i="1" s="1"/>
  <c r="X594" i="1"/>
  <c r="AE593" i="1"/>
  <c r="AD593" i="1"/>
  <c r="AC593" i="1"/>
  <c r="AB593" i="1"/>
  <c r="AA593" i="1"/>
  <c r="Y593" i="1"/>
  <c r="Z593" i="1" s="1"/>
  <c r="X593" i="1"/>
  <c r="AE592" i="1"/>
  <c r="AD592" i="1"/>
  <c r="AC592" i="1"/>
  <c r="AB592" i="1"/>
  <c r="AA592" i="1"/>
  <c r="Y592" i="1"/>
  <c r="Z592" i="1" s="1"/>
  <c r="X592" i="1"/>
  <c r="AE591" i="1"/>
  <c r="AD591" i="1"/>
  <c r="AC591" i="1"/>
  <c r="AB591" i="1"/>
  <c r="AA591" i="1"/>
  <c r="Y591" i="1"/>
  <c r="Z591" i="1" s="1"/>
  <c r="X591" i="1"/>
  <c r="AE590" i="1"/>
  <c r="AD590" i="1"/>
  <c r="AC590" i="1"/>
  <c r="AB590" i="1"/>
  <c r="AA590" i="1"/>
  <c r="Y590" i="1"/>
  <c r="Z590" i="1" s="1"/>
  <c r="X590" i="1"/>
  <c r="AE589" i="1"/>
  <c r="AD589" i="1"/>
  <c r="AC589" i="1"/>
  <c r="AB589" i="1"/>
  <c r="AA589" i="1"/>
  <c r="Y589" i="1"/>
  <c r="Z589" i="1" s="1"/>
  <c r="X589" i="1"/>
  <c r="AE588" i="1"/>
  <c r="AD588" i="1"/>
  <c r="AC588" i="1"/>
  <c r="AB588" i="1"/>
  <c r="AA588" i="1"/>
  <c r="Y588" i="1"/>
  <c r="Z588" i="1" s="1"/>
  <c r="X588" i="1"/>
  <c r="AE587" i="1"/>
  <c r="AD587" i="1"/>
  <c r="AC587" i="1"/>
  <c r="AB587" i="1"/>
  <c r="AA587" i="1"/>
  <c r="Y587" i="1"/>
  <c r="Z587" i="1" s="1"/>
  <c r="X587" i="1"/>
  <c r="AE586" i="1"/>
  <c r="AD586" i="1"/>
  <c r="AC586" i="1"/>
  <c r="AB586" i="1"/>
  <c r="AA586" i="1"/>
  <c r="Y586" i="1"/>
  <c r="Z586" i="1" s="1"/>
  <c r="X586" i="1"/>
  <c r="AE585" i="1"/>
  <c r="AD585" i="1"/>
  <c r="AC585" i="1"/>
  <c r="AB585" i="1"/>
  <c r="AA585" i="1"/>
  <c r="Y585" i="1"/>
  <c r="Z585" i="1" s="1"/>
  <c r="X585" i="1"/>
  <c r="AE584" i="1"/>
  <c r="AD584" i="1"/>
  <c r="AC584" i="1"/>
  <c r="AB584" i="1"/>
  <c r="AA584" i="1"/>
  <c r="Y584" i="1"/>
  <c r="Z584" i="1" s="1"/>
  <c r="X584" i="1"/>
  <c r="AE583" i="1"/>
  <c r="AD583" i="1"/>
  <c r="AC583" i="1"/>
  <c r="AB583" i="1"/>
  <c r="AA583" i="1"/>
  <c r="Y583" i="1"/>
  <c r="Z583" i="1" s="1"/>
  <c r="X583" i="1"/>
  <c r="AE582" i="1"/>
  <c r="AD582" i="1"/>
  <c r="AC582" i="1"/>
  <c r="AB582" i="1"/>
  <c r="AA582" i="1"/>
  <c r="Y582" i="1"/>
  <c r="Z582" i="1" s="1"/>
  <c r="X582" i="1"/>
  <c r="AE581" i="1"/>
  <c r="AD581" i="1"/>
  <c r="AC581" i="1"/>
  <c r="AB581" i="1"/>
  <c r="AA581" i="1"/>
  <c r="Y581" i="1"/>
  <c r="Z581" i="1" s="1"/>
  <c r="X581" i="1"/>
  <c r="AE580" i="1"/>
  <c r="AD580" i="1"/>
  <c r="AC580" i="1"/>
  <c r="AB580" i="1"/>
  <c r="AA580" i="1"/>
  <c r="Y580" i="1"/>
  <c r="Z580" i="1" s="1"/>
  <c r="X580" i="1"/>
  <c r="AE579" i="1"/>
  <c r="AD579" i="1"/>
  <c r="AC579" i="1"/>
  <c r="AB579" i="1"/>
  <c r="AA579" i="1"/>
  <c r="Y579" i="1"/>
  <c r="Z579" i="1" s="1"/>
  <c r="X579" i="1"/>
  <c r="AE578" i="1"/>
  <c r="AD578" i="1"/>
  <c r="AC578" i="1"/>
  <c r="AB578" i="1"/>
  <c r="AA578" i="1"/>
  <c r="Y578" i="1"/>
  <c r="Z578" i="1" s="1"/>
  <c r="X578" i="1"/>
  <c r="AE577" i="1"/>
  <c r="AD577" i="1"/>
  <c r="AC577" i="1"/>
  <c r="AB577" i="1"/>
  <c r="AA577" i="1"/>
  <c r="Y577" i="1"/>
  <c r="Z577" i="1" s="1"/>
  <c r="X577" i="1"/>
  <c r="AE576" i="1"/>
  <c r="AD576" i="1"/>
  <c r="AC576" i="1"/>
  <c r="AB576" i="1"/>
  <c r="AA576" i="1"/>
  <c r="Y576" i="1"/>
  <c r="Z576" i="1" s="1"/>
  <c r="X576" i="1"/>
  <c r="AE575" i="1"/>
  <c r="AD575" i="1"/>
  <c r="AC575" i="1"/>
  <c r="AB575" i="1"/>
  <c r="AA575" i="1"/>
  <c r="Y575" i="1"/>
  <c r="Z575" i="1" s="1"/>
  <c r="X575" i="1"/>
  <c r="AE574" i="1"/>
  <c r="AD574" i="1"/>
  <c r="AC574" i="1"/>
  <c r="AB574" i="1"/>
  <c r="AA574" i="1"/>
  <c r="Y574" i="1"/>
  <c r="Z574" i="1" s="1"/>
  <c r="X574" i="1"/>
  <c r="AE573" i="1"/>
  <c r="AD573" i="1"/>
  <c r="AC573" i="1"/>
  <c r="AB573" i="1"/>
  <c r="AA573" i="1"/>
  <c r="Y573" i="1"/>
  <c r="Z573" i="1" s="1"/>
  <c r="X573" i="1"/>
  <c r="AE572" i="1"/>
  <c r="AD572" i="1"/>
  <c r="AC572" i="1"/>
  <c r="AB572" i="1"/>
  <c r="AA572" i="1"/>
  <c r="Y572" i="1"/>
  <c r="Z572" i="1" s="1"/>
  <c r="X572" i="1"/>
  <c r="AE571" i="1"/>
  <c r="AD571" i="1"/>
  <c r="AC571" i="1"/>
  <c r="AB571" i="1"/>
  <c r="AA571" i="1"/>
  <c r="Y571" i="1"/>
  <c r="Z571" i="1" s="1"/>
  <c r="X571" i="1"/>
  <c r="AE570" i="1"/>
  <c r="AD570" i="1"/>
  <c r="AC570" i="1"/>
  <c r="AB570" i="1"/>
  <c r="AA570" i="1"/>
  <c r="Y570" i="1"/>
  <c r="Z570" i="1" s="1"/>
  <c r="X570" i="1"/>
  <c r="AE569" i="1"/>
  <c r="AD569" i="1"/>
  <c r="AC569" i="1"/>
  <c r="AB569" i="1"/>
  <c r="AA569" i="1"/>
  <c r="Y569" i="1"/>
  <c r="Z569" i="1" s="1"/>
  <c r="X569" i="1"/>
  <c r="AE568" i="1"/>
  <c r="AD568" i="1"/>
  <c r="AC568" i="1"/>
  <c r="AB568" i="1"/>
  <c r="AA568" i="1"/>
  <c r="Y568" i="1"/>
  <c r="Z568" i="1" s="1"/>
  <c r="X568" i="1"/>
  <c r="AE567" i="1"/>
  <c r="AD567" i="1"/>
  <c r="AC567" i="1"/>
  <c r="AB567" i="1"/>
  <c r="AA567" i="1"/>
  <c r="Y567" i="1"/>
  <c r="Z567" i="1" s="1"/>
  <c r="X567" i="1"/>
  <c r="AE566" i="1"/>
  <c r="AD566" i="1"/>
  <c r="AC566" i="1"/>
  <c r="AB566" i="1"/>
  <c r="AA566" i="1"/>
  <c r="Y566" i="1"/>
  <c r="Z566" i="1" s="1"/>
  <c r="X566" i="1"/>
  <c r="AE565" i="1"/>
  <c r="AD565" i="1"/>
  <c r="AC565" i="1"/>
  <c r="AB565" i="1"/>
  <c r="AA565" i="1"/>
  <c r="Y565" i="1"/>
  <c r="Z565" i="1" s="1"/>
  <c r="X565" i="1"/>
  <c r="AE564" i="1"/>
  <c r="AD564" i="1"/>
  <c r="AC564" i="1"/>
  <c r="AB564" i="1"/>
  <c r="AA564" i="1"/>
  <c r="Y564" i="1"/>
  <c r="Z564" i="1" s="1"/>
  <c r="X564" i="1"/>
  <c r="AE563" i="1"/>
  <c r="AD563" i="1"/>
  <c r="AC563" i="1"/>
  <c r="AB563" i="1"/>
  <c r="AA563" i="1"/>
  <c r="Y563" i="1"/>
  <c r="Z563" i="1" s="1"/>
  <c r="X563" i="1"/>
  <c r="AE562" i="1"/>
  <c r="AD562" i="1"/>
  <c r="AC562" i="1"/>
  <c r="AB562" i="1"/>
  <c r="AA562" i="1"/>
  <c r="Y562" i="1"/>
  <c r="Z562" i="1" s="1"/>
  <c r="X562" i="1"/>
  <c r="AE561" i="1"/>
  <c r="AD561" i="1"/>
  <c r="AC561" i="1"/>
  <c r="AB561" i="1"/>
  <c r="AA561" i="1"/>
  <c r="Y561" i="1"/>
  <c r="Z561" i="1" s="1"/>
  <c r="X561" i="1"/>
  <c r="AE560" i="1"/>
  <c r="AD560" i="1"/>
  <c r="AC560" i="1"/>
  <c r="AB560" i="1"/>
  <c r="AA560" i="1"/>
  <c r="Y560" i="1"/>
  <c r="Z560" i="1" s="1"/>
  <c r="X560" i="1"/>
  <c r="AE559" i="1"/>
  <c r="AD559" i="1"/>
  <c r="AC559" i="1"/>
  <c r="AB559" i="1"/>
  <c r="AA559" i="1"/>
  <c r="Y559" i="1"/>
  <c r="Z559" i="1" s="1"/>
  <c r="X559" i="1"/>
  <c r="AE558" i="1"/>
  <c r="AD558" i="1"/>
  <c r="AC558" i="1"/>
  <c r="AB558" i="1"/>
  <c r="AA558" i="1"/>
  <c r="Y558" i="1"/>
  <c r="Z558" i="1" s="1"/>
  <c r="X558" i="1"/>
  <c r="AE557" i="1"/>
  <c r="AD557" i="1"/>
  <c r="AC557" i="1"/>
  <c r="AB557" i="1"/>
  <c r="AA557" i="1"/>
  <c r="Y557" i="1"/>
  <c r="Z557" i="1" s="1"/>
  <c r="X557" i="1"/>
  <c r="AE556" i="1"/>
  <c r="AD556" i="1"/>
  <c r="AC556" i="1"/>
  <c r="AB556" i="1"/>
  <c r="AA556" i="1"/>
  <c r="Y556" i="1"/>
  <c r="Z556" i="1" s="1"/>
  <c r="X556" i="1"/>
  <c r="AE555" i="1"/>
  <c r="AD555" i="1"/>
  <c r="AC555" i="1"/>
  <c r="AB555" i="1"/>
  <c r="AA555" i="1"/>
  <c r="Y555" i="1"/>
  <c r="Z555" i="1" s="1"/>
  <c r="X555" i="1"/>
  <c r="AE554" i="1"/>
  <c r="AD554" i="1"/>
  <c r="AC554" i="1"/>
  <c r="AB554" i="1"/>
  <c r="AA554" i="1"/>
  <c r="Y554" i="1"/>
  <c r="Z554" i="1" s="1"/>
  <c r="X554" i="1"/>
  <c r="AE553" i="1"/>
  <c r="AD553" i="1"/>
  <c r="AC553" i="1"/>
  <c r="AB553" i="1"/>
  <c r="AA553" i="1"/>
  <c r="Y553" i="1"/>
  <c r="Z553" i="1" s="1"/>
  <c r="X553" i="1"/>
  <c r="AE552" i="1"/>
  <c r="AD552" i="1"/>
  <c r="AC552" i="1"/>
  <c r="AB552" i="1"/>
  <c r="AA552" i="1"/>
  <c r="Y552" i="1"/>
  <c r="Z552" i="1" s="1"/>
  <c r="X552" i="1"/>
  <c r="AE551" i="1"/>
  <c r="AD551" i="1"/>
  <c r="AC551" i="1"/>
  <c r="AB551" i="1"/>
  <c r="AA551" i="1"/>
  <c r="Y551" i="1"/>
  <c r="Z551" i="1" s="1"/>
  <c r="X551" i="1"/>
  <c r="AE550" i="1"/>
  <c r="AD550" i="1"/>
  <c r="AC550" i="1"/>
  <c r="AB550" i="1"/>
  <c r="AA550" i="1"/>
  <c r="Y550" i="1"/>
  <c r="Z550" i="1" s="1"/>
  <c r="X550" i="1"/>
  <c r="AE549" i="1"/>
  <c r="AD549" i="1"/>
  <c r="AC549" i="1"/>
  <c r="AB549" i="1"/>
  <c r="AA549" i="1"/>
  <c r="Y549" i="1"/>
  <c r="Z549" i="1" s="1"/>
  <c r="X549" i="1"/>
  <c r="AE548" i="1"/>
  <c r="AD548" i="1"/>
  <c r="AC548" i="1"/>
  <c r="AB548" i="1"/>
  <c r="AA548" i="1"/>
  <c r="Y548" i="1"/>
  <c r="Z548" i="1" s="1"/>
  <c r="X548" i="1"/>
  <c r="AE547" i="1"/>
  <c r="AD547" i="1"/>
  <c r="AC547" i="1"/>
  <c r="AB547" i="1"/>
  <c r="AA547" i="1"/>
  <c r="Y547" i="1"/>
  <c r="Z547" i="1" s="1"/>
  <c r="X547" i="1"/>
  <c r="AE546" i="1"/>
  <c r="AD546" i="1"/>
  <c r="AC546" i="1"/>
  <c r="AB546" i="1"/>
  <c r="AA546" i="1"/>
  <c r="Y546" i="1"/>
  <c r="Z546" i="1" s="1"/>
  <c r="X546" i="1"/>
  <c r="AE545" i="1"/>
  <c r="AD545" i="1"/>
  <c r="AC545" i="1"/>
  <c r="AB545" i="1"/>
  <c r="AA545" i="1"/>
  <c r="Y545" i="1"/>
  <c r="Z545" i="1" s="1"/>
  <c r="X545" i="1"/>
  <c r="AE544" i="1"/>
  <c r="AD544" i="1"/>
  <c r="AC544" i="1"/>
  <c r="AB544" i="1"/>
  <c r="AA544" i="1"/>
  <c r="Y544" i="1"/>
  <c r="Z544" i="1" s="1"/>
  <c r="X544" i="1"/>
  <c r="AE543" i="1"/>
  <c r="AD543" i="1"/>
  <c r="AC543" i="1"/>
  <c r="AB543" i="1"/>
  <c r="AA543" i="1"/>
  <c r="Y543" i="1"/>
  <c r="Z543" i="1" s="1"/>
  <c r="X543" i="1"/>
  <c r="AE542" i="1"/>
  <c r="AD542" i="1"/>
  <c r="AC542" i="1"/>
  <c r="AB542" i="1"/>
  <c r="AA542" i="1"/>
  <c r="Y542" i="1"/>
  <c r="Z542" i="1" s="1"/>
  <c r="X542" i="1"/>
  <c r="AE541" i="1"/>
  <c r="AD541" i="1"/>
  <c r="AC541" i="1"/>
  <c r="AB541" i="1"/>
  <c r="AA541" i="1"/>
  <c r="Y541" i="1"/>
  <c r="Z541" i="1" s="1"/>
  <c r="X541" i="1"/>
  <c r="AE540" i="1"/>
  <c r="AD540" i="1"/>
  <c r="AC540" i="1"/>
  <c r="AB540" i="1"/>
  <c r="AA540" i="1"/>
  <c r="Y540" i="1"/>
  <c r="Z540" i="1" s="1"/>
  <c r="X540" i="1"/>
  <c r="AE539" i="1"/>
  <c r="AD539" i="1"/>
  <c r="AC539" i="1"/>
  <c r="AB539" i="1"/>
  <c r="AA539" i="1"/>
  <c r="Y539" i="1"/>
  <c r="Z539" i="1" s="1"/>
  <c r="X539" i="1"/>
  <c r="AE538" i="1"/>
  <c r="AD538" i="1"/>
  <c r="AC538" i="1"/>
  <c r="AB538" i="1"/>
  <c r="AA538" i="1"/>
  <c r="Y538" i="1"/>
  <c r="Z538" i="1" s="1"/>
  <c r="X538" i="1"/>
  <c r="AE537" i="1"/>
  <c r="AD537" i="1"/>
  <c r="AC537" i="1"/>
  <c r="AB537" i="1"/>
  <c r="AA537" i="1"/>
  <c r="Y537" i="1"/>
  <c r="Z537" i="1" s="1"/>
  <c r="X537" i="1"/>
  <c r="AE536" i="1"/>
  <c r="AD536" i="1"/>
  <c r="AC536" i="1"/>
  <c r="AB536" i="1"/>
  <c r="AA536" i="1"/>
  <c r="Y536" i="1"/>
  <c r="Z536" i="1" s="1"/>
  <c r="X536" i="1"/>
  <c r="AE535" i="1"/>
  <c r="AD535" i="1"/>
  <c r="AC535" i="1"/>
  <c r="AB535" i="1"/>
  <c r="AA535" i="1"/>
  <c r="Y535" i="1"/>
  <c r="Z535" i="1" s="1"/>
  <c r="X535" i="1"/>
  <c r="AE534" i="1"/>
  <c r="AD534" i="1"/>
  <c r="AC534" i="1"/>
  <c r="AB534" i="1"/>
  <c r="AA534" i="1"/>
  <c r="Y534" i="1"/>
  <c r="Z534" i="1" s="1"/>
  <c r="X534" i="1"/>
  <c r="AE533" i="1"/>
  <c r="AD533" i="1"/>
  <c r="AC533" i="1"/>
  <c r="AB533" i="1"/>
  <c r="AA533" i="1"/>
  <c r="Y533" i="1"/>
  <c r="Z533" i="1" s="1"/>
  <c r="X533" i="1"/>
  <c r="AE532" i="1"/>
  <c r="AD532" i="1"/>
  <c r="AC532" i="1"/>
  <c r="AB532" i="1"/>
  <c r="AA532" i="1"/>
  <c r="Y532" i="1"/>
  <c r="Z532" i="1" s="1"/>
  <c r="X532" i="1"/>
  <c r="AE531" i="1"/>
  <c r="AD531" i="1"/>
  <c r="AC531" i="1"/>
  <c r="AB531" i="1"/>
  <c r="AA531" i="1"/>
  <c r="Y531" i="1"/>
  <c r="Z531" i="1" s="1"/>
  <c r="X531" i="1"/>
  <c r="AE530" i="1"/>
  <c r="AD530" i="1"/>
  <c r="AC530" i="1"/>
  <c r="AB530" i="1"/>
  <c r="AA530" i="1"/>
  <c r="Y530" i="1"/>
  <c r="Z530" i="1" s="1"/>
  <c r="X530" i="1"/>
  <c r="AE529" i="1"/>
  <c r="AD529" i="1"/>
  <c r="AC529" i="1"/>
  <c r="AB529" i="1"/>
  <c r="AA529" i="1"/>
  <c r="Y529" i="1"/>
  <c r="Z529" i="1" s="1"/>
  <c r="X529" i="1"/>
  <c r="AE528" i="1"/>
  <c r="AD528" i="1"/>
  <c r="AC528" i="1"/>
  <c r="AB528" i="1"/>
  <c r="AA528" i="1"/>
  <c r="Y528" i="1"/>
  <c r="Z528" i="1" s="1"/>
  <c r="X528" i="1"/>
  <c r="AE527" i="1"/>
  <c r="AD527" i="1"/>
  <c r="AC527" i="1"/>
  <c r="AB527" i="1"/>
  <c r="AA527" i="1"/>
  <c r="Y527" i="1"/>
  <c r="Z527" i="1" s="1"/>
  <c r="X527" i="1"/>
  <c r="AE526" i="1"/>
  <c r="AD526" i="1"/>
  <c r="AC526" i="1"/>
  <c r="AB526" i="1"/>
  <c r="AA526" i="1"/>
  <c r="Y526" i="1"/>
  <c r="Z526" i="1" s="1"/>
  <c r="X526" i="1"/>
  <c r="AE525" i="1"/>
  <c r="AD525" i="1"/>
  <c r="AC525" i="1"/>
  <c r="AB525" i="1"/>
  <c r="AA525" i="1"/>
  <c r="Y525" i="1"/>
  <c r="Z525" i="1" s="1"/>
  <c r="X525" i="1"/>
  <c r="AE524" i="1"/>
  <c r="AD524" i="1"/>
  <c r="AC524" i="1"/>
  <c r="AB524" i="1"/>
  <c r="AA524" i="1"/>
  <c r="Y524" i="1"/>
  <c r="Z524" i="1" s="1"/>
  <c r="X524" i="1"/>
  <c r="AE523" i="1"/>
  <c r="AD523" i="1"/>
  <c r="AC523" i="1"/>
  <c r="AB523" i="1"/>
  <c r="AA523" i="1"/>
  <c r="Y523" i="1"/>
  <c r="Z523" i="1" s="1"/>
  <c r="X523" i="1"/>
  <c r="AE522" i="1"/>
  <c r="AD522" i="1"/>
  <c r="AC522" i="1"/>
  <c r="AB522" i="1"/>
  <c r="AA522" i="1"/>
  <c r="Y522" i="1"/>
  <c r="Z522" i="1" s="1"/>
  <c r="X522" i="1"/>
  <c r="AE521" i="1"/>
  <c r="AD521" i="1"/>
  <c r="AC521" i="1"/>
  <c r="AB521" i="1"/>
  <c r="AA521" i="1"/>
  <c r="Y521" i="1"/>
  <c r="Z521" i="1" s="1"/>
  <c r="X521" i="1"/>
  <c r="AE520" i="1"/>
  <c r="AD520" i="1"/>
  <c r="AC520" i="1"/>
  <c r="AB520" i="1"/>
  <c r="AA520" i="1"/>
  <c r="Y520" i="1"/>
  <c r="Z520" i="1" s="1"/>
  <c r="X520" i="1"/>
  <c r="AE519" i="1"/>
  <c r="AD519" i="1"/>
  <c r="AC519" i="1"/>
  <c r="AB519" i="1"/>
  <c r="AA519" i="1"/>
  <c r="Y519" i="1"/>
  <c r="Z519" i="1" s="1"/>
  <c r="X519" i="1"/>
  <c r="AE518" i="1"/>
  <c r="AD518" i="1"/>
  <c r="AC518" i="1"/>
  <c r="AB518" i="1"/>
  <c r="AA518" i="1"/>
  <c r="Y518" i="1"/>
  <c r="Z518" i="1" s="1"/>
  <c r="X518" i="1"/>
  <c r="AE517" i="1"/>
  <c r="AD517" i="1"/>
  <c r="AC517" i="1"/>
  <c r="AB517" i="1"/>
  <c r="AA517" i="1"/>
  <c r="Y517" i="1"/>
  <c r="Z517" i="1" s="1"/>
  <c r="X517" i="1"/>
  <c r="AE516" i="1"/>
  <c r="AD516" i="1"/>
  <c r="AC516" i="1"/>
  <c r="AB516" i="1"/>
  <c r="AA516" i="1"/>
  <c r="Y516" i="1"/>
  <c r="Z516" i="1" s="1"/>
  <c r="X516" i="1"/>
  <c r="AE515" i="1"/>
  <c r="AD515" i="1"/>
  <c r="AC515" i="1"/>
  <c r="AB515" i="1"/>
  <c r="AA515" i="1"/>
  <c r="Y515" i="1"/>
  <c r="Z515" i="1" s="1"/>
  <c r="X515" i="1"/>
  <c r="AE514" i="1"/>
  <c r="AD514" i="1"/>
  <c r="AC514" i="1"/>
  <c r="AB514" i="1"/>
  <c r="AA514" i="1"/>
  <c r="Y514" i="1"/>
  <c r="Z514" i="1" s="1"/>
  <c r="X514" i="1"/>
  <c r="AE513" i="1"/>
  <c r="AD513" i="1"/>
  <c r="AC513" i="1"/>
  <c r="AB513" i="1"/>
  <c r="AA513" i="1"/>
  <c r="Y513" i="1"/>
  <c r="Z513" i="1" s="1"/>
  <c r="X513" i="1"/>
  <c r="AE512" i="1"/>
  <c r="AD512" i="1"/>
  <c r="AC512" i="1"/>
  <c r="AB512" i="1"/>
  <c r="AA512" i="1"/>
  <c r="Y512" i="1"/>
  <c r="Z512" i="1" s="1"/>
  <c r="X512" i="1"/>
  <c r="AE511" i="1"/>
  <c r="AD511" i="1"/>
  <c r="AC511" i="1"/>
  <c r="AB511" i="1"/>
  <c r="AA511" i="1"/>
  <c r="Y511" i="1"/>
  <c r="Z511" i="1" s="1"/>
  <c r="X511" i="1"/>
  <c r="AE510" i="1"/>
  <c r="AD510" i="1"/>
  <c r="AC510" i="1"/>
  <c r="AB510" i="1"/>
  <c r="AA510" i="1"/>
  <c r="Y510" i="1"/>
  <c r="Z510" i="1" s="1"/>
  <c r="X510" i="1"/>
  <c r="AE509" i="1"/>
  <c r="AD509" i="1"/>
  <c r="AC509" i="1"/>
  <c r="AB509" i="1"/>
  <c r="AA509" i="1"/>
  <c r="Y509" i="1"/>
  <c r="Z509" i="1" s="1"/>
  <c r="X509" i="1"/>
  <c r="AE508" i="1"/>
  <c r="AD508" i="1"/>
  <c r="AC508" i="1"/>
  <c r="AB508" i="1"/>
  <c r="AA508" i="1"/>
  <c r="Y508" i="1"/>
  <c r="Z508" i="1" s="1"/>
  <c r="X508" i="1"/>
  <c r="AE507" i="1"/>
  <c r="AD507" i="1"/>
  <c r="AC507" i="1"/>
  <c r="AB507" i="1"/>
  <c r="AA507" i="1"/>
  <c r="Y507" i="1"/>
  <c r="Z507" i="1" s="1"/>
  <c r="X507" i="1"/>
  <c r="AE506" i="1"/>
  <c r="AD506" i="1"/>
  <c r="AC506" i="1"/>
  <c r="AB506" i="1"/>
  <c r="AA506" i="1"/>
  <c r="Y506" i="1"/>
  <c r="Z506" i="1" s="1"/>
  <c r="X506" i="1"/>
  <c r="AE505" i="1"/>
  <c r="AD505" i="1"/>
  <c r="AC505" i="1"/>
  <c r="AB505" i="1"/>
  <c r="AA505" i="1"/>
  <c r="Y505" i="1"/>
  <c r="Z505" i="1" s="1"/>
  <c r="X505" i="1"/>
  <c r="AE504" i="1"/>
  <c r="AD504" i="1"/>
  <c r="AC504" i="1"/>
  <c r="AB504" i="1"/>
  <c r="AA504" i="1"/>
  <c r="Y504" i="1"/>
  <c r="Z504" i="1" s="1"/>
  <c r="X504" i="1"/>
  <c r="AE503" i="1"/>
  <c r="AD503" i="1"/>
  <c r="AC503" i="1"/>
  <c r="AB503" i="1"/>
  <c r="AA503" i="1"/>
  <c r="Y503" i="1"/>
  <c r="Z503" i="1" s="1"/>
  <c r="X503" i="1"/>
  <c r="AE502" i="1"/>
  <c r="AD502" i="1"/>
  <c r="AC502" i="1"/>
  <c r="AB502" i="1"/>
  <c r="AA502" i="1"/>
  <c r="Y502" i="1"/>
  <c r="Z502" i="1" s="1"/>
  <c r="X502" i="1"/>
  <c r="AE501" i="1"/>
  <c r="AD501" i="1"/>
  <c r="AC501" i="1"/>
  <c r="AB501" i="1"/>
  <c r="AA501" i="1"/>
  <c r="Y501" i="1"/>
  <c r="Z501" i="1" s="1"/>
  <c r="X501" i="1"/>
  <c r="AE500" i="1"/>
  <c r="AD500" i="1"/>
  <c r="AC500" i="1"/>
  <c r="AB500" i="1"/>
  <c r="AA500" i="1"/>
  <c r="Y500" i="1"/>
  <c r="Z500" i="1" s="1"/>
  <c r="X500" i="1"/>
  <c r="AE499" i="1"/>
  <c r="AD499" i="1"/>
  <c r="AC499" i="1"/>
  <c r="AB499" i="1"/>
  <c r="AA499" i="1"/>
  <c r="Y499" i="1"/>
  <c r="Z499" i="1" s="1"/>
  <c r="X499" i="1"/>
  <c r="AE498" i="1"/>
  <c r="AD498" i="1"/>
  <c r="AC498" i="1"/>
  <c r="AB498" i="1"/>
  <c r="AA498" i="1"/>
  <c r="Y498" i="1"/>
  <c r="Z498" i="1" s="1"/>
  <c r="X498" i="1"/>
  <c r="AE497" i="1"/>
  <c r="AD497" i="1"/>
  <c r="AC497" i="1"/>
  <c r="AB497" i="1"/>
  <c r="AA497" i="1"/>
  <c r="Y497" i="1"/>
  <c r="Z497" i="1" s="1"/>
  <c r="X497" i="1"/>
  <c r="AE496" i="1"/>
  <c r="AD496" i="1"/>
  <c r="AC496" i="1"/>
  <c r="AB496" i="1"/>
  <c r="AA496" i="1"/>
  <c r="Y496" i="1"/>
  <c r="Z496" i="1" s="1"/>
  <c r="X496" i="1"/>
  <c r="AE495" i="1"/>
  <c r="AD495" i="1"/>
  <c r="AC495" i="1"/>
  <c r="AB495" i="1"/>
  <c r="AA495" i="1"/>
  <c r="Y495" i="1"/>
  <c r="Z495" i="1" s="1"/>
  <c r="X495" i="1"/>
  <c r="AE494" i="1"/>
  <c r="AD494" i="1"/>
  <c r="AC494" i="1"/>
  <c r="AB494" i="1"/>
  <c r="AA494" i="1"/>
  <c r="Y494" i="1"/>
  <c r="Z494" i="1" s="1"/>
  <c r="X494" i="1"/>
  <c r="AE493" i="1"/>
  <c r="AD493" i="1"/>
  <c r="AC493" i="1"/>
  <c r="AB493" i="1"/>
  <c r="AA493" i="1"/>
  <c r="Y493" i="1"/>
  <c r="Z493" i="1" s="1"/>
  <c r="X493" i="1"/>
  <c r="AE492" i="1"/>
  <c r="AD492" i="1"/>
  <c r="AC492" i="1"/>
  <c r="AB492" i="1"/>
  <c r="AA492" i="1"/>
  <c r="Y492" i="1"/>
  <c r="Z492" i="1" s="1"/>
  <c r="X492" i="1"/>
  <c r="AE491" i="1"/>
  <c r="AD491" i="1"/>
  <c r="AC491" i="1"/>
  <c r="AB491" i="1"/>
  <c r="AA491" i="1"/>
  <c r="Y491" i="1"/>
  <c r="Z491" i="1" s="1"/>
  <c r="X491" i="1"/>
  <c r="AE490" i="1"/>
  <c r="AD490" i="1"/>
  <c r="AC490" i="1"/>
  <c r="AB490" i="1"/>
  <c r="AA490" i="1"/>
  <c r="Y490" i="1"/>
  <c r="Z490" i="1" s="1"/>
  <c r="X490" i="1"/>
  <c r="AE489" i="1"/>
  <c r="AD489" i="1"/>
  <c r="AC489" i="1"/>
  <c r="AB489" i="1"/>
  <c r="AA489" i="1"/>
  <c r="Y489" i="1"/>
  <c r="Z489" i="1" s="1"/>
  <c r="X489" i="1"/>
  <c r="AE488" i="1"/>
  <c r="AD488" i="1"/>
  <c r="AC488" i="1"/>
  <c r="AB488" i="1"/>
  <c r="AA488" i="1"/>
  <c r="Y488" i="1"/>
  <c r="Z488" i="1" s="1"/>
  <c r="X488" i="1"/>
  <c r="AE487" i="1"/>
  <c r="AD487" i="1"/>
  <c r="AC487" i="1"/>
  <c r="AB487" i="1"/>
  <c r="AA487" i="1"/>
  <c r="Y487" i="1"/>
  <c r="Z487" i="1" s="1"/>
  <c r="X487" i="1"/>
  <c r="AE486" i="1"/>
  <c r="AD486" i="1"/>
  <c r="AC486" i="1"/>
  <c r="AB486" i="1"/>
  <c r="AA486" i="1"/>
  <c r="Y486" i="1"/>
  <c r="Z486" i="1" s="1"/>
  <c r="X486" i="1"/>
  <c r="AE485" i="1"/>
  <c r="AD485" i="1"/>
  <c r="AC485" i="1"/>
  <c r="AB485" i="1"/>
  <c r="AA485" i="1"/>
  <c r="Y485" i="1"/>
  <c r="Z485" i="1" s="1"/>
  <c r="X485" i="1"/>
  <c r="AE484" i="1"/>
  <c r="AD484" i="1"/>
  <c r="AC484" i="1"/>
  <c r="AB484" i="1"/>
  <c r="AA484" i="1"/>
  <c r="Y484" i="1"/>
  <c r="Z484" i="1" s="1"/>
  <c r="X484" i="1"/>
  <c r="AE483" i="1"/>
  <c r="AD483" i="1"/>
  <c r="AC483" i="1"/>
  <c r="AB483" i="1"/>
  <c r="AA483" i="1"/>
  <c r="Y483" i="1"/>
  <c r="Z483" i="1" s="1"/>
  <c r="X483" i="1"/>
  <c r="AE482" i="1"/>
  <c r="AD482" i="1"/>
  <c r="AC482" i="1"/>
  <c r="AB482" i="1"/>
  <c r="AA482" i="1"/>
  <c r="Y482" i="1"/>
  <c r="Z482" i="1" s="1"/>
  <c r="X482" i="1"/>
  <c r="AE481" i="1"/>
  <c r="AD481" i="1"/>
  <c r="AC481" i="1"/>
  <c r="AB481" i="1"/>
  <c r="AA481" i="1"/>
  <c r="Y481" i="1"/>
  <c r="Z481" i="1" s="1"/>
  <c r="X481" i="1"/>
  <c r="AE480" i="1"/>
  <c r="AD480" i="1"/>
  <c r="AC480" i="1"/>
  <c r="AB480" i="1"/>
  <c r="AA480" i="1"/>
  <c r="Y480" i="1"/>
  <c r="Z480" i="1" s="1"/>
  <c r="X480" i="1"/>
  <c r="AE479" i="1"/>
  <c r="AD479" i="1"/>
  <c r="AC479" i="1"/>
  <c r="AB479" i="1"/>
  <c r="AA479" i="1"/>
  <c r="Y479" i="1"/>
  <c r="Z479" i="1" s="1"/>
  <c r="X479" i="1"/>
  <c r="AE478" i="1"/>
  <c r="AD478" i="1"/>
  <c r="AC478" i="1"/>
  <c r="AB478" i="1"/>
  <c r="AA478" i="1"/>
  <c r="Y478" i="1"/>
  <c r="Z478" i="1" s="1"/>
  <c r="X478" i="1"/>
  <c r="AE477" i="1"/>
  <c r="AD477" i="1"/>
  <c r="AC477" i="1"/>
  <c r="AB477" i="1"/>
  <c r="AA477" i="1"/>
  <c r="Y477" i="1"/>
  <c r="Z477" i="1" s="1"/>
  <c r="X477" i="1"/>
  <c r="AE476" i="1"/>
  <c r="AD476" i="1"/>
  <c r="AC476" i="1"/>
  <c r="AB476" i="1"/>
  <c r="AA476" i="1"/>
  <c r="Y476" i="1"/>
  <c r="Z476" i="1" s="1"/>
  <c r="X476" i="1"/>
  <c r="AE475" i="1"/>
  <c r="AD475" i="1"/>
  <c r="AC475" i="1"/>
  <c r="AB475" i="1"/>
  <c r="AA475" i="1"/>
  <c r="Y475" i="1"/>
  <c r="Z475" i="1" s="1"/>
  <c r="X475" i="1"/>
  <c r="AE474" i="1"/>
  <c r="AD474" i="1"/>
  <c r="AC474" i="1"/>
  <c r="AB474" i="1"/>
  <c r="AA474" i="1"/>
  <c r="Y474" i="1"/>
  <c r="Z474" i="1" s="1"/>
  <c r="X474" i="1"/>
  <c r="AE473" i="1"/>
  <c r="AD473" i="1"/>
  <c r="AC473" i="1"/>
  <c r="AB473" i="1"/>
  <c r="AA473" i="1"/>
  <c r="Y473" i="1"/>
  <c r="Z473" i="1" s="1"/>
  <c r="X473" i="1"/>
  <c r="AE472" i="1"/>
  <c r="AD472" i="1"/>
  <c r="AC472" i="1"/>
  <c r="AB472" i="1"/>
  <c r="AA472" i="1"/>
  <c r="Y472" i="1"/>
  <c r="Z472" i="1" s="1"/>
  <c r="X472" i="1"/>
  <c r="AE471" i="1"/>
  <c r="AD471" i="1"/>
  <c r="AC471" i="1"/>
  <c r="AB471" i="1"/>
  <c r="AA471" i="1"/>
  <c r="Y471" i="1"/>
  <c r="Z471" i="1" s="1"/>
  <c r="X471" i="1"/>
  <c r="AE470" i="1"/>
  <c r="AD470" i="1"/>
  <c r="AC470" i="1"/>
  <c r="AB470" i="1"/>
  <c r="AA470" i="1"/>
  <c r="Y470" i="1"/>
  <c r="Z470" i="1" s="1"/>
  <c r="X470" i="1"/>
  <c r="AE469" i="1"/>
  <c r="AD469" i="1"/>
  <c r="AC469" i="1"/>
  <c r="AB469" i="1"/>
  <c r="AA469" i="1"/>
  <c r="Y469" i="1"/>
  <c r="Z469" i="1" s="1"/>
  <c r="X469" i="1"/>
  <c r="AE468" i="1"/>
  <c r="AD468" i="1"/>
  <c r="AC468" i="1"/>
  <c r="AB468" i="1"/>
  <c r="AA468" i="1"/>
  <c r="Y468" i="1"/>
  <c r="Z468" i="1" s="1"/>
  <c r="X468" i="1"/>
  <c r="AE467" i="1"/>
  <c r="AD467" i="1"/>
  <c r="AC467" i="1"/>
  <c r="AB467" i="1"/>
  <c r="AA467" i="1"/>
  <c r="Y467" i="1"/>
  <c r="Z467" i="1" s="1"/>
  <c r="X467" i="1"/>
  <c r="AE466" i="1"/>
  <c r="AD466" i="1"/>
  <c r="AC466" i="1"/>
  <c r="AB466" i="1"/>
  <c r="AA466" i="1"/>
  <c r="Y466" i="1"/>
  <c r="Z466" i="1" s="1"/>
  <c r="X466" i="1"/>
  <c r="AE465" i="1"/>
  <c r="AD465" i="1"/>
  <c r="AC465" i="1"/>
  <c r="AB465" i="1"/>
  <c r="AA465" i="1"/>
  <c r="Y465" i="1"/>
  <c r="Z465" i="1" s="1"/>
  <c r="X465" i="1"/>
  <c r="AE464" i="1"/>
  <c r="AD464" i="1"/>
  <c r="AC464" i="1"/>
  <c r="AB464" i="1"/>
  <c r="AA464" i="1"/>
  <c r="Y464" i="1"/>
  <c r="Z464" i="1" s="1"/>
  <c r="X464" i="1"/>
  <c r="AE463" i="1"/>
  <c r="AD463" i="1"/>
  <c r="AC463" i="1"/>
  <c r="AB463" i="1"/>
  <c r="AA463" i="1"/>
  <c r="Y463" i="1"/>
  <c r="Z463" i="1" s="1"/>
  <c r="X463" i="1"/>
  <c r="AE462" i="1"/>
  <c r="AD462" i="1"/>
  <c r="AC462" i="1"/>
  <c r="AB462" i="1"/>
  <c r="AA462" i="1"/>
  <c r="Y462" i="1"/>
  <c r="Z462" i="1" s="1"/>
  <c r="X462" i="1"/>
  <c r="AE461" i="1"/>
  <c r="AD461" i="1"/>
  <c r="AC461" i="1"/>
  <c r="AB461" i="1"/>
  <c r="AA461" i="1"/>
  <c r="Y461" i="1"/>
  <c r="Z461" i="1" s="1"/>
  <c r="X461" i="1"/>
  <c r="AE460" i="1"/>
  <c r="AD460" i="1"/>
  <c r="AC460" i="1"/>
  <c r="AB460" i="1"/>
  <c r="AA460" i="1"/>
  <c r="Y460" i="1"/>
  <c r="Z460" i="1" s="1"/>
  <c r="X460" i="1"/>
  <c r="AE459" i="1"/>
  <c r="AD459" i="1"/>
  <c r="AC459" i="1"/>
  <c r="AB459" i="1"/>
  <c r="AA459" i="1"/>
  <c r="Y459" i="1"/>
  <c r="Z459" i="1" s="1"/>
  <c r="X459" i="1"/>
  <c r="AE458" i="1"/>
  <c r="AD458" i="1"/>
  <c r="AC458" i="1"/>
  <c r="AB458" i="1"/>
  <c r="AA458" i="1"/>
  <c r="Y458" i="1"/>
  <c r="Z458" i="1" s="1"/>
  <c r="X458" i="1"/>
  <c r="AE457" i="1"/>
  <c r="AD457" i="1"/>
  <c r="AC457" i="1"/>
  <c r="AB457" i="1"/>
  <c r="AA457" i="1"/>
  <c r="Y457" i="1"/>
  <c r="Z457" i="1" s="1"/>
  <c r="X457" i="1"/>
  <c r="AE456" i="1"/>
  <c r="AD456" i="1"/>
  <c r="AC456" i="1"/>
  <c r="AB456" i="1"/>
  <c r="AA456" i="1"/>
  <c r="Y456" i="1"/>
  <c r="Z456" i="1" s="1"/>
  <c r="X456" i="1"/>
  <c r="AE455" i="1"/>
  <c r="AD455" i="1"/>
  <c r="AC455" i="1"/>
  <c r="AB455" i="1"/>
  <c r="AA455" i="1"/>
  <c r="Y455" i="1"/>
  <c r="Z455" i="1" s="1"/>
  <c r="X455" i="1"/>
  <c r="AE454" i="1"/>
  <c r="AD454" i="1"/>
  <c r="AC454" i="1"/>
  <c r="AB454" i="1"/>
  <c r="AA454" i="1"/>
  <c r="Y454" i="1"/>
  <c r="Z454" i="1" s="1"/>
  <c r="X454" i="1"/>
  <c r="AE453" i="1"/>
  <c r="AD453" i="1"/>
  <c r="AC453" i="1"/>
  <c r="AB453" i="1"/>
  <c r="AA453" i="1"/>
  <c r="Y453" i="1"/>
  <c r="Z453" i="1" s="1"/>
  <c r="X453" i="1"/>
  <c r="AE452" i="1"/>
  <c r="AD452" i="1"/>
  <c r="AC452" i="1"/>
  <c r="AB452" i="1"/>
  <c r="AA452" i="1"/>
  <c r="Y452" i="1"/>
  <c r="Z452" i="1" s="1"/>
  <c r="X452" i="1"/>
  <c r="AE451" i="1"/>
  <c r="AD451" i="1"/>
  <c r="AC451" i="1"/>
  <c r="AB451" i="1"/>
  <c r="AA451" i="1"/>
  <c r="Y451" i="1"/>
  <c r="Z451" i="1" s="1"/>
  <c r="X451" i="1"/>
  <c r="AE450" i="1"/>
  <c r="AD450" i="1"/>
  <c r="AC450" i="1"/>
  <c r="AB450" i="1"/>
  <c r="AA450" i="1"/>
  <c r="Y450" i="1"/>
  <c r="Z450" i="1" s="1"/>
  <c r="X450" i="1"/>
  <c r="AE449" i="1"/>
  <c r="AD449" i="1"/>
  <c r="AC449" i="1"/>
  <c r="AB449" i="1"/>
  <c r="AA449" i="1"/>
  <c r="Y449" i="1"/>
  <c r="Z449" i="1" s="1"/>
  <c r="X449" i="1"/>
  <c r="AE448" i="1"/>
  <c r="AD448" i="1"/>
  <c r="AC448" i="1"/>
  <c r="AB448" i="1"/>
  <c r="AA448" i="1"/>
  <c r="Y448" i="1"/>
  <c r="Z448" i="1" s="1"/>
  <c r="X448" i="1"/>
  <c r="AE447" i="1"/>
  <c r="AD447" i="1"/>
  <c r="AC447" i="1"/>
  <c r="AB447" i="1"/>
  <c r="AA447" i="1"/>
  <c r="Y447" i="1"/>
  <c r="Z447" i="1" s="1"/>
  <c r="X447" i="1"/>
  <c r="AE446" i="1"/>
  <c r="AD446" i="1"/>
  <c r="AC446" i="1"/>
  <c r="AB446" i="1"/>
  <c r="AA446" i="1"/>
  <c r="Y446" i="1"/>
  <c r="Z446" i="1" s="1"/>
  <c r="X446" i="1"/>
  <c r="AE445" i="1"/>
  <c r="AD445" i="1"/>
  <c r="AC445" i="1"/>
  <c r="AB445" i="1"/>
  <c r="AA445" i="1"/>
  <c r="Y445" i="1"/>
  <c r="Z445" i="1" s="1"/>
  <c r="X445" i="1"/>
  <c r="AE444" i="1"/>
  <c r="AD444" i="1"/>
  <c r="AC444" i="1"/>
  <c r="AB444" i="1"/>
  <c r="AA444" i="1"/>
  <c r="Y444" i="1"/>
  <c r="Z444" i="1" s="1"/>
  <c r="X444" i="1"/>
  <c r="AE443" i="1"/>
  <c r="AD443" i="1"/>
  <c r="AC443" i="1"/>
  <c r="AB443" i="1"/>
  <c r="AA443" i="1"/>
  <c r="Y443" i="1"/>
  <c r="Z443" i="1" s="1"/>
  <c r="X443" i="1"/>
  <c r="AE442" i="1"/>
  <c r="AD442" i="1"/>
  <c r="AC442" i="1"/>
  <c r="AB442" i="1"/>
  <c r="AA442" i="1"/>
  <c r="Y442" i="1"/>
  <c r="Z442" i="1" s="1"/>
  <c r="X442" i="1"/>
  <c r="AE441" i="1"/>
  <c r="AD441" i="1"/>
  <c r="AC441" i="1"/>
  <c r="AB441" i="1"/>
  <c r="AA441" i="1"/>
  <c r="Y441" i="1"/>
  <c r="Z441" i="1" s="1"/>
  <c r="X441" i="1"/>
  <c r="AE440" i="1"/>
  <c r="AD440" i="1"/>
  <c r="AC440" i="1"/>
  <c r="AB440" i="1"/>
  <c r="AA440" i="1"/>
  <c r="Y440" i="1"/>
  <c r="Z440" i="1" s="1"/>
  <c r="X440" i="1"/>
  <c r="AE439" i="1"/>
  <c r="AD439" i="1"/>
  <c r="AC439" i="1"/>
  <c r="AB439" i="1"/>
  <c r="AA439" i="1"/>
  <c r="Y439" i="1"/>
  <c r="Z439" i="1" s="1"/>
  <c r="X439" i="1"/>
  <c r="AE438" i="1"/>
  <c r="AD438" i="1"/>
  <c r="AC438" i="1"/>
  <c r="AB438" i="1"/>
  <c r="AA438" i="1"/>
  <c r="Y438" i="1"/>
  <c r="Z438" i="1" s="1"/>
  <c r="X438" i="1"/>
  <c r="AE437" i="1"/>
  <c r="AD437" i="1"/>
  <c r="AC437" i="1"/>
  <c r="AB437" i="1"/>
  <c r="AA437" i="1"/>
  <c r="Y437" i="1"/>
  <c r="Z437" i="1" s="1"/>
  <c r="X437" i="1"/>
  <c r="AE436" i="1"/>
  <c r="AD436" i="1"/>
  <c r="AC436" i="1"/>
  <c r="AB436" i="1"/>
  <c r="AA436" i="1"/>
  <c r="Y436" i="1"/>
  <c r="Z436" i="1" s="1"/>
  <c r="X436" i="1"/>
  <c r="AE435" i="1"/>
  <c r="AD435" i="1"/>
  <c r="AC435" i="1"/>
  <c r="AB435" i="1"/>
  <c r="AA435" i="1"/>
  <c r="Y435" i="1"/>
  <c r="Z435" i="1" s="1"/>
  <c r="X435" i="1"/>
  <c r="AE434" i="1"/>
  <c r="AD434" i="1"/>
  <c r="AC434" i="1"/>
  <c r="AB434" i="1"/>
  <c r="AA434" i="1"/>
  <c r="Y434" i="1"/>
  <c r="Z434" i="1" s="1"/>
  <c r="X434" i="1"/>
  <c r="AE433" i="1"/>
  <c r="AD433" i="1"/>
  <c r="AC433" i="1"/>
  <c r="AB433" i="1"/>
  <c r="AA433" i="1"/>
  <c r="Y433" i="1"/>
  <c r="Z433" i="1" s="1"/>
  <c r="X433" i="1"/>
  <c r="AE432" i="1"/>
  <c r="AD432" i="1"/>
  <c r="AC432" i="1"/>
  <c r="AB432" i="1"/>
  <c r="AA432" i="1"/>
  <c r="Y432" i="1"/>
  <c r="Z432" i="1" s="1"/>
  <c r="X432" i="1"/>
  <c r="AE431" i="1"/>
  <c r="AD431" i="1"/>
  <c r="AC431" i="1"/>
  <c r="AB431" i="1"/>
  <c r="AA431" i="1"/>
  <c r="Y431" i="1"/>
  <c r="Z431" i="1" s="1"/>
  <c r="X431" i="1"/>
  <c r="AE430" i="1"/>
  <c r="AD430" i="1"/>
  <c r="AC430" i="1"/>
  <c r="AB430" i="1"/>
  <c r="AA430" i="1"/>
  <c r="Y430" i="1"/>
  <c r="Z430" i="1" s="1"/>
  <c r="X430" i="1"/>
  <c r="AE429" i="1"/>
  <c r="AD429" i="1"/>
  <c r="AC429" i="1"/>
  <c r="AB429" i="1"/>
  <c r="AA429" i="1"/>
  <c r="Y429" i="1"/>
  <c r="Z429" i="1" s="1"/>
  <c r="X429" i="1"/>
  <c r="AE428" i="1"/>
  <c r="AD428" i="1"/>
  <c r="AC428" i="1"/>
  <c r="AB428" i="1"/>
  <c r="AA428" i="1"/>
  <c r="Y428" i="1"/>
  <c r="Z428" i="1" s="1"/>
  <c r="X428" i="1"/>
  <c r="AE427" i="1"/>
  <c r="AD427" i="1"/>
  <c r="AC427" i="1"/>
  <c r="AB427" i="1"/>
  <c r="AA427" i="1"/>
  <c r="Y427" i="1"/>
  <c r="Z427" i="1" s="1"/>
  <c r="X427" i="1"/>
  <c r="AE426" i="1"/>
  <c r="AD426" i="1"/>
  <c r="AC426" i="1"/>
  <c r="AB426" i="1"/>
  <c r="AA426" i="1"/>
  <c r="Y426" i="1"/>
  <c r="Z426" i="1" s="1"/>
  <c r="X426" i="1"/>
  <c r="AE425" i="1"/>
  <c r="AD425" i="1"/>
  <c r="AC425" i="1"/>
  <c r="AB425" i="1"/>
  <c r="AA425" i="1"/>
  <c r="Y425" i="1"/>
  <c r="Z425" i="1" s="1"/>
  <c r="X425" i="1"/>
  <c r="AE424" i="1"/>
  <c r="AD424" i="1"/>
  <c r="AC424" i="1"/>
  <c r="AB424" i="1"/>
  <c r="AA424" i="1"/>
  <c r="Y424" i="1"/>
  <c r="Z424" i="1" s="1"/>
  <c r="X424" i="1"/>
  <c r="AE423" i="1"/>
  <c r="AD423" i="1"/>
  <c r="AC423" i="1"/>
  <c r="AB423" i="1"/>
  <c r="AA423" i="1"/>
  <c r="Y423" i="1"/>
  <c r="Z423" i="1" s="1"/>
  <c r="X423" i="1"/>
  <c r="AE422" i="1"/>
  <c r="AD422" i="1"/>
  <c r="AC422" i="1"/>
  <c r="AB422" i="1"/>
  <c r="AA422" i="1"/>
  <c r="Y422" i="1"/>
  <c r="Z422" i="1" s="1"/>
  <c r="X422" i="1"/>
  <c r="AE421" i="1"/>
  <c r="AD421" i="1"/>
  <c r="AC421" i="1"/>
  <c r="AB421" i="1"/>
  <c r="AA421" i="1"/>
  <c r="Y421" i="1"/>
  <c r="Z421" i="1" s="1"/>
  <c r="X421" i="1"/>
  <c r="AE420" i="1"/>
  <c r="AD420" i="1"/>
  <c r="AC420" i="1"/>
  <c r="AB420" i="1"/>
  <c r="AA420" i="1"/>
  <c r="Y420" i="1"/>
  <c r="Z420" i="1" s="1"/>
  <c r="X420" i="1"/>
  <c r="AE419" i="1"/>
  <c r="AD419" i="1"/>
  <c r="AC419" i="1"/>
  <c r="AB419" i="1"/>
  <c r="AA419" i="1"/>
  <c r="Y419" i="1"/>
  <c r="Z419" i="1" s="1"/>
  <c r="X419" i="1"/>
  <c r="AE418" i="1"/>
  <c r="AD418" i="1"/>
  <c r="AC418" i="1"/>
  <c r="AB418" i="1"/>
  <c r="AA418" i="1"/>
  <c r="Y418" i="1"/>
  <c r="Z418" i="1" s="1"/>
  <c r="X418" i="1"/>
  <c r="AE417" i="1"/>
  <c r="AD417" i="1"/>
  <c r="AC417" i="1"/>
  <c r="AB417" i="1"/>
  <c r="AA417" i="1"/>
  <c r="Y417" i="1"/>
  <c r="Z417" i="1" s="1"/>
  <c r="X417" i="1"/>
  <c r="AE416" i="1"/>
  <c r="AD416" i="1"/>
  <c r="AC416" i="1"/>
  <c r="AB416" i="1"/>
  <c r="AA416" i="1"/>
  <c r="Y416" i="1"/>
  <c r="Z416" i="1" s="1"/>
  <c r="X416" i="1"/>
  <c r="AE415" i="1"/>
  <c r="AD415" i="1"/>
  <c r="AC415" i="1"/>
  <c r="AB415" i="1"/>
  <c r="AA415" i="1"/>
  <c r="Y415" i="1"/>
  <c r="Z415" i="1" s="1"/>
  <c r="X415" i="1"/>
  <c r="AE414" i="1"/>
  <c r="AD414" i="1"/>
  <c r="AC414" i="1"/>
  <c r="AB414" i="1"/>
  <c r="AA414" i="1"/>
  <c r="Y414" i="1"/>
  <c r="Z414" i="1" s="1"/>
  <c r="X414" i="1"/>
  <c r="AE413" i="1"/>
  <c r="AD413" i="1"/>
  <c r="AC413" i="1"/>
  <c r="AB413" i="1"/>
  <c r="AA413" i="1"/>
  <c r="Y413" i="1"/>
  <c r="Z413" i="1" s="1"/>
  <c r="X413" i="1"/>
  <c r="AE412" i="1"/>
  <c r="AD412" i="1"/>
  <c r="AC412" i="1"/>
  <c r="AB412" i="1"/>
  <c r="AA412" i="1"/>
  <c r="Y412" i="1"/>
  <c r="Z412" i="1" s="1"/>
  <c r="X412" i="1"/>
  <c r="AE411" i="1"/>
  <c r="AD411" i="1"/>
  <c r="AC411" i="1"/>
  <c r="AB411" i="1"/>
  <c r="AA411" i="1"/>
  <c r="Y411" i="1"/>
  <c r="Z411" i="1" s="1"/>
  <c r="X411" i="1"/>
  <c r="AE410" i="1"/>
  <c r="AD410" i="1"/>
  <c r="AC410" i="1"/>
  <c r="AB410" i="1"/>
  <c r="AA410" i="1"/>
  <c r="Y410" i="1"/>
  <c r="Z410" i="1" s="1"/>
  <c r="X410" i="1"/>
  <c r="AE409" i="1"/>
  <c r="AD409" i="1"/>
  <c r="AC409" i="1"/>
  <c r="AB409" i="1"/>
  <c r="AA409" i="1"/>
  <c r="Y409" i="1"/>
  <c r="Z409" i="1" s="1"/>
  <c r="X409" i="1"/>
  <c r="AE408" i="1"/>
  <c r="AD408" i="1"/>
  <c r="AC408" i="1"/>
  <c r="AB408" i="1"/>
  <c r="AA408" i="1"/>
  <c r="Y408" i="1"/>
  <c r="Z408" i="1" s="1"/>
  <c r="X408" i="1"/>
  <c r="AE407" i="1"/>
  <c r="AD407" i="1"/>
  <c r="AC407" i="1"/>
  <c r="AB407" i="1"/>
  <c r="AA407" i="1"/>
  <c r="Y407" i="1"/>
  <c r="Z407" i="1" s="1"/>
  <c r="X407" i="1"/>
  <c r="AE406" i="1"/>
  <c r="AD406" i="1"/>
  <c r="AC406" i="1"/>
  <c r="AB406" i="1"/>
  <c r="AA406" i="1"/>
  <c r="Y406" i="1"/>
  <c r="Z406" i="1" s="1"/>
  <c r="X406" i="1"/>
  <c r="AE405" i="1"/>
  <c r="AD405" i="1"/>
  <c r="AC405" i="1"/>
  <c r="AB405" i="1"/>
  <c r="AA405" i="1"/>
  <c r="Y405" i="1"/>
  <c r="Z405" i="1" s="1"/>
  <c r="X405" i="1"/>
  <c r="AE404" i="1"/>
  <c r="AD404" i="1"/>
  <c r="AC404" i="1"/>
  <c r="AB404" i="1"/>
  <c r="AA404" i="1"/>
  <c r="Y404" i="1"/>
  <c r="Z404" i="1" s="1"/>
  <c r="X404" i="1"/>
  <c r="AE403" i="1"/>
  <c r="AD403" i="1"/>
  <c r="AC403" i="1"/>
  <c r="AB403" i="1"/>
  <c r="AA403" i="1"/>
  <c r="Y403" i="1"/>
  <c r="Z403" i="1" s="1"/>
  <c r="X403" i="1"/>
  <c r="AE402" i="1"/>
  <c r="AD402" i="1"/>
  <c r="AC402" i="1"/>
  <c r="AB402" i="1"/>
  <c r="AA402" i="1"/>
  <c r="Y402" i="1"/>
  <c r="Z402" i="1" s="1"/>
  <c r="X402" i="1"/>
  <c r="AE401" i="1"/>
  <c r="AD401" i="1"/>
  <c r="AC401" i="1"/>
  <c r="AB401" i="1"/>
  <c r="AA401" i="1"/>
  <c r="Y401" i="1"/>
  <c r="Z401" i="1" s="1"/>
  <c r="X401" i="1"/>
  <c r="AE400" i="1"/>
  <c r="AD400" i="1"/>
  <c r="AC400" i="1"/>
  <c r="AB400" i="1"/>
  <c r="AA400" i="1"/>
  <c r="Y400" i="1"/>
  <c r="Z400" i="1" s="1"/>
  <c r="X400" i="1"/>
  <c r="AE399" i="1"/>
  <c r="AD399" i="1"/>
  <c r="AC399" i="1"/>
  <c r="AB399" i="1"/>
  <c r="AA399" i="1"/>
  <c r="Y399" i="1"/>
  <c r="Z399" i="1" s="1"/>
  <c r="X399" i="1"/>
  <c r="AE398" i="1"/>
  <c r="AD398" i="1"/>
  <c r="AC398" i="1"/>
  <c r="AB398" i="1"/>
  <c r="AA398" i="1"/>
  <c r="Y398" i="1"/>
  <c r="Z398" i="1" s="1"/>
  <c r="X398" i="1"/>
  <c r="AE397" i="1"/>
  <c r="AD397" i="1"/>
  <c r="AC397" i="1"/>
  <c r="AB397" i="1"/>
  <c r="AA397" i="1"/>
  <c r="Y397" i="1"/>
  <c r="Z397" i="1" s="1"/>
  <c r="X397" i="1"/>
  <c r="AE396" i="1"/>
  <c r="AD396" i="1"/>
  <c r="AC396" i="1"/>
  <c r="AB396" i="1"/>
  <c r="AA396" i="1"/>
  <c r="Y396" i="1"/>
  <c r="Z396" i="1" s="1"/>
  <c r="X396" i="1"/>
  <c r="AE395" i="1"/>
  <c r="AD395" i="1"/>
  <c r="AC395" i="1"/>
  <c r="AB395" i="1"/>
  <c r="AA395" i="1"/>
  <c r="Y395" i="1"/>
  <c r="Z395" i="1" s="1"/>
  <c r="X395" i="1"/>
  <c r="AE394" i="1"/>
  <c r="AD394" i="1"/>
  <c r="AC394" i="1"/>
  <c r="AB394" i="1"/>
  <c r="AA394" i="1"/>
  <c r="Y394" i="1"/>
  <c r="Z394" i="1" s="1"/>
  <c r="X394" i="1"/>
  <c r="AE393" i="1"/>
  <c r="AD393" i="1"/>
  <c r="AC393" i="1"/>
  <c r="AB393" i="1"/>
  <c r="AA393" i="1"/>
  <c r="Y393" i="1"/>
  <c r="Z393" i="1" s="1"/>
  <c r="X393" i="1"/>
  <c r="AE392" i="1"/>
  <c r="AD392" i="1"/>
  <c r="AC392" i="1"/>
  <c r="AB392" i="1"/>
  <c r="AA392" i="1"/>
  <c r="Y392" i="1"/>
  <c r="Z392" i="1" s="1"/>
  <c r="X392" i="1"/>
  <c r="AE391" i="1"/>
  <c r="AD391" i="1"/>
  <c r="AC391" i="1"/>
  <c r="AB391" i="1"/>
  <c r="AA391" i="1"/>
  <c r="Y391" i="1"/>
  <c r="Z391" i="1" s="1"/>
  <c r="X391" i="1"/>
  <c r="AE390" i="1"/>
  <c r="AD390" i="1"/>
  <c r="AC390" i="1"/>
  <c r="AB390" i="1"/>
  <c r="AA390" i="1"/>
  <c r="Y390" i="1"/>
  <c r="Z390" i="1" s="1"/>
  <c r="X390" i="1"/>
  <c r="AE389" i="1"/>
  <c r="AD389" i="1"/>
  <c r="AC389" i="1"/>
  <c r="AB389" i="1"/>
  <c r="AA389" i="1"/>
  <c r="Y389" i="1"/>
  <c r="Z389" i="1" s="1"/>
  <c r="X389" i="1"/>
  <c r="AE388" i="1"/>
  <c r="AD388" i="1"/>
  <c r="AC388" i="1"/>
  <c r="AB388" i="1"/>
  <c r="AA388" i="1"/>
  <c r="Y388" i="1"/>
  <c r="Z388" i="1" s="1"/>
  <c r="X388" i="1"/>
  <c r="AE387" i="1"/>
  <c r="AD387" i="1"/>
  <c r="AC387" i="1"/>
  <c r="AB387" i="1"/>
  <c r="AA387" i="1"/>
  <c r="Y387" i="1"/>
  <c r="Z387" i="1" s="1"/>
  <c r="X387" i="1"/>
  <c r="AE386" i="1"/>
  <c r="AD386" i="1"/>
  <c r="AC386" i="1"/>
  <c r="AB386" i="1"/>
  <c r="AA386" i="1"/>
  <c r="Y386" i="1"/>
  <c r="Z386" i="1" s="1"/>
  <c r="X386" i="1"/>
  <c r="AE385" i="1"/>
  <c r="AD385" i="1"/>
  <c r="AC385" i="1"/>
  <c r="AB385" i="1"/>
  <c r="AA385" i="1"/>
  <c r="Y385" i="1"/>
  <c r="Z385" i="1" s="1"/>
  <c r="X385" i="1"/>
  <c r="AE384" i="1"/>
  <c r="AD384" i="1"/>
  <c r="AC384" i="1"/>
  <c r="AB384" i="1"/>
  <c r="AA384" i="1"/>
  <c r="Y384" i="1"/>
  <c r="Z384" i="1" s="1"/>
  <c r="X384" i="1"/>
  <c r="AE383" i="1"/>
  <c r="AD383" i="1"/>
  <c r="AC383" i="1"/>
  <c r="AB383" i="1"/>
  <c r="AA383" i="1"/>
  <c r="Y383" i="1"/>
  <c r="Z383" i="1" s="1"/>
  <c r="X383" i="1"/>
  <c r="AE382" i="1"/>
  <c r="AD382" i="1"/>
  <c r="AC382" i="1"/>
  <c r="AB382" i="1"/>
  <c r="AA382" i="1"/>
  <c r="Y382" i="1"/>
  <c r="Z382" i="1" s="1"/>
  <c r="X382" i="1"/>
  <c r="AE381" i="1"/>
  <c r="AD381" i="1"/>
  <c r="AC381" i="1"/>
  <c r="AB381" i="1"/>
  <c r="AA381" i="1"/>
  <c r="Y381" i="1"/>
  <c r="Z381" i="1" s="1"/>
  <c r="X381" i="1"/>
  <c r="AE380" i="1"/>
  <c r="AD380" i="1"/>
  <c r="AC380" i="1"/>
  <c r="AB380" i="1"/>
  <c r="AA380" i="1"/>
  <c r="Y380" i="1"/>
  <c r="Z380" i="1" s="1"/>
  <c r="X380" i="1"/>
  <c r="AE379" i="1"/>
  <c r="AD379" i="1"/>
  <c r="AC379" i="1"/>
  <c r="AB379" i="1"/>
  <c r="AA379" i="1"/>
  <c r="Y379" i="1"/>
  <c r="Z379" i="1" s="1"/>
  <c r="X379" i="1"/>
  <c r="AE378" i="1"/>
  <c r="AD378" i="1"/>
  <c r="AC378" i="1"/>
  <c r="AB378" i="1"/>
  <c r="AA378" i="1"/>
  <c r="Y378" i="1"/>
  <c r="Z378" i="1" s="1"/>
  <c r="X378" i="1"/>
  <c r="AE377" i="1"/>
  <c r="AD377" i="1"/>
  <c r="AC377" i="1"/>
  <c r="AB377" i="1"/>
  <c r="AA377" i="1"/>
  <c r="Y377" i="1"/>
  <c r="Z377" i="1" s="1"/>
  <c r="X377" i="1"/>
  <c r="AE376" i="1"/>
  <c r="AD376" i="1"/>
  <c r="AC376" i="1"/>
  <c r="AB376" i="1"/>
  <c r="AA376" i="1"/>
  <c r="Y376" i="1"/>
  <c r="Z376" i="1" s="1"/>
  <c r="X376" i="1"/>
  <c r="AE375" i="1"/>
  <c r="AD375" i="1"/>
  <c r="AC375" i="1"/>
  <c r="AB375" i="1"/>
  <c r="AA375" i="1"/>
  <c r="Y375" i="1"/>
  <c r="Z375" i="1" s="1"/>
  <c r="X375" i="1"/>
  <c r="AE374" i="1"/>
  <c r="AD374" i="1"/>
  <c r="AC374" i="1"/>
  <c r="AB374" i="1"/>
  <c r="AA374" i="1"/>
  <c r="Y374" i="1"/>
  <c r="Z374" i="1" s="1"/>
  <c r="X374" i="1"/>
  <c r="AE373" i="1"/>
  <c r="AD373" i="1"/>
  <c r="AC373" i="1"/>
  <c r="AB373" i="1"/>
  <c r="AA373" i="1"/>
  <c r="Y373" i="1"/>
  <c r="Z373" i="1" s="1"/>
  <c r="X373" i="1"/>
  <c r="AE372" i="1"/>
  <c r="AD372" i="1"/>
  <c r="AC372" i="1"/>
  <c r="AB372" i="1"/>
  <c r="AA372" i="1"/>
  <c r="Y372" i="1"/>
  <c r="Z372" i="1" s="1"/>
  <c r="X372" i="1"/>
  <c r="AE371" i="1"/>
  <c r="AD371" i="1"/>
  <c r="AC371" i="1"/>
  <c r="AB371" i="1"/>
  <c r="AA371" i="1"/>
  <c r="Y371" i="1"/>
  <c r="Z371" i="1" s="1"/>
  <c r="X371" i="1"/>
  <c r="AE370" i="1"/>
  <c r="AD370" i="1"/>
  <c r="AC370" i="1"/>
  <c r="AB370" i="1"/>
  <c r="AA370" i="1"/>
  <c r="Y370" i="1"/>
  <c r="Z370" i="1" s="1"/>
  <c r="X370" i="1"/>
  <c r="AE369" i="1"/>
  <c r="AD369" i="1"/>
  <c r="AC369" i="1"/>
  <c r="AB369" i="1"/>
  <c r="AA369" i="1"/>
  <c r="Y369" i="1"/>
  <c r="Z369" i="1" s="1"/>
  <c r="X369" i="1"/>
  <c r="AE368" i="1"/>
  <c r="AD368" i="1"/>
  <c r="AC368" i="1"/>
  <c r="AB368" i="1"/>
  <c r="AA368" i="1"/>
  <c r="Y368" i="1"/>
  <c r="Z368" i="1" s="1"/>
  <c r="X368" i="1"/>
  <c r="AE367" i="1"/>
  <c r="AD367" i="1"/>
  <c r="AC367" i="1"/>
  <c r="AB367" i="1"/>
  <c r="AA367" i="1"/>
  <c r="Y367" i="1"/>
  <c r="Z367" i="1" s="1"/>
  <c r="X367" i="1"/>
  <c r="AE366" i="1"/>
  <c r="AD366" i="1"/>
  <c r="AC366" i="1"/>
  <c r="AB366" i="1"/>
  <c r="AA366" i="1"/>
  <c r="Y366" i="1"/>
  <c r="Z366" i="1" s="1"/>
  <c r="X366" i="1"/>
  <c r="AE365" i="1"/>
  <c r="AD365" i="1"/>
  <c r="AC365" i="1"/>
  <c r="AB365" i="1"/>
  <c r="AA365" i="1"/>
  <c r="Y365" i="1"/>
  <c r="Z365" i="1" s="1"/>
  <c r="X365" i="1"/>
  <c r="AE364" i="1"/>
  <c r="AD364" i="1"/>
  <c r="AC364" i="1"/>
  <c r="AB364" i="1"/>
  <c r="AA364" i="1"/>
  <c r="Y364" i="1"/>
  <c r="Z364" i="1" s="1"/>
  <c r="X364" i="1"/>
  <c r="AE363" i="1"/>
  <c r="AD363" i="1"/>
  <c r="AC363" i="1"/>
  <c r="AB363" i="1"/>
  <c r="AA363" i="1"/>
  <c r="Y363" i="1"/>
  <c r="Z363" i="1" s="1"/>
  <c r="X363" i="1"/>
  <c r="AE362" i="1"/>
  <c r="AD362" i="1"/>
  <c r="AC362" i="1"/>
  <c r="AB362" i="1"/>
  <c r="AA362" i="1"/>
  <c r="Y362" i="1"/>
  <c r="Z362" i="1" s="1"/>
  <c r="X362" i="1"/>
  <c r="AE361" i="1"/>
  <c r="AD361" i="1"/>
  <c r="AC361" i="1"/>
  <c r="AB361" i="1"/>
  <c r="AA361" i="1"/>
  <c r="Y361" i="1"/>
  <c r="Z361" i="1" s="1"/>
  <c r="X361" i="1"/>
  <c r="AE360" i="1"/>
  <c r="AD360" i="1"/>
  <c r="AC360" i="1"/>
  <c r="AB360" i="1"/>
  <c r="AA360" i="1"/>
  <c r="Y360" i="1"/>
  <c r="Z360" i="1" s="1"/>
  <c r="X360" i="1"/>
  <c r="AE359" i="1"/>
  <c r="AD359" i="1"/>
  <c r="AC359" i="1"/>
  <c r="AB359" i="1"/>
  <c r="AA359" i="1"/>
  <c r="Y359" i="1"/>
  <c r="Z359" i="1" s="1"/>
  <c r="X359" i="1"/>
  <c r="AE358" i="1"/>
  <c r="AD358" i="1"/>
  <c r="AC358" i="1"/>
  <c r="AB358" i="1"/>
  <c r="AA358" i="1"/>
  <c r="Y358" i="1"/>
  <c r="Z358" i="1" s="1"/>
  <c r="X358" i="1"/>
  <c r="AE357" i="1"/>
  <c r="AD357" i="1"/>
  <c r="AC357" i="1"/>
  <c r="AB357" i="1"/>
  <c r="AA357" i="1"/>
  <c r="Y357" i="1"/>
  <c r="Z357" i="1" s="1"/>
  <c r="X357" i="1"/>
  <c r="AE356" i="1"/>
  <c r="AD356" i="1"/>
  <c r="AC356" i="1"/>
  <c r="AB356" i="1"/>
  <c r="AA356" i="1"/>
  <c r="Y356" i="1"/>
  <c r="Z356" i="1" s="1"/>
  <c r="X356" i="1"/>
  <c r="AE355" i="1"/>
  <c r="AD355" i="1"/>
  <c r="AC355" i="1"/>
  <c r="AB355" i="1"/>
  <c r="AA355" i="1"/>
  <c r="Y355" i="1"/>
  <c r="Z355" i="1" s="1"/>
  <c r="X355" i="1"/>
  <c r="AE354" i="1"/>
  <c r="AD354" i="1"/>
  <c r="AC354" i="1"/>
  <c r="AB354" i="1"/>
  <c r="AA354" i="1"/>
  <c r="Y354" i="1"/>
  <c r="Z354" i="1" s="1"/>
  <c r="X354" i="1"/>
  <c r="AE353" i="1"/>
  <c r="AD353" i="1"/>
  <c r="AC353" i="1"/>
  <c r="AB353" i="1"/>
  <c r="AA353" i="1"/>
  <c r="Y353" i="1"/>
  <c r="Z353" i="1" s="1"/>
  <c r="X353" i="1"/>
  <c r="AE352" i="1"/>
  <c r="AD352" i="1"/>
  <c r="AC352" i="1"/>
  <c r="AB352" i="1"/>
  <c r="AA352" i="1"/>
  <c r="Y352" i="1"/>
  <c r="Z352" i="1" s="1"/>
  <c r="X352" i="1"/>
  <c r="AE351" i="1"/>
  <c r="AD351" i="1"/>
  <c r="AC351" i="1"/>
  <c r="AB351" i="1"/>
  <c r="AA351" i="1"/>
  <c r="Y351" i="1"/>
  <c r="Z351" i="1" s="1"/>
  <c r="X351" i="1"/>
  <c r="AE350" i="1"/>
  <c r="AD350" i="1"/>
  <c r="AC350" i="1"/>
  <c r="AB350" i="1"/>
  <c r="AA350" i="1"/>
  <c r="Y350" i="1"/>
  <c r="Z350" i="1" s="1"/>
  <c r="X350" i="1"/>
  <c r="AE349" i="1"/>
  <c r="AD349" i="1"/>
  <c r="AC349" i="1"/>
  <c r="AB349" i="1"/>
  <c r="AA349" i="1"/>
  <c r="Y349" i="1"/>
  <c r="Z349" i="1" s="1"/>
  <c r="X349" i="1"/>
  <c r="AE348" i="1"/>
  <c r="AD348" i="1"/>
  <c r="AC348" i="1"/>
  <c r="AB348" i="1"/>
  <c r="AA348" i="1"/>
  <c r="Y348" i="1"/>
  <c r="Z348" i="1" s="1"/>
  <c r="X348" i="1"/>
  <c r="AE347" i="1"/>
  <c r="AD347" i="1"/>
  <c r="AC347" i="1"/>
  <c r="AB347" i="1"/>
  <c r="AA347" i="1"/>
  <c r="Y347" i="1"/>
  <c r="Z347" i="1" s="1"/>
  <c r="X347" i="1"/>
  <c r="AE346" i="1"/>
  <c r="AD346" i="1"/>
  <c r="AC346" i="1"/>
  <c r="AB346" i="1"/>
  <c r="AA346" i="1"/>
  <c r="Y346" i="1"/>
  <c r="Z346" i="1" s="1"/>
  <c r="X346" i="1"/>
  <c r="AE345" i="1"/>
  <c r="AD345" i="1"/>
  <c r="AC345" i="1"/>
  <c r="AB345" i="1"/>
  <c r="AA345" i="1"/>
  <c r="Y345" i="1"/>
  <c r="Z345" i="1" s="1"/>
  <c r="X345" i="1"/>
  <c r="AE344" i="1"/>
  <c r="AD344" i="1"/>
  <c r="AC344" i="1"/>
  <c r="AB344" i="1"/>
  <c r="AA344" i="1"/>
  <c r="Y344" i="1"/>
  <c r="Z344" i="1" s="1"/>
  <c r="X344" i="1"/>
  <c r="AE343" i="1"/>
  <c r="AD343" i="1"/>
  <c r="AC343" i="1"/>
  <c r="AB343" i="1"/>
  <c r="AA343" i="1"/>
  <c r="Y343" i="1"/>
  <c r="Z343" i="1" s="1"/>
  <c r="X343" i="1"/>
  <c r="AE342" i="1"/>
  <c r="AD342" i="1"/>
  <c r="AC342" i="1"/>
  <c r="AB342" i="1"/>
  <c r="AA342" i="1"/>
  <c r="Y342" i="1"/>
  <c r="Z342" i="1" s="1"/>
  <c r="X342" i="1"/>
  <c r="AE341" i="1"/>
  <c r="AD341" i="1"/>
  <c r="AC341" i="1"/>
  <c r="AB341" i="1"/>
  <c r="AA341" i="1"/>
  <c r="Y341" i="1"/>
  <c r="Z341" i="1" s="1"/>
  <c r="X341" i="1"/>
  <c r="AE340" i="1"/>
  <c r="AD340" i="1"/>
  <c r="AC340" i="1"/>
  <c r="AB340" i="1"/>
  <c r="AA340" i="1"/>
  <c r="Y340" i="1"/>
  <c r="Z340" i="1" s="1"/>
  <c r="X340" i="1"/>
  <c r="AE339" i="1"/>
  <c r="AD339" i="1"/>
  <c r="AC339" i="1"/>
  <c r="AB339" i="1"/>
  <c r="AA339" i="1"/>
  <c r="Y339" i="1"/>
  <c r="Z339" i="1" s="1"/>
  <c r="X339" i="1"/>
  <c r="AE338" i="1"/>
  <c r="AD338" i="1"/>
  <c r="AC338" i="1"/>
  <c r="AB338" i="1"/>
  <c r="AA338" i="1"/>
  <c r="Y338" i="1"/>
  <c r="Z338" i="1" s="1"/>
  <c r="X338" i="1"/>
  <c r="AE337" i="1"/>
  <c r="AD337" i="1"/>
  <c r="AC337" i="1"/>
  <c r="AB337" i="1"/>
  <c r="AA337" i="1"/>
  <c r="Y337" i="1"/>
  <c r="Z337" i="1" s="1"/>
  <c r="X337" i="1"/>
  <c r="AE336" i="1"/>
  <c r="AD336" i="1"/>
  <c r="AC336" i="1"/>
  <c r="AB336" i="1"/>
  <c r="AA336" i="1"/>
  <c r="Y336" i="1"/>
  <c r="Z336" i="1" s="1"/>
  <c r="X336" i="1"/>
  <c r="AE335" i="1"/>
  <c r="AD335" i="1"/>
  <c r="AC335" i="1"/>
  <c r="AB335" i="1"/>
  <c r="AA335" i="1"/>
  <c r="Y335" i="1"/>
  <c r="Z335" i="1" s="1"/>
  <c r="X335" i="1"/>
  <c r="AE334" i="1"/>
  <c r="AD334" i="1"/>
  <c r="AC334" i="1"/>
  <c r="AB334" i="1"/>
  <c r="AA334" i="1"/>
  <c r="Y334" i="1"/>
  <c r="Z334" i="1" s="1"/>
  <c r="X334" i="1"/>
  <c r="AE333" i="1"/>
  <c r="AD333" i="1"/>
  <c r="AC333" i="1"/>
  <c r="AB333" i="1"/>
  <c r="AA333" i="1"/>
  <c r="Y333" i="1"/>
  <c r="Z333" i="1" s="1"/>
  <c r="X333" i="1"/>
  <c r="AE332" i="1"/>
  <c r="AD332" i="1"/>
  <c r="AC332" i="1"/>
  <c r="AB332" i="1"/>
  <c r="AA332" i="1"/>
  <c r="Y332" i="1"/>
  <c r="Z332" i="1" s="1"/>
  <c r="X332" i="1"/>
  <c r="AE331" i="1"/>
  <c r="AD331" i="1"/>
  <c r="AC331" i="1"/>
  <c r="AB331" i="1"/>
  <c r="AA331" i="1"/>
  <c r="Y331" i="1"/>
  <c r="Z331" i="1" s="1"/>
  <c r="X331" i="1"/>
  <c r="AE330" i="1"/>
  <c r="AD330" i="1"/>
  <c r="AC330" i="1"/>
  <c r="AB330" i="1"/>
  <c r="AA330" i="1"/>
  <c r="Y330" i="1"/>
  <c r="Z330" i="1" s="1"/>
  <c r="X330" i="1"/>
  <c r="AE329" i="1"/>
  <c r="AD329" i="1"/>
  <c r="AC329" i="1"/>
  <c r="AB329" i="1"/>
  <c r="AA329" i="1"/>
  <c r="Y329" i="1"/>
  <c r="Z329" i="1" s="1"/>
  <c r="X329" i="1"/>
  <c r="AE328" i="1"/>
  <c r="AD328" i="1"/>
  <c r="AC328" i="1"/>
  <c r="AB328" i="1"/>
  <c r="AA328" i="1"/>
  <c r="Y328" i="1"/>
  <c r="Z328" i="1" s="1"/>
  <c r="X328" i="1"/>
  <c r="AE327" i="1"/>
  <c r="AD327" i="1"/>
  <c r="AC327" i="1"/>
  <c r="AB327" i="1"/>
  <c r="AA327" i="1"/>
  <c r="Y327" i="1"/>
  <c r="Z327" i="1" s="1"/>
  <c r="X327" i="1"/>
  <c r="AE326" i="1"/>
  <c r="AD326" i="1"/>
  <c r="AC326" i="1"/>
  <c r="AB326" i="1"/>
  <c r="AA326" i="1"/>
  <c r="Y326" i="1"/>
  <c r="Z326" i="1" s="1"/>
  <c r="X326" i="1"/>
  <c r="AE325" i="1"/>
  <c r="AD325" i="1"/>
  <c r="AC325" i="1"/>
  <c r="AB325" i="1"/>
  <c r="AA325" i="1"/>
  <c r="Y325" i="1"/>
  <c r="Z325" i="1" s="1"/>
  <c r="X325" i="1"/>
  <c r="AE324" i="1"/>
  <c r="AD324" i="1"/>
  <c r="AC324" i="1"/>
  <c r="AB324" i="1"/>
  <c r="AA324" i="1"/>
  <c r="Y324" i="1"/>
  <c r="Z324" i="1" s="1"/>
  <c r="X324" i="1"/>
  <c r="AE323" i="1"/>
  <c r="AD323" i="1"/>
  <c r="AC323" i="1"/>
  <c r="AB323" i="1"/>
  <c r="AA323" i="1"/>
  <c r="Y323" i="1"/>
  <c r="Z323" i="1" s="1"/>
  <c r="X323" i="1"/>
  <c r="AE322" i="1"/>
  <c r="AD322" i="1"/>
  <c r="AC322" i="1"/>
  <c r="AB322" i="1"/>
  <c r="AA322" i="1"/>
  <c r="Y322" i="1"/>
  <c r="Z322" i="1" s="1"/>
  <c r="X322" i="1"/>
  <c r="AE321" i="1"/>
  <c r="AD321" i="1"/>
  <c r="AC321" i="1"/>
  <c r="AB321" i="1"/>
  <c r="AA321" i="1"/>
  <c r="Y321" i="1"/>
  <c r="Z321" i="1" s="1"/>
  <c r="X321" i="1"/>
  <c r="AE320" i="1"/>
  <c r="AD320" i="1"/>
  <c r="AC320" i="1"/>
  <c r="AB320" i="1"/>
  <c r="AA320" i="1"/>
  <c r="Y320" i="1"/>
  <c r="Z320" i="1" s="1"/>
  <c r="X320" i="1"/>
  <c r="AE319" i="1"/>
  <c r="AD319" i="1"/>
  <c r="AC319" i="1"/>
  <c r="AB319" i="1"/>
  <c r="AA319" i="1"/>
  <c r="Y319" i="1"/>
  <c r="Z319" i="1" s="1"/>
  <c r="X319" i="1"/>
  <c r="AE318" i="1"/>
  <c r="AD318" i="1"/>
  <c r="AC318" i="1"/>
  <c r="AB318" i="1"/>
  <c r="AA318" i="1"/>
  <c r="Y318" i="1"/>
  <c r="Z318" i="1" s="1"/>
  <c r="X318" i="1"/>
  <c r="AE317" i="1"/>
  <c r="AD317" i="1"/>
  <c r="AC317" i="1"/>
  <c r="AB317" i="1"/>
  <c r="AA317" i="1"/>
  <c r="Y317" i="1"/>
  <c r="Z317" i="1" s="1"/>
  <c r="X317" i="1"/>
  <c r="AE316" i="1"/>
  <c r="AD316" i="1"/>
  <c r="AC316" i="1"/>
  <c r="AB316" i="1"/>
  <c r="AA316" i="1"/>
  <c r="Y316" i="1"/>
  <c r="Z316" i="1" s="1"/>
  <c r="X316" i="1"/>
  <c r="AE315" i="1"/>
  <c r="AD315" i="1"/>
  <c r="AC315" i="1"/>
  <c r="AB315" i="1"/>
  <c r="AA315" i="1"/>
  <c r="Y315" i="1"/>
  <c r="Z315" i="1" s="1"/>
  <c r="X315" i="1"/>
  <c r="AE314" i="1"/>
  <c r="AD314" i="1"/>
  <c r="AC314" i="1"/>
  <c r="AB314" i="1"/>
  <c r="AA314" i="1"/>
  <c r="Y314" i="1"/>
  <c r="Z314" i="1" s="1"/>
  <c r="X314" i="1"/>
  <c r="AE313" i="1"/>
  <c r="AD313" i="1"/>
  <c r="AC313" i="1"/>
  <c r="AB313" i="1"/>
  <c r="AA313" i="1"/>
  <c r="Y313" i="1"/>
  <c r="Z313" i="1" s="1"/>
  <c r="X313" i="1"/>
  <c r="AE312" i="1"/>
  <c r="AD312" i="1"/>
  <c r="AC312" i="1"/>
  <c r="AB312" i="1"/>
  <c r="AA312" i="1"/>
  <c r="Y312" i="1"/>
  <c r="Z312" i="1" s="1"/>
  <c r="X312" i="1"/>
  <c r="AE311" i="1"/>
  <c r="AD311" i="1"/>
  <c r="AC311" i="1"/>
  <c r="AB311" i="1"/>
  <c r="AA311" i="1"/>
  <c r="Y311" i="1"/>
  <c r="Z311" i="1" s="1"/>
  <c r="X311" i="1"/>
  <c r="AE310" i="1"/>
  <c r="AD310" i="1"/>
  <c r="AC310" i="1"/>
  <c r="AB310" i="1"/>
  <c r="AA310" i="1"/>
  <c r="Y310" i="1"/>
  <c r="Z310" i="1" s="1"/>
  <c r="X310" i="1"/>
  <c r="AE309" i="1"/>
  <c r="AD309" i="1"/>
  <c r="AC309" i="1"/>
  <c r="AB309" i="1"/>
  <c r="AA309" i="1"/>
  <c r="Y309" i="1"/>
  <c r="Z309" i="1" s="1"/>
  <c r="X309" i="1"/>
  <c r="AE308" i="1"/>
  <c r="AD308" i="1"/>
  <c r="AC308" i="1"/>
  <c r="AB308" i="1"/>
  <c r="AA308" i="1"/>
  <c r="Y308" i="1"/>
  <c r="Z308" i="1" s="1"/>
  <c r="X308" i="1"/>
  <c r="AE307" i="1"/>
  <c r="AD307" i="1"/>
  <c r="AC307" i="1"/>
  <c r="AB307" i="1"/>
  <c r="AA307" i="1"/>
  <c r="Y307" i="1"/>
  <c r="Z307" i="1" s="1"/>
  <c r="X307" i="1"/>
  <c r="AE306" i="1"/>
  <c r="AD306" i="1"/>
  <c r="AC306" i="1"/>
  <c r="AB306" i="1"/>
  <c r="AA306" i="1"/>
  <c r="Y306" i="1"/>
  <c r="Z306" i="1" s="1"/>
  <c r="X306" i="1"/>
  <c r="AE305" i="1"/>
  <c r="AD305" i="1"/>
  <c r="AC305" i="1"/>
  <c r="AB305" i="1"/>
  <c r="AA305" i="1"/>
  <c r="Y305" i="1"/>
  <c r="Z305" i="1" s="1"/>
  <c r="X305" i="1"/>
  <c r="AE304" i="1"/>
  <c r="AD304" i="1"/>
  <c r="AC304" i="1"/>
  <c r="AB304" i="1"/>
  <c r="AA304" i="1"/>
  <c r="Y304" i="1"/>
  <c r="Z304" i="1" s="1"/>
  <c r="X304" i="1"/>
  <c r="AE303" i="1"/>
  <c r="AD303" i="1"/>
  <c r="AC303" i="1"/>
  <c r="AB303" i="1"/>
  <c r="AA303" i="1"/>
  <c r="Y303" i="1"/>
  <c r="Z303" i="1" s="1"/>
  <c r="X303" i="1"/>
  <c r="AE302" i="1"/>
  <c r="AD302" i="1"/>
  <c r="AC302" i="1"/>
  <c r="AB302" i="1"/>
  <c r="AA302" i="1"/>
  <c r="Y302" i="1"/>
  <c r="Z302" i="1" s="1"/>
  <c r="X302" i="1"/>
  <c r="AE301" i="1"/>
  <c r="AD301" i="1"/>
  <c r="AC301" i="1"/>
  <c r="AB301" i="1"/>
  <c r="AA301" i="1"/>
  <c r="Y301" i="1"/>
  <c r="Z301" i="1" s="1"/>
  <c r="X301" i="1"/>
  <c r="AE300" i="1"/>
  <c r="AD300" i="1"/>
  <c r="AC300" i="1"/>
  <c r="AB300" i="1"/>
  <c r="AA300" i="1"/>
  <c r="Y300" i="1"/>
  <c r="Z300" i="1" s="1"/>
  <c r="X300" i="1"/>
  <c r="AE299" i="1"/>
  <c r="AD299" i="1"/>
  <c r="AC299" i="1"/>
  <c r="AB299" i="1"/>
  <c r="AA299" i="1"/>
  <c r="Y299" i="1"/>
  <c r="Z299" i="1" s="1"/>
  <c r="X299" i="1"/>
  <c r="AE298" i="1"/>
  <c r="AD298" i="1"/>
  <c r="AC298" i="1"/>
  <c r="AB298" i="1"/>
  <c r="AA298" i="1"/>
  <c r="Y298" i="1"/>
  <c r="Z298" i="1" s="1"/>
  <c r="X298" i="1"/>
  <c r="AE297" i="1"/>
  <c r="AD297" i="1"/>
  <c r="AC297" i="1"/>
  <c r="AB297" i="1"/>
  <c r="AA297" i="1"/>
  <c r="Y297" i="1"/>
  <c r="Z297" i="1" s="1"/>
  <c r="X297" i="1"/>
  <c r="AE296" i="1"/>
  <c r="AD296" i="1"/>
  <c r="AC296" i="1"/>
  <c r="AB296" i="1"/>
  <c r="AA296" i="1"/>
  <c r="Y296" i="1"/>
  <c r="Z296" i="1" s="1"/>
  <c r="X296" i="1"/>
  <c r="AE295" i="1"/>
  <c r="AD295" i="1"/>
  <c r="AC295" i="1"/>
  <c r="AB295" i="1"/>
  <c r="AA295" i="1"/>
  <c r="Y295" i="1"/>
  <c r="Z295" i="1" s="1"/>
  <c r="X295" i="1"/>
  <c r="AE294" i="1"/>
  <c r="AD294" i="1"/>
  <c r="AC294" i="1"/>
  <c r="AB294" i="1"/>
  <c r="AA294" i="1"/>
  <c r="Y294" i="1"/>
  <c r="Z294" i="1" s="1"/>
  <c r="X294" i="1"/>
  <c r="AE293" i="1"/>
  <c r="AD293" i="1"/>
  <c r="AC293" i="1"/>
  <c r="AB293" i="1"/>
  <c r="AA293" i="1"/>
  <c r="Y293" i="1"/>
  <c r="Z293" i="1" s="1"/>
  <c r="X293" i="1"/>
  <c r="AE292" i="1"/>
  <c r="AD292" i="1"/>
  <c r="AC292" i="1"/>
  <c r="AB292" i="1"/>
  <c r="AA292" i="1"/>
  <c r="Y292" i="1"/>
  <c r="Z292" i="1" s="1"/>
  <c r="X292" i="1"/>
  <c r="AE291" i="1"/>
  <c r="AD291" i="1"/>
  <c r="AC291" i="1"/>
  <c r="AB291" i="1"/>
  <c r="AA291" i="1"/>
  <c r="Y291" i="1"/>
  <c r="Z291" i="1" s="1"/>
  <c r="X291" i="1"/>
  <c r="AE290" i="1"/>
  <c r="AD290" i="1"/>
  <c r="AC290" i="1"/>
  <c r="AB290" i="1"/>
  <c r="AA290" i="1"/>
  <c r="Y290" i="1"/>
  <c r="Z290" i="1" s="1"/>
  <c r="X290" i="1"/>
  <c r="AE289" i="1"/>
  <c r="AD289" i="1"/>
  <c r="AC289" i="1"/>
  <c r="AB289" i="1"/>
  <c r="AA289" i="1"/>
  <c r="Y289" i="1"/>
  <c r="Z289" i="1" s="1"/>
  <c r="X289" i="1"/>
  <c r="AE288" i="1"/>
  <c r="AD288" i="1"/>
  <c r="AC288" i="1"/>
  <c r="AB288" i="1"/>
  <c r="AA288" i="1"/>
  <c r="Y288" i="1"/>
  <c r="Z288" i="1" s="1"/>
  <c r="X288" i="1"/>
  <c r="AE287" i="1"/>
  <c r="AD287" i="1"/>
  <c r="AC287" i="1"/>
  <c r="AB287" i="1"/>
  <c r="AA287" i="1"/>
  <c r="Y287" i="1"/>
  <c r="Z287" i="1" s="1"/>
  <c r="X287" i="1"/>
  <c r="AE286" i="1"/>
  <c r="AD286" i="1"/>
  <c r="AC286" i="1"/>
  <c r="AB286" i="1"/>
  <c r="AA286" i="1"/>
  <c r="Y286" i="1"/>
  <c r="Z286" i="1" s="1"/>
  <c r="X286" i="1"/>
  <c r="AE285" i="1"/>
  <c r="AD285" i="1"/>
  <c r="AC285" i="1"/>
  <c r="AB285" i="1"/>
  <c r="AA285" i="1"/>
  <c r="Y285" i="1"/>
  <c r="Z285" i="1" s="1"/>
  <c r="X285" i="1"/>
  <c r="AE284" i="1"/>
  <c r="AD284" i="1"/>
  <c r="AC284" i="1"/>
  <c r="AB284" i="1"/>
  <c r="AA284" i="1"/>
  <c r="Y284" i="1"/>
  <c r="Z284" i="1" s="1"/>
  <c r="X284" i="1"/>
  <c r="AE283" i="1"/>
  <c r="AD283" i="1"/>
  <c r="AC283" i="1"/>
  <c r="AB283" i="1"/>
  <c r="AA283" i="1"/>
  <c r="Y283" i="1"/>
  <c r="Z283" i="1" s="1"/>
  <c r="X283" i="1"/>
  <c r="AE282" i="1"/>
  <c r="AD282" i="1"/>
  <c r="AC282" i="1"/>
  <c r="AB282" i="1"/>
  <c r="AA282" i="1"/>
  <c r="Y282" i="1"/>
  <c r="Z282" i="1" s="1"/>
  <c r="X282" i="1"/>
  <c r="AE281" i="1"/>
  <c r="AD281" i="1"/>
  <c r="AC281" i="1"/>
  <c r="AB281" i="1"/>
  <c r="AA281" i="1"/>
  <c r="Y281" i="1"/>
  <c r="Z281" i="1" s="1"/>
  <c r="X281" i="1"/>
  <c r="AE280" i="1"/>
  <c r="AD280" i="1"/>
  <c r="AC280" i="1"/>
  <c r="AB280" i="1"/>
  <c r="AA280" i="1"/>
  <c r="Y280" i="1"/>
  <c r="Z280" i="1" s="1"/>
  <c r="X280" i="1"/>
  <c r="AE279" i="1"/>
  <c r="AD279" i="1"/>
  <c r="AC279" i="1"/>
  <c r="AB279" i="1"/>
  <c r="AA279" i="1"/>
  <c r="Y279" i="1"/>
  <c r="Z279" i="1" s="1"/>
  <c r="X279" i="1"/>
  <c r="AE278" i="1"/>
  <c r="AD278" i="1"/>
  <c r="AC278" i="1"/>
  <c r="AB278" i="1"/>
  <c r="AA278" i="1"/>
  <c r="Y278" i="1"/>
  <c r="Z278" i="1" s="1"/>
  <c r="X278" i="1"/>
  <c r="AE277" i="1"/>
  <c r="AD277" i="1"/>
  <c r="AC277" i="1"/>
  <c r="AB277" i="1"/>
  <c r="AA277" i="1"/>
  <c r="Y277" i="1"/>
  <c r="Z277" i="1" s="1"/>
  <c r="X277" i="1"/>
  <c r="AE276" i="1"/>
  <c r="AD276" i="1"/>
  <c r="AC276" i="1"/>
  <c r="AB276" i="1"/>
  <c r="AA276" i="1"/>
  <c r="Y276" i="1"/>
  <c r="Z276" i="1" s="1"/>
  <c r="X276" i="1"/>
  <c r="AE275" i="1"/>
  <c r="AD275" i="1"/>
  <c r="AC275" i="1"/>
  <c r="AB275" i="1"/>
  <c r="AA275" i="1"/>
  <c r="Y275" i="1"/>
  <c r="Z275" i="1" s="1"/>
  <c r="X275" i="1"/>
  <c r="AE274" i="1"/>
  <c r="AD274" i="1"/>
  <c r="AC274" i="1"/>
  <c r="AB274" i="1"/>
  <c r="AA274" i="1"/>
  <c r="Y274" i="1"/>
  <c r="Z274" i="1" s="1"/>
  <c r="X274" i="1"/>
  <c r="AE273" i="1"/>
  <c r="AD273" i="1"/>
  <c r="AC273" i="1"/>
  <c r="AB273" i="1"/>
  <c r="AA273" i="1"/>
  <c r="Y273" i="1"/>
  <c r="Z273" i="1" s="1"/>
  <c r="X273" i="1"/>
  <c r="AE272" i="1"/>
  <c r="AD272" i="1"/>
  <c r="AC272" i="1"/>
  <c r="AB272" i="1"/>
  <c r="AA272" i="1"/>
  <c r="Y272" i="1"/>
  <c r="Z272" i="1" s="1"/>
  <c r="X272" i="1"/>
  <c r="AE271" i="1"/>
  <c r="AD271" i="1"/>
  <c r="AC271" i="1"/>
  <c r="AB271" i="1"/>
  <c r="AA271" i="1"/>
  <c r="Y271" i="1"/>
  <c r="Z271" i="1" s="1"/>
  <c r="X271" i="1"/>
  <c r="AE270" i="1"/>
  <c r="AD270" i="1"/>
  <c r="AC270" i="1"/>
  <c r="AB270" i="1"/>
  <c r="AA270" i="1"/>
  <c r="Y270" i="1"/>
  <c r="Z270" i="1" s="1"/>
  <c r="X270" i="1"/>
  <c r="AE269" i="1"/>
  <c r="AD269" i="1"/>
  <c r="AC269" i="1"/>
  <c r="AB269" i="1"/>
  <c r="AA269" i="1"/>
  <c r="Y269" i="1"/>
  <c r="Z269" i="1" s="1"/>
  <c r="X269" i="1"/>
  <c r="AE268" i="1"/>
  <c r="AD268" i="1"/>
  <c r="AC268" i="1"/>
  <c r="AB268" i="1"/>
  <c r="AA268" i="1"/>
  <c r="Y268" i="1"/>
  <c r="Z268" i="1" s="1"/>
  <c r="X268" i="1"/>
  <c r="AE267" i="1"/>
  <c r="AD267" i="1"/>
  <c r="AC267" i="1"/>
  <c r="AB267" i="1"/>
  <c r="AA267" i="1"/>
  <c r="Y267" i="1"/>
  <c r="Z267" i="1" s="1"/>
  <c r="X267" i="1"/>
  <c r="AE266" i="1"/>
  <c r="AD266" i="1"/>
  <c r="AC266" i="1"/>
  <c r="AB266" i="1"/>
  <c r="AA266" i="1"/>
  <c r="Y266" i="1"/>
  <c r="Z266" i="1" s="1"/>
  <c r="X266" i="1"/>
  <c r="AE265" i="1"/>
  <c r="AD265" i="1"/>
  <c r="AC265" i="1"/>
  <c r="AB265" i="1"/>
  <c r="AA265" i="1"/>
  <c r="Y265" i="1"/>
  <c r="Z265" i="1" s="1"/>
  <c r="X265" i="1"/>
  <c r="AE264" i="1"/>
  <c r="AD264" i="1"/>
  <c r="AC264" i="1"/>
  <c r="AB264" i="1"/>
  <c r="AA264" i="1"/>
  <c r="Y264" i="1"/>
  <c r="Z264" i="1" s="1"/>
  <c r="X264" i="1"/>
  <c r="AE263" i="1"/>
  <c r="AD263" i="1"/>
  <c r="AC263" i="1"/>
  <c r="AB263" i="1"/>
  <c r="AA263" i="1"/>
  <c r="Y263" i="1"/>
  <c r="Z263" i="1" s="1"/>
  <c r="X263" i="1"/>
  <c r="AE262" i="1"/>
  <c r="AD262" i="1"/>
  <c r="AC262" i="1"/>
  <c r="AB262" i="1"/>
  <c r="AA262" i="1"/>
  <c r="Y262" i="1"/>
  <c r="Z262" i="1" s="1"/>
  <c r="X262" i="1"/>
  <c r="AE261" i="1"/>
  <c r="AD261" i="1"/>
  <c r="AC261" i="1"/>
  <c r="AB261" i="1"/>
  <c r="AA261" i="1"/>
  <c r="Y261" i="1"/>
  <c r="Z261" i="1" s="1"/>
  <c r="X261" i="1"/>
  <c r="AE260" i="1"/>
  <c r="AD260" i="1"/>
  <c r="AC260" i="1"/>
  <c r="AB260" i="1"/>
  <c r="AA260" i="1"/>
  <c r="Y260" i="1"/>
  <c r="Z260" i="1" s="1"/>
  <c r="X260" i="1"/>
  <c r="AE259" i="1"/>
  <c r="AD259" i="1"/>
  <c r="AC259" i="1"/>
  <c r="AB259" i="1"/>
  <c r="AA259" i="1"/>
  <c r="Y259" i="1"/>
  <c r="Z259" i="1" s="1"/>
  <c r="X259" i="1"/>
  <c r="AE258" i="1"/>
  <c r="AD258" i="1"/>
  <c r="AC258" i="1"/>
  <c r="AB258" i="1"/>
  <c r="AA258" i="1"/>
  <c r="Y258" i="1"/>
  <c r="Z258" i="1" s="1"/>
  <c r="X258" i="1"/>
  <c r="AE257" i="1"/>
  <c r="AD257" i="1"/>
  <c r="AC257" i="1"/>
  <c r="AB257" i="1"/>
  <c r="AA257" i="1"/>
  <c r="Y257" i="1"/>
  <c r="Z257" i="1" s="1"/>
  <c r="X257" i="1"/>
  <c r="AE256" i="1"/>
  <c r="AD256" i="1"/>
  <c r="AC256" i="1"/>
  <c r="AB256" i="1"/>
  <c r="AA256" i="1"/>
  <c r="Y256" i="1"/>
  <c r="Z256" i="1" s="1"/>
  <c r="X256" i="1"/>
  <c r="AE255" i="1"/>
  <c r="AD255" i="1"/>
  <c r="AC255" i="1"/>
  <c r="AB255" i="1"/>
  <c r="AA255" i="1"/>
  <c r="Y255" i="1"/>
  <c r="Z255" i="1" s="1"/>
  <c r="X255" i="1"/>
  <c r="AE254" i="1"/>
  <c r="AD254" i="1"/>
  <c r="AC254" i="1"/>
  <c r="AB254" i="1"/>
  <c r="AA254" i="1"/>
  <c r="Y254" i="1"/>
  <c r="Z254" i="1" s="1"/>
  <c r="X254" i="1"/>
  <c r="AE253" i="1"/>
  <c r="AD253" i="1"/>
  <c r="AC253" i="1"/>
  <c r="AB253" i="1"/>
  <c r="AA253" i="1"/>
  <c r="Y253" i="1"/>
  <c r="Z253" i="1" s="1"/>
  <c r="X253" i="1"/>
  <c r="AE252" i="1"/>
  <c r="AD252" i="1"/>
  <c r="AC252" i="1"/>
  <c r="AB252" i="1"/>
  <c r="AA252" i="1"/>
  <c r="Y252" i="1"/>
  <c r="Z252" i="1" s="1"/>
  <c r="X252" i="1"/>
  <c r="AE251" i="1"/>
  <c r="AD251" i="1"/>
  <c r="AC251" i="1"/>
  <c r="AB251" i="1"/>
  <c r="AA251" i="1"/>
  <c r="Y251" i="1"/>
  <c r="Z251" i="1" s="1"/>
  <c r="X251" i="1"/>
  <c r="AE250" i="1"/>
  <c r="AD250" i="1"/>
  <c r="AC250" i="1"/>
  <c r="AB250" i="1"/>
  <c r="AA250" i="1"/>
  <c r="Y250" i="1"/>
  <c r="Z250" i="1" s="1"/>
  <c r="X250" i="1"/>
  <c r="AE249" i="1"/>
  <c r="AD249" i="1"/>
  <c r="AC249" i="1"/>
  <c r="AB249" i="1"/>
  <c r="AA249" i="1"/>
  <c r="Y249" i="1"/>
  <c r="Z249" i="1" s="1"/>
  <c r="X249" i="1"/>
  <c r="AE248" i="1"/>
  <c r="AD248" i="1"/>
  <c r="AC248" i="1"/>
  <c r="AB248" i="1"/>
  <c r="AA248" i="1"/>
  <c r="Y248" i="1"/>
  <c r="Z248" i="1" s="1"/>
  <c r="X248" i="1"/>
  <c r="AE247" i="1"/>
  <c r="AD247" i="1"/>
  <c r="AC247" i="1"/>
  <c r="AB247" i="1"/>
  <c r="AA247" i="1"/>
  <c r="Y247" i="1"/>
  <c r="Z247" i="1" s="1"/>
  <c r="X247" i="1"/>
  <c r="AE246" i="1"/>
  <c r="AD246" i="1"/>
  <c r="AC246" i="1"/>
  <c r="AB246" i="1"/>
  <c r="AA246" i="1"/>
  <c r="Y246" i="1"/>
  <c r="Z246" i="1" s="1"/>
  <c r="X246" i="1"/>
  <c r="AE245" i="1"/>
  <c r="AD245" i="1"/>
  <c r="AC245" i="1"/>
  <c r="AB245" i="1"/>
  <c r="AA245" i="1"/>
  <c r="Y245" i="1"/>
  <c r="Z245" i="1" s="1"/>
  <c r="X245" i="1"/>
  <c r="AE244" i="1"/>
  <c r="AD244" i="1"/>
  <c r="AC244" i="1"/>
  <c r="AB244" i="1"/>
  <c r="AA244" i="1"/>
  <c r="Y244" i="1"/>
  <c r="Z244" i="1" s="1"/>
  <c r="X244" i="1"/>
  <c r="AE243" i="1"/>
  <c r="AD243" i="1"/>
  <c r="AC243" i="1"/>
  <c r="AB243" i="1"/>
  <c r="AA243" i="1"/>
  <c r="Y243" i="1"/>
  <c r="Z243" i="1" s="1"/>
  <c r="X243" i="1"/>
  <c r="AE242" i="1"/>
  <c r="AD242" i="1"/>
  <c r="AC242" i="1"/>
  <c r="AB242" i="1"/>
  <c r="AA242" i="1"/>
  <c r="Y242" i="1"/>
  <c r="Z242" i="1" s="1"/>
  <c r="X242" i="1"/>
  <c r="AE241" i="1"/>
  <c r="AD241" i="1"/>
  <c r="AC241" i="1"/>
  <c r="AB241" i="1"/>
  <c r="AA241" i="1"/>
  <c r="Y241" i="1"/>
  <c r="Z241" i="1" s="1"/>
  <c r="X241" i="1"/>
  <c r="AE240" i="1"/>
  <c r="AD240" i="1"/>
  <c r="AC240" i="1"/>
  <c r="AB240" i="1"/>
  <c r="AA240" i="1"/>
  <c r="Y240" i="1"/>
  <c r="Z240" i="1" s="1"/>
  <c r="X240" i="1"/>
  <c r="AE239" i="1"/>
  <c r="AD239" i="1"/>
  <c r="AC239" i="1"/>
  <c r="AB239" i="1"/>
  <c r="AA239" i="1"/>
  <c r="Y239" i="1"/>
  <c r="Z239" i="1" s="1"/>
  <c r="X239" i="1"/>
  <c r="AE238" i="1"/>
  <c r="AD238" i="1"/>
  <c r="AC238" i="1"/>
  <c r="AB238" i="1"/>
  <c r="AA238" i="1"/>
  <c r="Y238" i="1"/>
  <c r="Z238" i="1" s="1"/>
  <c r="X238" i="1"/>
  <c r="AE237" i="1"/>
  <c r="AD237" i="1"/>
  <c r="AC237" i="1"/>
  <c r="AB237" i="1"/>
  <c r="AA237" i="1"/>
  <c r="Y237" i="1"/>
  <c r="Z237" i="1" s="1"/>
  <c r="X237" i="1"/>
  <c r="AE236" i="1"/>
  <c r="AD236" i="1"/>
  <c r="AC236" i="1"/>
  <c r="AB236" i="1"/>
  <c r="AA236" i="1"/>
  <c r="Y236" i="1"/>
  <c r="Z236" i="1" s="1"/>
  <c r="X236" i="1"/>
  <c r="AE235" i="1"/>
  <c r="AD235" i="1"/>
  <c r="AC235" i="1"/>
  <c r="AB235" i="1"/>
  <c r="AA235" i="1"/>
  <c r="Y235" i="1"/>
  <c r="Z235" i="1" s="1"/>
  <c r="X235" i="1"/>
  <c r="AE234" i="1"/>
  <c r="AD234" i="1"/>
  <c r="AC234" i="1"/>
  <c r="AB234" i="1"/>
  <c r="AA234" i="1"/>
  <c r="Y234" i="1"/>
  <c r="Z234" i="1" s="1"/>
  <c r="X234" i="1"/>
  <c r="AE233" i="1"/>
  <c r="AD233" i="1"/>
  <c r="AC233" i="1"/>
  <c r="AB233" i="1"/>
  <c r="AA233" i="1"/>
  <c r="Y233" i="1"/>
  <c r="Z233" i="1" s="1"/>
  <c r="X233" i="1"/>
  <c r="AE232" i="1"/>
  <c r="AD232" i="1"/>
  <c r="AC232" i="1"/>
  <c r="AB232" i="1"/>
  <c r="AA232" i="1"/>
  <c r="Y232" i="1"/>
  <c r="Z232" i="1" s="1"/>
  <c r="X232" i="1"/>
  <c r="AE231" i="1"/>
  <c r="AD231" i="1"/>
  <c r="AC231" i="1"/>
  <c r="AB231" i="1"/>
  <c r="AA231" i="1"/>
  <c r="Y231" i="1"/>
  <c r="Z231" i="1" s="1"/>
  <c r="X231" i="1"/>
  <c r="AE230" i="1"/>
  <c r="AD230" i="1"/>
  <c r="AC230" i="1"/>
  <c r="AB230" i="1"/>
  <c r="AA230" i="1"/>
  <c r="Y230" i="1"/>
  <c r="Z230" i="1" s="1"/>
  <c r="X230" i="1"/>
  <c r="AE229" i="1"/>
  <c r="AD229" i="1"/>
  <c r="AC229" i="1"/>
  <c r="AB229" i="1"/>
  <c r="AA229" i="1"/>
  <c r="Y229" i="1"/>
  <c r="Z229" i="1" s="1"/>
  <c r="X229" i="1"/>
  <c r="AE228" i="1"/>
  <c r="AD228" i="1"/>
  <c r="AC228" i="1"/>
  <c r="AB228" i="1"/>
  <c r="AA228" i="1"/>
  <c r="Y228" i="1"/>
  <c r="Z228" i="1" s="1"/>
  <c r="X228" i="1"/>
  <c r="AE227" i="1"/>
  <c r="AD227" i="1"/>
  <c r="AC227" i="1"/>
  <c r="AB227" i="1"/>
  <c r="AA227" i="1"/>
  <c r="Y227" i="1"/>
  <c r="Z227" i="1" s="1"/>
  <c r="X227" i="1"/>
  <c r="AE226" i="1"/>
  <c r="AD226" i="1"/>
  <c r="AC226" i="1"/>
  <c r="AB226" i="1"/>
  <c r="AA226" i="1"/>
  <c r="Y226" i="1"/>
  <c r="Z226" i="1" s="1"/>
  <c r="X226" i="1"/>
  <c r="AE225" i="1"/>
  <c r="AD225" i="1"/>
  <c r="AC225" i="1"/>
  <c r="AB225" i="1"/>
  <c r="AA225" i="1"/>
  <c r="Y225" i="1"/>
  <c r="Z225" i="1" s="1"/>
  <c r="X225" i="1"/>
  <c r="AE224" i="1"/>
  <c r="AD224" i="1"/>
  <c r="AC224" i="1"/>
  <c r="AB224" i="1"/>
  <c r="AA224" i="1"/>
  <c r="Y224" i="1"/>
  <c r="Z224" i="1" s="1"/>
  <c r="X224" i="1"/>
  <c r="AE223" i="1"/>
  <c r="AD223" i="1"/>
  <c r="AC223" i="1"/>
  <c r="AB223" i="1"/>
  <c r="AA223" i="1"/>
  <c r="Y223" i="1"/>
  <c r="Z223" i="1" s="1"/>
  <c r="X223" i="1"/>
  <c r="AE222" i="1"/>
  <c r="AD222" i="1"/>
  <c r="AC222" i="1"/>
  <c r="AB222" i="1"/>
  <c r="AA222" i="1"/>
  <c r="Y222" i="1"/>
  <c r="Z222" i="1" s="1"/>
  <c r="X222" i="1"/>
  <c r="AE221" i="1"/>
  <c r="AD221" i="1"/>
  <c r="AC221" i="1"/>
  <c r="AB221" i="1"/>
  <c r="AA221" i="1"/>
  <c r="Y221" i="1"/>
  <c r="Z221" i="1" s="1"/>
  <c r="X221" i="1"/>
  <c r="AE220" i="1"/>
  <c r="AD220" i="1"/>
  <c r="AC220" i="1"/>
  <c r="AB220" i="1"/>
  <c r="AA220" i="1"/>
  <c r="Y220" i="1"/>
  <c r="Z220" i="1" s="1"/>
  <c r="X220" i="1"/>
  <c r="AE219" i="1"/>
  <c r="AD219" i="1"/>
  <c r="AC219" i="1"/>
  <c r="AB219" i="1"/>
  <c r="AA219" i="1"/>
  <c r="Y219" i="1"/>
  <c r="Z219" i="1" s="1"/>
  <c r="X219" i="1"/>
  <c r="AE218" i="1"/>
  <c r="AD218" i="1"/>
  <c r="AC218" i="1"/>
  <c r="AB218" i="1"/>
  <c r="AA218" i="1"/>
  <c r="Y218" i="1"/>
  <c r="Z218" i="1" s="1"/>
  <c r="X218" i="1"/>
  <c r="AE217" i="1"/>
  <c r="AD217" i="1"/>
  <c r="AC217" i="1"/>
  <c r="AB217" i="1"/>
  <c r="AA217" i="1"/>
  <c r="Y217" i="1"/>
  <c r="Z217" i="1" s="1"/>
  <c r="X217" i="1"/>
  <c r="AE216" i="1"/>
  <c r="AD216" i="1"/>
  <c r="AC216" i="1"/>
  <c r="AB216" i="1"/>
  <c r="AA216" i="1"/>
  <c r="Y216" i="1"/>
  <c r="Z216" i="1" s="1"/>
  <c r="X216" i="1"/>
  <c r="AE215" i="1"/>
  <c r="AD215" i="1"/>
  <c r="AC215" i="1"/>
  <c r="AB215" i="1"/>
  <c r="AA215" i="1"/>
  <c r="Y215" i="1"/>
  <c r="Z215" i="1" s="1"/>
  <c r="X215" i="1"/>
  <c r="AE214" i="1"/>
  <c r="AD214" i="1"/>
  <c r="AC214" i="1"/>
  <c r="AB214" i="1"/>
  <c r="AA214" i="1"/>
  <c r="Y214" i="1"/>
  <c r="Z214" i="1" s="1"/>
  <c r="X214" i="1"/>
  <c r="AE213" i="1"/>
  <c r="AD213" i="1"/>
  <c r="AC213" i="1"/>
  <c r="AB213" i="1"/>
  <c r="AA213" i="1"/>
  <c r="Y213" i="1"/>
  <c r="Z213" i="1" s="1"/>
  <c r="X213" i="1"/>
  <c r="AE212" i="1"/>
  <c r="AD212" i="1"/>
  <c r="AC212" i="1"/>
  <c r="AB212" i="1"/>
  <c r="AA212" i="1"/>
  <c r="Y212" i="1"/>
  <c r="Z212" i="1" s="1"/>
  <c r="X212" i="1"/>
  <c r="AE211" i="1"/>
  <c r="AD211" i="1"/>
  <c r="AC211" i="1"/>
  <c r="AB211" i="1"/>
  <c r="AA211" i="1"/>
  <c r="Y211" i="1"/>
  <c r="Z211" i="1" s="1"/>
  <c r="X211" i="1"/>
  <c r="AE210" i="1"/>
  <c r="AD210" i="1"/>
  <c r="AC210" i="1"/>
  <c r="AB210" i="1"/>
  <c r="AA210" i="1"/>
  <c r="Y210" i="1"/>
  <c r="Z210" i="1" s="1"/>
  <c r="X210" i="1"/>
  <c r="AE209" i="1"/>
  <c r="AD209" i="1"/>
  <c r="AC209" i="1"/>
  <c r="AB209" i="1"/>
  <c r="AA209" i="1"/>
  <c r="Y209" i="1"/>
  <c r="Z209" i="1" s="1"/>
  <c r="X209" i="1"/>
  <c r="AE208" i="1"/>
  <c r="AD208" i="1"/>
  <c r="AC208" i="1"/>
  <c r="AB208" i="1"/>
  <c r="AA208" i="1"/>
  <c r="Y208" i="1"/>
  <c r="Z208" i="1" s="1"/>
  <c r="X208" i="1"/>
  <c r="AE207" i="1"/>
  <c r="AD207" i="1"/>
  <c r="AC207" i="1"/>
  <c r="AB207" i="1"/>
  <c r="AA207" i="1"/>
  <c r="Y207" i="1"/>
  <c r="Z207" i="1" s="1"/>
  <c r="X207" i="1"/>
  <c r="AE206" i="1"/>
  <c r="AD206" i="1"/>
  <c r="AC206" i="1"/>
  <c r="AB206" i="1"/>
  <c r="AA206" i="1"/>
  <c r="Y206" i="1"/>
  <c r="Z206" i="1" s="1"/>
  <c r="X206" i="1"/>
  <c r="AE205" i="1"/>
  <c r="AD205" i="1"/>
  <c r="AC205" i="1"/>
  <c r="AB205" i="1"/>
  <c r="AA205" i="1"/>
  <c r="Y205" i="1"/>
  <c r="Z205" i="1" s="1"/>
  <c r="X205" i="1"/>
  <c r="AE204" i="1"/>
  <c r="AD204" i="1"/>
  <c r="AC204" i="1"/>
  <c r="AB204" i="1"/>
  <c r="AA204" i="1"/>
  <c r="Y204" i="1"/>
  <c r="Z204" i="1" s="1"/>
  <c r="X204" i="1"/>
  <c r="AE203" i="1"/>
  <c r="AD203" i="1"/>
  <c r="AC203" i="1"/>
  <c r="AB203" i="1"/>
  <c r="AA203" i="1"/>
  <c r="Y203" i="1"/>
  <c r="Z203" i="1" s="1"/>
  <c r="X203" i="1"/>
  <c r="AE202" i="1"/>
  <c r="AD202" i="1"/>
  <c r="AC202" i="1"/>
  <c r="AB202" i="1"/>
  <c r="AA202" i="1"/>
  <c r="Y202" i="1"/>
  <c r="Z202" i="1" s="1"/>
  <c r="X202" i="1"/>
  <c r="AE201" i="1"/>
  <c r="AD201" i="1"/>
  <c r="AC201" i="1"/>
  <c r="AB201" i="1"/>
  <c r="AA201" i="1"/>
  <c r="Y201" i="1"/>
  <c r="Z201" i="1" s="1"/>
  <c r="X201" i="1"/>
  <c r="AE200" i="1"/>
  <c r="AD200" i="1"/>
  <c r="AC200" i="1"/>
  <c r="AB200" i="1"/>
  <c r="AA200" i="1"/>
  <c r="Y200" i="1"/>
  <c r="Z200" i="1" s="1"/>
  <c r="X200" i="1"/>
  <c r="AE199" i="1"/>
  <c r="AD199" i="1"/>
  <c r="AC199" i="1"/>
  <c r="AB199" i="1"/>
  <c r="AA199" i="1"/>
  <c r="Y199" i="1"/>
  <c r="Z199" i="1" s="1"/>
  <c r="X199" i="1"/>
  <c r="AE198" i="1"/>
  <c r="AD198" i="1"/>
  <c r="AC198" i="1"/>
  <c r="AB198" i="1"/>
  <c r="AA198" i="1"/>
  <c r="Y198" i="1"/>
  <c r="Z198" i="1" s="1"/>
  <c r="X198" i="1"/>
  <c r="AE197" i="1"/>
  <c r="AD197" i="1"/>
  <c r="AC197" i="1"/>
  <c r="AB197" i="1"/>
  <c r="AA197" i="1"/>
  <c r="Y197" i="1"/>
  <c r="Z197" i="1" s="1"/>
  <c r="X197" i="1"/>
  <c r="AE196" i="1"/>
  <c r="AD196" i="1"/>
  <c r="AC196" i="1"/>
  <c r="AB196" i="1"/>
  <c r="AA196" i="1"/>
  <c r="Y196" i="1"/>
  <c r="Z196" i="1" s="1"/>
  <c r="X196" i="1"/>
  <c r="AE195" i="1"/>
  <c r="AD195" i="1"/>
  <c r="AC195" i="1"/>
  <c r="AB195" i="1"/>
  <c r="AA195" i="1"/>
  <c r="Y195" i="1"/>
  <c r="Z195" i="1" s="1"/>
  <c r="X195" i="1"/>
  <c r="AE194" i="1"/>
  <c r="AD194" i="1"/>
  <c r="AC194" i="1"/>
  <c r="AB194" i="1"/>
  <c r="AA194" i="1"/>
  <c r="Y194" i="1"/>
  <c r="Z194" i="1" s="1"/>
  <c r="X194" i="1"/>
  <c r="AE193" i="1"/>
  <c r="AD193" i="1"/>
  <c r="AC193" i="1"/>
  <c r="AB193" i="1"/>
  <c r="AA193" i="1"/>
  <c r="Y193" i="1"/>
  <c r="Z193" i="1" s="1"/>
  <c r="X193" i="1"/>
  <c r="AE192" i="1"/>
  <c r="AD192" i="1"/>
  <c r="AC192" i="1"/>
  <c r="AB192" i="1"/>
  <c r="AA192" i="1"/>
  <c r="Y192" i="1"/>
  <c r="Z192" i="1" s="1"/>
  <c r="X192" i="1"/>
  <c r="AE191" i="1"/>
  <c r="AD191" i="1"/>
  <c r="AC191" i="1"/>
  <c r="AB191" i="1"/>
  <c r="AA191" i="1"/>
  <c r="Y191" i="1"/>
  <c r="Z191" i="1" s="1"/>
  <c r="X191" i="1"/>
  <c r="AE190" i="1"/>
  <c r="AD190" i="1"/>
  <c r="AC190" i="1"/>
  <c r="AB190" i="1"/>
  <c r="AA190" i="1"/>
  <c r="Y190" i="1"/>
  <c r="Z190" i="1" s="1"/>
  <c r="X190" i="1"/>
  <c r="AE189" i="1"/>
  <c r="AD189" i="1"/>
  <c r="AC189" i="1"/>
  <c r="AB189" i="1"/>
  <c r="AA189" i="1"/>
  <c r="Y189" i="1"/>
  <c r="Z189" i="1" s="1"/>
  <c r="X189" i="1"/>
  <c r="AE188" i="1"/>
  <c r="AD188" i="1"/>
  <c r="AC188" i="1"/>
  <c r="AB188" i="1"/>
  <c r="AA188" i="1"/>
  <c r="Y188" i="1"/>
  <c r="Z188" i="1" s="1"/>
  <c r="X188" i="1"/>
  <c r="AE187" i="1"/>
  <c r="AD187" i="1"/>
  <c r="AC187" i="1"/>
  <c r="AB187" i="1"/>
  <c r="AA187" i="1"/>
  <c r="Y187" i="1"/>
  <c r="Z187" i="1" s="1"/>
  <c r="X187" i="1"/>
  <c r="AE186" i="1"/>
  <c r="AD186" i="1"/>
  <c r="AC186" i="1"/>
  <c r="AB186" i="1"/>
  <c r="AA186" i="1"/>
  <c r="Y186" i="1"/>
  <c r="Z186" i="1" s="1"/>
  <c r="X186" i="1"/>
  <c r="AE185" i="1"/>
  <c r="AD185" i="1"/>
  <c r="AC185" i="1"/>
  <c r="AB185" i="1"/>
  <c r="AA185" i="1"/>
  <c r="Y185" i="1"/>
  <c r="Z185" i="1" s="1"/>
  <c r="X185" i="1"/>
  <c r="AE184" i="1"/>
  <c r="AD184" i="1"/>
  <c r="AC184" i="1"/>
  <c r="AB184" i="1"/>
  <c r="AA184" i="1"/>
  <c r="Y184" i="1"/>
  <c r="Z184" i="1" s="1"/>
  <c r="X184" i="1"/>
  <c r="AE183" i="1"/>
  <c r="AD183" i="1"/>
  <c r="AC183" i="1"/>
  <c r="AB183" i="1"/>
  <c r="AA183" i="1"/>
  <c r="Y183" i="1"/>
  <c r="Z183" i="1" s="1"/>
  <c r="X183" i="1"/>
  <c r="AE182" i="1"/>
  <c r="AD182" i="1"/>
  <c r="AC182" i="1"/>
  <c r="AB182" i="1"/>
  <c r="AA182" i="1"/>
  <c r="Y182" i="1"/>
  <c r="Z182" i="1" s="1"/>
  <c r="X182" i="1"/>
  <c r="AE181" i="1"/>
  <c r="AD181" i="1"/>
  <c r="AC181" i="1"/>
  <c r="AB181" i="1"/>
  <c r="AA181" i="1"/>
  <c r="Y181" i="1"/>
  <c r="Z181" i="1" s="1"/>
  <c r="X181" i="1"/>
  <c r="AE180" i="1"/>
  <c r="AD180" i="1"/>
  <c r="AC180" i="1"/>
  <c r="AB180" i="1"/>
  <c r="AA180" i="1"/>
  <c r="Y180" i="1"/>
  <c r="Z180" i="1" s="1"/>
  <c r="X180" i="1"/>
  <c r="AE179" i="1"/>
  <c r="AD179" i="1"/>
  <c r="AC179" i="1"/>
  <c r="AB179" i="1"/>
  <c r="AA179" i="1"/>
  <c r="Y179" i="1"/>
  <c r="Z179" i="1" s="1"/>
  <c r="X179" i="1"/>
  <c r="AE178" i="1"/>
  <c r="AD178" i="1"/>
  <c r="AC178" i="1"/>
  <c r="AB178" i="1"/>
  <c r="AA178" i="1"/>
  <c r="Y178" i="1"/>
  <c r="Z178" i="1" s="1"/>
  <c r="X178" i="1"/>
  <c r="AE177" i="1"/>
  <c r="AD177" i="1"/>
  <c r="AC177" i="1"/>
  <c r="AB177" i="1"/>
  <c r="AA177" i="1"/>
  <c r="Y177" i="1"/>
  <c r="Z177" i="1" s="1"/>
  <c r="X177" i="1"/>
  <c r="AE176" i="1"/>
  <c r="AD176" i="1"/>
  <c r="AC176" i="1"/>
  <c r="AB176" i="1"/>
  <c r="AA176" i="1"/>
  <c r="Y176" i="1"/>
  <c r="Z176" i="1" s="1"/>
  <c r="X176" i="1"/>
  <c r="AE175" i="1"/>
  <c r="AD175" i="1"/>
  <c r="AC175" i="1"/>
  <c r="AB175" i="1"/>
  <c r="AA175" i="1"/>
  <c r="Y175" i="1"/>
  <c r="Z175" i="1" s="1"/>
  <c r="X175" i="1"/>
  <c r="AE174" i="1"/>
  <c r="AD174" i="1"/>
  <c r="AC174" i="1"/>
  <c r="AB174" i="1"/>
  <c r="AA174" i="1"/>
  <c r="Y174" i="1"/>
  <c r="Z174" i="1" s="1"/>
  <c r="X174" i="1"/>
  <c r="AE173" i="1"/>
  <c r="AD173" i="1"/>
  <c r="AC173" i="1"/>
  <c r="AB173" i="1"/>
  <c r="AA173" i="1"/>
  <c r="Y173" i="1"/>
  <c r="Z173" i="1" s="1"/>
  <c r="X173" i="1"/>
  <c r="AE172" i="1"/>
  <c r="AD172" i="1"/>
  <c r="AC172" i="1"/>
  <c r="AB172" i="1"/>
  <c r="AA172" i="1"/>
  <c r="Y172" i="1"/>
  <c r="Z172" i="1" s="1"/>
  <c r="X172" i="1"/>
  <c r="AE171" i="1"/>
  <c r="AD171" i="1"/>
  <c r="AC171" i="1"/>
  <c r="AB171" i="1"/>
  <c r="AA171" i="1"/>
  <c r="Y171" i="1"/>
  <c r="Z171" i="1" s="1"/>
  <c r="X171" i="1"/>
  <c r="AE170" i="1"/>
  <c r="AD170" i="1"/>
  <c r="AC170" i="1"/>
  <c r="AB170" i="1"/>
  <c r="AA170" i="1"/>
  <c r="Y170" i="1"/>
  <c r="Z170" i="1" s="1"/>
  <c r="X170" i="1"/>
  <c r="AE169" i="1"/>
  <c r="AD169" i="1"/>
  <c r="AC169" i="1"/>
  <c r="AB169" i="1"/>
  <c r="AA169" i="1"/>
  <c r="Y169" i="1"/>
  <c r="Z169" i="1" s="1"/>
  <c r="X169" i="1"/>
  <c r="AE168" i="1"/>
  <c r="AD168" i="1"/>
  <c r="AC168" i="1"/>
  <c r="AB168" i="1"/>
  <c r="AA168" i="1"/>
  <c r="Y168" i="1"/>
  <c r="Z168" i="1" s="1"/>
  <c r="X168" i="1"/>
  <c r="AE167" i="1"/>
  <c r="AD167" i="1"/>
  <c r="AC167" i="1"/>
  <c r="AB167" i="1"/>
  <c r="AA167" i="1"/>
  <c r="Y167" i="1"/>
  <c r="Z167" i="1" s="1"/>
  <c r="X167" i="1"/>
  <c r="AE166" i="1"/>
  <c r="AD166" i="1"/>
  <c r="AC166" i="1"/>
  <c r="AB166" i="1"/>
  <c r="AA166" i="1"/>
  <c r="Y166" i="1"/>
  <c r="Z166" i="1" s="1"/>
  <c r="X166" i="1"/>
  <c r="AE165" i="1"/>
  <c r="AD165" i="1"/>
  <c r="AC165" i="1"/>
  <c r="AB165" i="1"/>
  <c r="AA165" i="1"/>
  <c r="Y165" i="1"/>
  <c r="Z165" i="1" s="1"/>
  <c r="X165" i="1"/>
  <c r="AE164" i="1"/>
  <c r="AD164" i="1"/>
  <c r="AC164" i="1"/>
  <c r="AB164" i="1"/>
  <c r="AA164" i="1"/>
  <c r="Y164" i="1"/>
  <c r="Z164" i="1" s="1"/>
  <c r="X164" i="1"/>
  <c r="AE163" i="1"/>
  <c r="AD163" i="1"/>
  <c r="AC163" i="1"/>
  <c r="AB163" i="1"/>
  <c r="AA163" i="1"/>
  <c r="Y163" i="1"/>
  <c r="Z163" i="1" s="1"/>
  <c r="X163" i="1"/>
  <c r="AE162" i="1"/>
  <c r="AD162" i="1"/>
  <c r="AC162" i="1"/>
  <c r="AB162" i="1"/>
  <c r="AA162" i="1"/>
  <c r="Y162" i="1"/>
  <c r="Z162" i="1" s="1"/>
  <c r="X162" i="1"/>
  <c r="AE161" i="1"/>
  <c r="AD161" i="1"/>
  <c r="AC161" i="1"/>
  <c r="AB161" i="1"/>
  <c r="AA161" i="1"/>
  <c r="Y161" i="1"/>
  <c r="Z161" i="1" s="1"/>
  <c r="X161" i="1"/>
  <c r="AE160" i="1"/>
  <c r="AD160" i="1"/>
  <c r="AC160" i="1"/>
  <c r="AB160" i="1"/>
  <c r="AA160" i="1"/>
  <c r="Y160" i="1"/>
  <c r="Z160" i="1" s="1"/>
  <c r="X160" i="1"/>
  <c r="AE159" i="1"/>
  <c r="AD159" i="1"/>
  <c r="AC159" i="1"/>
  <c r="AB159" i="1"/>
  <c r="AA159" i="1"/>
  <c r="Y159" i="1"/>
  <c r="Z159" i="1" s="1"/>
  <c r="X159" i="1"/>
  <c r="AE158" i="1"/>
  <c r="AD158" i="1"/>
  <c r="AC158" i="1"/>
  <c r="AB158" i="1"/>
  <c r="AA158" i="1"/>
  <c r="Y158" i="1"/>
  <c r="Z158" i="1" s="1"/>
  <c r="X158" i="1"/>
  <c r="AE157" i="1"/>
  <c r="AD157" i="1"/>
  <c r="AC157" i="1"/>
  <c r="AB157" i="1"/>
  <c r="AA157" i="1"/>
  <c r="Y157" i="1"/>
  <c r="Z157" i="1" s="1"/>
  <c r="X157" i="1"/>
  <c r="AE156" i="1"/>
  <c r="AD156" i="1"/>
  <c r="AC156" i="1"/>
  <c r="AB156" i="1"/>
  <c r="AA156" i="1"/>
  <c r="Y156" i="1"/>
  <c r="Z156" i="1" s="1"/>
  <c r="X156" i="1"/>
  <c r="AE155" i="1"/>
  <c r="AD155" i="1"/>
  <c r="AC155" i="1"/>
  <c r="AB155" i="1"/>
  <c r="AA155" i="1"/>
  <c r="Y155" i="1"/>
  <c r="Z155" i="1" s="1"/>
  <c r="X155" i="1"/>
  <c r="AE154" i="1"/>
  <c r="AD154" i="1"/>
  <c r="AC154" i="1"/>
  <c r="AB154" i="1"/>
  <c r="AA154" i="1"/>
  <c r="Y154" i="1"/>
  <c r="Z154" i="1" s="1"/>
  <c r="X154" i="1"/>
  <c r="AE153" i="1"/>
  <c r="AD153" i="1"/>
  <c r="AC153" i="1"/>
  <c r="AB153" i="1"/>
  <c r="AA153" i="1"/>
  <c r="Y153" i="1"/>
  <c r="Z153" i="1" s="1"/>
  <c r="X153" i="1"/>
  <c r="AE152" i="1"/>
  <c r="AD152" i="1"/>
  <c r="AC152" i="1"/>
  <c r="AB152" i="1"/>
  <c r="AA152" i="1"/>
  <c r="Y152" i="1"/>
  <c r="Z152" i="1" s="1"/>
  <c r="X152" i="1"/>
  <c r="AE151" i="1"/>
  <c r="AD151" i="1"/>
  <c r="AC151" i="1"/>
  <c r="AB151" i="1"/>
  <c r="AA151" i="1"/>
  <c r="Y151" i="1"/>
  <c r="Z151" i="1" s="1"/>
  <c r="X151" i="1"/>
  <c r="AE150" i="1"/>
  <c r="AD150" i="1"/>
  <c r="AC150" i="1"/>
  <c r="AB150" i="1"/>
  <c r="AA150" i="1"/>
  <c r="Y150" i="1"/>
  <c r="Z150" i="1" s="1"/>
  <c r="X150" i="1"/>
  <c r="AE149" i="1"/>
  <c r="AD149" i="1"/>
  <c r="AC149" i="1"/>
  <c r="AB149" i="1"/>
  <c r="AA149" i="1"/>
  <c r="Y149" i="1"/>
  <c r="Z149" i="1" s="1"/>
  <c r="X149" i="1"/>
  <c r="AE148" i="1"/>
  <c r="AD148" i="1"/>
  <c r="AC148" i="1"/>
  <c r="AB148" i="1"/>
  <c r="AA148" i="1"/>
  <c r="Y148" i="1"/>
  <c r="Z148" i="1" s="1"/>
  <c r="X148" i="1"/>
  <c r="AE147" i="1"/>
  <c r="AD147" i="1"/>
  <c r="AC147" i="1"/>
  <c r="AB147" i="1"/>
  <c r="AA147" i="1"/>
  <c r="Y147" i="1"/>
  <c r="Z147" i="1" s="1"/>
  <c r="X147" i="1"/>
  <c r="AE146" i="1"/>
  <c r="AD146" i="1"/>
  <c r="AC146" i="1"/>
  <c r="AB146" i="1"/>
  <c r="AA146" i="1"/>
  <c r="Y146" i="1"/>
  <c r="Z146" i="1" s="1"/>
  <c r="X146" i="1"/>
  <c r="AE145" i="1"/>
  <c r="AD145" i="1"/>
  <c r="AC145" i="1"/>
  <c r="AB145" i="1"/>
  <c r="AA145" i="1"/>
  <c r="Y145" i="1"/>
  <c r="Z145" i="1" s="1"/>
  <c r="X145" i="1"/>
  <c r="AE144" i="1"/>
  <c r="AD144" i="1"/>
  <c r="AC144" i="1"/>
  <c r="AB144" i="1"/>
  <c r="AA144" i="1"/>
  <c r="Y144" i="1"/>
  <c r="Z144" i="1" s="1"/>
  <c r="X144" i="1"/>
  <c r="AE143" i="1"/>
  <c r="AD143" i="1"/>
  <c r="AC143" i="1"/>
  <c r="AB143" i="1"/>
  <c r="AA143" i="1"/>
  <c r="Y143" i="1"/>
  <c r="Z143" i="1" s="1"/>
  <c r="X143" i="1"/>
  <c r="AE142" i="1"/>
  <c r="AD142" i="1"/>
  <c r="AC142" i="1"/>
  <c r="AB142" i="1"/>
  <c r="AA142" i="1"/>
  <c r="Y142" i="1"/>
  <c r="Z142" i="1" s="1"/>
  <c r="X142" i="1"/>
  <c r="AE141" i="1"/>
  <c r="AD141" i="1"/>
  <c r="AC141" i="1"/>
  <c r="AB141" i="1"/>
  <c r="AA141" i="1"/>
  <c r="Y141" i="1"/>
  <c r="Z141" i="1" s="1"/>
  <c r="X141" i="1"/>
  <c r="AE140" i="1"/>
  <c r="AD140" i="1"/>
  <c r="AC140" i="1"/>
  <c r="AB140" i="1"/>
  <c r="AA140" i="1"/>
  <c r="Y140" i="1"/>
  <c r="Z140" i="1" s="1"/>
  <c r="X140" i="1"/>
  <c r="AE139" i="1"/>
  <c r="AD139" i="1"/>
  <c r="AC139" i="1"/>
  <c r="AB139" i="1"/>
  <c r="AA139" i="1"/>
  <c r="Y139" i="1"/>
  <c r="Z139" i="1" s="1"/>
  <c r="X139" i="1"/>
  <c r="AE138" i="1"/>
  <c r="AD138" i="1"/>
  <c r="AC138" i="1"/>
  <c r="AB138" i="1"/>
  <c r="AA138" i="1"/>
  <c r="Y138" i="1"/>
  <c r="Z138" i="1" s="1"/>
  <c r="X138" i="1"/>
  <c r="AE137" i="1"/>
  <c r="AD137" i="1"/>
  <c r="AC137" i="1"/>
  <c r="AB137" i="1"/>
  <c r="AA137" i="1"/>
  <c r="Y137" i="1"/>
  <c r="Z137" i="1" s="1"/>
  <c r="X137" i="1"/>
  <c r="AE136" i="1"/>
  <c r="AD136" i="1"/>
  <c r="AC136" i="1"/>
  <c r="AB136" i="1"/>
  <c r="AA136" i="1"/>
  <c r="Y136" i="1"/>
  <c r="Z136" i="1" s="1"/>
  <c r="X136" i="1"/>
  <c r="AE135" i="1"/>
  <c r="AD135" i="1"/>
  <c r="AC135" i="1"/>
  <c r="AB135" i="1"/>
  <c r="AA135" i="1"/>
  <c r="Y135" i="1"/>
  <c r="Z135" i="1" s="1"/>
  <c r="X135" i="1"/>
  <c r="AE134" i="1"/>
  <c r="AD134" i="1"/>
  <c r="AC134" i="1"/>
  <c r="AB134" i="1"/>
  <c r="AA134" i="1"/>
  <c r="Y134" i="1"/>
  <c r="Z134" i="1" s="1"/>
  <c r="X134" i="1"/>
  <c r="AE133" i="1"/>
  <c r="AD133" i="1"/>
  <c r="AC133" i="1"/>
  <c r="AB133" i="1"/>
  <c r="AA133" i="1"/>
  <c r="Y133" i="1"/>
  <c r="Z133" i="1" s="1"/>
  <c r="X133" i="1"/>
  <c r="AE132" i="1"/>
  <c r="AD132" i="1"/>
  <c r="AC132" i="1"/>
  <c r="AB132" i="1"/>
  <c r="AA132" i="1"/>
  <c r="Y132" i="1"/>
  <c r="Z132" i="1" s="1"/>
  <c r="X132" i="1"/>
  <c r="AE131" i="1"/>
  <c r="AD131" i="1"/>
  <c r="AC131" i="1"/>
  <c r="AB131" i="1"/>
  <c r="AA131" i="1"/>
  <c r="Y131" i="1"/>
  <c r="Z131" i="1" s="1"/>
  <c r="X131" i="1"/>
  <c r="AE130" i="1"/>
  <c r="AD130" i="1"/>
  <c r="AC130" i="1"/>
  <c r="AB130" i="1"/>
  <c r="AA130" i="1"/>
  <c r="Y130" i="1"/>
  <c r="Z130" i="1" s="1"/>
  <c r="X130" i="1"/>
  <c r="AE129" i="1"/>
  <c r="AD129" i="1"/>
  <c r="AC129" i="1"/>
  <c r="AB129" i="1"/>
  <c r="AA129" i="1"/>
  <c r="Y129" i="1"/>
  <c r="Z129" i="1" s="1"/>
  <c r="X129" i="1"/>
  <c r="AE128" i="1"/>
  <c r="AD128" i="1"/>
  <c r="AC128" i="1"/>
  <c r="AB128" i="1"/>
  <c r="AA128" i="1"/>
  <c r="Y128" i="1"/>
  <c r="Z128" i="1" s="1"/>
  <c r="X128" i="1"/>
  <c r="AE127" i="1"/>
  <c r="AD127" i="1"/>
  <c r="AC127" i="1"/>
  <c r="AB127" i="1"/>
  <c r="AA127" i="1"/>
  <c r="Y127" i="1"/>
  <c r="Z127" i="1" s="1"/>
  <c r="X127" i="1"/>
  <c r="AE126" i="1"/>
  <c r="AD126" i="1"/>
  <c r="AC126" i="1"/>
  <c r="AB126" i="1"/>
  <c r="AA126" i="1"/>
  <c r="Y126" i="1"/>
  <c r="Z126" i="1" s="1"/>
  <c r="X126" i="1"/>
  <c r="AE125" i="1"/>
  <c r="AD125" i="1"/>
  <c r="AC125" i="1"/>
  <c r="AB125" i="1"/>
  <c r="AA125" i="1"/>
  <c r="Y125" i="1"/>
  <c r="Z125" i="1" s="1"/>
  <c r="X125" i="1"/>
  <c r="AE124" i="1"/>
  <c r="AD124" i="1"/>
  <c r="AC124" i="1"/>
  <c r="AB124" i="1"/>
  <c r="AA124" i="1"/>
  <c r="Y124" i="1"/>
  <c r="Z124" i="1" s="1"/>
  <c r="X124" i="1"/>
  <c r="AE123" i="1"/>
  <c r="AD123" i="1"/>
  <c r="AC123" i="1"/>
  <c r="AB123" i="1"/>
  <c r="AA123" i="1"/>
  <c r="Y123" i="1"/>
  <c r="Z123" i="1" s="1"/>
  <c r="X123" i="1"/>
  <c r="AE122" i="1"/>
  <c r="AD122" i="1"/>
  <c r="AC122" i="1"/>
  <c r="AB122" i="1"/>
  <c r="AA122" i="1"/>
  <c r="Y122" i="1"/>
  <c r="Z122" i="1" s="1"/>
  <c r="X122" i="1"/>
  <c r="AE121" i="1"/>
  <c r="AD121" i="1"/>
  <c r="AC121" i="1"/>
  <c r="AB121" i="1"/>
  <c r="AA121" i="1"/>
  <c r="Y121" i="1"/>
  <c r="Z121" i="1" s="1"/>
  <c r="X121" i="1"/>
  <c r="AE120" i="1"/>
  <c r="AD120" i="1"/>
  <c r="AC120" i="1"/>
  <c r="AB120" i="1"/>
  <c r="AA120" i="1"/>
  <c r="Y120" i="1"/>
  <c r="Z120" i="1" s="1"/>
  <c r="X120" i="1"/>
  <c r="AE119" i="1"/>
  <c r="AD119" i="1"/>
  <c r="AC119" i="1"/>
  <c r="AB119" i="1"/>
  <c r="AA119" i="1"/>
  <c r="Y119" i="1"/>
  <c r="Z119" i="1" s="1"/>
  <c r="X119" i="1"/>
  <c r="AE118" i="1"/>
  <c r="AD118" i="1"/>
  <c r="AC118" i="1"/>
  <c r="AB118" i="1"/>
  <c r="AA118" i="1"/>
  <c r="Y118" i="1"/>
  <c r="Z118" i="1" s="1"/>
  <c r="X118" i="1"/>
  <c r="AE117" i="1"/>
  <c r="AD117" i="1"/>
  <c r="AC117" i="1"/>
  <c r="AB117" i="1"/>
  <c r="AA117" i="1"/>
  <c r="Y117" i="1"/>
  <c r="Z117" i="1" s="1"/>
  <c r="X117" i="1"/>
  <c r="AE116" i="1"/>
  <c r="AD116" i="1"/>
  <c r="AC116" i="1"/>
  <c r="AB116" i="1"/>
  <c r="AA116" i="1"/>
  <c r="Y116" i="1"/>
  <c r="Z116" i="1" s="1"/>
  <c r="X116" i="1"/>
  <c r="AE115" i="1"/>
  <c r="AD115" i="1"/>
  <c r="AC115" i="1"/>
  <c r="AB115" i="1"/>
  <c r="AA115" i="1"/>
  <c r="Y115" i="1"/>
  <c r="Z115" i="1" s="1"/>
  <c r="X115" i="1"/>
  <c r="AE114" i="1"/>
  <c r="AD114" i="1"/>
  <c r="AC114" i="1"/>
  <c r="AB114" i="1"/>
  <c r="AA114" i="1"/>
  <c r="Y114" i="1"/>
  <c r="Z114" i="1" s="1"/>
  <c r="X114" i="1"/>
  <c r="AE113" i="1"/>
  <c r="AD113" i="1"/>
  <c r="AC113" i="1"/>
  <c r="AB113" i="1"/>
  <c r="AA113" i="1"/>
  <c r="Y113" i="1"/>
  <c r="Z113" i="1" s="1"/>
  <c r="X113" i="1"/>
  <c r="AE112" i="1"/>
  <c r="AD112" i="1"/>
  <c r="AC112" i="1"/>
  <c r="AB112" i="1"/>
  <c r="AA112" i="1"/>
  <c r="Y112" i="1"/>
  <c r="Z112" i="1" s="1"/>
  <c r="X112" i="1"/>
  <c r="AE111" i="1"/>
  <c r="AD111" i="1"/>
  <c r="AC111" i="1"/>
  <c r="AB111" i="1"/>
  <c r="AA111" i="1"/>
  <c r="Y111" i="1"/>
  <c r="Z111" i="1" s="1"/>
  <c r="X111" i="1"/>
  <c r="AE110" i="1"/>
  <c r="AD110" i="1"/>
  <c r="AC110" i="1"/>
  <c r="AB110" i="1"/>
  <c r="AA110" i="1"/>
  <c r="Y110" i="1"/>
  <c r="Z110" i="1" s="1"/>
  <c r="X110" i="1"/>
  <c r="AE109" i="1"/>
  <c r="AD109" i="1"/>
  <c r="AC109" i="1"/>
  <c r="AB109" i="1"/>
  <c r="AA109" i="1"/>
  <c r="Y109" i="1"/>
  <c r="Z109" i="1" s="1"/>
  <c r="X109" i="1"/>
  <c r="AE108" i="1"/>
  <c r="AD108" i="1"/>
  <c r="AC108" i="1"/>
  <c r="AB108" i="1"/>
  <c r="AA108" i="1"/>
  <c r="Y108" i="1"/>
  <c r="Z108" i="1" s="1"/>
  <c r="X108" i="1"/>
  <c r="AE107" i="1"/>
  <c r="AD107" i="1"/>
  <c r="AC107" i="1"/>
  <c r="AB107" i="1"/>
  <c r="AA107" i="1"/>
  <c r="Y107" i="1"/>
  <c r="Z107" i="1" s="1"/>
  <c r="X107" i="1"/>
  <c r="AE106" i="1"/>
  <c r="AD106" i="1"/>
  <c r="AC106" i="1"/>
  <c r="AB106" i="1"/>
  <c r="AA106" i="1"/>
  <c r="Y106" i="1"/>
  <c r="Z106" i="1" s="1"/>
  <c r="X106" i="1"/>
  <c r="AE105" i="1"/>
  <c r="AD105" i="1"/>
  <c r="AC105" i="1"/>
  <c r="AB105" i="1"/>
  <c r="AA105" i="1"/>
  <c r="Y105" i="1"/>
  <c r="Z105" i="1" s="1"/>
  <c r="X105" i="1"/>
  <c r="AE104" i="1"/>
  <c r="AD104" i="1"/>
  <c r="AC104" i="1"/>
  <c r="AB104" i="1"/>
  <c r="AA104" i="1"/>
  <c r="Y104" i="1"/>
  <c r="Z104" i="1" s="1"/>
  <c r="X104" i="1"/>
  <c r="AE103" i="1"/>
  <c r="AD103" i="1"/>
  <c r="AC103" i="1"/>
  <c r="AB103" i="1"/>
  <c r="AA103" i="1"/>
  <c r="Y103" i="1"/>
  <c r="Z103" i="1" s="1"/>
  <c r="X103" i="1"/>
  <c r="AE102" i="1"/>
  <c r="AD102" i="1"/>
  <c r="AC102" i="1"/>
  <c r="AB102" i="1"/>
  <c r="AA102" i="1"/>
  <c r="Y102" i="1"/>
  <c r="Z102" i="1" s="1"/>
  <c r="X102" i="1"/>
  <c r="AE101" i="1"/>
  <c r="AD101" i="1"/>
  <c r="AC101" i="1"/>
  <c r="AB101" i="1"/>
  <c r="AA101" i="1"/>
  <c r="Y101" i="1"/>
  <c r="Z101" i="1" s="1"/>
  <c r="X101" i="1"/>
  <c r="AE100" i="1"/>
  <c r="AD100" i="1"/>
  <c r="AC100" i="1"/>
  <c r="AB100" i="1"/>
  <c r="AA100" i="1"/>
  <c r="Y100" i="1"/>
  <c r="Z100" i="1" s="1"/>
  <c r="X100" i="1"/>
  <c r="AE99" i="1"/>
  <c r="AD99" i="1"/>
  <c r="AC99" i="1"/>
  <c r="AB99" i="1"/>
  <c r="AA99" i="1"/>
  <c r="Y99" i="1"/>
  <c r="Z99" i="1" s="1"/>
  <c r="X99" i="1"/>
  <c r="AE98" i="1"/>
  <c r="AD98" i="1"/>
  <c r="AC98" i="1"/>
  <c r="AB98" i="1"/>
  <c r="AA98" i="1"/>
  <c r="Y98" i="1"/>
  <c r="Z98" i="1" s="1"/>
  <c r="X98" i="1"/>
  <c r="AE97" i="1"/>
  <c r="AD97" i="1"/>
  <c r="AC97" i="1"/>
  <c r="AB97" i="1"/>
  <c r="AA97" i="1"/>
  <c r="Y97" i="1"/>
  <c r="Z97" i="1" s="1"/>
  <c r="X97" i="1"/>
  <c r="AE96" i="1"/>
  <c r="AD96" i="1"/>
  <c r="AC96" i="1"/>
  <c r="AB96" i="1"/>
  <c r="AA96" i="1"/>
  <c r="Y96" i="1"/>
  <c r="Z96" i="1" s="1"/>
  <c r="X96" i="1"/>
  <c r="AE95" i="1"/>
  <c r="AD95" i="1"/>
  <c r="AC95" i="1"/>
  <c r="AB95" i="1"/>
  <c r="AA95" i="1"/>
  <c r="Y95" i="1"/>
  <c r="Z95" i="1" s="1"/>
  <c r="X95" i="1"/>
  <c r="AE94" i="1"/>
  <c r="AD94" i="1"/>
  <c r="AC94" i="1"/>
  <c r="AB94" i="1"/>
  <c r="AA94" i="1"/>
  <c r="Y94" i="1"/>
  <c r="Z94" i="1" s="1"/>
  <c r="X94" i="1"/>
  <c r="AE93" i="1"/>
  <c r="AD93" i="1"/>
  <c r="AC93" i="1"/>
  <c r="AB93" i="1"/>
  <c r="AA93" i="1"/>
  <c r="Y93" i="1"/>
  <c r="Z93" i="1" s="1"/>
  <c r="X93" i="1"/>
  <c r="AE92" i="1"/>
  <c r="AD92" i="1"/>
  <c r="AC92" i="1"/>
  <c r="AB92" i="1"/>
  <c r="AA92" i="1"/>
  <c r="Y92" i="1"/>
  <c r="Z92" i="1" s="1"/>
  <c r="X92" i="1"/>
  <c r="AE91" i="1"/>
  <c r="AD91" i="1"/>
  <c r="AC91" i="1"/>
  <c r="AB91" i="1"/>
  <c r="AA91" i="1"/>
  <c r="Y91" i="1"/>
  <c r="Z91" i="1" s="1"/>
  <c r="X91" i="1"/>
  <c r="AE90" i="1"/>
  <c r="AD90" i="1"/>
  <c r="AC90" i="1"/>
  <c r="AB90" i="1"/>
  <c r="AA90" i="1"/>
  <c r="Y90" i="1"/>
  <c r="Z90" i="1" s="1"/>
  <c r="X90" i="1"/>
  <c r="AE89" i="1"/>
  <c r="AD89" i="1"/>
  <c r="AC89" i="1"/>
  <c r="AB89" i="1"/>
  <c r="AA89" i="1"/>
  <c r="Y89" i="1"/>
  <c r="Z89" i="1" s="1"/>
  <c r="X89" i="1"/>
  <c r="AE88" i="1"/>
  <c r="AD88" i="1"/>
  <c r="AC88" i="1"/>
  <c r="AB88" i="1"/>
  <c r="AA88" i="1"/>
  <c r="Y88" i="1"/>
  <c r="Z88" i="1" s="1"/>
  <c r="X88" i="1"/>
  <c r="AE87" i="1"/>
  <c r="AD87" i="1"/>
  <c r="AC87" i="1"/>
  <c r="AB87" i="1"/>
  <c r="AA87" i="1"/>
  <c r="Y87" i="1"/>
  <c r="Z87" i="1" s="1"/>
  <c r="X87" i="1"/>
  <c r="AE86" i="1"/>
  <c r="AD86" i="1"/>
  <c r="AC86" i="1"/>
  <c r="AB86" i="1"/>
  <c r="AA86" i="1"/>
  <c r="Y86" i="1"/>
  <c r="Z86" i="1" s="1"/>
  <c r="X86" i="1"/>
  <c r="AE85" i="1"/>
  <c r="AD85" i="1"/>
  <c r="AC85" i="1"/>
  <c r="AB85" i="1"/>
  <c r="AA85" i="1"/>
  <c r="Y85" i="1"/>
  <c r="Z85" i="1" s="1"/>
  <c r="X85" i="1"/>
  <c r="AE84" i="1"/>
  <c r="AD84" i="1"/>
  <c r="AC84" i="1"/>
  <c r="AB84" i="1"/>
  <c r="AA84" i="1"/>
  <c r="Y84" i="1"/>
  <c r="Z84" i="1" s="1"/>
  <c r="X84" i="1"/>
  <c r="AE83" i="1"/>
  <c r="AD83" i="1"/>
  <c r="AC83" i="1"/>
  <c r="AB83" i="1"/>
  <c r="AA83" i="1"/>
  <c r="Y83" i="1"/>
  <c r="Z83" i="1" s="1"/>
  <c r="X83" i="1"/>
  <c r="AE82" i="1"/>
  <c r="AD82" i="1"/>
  <c r="AC82" i="1"/>
  <c r="AB82" i="1"/>
  <c r="AA82" i="1"/>
  <c r="Y82" i="1"/>
  <c r="Z82" i="1" s="1"/>
  <c r="X82" i="1"/>
  <c r="AE81" i="1"/>
  <c r="AD81" i="1"/>
  <c r="AC81" i="1"/>
  <c r="AB81" i="1"/>
  <c r="AA81" i="1"/>
  <c r="Y81" i="1"/>
  <c r="Z81" i="1" s="1"/>
  <c r="X81" i="1"/>
  <c r="AE80" i="1"/>
  <c r="AD80" i="1"/>
  <c r="AC80" i="1"/>
  <c r="AB80" i="1"/>
  <c r="AA80" i="1"/>
  <c r="Y80" i="1"/>
  <c r="Z80" i="1" s="1"/>
  <c r="X80" i="1"/>
  <c r="AE79" i="1"/>
  <c r="AD79" i="1"/>
  <c r="AC79" i="1"/>
  <c r="AB79" i="1"/>
  <c r="AA79" i="1"/>
  <c r="Y79" i="1"/>
  <c r="Z79" i="1" s="1"/>
  <c r="X79" i="1"/>
  <c r="AE78" i="1"/>
  <c r="AD78" i="1"/>
  <c r="AC78" i="1"/>
  <c r="AB78" i="1"/>
  <c r="AA78" i="1"/>
  <c r="Y78" i="1"/>
  <c r="Z78" i="1" s="1"/>
  <c r="X78" i="1"/>
  <c r="AE77" i="1"/>
  <c r="AD77" i="1"/>
  <c r="AC77" i="1"/>
  <c r="AB77" i="1"/>
  <c r="AA77" i="1"/>
  <c r="Y77" i="1"/>
  <c r="Z77" i="1" s="1"/>
  <c r="X77" i="1"/>
  <c r="AE76" i="1"/>
  <c r="AD76" i="1"/>
  <c r="AC76" i="1"/>
  <c r="AB76" i="1"/>
  <c r="AA76" i="1"/>
  <c r="Y76" i="1"/>
  <c r="Z76" i="1" s="1"/>
  <c r="X76" i="1"/>
  <c r="AE75" i="1"/>
  <c r="AD75" i="1"/>
  <c r="AC75" i="1"/>
  <c r="AB75" i="1"/>
  <c r="AA75" i="1"/>
  <c r="Y75" i="1"/>
  <c r="Z75" i="1" s="1"/>
  <c r="X75" i="1"/>
  <c r="AE74" i="1"/>
  <c r="AD74" i="1"/>
  <c r="AC74" i="1"/>
  <c r="AB74" i="1"/>
  <c r="AA74" i="1"/>
  <c r="Y74" i="1"/>
  <c r="Z74" i="1" s="1"/>
  <c r="X74" i="1"/>
  <c r="AE73" i="1"/>
  <c r="AD73" i="1"/>
  <c r="AC73" i="1"/>
  <c r="AB73" i="1"/>
  <c r="AA73" i="1"/>
  <c r="Y73" i="1"/>
  <c r="Z73" i="1" s="1"/>
  <c r="X73" i="1"/>
  <c r="AE72" i="1"/>
  <c r="AD72" i="1"/>
  <c r="AC72" i="1"/>
  <c r="AB72" i="1"/>
  <c r="AA72" i="1"/>
  <c r="Y72" i="1"/>
  <c r="Z72" i="1" s="1"/>
  <c r="X72" i="1"/>
  <c r="AE71" i="1"/>
  <c r="AD71" i="1"/>
  <c r="AC71" i="1"/>
  <c r="AB71" i="1"/>
  <c r="AA71" i="1"/>
  <c r="Y71" i="1"/>
  <c r="Z71" i="1" s="1"/>
  <c r="X71" i="1"/>
  <c r="AE70" i="1"/>
  <c r="AD70" i="1"/>
  <c r="AC70" i="1"/>
  <c r="AB70" i="1"/>
  <c r="AA70" i="1"/>
  <c r="Y70" i="1"/>
  <c r="Z70" i="1" s="1"/>
  <c r="X70" i="1"/>
  <c r="AE69" i="1"/>
  <c r="AD69" i="1"/>
  <c r="AC69" i="1"/>
  <c r="AB69" i="1"/>
  <c r="AA69" i="1"/>
  <c r="Y69" i="1"/>
  <c r="Z69" i="1" s="1"/>
  <c r="X69" i="1"/>
  <c r="AE68" i="1"/>
  <c r="AD68" i="1"/>
  <c r="AC68" i="1"/>
  <c r="AB68" i="1"/>
  <c r="AA68" i="1"/>
  <c r="Y68" i="1"/>
  <c r="Z68" i="1" s="1"/>
  <c r="X68" i="1"/>
  <c r="AE67" i="1"/>
  <c r="AD67" i="1"/>
  <c r="AC67" i="1"/>
  <c r="AB67" i="1"/>
  <c r="AA67" i="1"/>
  <c r="Y67" i="1"/>
  <c r="Z67" i="1" s="1"/>
  <c r="X67" i="1"/>
  <c r="AE66" i="1"/>
  <c r="AD66" i="1"/>
  <c r="AC66" i="1"/>
  <c r="AB66" i="1"/>
  <c r="AA66" i="1"/>
  <c r="Y66" i="1"/>
  <c r="Z66" i="1" s="1"/>
  <c r="X66" i="1"/>
  <c r="AE65" i="1"/>
  <c r="AD65" i="1"/>
  <c r="AC65" i="1"/>
  <c r="AB65" i="1"/>
  <c r="AA65" i="1"/>
  <c r="Y65" i="1"/>
  <c r="Z65" i="1" s="1"/>
  <c r="X65" i="1"/>
  <c r="AE64" i="1"/>
  <c r="AD64" i="1"/>
  <c r="AC64" i="1"/>
  <c r="AB64" i="1"/>
  <c r="AA64" i="1"/>
  <c r="Y64" i="1"/>
  <c r="Z64" i="1" s="1"/>
  <c r="X64" i="1"/>
  <c r="AE63" i="1"/>
  <c r="AD63" i="1"/>
  <c r="AC63" i="1"/>
  <c r="AB63" i="1"/>
  <c r="AA63" i="1"/>
  <c r="Y63" i="1"/>
  <c r="Z63" i="1" s="1"/>
  <c r="X63" i="1"/>
  <c r="AE62" i="1"/>
  <c r="AD62" i="1"/>
  <c r="AC62" i="1"/>
  <c r="AB62" i="1"/>
  <c r="AA62" i="1"/>
  <c r="Y62" i="1"/>
  <c r="Z62" i="1" s="1"/>
  <c r="X62" i="1"/>
  <c r="AE61" i="1"/>
  <c r="AD61" i="1"/>
  <c r="AC61" i="1"/>
  <c r="AB61" i="1"/>
  <c r="AA61" i="1"/>
  <c r="Y61" i="1"/>
  <c r="Z61" i="1" s="1"/>
  <c r="X61" i="1"/>
  <c r="AE60" i="1"/>
  <c r="AD60" i="1"/>
  <c r="AC60" i="1"/>
  <c r="AB60" i="1"/>
  <c r="AA60" i="1"/>
  <c r="Y60" i="1"/>
  <c r="Z60" i="1" s="1"/>
  <c r="X60" i="1"/>
  <c r="AE59" i="1"/>
  <c r="AD59" i="1"/>
  <c r="AC59" i="1"/>
  <c r="AB59" i="1"/>
  <c r="AA59" i="1"/>
  <c r="Y59" i="1"/>
  <c r="Z59" i="1" s="1"/>
  <c r="X59" i="1"/>
  <c r="AE58" i="1"/>
  <c r="AD58" i="1"/>
  <c r="AC58" i="1"/>
  <c r="AB58" i="1"/>
  <c r="AA58" i="1"/>
  <c r="Y58" i="1"/>
  <c r="Z58" i="1" s="1"/>
  <c r="X58" i="1"/>
  <c r="AE57" i="1"/>
  <c r="AD57" i="1"/>
  <c r="AC57" i="1"/>
  <c r="AB57" i="1"/>
  <c r="AA57" i="1"/>
  <c r="Y57" i="1"/>
  <c r="Z57" i="1" s="1"/>
  <c r="X57" i="1"/>
  <c r="AE56" i="1"/>
  <c r="AD56" i="1"/>
  <c r="AC56" i="1"/>
  <c r="AB56" i="1"/>
  <c r="AA56" i="1"/>
  <c r="Y56" i="1"/>
  <c r="Z56" i="1" s="1"/>
  <c r="X56" i="1"/>
  <c r="AE55" i="1"/>
  <c r="AD55" i="1"/>
  <c r="AC55" i="1"/>
  <c r="AB55" i="1"/>
  <c r="AA55" i="1"/>
  <c r="Y55" i="1"/>
  <c r="Z55" i="1" s="1"/>
  <c r="X55" i="1"/>
  <c r="AE54" i="1"/>
  <c r="AD54" i="1"/>
  <c r="AC54" i="1"/>
  <c r="AB54" i="1"/>
  <c r="AA54" i="1"/>
  <c r="Y54" i="1"/>
  <c r="Z54" i="1" s="1"/>
  <c r="X54" i="1"/>
  <c r="AE53" i="1"/>
  <c r="AD53" i="1"/>
  <c r="AC53" i="1"/>
  <c r="AB53" i="1"/>
  <c r="AA53" i="1"/>
  <c r="Y53" i="1"/>
  <c r="Z53" i="1" s="1"/>
  <c r="X53" i="1"/>
  <c r="AE52" i="1"/>
  <c r="AD52" i="1"/>
  <c r="AC52" i="1"/>
  <c r="AB52" i="1"/>
  <c r="AA52" i="1"/>
  <c r="Y52" i="1"/>
  <c r="Z52" i="1" s="1"/>
  <c r="X52" i="1"/>
  <c r="AE51" i="1"/>
  <c r="AD51" i="1"/>
  <c r="AC51" i="1"/>
  <c r="AB51" i="1"/>
  <c r="AA51" i="1"/>
  <c r="Y51" i="1"/>
  <c r="Z51" i="1" s="1"/>
  <c r="X51" i="1"/>
  <c r="AE50" i="1"/>
  <c r="AD50" i="1"/>
  <c r="AC50" i="1"/>
  <c r="AB50" i="1"/>
  <c r="AA50" i="1"/>
  <c r="Y50" i="1"/>
  <c r="Z50" i="1" s="1"/>
  <c r="X50" i="1"/>
  <c r="AE49" i="1"/>
  <c r="AD49" i="1"/>
  <c r="AC49" i="1"/>
  <c r="AB49" i="1"/>
  <c r="AA49" i="1"/>
  <c r="Y49" i="1"/>
  <c r="Z49" i="1" s="1"/>
  <c r="X49" i="1"/>
  <c r="AE48" i="1"/>
  <c r="AD48" i="1"/>
  <c r="AC48" i="1"/>
  <c r="AB48" i="1"/>
  <c r="AA48" i="1"/>
  <c r="Y48" i="1"/>
  <c r="Z48" i="1" s="1"/>
  <c r="X48" i="1"/>
  <c r="AE47" i="1"/>
  <c r="AD47" i="1"/>
  <c r="AC47" i="1"/>
  <c r="AB47" i="1"/>
  <c r="AA47" i="1"/>
  <c r="Y47" i="1"/>
  <c r="Z47" i="1" s="1"/>
  <c r="X47" i="1"/>
  <c r="AE46" i="1"/>
  <c r="AD46" i="1"/>
  <c r="AC46" i="1"/>
  <c r="AB46" i="1"/>
  <c r="AA46" i="1"/>
  <c r="Y46" i="1"/>
  <c r="Z46" i="1" s="1"/>
  <c r="X46" i="1"/>
  <c r="AE45" i="1"/>
  <c r="AD45" i="1"/>
  <c r="AC45" i="1"/>
  <c r="AB45" i="1"/>
  <c r="AA45" i="1"/>
  <c r="Y45" i="1"/>
  <c r="Z45" i="1" s="1"/>
  <c r="X45" i="1"/>
  <c r="AE44" i="1"/>
  <c r="AD44" i="1"/>
  <c r="AC44" i="1"/>
  <c r="AB44" i="1"/>
  <c r="AA44" i="1"/>
  <c r="Y44" i="1"/>
  <c r="Z44" i="1" s="1"/>
  <c r="X44" i="1"/>
  <c r="AE43" i="1"/>
  <c r="AD43" i="1"/>
  <c r="AC43" i="1"/>
  <c r="AB43" i="1"/>
  <c r="AA43" i="1"/>
  <c r="Y43" i="1"/>
  <c r="Z43" i="1" s="1"/>
  <c r="X43" i="1"/>
  <c r="AE42" i="1"/>
  <c r="AD42" i="1"/>
  <c r="AC42" i="1"/>
  <c r="AB42" i="1"/>
  <c r="AA42" i="1"/>
  <c r="Y42" i="1"/>
  <c r="Z42" i="1" s="1"/>
  <c r="X42" i="1"/>
  <c r="AE41" i="1"/>
  <c r="AD41" i="1"/>
  <c r="AC41" i="1"/>
  <c r="AB41" i="1"/>
  <c r="AA41" i="1"/>
  <c r="Y41" i="1"/>
  <c r="Z41" i="1" s="1"/>
  <c r="X41" i="1"/>
  <c r="AE40" i="1"/>
  <c r="AD40" i="1"/>
  <c r="AC40" i="1"/>
  <c r="AB40" i="1"/>
  <c r="AA40" i="1"/>
  <c r="Y40" i="1"/>
  <c r="Z40" i="1" s="1"/>
  <c r="X40" i="1"/>
  <c r="AE39" i="1"/>
  <c r="AD39" i="1"/>
  <c r="AC39" i="1"/>
  <c r="AB39" i="1"/>
  <c r="AA39" i="1"/>
  <c r="Y39" i="1"/>
  <c r="Z39" i="1" s="1"/>
  <c r="X39" i="1"/>
  <c r="AE38" i="1"/>
  <c r="AD38" i="1"/>
  <c r="AC38" i="1"/>
  <c r="AB38" i="1"/>
  <c r="AA38" i="1"/>
  <c r="Y38" i="1"/>
  <c r="Z38" i="1" s="1"/>
  <c r="X38" i="1"/>
  <c r="AE37" i="1"/>
  <c r="AD37" i="1"/>
  <c r="AC37" i="1"/>
  <c r="AB37" i="1"/>
  <c r="AA37" i="1"/>
  <c r="Y37" i="1"/>
  <c r="Z37" i="1" s="1"/>
  <c r="X37" i="1"/>
  <c r="AE36" i="1"/>
  <c r="AD36" i="1"/>
  <c r="AC36" i="1"/>
  <c r="AB36" i="1"/>
  <c r="AA36" i="1"/>
  <c r="Y36" i="1"/>
  <c r="Z36" i="1" s="1"/>
  <c r="X36" i="1"/>
  <c r="AE35" i="1"/>
  <c r="AD35" i="1"/>
  <c r="AC35" i="1"/>
  <c r="AB35" i="1"/>
  <c r="AA35" i="1"/>
  <c r="Y35" i="1"/>
  <c r="Z35" i="1" s="1"/>
  <c r="X35" i="1"/>
  <c r="AE34" i="1"/>
  <c r="AD34" i="1"/>
  <c r="AC34" i="1"/>
  <c r="AB34" i="1"/>
  <c r="AA34" i="1"/>
  <c r="Y34" i="1"/>
  <c r="Z34" i="1" s="1"/>
  <c r="X34" i="1"/>
  <c r="AE33" i="1"/>
  <c r="AD33" i="1"/>
  <c r="AC33" i="1"/>
  <c r="AB33" i="1"/>
  <c r="AA33" i="1"/>
  <c r="Y33" i="1"/>
  <c r="Z33" i="1" s="1"/>
  <c r="X33" i="1"/>
  <c r="AE32" i="1"/>
  <c r="AD32" i="1"/>
  <c r="AC32" i="1"/>
  <c r="AB32" i="1"/>
  <c r="AA32" i="1"/>
  <c r="Y32" i="1"/>
  <c r="Z32" i="1" s="1"/>
  <c r="X32" i="1"/>
  <c r="AE31" i="1"/>
  <c r="AD31" i="1"/>
  <c r="AC31" i="1"/>
  <c r="AB31" i="1"/>
  <c r="AA31" i="1"/>
  <c r="Y31" i="1"/>
  <c r="Z31" i="1" s="1"/>
  <c r="X31" i="1"/>
  <c r="AE30" i="1"/>
  <c r="AD30" i="1"/>
  <c r="AC30" i="1"/>
  <c r="AB30" i="1"/>
  <c r="AA30" i="1"/>
  <c r="Y30" i="1"/>
  <c r="Z30" i="1" s="1"/>
  <c r="X30" i="1"/>
  <c r="AE29" i="1"/>
  <c r="AD29" i="1"/>
  <c r="AC29" i="1"/>
  <c r="AB29" i="1"/>
  <c r="AA29" i="1"/>
  <c r="Y29" i="1"/>
  <c r="Z29" i="1" s="1"/>
  <c r="X29" i="1"/>
  <c r="AE28" i="1"/>
  <c r="AD28" i="1"/>
  <c r="AC28" i="1"/>
  <c r="AB28" i="1"/>
  <c r="AA28" i="1"/>
  <c r="Y28" i="1"/>
  <c r="Z28" i="1" s="1"/>
  <c r="X28" i="1"/>
  <c r="AE27" i="1"/>
  <c r="AD27" i="1"/>
  <c r="AC27" i="1"/>
  <c r="AB27" i="1"/>
  <c r="AA27" i="1"/>
  <c r="Y27" i="1"/>
  <c r="Z27" i="1" s="1"/>
  <c r="X27" i="1"/>
  <c r="AE26" i="1"/>
  <c r="AD26" i="1"/>
  <c r="AC26" i="1"/>
  <c r="AB26" i="1"/>
  <c r="AA26" i="1"/>
  <c r="Y26" i="1"/>
  <c r="Z26" i="1" s="1"/>
  <c r="X26" i="1"/>
  <c r="AE25" i="1"/>
  <c r="AD25" i="1"/>
  <c r="AC25" i="1"/>
  <c r="AB25" i="1"/>
  <c r="AA25" i="1"/>
  <c r="Y25" i="1"/>
  <c r="Z25" i="1" s="1"/>
  <c r="X25" i="1"/>
  <c r="AE24" i="1"/>
  <c r="AD24" i="1"/>
  <c r="AC24" i="1"/>
  <c r="AB24" i="1"/>
  <c r="AA24" i="1"/>
  <c r="Y24" i="1"/>
  <c r="Z24" i="1" s="1"/>
  <c r="X24" i="1"/>
  <c r="AE23" i="1"/>
  <c r="AD23" i="1"/>
  <c r="AC23" i="1"/>
  <c r="AB23" i="1"/>
  <c r="AA23" i="1"/>
  <c r="Y23" i="1"/>
  <c r="Z23" i="1" s="1"/>
  <c r="X23" i="1"/>
  <c r="AE22" i="1"/>
  <c r="AD22" i="1"/>
  <c r="AC22" i="1"/>
  <c r="AB22" i="1"/>
  <c r="AA22" i="1"/>
  <c r="Y22" i="1"/>
  <c r="Z22" i="1" s="1"/>
  <c r="X22" i="1"/>
  <c r="AE21" i="1"/>
  <c r="AD21" i="1"/>
  <c r="AC21" i="1"/>
  <c r="AB21" i="1"/>
  <c r="AA21" i="1"/>
  <c r="Y21" i="1"/>
  <c r="Z21" i="1" s="1"/>
  <c r="X21" i="1"/>
  <c r="AE20" i="1"/>
  <c r="AD20" i="1"/>
  <c r="AC20" i="1"/>
  <c r="E8" i="3" s="1"/>
  <c r="AB20" i="1"/>
  <c r="D8" i="3" s="1"/>
  <c r="AA20" i="1"/>
  <c r="Y20" i="1"/>
  <c r="Z20" i="1" s="1"/>
  <c r="X20" i="1"/>
  <c r="AE19" i="1"/>
  <c r="AD19" i="1"/>
  <c r="AC19" i="1"/>
  <c r="AB19" i="1"/>
  <c r="AA19" i="1"/>
  <c r="Y19" i="1"/>
  <c r="Z19" i="1" s="1"/>
  <c r="X19" i="1"/>
  <c r="AE18" i="1"/>
  <c r="AD18" i="1"/>
  <c r="AC18" i="1"/>
  <c r="AB18" i="1"/>
  <c r="AA18" i="1"/>
  <c r="Y18" i="1"/>
  <c r="Z18" i="1" s="1"/>
  <c r="X18" i="1"/>
  <c r="AE17" i="1"/>
  <c r="AD17" i="1"/>
  <c r="AC17" i="1"/>
  <c r="AB17" i="1"/>
  <c r="AA17" i="1"/>
  <c r="Y17" i="1"/>
  <c r="Z17" i="1" s="1"/>
  <c r="X17" i="1"/>
  <c r="AE16" i="1"/>
  <c r="AD16" i="1"/>
  <c r="AC16" i="1"/>
  <c r="AB16" i="1"/>
  <c r="AA16" i="1"/>
  <c r="Y16" i="1"/>
  <c r="Z16" i="1" s="1"/>
  <c r="X16" i="1"/>
  <c r="AE15" i="1"/>
  <c r="AD15" i="1"/>
  <c r="AC15" i="1"/>
  <c r="AB15" i="1"/>
  <c r="AA15" i="1"/>
  <c r="Y15" i="1"/>
  <c r="Z15" i="1" s="1"/>
  <c r="X15" i="1"/>
  <c r="AE14" i="1"/>
  <c r="AD14" i="1"/>
  <c r="AC14" i="1"/>
  <c r="AB14" i="1"/>
  <c r="AA14" i="1"/>
  <c r="Y14" i="1"/>
  <c r="Z14" i="1" s="1"/>
  <c r="X14" i="1"/>
  <c r="AE13" i="1"/>
  <c r="AD13" i="1"/>
  <c r="AC13" i="1"/>
  <c r="AB13" i="1"/>
  <c r="AA13" i="1"/>
  <c r="Y13" i="1"/>
  <c r="Z13" i="1" s="1"/>
  <c r="X13" i="1"/>
  <c r="AE12" i="1"/>
  <c r="AD12" i="1"/>
  <c r="AC12" i="1"/>
  <c r="AB12" i="1"/>
  <c r="AA12" i="1"/>
  <c r="Y12" i="1"/>
  <c r="Z12" i="1" s="1"/>
  <c r="X12" i="1"/>
  <c r="AE11" i="1"/>
  <c r="AD11" i="1"/>
  <c r="AC11" i="1"/>
  <c r="AB11" i="1"/>
  <c r="AA11" i="1"/>
  <c r="Y11" i="1"/>
  <c r="Z11" i="1" s="1"/>
  <c r="X11" i="1"/>
  <c r="AE10" i="1"/>
  <c r="AD10" i="1"/>
  <c r="AC10" i="1"/>
  <c r="AB10" i="1"/>
  <c r="AA10" i="1"/>
  <c r="Y10" i="1"/>
  <c r="Z10" i="1" s="1"/>
  <c r="X10" i="1"/>
  <c r="AE9" i="1"/>
  <c r="AD9" i="1"/>
  <c r="AC9" i="1"/>
  <c r="AB9" i="1"/>
  <c r="AA9" i="1"/>
  <c r="Y9" i="1"/>
  <c r="Z9" i="1" s="1"/>
  <c r="X9" i="1"/>
  <c r="AE8" i="1"/>
  <c r="AD8" i="1"/>
  <c r="AC8" i="1"/>
  <c r="AB8" i="1"/>
  <c r="AA8" i="1"/>
  <c r="Y8" i="1"/>
  <c r="Z8" i="1" s="1"/>
  <c r="X8" i="1"/>
  <c r="AE7" i="1"/>
  <c r="AD7" i="1"/>
  <c r="AC7" i="1"/>
  <c r="E6" i="3" s="1"/>
  <c r="AB7" i="1"/>
  <c r="D6" i="3" s="1"/>
  <c r="AA7" i="1"/>
  <c r="Y7" i="1"/>
  <c r="Z7" i="1" s="1"/>
  <c r="X7" i="1"/>
  <c r="AE6" i="1"/>
  <c r="AD6" i="1"/>
  <c r="AC6" i="1"/>
  <c r="AB6" i="1"/>
  <c r="AA6" i="1"/>
  <c r="Y6" i="1"/>
  <c r="Z6" i="1" s="1"/>
  <c r="X6" i="1"/>
  <c r="AE5" i="1"/>
  <c r="AD5" i="1"/>
  <c r="AC5" i="1"/>
  <c r="AB5" i="1"/>
  <c r="AA5" i="1"/>
  <c r="Y5" i="1"/>
  <c r="Z5" i="1" s="1"/>
  <c r="X5" i="1"/>
  <c r="AE4" i="1"/>
  <c r="AD4" i="1"/>
  <c r="AC4" i="1"/>
  <c r="E9" i="3" s="1"/>
  <c r="AB4" i="1"/>
  <c r="D9" i="3" s="1"/>
  <c r="AA4" i="1"/>
  <c r="Y4" i="1"/>
  <c r="Z4" i="1" s="1"/>
  <c r="X4" i="1"/>
  <c r="AE3" i="1"/>
  <c r="AD3" i="1"/>
  <c r="AC3" i="1"/>
  <c r="E7" i="3" s="1"/>
  <c r="AB3" i="1"/>
  <c r="D7" i="3" s="1"/>
  <c r="AA3" i="1"/>
  <c r="Y3" i="1"/>
  <c r="Z3" i="1" s="1"/>
  <c r="X3" i="1"/>
  <c r="AE2" i="1"/>
  <c r="AD2" i="1"/>
  <c r="AC2" i="1"/>
  <c r="AB2" i="1"/>
  <c r="AA2" i="1"/>
  <c r="Y2" i="1"/>
  <c r="Z2" i="1" s="1"/>
  <c r="X2" i="1"/>
  <c r="K26" i="3" l="1"/>
  <c r="L26" i="3"/>
  <c r="M26" i="3"/>
  <c r="I8" i="3"/>
  <c r="J8" i="3"/>
  <c r="B17" i="3"/>
  <c r="C17" i="3"/>
  <c r="M24" i="3"/>
  <c r="L24" i="3"/>
  <c r="K24" i="3"/>
  <c r="I6" i="3"/>
  <c r="J6" i="3"/>
  <c r="C15" i="3"/>
  <c r="B15" i="3"/>
  <c r="D15" i="3" s="1"/>
  <c r="M27" i="3"/>
  <c r="K27" i="3"/>
  <c r="L27" i="3"/>
  <c r="I9" i="3"/>
  <c r="J9" i="3"/>
  <c r="C18" i="3"/>
  <c r="B18" i="3"/>
  <c r="D18" i="3" s="1"/>
  <c r="M25" i="3"/>
  <c r="L25" i="3"/>
  <c r="K25" i="3"/>
  <c r="I7" i="3"/>
  <c r="J7" i="3"/>
  <c r="C16" i="3"/>
  <c r="B16" i="3"/>
  <c r="D16" i="3" s="1"/>
  <c r="L28" i="3"/>
  <c r="K28" i="3"/>
  <c r="M28" i="3"/>
  <c r="E10" i="3"/>
  <c r="D10" i="3"/>
  <c r="I10" i="3"/>
  <c r="J10" i="3"/>
  <c r="B19" i="3"/>
  <c r="C19" i="3"/>
  <c r="K8" i="3" l="1"/>
  <c r="D17" i="3"/>
  <c r="K6" i="3"/>
  <c r="K9" i="3"/>
  <c r="K7" i="3"/>
  <c r="K10" i="3"/>
  <c r="D19" i="3"/>
</calcChain>
</file>

<file path=xl/sharedStrings.xml><?xml version="1.0" encoding="utf-8"?>
<sst xmlns="http://schemas.openxmlformats.org/spreadsheetml/2006/main" count="13246" uniqueCount="3425">
  <si>
    <t>item_id</t>
  </si>
  <si>
    <t>category</t>
  </si>
  <si>
    <t>stock_level</t>
  </si>
  <si>
    <t>reorder_point</t>
  </si>
  <si>
    <t>reorder_frequency_days</t>
  </si>
  <si>
    <t>lead_time_days</t>
  </si>
  <si>
    <t>daily_demand</t>
  </si>
  <si>
    <t>demand_std_dev</t>
  </si>
  <si>
    <t>item_popularity_score</t>
  </si>
  <si>
    <t>storage_location_id</t>
  </si>
  <si>
    <t>zone</t>
  </si>
  <si>
    <t>picking_time_seconds</t>
  </si>
  <si>
    <t>handling_cost_per_unit</t>
  </si>
  <si>
    <t>unit_price</t>
  </si>
  <si>
    <t>holding_cost_per_unit_day</t>
  </si>
  <si>
    <t>stockout_count_last_month</t>
  </si>
  <si>
    <t>order_fulfillment_rate</t>
  </si>
  <si>
    <t>total_orders_last_month</t>
  </si>
  <si>
    <t>turnover_ratio</t>
  </si>
  <si>
    <t>layout_efficiency_score</t>
  </si>
  <si>
    <t>last_restock_date</t>
  </si>
  <si>
    <t>forecasted_demand_next_7d</t>
  </si>
  <si>
    <t>KPI_score</t>
  </si>
  <si>
    <t>Stock Status</t>
  </si>
  <si>
    <t>Demand During Lead Time</t>
  </si>
  <si>
    <t>Stockout Risk</t>
  </si>
  <si>
    <t>Days of Inventory Left</t>
  </si>
  <si>
    <t>Inventory Value</t>
  </si>
  <si>
    <t>Monthly Holding Cost</t>
  </si>
  <si>
    <t>Fulfillment Performance</t>
  </si>
  <si>
    <t>Picking Speed Status</t>
  </si>
  <si>
    <t>ITM10000</t>
  </si>
  <si>
    <t>Pharma</t>
  </si>
  <si>
    <t>L82</t>
  </si>
  <si>
    <t>B</t>
  </si>
  <si>
    <t>ITM10001</t>
  </si>
  <si>
    <t>Automotive</t>
  </si>
  <si>
    <t>L15</t>
  </si>
  <si>
    <t>A</t>
  </si>
  <si>
    <t>ITM10002</t>
  </si>
  <si>
    <t>Groceries</t>
  </si>
  <si>
    <t>L4</t>
  </si>
  <si>
    <t>ITM10003</t>
  </si>
  <si>
    <t>L95</t>
  </si>
  <si>
    <t>ITM10004</t>
  </si>
  <si>
    <t>L36</t>
  </si>
  <si>
    <t>D</t>
  </si>
  <si>
    <t>ITM10005</t>
  </si>
  <si>
    <t>Apparel</t>
  </si>
  <si>
    <t>L32</t>
  </si>
  <si>
    <t>ITM10006</t>
  </si>
  <si>
    <t>L29</t>
  </si>
  <si>
    <t>C</t>
  </si>
  <si>
    <t>ITM10007</t>
  </si>
  <si>
    <t>L18</t>
  </si>
  <si>
    <t>ITM10008</t>
  </si>
  <si>
    <t>ITM10009</t>
  </si>
  <si>
    <t>L14</t>
  </si>
  <si>
    <t>ITM10010</t>
  </si>
  <si>
    <t>L87</t>
  </si>
  <si>
    <t>ITM10011</t>
  </si>
  <si>
    <t>ITM10012</t>
  </si>
  <si>
    <t>L70</t>
  </si>
  <si>
    <t>ITM10013</t>
  </si>
  <si>
    <t>L12</t>
  </si>
  <si>
    <t>ITM10014</t>
  </si>
  <si>
    <t>L76</t>
  </si>
  <si>
    <t>ITM10015</t>
  </si>
  <si>
    <t>L55</t>
  </si>
  <si>
    <t>ITM10016</t>
  </si>
  <si>
    <t>L5</t>
  </si>
  <si>
    <t>ITM10017</t>
  </si>
  <si>
    <t>ITM10018</t>
  </si>
  <si>
    <t>Electronics</t>
  </si>
  <si>
    <t>ITM10019</t>
  </si>
  <si>
    <t>L28</t>
  </si>
  <si>
    <t>ITM10020</t>
  </si>
  <si>
    <t>L30</t>
  </si>
  <si>
    <t>ITM10021</t>
  </si>
  <si>
    <t>L65</t>
  </si>
  <si>
    <t>ITM10022</t>
  </si>
  <si>
    <t>L78</t>
  </si>
  <si>
    <t>ITM10023</t>
  </si>
  <si>
    <t>ITM10024</t>
  </si>
  <si>
    <t>L72</t>
  </si>
  <si>
    <t>ITM10025</t>
  </si>
  <si>
    <t>L26</t>
  </si>
  <si>
    <t>ITM10026</t>
  </si>
  <si>
    <t>L92</t>
  </si>
  <si>
    <t>ITM10027</t>
  </si>
  <si>
    <t>L84</t>
  </si>
  <si>
    <t>ITM10028</t>
  </si>
  <si>
    <t>L90</t>
  </si>
  <si>
    <t>ITM10029</t>
  </si>
  <si>
    <t>ITM10030</t>
  </si>
  <si>
    <t>L54</t>
  </si>
  <si>
    <t>ITM10031</t>
  </si>
  <si>
    <t>ITM10032</t>
  </si>
  <si>
    <t>L58</t>
  </si>
  <si>
    <t>ITM10033</t>
  </si>
  <si>
    <t>ITM10034</t>
  </si>
  <si>
    <t>ITM10035</t>
  </si>
  <si>
    <t>L1</t>
  </si>
  <si>
    <t>ITM10036</t>
  </si>
  <si>
    <t>L98</t>
  </si>
  <si>
    <t>ITM10037</t>
  </si>
  <si>
    <t>L21</t>
  </si>
  <si>
    <t>ITM10038</t>
  </si>
  <si>
    <t>ITM10039</t>
  </si>
  <si>
    <t>ITM10040</t>
  </si>
  <si>
    <t>L44</t>
  </si>
  <si>
    <t>ITM10041</t>
  </si>
  <si>
    <t>ITM10042</t>
  </si>
  <si>
    <t>L20</t>
  </si>
  <si>
    <t>ITM10043</t>
  </si>
  <si>
    <t>ITM10044</t>
  </si>
  <si>
    <t>ITM10045</t>
  </si>
  <si>
    <t>ITM10046</t>
  </si>
  <si>
    <t>ITM10047</t>
  </si>
  <si>
    <t>ITM10048</t>
  </si>
  <si>
    <t>L49</t>
  </si>
  <si>
    <t>ITM10049</t>
  </si>
  <si>
    <t>L13</t>
  </si>
  <si>
    <t>ITM10050</t>
  </si>
  <si>
    <t>L46</t>
  </si>
  <si>
    <t>ITM10051</t>
  </si>
  <si>
    <t>L45</t>
  </si>
  <si>
    <t>ITM10052</t>
  </si>
  <si>
    <t>ITM10053</t>
  </si>
  <si>
    <t>L34</t>
  </si>
  <si>
    <t>ITM10054</t>
  </si>
  <si>
    <t>L6</t>
  </si>
  <si>
    <t>ITM10055</t>
  </si>
  <si>
    <t>L94</t>
  </si>
  <si>
    <t>ITM10056</t>
  </si>
  <si>
    <t>L59</t>
  </si>
  <si>
    <t>ITM10057</t>
  </si>
  <si>
    <t>L69</t>
  </si>
  <si>
    <t>ITM10058</t>
  </si>
  <si>
    <t>L16</t>
  </si>
  <si>
    <t>ITM10059</t>
  </si>
  <si>
    <t>ITM10060</t>
  </si>
  <si>
    <t>L11</t>
  </si>
  <si>
    <t>ITM10061</t>
  </si>
  <si>
    <t>L71</t>
  </si>
  <si>
    <t>ITM10062</t>
  </si>
  <si>
    <t>L38</t>
  </si>
  <si>
    <t>ITM10063</t>
  </si>
  <si>
    <t>L81</t>
  </si>
  <si>
    <t>ITM10064</t>
  </si>
  <si>
    <t>L80</t>
  </si>
  <si>
    <t>ITM10065</t>
  </si>
  <si>
    <t>L47</t>
  </si>
  <si>
    <t>ITM10066</t>
  </si>
  <si>
    <t>L74</t>
  </si>
  <si>
    <t>ITM10067</t>
  </si>
  <si>
    <t>L25</t>
  </si>
  <si>
    <t>ITM10068</t>
  </si>
  <si>
    <t>L91</t>
  </si>
  <si>
    <t>ITM10069</t>
  </si>
  <si>
    <t>L9</t>
  </si>
  <si>
    <t>ITM10070</t>
  </si>
  <si>
    <t>ITM10071</t>
  </si>
  <si>
    <t>L85</t>
  </si>
  <si>
    <t>ITM10072</t>
  </si>
  <si>
    <t>ITM10073</t>
  </si>
  <si>
    <t>L99</t>
  </si>
  <si>
    <t>ITM10074</t>
  </si>
  <si>
    <t>ITM10075</t>
  </si>
  <si>
    <t>ITM10076</t>
  </si>
  <si>
    <t>ITM10077</t>
  </si>
  <si>
    <t>ITM10078</t>
  </si>
  <si>
    <t>ITM10079</t>
  </si>
  <si>
    <t>ITM10080</t>
  </si>
  <si>
    <t>ITM10081</t>
  </si>
  <si>
    <t>ITM10082</t>
  </si>
  <si>
    <t>ITM10083</t>
  </si>
  <si>
    <t>ITM10084</t>
  </si>
  <si>
    <t>L48</t>
  </si>
  <si>
    <t>ITM10085</t>
  </si>
  <si>
    <t>ITM10086</t>
  </si>
  <si>
    <t>L27</t>
  </si>
  <si>
    <t>ITM10087</t>
  </si>
  <si>
    <t>L86</t>
  </si>
  <si>
    <t>ITM10088</t>
  </si>
  <si>
    <t>L35</t>
  </si>
  <si>
    <t>ITM10089</t>
  </si>
  <si>
    <t>ITM10090</t>
  </si>
  <si>
    <t>L88</t>
  </si>
  <si>
    <t>ITM10091</t>
  </si>
  <si>
    <t>L83</t>
  </si>
  <si>
    <t>ITM10092</t>
  </si>
  <si>
    <t>L10</t>
  </si>
  <si>
    <t>ITM10093</t>
  </si>
  <si>
    <t>ITM10094</t>
  </si>
  <si>
    <t>ITM10095</t>
  </si>
  <si>
    <t>L22</t>
  </si>
  <si>
    <t>ITM10096</t>
  </si>
  <si>
    <t>ITM10097</t>
  </si>
  <si>
    <t>ITM10098</t>
  </si>
  <si>
    <t>ITM10099</t>
  </si>
  <si>
    <t>ITM10100</t>
  </si>
  <si>
    <t>L60</t>
  </si>
  <si>
    <t>ITM10101</t>
  </si>
  <si>
    <t>ITM10102</t>
  </si>
  <si>
    <t>ITM10103</t>
  </si>
  <si>
    <t>ITM10104</t>
  </si>
  <si>
    <t>L89</t>
  </si>
  <si>
    <t>ITM10105</t>
  </si>
  <si>
    <t>ITM10106</t>
  </si>
  <si>
    <t>ITM10107</t>
  </si>
  <si>
    <t>ITM10108</t>
  </si>
  <si>
    <t>L42</t>
  </si>
  <si>
    <t>ITM10109</t>
  </si>
  <si>
    <t>ITM10110</t>
  </si>
  <si>
    <t>L100</t>
  </si>
  <si>
    <t>ITM10111</t>
  </si>
  <si>
    <t>L8</t>
  </si>
  <si>
    <t>ITM10112</t>
  </si>
  <si>
    <t>ITM10113</t>
  </si>
  <si>
    <t>ITM10114</t>
  </si>
  <si>
    <t>L41</t>
  </si>
  <si>
    <t>ITM10115</t>
  </si>
  <si>
    <t>L52</t>
  </si>
  <si>
    <t>ITM10116</t>
  </si>
  <si>
    <t>ITM10117</t>
  </si>
  <si>
    <t>ITM10118</t>
  </si>
  <si>
    <t>ITM10119</t>
  </si>
  <si>
    <t>L73</t>
  </si>
  <si>
    <t>ITM10120</t>
  </si>
  <si>
    <t>ITM10121</t>
  </si>
  <si>
    <t>ITM10122</t>
  </si>
  <si>
    <t>ITM10123</t>
  </si>
  <si>
    <t>ITM10124</t>
  </si>
  <si>
    <t>L64</t>
  </si>
  <si>
    <t>ITM10125</t>
  </si>
  <si>
    <t>L51</t>
  </si>
  <si>
    <t>ITM10126</t>
  </si>
  <si>
    <t>ITM10127</t>
  </si>
  <si>
    <t>ITM10128</t>
  </si>
  <si>
    <t>L19</t>
  </si>
  <si>
    <t>ITM10129</t>
  </si>
  <si>
    <t>ITM10130</t>
  </si>
  <si>
    <t>ITM10131</t>
  </si>
  <si>
    <t>ITM10132</t>
  </si>
  <si>
    <t>L96</t>
  </si>
  <si>
    <t>ITM10133</t>
  </si>
  <si>
    <t>ITM10134</t>
  </si>
  <si>
    <t>ITM10135</t>
  </si>
  <si>
    <t>ITM10136</t>
  </si>
  <si>
    <t>ITM10137</t>
  </si>
  <si>
    <t>L75</t>
  </si>
  <si>
    <t>ITM10138</t>
  </si>
  <si>
    <t>ITM10139</t>
  </si>
  <si>
    <t>ITM10140</t>
  </si>
  <si>
    <t>ITM10141</t>
  </si>
  <si>
    <t>ITM10142</t>
  </si>
  <si>
    <t>ITM10143</t>
  </si>
  <si>
    <t>ITM10144</t>
  </si>
  <si>
    <t>L66</t>
  </si>
  <si>
    <t>ITM10145</t>
  </si>
  <si>
    <t>ITM10146</t>
  </si>
  <si>
    <t>ITM10147</t>
  </si>
  <si>
    <t>L97</t>
  </si>
  <si>
    <t>ITM10148</t>
  </si>
  <si>
    <t>L7</t>
  </si>
  <si>
    <t>ITM10149</t>
  </si>
  <si>
    <t>ITM10150</t>
  </si>
  <si>
    <t>ITM10151</t>
  </si>
  <si>
    <t>ITM10152</t>
  </si>
  <si>
    <t>ITM10153</t>
  </si>
  <si>
    <t>ITM10154</t>
  </si>
  <si>
    <t>ITM10155</t>
  </si>
  <si>
    <t>L77</t>
  </si>
  <si>
    <t>ITM10156</t>
  </si>
  <si>
    <t>ITM10157</t>
  </si>
  <si>
    <t>L50</t>
  </si>
  <si>
    <t>ITM10158</t>
  </si>
  <si>
    <t>ITM10159</t>
  </si>
  <si>
    <t>ITM10160</t>
  </si>
  <si>
    <t>ITM10161</t>
  </si>
  <si>
    <t>L68</t>
  </si>
  <si>
    <t>ITM10162</t>
  </si>
  <si>
    <t>L33</t>
  </si>
  <si>
    <t>ITM10163</t>
  </si>
  <si>
    <t>ITM10164</t>
  </si>
  <si>
    <t>L2</t>
  </si>
  <si>
    <t>ITM10165</t>
  </si>
  <si>
    <t>ITM10166</t>
  </si>
  <si>
    <t>L93</t>
  </si>
  <si>
    <t>ITM10167</t>
  </si>
  <si>
    <t>ITM10168</t>
  </si>
  <si>
    <t>ITM10169</t>
  </si>
  <si>
    <t>ITM10170</t>
  </si>
  <si>
    <t>ITM10171</t>
  </si>
  <si>
    <t>ITM10172</t>
  </si>
  <si>
    <t>ITM10173</t>
  </si>
  <si>
    <t>ITM10174</t>
  </si>
  <si>
    <t>ITM10175</t>
  </si>
  <si>
    <t>ITM10176</t>
  </si>
  <si>
    <t>ITM10177</t>
  </si>
  <si>
    <t>L56</t>
  </si>
  <si>
    <t>ITM10178</t>
  </si>
  <si>
    <t>ITM10179</t>
  </si>
  <si>
    <t>ITM10180</t>
  </si>
  <si>
    <t>ITM10181</t>
  </si>
  <si>
    <t>ITM10182</t>
  </si>
  <si>
    <t>ITM10183</t>
  </si>
  <si>
    <t>ITM10184</t>
  </si>
  <si>
    <t>ITM10185</t>
  </si>
  <si>
    <t>ITM10186</t>
  </si>
  <si>
    <t>L23</t>
  </si>
  <si>
    <t>ITM10187</t>
  </si>
  <si>
    <t>ITM10188</t>
  </si>
  <si>
    <t>ITM10189</t>
  </si>
  <si>
    <t>ITM10190</t>
  </si>
  <si>
    <t>L39</t>
  </si>
  <si>
    <t>ITM10191</t>
  </si>
  <si>
    <t>ITM10192</t>
  </si>
  <si>
    <t>ITM10193</t>
  </si>
  <si>
    <t>ITM10194</t>
  </si>
  <si>
    <t>ITM10195</t>
  </si>
  <si>
    <t>ITM10196</t>
  </si>
  <si>
    <t>ITM10197</t>
  </si>
  <si>
    <t>ITM10198</t>
  </si>
  <si>
    <t>ITM10199</t>
  </si>
  <si>
    <t>ITM10200</t>
  </si>
  <si>
    <t>ITM10201</t>
  </si>
  <si>
    <t>ITM10202</t>
  </si>
  <si>
    <t>ITM10203</t>
  </si>
  <si>
    <t>ITM10204</t>
  </si>
  <si>
    <t>ITM10205</t>
  </si>
  <si>
    <t>L63</t>
  </si>
  <si>
    <t>ITM10206</t>
  </si>
  <si>
    <t>L3</t>
  </si>
  <si>
    <t>ITM10207</t>
  </si>
  <si>
    <t>ITM10208</t>
  </si>
  <si>
    <t>ITM10209</t>
  </si>
  <si>
    <t>L40</t>
  </si>
  <si>
    <t>ITM10210</t>
  </si>
  <si>
    <t>L31</t>
  </si>
  <si>
    <t>ITM10211</t>
  </si>
  <si>
    <t>ITM10212</t>
  </si>
  <si>
    <t>ITM10213</t>
  </si>
  <si>
    <t>ITM10214</t>
  </si>
  <si>
    <t>ITM10215</t>
  </si>
  <si>
    <t>ITM10216</t>
  </si>
  <si>
    <t>ITM10217</t>
  </si>
  <si>
    <t>ITM10218</t>
  </si>
  <si>
    <t>ITM10219</t>
  </si>
  <si>
    <t>ITM10220</t>
  </si>
  <si>
    <t>ITM10221</t>
  </si>
  <si>
    <t>ITM10222</t>
  </si>
  <si>
    <t>L17</t>
  </si>
  <si>
    <t>ITM10223</t>
  </si>
  <si>
    <t>ITM10224</t>
  </si>
  <si>
    <t>ITM10225</t>
  </si>
  <si>
    <t>L61</t>
  </si>
  <si>
    <t>ITM10226</t>
  </si>
  <si>
    <t>ITM10227</t>
  </si>
  <si>
    <t>ITM10228</t>
  </si>
  <si>
    <t>ITM10229</t>
  </si>
  <si>
    <t>ITM10230</t>
  </si>
  <si>
    <t>ITM10231</t>
  </si>
  <si>
    <t>ITM10232</t>
  </si>
  <si>
    <t>ITM10233</t>
  </si>
  <si>
    <t>ITM10234</t>
  </si>
  <si>
    <t>ITM10235</t>
  </si>
  <si>
    <t>ITM10236</t>
  </si>
  <si>
    <t>ITM10237</t>
  </si>
  <si>
    <t>ITM10238</t>
  </si>
  <si>
    <t>ITM10239</t>
  </si>
  <si>
    <t>ITM10240</t>
  </si>
  <si>
    <t>ITM10241</t>
  </si>
  <si>
    <t>ITM10242</t>
  </si>
  <si>
    <t>ITM10243</t>
  </si>
  <si>
    <t>ITM10244</t>
  </si>
  <si>
    <t>L57</t>
  </si>
  <si>
    <t>ITM10245</t>
  </si>
  <si>
    <t>L67</t>
  </si>
  <si>
    <t>ITM10246</t>
  </si>
  <si>
    <t>ITM10247</t>
  </si>
  <si>
    <t>ITM10248</t>
  </si>
  <si>
    <t>ITM10249</t>
  </si>
  <si>
    <t>ITM10250</t>
  </si>
  <si>
    <t>ITM10251</t>
  </si>
  <si>
    <t>ITM10252</t>
  </si>
  <si>
    <t>ITM10253</t>
  </si>
  <si>
    <t>ITM10254</t>
  </si>
  <si>
    <t>ITM10255</t>
  </si>
  <si>
    <t>ITM10256</t>
  </si>
  <si>
    <t>ITM10257</t>
  </si>
  <si>
    <t>ITM10258</t>
  </si>
  <si>
    <t>ITM10259</t>
  </si>
  <si>
    <t>ITM10260</t>
  </si>
  <si>
    <t>ITM10261</t>
  </si>
  <si>
    <t>ITM10262</t>
  </si>
  <si>
    <t>ITM10263</t>
  </si>
  <si>
    <t>ITM10264</t>
  </si>
  <si>
    <t>ITM10265</t>
  </si>
  <si>
    <t>ITM10266</t>
  </si>
  <si>
    <t>L43</t>
  </si>
  <si>
    <t>ITM10267</t>
  </si>
  <si>
    <t>ITM10268</t>
  </si>
  <si>
    <t>ITM10269</t>
  </si>
  <si>
    <t>ITM10270</t>
  </si>
  <si>
    <t>ITM10271</t>
  </si>
  <si>
    <t>ITM10272</t>
  </si>
  <si>
    <t>ITM10273</t>
  </si>
  <si>
    <t>ITM10274</t>
  </si>
  <si>
    <t>ITM10275</t>
  </si>
  <si>
    <t>ITM10276</t>
  </si>
  <si>
    <t>ITM10277</t>
  </si>
  <si>
    <t>ITM10278</t>
  </si>
  <si>
    <t>ITM10279</t>
  </si>
  <si>
    <t>ITM10280</t>
  </si>
  <si>
    <t>ITM10281</t>
  </si>
  <si>
    <t>ITM10282</t>
  </si>
  <si>
    <t>L53</t>
  </si>
  <si>
    <t>ITM10283</t>
  </si>
  <si>
    <t>ITM10284</t>
  </si>
  <si>
    <t>ITM10285</t>
  </si>
  <si>
    <t>ITM10286</t>
  </si>
  <si>
    <t>ITM10287</t>
  </si>
  <si>
    <t>ITM10288</t>
  </si>
  <si>
    <t>ITM10289</t>
  </si>
  <si>
    <t>ITM10290</t>
  </si>
  <si>
    <t>ITM10291</t>
  </si>
  <si>
    <t>ITM10292</t>
  </si>
  <si>
    <t>ITM10293</t>
  </si>
  <si>
    <t>ITM10294</t>
  </si>
  <si>
    <t>ITM10295</t>
  </si>
  <si>
    <t>ITM10296</t>
  </si>
  <si>
    <t>ITM10297</t>
  </si>
  <si>
    <t>ITM10298</t>
  </si>
  <si>
    <t>ITM10299</t>
  </si>
  <si>
    <t>ITM10300</t>
  </si>
  <si>
    <t>ITM10301</t>
  </si>
  <si>
    <t>ITM10302</t>
  </si>
  <si>
    <t>ITM10303</t>
  </si>
  <si>
    <t>ITM10304</t>
  </si>
  <si>
    <t>ITM10305</t>
  </si>
  <si>
    <t>ITM10306</t>
  </si>
  <si>
    <t>ITM10307</t>
  </si>
  <si>
    <t>ITM10308</t>
  </si>
  <si>
    <t>ITM10309</t>
  </si>
  <si>
    <t>ITM10310</t>
  </si>
  <si>
    <t>L24</t>
  </si>
  <si>
    <t>ITM10311</t>
  </si>
  <si>
    <t>ITM10312</t>
  </si>
  <si>
    <t>ITM10313</t>
  </si>
  <si>
    <t>ITM10314</t>
  </si>
  <si>
    <t>ITM10315</t>
  </si>
  <si>
    <t>ITM10316</t>
  </si>
  <si>
    <t>ITM10317</t>
  </si>
  <si>
    <t>ITM10318</t>
  </si>
  <si>
    <t>ITM10319</t>
  </si>
  <si>
    <t>ITM10320</t>
  </si>
  <si>
    <t>ITM10321</t>
  </si>
  <si>
    <t>ITM10322</t>
  </si>
  <si>
    <t>ITM10323</t>
  </si>
  <si>
    <t>ITM10324</t>
  </si>
  <si>
    <t>ITM10325</t>
  </si>
  <si>
    <t>ITM10326</t>
  </si>
  <si>
    <t>ITM10327</t>
  </si>
  <si>
    <t>ITM10328</t>
  </si>
  <si>
    <t>L62</t>
  </si>
  <si>
    <t>ITM10329</t>
  </si>
  <si>
    <t>ITM10330</t>
  </si>
  <si>
    <t>ITM10331</t>
  </si>
  <si>
    <t>ITM10332</t>
  </si>
  <si>
    <t>ITM10333</t>
  </si>
  <si>
    <t>ITM10334</t>
  </si>
  <si>
    <t>ITM10335</t>
  </si>
  <si>
    <t>ITM10336</t>
  </si>
  <si>
    <t>ITM10337</t>
  </si>
  <si>
    <t>ITM10338</t>
  </si>
  <si>
    <t>L37</t>
  </si>
  <si>
    <t>ITM10339</t>
  </si>
  <si>
    <t>ITM10340</t>
  </si>
  <si>
    <t>ITM10341</t>
  </si>
  <si>
    <t>ITM10342</t>
  </si>
  <si>
    <t>ITM10343</t>
  </si>
  <si>
    <t>ITM10344</t>
  </si>
  <si>
    <t>ITM10345</t>
  </si>
  <si>
    <t>ITM10346</t>
  </si>
  <si>
    <t>ITM10347</t>
  </si>
  <si>
    <t>ITM10348</t>
  </si>
  <si>
    <t>ITM10349</t>
  </si>
  <si>
    <t>ITM10350</t>
  </si>
  <si>
    <t>ITM10351</t>
  </si>
  <si>
    <t>ITM10352</t>
  </si>
  <si>
    <t>ITM10353</t>
  </si>
  <si>
    <t>ITM10354</t>
  </si>
  <si>
    <t>ITM10355</t>
  </si>
  <si>
    <t>ITM10356</t>
  </si>
  <si>
    <t>ITM10357</t>
  </si>
  <si>
    <t>ITM10358</t>
  </si>
  <si>
    <t>ITM10359</t>
  </si>
  <si>
    <t>ITM10360</t>
  </si>
  <si>
    <t>ITM10361</t>
  </si>
  <si>
    <t>ITM10362</t>
  </si>
  <si>
    <t>ITM10363</t>
  </si>
  <si>
    <t>ITM10364</t>
  </si>
  <si>
    <t>ITM10365</t>
  </si>
  <si>
    <t>ITM10366</t>
  </si>
  <si>
    <t>ITM10367</t>
  </si>
  <si>
    <t>ITM10368</t>
  </si>
  <si>
    <t>ITM10369</t>
  </si>
  <si>
    <t>ITM10370</t>
  </si>
  <si>
    <t>ITM10371</t>
  </si>
  <si>
    <t>ITM10372</t>
  </si>
  <si>
    <t>ITM10373</t>
  </si>
  <si>
    <t>ITM10374</t>
  </si>
  <si>
    <t>ITM10375</t>
  </si>
  <si>
    <t>ITM10376</t>
  </si>
  <si>
    <t>ITM10377</t>
  </si>
  <si>
    <t>ITM10378</t>
  </si>
  <si>
    <t>ITM10379</t>
  </si>
  <si>
    <t>ITM10380</t>
  </si>
  <si>
    <t>ITM10381</t>
  </si>
  <si>
    <t>ITM10382</t>
  </si>
  <si>
    <t>ITM10383</t>
  </si>
  <si>
    <t>ITM10384</t>
  </si>
  <si>
    <t>ITM10385</t>
  </si>
  <si>
    <t>ITM10386</t>
  </si>
  <si>
    <t>ITM10387</t>
  </si>
  <si>
    <t>ITM10388</t>
  </si>
  <si>
    <t>ITM10389</t>
  </si>
  <si>
    <t>ITM10390</t>
  </si>
  <si>
    <t>ITM10391</t>
  </si>
  <si>
    <t>ITM10392</t>
  </si>
  <si>
    <t>ITM10393</t>
  </si>
  <si>
    <t>ITM10394</t>
  </si>
  <si>
    <t>ITM10395</t>
  </si>
  <si>
    <t>ITM10396</t>
  </si>
  <si>
    <t>ITM10397</t>
  </si>
  <si>
    <t>ITM10398</t>
  </si>
  <si>
    <t>ITM10399</t>
  </si>
  <si>
    <t>ITM10400</t>
  </si>
  <si>
    <t>ITM10401</t>
  </si>
  <si>
    <t>ITM10402</t>
  </si>
  <si>
    <t>ITM10403</t>
  </si>
  <si>
    <t>ITM10404</t>
  </si>
  <si>
    <t>ITM10405</t>
  </si>
  <si>
    <t>ITM10406</t>
  </si>
  <si>
    <t>ITM10407</t>
  </si>
  <si>
    <t>ITM10408</t>
  </si>
  <si>
    <t>ITM10409</t>
  </si>
  <si>
    <t>ITM10410</t>
  </si>
  <si>
    <t>ITM10411</t>
  </si>
  <si>
    <t>ITM10412</t>
  </si>
  <si>
    <t>ITM10413</t>
  </si>
  <si>
    <t>ITM10414</t>
  </si>
  <si>
    <t>ITM10415</t>
  </si>
  <si>
    <t>ITM10416</t>
  </si>
  <si>
    <t>ITM10417</t>
  </si>
  <si>
    <t>ITM10418</t>
  </si>
  <si>
    <t>ITM10419</t>
  </si>
  <si>
    <t>ITM10420</t>
  </si>
  <si>
    <t>ITM10421</t>
  </si>
  <si>
    <t>ITM10422</t>
  </si>
  <si>
    <t>ITM10423</t>
  </si>
  <si>
    <t>ITM10424</t>
  </si>
  <si>
    <t>ITM10425</t>
  </si>
  <si>
    <t>L79</t>
  </si>
  <si>
    <t>ITM10426</t>
  </si>
  <si>
    <t>ITM10427</t>
  </si>
  <si>
    <t>ITM10428</t>
  </si>
  <si>
    <t>ITM10429</t>
  </si>
  <si>
    <t>ITM10430</t>
  </si>
  <si>
    <t>ITM10431</t>
  </si>
  <si>
    <t>ITM10432</t>
  </si>
  <si>
    <t>ITM10433</t>
  </si>
  <si>
    <t>ITM10434</t>
  </si>
  <si>
    <t>ITM10435</t>
  </si>
  <si>
    <t>ITM10436</t>
  </si>
  <si>
    <t>ITM10437</t>
  </si>
  <si>
    <t>ITM10438</t>
  </si>
  <si>
    <t>ITM10439</t>
  </si>
  <si>
    <t>ITM10440</t>
  </si>
  <si>
    <t>ITM10441</t>
  </si>
  <si>
    <t>ITM10442</t>
  </si>
  <si>
    <t>ITM10443</t>
  </si>
  <si>
    <t>ITM10444</t>
  </si>
  <si>
    <t>ITM10445</t>
  </si>
  <si>
    <t>ITM10446</t>
  </si>
  <si>
    <t>ITM10447</t>
  </si>
  <si>
    <t>ITM10448</t>
  </si>
  <si>
    <t>ITM10449</t>
  </si>
  <si>
    <t>ITM10450</t>
  </si>
  <si>
    <t>ITM10451</t>
  </si>
  <si>
    <t>ITM10452</t>
  </si>
  <si>
    <t>ITM10453</t>
  </si>
  <si>
    <t>ITM10454</t>
  </si>
  <si>
    <t>ITM10455</t>
  </si>
  <si>
    <t>ITM10456</t>
  </si>
  <si>
    <t>ITM10457</t>
  </si>
  <si>
    <t>ITM10458</t>
  </si>
  <si>
    <t>ITM10459</t>
  </si>
  <si>
    <t>ITM10460</t>
  </si>
  <si>
    <t>ITM10461</t>
  </si>
  <si>
    <t>ITM10462</t>
  </si>
  <si>
    <t>ITM10463</t>
  </si>
  <si>
    <t>ITM10464</t>
  </si>
  <si>
    <t>ITM10465</t>
  </si>
  <si>
    <t>ITM10466</t>
  </si>
  <si>
    <t>ITM10467</t>
  </si>
  <si>
    <t>ITM10468</t>
  </si>
  <si>
    <t>ITM10469</t>
  </si>
  <si>
    <t>ITM10470</t>
  </si>
  <si>
    <t>ITM10471</t>
  </si>
  <si>
    <t>ITM10472</t>
  </si>
  <si>
    <t>ITM10473</t>
  </si>
  <si>
    <t>ITM10474</t>
  </si>
  <si>
    <t>ITM10475</t>
  </si>
  <si>
    <t>ITM10476</t>
  </si>
  <si>
    <t>ITM10477</t>
  </si>
  <si>
    <t>ITM10478</t>
  </si>
  <si>
    <t>ITM10479</t>
  </si>
  <si>
    <t>ITM10480</t>
  </si>
  <si>
    <t>ITM10481</t>
  </si>
  <si>
    <t>ITM10482</t>
  </si>
  <si>
    <t>ITM10483</t>
  </si>
  <si>
    <t>ITM10484</t>
  </si>
  <si>
    <t>ITM10485</t>
  </si>
  <si>
    <t>ITM10486</t>
  </si>
  <si>
    <t>ITM10487</t>
  </si>
  <si>
    <t>ITM10488</t>
  </si>
  <si>
    <t>ITM10489</t>
  </si>
  <si>
    <t>ITM10490</t>
  </si>
  <si>
    <t>ITM10491</t>
  </si>
  <si>
    <t>ITM10492</t>
  </si>
  <si>
    <t>ITM10493</t>
  </si>
  <si>
    <t>ITM10494</t>
  </si>
  <si>
    <t>ITM10495</t>
  </si>
  <si>
    <t>ITM10496</t>
  </si>
  <si>
    <t>ITM10497</t>
  </si>
  <si>
    <t>ITM10498</t>
  </si>
  <si>
    <t>ITM10499</t>
  </si>
  <si>
    <t>ITM10500</t>
  </si>
  <si>
    <t>ITM10501</t>
  </si>
  <si>
    <t>ITM10502</t>
  </si>
  <si>
    <t>ITM10503</t>
  </si>
  <si>
    <t>ITM10504</t>
  </si>
  <si>
    <t>ITM10505</t>
  </si>
  <si>
    <t>ITM10506</t>
  </si>
  <si>
    <t>ITM10507</t>
  </si>
  <si>
    <t>ITM10508</t>
  </si>
  <si>
    <t>ITM10509</t>
  </si>
  <si>
    <t>ITM10510</t>
  </si>
  <si>
    <t>ITM10511</t>
  </si>
  <si>
    <t>ITM10512</t>
  </si>
  <si>
    <t>ITM10513</t>
  </si>
  <si>
    <t>ITM10514</t>
  </si>
  <si>
    <t>ITM10515</t>
  </si>
  <si>
    <t>ITM10516</t>
  </si>
  <si>
    <t>ITM10517</t>
  </si>
  <si>
    <t>ITM10518</t>
  </si>
  <si>
    <t>ITM10519</t>
  </si>
  <si>
    <t>ITM10520</t>
  </si>
  <si>
    <t>ITM10521</t>
  </si>
  <si>
    <t>ITM10522</t>
  </si>
  <si>
    <t>ITM10523</t>
  </si>
  <si>
    <t>ITM10524</t>
  </si>
  <si>
    <t>ITM10525</t>
  </si>
  <si>
    <t>ITM10526</t>
  </si>
  <si>
    <t>ITM10527</t>
  </si>
  <si>
    <t>ITM10528</t>
  </si>
  <si>
    <t>ITM10529</t>
  </si>
  <si>
    <t>ITM10530</t>
  </si>
  <si>
    <t>ITM10531</t>
  </si>
  <si>
    <t>ITM10532</t>
  </si>
  <si>
    <t>ITM10533</t>
  </si>
  <si>
    <t>ITM10534</t>
  </si>
  <si>
    <t>ITM10535</t>
  </si>
  <si>
    <t>ITM10536</t>
  </si>
  <si>
    <t>ITM10537</t>
  </si>
  <si>
    <t>ITM10538</t>
  </si>
  <si>
    <t>ITM10539</t>
  </si>
  <si>
    <t>ITM10540</t>
  </si>
  <si>
    <t>ITM10541</t>
  </si>
  <si>
    <t>ITM10542</t>
  </si>
  <si>
    <t>ITM10543</t>
  </si>
  <si>
    <t>ITM10544</t>
  </si>
  <si>
    <t>ITM10545</t>
  </si>
  <si>
    <t>ITM10546</t>
  </si>
  <si>
    <t>ITM10547</t>
  </si>
  <si>
    <t>ITM10548</t>
  </si>
  <si>
    <t>ITM10549</t>
  </si>
  <si>
    <t>ITM10550</t>
  </si>
  <si>
    <t>ITM10551</t>
  </si>
  <si>
    <t>ITM10552</t>
  </si>
  <si>
    <t>ITM10553</t>
  </si>
  <si>
    <t>ITM10554</t>
  </si>
  <si>
    <t>ITM10555</t>
  </si>
  <si>
    <t>ITM10556</t>
  </si>
  <si>
    <t>ITM10557</t>
  </si>
  <si>
    <t>ITM10558</t>
  </si>
  <si>
    <t>ITM10559</t>
  </si>
  <si>
    <t>ITM10560</t>
  </si>
  <si>
    <t>ITM10561</t>
  </si>
  <si>
    <t>ITM10562</t>
  </si>
  <si>
    <t>ITM10563</t>
  </si>
  <si>
    <t>ITM10564</t>
  </si>
  <si>
    <t>ITM10565</t>
  </si>
  <si>
    <t>ITM10566</t>
  </si>
  <si>
    <t>ITM10567</t>
  </si>
  <si>
    <t>ITM10568</t>
  </si>
  <si>
    <t>ITM10569</t>
  </si>
  <si>
    <t>ITM10570</t>
  </si>
  <si>
    <t>ITM10571</t>
  </si>
  <si>
    <t>ITM10572</t>
  </si>
  <si>
    <t>ITM10573</t>
  </si>
  <si>
    <t>ITM10574</t>
  </si>
  <si>
    <t>ITM10575</t>
  </si>
  <si>
    <t>ITM10576</t>
  </si>
  <si>
    <t>ITM10577</t>
  </si>
  <si>
    <t>ITM10578</t>
  </si>
  <si>
    <t>ITM10579</t>
  </si>
  <si>
    <t>ITM10580</t>
  </si>
  <si>
    <t>ITM10581</t>
  </si>
  <si>
    <t>ITM10582</t>
  </si>
  <si>
    <t>ITM10583</t>
  </si>
  <si>
    <t>ITM10584</t>
  </si>
  <si>
    <t>ITM10585</t>
  </si>
  <si>
    <t>ITM10586</t>
  </si>
  <si>
    <t>ITM10587</t>
  </si>
  <si>
    <t>ITM10588</t>
  </si>
  <si>
    <t>ITM10589</t>
  </si>
  <si>
    <t>ITM10590</t>
  </si>
  <si>
    <t>ITM10591</t>
  </si>
  <si>
    <t>ITM10592</t>
  </si>
  <si>
    <t>ITM10593</t>
  </si>
  <si>
    <t>ITM10594</t>
  </si>
  <si>
    <t>ITM10595</t>
  </si>
  <si>
    <t>ITM10596</t>
  </si>
  <si>
    <t>ITM10597</t>
  </si>
  <si>
    <t>ITM10598</t>
  </si>
  <si>
    <t>ITM10599</t>
  </si>
  <si>
    <t>ITM10600</t>
  </si>
  <si>
    <t>ITM10601</t>
  </si>
  <si>
    <t>ITM10602</t>
  </si>
  <si>
    <t>ITM10603</t>
  </si>
  <si>
    <t>ITM10604</t>
  </si>
  <si>
    <t>ITM10605</t>
  </si>
  <si>
    <t>ITM10606</t>
  </si>
  <si>
    <t>ITM10607</t>
  </si>
  <si>
    <t>ITM10608</t>
  </si>
  <si>
    <t>ITM10609</t>
  </si>
  <si>
    <t>ITM10610</t>
  </si>
  <si>
    <t>ITM10611</t>
  </si>
  <si>
    <t>ITM10612</t>
  </si>
  <si>
    <t>ITM10613</t>
  </si>
  <si>
    <t>ITM10614</t>
  </si>
  <si>
    <t>ITM10615</t>
  </si>
  <si>
    <t>ITM10616</t>
  </si>
  <si>
    <t>ITM10617</t>
  </si>
  <si>
    <t>ITM10618</t>
  </si>
  <si>
    <t>ITM10619</t>
  </si>
  <si>
    <t>ITM10620</t>
  </si>
  <si>
    <t>ITM10621</t>
  </si>
  <si>
    <t>ITM10622</t>
  </si>
  <si>
    <t>ITM10623</t>
  </si>
  <si>
    <t>ITM10624</t>
  </si>
  <si>
    <t>ITM10625</t>
  </si>
  <si>
    <t>ITM10626</t>
  </si>
  <si>
    <t>ITM10627</t>
  </si>
  <si>
    <t>ITM10628</t>
  </si>
  <si>
    <t>ITM10629</t>
  </si>
  <si>
    <t>ITM10630</t>
  </si>
  <si>
    <t>ITM10631</t>
  </si>
  <si>
    <t>ITM10632</t>
  </si>
  <si>
    <t>ITM10633</t>
  </si>
  <si>
    <t>ITM10634</t>
  </si>
  <si>
    <t>ITM10635</t>
  </si>
  <si>
    <t>ITM10636</t>
  </si>
  <si>
    <t>ITM10637</t>
  </si>
  <si>
    <t>ITM10638</t>
  </si>
  <si>
    <t>ITM10639</t>
  </si>
  <si>
    <t>ITM10640</t>
  </si>
  <si>
    <t>ITM10641</t>
  </si>
  <si>
    <t>ITM10642</t>
  </si>
  <si>
    <t>ITM10643</t>
  </si>
  <si>
    <t>ITM10644</t>
  </si>
  <si>
    <t>ITM10645</t>
  </si>
  <si>
    <t>ITM10646</t>
  </si>
  <si>
    <t>ITM10647</t>
  </si>
  <si>
    <t>ITM10648</t>
  </si>
  <si>
    <t>ITM10649</t>
  </si>
  <si>
    <t>ITM10650</t>
  </si>
  <si>
    <t>ITM10651</t>
  </si>
  <si>
    <t>ITM10652</t>
  </si>
  <si>
    <t>ITM10653</t>
  </si>
  <si>
    <t>ITM10654</t>
  </si>
  <si>
    <t>ITM10655</t>
  </si>
  <si>
    <t>ITM10656</t>
  </si>
  <si>
    <t>ITM10657</t>
  </si>
  <si>
    <t>ITM10658</t>
  </si>
  <si>
    <t>ITM10659</t>
  </si>
  <si>
    <t>ITM10660</t>
  </si>
  <si>
    <t>ITM10661</t>
  </si>
  <si>
    <t>ITM10662</t>
  </si>
  <si>
    <t>ITM10663</t>
  </si>
  <si>
    <t>ITM10664</t>
  </si>
  <si>
    <t>ITM10665</t>
  </si>
  <si>
    <t>ITM10666</t>
  </si>
  <si>
    <t>ITM10667</t>
  </si>
  <si>
    <t>ITM10668</t>
  </si>
  <si>
    <t>ITM10669</t>
  </si>
  <si>
    <t>ITM10670</t>
  </si>
  <si>
    <t>ITM10671</t>
  </si>
  <si>
    <t>ITM10672</t>
  </si>
  <si>
    <t>ITM10673</t>
  </si>
  <si>
    <t>ITM10674</t>
  </si>
  <si>
    <t>ITM10675</t>
  </si>
  <si>
    <t>ITM10676</t>
  </si>
  <si>
    <t>ITM10677</t>
  </si>
  <si>
    <t>ITM10678</t>
  </si>
  <si>
    <t>ITM10679</t>
  </si>
  <si>
    <t>ITM10680</t>
  </si>
  <si>
    <t>ITM10681</t>
  </si>
  <si>
    <t>ITM10682</t>
  </si>
  <si>
    <t>ITM10683</t>
  </si>
  <si>
    <t>ITM10684</t>
  </si>
  <si>
    <t>ITM10685</t>
  </si>
  <si>
    <t>ITM10686</t>
  </si>
  <si>
    <t>ITM10687</t>
  </si>
  <si>
    <t>ITM10688</t>
  </si>
  <si>
    <t>ITM10689</t>
  </si>
  <si>
    <t>ITM10690</t>
  </si>
  <si>
    <t>ITM10691</t>
  </si>
  <si>
    <t>ITM10692</t>
  </si>
  <si>
    <t>ITM10693</t>
  </si>
  <si>
    <t>ITM10694</t>
  </si>
  <si>
    <t>ITM10695</t>
  </si>
  <si>
    <t>ITM10696</t>
  </si>
  <si>
    <t>ITM10697</t>
  </si>
  <si>
    <t>ITM10698</t>
  </si>
  <si>
    <t>ITM10699</t>
  </si>
  <si>
    <t>ITM10700</t>
  </si>
  <si>
    <t>ITM10701</t>
  </si>
  <si>
    <t>ITM10702</t>
  </si>
  <si>
    <t>ITM10703</t>
  </si>
  <si>
    <t>ITM10704</t>
  </si>
  <si>
    <t>ITM10705</t>
  </si>
  <si>
    <t>ITM10706</t>
  </si>
  <si>
    <t>ITM10707</t>
  </si>
  <si>
    <t>ITM10708</t>
  </si>
  <si>
    <t>ITM10709</t>
  </si>
  <si>
    <t>ITM10710</t>
  </si>
  <si>
    <t>ITM10711</t>
  </si>
  <si>
    <t>ITM10712</t>
  </si>
  <si>
    <t>ITM10713</t>
  </si>
  <si>
    <t>ITM10714</t>
  </si>
  <si>
    <t>ITM10715</t>
  </si>
  <si>
    <t>ITM10716</t>
  </si>
  <si>
    <t>ITM10717</t>
  </si>
  <si>
    <t>ITM10718</t>
  </si>
  <si>
    <t>ITM10719</t>
  </si>
  <si>
    <t>ITM10720</t>
  </si>
  <si>
    <t>ITM10721</t>
  </si>
  <si>
    <t>ITM10722</t>
  </si>
  <si>
    <t>ITM10723</t>
  </si>
  <si>
    <t>ITM10724</t>
  </si>
  <si>
    <t>ITM10725</t>
  </si>
  <si>
    <t>ITM10726</t>
  </si>
  <si>
    <t>ITM10727</t>
  </si>
  <si>
    <t>ITM10728</t>
  </si>
  <si>
    <t>ITM10729</t>
  </si>
  <si>
    <t>ITM10730</t>
  </si>
  <si>
    <t>ITM10731</t>
  </si>
  <si>
    <t>ITM10732</t>
  </si>
  <si>
    <t>ITM10733</t>
  </si>
  <si>
    <t>ITM10734</t>
  </si>
  <si>
    <t>ITM10735</t>
  </si>
  <si>
    <t>ITM10736</t>
  </si>
  <si>
    <t>ITM10737</t>
  </si>
  <si>
    <t>ITM10738</t>
  </si>
  <si>
    <t>ITM10739</t>
  </si>
  <si>
    <t>ITM10740</t>
  </si>
  <si>
    <t>ITM10741</t>
  </si>
  <si>
    <t>ITM10742</t>
  </si>
  <si>
    <t>ITM10743</t>
  </si>
  <si>
    <t>ITM10744</t>
  </si>
  <si>
    <t>ITM10745</t>
  </si>
  <si>
    <t>ITM10746</t>
  </si>
  <si>
    <t>ITM10747</t>
  </si>
  <si>
    <t>ITM10748</t>
  </si>
  <si>
    <t>ITM10749</t>
  </si>
  <si>
    <t>ITM10750</t>
  </si>
  <si>
    <t>ITM10751</t>
  </si>
  <si>
    <t>ITM10752</t>
  </si>
  <si>
    <t>ITM10753</t>
  </si>
  <si>
    <t>ITM10754</t>
  </si>
  <si>
    <t>ITM10755</t>
  </si>
  <si>
    <t>ITM10756</t>
  </si>
  <si>
    <t>ITM10757</t>
  </si>
  <si>
    <t>ITM10758</t>
  </si>
  <si>
    <t>ITM10759</t>
  </si>
  <si>
    <t>ITM10760</t>
  </si>
  <si>
    <t>ITM10761</t>
  </si>
  <si>
    <t>ITM10762</t>
  </si>
  <si>
    <t>ITM10763</t>
  </si>
  <si>
    <t>ITM10764</t>
  </si>
  <si>
    <t>ITM10765</t>
  </si>
  <si>
    <t>ITM10766</t>
  </si>
  <si>
    <t>ITM10767</t>
  </si>
  <si>
    <t>ITM10768</t>
  </si>
  <si>
    <t>ITM10769</t>
  </si>
  <si>
    <t>ITM10770</t>
  </si>
  <si>
    <t>ITM10771</t>
  </si>
  <si>
    <t>ITM10772</t>
  </si>
  <si>
    <t>ITM10773</t>
  </si>
  <si>
    <t>ITM10774</t>
  </si>
  <si>
    <t>ITM10775</t>
  </si>
  <si>
    <t>ITM10776</t>
  </si>
  <si>
    <t>ITM10777</t>
  </si>
  <si>
    <t>ITM10778</t>
  </si>
  <si>
    <t>ITM10779</t>
  </si>
  <si>
    <t>ITM10780</t>
  </si>
  <si>
    <t>ITM10781</t>
  </si>
  <si>
    <t>ITM10782</t>
  </si>
  <si>
    <t>ITM10783</t>
  </si>
  <si>
    <t>ITM10784</t>
  </si>
  <si>
    <t>ITM10785</t>
  </si>
  <si>
    <t>ITM10786</t>
  </si>
  <si>
    <t>ITM10787</t>
  </si>
  <si>
    <t>ITM10788</t>
  </si>
  <si>
    <t>ITM10789</t>
  </si>
  <si>
    <t>ITM10790</t>
  </si>
  <si>
    <t>ITM10791</t>
  </si>
  <si>
    <t>ITM10792</t>
  </si>
  <si>
    <t>ITM10793</t>
  </si>
  <si>
    <t>ITM10794</t>
  </si>
  <si>
    <t>ITM10795</t>
  </si>
  <si>
    <t>ITM10796</t>
  </si>
  <si>
    <t>ITM10797</t>
  </si>
  <si>
    <t>ITM10798</t>
  </si>
  <si>
    <t>ITM10799</t>
  </si>
  <si>
    <t>ITM10800</t>
  </si>
  <si>
    <t>ITM10801</t>
  </si>
  <si>
    <t>ITM10802</t>
  </si>
  <si>
    <t>ITM10803</t>
  </si>
  <si>
    <t>ITM10804</t>
  </si>
  <si>
    <t>ITM10805</t>
  </si>
  <si>
    <t>ITM10806</t>
  </si>
  <si>
    <t>ITM10807</t>
  </si>
  <si>
    <t>ITM10808</t>
  </si>
  <si>
    <t>ITM10809</t>
  </si>
  <si>
    <t>ITM10810</t>
  </si>
  <si>
    <t>ITM10811</t>
  </si>
  <si>
    <t>ITM10812</t>
  </si>
  <si>
    <t>ITM10813</t>
  </si>
  <si>
    <t>ITM10814</t>
  </si>
  <si>
    <t>ITM10815</t>
  </si>
  <si>
    <t>ITM10816</t>
  </si>
  <si>
    <t>ITM10817</t>
  </si>
  <si>
    <t>ITM10818</t>
  </si>
  <si>
    <t>ITM10819</t>
  </si>
  <si>
    <t>ITM10820</t>
  </si>
  <si>
    <t>ITM10821</t>
  </si>
  <si>
    <t>ITM10822</t>
  </si>
  <si>
    <t>ITM10823</t>
  </si>
  <si>
    <t>ITM10824</t>
  </si>
  <si>
    <t>ITM10825</t>
  </si>
  <si>
    <t>ITM10826</t>
  </si>
  <si>
    <t>ITM10827</t>
  </si>
  <si>
    <t>ITM10828</t>
  </si>
  <si>
    <t>ITM10829</t>
  </si>
  <si>
    <t>ITM10830</t>
  </si>
  <si>
    <t>ITM10831</t>
  </si>
  <si>
    <t>ITM10832</t>
  </si>
  <si>
    <t>ITM10833</t>
  </si>
  <si>
    <t>ITM10834</t>
  </si>
  <si>
    <t>ITM10835</t>
  </si>
  <si>
    <t>ITM10836</t>
  </si>
  <si>
    <t>ITM10837</t>
  </si>
  <si>
    <t>ITM10838</t>
  </si>
  <si>
    <t>ITM10839</t>
  </si>
  <si>
    <t>ITM10840</t>
  </si>
  <si>
    <t>ITM10841</t>
  </si>
  <si>
    <t>ITM10842</t>
  </si>
  <si>
    <t>ITM10843</t>
  </si>
  <si>
    <t>ITM10844</t>
  </si>
  <si>
    <t>ITM10845</t>
  </si>
  <si>
    <t>ITM10846</t>
  </si>
  <si>
    <t>ITM10847</t>
  </si>
  <si>
    <t>ITM10848</t>
  </si>
  <si>
    <t>ITM10849</t>
  </si>
  <si>
    <t>ITM10850</t>
  </si>
  <si>
    <t>ITM10851</t>
  </si>
  <si>
    <t>ITM10852</t>
  </si>
  <si>
    <t>ITM10853</t>
  </si>
  <si>
    <t>ITM10854</t>
  </si>
  <si>
    <t>ITM10855</t>
  </si>
  <si>
    <t>ITM10856</t>
  </si>
  <si>
    <t>ITM10857</t>
  </si>
  <si>
    <t>ITM10858</t>
  </si>
  <si>
    <t>ITM10859</t>
  </si>
  <si>
    <t>ITM10860</t>
  </si>
  <si>
    <t>ITM10861</t>
  </si>
  <si>
    <t>ITM10862</t>
  </si>
  <si>
    <t>ITM10863</t>
  </si>
  <si>
    <t>ITM10864</t>
  </si>
  <si>
    <t>ITM10865</t>
  </si>
  <si>
    <t>ITM10866</t>
  </si>
  <si>
    <t>ITM10867</t>
  </si>
  <si>
    <t>ITM10868</t>
  </si>
  <si>
    <t>ITM10869</t>
  </si>
  <si>
    <t>ITM10870</t>
  </si>
  <si>
    <t>ITM10871</t>
  </si>
  <si>
    <t>ITM10872</t>
  </si>
  <si>
    <t>ITM10873</t>
  </si>
  <si>
    <t>ITM10874</t>
  </si>
  <si>
    <t>ITM10875</t>
  </si>
  <si>
    <t>ITM10876</t>
  </si>
  <si>
    <t>ITM10877</t>
  </si>
  <si>
    <t>ITM10878</t>
  </si>
  <si>
    <t>ITM10879</t>
  </si>
  <si>
    <t>ITM10880</t>
  </si>
  <si>
    <t>ITM10881</t>
  </si>
  <si>
    <t>ITM10882</t>
  </si>
  <si>
    <t>ITM10883</t>
  </si>
  <si>
    <t>ITM10884</t>
  </si>
  <si>
    <t>ITM10885</t>
  </si>
  <si>
    <t>ITM10886</t>
  </si>
  <si>
    <t>ITM10887</t>
  </si>
  <si>
    <t>ITM10888</t>
  </si>
  <si>
    <t>ITM10889</t>
  </si>
  <si>
    <t>ITM10890</t>
  </si>
  <si>
    <t>ITM10891</t>
  </si>
  <si>
    <t>ITM10892</t>
  </si>
  <si>
    <t>ITM10893</t>
  </si>
  <si>
    <t>ITM10894</t>
  </si>
  <si>
    <t>ITM10895</t>
  </si>
  <si>
    <t>ITM10896</t>
  </si>
  <si>
    <t>ITM10897</t>
  </si>
  <si>
    <t>ITM10898</t>
  </si>
  <si>
    <t>ITM10899</t>
  </si>
  <si>
    <t>ITM10900</t>
  </si>
  <si>
    <t>ITM10901</t>
  </si>
  <si>
    <t>ITM10902</t>
  </si>
  <si>
    <t>ITM10903</t>
  </si>
  <si>
    <t>ITM10904</t>
  </si>
  <si>
    <t>ITM10905</t>
  </si>
  <si>
    <t>ITM10906</t>
  </si>
  <si>
    <t>ITM10907</t>
  </si>
  <si>
    <t>ITM10908</t>
  </si>
  <si>
    <t>ITM10909</t>
  </si>
  <si>
    <t>ITM10910</t>
  </si>
  <si>
    <t>ITM10911</t>
  </si>
  <si>
    <t>ITM10912</t>
  </si>
  <si>
    <t>ITM10913</t>
  </si>
  <si>
    <t>ITM10914</t>
  </si>
  <si>
    <t>ITM10915</t>
  </si>
  <si>
    <t>ITM10916</t>
  </si>
  <si>
    <t>ITM10917</t>
  </si>
  <si>
    <t>ITM10918</t>
  </si>
  <si>
    <t>ITM10919</t>
  </si>
  <si>
    <t>ITM10920</t>
  </si>
  <si>
    <t>ITM10921</t>
  </si>
  <si>
    <t>ITM10922</t>
  </si>
  <si>
    <t>ITM10923</t>
  </si>
  <si>
    <t>ITM10924</t>
  </si>
  <si>
    <t>ITM10925</t>
  </si>
  <si>
    <t>ITM10926</t>
  </si>
  <si>
    <t>ITM10927</t>
  </si>
  <si>
    <t>ITM10928</t>
  </si>
  <si>
    <t>ITM10929</t>
  </si>
  <si>
    <t>ITM10930</t>
  </si>
  <si>
    <t>ITM10931</t>
  </si>
  <si>
    <t>ITM10932</t>
  </si>
  <si>
    <t>ITM10933</t>
  </si>
  <si>
    <t>ITM10934</t>
  </si>
  <si>
    <t>ITM10935</t>
  </si>
  <si>
    <t>ITM10936</t>
  </si>
  <si>
    <t>ITM10937</t>
  </si>
  <si>
    <t>ITM10938</t>
  </si>
  <si>
    <t>ITM10939</t>
  </si>
  <si>
    <t>ITM10940</t>
  </si>
  <si>
    <t>ITM10941</t>
  </si>
  <si>
    <t>ITM10942</t>
  </si>
  <si>
    <t>ITM10943</t>
  </si>
  <si>
    <t>ITM10944</t>
  </si>
  <si>
    <t>ITM10945</t>
  </si>
  <si>
    <t>ITM10946</t>
  </si>
  <si>
    <t>ITM10947</t>
  </si>
  <si>
    <t>ITM10948</t>
  </si>
  <si>
    <t>ITM10949</t>
  </si>
  <si>
    <t>ITM10950</t>
  </si>
  <si>
    <t>ITM10951</t>
  </si>
  <si>
    <t>ITM10952</t>
  </si>
  <si>
    <t>ITM10953</t>
  </si>
  <si>
    <t>ITM10954</t>
  </si>
  <si>
    <t>ITM10955</t>
  </si>
  <si>
    <t>ITM10956</t>
  </si>
  <si>
    <t>ITM10957</t>
  </si>
  <si>
    <t>ITM10958</t>
  </si>
  <si>
    <t>ITM10959</t>
  </si>
  <si>
    <t>ITM10960</t>
  </si>
  <si>
    <t>ITM10961</t>
  </si>
  <si>
    <t>ITM10962</t>
  </si>
  <si>
    <t>ITM10963</t>
  </si>
  <si>
    <t>ITM10964</t>
  </si>
  <si>
    <t>ITM10965</t>
  </si>
  <si>
    <t>ITM10966</t>
  </si>
  <si>
    <t>ITM10967</t>
  </si>
  <si>
    <t>ITM10968</t>
  </si>
  <si>
    <t>ITM10969</t>
  </si>
  <si>
    <t>ITM10970</t>
  </si>
  <si>
    <t>ITM10971</t>
  </si>
  <si>
    <t>ITM10972</t>
  </si>
  <si>
    <t>ITM10973</t>
  </si>
  <si>
    <t>ITM10974</t>
  </si>
  <si>
    <t>ITM10975</t>
  </si>
  <si>
    <t>ITM10976</t>
  </si>
  <si>
    <t>ITM10977</t>
  </si>
  <si>
    <t>ITM10978</t>
  </si>
  <si>
    <t>ITM10979</t>
  </si>
  <si>
    <t>ITM10980</t>
  </si>
  <si>
    <t>ITM10981</t>
  </si>
  <si>
    <t>ITM10982</t>
  </si>
  <si>
    <t>ITM10983</t>
  </si>
  <si>
    <t>ITM10984</t>
  </si>
  <si>
    <t>ITM10985</t>
  </si>
  <si>
    <t>ITM10986</t>
  </si>
  <si>
    <t>ITM10987</t>
  </si>
  <si>
    <t>ITM10988</t>
  </si>
  <si>
    <t>ITM10989</t>
  </si>
  <si>
    <t>ITM10990</t>
  </si>
  <si>
    <t>ITM10991</t>
  </si>
  <si>
    <t>ITM10992</t>
  </si>
  <si>
    <t>ITM10993</t>
  </si>
  <si>
    <t>ITM10994</t>
  </si>
  <si>
    <t>ITM10995</t>
  </si>
  <si>
    <t>ITM10996</t>
  </si>
  <si>
    <t>ITM10997</t>
  </si>
  <si>
    <t>ITM10998</t>
  </si>
  <si>
    <t>ITM10999</t>
  </si>
  <si>
    <t>ITM11000</t>
  </si>
  <si>
    <t>ITM11001</t>
  </si>
  <si>
    <t>ITM11002</t>
  </si>
  <si>
    <t>ITM11003</t>
  </si>
  <si>
    <t>ITM11004</t>
  </si>
  <si>
    <t>ITM11005</t>
  </si>
  <si>
    <t>ITM11006</t>
  </si>
  <si>
    <t>ITM11007</t>
  </si>
  <si>
    <t>ITM11008</t>
  </si>
  <si>
    <t>ITM11009</t>
  </si>
  <si>
    <t>ITM11010</t>
  </si>
  <si>
    <t>ITM11011</t>
  </si>
  <si>
    <t>ITM11012</t>
  </si>
  <si>
    <t>ITM11013</t>
  </si>
  <si>
    <t>ITM11014</t>
  </si>
  <si>
    <t>ITM11015</t>
  </si>
  <si>
    <t>ITM11016</t>
  </si>
  <si>
    <t>ITM11017</t>
  </si>
  <si>
    <t>ITM11018</t>
  </si>
  <si>
    <t>ITM11019</t>
  </si>
  <si>
    <t>ITM11020</t>
  </si>
  <si>
    <t>ITM11021</t>
  </si>
  <si>
    <t>ITM11022</t>
  </si>
  <si>
    <t>ITM11023</t>
  </si>
  <si>
    <t>ITM11024</t>
  </si>
  <si>
    <t>ITM11025</t>
  </si>
  <si>
    <t>ITM11026</t>
  </si>
  <si>
    <t>ITM11027</t>
  </si>
  <si>
    <t>ITM11028</t>
  </si>
  <si>
    <t>ITM11029</t>
  </si>
  <si>
    <t>ITM11030</t>
  </si>
  <si>
    <t>ITM11031</t>
  </si>
  <si>
    <t>ITM11032</t>
  </si>
  <si>
    <t>ITM11033</t>
  </si>
  <si>
    <t>ITM11034</t>
  </si>
  <si>
    <t>ITM11035</t>
  </si>
  <si>
    <t>ITM11036</t>
  </si>
  <si>
    <t>ITM11037</t>
  </si>
  <si>
    <t>ITM11038</t>
  </si>
  <si>
    <t>ITM11039</t>
  </si>
  <si>
    <t>ITM11040</t>
  </si>
  <si>
    <t>ITM11041</t>
  </si>
  <si>
    <t>ITM11042</t>
  </si>
  <si>
    <t>ITM11043</t>
  </si>
  <si>
    <t>ITM11044</t>
  </si>
  <si>
    <t>ITM11045</t>
  </si>
  <si>
    <t>ITM11046</t>
  </si>
  <si>
    <t>ITM11047</t>
  </si>
  <si>
    <t>ITM11048</t>
  </si>
  <si>
    <t>ITM11049</t>
  </si>
  <si>
    <t>ITM11050</t>
  </si>
  <si>
    <t>ITM11051</t>
  </si>
  <si>
    <t>ITM11052</t>
  </si>
  <si>
    <t>ITM11053</t>
  </si>
  <si>
    <t>ITM11054</t>
  </si>
  <si>
    <t>ITM11055</t>
  </si>
  <si>
    <t>ITM11056</t>
  </si>
  <si>
    <t>ITM11057</t>
  </si>
  <si>
    <t>ITM11058</t>
  </si>
  <si>
    <t>ITM11059</t>
  </si>
  <si>
    <t>ITM11060</t>
  </si>
  <si>
    <t>ITM11061</t>
  </si>
  <si>
    <t>ITM11062</t>
  </si>
  <si>
    <t>ITM11063</t>
  </si>
  <si>
    <t>ITM11064</t>
  </si>
  <si>
    <t>ITM11065</t>
  </si>
  <si>
    <t>ITM11066</t>
  </si>
  <si>
    <t>ITM11067</t>
  </si>
  <si>
    <t>ITM11068</t>
  </si>
  <si>
    <t>ITM11069</t>
  </si>
  <si>
    <t>ITM11070</t>
  </si>
  <si>
    <t>ITM11071</t>
  </si>
  <si>
    <t>ITM11072</t>
  </si>
  <si>
    <t>ITM11073</t>
  </si>
  <si>
    <t>ITM11074</t>
  </si>
  <si>
    <t>ITM11075</t>
  </si>
  <si>
    <t>ITM11076</t>
  </si>
  <si>
    <t>ITM11077</t>
  </si>
  <si>
    <t>ITM11078</t>
  </si>
  <si>
    <t>ITM11079</t>
  </si>
  <si>
    <t>ITM11080</t>
  </si>
  <si>
    <t>ITM11081</t>
  </si>
  <si>
    <t>ITM11082</t>
  </si>
  <si>
    <t>ITM11083</t>
  </si>
  <si>
    <t>ITM11084</t>
  </si>
  <si>
    <t>ITM11085</t>
  </si>
  <si>
    <t>ITM11086</t>
  </si>
  <si>
    <t>ITM11087</t>
  </si>
  <si>
    <t>ITM11088</t>
  </si>
  <si>
    <t>ITM11089</t>
  </si>
  <si>
    <t>ITM11090</t>
  </si>
  <si>
    <t>ITM11091</t>
  </si>
  <si>
    <t>ITM11092</t>
  </si>
  <si>
    <t>ITM11093</t>
  </si>
  <si>
    <t>ITM11094</t>
  </si>
  <si>
    <t>ITM11095</t>
  </si>
  <si>
    <t>ITM11096</t>
  </si>
  <si>
    <t>ITM11097</t>
  </si>
  <si>
    <t>ITM11098</t>
  </si>
  <si>
    <t>ITM11099</t>
  </si>
  <si>
    <t>ITM11100</t>
  </si>
  <si>
    <t>ITM11101</t>
  </si>
  <si>
    <t>ITM11102</t>
  </si>
  <si>
    <t>ITM11103</t>
  </si>
  <si>
    <t>ITM11104</t>
  </si>
  <si>
    <t>ITM11105</t>
  </si>
  <si>
    <t>ITM11106</t>
  </si>
  <si>
    <t>ITM11107</t>
  </si>
  <si>
    <t>ITM11108</t>
  </si>
  <si>
    <t>ITM11109</t>
  </si>
  <si>
    <t>ITM11110</t>
  </si>
  <si>
    <t>ITM11111</t>
  </si>
  <si>
    <t>ITM11112</t>
  </si>
  <si>
    <t>ITM11113</t>
  </si>
  <si>
    <t>ITM11114</t>
  </si>
  <si>
    <t>ITM11115</t>
  </si>
  <si>
    <t>ITM11116</t>
  </si>
  <si>
    <t>ITM11117</t>
  </si>
  <si>
    <t>ITM11118</t>
  </si>
  <si>
    <t>ITM11119</t>
  </si>
  <si>
    <t>ITM11120</t>
  </si>
  <si>
    <t>ITM11121</t>
  </si>
  <si>
    <t>ITM11122</t>
  </si>
  <si>
    <t>ITM11123</t>
  </si>
  <si>
    <t>ITM11124</t>
  </si>
  <si>
    <t>ITM11125</t>
  </si>
  <si>
    <t>ITM11126</t>
  </si>
  <si>
    <t>ITM11127</t>
  </si>
  <si>
    <t>ITM11128</t>
  </si>
  <si>
    <t>ITM11129</t>
  </si>
  <si>
    <t>ITM11130</t>
  </si>
  <si>
    <t>ITM11131</t>
  </si>
  <si>
    <t>ITM11132</t>
  </si>
  <si>
    <t>ITM11133</t>
  </si>
  <si>
    <t>ITM11134</t>
  </si>
  <si>
    <t>ITM11135</t>
  </si>
  <si>
    <t>ITM11136</t>
  </si>
  <si>
    <t>ITM11137</t>
  </si>
  <si>
    <t>ITM11138</t>
  </si>
  <si>
    <t>ITM11139</t>
  </si>
  <si>
    <t>ITM11140</t>
  </si>
  <si>
    <t>ITM11141</t>
  </si>
  <si>
    <t>ITM11142</t>
  </si>
  <si>
    <t>ITM11143</t>
  </si>
  <si>
    <t>ITM11144</t>
  </si>
  <si>
    <t>ITM11145</t>
  </si>
  <si>
    <t>ITM11146</t>
  </si>
  <si>
    <t>ITM11147</t>
  </si>
  <si>
    <t>ITM11148</t>
  </si>
  <si>
    <t>ITM11149</t>
  </si>
  <si>
    <t>ITM11150</t>
  </si>
  <si>
    <t>ITM11151</t>
  </si>
  <si>
    <t>ITM11152</t>
  </si>
  <si>
    <t>ITM11153</t>
  </si>
  <si>
    <t>ITM11154</t>
  </si>
  <si>
    <t>ITM11155</t>
  </si>
  <si>
    <t>ITM11156</t>
  </si>
  <si>
    <t>ITM11157</t>
  </si>
  <si>
    <t>ITM11158</t>
  </si>
  <si>
    <t>ITM11159</t>
  </si>
  <si>
    <t>ITM11160</t>
  </si>
  <si>
    <t>ITM11161</t>
  </si>
  <si>
    <t>ITM11162</t>
  </si>
  <si>
    <t>ITM11163</t>
  </si>
  <si>
    <t>ITM11164</t>
  </si>
  <si>
    <t>ITM11165</t>
  </si>
  <si>
    <t>ITM11166</t>
  </si>
  <si>
    <t>ITM11167</t>
  </si>
  <si>
    <t>ITM11168</t>
  </si>
  <si>
    <t>ITM11169</t>
  </si>
  <si>
    <t>ITM11170</t>
  </si>
  <si>
    <t>ITM11171</t>
  </si>
  <si>
    <t>ITM11172</t>
  </si>
  <si>
    <t>ITM11173</t>
  </si>
  <si>
    <t>ITM11174</t>
  </si>
  <si>
    <t>ITM11175</t>
  </si>
  <si>
    <t>ITM11176</t>
  </si>
  <si>
    <t>ITM11177</t>
  </si>
  <si>
    <t>ITM11178</t>
  </si>
  <si>
    <t>ITM11179</t>
  </si>
  <si>
    <t>ITM11180</t>
  </si>
  <si>
    <t>ITM11181</t>
  </si>
  <si>
    <t>ITM11182</t>
  </si>
  <si>
    <t>ITM11183</t>
  </si>
  <si>
    <t>ITM11184</t>
  </si>
  <si>
    <t>ITM11185</t>
  </si>
  <si>
    <t>ITM11186</t>
  </si>
  <si>
    <t>ITM11187</t>
  </si>
  <si>
    <t>ITM11188</t>
  </si>
  <si>
    <t>ITM11189</t>
  </si>
  <si>
    <t>ITM11190</t>
  </si>
  <si>
    <t>ITM11191</t>
  </si>
  <si>
    <t>ITM11192</t>
  </si>
  <si>
    <t>ITM11193</t>
  </si>
  <si>
    <t>ITM11194</t>
  </si>
  <si>
    <t>ITM11195</t>
  </si>
  <si>
    <t>ITM11196</t>
  </si>
  <si>
    <t>ITM11197</t>
  </si>
  <si>
    <t>ITM11198</t>
  </si>
  <si>
    <t>ITM11199</t>
  </si>
  <si>
    <t>ITM11200</t>
  </si>
  <si>
    <t>ITM11201</t>
  </si>
  <si>
    <t>ITM11202</t>
  </si>
  <si>
    <t>ITM11203</t>
  </si>
  <si>
    <t>ITM11204</t>
  </si>
  <si>
    <t>ITM11205</t>
  </si>
  <si>
    <t>ITM11206</t>
  </si>
  <si>
    <t>ITM11207</t>
  </si>
  <si>
    <t>ITM11208</t>
  </si>
  <si>
    <t>ITM11209</t>
  </si>
  <si>
    <t>ITM11210</t>
  </si>
  <si>
    <t>ITM11211</t>
  </si>
  <si>
    <t>ITM11212</t>
  </si>
  <si>
    <t>ITM11213</t>
  </si>
  <si>
    <t>ITM11214</t>
  </si>
  <si>
    <t>ITM11215</t>
  </si>
  <si>
    <t>ITM11216</t>
  </si>
  <si>
    <t>ITM11217</t>
  </si>
  <si>
    <t>ITM11218</t>
  </si>
  <si>
    <t>ITM11219</t>
  </si>
  <si>
    <t>ITM11220</t>
  </si>
  <si>
    <t>ITM11221</t>
  </si>
  <si>
    <t>ITM11222</t>
  </si>
  <si>
    <t>ITM11223</t>
  </si>
  <si>
    <t>ITM11224</t>
  </si>
  <si>
    <t>ITM11225</t>
  </si>
  <si>
    <t>ITM11226</t>
  </si>
  <si>
    <t>ITM11227</t>
  </si>
  <si>
    <t>ITM11228</t>
  </si>
  <si>
    <t>ITM11229</t>
  </si>
  <si>
    <t>ITM11230</t>
  </si>
  <si>
    <t>ITM11231</t>
  </si>
  <si>
    <t>ITM11232</t>
  </si>
  <si>
    <t>ITM11233</t>
  </si>
  <si>
    <t>ITM11234</t>
  </si>
  <si>
    <t>ITM11235</t>
  </si>
  <si>
    <t>ITM11236</t>
  </si>
  <si>
    <t>ITM11237</t>
  </si>
  <si>
    <t>ITM11238</t>
  </si>
  <si>
    <t>ITM11239</t>
  </si>
  <si>
    <t>ITM11240</t>
  </si>
  <si>
    <t>ITM11241</t>
  </si>
  <si>
    <t>ITM11242</t>
  </si>
  <si>
    <t>ITM11243</t>
  </si>
  <si>
    <t>ITM11244</t>
  </si>
  <si>
    <t>ITM11245</t>
  </si>
  <si>
    <t>ITM11246</t>
  </si>
  <si>
    <t>ITM11247</t>
  </si>
  <si>
    <t>ITM11248</t>
  </si>
  <si>
    <t>ITM11249</t>
  </si>
  <si>
    <t>ITM11250</t>
  </si>
  <si>
    <t>ITM11251</t>
  </si>
  <si>
    <t>ITM11252</t>
  </si>
  <si>
    <t>ITM11253</t>
  </si>
  <si>
    <t>ITM11254</t>
  </si>
  <si>
    <t>ITM11255</t>
  </si>
  <si>
    <t>ITM11256</t>
  </si>
  <si>
    <t>ITM11257</t>
  </si>
  <si>
    <t>ITM11258</t>
  </si>
  <si>
    <t>ITM11259</t>
  </si>
  <si>
    <t>ITM11260</t>
  </si>
  <si>
    <t>ITM11261</t>
  </si>
  <si>
    <t>ITM11262</t>
  </si>
  <si>
    <t>ITM11263</t>
  </si>
  <si>
    <t>ITM11264</t>
  </si>
  <si>
    <t>ITM11265</t>
  </si>
  <si>
    <t>ITM11266</t>
  </si>
  <si>
    <t>ITM11267</t>
  </si>
  <si>
    <t>ITM11268</t>
  </si>
  <si>
    <t>ITM11269</t>
  </si>
  <si>
    <t>ITM11270</t>
  </si>
  <si>
    <t>ITM11271</t>
  </si>
  <si>
    <t>ITM11272</t>
  </si>
  <si>
    <t>ITM11273</t>
  </si>
  <si>
    <t>ITM11274</t>
  </si>
  <si>
    <t>ITM11275</t>
  </si>
  <si>
    <t>ITM11276</t>
  </si>
  <si>
    <t>ITM11277</t>
  </si>
  <si>
    <t>ITM11278</t>
  </si>
  <si>
    <t>ITM11279</t>
  </si>
  <si>
    <t>ITM11280</t>
  </si>
  <si>
    <t>ITM11281</t>
  </si>
  <si>
    <t>ITM11282</t>
  </si>
  <si>
    <t>ITM11283</t>
  </si>
  <si>
    <t>ITM11284</t>
  </si>
  <si>
    <t>ITM11285</t>
  </si>
  <si>
    <t>ITM11286</t>
  </si>
  <si>
    <t>ITM11287</t>
  </si>
  <si>
    <t>ITM11288</t>
  </si>
  <si>
    <t>ITM11289</t>
  </si>
  <si>
    <t>ITM11290</t>
  </si>
  <si>
    <t>ITM11291</t>
  </si>
  <si>
    <t>ITM11292</t>
  </si>
  <si>
    <t>ITM11293</t>
  </si>
  <si>
    <t>ITM11294</t>
  </si>
  <si>
    <t>ITM11295</t>
  </si>
  <si>
    <t>ITM11296</t>
  </si>
  <si>
    <t>ITM11297</t>
  </si>
  <si>
    <t>ITM11298</t>
  </si>
  <si>
    <t>ITM11299</t>
  </si>
  <si>
    <t>ITM11300</t>
  </si>
  <si>
    <t>ITM11301</t>
  </si>
  <si>
    <t>ITM11302</t>
  </si>
  <si>
    <t>ITM11303</t>
  </si>
  <si>
    <t>ITM11304</t>
  </si>
  <si>
    <t>ITM11305</t>
  </si>
  <si>
    <t>ITM11306</t>
  </si>
  <si>
    <t>ITM11307</t>
  </si>
  <si>
    <t>ITM11308</t>
  </si>
  <si>
    <t>ITM11309</t>
  </si>
  <si>
    <t>ITM11310</t>
  </si>
  <si>
    <t>ITM11311</t>
  </si>
  <si>
    <t>ITM11312</t>
  </si>
  <si>
    <t>ITM11313</t>
  </si>
  <si>
    <t>ITM11314</t>
  </si>
  <si>
    <t>ITM11315</t>
  </si>
  <si>
    <t>ITM11316</t>
  </si>
  <si>
    <t>ITM11317</t>
  </si>
  <si>
    <t>ITM11318</t>
  </si>
  <si>
    <t>ITM11319</t>
  </si>
  <si>
    <t>ITM11320</t>
  </si>
  <si>
    <t>ITM11321</t>
  </si>
  <si>
    <t>ITM11322</t>
  </si>
  <si>
    <t>ITM11323</t>
  </si>
  <si>
    <t>ITM11324</t>
  </si>
  <si>
    <t>ITM11325</t>
  </si>
  <si>
    <t>ITM11326</t>
  </si>
  <si>
    <t>ITM11327</t>
  </si>
  <si>
    <t>ITM11328</t>
  </si>
  <si>
    <t>ITM11329</t>
  </si>
  <si>
    <t>ITM11330</t>
  </si>
  <si>
    <t>ITM11331</t>
  </si>
  <si>
    <t>ITM11332</t>
  </si>
  <si>
    <t>ITM11333</t>
  </si>
  <si>
    <t>ITM11334</t>
  </si>
  <si>
    <t>ITM11335</t>
  </si>
  <si>
    <t>ITM11336</t>
  </si>
  <si>
    <t>ITM11337</t>
  </si>
  <si>
    <t>ITM11338</t>
  </si>
  <si>
    <t>ITM11339</t>
  </si>
  <si>
    <t>ITM11340</t>
  </si>
  <si>
    <t>ITM11341</t>
  </si>
  <si>
    <t>ITM11342</t>
  </si>
  <si>
    <t>ITM11343</t>
  </si>
  <si>
    <t>ITM11344</t>
  </si>
  <si>
    <t>ITM11345</t>
  </si>
  <si>
    <t>ITM11346</t>
  </si>
  <si>
    <t>ITM11347</t>
  </si>
  <si>
    <t>ITM11348</t>
  </si>
  <si>
    <t>ITM11349</t>
  </si>
  <si>
    <t>ITM11350</t>
  </si>
  <si>
    <t>ITM11351</t>
  </si>
  <si>
    <t>ITM11352</t>
  </si>
  <si>
    <t>ITM11353</t>
  </si>
  <si>
    <t>ITM11354</t>
  </si>
  <si>
    <t>ITM11355</t>
  </si>
  <si>
    <t>ITM11356</t>
  </si>
  <si>
    <t>ITM11357</t>
  </si>
  <si>
    <t>ITM11358</t>
  </si>
  <si>
    <t>ITM11359</t>
  </si>
  <si>
    <t>ITM11360</t>
  </si>
  <si>
    <t>ITM11361</t>
  </si>
  <si>
    <t>ITM11362</t>
  </si>
  <si>
    <t>ITM11363</t>
  </si>
  <si>
    <t>ITM11364</t>
  </si>
  <si>
    <t>ITM11365</t>
  </si>
  <si>
    <t>ITM11366</t>
  </si>
  <si>
    <t>ITM11367</t>
  </si>
  <si>
    <t>ITM11368</t>
  </si>
  <si>
    <t>ITM11369</t>
  </si>
  <si>
    <t>ITM11370</t>
  </si>
  <si>
    <t>ITM11371</t>
  </si>
  <si>
    <t>ITM11372</t>
  </si>
  <si>
    <t>ITM11373</t>
  </si>
  <si>
    <t>ITM11374</t>
  </si>
  <si>
    <t>ITM11375</t>
  </si>
  <si>
    <t>ITM11376</t>
  </si>
  <si>
    <t>ITM11377</t>
  </si>
  <si>
    <t>ITM11378</t>
  </si>
  <si>
    <t>ITM11379</t>
  </si>
  <si>
    <t>ITM11380</t>
  </si>
  <si>
    <t>ITM11381</t>
  </si>
  <si>
    <t>ITM11382</t>
  </si>
  <si>
    <t>ITM11383</t>
  </si>
  <si>
    <t>ITM11384</t>
  </si>
  <si>
    <t>ITM11385</t>
  </si>
  <si>
    <t>ITM11386</t>
  </si>
  <si>
    <t>ITM11387</t>
  </si>
  <si>
    <t>ITM11388</t>
  </si>
  <si>
    <t>ITM11389</t>
  </si>
  <si>
    <t>ITM11390</t>
  </si>
  <si>
    <t>ITM11391</t>
  </si>
  <si>
    <t>ITM11392</t>
  </si>
  <si>
    <t>ITM11393</t>
  </si>
  <si>
    <t>ITM11394</t>
  </si>
  <si>
    <t>ITM11395</t>
  </si>
  <si>
    <t>ITM11396</t>
  </si>
  <si>
    <t>ITM11397</t>
  </si>
  <si>
    <t>ITM11398</t>
  </si>
  <si>
    <t>ITM11399</t>
  </si>
  <si>
    <t>ITM11400</t>
  </si>
  <si>
    <t>ITM11401</t>
  </si>
  <si>
    <t>ITM11402</t>
  </si>
  <si>
    <t>ITM11403</t>
  </si>
  <si>
    <t>ITM11404</t>
  </si>
  <si>
    <t>ITM11405</t>
  </si>
  <si>
    <t>ITM11406</t>
  </si>
  <si>
    <t>ITM11407</t>
  </si>
  <si>
    <t>ITM11408</t>
  </si>
  <si>
    <t>ITM11409</t>
  </si>
  <si>
    <t>ITM11410</t>
  </si>
  <si>
    <t>ITM11411</t>
  </si>
  <si>
    <t>ITM11412</t>
  </si>
  <si>
    <t>ITM11413</t>
  </si>
  <si>
    <t>ITM11414</t>
  </si>
  <si>
    <t>ITM11415</t>
  </si>
  <si>
    <t>ITM11416</t>
  </si>
  <si>
    <t>ITM11417</t>
  </si>
  <si>
    <t>ITM11418</t>
  </si>
  <si>
    <t>ITM11419</t>
  </si>
  <si>
    <t>ITM11420</t>
  </si>
  <si>
    <t>ITM11421</t>
  </si>
  <si>
    <t>ITM11422</t>
  </si>
  <si>
    <t>ITM11423</t>
  </si>
  <si>
    <t>ITM11424</t>
  </si>
  <si>
    <t>ITM11425</t>
  </si>
  <si>
    <t>ITM11426</t>
  </si>
  <si>
    <t>ITM11427</t>
  </si>
  <si>
    <t>ITM11428</t>
  </si>
  <si>
    <t>ITM11429</t>
  </si>
  <si>
    <t>ITM11430</t>
  </si>
  <si>
    <t>ITM11431</t>
  </si>
  <si>
    <t>ITM11432</t>
  </si>
  <si>
    <t>ITM11433</t>
  </si>
  <si>
    <t>ITM11434</t>
  </si>
  <si>
    <t>ITM11435</t>
  </si>
  <si>
    <t>ITM11436</t>
  </si>
  <si>
    <t>ITM11437</t>
  </si>
  <si>
    <t>ITM11438</t>
  </si>
  <si>
    <t>ITM11439</t>
  </si>
  <si>
    <t>ITM11440</t>
  </si>
  <si>
    <t>ITM11441</t>
  </si>
  <si>
    <t>ITM11442</t>
  </si>
  <si>
    <t>ITM11443</t>
  </si>
  <si>
    <t>ITM11444</t>
  </si>
  <si>
    <t>ITM11445</t>
  </si>
  <si>
    <t>ITM11446</t>
  </si>
  <si>
    <t>ITM11447</t>
  </si>
  <si>
    <t>ITM11448</t>
  </si>
  <si>
    <t>ITM11449</t>
  </si>
  <si>
    <t>ITM11450</t>
  </si>
  <si>
    <t>ITM11451</t>
  </si>
  <si>
    <t>ITM11452</t>
  </si>
  <si>
    <t>ITM11453</t>
  </si>
  <si>
    <t>ITM11454</t>
  </si>
  <si>
    <t>ITM11455</t>
  </si>
  <si>
    <t>ITM11456</t>
  </si>
  <si>
    <t>ITM11457</t>
  </si>
  <si>
    <t>ITM11458</t>
  </si>
  <si>
    <t>ITM11459</t>
  </si>
  <si>
    <t>ITM11460</t>
  </si>
  <si>
    <t>ITM11461</t>
  </si>
  <si>
    <t>ITM11462</t>
  </si>
  <si>
    <t>ITM11463</t>
  </si>
  <si>
    <t>ITM11464</t>
  </si>
  <si>
    <t>ITM11465</t>
  </si>
  <si>
    <t>ITM11466</t>
  </si>
  <si>
    <t>ITM11467</t>
  </si>
  <si>
    <t>ITM11468</t>
  </si>
  <si>
    <t>ITM11469</t>
  </si>
  <si>
    <t>ITM11470</t>
  </si>
  <si>
    <t>ITM11471</t>
  </si>
  <si>
    <t>ITM11472</t>
  </si>
  <si>
    <t>ITM11473</t>
  </si>
  <si>
    <t>ITM11474</t>
  </si>
  <si>
    <t>ITM11475</t>
  </si>
  <si>
    <t>ITM11476</t>
  </si>
  <si>
    <t>ITM11477</t>
  </si>
  <si>
    <t>ITM11478</t>
  </si>
  <si>
    <t>ITM11479</t>
  </si>
  <si>
    <t>ITM11480</t>
  </si>
  <si>
    <t>ITM11481</t>
  </si>
  <si>
    <t>ITM11482</t>
  </si>
  <si>
    <t>ITM11483</t>
  </si>
  <si>
    <t>ITM11484</t>
  </si>
  <si>
    <t>ITM11485</t>
  </si>
  <si>
    <t>ITM11486</t>
  </si>
  <si>
    <t>ITM11487</t>
  </si>
  <si>
    <t>ITM11488</t>
  </si>
  <si>
    <t>ITM11489</t>
  </si>
  <si>
    <t>ITM11490</t>
  </si>
  <si>
    <t>ITM11491</t>
  </si>
  <si>
    <t>ITM11492</t>
  </si>
  <si>
    <t>ITM11493</t>
  </si>
  <si>
    <t>ITM11494</t>
  </si>
  <si>
    <t>ITM11495</t>
  </si>
  <si>
    <t>ITM11496</t>
  </si>
  <si>
    <t>ITM11497</t>
  </si>
  <si>
    <t>ITM11498</t>
  </si>
  <si>
    <t>ITM11499</t>
  </si>
  <si>
    <t>ITM11500</t>
  </si>
  <si>
    <t>ITM11501</t>
  </si>
  <si>
    <t>ITM11502</t>
  </si>
  <si>
    <t>ITM11503</t>
  </si>
  <si>
    <t>ITM11504</t>
  </si>
  <si>
    <t>ITM11505</t>
  </si>
  <si>
    <t>ITM11506</t>
  </si>
  <si>
    <t>ITM11507</t>
  </si>
  <si>
    <t>ITM11508</t>
  </si>
  <si>
    <t>ITM11509</t>
  </si>
  <si>
    <t>ITM11510</t>
  </si>
  <si>
    <t>ITM11511</t>
  </si>
  <si>
    <t>ITM11512</t>
  </si>
  <si>
    <t>ITM11513</t>
  </si>
  <si>
    <t>ITM11514</t>
  </si>
  <si>
    <t>ITM11515</t>
  </si>
  <si>
    <t>ITM11516</t>
  </si>
  <si>
    <t>ITM11517</t>
  </si>
  <si>
    <t>ITM11518</t>
  </si>
  <si>
    <t>ITM11519</t>
  </si>
  <si>
    <t>ITM11520</t>
  </si>
  <si>
    <t>ITM11521</t>
  </si>
  <si>
    <t>ITM11522</t>
  </si>
  <si>
    <t>ITM11523</t>
  </si>
  <si>
    <t>ITM11524</t>
  </si>
  <si>
    <t>ITM11525</t>
  </si>
  <si>
    <t>ITM11526</t>
  </si>
  <si>
    <t>ITM11527</t>
  </si>
  <si>
    <t>ITM11528</t>
  </si>
  <si>
    <t>ITM11529</t>
  </si>
  <si>
    <t>ITM11530</t>
  </si>
  <si>
    <t>ITM11531</t>
  </si>
  <si>
    <t>ITM11532</t>
  </si>
  <si>
    <t>ITM11533</t>
  </si>
  <si>
    <t>ITM11534</t>
  </si>
  <si>
    <t>ITM11535</t>
  </si>
  <si>
    <t>ITM11536</t>
  </si>
  <si>
    <t>ITM11537</t>
  </si>
  <si>
    <t>ITM11538</t>
  </si>
  <si>
    <t>ITM11539</t>
  </si>
  <si>
    <t>ITM11540</t>
  </si>
  <si>
    <t>ITM11541</t>
  </si>
  <si>
    <t>ITM11542</t>
  </si>
  <si>
    <t>ITM11543</t>
  </si>
  <si>
    <t>ITM11544</t>
  </si>
  <si>
    <t>ITM11545</t>
  </si>
  <si>
    <t>ITM11546</t>
  </si>
  <si>
    <t>ITM11547</t>
  </si>
  <si>
    <t>ITM11548</t>
  </si>
  <si>
    <t>ITM11549</t>
  </si>
  <si>
    <t>ITM11550</t>
  </si>
  <si>
    <t>ITM11551</t>
  </si>
  <si>
    <t>ITM11552</t>
  </si>
  <si>
    <t>ITM11553</t>
  </si>
  <si>
    <t>ITM11554</t>
  </si>
  <si>
    <t>ITM11555</t>
  </si>
  <si>
    <t>ITM11556</t>
  </si>
  <si>
    <t>ITM11557</t>
  </si>
  <si>
    <t>ITM11558</t>
  </si>
  <si>
    <t>ITM11559</t>
  </si>
  <si>
    <t>ITM11560</t>
  </si>
  <si>
    <t>ITM11561</t>
  </si>
  <si>
    <t>ITM11562</t>
  </si>
  <si>
    <t>ITM11563</t>
  </si>
  <si>
    <t>ITM11564</t>
  </si>
  <si>
    <t>ITM11565</t>
  </si>
  <si>
    <t>ITM11566</t>
  </si>
  <si>
    <t>ITM11567</t>
  </si>
  <si>
    <t>ITM11568</t>
  </si>
  <si>
    <t>ITM11569</t>
  </si>
  <si>
    <t>ITM11570</t>
  </si>
  <si>
    <t>ITM11571</t>
  </si>
  <si>
    <t>ITM11572</t>
  </si>
  <si>
    <t>ITM11573</t>
  </si>
  <si>
    <t>ITM11574</t>
  </si>
  <si>
    <t>ITM11575</t>
  </si>
  <si>
    <t>ITM11576</t>
  </si>
  <si>
    <t>ITM11577</t>
  </si>
  <si>
    <t>ITM11578</t>
  </si>
  <si>
    <t>ITM11579</t>
  </si>
  <si>
    <t>ITM11580</t>
  </si>
  <si>
    <t>ITM11581</t>
  </si>
  <si>
    <t>ITM11582</t>
  </si>
  <si>
    <t>ITM11583</t>
  </si>
  <si>
    <t>ITM11584</t>
  </si>
  <si>
    <t>ITM11585</t>
  </si>
  <si>
    <t>ITM11586</t>
  </si>
  <si>
    <t>ITM11587</t>
  </si>
  <si>
    <t>ITM11588</t>
  </si>
  <si>
    <t>ITM11589</t>
  </si>
  <si>
    <t>ITM11590</t>
  </si>
  <si>
    <t>ITM11591</t>
  </si>
  <si>
    <t>ITM11592</t>
  </si>
  <si>
    <t>ITM11593</t>
  </si>
  <si>
    <t>ITM11594</t>
  </si>
  <si>
    <t>ITM11595</t>
  </si>
  <si>
    <t>ITM11596</t>
  </si>
  <si>
    <t>ITM11597</t>
  </si>
  <si>
    <t>ITM11598</t>
  </si>
  <si>
    <t>ITM11599</t>
  </si>
  <si>
    <t>ITM11600</t>
  </si>
  <si>
    <t>ITM11601</t>
  </si>
  <si>
    <t>ITM11602</t>
  </si>
  <si>
    <t>ITM11603</t>
  </si>
  <si>
    <t>ITM11604</t>
  </si>
  <si>
    <t>ITM11605</t>
  </si>
  <si>
    <t>ITM11606</t>
  </si>
  <si>
    <t>ITM11607</t>
  </si>
  <si>
    <t>ITM11608</t>
  </si>
  <si>
    <t>ITM11609</t>
  </si>
  <si>
    <t>ITM11610</t>
  </si>
  <si>
    <t>ITM11611</t>
  </si>
  <si>
    <t>ITM11612</t>
  </si>
  <si>
    <t>ITM11613</t>
  </si>
  <si>
    <t>ITM11614</t>
  </si>
  <si>
    <t>ITM11615</t>
  </si>
  <si>
    <t>ITM11616</t>
  </si>
  <si>
    <t>ITM11617</t>
  </si>
  <si>
    <t>ITM11618</t>
  </si>
  <si>
    <t>ITM11619</t>
  </si>
  <si>
    <t>ITM11620</t>
  </si>
  <si>
    <t>ITM11621</t>
  </si>
  <si>
    <t>ITM11622</t>
  </si>
  <si>
    <t>ITM11623</t>
  </si>
  <si>
    <t>ITM11624</t>
  </si>
  <si>
    <t>ITM11625</t>
  </si>
  <si>
    <t>ITM11626</t>
  </si>
  <si>
    <t>ITM11627</t>
  </si>
  <si>
    <t>ITM11628</t>
  </si>
  <si>
    <t>ITM11629</t>
  </si>
  <si>
    <t>ITM11630</t>
  </si>
  <si>
    <t>ITM11631</t>
  </si>
  <si>
    <t>ITM11632</t>
  </si>
  <si>
    <t>ITM11633</t>
  </si>
  <si>
    <t>ITM11634</t>
  </si>
  <si>
    <t>ITM11635</t>
  </si>
  <si>
    <t>ITM11636</t>
  </si>
  <si>
    <t>ITM11637</t>
  </si>
  <si>
    <t>ITM11638</t>
  </si>
  <si>
    <t>ITM11639</t>
  </si>
  <si>
    <t>ITM11640</t>
  </si>
  <si>
    <t>ITM11641</t>
  </si>
  <si>
    <t>ITM11642</t>
  </si>
  <si>
    <t>ITM11643</t>
  </si>
  <si>
    <t>ITM11644</t>
  </si>
  <si>
    <t>ITM11645</t>
  </si>
  <si>
    <t>ITM11646</t>
  </si>
  <si>
    <t>ITM11647</t>
  </si>
  <si>
    <t>ITM11648</t>
  </si>
  <si>
    <t>ITM11649</t>
  </si>
  <si>
    <t>ITM11650</t>
  </si>
  <si>
    <t>ITM11651</t>
  </si>
  <si>
    <t>ITM11652</t>
  </si>
  <si>
    <t>ITM11653</t>
  </si>
  <si>
    <t>ITM11654</t>
  </si>
  <si>
    <t>ITM11655</t>
  </si>
  <si>
    <t>ITM11656</t>
  </si>
  <si>
    <t>ITM11657</t>
  </si>
  <si>
    <t>ITM11658</t>
  </si>
  <si>
    <t>ITM11659</t>
  </si>
  <si>
    <t>ITM11660</t>
  </si>
  <si>
    <t>ITM11661</t>
  </si>
  <si>
    <t>ITM11662</t>
  </si>
  <si>
    <t>ITM11663</t>
  </si>
  <si>
    <t>ITM11664</t>
  </si>
  <si>
    <t>ITM11665</t>
  </si>
  <si>
    <t>ITM11666</t>
  </si>
  <si>
    <t>ITM11667</t>
  </si>
  <si>
    <t>ITM11668</t>
  </si>
  <si>
    <t>ITM11669</t>
  </si>
  <si>
    <t>ITM11670</t>
  </si>
  <si>
    <t>ITM11671</t>
  </si>
  <si>
    <t>ITM11672</t>
  </si>
  <si>
    <t>ITM11673</t>
  </si>
  <si>
    <t>ITM11674</t>
  </si>
  <si>
    <t>ITM11675</t>
  </si>
  <si>
    <t>ITM11676</t>
  </si>
  <si>
    <t>ITM11677</t>
  </si>
  <si>
    <t>ITM11678</t>
  </si>
  <si>
    <t>ITM11679</t>
  </si>
  <si>
    <t>ITM11680</t>
  </si>
  <si>
    <t>ITM11681</t>
  </si>
  <si>
    <t>ITM11682</t>
  </si>
  <si>
    <t>ITM11683</t>
  </si>
  <si>
    <t>ITM11684</t>
  </si>
  <si>
    <t>ITM11685</t>
  </si>
  <si>
    <t>ITM11686</t>
  </si>
  <si>
    <t>ITM11687</t>
  </si>
  <si>
    <t>ITM11688</t>
  </si>
  <si>
    <t>ITM11689</t>
  </si>
  <si>
    <t>ITM11690</t>
  </si>
  <si>
    <t>ITM11691</t>
  </si>
  <si>
    <t>ITM11692</t>
  </si>
  <si>
    <t>ITM11693</t>
  </si>
  <si>
    <t>ITM11694</t>
  </si>
  <si>
    <t>ITM11695</t>
  </si>
  <si>
    <t>ITM11696</t>
  </si>
  <si>
    <t>ITM11697</t>
  </si>
  <si>
    <t>ITM11698</t>
  </si>
  <si>
    <t>ITM11699</t>
  </si>
  <si>
    <t>ITM11700</t>
  </si>
  <si>
    <t>ITM11701</t>
  </si>
  <si>
    <t>ITM11702</t>
  </si>
  <si>
    <t>ITM11703</t>
  </si>
  <si>
    <t>ITM11704</t>
  </si>
  <si>
    <t>ITM11705</t>
  </si>
  <si>
    <t>ITM11706</t>
  </si>
  <si>
    <t>ITM11707</t>
  </si>
  <si>
    <t>ITM11708</t>
  </si>
  <si>
    <t>ITM11709</t>
  </si>
  <si>
    <t>ITM11710</t>
  </si>
  <si>
    <t>ITM11711</t>
  </si>
  <si>
    <t>ITM11712</t>
  </si>
  <si>
    <t>ITM11713</t>
  </si>
  <si>
    <t>ITM11714</t>
  </si>
  <si>
    <t>ITM11715</t>
  </si>
  <si>
    <t>ITM11716</t>
  </si>
  <si>
    <t>ITM11717</t>
  </si>
  <si>
    <t>ITM11718</t>
  </si>
  <si>
    <t>ITM11719</t>
  </si>
  <si>
    <t>ITM11720</t>
  </si>
  <si>
    <t>ITM11721</t>
  </si>
  <si>
    <t>ITM11722</t>
  </si>
  <si>
    <t>ITM11723</t>
  </si>
  <si>
    <t>ITM11724</t>
  </si>
  <si>
    <t>ITM11725</t>
  </si>
  <si>
    <t>ITM11726</t>
  </si>
  <si>
    <t>ITM11727</t>
  </si>
  <si>
    <t>ITM11728</t>
  </si>
  <si>
    <t>ITM11729</t>
  </si>
  <si>
    <t>ITM11730</t>
  </si>
  <si>
    <t>ITM11731</t>
  </si>
  <si>
    <t>ITM11732</t>
  </si>
  <si>
    <t>ITM11733</t>
  </si>
  <si>
    <t>ITM11734</t>
  </si>
  <si>
    <t>ITM11735</t>
  </si>
  <si>
    <t>ITM11736</t>
  </si>
  <si>
    <t>ITM11737</t>
  </si>
  <si>
    <t>ITM11738</t>
  </si>
  <si>
    <t>ITM11739</t>
  </si>
  <si>
    <t>ITM11740</t>
  </si>
  <si>
    <t>ITM11741</t>
  </si>
  <si>
    <t>ITM11742</t>
  </si>
  <si>
    <t>ITM11743</t>
  </si>
  <si>
    <t>ITM11744</t>
  </si>
  <si>
    <t>ITM11745</t>
  </si>
  <si>
    <t>ITM11746</t>
  </si>
  <si>
    <t>ITM11747</t>
  </si>
  <si>
    <t>ITM11748</t>
  </si>
  <si>
    <t>ITM11749</t>
  </si>
  <si>
    <t>ITM11750</t>
  </si>
  <si>
    <t>ITM11751</t>
  </si>
  <si>
    <t>ITM11752</t>
  </si>
  <si>
    <t>ITM11753</t>
  </si>
  <si>
    <t>ITM11754</t>
  </si>
  <si>
    <t>ITM11755</t>
  </si>
  <si>
    <t>ITM11756</t>
  </si>
  <si>
    <t>ITM11757</t>
  </si>
  <si>
    <t>ITM11758</t>
  </si>
  <si>
    <t>ITM11759</t>
  </si>
  <si>
    <t>ITM11760</t>
  </si>
  <si>
    <t>ITM11761</t>
  </si>
  <si>
    <t>ITM11762</t>
  </si>
  <si>
    <t>ITM11763</t>
  </si>
  <si>
    <t>ITM11764</t>
  </si>
  <si>
    <t>ITM11765</t>
  </si>
  <si>
    <t>ITM11766</t>
  </si>
  <si>
    <t>ITM11767</t>
  </si>
  <si>
    <t>ITM11768</t>
  </si>
  <si>
    <t>ITM11769</t>
  </si>
  <si>
    <t>ITM11770</t>
  </si>
  <si>
    <t>ITM11771</t>
  </si>
  <si>
    <t>ITM11772</t>
  </si>
  <si>
    <t>ITM11773</t>
  </si>
  <si>
    <t>ITM11774</t>
  </si>
  <si>
    <t>ITM11775</t>
  </si>
  <si>
    <t>ITM11776</t>
  </si>
  <si>
    <t>ITM11777</t>
  </si>
  <si>
    <t>ITM11778</t>
  </si>
  <si>
    <t>ITM11779</t>
  </si>
  <si>
    <t>ITM11780</t>
  </si>
  <si>
    <t>ITM11781</t>
  </si>
  <si>
    <t>ITM11782</t>
  </si>
  <si>
    <t>ITM11783</t>
  </si>
  <si>
    <t>ITM11784</t>
  </si>
  <si>
    <t>ITM11785</t>
  </si>
  <si>
    <t>ITM11786</t>
  </si>
  <si>
    <t>ITM11787</t>
  </si>
  <si>
    <t>ITM11788</t>
  </si>
  <si>
    <t>ITM11789</t>
  </si>
  <si>
    <t>ITM11790</t>
  </si>
  <si>
    <t>ITM11791</t>
  </si>
  <si>
    <t>ITM11792</t>
  </si>
  <si>
    <t>ITM11793</t>
  </si>
  <si>
    <t>ITM11794</t>
  </si>
  <si>
    <t>ITM11795</t>
  </si>
  <si>
    <t>ITM11796</t>
  </si>
  <si>
    <t>ITM11797</t>
  </si>
  <si>
    <t>ITM11798</t>
  </si>
  <si>
    <t>ITM11799</t>
  </si>
  <si>
    <t>ITM11800</t>
  </si>
  <si>
    <t>ITM11801</t>
  </si>
  <si>
    <t>ITM11802</t>
  </si>
  <si>
    <t>ITM11803</t>
  </si>
  <si>
    <t>ITM11804</t>
  </si>
  <si>
    <t>ITM11805</t>
  </si>
  <si>
    <t>ITM11806</t>
  </si>
  <si>
    <t>ITM11807</t>
  </si>
  <si>
    <t>ITM11808</t>
  </si>
  <si>
    <t>ITM11809</t>
  </si>
  <si>
    <t>ITM11810</t>
  </si>
  <si>
    <t>ITM11811</t>
  </si>
  <si>
    <t>ITM11812</t>
  </si>
  <si>
    <t>ITM11813</t>
  </si>
  <si>
    <t>ITM11814</t>
  </si>
  <si>
    <t>ITM11815</t>
  </si>
  <si>
    <t>ITM11816</t>
  </si>
  <si>
    <t>ITM11817</t>
  </si>
  <si>
    <t>ITM11818</t>
  </si>
  <si>
    <t>ITM11819</t>
  </si>
  <si>
    <t>ITM11820</t>
  </si>
  <si>
    <t>ITM11821</t>
  </si>
  <si>
    <t>ITM11822</t>
  </si>
  <si>
    <t>ITM11823</t>
  </si>
  <si>
    <t>ITM11824</t>
  </si>
  <si>
    <t>ITM11825</t>
  </si>
  <si>
    <t>ITM11826</t>
  </si>
  <si>
    <t>ITM11827</t>
  </si>
  <si>
    <t>ITM11828</t>
  </si>
  <si>
    <t>ITM11829</t>
  </si>
  <si>
    <t>ITM11830</t>
  </si>
  <si>
    <t>ITM11831</t>
  </si>
  <si>
    <t>ITM11832</t>
  </si>
  <si>
    <t>ITM11833</t>
  </si>
  <si>
    <t>ITM11834</t>
  </si>
  <si>
    <t>ITM11835</t>
  </si>
  <si>
    <t>ITM11836</t>
  </si>
  <si>
    <t>ITM11837</t>
  </si>
  <si>
    <t>ITM11838</t>
  </si>
  <si>
    <t>ITM11839</t>
  </si>
  <si>
    <t>ITM11840</t>
  </si>
  <si>
    <t>ITM11841</t>
  </si>
  <si>
    <t>ITM11842</t>
  </si>
  <si>
    <t>ITM11843</t>
  </si>
  <si>
    <t>ITM11844</t>
  </si>
  <si>
    <t>ITM11845</t>
  </si>
  <si>
    <t>ITM11846</t>
  </si>
  <si>
    <t>ITM11847</t>
  </si>
  <si>
    <t>ITM11848</t>
  </si>
  <si>
    <t>ITM11849</t>
  </si>
  <si>
    <t>ITM11850</t>
  </si>
  <si>
    <t>ITM11851</t>
  </si>
  <si>
    <t>ITM11852</t>
  </si>
  <si>
    <t>ITM11853</t>
  </si>
  <si>
    <t>ITM11854</t>
  </si>
  <si>
    <t>ITM11855</t>
  </si>
  <si>
    <t>ITM11856</t>
  </si>
  <si>
    <t>ITM11857</t>
  </si>
  <si>
    <t>ITM11858</t>
  </si>
  <si>
    <t>ITM11859</t>
  </si>
  <si>
    <t>ITM11860</t>
  </si>
  <si>
    <t>ITM11861</t>
  </si>
  <si>
    <t>ITM11862</t>
  </si>
  <si>
    <t>ITM11863</t>
  </si>
  <si>
    <t>ITM11864</t>
  </si>
  <si>
    <t>ITM11865</t>
  </si>
  <si>
    <t>ITM11866</t>
  </si>
  <si>
    <t>ITM11867</t>
  </si>
  <si>
    <t>ITM11868</t>
  </si>
  <si>
    <t>ITM11869</t>
  </si>
  <si>
    <t>ITM11870</t>
  </si>
  <si>
    <t>ITM11871</t>
  </si>
  <si>
    <t>ITM11872</t>
  </si>
  <si>
    <t>ITM11873</t>
  </si>
  <si>
    <t>ITM11874</t>
  </si>
  <si>
    <t>ITM11875</t>
  </si>
  <si>
    <t>ITM11876</t>
  </si>
  <si>
    <t>ITM11877</t>
  </si>
  <si>
    <t>ITM11878</t>
  </si>
  <si>
    <t>ITM11879</t>
  </si>
  <si>
    <t>ITM11880</t>
  </si>
  <si>
    <t>ITM11881</t>
  </si>
  <si>
    <t>ITM11882</t>
  </si>
  <si>
    <t>ITM11883</t>
  </si>
  <si>
    <t>ITM11884</t>
  </si>
  <si>
    <t>ITM11885</t>
  </si>
  <si>
    <t>ITM11886</t>
  </si>
  <si>
    <t>ITM11887</t>
  </si>
  <si>
    <t>ITM11888</t>
  </si>
  <si>
    <t>ITM11889</t>
  </si>
  <si>
    <t>ITM11890</t>
  </si>
  <si>
    <t>ITM11891</t>
  </si>
  <si>
    <t>ITM11892</t>
  </si>
  <si>
    <t>ITM11893</t>
  </si>
  <si>
    <t>ITM11894</t>
  </si>
  <si>
    <t>ITM11895</t>
  </si>
  <si>
    <t>ITM11896</t>
  </si>
  <si>
    <t>ITM11897</t>
  </si>
  <si>
    <t>ITM11898</t>
  </si>
  <si>
    <t>ITM11899</t>
  </si>
  <si>
    <t>ITM11900</t>
  </si>
  <si>
    <t>ITM11901</t>
  </si>
  <si>
    <t>ITM11902</t>
  </si>
  <si>
    <t>ITM11903</t>
  </si>
  <si>
    <t>ITM11904</t>
  </si>
  <si>
    <t>ITM11905</t>
  </si>
  <si>
    <t>ITM11906</t>
  </si>
  <si>
    <t>ITM11907</t>
  </si>
  <si>
    <t>ITM11908</t>
  </si>
  <si>
    <t>ITM11909</t>
  </si>
  <si>
    <t>ITM11910</t>
  </si>
  <si>
    <t>ITM11911</t>
  </si>
  <si>
    <t>ITM11912</t>
  </si>
  <si>
    <t>ITM11913</t>
  </si>
  <si>
    <t>ITM11914</t>
  </si>
  <si>
    <t>ITM11915</t>
  </si>
  <si>
    <t>ITM11916</t>
  </si>
  <si>
    <t>ITM11917</t>
  </si>
  <si>
    <t>ITM11918</t>
  </si>
  <si>
    <t>ITM11919</t>
  </si>
  <si>
    <t>ITM11920</t>
  </si>
  <si>
    <t>ITM11921</t>
  </si>
  <si>
    <t>ITM11922</t>
  </si>
  <si>
    <t>ITM11923</t>
  </si>
  <si>
    <t>ITM11924</t>
  </si>
  <si>
    <t>ITM11925</t>
  </si>
  <si>
    <t>ITM11926</t>
  </si>
  <si>
    <t>ITM11927</t>
  </si>
  <si>
    <t>ITM11928</t>
  </si>
  <si>
    <t>ITM11929</t>
  </si>
  <si>
    <t>ITM11930</t>
  </si>
  <si>
    <t>ITM11931</t>
  </si>
  <si>
    <t>ITM11932</t>
  </si>
  <si>
    <t>ITM11933</t>
  </si>
  <si>
    <t>ITM11934</t>
  </si>
  <si>
    <t>ITM11935</t>
  </si>
  <si>
    <t>ITM11936</t>
  </si>
  <si>
    <t>ITM11937</t>
  </si>
  <si>
    <t>ITM11938</t>
  </si>
  <si>
    <t>ITM11939</t>
  </si>
  <si>
    <t>ITM11940</t>
  </si>
  <si>
    <t>ITM11941</t>
  </si>
  <si>
    <t>ITM11942</t>
  </si>
  <si>
    <t>ITM11943</t>
  </si>
  <si>
    <t>ITM11944</t>
  </si>
  <si>
    <t>ITM11945</t>
  </si>
  <si>
    <t>ITM11946</t>
  </si>
  <si>
    <t>ITM11947</t>
  </si>
  <si>
    <t>ITM11948</t>
  </si>
  <si>
    <t>ITM11949</t>
  </si>
  <si>
    <t>ITM11950</t>
  </si>
  <si>
    <t>ITM11951</t>
  </si>
  <si>
    <t>ITM11952</t>
  </si>
  <si>
    <t>ITM11953</t>
  </si>
  <si>
    <t>ITM11954</t>
  </si>
  <si>
    <t>ITM11955</t>
  </si>
  <si>
    <t>ITM11956</t>
  </si>
  <si>
    <t>ITM11957</t>
  </si>
  <si>
    <t>ITM11958</t>
  </si>
  <si>
    <t>ITM11959</t>
  </si>
  <si>
    <t>ITM11960</t>
  </si>
  <si>
    <t>ITM11961</t>
  </si>
  <si>
    <t>ITM11962</t>
  </si>
  <si>
    <t>ITM11963</t>
  </si>
  <si>
    <t>ITM11964</t>
  </si>
  <si>
    <t>ITM11965</t>
  </si>
  <si>
    <t>ITM11966</t>
  </si>
  <si>
    <t>ITM11967</t>
  </si>
  <si>
    <t>ITM11968</t>
  </si>
  <si>
    <t>ITM11969</t>
  </si>
  <si>
    <t>ITM11970</t>
  </si>
  <si>
    <t>ITM11971</t>
  </si>
  <si>
    <t>ITM11972</t>
  </si>
  <si>
    <t>ITM11973</t>
  </si>
  <si>
    <t>ITM11974</t>
  </si>
  <si>
    <t>ITM11975</t>
  </si>
  <si>
    <t>ITM11976</t>
  </si>
  <si>
    <t>ITM11977</t>
  </si>
  <si>
    <t>ITM11978</t>
  </si>
  <si>
    <t>ITM11979</t>
  </si>
  <si>
    <t>ITM11980</t>
  </si>
  <si>
    <t>ITM11981</t>
  </si>
  <si>
    <t>ITM11982</t>
  </si>
  <si>
    <t>ITM11983</t>
  </si>
  <si>
    <t>ITM11984</t>
  </si>
  <si>
    <t>ITM11985</t>
  </si>
  <si>
    <t>ITM11986</t>
  </si>
  <si>
    <t>ITM11987</t>
  </si>
  <si>
    <t>ITM11988</t>
  </si>
  <si>
    <t>ITM11989</t>
  </si>
  <si>
    <t>ITM11990</t>
  </si>
  <si>
    <t>ITM11991</t>
  </si>
  <si>
    <t>ITM11992</t>
  </si>
  <si>
    <t>ITM11993</t>
  </si>
  <si>
    <t>ITM11994</t>
  </si>
  <si>
    <t>ITM11995</t>
  </si>
  <si>
    <t>ITM11996</t>
  </si>
  <si>
    <t>ITM11997</t>
  </si>
  <si>
    <t>ITM11998</t>
  </si>
  <si>
    <t>ITM11999</t>
  </si>
  <si>
    <t>ITM12000</t>
  </si>
  <si>
    <t>ITM12001</t>
  </si>
  <si>
    <t>ITM12002</t>
  </si>
  <si>
    <t>ITM12003</t>
  </si>
  <si>
    <t>ITM12004</t>
  </si>
  <si>
    <t>ITM12005</t>
  </si>
  <si>
    <t>ITM12006</t>
  </si>
  <si>
    <t>ITM12007</t>
  </si>
  <si>
    <t>ITM12008</t>
  </si>
  <si>
    <t>ITM12009</t>
  </si>
  <si>
    <t>ITM12010</t>
  </si>
  <si>
    <t>ITM12011</t>
  </si>
  <si>
    <t>ITM12012</t>
  </si>
  <si>
    <t>ITM12013</t>
  </si>
  <si>
    <t>ITM12014</t>
  </si>
  <si>
    <t>ITM12015</t>
  </si>
  <si>
    <t>ITM12016</t>
  </si>
  <si>
    <t>ITM12017</t>
  </si>
  <si>
    <t>ITM12018</t>
  </si>
  <si>
    <t>ITM12019</t>
  </si>
  <si>
    <t>ITM12020</t>
  </si>
  <si>
    <t>ITM12021</t>
  </si>
  <si>
    <t>ITM12022</t>
  </si>
  <si>
    <t>ITM12023</t>
  </si>
  <si>
    <t>ITM12024</t>
  </si>
  <si>
    <t>ITM12025</t>
  </si>
  <si>
    <t>ITM12026</t>
  </si>
  <si>
    <t>ITM12027</t>
  </si>
  <si>
    <t>ITM12028</t>
  </si>
  <si>
    <t>ITM12029</t>
  </si>
  <si>
    <t>ITM12030</t>
  </si>
  <si>
    <t>ITM12031</t>
  </si>
  <si>
    <t>ITM12032</t>
  </si>
  <si>
    <t>ITM12033</t>
  </si>
  <si>
    <t>ITM12034</t>
  </si>
  <si>
    <t>ITM12035</t>
  </si>
  <si>
    <t>ITM12036</t>
  </si>
  <si>
    <t>ITM12037</t>
  </si>
  <si>
    <t>ITM12038</t>
  </si>
  <si>
    <t>ITM12039</t>
  </si>
  <si>
    <t>ITM12040</t>
  </si>
  <si>
    <t>ITM12041</t>
  </si>
  <si>
    <t>ITM12042</t>
  </si>
  <si>
    <t>ITM12043</t>
  </si>
  <si>
    <t>ITM12044</t>
  </si>
  <si>
    <t>ITM12045</t>
  </si>
  <si>
    <t>ITM12046</t>
  </si>
  <si>
    <t>ITM12047</t>
  </si>
  <si>
    <t>ITM12048</t>
  </si>
  <si>
    <t>ITM12049</t>
  </si>
  <si>
    <t>ITM12050</t>
  </si>
  <si>
    <t>ITM12051</t>
  </si>
  <si>
    <t>ITM12052</t>
  </si>
  <si>
    <t>ITM12053</t>
  </si>
  <si>
    <t>ITM12054</t>
  </si>
  <si>
    <t>ITM12055</t>
  </si>
  <si>
    <t>ITM12056</t>
  </si>
  <si>
    <t>ITM12057</t>
  </si>
  <si>
    <t>ITM12058</t>
  </si>
  <si>
    <t>ITM12059</t>
  </si>
  <si>
    <t>ITM12060</t>
  </si>
  <si>
    <t>ITM12061</t>
  </si>
  <si>
    <t>ITM12062</t>
  </si>
  <si>
    <t>ITM12063</t>
  </si>
  <si>
    <t>ITM12064</t>
  </si>
  <si>
    <t>ITM12065</t>
  </si>
  <si>
    <t>ITM12066</t>
  </si>
  <si>
    <t>ITM12067</t>
  </si>
  <si>
    <t>ITM12068</t>
  </si>
  <si>
    <t>ITM12069</t>
  </si>
  <si>
    <t>ITM12070</t>
  </si>
  <si>
    <t>ITM12071</t>
  </si>
  <si>
    <t>ITM12072</t>
  </si>
  <si>
    <t>ITM12073</t>
  </si>
  <si>
    <t>ITM12074</t>
  </si>
  <si>
    <t>ITM12075</t>
  </si>
  <si>
    <t>ITM12076</t>
  </si>
  <si>
    <t>ITM12077</t>
  </si>
  <si>
    <t>ITM12078</t>
  </si>
  <si>
    <t>ITM12079</t>
  </si>
  <si>
    <t>ITM12080</t>
  </si>
  <si>
    <t>ITM12081</t>
  </si>
  <si>
    <t>ITM12082</t>
  </si>
  <si>
    <t>ITM12083</t>
  </si>
  <si>
    <t>ITM12084</t>
  </si>
  <si>
    <t>ITM12085</t>
  </si>
  <si>
    <t>ITM12086</t>
  </si>
  <si>
    <t>ITM12087</t>
  </si>
  <si>
    <t>ITM12088</t>
  </si>
  <si>
    <t>ITM12089</t>
  </si>
  <si>
    <t>ITM12090</t>
  </si>
  <si>
    <t>ITM12091</t>
  </si>
  <si>
    <t>ITM12092</t>
  </si>
  <si>
    <t>ITM12093</t>
  </si>
  <si>
    <t>ITM12094</t>
  </si>
  <si>
    <t>ITM12095</t>
  </si>
  <si>
    <t>ITM12096</t>
  </si>
  <si>
    <t>ITM12097</t>
  </si>
  <si>
    <t>ITM12098</t>
  </si>
  <si>
    <t>ITM12099</t>
  </si>
  <si>
    <t>ITM12100</t>
  </si>
  <si>
    <t>ITM12101</t>
  </si>
  <si>
    <t>ITM12102</t>
  </si>
  <si>
    <t>ITM12103</t>
  </si>
  <si>
    <t>ITM12104</t>
  </si>
  <si>
    <t>ITM12105</t>
  </si>
  <si>
    <t>ITM12106</t>
  </si>
  <si>
    <t>ITM12107</t>
  </si>
  <si>
    <t>ITM12108</t>
  </si>
  <si>
    <t>ITM12109</t>
  </si>
  <si>
    <t>ITM12110</t>
  </si>
  <si>
    <t>ITM12111</t>
  </si>
  <si>
    <t>ITM12112</t>
  </si>
  <si>
    <t>ITM12113</t>
  </si>
  <si>
    <t>ITM12114</t>
  </si>
  <si>
    <t>ITM12115</t>
  </si>
  <si>
    <t>ITM12116</t>
  </si>
  <si>
    <t>ITM12117</t>
  </si>
  <si>
    <t>ITM12118</t>
  </si>
  <si>
    <t>ITM12119</t>
  </si>
  <si>
    <t>ITM12120</t>
  </si>
  <si>
    <t>ITM12121</t>
  </si>
  <si>
    <t>ITM12122</t>
  </si>
  <si>
    <t>ITM12123</t>
  </si>
  <si>
    <t>ITM12124</t>
  </si>
  <si>
    <t>ITM12125</t>
  </si>
  <si>
    <t>ITM12126</t>
  </si>
  <si>
    <t>ITM12127</t>
  </si>
  <si>
    <t>ITM12128</t>
  </si>
  <si>
    <t>ITM12129</t>
  </si>
  <si>
    <t>ITM12130</t>
  </si>
  <si>
    <t>ITM12131</t>
  </si>
  <si>
    <t>ITM12132</t>
  </si>
  <si>
    <t>ITM12133</t>
  </si>
  <si>
    <t>ITM12134</t>
  </si>
  <si>
    <t>ITM12135</t>
  </si>
  <si>
    <t>ITM12136</t>
  </si>
  <si>
    <t>ITM12137</t>
  </si>
  <si>
    <t>ITM12138</t>
  </si>
  <si>
    <t>ITM12139</t>
  </si>
  <si>
    <t>ITM12140</t>
  </si>
  <si>
    <t>ITM12141</t>
  </si>
  <si>
    <t>ITM12142</t>
  </si>
  <si>
    <t>ITM12143</t>
  </si>
  <si>
    <t>ITM12144</t>
  </si>
  <si>
    <t>ITM12145</t>
  </si>
  <si>
    <t>ITM12146</t>
  </si>
  <si>
    <t>ITM12147</t>
  </si>
  <si>
    <t>ITM12148</t>
  </si>
  <si>
    <t>ITM12149</t>
  </si>
  <si>
    <t>ITM12150</t>
  </si>
  <si>
    <t>ITM12151</t>
  </si>
  <si>
    <t>ITM12152</t>
  </si>
  <si>
    <t>ITM12153</t>
  </si>
  <si>
    <t>ITM12154</t>
  </si>
  <si>
    <t>ITM12155</t>
  </si>
  <si>
    <t>ITM12156</t>
  </si>
  <si>
    <t>ITM12157</t>
  </si>
  <si>
    <t>ITM12158</t>
  </si>
  <si>
    <t>ITM12159</t>
  </si>
  <si>
    <t>ITM12160</t>
  </si>
  <si>
    <t>ITM12161</t>
  </si>
  <si>
    <t>ITM12162</t>
  </si>
  <si>
    <t>ITM12163</t>
  </si>
  <si>
    <t>ITM12164</t>
  </si>
  <si>
    <t>ITM12165</t>
  </si>
  <si>
    <t>ITM12166</t>
  </si>
  <si>
    <t>ITM12167</t>
  </si>
  <si>
    <t>ITM12168</t>
  </si>
  <si>
    <t>ITM12169</t>
  </si>
  <si>
    <t>ITM12170</t>
  </si>
  <si>
    <t>ITM12171</t>
  </si>
  <si>
    <t>ITM12172</t>
  </si>
  <si>
    <t>ITM12173</t>
  </si>
  <si>
    <t>ITM12174</t>
  </si>
  <si>
    <t>ITM12175</t>
  </si>
  <si>
    <t>ITM12176</t>
  </si>
  <si>
    <t>ITM12177</t>
  </si>
  <si>
    <t>ITM12178</t>
  </si>
  <si>
    <t>ITM12179</t>
  </si>
  <si>
    <t>ITM12180</t>
  </si>
  <si>
    <t>ITM12181</t>
  </si>
  <si>
    <t>ITM12182</t>
  </si>
  <si>
    <t>ITM12183</t>
  </si>
  <si>
    <t>ITM12184</t>
  </si>
  <si>
    <t>ITM12185</t>
  </si>
  <si>
    <t>ITM12186</t>
  </si>
  <si>
    <t>ITM12187</t>
  </si>
  <si>
    <t>ITM12188</t>
  </si>
  <si>
    <t>ITM12189</t>
  </si>
  <si>
    <t>ITM12190</t>
  </si>
  <si>
    <t>ITM12191</t>
  </si>
  <si>
    <t>ITM12192</t>
  </si>
  <si>
    <t>ITM12193</t>
  </si>
  <si>
    <t>ITM12194</t>
  </si>
  <si>
    <t>ITM12195</t>
  </si>
  <si>
    <t>ITM12196</t>
  </si>
  <si>
    <t>ITM12197</t>
  </si>
  <si>
    <t>ITM12198</t>
  </si>
  <si>
    <t>ITM12199</t>
  </si>
  <si>
    <t>ITM12200</t>
  </si>
  <si>
    <t>ITM12201</t>
  </si>
  <si>
    <t>ITM12202</t>
  </si>
  <si>
    <t>ITM12203</t>
  </si>
  <si>
    <t>ITM12204</t>
  </si>
  <si>
    <t>ITM12205</t>
  </si>
  <si>
    <t>ITM12206</t>
  </si>
  <si>
    <t>ITM12207</t>
  </si>
  <si>
    <t>ITM12208</t>
  </si>
  <si>
    <t>ITM12209</t>
  </si>
  <si>
    <t>ITM12210</t>
  </si>
  <si>
    <t>ITM12211</t>
  </si>
  <si>
    <t>ITM12212</t>
  </si>
  <si>
    <t>ITM12213</t>
  </si>
  <si>
    <t>ITM12214</t>
  </si>
  <si>
    <t>ITM12215</t>
  </si>
  <si>
    <t>ITM12216</t>
  </si>
  <si>
    <t>ITM12217</t>
  </si>
  <si>
    <t>ITM12218</t>
  </si>
  <si>
    <t>ITM12219</t>
  </si>
  <si>
    <t>ITM12220</t>
  </si>
  <si>
    <t>ITM12221</t>
  </si>
  <si>
    <t>ITM12222</t>
  </si>
  <si>
    <t>ITM12223</t>
  </si>
  <si>
    <t>ITM12224</t>
  </si>
  <si>
    <t>ITM12225</t>
  </si>
  <si>
    <t>ITM12226</t>
  </si>
  <si>
    <t>ITM12227</t>
  </si>
  <si>
    <t>ITM12228</t>
  </si>
  <si>
    <t>ITM12229</t>
  </si>
  <si>
    <t>ITM12230</t>
  </si>
  <si>
    <t>ITM12231</t>
  </si>
  <si>
    <t>ITM12232</t>
  </si>
  <si>
    <t>ITM12233</t>
  </si>
  <si>
    <t>ITM12234</t>
  </si>
  <si>
    <t>ITM12235</t>
  </si>
  <si>
    <t>ITM12236</t>
  </si>
  <si>
    <t>ITM12237</t>
  </si>
  <si>
    <t>ITM12238</t>
  </si>
  <si>
    <t>ITM12239</t>
  </si>
  <si>
    <t>ITM12240</t>
  </si>
  <si>
    <t>ITM12241</t>
  </si>
  <si>
    <t>ITM12242</t>
  </si>
  <si>
    <t>ITM12243</t>
  </si>
  <si>
    <t>ITM12244</t>
  </si>
  <si>
    <t>ITM12245</t>
  </si>
  <si>
    <t>ITM12246</t>
  </si>
  <si>
    <t>ITM12247</t>
  </si>
  <si>
    <t>ITM12248</t>
  </si>
  <si>
    <t>ITM12249</t>
  </si>
  <si>
    <t>ITM12250</t>
  </si>
  <si>
    <t>ITM12251</t>
  </si>
  <si>
    <t>ITM12252</t>
  </si>
  <si>
    <t>ITM12253</t>
  </si>
  <si>
    <t>ITM12254</t>
  </si>
  <si>
    <t>ITM12255</t>
  </si>
  <si>
    <t>ITM12256</t>
  </si>
  <si>
    <t>ITM12257</t>
  </si>
  <si>
    <t>ITM12258</t>
  </si>
  <si>
    <t>ITM12259</t>
  </si>
  <si>
    <t>ITM12260</t>
  </si>
  <si>
    <t>ITM12261</t>
  </si>
  <si>
    <t>ITM12262</t>
  </si>
  <si>
    <t>ITM12263</t>
  </si>
  <si>
    <t>ITM12264</t>
  </si>
  <si>
    <t>ITM12265</t>
  </si>
  <si>
    <t>ITM12266</t>
  </si>
  <si>
    <t>ITM12267</t>
  </si>
  <si>
    <t>ITM12268</t>
  </si>
  <si>
    <t>ITM12269</t>
  </si>
  <si>
    <t>ITM12270</t>
  </si>
  <si>
    <t>ITM12271</t>
  </si>
  <si>
    <t>ITM12272</t>
  </si>
  <si>
    <t>ITM12273</t>
  </si>
  <si>
    <t>ITM12274</t>
  </si>
  <si>
    <t>ITM12275</t>
  </si>
  <si>
    <t>ITM12276</t>
  </si>
  <si>
    <t>ITM12277</t>
  </si>
  <si>
    <t>ITM12278</t>
  </si>
  <si>
    <t>ITM12279</t>
  </si>
  <si>
    <t>ITM12280</t>
  </si>
  <si>
    <t>ITM12281</t>
  </si>
  <si>
    <t>ITM12282</t>
  </si>
  <si>
    <t>ITM12283</t>
  </si>
  <si>
    <t>ITM12284</t>
  </si>
  <si>
    <t>ITM12285</t>
  </si>
  <si>
    <t>ITM12286</t>
  </si>
  <si>
    <t>ITM12287</t>
  </si>
  <si>
    <t>ITM12288</t>
  </si>
  <si>
    <t>ITM12289</t>
  </si>
  <si>
    <t>ITM12290</t>
  </si>
  <si>
    <t>ITM12291</t>
  </si>
  <si>
    <t>ITM12292</t>
  </si>
  <si>
    <t>ITM12293</t>
  </si>
  <si>
    <t>ITM12294</t>
  </si>
  <si>
    <t>ITM12295</t>
  </si>
  <si>
    <t>ITM12296</t>
  </si>
  <si>
    <t>ITM12297</t>
  </si>
  <si>
    <t>ITM12298</t>
  </si>
  <si>
    <t>ITM12299</t>
  </si>
  <si>
    <t>ITM12300</t>
  </si>
  <si>
    <t>ITM12301</t>
  </si>
  <si>
    <t>ITM12302</t>
  </si>
  <si>
    <t>ITM12303</t>
  </si>
  <si>
    <t>ITM12304</t>
  </si>
  <si>
    <t>ITM12305</t>
  </si>
  <si>
    <t>ITM12306</t>
  </si>
  <si>
    <t>ITM12307</t>
  </si>
  <si>
    <t>ITM12308</t>
  </si>
  <si>
    <t>ITM12309</t>
  </si>
  <si>
    <t>ITM12310</t>
  </si>
  <si>
    <t>ITM12311</t>
  </si>
  <si>
    <t>ITM12312</t>
  </si>
  <si>
    <t>ITM12313</t>
  </si>
  <si>
    <t>ITM12314</t>
  </si>
  <si>
    <t>ITM12315</t>
  </si>
  <si>
    <t>ITM12316</t>
  </si>
  <si>
    <t>ITM12317</t>
  </si>
  <si>
    <t>ITM12318</t>
  </si>
  <si>
    <t>ITM12319</t>
  </si>
  <si>
    <t>ITM12320</t>
  </si>
  <si>
    <t>ITM12321</t>
  </si>
  <si>
    <t>ITM12322</t>
  </si>
  <si>
    <t>ITM12323</t>
  </si>
  <si>
    <t>ITM12324</t>
  </si>
  <si>
    <t>ITM12325</t>
  </si>
  <si>
    <t>ITM12326</t>
  </si>
  <si>
    <t>ITM12327</t>
  </si>
  <si>
    <t>ITM12328</t>
  </si>
  <si>
    <t>ITM12329</t>
  </si>
  <si>
    <t>ITM12330</t>
  </si>
  <si>
    <t>ITM12331</t>
  </si>
  <si>
    <t>ITM12332</t>
  </si>
  <si>
    <t>ITM12333</t>
  </si>
  <si>
    <t>ITM12334</t>
  </si>
  <si>
    <t>ITM12335</t>
  </si>
  <si>
    <t>ITM12336</t>
  </si>
  <si>
    <t>ITM12337</t>
  </si>
  <si>
    <t>ITM12338</t>
  </si>
  <si>
    <t>ITM12339</t>
  </si>
  <si>
    <t>ITM12340</t>
  </si>
  <si>
    <t>ITM12341</t>
  </si>
  <si>
    <t>ITM12342</t>
  </si>
  <si>
    <t>ITM12343</t>
  </si>
  <si>
    <t>ITM12344</t>
  </si>
  <si>
    <t>ITM12345</t>
  </si>
  <si>
    <t>ITM12346</t>
  </si>
  <si>
    <t>ITM12347</t>
  </si>
  <si>
    <t>ITM12348</t>
  </si>
  <si>
    <t>ITM12349</t>
  </si>
  <si>
    <t>ITM12350</t>
  </si>
  <si>
    <t>ITM12351</t>
  </si>
  <si>
    <t>ITM12352</t>
  </si>
  <si>
    <t>ITM12353</t>
  </si>
  <si>
    <t>ITM12354</t>
  </si>
  <si>
    <t>ITM12355</t>
  </si>
  <si>
    <t>ITM12356</t>
  </si>
  <si>
    <t>ITM12357</t>
  </si>
  <si>
    <t>ITM12358</t>
  </si>
  <si>
    <t>ITM12359</t>
  </si>
  <si>
    <t>ITM12360</t>
  </si>
  <si>
    <t>ITM12361</t>
  </si>
  <si>
    <t>ITM12362</t>
  </si>
  <si>
    <t>ITM12363</t>
  </si>
  <si>
    <t>ITM12364</t>
  </si>
  <si>
    <t>ITM12365</t>
  </si>
  <si>
    <t>ITM12366</t>
  </si>
  <si>
    <t>ITM12367</t>
  </si>
  <si>
    <t>ITM12368</t>
  </si>
  <si>
    <t>ITM12369</t>
  </si>
  <si>
    <t>ITM12370</t>
  </si>
  <si>
    <t>ITM12371</t>
  </si>
  <si>
    <t>ITM12372</t>
  </si>
  <si>
    <t>ITM12373</t>
  </si>
  <si>
    <t>ITM12374</t>
  </si>
  <si>
    <t>ITM12375</t>
  </si>
  <si>
    <t>ITM12376</t>
  </si>
  <si>
    <t>ITM12377</t>
  </si>
  <si>
    <t>ITM12378</t>
  </si>
  <si>
    <t>ITM12379</t>
  </si>
  <si>
    <t>ITM12380</t>
  </si>
  <si>
    <t>ITM12381</t>
  </si>
  <si>
    <t>ITM12382</t>
  </si>
  <si>
    <t>ITM12383</t>
  </si>
  <si>
    <t>ITM12384</t>
  </si>
  <si>
    <t>ITM12385</t>
  </si>
  <si>
    <t>ITM12386</t>
  </si>
  <si>
    <t>ITM12387</t>
  </si>
  <si>
    <t>ITM12388</t>
  </si>
  <si>
    <t>ITM12389</t>
  </si>
  <si>
    <t>ITM12390</t>
  </si>
  <si>
    <t>ITM12391</t>
  </si>
  <si>
    <t>ITM12392</t>
  </si>
  <si>
    <t>ITM12393</t>
  </si>
  <si>
    <t>ITM12394</t>
  </si>
  <si>
    <t>ITM12395</t>
  </si>
  <si>
    <t>ITM12396</t>
  </si>
  <si>
    <t>ITM12397</t>
  </si>
  <si>
    <t>ITM12398</t>
  </si>
  <si>
    <t>ITM12399</t>
  </si>
  <si>
    <t>ITM12400</t>
  </si>
  <si>
    <t>ITM12401</t>
  </si>
  <si>
    <t>ITM12402</t>
  </si>
  <si>
    <t>ITM12403</t>
  </si>
  <si>
    <t>ITM12404</t>
  </si>
  <si>
    <t>ITM12405</t>
  </si>
  <si>
    <t>ITM12406</t>
  </si>
  <si>
    <t>ITM12407</t>
  </si>
  <si>
    <t>ITM12408</t>
  </si>
  <si>
    <t>ITM12409</t>
  </si>
  <si>
    <t>ITM12410</t>
  </si>
  <si>
    <t>ITM12411</t>
  </si>
  <si>
    <t>ITM12412</t>
  </si>
  <si>
    <t>ITM12413</t>
  </si>
  <si>
    <t>ITM12414</t>
  </si>
  <si>
    <t>ITM12415</t>
  </si>
  <si>
    <t>ITM12416</t>
  </si>
  <si>
    <t>ITM12417</t>
  </si>
  <si>
    <t>ITM12418</t>
  </si>
  <si>
    <t>ITM12419</t>
  </si>
  <si>
    <t>ITM12420</t>
  </si>
  <si>
    <t>ITM12421</t>
  </si>
  <si>
    <t>ITM12422</t>
  </si>
  <si>
    <t>ITM12423</t>
  </si>
  <si>
    <t>ITM12424</t>
  </si>
  <si>
    <t>ITM12425</t>
  </si>
  <si>
    <t>ITM12426</t>
  </si>
  <si>
    <t>ITM12427</t>
  </si>
  <si>
    <t>ITM12428</t>
  </si>
  <si>
    <t>ITM12429</t>
  </si>
  <si>
    <t>ITM12430</t>
  </si>
  <si>
    <t>ITM12431</t>
  </si>
  <si>
    <t>ITM12432</t>
  </si>
  <si>
    <t>ITM12433</t>
  </si>
  <si>
    <t>ITM12434</t>
  </si>
  <si>
    <t>ITM12435</t>
  </si>
  <si>
    <t>ITM12436</t>
  </si>
  <si>
    <t>ITM12437</t>
  </si>
  <si>
    <t>ITM12438</t>
  </si>
  <si>
    <t>ITM12439</t>
  </si>
  <si>
    <t>ITM12440</t>
  </si>
  <si>
    <t>ITM12441</t>
  </si>
  <si>
    <t>ITM12442</t>
  </si>
  <si>
    <t>ITM12443</t>
  </si>
  <si>
    <t>ITM12444</t>
  </si>
  <si>
    <t>ITM12445</t>
  </si>
  <si>
    <t>ITM12446</t>
  </si>
  <si>
    <t>ITM12447</t>
  </si>
  <si>
    <t>ITM12448</t>
  </si>
  <si>
    <t>ITM12449</t>
  </si>
  <si>
    <t>ITM12450</t>
  </si>
  <si>
    <t>ITM12451</t>
  </si>
  <si>
    <t>ITM12452</t>
  </si>
  <si>
    <t>ITM12453</t>
  </si>
  <si>
    <t>ITM12454</t>
  </si>
  <si>
    <t>ITM12455</t>
  </si>
  <si>
    <t>ITM12456</t>
  </si>
  <si>
    <t>ITM12457</t>
  </si>
  <si>
    <t>ITM12458</t>
  </si>
  <si>
    <t>ITM12459</t>
  </si>
  <si>
    <t>ITM12460</t>
  </si>
  <si>
    <t>ITM12461</t>
  </si>
  <si>
    <t>ITM12462</t>
  </si>
  <si>
    <t>ITM12463</t>
  </si>
  <si>
    <t>ITM12464</t>
  </si>
  <si>
    <t>ITM12465</t>
  </si>
  <si>
    <t>ITM12466</t>
  </si>
  <si>
    <t>ITM12467</t>
  </si>
  <si>
    <t>ITM12468</t>
  </si>
  <si>
    <t>ITM12469</t>
  </si>
  <si>
    <t>ITM12470</t>
  </si>
  <si>
    <t>ITM12471</t>
  </si>
  <si>
    <t>ITM12472</t>
  </si>
  <si>
    <t>ITM12473</t>
  </si>
  <si>
    <t>ITM12474</t>
  </si>
  <si>
    <t>ITM12475</t>
  </si>
  <si>
    <t>ITM12476</t>
  </si>
  <si>
    <t>ITM12477</t>
  </si>
  <si>
    <t>ITM12478</t>
  </si>
  <si>
    <t>ITM12479</t>
  </si>
  <si>
    <t>ITM12480</t>
  </si>
  <si>
    <t>ITM12481</t>
  </si>
  <si>
    <t>ITM12482</t>
  </si>
  <si>
    <t>ITM12483</t>
  </si>
  <si>
    <t>ITM12484</t>
  </si>
  <si>
    <t>ITM12485</t>
  </si>
  <si>
    <t>ITM12486</t>
  </si>
  <si>
    <t>ITM12487</t>
  </si>
  <si>
    <t>ITM12488</t>
  </si>
  <si>
    <t>ITM12489</t>
  </si>
  <si>
    <t>ITM12490</t>
  </si>
  <si>
    <t>ITM12491</t>
  </si>
  <si>
    <t>ITM12492</t>
  </si>
  <si>
    <t>ITM12493</t>
  </si>
  <si>
    <t>ITM12494</t>
  </si>
  <si>
    <t>ITM12495</t>
  </si>
  <si>
    <t>ITM12496</t>
  </si>
  <si>
    <t>ITM12497</t>
  </si>
  <si>
    <t>ITM12498</t>
  </si>
  <si>
    <t>ITM12499</t>
  </si>
  <si>
    <t>ITM12500</t>
  </si>
  <si>
    <t>ITM12501</t>
  </si>
  <si>
    <t>ITM12502</t>
  </si>
  <si>
    <t>ITM12503</t>
  </si>
  <si>
    <t>ITM12504</t>
  </si>
  <si>
    <t>ITM12505</t>
  </si>
  <si>
    <t>ITM12506</t>
  </si>
  <si>
    <t>ITM12507</t>
  </si>
  <si>
    <t>ITM12508</t>
  </si>
  <si>
    <t>ITM12509</t>
  </si>
  <si>
    <t>ITM12510</t>
  </si>
  <si>
    <t>ITM12511</t>
  </si>
  <si>
    <t>ITM12512</t>
  </si>
  <si>
    <t>ITM12513</t>
  </si>
  <si>
    <t>ITM12514</t>
  </si>
  <si>
    <t>ITM12515</t>
  </si>
  <si>
    <t>ITM12516</t>
  </si>
  <si>
    <t>ITM12517</t>
  </si>
  <si>
    <t>ITM12518</t>
  </si>
  <si>
    <t>ITM12519</t>
  </si>
  <si>
    <t>ITM12520</t>
  </si>
  <si>
    <t>ITM12521</t>
  </si>
  <si>
    <t>ITM12522</t>
  </si>
  <si>
    <t>ITM12523</t>
  </si>
  <si>
    <t>ITM12524</t>
  </si>
  <si>
    <t>ITM12525</t>
  </si>
  <si>
    <t>ITM12526</t>
  </si>
  <si>
    <t>ITM12527</t>
  </si>
  <si>
    <t>ITM12528</t>
  </si>
  <si>
    <t>ITM12529</t>
  </si>
  <si>
    <t>ITM12530</t>
  </si>
  <si>
    <t>ITM12531</t>
  </si>
  <si>
    <t>ITM12532</t>
  </si>
  <si>
    <t>ITM12533</t>
  </si>
  <si>
    <t>ITM12534</t>
  </si>
  <si>
    <t>ITM12535</t>
  </si>
  <si>
    <t>ITM12536</t>
  </si>
  <si>
    <t>ITM12537</t>
  </si>
  <si>
    <t>ITM12538</t>
  </si>
  <si>
    <t>ITM12539</t>
  </si>
  <si>
    <t>ITM12540</t>
  </si>
  <si>
    <t>ITM12541</t>
  </si>
  <si>
    <t>ITM12542</t>
  </si>
  <si>
    <t>ITM12543</t>
  </si>
  <si>
    <t>ITM12544</t>
  </si>
  <si>
    <t>ITM12545</t>
  </si>
  <si>
    <t>ITM12546</t>
  </si>
  <si>
    <t>ITM12547</t>
  </si>
  <si>
    <t>ITM12548</t>
  </si>
  <si>
    <t>ITM12549</t>
  </si>
  <si>
    <t>ITM12550</t>
  </si>
  <si>
    <t>ITM12551</t>
  </si>
  <si>
    <t>ITM12552</t>
  </si>
  <si>
    <t>ITM12553</t>
  </si>
  <si>
    <t>ITM12554</t>
  </si>
  <si>
    <t>ITM12555</t>
  </si>
  <si>
    <t>ITM12556</t>
  </si>
  <si>
    <t>ITM12557</t>
  </si>
  <si>
    <t>ITM12558</t>
  </si>
  <si>
    <t>ITM12559</t>
  </si>
  <si>
    <t>ITM12560</t>
  </si>
  <si>
    <t>ITM12561</t>
  </si>
  <si>
    <t>ITM12562</t>
  </si>
  <si>
    <t>ITM12563</t>
  </si>
  <si>
    <t>ITM12564</t>
  </si>
  <si>
    <t>ITM12565</t>
  </si>
  <si>
    <t>ITM12566</t>
  </si>
  <si>
    <t>ITM12567</t>
  </si>
  <si>
    <t>ITM12568</t>
  </si>
  <si>
    <t>ITM12569</t>
  </si>
  <si>
    <t>ITM12570</t>
  </si>
  <si>
    <t>ITM12571</t>
  </si>
  <si>
    <t>ITM12572</t>
  </si>
  <si>
    <t>ITM12573</t>
  </si>
  <si>
    <t>ITM12574</t>
  </si>
  <si>
    <t>ITM12575</t>
  </si>
  <si>
    <t>ITM12576</t>
  </si>
  <si>
    <t>ITM12577</t>
  </si>
  <si>
    <t>ITM12578</t>
  </si>
  <si>
    <t>ITM12579</t>
  </si>
  <si>
    <t>ITM12580</t>
  </si>
  <si>
    <t>ITM12581</t>
  </si>
  <si>
    <t>ITM12582</t>
  </si>
  <si>
    <t>ITM12583</t>
  </si>
  <si>
    <t>ITM12584</t>
  </si>
  <si>
    <t>ITM12585</t>
  </si>
  <si>
    <t>ITM12586</t>
  </si>
  <si>
    <t>ITM12587</t>
  </si>
  <si>
    <t>ITM12588</t>
  </si>
  <si>
    <t>ITM12589</t>
  </si>
  <si>
    <t>ITM12590</t>
  </si>
  <si>
    <t>ITM12591</t>
  </si>
  <si>
    <t>ITM12592</t>
  </si>
  <si>
    <t>ITM12593</t>
  </si>
  <si>
    <t>ITM12594</t>
  </si>
  <si>
    <t>ITM12595</t>
  </si>
  <si>
    <t>ITM12596</t>
  </si>
  <si>
    <t>ITM12597</t>
  </si>
  <si>
    <t>ITM12598</t>
  </si>
  <si>
    <t>ITM12599</t>
  </si>
  <si>
    <t>ITM12600</t>
  </si>
  <si>
    <t>ITM12601</t>
  </si>
  <si>
    <t>ITM12602</t>
  </si>
  <si>
    <t>ITM12603</t>
  </si>
  <si>
    <t>ITM12604</t>
  </si>
  <si>
    <t>ITM12605</t>
  </si>
  <si>
    <t>ITM12606</t>
  </si>
  <si>
    <t>ITM12607</t>
  </si>
  <si>
    <t>ITM12608</t>
  </si>
  <si>
    <t>ITM12609</t>
  </si>
  <si>
    <t>ITM12610</t>
  </si>
  <si>
    <t>ITM12611</t>
  </si>
  <si>
    <t>ITM12612</t>
  </si>
  <si>
    <t>ITM12613</t>
  </si>
  <si>
    <t>ITM12614</t>
  </si>
  <si>
    <t>ITM12615</t>
  </si>
  <si>
    <t>ITM12616</t>
  </si>
  <si>
    <t>ITM12617</t>
  </si>
  <si>
    <t>ITM12618</t>
  </si>
  <si>
    <t>ITM12619</t>
  </si>
  <si>
    <t>ITM12620</t>
  </si>
  <si>
    <t>ITM12621</t>
  </si>
  <si>
    <t>ITM12622</t>
  </si>
  <si>
    <t>ITM12623</t>
  </si>
  <si>
    <t>ITM12624</t>
  </si>
  <si>
    <t>ITM12625</t>
  </si>
  <si>
    <t>ITM12626</t>
  </si>
  <si>
    <t>ITM12627</t>
  </si>
  <si>
    <t>ITM12628</t>
  </si>
  <si>
    <t>ITM12629</t>
  </si>
  <si>
    <t>ITM12630</t>
  </si>
  <si>
    <t>ITM12631</t>
  </si>
  <si>
    <t>ITM12632</t>
  </si>
  <si>
    <t>ITM12633</t>
  </si>
  <si>
    <t>ITM12634</t>
  </si>
  <si>
    <t>ITM12635</t>
  </si>
  <si>
    <t>ITM12636</t>
  </si>
  <si>
    <t>ITM12637</t>
  </si>
  <si>
    <t>ITM12638</t>
  </si>
  <si>
    <t>ITM12639</t>
  </si>
  <si>
    <t>ITM12640</t>
  </si>
  <si>
    <t>ITM12641</t>
  </si>
  <si>
    <t>ITM12642</t>
  </si>
  <si>
    <t>ITM12643</t>
  </si>
  <si>
    <t>ITM12644</t>
  </si>
  <si>
    <t>ITM12645</t>
  </si>
  <si>
    <t>ITM12646</t>
  </si>
  <si>
    <t>ITM12647</t>
  </si>
  <si>
    <t>ITM12648</t>
  </si>
  <si>
    <t>ITM12649</t>
  </si>
  <si>
    <t>ITM12650</t>
  </si>
  <si>
    <t>ITM12651</t>
  </si>
  <si>
    <t>ITM12652</t>
  </si>
  <si>
    <t>ITM12653</t>
  </si>
  <si>
    <t>ITM12654</t>
  </si>
  <si>
    <t>ITM12655</t>
  </si>
  <si>
    <t>ITM12656</t>
  </si>
  <si>
    <t>ITM12657</t>
  </si>
  <si>
    <t>ITM12658</t>
  </si>
  <si>
    <t>ITM12659</t>
  </si>
  <si>
    <t>ITM12660</t>
  </si>
  <si>
    <t>ITM12661</t>
  </si>
  <si>
    <t>ITM12662</t>
  </si>
  <si>
    <t>ITM12663</t>
  </si>
  <si>
    <t>ITM12664</t>
  </si>
  <si>
    <t>ITM12665</t>
  </si>
  <si>
    <t>ITM12666</t>
  </si>
  <si>
    <t>ITM12667</t>
  </si>
  <si>
    <t>ITM12668</t>
  </si>
  <si>
    <t>ITM12669</t>
  </si>
  <si>
    <t>ITM12670</t>
  </si>
  <si>
    <t>ITM12671</t>
  </si>
  <si>
    <t>ITM12672</t>
  </si>
  <si>
    <t>ITM12673</t>
  </si>
  <si>
    <t>ITM12674</t>
  </si>
  <si>
    <t>ITM12675</t>
  </si>
  <si>
    <t>ITM12676</t>
  </si>
  <si>
    <t>ITM12677</t>
  </si>
  <si>
    <t>ITM12678</t>
  </si>
  <si>
    <t>ITM12679</t>
  </si>
  <si>
    <t>ITM12680</t>
  </si>
  <si>
    <t>ITM12681</t>
  </si>
  <si>
    <t>ITM12682</t>
  </si>
  <si>
    <t>ITM12683</t>
  </si>
  <si>
    <t>ITM12684</t>
  </si>
  <si>
    <t>ITM12685</t>
  </si>
  <si>
    <t>ITM12686</t>
  </si>
  <si>
    <t>ITM12687</t>
  </si>
  <si>
    <t>ITM12688</t>
  </si>
  <si>
    <t>ITM12689</t>
  </si>
  <si>
    <t>ITM12690</t>
  </si>
  <si>
    <t>ITM12691</t>
  </si>
  <si>
    <t>ITM12692</t>
  </si>
  <si>
    <t>ITM12693</t>
  </si>
  <si>
    <t>ITM12694</t>
  </si>
  <si>
    <t>ITM12695</t>
  </si>
  <si>
    <t>ITM12696</t>
  </si>
  <si>
    <t>ITM12697</t>
  </si>
  <si>
    <t>ITM12698</t>
  </si>
  <si>
    <t>ITM12699</t>
  </si>
  <si>
    <t>ITM12700</t>
  </si>
  <si>
    <t>ITM12701</t>
  </si>
  <si>
    <t>ITM12702</t>
  </si>
  <si>
    <t>ITM12703</t>
  </si>
  <si>
    <t>ITM12704</t>
  </si>
  <si>
    <t>ITM12705</t>
  </si>
  <si>
    <t>ITM12706</t>
  </si>
  <si>
    <t>ITM12707</t>
  </si>
  <si>
    <t>ITM12708</t>
  </si>
  <si>
    <t>ITM12709</t>
  </si>
  <si>
    <t>ITM12710</t>
  </si>
  <si>
    <t>ITM12711</t>
  </si>
  <si>
    <t>ITM12712</t>
  </si>
  <si>
    <t>ITM12713</t>
  </si>
  <si>
    <t>ITM12714</t>
  </si>
  <si>
    <t>ITM12715</t>
  </si>
  <si>
    <t>ITM12716</t>
  </si>
  <si>
    <t>ITM12717</t>
  </si>
  <si>
    <t>ITM12718</t>
  </si>
  <si>
    <t>ITM12719</t>
  </si>
  <si>
    <t>ITM12720</t>
  </si>
  <si>
    <t>ITM12721</t>
  </si>
  <si>
    <t>ITM12722</t>
  </si>
  <si>
    <t>ITM12723</t>
  </si>
  <si>
    <t>ITM12724</t>
  </si>
  <si>
    <t>ITM12725</t>
  </si>
  <si>
    <t>ITM12726</t>
  </si>
  <si>
    <t>ITM12727</t>
  </si>
  <si>
    <t>ITM12728</t>
  </si>
  <si>
    <t>ITM12729</t>
  </si>
  <si>
    <t>ITM12730</t>
  </si>
  <si>
    <t>ITM12731</t>
  </si>
  <si>
    <t>ITM12732</t>
  </si>
  <si>
    <t>ITM12733</t>
  </si>
  <si>
    <t>ITM12734</t>
  </si>
  <si>
    <t>ITM12735</t>
  </si>
  <si>
    <t>ITM12736</t>
  </si>
  <si>
    <t>ITM12737</t>
  </si>
  <si>
    <t>ITM12738</t>
  </si>
  <si>
    <t>ITM12739</t>
  </si>
  <si>
    <t>ITM12740</t>
  </si>
  <si>
    <t>ITM12741</t>
  </si>
  <si>
    <t>ITM12742</t>
  </si>
  <si>
    <t>ITM12743</t>
  </si>
  <si>
    <t>ITM12744</t>
  </si>
  <si>
    <t>ITM12745</t>
  </si>
  <si>
    <t>ITM12746</t>
  </si>
  <si>
    <t>ITM12747</t>
  </si>
  <si>
    <t>ITM12748</t>
  </si>
  <si>
    <t>ITM12749</t>
  </si>
  <si>
    <t>ITM12750</t>
  </si>
  <si>
    <t>ITM12751</t>
  </si>
  <si>
    <t>ITM12752</t>
  </si>
  <si>
    <t>ITM12753</t>
  </si>
  <si>
    <t>ITM12754</t>
  </si>
  <si>
    <t>ITM12755</t>
  </si>
  <si>
    <t>ITM12756</t>
  </si>
  <si>
    <t>ITM12757</t>
  </si>
  <si>
    <t>ITM12758</t>
  </si>
  <si>
    <t>ITM12759</t>
  </si>
  <si>
    <t>ITM12760</t>
  </si>
  <si>
    <t>ITM12761</t>
  </si>
  <si>
    <t>ITM12762</t>
  </si>
  <si>
    <t>ITM12763</t>
  </si>
  <si>
    <t>ITM12764</t>
  </si>
  <si>
    <t>ITM12765</t>
  </si>
  <si>
    <t>ITM12766</t>
  </si>
  <si>
    <t>ITM12767</t>
  </si>
  <si>
    <t>ITM12768</t>
  </si>
  <si>
    <t>ITM12769</t>
  </si>
  <si>
    <t>ITM12770</t>
  </si>
  <si>
    <t>ITM12771</t>
  </si>
  <si>
    <t>ITM12772</t>
  </si>
  <si>
    <t>ITM12773</t>
  </si>
  <si>
    <t>ITM12774</t>
  </si>
  <si>
    <t>ITM12775</t>
  </si>
  <si>
    <t>ITM12776</t>
  </si>
  <si>
    <t>ITM12777</t>
  </si>
  <si>
    <t>ITM12778</t>
  </si>
  <si>
    <t>ITM12779</t>
  </si>
  <si>
    <t>ITM12780</t>
  </si>
  <si>
    <t>ITM12781</t>
  </si>
  <si>
    <t>ITM12782</t>
  </si>
  <si>
    <t>ITM12783</t>
  </si>
  <si>
    <t>ITM12784</t>
  </si>
  <si>
    <t>ITM12785</t>
  </si>
  <si>
    <t>ITM12786</t>
  </si>
  <si>
    <t>ITM12787</t>
  </si>
  <si>
    <t>ITM12788</t>
  </si>
  <si>
    <t>ITM12789</t>
  </si>
  <si>
    <t>ITM12790</t>
  </si>
  <si>
    <t>ITM12791</t>
  </si>
  <si>
    <t>ITM12792</t>
  </si>
  <si>
    <t>ITM12793</t>
  </si>
  <si>
    <t>ITM12794</t>
  </si>
  <si>
    <t>ITM12795</t>
  </si>
  <si>
    <t>ITM12796</t>
  </si>
  <si>
    <t>ITM12797</t>
  </si>
  <si>
    <t>ITM12798</t>
  </si>
  <si>
    <t>ITM12799</t>
  </si>
  <si>
    <t>ITM12800</t>
  </si>
  <si>
    <t>ITM12801</t>
  </si>
  <si>
    <t>ITM12802</t>
  </si>
  <si>
    <t>ITM12803</t>
  </si>
  <si>
    <t>ITM12804</t>
  </si>
  <si>
    <t>ITM12805</t>
  </si>
  <si>
    <t>ITM12806</t>
  </si>
  <si>
    <t>ITM12807</t>
  </si>
  <si>
    <t>ITM12808</t>
  </si>
  <si>
    <t>ITM12809</t>
  </si>
  <si>
    <t>ITM12810</t>
  </si>
  <si>
    <t>ITM12811</t>
  </si>
  <si>
    <t>ITM12812</t>
  </si>
  <si>
    <t>ITM12813</t>
  </si>
  <si>
    <t>ITM12814</t>
  </si>
  <si>
    <t>ITM12815</t>
  </si>
  <si>
    <t>ITM12816</t>
  </si>
  <si>
    <t>ITM12817</t>
  </si>
  <si>
    <t>ITM12818</t>
  </si>
  <si>
    <t>ITM12819</t>
  </si>
  <si>
    <t>ITM12820</t>
  </si>
  <si>
    <t>ITM12821</t>
  </si>
  <si>
    <t>ITM12822</t>
  </si>
  <si>
    <t>ITM12823</t>
  </si>
  <si>
    <t>ITM12824</t>
  </si>
  <si>
    <t>ITM12825</t>
  </si>
  <si>
    <t>ITM12826</t>
  </si>
  <si>
    <t>ITM12827</t>
  </si>
  <si>
    <t>ITM12828</t>
  </si>
  <si>
    <t>ITM12829</t>
  </si>
  <si>
    <t>ITM12830</t>
  </si>
  <si>
    <t>ITM12831</t>
  </si>
  <si>
    <t>ITM12832</t>
  </si>
  <si>
    <t>ITM12833</t>
  </si>
  <si>
    <t>ITM12834</t>
  </si>
  <si>
    <t>ITM12835</t>
  </si>
  <si>
    <t>ITM12836</t>
  </si>
  <si>
    <t>ITM12837</t>
  </si>
  <si>
    <t>ITM12838</t>
  </si>
  <si>
    <t>ITM12839</t>
  </si>
  <si>
    <t>ITM12840</t>
  </si>
  <si>
    <t>ITM12841</t>
  </si>
  <si>
    <t>ITM12842</t>
  </si>
  <si>
    <t>ITM12843</t>
  </si>
  <si>
    <t>ITM12844</t>
  </si>
  <si>
    <t>ITM12845</t>
  </si>
  <si>
    <t>ITM12846</t>
  </si>
  <si>
    <t>ITM12847</t>
  </si>
  <si>
    <t>ITM12848</t>
  </si>
  <si>
    <t>ITM12849</t>
  </si>
  <si>
    <t>ITM12850</t>
  </si>
  <si>
    <t>ITM12851</t>
  </si>
  <si>
    <t>ITM12852</t>
  </si>
  <si>
    <t>ITM12853</t>
  </si>
  <si>
    <t>ITM12854</t>
  </si>
  <si>
    <t>ITM12855</t>
  </si>
  <si>
    <t>ITM12856</t>
  </si>
  <si>
    <t>ITM12857</t>
  </si>
  <si>
    <t>ITM12858</t>
  </si>
  <si>
    <t>ITM12859</t>
  </si>
  <si>
    <t>ITM12860</t>
  </si>
  <si>
    <t>ITM12861</t>
  </si>
  <si>
    <t>ITM12862</t>
  </si>
  <si>
    <t>ITM12863</t>
  </si>
  <si>
    <t>ITM12864</t>
  </si>
  <si>
    <t>ITM12865</t>
  </si>
  <si>
    <t>ITM12866</t>
  </si>
  <si>
    <t>ITM12867</t>
  </si>
  <si>
    <t>ITM12868</t>
  </si>
  <si>
    <t>ITM12869</t>
  </si>
  <si>
    <t>ITM12870</t>
  </si>
  <si>
    <t>ITM12871</t>
  </si>
  <si>
    <t>ITM12872</t>
  </si>
  <si>
    <t>ITM12873</t>
  </si>
  <si>
    <t>ITM12874</t>
  </si>
  <si>
    <t>ITM12875</t>
  </si>
  <si>
    <t>ITM12876</t>
  </si>
  <si>
    <t>ITM12877</t>
  </si>
  <si>
    <t>ITM12878</t>
  </si>
  <si>
    <t>ITM12879</t>
  </si>
  <si>
    <t>ITM12880</t>
  </si>
  <si>
    <t>ITM12881</t>
  </si>
  <si>
    <t>ITM12882</t>
  </si>
  <si>
    <t>ITM12883</t>
  </si>
  <si>
    <t>ITM12884</t>
  </si>
  <si>
    <t>ITM12885</t>
  </si>
  <si>
    <t>ITM12886</t>
  </si>
  <si>
    <t>ITM12887</t>
  </si>
  <si>
    <t>ITM12888</t>
  </si>
  <si>
    <t>ITM12889</t>
  </si>
  <si>
    <t>ITM12890</t>
  </si>
  <si>
    <t>ITM12891</t>
  </si>
  <si>
    <t>ITM12892</t>
  </si>
  <si>
    <t>ITM12893</t>
  </si>
  <si>
    <t>ITM12894</t>
  </si>
  <si>
    <t>ITM12895</t>
  </si>
  <si>
    <t>ITM12896</t>
  </si>
  <si>
    <t>ITM12897</t>
  </si>
  <si>
    <t>ITM12898</t>
  </si>
  <si>
    <t>ITM12899</t>
  </si>
  <si>
    <t>ITM12900</t>
  </si>
  <si>
    <t>ITM12901</t>
  </si>
  <si>
    <t>ITM12902</t>
  </si>
  <si>
    <t>ITM12903</t>
  </si>
  <si>
    <t>ITM12904</t>
  </si>
  <si>
    <t>ITM12905</t>
  </si>
  <si>
    <t>ITM12906</t>
  </si>
  <si>
    <t>ITM12907</t>
  </si>
  <si>
    <t>ITM12908</t>
  </si>
  <si>
    <t>ITM12909</t>
  </si>
  <si>
    <t>ITM12910</t>
  </si>
  <si>
    <t>ITM12911</t>
  </si>
  <si>
    <t>ITM12912</t>
  </si>
  <si>
    <t>ITM12913</t>
  </si>
  <si>
    <t>ITM12914</t>
  </si>
  <si>
    <t>ITM12915</t>
  </si>
  <si>
    <t>ITM12916</t>
  </si>
  <si>
    <t>ITM12917</t>
  </si>
  <si>
    <t>ITM12918</t>
  </si>
  <si>
    <t>ITM12919</t>
  </si>
  <si>
    <t>ITM12920</t>
  </si>
  <si>
    <t>ITM12921</t>
  </si>
  <si>
    <t>ITM12922</t>
  </si>
  <si>
    <t>ITM12923</t>
  </si>
  <si>
    <t>ITM12924</t>
  </si>
  <si>
    <t>ITM12925</t>
  </si>
  <si>
    <t>ITM12926</t>
  </si>
  <si>
    <t>ITM12927</t>
  </si>
  <si>
    <t>ITM12928</t>
  </si>
  <si>
    <t>ITM12929</t>
  </si>
  <si>
    <t>ITM12930</t>
  </si>
  <si>
    <t>ITM12931</t>
  </si>
  <si>
    <t>ITM12932</t>
  </si>
  <si>
    <t>ITM12933</t>
  </si>
  <si>
    <t>ITM12934</t>
  </si>
  <si>
    <t>ITM12935</t>
  </si>
  <si>
    <t>ITM12936</t>
  </si>
  <si>
    <t>ITM12937</t>
  </si>
  <si>
    <t>ITM12938</t>
  </si>
  <si>
    <t>ITM12939</t>
  </si>
  <si>
    <t>ITM12940</t>
  </si>
  <si>
    <t>ITM12941</t>
  </si>
  <si>
    <t>ITM12942</t>
  </si>
  <si>
    <t>ITM12943</t>
  </si>
  <si>
    <t>ITM12944</t>
  </si>
  <si>
    <t>ITM12945</t>
  </si>
  <si>
    <t>ITM12946</t>
  </si>
  <si>
    <t>ITM12947</t>
  </si>
  <si>
    <t>ITM12948</t>
  </si>
  <si>
    <t>ITM12949</t>
  </si>
  <si>
    <t>ITM12950</t>
  </si>
  <si>
    <t>ITM12951</t>
  </si>
  <si>
    <t>ITM12952</t>
  </si>
  <si>
    <t>ITM12953</t>
  </si>
  <si>
    <t>ITM12954</t>
  </si>
  <si>
    <t>ITM12955</t>
  </si>
  <si>
    <t>ITM12956</t>
  </si>
  <si>
    <t>ITM12957</t>
  </si>
  <si>
    <t>ITM12958</t>
  </si>
  <si>
    <t>ITM12959</t>
  </si>
  <si>
    <t>ITM12960</t>
  </si>
  <si>
    <t>ITM12961</t>
  </si>
  <si>
    <t>ITM12962</t>
  </si>
  <si>
    <t>ITM12963</t>
  </si>
  <si>
    <t>ITM12964</t>
  </si>
  <si>
    <t>ITM12965</t>
  </si>
  <si>
    <t>ITM12966</t>
  </si>
  <si>
    <t>ITM12967</t>
  </si>
  <si>
    <t>ITM12968</t>
  </si>
  <si>
    <t>ITM12969</t>
  </si>
  <si>
    <t>ITM12970</t>
  </si>
  <si>
    <t>ITM12971</t>
  </si>
  <si>
    <t>ITM12972</t>
  </si>
  <si>
    <t>ITM12973</t>
  </si>
  <si>
    <t>ITM12974</t>
  </si>
  <si>
    <t>ITM12975</t>
  </si>
  <si>
    <t>ITM12976</t>
  </si>
  <si>
    <t>ITM12977</t>
  </si>
  <si>
    <t>ITM12978</t>
  </si>
  <si>
    <t>ITM12979</t>
  </si>
  <si>
    <t>ITM12980</t>
  </si>
  <si>
    <t>ITM12981</t>
  </si>
  <si>
    <t>ITM12982</t>
  </si>
  <si>
    <t>ITM12983</t>
  </si>
  <si>
    <t>ITM12984</t>
  </si>
  <si>
    <t>ITM12985</t>
  </si>
  <si>
    <t>ITM12986</t>
  </si>
  <si>
    <t>ITM12987</t>
  </si>
  <si>
    <t>ITM12988</t>
  </si>
  <si>
    <t>ITM12989</t>
  </si>
  <si>
    <t>ITM12990</t>
  </si>
  <si>
    <t>ITM12991</t>
  </si>
  <si>
    <t>ITM12992</t>
  </si>
  <si>
    <t>ITM12993</t>
  </si>
  <si>
    <t>ITM12994</t>
  </si>
  <si>
    <t>ITM12995</t>
  </si>
  <si>
    <t>ITM12996</t>
  </si>
  <si>
    <t>ITM12997</t>
  </si>
  <si>
    <t>ITM12998</t>
  </si>
  <si>
    <t>ITM12999</t>
  </si>
  <si>
    <t>ITM13000</t>
  </si>
  <si>
    <t>ITM13001</t>
  </si>
  <si>
    <t>ITM13002</t>
  </si>
  <si>
    <t>ITM13003</t>
  </si>
  <si>
    <t>ITM13004</t>
  </si>
  <si>
    <t>ITM13005</t>
  </si>
  <si>
    <t>ITM13006</t>
  </si>
  <si>
    <t>ITM13007</t>
  </si>
  <si>
    <t>ITM13008</t>
  </si>
  <si>
    <t>ITM13009</t>
  </si>
  <si>
    <t>ITM13010</t>
  </si>
  <si>
    <t>ITM13011</t>
  </si>
  <si>
    <t>ITM13012</t>
  </si>
  <si>
    <t>ITM13013</t>
  </si>
  <si>
    <t>ITM13014</t>
  </si>
  <si>
    <t>ITM13015</t>
  </si>
  <si>
    <t>ITM13016</t>
  </si>
  <si>
    <t>ITM13017</t>
  </si>
  <si>
    <t>ITM13018</t>
  </si>
  <si>
    <t>ITM13019</t>
  </si>
  <si>
    <t>ITM13020</t>
  </si>
  <si>
    <t>ITM13021</t>
  </si>
  <si>
    <t>ITM13022</t>
  </si>
  <si>
    <t>ITM13023</t>
  </si>
  <si>
    <t>ITM13024</t>
  </si>
  <si>
    <t>ITM13025</t>
  </si>
  <si>
    <t>ITM13026</t>
  </si>
  <si>
    <t>ITM13027</t>
  </si>
  <si>
    <t>ITM13028</t>
  </si>
  <si>
    <t>ITM13029</t>
  </si>
  <si>
    <t>ITM13030</t>
  </si>
  <si>
    <t>ITM13031</t>
  </si>
  <si>
    <t>ITM13032</t>
  </si>
  <si>
    <t>ITM13033</t>
  </si>
  <si>
    <t>ITM13034</t>
  </si>
  <si>
    <t>ITM13035</t>
  </si>
  <si>
    <t>ITM13036</t>
  </si>
  <si>
    <t>ITM13037</t>
  </si>
  <si>
    <t>ITM13038</t>
  </si>
  <si>
    <t>ITM13039</t>
  </si>
  <si>
    <t>ITM13040</t>
  </si>
  <si>
    <t>ITM13041</t>
  </si>
  <si>
    <t>ITM13042</t>
  </si>
  <si>
    <t>ITM13043</t>
  </si>
  <si>
    <t>ITM13044</t>
  </si>
  <si>
    <t>ITM13045</t>
  </si>
  <si>
    <t>ITM13046</t>
  </si>
  <si>
    <t>ITM13047</t>
  </si>
  <si>
    <t>ITM13048</t>
  </si>
  <si>
    <t>ITM13049</t>
  </si>
  <si>
    <t>ITM13050</t>
  </si>
  <si>
    <t>ITM13051</t>
  </si>
  <si>
    <t>ITM13052</t>
  </si>
  <si>
    <t>ITM13053</t>
  </si>
  <si>
    <t>ITM13054</t>
  </si>
  <si>
    <t>ITM13055</t>
  </si>
  <si>
    <t>ITM13056</t>
  </si>
  <si>
    <t>ITM13057</t>
  </si>
  <si>
    <t>ITM13058</t>
  </si>
  <si>
    <t>ITM13059</t>
  </si>
  <si>
    <t>ITM13060</t>
  </si>
  <si>
    <t>ITM13061</t>
  </si>
  <si>
    <t>ITM13062</t>
  </si>
  <si>
    <t>ITM13063</t>
  </si>
  <si>
    <t>ITM13064</t>
  </si>
  <si>
    <t>ITM13065</t>
  </si>
  <si>
    <t>ITM13066</t>
  </si>
  <si>
    <t>ITM13067</t>
  </si>
  <si>
    <t>ITM13068</t>
  </si>
  <si>
    <t>ITM13069</t>
  </si>
  <si>
    <t>ITM13070</t>
  </si>
  <si>
    <t>ITM13071</t>
  </si>
  <si>
    <t>ITM13072</t>
  </si>
  <si>
    <t>ITM13073</t>
  </si>
  <si>
    <t>ITM13074</t>
  </si>
  <si>
    <t>ITM13075</t>
  </si>
  <si>
    <t>ITM13076</t>
  </si>
  <si>
    <t>ITM13077</t>
  </si>
  <si>
    <t>ITM13078</t>
  </si>
  <si>
    <t>ITM13079</t>
  </si>
  <si>
    <t>ITM13080</t>
  </si>
  <si>
    <t>ITM13081</t>
  </si>
  <si>
    <t>ITM13082</t>
  </si>
  <si>
    <t>ITM13083</t>
  </si>
  <si>
    <t>ITM13084</t>
  </si>
  <si>
    <t>ITM13085</t>
  </si>
  <si>
    <t>ITM13086</t>
  </si>
  <si>
    <t>ITM13087</t>
  </si>
  <si>
    <t>ITM13088</t>
  </si>
  <si>
    <t>ITM13089</t>
  </si>
  <si>
    <t>ITM13090</t>
  </si>
  <si>
    <t>ITM13091</t>
  </si>
  <si>
    <t>ITM13092</t>
  </si>
  <si>
    <t>ITM13093</t>
  </si>
  <si>
    <t>ITM13094</t>
  </si>
  <si>
    <t>ITM13095</t>
  </si>
  <si>
    <t>ITM13096</t>
  </si>
  <si>
    <t>ITM13097</t>
  </si>
  <si>
    <t>ITM13098</t>
  </si>
  <si>
    <t>ITM13099</t>
  </si>
  <si>
    <t>ITM13100</t>
  </si>
  <si>
    <t>ITM13101</t>
  </si>
  <si>
    <t>ITM13102</t>
  </si>
  <si>
    <t>ITM13103</t>
  </si>
  <si>
    <t>ITM13104</t>
  </si>
  <si>
    <t>ITM13105</t>
  </si>
  <si>
    <t>ITM13106</t>
  </si>
  <si>
    <t>ITM13107</t>
  </si>
  <si>
    <t>ITM13108</t>
  </si>
  <si>
    <t>ITM13109</t>
  </si>
  <si>
    <t>ITM13110</t>
  </si>
  <si>
    <t>ITM13111</t>
  </si>
  <si>
    <t>ITM13112</t>
  </si>
  <si>
    <t>ITM13113</t>
  </si>
  <si>
    <t>ITM13114</t>
  </si>
  <si>
    <t>ITM13115</t>
  </si>
  <si>
    <t>ITM13116</t>
  </si>
  <si>
    <t>ITM13117</t>
  </si>
  <si>
    <t>ITM13118</t>
  </si>
  <si>
    <t>ITM13119</t>
  </si>
  <si>
    <t>ITM13120</t>
  </si>
  <si>
    <t>ITM13121</t>
  </si>
  <si>
    <t>ITM13122</t>
  </si>
  <si>
    <t>ITM13123</t>
  </si>
  <si>
    <t>ITM13124</t>
  </si>
  <si>
    <t>ITM13125</t>
  </si>
  <si>
    <t>ITM13126</t>
  </si>
  <si>
    <t>ITM13127</t>
  </si>
  <si>
    <t>ITM13128</t>
  </si>
  <si>
    <t>ITM13129</t>
  </si>
  <si>
    <t>ITM13130</t>
  </si>
  <si>
    <t>ITM13131</t>
  </si>
  <si>
    <t>ITM13132</t>
  </si>
  <si>
    <t>ITM13133</t>
  </si>
  <si>
    <t>ITM13134</t>
  </si>
  <si>
    <t>ITM13135</t>
  </si>
  <si>
    <t>ITM13136</t>
  </si>
  <si>
    <t>ITM13137</t>
  </si>
  <si>
    <t>ITM13138</t>
  </si>
  <si>
    <t>ITM13139</t>
  </si>
  <si>
    <t>ITM13140</t>
  </si>
  <si>
    <t>ITM13141</t>
  </si>
  <si>
    <t>ITM13142</t>
  </si>
  <si>
    <t>ITM13143</t>
  </si>
  <si>
    <t>ITM13144</t>
  </si>
  <si>
    <t>ITM13145</t>
  </si>
  <si>
    <t>ITM13146</t>
  </si>
  <si>
    <t>ITM13147</t>
  </si>
  <si>
    <t>ITM13148</t>
  </si>
  <si>
    <t>ITM13149</t>
  </si>
  <si>
    <t>ITM13150</t>
  </si>
  <si>
    <t>ITM13151</t>
  </si>
  <si>
    <t>ITM13152</t>
  </si>
  <si>
    <t>ITM13153</t>
  </si>
  <si>
    <t>ITM13154</t>
  </si>
  <si>
    <t>ITM13155</t>
  </si>
  <si>
    <t>ITM13156</t>
  </si>
  <si>
    <t>ITM13157</t>
  </si>
  <si>
    <t>ITM13158</t>
  </si>
  <si>
    <t>ITM13159</t>
  </si>
  <si>
    <t>ITM13160</t>
  </si>
  <si>
    <t>ITM13161</t>
  </si>
  <si>
    <t>ITM13162</t>
  </si>
  <si>
    <t>ITM13163</t>
  </si>
  <si>
    <t>ITM13164</t>
  </si>
  <si>
    <t>ITM13165</t>
  </si>
  <si>
    <t>ITM13166</t>
  </si>
  <si>
    <t>ITM13167</t>
  </si>
  <si>
    <t>ITM13168</t>
  </si>
  <si>
    <t>ITM13169</t>
  </si>
  <si>
    <t>ITM13170</t>
  </si>
  <si>
    <t>ITM13171</t>
  </si>
  <si>
    <t>ITM13172</t>
  </si>
  <si>
    <t>ITM13173</t>
  </si>
  <si>
    <t>ITM13174</t>
  </si>
  <si>
    <t>ITM13175</t>
  </si>
  <si>
    <t>ITM13176</t>
  </si>
  <si>
    <t>ITM13177</t>
  </si>
  <si>
    <t>ITM13178</t>
  </si>
  <si>
    <t>ITM13179</t>
  </si>
  <si>
    <t>ITM13180</t>
  </si>
  <si>
    <t>ITM13181</t>
  </si>
  <si>
    <t>ITM13182</t>
  </si>
  <si>
    <t>ITM13183</t>
  </si>
  <si>
    <t>ITM13184</t>
  </si>
  <si>
    <t>ITM13185</t>
  </si>
  <si>
    <t>ITM13186</t>
  </si>
  <si>
    <t>ITM13187</t>
  </si>
  <si>
    <t>ITM13188</t>
  </si>
  <si>
    <t>ITM13189</t>
  </si>
  <si>
    <t>ITM13190</t>
  </si>
  <si>
    <t>ITM13191</t>
  </si>
  <si>
    <t>ITM13192</t>
  </si>
  <si>
    <t>ITM13193</t>
  </si>
  <si>
    <t>ITM13194</t>
  </si>
  <si>
    <t>ITM13195</t>
  </si>
  <si>
    <t>ITM13196</t>
  </si>
  <si>
    <t>ITM13197</t>
  </si>
  <si>
    <t>ITM13198</t>
  </si>
  <si>
    <t>ITM13199</t>
  </si>
  <si>
    <t>ITM13200</t>
  </si>
  <si>
    <t>ITM13201</t>
  </si>
  <si>
    <t>ITM13202</t>
  </si>
  <si>
    <t>ITM13203</t>
  </si>
  <si>
    <t>Total Items</t>
  </si>
  <si>
    <t>Low Stock Items</t>
  </si>
  <si>
    <t>Total Inventory Value</t>
  </si>
  <si>
    <t>Pivot Table Summaries - Logistics Database</t>
  </si>
  <si>
    <t>Pivot 1: Category-wise Inventory Summary</t>
  </si>
  <si>
    <t>Pivot 2: Stockout Risk by Category</t>
  </si>
  <si>
    <t>Category</t>
  </si>
  <si>
    <t>Number of Items</t>
  </si>
  <si>
    <t>Total Stock</t>
  </si>
  <si>
    <t>Avg Fulfillment Rate</t>
  </si>
  <si>
    <t>At Risk</t>
  </si>
  <si>
    <t>Safe</t>
  </si>
  <si>
    <t>Pivot 3: Stock Status by Category</t>
  </si>
  <si>
    <t>Pivot 4: Warehouse Zone Performance</t>
  </si>
  <si>
    <t>Low Stock</t>
  </si>
  <si>
    <t>Sufficient Stock</t>
  </si>
  <si>
    <t>Zone</t>
  </si>
  <si>
    <t>Item Count</t>
  </si>
  <si>
    <t>Avg Picking Time</t>
  </si>
  <si>
    <t>Avg Layout Efficiency</t>
  </si>
  <si>
    <t>Avg KPI Score</t>
  </si>
  <si>
    <t>Pivot 5: Reorder Priority - Top 30 At-Risk Low-Stock Items</t>
  </si>
  <si>
    <t>Pivot 6: Fulfillment Performance by Category</t>
  </si>
  <si>
    <t>Rank</t>
  </si>
  <si>
    <t>Item ID</t>
  </si>
  <si>
    <t>Stock Level</t>
  </si>
  <si>
    <t>Reorder Point</t>
  </si>
  <si>
    <t>Days Inventory Left</t>
  </si>
  <si>
    <t>Suggested Action</t>
  </si>
  <si>
    <t>Strong</t>
  </si>
  <si>
    <t>Moderate</t>
  </si>
  <si>
    <t>Needs Attention</t>
  </si>
  <si>
    <t>How to use these tables</t>
  </si>
  <si>
    <t>1</t>
  </si>
  <si>
    <t>Use Pivot 1 to explain inventory value and category-level stock.</t>
  </si>
  <si>
    <t>2</t>
  </si>
  <si>
    <t>Use Pivot 2 and Pivot 3 to identify low-stock and stockout-risk categories.</t>
  </si>
  <si>
    <t>3</t>
  </si>
  <si>
    <t>Use Pivot 4 to compare warehouse zone performance and picking speed.</t>
  </si>
  <si>
    <t>4</t>
  </si>
  <si>
    <t>Use Pivot 5 as the business action table: reorder these items first.</t>
  </si>
  <si>
    <t>5</t>
  </si>
  <si>
    <t>Use Pivot 6 to explain fulfillment performance by product category.</t>
  </si>
  <si>
    <t>6</t>
  </si>
  <si>
    <t>For an Excel screenshot, hide gridlines and capture this Pivot_Tables sheet.</t>
  </si>
  <si>
    <t>7</t>
  </si>
  <si>
    <t>When raw data changes, formulas recalculate automatically.</t>
  </si>
  <si>
    <t>At Risk Items</t>
  </si>
  <si>
    <t>Low Stock %</t>
  </si>
  <si>
    <t>At Risk %</t>
  </si>
  <si>
    <t>Avg Picking Time (sec)</t>
  </si>
  <si>
    <t>Performance Distribution</t>
  </si>
  <si>
    <t>Metric</t>
  </si>
  <si>
    <t>Status</t>
  </si>
  <si>
    <t>Count</t>
  </si>
  <si>
    <t>Percent of Items</t>
  </si>
  <si>
    <t>Fast</t>
  </si>
  <si>
    <t>Average</t>
  </si>
  <si>
    <t>Slow</t>
  </si>
  <si>
    <t>Location</t>
  </si>
  <si>
    <t>Daily Demand</t>
  </si>
  <si>
    <t>Stockouts Last Month</t>
  </si>
  <si>
    <t>Orders Last Month</t>
  </si>
  <si>
    <t>Forecast Demand 7d</t>
  </si>
  <si>
    <t>Recommended Reorder Qty</t>
  </si>
  <si>
    <t>Priority Score</t>
  </si>
  <si>
    <t>Immediate reorder</t>
  </si>
  <si>
    <t>Warehouse Logistics Dashboard - Enhanced Summary</t>
  </si>
  <si>
    <t>Built from the logistics_dataset table: stock risk, fulfillment, picking speed, inventory value, and holding cost.</t>
  </si>
  <si>
    <t>Stockout Risk Items</t>
  </si>
  <si>
    <t>Immediate Reorder Items</t>
  </si>
  <si>
    <t>Key Insight</t>
  </si>
  <si>
    <t>What it means</t>
  </si>
  <si>
    <t>Stock risk</t>
  </si>
  <si>
    <t>818 items are at risk of stockout (25.5% of the dataset).</t>
  </si>
  <si>
    <t>Low stock</t>
  </si>
  <si>
    <t>240 items are below or equal to reorder point.</t>
  </si>
  <si>
    <t>Picking speed</t>
  </si>
  <si>
    <t>Average picking time is 95.6 seconds; zone analysis helps identify bottlenecks.</t>
  </si>
  <si>
    <t>Cost focus</t>
  </si>
  <si>
    <t>Monthly holding cost is about $26,446,383; compare cost reduction with stockout risk before lowering inventory.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</si>
</sst>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\$#,##0"/>
    <numFmt numFmtId="167" formatCode="0.000"/>
  </numFmts>
  <fonts count="24" x14ac:knownFonts="1">
    <font>
      <sz val="11"/>
      <color theme="1"/>
      <name val="Aptos Narrow"/>
    </font>
    <font>
      <sz val="11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1"/>
      <color rgb="FF006100"/>
      <name val="Aptos Narrow"/>
    </font>
    <font>
      <sz val="11"/>
      <color rgb="FF9C0006"/>
      <name val="Aptos Narrow"/>
    </font>
    <font>
      <sz val="11"/>
      <color rgb="FF9C5700"/>
      <name val="Aptos Narrow"/>
    </font>
    <font>
      <sz val="11"/>
      <color rgb="FF3F3F76"/>
      <name val="Aptos Narrow"/>
    </font>
    <font>
      <b/>
      <sz val="11"/>
      <color rgb="FF3F3F3F"/>
      <name val="Aptos Narrow"/>
    </font>
    <font>
      <b/>
      <sz val="11"/>
      <color rgb="FFFA7D00"/>
      <name val="Aptos Narrow"/>
    </font>
    <font>
      <sz val="11"/>
      <color rgb="FFFA7D00"/>
      <name val="Aptos Narrow"/>
    </font>
    <font>
      <b/>
      <sz val="11"/>
      <color theme="0"/>
      <name val="Aptos Narrow"/>
    </font>
    <font>
      <sz val="11"/>
      <color rgb="FFFF0000"/>
      <name val="Aptos Narrow"/>
    </font>
    <font>
      <i/>
      <sz val="11"/>
      <color rgb="FF7F7F7F"/>
      <name val="Aptos Narrow"/>
    </font>
    <font>
      <b/>
      <sz val="11"/>
      <color theme="1"/>
      <name val="Aptos Narrow"/>
    </font>
    <font>
      <sz val="11"/>
      <color theme="0"/>
      <name val="Aptos Narrow"/>
    </font>
    <font>
      <b/>
      <sz val="11"/>
      <color rgb="FFFFFFFF"/>
      <name val="Aptos Narrow"/>
    </font>
    <font>
      <b/>
      <sz val="11"/>
      <color rgb="FF1F4E78"/>
      <name val="Aptos Narrow"/>
    </font>
    <font>
      <b/>
      <sz val="16"/>
      <color rgb="FFFFFFFF"/>
      <name val="Aptos Narrow"/>
    </font>
    <font>
      <i/>
      <sz val="11"/>
      <color theme="1"/>
      <name val="Aptos Narrow"/>
    </font>
    <font>
      <i/>
      <sz val="11"/>
      <color rgb="FF374151"/>
      <name val="Aptos Narrow"/>
    </font>
    <font>
      <b/>
      <sz val="11"/>
      <color rgb="FF1F2937"/>
      <name val="Aptos Narrow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7FBFE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3F6FA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18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16" fillId="34" borderId="0" xfId="0" applyFont="1" applyFill="1" applyAlignment="1">
      <alignment horizontal="center" vertical="center" wrapText="1"/>
    </xf>
    <xf numFmtId="0" fontId="16" fillId="36" borderId="0" xfId="0" applyFont="1" applyFill="1" applyAlignment="1">
      <alignment horizontal="center" vertical="center" wrapText="1"/>
    </xf>
    <xf numFmtId="164" fontId="16" fillId="36" borderId="0" xfId="0" applyNumberFormat="1" applyFont="1" applyFill="1" applyAlignment="1">
      <alignment horizontal="center" vertical="center" wrapText="1"/>
    </xf>
    <xf numFmtId="165" fontId="16" fillId="36" borderId="0" xfId="0" applyNumberFormat="1" applyFont="1" applyFill="1" applyAlignment="1">
      <alignment horizontal="center" vertical="center" wrapText="1"/>
    </xf>
    <xf numFmtId="166" fontId="16" fillId="36" borderId="0" xfId="0" applyNumberFormat="1" applyFont="1" applyFill="1" applyAlignment="1">
      <alignment horizontal="center" vertical="center" wrapText="1"/>
    </xf>
    <xf numFmtId="0" fontId="16" fillId="37" borderId="0" xfId="0" applyFont="1" applyFill="1" applyAlignment="1">
      <alignment wrapText="1"/>
    </xf>
    <xf numFmtId="0" fontId="23" fillId="41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20" fillId="38" borderId="0" xfId="0" applyFont="1" applyFill="1" applyAlignment="1">
      <alignment horizontal="center" vertical="center" wrapText="1"/>
    </xf>
    <xf numFmtId="0" fontId="22" fillId="39" borderId="0" xfId="0" applyFont="1" applyFill="1" applyAlignment="1">
      <alignment wrapText="1"/>
    </xf>
    <xf numFmtId="0" fontId="18" fillId="40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0" fillId="0" borderId="0" xfId="0"/>
    <xf numFmtId="0" fontId="20" fillId="35" borderId="0" xfId="0" applyFont="1" applyFill="1" applyAlignment="1">
      <alignment horizontal="center" vertical="center"/>
    </xf>
    <xf numFmtId="0" fontId="21" fillId="0" borderId="0" xfId="0" applyFont="1" applyAlignment="1">
      <alignment wrapText="1"/>
    </xf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3">
    <dxf>
      <fill>
        <patternFill>
          <bgColor rgb="FFD6EAF8"/>
        </patternFill>
      </fill>
    </dxf>
    <dxf>
      <fill>
        <patternFill>
          <bgColor rgb="FFFCF3CF"/>
        </patternFill>
      </fill>
    </dxf>
    <dxf>
      <fill>
        <patternFill>
          <bgColor rgb="FFFADB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Inventory Value</c:v>
          </c:tx>
          <c:invertIfNegative val="1"/>
          <c:cat>
            <c:strRef>
              <c:f>Pivot_Tables!$A$6:$A$10</c:f>
              <c:strCache>
                <c:ptCount val="5"/>
                <c:pt idx="0">
                  <c:v>Apparel</c:v>
                </c:pt>
                <c:pt idx="1">
                  <c:v>Automotive</c:v>
                </c:pt>
                <c:pt idx="2">
                  <c:v>Electronics</c:v>
                </c:pt>
                <c:pt idx="3">
                  <c:v>Groceries</c:v>
                </c:pt>
                <c:pt idx="4">
                  <c:v>Pharma</c:v>
                </c:pt>
              </c:strCache>
            </c:strRef>
          </c:cat>
          <c:val>
            <c:numRef>
              <c:f>Pivot_Tables!$D$6:$D$10</c:f>
              <c:numCache>
                <c:formatCode>\$#,##0</c:formatCode>
                <c:ptCount val="5"/>
                <c:pt idx="0">
                  <c:v>16804476.350000009</c:v>
                </c:pt>
                <c:pt idx="1">
                  <c:v>18042426.130000018</c:v>
                </c:pt>
                <c:pt idx="2">
                  <c:v>18234365.98999998</c:v>
                </c:pt>
                <c:pt idx="3">
                  <c:v>17342651.879999995</c:v>
                </c:pt>
                <c:pt idx="4">
                  <c:v>19142268.690000013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C-4957-8C62-25FB95708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Low Stock and Stockout Risk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Item Count</c:v>
          </c:tx>
          <c:invertIfNegative val="1"/>
          <c:cat>
            <c:strRef>
              <c:f>Dashboard_v2!$A$9:$A$13</c:f>
              <c:strCache>
                <c:ptCount val="5"/>
                <c:pt idx="0">
                  <c:v>Apparel</c:v>
                </c:pt>
                <c:pt idx="1">
                  <c:v>Automotive</c:v>
                </c:pt>
                <c:pt idx="2">
                  <c:v>Electronics</c:v>
                </c:pt>
                <c:pt idx="3">
                  <c:v>Groceries</c:v>
                </c:pt>
                <c:pt idx="4">
                  <c:v>Pharma</c:v>
                </c:pt>
              </c:strCache>
            </c:strRef>
          </c:cat>
          <c:val>
            <c:numRef>
              <c:f>Dashboard_v2!$B$9:$B$13</c:f>
              <c:numCache>
                <c:formatCode>General</c:formatCode>
                <c:ptCount val="5"/>
                <c:pt idx="0">
                  <c:v>617</c:v>
                </c:pt>
                <c:pt idx="1">
                  <c:v>658</c:v>
                </c:pt>
                <c:pt idx="2">
                  <c:v>651</c:v>
                </c:pt>
                <c:pt idx="3">
                  <c:v>618</c:v>
                </c:pt>
                <c:pt idx="4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A-493F-9D71-78E74C4C651C}"/>
            </c:ext>
          </c:extLst>
        </c:ser>
        <c:ser>
          <c:idx val="1"/>
          <c:order val="1"/>
          <c:tx>
            <c:v>Low Stock</c:v>
          </c:tx>
          <c:invertIfNegative val="1"/>
          <c:cat>
            <c:strRef>
              <c:f>Dashboard_v2!$A$9:$A$13</c:f>
              <c:strCache>
                <c:ptCount val="5"/>
                <c:pt idx="0">
                  <c:v>Apparel</c:v>
                </c:pt>
                <c:pt idx="1">
                  <c:v>Automotive</c:v>
                </c:pt>
                <c:pt idx="2">
                  <c:v>Electronics</c:v>
                </c:pt>
                <c:pt idx="3">
                  <c:v>Groceries</c:v>
                </c:pt>
                <c:pt idx="4">
                  <c:v>Pharma</c:v>
                </c:pt>
              </c:strCache>
            </c:strRef>
          </c:cat>
          <c:val>
            <c:numRef>
              <c:f>Dashboard_v2!$C$9:$C$13</c:f>
              <c:numCache>
                <c:formatCode>General</c:formatCode>
                <c:ptCount val="5"/>
                <c:pt idx="0">
                  <c:v>47</c:v>
                </c:pt>
                <c:pt idx="1">
                  <c:v>54</c:v>
                </c:pt>
                <c:pt idx="2">
                  <c:v>46</c:v>
                </c:pt>
                <c:pt idx="3">
                  <c:v>47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EA-493F-9D71-78E74C4C651C}"/>
            </c:ext>
          </c:extLst>
        </c:ser>
        <c:ser>
          <c:idx val="2"/>
          <c:order val="2"/>
          <c:tx>
            <c:v>At Risk</c:v>
          </c:tx>
          <c:invertIfNegative val="1"/>
          <c:cat>
            <c:strRef>
              <c:f>Dashboard_v2!$A$9:$A$13</c:f>
              <c:strCache>
                <c:ptCount val="5"/>
                <c:pt idx="0">
                  <c:v>Apparel</c:v>
                </c:pt>
                <c:pt idx="1">
                  <c:v>Automotive</c:v>
                </c:pt>
                <c:pt idx="2">
                  <c:v>Electronics</c:v>
                </c:pt>
                <c:pt idx="3">
                  <c:v>Groceries</c:v>
                </c:pt>
                <c:pt idx="4">
                  <c:v>Pharma</c:v>
                </c:pt>
              </c:strCache>
            </c:strRef>
          </c:cat>
          <c:val>
            <c:numRef>
              <c:f>Dashboard_v2!$D$9:$D$13</c:f>
              <c:numCache>
                <c:formatCode>General</c:formatCode>
                <c:ptCount val="5"/>
                <c:pt idx="0">
                  <c:v>156</c:v>
                </c:pt>
                <c:pt idx="1">
                  <c:v>175</c:v>
                </c:pt>
                <c:pt idx="2">
                  <c:v>164</c:v>
                </c:pt>
                <c:pt idx="3">
                  <c:v>168</c:v>
                </c:pt>
                <c:pt idx="4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EA-493F-9D71-78E74C4C6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Zone Operations Snapshot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Item Count</c:v>
          </c:tx>
          <c:invertIfNegative val="1"/>
          <c:cat>
            <c:strRef>
              <c:f>Dashboard_v2!$G$9:$G$12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Dashboard_v2!$H$9:$H$12</c:f>
              <c:numCache>
                <c:formatCode>General</c:formatCode>
                <c:ptCount val="4"/>
                <c:pt idx="0">
                  <c:v>812</c:v>
                </c:pt>
                <c:pt idx="1">
                  <c:v>784</c:v>
                </c:pt>
                <c:pt idx="2">
                  <c:v>775</c:v>
                </c:pt>
                <c:pt idx="3">
                  <c:v>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9-434C-AF10-69F31374D34C}"/>
            </c:ext>
          </c:extLst>
        </c:ser>
        <c:ser>
          <c:idx val="1"/>
          <c:order val="1"/>
          <c:tx>
            <c:v>Low Stock</c:v>
          </c:tx>
          <c:invertIfNegative val="1"/>
          <c:cat>
            <c:strRef>
              <c:f>Dashboard_v2!$G$9:$G$12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Dashboard_v2!$I$9:$I$12</c:f>
              <c:numCache>
                <c:formatCode>General</c:formatCode>
                <c:ptCount val="4"/>
                <c:pt idx="0">
                  <c:v>60</c:v>
                </c:pt>
                <c:pt idx="1">
                  <c:v>63</c:v>
                </c:pt>
                <c:pt idx="2">
                  <c:v>61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B9-434C-AF10-69F31374D34C}"/>
            </c:ext>
          </c:extLst>
        </c:ser>
        <c:ser>
          <c:idx val="2"/>
          <c:order val="2"/>
          <c:tx>
            <c:v>At Risk</c:v>
          </c:tx>
          <c:invertIfNegative val="1"/>
          <c:cat>
            <c:strRef>
              <c:f>Dashboard_v2!$G$9:$G$12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Dashboard_v2!$J$9:$J$12</c:f>
              <c:numCache>
                <c:formatCode>General</c:formatCode>
                <c:ptCount val="4"/>
                <c:pt idx="0">
                  <c:v>210</c:v>
                </c:pt>
                <c:pt idx="1">
                  <c:v>193</c:v>
                </c:pt>
                <c:pt idx="2">
                  <c:v>192</c:v>
                </c:pt>
                <c:pt idx="3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B9-434C-AF10-69F31374D34C}"/>
            </c:ext>
          </c:extLst>
        </c:ser>
        <c:ser>
          <c:idx val="3"/>
          <c:order val="3"/>
          <c:tx>
            <c:v>Avg Picking Time</c:v>
          </c:tx>
          <c:invertIfNegative val="1"/>
          <c:cat>
            <c:strRef>
              <c:f>Dashboard_v2!$G$9:$G$12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Dashboard_v2!$K$9:$K$12</c:f>
              <c:numCache>
                <c:formatCode>0.0</c:formatCode>
                <c:ptCount val="4"/>
                <c:pt idx="0">
                  <c:v>93.814039408866989</c:v>
                </c:pt>
                <c:pt idx="1">
                  <c:v>95.859693877551024</c:v>
                </c:pt>
                <c:pt idx="2">
                  <c:v>96.732903225806453</c:v>
                </c:pt>
                <c:pt idx="3">
                  <c:v>96.067226890756302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B9-434C-AF10-69F31374D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39</xdr:row>
      <xdr:rowOff>0</xdr:rowOff>
    </xdr:from>
    <xdr:to>
      <xdr:col>13</xdr:col>
      <xdr:colOff>0</xdr:colOff>
      <xdr:row>52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arehouseData" displayName="WarehouseData" ref="A1:AE3205">
  <autoFilter ref="A1:AE3205" xr:uid="{00000000-0009-0000-0100-000001000000}"/>
  <tableColumns count="31">
    <tableColumn id="1" xr3:uid="{00000000-0010-0000-0000-000001000000}" name="item_id"/>
    <tableColumn id="2" xr3:uid="{00000000-0010-0000-0000-000002000000}" name="category"/>
    <tableColumn id="3" xr3:uid="{00000000-0010-0000-0000-000003000000}" name="stock_level"/>
    <tableColumn id="4" xr3:uid="{00000000-0010-0000-0000-000004000000}" name="reorder_point"/>
    <tableColumn id="5" xr3:uid="{00000000-0010-0000-0000-000005000000}" name="reorder_frequency_days"/>
    <tableColumn id="6" xr3:uid="{00000000-0010-0000-0000-000006000000}" name="lead_time_days"/>
    <tableColumn id="7" xr3:uid="{00000000-0010-0000-0000-000007000000}" name="daily_demand"/>
    <tableColumn id="8" xr3:uid="{00000000-0010-0000-0000-000008000000}" name="demand_std_dev"/>
    <tableColumn id="9" xr3:uid="{00000000-0010-0000-0000-000009000000}" name="item_popularity_score"/>
    <tableColumn id="10" xr3:uid="{00000000-0010-0000-0000-00000A000000}" name="storage_location_id"/>
    <tableColumn id="11" xr3:uid="{00000000-0010-0000-0000-00000B000000}" name="zone"/>
    <tableColumn id="12" xr3:uid="{00000000-0010-0000-0000-00000C000000}" name="picking_time_seconds"/>
    <tableColumn id="13" xr3:uid="{00000000-0010-0000-0000-00000D000000}" name="handling_cost_per_unit"/>
    <tableColumn id="14" xr3:uid="{00000000-0010-0000-0000-00000E000000}" name="unit_price"/>
    <tableColumn id="15" xr3:uid="{00000000-0010-0000-0000-00000F000000}" name="holding_cost_per_unit_day"/>
    <tableColumn id="16" xr3:uid="{00000000-0010-0000-0000-000010000000}" name="stockout_count_last_month"/>
    <tableColumn id="17" xr3:uid="{00000000-0010-0000-0000-000011000000}" name="order_fulfillment_rate"/>
    <tableColumn id="18" xr3:uid="{00000000-0010-0000-0000-000012000000}" name="total_orders_last_month"/>
    <tableColumn id="19" xr3:uid="{00000000-0010-0000-0000-000013000000}" name="turnover_ratio"/>
    <tableColumn id="20" xr3:uid="{00000000-0010-0000-0000-000014000000}" name="layout_efficiency_score"/>
    <tableColumn id="21" xr3:uid="{00000000-0010-0000-0000-000015000000}" name="last_restock_date"/>
    <tableColumn id="22" xr3:uid="{00000000-0010-0000-0000-000016000000}" name="forecasted_demand_next_7d"/>
    <tableColumn id="23" xr3:uid="{00000000-0010-0000-0000-000017000000}" name="KPI_score"/>
    <tableColumn id="24" xr3:uid="{00000000-0010-0000-0000-000018000000}" name="Stock Status"/>
    <tableColumn id="26" xr3:uid="{00000000-0010-0000-0000-00001A000000}" name="Demand During Lead Time"/>
    <tableColumn id="27" xr3:uid="{00000000-0010-0000-0000-00001B000000}" name="Stockout Risk"/>
    <tableColumn id="28" xr3:uid="{00000000-0010-0000-0000-00001C000000}" name="Days of Inventory Left"/>
    <tableColumn id="29" xr3:uid="{00000000-0010-0000-0000-00001D000000}" name="Inventory Value"/>
    <tableColumn id="30" xr3:uid="{00000000-0010-0000-0000-00001E000000}" name="Monthly Holding Cost"/>
    <tableColumn id="31" xr3:uid="{00000000-0010-0000-0000-00001F000000}" name="Fulfillment Performance"/>
    <tableColumn id="32" xr3:uid="{00000000-0010-0000-0000-000020000000}" name="Picking Speed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ategoryAnalysisTable" displayName="CategoryAnalysisTable" ref="A1:K6">
  <tableColumns count="11">
    <tableColumn id="1" xr3:uid="{00000000-0010-0000-0200-000001000000}" name="Category"/>
    <tableColumn id="2" xr3:uid="{00000000-0010-0000-0200-000002000000}" name="Item Count"/>
    <tableColumn id="3" xr3:uid="{00000000-0010-0000-0200-000003000000}" name="Low Stock Items"/>
    <tableColumn id="4" xr3:uid="{00000000-0010-0000-0200-000004000000}" name="At Risk Items"/>
    <tableColumn id="5" xr3:uid="{00000000-0010-0000-0200-000005000000}" name="Low Stock %"/>
    <tableColumn id="6" xr3:uid="{00000000-0010-0000-0200-000006000000}" name="At Risk %"/>
    <tableColumn id="7" xr3:uid="{00000000-0010-0000-0200-000007000000}" name="Avg Fulfillment Rate"/>
    <tableColumn id="8" xr3:uid="{00000000-0010-0000-0200-000008000000}" name="Avg Picking Time (sec)"/>
    <tableColumn id="9" xr3:uid="{00000000-0010-0000-0200-000009000000}" name="Inventory Value"/>
    <tableColumn id="10" xr3:uid="{00000000-0010-0000-0200-00000A000000}" name="Monthly Holding Cost"/>
    <tableColumn id="11" xr3:uid="{00000000-0010-0000-0200-00000B000000}" name="Avg KPI 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PerformanceDistributionTable" displayName="PerformanceDistributionTable" ref="A11:D21">
  <tableColumns count="4">
    <tableColumn id="1" xr3:uid="{00000000-0010-0000-0300-000001000000}" name="Metric"/>
    <tableColumn id="2" xr3:uid="{00000000-0010-0000-0300-000002000000}" name="Status"/>
    <tableColumn id="3" xr3:uid="{00000000-0010-0000-0300-000003000000}" name="Count"/>
    <tableColumn id="4" xr3:uid="{00000000-0010-0000-0300-000004000000}" name="Percent of Item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ZoneAnalysisTable" displayName="ZoneAnalysisTable" ref="A1:I5">
  <tableColumns count="9">
    <tableColumn id="1" xr3:uid="{00000000-0010-0000-0400-000001000000}" name="Zone"/>
    <tableColumn id="2" xr3:uid="{00000000-0010-0000-0400-000002000000}" name="Item Count"/>
    <tableColumn id="3" xr3:uid="{00000000-0010-0000-0400-000003000000}" name="Low Stock Items"/>
    <tableColumn id="4" xr3:uid="{00000000-0010-0000-0400-000004000000}" name="At Risk Items"/>
    <tableColumn id="5" xr3:uid="{00000000-0010-0000-0400-000005000000}" name="Avg Picking Time (sec)"/>
    <tableColumn id="6" xr3:uid="{00000000-0010-0000-0400-000006000000}" name="Avg Layout Efficiency"/>
    <tableColumn id="7" xr3:uid="{00000000-0010-0000-0400-000007000000}" name="Avg Fulfillment Rate"/>
    <tableColumn id="8" xr3:uid="{00000000-0010-0000-0400-000008000000}" name="Inventory Value"/>
    <tableColumn id="9" xr3:uid="{00000000-0010-0000-0400-000009000000}" name="Avg KPI Sco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ReorderPriorityTable" displayName="ReorderPriorityTable" ref="A1:R31">
  <tableColumns count="18">
    <tableColumn id="1" xr3:uid="{00000000-0010-0000-0500-000001000000}" name="Rank"/>
    <tableColumn id="2" xr3:uid="{00000000-0010-0000-0500-000002000000}" name="Item ID"/>
    <tableColumn id="3" xr3:uid="{00000000-0010-0000-0500-000003000000}" name="Category"/>
    <tableColumn id="4" xr3:uid="{00000000-0010-0000-0500-000004000000}" name="Zone"/>
    <tableColumn id="5" xr3:uid="{00000000-0010-0000-0500-000005000000}" name="Location"/>
    <tableColumn id="6" xr3:uid="{00000000-0010-0000-0500-000006000000}" name="Stock Level"/>
    <tableColumn id="7" xr3:uid="{00000000-0010-0000-0500-000007000000}" name="Reorder Point"/>
    <tableColumn id="8" xr3:uid="{00000000-0010-0000-0500-000008000000}" name="Daily Demand"/>
    <tableColumn id="9" xr3:uid="{00000000-0010-0000-0500-000009000000}" name="Demand During Lead Time"/>
    <tableColumn id="10" xr3:uid="{00000000-0010-0000-0500-00000A000000}" name="Days Inventory Left"/>
    <tableColumn id="11" xr3:uid="{00000000-0010-0000-0500-00000B000000}" name="Stock Status"/>
    <tableColumn id="12" xr3:uid="{00000000-0010-0000-0500-00000C000000}" name="Stockout Risk"/>
    <tableColumn id="13" xr3:uid="{00000000-0010-0000-0500-00000D000000}" name="Stockouts Last Month"/>
    <tableColumn id="14" xr3:uid="{00000000-0010-0000-0500-00000E000000}" name="Orders Last Month"/>
    <tableColumn id="15" xr3:uid="{00000000-0010-0000-0500-00000F000000}" name="Forecast Demand 7d"/>
    <tableColumn id="16" xr3:uid="{00000000-0010-0000-0500-000010000000}" name="Recommended Reorder Qty"/>
    <tableColumn id="17" xr3:uid="{00000000-0010-0000-0500-000011000000}" name="Priority Score"/>
    <tableColumn id="18" xr3:uid="{00000000-0010-0000-0500-000012000000}" name="Suggest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05"/>
  <sheetViews>
    <sheetView tabSelected="1" workbookViewId="0"/>
  </sheetViews>
  <sheetFormatPr defaultRowHeight="15" x14ac:dyDescent="0.25"/>
  <cols>
    <col min="1" max="1" width="19.28515625" customWidth="1"/>
    <col min="2" max="2" width="18.42578125" customWidth="1"/>
    <col min="3" max="3" width="15" customWidth="1"/>
    <col min="4" max="4" width="19.140625" customWidth="1"/>
    <col min="5" max="5" width="29.5703125" customWidth="1"/>
    <col min="6" max="6" width="20.42578125" customWidth="1"/>
    <col min="7" max="7" width="18.140625" customWidth="1"/>
    <col min="8" max="8" width="27.42578125" customWidth="1"/>
    <col min="9" max="9" width="23.140625" customWidth="1"/>
    <col min="10" max="10" width="20.5703125" customWidth="1"/>
    <col min="11" max="11" width="12.5703125" customWidth="1"/>
    <col min="12" max="12" width="24.42578125" customWidth="1"/>
    <col min="13" max="13" width="24.5703125" customWidth="1"/>
    <col min="14" max="14" width="17.42578125" customWidth="1"/>
    <col min="15" max="15" width="33" customWidth="1"/>
    <col min="16" max="16" width="31.7109375" customWidth="1"/>
    <col min="17" max="17" width="23.85546875" customWidth="1"/>
    <col min="18" max="18" width="24.85546875" customWidth="1"/>
    <col min="19" max="19" width="19.28515625" customWidth="1"/>
    <col min="20" max="20" width="24.42578125" customWidth="1"/>
    <col min="21" max="21" width="23" customWidth="1"/>
    <col min="22" max="22" width="28.85546875" customWidth="1"/>
    <col min="23" max="23" width="17.5703125" customWidth="1"/>
    <col min="24" max="24" width="20.5703125" customWidth="1"/>
    <col min="25" max="25" width="22.85546875" customWidth="1"/>
    <col min="26" max="26" width="16.5703125" customWidth="1"/>
    <col min="27" max="28" width="17.5703125" customWidth="1"/>
    <col min="29" max="29" width="22.28515625" customWidth="1"/>
    <col min="30" max="30" width="21.42578125" customWidth="1"/>
    <col min="31" max="31" width="15.8554687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>
        <v>283</v>
      </c>
      <c r="D2">
        <v>21</v>
      </c>
      <c r="E2">
        <v>4</v>
      </c>
      <c r="F2">
        <v>4</v>
      </c>
      <c r="G2">
        <v>49.85</v>
      </c>
      <c r="H2">
        <v>1.56</v>
      </c>
      <c r="I2">
        <v>0.43</v>
      </c>
      <c r="J2" t="s">
        <v>33</v>
      </c>
      <c r="K2" t="s">
        <v>34</v>
      </c>
      <c r="L2">
        <v>106</v>
      </c>
      <c r="M2">
        <v>3.61</v>
      </c>
      <c r="N2">
        <v>117.8</v>
      </c>
      <c r="O2">
        <v>1.1399999999999999</v>
      </c>
      <c r="P2">
        <v>0</v>
      </c>
      <c r="Q2">
        <v>0.8</v>
      </c>
      <c r="R2">
        <v>700</v>
      </c>
      <c r="S2">
        <v>3.33</v>
      </c>
      <c r="T2">
        <v>0.33</v>
      </c>
      <c r="U2" s="1">
        <v>45339</v>
      </c>
      <c r="V2">
        <v>184.37</v>
      </c>
      <c r="W2">
        <v>0.55600000000000005</v>
      </c>
      <c r="X2" t="str">
        <f>IF(WarehouseData[[#This Row],[stock_level]]&lt;=WarehouseData[[#This Row],[reorder_point]],"Low Stock","Sufficient Stock")</f>
        <v>Sufficient Stock</v>
      </c>
      <c r="Y2">
        <f>WarehouseData[[#This Row],[daily_demand]]*WarehouseData[[#This Row],[lead_time_days]]</f>
        <v>199.4</v>
      </c>
      <c r="Z2" t="str">
        <f>IF(WarehouseData[[#This Row],[stock_level]]&lt;=WarehouseData[[#This Row],[Demand During Lead Time]],"At Risk","Safe")</f>
        <v>Safe</v>
      </c>
      <c r="AA2">
        <f>WarehouseData[[#This Row],[stock_level]]/WarehouseData[[#This Row],[daily_demand]]</f>
        <v>5.6770310932798393</v>
      </c>
      <c r="AB2">
        <f>WarehouseData[[#This Row],[stock_level]]*WarehouseData[[#This Row],[unit_price]]</f>
        <v>33337.4</v>
      </c>
      <c r="AC2">
        <f>WarehouseData[[#This Row],[stock_level]]*WarehouseData[[#This Row],[holding_cost_per_unit_day]]*30</f>
        <v>9678.5999999999985</v>
      </c>
      <c r="AD2" t="str">
        <f>IF(WarehouseData[[#This Row],[order_fulfillment_rate]]&gt;=0.9,"Strong",IF(WarehouseData[[#This Row],[order_fulfillment_rate]]&gt;=0.8,"Moderate","Needs Attention"))</f>
        <v>Moderate</v>
      </c>
      <c r="AE2" t="str">
        <f>IF(WarehouseData[[#This Row],[picking_time_seconds]]&gt;120,"Slow",IF(WarehouseData[[#This Row],[picking_time_seconds]]&gt;=60,"Average","Fast"))</f>
        <v>Average</v>
      </c>
    </row>
    <row r="3" spans="1:31" x14ac:dyDescent="0.25">
      <c r="A3" t="s">
        <v>35</v>
      </c>
      <c r="B3" t="s">
        <v>36</v>
      </c>
      <c r="C3">
        <v>301</v>
      </c>
      <c r="D3">
        <v>52</v>
      </c>
      <c r="E3">
        <v>9</v>
      </c>
      <c r="F3">
        <v>6</v>
      </c>
      <c r="G3">
        <v>23.34</v>
      </c>
      <c r="H3">
        <v>2.5499999999999998</v>
      </c>
      <c r="I3">
        <v>0.69</v>
      </c>
      <c r="J3" t="s">
        <v>37</v>
      </c>
      <c r="K3" t="s">
        <v>38</v>
      </c>
      <c r="L3">
        <v>45</v>
      </c>
      <c r="M3">
        <v>3.54</v>
      </c>
      <c r="N3">
        <v>178.8</v>
      </c>
      <c r="O3">
        <v>1.0900000000000001</v>
      </c>
      <c r="P3">
        <v>3</v>
      </c>
      <c r="Q3">
        <v>0.79</v>
      </c>
      <c r="R3">
        <v>736</v>
      </c>
      <c r="S3">
        <v>10.36</v>
      </c>
      <c r="T3">
        <v>0.98</v>
      </c>
      <c r="U3" s="1">
        <v>45566</v>
      </c>
      <c r="V3">
        <v>221.94</v>
      </c>
      <c r="W3">
        <v>0.72299999999999998</v>
      </c>
      <c r="X3" t="str">
        <f>IF(WarehouseData[[#This Row],[stock_level]]&lt;=WarehouseData[[#This Row],[reorder_point]],"Low Stock","Sufficient Stock")</f>
        <v>Sufficient Stock</v>
      </c>
      <c r="Y3">
        <f>WarehouseData[[#This Row],[daily_demand]]*WarehouseData[[#This Row],[lead_time_days]]</f>
        <v>140.04</v>
      </c>
      <c r="Z3" t="str">
        <f>IF(WarehouseData[[#This Row],[stock_level]]&lt;=WarehouseData[[#This Row],[Demand During Lead Time]],"At Risk","Safe")</f>
        <v>Safe</v>
      </c>
      <c r="AA3">
        <f>WarehouseData[[#This Row],[stock_level]]/WarehouseData[[#This Row],[daily_demand]]</f>
        <v>12.896315338474722</v>
      </c>
      <c r="AB3">
        <f>WarehouseData[[#This Row],[stock_level]]*WarehouseData[[#This Row],[unit_price]]</f>
        <v>53818.8</v>
      </c>
      <c r="AC3">
        <f>WarehouseData[[#This Row],[stock_level]]*WarehouseData[[#This Row],[holding_cost_per_unit_day]]*30</f>
        <v>9842.7000000000007</v>
      </c>
      <c r="AD3" t="str">
        <f>IF(WarehouseData[[#This Row],[order_fulfillment_rate]]&gt;=0.9,"Strong",IF(WarehouseData[[#This Row],[order_fulfillment_rate]]&gt;=0.8,"Moderate","Needs Attention"))</f>
        <v>Needs Attention</v>
      </c>
      <c r="AE3" t="str">
        <f>IF(WarehouseData[[#This Row],[picking_time_seconds]]&gt;120,"Slow",IF(WarehouseData[[#This Row],[picking_time_seconds]]&gt;=60,"Average","Fast"))</f>
        <v>Fast</v>
      </c>
    </row>
    <row r="4" spans="1:31" x14ac:dyDescent="0.25">
      <c r="A4" t="s">
        <v>39</v>
      </c>
      <c r="B4" t="s">
        <v>40</v>
      </c>
      <c r="C4">
        <v>132</v>
      </c>
      <c r="D4">
        <v>60</v>
      </c>
      <c r="E4">
        <v>11</v>
      </c>
      <c r="F4">
        <v>8</v>
      </c>
      <c r="G4">
        <v>37.69</v>
      </c>
      <c r="H4">
        <v>3.15</v>
      </c>
      <c r="I4">
        <v>0.62</v>
      </c>
      <c r="J4" t="s">
        <v>41</v>
      </c>
      <c r="K4" t="s">
        <v>34</v>
      </c>
      <c r="L4">
        <v>177</v>
      </c>
      <c r="M4">
        <v>0.52</v>
      </c>
      <c r="N4">
        <v>54.05</v>
      </c>
      <c r="O4">
        <v>0.95</v>
      </c>
      <c r="P4">
        <v>7</v>
      </c>
      <c r="Q4">
        <v>0.75</v>
      </c>
      <c r="R4">
        <v>814</v>
      </c>
      <c r="S4">
        <v>14.32</v>
      </c>
      <c r="T4">
        <v>0.87</v>
      </c>
      <c r="U4" s="1">
        <v>45389</v>
      </c>
      <c r="V4">
        <v>53.85</v>
      </c>
      <c r="W4">
        <v>0.68</v>
      </c>
      <c r="X4" t="str">
        <f>IF(WarehouseData[[#This Row],[stock_level]]&lt;=WarehouseData[[#This Row],[reorder_point]],"Low Stock","Sufficient Stock")</f>
        <v>Sufficient Stock</v>
      </c>
      <c r="Y4">
        <f>WarehouseData[[#This Row],[daily_demand]]*WarehouseData[[#This Row],[lead_time_days]]</f>
        <v>301.52</v>
      </c>
      <c r="Z4" t="str">
        <f>IF(WarehouseData[[#This Row],[stock_level]]&lt;=WarehouseData[[#This Row],[Demand During Lead Time]],"At Risk","Safe")</f>
        <v>At Risk</v>
      </c>
      <c r="AA4">
        <f>WarehouseData[[#This Row],[stock_level]]/WarehouseData[[#This Row],[daily_demand]]</f>
        <v>3.5022552401167419</v>
      </c>
      <c r="AB4">
        <f>WarehouseData[[#This Row],[stock_level]]*WarehouseData[[#This Row],[unit_price]]</f>
        <v>7134.5999999999995</v>
      </c>
      <c r="AC4">
        <f>WarehouseData[[#This Row],[stock_level]]*WarehouseData[[#This Row],[holding_cost_per_unit_day]]*30</f>
        <v>3761.9999999999995</v>
      </c>
      <c r="AD4" t="str">
        <f>IF(WarehouseData[[#This Row],[order_fulfillment_rate]]&gt;=0.9,"Strong",IF(WarehouseData[[#This Row],[order_fulfillment_rate]]&gt;=0.8,"Moderate","Needs Attention"))</f>
        <v>Needs Attention</v>
      </c>
      <c r="AE4" t="str">
        <f>IF(WarehouseData[[#This Row],[picking_time_seconds]]&gt;120,"Slow",IF(WarehouseData[[#This Row],[picking_time_seconds]]&gt;=60,"Average","Fast"))</f>
        <v>Slow</v>
      </c>
    </row>
    <row r="5" spans="1:31" x14ac:dyDescent="0.25">
      <c r="A5" t="s">
        <v>42</v>
      </c>
      <c r="B5" t="s">
        <v>36</v>
      </c>
      <c r="C5">
        <v>346</v>
      </c>
      <c r="D5">
        <v>46</v>
      </c>
      <c r="E5">
        <v>13</v>
      </c>
      <c r="F5">
        <v>5</v>
      </c>
      <c r="G5">
        <v>33.69</v>
      </c>
      <c r="H5">
        <v>2.79</v>
      </c>
      <c r="I5">
        <v>0.21</v>
      </c>
      <c r="J5" t="s">
        <v>43</v>
      </c>
      <c r="K5" t="s">
        <v>38</v>
      </c>
      <c r="L5">
        <v>39</v>
      </c>
      <c r="M5">
        <v>2.64</v>
      </c>
      <c r="N5">
        <v>31.1</v>
      </c>
      <c r="O5">
        <v>1.9</v>
      </c>
      <c r="P5">
        <v>0</v>
      </c>
      <c r="Q5">
        <v>0.96</v>
      </c>
      <c r="R5">
        <v>994</v>
      </c>
      <c r="S5">
        <v>2.08</v>
      </c>
      <c r="T5">
        <v>0.28999999999999998</v>
      </c>
      <c r="U5" s="1">
        <v>45318</v>
      </c>
      <c r="V5">
        <v>92.04</v>
      </c>
      <c r="W5">
        <v>0.48799999999999999</v>
      </c>
      <c r="X5" t="str">
        <f>IF(WarehouseData[[#This Row],[stock_level]]&lt;=WarehouseData[[#This Row],[reorder_point]],"Low Stock","Sufficient Stock")</f>
        <v>Sufficient Stock</v>
      </c>
      <c r="Y5">
        <f>WarehouseData[[#This Row],[daily_demand]]*WarehouseData[[#This Row],[lead_time_days]]</f>
        <v>168.45</v>
      </c>
      <c r="Z5" t="str">
        <f>IF(WarehouseData[[#This Row],[stock_level]]&lt;=WarehouseData[[#This Row],[Demand During Lead Time]],"At Risk","Safe")</f>
        <v>Safe</v>
      </c>
      <c r="AA5">
        <f>WarehouseData[[#This Row],[stock_level]]/WarehouseData[[#This Row],[daily_demand]]</f>
        <v>10.270109824873851</v>
      </c>
      <c r="AB5">
        <f>WarehouseData[[#This Row],[stock_level]]*WarehouseData[[#This Row],[unit_price]]</f>
        <v>10760.6</v>
      </c>
      <c r="AC5">
        <f>WarehouseData[[#This Row],[stock_level]]*WarehouseData[[#This Row],[holding_cost_per_unit_day]]*30</f>
        <v>19722</v>
      </c>
      <c r="AD5" t="str">
        <f>IF(WarehouseData[[#This Row],[order_fulfillment_rate]]&gt;=0.9,"Strong",IF(WarehouseData[[#This Row],[order_fulfillment_rate]]&gt;=0.8,"Moderate","Needs Attention"))</f>
        <v>Strong</v>
      </c>
      <c r="AE5" t="str">
        <f>IF(WarehouseData[[#This Row],[picking_time_seconds]]&gt;120,"Slow",IF(WarehouseData[[#This Row],[picking_time_seconds]]&gt;=60,"Average","Fast"))</f>
        <v>Fast</v>
      </c>
    </row>
    <row r="6" spans="1:31" x14ac:dyDescent="0.25">
      <c r="A6" t="s">
        <v>44</v>
      </c>
      <c r="B6" t="s">
        <v>36</v>
      </c>
      <c r="C6">
        <v>49</v>
      </c>
      <c r="D6">
        <v>55</v>
      </c>
      <c r="E6">
        <v>4</v>
      </c>
      <c r="F6">
        <v>6</v>
      </c>
      <c r="G6">
        <v>49.58</v>
      </c>
      <c r="H6">
        <v>5.23</v>
      </c>
      <c r="I6">
        <v>0.31</v>
      </c>
      <c r="J6" t="s">
        <v>45</v>
      </c>
      <c r="K6" t="s">
        <v>46</v>
      </c>
      <c r="L6">
        <v>35</v>
      </c>
      <c r="M6">
        <v>1.4</v>
      </c>
      <c r="N6">
        <v>104.97</v>
      </c>
      <c r="O6">
        <v>0.63</v>
      </c>
      <c r="P6">
        <v>5</v>
      </c>
      <c r="Q6">
        <v>0.83</v>
      </c>
      <c r="R6">
        <v>299</v>
      </c>
      <c r="S6">
        <v>5.65</v>
      </c>
      <c r="T6">
        <v>0.96</v>
      </c>
      <c r="U6" s="1">
        <v>45429</v>
      </c>
      <c r="V6">
        <v>194.58</v>
      </c>
      <c r="W6">
        <v>0.67</v>
      </c>
      <c r="X6" t="str">
        <f>IF(WarehouseData[[#This Row],[stock_level]]&lt;=WarehouseData[[#This Row],[reorder_point]],"Low Stock","Sufficient Stock")</f>
        <v>Low Stock</v>
      </c>
      <c r="Y6">
        <f>WarehouseData[[#This Row],[daily_demand]]*WarehouseData[[#This Row],[lead_time_days]]</f>
        <v>297.48</v>
      </c>
      <c r="Z6" t="str">
        <f>IF(WarehouseData[[#This Row],[stock_level]]&lt;=WarehouseData[[#This Row],[Demand During Lead Time]],"At Risk","Safe")</f>
        <v>At Risk</v>
      </c>
      <c r="AA6">
        <f>WarehouseData[[#This Row],[stock_level]]/WarehouseData[[#This Row],[daily_demand]]</f>
        <v>0.98830173457039128</v>
      </c>
      <c r="AB6">
        <f>WarehouseData[[#This Row],[stock_level]]*WarehouseData[[#This Row],[unit_price]]</f>
        <v>5143.53</v>
      </c>
      <c r="AC6">
        <f>WarehouseData[[#This Row],[stock_level]]*WarehouseData[[#This Row],[holding_cost_per_unit_day]]*30</f>
        <v>926.1</v>
      </c>
      <c r="AD6" t="str">
        <f>IF(WarehouseData[[#This Row],[order_fulfillment_rate]]&gt;=0.9,"Strong",IF(WarehouseData[[#This Row],[order_fulfillment_rate]]&gt;=0.8,"Moderate","Needs Attention"))</f>
        <v>Moderate</v>
      </c>
      <c r="AE6" t="str">
        <f>IF(WarehouseData[[#This Row],[picking_time_seconds]]&gt;120,"Slow",IF(WarehouseData[[#This Row],[picking_time_seconds]]&gt;=60,"Average","Fast"))</f>
        <v>Fast</v>
      </c>
    </row>
    <row r="7" spans="1:31" x14ac:dyDescent="0.25">
      <c r="A7" t="s">
        <v>47</v>
      </c>
      <c r="B7" t="s">
        <v>48</v>
      </c>
      <c r="C7">
        <v>154</v>
      </c>
      <c r="D7">
        <v>62</v>
      </c>
      <c r="E7">
        <v>9</v>
      </c>
      <c r="F7">
        <v>6</v>
      </c>
      <c r="G7">
        <v>35.950000000000003</v>
      </c>
      <c r="H7">
        <v>9.4700000000000006</v>
      </c>
      <c r="I7">
        <v>0.41</v>
      </c>
      <c r="J7" t="s">
        <v>49</v>
      </c>
      <c r="K7" t="s">
        <v>38</v>
      </c>
      <c r="L7">
        <v>94</v>
      </c>
      <c r="M7">
        <v>1.96</v>
      </c>
      <c r="N7">
        <v>164.12</v>
      </c>
      <c r="O7">
        <v>0.66</v>
      </c>
      <c r="P7">
        <v>1</v>
      </c>
      <c r="Q7">
        <v>0.99</v>
      </c>
      <c r="R7">
        <v>477</v>
      </c>
      <c r="S7">
        <v>7.61</v>
      </c>
      <c r="T7">
        <v>0.95</v>
      </c>
      <c r="U7" s="1">
        <v>45485</v>
      </c>
      <c r="V7">
        <v>180.65</v>
      </c>
      <c r="W7">
        <v>0.80300000000000005</v>
      </c>
      <c r="X7" t="str">
        <f>IF(WarehouseData[[#This Row],[stock_level]]&lt;=WarehouseData[[#This Row],[reorder_point]],"Low Stock","Sufficient Stock")</f>
        <v>Sufficient Stock</v>
      </c>
      <c r="Y7">
        <f>WarehouseData[[#This Row],[daily_demand]]*WarehouseData[[#This Row],[lead_time_days]]</f>
        <v>215.70000000000002</v>
      </c>
      <c r="Z7" t="str">
        <f>IF(WarehouseData[[#This Row],[stock_level]]&lt;=WarehouseData[[#This Row],[Demand During Lead Time]],"At Risk","Safe")</f>
        <v>At Risk</v>
      </c>
      <c r="AA7">
        <f>WarehouseData[[#This Row],[stock_level]]/WarehouseData[[#This Row],[daily_demand]]</f>
        <v>4.2837273991655076</v>
      </c>
      <c r="AB7">
        <f>WarehouseData[[#This Row],[stock_level]]*WarehouseData[[#This Row],[unit_price]]</f>
        <v>25274.48</v>
      </c>
      <c r="AC7">
        <f>WarehouseData[[#This Row],[stock_level]]*WarehouseData[[#This Row],[holding_cost_per_unit_day]]*30</f>
        <v>3049.2</v>
      </c>
      <c r="AD7" t="str">
        <f>IF(WarehouseData[[#This Row],[order_fulfillment_rate]]&gt;=0.9,"Strong",IF(WarehouseData[[#This Row],[order_fulfillment_rate]]&gt;=0.8,"Moderate","Needs Attention"))</f>
        <v>Strong</v>
      </c>
      <c r="AE7" t="str">
        <f>IF(WarehouseData[[#This Row],[picking_time_seconds]]&gt;120,"Slow",IF(WarehouseData[[#This Row],[picking_time_seconds]]&gt;=60,"Average","Fast"))</f>
        <v>Average</v>
      </c>
    </row>
    <row r="8" spans="1:31" x14ac:dyDescent="0.25">
      <c r="A8" t="s">
        <v>50</v>
      </c>
      <c r="B8" t="s">
        <v>40</v>
      </c>
      <c r="C8">
        <v>86</v>
      </c>
      <c r="D8">
        <v>97</v>
      </c>
      <c r="E8">
        <v>6</v>
      </c>
      <c r="F8">
        <v>4</v>
      </c>
      <c r="G8">
        <v>9.0399999999999991</v>
      </c>
      <c r="H8">
        <v>4.72</v>
      </c>
      <c r="I8">
        <v>0.28000000000000003</v>
      </c>
      <c r="J8" t="s">
        <v>51</v>
      </c>
      <c r="K8" t="s">
        <v>52</v>
      </c>
      <c r="L8">
        <v>110</v>
      </c>
      <c r="M8">
        <v>4.9000000000000004</v>
      </c>
      <c r="N8">
        <v>134.38</v>
      </c>
      <c r="O8">
        <v>0.37</v>
      </c>
      <c r="P8">
        <v>8</v>
      </c>
      <c r="Q8">
        <v>0.88</v>
      </c>
      <c r="R8">
        <v>418</v>
      </c>
      <c r="S8">
        <v>4.25</v>
      </c>
      <c r="T8">
        <v>0.45</v>
      </c>
      <c r="U8" s="1">
        <v>45636</v>
      </c>
      <c r="V8">
        <v>223.69</v>
      </c>
      <c r="W8">
        <v>0.52600000000000002</v>
      </c>
      <c r="X8" t="str">
        <f>IF(WarehouseData[[#This Row],[stock_level]]&lt;=WarehouseData[[#This Row],[reorder_point]],"Low Stock","Sufficient Stock")</f>
        <v>Low Stock</v>
      </c>
      <c r="Y8">
        <f>WarehouseData[[#This Row],[daily_demand]]*WarehouseData[[#This Row],[lead_time_days]]</f>
        <v>36.159999999999997</v>
      </c>
      <c r="Z8" t="str">
        <f>IF(WarehouseData[[#This Row],[stock_level]]&lt;=WarehouseData[[#This Row],[Demand During Lead Time]],"At Risk","Safe")</f>
        <v>Safe</v>
      </c>
      <c r="AA8">
        <f>WarehouseData[[#This Row],[stock_level]]/WarehouseData[[#This Row],[daily_demand]]</f>
        <v>9.5132743362831871</v>
      </c>
      <c r="AB8">
        <f>WarehouseData[[#This Row],[stock_level]]*WarehouseData[[#This Row],[unit_price]]</f>
        <v>11556.68</v>
      </c>
      <c r="AC8">
        <f>WarehouseData[[#This Row],[stock_level]]*WarehouseData[[#This Row],[holding_cost_per_unit_day]]*30</f>
        <v>954.6</v>
      </c>
      <c r="AD8" t="str">
        <f>IF(WarehouseData[[#This Row],[order_fulfillment_rate]]&gt;=0.9,"Strong",IF(WarehouseData[[#This Row],[order_fulfillment_rate]]&gt;=0.8,"Moderate","Needs Attention"))</f>
        <v>Moderate</v>
      </c>
      <c r="AE8" t="str">
        <f>IF(WarehouseData[[#This Row],[picking_time_seconds]]&gt;120,"Slow",IF(WarehouseData[[#This Row],[picking_time_seconds]]&gt;=60,"Average","Fast"))</f>
        <v>Average</v>
      </c>
    </row>
    <row r="9" spans="1:31" x14ac:dyDescent="0.25">
      <c r="A9" t="s">
        <v>53</v>
      </c>
      <c r="B9" t="s">
        <v>40</v>
      </c>
      <c r="C9">
        <v>84</v>
      </c>
      <c r="D9">
        <v>89</v>
      </c>
      <c r="E9">
        <v>13</v>
      </c>
      <c r="F9">
        <v>4</v>
      </c>
      <c r="G9">
        <v>47.82</v>
      </c>
      <c r="H9">
        <v>6.78</v>
      </c>
      <c r="I9">
        <v>0.24</v>
      </c>
      <c r="J9" t="s">
        <v>54</v>
      </c>
      <c r="K9" t="s">
        <v>46</v>
      </c>
      <c r="L9">
        <v>130</v>
      </c>
      <c r="M9">
        <v>0.88</v>
      </c>
      <c r="N9">
        <v>131.09</v>
      </c>
      <c r="O9">
        <v>1.42</v>
      </c>
      <c r="P9">
        <v>7</v>
      </c>
      <c r="Q9">
        <v>0.74</v>
      </c>
      <c r="R9">
        <v>958</v>
      </c>
      <c r="S9">
        <v>11.37</v>
      </c>
      <c r="T9">
        <v>0.7</v>
      </c>
      <c r="U9" s="1">
        <v>45601</v>
      </c>
      <c r="V9">
        <v>195.75</v>
      </c>
      <c r="W9">
        <v>0.55800000000000005</v>
      </c>
      <c r="X9" t="str">
        <f>IF(WarehouseData[[#This Row],[stock_level]]&lt;=WarehouseData[[#This Row],[reorder_point]],"Low Stock","Sufficient Stock")</f>
        <v>Low Stock</v>
      </c>
      <c r="Y9">
        <f>WarehouseData[[#This Row],[daily_demand]]*WarehouseData[[#This Row],[lead_time_days]]</f>
        <v>191.28</v>
      </c>
      <c r="Z9" t="str">
        <f>IF(WarehouseData[[#This Row],[stock_level]]&lt;=WarehouseData[[#This Row],[Demand During Lead Time]],"At Risk","Safe")</f>
        <v>At Risk</v>
      </c>
      <c r="AA9">
        <f>WarehouseData[[#This Row],[stock_level]]/WarehouseData[[#This Row],[daily_demand]]</f>
        <v>1.7565872020075282</v>
      </c>
      <c r="AB9">
        <f>WarehouseData[[#This Row],[stock_level]]*WarehouseData[[#This Row],[unit_price]]</f>
        <v>11011.56</v>
      </c>
      <c r="AC9">
        <f>WarehouseData[[#This Row],[stock_level]]*WarehouseData[[#This Row],[holding_cost_per_unit_day]]*30</f>
        <v>3578.4</v>
      </c>
      <c r="AD9" t="str">
        <f>IF(WarehouseData[[#This Row],[order_fulfillment_rate]]&gt;=0.9,"Strong",IF(WarehouseData[[#This Row],[order_fulfillment_rate]]&gt;=0.8,"Moderate","Needs Attention"))</f>
        <v>Needs Attention</v>
      </c>
      <c r="AE9" t="str">
        <f>IF(WarehouseData[[#This Row],[picking_time_seconds]]&gt;120,"Slow",IF(WarehouseData[[#This Row],[picking_time_seconds]]&gt;=60,"Average","Fast"))</f>
        <v>Slow</v>
      </c>
    </row>
    <row r="10" spans="1:31" x14ac:dyDescent="0.25">
      <c r="A10" t="s">
        <v>55</v>
      </c>
      <c r="B10" t="s">
        <v>40</v>
      </c>
      <c r="C10">
        <v>311</v>
      </c>
      <c r="D10">
        <v>22</v>
      </c>
      <c r="E10">
        <v>4</v>
      </c>
      <c r="F10">
        <v>9</v>
      </c>
      <c r="G10">
        <v>33.72</v>
      </c>
      <c r="H10">
        <v>7.04</v>
      </c>
      <c r="I10">
        <v>0.15</v>
      </c>
      <c r="J10" t="s">
        <v>43</v>
      </c>
      <c r="K10" t="s">
        <v>46</v>
      </c>
      <c r="L10">
        <v>40</v>
      </c>
      <c r="M10">
        <v>3.75</v>
      </c>
      <c r="N10">
        <v>13.32</v>
      </c>
      <c r="O10">
        <v>0.71</v>
      </c>
      <c r="P10">
        <v>8</v>
      </c>
      <c r="Q10">
        <v>0.86</v>
      </c>
      <c r="R10">
        <v>697</v>
      </c>
      <c r="S10">
        <v>10.64</v>
      </c>
      <c r="T10">
        <v>0.28999999999999998</v>
      </c>
      <c r="U10" s="1">
        <v>45600</v>
      </c>
      <c r="V10">
        <v>105.74</v>
      </c>
      <c r="W10">
        <v>0.54100000000000004</v>
      </c>
      <c r="X10" t="str">
        <f>IF(WarehouseData[[#This Row],[stock_level]]&lt;=WarehouseData[[#This Row],[reorder_point]],"Low Stock","Sufficient Stock")</f>
        <v>Sufficient Stock</v>
      </c>
      <c r="Y10">
        <f>WarehouseData[[#This Row],[daily_demand]]*WarehouseData[[#This Row],[lead_time_days]]</f>
        <v>303.48</v>
      </c>
      <c r="Z10" t="str">
        <f>IF(WarehouseData[[#This Row],[stock_level]]&lt;=WarehouseData[[#This Row],[Demand During Lead Time]],"At Risk","Safe")</f>
        <v>Safe</v>
      </c>
      <c r="AA10">
        <f>WarehouseData[[#This Row],[stock_level]]/WarehouseData[[#This Row],[daily_demand]]</f>
        <v>9.2230130486358242</v>
      </c>
      <c r="AB10">
        <f>WarehouseData[[#This Row],[stock_level]]*WarehouseData[[#This Row],[unit_price]]</f>
        <v>4142.5200000000004</v>
      </c>
      <c r="AC10">
        <f>WarehouseData[[#This Row],[stock_level]]*WarehouseData[[#This Row],[holding_cost_per_unit_day]]*30</f>
        <v>6624.3</v>
      </c>
      <c r="AD10" t="str">
        <f>IF(WarehouseData[[#This Row],[order_fulfillment_rate]]&gt;=0.9,"Strong",IF(WarehouseData[[#This Row],[order_fulfillment_rate]]&gt;=0.8,"Moderate","Needs Attention"))</f>
        <v>Moderate</v>
      </c>
      <c r="AE10" t="str">
        <f>IF(WarehouseData[[#This Row],[picking_time_seconds]]&gt;120,"Slow",IF(WarehouseData[[#This Row],[picking_time_seconds]]&gt;=60,"Average","Fast"))</f>
        <v>Fast</v>
      </c>
    </row>
    <row r="11" spans="1:31" x14ac:dyDescent="0.25">
      <c r="A11" t="s">
        <v>56</v>
      </c>
      <c r="B11" t="s">
        <v>36</v>
      </c>
      <c r="C11">
        <v>44</v>
      </c>
      <c r="D11">
        <v>98</v>
      </c>
      <c r="E11">
        <v>9</v>
      </c>
      <c r="F11">
        <v>8</v>
      </c>
      <c r="G11">
        <v>3.91</v>
      </c>
      <c r="H11">
        <v>8.7799999999999994</v>
      </c>
      <c r="I11">
        <v>0.89</v>
      </c>
      <c r="J11" t="s">
        <v>57</v>
      </c>
      <c r="K11" t="s">
        <v>38</v>
      </c>
      <c r="L11">
        <v>26</v>
      </c>
      <c r="M11">
        <v>1.28</v>
      </c>
      <c r="N11">
        <v>70.319999999999993</v>
      </c>
      <c r="O11">
        <v>1.63</v>
      </c>
      <c r="P11">
        <v>8</v>
      </c>
      <c r="Q11">
        <v>1</v>
      </c>
      <c r="R11">
        <v>496</v>
      </c>
      <c r="S11">
        <v>2.65</v>
      </c>
      <c r="T11">
        <v>0.27</v>
      </c>
      <c r="U11" s="1">
        <v>45312</v>
      </c>
      <c r="V11">
        <v>154.78</v>
      </c>
      <c r="W11">
        <v>0.36599999999999999</v>
      </c>
      <c r="X11" t="str">
        <f>IF(WarehouseData[[#This Row],[stock_level]]&lt;=WarehouseData[[#This Row],[reorder_point]],"Low Stock","Sufficient Stock")</f>
        <v>Low Stock</v>
      </c>
      <c r="Y11">
        <f>WarehouseData[[#This Row],[daily_demand]]*WarehouseData[[#This Row],[lead_time_days]]</f>
        <v>31.28</v>
      </c>
      <c r="Z11" t="str">
        <f>IF(WarehouseData[[#This Row],[stock_level]]&lt;=WarehouseData[[#This Row],[Demand During Lead Time]],"At Risk","Safe")</f>
        <v>Safe</v>
      </c>
      <c r="AA11">
        <f>WarehouseData[[#This Row],[stock_level]]/WarehouseData[[#This Row],[daily_demand]]</f>
        <v>11.253196930946292</v>
      </c>
      <c r="AB11">
        <f>WarehouseData[[#This Row],[stock_level]]*WarehouseData[[#This Row],[unit_price]]</f>
        <v>3094.08</v>
      </c>
      <c r="AC11">
        <f>WarehouseData[[#This Row],[stock_level]]*WarehouseData[[#This Row],[holding_cost_per_unit_day]]*30</f>
        <v>2151.6</v>
      </c>
      <c r="AD11" t="str">
        <f>IF(WarehouseData[[#This Row],[order_fulfillment_rate]]&gt;=0.9,"Strong",IF(WarehouseData[[#This Row],[order_fulfillment_rate]]&gt;=0.8,"Moderate","Needs Attention"))</f>
        <v>Strong</v>
      </c>
      <c r="AE11" t="str">
        <f>IF(WarehouseData[[#This Row],[picking_time_seconds]]&gt;120,"Slow",IF(WarehouseData[[#This Row],[picking_time_seconds]]&gt;=60,"Average","Fast"))</f>
        <v>Fast</v>
      </c>
    </row>
    <row r="12" spans="1:31" x14ac:dyDescent="0.25">
      <c r="A12" t="s">
        <v>58</v>
      </c>
      <c r="B12" t="s">
        <v>32</v>
      </c>
      <c r="C12">
        <v>56</v>
      </c>
      <c r="D12">
        <v>63</v>
      </c>
      <c r="E12">
        <v>7</v>
      </c>
      <c r="F12">
        <v>2</v>
      </c>
      <c r="G12">
        <v>33.22</v>
      </c>
      <c r="H12">
        <v>0.82</v>
      </c>
      <c r="I12">
        <v>0.36</v>
      </c>
      <c r="J12" t="s">
        <v>59</v>
      </c>
      <c r="K12" t="s">
        <v>34</v>
      </c>
      <c r="L12">
        <v>107</v>
      </c>
      <c r="M12">
        <v>0.53</v>
      </c>
      <c r="N12">
        <v>188.5</v>
      </c>
      <c r="O12">
        <v>1.95</v>
      </c>
      <c r="P12">
        <v>1</v>
      </c>
      <c r="Q12">
        <v>0.87</v>
      </c>
      <c r="R12">
        <v>71</v>
      </c>
      <c r="S12">
        <v>8.9700000000000006</v>
      </c>
      <c r="T12">
        <v>0.6</v>
      </c>
      <c r="U12" s="1">
        <v>45329</v>
      </c>
      <c r="V12">
        <v>266.58</v>
      </c>
      <c r="W12">
        <v>0.59899999999999998</v>
      </c>
      <c r="X12" t="str">
        <f>IF(WarehouseData[[#This Row],[stock_level]]&lt;=WarehouseData[[#This Row],[reorder_point]],"Low Stock","Sufficient Stock")</f>
        <v>Low Stock</v>
      </c>
      <c r="Y12">
        <f>WarehouseData[[#This Row],[daily_demand]]*WarehouseData[[#This Row],[lead_time_days]]</f>
        <v>66.44</v>
      </c>
      <c r="Z12" t="str">
        <f>IF(WarehouseData[[#This Row],[stock_level]]&lt;=WarehouseData[[#This Row],[Demand During Lead Time]],"At Risk","Safe")</f>
        <v>At Risk</v>
      </c>
      <c r="AA12">
        <f>WarehouseData[[#This Row],[stock_level]]/WarehouseData[[#This Row],[daily_demand]]</f>
        <v>1.6857314870559905</v>
      </c>
      <c r="AB12">
        <f>WarehouseData[[#This Row],[stock_level]]*WarehouseData[[#This Row],[unit_price]]</f>
        <v>10556</v>
      </c>
      <c r="AC12">
        <f>WarehouseData[[#This Row],[stock_level]]*WarehouseData[[#This Row],[holding_cost_per_unit_day]]*30</f>
        <v>3276</v>
      </c>
      <c r="AD12" t="str">
        <f>IF(WarehouseData[[#This Row],[order_fulfillment_rate]]&gt;=0.9,"Strong",IF(WarehouseData[[#This Row],[order_fulfillment_rate]]&gt;=0.8,"Moderate","Needs Attention"))</f>
        <v>Moderate</v>
      </c>
      <c r="AE12" t="str">
        <f>IF(WarehouseData[[#This Row],[picking_time_seconds]]&gt;120,"Slow",IF(WarehouseData[[#This Row],[picking_time_seconds]]&gt;=60,"Average","Fast"))</f>
        <v>Average</v>
      </c>
    </row>
    <row r="13" spans="1:31" x14ac:dyDescent="0.25">
      <c r="A13" t="s">
        <v>60</v>
      </c>
      <c r="B13" t="s">
        <v>40</v>
      </c>
      <c r="C13">
        <v>20</v>
      </c>
      <c r="D13">
        <v>66</v>
      </c>
      <c r="E13">
        <v>3</v>
      </c>
      <c r="F13">
        <v>7</v>
      </c>
      <c r="G13">
        <v>44.27</v>
      </c>
      <c r="H13">
        <v>4.34</v>
      </c>
      <c r="I13">
        <v>0.36</v>
      </c>
      <c r="J13" t="s">
        <v>43</v>
      </c>
      <c r="K13" t="s">
        <v>38</v>
      </c>
      <c r="L13">
        <v>135</v>
      </c>
      <c r="M13">
        <v>2.76</v>
      </c>
      <c r="N13">
        <v>35.51</v>
      </c>
      <c r="O13">
        <v>0.18</v>
      </c>
      <c r="P13">
        <v>1</v>
      </c>
      <c r="Q13">
        <v>0.7</v>
      </c>
      <c r="R13">
        <v>599</v>
      </c>
      <c r="S13">
        <v>6.16</v>
      </c>
      <c r="T13">
        <v>0.24</v>
      </c>
      <c r="U13" s="1">
        <v>45388</v>
      </c>
      <c r="V13">
        <v>63.97</v>
      </c>
      <c r="W13">
        <v>0.63200000000000001</v>
      </c>
      <c r="X13" t="str">
        <f>IF(WarehouseData[[#This Row],[stock_level]]&lt;=WarehouseData[[#This Row],[reorder_point]],"Low Stock","Sufficient Stock")</f>
        <v>Low Stock</v>
      </c>
      <c r="Y13">
        <f>WarehouseData[[#This Row],[daily_demand]]*WarehouseData[[#This Row],[lead_time_days]]</f>
        <v>309.89000000000004</v>
      </c>
      <c r="Z13" t="str">
        <f>IF(WarehouseData[[#This Row],[stock_level]]&lt;=WarehouseData[[#This Row],[Demand During Lead Time]],"At Risk","Safe")</f>
        <v>At Risk</v>
      </c>
      <c r="AA13">
        <f>WarehouseData[[#This Row],[stock_level]]/WarehouseData[[#This Row],[daily_demand]]</f>
        <v>0.45177320984865593</v>
      </c>
      <c r="AB13">
        <f>WarehouseData[[#This Row],[stock_level]]*WarehouseData[[#This Row],[unit_price]]</f>
        <v>710.19999999999993</v>
      </c>
      <c r="AC13">
        <f>WarehouseData[[#This Row],[stock_level]]*WarehouseData[[#This Row],[holding_cost_per_unit_day]]*30</f>
        <v>107.99999999999999</v>
      </c>
      <c r="AD13" t="str">
        <f>IF(WarehouseData[[#This Row],[order_fulfillment_rate]]&gt;=0.9,"Strong",IF(WarehouseData[[#This Row],[order_fulfillment_rate]]&gt;=0.8,"Moderate","Needs Attention"))</f>
        <v>Needs Attention</v>
      </c>
      <c r="AE13" t="str">
        <f>IF(WarehouseData[[#This Row],[picking_time_seconds]]&gt;120,"Slow",IF(WarehouseData[[#This Row],[picking_time_seconds]]&gt;=60,"Average","Fast"))</f>
        <v>Slow</v>
      </c>
    </row>
    <row r="14" spans="1:31" x14ac:dyDescent="0.25">
      <c r="A14" t="s">
        <v>61</v>
      </c>
      <c r="B14" t="s">
        <v>36</v>
      </c>
      <c r="C14">
        <v>418</v>
      </c>
      <c r="D14">
        <v>13</v>
      </c>
      <c r="E14">
        <v>7</v>
      </c>
      <c r="F14">
        <v>3</v>
      </c>
      <c r="G14">
        <v>29.28</v>
      </c>
      <c r="H14">
        <v>7.95</v>
      </c>
      <c r="I14">
        <v>0.28999999999999998</v>
      </c>
      <c r="J14" t="s">
        <v>62</v>
      </c>
      <c r="K14" t="s">
        <v>38</v>
      </c>
      <c r="L14">
        <v>33</v>
      </c>
      <c r="M14">
        <v>1.23</v>
      </c>
      <c r="N14">
        <v>148.01</v>
      </c>
      <c r="O14">
        <v>1.99</v>
      </c>
      <c r="P14">
        <v>8</v>
      </c>
      <c r="Q14">
        <v>0.98</v>
      </c>
      <c r="R14">
        <v>588</v>
      </c>
      <c r="S14">
        <v>4.2</v>
      </c>
      <c r="T14">
        <v>0.9</v>
      </c>
      <c r="U14" s="1">
        <v>45592</v>
      </c>
      <c r="V14">
        <v>119.26</v>
      </c>
      <c r="W14">
        <v>0.47299999999999998</v>
      </c>
      <c r="X14" t="str">
        <f>IF(WarehouseData[[#This Row],[stock_level]]&lt;=WarehouseData[[#This Row],[reorder_point]],"Low Stock","Sufficient Stock")</f>
        <v>Sufficient Stock</v>
      </c>
      <c r="Y14">
        <f>WarehouseData[[#This Row],[daily_demand]]*WarehouseData[[#This Row],[lead_time_days]]</f>
        <v>87.84</v>
      </c>
      <c r="Z14" t="str">
        <f>IF(WarehouseData[[#This Row],[stock_level]]&lt;=WarehouseData[[#This Row],[Demand During Lead Time]],"At Risk","Safe")</f>
        <v>Safe</v>
      </c>
      <c r="AA14">
        <f>WarehouseData[[#This Row],[stock_level]]/WarehouseData[[#This Row],[daily_demand]]</f>
        <v>14.275956284153004</v>
      </c>
      <c r="AB14">
        <f>WarehouseData[[#This Row],[stock_level]]*WarehouseData[[#This Row],[unit_price]]</f>
        <v>61868.179999999993</v>
      </c>
      <c r="AC14">
        <f>WarehouseData[[#This Row],[stock_level]]*WarehouseData[[#This Row],[holding_cost_per_unit_day]]*30</f>
        <v>24954.600000000002</v>
      </c>
      <c r="AD14" t="str">
        <f>IF(WarehouseData[[#This Row],[order_fulfillment_rate]]&gt;=0.9,"Strong",IF(WarehouseData[[#This Row],[order_fulfillment_rate]]&gt;=0.8,"Moderate","Needs Attention"))</f>
        <v>Strong</v>
      </c>
      <c r="AE14" t="str">
        <f>IF(WarehouseData[[#This Row],[picking_time_seconds]]&gt;120,"Slow",IF(WarehouseData[[#This Row],[picking_time_seconds]]&gt;=60,"Average","Fast"))</f>
        <v>Fast</v>
      </c>
    </row>
    <row r="15" spans="1:31" x14ac:dyDescent="0.25">
      <c r="A15" t="s">
        <v>63</v>
      </c>
      <c r="B15" t="s">
        <v>48</v>
      </c>
      <c r="C15">
        <v>56</v>
      </c>
      <c r="D15">
        <v>84</v>
      </c>
      <c r="E15">
        <v>14</v>
      </c>
      <c r="F15">
        <v>5</v>
      </c>
      <c r="G15">
        <v>18.350000000000001</v>
      </c>
      <c r="H15">
        <v>8.24</v>
      </c>
      <c r="I15">
        <v>0.53</v>
      </c>
      <c r="J15" t="s">
        <v>64</v>
      </c>
      <c r="K15" t="s">
        <v>46</v>
      </c>
      <c r="L15">
        <v>131</v>
      </c>
      <c r="M15">
        <v>4.84</v>
      </c>
      <c r="N15">
        <v>154.27000000000001</v>
      </c>
      <c r="O15">
        <v>0.57999999999999996</v>
      </c>
      <c r="P15">
        <v>1</v>
      </c>
      <c r="Q15">
        <v>0.77</v>
      </c>
      <c r="R15">
        <v>331</v>
      </c>
      <c r="S15">
        <v>12.88</v>
      </c>
      <c r="T15">
        <v>0.94</v>
      </c>
      <c r="U15" s="1">
        <v>45635</v>
      </c>
      <c r="V15">
        <v>254.1</v>
      </c>
      <c r="W15">
        <v>0.83599999999999997</v>
      </c>
      <c r="X15" t="str">
        <f>IF(WarehouseData[[#This Row],[stock_level]]&lt;=WarehouseData[[#This Row],[reorder_point]],"Low Stock","Sufficient Stock")</f>
        <v>Low Stock</v>
      </c>
      <c r="Y15">
        <f>WarehouseData[[#This Row],[daily_demand]]*WarehouseData[[#This Row],[lead_time_days]]</f>
        <v>91.75</v>
      </c>
      <c r="Z15" t="str">
        <f>IF(WarehouseData[[#This Row],[stock_level]]&lt;=WarehouseData[[#This Row],[Demand During Lead Time]],"At Risk","Safe")</f>
        <v>At Risk</v>
      </c>
      <c r="AA15">
        <f>WarehouseData[[#This Row],[stock_level]]/WarehouseData[[#This Row],[daily_demand]]</f>
        <v>3.0517711171662123</v>
      </c>
      <c r="AB15">
        <f>WarehouseData[[#This Row],[stock_level]]*WarehouseData[[#This Row],[unit_price]]</f>
        <v>8639.1200000000008</v>
      </c>
      <c r="AC15">
        <f>WarehouseData[[#This Row],[stock_level]]*WarehouseData[[#This Row],[holding_cost_per_unit_day]]*30</f>
        <v>974.39999999999986</v>
      </c>
      <c r="AD15" t="str">
        <f>IF(WarehouseData[[#This Row],[order_fulfillment_rate]]&gt;=0.9,"Strong",IF(WarehouseData[[#This Row],[order_fulfillment_rate]]&gt;=0.8,"Moderate","Needs Attention"))</f>
        <v>Needs Attention</v>
      </c>
      <c r="AE15" t="str">
        <f>IF(WarehouseData[[#This Row],[picking_time_seconds]]&gt;120,"Slow",IF(WarehouseData[[#This Row],[picking_time_seconds]]&gt;=60,"Average","Fast"))</f>
        <v>Slow</v>
      </c>
    </row>
    <row r="16" spans="1:31" x14ac:dyDescent="0.25">
      <c r="A16" t="s">
        <v>65</v>
      </c>
      <c r="B16" t="s">
        <v>32</v>
      </c>
      <c r="C16">
        <v>160</v>
      </c>
      <c r="D16">
        <v>58</v>
      </c>
      <c r="E16">
        <v>14</v>
      </c>
      <c r="F16">
        <v>4</v>
      </c>
      <c r="G16">
        <v>41.22</v>
      </c>
      <c r="H16">
        <v>9.31</v>
      </c>
      <c r="I16">
        <v>0.56000000000000005</v>
      </c>
      <c r="J16" t="s">
        <v>66</v>
      </c>
      <c r="K16" t="s">
        <v>52</v>
      </c>
      <c r="L16">
        <v>141</v>
      </c>
      <c r="M16">
        <v>1.42</v>
      </c>
      <c r="N16">
        <v>149.24</v>
      </c>
      <c r="O16">
        <v>0.9</v>
      </c>
      <c r="P16">
        <v>3</v>
      </c>
      <c r="Q16">
        <v>0.91</v>
      </c>
      <c r="R16">
        <v>328</v>
      </c>
      <c r="S16">
        <v>1.77</v>
      </c>
      <c r="T16">
        <v>0.25</v>
      </c>
      <c r="U16" s="1">
        <v>45578</v>
      </c>
      <c r="V16">
        <v>115.62</v>
      </c>
      <c r="W16">
        <v>0.50600000000000001</v>
      </c>
      <c r="X16" t="str">
        <f>IF(WarehouseData[[#This Row],[stock_level]]&lt;=WarehouseData[[#This Row],[reorder_point]],"Low Stock","Sufficient Stock")</f>
        <v>Sufficient Stock</v>
      </c>
      <c r="Y16">
        <f>WarehouseData[[#This Row],[daily_demand]]*WarehouseData[[#This Row],[lead_time_days]]</f>
        <v>164.88</v>
      </c>
      <c r="Z16" t="str">
        <f>IF(WarehouseData[[#This Row],[stock_level]]&lt;=WarehouseData[[#This Row],[Demand During Lead Time]],"At Risk","Safe")</f>
        <v>At Risk</v>
      </c>
      <c r="AA16">
        <f>WarehouseData[[#This Row],[stock_level]]/WarehouseData[[#This Row],[daily_demand]]</f>
        <v>3.8816108685104318</v>
      </c>
      <c r="AB16">
        <f>WarehouseData[[#This Row],[stock_level]]*WarehouseData[[#This Row],[unit_price]]</f>
        <v>23878.400000000001</v>
      </c>
      <c r="AC16">
        <f>WarehouseData[[#This Row],[stock_level]]*WarehouseData[[#This Row],[holding_cost_per_unit_day]]*30</f>
        <v>4320</v>
      </c>
      <c r="AD16" t="str">
        <f>IF(WarehouseData[[#This Row],[order_fulfillment_rate]]&gt;=0.9,"Strong",IF(WarehouseData[[#This Row],[order_fulfillment_rate]]&gt;=0.8,"Moderate","Needs Attention"))</f>
        <v>Strong</v>
      </c>
      <c r="AE16" t="str">
        <f>IF(WarehouseData[[#This Row],[picking_time_seconds]]&gt;120,"Slow",IF(WarehouseData[[#This Row],[picking_time_seconds]]&gt;=60,"Average","Fast"))</f>
        <v>Slow</v>
      </c>
    </row>
    <row r="17" spans="1:31" x14ac:dyDescent="0.25">
      <c r="A17" t="s">
        <v>67</v>
      </c>
      <c r="B17" t="s">
        <v>48</v>
      </c>
      <c r="C17">
        <v>251</v>
      </c>
      <c r="D17">
        <v>16</v>
      </c>
      <c r="E17">
        <v>5</v>
      </c>
      <c r="F17">
        <v>5</v>
      </c>
      <c r="G17">
        <v>39.340000000000003</v>
      </c>
      <c r="H17">
        <v>7.18</v>
      </c>
      <c r="I17">
        <v>0.28999999999999998</v>
      </c>
      <c r="J17" t="s">
        <v>68</v>
      </c>
      <c r="K17" t="s">
        <v>34</v>
      </c>
      <c r="L17">
        <v>146</v>
      </c>
      <c r="M17">
        <v>1.36</v>
      </c>
      <c r="N17">
        <v>197.96</v>
      </c>
      <c r="O17">
        <v>1.58</v>
      </c>
      <c r="P17">
        <v>1</v>
      </c>
      <c r="Q17">
        <v>0.85</v>
      </c>
      <c r="R17">
        <v>169</v>
      </c>
      <c r="S17">
        <v>7.54</v>
      </c>
      <c r="T17">
        <v>0.24</v>
      </c>
      <c r="U17" s="1">
        <v>45403</v>
      </c>
      <c r="V17">
        <v>129.55000000000001</v>
      </c>
      <c r="W17">
        <v>0.54100000000000004</v>
      </c>
      <c r="X17" t="str">
        <f>IF(WarehouseData[[#This Row],[stock_level]]&lt;=WarehouseData[[#This Row],[reorder_point]],"Low Stock","Sufficient Stock")</f>
        <v>Sufficient Stock</v>
      </c>
      <c r="Y17">
        <f>WarehouseData[[#This Row],[daily_demand]]*WarehouseData[[#This Row],[lead_time_days]]</f>
        <v>196.70000000000002</v>
      </c>
      <c r="Z17" t="str">
        <f>IF(WarehouseData[[#This Row],[stock_level]]&lt;=WarehouseData[[#This Row],[Demand During Lead Time]],"At Risk","Safe")</f>
        <v>Safe</v>
      </c>
      <c r="AA17">
        <f>WarehouseData[[#This Row],[stock_level]]/WarehouseData[[#This Row],[daily_demand]]</f>
        <v>6.3802745297407215</v>
      </c>
      <c r="AB17">
        <f>WarehouseData[[#This Row],[stock_level]]*WarehouseData[[#This Row],[unit_price]]</f>
        <v>49687.96</v>
      </c>
      <c r="AC17">
        <f>WarehouseData[[#This Row],[stock_level]]*WarehouseData[[#This Row],[holding_cost_per_unit_day]]*30</f>
        <v>11897.400000000001</v>
      </c>
      <c r="AD17" t="str">
        <f>IF(WarehouseData[[#This Row],[order_fulfillment_rate]]&gt;=0.9,"Strong",IF(WarehouseData[[#This Row],[order_fulfillment_rate]]&gt;=0.8,"Moderate","Needs Attention"))</f>
        <v>Moderate</v>
      </c>
      <c r="AE17" t="str">
        <f>IF(WarehouseData[[#This Row],[picking_time_seconds]]&gt;120,"Slow",IF(WarehouseData[[#This Row],[picking_time_seconds]]&gt;=60,"Average","Fast"))</f>
        <v>Slow</v>
      </c>
    </row>
    <row r="18" spans="1:31" x14ac:dyDescent="0.25">
      <c r="A18" t="s">
        <v>69</v>
      </c>
      <c r="B18" t="s">
        <v>32</v>
      </c>
      <c r="C18">
        <v>155</v>
      </c>
      <c r="D18">
        <v>20</v>
      </c>
      <c r="E18">
        <v>9</v>
      </c>
      <c r="F18">
        <v>7</v>
      </c>
      <c r="G18">
        <v>27.66</v>
      </c>
      <c r="H18">
        <v>2.83</v>
      </c>
      <c r="I18">
        <v>0.65</v>
      </c>
      <c r="J18" t="s">
        <v>70</v>
      </c>
      <c r="K18" t="s">
        <v>38</v>
      </c>
      <c r="L18">
        <v>139</v>
      </c>
      <c r="M18">
        <v>0.64</v>
      </c>
      <c r="N18">
        <v>87.75</v>
      </c>
      <c r="O18">
        <v>1.36</v>
      </c>
      <c r="P18">
        <v>0</v>
      </c>
      <c r="Q18">
        <v>0.8</v>
      </c>
      <c r="R18">
        <v>302</v>
      </c>
      <c r="S18">
        <v>7.65</v>
      </c>
      <c r="T18">
        <v>0.38</v>
      </c>
      <c r="U18" s="1">
        <v>45537</v>
      </c>
      <c r="V18">
        <v>102.57</v>
      </c>
      <c r="W18">
        <v>0.60199999999999998</v>
      </c>
      <c r="X18" t="str">
        <f>IF(WarehouseData[[#This Row],[stock_level]]&lt;=WarehouseData[[#This Row],[reorder_point]],"Low Stock","Sufficient Stock")</f>
        <v>Sufficient Stock</v>
      </c>
      <c r="Y18">
        <f>WarehouseData[[#This Row],[daily_demand]]*WarehouseData[[#This Row],[lead_time_days]]</f>
        <v>193.62</v>
      </c>
      <c r="Z18" t="str">
        <f>IF(WarehouseData[[#This Row],[stock_level]]&lt;=WarehouseData[[#This Row],[Demand During Lead Time]],"At Risk","Safe")</f>
        <v>At Risk</v>
      </c>
      <c r="AA18">
        <f>WarehouseData[[#This Row],[stock_level]]/WarehouseData[[#This Row],[daily_demand]]</f>
        <v>5.6037599421547357</v>
      </c>
      <c r="AB18">
        <f>WarehouseData[[#This Row],[stock_level]]*WarehouseData[[#This Row],[unit_price]]</f>
        <v>13601.25</v>
      </c>
      <c r="AC18">
        <f>WarehouseData[[#This Row],[stock_level]]*WarehouseData[[#This Row],[holding_cost_per_unit_day]]*30</f>
        <v>6324</v>
      </c>
      <c r="AD18" t="str">
        <f>IF(WarehouseData[[#This Row],[order_fulfillment_rate]]&gt;=0.9,"Strong",IF(WarehouseData[[#This Row],[order_fulfillment_rate]]&gt;=0.8,"Moderate","Needs Attention"))</f>
        <v>Moderate</v>
      </c>
      <c r="AE18" t="str">
        <f>IF(WarehouseData[[#This Row],[picking_time_seconds]]&gt;120,"Slow",IF(WarehouseData[[#This Row],[picking_time_seconds]]&gt;=60,"Average","Fast"))</f>
        <v>Slow</v>
      </c>
    </row>
    <row r="19" spans="1:31" x14ac:dyDescent="0.25">
      <c r="A19" t="s">
        <v>71</v>
      </c>
      <c r="B19" t="s">
        <v>36</v>
      </c>
      <c r="C19">
        <v>408</v>
      </c>
      <c r="D19">
        <v>63</v>
      </c>
      <c r="E19">
        <v>8</v>
      </c>
      <c r="F19">
        <v>7</v>
      </c>
      <c r="G19">
        <v>8.56</v>
      </c>
      <c r="H19">
        <v>5.3</v>
      </c>
      <c r="I19">
        <v>0.75</v>
      </c>
      <c r="J19" t="s">
        <v>41</v>
      </c>
      <c r="K19" t="s">
        <v>52</v>
      </c>
      <c r="L19">
        <v>172</v>
      </c>
      <c r="M19">
        <v>1.98</v>
      </c>
      <c r="N19">
        <v>139.62</v>
      </c>
      <c r="O19">
        <v>1.58</v>
      </c>
      <c r="P19">
        <v>9</v>
      </c>
      <c r="Q19">
        <v>0.78</v>
      </c>
      <c r="R19">
        <v>920</v>
      </c>
      <c r="S19">
        <v>8.98</v>
      </c>
      <c r="T19">
        <v>0.94</v>
      </c>
      <c r="U19" s="1">
        <v>45398</v>
      </c>
      <c r="V19">
        <v>270.86</v>
      </c>
      <c r="W19">
        <v>0.52600000000000002</v>
      </c>
      <c r="X19" t="str">
        <f>IF(WarehouseData[[#This Row],[stock_level]]&lt;=WarehouseData[[#This Row],[reorder_point]],"Low Stock","Sufficient Stock")</f>
        <v>Sufficient Stock</v>
      </c>
      <c r="Y19">
        <f>WarehouseData[[#This Row],[daily_demand]]*WarehouseData[[#This Row],[lead_time_days]]</f>
        <v>59.92</v>
      </c>
      <c r="Z19" t="str">
        <f>IF(WarehouseData[[#This Row],[stock_level]]&lt;=WarehouseData[[#This Row],[Demand During Lead Time]],"At Risk","Safe")</f>
        <v>Safe</v>
      </c>
      <c r="AA19">
        <f>WarehouseData[[#This Row],[stock_level]]/WarehouseData[[#This Row],[daily_demand]]</f>
        <v>47.663551401869157</v>
      </c>
      <c r="AB19">
        <f>WarehouseData[[#This Row],[stock_level]]*WarehouseData[[#This Row],[unit_price]]</f>
        <v>56964.959999999999</v>
      </c>
      <c r="AC19">
        <f>WarehouseData[[#This Row],[stock_level]]*WarehouseData[[#This Row],[holding_cost_per_unit_day]]*30</f>
        <v>19339.2</v>
      </c>
      <c r="AD19" t="str">
        <f>IF(WarehouseData[[#This Row],[order_fulfillment_rate]]&gt;=0.9,"Strong",IF(WarehouseData[[#This Row],[order_fulfillment_rate]]&gt;=0.8,"Moderate","Needs Attention"))</f>
        <v>Needs Attention</v>
      </c>
      <c r="AE19" t="str">
        <f>IF(WarehouseData[[#This Row],[picking_time_seconds]]&gt;120,"Slow",IF(WarehouseData[[#This Row],[picking_time_seconds]]&gt;=60,"Average","Fast"))</f>
        <v>Slow</v>
      </c>
    </row>
    <row r="20" spans="1:31" x14ac:dyDescent="0.25">
      <c r="A20" t="s">
        <v>72</v>
      </c>
      <c r="B20" t="s">
        <v>73</v>
      </c>
      <c r="C20">
        <v>207</v>
      </c>
      <c r="D20">
        <v>96</v>
      </c>
      <c r="E20">
        <v>10</v>
      </c>
      <c r="F20">
        <v>8</v>
      </c>
      <c r="G20">
        <v>13.3</v>
      </c>
      <c r="H20">
        <v>0.81</v>
      </c>
      <c r="I20">
        <v>0.44</v>
      </c>
      <c r="J20" t="s">
        <v>64</v>
      </c>
      <c r="K20" t="s">
        <v>52</v>
      </c>
      <c r="L20">
        <v>132</v>
      </c>
      <c r="M20">
        <v>0.61</v>
      </c>
      <c r="N20">
        <v>46.79</v>
      </c>
      <c r="O20">
        <v>0.99</v>
      </c>
      <c r="P20">
        <v>6</v>
      </c>
      <c r="Q20">
        <v>0.98</v>
      </c>
      <c r="R20">
        <v>526</v>
      </c>
      <c r="S20">
        <v>3.77</v>
      </c>
      <c r="T20">
        <v>0.82</v>
      </c>
      <c r="U20" s="1">
        <v>45462</v>
      </c>
      <c r="V20">
        <v>202.37</v>
      </c>
      <c r="W20">
        <v>0.59099999999999997</v>
      </c>
      <c r="X20" t="str">
        <f>IF(WarehouseData[[#This Row],[stock_level]]&lt;=WarehouseData[[#This Row],[reorder_point]],"Low Stock","Sufficient Stock")</f>
        <v>Sufficient Stock</v>
      </c>
      <c r="Y20">
        <f>WarehouseData[[#This Row],[daily_demand]]*WarehouseData[[#This Row],[lead_time_days]]</f>
        <v>106.4</v>
      </c>
      <c r="Z20" t="str">
        <f>IF(WarehouseData[[#This Row],[stock_level]]&lt;=WarehouseData[[#This Row],[Demand During Lead Time]],"At Risk","Safe")</f>
        <v>Safe</v>
      </c>
      <c r="AA20">
        <f>WarehouseData[[#This Row],[stock_level]]/WarehouseData[[#This Row],[daily_demand]]</f>
        <v>15.563909774436089</v>
      </c>
      <c r="AB20">
        <f>WarehouseData[[#This Row],[stock_level]]*WarehouseData[[#This Row],[unit_price]]</f>
        <v>9685.5300000000007</v>
      </c>
      <c r="AC20">
        <f>WarehouseData[[#This Row],[stock_level]]*WarehouseData[[#This Row],[holding_cost_per_unit_day]]*30</f>
        <v>6147.9000000000005</v>
      </c>
      <c r="AD20" t="str">
        <f>IF(WarehouseData[[#This Row],[order_fulfillment_rate]]&gt;=0.9,"Strong",IF(WarehouseData[[#This Row],[order_fulfillment_rate]]&gt;=0.8,"Moderate","Needs Attention"))</f>
        <v>Strong</v>
      </c>
      <c r="AE20" t="str">
        <f>IF(WarehouseData[[#This Row],[picking_time_seconds]]&gt;120,"Slow",IF(WarehouseData[[#This Row],[picking_time_seconds]]&gt;=60,"Average","Fast"))</f>
        <v>Slow</v>
      </c>
    </row>
    <row r="21" spans="1:31" x14ac:dyDescent="0.25">
      <c r="A21" t="s">
        <v>74</v>
      </c>
      <c r="B21" t="s">
        <v>32</v>
      </c>
      <c r="C21">
        <v>147</v>
      </c>
      <c r="D21">
        <v>54</v>
      </c>
      <c r="E21">
        <v>7</v>
      </c>
      <c r="F21">
        <v>6</v>
      </c>
      <c r="G21">
        <v>37.19</v>
      </c>
      <c r="H21">
        <v>6.65</v>
      </c>
      <c r="I21">
        <v>0.63</v>
      </c>
      <c r="J21" t="s">
        <v>75</v>
      </c>
      <c r="K21" t="s">
        <v>34</v>
      </c>
      <c r="L21">
        <v>47</v>
      </c>
      <c r="M21">
        <v>2.74</v>
      </c>
      <c r="N21">
        <v>85.94</v>
      </c>
      <c r="O21">
        <v>1.84</v>
      </c>
      <c r="P21">
        <v>4</v>
      </c>
      <c r="Q21">
        <v>0.97</v>
      </c>
      <c r="R21">
        <v>114</v>
      </c>
      <c r="S21">
        <v>13.2</v>
      </c>
      <c r="T21">
        <v>0.74</v>
      </c>
      <c r="U21" s="1">
        <v>45447</v>
      </c>
      <c r="V21">
        <v>70.55</v>
      </c>
      <c r="W21">
        <v>0.65400000000000003</v>
      </c>
      <c r="X21" t="str">
        <f>IF(WarehouseData[[#This Row],[stock_level]]&lt;=WarehouseData[[#This Row],[reorder_point]],"Low Stock","Sufficient Stock")</f>
        <v>Sufficient Stock</v>
      </c>
      <c r="Y21">
        <f>WarehouseData[[#This Row],[daily_demand]]*WarehouseData[[#This Row],[lead_time_days]]</f>
        <v>223.14</v>
      </c>
      <c r="Z21" t="str">
        <f>IF(WarehouseData[[#This Row],[stock_level]]&lt;=WarehouseData[[#This Row],[Demand During Lead Time]],"At Risk","Safe")</f>
        <v>At Risk</v>
      </c>
      <c r="AA21">
        <f>WarehouseData[[#This Row],[stock_level]]/WarehouseData[[#This Row],[daily_demand]]</f>
        <v>3.95267545038989</v>
      </c>
      <c r="AB21">
        <f>WarehouseData[[#This Row],[stock_level]]*WarehouseData[[#This Row],[unit_price]]</f>
        <v>12633.18</v>
      </c>
      <c r="AC21">
        <f>WarehouseData[[#This Row],[stock_level]]*WarehouseData[[#This Row],[holding_cost_per_unit_day]]*30</f>
        <v>8114.4000000000005</v>
      </c>
      <c r="AD21" t="str">
        <f>IF(WarehouseData[[#This Row],[order_fulfillment_rate]]&gt;=0.9,"Strong",IF(WarehouseData[[#This Row],[order_fulfillment_rate]]&gt;=0.8,"Moderate","Needs Attention"))</f>
        <v>Strong</v>
      </c>
      <c r="AE21" t="str">
        <f>IF(WarehouseData[[#This Row],[picking_time_seconds]]&gt;120,"Slow",IF(WarehouseData[[#This Row],[picking_time_seconds]]&gt;=60,"Average","Fast"))</f>
        <v>Fast</v>
      </c>
    </row>
    <row r="22" spans="1:31" x14ac:dyDescent="0.25">
      <c r="A22" t="s">
        <v>76</v>
      </c>
      <c r="B22" t="s">
        <v>48</v>
      </c>
      <c r="C22">
        <v>220</v>
      </c>
      <c r="D22">
        <v>32</v>
      </c>
      <c r="E22">
        <v>4</v>
      </c>
      <c r="F22">
        <v>8</v>
      </c>
      <c r="G22">
        <v>40.5</v>
      </c>
      <c r="H22">
        <v>5.77</v>
      </c>
      <c r="I22">
        <v>0.55000000000000004</v>
      </c>
      <c r="J22" t="s">
        <v>77</v>
      </c>
      <c r="K22" t="s">
        <v>52</v>
      </c>
      <c r="L22">
        <v>152</v>
      </c>
      <c r="M22">
        <v>2.78</v>
      </c>
      <c r="N22">
        <v>103.4</v>
      </c>
      <c r="O22">
        <v>1.6</v>
      </c>
      <c r="P22">
        <v>2</v>
      </c>
      <c r="Q22">
        <v>0.85</v>
      </c>
      <c r="R22">
        <v>635</v>
      </c>
      <c r="S22">
        <v>14.51</v>
      </c>
      <c r="T22">
        <v>0.82</v>
      </c>
      <c r="U22" s="1">
        <v>45299</v>
      </c>
      <c r="V22">
        <v>227.39</v>
      </c>
      <c r="W22">
        <v>0.72699999999999998</v>
      </c>
      <c r="X22" t="str">
        <f>IF(WarehouseData[[#This Row],[stock_level]]&lt;=WarehouseData[[#This Row],[reorder_point]],"Low Stock","Sufficient Stock")</f>
        <v>Sufficient Stock</v>
      </c>
      <c r="Y22">
        <f>WarehouseData[[#This Row],[daily_demand]]*WarehouseData[[#This Row],[lead_time_days]]</f>
        <v>324</v>
      </c>
      <c r="Z22" t="str">
        <f>IF(WarehouseData[[#This Row],[stock_level]]&lt;=WarehouseData[[#This Row],[Demand During Lead Time]],"At Risk","Safe")</f>
        <v>At Risk</v>
      </c>
      <c r="AA22">
        <f>WarehouseData[[#This Row],[stock_level]]/WarehouseData[[#This Row],[daily_demand]]</f>
        <v>5.4320987654320989</v>
      </c>
      <c r="AB22">
        <f>WarehouseData[[#This Row],[stock_level]]*WarehouseData[[#This Row],[unit_price]]</f>
        <v>22748</v>
      </c>
      <c r="AC22">
        <f>WarehouseData[[#This Row],[stock_level]]*WarehouseData[[#This Row],[holding_cost_per_unit_day]]*30</f>
        <v>10560</v>
      </c>
      <c r="AD22" t="str">
        <f>IF(WarehouseData[[#This Row],[order_fulfillment_rate]]&gt;=0.9,"Strong",IF(WarehouseData[[#This Row],[order_fulfillment_rate]]&gt;=0.8,"Moderate","Needs Attention"))</f>
        <v>Moderate</v>
      </c>
      <c r="AE22" t="str">
        <f>IF(WarehouseData[[#This Row],[picking_time_seconds]]&gt;120,"Slow",IF(WarehouseData[[#This Row],[picking_time_seconds]]&gt;=60,"Average","Fast"))</f>
        <v>Slow</v>
      </c>
    </row>
    <row r="23" spans="1:31" x14ac:dyDescent="0.25">
      <c r="A23" t="s">
        <v>78</v>
      </c>
      <c r="B23" t="s">
        <v>36</v>
      </c>
      <c r="C23">
        <v>146</v>
      </c>
      <c r="D23">
        <v>37</v>
      </c>
      <c r="E23">
        <v>11</v>
      </c>
      <c r="F23">
        <v>3</v>
      </c>
      <c r="G23">
        <v>14.68</v>
      </c>
      <c r="H23">
        <v>6.83</v>
      </c>
      <c r="I23">
        <v>0.28000000000000003</v>
      </c>
      <c r="J23" t="s">
        <v>79</v>
      </c>
      <c r="K23" t="s">
        <v>38</v>
      </c>
      <c r="L23">
        <v>179</v>
      </c>
      <c r="M23">
        <v>0.74</v>
      </c>
      <c r="N23">
        <v>50.82</v>
      </c>
      <c r="O23">
        <v>0.69</v>
      </c>
      <c r="P23">
        <v>7</v>
      </c>
      <c r="Q23">
        <v>0.78</v>
      </c>
      <c r="R23">
        <v>352</v>
      </c>
      <c r="S23">
        <v>8.69</v>
      </c>
      <c r="T23">
        <v>0.36</v>
      </c>
      <c r="U23" s="1">
        <v>45400</v>
      </c>
      <c r="V23">
        <v>21.17</v>
      </c>
      <c r="W23">
        <v>0.53500000000000003</v>
      </c>
      <c r="X23" t="str">
        <f>IF(WarehouseData[[#This Row],[stock_level]]&lt;=WarehouseData[[#This Row],[reorder_point]],"Low Stock","Sufficient Stock")</f>
        <v>Sufficient Stock</v>
      </c>
      <c r="Y23">
        <f>WarehouseData[[#This Row],[daily_demand]]*WarehouseData[[#This Row],[lead_time_days]]</f>
        <v>44.04</v>
      </c>
      <c r="Z23" t="str">
        <f>IF(WarehouseData[[#This Row],[stock_level]]&lt;=WarehouseData[[#This Row],[Demand During Lead Time]],"At Risk","Safe")</f>
        <v>Safe</v>
      </c>
      <c r="AA23">
        <f>WarehouseData[[#This Row],[stock_level]]/WarehouseData[[#This Row],[daily_demand]]</f>
        <v>9.945504087193461</v>
      </c>
      <c r="AB23">
        <f>WarehouseData[[#This Row],[stock_level]]*WarehouseData[[#This Row],[unit_price]]</f>
        <v>7419.72</v>
      </c>
      <c r="AC23">
        <f>WarehouseData[[#This Row],[stock_level]]*WarehouseData[[#This Row],[holding_cost_per_unit_day]]*30</f>
        <v>3022.2</v>
      </c>
      <c r="AD23" t="str">
        <f>IF(WarehouseData[[#This Row],[order_fulfillment_rate]]&gt;=0.9,"Strong",IF(WarehouseData[[#This Row],[order_fulfillment_rate]]&gt;=0.8,"Moderate","Needs Attention"))</f>
        <v>Needs Attention</v>
      </c>
      <c r="AE23" t="str">
        <f>IF(WarehouseData[[#This Row],[picking_time_seconds]]&gt;120,"Slow",IF(WarehouseData[[#This Row],[picking_time_seconds]]&gt;=60,"Average","Fast"))</f>
        <v>Slow</v>
      </c>
    </row>
    <row r="24" spans="1:31" x14ac:dyDescent="0.25">
      <c r="A24" t="s">
        <v>80</v>
      </c>
      <c r="B24" t="s">
        <v>32</v>
      </c>
      <c r="C24">
        <v>276</v>
      </c>
      <c r="D24">
        <v>66</v>
      </c>
      <c r="E24">
        <v>13</v>
      </c>
      <c r="F24">
        <v>2</v>
      </c>
      <c r="G24">
        <v>19.03</v>
      </c>
      <c r="H24">
        <v>9.34</v>
      </c>
      <c r="I24">
        <v>0.76</v>
      </c>
      <c r="J24" t="s">
        <v>81</v>
      </c>
      <c r="K24" t="s">
        <v>46</v>
      </c>
      <c r="L24">
        <v>140</v>
      </c>
      <c r="M24">
        <v>1.58</v>
      </c>
      <c r="N24">
        <v>182.29</v>
      </c>
      <c r="O24">
        <v>1.9</v>
      </c>
      <c r="P24">
        <v>4</v>
      </c>
      <c r="Q24">
        <v>0.73</v>
      </c>
      <c r="R24">
        <v>366</v>
      </c>
      <c r="S24">
        <v>4.59</v>
      </c>
      <c r="T24">
        <v>0.41</v>
      </c>
      <c r="U24" s="1">
        <v>45389</v>
      </c>
      <c r="V24">
        <v>124.96</v>
      </c>
      <c r="W24">
        <v>0.41899999999999998</v>
      </c>
      <c r="X24" t="str">
        <f>IF(WarehouseData[[#This Row],[stock_level]]&lt;=WarehouseData[[#This Row],[reorder_point]],"Low Stock","Sufficient Stock")</f>
        <v>Sufficient Stock</v>
      </c>
      <c r="Y24">
        <f>WarehouseData[[#This Row],[daily_demand]]*WarehouseData[[#This Row],[lead_time_days]]</f>
        <v>38.06</v>
      </c>
      <c r="Z24" t="str">
        <f>IF(WarehouseData[[#This Row],[stock_level]]&lt;=WarehouseData[[#This Row],[Demand During Lead Time]],"At Risk","Safe")</f>
        <v>Safe</v>
      </c>
      <c r="AA24">
        <f>WarehouseData[[#This Row],[stock_level]]/WarehouseData[[#This Row],[daily_demand]]</f>
        <v>14.503415659485023</v>
      </c>
      <c r="AB24">
        <f>WarehouseData[[#This Row],[stock_level]]*WarehouseData[[#This Row],[unit_price]]</f>
        <v>50312.04</v>
      </c>
      <c r="AC24">
        <f>WarehouseData[[#This Row],[stock_level]]*WarehouseData[[#This Row],[holding_cost_per_unit_day]]*30</f>
        <v>15732</v>
      </c>
      <c r="AD24" t="str">
        <f>IF(WarehouseData[[#This Row],[order_fulfillment_rate]]&gt;=0.9,"Strong",IF(WarehouseData[[#This Row],[order_fulfillment_rate]]&gt;=0.8,"Moderate","Needs Attention"))</f>
        <v>Needs Attention</v>
      </c>
      <c r="AE24" t="str">
        <f>IF(WarehouseData[[#This Row],[picking_time_seconds]]&gt;120,"Slow",IF(WarehouseData[[#This Row],[picking_time_seconds]]&gt;=60,"Average","Fast"))</f>
        <v>Slow</v>
      </c>
    </row>
    <row r="25" spans="1:31" x14ac:dyDescent="0.25">
      <c r="A25" t="s">
        <v>82</v>
      </c>
      <c r="B25" t="s">
        <v>73</v>
      </c>
      <c r="C25">
        <v>183</v>
      </c>
      <c r="D25">
        <v>35</v>
      </c>
      <c r="E25">
        <v>10</v>
      </c>
      <c r="F25">
        <v>5</v>
      </c>
      <c r="G25">
        <v>4.8</v>
      </c>
      <c r="H25">
        <v>7.03</v>
      </c>
      <c r="I25">
        <v>0.82</v>
      </c>
      <c r="J25" t="s">
        <v>41</v>
      </c>
      <c r="K25" t="s">
        <v>52</v>
      </c>
      <c r="L25">
        <v>168</v>
      </c>
      <c r="M25">
        <v>4.24</v>
      </c>
      <c r="N25">
        <v>146.08000000000001</v>
      </c>
      <c r="O25">
        <v>1.93</v>
      </c>
      <c r="P25">
        <v>0</v>
      </c>
      <c r="Q25">
        <v>0.75</v>
      </c>
      <c r="R25">
        <v>223</v>
      </c>
      <c r="S25">
        <v>13.28</v>
      </c>
      <c r="T25">
        <v>0.45</v>
      </c>
      <c r="U25" s="1">
        <v>45352</v>
      </c>
      <c r="V25">
        <v>273.83</v>
      </c>
      <c r="W25">
        <v>0.624</v>
      </c>
      <c r="X25" t="str">
        <f>IF(WarehouseData[[#This Row],[stock_level]]&lt;=WarehouseData[[#This Row],[reorder_point]],"Low Stock","Sufficient Stock")</f>
        <v>Sufficient Stock</v>
      </c>
      <c r="Y25">
        <f>WarehouseData[[#This Row],[daily_demand]]*WarehouseData[[#This Row],[lead_time_days]]</f>
        <v>24</v>
      </c>
      <c r="Z25" t="str">
        <f>IF(WarehouseData[[#This Row],[stock_level]]&lt;=WarehouseData[[#This Row],[Demand During Lead Time]],"At Risk","Safe")</f>
        <v>Safe</v>
      </c>
      <c r="AA25">
        <f>WarehouseData[[#This Row],[stock_level]]/WarehouseData[[#This Row],[daily_demand]]</f>
        <v>38.125</v>
      </c>
      <c r="AB25">
        <f>WarehouseData[[#This Row],[stock_level]]*WarehouseData[[#This Row],[unit_price]]</f>
        <v>26732.640000000003</v>
      </c>
      <c r="AC25">
        <f>WarehouseData[[#This Row],[stock_level]]*WarehouseData[[#This Row],[holding_cost_per_unit_day]]*30</f>
        <v>10595.7</v>
      </c>
      <c r="AD25" t="str">
        <f>IF(WarehouseData[[#This Row],[order_fulfillment_rate]]&gt;=0.9,"Strong",IF(WarehouseData[[#This Row],[order_fulfillment_rate]]&gt;=0.8,"Moderate","Needs Attention"))</f>
        <v>Needs Attention</v>
      </c>
      <c r="AE25" t="str">
        <f>IF(WarehouseData[[#This Row],[picking_time_seconds]]&gt;120,"Slow",IF(WarehouseData[[#This Row],[picking_time_seconds]]&gt;=60,"Average","Fast"))</f>
        <v>Slow</v>
      </c>
    </row>
    <row r="26" spans="1:31" x14ac:dyDescent="0.25">
      <c r="A26" t="s">
        <v>83</v>
      </c>
      <c r="B26" t="s">
        <v>73</v>
      </c>
      <c r="C26">
        <v>54</v>
      </c>
      <c r="D26">
        <v>34</v>
      </c>
      <c r="E26">
        <v>8</v>
      </c>
      <c r="F26">
        <v>3</v>
      </c>
      <c r="G26">
        <v>35.96</v>
      </c>
      <c r="H26">
        <v>3.54</v>
      </c>
      <c r="I26">
        <v>0.68</v>
      </c>
      <c r="J26" t="s">
        <v>84</v>
      </c>
      <c r="K26" t="s">
        <v>46</v>
      </c>
      <c r="L26">
        <v>178</v>
      </c>
      <c r="M26">
        <v>2.58</v>
      </c>
      <c r="N26">
        <v>63.91</v>
      </c>
      <c r="O26">
        <v>0.89</v>
      </c>
      <c r="P26">
        <v>8</v>
      </c>
      <c r="Q26">
        <v>0.86</v>
      </c>
      <c r="R26">
        <v>949</v>
      </c>
      <c r="S26">
        <v>14.83</v>
      </c>
      <c r="T26">
        <v>0.68</v>
      </c>
      <c r="U26" s="1">
        <v>45537</v>
      </c>
      <c r="V26">
        <v>210.04</v>
      </c>
      <c r="W26">
        <v>0.65700000000000003</v>
      </c>
      <c r="X26" t="str">
        <f>IF(WarehouseData[[#This Row],[stock_level]]&lt;=WarehouseData[[#This Row],[reorder_point]],"Low Stock","Sufficient Stock")</f>
        <v>Sufficient Stock</v>
      </c>
      <c r="Y26">
        <f>WarehouseData[[#This Row],[daily_demand]]*WarehouseData[[#This Row],[lead_time_days]]</f>
        <v>107.88</v>
      </c>
      <c r="Z26" t="str">
        <f>IF(WarehouseData[[#This Row],[stock_level]]&lt;=WarehouseData[[#This Row],[Demand During Lead Time]],"At Risk","Safe")</f>
        <v>At Risk</v>
      </c>
      <c r="AA26">
        <f>WarehouseData[[#This Row],[stock_level]]/WarehouseData[[#This Row],[daily_demand]]</f>
        <v>1.5016685205784204</v>
      </c>
      <c r="AB26">
        <f>WarehouseData[[#This Row],[stock_level]]*WarehouseData[[#This Row],[unit_price]]</f>
        <v>3451.14</v>
      </c>
      <c r="AC26">
        <f>WarehouseData[[#This Row],[stock_level]]*WarehouseData[[#This Row],[holding_cost_per_unit_day]]*30</f>
        <v>1441.8000000000002</v>
      </c>
      <c r="AD26" t="str">
        <f>IF(WarehouseData[[#This Row],[order_fulfillment_rate]]&gt;=0.9,"Strong",IF(WarehouseData[[#This Row],[order_fulfillment_rate]]&gt;=0.8,"Moderate","Needs Attention"))</f>
        <v>Moderate</v>
      </c>
      <c r="AE26" t="str">
        <f>IF(WarehouseData[[#This Row],[picking_time_seconds]]&gt;120,"Slow",IF(WarehouseData[[#This Row],[picking_time_seconds]]&gt;=60,"Average","Fast"))</f>
        <v>Slow</v>
      </c>
    </row>
    <row r="27" spans="1:31" x14ac:dyDescent="0.25">
      <c r="A27" t="s">
        <v>85</v>
      </c>
      <c r="B27" t="s">
        <v>40</v>
      </c>
      <c r="C27">
        <v>213</v>
      </c>
      <c r="D27">
        <v>63</v>
      </c>
      <c r="E27">
        <v>12</v>
      </c>
      <c r="F27">
        <v>9</v>
      </c>
      <c r="G27">
        <v>1.18</v>
      </c>
      <c r="H27">
        <v>2.39</v>
      </c>
      <c r="I27">
        <v>0.39</v>
      </c>
      <c r="J27" t="s">
        <v>86</v>
      </c>
      <c r="K27" t="s">
        <v>34</v>
      </c>
      <c r="L27">
        <v>66</v>
      </c>
      <c r="M27">
        <v>2.46</v>
      </c>
      <c r="N27">
        <v>35.64</v>
      </c>
      <c r="O27">
        <v>1.34</v>
      </c>
      <c r="P27">
        <v>4</v>
      </c>
      <c r="Q27">
        <v>0.79</v>
      </c>
      <c r="R27">
        <v>464</v>
      </c>
      <c r="S27">
        <v>11.39</v>
      </c>
      <c r="T27">
        <v>0.69</v>
      </c>
      <c r="U27" s="1">
        <v>45416</v>
      </c>
      <c r="V27">
        <v>240</v>
      </c>
      <c r="W27">
        <v>0.63400000000000001</v>
      </c>
      <c r="X27" t="str">
        <f>IF(WarehouseData[[#This Row],[stock_level]]&lt;=WarehouseData[[#This Row],[reorder_point]],"Low Stock","Sufficient Stock")</f>
        <v>Sufficient Stock</v>
      </c>
      <c r="Y27">
        <f>WarehouseData[[#This Row],[daily_demand]]*WarehouseData[[#This Row],[lead_time_days]]</f>
        <v>10.62</v>
      </c>
      <c r="Z27" t="str">
        <f>IF(WarehouseData[[#This Row],[stock_level]]&lt;=WarehouseData[[#This Row],[Demand During Lead Time]],"At Risk","Safe")</f>
        <v>Safe</v>
      </c>
      <c r="AA27">
        <f>WarehouseData[[#This Row],[stock_level]]/WarehouseData[[#This Row],[daily_demand]]</f>
        <v>180.5084745762712</v>
      </c>
      <c r="AB27">
        <f>WarehouseData[[#This Row],[stock_level]]*WarehouseData[[#This Row],[unit_price]]</f>
        <v>7591.32</v>
      </c>
      <c r="AC27">
        <f>WarehouseData[[#This Row],[stock_level]]*WarehouseData[[#This Row],[holding_cost_per_unit_day]]*30</f>
        <v>8562.6</v>
      </c>
      <c r="AD27" t="str">
        <f>IF(WarehouseData[[#This Row],[order_fulfillment_rate]]&gt;=0.9,"Strong",IF(WarehouseData[[#This Row],[order_fulfillment_rate]]&gt;=0.8,"Moderate","Needs Attention"))</f>
        <v>Needs Attention</v>
      </c>
      <c r="AE27" t="str">
        <f>IF(WarehouseData[[#This Row],[picking_time_seconds]]&gt;120,"Slow",IF(WarehouseData[[#This Row],[picking_time_seconds]]&gt;=60,"Average","Fast"))</f>
        <v>Average</v>
      </c>
    </row>
    <row r="28" spans="1:31" x14ac:dyDescent="0.25">
      <c r="A28" t="s">
        <v>87</v>
      </c>
      <c r="B28" t="s">
        <v>40</v>
      </c>
      <c r="C28">
        <v>210</v>
      </c>
      <c r="D28">
        <v>38</v>
      </c>
      <c r="E28">
        <v>9</v>
      </c>
      <c r="F28">
        <v>2</v>
      </c>
      <c r="G28">
        <v>3.28</v>
      </c>
      <c r="H28">
        <v>8.6199999999999992</v>
      </c>
      <c r="I28">
        <v>0.93</v>
      </c>
      <c r="J28" t="s">
        <v>88</v>
      </c>
      <c r="K28" t="s">
        <v>34</v>
      </c>
      <c r="L28">
        <v>51</v>
      </c>
      <c r="M28">
        <v>3.64</v>
      </c>
      <c r="N28">
        <v>64.69</v>
      </c>
      <c r="O28">
        <v>1.65</v>
      </c>
      <c r="P28">
        <v>2</v>
      </c>
      <c r="Q28">
        <v>0.71</v>
      </c>
      <c r="R28">
        <v>309</v>
      </c>
      <c r="S28">
        <v>5.67</v>
      </c>
      <c r="T28">
        <v>0.37</v>
      </c>
      <c r="U28" s="1">
        <v>45648</v>
      </c>
      <c r="V28">
        <v>280.08</v>
      </c>
      <c r="W28">
        <v>0.48699999999999999</v>
      </c>
      <c r="X28" t="str">
        <f>IF(WarehouseData[[#This Row],[stock_level]]&lt;=WarehouseData[[#This Row],[reorder_point]],"Low Stock","Sufficient Stock")</f>
        <v>Sufficient Stock</v>
      </c>
      <c r="Y28">
        <f>WarehouseData[[#This Row],[daily_demand]]*WarehouseData[[#This Row],[lead_time_days]]</f>
        <v>6.56</v>
      </c>
      <c r="Z28" t="str">
        <f>IF(WarehouseData[[#This Row],[stock_level]]&lt;=WarehouseData[[#This Row],[Demand During Lead Time]],"At Risk","Safe")</f>
        <v>Safe</v>
      </c>
      <c r="AA28">
        <f>WarehouseData[[#This Row],[stock_level]]/WarehouseData[[#This Row],[daily_demand]]</f>
        <v>64.024390243902445</v>
      </c>
      <c r="AB28">
        <f>WarehouseData[[#This Row],[stock_level]]*WarehouseData[[#This Row],[unit_price]]</f>
        <v>13584.9</v>
      </c>
      <c r="AC28">
        <f>WarehouseData[[#This Row],[stock_level]]*WarehouseData[[#This Row],[holding_cost_per_unit_day]]*30</f>
        <v>10395</v>
      </c>
      <c r="AD28" t="str">
        <f>IF(WarehouseData[[#This Row],[order_fulfillment_rate]]&gt;=0.9,"Strong",IF(WarehouseData[[#This Row],[order_fulfillment_rate]]&gt;=0.8,"Moderate","Needs Attention"))</f>
        <v>Needs Attention</v>
      </c>
      <c r="AE28" t="str">
        <f>IF(WarehouseData[[#This Row],[picking_time_seconds]]&gt;120,"Slow",IF(WarehouseData[[#This Row],[picking_time_seconds]]&gt;=60,"Average","Fast"))</f>
        <v>Fast</v>
      </c>
    </row>
    <row r="29" spans="1:31" x14ac:dyDescent="0.25">
      <c r="A29" t="s">
        <v>89</v>
      </c>
      <c r="B29" t="s">
        <v>48</v>
      </c>
      <c r="C29">
        <v>123</v>
      </c>
      <c r="D29">
        <v>92</v>
      </c>
      <c r="E29">
        <v>11</v>
      </c>
      <c r="F29">
        <v>5</v>
      </c>
      <c r="G29">
        <v>1.21</v>
      </c>
      <c r="H29">
        <v>2.35</v>
      </c>
      <c r="I29">
        <v>0.51</v>
      </c>
      <c r="J29" t="s">
        <v>90</v>
      </c>
      <c r="K29" t="s">
        <v>52</v>
      </c>
      <c r="L29">
        <v>62</v>
      </c>
      <c r="M29">
        <v>3.72</v>
      </c>
      <c r="N29">
        <v>128.37</v>
      </c>
      <c r="O29">
        <v>1.65</v>
      </c>
      <c r="P29">
        <v>5</v>
      </c>
      <c r="Q29">
        <v>0.84</v>
      </c>
      <c r="R29">
        <v>334</v>
      </c>
      <c r="S29">
        <v>4.3</v>
      </c>
      <c r="T29">
        <v>0.55000000000000004</v>
      </c>
      <c r="U29" s="1">
        <v>45601</v>
      </c>
      <c r="V29">
        <v>234.62</v>
      </c>
      <c r="W29">
        <v>0.47</v>
      </c>
      <c r="X29" t="str">
        <f>IF(WarehouseData[[#This Row],[stock_level]]&lt;=WarehouseData[[#This Row],[reorder_point]],"Low Stock","Sufficient Stock")</f>
        <v>Sufficient Stock</v>
      </c>
      <c r="Y29">
        <f>WarehouseData[[#This Row],[daily_demand]]*WarehouseData[[#This Row],[lead_time_days]]</f>
        <v>6.05</v>
      </c>
      <c r="Z29" t="str">
        <f>IF(WarehouseData[[#This Row],[stock_level]]&lt;=WarehouseData[[#This Row],[Demand During Lead Time]],"At Risk","Safe")</f>
        <v>Safe</v>
      </c>
      <c r="AA29">
        <f>WarehouseData[[#This Row],[stock_level]]/WarehouseData[[#This Row],[daily_demand]]</f>
        <v>101.65289256198348</v>
      </c>
      <c r="AB29">
        <f>WarehouseData[[#This Row],[stock_level]]*WarehouseData[[#This Row],[unit_price]]</f>
        <v>15789.51</v>
      </c>
      <c r="AC29">
        <f>WarehouseData[[#This Row],[stock_level]]*WarehouseData[[#This Row],[holding_cost_per_unit_day]]*30</f>
        <v>6088.5</v>
      </c>
      <c r="AD29" t="str">
        <f>IF(WarehouseData[[#This Row],[order_fulfillment_rate]]&gt;=0.9,"Strong",IF(WarehouseData[[#This Row],[order_fulfillment_rate]]&gt;=0.8,"Moderate","Needs Attention"))</f>
        <v>Moderate</v>
      </c>
      <c r="AE29" t="str">
        <f>IF(WarehouseData[[#This Row],[picking_time_seconds]]&gt;120,"Slow",IF(WarehouseData[[#This Row],[picking_time_seconds]]&gt;=60,"Average","Fast"))</f>
        <v>Average</v>
      </c>
    </row>
    <row r="30" spans="1:31" x14ac:dyDescent="0.25">
      <c r="A30" t="s">
        <v>91</v>
      </c>
      <c r="B30" t="s">
        <v>32</v>
      </c>
      <c r="C30">
        <v>42</v>
      </c>
      <c r="D30">
        <v>45</v>
      </c>
      <c r="E30">
        <v>9</v>
      </c>
      <c r="F30">
        <v>3</v>
      </c>
      <c r="G30">
        <v>32.619999999999997</v>
      </c>
      <c r="H30">
        <v>2.04</v>
      </c>
      <c r="I30">
        <v>0.34</v>
      </c>
      <c r="J30" t="s">
        <v>92</v>
      </c>
      <c r="K30" t="s">
        <v>46</v>
      </c>
      <c r="L30">
        <v>128</v>
      </c>
      <c r="M30">
        <v>3.93</v>
      </c>
      <c r="N30">
        <v>167.02</v>
      </c>
      <c r="O30">
        <v>0.13</v>
      </c>
      <c r="P30">
        <v>7</v>
      </c>
      <c r="Q30">
        <v>0.92</v>
      </c>
      <c r="R30">
        <v>122</v>
      </c>
      <c r="S30">
        <v>3.19</v>
      </c>
      <c r="T30">
        <v>0.75</v>
      </c>
      <c r="U30" s="1">
        <v>45652</v>
      </c>
      <c r="V30">
        <v>35.69</v>
      </c>
      <c r="W30">
        <v>0.624</v>
      </c>
      <c r="X30" t="str">
        <f>IF(WarehouseData[[#This Row],[stock_level]]&lt;=WarehouseData[[#This Row],[reorder_point]],"Low Stock","Sufficient Stock")</f>
        <v>Low Stock</v>
      </c>
      <c r="Y30">
        <f>WarehouseData[[#This Row],[daily_demand]]*WarehouseData[[#This Row],[lead_time_days]]</f>
        <v>97.859999999999985</v>
      </c>
      <c r="Z30" t="str">
        <f>IF(WarehouseData[[#This Row],[stock_level]]&lt;=WarehouseData[[#This Row],[Demand During Lead Time]],"At Risk","Safe")</f>
        <v>At Risk</v>
      </c>
      <c r="AA30">
        <f>WarehouseData[[#This Row],[stock_level]]/WarehouseData[[#This Row],[daily_demand]]</f>
        <v>1.2875536480686696</v>
      </c>
      <c r="AB30">
        <f>WarehouseData[[#This Row],[stock_level]]*WarehouseData[[#This Row],[unit_price]]</f>
        <v>7014.84</v>
      </c>
      <c r="AC30">
        <f>WarehouseData[[#This Row],[stock_level]]*WarehouseData[[#This Row],[holding_cost_per_unit_day]]*30</f>
        <v>163.80000000000001</v>
      </c>
      <c r="AD30" t="str">
        <f>IF(WarehouseData[[#This Row],[order_fulfillment_rate]]&gt;=0.9,"Strong",IF(WarehouseData[[#This Row],[order_fulfillment_rate]]&gt;=0.8,"Moderate","Needs Attention"))</f>
        <v>Strong</v>
      </c>
      <c r="AE30" t="str">
        <f>IF(WarehouseData[[#This Row],[picking_time_seconds]]&gt;120,"Slow",IF(WarehouseData[[#This Row],[picking_time_seconds]]&gt;=60,"Average","Fast"))</f>
        <v>Slow</v>
      </c>
    </row>
    <row r="31" spans="1:31" x14ac:dyDescent="0.25">
      <c r="A31" t="s">
        <v>93</v>
      </c>
      <c r="B31" t="s">
        <v>32</v>
      </c>
      <c r="C31">
        <v>284</v>
      </c>
      <c r="D31">
        <v>23</v>
      </c>
      <c r="E31">
        <v>5</v>
      </c>
      <c r="F31">
        <v>4</v>
      </c>
      <c r="G31">
        <v>21.45</v>
      </c>
      <c r="H31">
        <v>2.46</v>
      </c>
      <c r="I31">
        <v>0.47</v>
      </c>
      <c r="J31" t="s">
        <v>62</v>
      </c>
      <c r="K31" t="s">
        <v>38</v>
      </c>
      <c r="L31">
        <v>130</v>
      </c>
      <c r="M31">
        <v>4.24</v>
      </c>
      <c r="N31">
        <v>105.6</v>
      </c>
      <c r="O31">
        <v>1.3</v>
      </c>
      <c r="P31">
        <v>1</v>
      </c>
      <c r="Q31">
        <v>0.97</v>
      </c>
      <c r="R31">
        <v>128</v>
      </c>
      <c r="S31">
        <v>4.29</v>
      </c>
      <c r="T31">
        <v>0.45</v>
      </c>
      <c r="U31" s="1">
        <v>45396</v>
      </c>
      <c r="V31">
        <v>76.89</v>
      </c>
      <c r="W31">
        <v>0.59099999999999997</v>
      </c>
      <c r="X31" t="str">
        <f>IF(WarehouseData[[#This Row],[stock_level]]&lt;=WarehouseData[[#This Row],[reorder_point]],"Low Stock","Sufficient Stock")</f>
        <v>Sufficient Stock</v>
      </c>
      <c r="Y31">
        <f>WarehouseData[[#This Row],[daily_demand]]*WarehouseData[[#This Row],[lead_time_days]]</f>
        <v>85.8</v>
      </c>
      <c r="Z31" t="str">
        <f>IF(WarehouseData[[#This Row],[stock_level]]&lt;=WarehouseData[[#This Row],[Demand During Lead Time]],"At Risk","Safe")</f>
        <v>Safe</v>
      </c>
      <c r="AA31">
        <f>WarehouseData[[#This Row],[stock_level]]/WarehouseData[[#This Row],[daily_demand]]</f>
        <v>13.240093240093241</v>
      </c>
      <c r="AB31">
        <f>WarehouseData[[#This Row],[stock_level]]*WarehouseData[[#This Row],[unit_price]]</f>
        <v>29990.399999999998</v>
      </c>
      <c r="AC31">
        <f>WarehouseData[[#This Row],[stock_level]]*WarehouseData[[#This Row],[holding_cost_per_unit_day]]*30</f>
        <v>11076</v>
      </c>
      <c r="AD31" t="str">
        <f>IF(WarehouseData[[#This Row],[order_fulfillment_rate]]&gt;=0.9,"Strong",IF(WarehouseData[[#This Row],[order_fulfillment_rate]]&gt;=0.8,"Moderate","Needs Attention"))</f>
        <v>Strong</v>
      </c>
      <c r="AE31" t="str">
        <f>IF(WarehouseData[[#This Row],[picking_time_seconds]]&gt;120,"Slow",IF(WarehouseData[[#This Row],[picking_time_seconds]]&gt;=60,"Average","Fast"))</f>
        <v>Slow</v>
      </c>
    </row>
    <row r="32" spans="1:31" x14ac:dyDescent="0.25">
      <c r="A32" t="s">
        <v>94</v>
      </c>
      <c r="B32" t="s">
        <v>40</v>
      </c>
      <c r="C32">
        <v>309</v>
      </c>
      <c r="D32">
        <v>87</v>
      </c>
      <c r="E32">
        <v>8</v>
      </c>
      <c r="F32">
        <v>5</v>
      </c>
      <c r="G32">
        <v>15.58</v>
      </c>
      <c r="H32">
        <v>5.33</v>
      </c>
      <c r="I32">
        <v>0.72</v>
      </c>
      <c r="J32" t="s">
        <v>95</v>
      </c>
      <c r="K32" t="s">
        <v>46</v>
      </c>
      <c r="L32">
        <v>65</v>
      </c>
      <c r="M32">
        <v>1.55</v>
      </c>
      <c r="N32">
        <v>29.47</v>
      </c>
      <c r="O32">
        <v>1.95</v>
      </c>
      <c r="P32">
        <v>2</v>
      </c>
      <c r="Q32">
        <v>0.88</v>
      </c>
      <c r="R32">
        <v>93</v>
      </c>
      <c r="S32">
        <v>4.18</v>
      </c>
      <c r="T32">
        <v>0.26</v>
      </c>
      <c r="U32" s="1">
        <v>45495</v>
      </c>
      <c r="V32">
        <v>155</v>
      </c>
      <c r="W32">
        <v>0.44900000000000001</v>
      </c>
      <c r="X32" t="str">
        <f>IF(WarehouseData[[#This Row],[stock_level]]&lt;=WarehouseData[[#This Row],[reorder_point]],"Low Stock","Sufficient Stock")</f>
        <v>Sufficient Stock</v>
      </c>
      <c r="Y32">
        <f>WarehouseData[[#This Row],[daily_demand]]*WarehouseData[[#This Row],[lead_time_days]]</f>
        <v>77.900000000000006</v>
      </c>
      <c r="Z32" t="str">
        <f>IF(WarehouseData[[#This Row],[stock_level]]&lt;=WarehouseData[[#This Row],[Demand During Lead Time]],"At Risk","Safe")</f>
        <v>Safe</v>
      </c>
      <c r="AA32">
        <f>WarehouseData[[#This Row],[stock_level]]/WarehouseData[[#This Row],[daily_demand]]</f>
        <v>19.833119383825416</v>
      </c>
      <c r="AB32">
        <f>WarehouseData[[#This Row],[stock_level]]*WarehouseData[[#This Row],[unit_price]]</f>
        <v>9106.23</v>
      </c>
      <c r="AC32">
        <f>WarehouseData[[#This Row],[stock_level]]*WarehouseData[[#This Row],[holding_cost_per_unit_day]]*30</f>
        <v>18076.5</v>
      </c>
      <c r="AD32" t="str">
        <f>IF(WarehouseData[[#This Row],[order_fulfillment_rate]]&gt;=0.9,"Strong",IF(WarehouseData[[#This Row],[order_fulfillment_rate]]&gt;=0.8,"Moderate","Needs Attention"))</f>
        <v>Moderate</v>
      </c>
      <c r="AE32" t="str">
        <f>IF(WarehouseData[[#This Row],[picking_time_seconds]]&gt;120,"Slow",IF(WarehouseData[[#This Row],[picking_time_seconds]]&gt;=60,"Average","Fast"))</f>
        <v>Average</v>
      </c>
    </row>
    <row r="33" spans="1:31" x14ac:dyDescent="0.25">
      <c r="A33" t="s">
        <v>96</v>
      </c>
      <c r="B33" t="s">
        <v>32</v>
      </c>
      <c r="C33">
        <v>449</v>
      </c>
      <c r="D33">
        <v>44</v>
      </c>
      <c r="E33">
        <v>13</v>
      </c>
      <c r="F33">
        <v>3</v>
      </c>
      <c r="G33">
        <v>45.72</v>
      </c>
      <c r="H33">
        <v>1.68</v>
      </c>
      <c r="I33">
        <v>0.86</v>
      </c>
      <c r="J33" t="s">
        <v>51</v>
      </c>
      <c r="K33" t="s">
        <v>52</v>
      </c>
      <c r="L33">
        <v>96</v>
      </c>
      <c r="M33">
        <v>0.8</v>
      </c>
      <c r="N33">
        <v>57.37</v>
      </c>
      <c r="O33">
        <v>0.54</v>
      </c>
      <c r="P33">
        <v>6</v>
      </c>
      <c r="Q33">
        <v>0.92</v>
      </c>
      <c r="R33">
        <v>794</v>
      </c>
      <c r="S33">
        <v>14.54</v>
      </c>
      <c r="T33">
        <v>0.36</v>
      </c>
      <c r="U33" s="1">
        <v>45414</v>
      </c>
      <c r="V33">
        <v>14.02</v>
      </c>
      <c r="W33">
        <v>0.67600000000000005</v>
      </c>
      <c r="X33" t="str">
        <f>IF(WarehouseData[[#This Row],[stock_level]]&lt;=WarehouseData[[#This Row],[reorder_point]],"Low Stock","Sufficient Stock")</f>
        <v>Sufficient Stock</v>
      </c>
      <c r="Y33">
        <f>WarehouseData[[#This Row],[daily_demand]]*WarehouseData[[#This Row],[lead_time_days]]</f>
        <v>137.16</v>
      </c>
      <c r="Z33" t="str">
        <f>IF(WarehouseData[[#This Row],[stock_level]]&lt;=WarehouseData[[#This Row],[Demand During Lead Time]],"At Risk","Safe")</f>
        <v>Safe</v>
      </c>
      <c r="AA33">
        <f>WarehouseData[[#This Row],[stock_level]]/WarehouseData[[#This Row],[daily_demand]]</f>
        <v>9.8206474190726158</v>
      </c>
      <c r="AB33">
        <f>WarehouseData[[#This Row],[stock_level]]*WarehouseData[[#This Row],[unit_price]]</f>
        <v>25759.129999999997</v>
      </c>
      <c r="AC33">
        <f>WarehouseData[[#This Row],[stock_level]]*WarehouseData[[#This Row],[holding_cost_per_unit_day]]*30</f>
        <v>7273.8</v>
      </c>
      <c r="AD33" t="str">
        <f>IF(WarehouseData[[#This Row],[order_fulfillment_rate]]&gt;=0.9,"Strong",IF(WarehouseData[[#This Row],[order_fulfillment_rate]]&gt;=0.8,"Moderate","Needs Attention"))</f>
        <v>Strong</v>
      </c>
      <c r="AE33" t="str">
        <f>IF(WarehouseData[[#This Row],[picking_time_seconds]]&gt;120,"Slow",IF(WarehouseData[[#This Row],[picking_time_seconds]]&gt;=60,"Average","Fast"))</f>
        <v>Average</v>
      </c>
    </row>
    <row r="34" spans="1:31" x14ac:dyDescent="0.25">
      <c r="A34" t="s">
        <v>97</v>
      </c>
      <c r="B34" t="s">
        <v>32</v>
      </c>
      <c r="C34">
        <v>481</v>
      </c>
      <c r="D34">
        <v>39</v>
      </c>
      <c r="E34">
        <v>13</v>
      </c>
      <c r="F34">
        <v>7</v>
      </c>
      <c r="G34">
        <v>10.45</v>
      </c>
      <c r="H34">
        <v>9.41</v>
      </c>
      <c r="I34">
        <v>0.42</v>
      </c>
      <c r="J34" t="s">
        <v>98</v>
      </c>
      <c r="K34" t="s">
        <v>46</v>
      </c>
      <c r="L34">
        <v>85</v>
      </c>
      <c r="M34">
        <v>2.21</v>
      </c>
      <c r="N34">
        <v>75.58</v>
      </c>
      <c r="O34">
        <v>1.61</v>
      </c>
      <c r="P34">
        <v>1</v>
      </c>
      <c r="Q34">
        <v>0.81</v>
      </c>
      <c r="R34">
        <v>52</v>
      </c>
      <c r="S34">
        <v>10.01</v>
      </c>
      <c r="T34">
        <v>0.33</v>
      </c>
      <c r="U34" s="1">
        <v>45574</v>
      </c>
      <c r="V34">
        <v>191.13</v>
      </c>
      <c r="W34">
        <v>0.57999999999999996</v>
      </c>
      <c r="X34" t="str">
        <f>IF(WarehouseData[[#This Row],[stock_level]]&lt;=WarehouseData[[#This Row],[reorder_point]],"Low Stock","Sufficient Stock")</f>
        <v>Sufficient Stock</v>
      </c>
      <c r="Y34">
        <f>WarehouseData[[#This Row],[daily_demand]]*WarehouseData[[#This Row],[lead_time_days]]</f>
        <v>73.149999999999991</v>
      </c>
      <c r="Z34" t="str">
        <f>IF(WarehouseData[[#This Row],[stock_level]]&lt;=WarehouseData[[#This Row],[Demand During Lead Time]],"At Risk","Safe")</f>
        <v>Safe</v>
      </c>
      <c r="AA34">
        <f>WarehouseData[[#This Row],[stock_level]]/WarehouseData[[#This Row],[daily_demand]]</f>
        <v>46.028708133971293</v>
      </c>
      <c r="AB34">
        <f>WarehouseData[[#This Row],[stock_level]]*WarehouseData[[#This Row],[unit_price]]</f>
        <v>36353.979999999996</v>
      </c>
      <c r="AC34">
        <f>WarehouseData[[#This Row],[stock_level]]*WarehouseData[[#This Row],[holding_cost_per_unit_day]]*30</f>
        <v>23232.300000000003</v>
      </c>
      <c r="AD34" t="str">
        <f>IF(WarehouseData[[#This Row],[order_fulfillment_rate]]&gt;=0.9,"Strong",IF(WarehouseData[[#This Row],[order_fulfillment_rate]]&gt;=0.8,"Moderate","Needs Attention"))</f>
        <v>Moderate</v>
      </c>
      <c r="AE34" t="str">
        <f>IF(WarehouseData[[#This Row],[picking_time_seconds]]&gt;120,"Slow",IF(WarehouseData[[#This Row],[picking_time_seconds]]&gt;=60,"Average","Fast"))</f>
        <v>Average</v>
      </c>
    </row>
    <row r="35" spans="1:31" x14ac:dyDescent="0.25">
      <c r="A35" t="s">
        <v>99</v>
      </c>
      <c r="B35" t="s">
        <v>73</v>
      </c>
      <c r="C35">
        <v>403</v>
      </c>
      <c r="D35">
        <v>26</v>
      </c>
      <c r="E35">
        <v>9</v>
      </c>
      <c r="F35">
        <v>2</v>
      </c>
      <c r="G35">
        <v>20.079999999999998</v>
      </c>
      <c r="H35">
        <v>9.68</v>
      </c>
      <c r="I35">
        <v>0.31</v>
      </c>
      <c r="J35" t="s">
        <v>66</v>
      </c>
      <c r="K35" t="s">
        <v>46</v>
      </c>
      <c r="L35">
        <v>94</v>
      </c>
      <c r="M35">
        <v>4.3499999999999996</v>
      </c>
      <c r="N35">
        <v>130.87</v>
      </c>
      <c r="O35">
        <v>1.1200000000000001</v>
      </c>
      <c r="P35">
        <v>4</v>
      </c>
      <c r="Q35">
        <v>0.85</v>
      </c>
      <c r="R35">
        <v>492</v>
      </c>
      <c r="S35">
        <v>3.34</v>
      </c>
      <c r="T35">
        <v>0.71</v>
      </c>
      <c r="U35" s="1">
        <v>45456</v>
      </c>
      <c r="V35">
        <v>200.6</v>
      </c>
      <c r="W35">
        <v>0.56499999999999995</v>
      </c>
      <c r="X35" t="str">
        <f>IF(WarehouseData[[#This Row],[stock_level]]&lt;=WarehouseData[[#This Row],[reorder_point]],"Low Stock","Sufficient Stock")</f>
        <v>Sufficient Stock</v>
      </c>
      <c r="Y35">
        <f>WarehouseData[[#This Row],[daily_demand]]*WarehouseData[[#This Row],[lead_time_days]]</f>
        <v>40.159999999999997</v>
      </c>
      <c r="Z35" t="str">
        <f>IF(WarehouseData[[#This Row],[stock_level]]&lt;=WarehouseData[[#This Row],[Demand During Lead Time]],"At Risk","Safe")</f>
        <v>Safe</v>
      </c>
      <c r="AA35">
        <f>WarehouseData[[#This Row],[stock_level]]/WarehouseData[[#This Row],[daily_demand]]</f>
        <v>20.069721115537849</v>
      </c>
      <c r="AB35">
        <f>WarehouseData[[#This Row],[stock_level]]*WarehouseData[[#This Row],[unit_price]]</f>
        <v>52740.61</v>
      </c>
      <c r="AC35">
        <f>WarehouseData[[#This Row],[stock_level]]*WarehouseData[[#This Row],[holding_cost_per_unit_day]]*30</f>
        <v>13540.800000000003</v>
      </c>
      <c r="AD35" t="str">
        <f>IF(WarehouseData[[#This Row],[order_fulfillment_rate]]&gt;=0.9,"Strong",IF(WarehouseData[[#This Row],[order_fulfillment_rate]]&gt;=0.8,"Moderate","Needs Attention"))</f>
        <v>Moderate</v>
      </c>
      <c r="AE35" t="str">
        <f>IF(WarehouseData[[#This Row],[picking_time_seconds]]&gt;120,"Slow",IF(WarehouseData[[#This Row],[picking_time_seconds]]&gt;=60,"Average","Fast"))</f>
        <v>Average</v>
      </c>
    </row>
    <row r="36" spans="1:31" x14ac:dyDescent="0.25">
      <c r="A36" t="s">
        <v>100</v>
      </c>
      <c r="B36" t="s">
        <v>40</v>
      </c>
      <c r="C36">
        <v>279</v>
      </c>
      <c r="D36">
        <v>76</v>
      </c>
      <c r="E36">
        <v>4</v>
      </c>
      <c r="F36">
        <v>3</v>
      </c>
      <c r="G36">
        <v>47.08</v>
      </c>
      <c r="H36">
        <v>9.75</v>
      </c>
      <c r="I36">
        <v>0.66</v>
      </c>
      <c r="J36" t="s">
        <v>45</v>
      </c>
      <c r="K36" t="s">
        <v>34</v>
      </c>
      <c r="L36">
        <v>94</v>
      </c>
      <c r="M36">
        <v>0.85</v>
      </c>
      <c r="N36">
        <v>56.86</v>
      </c>
      <c r="O36">
        <v>0.52</v>
      </c>
      <c r="P36">
        <v>8</v>
      </c>
      <c r="Q36">
        <v>0.92</v>
      </c>
      <c r="R36">
        <v>128</v>
      </c>
      <c r="S36">
        <v>7.83</v>
      </c>
      <c r="T36">
        <v>0.25</v>
      </c>
      <c r="U36" s="1">
        <v>45436</v>
      </c>
      <c r="V36">
        <v>211.97</v>
      </c>
      <c r="W36">
        <v>0.52600000000000002</v>
      </c>
      <c r="X36" t="str">
        <f>IF(WarehouseData[[#This Row],[stock_level]]&lt;=WarehouseData[[#This Row],[reorder_point]],"Low Stock","Sufficient Stock")</f>
        <v>Sufficient Stock</v>
      </c>
      <c r="Y36">
        <f>WarehouseData[[#This Row],[daily_demand]]*WarehouseData[[#This Row],[lead_time_days]]</f>
        <v>141.24</v>
      </c>
      <c r="Z36" t="str">
        <f>IF(WarehouseData[[#This Row],[stock_level]]&lt;=WarehouseData[[#This Row],[Demand During Lead Time]],"At Risk","Safe")</f>
        <v>Safe</v>
      </c>
      <c r="AA36">
        <f>WarehouseData[[#This Row],[stock_level]]/WarehouseData[[#This Row],[daily_demand]]</f>
        <v>5.9260832625318605</v>
      </c>
      <c r="AB36">
        <f>WarehouseData[[#This Row],[stock_level]]*WarehouseData[[#This Row],[unit_price]]</f>
        <v>15863.94</v>
      </c>
      <c r="AC36">
        <f>WarehouseData[[#This Row],[stock_level]]*WarehouseData[[#This Row],[holding_cost_per_unit_day]]*30</f>
        <v>4352.4000000000005</v>
      </c>
      <c r="AD36" t="str">
        <f>IF(WarehouseData[[#This Row],[order_fulfillment_rate]]&gt;=0.9,"Strong",IF(WarehouseData[[#This Row],[order_fulfillment_rate]]&gt;=0.8,"Moderate","Needs Attention"))</f>
        <v>Strong</v>
      </c>
      <c r="AE36" t="str">
        <f>IF(WarehouseData[[#This Row],[picking_time_seconds]]&gt;120,"Slow",IF(WarehouseData[[#This Row],[picking_time_seconds]]&gt;=60,"Average","Fast"))</f>
        <v>Average</v>
      </c>
    </row>
    <row r="37" spans="1:31" x14ac:dyDescent="0.25">
      <c r="A37" t="s">
        <v>101</v>
      </c>
      <c r="B37" t="s">
        <v>36</v>
      </c>
      <c r="C37">
        <v>433</v>
      </c>
      <c r="D37">
        <v>89</v>
      </c>
      <c r="E37">
        <v>5</v>
      </c>
      <c r="F37">
        <v>4</v>
      </c>
      <c r="G37">
        <v>21.93</v>
      </c>
      <c r="H37">
        <v>0.87</v>
      </c>
      <c r="I37">
        <v>0.93</v>
      </c>
      <c r="J37" t="s">
        <v>102</v>
      </c>
      <c r="K37" t="s">
        <v>52</v>
      </c>
      <c r="L37">
        <v>169</v>
      </c>
      <c r="M37">
        <v>3.09</v>
      </c>
      <c r="N37">
        <v>54.45</v>
      </c>
      <c r="O37">
        <v>0.2</v>
      </c>
      <c r="P37">
        <v>6</v>
      </c>
      <c r="Q37">
        <v>0.92</v>
      </c>
      <c r="R37">
        <v>426</v>
      </c>
      <c r="S37">
        <v>3.58</v>
      </c>
      <c r="T37">
        <v>0.91</v>
      </c>
      <c r="U37" s="1">
        <v>45486</v>
      </c>
      <c r="V37">
        <v>171.16</v>
      </c>
      <c r="W37">
        <v>0.67400000000000004</v>
      </c>
      <c r="X37" t="str">
        <f>IF(WarehouseData[[#This Row],[stock_level]]&lt;=WarehouseData[[#This Row],[reorder_point]],"Low Stock","Sufficient Stock")</f>
        <v>Sufficient Stock</v>
      </c>
      <c r="Y37">
        <f>WarehouseData[[#This Row],[daily_demand]]*WarehouseData[[#This Row],[lead_time_days]]</f>
        <v>87.72</v>
      </c>
      <c r="Z37" t="str">
        <f>IF(WarehouseData[[#This Row],[stock_level]]&lt;=WarehouseData[[#This Row],[Demand During Lead Time]],"At Risk","Safe")</f>
        <v>Safe</v>
      </c>
      <c r="AA37">
        <f>WarehouseData[[#This Row],[stock_level]]/WarehouseData[[#This Row],[daily_demand]]</f>
        <v>19.744642042863656</v>
      </c>
      <c r="AB37">
        <f>WarehouseData[[#This Row],[stock_level]]*WarehouseData[[#This Row],[unit_price]]</f>
        <v>23576.850000000002</v>
      </c>
      <c r="AC37">
        <f>WarehouseData[[#This Row],[stock_level]]*WarehouseData[[#This Row],[holding_cost_per_unit_day]]*30</f>
        <v>2598.0000000000005</v>
      </c>
      <c r="AD37" t="str">
        <f>IF(WarehouseData[[#This Row],[order_fulfillment_rate]]&gt;=0.9,"Strong",IF(WarehouseData[[#This Row],[order_fulfillment_rate]]&gt;=0.8,"Moderate","Needs Attention"))</f>
        <v>Strong</v>
      </c>
      <c r="AE37" t="str">
        <f>IF(WarehouseData[[#This Row],[picking_time_seconds]]&gt;120,"Slow",IF(WarehouseData[[#This Row],[picking_time_seconds]]&gt;=60,"Average","Fast"))</f>
        <v>Slow</v>
      </c>
    </row>
    <row r="38" spans="1:31" x14ac:dyDescent="0.25">
      <c r="A38" t="s">
        <v>103</v>
      </c>
      <c r="B38" t="s">
        <v>40</v>
      </c>
      <c r="C38">
        <v>498</v>
      </c>
      <c r="D38">
        <v>39</v>
      </c>
      <c r="E38">
        <v>6</v>
      </c>
      <c r="F38">
        <v>8</v>
      </c>
      <c r="G38">
        <v>28.18</v>
      </c>
      <c r="H38">
        <v>9.49</v>
      </c>
      <c r="I38">
        <v>0.26</v>
      </c>
      <c r="J38" t="s">
        <v>104</v>
      </c>
      <c r="K38" t="s">
        <v>46</v>
      </c>
      <c r="L38">
        <v>90</v>
      </c>
      <c r="M38">
        <v>3.65</v>
      </c>
      <c r="N38">
        <v>64.38</v>
      </c>
      <c r="O38">
        <v>1.54</v>
      </c>
      <c r="P38">
        <v>2</v>
      </c>
      <c r="Q38">
        <v>0.83</v>
      </c>
      <c r="R38">
        <v>742</v>
      </c>
      <c r="S38">
        <v>9.48</v>
      </c>
      <c r="T38">
        <v>0.27</v>
      </c>
      <c r="U38" s="1">
        <v>45530</v>
      </c>
      <c r="V38">
        <v>141.19</v>
      </c>
      <c r="W38">
        <v>0.55200000000000005</v>
      </c>
      <c r="X38" t="str">
        <f>IF(WarehouseData[[#This Row],[stock_level]]&lt;=WarehouseData[[#This Row],[reorder_point]],"Low Stock","Sufficient Stock")</f>
        <v>Sufficient Stock</v>
      </c>
      <c r="Y38">
        <f>WarehouseData[[#This Row],[daily_demand]]*WarehouseData[[#This Row],[lead_time_days]]</f>
        <v>225.44</v>
      </c>
      <c r="Z38" t="str">
        <f>IF(WarehouseData[[#This Row],[stock_level]]&lt;=WarehouseData[[#This Row],[Demand During Lead Time]],"At Risk","Safe")</f>
        <v>Safe</v>
      </c>
      <c r="AA38">
        <f>WarehouseData[[#This Row],[stock_level]]/WarehouseData[[#This Row],[daily_demand]]</f>
        <v>17.672107877927608</v>
      </c>
      <c r="AB38">
        <f>WarehouseData[[#This Row],[stock_level]]*WarehouseData[[#This Row],[unit_price]]</f>
        <v>32061.239999999998</v>
      </c>
      <c r="AC38">
        <f>WarehouseData[[#This Row],[stock_level]]*WarehouseData[[#This Row],[holding_cost_per_unit_day]]*30</f>
        <v>23007.600000000002</v>
      </c>
      <c r="AD38" t="str">
        <f>IF(WarehouseData[[#This Row],[order_fulfillment_rate]]&gt;=0.9,"Strong",IF(WarehouseData[[#This Row],[order_fulfillment_rate]]&gt;=0.8,"Moderate","Needs Attention"))</f>
        <v>Moderate</v>
      </c>
      <c r="AE38" t="str">
        <f>IF(WarehouseData[[#This Row],[picking_time_seconds]]&gt;120,"Slow",IF(WarehouseData[[#This Row],[picking_time_seconds]]&gt;=60,"Average","Fast"))</f>
        <v>Average</v>
      </c>
    </row>
    <row r="39" spans="1:31" x14ac:dyDescent="0.25">
      <c r="A39" t="s">
        <v>105</v>
      </c>
      <c r="B39" t="s">
        <v>36</v>
      </c>
      <c r="C39">
        <v>377</v>
      </c>
      <c r="D39">
        <v>54</v>
      </c>
      <c r="E39">
        <v>12</v>
      </c>
      <c r="F39">
        <v>5</v>
      </c>
      <c r="G39">
        <v>4.9400000000000004</v>
      </c>
      <c r="H39">
        <v>9.98</v>
      </c>
      <c r="I39">
        <v>0.82</v>
      </c>
      <c r="J39" t="s">
        <v>106</v>
      </c>
      <c r="K39" t="s">
        <v>52</v>
      </c>
      <c r="L39">
        <v>174</v>
      </c>
      <c r="M39">
        <v>2.67</v>
      </c>
      <c r="N39">
        <v>122.58</v>
      </c>
      <c r="O39">
        <v>0.7</v>
      </c>
      <c r="P39">
        <v>1</v>
      </c>
      <c r="Q39">
        <v>0.86</v>
      </c>
      <c r="R39">
        <v>188</v>
      </c>
      <c r="S39">
        <v>5.78</v>
      </c>
      <c r="T39">
        <v>0.68</v>
      </c>
      <c r="U39" s="1">
        <v>45565</v>
      </c>
      <c r="V39">
        <v>258.11</v>
      </c>
      <c r="W39">
        <v>0.69499999999999995</v>
      </c>
      <c r="X39" t="str">
        <f>IF(WarehouseData[[#This Row],[stock_level]]&lt;=WarehouseData[[#This Row],[reorder_point]],"Low Stock","Sufficient Stock")</f>
        <v>Sufficient Stock</v>
      </c>
      <c r="Y39">
        <f>WarehouseData[[#This Row],[daily_demand]]*WarehouseData[[#This Row],[lead_time_days]]</f>
        <v>24.700000000000003</v>
      </c>
      <c r="Z39" t="str">
        <f>IF(WarehouseData[[#This Row],[stock_level]]&lt;=WarehouseData[[#This Row],[Demand During Lead Time]],"At Risk","Safe")</f>
        <v>Safe</v>
      </c>
      <c r="AA39">
        <f>WarehouseData[[#This Row],[stock_level]]/WarehouseData[[#This Row],[daily_demand]]</f>
        <v>76.315789473684205</v>
      </c>
      <c r="AB39">
        <f>WarehouseData[[#This Row],[stock_level]]*WarehouseData[[#This Row],[unit_price]]</f>
        <v>46212.659999999996</v>
      </c>
      <c r="AC39">
        <f>WarehouseData[[#This Row],[stock_level]]*WarehouseData[[#This Row],[holding_cost_per_unit_day]]*30</f>
        <v>7916.9999999999991</v>
      </c>
      <c r="AD39" t="str">
        <f>IF(WarehouseData[[#This Row],[order_fulfillment_rate]]&gt;=0.9,"Strong",IF(WarehouseData[[#This Row],[order_fulfillment_rate]]&gt;=0.8,"Moderate","Needs Attention"))</f>
        <v>Moderate</v>
      </c>
      <c r="AE39" t="str">
        <f>IF(WarehouseData[[#This Row],[picking_time_seconds]]&gt;120,"Slow",IF(WarehouseData[[#This Row],[picking_time_seconds]]&gt;=60,"Average","Fast"))</f>
        <v>Slow</v>
      </c>
    </row>
    <row r="40" spans="1:31" x14ac:dyDescent="0.25">
      <c r="A40" t="s">
        <v>107</v>
      </c>
      <c r="B40" t="s">
        <v>73</v>
      </c>
      <c r="C40">
        <v>94</v>
      </c>
      <c r="D40">
        <v>88</v>
      </c>
      <c r="E40">
        <v>8</v>
      </c>
      <c r="F40">
        <v>9</v>
      </c>
      <c r="G40">
        <v>39.72</v>
      </c>
      <c r="H40">
        <v>9.4499999999999993</v>
      </c>
      <c r="I40">
        <v>0.53</v>
      </c>
      <c r="J40" t="s">
        <v>92</v>
      </c>
      <c r="K40" t="s">
        <v>38</v>
      </c>
      <c r="L40">
        <v>17</v>
      </c>
      <c r="M40">
        <v>1.65</v>
      </c>
      <c r="N40">
        <v>103.6</v>
      </c>
      <c r="O40">
        <v>0.81</v>
      </c>
      <c r="P40">
        <v>9</v>
      </c>
      <c r="Q40">
        <v>0.98</v>
      </c>
      <c r="R40">
        <v>951</v>
      </c>
      <c r="S40">
        <v>3.74</v>
      </c>
      <c r="T40">
        <v>0.94</v>
      </c>
      <c r="U40" s="1">
        <v>45624</v>
      </c>
      <c r="V40">
        <v>232.53</v>
      </c>
      <c r="W40">
        <v>0.57299999999999995</v>
      </c>
      <c r="X40" t="str">
        <f>IF(WarehouseData[[#This Row],[stock_level]]&lt;=WarehouseData[[#This Row],[reorder_point]],"Low Stock","Sufficient Stock")</f>
        <v>Sufficient Stock</v>
      </c>
      <c r="Y40">
        <f>WarehouseData[[#This Row],[daily_demand]]*WarehouseData[[#This Row],[lead_time_days]]</f>
        <v>357.48</v>
      </c>
      <c r="Z40" t="str">
        <f>IF(WarehouseData[[#This Row],[stock_level]]&lt;=WarehouseData[[#This Row],[Demand During Lead Time]],"At Risk","Safe")</f>
        <v>At Risk</v>
      </c>
      <c r="AA40">
        <f>WarehouseData[[#This Row],[stock_level]]/WarehouseData[[#This Row],[daily_demand]]</f>
        <v>2.3665659617321251</v>
      </c>
      <c r="AB40">
        <f>WarehouseData[[#This Row],[stock_level]]*WarehouseData[[#This Row],[unit_price]]</f>
        <v>9738.4</v>
      </c>
      <c r="AC40">
        <f>WarehouseData[[#This Row],[stock_level]]*WarehouseData[[#This Row],[holding_cost_per_unit_day]]*30</f>
        <v>2284.1999999999998</v>
      </c>
      <c r="AD40" t="str">
        <f>IF(WarehouseData[[#This Row],[order_fulfillment_rate]]&gt;=0.9,"Strong",IF(WarehouseData[[#This Row],[order_fulfillment_rate]]&gt;=0.8,"Moderate","Needs Attention"))</f>
        <v>Strong</v>
      </c>
      <c r="AE40" t="str">
        <f>IF(WarehouseData[[#This Row],[picking_time_seconds]]&gt;120,"Slow",IF(WarehouseData[[#This Row],[picking_time_seconds]]&gt;=60,"Average","Fast"))</f>
        <v>Fast</v>
      </c>
    </row>
    <row r="41" spans="1:31" x14ac:dyDescent="0.25">
      <c r="A41" t="s">
        <v>108</v>
      </c>
      <c r="B41" t="s">
        <v>48</v>
      </c>
      <c r="C41">
        <v>374</v>
      </c>
      <c r="D41">
        <v>98</v>
      </c>
      <c r="E41">
        <v>3</v>
      </c>
      <c r="F41">
        <v>5</v>
      </c>
      <c r="G41">
        <v>21.72</v>
      </c>
      <c r="H41">
        <v>6.87</v>
      </c>
      <c r="I41">
        <v>0.82</v>
      </c>
      <c r="J41" t="s">
        <v>68</v>
      </c>
      <c r="K41" t="s">
        <v>52</v>
      </c>
      <c r="L41">
        <v>20</v>
      </c>
      <c r="M41">
        <v>1.97</v>
      </c>
      <c r="N41">
        <v>169.91</v>
      </c>
      <c r="O41">
        <v>1.02</v>
      </c>
      <c r="P41">
        <v>8</v>
      </c>
      <c r="Q41">
        <v>0.89</v>
      </c>
      <c r="R41">
        <v>864</v>
      </c>
      <c r="S41">
        <v>4.4000000000000004</v>
      </c>
      <c r="T41">
        <v>0.25</v>
      </c>
      <c r="U41" s="1">
        <v>45475</v>
      </c>
      <c r="V41">
        <v>187.58</v>
      </c>
      <c r="W41">
        <v>0.42499999999999999</v>
      </c>
      <c r="X41" t="str">
        <f>IF(WarehouseData[[#This Row],[stock_level]]&lt;=WarehouseData[[#This Row],[reorder_point]],"Low Stock","Sufficient Stock")</f>
        <v>Sufficient Stock</v>
      </c>
      <c r="Y41">
        <f>WarehouseData[[#This Row],[daily_demand]]*WarehouseData[[#This Row],[lead_time_days]]</f>
        <v>108.6</v>
      </c>
      <c r="Z41" t="str">
        <f>IF(WarehouseData[[#This Row],[stock_level]]&lt;=WarehouseData[[#This Row],[Demand During Lead Time]],"At Risk","Safe")</f>
        <v>Safe</v>
      </c>
      <c r="AA41">
        <f>WarehouseData[[#This Row],[stock_level]]/WarehouseData[[#This Row],[daily_demand]]</f>
        <v>17.219152854511972</v>
      </c>
      <c r="AB41">
        <f>WarehouseData[[#This Row],[stock_level]]*WarehouseData[[#This Row],[unit_price]]</f>
        <v>63546.34</v>
      </c>
      <c r="AC41">
        <f>WarehouseData[[#This Row],[stock_level]]*WarehouseData[[#This Row],[holding_cost_per_unit_day]]*30</f>
        <v>11444.400000000001</v>
      </c>
      <c r="AD41" t="str">
        <f>IF(WarehouseData[[#This Row],[order_fulfillment_rate]]&gt;=0.9,"Strong",IF(WarehouseData[[#This Row],[order_fulfillment_rate]]&gt;=0.8,"Moderate","Needs Attention"))</f>
        <v>Moderate</v>
      </c>
      <c r="AE41" t="str">
        <f>IF(WarehouseData[[#This Row],[picking_time_seconds]]&gt;120,"Slow",IF(WarehouseData[[#This Row],[picking_time_seconds]]&gt;=60,"Average","Fast"))</f>
        <v>Fast</v>
      </c>
    </row>
    <row r="42" spans="1:31" x14ac:dyDescent="0.25">
      <c r="A42" t="s">
        <v>109</v>
      </c>
      <c r="B42" t="s">
        <v>32</v>
      </c>
      <c r="C42">
        <v>91</v>
      </c>
      <c r="D42">
        <v>60</v>
      </c>
      <c r="E42">
        <v>11</v>
      </c>
      <c r="F42">
        <v>5</v>
      </c>
      <c r="G42">
        <v>40.229999999999997</v>
      </c>
      <c r="H42">
        <v>7.16</v>
      </c>
      <c r="I42">
        <v>0.55000000000000004</v>
      </c>
      <c r="J42" t="s">
        <v>110</v>
      </c>
      <c r="K42" t="s">
        <v>38</v>
      </c>
      <c r="L42">
        <v>147</v>
      </c>
      <c r="M42">
        <v>0.82</v>
      </c>
      <c r="N42">
        <v>142.61000000000001</v>
      </c>
      <c r="O42">
        <v>1.06</v>
      </c>
      <c r="P42">
        <v>8</v>
      </c>
      <c r="Q42">
        <v>0.89</v>
      </c>
      <c r="R42">
        <v>56</v>
      </c>
      <c r="S42">
        <v>10.45</v>
      </c>
      <c r="T42">
        <v>0.51</v>
      </c>
      <c r="U42" s="1">
        <v>45449</v>
      </c>
      <c r="V42">
        <v>23.34</v>
      </c>
      <c r="W42">
        <v>0.55300000000000005</v>
      </c>
      <c r="X42" t="str">
        <f>IF(WarehouseData[[#This Row],[stock_level]]&lt;=WarehouseData[[#This Row],[reorder_point]],"Low Stock","Sufficient Stock")</f>
        <v>Sufficient Stock</v>
      </c>
      <c r="Y42">
        <f>WarehouseData[[#This Row],[daily_demand]]*WarehouseData[[#This Row],[lead_time_days]]</f>
        <v>201.14999999999998</v>
      </c>
      <c r="Z42" t="str">
        <f>IF(WarehouseData[[#This Row],[stock_level]]&lt;=WarehouseData[[#This Row],[Demand During Lead Time]],"At Risk","Safe")</f>
        <v>At Risk</v>
      </c>
      <c r="AA42">
        <f>WarehouseData[[#This Row],[stock_level]]/WarehouseData[[#This Row],[daily_demand]]</f>
        <v>2.2619935371613225</v>
      </c>
      <c r="AB42">
        <f>WarehouseData[[#This Row],[stock_level]]*WarehouseData[[#This Row],[unit_price]]</f>
        <v>12977.510000000002</v>
      </c>
      <c r="AC42">
        <f>WarehouseData[[#This Row],[stock_level]]*WarehouseData[[#This Row],[holding_cost_per_unit_day]]*30</f>
        <v>2893.8</v>
      </c>
      <c r="AD42" t="str">
        <f>IF(WarehouseData[[#This Row],[order_fulfillment_rate]]&gt;=0.9,"Strong",IF(WarehouseData[[#This Row],[order_fulfillment_rate]]&gt;=0.8,"Moderate","Needs Attention"))</f>
        <v>Moderate</v>
      </c>
      <c r="AE42" t="str">
        <f>IF(WarehouseData[[#This Row],[picking_time_seconds]]&gt;120,"Slow",IF(WarehouseData[[#This Row],[picking_time_seconds]]&gt;=60,"Average","Fast"))</f>
        <v>Slow</v>
      </c>
    </row>
    <row r="43" spans="1:31" x14ac:dyDescent="0.25">
      <c r="A43" t="s">
        <v>111</v>
      </c>
      <c r="B43" t="s">
        <v>73</v>
      </c>
      <c r="C43">
        <v>278</v>
      </c>
      <c r="D43">
        <v>56</v>
      </c>
      <c r="E43">
        <v>7</v>
      </c>
      <c r="F43">
        <v>4</v>
      </c>
      <c r="G43">
        <v>13.44</v>
      </c>
      <c r="H43">
        <v>1.66</v>
      </c>
      <c r="I43">
        <v>0.44</v>
      </c>
      <c r="J43" t="s">
        <v>45</v>
      </c>
      <c r="K43" t="s">
        <v>52</v>
      </c>
      <c r="L43">
        <v>124</v>
      </c>
      <c r="M43">
        <v>1.82</v>
      </c>
      <c r="N43">
        <v>136.69999999999999</v>
      </c>
      <c r="O43">
        <v>0.49</v>
      </c>
      <c r="P43">
        <v>8</v>
      </c>
      <c r="Q43">
        <v>0.94</v>
      </c>
      <c r="R43">
        <v>932</v>
      </c>
      <c r="S43">
        <v>6.71</v>
      </c>
      <c r="T43">
        <v>0.46</v>
      </c>
      <c r="U43" s="1">
        <v>45425</v>
      </c>
      <c r="V43">
        <v>211.24</v>
      </c>
      <c r="W43">
        <v>0.56000000000000005</v>
      </c>
      <c r="X43" t="str">
        <f>IF(WarehouseData[[#This Row],[stock_level]]&lt;=WarehouseData[[#This Row],[reorder_point]],"Low Stock","Sufficient Stock")</f>
        <v>Sufficient Stock</v>
      </c>
      <c r="Y43">
        <f>WarehouseData[[#This Row],[daily_demand]]*WarehouseData[[#This Row],[lead_time_days]]</f>
        <v>53.76</v>
      </c>
      <c r="Z43" t="str">
        <f>IF(WarehouseData[[#This Row],[stock_level]]&lt;=WarehouseData[[#This Row],[Demand During Lead Time]],"At Risk","Safe")</f>
        <v>Safe</v>
      </c>
      <c r="AA43">
        <f>WarehouseData[[#This Row],[stock_level]]/WarehouseData[[#This Row],[daily_demand]]</f>
        <v>20.68452380952381</v>
      </c>
      <c r="AB43">
        <f>WarehouseData[[#This Row],[stock_level]]*WarehouseData[[#This Row],[unit_price]]</f>
        <v>38002.6</v>
      </c>
      <c r="AC43">
        <f>WarehouseData[[#This Row],[stock_level]]*WarehouseData[[#This Row],[holding_cost_per_unit_day]]*30</f>
        <v>4086.6</v>
      </c>
      <c r="AD43" t="str">
        <f>IF(WarehouseData[[#This Row],[order_fulfillment_rate]]&gt;=0.9,"Strong",IF(WarehouseData[[#This Row],[order_fulfillment_rate]]&gt;=0.8,"Moderate","Needs Attention"))</f>
        <v>Strong</v>
      </c>
      <c r="AE43" t="str">
        <f>IF(WarehouseData[[#This Row],[picking_time_seconds]]&gt;120,"Slow",IF(WarehouseData[[#This Row],[picking_time_seconds]]&gt;=60,"Average","Fast"))</f>
        <v>Slow</v>
      </c>
    </row>
    <row r="44" spans="1:31" x14ac:dyDescent="0.25">
      <c r="A44" t="s">
        <v>112</v>
      </c>
      <c r="B44" t="s">
        <v>32</v>
      </c>
      <c r="C44">
        <v>417</v>
      </c>
      <c r="D44">
        <v>62</v>
      </c>
      <c r="E44">
        <v>14</v>
      </c>
      <c r="F44">
        <v>2</v>
      </c>
      <c r="G44">
        <v>21.7</v>
      </c>
      <c r="H44">
        <v>8.81</v>
      </c>
      <c r="I44">
        <v>0.73</v>
      </c>
      <c r="J44" t="s">
        <v>113</v>
      </c>
      <c r="K44" t="s">
        <v>52</v>
      </c>
      <c r="L44">
        <v>90</v>
      </c>
      <c r="M44">
        <v>0.7</v>
      </c>
      <c r="N44">
        <v>39.380000000000003</v>
      </c>
      <c r="O44">
        <v>1.37</v>
      </c>
      <c r="P44">
        <v>9</v>
      </c>
      <c r="Q44">
        <v>0.73</v>
      </c>
      <c r="R44">
        <v>927</v>
      </c>
      <c r="S44">
        <v>8.18</v>
      </c>
      <c r="T44">
        <v>0.48</v>
      </c>
      <c r="U44" s="1">
        <v>45476</v>
      </c>
      <c r="V44">
        <v>171.87</v>
      </c>
      <c r="W44">
        <v>0.434</v>
      </c>
      <c r="X44" t="str">
        <f>IF(WarehouseData[[#This Row],[stock_level]]&lt;=WarehouseData[[#This Row],[reorder_point]],"Low Stock","Sufficient Stock")</f>
        <v>Sufficient Stock</v>
      </c>
      <c r="Y44">
        <f>WarehouseData[[#This Row],[daily_demand]]*WarehouseData[[#This Row],[lead_time_days]]</f>
        <v>43.4</v>
      </c>
      <c r="Z44" t="str">
        <f>IF(WarehouseData[[#This Row],[stock_level]]&lt;=WarehouseData[[#This Row],[Demand During Lead Time]],"At Risk","Safe")</f>
        <v>Safe</v>
      </c>
      <c r="AA44">
        <f>WarehouseData[[#This Row],[stock_level]]/WarehouseData[[#This Row],[daily_demand]]</f>
        <v>19.216589861751153</v>
      </c>
      <c r="AB44">
        <f>WarehouseData[[#This Row],[stock_level]]*WarehouseData[[#This Row],[unit_price]]</f>
        <v>16421.460000000003</v>
      </c>
      <c r="AC44">
        <f>WarehouseData[[#This Row],[stock_level]]*WarehouseData[[#This Row],[holding_cost_per_unit_day]]*30</f>
        <v>17138.7</v>
      </c>
      <c r="AD44" t="str">
        <f>IF(WarehouseData[[#This Row],[order_fulfillment_rate]]&gt;=0.9,"Strong",IF(WarehouseData[[#This Row],[order_fulfillment_rate]]&gt;=0.8,"Moderate","Needs Attention"))</f>
        <v>Needs Attention</v>
      </c>
      <c r="AE44" t="str">
        <f>IF(WarehouseData[[#This Row],[picking_time_seconds]]&gt;120,"Slow",IF(WarehouseData[[#This Row],[picking_time_seconds]]&gt;=60,"Average","Fast"))</f>
        <v>Average</v>
      </c>
    </row>
    <row r="45" spans="1:31" x14ac:dyDescent="0.25">
      <c r="A45" t="s">
        <v>114</v>
      </c>
      <c r="B45" t="s">
        <v>48</v>
      </c>
      <c r="C45">
        <v>207</v>
      </c>
      <c r="D45">
        <v>73</v>
      </c>
      <c r="E45">
        <v>9</v>
      </c>
      <c r="F45">
        <v>5</v>
      </c>
      <c r="G45">
        <v>39.54</v>
      </c>
      <c r="H45">
        <v>1.07</v>
      </c>
      <c r="I45">
        <v>0.91</v>
      </c>
      <c r="J45" t="s">
        <v>75</v>
      </c>
      <c r="K45" t="s">
        <v>46</v>
      </c>
      <c r="L45">
        <v>96</v>
      </c>
      <c r="M45">
        <v>3.77</v>
      </c>
      <c r="N45">
        <v>20.49</v>
      </c>
      <c r="O45">
        <v>1.42</v>
      </c>
      <c r="P45">
        <v>2</v>
      </c>
      <c r="Q45">
        <v>0.86</v>
      </c>
      <c r="R45">
        <v>885</v>
      </c>
      <c r="S45">
        <v>12.5</v>
      </c>
      <c r="T45">
        <v>0.68</v>
      </c>
      <c r="U45" s="1">
        <v>45554</v>
      </c>
      <c r="V45">
        <v>211.11</v>
      </c>
      <c r="W45">
        <v>0.69299999999999995</v>
      </c>
      <c r="X45" t="str">
        <f>IF(WarehouseData[[#This Row],[stock_level]]&lt;=WarehouseData[[#This Row],[reorder_point]],"Low Stock","Sufficient Stock")</f>
        <v>Sufficient Stock</v>
      </c>
      <c r="Y45">
        <f>WarehouseData[[#This Row],[daily_demand]]*WarehouseData[[#This Row],[lead_time_days]]</f>
        <v>197.7</v>
      </c>
      <c r="Z45" t="str">
        <f>IF(WarehouseData[[#This Row],[stock_level]]&lt;=WarehouseData[[#This Row],[Demand During Lead Time]],"At Risk","Safe")</f>
        <v>Safe</v>
      </c>
      <c r="AA45">
        <f>WarehouseData[[#This Row],[stock_level]]/WarehouseData[[#This Row],[daily_demand]]</f>
        <v>5.2352048558421851</v>
      </c>
      <c r="AB45">
        <f>WarehouseData[[#This Row],[stock_level]]*WarehouseData[[#This Row],[unit_price]]</f>
        <v>4241.4299999999994</v>
      </c>
      <c r="AC45">
        <f>WarehouseData[[#This Row],[stock_level]]*WarehouseData[[#This Row],[holding_cost_per_unit_day]]*30</f>
        <v>8818.2000000000007</v>
      </c>
      <c r="AD45" t="str">
        <f>IF(WarehouseData[[#This Row],[order_fulfillment_rate]]&gt;=0.9,"Strong",IF(WarehouseData[[#This Row],[order_fulfillment_rate]]&gt;=0.8,"Moderate","Needs Attention"))</f>
        <v>Moderate</v>
      </c>
      <c r="AE45" t="str">
        <f>IF(WarehouseData[[#This Row],[picking_time_seconds]]&gt;120,"Slow",IF(WarehouseData[[#This Row],[picking_time_seconds]]&gt;=60,"Average","Fast"))</f>
        <v>Average</v>
      </c>
    </row>
    <row r="46" spans="1:31" x14ac:dyDescent="0.25">
      <c r="A46" t="s">
        <v>115</v>
      </c>
      <c r="B46" t="s">
        <v>48</v>
      </c>
      <c r="C46">
        <v>480</v>
      </c>
      <c r="D46">
        <v>47</v>
      </c>
      <c r="E46">
        <v>11</v>
      </c>
      <c r="F46">
        <v>2</v>
      </c>
      <c r="G46">
        <v>48.72</v>
      </c>
      <c r="H46">
        <v>3.52</v>
      </c>
      <c r="I46">
        <v>0.39</v>
      </c>
      <c r="J46" t="s">
        <v>104</v>
      </c>
      <c r="K46" t="s">
        <v>46</v>
      </c>
      <c r="L46">
        <v>51</v>
      </c>
      <c r="M46">
        <v>4.54</v>
      </c>
      <c r="N46">
        <v>106.9</v>
      </c>
      <c r="O46">
        <v>0.37</v>
      </c>
      <c r="P46">
        <v>0</v>
      </c>
      <c r="Q46">
        <v>0.99</v>
      </c>
      <c r="R46">
        <v>774</v>
      </c>
      <c r="S46">
        <v>10.18</v>
      </c>
      <c r="T46">
        <v>0.41</v>
      </c>
      <c r="U46" s="1">
        <v>45546</v>
      </c>
      <c r="V46">
        <v>100.31</v>
      </c>
      <c r="W46">
        <v>0.77900000000000003</v>
      </c>
      <c r="X46" t="str">
        <f>IF(WarehouseData[[#This Row],[stock_level]]&lt;=WarehouseData[[#This Row],[reorder_point]],"Low Stock","Sufficient Stock")</f>
        <v>Sufficient Stock</v>
      </c>
      <c r="Y46">
        <f>WarehouseData[[#This Row],[daily_demand]]*WarehouseData[[#This Row],[lead_time_days]]</f>
        <v>97.44</v>
      </c>
      <c r="Z46" t="str">
        <f>IF(WarehouseData[[#This Row],[stock_level]]&lt;=WarehouseData[[#This Row],[Demand During Lead Time]],"At Risk","Safe")</f>
        <v>Safe</v>
      </c>
      <c r="AA46">
        <f>WarehouseData[[#This Row],[stock_level]]/WarehouseData[[#This Row],[daily_demand]]</f>
        <v>9.8522167487684733</v>
      </c>
      <c r="AB46">
        <f>WarehouseData[[#This Row],[stock_level]]*WarehouseData[[#This Row],[unit_price]]</f>
        <v>51312</v>
      </c>
      <c r="AC46">
        <f>WarehouseData[[#This Row],[stock_level]]*WarehouseData[[#This Row],[holding_cost_per_unit_day]]*30</f>
        <v>5328</v>
      </c>
      <c r="AD46" t="str">
        <f>IF(WarehouseData[[#This Row],[order_fulfillment_rate]]&gt;=0.9,"Strong",IF(WarehouseData[[#This Row],[order_fulfillment_rate]]&gt;=0.8,"Moderate","Needs Attention"))</f>
        <v>Strong</v>
      </c>
      <c r="AE46" t="str">
        <f>IF(WarehouseData[[#This Row],[picking_time_seconds]]&gt;120,"Slow",IF(WarehouseData[[#This Row],[picking_time_seconds]]&gt;=60,"Average","Fast"))</f>
        <v>Fast</v>
      </c>
    </row>
    <row r="47" spans="1:31" x14ac:dyDescent="0.25">
      <c r="A47" t="s">
        <v>116</v>
      </c>
      <c r="B47" t="s">
        <v>73</v>
      </c>
      <c r="C47">
        <v>192</v>
      </c>
      <c r="D47">
        <v>73</v>
      </c>
      <c r="E47">
        <v>11</v>
      </c>
      <c r="F47">
        <v>3</v>
      </c>
      <c r="G47">
        <v>3.92</v>
      </c>
      <c r="H47">
        <v>9.92</v>
      </c>
      <c r="I47">
        <v>0.51</v>
      </c>
      <c r="J47" t="s">
        <v>110</v>
      </c>
      <c r="K47" t="s">
        <v>38</v>
      </c>
      <c r="L47">
        <v>46</v>
      </c>
      <c r="M47">
        <v>3.35</v>
      </c>
      <c r="N47">
        <v>23.61</v>
      </c>
      <c r="O47">
        <v>1.1100000000000001</v>
      </c>
      <c r="P47">
        <v>8</v>
      </c>
      <c r="Q47">
        <v>0.81</v>
      </c>
      <c r="R47">
        <v>562</v>
      </c>
      <c r="S47">
        <v>7.47</v>
      </c>
      <c r="T47">
        <v>0.22</v>
      </c>
      <c r="U47" s="1">
        <v>45530</v>
      </c>
      <c r="V47">
        <v>235.33</v>
      </c>
      <c r="W47">
        <v>0.435</v>
      </c>
      <c r="X47" t="str">
        <f>IF(WarehouseData[[#This Row],[stock_level]]&lt;=WarehouseData[[#This Row],[reorder_point]],"Low Stock","Sufficient Stock")</f>
        <v>Sufficient Stock</v>
      </c>
      <c r="Y47">
        <f>WarehouseData[[#This Row],[daily_demand]]*WarehouseData[[#This Row],[lead_time_days]]</f>
        <v>11.76</v>
      </c>
      <c r="Z47" t="str">
        <f>IF(WarehouseData[[#This Row],[stock_level]]&lt;=WarehouseData[[#This Row],[Demand During Lead Time]],"At Risk","Safe")</f>
        <v>Safe</v>
      </c>
      <c r="AA47">
        <f>WarehouseData[[#This Row],[stock_level]]/WarehouseData[[#This Row],[daily_demand]]</f>
        <v>48.979591836734691</v>
      </c>
      <c r="AB47">
        <f>WarehouseData[[#This Row],[stock_level]]*WarehouseData[[#This Row],[unit_price]]</f>
        <v>4533.12</v>
      </c>
      <c r="AC47">
        <f>WarehouseData[[#This Row],[stock_level]]*WarehouseData[[#This Row],[holding_cost_per_unit_day]]*30</f>
        <v>6393.6</v>
      </c>
      <c r="AD47" t="str">
        <f>IF(WarehouseData[[#This Row],[order_fulfillment_rate]]&gt;=0.9,"Strong",IF(WarehouseData[[#This Row],[order_fulfillment_rate]]&gt;=0.8,"Moderate","Needs Attention"))</f>
        <v>Moderate</v>
      </c>
      <c r="AE47" t="str">
        <f>IF(WarehouseData[[#This Row],[picking_time_seconds]]&gt;120,"Slow",IF(WarehouseData[[#This Row],[picking_time_seconds]]&gt;=60,"Average","Fast"))</f>
        <v>Fast</v>
      </c>
    </row>
    <row r="48" spans="1:31" x14ac:dyDescent="0.25">
      <c r="A48" t="s">
        <v>117</v>
      </c>
      <c r="B48" t="s">
        <v>48</v>
      </c>
      <c r="C48">
        <v>499</v>
      </c>
      <c r="D48">
        <v>96</v>
      </c>
      <c r="E48">
        <v>3</v>
      </c>
      <c r="F48">
        <v>7</v>
      </c>
      <c r="G48">
        <v>40.81</v>
      </c>
      <c r="H48">
        <v>4.51</v>
      </c>
      <c r="I48">
        <v>0.31</v>
      </c>
      <c r="J48" t="s">
        <v>57</v>
      </c>
      <c r="K48" t="s">
        <v>38</v>
      </c>
      <c r="L48">
        <v>101</v>
      </c>
      <c r="M48">
        <v>3.46</v>
      </c>
      <c r="N48">
        <v>79.16</v>
      </c>
      <c r="O48">
        <v>1.26</v>
      </c>
      <c r="P48">
        <v>6</v>
      </c>
      <c r="Q48">
        <v>0.79</v>
      </c>
      <c r="R48">
        <v>745</v>
      </c>
      <c r="S48">
        <v>14.36</v>
      </c>
      <c r="T48">
        <v>0.97</v>
      </c>
      <c r="U48" s="1">
        <v>45342</v>
      </c>
      <c r="V48">
        <v>131.19999999999999</v>
      </c>
      <c r="W48">
        <v>0.69699999999999995</v>
      </c>
      <c r="X48" t="str">
        <f>IF(WarehouseData[[#This Row],[stock_level]]&lt;=WarehouseData[[#This Row],[reorder_point]],"Low Stock","Sufficient Stock")</f>
        <v>Sufficient Stock</v>
      </c>
      <c r="Y48">
        <f>WarehouseData[[#This Row],[daily_demand]]*WarehouseData[[#This Row],[lead_time_days]]</f>
        <v>285.67</v>
      </c>
      <c r="Z48" t="str">
        <f>IF(WarehouseData[[#This Row],[stock_level]]&lt;=WarehouseData[[#This Row],[Demand During Lead Time]],"At Risk","Safe")</f>
        <v>Safe</v>
      </c>
      <c r="AA48">
        <f>WarehouseData[[#This Row],[stock_level]]/WarehouseData[[#This Row],[daily_demand]]</f>
        <v>12.227395246263169</v>
      </c>
      <c r="AB48">
        <f>WarehouseData[[#This Row],[stock_level]]*WarehouseData[[#This Row],[unit_price]]</f>
        <v>39500.839999999997</v>
      </c>
      <c r="AC48">
        <f>WarehouseData[[#This Row],[stock_level]]*WarehouseData[[#This Row],[holding_cost_per_unit_day]]*30</f>
        <v>18862.2</v>
      </c>
      <c r="AD48" t="str">
        <f>IF(WarehouseData[[#This Row],[order_fulfillment_rate]]&gt;=0.9,"Strong",IF(WarehouseData[[#This Row],[order_fulfillment_rate]]&gt;=0.8,"Moderate","Needs Attention"))</f>
        <v>Needs Attention</v>
      </c>
      <c r="AE48" t="str">
        <f>IF(WarehouseData[[#This Row],[picking_time_seconds]]&gt;120,"Slow",IF(WarehouseData[[#This Row],[picking_time_seconds]]&gt;=60,"Average","Fast"))</f>
        <v>Average</v>
      </c>
    </row>
    <row r="49" spans="1:31" x14ac:dyDescent="0.25">
      <c r="A49" t="s">
        <v>118</v>
      </c>
      <c r="B49" t="s">
        <v>36</v>
      </c>
      <c r="C49">
        <v>309</v>
      </c>
      <c r="D49">
        <v>98</v>
      </c>
      <c r="E49">
        <v>3</v>
      </c>
      <c r="F49">
        <v>9</v>
      </c>
      <c r="G49">
        <v>15.73</v>
      </c>
      <c r="H49">
        <v>1.75</v>
      </c>
      <c r="I49">
        <v>0.27</v>
      </c>
      <c r="J49" t="s">
        <v>64</v>
      </c>
      <c r="K49" t="s">
        <v>34</v>
      </c>
      <c r="L49">
        <v>94</v>
      </c>
      <c r="M49">
        <v>2.62</v>
      </c>
      <c r="N49">
        <v>14.96</v>
      </c>
      <c r="O49">
        <v>0.45</v>
      </c>
      <c r="P49">
        <v>1</v>
      </c>
      <c r="Q49">
        <v>0.88</v>
      </c>
      <c r="R49">
        <v>812</v>
      </c>
      <c r="S49">
        <v>4</v>
      </c>
      <c r="T49">
        <v>0.8</v>
      </c>
      <c r="U49" s="1">
        <v>45532</v>
      </c>
      <c r="V49">
        <v>269.39999999999998</v>
      </c>
      <c r="W49">
        <v>0.72399999999999998</v>
      </c>
      <c r="X49" t="str">
        <f>IF(WarehouseData[[#This Row],[stock_level]]&lt;=WarehouseData[[#This Row],[reorder_point]],"Low Stock","Sufficient Stock")</f>
        <v>Sufficient Stock</v>
      </c>
      <c r="Y49">
        <f>WarehouseData[[#This Row],[daily_demand]]*WarehouseData[[#This Row],[lead_time_days]]</f>
        <v>141.57</v>
      </c>
      <c r="Z49" t="str">
        <f>IF(WarehouseData[[#This Row],[stock_level]]&lt;=WarehouseData[[#This Row],[Demand During Lead Time]],"At Risk","Safe")</f>
        <v>Safe</v>
      </c>
      <c r="AA49">
        <f>WarehouseData[[#This Row],[stock_level]]/WarehouseData[[#This Row],[daily_demand]]</f>
        <v>19.643992371265099</v>
      </c>
      <c r="AB49">
        <f>WarehouseData[[#This Row],[stock_level]]*WarehouseData[[#This Row],[unit_price]]</f>
        <v>4622.6400000000003</v>
      </c>
      <c r="AC49">
        <f>WarehouseData[[#This Row],[stock_level]]*WarehouseData[[#This Row],[holding_cost_per_unit_day]]*30</f>
        <v>4171.5</v>
      </c>
      <c r="AD49" t="str">
        <f>IF(WarehouseData[[#This Row],[order_fulfillment_rate]]&gt;=0.9,"Strong",IF(WarehouseData[[#This Row],[order_fulfillment_rate]]&gt;=0.8,"Moderate","Needs Attention"))</f>
        <v>Moderate</v>
      </c>
      <c r="AE49" t="str">
        <f>IF(WarehouseData[[#This Row],[picking_time_seconds]]&gt;120,"Slow",IF(WarehouseData[[#This Row],[picking_time_seconds]]&gt;=60,"Average","Fast"))</f>
        <v>Average</v>
      </c>
    </row>
    <row r="50" spans="1:31" x14ac:dyDescent="0.25">
      <c r="A50" t="s">
        <v>119</v>
      </c>
      <c r="B50" t="s">
        <v>48</v>
      </c>
      <c r="C50">
        <v>64</v>
      </c>
      <c r="D50">
        <v>16</v>
      </c>
      <c r="E50">
        <v>5</v>
      </c>
      <c r="F50">
        <v>7</v>
      </c>
      <c r="G50">
        <v>27.99</v>
      </c>
      <c r="H50">
        <v>9.7100000000000009</v>
      </c>
      <c r="I50">
        <v>0.8</v>
      </c>
      <c r="J50" t="s">
        <v>120</v>
      </c>
      <c r="K50" t="s">
        <v>46</v>
      </c>
      <c r="L50">
        <v>68</v>
      </c>
      <c r="M50">
        <v>1.2</v>
      </c>
      <c r="N50">
        <v>43.59</v>
      </c>
      <c r="O50">
        <v>1.8</v>
      </c>
      <c r="P50">
        <v>5</v>
      </c>
      <c r="Q50">
        <v>0.77</v>
      </c>
      <c r="R50">
        <v>776</v>
      </c>
      <c r="S50">
        <v>5.05</v>
      </c>
      <c r="T50">
        <v>0.31</v>
      </c>
      <c r="U50" s="1">
        <v>45455</v>
      </c>
      <c r="V50">
        <v>40.159999999999997</v>
      </c>
      <c r="W50">
        <v>0.40300000000000002</v>
      </c>
      <c r="X50" t="str">
        <f>IF(WarehouseData[[#This Row],[stock_level]]&lt;=WarehouseData[[#This Row],[reorder_point]],"Low Stock","Sufficient Stock")</f>
        <v>Sufficient Stock</v>
      </c>
      <c r="Y50">
        <f>WarehouseData[[#This Row],[daily_demand]]*WarehouseData[[#This Row],[lead_time_days]]</f>
        <v>195.92999999999998</v>
      </c>
      <c r="Z50" t="str">
        <f>IF(WarehouseData[[#This Row],[stock_level]]&lt;=WarehouseData[[#This Row],[Demand During Lead Time]],"At Risk","Safe")</f>
        <v>At Risk</v>
      </c>
      <c r="AA50">
        <f>WarehouseData[[#This Row],[stock_level]]/WarehouseData[[#This Row],[daily_demand]]</f>
        <v>2.2865309038942483</v>
      </c>
      <c r="AB50">
        <f>WarehouseData[[#This Row],[stock_level]]*WarehouseData[[#This Row],[unit_price]]</f>
        <v>2789.76</v>
      </c>
      <c r="AC50">
        <f>WarehouseData[[#This Row],[stock_level]]*WarehouseData[[#This Row],[holding_cost_per_unit_day]]*30</f>
        <v>3456</v>
      </c>
      <c r="AD50" t="str">
        <f>IF(WarehouseData[[#This Row],[order_fulfillment_rate]]&gt;=0.9,"Strong",IF(WarehouseData[[#This Row],[order_fulfillment_rate]]&gt;=0.8,"Moderate","Needs Attention"))</f>
        <v>Needs Attention</v>
      </c>
      <c r="AE50" t="str">
        <f>IF(WarehouseData[[#This Row],[picking_time_seconds]]&gt;120,"Slow",IF(WarehouseData[[#This Row],[picking_time_seconds]]&gt;=60,"Average","Fast"))</f>
        <v>Average</v>
      </c>
    </row>
    <row r="51" spans="1:31" x14ac:dyDescent="0.25">
      <c r="A51" t="s">
        <v>121</v>
      </c>
      <c r="B51" t="s">
        <v>32</v>
      </c>
      <c r="C51">
        <v>80</v>
      </c>
      <c r="D51">
        <v>31</v>
      </c>
      <c r="E51">
        <v>8</v>
      </c>
      <c r="F51">
        <v>2</v>
      </c>
      <c r="G51">
        <v>15.21</v>
      </c>
      <c r="H51">
        <v>9.85</v>
      </c>
      <c r="I51">
        <v>0.28000000000000003</v>
      </c>
      <c r="J51" t="s">
        <v>122</v>
      </c>
      <c r="K51" t="s">
        <v>38</v>
      </c>
      <c r="L51">
        <v>161</v>
      </c>
      <c r="M51">
        <v>0.53</v>
      </c>
      <c r="N51">
        <v>30.97</v>
      </c>
      <c r="O51">
        <v>1.02</v>
      </c>
      <c r="P51">
        <v>8</v>
      </c>
      <c r="Q51">
        <v>0.87</v>
      </c>
      <c r="R51">
        <v>126</v>
      </c>
      <c r="S51">
        <v>13.76</v>
      </c>
      <c r="T51">
        <v>0.56000000000000005</v>
      </c>
      <c r="U51" s="1">
        <v>45396</v>
      </c>
      <c r="V51">
        <v>150.52000000000001</v>
      </c>
      <c r="W51">
        <v>0.60699999999999998</v>
      </c>
      <c r="X51" t="str">
        <f>IF(WarehouseData[[#This Row],[stock_level]]&lt;=WarehouseData[[#This Row],[reorder_point]],"Low Stock","Sufficient Stock")</f>
        <v>Sufficient Stock</v>
      </c>
      <c r="Y51">
        <f>WarehouseData[[#This Row],[daily_demand]]*WarehouseData[[#This Row],[lead_time_days]]</f>
        <v>30.42</v>
      </c>
      <c r="Z51" t="str">
        <f>IF(WarehouseData[[#This Row],[stock_level]]&lt;=WarehouseData[[#This Row],[Demand During Lead Time]],"At Risk","Safe")</f>
        <v>Safe</v>
      </c>
      <c r="AA51">
        <f>WarehouseData[[#This Row],[stock_level]]/WarehouseData[[#This Row],[daily_demand]]</f>
        <v>5.2596975673898747</v>
      </c>
      <c r="AB51">
        <f>WarehouseData[[#This Row],[stock_level]]*WarehouseData[[#This Row],[unit_price]]</f>
        <v>2477.6</v>
      </c>
      <c r="AC51">
        <f>WarehouseData[[#This Row],[stock_level]]*WarehouseData[[#This Row],[holding_cost_per_unit_day]]*30</f>
        <v>2448</v>
      </c>
      <c r="AD51" t="str">
        <f>IF(WarehouseData[[#This Row],[order_fulfillment_rate]]&gt;=0.9,"Strong",IF(WarehouseData[[#This Row],[order_fulfillment_rate]]&gt;=0.8,"Moderate","Needs Attention"))</f>
        <v>Moderate</v>
      </c>
      <c r="AE51" t="str">
        <f>IF(WarehouseData[[#This Row],[picking_time_seconds]]&gt;120,"Slow",IF(WarehouseData[[#This Row],[picking_time_seconds]]&gt;=60,"Average","Fast"))</f>
        <v>Slow</v>
      </c>
    </row>
    <row r="52" spans="1:31" x14ac:dyDescent="0.25">
      <c r="A52" t="s">
        <v>123</v>
      </c>
      <c r="B52" t="s">
        <v>32</v>
      </c>
      <c r="C52">
        <v>102</v>
      </c>
      <c r="D52">
        <v>90</v>
      </c>
      <c r="E52">
        <v>4</v>
      </c>
      <c r="F52">
        <v>2</v>
      </c>
      <c r="G52">
        <v>31.06</v>
      </c>
      <c r="H52">
        <v>2.2799999999999998</v>
      </c>
      <c r="I52">
        <v>0.81</v>
      </c>
      <c r="J52" t="s">
        <v>124</v>
      </c>
      <c r="K52" t="s">
        <v>46</v>
      </c>
      <c r="L52">
        <v>165</v>
      </c>
      <c r="M52">
        <v>2.0499999999999998</v>
      </c>
      <c r="N52">
        <v>162.19</v>
      </c>
      <c r="O52">
        <v>0.32</v>
      </c>
      <c r="P52">
        <v>7</v>
      </c>
      <c r="Q52">
        <v>0.75</v>
      </c>
      <c r="R52">
        <v>92</v>
      </c>
      <c r="S52">
        <v>12.95</v>
      </c>
      <c r="T52">
        <v>0.25</v>
      </c>
      <c r="U52" s="1">
        <v>45481</v>
      </c>
      <c r="V52">
        <v>69.66</v>
      </c>
      <c r="W52">
        <v>0.60099999999999998</v>
      </c>
      <c r="X52" t="str">
        <f>IF(WarehouseData[[#This Row],[stock_level]]&lt;=WarehouseData[[#This Row],[reorder_point]],"Low Stock","Sufficient Stock")</f>
        <v>Sufficient Stock</v>
      </c>
      <c r="Y52">
        <f>WarehouseData[[#This Row],[daily_demand]]*WarehouseData[[#This Row],[lead_time_days]]</f>
        <v>62.12</v>
      </c>
      <c r="Z52" t="str">
        <f>IF(WarehouseData[[#This Row],[stock_level]]&lt;=WarehouseData[[#This Row],[Demand During Lead Time]],"At Risk","Safe")</f>
        <v>Safe</v>
      </c>
      <c r="AA52">
        <f>WarehouseData[[#This Row],[stock_level]]/WarehouseData[[#This Row],[daily_demand]]</f>
        <v>3.2839665164198326</v>
      </c>
      <c r="AB52">
        <f>WarehouseData[[#This Row],[stock_level]]*WarehouseData[[#This Row],[unit_price]]</f>
        <v>16543.38</v>
      </c>
      <c r="AC52">
        <f>WarehouseData[[#This Row],[stock_level]]*WarehouseData[[#This Row],[holding_cost_per_unit_day]]*30</f>
        <v>979.2</v>
      </c>
      <c r="AD52" t="str">
        <f>IF(WarehouseData[[#This Row],[order_fulfillment_rate]]&gt;=0.9,"Strong",IF(WarehouseData[[#This Row],[order_fulfillment_rate]]&gt;=0.8,"Moderate","Needs Attention"))</f>
        <v>Needs Attention</v>
      </c>
      <c r="AE52" t="str">
        <f>IF(WarehouseData[[#This Row],[picking_time_seconds]]&gt;120,"Slow",IF(WarehouseData[[#This Row],[picking_time_seconds]]&gt;=60,"Average","Fast"))</f>
        <v>Slow</v>
      </c>
    </row>
    <row r="53" spans="1:31" x14ac:dyDescent="0.25">
      <c r="A53" t="s">
        <v>125</v>
      </c>
      <c r="B53" t="s">
        <v>32</v>
      </c>
      <c r="C53">
        <v>142</v>
      </c>
      <c r="D53">
        <v>91</v>
      </c>
      <c r="E53">
        <v>12</v>
      </c>
      <c r="F53">
        <v>7</v>
      </c>
      <c r="G53">
        <v>18.34</v>
      </c>
      <c r="H53">
        <v>8.7200000000000006</v>
      </c>
      <c r="I53">
        <v>0.49</v>
      </c>
      <c r="J53" t="s">
        <v>126</v>
      </c>
      <c r="K53" t="s">
        <v>52</v>
      </c>
      <c r="L53">
        <v>46</v>
      </c>
      <c r="M53">
        <v>3.88</v>
      </c>
      <c r="N53">
        <v>75.760000000000005</v>
      </c>
      <c r="O53">
        <v>0.74</v>
      </c>
      <c r="P53">
        <v>5</v>
      </c>
      <c r="Q53">
        <v>0.87</v>
      </c>
      <c r="R53">
        <v>973</v>
      </c>
      <c r="S53">
        <v>2.82</v>
      </c>
      <c r="T53">
        <v>0.22</v>
      </c>
      <c r="U53" s="1">
        <v>45452</v>
      </c>
      <c r="V53">
        <v>141.51</v>
      </c>
      <c r="W53">
        <v>0.48199999999999998</v>
      </c>
      <c r="X53" t="str">
        <f>IF(WarehouseData[[#This Row],[stock_level]]&lt;=WarehouseData[[#This Row],[reorder_point]],"Low Stock","Sufficient Stock")</f>
        <v>Sufficient Stock</v>
      </c>
      <c r="Y53">
        <f>WarehouseData[[#This Row],[daily_demand]]*WarehouseData[[#This Row],[lead_time_days]]</f>
        <v>128.38</v>
      </c>
      <c r="Z53" t="str">
        <f>IF(WarehouseData[[#This Row],[stock_level]]&lt;=WarehouseData[[#This Row],[Demand During Lead Time]],"At Risk","Safe")</f>
        <v>Safe</v>
      </c>
      <c r="AA53">
        <f>WarehouseData[[#This Row],[stock_level]]/WarehouseData[[#This Row],[daily_demand]]</f>
        <v>7.7426390403489638</v>
      </c>
      <c r="AB53">
        <f>WarehouseData[[#This Row],[stock_level]]*WarehouseData[[#This Row],[unit_price]]</f>
        <v>10757.92</v>
      </c>
      <c r="AC53">
        <f>WarehouseData[[#This Row],[stock_level]]*WarehouseData[[#This Row],[holding_cost_per_unit_day]]*30</f>
        <v>3152.4</v>
      </c>
      <c r="AD53" t="str">
        <f>IF(WarehouseData[[#This Row],[order_fulfillment_rate]]&gt;=0.9,"Strong",IF(WarehouseData[[#This Row],[order_fulfillment_rate]]&gt;=0.8,"Moderate","Needs Attention"))</f>
        <v>Moderate</v>
      </c>
      <c r="AE53" t="str">
        <f>IF(WarehouseData[[#This Row],[picking_time_seconds]]&gt;120,"Slow",IF(WarehouseData[[#This Row],[picking_time_seconds]]&gt;=60,"Average","Fast"))</f>
        <v>Fast</v>
      </c>
    </row>
    <row r="54" spans="1:31" x14ac:dyDescent="0.25">
      <c r="A54" t="s">
        <v>127</v>
      </c>
      <c r="B54" t="s">
        <v>32</v>
      </c>
      <c r="C54">
        <v>377</v>
      </c>
      <c r="D54">
        <v>50</v>
      </c>
      <c r="E54">
        <v>14</v>
      </c>
      <c r="F54">
        <v>5</v>
      </c>
      <c r="G54">
        <v>17.350000000000001</v>
      </c>
      <c r="H54">
        <v>4.21</v>
      </c>
      <c r="I54">
        <v>1</v>
      </c>
      <c r="J54" t="s">
        <v>81</v>
      </c>
      <c r="K54" t="s">
        <v>34</v>
      </c>
      <c r="L54">
        <v>30</v>
      </c>
      <c r="M54">
        <v>4.82</v>
      </c>
      <c r="N54">
        <v>24.98</v>
      </c>
      <c r="O54">
        <v>1.01</v>
      </c>
      <c r="P54">
        <v>5</v>
      </c>
      <c r="Q54">
        <v>0.88</v>
      </c>
      <c r="R54">
        <v>206</v>
      </c>
      <c r="S54">
        <v>14.02</v>
      </c>
      <c r="T54">
        <v>0.24</v>
      </c>
      <c r="U54" s="1">
        <v>45503</v>
      </c>
      <c r="V54">
        <v>112.59</v>
      </c>
      <c r="W54">
        <v>0.61</v>
      </c>
      <c r="X54" t="str">
        <f>IF(WarehouseData[[#This Row],[stock_level]]&lt;=WarehouseData[[#This Row],[reorder_point]],"Low Stock","Sufficient Stock")</f>
        <v>Sufficient Stock</v>
      </c>
      <c r="Y54">
        <f>WarehouseData[[#This Row],[daily_demand]]*WarehouseData[[#This Row],[lead_time_days]]</f>
        <v>86.75</v>
      </c>
      <c r="Z54" t="str">
        <f>IF(WarehouseData[[#This Row],[stock_level]]&lt;=WarehouseData[[#This Row],[Demand During Lead Time]],"At Risk","Safe")</f>
        <v>Safe</v>
      </c>
      <c r="AA54">
        <f>WarehouseData[[#This Row],[stock_level]]/WarehouseData[[#This Row],[daily_demand]]</f>
        <v>21.729106628242072</v>
      </c>
      <c r="AB54">
        <f>WarehouseData[[#This Row],[stock_level]]*WarehouseData[[#This Row],[unit_price]]</f>
        <v>9417.4600000000009</v>
      </c>
      <c r="AC54">
        <f>WarehouseData[[#This Row],[stock_level]]*WarehouseData[[#This Row],[holding_cost_per_unit_day]]*30</f>
        <v>11423.099999999999</v>
      </c>
      <c r="AD54" t="str">
        <f>IF(WarehouseData[[#This Row],[order_fulfillment_rate]]&gt;=0.9,"Strong",IF(WarehouseData[[#This Row],[order_fulfillment_rate]]&gt;=0.8,"Moderate","Needs Attention"))</f>
        <v>Moderate</v>
      </c>
      <c r="AE54" t="str">
        <f>IF(WarehouseData[[#This Row],[picking_time_seconds]]&gt;120,"Slow",IF(WarehouseData[[#This Row],[picking_time_seconds]]&gt;=60,"Average","Fast"))</f>
        <v>Fast</v>
      </c>
    </row>
    <row r="55" spans="1:31" x14ac:dyDescent="0.25">
      <c r="A55" t="s">
        <v>128</v>
      </c>
      <c r="B55" t="s">
        <v>36</v>
      </c>
      <c r="C55">
        <v>35</v>
      </c>
      <c r="D55">
        <v>83</v>
      </c>
      <c r="E55">
        <v>13</v>
      </c>
      <c r="F55">
        <v>6</v>
      </c>
      <c r="G55">
        <v>2.86</v>
      </c>
      <c r="H55">
        <v>4.12</v>
      </c>
      <c r="I55">
        <v>0.28000000000000003</v>
      </c>
      <c r="J55" t="s">
        <v>129</v>
      </c>
      <c r="K55" t="s">
        <v>46</v>
      </c>
      <c r="L55">
        <v>170</v>
      </c>
      <c r="M55">
        <v>2.44</v>
      </c>
      <c r="N55">
        <v>60.44</v>
      </c>
      <c r="O55">
        <v>0.12</v>
      </c>
      <c r="P55">
        <v>7</v>
      </c>
      <c r="Q55">
        <v>0.83</v>
      </c>
      <c r="R55">
        <v>579</v>
      </c>
      <c r="S55">
        <v>1.1399999999999999</v>
      </c>
      <c r="T55">
        <v>0.8</v>
      </c>
      <c r="U55" s="1">
        <v>45315</v>
      </c>
      <c r="V55">
        <v>243</v>
      </c>
      <c r="W55">
        <v>0.58899999999999997</v>
      </c>
      <c r="X55" t="str">
        <f>IF(WarehouseData[[#This Row],[stock_level]]&lt;=WarehouseData[[#This Row],[reorder_point]],"Low Stock","Sufficient Stock")</f>
        <v>Low Stock</v>
      </c>
      <c r="Y55">
        <f>WarehouseData[[#This Row],[daily_demand]]*WarehouseData[[#This Row],[lead_time_days]]</f>
        <v>17.16</v>
      </c>
      <c r="Z55" t="str">
        <f>IF(WarehouseData[[#This Row],[stock_level]]&lt;=WarehouseData[[#This Row],[Demand During Lead Time]],"At Risk","Safe")</f>
        <v>Safe</v>
      </c>
      <c r="AA55">
        <f>WarehouseData[[#This Row],[stock_level]]/WarehouseData[[#This Row],[daily_demand]]</f>
        <v>12.237762237762238</v>
      </c>
      <c r="AB55">
        <f>WarehouseData[[#This Row],[stock_level]]*WarehouseData[[#This Row],[unit_price]]</f>
        <v>2115.4</v>
      </c>
      <c r="AC55">
        <f>WarehouseData[[#This Row],[stock_level]]*WarehouseData[[#This Row],[holding_cost_per_unit_day]]*30</f>
        <v>126</v>
      </c>
      <c r="AD55" t="str">
        <f>IF(WarehouseData[[#This Row],[order_fulfillment_rate]]&gt;=0.9,"Strong",IF(WarehouseData[[#This Row],[order_fulfillment_rate]]&gt;=0.8,"Moderate","Needs Attention"))</f>
        <v>Moderate</v>
      </c>
      <c r="AE55" t="str">
        <f>IF(WarehouseData[[#This Row],[picking_time_seconds]]&gt;120,"Slow",IF(WarehouseData[[#This Row],[picking_time_seconds]]&gt;=60,"Average","Fast"))</f>
        <v>Slow</v>
      </c>
    </row>
    <row r="56" spans="1:31" x14ac:dyDescent="0.25">
      <c r="A56" t="s">
        <v>130</v>
      </c>
      <c r="B56" t="s">
        <v>40</v>
      </c>
      <c r="C56">
        <v>85</v>
      </c>
      <c r="D56">
        <v>19</v>
      </c>
      <c r="E56">
        <v>3</v>
      </c>
      <c r="F56">
        <v>6</v>
      </c>
      <c r="G56">
        <v>8.1999999999999993</v>
      </c>
      <c r="H56">
        <v>3</v>
      </c>
      <c r="I56">
        <v>0.18</v>
      </c>
      <c r="J56" t="s">
        <v>131</v>
      </c>
      <c r="K56" t="s">
        <v>46</v>
      </c>
      <c r="L56">
        <v>139</v>
      </c>
      <c r="M56">
        <v>2.14</v>
      </c>
      <c r="N56">
        <v>139.72999999999999</v>
      </c>
      <c r="O56">
        <v>0.16</v>
      </c>
      <c r="P56">
        <v>8</v>
      </c>
      <c r="Q56">
        <v>0.81</v>
      </c>
      <c r="R56">
        <v>904</v>
      </c>
      <c r="S56">
        <v>12.51</v>
      </c>
      <c r="T56">
        <v>0.56000000000000005</v>
      </c>
      <c r="U56" s="1">
        <v>45580</v>
      </c>
      <c r="V56">
        <v>58.48</v>
      </c>
      <c r="W56">
        <v>0.66500000000000004</v>
      </c>
      <c r="X56" t="str">
        <f>IF(WarehouseData[[#This Row],[stock_level]]&lt;=WarehouseData[[#This Row],[reorder_point]],"Low Stock","Sufficient Stock")</f>
        <v>Sufficient Stock</v>
      </c>
      <c r="Y56">
        <f>WarehouseData[[#This Row],[daily_demand]]*WarehouseData[[#This Row],[lead_time_days]]</f>
        <v>49.199999999999996</v>
      </c>
      <c r="Z56" t="str">
        <f>IF(WarehouseData[[#This Row],[stock_level]]&lt;=WarehouseData[[#This Row],[Demand During Lead Time]],"At Risk","Safe")</f>
        <v>Safe</v>
      </c>
      <c r="AA56">
        <f>WarehouseData[[#This Row],[stock_level]]/WarehouseData[[#This Row],[daily_demand]]</f>
        <v>10.365853658536587</v>
      </c>
      <c r="AB56">
        <f>WarehouseData[[#This Row],[stock_level]]*WarehouseData[[#This Row],[unit_price]]</f>
        <v>11877.05</v>
      </c>
      <c r="AC56">
        <f>WarehouseData[[#This Row],[stock_level]]*WarehouseData[[#This Row],[holding_cost_per_unit_day]]*30</f>
        <v>408</v>
      </c>
      <c r="AD56" t="str">
        <f>IF(WarehouseData[[#This Row],[order_fulfillment_rate]]&gt;=0.9,"Strong",IF(WarehouseData[[#This Row],[order_fulfillment_rate]]&gt;=0.8,"Moderate","Needs Attention"))</f>
        <v>Moderate</v>
      </c>
      <c r="AE56" t="str">
        <f>IF(WarehouseData[[#This Row],[picking_time_seconds]]&gt;120,"Slow",IF(WarehouseData[[#This Row],[picking_time_seconds]]&gt;=60,"Average","Fast"))</f>
        <v>Slow</v>
      </c>
    </row>
    <row r="57" spans="1:31" x14ac:dyDescent="0.25">
      <c r="A57" t="s">
        <v>132</v>
      </c>
      <c r="B57" t="s">
        <v>73</v>
      </c>
      <c r="C57">
        <v>443</v>
      </c>
      <c r="D57">
        <v>66</v>
      </c>
      <c r="E57">
        <v>3</v>
      </c>
      <c r="F57">
        <v>4</v>
      </c>
      <c r="G57">
        <v>45.94</v>
      </c>
      <c r="H57">
        <v>0.92</v>
      </c>
      <c r="I57">
        <v>0.17</v>
      </c>
      <c r="J57" t="s">
        <v>133</v>
      </c>
      <c r="K57" t="s">
        <v>46</v>
      </c>
      <c r="L57">
        <v>92</v>
      </c>
      <c r="M57">
        <v>2.5099999999999998</v>
      </c>
      <c r="N57">
        <v>151.66999999999999</v>
      </c>
      <c r="O57">
        <v>0.21</v>
      </c>
      <c r="P57">
        <v>7</v>
      </c>
      <c r="Q57">
        <v>0.77</v>
      </c>
      <c r="R57">
        <v>269</v>
      </c>
      <c r="S57">
        <v>4.9000000000000004</v>
      </c>
      <c r="T57">
        <v>0.88</v>
      </c>
      <c r="U57" s="1">
        <v>45405</v>
      </c>
      <c r="V57">
        <v>183.63</v>
      </c>
      <c r="W57">
        <v>0.63400000000000001</v>
      </c>
      <c r="X57" t="str">
        <f>IF(WarehouseData[[#This Row],[stock_level]]&lt;=WarehouseData[[#This Row],[reorder_point]],"Low Stock","Sufficient Stock")</f>
        <v>Sufficient Stock</v>
      </c>
      <c r="Y57">
        <f>WarehouseData[[#This Row],[daily_demand]]*WarehouseData[[#This Row],[lead_time_days]]</f>
        <v>183.76</v>
      </c>
      <c r="Z57" t="str">
        <f>IF(WarehouseData[[#This Row],[stock_level]]&lt;=WarehouseData[[#This Row],[Demand During Lead Time]],"At Risk","Safe")</f>
        <v>Safe</v>
      </c>
      <c r="AA57">
        <f>WarehouseData[[#This Row],[stock_level]]/WarehouseData[[#This Row],[daily_demand]]</f>
        <v>9.6430126251632569</v>
      </c>
      <c r="AB57">
        <f>WarehouseData[[#This Row],[stock_level]]*WarehouseData[[#This Row],[unit_price]]</f>
        <v>67189.81</v>
      </c>
      <c r="AC57">
        <f>WarehouseData[[#This Row],[stock_level]]*WarehouseData[[#This Row],[holding_cost_per_unit_day]]*30</f>
        <v>2790.9</v>
      </c>
      <c r="AD57" t="str">
        <f>IF(WarehouseData[[#This Row],[order_fulfillment_rate]]&gt;=0.9,"Strong",IF(WarehouseData[[#This Row],[order_fulfillment_rate]]&gt;=0.8,"Moderate","Needs Attention"))</f>
        <v>Needs Attention</v>
      </c>
      <c r="AE57" t="str">
        <f>IF(WarehouseData[[#This Row],[picking_time_seconds]]&gt;120,"Slow",IF(WarehouseData[[#This Row],[picking_time_seconds]]&gt;=60,"Average","Fast"))</f>
        <v>Average</v>
      </c>
    </row>
    <row r="58" spans="1:31" x14ac:dyDescent="0.25">
      <c r="A58" t="s">
        <v>134</v>
      </c>
      <c r="B58" t="s">
        <v>32</v>
      </c>
      <c r="C58">
        <v>164</v>
      </c>
      <c r="D58">
        <v>16</v>
      </c>
      <c r="E58">
        <v>7</v>
      </c>
      <c r="F58">
        <v>9</v>
      </c>
      <c r="G58">
        <v>49.92</v>
      </c>
      <c r="H58">
        <v>3.05</v>
      </c>
      <c r="I58">
        <v>0.85</v>
      </c>
      <c r="J58" t="s">
        <v>135</v>
      </c>
      <c r="K58" t="s">
        <v>46</v>
      </c>
      <c r="L58">
        <v>165</v>
      </c>
      <c r="M58">
        <v>2.42</v>
      </c>
      <c r="N58">
        <v>32.770000000000003</v>
      </c>
      <c r="O58">
        <v>1.1200000000000001</v>
      </c>
      <c r="P58">
        <v>0</v>
      </c>
      <c r="Q58">
        <v>0.8</v>
      </c>
      <c r="R58">
        <v>634</v>
      </c>
      <c r="S58">
        <v>3.64</v>
      </c>
      <c r="T58">
        <v>0.44</v>
      </c>
      <c r="U58" s="1">
        <v>45366</v>
      </c>
      <c r="V58">
        <v>127.88</v>
      </c>
      <c r="W58">
        <v>0.58499999999999996</v>
      </c>
      <c r="X58" t="str">
        <f>IF(WarehouseData[[#This Row],[stock_level]]&lt;=WarehouseData[[#This Row],[reorder_point]],"Low Stock","Sufficient Stock")</f>
        <v>Sufficient Stock</v>
      </c>
      <c r="Y58">
        <f>WarehouseData[[#This Row],[daily_demand]]*WarehouseData[[#This Row],[lead_time_days]]</f>
        <v>449.28000000000003</v>
      </c>
      <c r="Z58" t="str">
        <f>IF(WarehouseData[[#This Row],[stock_level]]&lt;=WarehouseData[[#This Row],[Demand During Lead Time]],"At Risk","Safe")</f>
        <v>At Risk</v>
      </c>
      <c r="AA58">
        <f>WarehouseData[[#This Row],[stock_level]]/WarehouseData[[#This Row],[daily_demand]]</f>
        <v>3.2852564102564101</v>
      </c>
      <c r="AB58">
        <f>WarehouseData[[#This Row],[stock_level]]*WarehouseData[[#This Row],[unit_price]]</f>
        <v>5374.2800000000007</v>
      </c>
      <c r="AC58">
        <f>WarehouseData[[#This Row],[stock_level]]*WarehouseData[[#This Row],[holding_cost_per_unit_day]]*30</f>
        <v>5510.4000000000005</v>
      </c>
      <c r="AD58" t="str">
        <f>IF(WarehouseData[[#This Row],[order_fulfillment_rate]]&gt;=0.9,"Strong",IF(WarehouseData[[#This Row],[order_fulfillment_rate]]&gt;=0.8,"Moderate","Needs Attention"))</f>
        <v>Moderate</v>
      </c>
      <c r="AE58" t="str">
        <f>IF(WarehouseData[[#This Row],[picking_time_seconds]]&gt;120,"Slow",IF(WarehouseData[[#This Row],[picking_time_seconds]]&gt;=60,"Average","Fast"))</f>
        <v>Slow</v>
      </c>
    </row>
    <row r="59" spans="1:31" x14ac:dyDescent="0.25">
      <c r="A59" t="s">
        <v>136</v>
      </c>
      <c r="B59" t="s">
        <v>48</v>
      </c>
      <c r="C59">
        <v>394</v>
      </c>
      <c r="D59">
        <v>59</v>
      </c>
      <c r="E59">
        <v>6</v>
      </c>
      <c r="F59">
        <v>8</v>
      </c>
      <c r="G59">
        <v>39.25</v>
      </c>
      <c r="H59">
        <v>1.01</v>
      </c>
      <c r="I59">
        <v>0.49</v>
      </c>
      <c r="J59" t="s">
        <v>137</v>
      </c>
      <c r="K59" t="s">
        <v>38</v>
      </c>
      <c r="L59">
        <v>152</v>
      </c>
      <c r="M59">
        <v>3.32</v>
      </c>
      <c r="N59">
        <v>157.93</v>
      </c>
      <c r="O59">
        <v>0.74</v>
      </c>
      <c r="P59">
        <v>1</v>
      </c>
      <c r="Q59">
        <v>0.85</v>
      </c>
      <c r="R59">
        <v>239</v>
      </c>
      <c r="S59">
        <v>7.28</v>
      </c>
      <c r="T59">
        <v>0.82</v>
      </c>
      <c r="U59" s="1">
        <v>45300</v>
      </c>
      <c r="V59">
        <v>160.24</v>
      </c>
      <c r="W59">
        <v>0.73699999999999999</v>
      </c>
      <c r="X59" t="str">
        <f>IF(WarehouseData[[#This Row],[stock_level]]&lt;=WarehouseData[[#This Row],[reorder_point]],"Low Stock","Sufficient Stock")</f>
        <v>Sufficient Stock</v>
      </c>
      <c r="Y59">
        <f>WarehouseData[[#This Row],[daily_demand]]*WarehouseData[[#This Row],[lead_time_days]]</f>
        <v>314</v>
      </c>
      <c r="Z59" t="str">
        <f>IF(WarehouseData[[#This Row],[stock_level]]&lt;=WarehouseData[[#This Row],[Demand During Lead Time]],"At Risk","Safe")</f>
        <v>Safe</v>
      </c>
      <c r="AA59">
        <f>WarehouseData[[#This Row],[stock_level]]/WarehouseData[[#This Row],[daily_demand]]</f>
        <v>10.038216560509554</v>
      </c>
      <c r="AB59">
        <f>WarehouseData[[#This Row],[stock_level]]*WarehouseData[[#This Row],[unit_price]]</f>
        <v>62224.420000000006</v>
      </c>
      <c r="AC59">
        <f>WarehouseData[[#This Row],[stock_level]]*WarehouseData[[#This Row],[holding_cost_per_unit_day]]*30</f>
        <v>8746.7999999999993</v>
      </c>
      <c r="AD59" t="str">
        <f>IF(WarehouseData[[#This Row],[order_fulfillment_rate]]&gt;=0.9,"Strong",IF(WarehouseData[[#This Row],[order_fulfillment_rate]]&gt;=0.8,"Moderate","Needs Attention"))</f>
        <v>Moderate</v>
      </c>
      <c r="AE59" t="str">
        <f>IF(WarehouseData[[#This Row],[picking_time_seconds]]&gt;120,"Slow",IF(WarehouseData[[#This Row],[picking_time_seconds]]&gt;=60,"Average","Fast"))</f>
        <v>Slow</v>
      </c>
    </row>
    <row r="60" spans="1:31" x14ac:dyDescent="0.25">
      <c r="A60" t="s">
        <v>138</v>
      </c>
      <c r="B60" t="s">
        <v>32</v>
      </c>
      <c r="C60">
        <v>181</v>
      </c>
      <c r="D60">
        <v>61</v>
      </c>
      <c r="E60">
        <v>3</v>
      </c>
      <c r="F60">
        <v>7</v>
      </c>
      <c r="G60">
        <v>15.05</v>
      </c>
      <c r="H60">
        <v>9.2799999999999994</v>
      </c>
      <c r="I60">
        <v>0.1</v>
      </c>
      <c r="J60" t="s">
        <v>139</v>
      </c>
      <c r="K60" t="s">
        <v>38</v>
      </c>
      <c r="L60">
        <v>10</v>
      </c>
      <c r="M60">
        <v>3.8</v>
      </c>
      <c r="N60">
        <v>80.41</v>
      </c>
      <c r="O60">
        <v>1.8</v>
      </c>
      <c r="P60">
        <v>5</v>
      </c>
      <c r="Q60">
        <v>0.77</v>
      </c>
      <c r="R60">
        <v>924</v>
      </c>
      <c r="S60">
        <v>13.56</v>
      </c>
      <c r="T60">
        <v>0.26</v>
      </c>
      <c r="U60" s="1">
        <v>45425</v>
      </c>
      <c r="V60">
        <v>217.18</v>
      </c>
      <c r="W60">
        <v>0.50700000000000001</v>
      </c>
      <c r="X60" t="str">
        <f>IF(WarehouseData[[#This Row],[stock_level]]&lt;=WarehouseData[[#This Row],[reorder_point]],"Low Stock","Sufficient Stock")</f>
        <v>Sufficient Stock</v>
      </c>
      <c r="Y60">
        <f>WarehouseData[[#This Row],[daily_demand]]*WarehouseData[[#This Row],[lead_time_days]]</f>
        <v>105.35000000000001</v>
      </c>
      <c r="Z60" t="str">
        <f>IF(WarehouseData[[#This Row],[stock_level]]&lt;=WarehouseData[[#This Row],[Demand During Lead Time]],"At Risk","Safe")</f>
        <v>Safe</v>
      </c>
      <c r="AA60">
        <f>WarehouseData[[#This Row],[stock_level]]/WarehouseData[[#This Row],[daily_demand]]</f>
        <v>12.0265780730897</v>
      </c>
      <c r="AB60">
        <f>WarehouseData[[#This Row],[stock_level]]*WarehouseData[[#This Row],[unit_price]]</f>
        <v>14554.21</v>
      </c>
      <c r="AC60">
        <f>WarehouseData[[#This Row],[stock_level]]*WarehouseData[[#This Row],[holding_cost_per_unit_day]]*30</f>
        <v>9774</v>
      </c>
      <c r="AD60" t="str">
        <f>IF(WarehouseData[[#This Row],[order_fulfillment_rate]]&gt;=0.9,"Strong",IF(WarehouseData[[#This Row],[order_fulfillment_rate]]&gt;=0.8,"Moderate","Needs Attention"))</f>
        <v>Needs Attention</v>
      </c>
      <c r="AE60" t="str">
        <f>IF(WarehouseData[[#This Row],[picking_time_seconds]]&gt;120,"Slow",IF(WarehouseData[[#This Row],[picking_time_seconds]]&gt;=60,"Average","Fast"))</f>
        <v>Fast</v>
      </c>
    </row>
    <row r="61" spans="1:31" x14ac:dyDescent="0.25">
      <c r="A61" t="s">
        <v>140</v>
      </c>
      <c r="B61" t="s">
        <v>48</v>
      </c>
      <c r="C61">
        <v>253</v>
      </c>
      <c r="D61">
        <v>42</v>
      </c>
      <c r="E61">
        <v>6</v>
      </c>
      <c r="F61">
        <v>7</v>
      </c>
      <c r="G61">
        <v>20.72</v>
      </c>
      <c r="H61">
        <v>6.79</v>
      </c>
      <c r="I61">
        <v>0.89</v>
      </c>
      <c r="J61" t="s">
        <v>120</v>
      </c>
      <c r="K61" t="s">
        <v>34</v>
      </c>
      <c r="L61">
        <v>116</v>
      </c>
      <c r="M61">
        <v>4.03</v>
      </c>
      <c r="N61">
        <v>139.08000000000001</v>
      </c>
      <c r="O61">
        <v>1.1599999999999999</v>
      </c>
      <c r="P61">
        <v>7</v>
      </c>
      <c r="Q61">
        <v>0.93</v>
      </c>
      <c r="R61">
        <v>311</v>
      </c>
      <c r="S61">
        <v>12</v>
      </c>
      <c r="T61">
        <v>0.71</v>
      </c>
      <c r="U61" s="1">
        <v>45575</v>
      </c>
      <c r="V61">
        <v>113.56</v>
      </c>
      <c r="W61">
        <v>0.63200000000000001</v>
      </c>
      <c r="X61" t="str">
        <f>IF(WarehouseData[[#This Row],[stock_level]]&lt;=WarehouseData[[#This Row],[reorder_point]],"Low Stock","Sufficient Stock")</f>
        <v>Sufficient Stock</v>
      </c>
      <c r="Y61">
        <f>WarehouseData[[#This Row],[daily_demand]]*WarehouseData[[#This Row],[lead_time_days]]</f>
        <v>145.04</v>
      </c>
      <c r="Z61" t="str">
        <f>IF(WarehouseData[[#This Row],[stock_level]]&lt;=WarehouseData[[#This Row],[Demand During Lead Time]],"At Risk","Safe")</f>
        <v>Safe</v>
      </c>
      <c r="AA61">
        <f>WarehouseData[[#This Row],[stock_level]]/WarehouseData[[#This Row],[daily_demand]]</f>
        <v>12.210424710424711</v>
      </c>
      <c r="AB61">
        <f>WarehouseData[[#This Row],[stock_level]]*WarehouseData[[#This Row],[unit_price]]</f>
        <v>35187.240000000005</v>
      </c>
      <c r="AC61">
        <f>WarehouseData[[#This Row],[stock_level]]*WarehouseData[[#This Row],[holding_cost_per_unit_day]]*30</f>
        <v>8804.4</v>
      </c>
      <c r="AD61" t="str">
        <f>IF(WarehouseData[[#This Row],[order_fulfillment_rate]]&gt;=0.9,"Strong",IF(WarehouseData[[#This Row],[order_fulfillment_rate]]&gt;=0.8,"Moderate","Needs Attention"))</f>
        <v>Strong</v>
      </c>
      <c r="AE61" t="str">
        <f>IF(WarehouseData[[#This Row],[picking_time_seconds]]&gt;120,"Slow",IF(WarehouseData[[#This Row],[picking_time_seconds]]&gt;=60,"Average","Fast"))</f>
        <v>Average</v>
      </c>
    </row>
    <row r="62" spans="1:31" x14ac:dyDescent="0.25">
      <c r="A62" t="s">
        <v>141</v>
      </c>
      <c r="B62" t="s">
        <v>48</v>
      </c>
      <c r="C62">
        <v>399</v>
      </c>
      <c r="D62">
        <v>10</v>
      </c>
      <c r="E62">
        <v>5</v>
      </c>
      <c r="F62">
        <v>4</v>
      </c>
      <c r="G62">
        <v>37.24</v>
      </c>
      <c r="H62">
        <v>8.92</v>
      </c>
      <c r="I62">
        <v>0.89</v>
      </c>
      <c r="J62" t="s">
        <v>142</v>
      </c>
      <c r="K62" t="s">
        <v>52</v>
      </c>
      <c r="L62">
        <v>37</v>
      </c>
      <c r="M62">
        <v>3.42</v>
      </c>
      <c r="N62">
        <v>137.59</v>
      </c>
      <c r="O62">
        <v>1.54</v>
      </c>
      <c r="P62">
        <v>3</v>
      </c>
      <c r="Q62">
        <v>0.91</v>
      </c>
      <c r="R62">
        <v>193</v>
      </c>
      <c r="S62">
        <v>14.54</v>
      </c>
      <c r="T62">
        <v>0.49</v>
      </c>
      <c r="U62" s="1">
        <v>45591</v>
      </c>
      <c r="V62">
        <v>116.45</v>
      </c>
      <c r="W62">
        <v>0.66</v>
      </c>
      <c r="X62" t="str">
        <f>IF(WarehouseData[[#This Row],[stock_level]]&lt;=WarehouseData[[#This Row],[reorder_point]],"Low Stock","Sufficient Stock")</f>
        <v>Sufficient Stock</v>
      </c>
      <c r="Y62">
        <f>WarehouseData[[#This Row],[daily_demand]]*WarehouseData[[#This Row],[lead_time_days]]</f>
        <v>148.96</v>
      </c>
      <c r="Z62" t="str">
        <f>IF(WarehouseData[[#This Row],[stock_level]]&lt;=WarehouseData[[#This Row],[Demand During Lead Time]],"At Risk","Safe")</f>
        <v>Safe</v>
      </c>
      <c r="AA62">
        <f>WarehouseData[[#This Row],[stock_level]]/WarehouseData[[#This Row],[daily_demand]]</f>
        <v>10.714285714285714</v>
      </c>
      <c r="AB62">
        <f>WarehouseData[[#This Row],[stock_level]]*WarehouseData[[#This Row],[unit_price]]</f>
        <v>54898.41</v>
      </c>
      <c r="AC62">
        <f>WarehouseData[[#This Row],[stock_level]]*WarehouseData[[#This Row],[holding_cost_per_unit_day]]*30</f>
        <v>18433.800000000003</v>
      </c>
      <c r="AD62" t="str">
        <f>IF(WarehouseData[[#This Row],[order_fulfillment_rate]]&gt;=0.9,"Strong",IF(WarehouseData[[#This Row],[order_fulfillment_rate]]&gt;=0.8,"Moderate","Needs Attention"))</f>
        <v>Strong</v>
      </c>
      <c r="AE62" t="str">
        <f>IF(WarehouseData[[#This Row],[picking_time_seconds]]&gt;120,"Slow",IF(WarehouseData[[#This Row],[picking_time_seconds]]&gt;=60,"Average","Fast"))</f>
        <v>Fast</v>
      </c>
    </row>
    <row r="63" spans="1:31" x14ac:dyDescent="0.25">
      <c r="A63" t="s">
        <v>143</v>
      </c>
      <c r="B63" t="s">
        <v>32</v>
      </c>
      <c r="C63">
        <v>163</v>
      </c>
      <c r="D63">
        <v>62</v>
      </c>
      <c r="E63">
        <v>4</v>
      </c>
      <c r="F63">
        <v>9</v>
      </c>
      <c r="G63">
        <v>48.46</v>
      </c>
      <c r="H63">
        <v>7.31</v>
      </c>
      <c r="I63">
        <v>0.83</v>
      </c>
      <c r="J63" t="s">
        <v>144</v>
      </c>
      <c r="K63" t="s">
        <v>52</v>
      </c>
      <c r="L63">
        <v>59</v>
      </c>
      <c r="M63">
        <v>2.4700000000000002</v>
      </c>
      <c r="N63">
        <v>160.78</v>
      </c>
      <c r="O63">
        <v>1.41</v>
      </c>
      <c r="P63">
        <v>3</v>
      </c>
      <c r="Q63">
        <v>0.78</v>
      </c>
      <c r="R63">
        <v>534</v>
      </c>
      <c r="S63">
        <v>8.57</v>
      </c>
      <c r="T63">
        <v>0.42</v>
      </c>
      <c r="U63" s="1">
        <v>45588</v>
      </c>
      <c r="V63">
        <v>32.270000000000003</v>
      </c>
      <c r="W63">
        <v>0.55300000000000005</v>
      </c>
      <c r="X63" t="str">
        <f>IF(WarehouseData[[#This Row],[stock_level]]&lt;=WarehouseData[[#This Row],[reorder_point]],"Low Stock","Sufficient Stock")</f>
        <v>Sufficient Stock</v>
      </c>
      <c r="Y63">
        <f>WarehouseData[[#This Row],[daily_demand]]*WarehouseData[[#This Row],[lead_time_days]]</f>
        <v>436.14</v>
      </c>
      <c r="Z63" t="str">
        <f>IF(WarehouseData[[#This Row],[stock_level]]&lt;=WarehouseData[[#This Row],[Demand During Lead Time]],"At Risk","Safe")</f>
        <v>At Risk</v>
      </c>
      <c r="AA63">
        <f>WarehouseData[[#This Row],[stock_level]]/WarehouseData[[#This Row],[daily_demand]]</f>
        <v>3.3635988444077589</v>
      </c>
      <c r="AB63">
        <f>WarehouseData[[#This Row],[stock_level]]*WarehouseData[[#This Row],[unit_price]]</f>
        <v>26207.14</v>
      </c>
      <c r="AC63">
        <f>WarehouseData[[#This Row],[stock_level]]*WarehouseData[[#This Row],[holding_cost_per_unit_day]]*30</f>
        <v>6894.9</v>
      </c>
      <c r="AD63" t="str">
        <f>IF(WarehouseData[[#This Row],[order_fulfillment_rate]]&gt;=0.9,"Strong",IF(WarehouseData[[#This Row],[order_fulfillment_rate]]&gt;=0.8,"Moderate","Needs Attention"))</f>
        <v>Needs Attention</v>
      </c>
      <c r="AE63" t="str">
        <f>IF(WarehouseData[[#This Row],[picking_time_seconds]]&gt;120,"Slow",IF(WarehouseData[[#This Row],[picking_time_seconds]]&gt;=60,"Average","Fast"))</f>
        <v>Fast</v>
      </c>
    </row>
    <row r="64" spans="1:31" x14ac:dyDescent="0.25">
      <c r="A64" t="s">
        <v>145</v>
      </c>
      <c r="B64" t="s">
        <v>36</v>
      </c>
      <c r="C64">
        <v>377</v>
      </c>
      <c r="D64">
        <v>69</v>
      </c>
      <c r="E64">
        <v>11</v>
      </c>
      <c r="F64">
        <v>6</v>
      </c>
      <c r="G64">
        <v>23.32</v>
      </c>
      <c r="H64">
        <v>1.75</v>
      </c>
      <c r="I64">
        <v>0.32</v>
      </c>
      <c r="J64" t="s">
        <v>146</v>
      </c>
      <c r="K64" t="s">
        <v>34</v>
      </c>
      <c r="L64">
        <v>44</v>
      </c>
      <c r="M64">
        <v>4.78</v>
      </c>
      <c r="N64">
        <v>142.46</v>
      </c>
      <c r="O64">
        <v>1.0900000000000001</v>
      </c>
      <c r="P64">
        <v>1</v>
      </c>
      <c r="Q64">
        <v>0.73</v>
      </c>
      <c r="R64">
        <v>690</v>
      </c>
      <c r="S64">
        <v>8.15</v>
      </c>
      <c r="T64">
        <v>0.85</v>
      </c>
      <c r="U64" s="1">
        <v>45505</v>
      </c>
      <c r="V64">
        <v>170.06</v>
      </c>
      <c r="W64">
        <v>0.69599999999999995</v>
      </c>
      <c r="X64" t="str">
        <f>IF(WarehouseData[[#This Row],[stock_level]]&lt;=WarehouseData[[#This Row],[reorder_point]],"Low Stock","Sufficient Stock")</f>
        <v>Sufficient Stock</v>
      </c>
      <c r="Y64">
        <f>WarehouseData[[#This Row],[daily_demand]]*WarehouseData[[#This Row],[lead_time_days]]</f>
        <v>139.92000000000002</v>
      </c>
      <c r="Z64" t="str">
        <f>IF(WarehouseData[[#This Row],[stock_level]]&lt;=WarehouseData[[#This Row],[Demand During Lead Time]],"At Risk","Safe")</f>
        <v>Safe</v>
      </c>
      <c r="AA64">
        <f>WarehouseData[[#This Row],[stock_level]]/WarehouseData[[#This Row],[daily_demand]]</f>
        <v>16.166380789022298</v>
      </c>
      <c r="AB64">
        <f>WarehouseData[[#This Row],[stock_level]]*WarehouseData[[#This Row],[unit_price]]</f>
        <v>53707.420000000006</v>
      </c>
      <c r="AC64">
        <f>WarehouseData[[#This Row],[stock_level]]*WarehouseData[[#This Row],[holding_cost_per_unit_day]]*30</f>
        <v>12327.9</v>
      </c>
      <c r="AD64" t="str">
        <f>IF(WarehouseData[[#This Row],[order_fulfillment_rate]]&gt;=0.9,"Strong",IF(WarehouseData[[#This Row],[order_fulfillment_rate]]&gt;=0.8,"Moderate","Needs Attention"))</f>
        <v>Needs Attention</v>
      </c>
      <c r="AE64" t="str">
        <f>IF(WarehouseData[[#This Row],[picking_time_seconds]]&gt;120,"Slow",IF(WarehouseData[[#This Row],[picking_time_seconds]]&gt;=60,"Average","Fast"))</f>
        <v>Fast</v>
      </c>
    </row>
    <row r="65" spans="1:31" x14ac:dyDescent="0.25">
      <c r="A65" t="s">
        <v>147</v>
      </c>
      <c r="B65" t="s">
        <v>48</v>
      </c>
      <c r="C65">
        <v>207</v>
      </c>
      <c r="D65">
        <v>43</v>
      </c>
      <c r="E65">
        <v>13</v>
      </c>
      <c r="F65">
        <v>3</v>
      </c>
      <c r="G65">
        <v>41.65</v>
      </c>
      <c r="H65">
        <v>9.44</v>
      </c>
      <c r="I65">
        <v>0.44</v>
      </c>
      <c r="J65" t="s">
        <v>148</v>
      </c>
      <c r="K65" t="s">
        <v>52</v>
      </c>
      <c r="L65">
        <v>165</v>
      </c>
      <c r="M65">
        <v>3.7</v>
      </c>
      <c r="N65">
        <v>17.38</v>
      </c>
      <c r="O65">
        <v>1.51</v>
      </c>
      <c r="P65">
        <v>9</v>
      </c>
      <c r="Q65">
        <v>0.7</v>
      </c>
      <c r="R65">
        <v>327</v>
      </c>
      <c r="S65">
        <v>1.18</v>
      </c>
      <c r="T65">
        <v>0.24</v>
      </c>
      <c r="U65" s="1">
        <v>45443</v>
      </c>
      <c r="V65">
        <v>130.9</v>
      </c>
      <c r="W65">
        <v>0.27300000000000002</v>
      </c>
      <c r="X65" t="str">
        <f>IF(WarehouseData[[#This Row],[stock_level]]&lt;=WarehouseData[[#This Row],[reorder_point]],"Low Stock","Sufficient Stock")</f>
        <v>Sufficient Stock</v>
      </c>
      <c r="Y65">
        <f>WarehouseData[[#This Row],[daily_demand]]*WarehouseData[[#This Row],[lead_time_days]]</f>
        <v>124.94999999999999</v>
      </c>
      <c r="Z65" t="str">
        <f>IF(WarehouseData[[#This Row],[stock_level]]&lt;=WarehouseData[[#This Row],[Demand During Lead Time]],"At Risk","Safe")</f>
        <v>Safe</v>
      </c>
      <c r="AA65">
        <f>WarehouseData[[#This Row],[stock_level]]/WarehouseData[[#This Row],[daily_demand]]</f>
        <v>4.9699879951980792</v>
      </c>
      <c r="AB65">
        <f>WarehouseData[[#This Row],[stock_level]]*WarehouseData[[#This Row],[unit_price]]</f>
        <v>3597.66</v>
      </c>
      <c r="AC65">
        <f>WarehouseData[[#This Row],[stock_level]]*WarehouseData[[#This Row],[holding_cost_per_unit_day]]*30</f>
        <v>9377.1</v>
      </c>
      <c r="AD65" t="str">
        <f>IF(WarehouseData[[#This Row],[order_fulfillment_rate]]&gt;=0.9,"Strong",IF(WarehouseData[[#This Row],[order_fulfillment_rate]]&gt;=0.8,"Moderate","Needs Attention"))</f>
        <v>Needs Attention</v>
      </c>
      <c r="AE65" t="str">
        <f>IF(WarehouseData[[#This Row],[picking_time_seconds]]&gt;120,"Slow",IF(WarehouseData[[#This Row],[picking_time_seconds]]&gt;=60,"Average","Fast"))</f>
        <v>Slow</v>
      </c>
    </row>
    <row r="66" spans="1:31" x14ac:dyDescent="0.25">
      <c r="A66" t="s">
        <v>149</v>
      </c>
      <c r="B66" t="s">
        <v>48</v>
      </c>
      <c r="C66">
        <v>341</v>
      </c>
      <c r="D66">
        <v>13</v>
      </c>
      <c r="E66">
        <v>3</v>
      </c>
      <c r="F66">
        <v>5</v>
      </c>
      <c r="G66">
        <v>48.78</v>
      </c>
      <c r="H66">
        <v>9.0500000000000007</v>
      </c>
      <c r="I66">
        <v>0.77</v>
      </c>
      <c r="J66" t="s">
        <v>150</v>
      </c>
      <c r="K66" t="s">
        <v>38</v>
      </c>
      <c r="L66">
        <v>146</v>
      </c>
      <c r="M66">
        <v>2.42</v>
      </c>
      <c r="N66">
        <v>108.7</v>
      </c>
      <c r="O66">
        <v>1.1299999999999999</v>
      </c>
      <c r="P66">
        <v>0</v>
      </c>
      <c r="Q66">
        <v>0.88</v>
      </c>
      <c r="R66">
        <v>863</v>
      </c>
      <c r="S66">
        <v>3.53</v>
      </c>
      <c r="T66">
        <v>0.96</v>
      </c>
      <c r="U66" s="1">
        <v>45370</v>
      </c>
      <c r="V66">
        <v>245.56</v>
      </c>
      <c r="W66">
        <v>0.70199999999999996</v>
      </c>
      <c r="X66" t="str">
        <f>IF(WarehouseData[[#This Row],[stock_level]]&lt;=WarehouseData[[#This Row],[reorder_point]],"Low Stock","Sufficient Stock")</f>
        <v>Sufficient Stock</v>
      </c>
      <c r="Y66">
        <f>WarehouseData[[#This Row],[daily_demand]]*WarehouseData[[#This Row],[lead_time_days]]</f>
        <v>243.9</v>
      </c>
      <c r="Z66" t="str">
        <f>IF(WarehouseData[[#This Row],[stock_level]]&lt;=WarehouseData[[#This Row],[Demand During Lead Time]],"At Risk","Safe")</f>
        <v>Safe</v>
      </c>
      <c r="AA66">
        <f>WarehouseData[[#This Row],[stock_level]]/WarehouseData[[#This Row],[daily_demand]]</f>
        <v>6.9905699056990569</v>
      </c>
      <c r="AB66">
        <f>WarehouseData[[#This Row],[stock_level]]*WarehouseData[[#This Row],[unit_price]]</f>
        <v>37066.700000000004</v>
      </c>
      <c r="AC66">
        <f>WarehouseData[[#This Row],[stock_level]]*WarehouseData[[#This Row],[holding_cost_per_unit_day]]*30</f>
        <v>11559.9</v>
      </c>
      <c r="AD66" t="str">
        <f>IF(WarehouseData[[#This Row],[order_fulfillment_rate]]&gt;=0.9,"Strong",IF(WarehouseData[[#This Row],[order_fulfillment_rate]]&gt;=0.8,"Moderate","Needs Attention"))</f>
        <v>Moderate</v>
      </c>
      <c r="AE66" t="str">
        <f>IF(WarehouseData[[#This Row],[picking_time_seconds]]&gt;120,"Slow",IF(WarehouseData[[#This Row],[picking_time_seconds]]&gt;=60,"Average","Fast"))</f>
        <v>Slow</v>
      </c>
    </row>
    <row r="67" spans="1:31" x14ac:dyDescent="0.25">
      <c r="A67" t="s">
        <v>151</v>
      </c>
      <c r="B67" t="s">
        <v>32</v>
      </c>
      <c r="C67">
        <v>469</v>
      </c>
      <c r="D67">
        <v>26</v>
      </c>
      <c r="E67">
        <v>9</v>
      </c>
      <c r="F67">
        <v>5</v>
      </c>
      <c r="G67">
        <v>43.8</v>
      </c>
      <c r="H67">
        <v>3.81</v>
      </c>
      <c r="I67">
        <v>0.54</v>
      </c>
      <c r="J67" t="s">
        <v>152</v>
      </c>
      <c r="K67" t="s">
        <v>46</v>
      </c>
      <c r="L67">
        <v>161</v>
      </c>
      <c r="M67">
        <v>2.5099999999999998</v>
      </c>
      <c r="N67">
        <v>41.57</v>
      </c>
      <c r="O67">
        <v>0.83</v>
      </c>
      <c r="P67">
        <v>9</v>
      </c>
      <c r="Q67">
        <v>0.76</v>
      </c>
      <c r="R67">
        <v>751</v>
      </c>
      <c r="S67">
        <v>7.97</v>
      </c>
      <c r="T67">
        <v>0.83</v>
      </c>
      <c r="U67" s="1">
        <v>45392</v>
      </c>
      <c r="V67">
        <v>137.38999999999999</v>
      </c>
      <c r="W67">
        <v>0.56100000000000005</v>
      </c>
      <c r="X67" t="str">
        <f>IF(WarehouseData[[#This Row],[stock_level]]&lt;=WarehouseData[[#This Row],[reorder_point]],"Low Stock","Sufficient Stock")</f>
        <v>Sufficient Stock</v>
      </c>
      <c r="Y67">
        <f>WarehouseData[[#This Row],[daily_demand]]*WarehouseData[[#This Row],[lead_time_days]]</f>
        <v>219</v>
      </c>
      <c r="Z67" t="str">
        <f>IF(WarehouseData[[#This Row],[stock_level]]&lt;=WarehouseData[[#This Row],[Demand During Lead Time]],"At Risk","Safe")</f>
        <v>Safe</v>
      </c>
      <c r="AA67">
        <f>WarehouseData[[#This Row],[stock_level]]/WarehouseData[[#This Row],[daily_demand]]</f>
        <v>10.707762557077626</v>
      </c>
      <c r="AB67">
        <f>WarehouseData[[#This Row],[stock_level]]*WarehouseData[[#This Row],[unit_price]]</f>
        <v>19496.330000000002</v>
      </c>
      <c r="AC67">
        <f>WarehouseData[[#This Row],[stock_level]]*WarehouseData[[#This Row],[holding_cost_per_unit_day]]*30</f>
        <v>11678.099999999999</v>
      </c>
      <c r="AD67" t="str">
        <f>IF(WarehouseData[[#This Row],[order_fulfillment_rate]]&gt;=0.9,"Strong",IF(WarehouseData[[#This Row],[order_fulfillment_rate]]&gt;=0.8,"Moderate","Needs Attention"))</f>
        <v>Needs Attention</v>
      </c>
      <c r="AE67" t="str">
        <f>IF(WarehouseData[[#This Row],[picking_time_seconds]]&gt;120,"Slow",IF(WarehouseData[[#This Row],[picking_time_seconds]]&gt;=60,"Average","Fast"))</f>
        <v>Slow</v>
      </c>
    </row>
    <row r="68" spans="1:31" x14ac:dyDescent="0.25">
      <c r="A68" t="s">
        <v>153</v>
      </c>
      <c r="B68" t="s">
        <v>48</v>
      </c>
      <c r="C68">
        <v>493</v>
      </c>
      <c r="D68">
        <v>13</v>
      </c>
      <c r="E68">
        <v>6</v>
      </c>
      <c r="F68">
        <v>3</v>
      </c>
      <c r="G68">
        <v>12.13</v>
      </c>
      <c r="H68">
        <v>1.56</v>
      </c>
      <c r="I68">
        <v>0.24</v>
      </c>
      <c r="J68" t="s">
        <v>154</v>
      </c>
      <c r="K68" t="s">
        <v>52</v>
      </c>
      <c r="L68">
        <v>141</v>
      </c>
      <c r="M68">
        <v>4.18</v>
      </c>
      <c r="N68">
        <v>194.29</v>
      </c>
      <c r="O68">
        <v>0.93</v>
      </c>
      <c r="P68">
        <v>8</v>
      </c>
      <c r="Q68">
        <v>0.7</v>
      </c>
      <c r="R68">
        <v>712</v>
      </c>
      <c r="S68">
        <v>11.54</v>
      </c>
      <c r="T68">
        <v>0.48</v>
      </c>
      <c r="U68" s="1">
        <v>45460</v>
      </c>
      <c r="V68">
        <v>291.52999999999997</v>
      </c>
      <c r="W68">
        <v>0.53700000000000003</v>
      </c>
      <c r="X68" t="str">
        <f>IF(WarehouseData[[#This Row],[stock_level]]&lt;=WarehouseData[[#This Row],[reorder_point]],"Low Stock","Sufficient Stock")</f>
        <v>Sufficient Stock</v>
      </c>
      <c r="Y68">
        <f>WarehouseData[[#This Row],[daily_demand]]*WarehouseData[[#This Row],[lead_time_days]]</f>
        <v>36.39</v>
      </c>
      <c r="Z68" t="str">
        <f>IF(WarehouseData[[#This Row],[stock_level]]&lt;=WarehouseData[[#This Row],[Demand During Lead Time]],"At Risk","Safe")</f>
        <v>Safe</v>
      </c>
      <c r="AA68">
        <f>WarehouseData[[#This Row],[stock_level]]/WarehouseData[[#This Row],[daily_demand]]</f>
        <v>40.643033800494642</v>
      </c>
      <c r="AB68">
        <f>WarehouseData[[#This Row],[stock_level]]*WarehouseData[[#This Row],[unit_price]]</f>
        <v>95784.97</v>
      </c>
      <c r="AC68">
        <f>WarehouseData[[#This Row],[stock_level]]*WarehouseData[[#This Row],[holding_cost_per_unit_day]]*30</f>
        <v>13754.7</v>
      </c>
      <c r="AD68" t="str">
        <f>IF(WarehouseData[[#This Row],[order_fulfillment_rate]]&gt;=0.9,"Strong",IF(WarehouseData[[#This Row],[order_fulfillment_rate]]&gt;=0.8,"Moderate","Needs Attention"))</f>
        <v>Needs Attention</v>
      </c>
      <c r="AE68" t="str">
        <f>IF(WarehouseData[[#This Row],[picking_time_seconds]]&gt;120,"Slow",IF(WarehouseData[[#This Row],[picking_time_seconds]]&gt;=60,"Average","Fast"))</f>
        <v>Slow</v>
      </c>
    </row>
    <row r="69" spans="1:31" x14ac:dyDescent="0.25">
      <c r="A69" t="s">
        <v>155</v>
      </c>
      <c r="B69" t="s">
        <v>48</v>
      </c>
      <c r="C69">
        <v>32</v>
      </c>
      <c r="D69">
        <v>52</v>
      </c>
      <c r="E69">
        <v>7</v>
      </c>
      <c r="F69">
        <v>3</v>
      </c>
      <c r="G69">
        <v>1.39</v>
      </c>
      <c r="H69">
        <v>7.19</v>
      </c>
      <c r="I69">
        <v>0.32</v>
      </c>
      <c r="J69" t="s">
        <v>156</v>
      </c>
      <c r="K69" t="s">
        <v>46</v>
      </c>
      <c r="L69">
        <v>50</v>
      </c>
      <c r="M69">
        <v>2.48</v>
      </c>
      <c r="N69">
        <v>58.61</v>
      </c>
      <c r="O69">
        <v>1.69</v>
      </c>
      <c r="P69">
        <v>6</v>
      </c>
      <c r="Q69">
        <v>0.81</v>
      </c>
      <c r="R69">
        <v>966</v>
      </c>
      <c r="S69">
        <v>12.52</v>
      </c>
      <c r="T69">
        <v>0.99</v>
      </c>
      <c r="U69" s="1">
        <v>45409</v>
      </c>
      <c r="V69">
        <v>59.82</v>
      </c>
      <c r="W69">
        <v>0.63800000000000001</v>
      </c>
      <c r="X69" t="str">
        <f>IF(WarehouseData[[#This Row],[stock_level]]&lt;=WarehouseData[[#This Row],[reorder_point]],"Low Stock","Sufficient Stock")</f>
        <v>Low Stock</v>
      </c>
      <c r="Y69">
        <f>WarehouseData[[#This Row],[daily_demand]]*WarehouseData[[#This Row],[lead_time_days]]</f>
        <v>4.17</v>
      </c>
      <c r="Z69" t="str">
        <f>IF(WarehouseData[[#This Row],[stock_level]]&lt;=WarehouseData[[#This Row],[Demand During Lead Time]],"At Risk","Safe")</f>
        <v>Safe</v>
      </c>
      <c r="AA69">
        <f>WarehouseData[[#This Row],[stock_level]]/WarehouseData[[#This Row],[daily_demand]]</f>
        <v>23.021582733812952</v>
      </c>
      <c r="AB69">
        <f>WarehouseData[[#This Row],[stock_level]]*WarehouseData[[#This Row],[unit_price]]</f>
        <v>1875.52</v>
      </c>
      <c r="AC69">
        <f>WarehouseData[[#This Row],[stock_level]]*WarehouseData[[#This Row],[holding_cost_per_unit_day]]*30</f>
        <v>1622.3999999999999</v>
      </c>
      <c r="AD69" t="str">
        <f>IF(WarehouseData[[#This Row],[order_fulfillment_rate]]&gt;=0.9,"Strong",IF(WarehouseData[[#This Row],[order_fulfillment_rate]]&gt;=0.8,"Moderate","Needs Attention"))</f>
        <v>Moderate</v>
      </c>
      <c r="AE69" t="str">
        <f>IF(WarehouseData[[#This Row],[picking_time_seconds]]&gt;120,"Slow",IF(WarehouseData[[#This Row],[picking_time_seconds]]&gt;=60,"Average","Fast"))</f>
        <v>Fast</v>
      </c>
    </row>
    <row r="70" spans="1:31" x14ac:dyDescent="0.25">
      <c r="A70" t="s">
        <v>157</v>
      </c>
      <c r="B70" t="s">
        <v>32</v>
      </c>
      <c r="C70">
        <v>203</v>
      </c>
      <c r="D70">
        <v>99</v>
      </c>
      <c r="E70">
        <v>12</v>
      </c>
      <c r="F70">
        <v>9</v>
      </c>
      <c r="G70">
        <v>25.11</v>
      </c>
      <c r="H70">
        <v>7.42</v>
      </c>
      <c r="I70">
        <v>0.98</v>
      </c>
      <c r="J70" t="s">
        <v>158</v>
      </c>
      <c r="K70" t="s">
        <v>46</v>
      </c>
      <c r="L70">
        <v>76</v>
      </c>
      <c r="M70">
        <v>2.82</v>
      </c>
      <c r="N70">
        <v>89.82</v>
      </c>
      <c r="O70">
        <v>1.17</v>
      </c>
      <c r="P70">
        <v>8</v>
      </c>
      <c r="Q70">
        <v>0.99</v>
      </c>
      <c r="R70">
        <v>356</v>
      </c>
      <c r="S70">
        <v>4.97</v>
      </c>
      <c r="T70">
        <v>0.36</v>
      </c>
      <c r="U70" s="1">
        <v>45486</v>
      </c>
      <c r="V70">
        <v>87.45</v>
      </c>
      <c r="W70">
        <v>0.45900000000000002</v>
      </c>
      <c r="X70" t="str">
        <f>IF(WarehouseData[[#This Row],[stock_level]]&lt;=WarehouseData[[#This Row],[reorder_point]],"Low Stock","Sufficient Stock")</f>
        <v>Sufficient Stock</v>
      </c>
      <c r="Y70">
        <f>WarehouseData[[#This Row],[daily_demand]]*WarehouseData[[#This Row],[lead_time_days]]</f>
        <v>225.99</v>
      </c>
      <c r="Z70" t="str">
        <f>IF(WarehouseData[[#This Row],[stock_level]]&lt;=WarehouseData[[#This Row],[Demand During Lead Time]],"At Risk","Safe")</f>
        <v>At Risk</v>
      </c>
      <c r="AA70">
        <f>WarehouseData[[#This Row],[stock_level]]/WarehouseData[[#This Row],[daily_demand]]</f>
        <v>8.0844285145360413</v>
      </c>
      <c r="AB70">
        <f>WarehouseData[[#This Row],[stock_level]]*WarehouseData[[#This Row],[unit_price]]</f>
        <v>18233.46</v>
      </c>
      <c r="AC70">
        <f>WarehouseData[[#This Row],[stock_level]]*WarehouseData[[#This Row],[holding_cost_per_unit_day]]*30</f>
        <v>7125.2999999999993</v>
      </c>
      <c r="AD70" t="str">
        <f>IF(WarehouseData[[#This Row],[order_fulfillment_rate]]&gt;=0.9,"Strong",IF(WarehouseData[[#This Row],[order_fulfillment_rate]]&gt;=0.8,"Moderate","Needs Attention"))</f>
        <v>Strong</v>
      </c>
      <c r="AE70" t="str">
        <f>IF(WarehouseData[[#This Row],[picking_time_seconds]]&gt;120,"Slow",IF(WarehouseData[[#This Row],[picking_time_seconds]]&gt;=60,"Average","Fast"))</f>
        <v>Average</v>
      </c>
    </row>
    <row r="71" spans="1:31" x14ac:dyDescent="0.25">
      <c r="A71" t="s">
        <v>159</v>
      </c>
      <c r="B71" t="s">
        <v>32</v>
      </c>
      <c r="C71">
        <v>130</v>
      </c>
      <c r="D71">
        <v>13</v>
      </c>
      <c r="E71">
        <v>7</v>
      </c>
      <c r="F71">
        <v>6</v>
      </c>
      <c r="G71">
        <v>27.04</v>
      </c>
      <c r="H71">
        <v>9.02</v>
      </c>
      <c r="I71">
        <v>0.24</v>
      </c>
      <c r="J71" t="s">
        <v>160</v>
      </c>
      <c r="K71" t="s">
        <v>38</v>
      </c>
      <c r="L71">
        <v>57</v>
      </c>
      <c r="M71">
        <v>1.81</v>
      </c>
      <c r="N71">
        <v>47.37</v>
      </c>
      <c r="O71">
        <v>0.82</v>
      </c>
      <c r="P71">
        <v>1</v>
      </c>
      <c r="Q71">
        <v>0.91</v>
      </c>
      <c r="R71">
        <v>945</v>
      </c>
      <c r="S71">
        <v>10.97</v>
      </c>
      <c r="T71">
        <v>0.52</v>
      </c>
      <c r="U71" s="1">
        <v>45583</v>
      </c>
      <c r="V71">
        <v>123.65</v>
      </c>
      <c r="W71">
        <v>0.73</v>
      </c>
      <c r="X71" t="str">
        <f>IF(WarehouseData[[#This Row],[stock_level]]&lt;=WarehouseData[[#This Row],[reorder_point]],"Low Stock","Sufficient Stock")</f>
        <v>Sufficient Stock</v>
      </c>
      <c r="Y71">
        <f>WarehouseData[[#This Row],[daily_demand]]*WarehouseData[[#This Row],[lead_time_days]]</f>
        <v>162.24</v>
      </c>
      <c r="Z71" t="str">
        <f>IF(WarehouseData[[#This Row],[stock_level]]&lt;=WarehouseData[[#This Row],[Demand During Lead Time]],"At Risk","Safe")</f>
        <v>At Risk</v>
      </c>
      <c r="AA71">
        <f>WarehouseData[[#This Row],[stock_level]]/WarehouseData[[#This Row],[daily_demand]]</f>
        <v>4.8076923076923075</v>
      </c>
      <c r="AB71">
        <f>WarehouseData[[#This Row],[stock_level]]*WarehouseData[[#This Row],[unit_price]]</f>
        <v>6158.0999999999995</v>
      </c>
      <c r="AC71">
        <f>WarehouseData[[#This Row],[stock_level]]*WarehouseData[[#This Row],[holding_cost_per_unit_day]]*30</f>
        <v>3198</v>
      </c>
      <c r="AD71" t="str">
        <f>IF(WarehouseData[[#This Row],[order_fulfillment_rate]]&gt;=0.9,"Strong",IF(WarehouseData[[#This Row],[order_fulfillment_rate]]&gt;=0.8,"Moderate","Needs Attention"))</f>
        <v>Strong</v>
      </c>
      <c r="AE71" t="str">
        <f>IF(WarehouseData[[#This Row],[picking_time_seconds]]&gt;120,"Slow",IF(WarehouseData[[#This Row],[picking_time_seconds]]&gt;=60,"Average","Fast"))</f>
        <v>Fast</v>
      </c>
    </row>
    <row r="72" spans="1:31" x14ac:dyDescent="0.25">
      <c r="A72" t="s">
        <v>161</v>
      </c>
      <c r="B72" t="s">
        <v>73</v>
      </c>
      <c r="C72">
        <v>434</v>
      </c>
      <c r="D72">
        <v>10</v>
      </c>
      <c r="E72">
        <v>3</v>
      </c>
      <c r="F72">
        <v>4</v>
      </c>
      <c r="G72">
        <v>10.86</v>
      </c>
      <c r="H72">
        <v>1</v>
      </c>
      <c r="I72">
        <v>0.75</v>
      </c>
      <c r="J72" t="s">
        <v>131</v>
      </c>
      <c r="K72" t="s">
        <v>46</v>
      </c>
      <c r="L72">
        <v>95</v>
      </c>
      <c r="M72">
        <v>4.28</v>
      </c>
      <c r="N72">
        <v>35.57</v>
      </c>
      <c r="O72">
        <v>0.44</v>
      </c>
      <c r="P72">
        <v>9</v>
      </c>
      <c r="Q72">
        <v>0.96</v>
      </c>
      <c r="R72">
        <v>656</v>
      </c>
      <c r="S72">
        <v>12.6</v>
      </c>
      <c r="T72">
        <v>0.91</v>
      </c>
      <c r="U72" s="1">
        <v>45417</v>
      </c>
      <c r="V72">
        <v>59.42</v>
      </c>
      <c r="W72">
        <v>0.71799999999999997</v>
      </c>
      <c r="X72" t="str">
        <f>IF(WarehouseData[[#This Row],[stock_level]]&lt;=WarehouseData[[#This Row],[reorder_point]],"Low Stock","Sufficient Stock")</f>
        <v>Sufficient Stock</v>
      </c>
      <c r="Y72">
        <f>WarehouseData[[#This Row],[daily_demand]]*WarehouseData[[#This Row],[lead_time_days]]</f>
        <v>43.44</v>
      </c>
      <c r="Z72" t="str">
        <f>IF(WarehouseData[[#This Row],[stock_level]]&lt;=WarehouseData[[#This Row],[Demand During Lead Time]],"At Risk","Safe")</f>
        <v>Safe</v>
      </c>
      <c r="AA72">
        <f>WarehouseData[[#This Row],[stock_level]]/WarehouseData[[#This Row],[daily_demand]]</f>
        <v>39.963167587476981</v>
      </c>
      <c r="AB72">
        <f>WarehouseData[[#This Row],[stock_level]]*WarehouseData[[#This Row],[unit_price]]</f>
        <v>15437.380000000001</v>
      </c>
      <c r="AC72">
        <f>WarehouseData[[#This Row],[stock_level]]*WarehouseData[[#This Row],[holding_cost_per_unit_day]]*30</f>
        <v>5728.8</v>
      </c>
      <c r="AD72" t="str">
        <f>IF(WarehouseData[[#This Row],[order_fulfillment_rate]]&gt;=0.9,"Strong",IF(WarehouseData[[#This Row],[order_fulfillment_rate]]&gt;=0.8,"Moderate","Needs Attention"))</f>
        <v>Strong</v>
      </c>
      <c r="AE72" t="str">
        <f>IF(WarehouseData[[#This Row],[picking_time_seconds]]&gt;120,"Slow",IF(WarehouseData[[#This Row],[picking_time_seconds]]&gt;=60,"Average","Fast"))</f>
        <v>Average</v>
      </c>
    </row>
    <row r="73" spans="1:31" x14ac:dyDescent="0.25">
      <c r="A73" t="s">
        <v>162</v>
      </c>
      <c r="B73" t="s">
        <v>36</v>
      </c>
      <c r="C73">
        <v>309</v>
      </c>
      <c r="D73">
        <v>80</v>
      </c>
      <c r="E73">
        <v>8</v>
      </c>
      <c r="F73">
        <v>3</v>
      </c>
      <c r="G73">
        <v>14.95</v>
      </c>
      <c r="H73">
        <v>1.85</v>
      </c>
      <c r="I73">
        <v>0.53</v>
      </c>
      <c r="J73" t="s">
        <v>163</v>
      </c>
      <c r="K73" t="s">
        <v>52</v>
      </c>
      <c r="L73">
        <v>67</v>
      </c>
      <c r="M73">
        <v>2.85</v>
      </c>
      <c r="N73">
        <v>124.18</v>
      </c>
      <c r="O73">
        <v>1.04</v>
      </c>
      <c r="P73">
        <v>4</v>
      </c>
      <c r="Q73">
        <v>0.74</v>
      </c>
      <c r="R73">
        <v>599</v>
      </c>
      <c r="S73">
        <v>6.25</v>
      </c>
      <c r="T73">
        <v>1</v>
      </c>
      <c r="U73" s="1">
        <v>45547</v>
      </c>
      <c r="V73">
        <v>291.97000000000003</v>
      </c>
      <c r="W73">
        <v>0.64700000000000002</v>
      </c>
      <c r="X73" t="str">
        <f>IF(WarehouseData[[#This Row],[stock_level]]&lt;=WarehouseData[[#This Row],[reorder_point]],"Low Stock","Sufficient Stock")</f>
        <v>Sufficient Stock</v>
      </c>
      <c r="Y73">
        <f>WarehouseData[[#This Row],[daily_demand]]*WarehouseData[[#This Row],[lead_time_days]]</f>
        <v>44.849999999999994</v>
      </c>
      <c r="Z73" t="str">
        <f>IF(WarehouseData[[#This Row],[stock_level]]&lt;=WarehouseData[[#This Row],[Demand During Lead Time]],"At Risk","Safe")</f>
        <v>Safe</v>
      </c>
      <c r="AA73">
        <f>WarehouseData[[#This Row],[stock_level]]/WarehouseData[[#This Row],[daily_demand]]</f>
        <v>20.668896321070235</v>
      </c>
      <c r="AB73">
        <f>WarehouseData[[#This Row],[stock_level]]*WarehouseData[[#This Row],[unit_price]]</f>
        <v>38371.620000000003</v>
      </c>
      <c r="AC73">
        <f>WarehouseData[[#This Row],[stock_level]]*WarehouseData[[#This Row],[holding_cost_per_unit_day]]*30</f>
        <v>9640.8000000000011</v>
      </c>
      <c r="AD73" t="str">
        <f>IF(WarehouseData[[#This Row],[order_fulfillment_rate]]&gt;=0.9,"Strong",IF(WarehouseData[[#This Row],[order_fulfillment_rate]]&gt;=0.8,"Moderate","Needs Attention"))</f>
        <v>Needs Attention</v>
      </c>
      <c r="AE73" t="str">
        <f>IF(WarehouseData[[#This Row],[picking_time_seconds]]&gt;120,"Slow",IF(WarehouseData[[#This Row],[picking_time_seconds]]&gt;=60,"Average","Fast"))</f>
        <v>Average</v>
      </c>
    </row>
    <row r="74" spans="1:31" x14ac:dyDescent="0.25">
      <c r="A74" t="s">
        <v>164</v>
      </c>
      <c r="B74" t="s">
        <v>36</v>
      </c>
      <c r="C74">
        <v>314</v>
      </c>
      <c r="D74">
        <v>59</v>
      </c>
      <c r="E74">
        <v>11</v>
      </c>
      <c r="F74">
        <v>4</v>
      </c>
      <c r="G74">
        <v>38.49</v>
      </c>
      <c r="H74">
        <v>6.18</v>
      </c>
      <c r="I74">
        <v>0.77</v>
      </c>
      <c r="J74" t="s">
        <v>77</v>
      </c>
      <c r="K74" t="s">
        <v>38</v>
      </c>
      <c r="L74">
        <v>48</v>
      </c>
      <c r="M74">
        <v>2.99</v>
      </c>
      <c r="N74">
        <v>103.7</v>
      </c>
      <c r="O74">
        <v>0.57999999999999996</v>
      </c>
      <c r="P74">
        <v>1</v>
      </c>
      <c r="Q74">
        <v>0.72</v>
      </c>
      <c r="R74">
        <v>205</v>
      </c>
      <c r="S74">
        <v>10.74</v>
      </c>
      <c r="T74">
        <v>0.39</v>
      </c>
      <c r="U74" s="1">
        <v>45573</v>
      </c>
      <c r="V74">
        <v>195.88</v>
      </c>
      <c r="W74">
        <v>0.68700000000000006</v>
      </c>
      <c r="X74" t="str">
        <f>IF(WarehouseData[[#This Row],[stock_level]]&lt;=WarehouseData[[#This Row],[reorder_point]],"Low Stock","Sufficient Stock")</f>
        <v>Sufficient Stock</v>
      </c>
      <c r="Y74">
        <f>WarehouseData[[#This Row],[daily_demand]]*WarehouseData[[#This Row],[lead_time_days]]</f>
        <v>153.96</v>
      </c>
      <c r="Z74" t="str">
        <f>IF(WarehouseData[[#This Row],[stock_level]]&lt;=WarehouseData[[#This Row],[Demand During Lead Time]],"At Risk","Safe")</f>
        <v>Safe</v>
      </c>
      <c r="AA74">
        <f>WarehouseData[[#This Row],[stock_level]]/WarehouseData[[#This Row],[daily_demand]]</f>
        <v>8.1579631073005974</v>
      </c>
      <c r="AB74">
        <f>WarehouseData[[#This Row],[stock_level]]*WarehouseData[[#This Row],[unit_price]]</f>
        <v>32561.8</v>
      </c>
      <c r="AC74">
        <f>WarehouseData[[#This Row],[stock_level]]*WarehouseData[[#This Row],[holding_cost_per_unit_day]]*30</f>
        <v>5463.5999999999995</v>
      </c>
      <c r="AD74" t="str">
        <f>IF(WarehouseData[[#This Row],[order_fulfillment_rate]]&gt;=0.9,"Strong",IF(WarehouseData[[#This Row],[order_fulfillment_rate]]&gt;=0.8,"Moderate","Needs Attention"))</f>
        <v>Needs Attention</v>
      </c>
      <c r="AE74" t="str">
        <f>IF(WarehouseData[[#This Row],[picking_time_seconds]]&gt;120,"Slow",IF(WarehouseData[[#This Row],[picking_time_seconds]]&gt;=60,"Average","Fast"))</f>
        <v>Fast</v>
      </c>
    </row>
    <row r="75" spans="1:31" x14ac:dyDescent="0.25">
      <c r="A75" t="s">
        <v>165</v>
      </c>
      <c r="B75" t="s">
        <v>48</v>
      </c>
      <c r="C75">
        <v>470</v>
      </c>
      <c r="D75">
        <v>82</v>
      </c>
      <c r="E75">
        <v>4</v>
      </c>
      <c r="F75">
        <v>9</v>
      </c>
      <c r="G75">
        <v>24.05</v>
      </c>
      <c r="H75">
        <v>6.38</v>
      </c>
      <c r="I75">
        <v>0.7</v>
      </c>
      <c r="J75" t="s">
        <v>166</v>
      </c>
      <c r="K75" t="s">
        <v>34</v>
      </c>
      <c r="L75">
        <v>34</v>
      </c>
      <c r="M75">
        <v>4.46</v>
      </c>
      <c r="N75">
        <v>81.19</v>
      </c>
      <c r="O75">
        <v>1.92</v>
      </c>
      <c r="P75">
        <v>9</v>
      </c>
      <c r="Q75">
        <v>0.7</v>
      </c>
      <c r="R75">
        <v>349</v>
      </c>
      <c r="S75">
        <v>7.12</v>
      </c>
      <c r="T75">
        <v>0.79</v>
      </c>
      <c r="U75" s="1">
        <v>45627</v>
      </c>
      <c r="V75">
        <v>13.25</v>
      </c>
      <c r="W75">
        <v>0.42099999999999999</v>
      </c>
      <c r="X75" t="str">
        <f>IF(WarehouseData[[#This Row],[stock_level]]&lt;=WarehouseData[[#This Row],[reorder_point]],"Low Stock","Sufficient Stock")</f>
        <v>Sufficient Stock</v>
      </c>
      <c r="Y75">
        <f>WarehouseData[[#This Row],[daily_demand]]*WarehouseData[[#This Row],[lead_time_days]]</f>
        <v>216.45000000000002</v>
      </c>
      <c r="Z75" t="str">
        <f>IF(WarehouseData[[#This Row],[stock_level]]&lt;=WarehouseData[[#This Row],[Demand During Lead Time]],"At Risk","Safe")</f>
        <v>Safe</v>
      </c>
      <c r="AA75">
        <f>WarehouseData[[#This Row],[stock_level]]/WarehouseData[[#This Row],[daily_demand]]</f>
        <v>19.542619542619541</v>
      </c>
      <c r="AB75">
        <f>WarehouseData[[#This Row],[stock_level]]*WarehouseData[[#This Row],[unit_price]]</f>
        <v>38159.299999999996</v>
      </c>
      <c r="AC75">
        <f>WarehouseData[[#This Row],[stock_level]]*WarehouseData[[#This Row],[holding_cost_per_unit_day]]*30</f>
        <v>27072</v>
      </c>
      <c r="AD75" t="str">
        <f>IF(WarehouseData[[#This Row],[order_fulfillment_rate]]&gt;=0.9,"Strong",IF(WarehouseData[[#This Row],[order_fulfillment_rate]]&gt;=0.8,"Moderate","Needs Attention"))</f>
        <v>Needs Attention</v>
      </c>
      <c r="AE75" t="str">
        <f>IF(WarehouseData[[#This Row],[picking_time_seconds]]&gt;120,"Slow",IF(WarehouseData[[#This Row],[picking_time_seconds]]&gt;=60,"Average","Fast"))</f>
        <v>Fast</v>
      </c>
    </row>
    <row r="76" spans="1:31" x14ac:dyDescent="0.25">
      <c r="A76" t="s">
        <v>167</v>
      </c>
      <c r="B76" t="s">
        <v>36</v>
      </c>
      <c r="C76">
        <v>411</v>
      </c>
      <c r="D76">
        <v>70</v>
      </c>
      <c r="E76">
        <v>9</v>
      </c>
      <c r="F76">
        <v>8</v>
      </c>
      <c r="G76">
        <v>16.55</v>
      </c>
      <c r="H76">
        <v>0.82</v>
      </c>
      <c r="I76">
        <v>0.5</v>
      </c>
      <c r="J76" t="s">
        <v>146</v>
      </c>
      <c r="K76" t="s">
        <v>38</v>
      </c>
      <c r="L76">
        <v>69</v>
      </c>
      <c r="M76">
        <v>4.6399999999999997</v>
      </c>
      <c r="N76">
        <v>26.23</v>
      </c>
      <c r="O76">
        <v>1.03</v>
      </c>
      <c r="P76">
        <v>6</v>
      </c>
      <c r="Q76">
        <v>0.99</v>
      </c>
      <c r="R76">
        <v>396</v>
      </c>
      <c r="S76">
        <v>14.8</v>
      </c>
      <c r="T76">
        <v>0.44</v>
      </c>
      <c r="U76" s="1">
        <v>45642</v>
      </c>
      <c r="V76">
        <v>177.77</v>
      </c>
      <c r="W76">
        <v>0.66</v>
      </c>
      <c r="X76" t="str">
        <f>IF(WarehouseData[[#This Row],[stock_level]]&lt;=WarehouseData[[#This Row],[reorder_point]],"Low Stock","Sufficient Stock")</f>
        <v>Sufficient Stock</v>
      </c>
      <c r="Y76">
        <f>WarehouseData[[#This Row],[daily_demand]]*WarehouseData[[#This Row],[lead_time_days]]</f>
        <v>132.4</v>
      </c>
      <c r="Z76" t="str">
        <f>IF(WarehouseData[[#This Row],[stock_level]]&lt;=WarehouseData[[#This Row],[Demand During Lead Time]],"At Risk","Safe")</f>
        <v>Safe</v>
      </c>
      <c r="AA76">
        <f>WarehouseData[[#This Row],[stock_level]]/WarehouseData[[#This Row],[daily_demand]]</f>
        <v>24.833836858006041</v>
      </c>
      <c r="AB76">
        <f>WarehouseData[[#This Row],[stock_level]]*WarehouseData[[#This Row],[unit_price]]</f>
        <v>10780.53</v>
      </c>
      <c r="AC76">
        <f>WarehouseData[[#This Row],[stock_level]]*WarehouseData[[#This Row],[holding_cost_per_unit_day]]*30</f>
        <v>12699.9</v>
      </c>
      <c r="AD76" t="str">
        <f>IF(WarehouseData[[#This Row],[order_fulfillment_rate]]&gt;=0.9,"Strong",IF(WarehouseData[[#This Row],[order_fulfillment_rate]]&gt;=0.8,"Moderate","Needs Attention"))</f>
        <v>Strong</v>
      </c>
      <c r="AE76" t="str">
        <f>IF(WarehouseData[[#This Row],[picking_time_seconds]]&gt;120,"Slow",IF(WarehouseData[[#This Row],[picking_time_seconds]]&gt;=60,"Average","Fast"))</f>
        <v>Average</v>
      </c>
    </row>
    <row r="77" spans="1:31" x14ac:dyDescent="0.25">
      <c r="A77" t="s">
        <v>168</v>
      </c>
      <c r="B77" t="s">
        <v>48</v>
      </c>
      <c r="C77">
        <v>234</v>
      </c>
      <c r="D77">
        <v>44</v>
      </c>
      <c r="E77">
        <v>8</v>
      </c>
      <c r="F77">
        <v>2</v>
      </c>
      <c r="G77">
        <v>31.51</v>
      </c>
      <c r="H77">
        <v>4.2699999999999996</v>
      </c>
      <c r="I77">
        <v>0.42</v>
      </c>
      <c r="J77" t="s">
        <v>142</v>
      </c>
      <c r="K77" t="s">
        <v>52</v>
      </c>
      <c r="L77">
        <v>126</v>
      </c>
      <c r="M77">
        <v>4.21</v>
      </c>
      <c r="N77">
        <v>149.83000000000001</v>
      </c>
      <c r="O77">
        <v>0.12</v>
      </c>
      <c r="P77">
        <v>8</v>
      </c>
      <c r="Q77">
        <v>0.79</v>
      </c>
      <c r="R77">
        <v>472</v>
      </c>
      <c r="S77">
        <v>1.0900000000000001</v>
      </c>
      <c r="T77">
        <v>0.81</v>
      </c>
      <c r="U77" s="1">
        <v>45464</v>
      </c>
      <c r="V77">
        <v>236.56</v>
      </c>
      <c r="W77">
        <v>0.56299999999999994</v>
      </c>
      <c r="X77" t="str">
        <f>IF(WarehouseData[[#This Row],[stock_level]]&lt;=WarehouseData[[#This Row],[reorder_point]],"Low Stock","Sufficient Stock")</f>
        <v>Sufficient Stock</v>
      </c>
      <c r="Y77">
        <f>WarehouseData[[#This Row],[daily_demand]]*WarehouseData[[#This Row],[lead_time_days]]</f>
        <v>63.02</v>
      </c>
      <c r="Z77" t="str">
        <f>IF(WarehouseData[[#This Row],[stock_level]]&lt;=WarehouseData[[#This Row],[Demand During Lead Time]],"At Risk","Safe")</f>
        <v>Safe</v>
      </c>
      <c r="AA77">
        <f>WarehouseData[[#This Row],[stock_level]]/WarehouseData[[#This Row],[daily_demand]]</f>
        <v>7.4262139003490955</v>
      </c>
      <c r="AB77">
        <f>WarehouseData[[#This Row],[stock_level]]*WarehouseData[[#This Row],[unit_price]]</f>
        <v>35060.22</v>
      </c>
      <c r="AC77">
        <f>WarehouseData[[#This Row],[stock_level]]*WarehouseData[[#This Row],[holding_cost_per_unit_day]]*30</f>
        <v>842.4</v>
      </c>
      <c r="AD77" t="str">
        <f>IF(WarehouseData[[#This Row],[order_fulfillment_rate]]&gt;=0.9,"Strong",IF(WarehouseData[[#This Row],[order_fulfillment_rate]]&gt;=0.8,"Moderate","Needs Attention"))</f>
        <v>Needs Attention</v>
      </c>
      <c r="AE77" t="str">
        <f>IF(WarehouseData[[#This Row],[picking_time_seconds]]&gt;120,"Slow",IF(WarehouseData[[#This Row],[picking_time_seconds]]&gt;=60,"Average","Fast"))</f>
        <v>Slow</v>
      </c>
    </row>
    <row r="78" spans="1:31" x14ac:dyDescent="0.25">
      <c r="A78" t="s">
        <v>169</v>
      </c>
      <c r="B78" t="s">
        <v>73</v>
      </c>
      <c r="C78">
        <v>481</v>
      </c>
      <c r="D78">
        <v>17</v>
      </c>
      <c r="E78">
        <v>7</v>
      </c>
      <c r="F78">
        <v>5</v>
      </c>
      <c r="G78">
        <v>32.99</v>
      </c>
      <c r="H78">
        <v>6.05</v>
      </c>
      <c r="I78">
        <v>0.78</v>
      </c>
      <c r="J78" t="s">
        <v>77</v>
      </c>
      <c r="K78" t="s">
        <v>38</v>
      </c>
      <c r="L78">
        <v>95</v>
      </c>
      <c r="M78">
        <v>0.79</v>
      </c>
      <c r="N78">
        <v>11.11</v>
      </c>
      <c r="O78">
        <v>0.28000000000000003</v>
      </c>
      <c r="P78">
        <v>2</v>
      </c>
      <c r="Q78">
        <v>0.84</v>
      </c>
      <c r="R78">
        <v>475</v>
      </c>
      <c r="S78">
        <v>6.8</v>
      </c>
      <c r="T78">
        <v>0.3</v>
      </c>
      <c r="U78" s="1">
        <v>45423</v>
      </c>
      <c r="V78">
        <v>24.88</v>
      </c>
      <c r="W78">
        <v>0.65100000000000002</v>
      </c>
      <c r="X78" t="str">
        <f>IF(WarehouseData[[#This Row],[stock_level]]&lt;=WarehouseData[[#This Row],[reorder_point]],"Low Stock","Sufficient Stock")</f>
        <v>Sufficient Stock</v>
      </c>
      <c r="Y78">
        <f>WarehouseData[[#This Row],[daily_demand]]*WarehouseData[[#This Row],[lead_time_days]]</f>
        <v>164.95000000000002</v>
      </c>
      <c r="Z78" t="str">
        <f>IF(WarehouseData[[#This Row],[stock_level]]&lt;=WarehouseData[[#This Row],[Demand During Lead Time]],"At Risk","Safe")</f>
        <v>Safe</v>
      </c>
      <c r="AA78">
        <f>WarehouseData[[#This Row],[stock_level]]/WarehouseData[[#This Row],[daily_demand]]</f>
        <v>14.580175810851772</v>
      </c>
      <c r="AB78">
        <f>WarehouseData[[#This Row],[stock_level]]*WarehouseData[[#This Row],[unit_price]]</f>
        <v>5343.91</v>
      </c>
      <c r="AC78">
        <f>WarehouseData[[#This Row],[stock_level]]*WarehouseData[[#This Row],[holding_cost_per_unit_day]]*30</f>
        <v>4040.4</v>
      </c>
      <c r="AD78" t="str">
        <f>IF(WarehouseData[[#This Row],[order_fulfillment_rate]]&gt;=0.9,"Strong",IF(WarehouseData[[#This Row],[order_fulfillment_rate]]&gt;=0.8,"Moderate","Needs Attention"))</f>
        <v>Moderate</v>
      </c>
      <c r="AE78" t="str">
        <f>IF(WarehouseData[[#This Row],[picking_time_seconds]]&gt;120,"Slow",IF(WarehouseData[[#This Row],[picking_time_seconds]]&gt;=60,"Average","Fast"))</f>
        <v>Average</v>
      </c>
    </row>
    <row r="79" spans="1:31" x14ac:dyDescent="0.25">
      <c r="A79" t="s">
        <v>170</v>
      </c>
      <c r="B79" t="s">
        <v>32</v>
      </c>
      <c r="C79">
        <v>139</v>
      </c>
      <c r="D79">
        <v>33</v>
      </c>
      <c r="E79">
        <v>6</v>
      </c>
      <c r="F79">
        <v>6</v>
      </c>
      <c r="G79">
        <v>38.700000000000003</v>
      </c>
      <c r="H79">
        <v>7.51</v>
      </c>
      <c r="I79">
        <v>0.39</v>
      </c>
      <c r="J79" t="s">
        <v>122</v>
      </c>
      <c r="K79" t="s">
        <v>52</v>
      </c>
      <c r="L79">
        <v>123</v>
      </c>
      <c r="M79">
        <v>2.5</v>
      </c>
      <c r="N79">
        <v>96.96</v>
      </c>
      <c r="O79">
        <v>0.64</v>
      </c>
      <c r="P79">
        <v>0</v>
      </c>
      <c r="Q79">
        <v>0.82</v>
      </c>
      <c r="R79">
        <v>91</v>
      </c>
      <c r="S79">
        <v>4.6900000000000004</v>
      </c>
      <c r="T79">
        <v>0.47</v>
      </c>
      <c r="U79" s="1">
        <v>45542</v>
      </c>
      <c r="V79">
        <v>177.6</v>
      </c>
      <c r="W79">
        <v>0.65700000000000003</v>
      </c>
      <c r="X79" t="str">
        <f>IF(WarehouseData[[#This Row],[stock_level]]&lt;=WarehouseData[[#This Row],[reorder_point]],"Low Stock","Sufficient Stock")</f>
        <v>Sufficient Stock</v>
      </c>
      <c r="Y79">
        <f>WarehouseData[[#This Row],[daily_demand]]*WarehouseData[[#This Row],[lead_time_days]]</f>
        <v>232.20000000000002</v>
      </c>
      <c r="Z79" t="str">
        <f>IF(WarehouseData[[#This Row],[stock_level]]&lt;=WarehouseData[[#This Row],[Demand During Lead Time]],"At Risk","Safe")</f>
        <v>At Risk</v>
      </c>
      <c r="AA79">
        <f>WarehouseData[[#This Row],[stock_level]]/WarehouseData[[#This Row],[daily_demand]]</f>
        <v>3.5917312661498704</v>
      </c>
      <c r="AB79">
        <f>WarehouseData[[#This Row],[stock_level]]*WarehouseData[[#This Row],[unit_price]]</f>
        <v>13477.439999999999</v>
      </c>
      <c r="AC79">
        <f>WarehouseData[[#This Row],[stock_level]]*WarehouseData[[#This Row],[holding_cost_per_unit_day]]*30</f>
        <v>2668.8</v>
      </c>
      <c r="AD79" t="str">
        <f>IF(WarehouseData[[#This Row],[order_fulfillment_rate]]&gt;=0.9,"Strong",IF(WarehouseData[[#This Row],[order_fulfillment_rate]]&gt;=0.8,"Moderate","Needs Attention"))</f>
        <v>Moderate</v>
      </c>
      <c r="AE79" t="str">
        <f>IF(WarehouseData[[#This Row],[picking_time_seconds]]&gt;120,"Slow",IF(WarehouseData[[#This Row],[picking_time_seconds]]&gt;=60,"Average","Fast"))</f>
        <v>Slow</v>
      </c>
    </row>
    <row r="80" spans="1:31" x14ac:dyDescent="0.25">
      <c r="A80" t="s">
        <v>171</v>
      </c>
      <c r="B80" t="s">
        <v>32</v>
      </c>
      <c r="C80">
        <v>401</v>
      </c>
      <c r="D80">
        <v>92</v>
      </c>
      <c r="E80">
        <v>6</v>
      </c>
      <c r="F80">
        <v>5</v>
      </c>
      <c r="G80">
        <v>8.68</v>
      </c>
      <c r="H80">
        <v>3.5</v>
      </c>
      <c r="I80">
        <v>0.81</v>
      </c>
      <c r="J80" t="s">
        <v>120</v>
      </c>
      <c r="K80" t="s">
        <v>52</v>
      </c>
      <c r="L80">
        <v>93</v>
      </c>
      <c r="M80">
        <v>2.04</v>
      </c>
      <c r="N80">
        <v>130.19</v>
      </c>
      <c r="O80">
        <v>0.28000000000000003</v>
      </c>
      <c r="P80">
        <v>3</v>
      </c>
      <c r="Q80">
        <v>0.92</v>
      </c>
      <c r="R80">
        <v>365</v>
      </c>
      <c r="S80">
        <v>12.9</v>
      </c>
      <c r="T80">
        <v>0.26</v>
      </c>
      <c r="U80" s="1">
        <v>45620</v>
      </c>
      <c r="V80">
        <v>118.55</v>
      </c>
      <c r="W80">
        <v>0.72</v>
      </c>
      <c r="X80" t="str">
        <f>IF(WarehouseData[[#This Row],[stock_level]]&lt;=WarehouseData[[#This Row],[reorder_point]],"Low Stock","Sufficient Stock")</f>
        <v>Sufficient Stock</v>
      </c>
      <c r="Y80">
        <f>WarehouseData[[#This Row],[daily_demand]]*WarehouseData[[#This Row],[lead_time_days]]</f>
        <v>43.4</v>
      </c>
      <c r="Z80" t="str">
        <f>IF(WarehouseData[[#This Row],[stock_level]]&lt;=WarehouseData[[#This Row],[Demand During Lead Time]],"At Risk","Safe")</f>
        <v>Safe</v>
      </c>
      <c r="AA80">
        <f>WarehouseData[[#This Row],[stock_level]]/WarehouseData[[#This Row],[daily_demand]]</f>
        <v>46.198156682027651</v>
      </c>
      <c r="AB80">
        <f>WarehouseData[[#This Row],[stock_level]]*WarehouseData[[#This Row],[unit_price]]</f>
        <v>52206.19</v>
      </c>
      <c r="AC80">
        <f>WarehouseData[[#This Row],[stock_level]]*WarehouseData[[#This Row],[holding_cost_per_unit_day]]*30</f>
        <v>3368.4000000000005</v>
      </c>
      <c r="AD80" t="str">
        <f>IF(WarehouseData[[#This Row],[order_fulfillment_rate]]&gt;=0.9,"Strong",IF(WarehouseData[[#This Row],[order_fulfillment_rate]]&gt;=0.8,"Moderate","Needs Attention"))</f>
        <v>Strong</v>
      </c>
      <c r="AE80" t="str">
        <f>IF(WarehouseData[[#This Row],[picking_time_seconds]]&gt;120,"Slow",IF(WarehouseData[[#This Row],[picking_time_seconds]]&gt;=60,"Average","Fast"))</f>
        <v>Average</v>
      </c>
    </row>
    <row r="81" spans="1:31" x14ac:dyDescent="0.25">
      <c r="A81" t="s">
        <v>172</v>
      </c>
      <c r="B81" t="s">
        <v>32</v>
      </c>
      <c r="C81">
        <v>74</v>
      </c>
      <c r="D81">
        <v>45</v>
      </c>
      <c r="E81">
        <v>8</v>
      </c>
      <c r="F81">
        <v>6</v>
      </c>
      <c r="G81">
        <v>37.33</v>
      </c>
      <c r="H81">
        <v>5.0999999999999996</v>
      </c>
      <c r="I81">
        <v>0.71</v>
      </c>
      <c r="J81" t="s">
        <v>45</v>
      </c>
      <c r="K81" t="s">
        <v>38</v>
      </c>
      <c r="L81">
        <v>164</v>
      </c>
      <c r="M81">
        <v>1.46</v>
      </c>
      <c r="N81">
        <v>91.84</v>
      </c>
      <c r="O81">
        <v>1.8</v>
      </c>
      <c r="P81">
        <v>3</v>
      </c>
      <c r="Q81">
        <v>0.79</v>
      </c>
      <c r="R81">
        <v>687</v>
      </c>
      <c r="S81">
        <v>5.0199999999999996</v>
      </c>
      <c r="T81">
        <v>0.59</v>
      </c>
      <c r="U81" s="1">
        <v>45543</v>
      </c>
      <c r="V81">
        <v>178.63</v>
      </c>
      <c r="W81">
        <v>0.503</v>
      </c>
      <c r="X81" t="str">
        <f>IF(WarehouseData[[#This Row],[stock_level]]&lt;=WarehouseData[[#This Row],[reorder_point]],"Low Stock","Sufficient Stock")</f>
        <v>Sufficient Stock</v>
      </c>
      <c r="Y81">
        <f>WarehouseData[[#This Row],[daily_demand]]*WarehouseData[[#This Row],[lead_time_days]]</f>
        <v>223.98</v>
      </c>
      <c r="Z81" t="str">
        <f>IF(WarehouseData[[#This Row],[stock_level]]&lt;=WarehouseData[[#This Row],[Demand During Lead Time]],"At Risk","Safe")</f>
        <v>At Risk</v>
      </c>
      <c r="AA81">
        <f>WarehouseData[[#This Row],[stock_level]]/WarehouseData[[#This Row],[daily_demand]]</f>
        <v>1.9823198499866059</v>
      </c>
      <c r="AB81">
        <f>WarehouseData[[#This Row],[stock_level]]*WarehouseData[[#This Row],[unit_price]]</f>
        <v>6796.16</v>
      </c>
      <c r="AC81">
        <f>WarehouseData[[#This Row],[stock_level]]*WarehouseData[[#This Row],[holding_cost_per_unit_day]]*30</f>
        <v>3996.0000000000005</v>
      </c>
      <c r="AD81" t="str">
        <f>IF(WarehouseData[[#This Row],[order_fulfillment_rate]]&gt;=0.9,"Strong",IF(WarehouseData[[#This Row],[order_fulfillment_rate]]&gt;=0.8,"Moderate","Needs Attention"))</f>
        <v>Needs Attention</v>
      </c>
      <c r="AE81" t="str">
        <f>IF(WarehouseData[[#This Row],[picking_time_seconds]]&gt;120,"Slow",IF(WarehouseData[[#This Row],[picking_time_seconds]]&gt;=60,"Average","Fast"))</f>
        <v>Slow</v>
      </c>
    </row>
    <row r="82" spans="1:31" x14ac:dyDescent="0.25">
      <c r="A82" t="s">
        <v>173</v>
      </c>
      <c r="B82" t="s">
        <v>36</v>
      </c>
      <c r="C82">
        <v>46</v>
      </c>
      <c r="D82">
        <v>59</v>
      </c>
      <c r="E82">
        <v>6</v>
      </c>
      <c r="F82">
        <v>9</v>
      </c>
      <c r="G82">
        <v>30.37</v>
      </c>
      <c r="H82">
        <v>8.23</v>
      </c>
      <c r="I82">
        <v>0.62</v>
      </c>
      <c r="J82" t="s">
        <v>135</v>
      </c>
      <c r="K82" t="s">
        <v>52</v>
      </c>
      <c r="L82">
        <v>133</v>
      </c>
      <c r="M82">
        <v>4.59</v>
      </c>
      <c r="N82">
        <v>33.979999999999997</v>
      </c>
      <c r="O82">
        <v>1.72</v>
      </c>
      <c r="P82">
        <v>5</v>
      </c>
      <c r="Q82">
        <v>0.86</v>
      </c>
      <c r="R82">
        <v>874</v>
      </c>
      <c r="S82">
        <v>8.61</v>
      </c>
      <c r="T82">
        <v>0.76</v>
      </c>
      <c r="U82" s="1">
        <v>45527</v>
      </c>
      <c r="V82">
        <v>83.26</v>
      </c>
      <c r="W82">
        <v>0.56699999999999995</v>
      </c>
      <c r="X82" t="str">
        <f>IF(WarehouseData[[#This Row],[stock_level]]&lt;=WarehouseData[[#This Row],[reorder_point]],"Low Stock","Sufficient Stock")</f>
        <v>Low Stock</v>
      </c>
      <c r="Y82">
        <f>WarehouseData[[#This Row],[daily_demand]]*WarehouseData[[#This Row],[lead_time_days]]</f>
        <v>273.33</v>
      </c>
      <c r="Z82" t="str">
        <f>IF(WarehouseData[[#This Row],[stock_level]]&lt;=WarehouseData[[#This Row],[Demand During Lead Time]],"At Risk","Safe")</f>
        <v>At Risk</v>
      </c>
      <c r="AA82">
        <f>WarehouseData[[#This Row],[stock_level]]/WarehouseData[[#This Row],[daily_demand]]</f>
        <v>1.51465261771485</v>
      </c>
      <c r="AB82">
        <f>WarehouseData[[#This Row],[stock_level]]*WarehouseData[[#This Row],[unit_price]]</f>
        <v>1563.08</v>
      </c>
      <c r="AC82">
        <f>WarehouseData[[#This Row],[stock_level]]*WarehouseData[[#This Row],[holding_cost_per_unit_day]]*30</f>
        <v>2373.6000000000004</v>
      </c>
      <c r="AD82" t="str">
        <f>IF(WarehouseData[[#This Row],[order_fulfillment_rate]]&gt;=0.9,"Strong",IF(WarehouseData[[#This Row],[order_fulfillment_rate]]&gt;=0.8,"Moderate","Needs Attention"))</f>
        <v>Moderate</v>
      </c>
      <c r="AE82" t="str">
        <f>IF(WarehouseData[[#This Row],[picking_time_seconds]]&gt;120,"Slow",IF(WarehouseData[[#This Row],[picking_time_seconds]]&gt;=60,"Average","Fast"))</f>
        <v>Slow</v>
      </c>
    </row>
    <row r="83" spans="1:31" x14ac:dyDescent="0.25">
      <c r="A83" t="s">
        <v>174</v>
      </c>
      <c r="B83" t="s">
        <v>73</v>
      </c>
      <c r="C83">
        <v>137</v>
      </c>
      <c r="D83">
        <v>52</v>
      </c>
      <c r="E83">
        <v>7</v>
      </c>
      <c r="F83">
        <v>2</v>
      </c>
      <c r="G83">
        <v>3.82</v>
      </c>
      <c r="H83">
        <v>9.56</v>
      </c>
      <c r="I83">
        <v>0.43</v>
      </c>
      <c r="J83" t="s">
        <v>33</v>
      </c>
      <c r="K83" t="s">
        <v>34</v>
      </c>
      <c r="L83">
        <v>120</v>
      </c>
      <c r="M83">
        <v>4.51</v>
      </c>
      <c r="N83">
        <v>157.87</v>
      </c>
      <c r="O83">
        <v>1.94</v>
      </c>
      <c r="P83">
        <v>4</v>
      </c>
      <c r="Q83">
        <v>1</v>
      </c>
      <c r="R83">
        <v>126</v>
      </c>
      <c r="S83">
        <v>11.36</v>
      </c>
      <c r="T83">
        <v>0.5</v>
      </c>
      <c r="U83" s="1">
        <v>45378</v>
      </c>
      <c r="V83">
        <v>203.14</v>
      </c>
      <c r="W83">
        <v>0.57699999999999996</v>
      </c>
      <c r="X83" t="str">
        <f>IF(WarehouseData[[#This Row],[stock_level]]&lt;=WarehouseData[[#This Row],[reorder_point]],"Low Stock","Sufficient Stock")</f>
        <v>Sufficient Stock</v>
      </c>
      <c r="Y83">
        <f>WarehouseData[[#This Row],[daily_demand]]*WarehouseData[[#This Row],[lead_time_days]]</f>
        <v>7.64</v>
      </c>
      <c r="Z83" t="str">
        <f>IF(WarehouseData[[#This Row],[stock_level]]&lt;=WarehouseData[[#This Row],[Demand During Lead Time]],"At Risk","Safe")</f>
        <v>Safe</v>
      </c>
      <c r="AA83">
        <f>WarehouseData[[#This Row],[stock_level]]/WarehouseData[[#This Row],[daily_demand]]</f>
        <v>35.863874345549739</v>
      </c>
      <c r="AB83">
        <f>WarehouseData[[#This Row],[stock_level]]*WarehouseData[[#This Row],[unit_price]]</f>
        <v>21628.190000000002</v>
      </c>
      <c r="AC83">
        <f>WarehouseData[[#This Row],[stock_level]]*WarehouseData[[#This Row],[holding_cost_per_unit_day]]*30</f>
        <v>7973.4</v>
      </c>
      <c r="AD83" t="str">
        <f>IF(WarehouseData[[#This Row],[order_fulfillment_rate]]&gt;=0.9,"Strong",IF(WarehouseData[[#This Row],[order_fulfillment_rate]]&gt;=0.8,"Moderate","Needs Attention"))</f>
        <v>Strong</v>
      </c>
      <c r="AE83" t="str">
        <f>IF(WarehouseData[[#This Row],[picking_time_seconds]]&gt;120,"Slow",IF(WarehouseData[[#This Row],[picking_time_seconds]]&gt;=60,"Average","Fast"))</f>
        <v>Average</v>
      </c>
    </row>
    <row r="84" spans="1:31" x14ac:dyDescent="0.25">
      <c r="A84" t="s">
        <v>175</v>
      </c>
      <c r="B84" t="s">
        <v>36</v>
      </c>
      <c r="C84">
        <v>240</v>
      </c>
      <c r="D84">
        <v>36</v>
      </c>
      <c r="E84">
        <v>8</v>
      </c>
      <c r="F84">
        <v>5</v>
      </c>
      <c r="G84">
        <v>39.090000000000003</v>
      </c>
      <c r="H84">
        <v>2.69</v>
      </c>
      <c r="I84">
        <v>0.28000000000000003</v>
      </c>
      <c r="J84" t="s">
        <v>152</v>
      </c>
      <c r="K84" t="s">
        <v>52</v>
      </c>
      <c r="L84">
        <v>51</v>
      </c>
      <c r="M84">
        <v>2.59</v>
      </c>
      <c r="N84">
        <v>71.55</v>
      </c>
      <c r="O84">
        <v>1.44</v>
      </c>
      <c r="P84">
        <v>4</v>
      </c>
      <c r="Q84">
        <v>0.83</v>
      </c>
      <c r="R84">
        <v>145</v>
      </c>
      <c r="S84">
        <v>7.96</v>
      </c>
      <c r="T84">
        <v>0.69</v>
      </c>
      <c r="U84" s="1">
        <v>45472</v>
      </c>
      <c r="V84">
        <v>204.69</v>
      </c>
      <c r="W84">
        <v>0.58599999999999997</v>
      </c>
      <c r="X84" t="str">
        <f>IF(WarehouseData[[#This Row],[stock_level]]&lt;=WarehouseData[[#This Row],[reorder_point]],"Low Stock","Sufficient Stock")</f>
        <v>Sufficient Stock</v>
      </c>
      <c r="Y84">
        <f>WarehouseData[[#This Row],[daily_demand]]*WarehouseData[[#This Row],[lead_time_days]]</f>
        <v>195.45000000000002</v>
      </c>
      <c r="Z84" t="str">
        <f>IF(WarehouseData[[#This Row],[stock_level]]&lt;=WarehouseData[[#This Row],[Demand During Lead Time]],"At Risk","Safe")</f>
        <v>Safe</v>
      </c>
      <c r="AA84">
        <f>WarehouseData[[#This Row],[stock_level]]/WarehouseData[[#This Row],[daily_demand]]</f>
        <v>6.139677666922486</v>
      </c>
      <c r="AB84">
        <f>WarehouseData[[#This Row],[stock_level]]*WarehouseData[[#This Row],[unit_price]]</f>
        <v>17172</v>
      </c>
      <c r="AC84">
        <f>WarehouseData[[#This Row],[stock_level]]*WarehouseData[[#This Row],[holding_cost_per_unit_day]]*30</f>
        <v>10367.999999999998</v>
      </c>
      <c r="AD84" t="str">
        <f>IF(WarehouseData[[#This Row],[order_fulfillment_rate]]&gt;=0.9,"Strong",IF(WarehouseData[[#This Row],[order_fulfillment_rate]]&gt;=0.8,"Moderate","Needs Attention"))</f>
        <v>Moderate</v>
      </c>
      <c r="AE84" t="str">
        <f>IF(WarehouseData[[#This Row],[picking_time_seconds]]&gt;120,"Slow",IF(WarehouseData[[#This Row],[picking_time_seconds]]&gt;=60,"Average","Fast"))</f>
        <v>Fast</v>
      </c>
    </row>
    <row r="85" spans="1:31" x14ac:dyDescent="0.25">
      <c r="A85" t="s">
        <v>176</v>
      </c>
      <c r="B85" t="s">
        <v>36</v>
      </c>
      <c r="C85">
        <v>250</v>
      </c>
      <c r="D85">
        <v>41</v>
      </c>
      <c r="E85">
        <v>7</v>
      </c>
      <c r="F85">
        <v>2</v>
      </c>
      <c r="G85">
        <v>19.77</v>
      </c>
      <c r="H85">
        <v>2.9</v>
      </c>
      <c r="I85">
        <v>0.74</v>
      </c>
      <c r="J85" t="s">
        <v>106</v>
      </c>
      <c r="K85" t="s">
        <v>34</v>
      </c>
      <c r="L85">
        <v>61</v>
      </c>
      <c r="M85">
        <v>1.1100000000000001</v>
      </c>
      <c r="N85">
        <v>35.6</v>
      </c>
      <c r="O85">
        <v>1.33</v>
      </c>
      <c r="P85">
        <v>8</v>
      </c>
      <c r="Q85">
        <v>0.87</v>
      </c>
      <c r="R85">
        <v>312</v>
      </c>
      <c r="S85">
        <v>6.75</v>
      </c>
      <c r="T85">
        <v>0.66</v>
      </c>
      <c r="U85" s="1">
        <v>45378</v>
      </c>
      <c r="V85">
        <v>166.46</v>
      </c>
      <c r="W85">
        <v>0.503</v>
      </c>
      <c r="X85" t="str">
        <f>IF(WarehouseData[[#This Row],[stock_level]]&lt;=WarehouseData[[#This Row],[reorder_point]],"Low Stock","Sufficient Stock")</f>
        <v>Sufficient Stock</v>
      </c>
      <c r="Y85">
        <f>WarehouseData[[#This Row],[daily_demand]]*WarehouseData[[#This Row],[lead_time_days]]</f>
        <v>39.54</v>
      </c>
      <c r="Z85" t="str">
        <f>IF(WarehouseData[[#This Row],[stock_level]]&lt;=WarehouseData[[#This Row],[Demand During Lead Time]],"At Risk","Safe")</f>
        <v>Safe</v>
      </c>
      <c r="AA85">
        <f>WarehouseData[[#This Row],[stock_level]]/WarehouseData[[#This Row],[daily_demand]]</f>
        <v>12.645422357106728</v>
      </c>
      <c r="AB85">
        <f>WarehouseData[[#This Row],[stock_level]]*WarehouseData[[#This Row],[unit_price]]</f>
        <v>8900</v>
      </c>
      <c r="AC85">
        <f>WarehouseData[[#This Row],[stock_level]]*WarehouseData[[#This Row],[holding_cost_per_unit_day]]*30</f>
        <v>9975</v>
      </c>
      <c r="AD85" t="str">
        <f>IF(WarehouseData[[#This Row],[order_fulfillment_rate]]&gt;=0.9,"Strong",IF(WarehouseData[[#This Row],[order_fulfillment_rate]]&gt;=0.8,"Moderate","Needs Attention"))</f>
        <v>Moderate</v>
      </c>
      <c r="AE85" t="str">
        <f>IF(WarehouseData[[#This Row],[picking_time_seconds]]&gt;120,"Slow",IF(WarehouseData[[#This Row],[picking_time_seconds]]&gt;=60,"Average","Fast"))</f>
        <v>Average</v>
      </c>
    </row>
    <row r="86" spans="1:31" x14ac:dyDescent="0.25">
      <c r="A86" t="s">
        <v>177</v>
      </c>
      <c r="B86" t="s">
        <v>73</v>
      </c>
      <c r="C86">
        <v>72</v>
      </c>
      <c r="D86">
        <v>87</v>
      </c>
      <c r="E86">
        <v>9</v>
      </c>
      <c r="F86">
        <v>9</v>
      </c>
      <c r="G86">
        <v>17.190000000000001</v>
      </c>
      <c r="H86">
        <v>9.43</v>
      </c>
      <c r="I86">
        <v>0.18</v>
      </c>
      <c r="J86" t="s">
        <v>178</v>
      </c>
      <c r="K86" t="s">
        <v>34</v>
      </c>
      <c r="L86">
        <v>57</v>
      </c>
      <c r="M86">
        <v>0.56000000000000005</v>
      </c>
      <c r="N86">
        <v>114.55</v>
      </c>
      <c r="O86">
        <v>1.85</v>
      </c>
      <c r="P86">
        <v>0</v>
      </c>
      <c r="Q86">
        <v>0.85</v>
      </c>
      <c r="R86">
        <v>868</v>
      </c>
      <c r="S86">
        <v>1.6</v>
      </c>
      <c r="T86">
        <v>0.44</v>
      </c>
      <c r="U86" s="1">
        <v>45363</v>
      </c>
      <c r="V86">
        <v>277.89</v>
      </c>
      <c r="W86">
        <v>0.49399999999999999</v>
      </c>
      <c r="X86" t="str">
        <f>IF(WarehouseData[[#This Row],[stock_level]]&lt;=WarehouseData[[#This Row],[reorder_point]],"Low Stock","Sufficient Stock")</f>
        <v>Low Stock</v>
      </c>
      <c r="Y86">
        <f>WarehouseData[[#This Row],[daily_demand]]*WarehouseData[[#This Row],[lead_time_days]]</f>
        <v>154.71</v>
      </c>
      <c r="Z86" t="str">
        <f>IF(WarehouseData[[#This Row],[stock_level]]&lt;=WarehouseData[[#This Row],[Demand During Lead Time]],"At Risk","Safe")</f>
        <v>At Risk</v>
      </c>
      <c r="AA86">
        <f>WarehouseData[[#This Row],[stock_level]]/WarehouseData[[#This Row],[daily_demand]]</f>
        <v>4.1884816753926701</v>
      </c>
      <c r="AB86">
        <f>WarehouseData[[#This Row],[stock_level]]*WarehouseData[[#This Row],[unit_price]]</f>
        <v>8247.6</v>
      </c>
      <c r="AC86">
        <f>WarehouseData[[#This Row],[stock_level]]*WarehouseData[[#This Row],[holding_cost_per_unit_day]]*30</f>
        <v>3996.0000000000005</v>
      </c>
      <c r="AD86" t="str">
        <f>IF(WarehouseData[[#This Row],[order_fulfillment_rate]]&gt;=0.9,"Strong",IF(WarehouseData[[#This Row],[order_fulfillment_rate]]&gt;=0.8,"Moderate","Needs Attention"))</f>
        <v>Moderate</v>
      </c>
      <c r="AE86" t="str">
        <f>IF(WarehouseData[[#This Row],[picking_time_seconds]]&gt;120,"Slow",IF(WarehouseData[[#This Row],[picking_time_seconds]]&gt;=60,"Average","Fast"))</f>
        <v>Fast</v>
      </c>
    </row>
    <row r="87" spans="1:31" x14ac:dyDescent="0.25">
      <c r="A87" t="s">
        <v>179</v>
      </c>
      <c r="B87" t="s">
        <v>73</v>
      </c>
      <c r="C87">
        <v>314</v>
      </c>
      <c r="D87">
        <v>27</v>
      </c>
      <c r="E87">
        <v>11</v>
      </c>
      <c r="F87">
        <v>6</v>
      </c>
      <c r="G87">
        <v>22.96</v>
      </c>
      <c r="H87">
        <v>4.26</v>
      </c>
      <c r="I87">
        <v>0.97</v>
      </c>
      <c r="J87" t="s">
        <v>124</v>
      </c>
      <c r="K87" t="s">
        <v>52</v>
      </c>
      <c r="L87">
        <v>41</v>
      </c>
      <c r="M87">
        <v>2.4700000000000002</v>
      </c>
      <c r="N87">
        <v>13.64</v>
      </c>
      <c r="O87">
        <v>1.9</v>
      </c>
      <c r="P87">
        <v>7</v>
      </c>
      <c r="Q87">
        <v>0.94</v>
      </c>
      <c r="R87">
        <v>786</v>
      </c>
      <c r="S87">
        <v>1.32</v>
      </c>
      <c r="T87">
        <v>0.59</v>
      </c>
      <c r="U87" s="1">
        <v>45571</v>
      </c>
      <c r="V87">
        <v>273.75</v>
      </c>
      <c r="W87">
        <v>0.39400000000000002</v>
      </c>
      <c r="X87" t="str">
        <f>IF(WarehouseData[[#This Row],[stock_level]]&lt;=WarehouseData[[#This Row],[reorder_point]],"Low Stock","Sufficient Stock")</f>
        <v>Sufficient Stock</v>
      </c>
      <c r="Y87">
        <f>WarehouseData[[#This Row],[daily_demand]]*WarehouseData[[#This Row],[lead_time_days]]</f>
        <v>137.76</v>
      </c>
      <c r="Z87" t="str">
        <f>IF(WarehouseData[[#This Row],[stock_level]]&lt;=WarehouseData[[#This Row],[Demand During Lead Time]],"At Risk","Safe")</f>
        <v>Safe</v>
      </c>
      <c r="AA87">
        <f>WarehouseData[[#This Row],[stock_level]]/WarehouseData[[#This Row],[daily_demand]]</f>
        <v>13.675958188153309</v>
      </c>
      <c r="AB87">
        <f>WarehouseData[[#This Row],[stock_level]]*WarehouseData[[#This Row],[unit_price]]</f>
        <v>4282.96</v>
      </c>
      <c r="AC87">
        <f>WarehouseData[[#This Row],[stock_level]]*WarehouseData[[#This Row],[holding_cost_per_unit_day]]*30</f>
        <v>17898</v>
      </c>
      <c r="AD87" t="str">
        <f>IF(WarehouseData[[#This Row],[order_fulfillment_rate]]&gt;=0.9,"Strong",IF(WarehouseData[[#This Row],[order_fulfillment_rate]]&gt;=0.8,"Moderate","Needs Attention"))</f>
        <v>Strong</v>
      </c>
      <c r="AE87" t="str">
        <f>IF(WarehouseData[[#This Row],[picking_time_seconds]]&gt;120,"Slow",IF(WarehouseData[[#This Row],[picking_time_seconds]]&gt;=60,"Average","Fast"))</f>
        <v>Fast</v>
      </c>
    </row>
    <row r="88" spans="1:31" x14ac:dyDescent="0.25">
      <c r="A88" t="s">
        <v>180</v>
      </c>
      <c r="B88" t="s">
        <v>73</v>
      </c>
      <c r="C88">
        <v>340</v>
      </c>
      <c r="D88">
        <v>37</v>
      </c>
      <c r="E88">
        <v>12</v>
      </c>
      <c r="F88">
        <v>3</v>
      </c>
      <c r="G88">
        <v>17.96</v>
      </c>
      <c r="H88">
        <v>7.32</v>
      </c>
      <c r="I88">
        <v>0.98</v>
      </c>
      <c r="J88" t="s">
        <v>181</v>
      </c>
      <c r="K88" t="s">
        <v>46</v>
      </c>
      <c r="L88">
        <v>161</v>
      </c>
      <c r="M88">
        <v>0.68</v>
      </c>
      <c r="N88">
        <v>71.569999999999993</v>
      </c>
      <c r="O88">
        <v>1.77</v>
      </c>
      <c r="P88">
        <v>7</v>
      </c>
      <c r="Q88">
        <v>0.78</v>
      </c>
      <c r="R88">
        <v>672</v>
      </c>
      <c r="S88">
        <v>14.4</v>
      </c>
      <c r="T88">
        <v>0.26</v>
      </c>
      <c r="U88" s="1">
        <v>45542</v>
      </c>
      <c r="V88">
        <v>23.79</v>
      </c>
      <c r="W88">
        <v>0.48299999999999998</v>
      </c>
      <c r="X88" t="str">
        <f>IF(WarehouseData[[#This Row],[stock_level]]&lt;=WarehouseData[[#This Row],[reorder_point]],"Low Stock","Sufficient Stock")</f>
        <v>Sufficient Stock</v>
      </c>
      <c r="Y88">
        <f>WarehouseData[[#This Row],[daily_demand]]*WarehouseData[[#This Row],[lead_time_days]]</f>
        <v>53.88</v>
      </c>
      <c r="Z88" t="str">
        <f>IF(WarehouseData[[#This Row],[stock_level]]&lt;=WarehouseData[[#This Row],[Demand During Lead Time]],"At Risk","Safe")</f>
        <v>Safe</v>
      </c>
      <c r="AA88">
        <f>WarehouseData[[#This Row],[stock_level]]/WarehouseData[[#This Row],[daily_demand]]</f>
        <v>18.930957683741646</v>
      </c>
      <c r="AB88">
        <f>WarehouseData[[#This Row],[stock_level]]*WarehouseData[[#This Row],[unit_price]]</f>
        <v>24333.8</v>
      </c>
      <c r="AC88">
        <f>WarehouseData[[#This Row],[stock_level]]*WarehouseData[[#This Row],[holding_cost_per_unit_day]]*30</f>
        <v>18054</v>
      </c>
      <c r="AD88" t="str">
        <f>IF(WarehouseData[[#This Row],[order_fulfillment_rate]]&gt;=0.9,"Strong",IF(WarehouseData[[#This Row],[order_fulfillment_rate]]&gt;=0.8,"Moderate","Needs Attention"))</f>
        <v>Needs Attention</v>
      </c>
      <c r="AE88" t="str">
        <f>IF(WarehouseData[[#This Row],[picking_time_seconds]]&gt;120,"Slow",IF(WarehouseData[[#This Row],[picking_time_seconds]]&gt;=60,"Average","Fast"))</f>
        <v>Slow</v>
      </c>
    </row>
    <row r="89" spans="1:31" x14ac:dyDescent="0.25">
      <c r="A89" t="s">
        <v>182</v>
      </c>
      <c r="B89" t="s">
        <v>73</v>
      </c>
      <c r="C89">
        <v>420</v>
      </c>
      <c r="D89">
        <v>38</v>
      </c>
      <c r="E89">
        <v>9</v>
      </c>
      <c r="F89">
        <v>8</v>
      </c>
      <c r="G89">
        <v>17.579999999999998</v>
      </c>
      <c r="H89">
        <v>6.32</v>
      </c>
      <c r="I89">
        <v>0.22</v>
      </c>
      <c r="J89" t="s">
        <v>183</v>
      </c>
      <c r="K89" t="s">
        <v>34</v>
      </c>
      <c r="L89">
        <v>140</v>
      </c>
      <c r="M89">
        <v>3.24</v>
      </c>
      <c r="N89">
        <v>152.62</v>
      </c>
      <c r="O89">
        <v>1.74</v>
      </c>
      <c r="P89">
        <v>7</v>
      </c>
      <c r="Q89">
        <v>0.75</v>
      </c>
      <c r="R89">
        <v>799</v>
      </c>
      <c r="S89">
        <v>10.01</v>
      </c>
      <c r="T89">
        <v>0.56999999999999995</v>
      </c>
      <c r="U89" s="1">
        <v>45386</v>
      </c>
      <c r="V89">
        <v>94.07</v>
      </c>
      <c r="W89">
        <v>0.48299999999999998</v>
      </c>
      <c r="X89" t="str">
        <f>IF(WarehouseData[[#This Row],[stock_level]]&lt;=WarehouseData[[#This Row],[reorder_point]],"Low Stock","Sufficient Stock")</f>
        <v>Sufficient Stock</v>
      </c>
      <c r="Y89">
        <f>WarehouseData[[#This Row],[daily_demand]]*WarehouseData[[#This Row],[lead_time_days]]</f>
        <v>140.63999999999999</v>
      </c>
      <c r="Z89" t="str">
        <f>IF(WarehouseData[[#This Row],[stock_level]]&lt;=WarehouseData[[#This Row],[Demand During Lead Time]],"At Risk","Safe")</f>
        <v>Safe</v>
      </c>
      <c r="AA89">
        <f>WarehouseData[[#This Row],[stock_level]]/WarehouseData[[#This Row],[daily_demand]]</f>
        <v>23.890784982935156</v>
      </c>
      <c r="AB89">
        <f>WarehouseData[[#This Row],[stock_level]]*WarehouseData[[#This Row],[unit_price]]</f>
        <v>64100.4</v>
      </c>
      <c r="AC89">
        <f>WarehouseData[[#This Row],[stock_level]]*WarehouseData[[#This Row],[holding_cost_per_unit_day]]*30</f>
        <v>21924</v>
      </c>
      <c r="AD89" t="str">
        <f>IF(WarehouseData[[#This Row],[order_fulfillment_rate]]&gt;=0.9,"Strong",IF(WarehouseData[[#This Row],[order_fulfillment_rate]]&gt;=0.8,"Moderate","Needs Attention"))</f>
        <v>Needs Attention</v>
      </c>
      <c r="AE89" t="str">
        <f>IF(WarehouseData[[#This Row],[picking_time_seconds]]&gt;120,"Slow",IF(WarehouseData[[#This Row],[picking_time_seconds]]&gt;=60,"Average","Fast"))</f>
        <v>Slow</v>
      </c>
    </row>
    <row r="90" spans="1:31" x14ac:dyDescent="0.25">
      <c r="A90" t="s">
        <v>184</v>
      </c>
      <c r="B90" t="s">
        <v>32</v>
      </c>
      <c r="C90">
        <v>252</v>
      </c>
      <c r="D90">
        <v>25</v>
      </c>
      <c r="E90">
        <v>9</v>
      </c>
      <c r="F90">
        <v>5</v>
      </c>
      <c r="G90">
        <v>40.6</v>
      </c>
      <c r="H90">
        <v>3.21</v>
      </c>
      <c r="I90">
        <v>0.19</v>
      </c>
      <c r="J90" t="s">
        <v>185</v>
      </c>
      <c r="K90" t="s">
        <v>34</v>
      </c>
      <c r="L90">
        <v>127</v>
      </c>
      <c r="M90">
        <v>3.24</v>
      </c>
      <c r="N90">
        <v>183.42</v>
      </c>
      <c r="O90">
        <v>1.38</v>
      </c>
      <c r="P90">
        <v>2</v>
      </c>
      <c r="Q90">
        <v>0.93</v>
      </c>
      <c r="R90">
        <v>254</v>
      </c>
      <c r="S90">
        <v>12.55</v>
      </c>
      <c r="T90">
        <v>0.56999999999999995</v>
      </c>
      <c r="U90" s="1">
        <v>45569</v>
      </c>
      <c r="V90">
        <v>115.64</v>
      </c>
      <c r="W90">
        <v>0.68899999999999995</v>
      </c>
      <c r="X90" t="str">
        <f>IF(WarehouseData[[#This Row],[stock_level]]&lt;=WarehouseData[[#This Row],[reorder_point]],"Low Stock","Sufficient Stock")</f>
        <v>Sufficient Stock</v>
      </c>
      <c r="Y90">
        <f>WarehouseData[[#This Row],[daily_demand]]*WarehouseData[[#This Row],[lead_time_days]]</f>
        <v>203</v>
      </c>
      <c r="Z90" t="str">
        <f>IF(WarehouseData[[#This Row],[stock_level]]&lt;=WarehouseData[[#This Row],[Demand During Lead Time]],"At Risk","Safe")</f>
        <v>Safe</v>
      </c>
      <c r="AA90">
        <f>WarehouseData[[#This Row],[stock_level]]/WarehouseData[[#This Row],[daily_demand]]</f>
        <v>6.2068965517241379</v>
      </c>
      <c r="AB90">
        <f>WarehouseData[[#This Row],[stock_level]]*WarehouseData[[#This Row],[unit_price]]</f>
        <v>46221.84</v>
      </c>
      <c r="AC90">
        <f>WarehouseData[[#This Row],[stock_level]]*WarehouseData[[#This Row],[holding_cost_per_unit_day]]*30</f>
        <v>10432.799999999999</v>
      </c>
      <c r="AD90" t="str">
        <f>IF(WarehouseData[[#This Row],[order_fulfillment_rate]]&gt;=0.9,"Strong",IF(WarehouseData[[#This Row],[order_fulfillment_rate]]&gt;=0.8,"Moderate","Needs Attention"))</f>
        <v>Strong</v>
      </c>
      <c r="AE90" t="str">
        <f>IF(WarehouseData[[#This Row],[picking_time_seconds]]&gt;120,"Slow",IF(WarehouseData[[#This Row],[picking_time_seconds]]&gt;=60,"Average","Fast"))</f>
        <v>Slow</v>
      </c>
    </row>
    <row r="91" spans="1:31" x14ac:dyDescent="0.25">
      <c r="A91" t="s">
        <v>186</v>
      </c>
      <c r="B91" t="s">
        <v>40</v>
      </c>
      <c r="C91">
        <v>177</v>
      </c>
      <c r="D91">
        <v>56</v>
      </c>
      <c r="E91">
        <v>6</v>
      </c>
      <c r="F91">
        <v>2</v>
      </c>
      <c r="G91">
        <v>7.1</v>
      </c>
      <c r="H91">
        <v>6.71</v>
      </c>
      <c r="I91">
        <v>0.47</v>
      </c>
      <c r="J91" t="s">
        <v>92</v>
      </c>
      <c r="K91" t="s">
        <v>38</v>
      </c>
      <c r="L91">
        <v>164</v>
      </c>
      <c r="M91">
        <v>4.55</v>
      </c>
      <c r="N91">
        <v>122.43</v>
      </c>
      <c r="O91">
        <v>0.1</v>
      </c>
      <c r="P91">
        <v>9</v>
      </c>
      <c r="Q91">
        <v>0.82</v>
      </c>
      <c r="R91">
        <v>337</v>
      </c>
      <c r="S91">
        <v>7.73</v>
      </c>
      <c r="T91">
        <v>0.22</v>
      </c>
      <c r="U91" s="1">
        <v>45620</v>
      </c>
      <c r="V91">
        <v>26.03</v>
      </c>
      <c r="W91">
        <v>0.52100000000000002</v>
      </c>
      <c r="X91" t="str">
        <f>IF(WarehouseData[[#This Row],[stock_level]]&lt;=WarehouseData[[#This Row],[reorder_point]],"Low Stock","Sufficient Stock")</f>
        <v>Sufficient Stock</v>
      </c>
      <c r="Y91">
        <f>WarehouseData[[#This Row],[daily_demand]]*WarehouseData[[#This Row],[lead_time_days]]</f>
        <v>14.2</v>
      </c>
      <c r="Z91" t="str">
        <f>IF(WarehouseData[[#This Row],[stock_level]]&lt;=WarehouseData[[#This Row],[Demand During Lead Time]],"At Risk","Safe")</f>
        <v>Safe</v>
      </c>
      <c r="AA91">
        <f>WarehouseData[[#This Row],[stock_level]]/WarehouseData[[#This Row],[daily_demand]]</f>
        <v>24.929577464788732</v>
      </c>
      <c r="AB91">
        <f>WarehouseData[[#This Row],[stock_level]]*WarehouseData[[#This Row],[unit_price]]</f>
        <v>21670.11</v>
      </c>
      <c r="AC91">
        <f>WarehouseData[[#This Row],[stock_level]]*WarehouseData[[#This Row],[holding_cost_per_unit_day]]*30</f>
        <v>531</v>
      </c>
      <c r="AD91" t="str">
        <f>IF(WarehouseData[[#This Row],[order_fulfillment_rate]]&gt;=0.9,"Strong",IF(WarehouseData[[#This Row],[order_fulfillment_rate]]&gt;=0.8,"Moderate","Needs Attention"))</f>
        <v>Moderate</v>
      </c>
      <c r="AE91" t="str">
        <f>IF(WarehouseData[[#This Row],[picking_time_seconds]]&gt;120,"Slow",IF(WarehouseData[[#This Row],[picking_time_seconds]]&gt;=60,"Average","Fast"))</f>
        <v>Slow</v>
      </c>
    </row>
    <row r="92" spans="1:31" x14ac:dyDescent="0.25">
      <c r="A92" t="s">
        <v>187</v>
      </c>
      <c r="B92" t="s">
        <v>40</v>
      </c>
      <c r="C92">
        <v>456</v>
      </c>
      <c r="D92">
        <v>68</v>
      </c>
      <c r="E92">
        <v>3</v>
      </c>
      <c r="F92">
        <v>7</v>
      </c>
      <c r="G92">
        <v>48.56</v>
      </c>
      <c r="H92">
        <v>6.73</v>
      </c>
      <c r="I92">
        <v>0.97</v>
      </c>
      <c r="J92" t="s">
        <v>188</v>
      </c>
      <c r="K92" t="s">
        <v>34</v>
      </c>
      <c r="L92">
        <v>177</v>
      </c>
      <c r="M92">
        <v>1.36</v>
      </c>
      <c r="N92">
        <v>51.35</v>
      </c>
      <c r="O92">
        <v>0.92</v>
      </c>
      <c r="P92">
        <v>7</v>
      </c>
      <c r="Q92">
        <v>0.97</v>
      </c>
      <c r="R92">
        <v>312</v>
      </c>
      <c r="S92">
        <v>4.66</v>
      </c>
      <c r="T92">
        <v>0.61</v>
      </c>
      <c r="U92" s="1">
        <v>45322</v>
      </c>
      <c r="V92">
        <v>161.85</v>
      </c>
      <c r="W92">
        <v>0.54600000000000004</v>
      </c>
      <c r="X92" t="str">
        <f>IF(WarehouseData[[#This Row],[stock_level]]&lt;=WarehouseData[[#This Row],[reorder_point]],"Low Stock","Sufficient Stock")</f>
        <v>Sufficient Stock</v>
      </c>
      <c r="Y92">
        <f>WarehouseData[[#This Row],[daily_demand]]*WarehouseData[[#This Row],[lead_time_days]]</f>
        <v>339.92</v>
      </c>
      <c r="Z92" t="str">
        <f>IF(WarehouseData[[#This Row],[stock_level]]&lt;=WarehouseData[[#This Row],[Demand During Lead Time]],"At Risk","Safe")</f>
        <v>Safe</v>
      </c>
      <c r="AA92">
        <f>WarehouseData[[#This Row],[stock_level]]/WarehouseData[[#This Row],[daily_demand]]</f>
        <v>9.3904448105436575</v>
      </c>
      <c r="AB92">
        <f>WarehouseData[[#This Row],[stock_level]]*WarehouseData[[#This Row],[unit_price]]</f>
        <v>23415.600000000002</v>
      </c>
      <c r="AC92">
        <f>WarehouseData[[#This Row],[stock_level]]*WarehouseData[[#This Row],[holding_cost_per_unit_day]]*30</f>
        <v>12585.6</v>
      </c>
      <c r="AD92" t="str">
        <f>IF(WarehouseData[[#This Row],[order_fulfillment_rate]]&gt;=0.9,"Strong",IF(WarehouseData[[#This Row],[order_fulfillment_rate]]&gt;=0.8,"Moderate","Needs Attention"))</f>
        <v>Strong</v>
      </c>
      <c r="AE92" t="str">
        <f>IF(WarehouseData[[#This Row],[picking_time_seconds]]&gt;120,"Slow",IF(WarehouseData[[#This Row],[picking_time_seconds]]&gt;=60,"Average","Fast"))</f>
        <v>Slow</v>
      </c>
    </row>
    <row r="93" spans="1:31" x14ac:dyDescent="0.25">
      <c r="A93" t="s">
        <v>189</v>
      </c>
      <c r="B93" t="s">
        <v>73</v>
      </c>
      <c r="C93">
        <v>288</v>
      </c>
      <c r="D93">
        <v>40</v>
      </c>
      <c r="E93">
        <v>10</v>
      </c>
      <c r="F93">
        <v>5</v>
      </c>
      <c r="G93">
        <v>28.19</v>
      </c>
      <c r="H93">
        <v>6.13</v>
      </c>
      <c r="I93">
        <v>0.46</v>
      </c>
      <c r="J93" t="s">
        <v>190</v>
      </c>
      <c r="K93" t="s">
        <v>34</v>
      </c>
      <c r="L93">
        <v>32</v>
      </c>
      <c r="M93">
        <v>2.17</v>
      </c>
      <c r="N93">
        <v>51.8</v>
      </c>
      <c r="O93">
        <v>1.31</v>
      </c>
      <c r="P93">
        <v>1</v>
      </c>
      <c r="Q93">
        <v>0.89</v>
      </c>
      <c r="R93">
        <v>637</v>
      </c>
      <c r="S93">
        <v>5.12</v>
      </c>
      <c r="T93">
        <v>0.79</v>
      </c>
      <c r="U93" s="1">
        <v>45560</v>
      </c>
      <c r="V93">
        <v>17.13</v>
      </c>
      <c r="W93">
        <v>0.65300000000000002</v>
      </c>
      <c r="X93" t="str">
        <f>IF(WarehouseData[[#This Row],[stock_level]]&lt;=WarehouseData[[#This Row],[reorder_point]],"Low Stock","Sufficient Stock")</f>
        <v>Sufficient Stock</v>
      </c>
      <c r="Y93">
        <f>WarehouseData[[#This Row],[daily_demand]]*WarehouseData[[#This Row],[lead_time_days]]</f>
        <v>140.95000000000002</v>
      </c>
      <c r="Z93" t="str">
        <f>IF(WarehouseData[[#This Row],[stock_level]]&lt;=WarehouseData[[#This Row],[Demand During Lead Time]],"At Risk","Safe")</f>
        <v>Safe</v>
      </c>
      <c r="AA93">
        <f>WarehouseData[[#This Row],[stock_level]]/WarehouseData[[#This Row],[daily_demand]]</f>
        <v>10.216388790351187</v>
      </c>
      <c r="AB93">
        <f>WarehouseData[[#This Row],[stock_level]]*WarehouseData[[#This Row],[unit_price]]</f>
        <v>14918.4</v>
      </c>
      <c r="AC93">
        <f>WarehouseData[[#This Row],[stock_level]]*WarehouseData[[#This Row],[holding_cost_per_unit_day]]*30</f>
        <v>11318.400000000001</v>
      </c>
      <c r="AD93" t="str">
        <f>IF(WarehouseData[[#This Row],[order_fulfillment_rate]]&gt;=0.9,"Strong",IF(WarehouseData[[#This Row],[order_fulfillment_rate]]&gt;=0.8,"Moderate","Needs Attention"))</f>
        <v>Moderate</v>
      </c>
      <c r="AE93" t="str">
        <f>IF(WarehouseData[[#This Row],[picking_time_seconds]]&gt;120,"Slow",IF(WarehouseData[[#This Row],[picking_time_seconds]]&gt;=60,"Average","Fast"))</f>
        <v>Fast</v>
      </c>
    </row>
    <row r="94" spans="1:31" x14ac:dyDescent="0.25">
      <c r="A94" t="s">
        <v>191</v>
      </c>
      <c r="B94" t="s">
        <v>40</v>
      </c>
      <c r="C94">
        <v>40</v>
      </c>
      <c r="D94">
        <v>13</v>
      </c>
      <c r="E94">
        <v>6</v>
      </c>
      <c r="F94">
        <v>5</v>
      </c>
      <c r="G94">
        <v>9.9600000000000009</v>
      </c>
      <c r="H94">
        <v>1.45</v>
      </c>
      <c r="I94">
        <v>0.43</v>
      </c>
      <c r="J94" t="s">
        <v>192</v>
      </c>
      <c r="K94" t="s">
        <v>34</v>
      </c>
      <c r="L94">
        <v>144</v>
      </c>
      <c r="M94">
        <v>4.37</v>
      </c>
      <c r="N94">
        <v>124.74</v>
      </c>
      <c r="O94">
        <v>1.1399999999999999</v>
      </c>
      <c r="P94">
        <v>7</v>
      </c>
      <c r="Q94">
        <v>0.87</v>
      </c>
      <c r="R94">
        <v>985</v>
      </c>
      <c r="S94">
        <v>1.61</v>
      </c>
      <c r="T94">
        <v>0.56000000000000005</v>
      </c>
      <c r="U94" s="1">
        <v>45309</v>
      </c>
      <c r="V94">
        <v>206.64</v>
      </c>
      <c r="W94">
        <v>0.45300000000000001</v>
      </c>
      <c r="X94" t="str">
        <f>IF(WarehouseData[[#This Row],[stock_level]]&lt;=WarehouseData[[#This Row],[reorder_point]],"Low Stock","Sufficient Stock")</f>
        <v>Sufficient Stock</v>
      </c>
      <c r="Y94">
        <f>WarehouseData[[#This Row],[daily_demand]]*WarehouseData[[#This Row],[lead_time_days]]</f>
        <v>49.800000000000004</v>
      </c>
      <c r="Z94" t="str">
        <f>IF(WarehouseData[[#This Row],[stock_level]]&lt;=WarehouseData[[#This Row],[Demand During Lead Time]],"At Risk","Safe")</f>
        <v>At Risk</v>
      </c>
      <c r="AA94">
        <f>WarehouseData[[#This Row],[stock_level]]/WarehouseData[[#This Row],[daily_demand]]</f>
        <v>4.0160642570281118</v>
      </c>
      <c r="AB94">
        <f>WarehouseData[[#This Row],[stock_level]]*WarehouseData[[#This Row],[unit_price]]</f>
        <v>4989.5999999999995</v>
      </c>
      <c r="AC94">
        <f>WarehouseData[[#This Row],[stock_level]]*WarehouseData[[#This Row],[holding_cost_per_unit_day]]*30</f>
        <v>1367.9999999999998</v>
      </c>
      <c r="AD94" t="str">
        <f>IF(WarehouseData[[#This Row],[order_fulfillment_rate]]&gt;=0.9,"Strong",IF(WarehouseData[[#This Row],[order_fulfillment_rate]]&gt;=0.8,"Moderate","Needs Attention"))</f>
        <v>Moderate</v>
      </c>
      <c r="AE94" t="str">
        <f>IF(WarehouseData[[#This Row],[picking_time_seconds]]&gt;120,"Slow",IF(WarehouseData[[#This Row],[picking_time_seconds]]&gt;=60,"Average","Fast"))</f>
        <v>Slow</v>
      </c>
    </row>
    <row r="95" spans="1:31" x14ac:dyDescent="0.25">
      <c r="A95" t="s">
        <v>193</v>
      </c>
      <c r="B95" t="s">
        <v>40</v>
      </c>
      <c r="C95">
        <v>422</v>
      </c>
      <c r="D95">
        <v>46</v>
      </c>
      <c r="E95">
        <v>3</v>
      </c>
      <c r="F95">
        <v>5</v>
      </c>
      <c r="G95">
        <v>7.43</v>
      </c>
      <c r="H95">
        <v>9.9499999999999993</v>
      </c>
      <c r="I95">
        <v>0.73</v>
      </c>
      <c r="J95" t="s">
        <v>81</v>
      </c>
      <c r="K95" t="s">
        <v>34</v>
      </c>
      <c r="L95">
        <v>136</v>
      </c>
      <c r="M95">
        <v>2.63</v>
      </c>
      <c r="N95">
        <v>87.28</v>
      </c>
      <c r="O95">
        <v>1.66</v>
      </c>
      <c r="P95">
        <v>7</v>
      </c>
      <c r="Q95">
        <v>0.72</v>
      </c>
      <c r="R95">
        <v>704</v>
      </c>
      <c r="S95">
        <v>12.07</v>
      </c>
      <c r="T95">
        <v>0.72</v>
      </c>
      <c r="U95" s="1">
        <v>45330</v>
      </c>
      <c r="V95">
        <v>10.78</v>
      </c>
      <c r="W95">
        <v>0.54300000000000004</v>
      </c>
      <c r="X95" t="str">
        <f>IF(WarehouseData[[#This Row],[stock_level]]&lt;=WarehouseData[[#This Row],[reorder_point]],"Low Stock","Sufficient Stock")</f>
        <v>Sufficient Stock</v>
      </c>
      <c r="Y95">
        <f>WarehouseData[[#This Row],[daily_demand]]*WarehouseData[[#This Row],[lead_time_days]]</f>
        <v>37.15</v>
      </c>
      <c r="Z95" t="str">
        <f>IF(WarehouseData[[#This Row],[stock_level]]&lt;=WarehouseData[[#This Row],[Demand During Lead Time]],"At Risk","Safe")</f>
        <v>Safe</v>
      </c>
      <c r="AA95">
        <f>WarehouseData[[#This Row],[stock_level]]/WarehouseData[[#This Row],[daily_demand]]</f>
        <v>56.796769851951552</v>
      </c>
      <c r="AB95">
        <f>WarehouseData[[#This Row],[stock_level]]*WarehouseData[[#This Row],[unit_price]]</f>
        <v>36832.160000000003</v>
      </c>
      <c r="AC95">
        <f>WarehouseData[[#This Row],[stock_level]]*WarehouseData[[#This Row],[holding_cost_per_unit_day]]*30</f>
        <v>21015.599999999999</v>
      </c>
      <c r="AD95" t="str">
        <f>IF(WarehouseData[[#This Row],[order_fulfillment_rate]]&gt;=0.9,"Strong",IF(WarehouseData[[#This Row],[order_fulfillment_rate]]&gt;=0.8,"Moderate","Needs Attention"))</f>
        <v>Needs Attention</v>
      </c>
      <c r="AE95" t="str">
        <f>IF(WarehouseData[[#This Row],[picking_time_seconds]]&gt;120,"Slow",IF(WarehouseData[[#This Row],[picking_time_seconds]]&gt;=60,"Average","Fast"))</f>
        <v>Slow</v>
      </c>
    </row>
    <row r="96" spans="1:31" x14ac:dyDescent="0.25">
      <c r="A96" t="s">
        <v>194</v>
      </c>
      <c r="B96" t="s">
        <v>73</v>
      </c>
      <c r="C96">
        <v>72</v>
      </c>
      <c r="D96">
        <v>26</v>
      </c>
      <c r="E96">
        <v>7</v>
      </c>
      <c r="F96">
        <v>4</v>
      </c>
      <c r="G96">
        <v>29.98</v>
      </c>
      <c r="H96">
        <v>4.3</v>
      </c>
      <c r="I96">
        <v>0.26</v>
      </c>
      <c r="J96" t="s">
        <v>33</v>
      </c>
      <c r="K96" t="s">
        <v>46</v>
      </c>
      <c r="L96">
        <v>46</v>
      </c>
      <c r="M96">
        <v>0.77</v>
      </c>
      <c r="N96">
        <v>43.68</v>
      </c>
      <c r="O96">
        <v>1.66</v>
      </c>
      <c r="P96">
        <v>2</v>
      </c>
      <c r="Q96">
        <v>0.92</v>
      </c>
      <c r="R96">
        <v>364</v>
      </c>
      <c r="S96">
        <v>9.14</v>
      </c>
      <c r="T96">
        <v>0.63</v>
      </c>
      <c r="U96" s="1">
        <v>45634</v>
      </c>
      <c r="V96">
        <v>19.260000000000002</v>
      </c>
      <c r="W96">
        <v>0.626</v>
      </c>
      <c r="X96" t="str">
        <f>IF(WarehouseData[[#This Row],[stock_level]]&lt;=WarehouseData[[#This Row],[reorder_point]],"Low Stock","Sufficient Stock")</f>
        <v>Sufficient Stock</v>
      </c>
      <c r="Y96">
        <f>WarehouseData[[#This Row],[daily_demand]]*WarehouseData[[#This Row],[lead_time_days]]</f>
        <v>119.92</v>
      </c>
      <c r="Z96" t="str">
        <f>IF(WarehouseData[[#This Row],[stock_level]]&lt;=WarehouseData[[#This Row],[Demand During Lead Time]],"At Risk","Safe")</f>
        <v>At Risk</v>
      </c>
      <c r="AA96">
        <f>WarehouseData[[#This Row],[stock_level]]/WarehouseData[[#This Row],[daily_demand]]</f>
        <v>2.4016010673782522</v>
      </c>
      <c r="AB96">
        <f>WarehouseData[[#This Row],[stock_level]]*WarehouseData[[#This Row],[unit_price]]</f>
        <v>3144.96</v>
      </c>
      <c r="AC96">
        <f>WarehouseData[[#This Row],[stock_level]]*WarehouseData[[#This Row],[holding_cost_per_unit_day]]*30</f>
        <v>3585.6</v>
      </c>
      <c r="AD96" t="str">
        <f>IF(WarehouseData[[#This Row],[order_fulfillment_rate]]&gt;=0.9,"Strong",IF(WarehouseData[[#This Row],[order_fulfillment_rate]]&gt;=0.8,"Moderate","Needs Attention"))</f>
        <v>Strong</v>
      </c>
      <c r="AE96" t="str">
        <f>IF(WarehouseData[[#This Row],[picking_time_seconds]]&gt;120,"Slow",IF(WarehouseData[[#This Row],[picking_time_seconds]]&gt;=60,"Average","Fast"))</f>
        <v>Fast</v>
      </c>
    </row>
    <row r="97" spans="1:31" x14ac:dyDescent="0.25">
      <c r="A97" t="s">
        <v>195</v>
      </c>
      <c r="B97" t="s">
        <v>40</v>
      </c>
      <c r="C97">
        <v>294</v>
      </c>
      <c r="D97">
        <v>48</v>
      </c>
      <c r="E97">
        <v>10</v>
      </c>
      <c r="F97">
        <v>2</v>
      </c>
      <c r="G97">
        <v>32.020000000000003</v>
      </c>
      <c r="H97">
        <v>6.56</v>
      </c>
      <c r="I97">
        <v>0.43</v>
      </c>
      <c r="J97" t="s">
        <v>196</v>
      </c>
      <c r="K97" t="s">
        <v>34</v>
      </c>
      <c r="L97">
        <v>16</v>
      </c>
      <c r="M97">
        <v>1</v>
      </c>
      <c r="N97">
        <v>159.61000000000001</v>
      </c>
      <c r="O97">
        <v>1.24</v>
      </c>
      <c r="P97">
        <v>3</v>
      </c>
      <c r="Q97">
        <v>0.91</v>
      </c>
      <c r="R97">
        <v>418</v>
      </c>
      <c r="S97">
        <v>7.73</v>
      </c>
      <c r="T97">
        <v>0.83</v>
      </c>
      <c r="U97" s="1">
        <v>45316</v>
      </c>
      <c r="V97">
        <v>251.79</v>
      </c>
      <c r="W97">
        <v>0.66700000000000004</v>
      </c>
      <c r="X97" t="str">
        <f>IF(WarehouseData[[#This Row],[stock_level]]&lt;=WarehouseData[[#This Row],[reorder_point]],"Low Stock","Sufficient Stock")</f>
        <v>Sufficient Stock</v>
      </c>
      <c r="Y97">
        <f>WarehouseData[[#This Row],[daily_demand]]*WarehouseData[[#This Row],[lead_time_days]]</f>
        <v>64.040000000000006</v>
      </c>
      <c r="Z97" t="str">
        <f>IF(WarehouseData[[#This Row],[stock_level]]&lt;=WarehouseData[[#This Row],[Demand During Lead Time]],"At Risk","Safe")</f>
        <v>Safe</v>
      </c>
      <c r="AA97">
        <f>WarehouseData[[#This Row],[stock_level]]/WarehouseData[[#This Row],[daily_demand]]</f>
        <v>9.1817613991255449</v>
      </c>
      <c r="AB97">
        <f>WarehouseData[[#This Row],[stock_level]]*WarehouseData[[#This Row],[unit_price]]</f>
        <v>46925.340000000004</v>
      </c>
      <c r="AC97">
        <f>WarehouseData[[#This Row],[stock_level]]*WarehouseData[[#This Row],[holding_cost_per_unit_day]]*30</f>
        <v>10936.8</v>
      </c>
      <c r="AD97" t="str">
        <f>IF(WarehouseData[[#This Row],[order_fulfillment_rate]]&gt;=0.9,"Strong",IF(WarehouseData[[#This Row],[order_fulfillment_rate]]&gt;=0.8,"Moderate","Needs Attention"))</f>
        <v>Strong</v>
      </c>
      <c r="AE97" t="str">
        <f>IF(WarehouseData[[#This Row],[picking_time_seconds]]&gt;120,"Slow",IF(WarehouseData[[#This Row],[picking_time_seconds]]&gt;=60,"Average","Fast"))</f>
        <v>Fast</v>
      </c>
    </row>
    <row r="98" spans="1:31" x14ac:dyDescent="0.25">
      <c r="A98" t="s">
        <v>197</v>
      </c>
      <c r="B98" t="s">
        <v>36</v>
      </c>
      <c r="C98">
        <v>332</v>
      </c>
      <c r="D98">
        <v>57</v>
      </c>
      <c r="E98">
        <v>6</v>
      </c>
      <c r="F98">
        <v>2</v>
      </c>
      <c r="G98">
        <v>3.6</v>
      </c>
      <c r="H98">
        <v>8.91</v>
      </c>
      <c r="I98">
        <v>0.36</v>
      </c>
      <c r="J98" t="s">
        <v>137</v>
      </c>
      <c r="K98" t="s">
        <v>52</v>
      </c>
      <c r="L98">
        <v>86</v>
      </c>
      <c r="M98">
        <v>4.16</v>
      </c>
      <c r="N98">
        <v>48.05</v>
      </c>
      <c r="O98">
        <v>0.14000000000000001</v>
      </c>
      <c r="P98">
        <v>8</v>
      </c>
      <c r="Q98">
        <v>0.89</v>
      </c>
      <c r="R98">
        <v>646</v>
      </c>
      <c r="S98">
        <v>12.93</v>
      </c>
      <c r="T98">
        <v>0.61</v>
      </c>
      <c r="U98" s="1">
        <v>45295</v>
      </c>
      <c r="V98">
        <v>83.26</v>
      </c>
      <c r="W98">
        <v>0.69799999999999995</v>
      </c>
      <c r="X98" t="str">
        <f>IF(WarehouseData[[#This Row],[stock_level]]&lt;=WarehouseData[[#This Row],[reorder_point]],"Low Stock","Sufficient Stock")</f>
        <v>Sufficient Stock</v>
      </c>
      <c r="Y98">
        <f>WarehouseData[[#This Row],[daily_demand]]*WarehouseData[[#This Row],[lead_time_days]]</f>
        <v>7.2</v>
      </c>
      <c r="Z98" t="str">
        <f>IF(WarehouseData[[#This Row],[stock_level]]&lt;=WarehouseData[[#This Row],[Demand During Lead Time]],"At Risk","Safe")</f>
        <v>Safe</v>
      </c>
      <c r="AA98">
        <f>WarehouseData[[#This Row],[stock_level]]/WarehouseData[[#This Row],[daily_demand]]</f>
        <v>92.222222222222214</v>
      </c>
      <c r="AB98">
        <f>WarehouseData[[#This Row],[stock_level]]*WarehouseData[[#This Row],[unit_price]]</f>
        <v>15952.599999999999</v>
      </c>
      <c r="AC98">
        <f>WarehouseData[[#This Row],[stock_level]]*WarehouseData[[#This Row],[holding_cost_per_unit_day]]*30</f>
        <v>1394.4</v>
      </c>
      <c r="AD98" t="str">
        <f>IF(WarehouseData[[#This Row],[order_fulfillment_rate]]&gt;=0.9,"Strong",IF(WarehouseData[[#This Row],[order_fulfillment_rate]]&gt;=0.8,"Moderate","Needs Attention"))</f>
        <v>Moderate</v>
      </c>
      <c r="AE98" t="str">
        <f>IF(WarehouseData[[#This Row],[picking_time_seconds]]&gt;120,"Slow",IF(WarehouseData[[#This Row],[picking_time_seconds]]&gt;=60,"Average","Fast"))</f>
        <v>Average</v>
      </c>
    </row>
    <row r="99" spans="1:31" x14ac:dyDescent="0.25">
      <c r="A99" t="s">
        <v>198</v>
      </c>
      <c r="B99" t="s">
        <v>48</v>
      </c>
      <c r="C99">
        <v>300</v>
      </c>
      <c r="D99">
        <v>55</v>
      </c>
      <c r="E99">
        <v>14</v>
      </c>
      <c r="F99">
        <v>5</v>
      </c>
      <c r="G99">
        <v>12.91</v>
      </c>
      <c r="H99">
        <v>4.5199999999999996</v>
      </c>
      <c r="I99">
        <v>0.64</v>
      </c>
      <c r="J99" t="s">
        <v>133</v>
      </c>
      <c r="K99" t="s">
        <v>46</v>
      </c>
      <c r="L99">
        <v>91</v>
      </c>
      <c r="M99">
        <v>3.85</v>
      </c>
      <c r="N99">
        <v>71.11</v>
      </c>
      <c r="O99">
        <v>0.8</v>
      </c>
      <c r="P99">
        <v>8</v>
      </c>
      <c r="Q99">
        <v>0.78</v>
      </c>
      <c r="R99">
        <v>957</v>
      </c>
      <c r="S99">
        <v>7.23</v>
      </c>
      <c r="T99">
        <v>0.47</v>
      </c>
      <c r="U99" s="1">
        <v>45503</v>
      </c>
      <c r="V99">
        <v>33.56</v>
      </c>
      <c r="W99">
        <v>0.50600000000000001</v>
      </c>
      <c r="X99" t="str">
        <f>IF(WarehouseData[[#This Row],[stock_level]]&lt;=WarehouseData[[#This Row],[reorder_point]],"Low Stock","Sufficient Stock")</f>
        <v>Sufficient Stock</v>
      </c>
      <c r="Y99">
        <f>WarehouseData[[#This Row],[daily_demand]]*WarehouseData[[#This Row],[lead_time_days]]</f>
        <v>64.55</v>
      </c>
      <c r="Z99" t="str">
        <f>IF(WarehouseData[[#This Row],[stock_level]]&lt;=WarehouseData[[#This Row],[Demand During Lead Time]],"At Risk","Safe")</f>
        <v>Safe</v>
      </c>
      <c r="AA99">
        <f>WarehouseData[[#This Row],[stock_level]]/WarehouseData[[#This Row],[daily_demand]]</f>
        <v>23.237800154918666</v>
      </c>
      <c r="AB99">
        <f>WarehouseData[[#This Row],[stock_level]]*WarehouseData[[#This Row],[unit_price]]</f>
        <v>21333</v>
      </c>
      <c r="AC99">
        <f>WarehouseData[[#This Row],[stock_level]]*WarehouseData[[#This Row],[holding_cost_per_unit_day]]*30</f>
        <v>7200</v>
      </c>
      <c r="AD99" t="str">
        <f>IF(WarehouseData[[#This Row],[order_fulfillment_rate]]&gt;=0.9,"Strong",IF(WarehouseData[[#This Row],[order_fulfillment_rate]]&gt;=0.8,"Moderate","Needs Attention"))</f>
        <v>Needs Attention</v>
      </c>
      <c r="AE99" t="str">
        <f>IF(WarehouseData[[#This Row],[picking_time_seconds]]&gt;120,"Slow",IF(WarehouseData[[#This Row],[picking_time_seconds]]&gt;=60,"Average","Fast"))</f>
        <v>Average</v>
      </c>
    </row>
    <row r="100" spans="1:31" x14ac:dyDescent="0.25">
      <c r="A100" t="s">
        <v>199</v>
      </c>
      <c r="B100" t="s">
        <v>48</v>
      </c>
      <c r="C100">
        <v>233</v>
      </c>
      <c r="D100">
        <v>99</v>
      </c>
      <c r="E100">
        <v>10</v>
      </c>
      <c r="F100">
        <v>9</v>
      </c>
      <c r="G100">
        <v>39.979999999999997</v>
      </c>
      <c r="H100">
        <v>7.85</v>
      </c>
      <c r="I100">
        <v>0.25</v>
      </c>
      <c r="J100" t="s">
        <v>49</v>
      </c>
      <c r="K100" t="s">
        <v>34</v>
      </c>
      <c r="L100">
        <v>104</v>
      </c>
      <c r="M100">
        <v>4.4400000000000004</v>
      </c>
      <c r="N100">
        <v>21.67</v>
      </c>
      <c r="O100">
        <v>0.53</v>
      </c>
      <c r="P100">
        <v>9</v>
      </c>
      <c r="Q100">
        <v>0.98</v>
      </c>
      <c r="R100">
        <v>301</v>
      </c>
      <c r="S100">
        <v>14.27</v>
      </c>
      <c r="T100">
        <v>0.86</v>
      </c>
      <c r="U100" s="1">
        <v>45362</v>
      </c>
      <c r="V100">
        <v>125.85</v>
      </c>
      <c r="W100">
        <v>0.72499999999999998</v>
      </c>
      <c r="X100" t="str">
        <f>IF(WarehouseData[[#This Row],[stock_level]]&lt;=WarehouseData[[#This Row],[reorder_point]],"Low Stock","Sufficient Stock")</f>
        <v>Sufficient Stock</v>
      </c>
      <c r="Y100">
        <f>WarehouseData[[#This Row],[daily_demand]]*WarehouseData[[#This Row],[lead_time_days]]</f>
        <v>359.82</v>
      </c>
      <c r="Z100" t="str">
        <f>IF(WarehouseData[[#This Row],[stock_level]]&lt;=WarehouseData[[#This Row],[Demand During Lead Time]],"At Risk","Safe")</f>
        <v>At Risk</v>
      </c>
      <c r="AA100">
        <f>WarehouseData[[#This Row],[stock_level]]/WarehouseData[[#This Row],[daily_demand]]</f>
        <v>5.8279139569784899</v>
      </c>
      <c r="AB100">
        <f>WarehouseData[[#This Row],[stock_level]]*WarehouseData[[#This Row],[unit_price]]</f>
        <v>5049.1100000000006</v>
      </c>
      <c r="AC100">
        <f>WarehouseData[[#This Row],[stock_level]]*WarehouseData[[#This Row],[holding_cost_per_unit_day]]*30</f>
        <v>3704.7000000000003</v>
      </c>
      <c r="AD100" t="str">
        <f>IF(WarehouseData[[#This Row],[order_fulfillment_rate]]&gt;=0.9,"Strong",IF(WarehouseData[[#This Row],[order_fulfillment_rate]]&gt;=0.8,"Moderate","Needs Attention"))</f>
        <v>Strong</v>
      </c>
      <c r="AE100" t="str">
        <f>IF(WarehouseData[[#This Row],[picking_time_seconds]]&gt;120,"Slow",IF(WarehouseData[[#This Row],[picking_time_seconds]]&gt;=60,"Average","Fast"))</f>
        <v>Average</v>
      </c>
    </row>
    <row r="101" spans="1:31" x14ac:dyDescent="0.25">
      <c r="A101" t="s">
        <v>200</v>
      </c>
      <c r="B101" t="s">
        <v>73</v>
      </c>
      <c r="C101">
        <v>50</v>
      </c>
      <c r="D101">
        <v>57</v>
      </c>
      <c r="E101">
        <v>10</v>
      </c>
      <c r="F101">
        <v>9</v>
      </c>
      <c r="G101">
        <v>3.43</v>
      </c>
      <c r="H101">
        <v>9.73</v>
      </c>
      <c r="I101">
        <v>0.59</v>
      </c>
      <c r="J101" t="s">
        <v>106</v>
      </c>
      <c r="K101" t="s">
        <v>52</v>
      </c>
      <c r="L101">
        <v>31</v>
      </c>
      <c r="M101">
        <v>1.03</v>
      </c>
      <c r="N101">
        <v>143.26</v>
      </c>
      <c r="O101">
        <v>0.74</v>
      </c>
      <c r="P101">
        <v>8</v>
      </c>
      <c r="Q101">
        <v>0.8</v>
      </c>
      <c r="R101">
        <v>382</v>
      </c>
      <c r="S101">
        <v>1.19</v>
      </c>
      <c r="T101">
        <v>0.25</v>
      </c>
      <c r="U101" s="1">
        <v>45614</v>
      </c>
      <c r="V101">
        <v>24.78</v>
      </c>
      <c r="W101">
        <v>0.39200000000000002</v>
      </c>
      <c r="X101" t="str">
        <f>IF(WarehouseData[[#This Row],[stock_level]]&lt;=WarehouseData[[#This Row],[reorder_point]],"Low Stock","Sufficient Stock")</f>
        <v>Low Stock</v>
      </c>
      <c r="Y101">
        <f>WarehouseData[[#This Row],[daily_demand]]*WarehouseData[[#This Row],[lead_time_days]]</f>
        <v>30.87</v>
      </c>
      <c r="Z101" t="str">
        <f>IF(WarehouseData[[#This Row],[stock_level]]&lt;=WarehouseData[[#This Row],[Demand During Lead Time]],"At Risk","Safe")</f>
        <v>Safe</v>
      </c>
      <c r="AA101">
        <f>WarehouseData[[#This Row],[stock_level]]/WarehouseData[[#This Row],[daily_demand]]</f>
        <v>14.577259475218659</v>
      </c>
      <c r="AB101">
        <f>WarehouseData[[#This Row],[stock_level]]*WarehouseData[[#This Row],[unit_price]]</f>
        <v>7163</v>
      </c>
      <c r="AC101">
        <f>WarehouseData[[#This Row],[stock_level]]*WarehouseData[[#This Row],[holding_cost_per_unit_day]]*30</f>
        <v>1110</v>
      </c>
      <c r="AD101" t="str">
        <f>IF(WarehouseData[[#This Row],[order_fulfillment_rate]]&gt;=0.9,"Strong",IF(WarehouseData[[#This Row],[order_fulfillment_rate]]&gt;=0.8,"Moderate","Needs Attention"))</f>
        <v>Moderate</v>
      </c>
      <c r="AE101" t="str">
        <f>IF(WarehouseData[[#This Row],[picking_time_seconds]]&gt;120,"Slow",IF(WarehouseData[[#This Row],[picking_time_seconds]]&gt;=60,"Average","Fast"))</f>
        <v>Fast</v>
      </c>
    </row>
    <row r="102" spans="1:31" x14ac:dyDescent="0.25">
      <c r="A102" t="s">
        <v>201</v>
      </c>
      <c r="B102" t="s">
        <v>32</v>
      </c>
      <c r="C102">
        <v>356</v>
      </c>
      <c r="D102">
        <v>48</v>
      </c>
      <c r="E102">
        <v>5</v>
      </c>
      <c r="F102">
        <v>3</v>
      </c>
      <c r="G102">
        <v>42.9</v>
      </c>
      <c r="H102">
        <v>3.91</v>
      </c>
      <c r="I102">
        <v>0.87</v>
      </c>
      <c r="J102" t="s">
        <v>202</v>
      </c>
      <c r="K102" t="s">
        <v>52</v>
      </c>
      <c r="L102">
        <v>87</v>
      </c>
      <c r="M102">
        <v>3.92</v>
      </c>
      <c r="N102">
        <v>62.3</v>
      </c>
      <c r="O102">
        <v>1.27</v>
      </c>
      <c r="P102">
        <v>9</v>
      </c>
      <c r="Q102">
        <v>0.75</v>
      </c>
      <c r="R102">
        <v>793</v>
      </c>
      <c r="S102">
        <v>14.78</v>
      </c>
      <c r="T102">
        <v>0.43</v>
      </c>
      <c r="U102" s="1">
        <v>45410</v>
      </c>
      <c r="V102">
        <v>227.62</v>
      </c>
      <c r="W102">
        <v>0.52600000000000002</v>
      </c>
      <c r="X102" t="str">
        <f>IF(WarehouseData[[#This Row],[stock_level]]&lt;=WarehouseData[[#This Row],[reorder_point]],"Low Stock","Sufficient Stock")</f>
        <v>Sufficient Stock</v>
      </c>
      <c r="Y102">
        <f>WarehouseData[[#This Row],[daily_demand]]*WarehouseData[[#This Row],[lead_time_days]]</f>
        <v>128.69999999999999</v>
      </c>
      <c r="Z102" t="str">
        <f>IF(WarehouseData[[#This Row],[stock_level]]&lt;=WarehouseData[[#This Row],[Demand During Lead Time]],"At Risk","Safe")</f>
        <v>Safe</v>
      </c>
      <c r="AA102">
        <f>WarehouseData[[#This Row],[stock_level]]/WarehouseData[[#This Row],[daily_demand]]</f>
        <v>8.2983682983682989</v>
      </c>
      <c r="AB102">
        <f>WarehouseData[[#This Row],[stock_level]]*WarehouseData[[#This Row],[unit_price]]</f>
        <v>22178.799999999999</v>
      </c>
      <c r="AC102">
        <f>WarehouseData[[#This Row],[stock_level]]*WarehouseData[[#This Row],[holding_cost_per_unit_day]]*30</f>
        <v>13563.6</v>
      </c>
      <c r="AD102" t="str">
        <f>IF(WarehouseData[[#This Row],[order_fulfillment_rate]]&gt;=0.9,"Strong",IF(WarehouseData[[#This Row],[order_fulfillment_rate]]&gt;=0.8,"Moderate","Needs Attention"))</f>
        <v>Needs Attention</v>
      </c>
      <c r="AE102" t="str">
        <f>IF(WarehouseData[[#This Row],[picking_time_seconds]]&gt;120,"Slow",IF(WarehouseData[[#This Row],[picking_time_seconds]]&gt;=60,"Average","Fast"))</f>
        <v>Average</v>
      </c>
    </row>
    <row r="103" spans="1:31" x14ac:dyDescent="0.25">
      <c r="A103" t="s">
        <v>203</v>
      </c>
      <c r="B103" t="s">
        <v>73</v>
      </c>
      <c r="C103">
        <v>202</v>
      </c>
      <c r="D103">
        <v>13</v>
      </c>
      <c r="E103">
        <v>11</v>
      </c>
      <c r="F103">
        <v>5</v>
      </c>
      <c r="G103">
        <v>33.25</v>
      </c>
      <c r="H103">
        <v>4.3499999999999996</v>
      </c>
      <c r="I103">
        <v>0.56000000000000005</v>
      </c>
      <c r="J103" t="s">
        <v>120</v>
      </c>
      <c r="K103" t="s">
        <v>46</v>
      </c>
      <c r="L103">
        <v>91</v>
      </c>
      <c r="M103">
        <v>3.45</v>
      </c>
      <c r="N103">
        <v>54.24</v>
      </c>
      <c r="O103">
        <v>0.23</v>
      </c>
      <c r="P103">
        <v>5</v>
      </c>
      <c r="Q103">
        <v>1</v>
      </c>
      <c r="R103">
        <v>475</v>
      </c>
      <c r="S103">
        <v>12.42</v>
      </c>
      <c r="T103">
        <v>0.67</v>
      </c>
      <c r="U103" s="1">
        <v>45326</v>
      </c>
      <c r="V103">
        <v>153.30000000000001</v>
      </c>
      <c r="W103">
        <v>0.77700000000000002</v>
      </c>
      <c r="X103" t="str">
        <f>IF(WarehouseData[[#This Row],[stock_level]]&lt;=WarehouseData[[#This Row],[reorder_point]],"Low Stock","Sufficient Stock")</f>
        <v>Sufficient Stock</v>
      </c>
      <c r="Y103">
        <f>WarehouseData[[#This Row],[daily_demand]]*WarehouseData[[#This Row],[lead_time_days]]</f>
        <v>166.25</v>
      </c>
      <c r="Z103" t="str">
        <f>IF(WarehouseData[[#This Row],[stock_level]]&lt;=WarehouseData[[#This Row],[Demand During Lead Time]],"At Risk","Safe")</f>
        <v>Safe</v>
      </c>
      <c r="AA103">
        <f>WarehouseData[[#This Row],[stock_level]]/WarehouseData[[#This Row],[daily_demand]]</f>
        <v>6.0751879699248121</v>
      </c>
      <c r="AB103">
        <f>WarehouseData[[#This Row],[stock_level]]*WarehouseData[[#This Row],[unit_price]]</f>
        <v>10956.48</v>
      </c>
      <c r="AC103">
        <f>WarehouseData[[#This Row],[stock_level]]*WarehouseData[[#This Row],[holding_cost_per_unit_day]]*30</f>
        <v>1393.8</v>
      </c>
      <c r="AD103" t="str">
        <f>IF(WarehouseData[[#This Row],[order_fulfillment_rate]]&gt;=0.9,"Strong",IF(WarehouseData[[#This Row],[order_fulfillment_rate]]&gt;=0.8,"Moderate","Needs Attention"))</f>
        <v>Strong</v>
      </c>
      <c r="AE103" t="str">
        <f>IF(WarehouseData[[#This Row],[picking_time_seconds]]&gt;120,"Slow",IF(WarehouseData[[#This Row],[picking_time_seconds]]&gt;=60,"Average","Fast"))</f>
        <v>Average</v>
      </c>
    </row>
    <row r="104" spans="1:31" x14ac:dyDescent="0.25">
      <c r="A104" t="s">
        <v>204</v>
      </c>
      <c r="B104" t="s">
        <v>32</v>
      </c>
      <c r="C104">
        <v>42</v>
      </c>
      <c r="D104">
        <v>39</v>
      </c>
      <c r="E104">
        <v>5</v>
      </c>
      <c r="F104">
        <v>4</v>
      </c>
      <c r="G104">
        <v>22.29</v>
      </c>
      <c r="H104">
        <v>9.1</v>
      </c>
      <c r="I104">
        <v>0.72</v>
      </c>
      <c r="J104" t="s">
        <v>185</v>
      </c>
      <c r="K104" t="s">
        <v>46</v>
      </c>
      <c r="L104">
        <v>154</v>
      </c>
      <c r="M104">
        <v>1.55</v>
      </c>
      <c r="N104">
        <v>67.64</v>
      </c>
      <c r="O104">
        <v>0.14000000000000001</v>
      </c>
      <c r="P104">
        <v>0</v>
      </c>
      <c r="Q104">
        <v>0.92</v>
      </c>
      <c r="R104">
        <v>344</v>
      </c>
      <c r="S104">
        <v>5.97</v>
      </c>
      <c r="T104">
        <v>0.88</v>
      </c>
      <c r="U104" s="1">
        <v>45654</v>
      </c>
      <c r="V104">
        <v>170.06</v>
      </c>
      <c r="W104">
        <v>0.82599999999999996</v>
      </c>
      <c r="X104" t="str">
        <f>IF(WarehouseData[[#This Row],[stock_level]]&lt;=WarehouseData[[#This Row],[reorder_point]],"Low Stock","Sufficient Stock")</f>
        <v>Sufficient Stock</v>
      </c>
      <c r="Y104">
        <f>WarehouseData[[#This Row],[daily_demand]]*WarehouseData[[#This Row],[lead_time_days]]</f>
        <v>89.16</v>
      </c>
      <c r="Z104" t="str">
        <f>IF(WarehouseData[[#This Row],[stock_level]]&lt;=WarehouseData[[#This Row],[Demand During Lead Time]],"At Risk","Safe")</f>
        <v>At Risk</v>
      </c>
      <c r="AA104">
        <f>WarehouseData[[#This Row],[stock_level]]/WarehouseData[[#This Row],[daily_demand]]</f>
        <v>1.8842530282637955</v>
      </c>
      <c r="AB104">
        <f>WarehouseData[[#This Row],[stock_level]]*WarehouseData[[#This Row],[unit_price]]</f>
        <v>2840.88</v>
      </c>
      <c r="AC104">
        <f>WarehouseData[[#This Row],[stock_level]]*WarehouseData[[#This Row],[holding_cost_per_unit_day]]*30</f>
        <v>176.40000000000003</v>
      </c>
      <c r="AD104" t="str">
        <f>IF(WarehouseData[[#This Row],[order_fulfillment_rate]]&gt;=0.9,"Strong",IF(WarehouseData[[#This Row],[order_fulfillment_rate]]&gt;=0.8,"Moderate","Needs Attention"))</f>
        <v>Strong</v>
      </c>
      <c r="AE104" t="str">
        <f>IF(WarehouseData[[#This Row],[picking_time_seconds]]&gt;120,"Slow",IF(WarehouseData[[#This Row],[picking_time_seconds]]&gt;=60,"Average","Fast"))</f>
        <v>Slow</v>
      </c>
    </row>
    <row r="105" spans="1:31" x14ac:dyDescent="0.25">
      <c r="A105" t="s">
        <v>205</v>
      </c>
      <c r="B105" t="s">
        <v>48</v>
      </c>
      <c r="C105">
        <v>51</v>
      </c>
      <c r="D105">
        <v>39</v>
      </c>
      <c r="E105">
        <v>3</v>
      </c>
      <c r="F105">
        <v>6</v>
      </c>
      <c r="G105">
        <v>17.98</v>
      </c>
      <c r="H105">
        <v>2.02</v>
      </c>
      <c r="I105">
        <v>0.17</v>
      </c>
      <c r="J105" t="s">
        <v>33</v>
      </c>
      <c r="K105" t="s">
        <v>52</v>
      </c>
      <c r="L105">
        <v>28</v>
      </c>
      <c r="M105">
        <v>4.88</v>
      </c>
      <c r="N105">
        <v>176.08</v>
      </c>
      <c r="O105">
        <v>0.93</v>
      </c>
      <c r="P105">
        <v>7</v>
      </c>
      <c r="Q105">
        <v>0.82</v>
      </c>
      <c r="R105">
        <v>880</v>
      </c>
      <c r="S105">
        <v>9.34</v>
      </c>
      <c r="T105">
        <v>0.26</v>
      </c>
      <c r="U105" s="1">
        <v>45369</v>
      </c>
      <c r="V105">
        <v>228.37</v>
      </c>
      <c r="W105">
        <v>0.50800000000000001</v>
      </c>
      <c r="X105" t="str">
        <f>IF(WarehouseData[[#This Row],[stock_level]]&lt;=WarehouseData[[#This Row],[reorder_point]],"Low Stock","Sufficient Stock")</f>
        <v>Sufficient Stock</v>
      </c>
      <c r="Y105">
        <f>WarehouseData[[#This Row],[daily_demand]]*WarehouseData[[#This Row],[lead_time_days]]</f>
        <v>107.88</v>
      </c>
      <c r="Z105" t="str">
        <f>IF(WarehouseData[[#This Row],[stock_level]]&lt;=WarehouseData[[#This Row],[Demand During Lead Time]],"At Risk","Safe")</f>
        <v>At Risk</v>
      </c>
      <c r="AA105">
        <f>WarehouseData[[#This Row],[stock_level]]/WarehouseData[[#This Row],[daily_demand]]</f>
        <v>2.836484983314794</v>
      </c>
      <c r="AB105">
        <f>WarehouseData[[#This Row],[stock_level]]*WarehouseData[[#This Row],[unit_price]]</f>
        <v>8980.08</v>
      </c>
      <c r="AC105">
        <f>WarehouseData[[#This Row],[stock_level]]*WarehouseData[[#This Row],[holding_cost_per_unit_day]]*30</f>
        <v>1422.9</v>
      </c>
      <c r="AD105" t="str">
        <f>IF(WarehouseData[[#This Row],[order_fulfillment_rate]]&gt;=0.9,"Strong",IF(WarehouseData[[#This Row],[order_fulfillment_rate]]&gt;=0.8,"Moderate","Needs Attention"))</f>
        <v>Moderate</v>
      </c>
      <c r="AE105" t="str">
        <f>IF(WarehouseData[[#This Row],[picking_time_seconds]]&gt;120,"Slow",IF(WarehouseData[[#This Row],[picking_time_seconds]]&gt;=60,"Average","Fast"))</f>
        <v>Fast</v>
      </c>
    </row>
    <row r="106" spans="1:31" x14ac:dyDescent="0.25">
      <c r="A106" t="s">
        <v>206</v>
      </c>
      <c r="B106" t="s">
        <v>73</v>
      </c>
      <c r="C106">
        <v>465</v>
      </c>
      <c r="D106">
        <v>31</v>
      </c>
      <c r="E106">
        <v>4</v>
      </c>
      <c r="F106">
        <v>4</v>
      </c>
      <c r="G106">
        <v>1.94</v>
      </c>
      <c r="H106">
        <v>0.77</v>
      </c>
      <c r="I106">
        <v>0.5</v>
      </c>
      <c r="J106" t="s">
        <v>207</v>
      </c>
      <c r="K106" t="s">
        <v>46</v>
      </c>
      <c r="L106">
        <v>104</v>
      </c>
      <c r="M106">
        <v>3.07</v>
      </c>
      <c r="N106">
        <v>108.42</v>
      </c>
      <c r="O106">
        <v>1.61</v>
      </c>
      <c r="P106">
        <v>8</v>
      </c>
      <c r="Q106">
        <v>0.98</v>
      </c>
      <c r="R106">
        <v>691</v>
      </c>
      <c r="S106">
        <v>13.1</v>
      </c>
      <c r="T106">
        <v>0.28000000000000003</v>
      </c>
      <c r="U106" s="1">
        <v>45296</v>
      </c>
      <c r="V106">
        <v>237.49</v>
      </c>
      <c r="W106">
        <v>0.50600000000000001</v>
      </c>
      <c r="X106" t="str">
        <f>IF(WarehouseData[[#This Row],[stock_level]]&lt;=WarehouseData[[#This Row],[reorder_point]],"Low Stock","Sufficient Stock")</f>
        <v>Sufficient Stock</v>
      </c>
      <c r="Y106">
        <f>WarehouseData[[#This Row],[daily_demand]]*WarehouseData[[#This Row],[lead_time_days]]</f>
        <v>7.76</v>
      </c>
      <c r="Z106" t="str">
        <f>IF(WarehouseData[[#This Row],[stock_level]]&lt;=WarehouseData[[#This Row],[Demand During Lead Time]],"At Risk","Safe")</f>
        <v>Safe</v>
      </c>
      <c r="AA106">
        <f>WarehouseData[[#This Row],[stock_level]]/WarehouseData[[#This Row],[daily_demand]]</f>
        <v>239.69072164948454</v>
      </c>
      <c r="AB106">
        <f>WarehouseData[[#This Row],[stock_level]]*WarehouseData[[#This Row],[unit_price]]</f>
        <v>50415.3</v>
      </c>
      <c r="AC106">
        <f>WarehouseData[[#This Row],[stock_level]]*WarehouseData[[#This Row],[holding_cost_per_unit_day]]*30</f>
        <v>22459.500000000004</v>
      </c>
      <c r="AD106" t="str">
        <f>IF(WarehouseData[[#This Row],[order_fulfillment_rate]]&gt;=0.9,"Strong",IF(WarehouseData[[#This Row],[order_fulfillment_rate]]&gt;=0.8,"Moderate","Needs Attention"))</f>
        <v>Strong</v>
      </c>
      <c r="AE106" t="str">
        <f>IF(WarehouseData[[#This Row],[picking_time_seconds]]&gt;120,"Slow",IF(WarehouseData[[#This Row],[picking_time_seconds]]&gt;=60,"Average","Fast"))</f>
        <v>Average</v>
      </c>
    </row>
    <row r="107" spans="1:31" x14ac:dyDescent="0.25">
      <c r="A107" t="s">
        <v>208</v>
      </c>
      <c r="B107" t="s">
        <v>36</v>
      </c>
      <c r="C107">
        <v>93</v>
      </c>
      <c r="D107">
        <v>84</v>
      </c>
      <c r="E107">
        <v>8</v>
      </c>
      <c r="F107">
        <v>9</v>
      </c>
      <c r="G107">
        <v>41.44</v>
      </c>
      <c r="H107">
        <v>9.1300000000000008</v>
      </c>
      <c r="I107">
        <v>0.19</v>
      </c>
      <c r="J107" t="s">
        <v>84</v>
      </c>
      <c r="K107" t="s">
        <v>46</v>
      </c>
      <c r="L107">
        <v>48</v>
      </c>
      <c r="M107">
        <v>4.58</v>
      </c>
      <c r="N107">
        <v>40</v>
      </c>
      <c r="O107">
        <v>0.16</v>
      </c>
      <c r="P107">
        <v>7</v>
      </c>
      <c r="Q107">
        <v>0.73</v>
      </c>
      <c r="R107">
        <v>334</v>
      </c>
      <c r="S107">
        <v>7.74</v>
      </c>
      <c r="T107">
        <v>0.43</v>
      </c>
      <c r="U107" s="1">
        <v>45403</v>
      </c>
      <c r="V107">
        <v>49.51</v>
      </c>
      <c r="W107">
        <v>0.57899999999999996</v>
      </c>
      <c r="X107" t="str">
        <f>IF(WarehouseData[[#This Row],[stock_level]]&lt;=WarehouseData[[#This Row],[reorder_point]],"Low Stock","Sufficient Stock")</f>
        <v>Sufficient Stock</v>
      </c>
      <c r="Y107">
        <f>WarehouseData[[#This Row],[daily_demand]]*WarehouseData[[#This Row],[lead_time_days]]</f>
        <v>372.96</v>
      </c>
      <c r="Z107" t="str">
        <f>IF(WarehouseData[[#This Row],[stock_level]]&lt;=WarehouseData[[#This Row],[Demand During Lead Time]],"At Risk","Safe")</f>
        <v>At Risk</v>
      </c>
      <c r="AA107">
        <f>WarehouseData[[#This Row],[stock_level]]/WarehouseData[[#This Row],[daily_demand]]</f>
        <v>2.2442084942084946</v>
      </c>
      <c r="AB107">
        <f>WarehouseData[[#This Row],[stock_level]]*WarehouseData[[#This Row],[unit_price]]</f>
        <v>3720</v>
      </c>
      <c r="AC107">
        <f>WarehouseData[[#This Row],[stock_level]]*WarehouseData[[#This Row],[holding_cost_per_unit_day]]*30</f>
        <v>446.40000000000003</v>
      </c>
      <c r="AD107" t="str">
        <f>IF(WarehouseData[[#This Row],[order_fulfillment_rate]]&gt;=0.9,"Strong",IF(WarehouseData[[#This Row],[order_fulfillment_rate]]&gt;=0.8,"Moderate","Needs Attention"))</f>
        <v>Needs Attention</v>
      </c>
      <c r="AE107" t="str">
        <f>IF(WarehouseData[[#This Row],[picking_time_seconds]]&gt;120,"Slow",IF(WarehouseData[[#This Row],[picking_time_seconds]]&gt;=60,"Average","Fast"))</f>
        <v>Fast</v>
      </c>
    </row>
    <row r="108" spans="1:31" x14ac:dyDescent="0.25">
      <c r="A108" t="s">
        <v>209</v>
      </c>
      <c r="B108" t="s">
        <v>40</v>
      </c>
      <c r="C108">
        <v>29</v>
      </c>
      <c r="D108">
        <v>75</v>
      </c>
      <c r="E108">
        <v>14</v>
      </c>
      <c r="F108">
        <v>3</v>
      </c>
      <c r="G108">
        <v>7.99</v>
      </c>
      <c r="H108">
        <v>8.31</v>
      </c>
      <c r="I108">
        <v>0.64</v>
      </c>
      <c r="J108" t="s">
        <v>51</v>
      </c>
      <c r="K108" t="s">
        <v>38</v>
      </c>
      <c r="L108">
        <v>126</v>
      </c>
      <c r="M108">
        <v>4.37</v>
      </c>
      <c r="N108">
        <v>157.15</v>
      </c>
      <c r="O108">
        <v>1.71</v>
      </c>
      <c r="P108">
        <v>0</v>
      </c>
      <c r="Q108">
        <v>0.73</v>
      </c>
      <c r="R108">
        <v>366</v>
      </c>
      <c r="S108">
        <v>1.71</v>
      </c>
      <c r="T108">
        <v>0.48</v>
      </c>
      <c r="U108" s="1">
        <v>45550</v>
      </c>
      <c r="V108">
        <v>91.28</v>
      </c>
      <c r="W108">
        <v>0.49399999999999999</v>
      </c>
      <c r="X108" t="str">
        <f>IF(WarehouseData[[#This Row],[stock_level]]&lt;=WarehouseData[[#This Row],[reorder_point]],"Low Stock","Sufficient Stock")</f>
        <v>Low Stock</v>
      </c>
      <c r="Y108">
        <f>WarehouseData[[#This Row],[daily_demand]]*WarehouseData[[#This Row],[lead_time_days]]</f>
        <v>23.97</v>
      </c>
      <c r="Z108" t="str">
        <f>IF(WarehouseData[[#This Row],[stock_level]]&lt;=WarehouseData[[#This Row],[Demand During Lead Time]],"At Risk","Safe")</f>
        <v>Safe</v>
      </c>
      <c r="AA108">
        <f>WarehouseData[[#This Row],[stock_level]]/WarehouseData[[#This Row],[daily_demand]]</f>
        <v>3.629536921151439</v>
      </c>
      <c r="AB108">
        <f>WarehouseData[[#This Row],[stock_level]]*WarehouseData[[#This Row],[unit_price]]</f>
        <v>4557.3500000000004</v>
      </c>
      <c r="AC108">
        <f>WarehouseData[[#This Row],[stock_level]]*WarehouseData[[#This Row],[holding_cost_per_unit_day]]*30</f>
        <v>1487.6999999999998</v>
      </c>
      <c r="AD108" t="str">
        <f>IF(WarehouseData[[#This Row],[order_fulfillment_rate]]&gt;=0.9,"Strong",IF(WarehouseData[[#This Row],[order_fulfillment_rate]]&gt;=0.8,"Moderate","Needs Attention"))</f>
        <v>Needs Attention</v>
      </c>
      <c r="AE108" t="str">
        <f>IF(WarehouseData[[#This Row],[picking_time_seconds]]&gt;120,"Slow",IF(WarehouseData[[#This Row],[picking_time_seconds]]&gt;=60,"Average","Fast"))</f>
        <v>Slow</v>
      </c>
    </row>
    <row r="109" spans="1:31" x14ac:dyDescent="0.25">
      <c r="A109" t="s">
        <v>210</v>
      </c>
      <c r="B109" t="s">
        <v>32</v>
      </c>
      <c r="C109">
        <v>475</v>
      </c>
      <c r="D109">
        <v>21</v>
      </c>
      <c r="E109">
        <v>12</v>
      </c>
      <c r="F109">
        <v>9</v>
      </c>
      <c r="G109">
        <v>16.170000000000002</v>
      </c>
      <c r="H109">
        <v>9.74</v>
      </c>
      <c r="I109">
        <v>0.35</v>
      </c>
      <c r="J109" t="s">
        <v>188</v>
      </c>
      <c r="K109" t="s">
        <v>46</v>
      </c>
      <c r="L109">
        <v>45</v>
      </c>
      <c r="M109">
        <v>2</v>
      </c>
      <c r="N109">
        <v>49.61</v>
      </c>
      <c r="O109">
        <v>0.83</v>
      </c>
      <c r="P109">
        <v>5</v>
      </c>
      <c r="Q109">
        <v>0.9</v>
      </c>
      <c r="R109">
        <v>561</v>
      </c>
      <c r="S109">
        <v>13.65</v>
      </c>
      <c r="T109">
        <v>0.87</v>
      </c>
      <c r="U109" s="1">
        <v>45525</v>
      </c>
      <c r="V109">
        <v>60.94</v>
      </c>
      <c r="W109">
        <v>0.753</v>
      </c>
      <c r="X109" t="str">
        <f>IF(WarehouseData[[#This Row],[stock_level]]&lt;=WarehouseData[[#This Row],[reorder_point]],"Low Stock","Sufficient Stock")</f>
        <v>Sufficient Stock</v>
      </c>
      <c r="Y109">
        <f>WarehouseData[[#This Row],[daily_demand]]*WarehouseData[[#This Row],[lead_time_days]]</f>
        <v>145.53000000000003</v>
      </c>
      <c r="Z109" t="str">
        <f>IF(WarehouseData[[#This Row],[stock_level]]&lt;=WarehouseData[[#This Row],[Demand During Lead Time]],"At Risk","Safe")</f>
        <v>Safe</v>
      </c>
      <c r="AA109">
        <f>WarehouseData[[#This Row],[stock_level]]/WarehouseData[[#This Row],[daily_demand]]</f>
        <v>29.375386518243658</v>
      </c>
      <c r="AB109">
        <f>WarehouseData[[#This Row],[stock_level]]*WarehouseData[[#This Row],[unit_price]]</f>
        <v>23564.75</v>
      </c>
      <c r="AC109">
        <f>WarehouseData[[#This Row],[stock_level]]*WarehouseData[[#This Row],[holding_cost_per_unit_day]]*30</f>
        <v>11827.5</v>
      </c>
      <c r="AD109" t="str">
        <f>IF(WarehouseData[[#This Row],[order_fulfillment_rate]]&gt;=0.9,"Strong",IF(WarehouseData[[#This Row],[order_fulfillment_rate]]&gt;=0.8,"Moderate","Needs Attention"))</f>
        <v>Strong</v>
      </c>
      <c r="AE109" t="str">
        <f>IF(WarehouseData[[#This Row],[picking_time_seconds]]&gt;120,"Slow",IF(WarehouseData[[#This Row],[picking_time_seconds]]&gt;=60,"Average","Fast"))</f>
        <v>Fast</v>
      </c>
    </row>
    <row r="110" spans="1:31" x14ac:dyDescent="0.25">
      <c r="A110" t="s">
        <v>211</v>
      </c>
      <c r="B110" t="s">
        <v>40</v>
      </c>
      <c r="C110">
        <v>73</v>
      </c>
      <c r="D110">
        <v>45</v>
      </c>
      <c r="E110">
        <v>4</v>
      </c>
      <c r="F110">
        <v>9</v>
      </c>
      <c r="G110">
        <v>28.89</v>
      </c>
      <c r="H110">
        <v>1.05</v>
      </c>
      <c r="I110">
        <v>0.36</v>
      </c>
      <c r="J110" t="s">
        <v>212</v>
      </c>
      <c r="K110" t="s">
        <v>38</v>
      </c>
      <c r="L110">
        <v>24</v>
      </c>
      <c r="M110">
        <v>2.91</v>
      </c>
      <c r="N110">
        <v>88.37</v>
      </c>
      <c r="O110">
        <v>0.32</v>
      </c>
      <c r="P110">
        <v>8</v>
      </c>
      <c r="Q110">
        <v>0.75</v>
      </c>
      <c r="R110">
        <v>78</v>
      </c>
      <c r="S110">
        <v>8.24</v>
      </c>
      <c r="T110">
        <v>0.97</v>
      </c>
      <c r="U110" s="1">
        <v>45483</v>
      </c>
      <c r="V110">
        <v>25.67</v>
      </c>
      <c r="W110">
        <v>0.66200000000000003</v>
      </c>
      <c r="X110" t="str">
        <f>IF(WarehouseData[[#This Row],[stock_level]]&lt;=WarehouseData[[#This Row],[reorder_point]],"Low Stock","Sufficient Stock")</f>
        <v>Sufficient Stock</v>
      </c>
      <c r="Y110">
        <f>WarehouseData[[#This Row],[daily_demand]]*WarehouseData[[#This Row],[lead_time_days]]</f>
        <v>260.01</v>
      </c>
      <c r="Z110" t="str">
        <f>IF(WarehouseData[[#This Row],[stock_level]]&lt;=WarehouseData[[#This Row],[Demand During Lead Time]],"At Risk","Safe")</f>
        <v>At Risk</v>
      </c>
      <c r="AA110">
        <f>WarehouseData[[#This Row],[stock_level]]/WarehouseData[[#This Row],[daily_demand]]</f>
        <v>2.5268258913118724</v>
      </c>
      <c r="AB110">
        <f>WarehouseData[[#This Row],[stock_level]]*WarehouseData[[#This Row],[unit_price]]</f>
        <v>6451.01</v>
      </c>
      <c r="AC110">
        <f>WarehouseData[[#This Row],[stock_level]]*WarehouseData[[#This Row],[holding_cost_per_unit_day]]*30</f>
        <v>700.8</v>
      </c>
      <c r="AD110" t="str">
        <f>IF(WarehouseData[[#This Row],[order_fulfillment_rate]]&gt;=0.9,"Strong",IF(WarehouseData[[#This Row],[order_fulfillment_rate]]&gt;=0.8,"Moderate","Needs Attention"))</f>
        <v>Needs Attention</v>
      </c>
      <c r="AE110" t="str">
        <f>IF(WarehouseData[[#This Row],[picking_time_seconds]]&gt;120,"Slow",IF(WarehouseData[[#This Row],[picking_time_seconds]]&gt;=60,"Average","Fast"))</f>
        <v>Fast</v>
      </c>
    </row>
    <row r="111" spans="1:31" x14ac:dyDescent="0.25">
      <c r="A111" t="s">
        <v>213</v>
      </c>
      <c r="B111" t="s">
        <v>40</v>
      </c>
      <c r="C111">
        <v>71</v>
      </c>
      <c r="D111">
        <v>27</v>
      </c>
      <c r="E111">
        <v>8</v>
      </c>
      <c r="F111">
        <v>9</v>
      </c>
      <c r="G111">
        <v>13.05</v>
      </c>
      <c r="H111">
        <v>1.98</v>
      </c>
      <c r="I111">
        <v>0.17</v>
      </c>
      <c r="J111" t="s">
        <v>166</v>
      </c>
      <c r="K111" t="s">
        <v>46</v>
      </c>
      <c r="L111">
        <v>166</v>
      </c>
      <c r="M111">
        <v>2.44</v>
      </c>
      <c r="N111">
        <v>117.93</v>
      </c>
      <c r="O111">
        <v>1.18</v>
      </c>
      <c r="P111">
        <v>8</v>
      </c>
      <c r="Q111">
        <v>0.98</v>
      </c>
      <c r="R111">
        <v>789</v>
      </c>
      <c r="S111">
        <v>8.6300000000000008</v>
      </c>
      <c r="T111">
        <v>0.21</v>
      </c>
      <c r="U111" s="1">
        <v>45322</v>
      </c>
      <c r="V111">
        <v>165.88</v>
      </c>
      <c r="W111">
        <v>0.47499999999999998</v>
      </c>
      <c r="X111" t="str">
        <f>IF(WarehouseData[[#This Row],[stock_level]]&lt;=WarehouseData[[#This Row],[reorder_point]],"Low Stock","Sufficient Stock")</f>
        <v>Sufficient Stock</v>
      </c>
      <c r="Y111">
        <f>WarehouseData[[#This Row],[daily_demand]]*WarehouseData[[#This Row],[lead_time_days]]</f>
        <v>117.45</v>
      </c>
      <c r="Z111" t="str">
        <f>IF(WarehouseData[[#This Row],[stock_level]]&lt;=WarehouseData[[#This Row],[Demand During Lead Time]],"At Risk","Safe")</f>
        <v>At Risk</v>
      </c>
      <c r="AA111">
        <f>WarehouseData[[#This Row],[stock_level]]/WarehouseData[[#This Row],[daily_demand]]</f>
        <v>5.4406130268199231</v>
      </c>
      <c r="AB111">
        <f>WarehouseData[[#This Row],[stock_level]]*WarehouseData[[#This Row],[unit_price]]</f>
        <v>8373.0300000000007</v>
      </c>
      <c r="AC111">
        <f>WarehouseData[[#This Row],[stock_level]]*WarehouseData[[#This Row],[holding_cost_per_unit_day]]*30</f>
        <v>2513.4</v>
      </c>
      <c r="AD111" t="str">
        <f>IF(WarehouseData[[#This Row],[order_fulfillment_rate]]&gt;=0.9,"Strong",IF(WarehouseData[[#This Row],[order_fulfillment_rate]]&gt;=0.8,"Moderate","Needs Attention"))</f>
        <v>Strong</v>
      </c>
      <c r="AE111" t="str">
        <f>IF(WarehouseData[[#This Row],[picking_time_seconds]]&gt;120,"Slow",IF(WarehouseData[[#This Row],[picking_time_seconds]]&gt;=60,"Average","Fast"))</f>
        <v>Slow</v>
      </c>
    </row>
    <row r="112" spans="1:31" x14ac:dyDescent="0.25">
      <c r="A112" t="s">
        <v>214</v>
      </c>
      <c r="B112" t="s">
        <v>73</v>
      </c>
      <c r="C112">
        <v>167</v>
      </c>
      <c r="D112">
        <v>99</v>
      </c>
      <c r="E112">
        <v>3</v>
      </c>
      <c r="F112">
        <v>5</v>
      </c>
      <c r="G112">
        <v>25.36</v>
      </c>
      <c r="H112">
        <v>1.5</v>
      </c>
      <c r="I112">
        <v>0.38</v>
      </c>
      <c r="J112" t="s">
        <v>215</v>
      </c>
      <c r="K112" t="s">
        <v>46</v>
      </c>
      <c r="L112">
        <v>69</v>
      </c>
      <c r="M112">
        <v>3.69</v>
      </c>
      <c r="N112">
        <v>121.04</v>
      </c>
      <c r="O112">
        <v>1.91</v>
      </c>
      <c r="P112">
        <v>6</v>
      </c>
      <c r="Q112">
        <v>0.95</v>
      </c>
      <c r="R112">
        <v>343</v>
      </c>
      <c r="S112">
        <v>1.19</v>
      </c>
      <c r="T112">
        <v>0.21</v>
      </c>
      <c r="U112" s="1">
        <v>45608</v>
      </c>
      <c r="V112">
        <v>82.44</v>
      </c>
      <c r="W112">
        <v>0.33700000000000002</v>
      </c>
      <c r="X112" t="str">
        <f>IF(WarehouseData[[#This Row],[stock_level]]&lt;=WarehouseData[[#This Row],[reorder_point]],"Low Stock","Sufficient Stock")</f>
        <v>Sufficient Stock</v>
      </c>
      <c r="Y112">
        <f>WarehouseData[[#This Row],[daily_demand]]*WarehouseData[[#This Row],[lead_time_days]]</f>
        <v>126.8</v>
      </c>
      <c r="Z112" t="str">
        <f>IF(WarehouseData[[#This Row],[stock_level]]&lt;=WarehouseData[[#This Row],[Demand During Lead Time]],"At Risk","Safe")</f>
        <v>Safe</v>
      </c>
      <c r="AA112">
        <f>WarehouseData[[#This Row],[stock_level]]/WarehouseData[[#This Row],[daily_demand]]</f>
        <v>6.5851735015772874</v>
      </c>
      <c r="AB112">
        <f>WarehouseData[[#This Row],[stock_level]]*WarehouseData[[#This Row],[unit_price]]</f>
        <v>20213.68</v>
      </c>
      <c r="AC112">
        <f>WarehouseData[[#This Row],[stock_level]]*WarehouseData[[#This Row],[holding_cost_per_unit_day]]*30</f>
        <v>9569.0999999999985</v>
      </c>
      <c r="AD112" t="str">
        <f>IF(WarehouseData[[#This Row],[order_fulfillment_rate]]&gt;=0.9,"Strong",IF(WarehouseData[[#This Row],[order_fulfillment_rate]]&gt;=0.8,"Moderate","Needs Attention"))</f>
        <v>Strong</v>
      </c>
      <c r="AE112" t="str">
        <f>IF(WarehouseData[[#This Row],[picking_time_seconds]]&gt;120,"Slow",IF(WarehouseData[[#This Row],[picking_time_seconds]]&gt;=60,"Average","Fast"))</f>
        <v>Average</v>
      </c>
    </row>
    <row r="113" spans="1:31" x14ac:dyDescent="0.25">
      <c r="A113" t="s">
        <v>216</v>
      </c>
      <c r="B113" t="s">
        <v>40</v>
      </c>
      <c r="C113">
        <v>179</v>
      </c>
      <c r="D113">
        <v>62</v>
      </c>
      <c r="E113">
        <v>13</v>
      </c>
      <c r="F113">
        <v>9</v>
      </c>
      <c r="G113">
        <v>40.659999999999997</v>
      </c>
      <c r="H113">
        <v>6.99</v>
      </c>
      <c r="I113">
        <v>0.56000000000000005</v>
      </c>
      <c r="J113" t="s">
        <v>217</v>
      </c>
      <c r="K113" t="s">
        <v>52</v>
      </c>
      <c r="L113">
        <v>177</v>
      </c>
      <c r="M113">
        <v>3.15</v>
      </c>
      <c r="N113">
        <v>23.12</v>
      </c>
      <c r="O113">
        <v>1.1299999999999999</v>
      </c>
      <c r="P113">
        <v>6</v>
      </c>
      <c r="Q113">
        <v>0.79</v>
      </c>
      <c r="R113">
        <v>56</v>
      </c>
      <c r="S113">
        <v>2.4</v>
      </c>
      <c r="T113">
        <v>0.89</v>
      </c>
      <c r="U113" s="1">
        <v>45618</v>
      </c>
      <c r="V113">
        <v>54.65</v>
      </c>
      <c r="W113">
        <v>0.53500000000000003</v>
      </c>
      <c r="X113" t="str">
        <f>IF(WarehouseData[[#This Row],[stock_level]]&lt;=WarehouseData[[#This Row],[reorder_point]],"Low Stock","Sufficient Stock")</f>
        <v>Sufficient Stock</v>
      </c>
      <c r="Y113">
        <f>WarehouseData[[#This Row],[daily_demand]]*WarehouseData[[#This Row],[lead_time_days]]</f>
        <v>365.93999999999994</v>
      </c>
      <c r="Z113" t="str">
        <f>IF(WarehouseData[[#This Row],[stock_level]]&lt;=WarehouseData[[#This Row],[Demand During Lead Time]],"At Risk","Safe")</f>
        <v>At Risk</v>
      </c>
      <c r="AA113">
        <f>WarehouseData[[#This Row],[stock_level]]/WarehouseData[[#This Row],[daily_demand]]</f>
        <v>4.4023610427939008</v>
      </c>
      <c r="AB113">
        <f>WarehouseData[[#This Row],[stock_level]]*WarehouseData[[#This Row],[unit_price]]</f>
        <v>4138.4800000000005</v>
      </c>
      <c r="AC113">
        <f>WarehouseData[[#This Row],[stock_level]]*WarehouseData[[#This Row],[holding_cost_per_unit_day]]*30</f>
        <v>6068.0999999999995</v>
      </c>
      <c r="AD113" t="str">
        <f>IF(WarehouseData[[#This Row],[order_fulfillment_rate]]&gt;=0.9,"Strong",IF(WarehouseData[[#This Row],[order_fulfillment_rate]]&gt;=0.8,"Moderate","Needs Attention"))</f>
        <v>Needs Attention</v>
      </c>
      <c r="AE113" t="str">
        <f>IF(WarehouseData[[#This Row],[picking_time_seconds]]&gt;120,"Slow",IF(WarehouseData[[#This Row],[picking_time_seconds]]&gt;=60,"Average","Fast"))</f>
        <v>Slow</v>
      </c>
    </row>
    <row r="114" spans="1:31" x14ac:dyDescent="0.25">
      <c r="A114" t="s">
        <v>218</v>
      </c>
      <c r="B114" t="s">
        <v>36</v>
      </c>
      <c r="C114">
        <v>389</v>
      </c>
      <c r="D114">
        <v>80</v>
      </c>
      <c r="E114">
        <v>3</v>
      </c>
      <c r="F114">
        <v>2</v>
      </c>
      <c r="G114">
        <v>24.06</v>
      </c>
      <c r="H114">
        <v>6.26</v>
      </c>
      <c r="I114">
        <v>0.63</v>
      </c>
      <c r="J114" t="s">
        <v>77</v>
      </c>
      <c r="K114" t="s">
        <v>38</v>
      </c>
      <c r="L114">
        <v>153</v>
      </c>
      <c r="M114">
        <v>4.03</v>
      </c>
      <c r="N114">
        <v>168.99</v>
      </c>
      <c r="O114">
        <v>1.4</v>
      </c>
      <c r="P114">
        <v>3</v>
      </c>
      <c r="Q114">
        <v>0.97</v>
      </c>
      <c r="R114">
        <v>591</v>
      </c>
      <c r="S114">
        <v>11.88</v>
      </c>
      <c r="T114">
        <v>0.31</v>
      </c>
      <c r="U114" s="1">
        <v>45633</v>
      </c>
      <c r="V114">
        <v>157.94</v>
      </c>
      <c r="W114">
        <v>0.61399999999999999</v>
      </c>
      <c r="X114" t="str">
        <f>IF(WarehouseData[[#This Row],[stock_level]]&lt;=WarehouseData[[#This Row],[reorder_point]],"Low Stock","Sufficient Stock")</f>
        <v>Sufficient Stock</v>
      </c>
      <c r="Y114">
        <f>WarehouseData[[#This Row],[daily_demand]]*WarehouseData[[#This Row],[lead_time_days]]</f>
        <v>48.12</v>
      </c>
      <c r="Z114" t="str">
        <f>IF(WarehouseData[[#This Row],[stock_level]]&lt;=WarehouseData[[#This Row],[Demand During Lead Time]],"At Risk","Safe")</f>
        <v>Safe</v>
      </c>
      <c r="AA114">
        <f>WarehouseData[[#This Row],[stock_level]]/WarehouseData[[#This Row],[daily_demand]]</f>
        <v>16.167913549459684</v>
      </c>
      <c r="AB114">
        <f>WarehouseData[[#This Row],[stock_level]]*WarehouseData[[#This Row],[unit_price]]</f>
        <v>65737.11</v>
      </c>
      <c r="AC114">
        <f>WarehouseData[[#This Row],[stock_level]]*WarehouseData[[#This Row],[holding_cost_per_unit_day]]*30</f>
        <v>16337.999999999996</v>
      </c>
      <c r="AD114" t="str">
        <f>IF(WarehouseData[[#This Row],[order_fulfillment_rate]]&gt;=0.9,"Strong",IF(WarehouseData[[#This Row],[order_fulfillment_rate]]&gt;=0.8,"Moderate","Needs Attention"))</f>
        <v>Strong</v>
      </c>
      <c r="AE114" t="str">
        <f>IF(WarehouseData[[#This Row],[picking_time_seconds]]&gt;120,"Slow",IF(WarehouseData[[#This Row],[picking_time_seconds]]&gt;=60,"Average","Fast"))</f>
        <v>Slow</v>
      </c>
    </row>
    <row r="115" spans="1:31" x14ac:dyDescent="0.25">
      <c r="A115" t="s">
        <v>219</v>
      </c>
      <c r="B115" t="s">
        <v>40</v>
      </c>
      <c r="C115">
        <v>33</v>
      </c>
      <c r="D115">
        <v>10</v>
      </c>
      <c r="E115">
        <v>7</v>
      </c>
      <c r="F115">
        <v>8</v>
      </c>
      <c r="G115">
        <v>47.5</v>
      </c>
      <c r="H115">
        <v>3.91</v>
      </c>
      <c r="I115">
        <v>0.16</v>
      </c>
      <c r="J115" t="s">
        <v>70</v>
      </c>
      <c r="K115" t="s">
        <v>46</v>
      </c>
      <c r="L115">
        <v>170</v>
      </c>
      <c r="M115">
        <v>0.55000000000000004</v>
      </c>
      <c r="N115">
        <v>101.09</v>
      </c>
      <c r="O115">
        <v>1.65</v>
      </c>
      <c r="P115">
        <v>6</v>
      </c>
      <c r="Q115">
        <v>0.71</v>
      </c>
      <c r="R115">
        <v>264</v>
      </c>
      <c r="S115">
        <v>7.09</v>
      </c>
      <c r="T115">
        <v>0.47</v>
      </c>
      <c r="U115" s="1">
        <v>45607</v>
      </c>
      <c r="V115">
        <v>193.86</v>
      </c>
      <c r="W115">
        <v>0.44600000000000001</v>
      </c>
      <c r="X115" t="str">
        <f>IF(WarehouseData[[#This Row],[stock_level]]&lt;=WarehouseData[[#This Row],[reorder_point]],"Low Stock","Sufficient Stock")</f>
        <v>Sufficient Stock</v>
      </c>
      <c r="Y115">
        <f>WarehouseData[[#This Row],[daily_demand]]*WarehouseData[[#This Row],[lead_time_days]]</f>
        <v>380</v>
      </c>
      <c r="Z115" t="str">
        <f>IF(WarehouseData[[#This Row],[stock_level]]&lt;=WarehouseData[[#This Row],[Demand During Lead Time]],"At Risk","Safe")</f>
        <v>At Risk</v>
      </c>
      <c r="AA115">
        <f>WarehouseData[[#This Row],[stock_level]]/WarehouseData[[#This Row],[daily_demand]]</f>
        <v>0.69473684210526321</v>
      </c>
      <c r="AB115">
        <f>WarehouseData[[#This Row],[stock_level]]*WarehouseData[[#This Row],[unit_price]]</f>
        <v>3335.9700000000003</v>
      </c>
      <c r="AC115">
        <f>WarehouseData[[#This Row],[stock_level]]*WarehouseData[[#This Row],[holding_cost_per_unit_day]]*30</f>
        <v>1633.4999999999998</v>
      </c>
      <c r="AD115" t="str">
        <f>IF(WarehouseData[[#This Row],[order_fulfillment_rate]]&gt;=0.9,"Strong",IF(WarehouseData[[#This Row],[order_fulfillment_rate]]&gt;=0.8,"Moderate","Needs Attention"))</f>
        <v>Needs Attention</v>
      </c>
      <c r="AE115" t="str">
        <f>IF(WarehouseData[[#This Row],[picking_time_seconds]]&gt;120,"Slow",IF(WarehouseData[[#This Row],[picking_time_seconds]]&gt;=60,"Average","Fast"))</f>
        <v>Slow</v>
      </c>
    </row>
    <row r="116" spans="1:31" x14ac:dyDescent="0.25">
      <c r="A116" t="s">
        <v>220</v>
      </c>
      <c r="B116" t="s">
        <v>73</v>
      </c>
      <c r="C116">
        <v>197</v>
      </c>
      <c r="D116">
        <v>67</v>
      </c>
      <c r="E116">
        <v>12</v>
      </c>
      <c r="F116">
        <v>7</v>
      </c>
      <c r="G116">
        <v>42.53</v>
      </c>
      <c r="H116">
        <v>1.05</v>
      </c>
      <c r="I116">
        <v>0.69</v>
      </c>
      <c r="J116" t="s">
        <v>221</v>
      </c>
      <c r="K116" t="s">
        <v>34</v>
      </c>
      <c r="L116">
        <v>98</v>
      </c>
      <c r="M116">
        <v>3.6</v>
      </c>
      <c r="N116">
        <v>197.96</v>
      </c>
      <c r="O116">
        <v>1.62</v>
      </c>
      <c r="P116">
        <v>9</v>
      </c>
      <c r="Q116">
        <v>0.86</v>
      </c>
      <c r="R116">
        <v>676</v>
      </c>
      <c r="S116">
        <v>14.97</v>
      </c>
      <c r="T116">
        <v>0.42</v>
      </c>
      <c r="U116" s="1">
        <v>45539</v>
      </c>
      <c r="V116">
        <v>233.91</v>
      </c>
      <c r="W116">
        <v>0.51400000000000001</v>
      </c>
      <c r="X116" t="str">
        <f>IF(WarehouseData[[#This Row],[stock_level]]&lt;=WarehouseData[[#This Row],[reorder_point]],"Low Stock","Sufficient Stock")</f>
        <v>Sufficient Stock</v>
      </c>
      <c r="Y116">
        <f>WarehouseData[[#This Row],[daily_demand]]*WarehouseData[[#This Row],[lead_time_days]]</f>
        <v>297.71000000000004</v>
      </c>
      <c r="Z116" t="str">
        <f>IF(WarehouseData[[#This Row],[stock_level]]&lt;=WarehouseData[[#This Row],[Demand During Lead Time]],"At Risk","Safe")</f>
        <v>At Risk</v>
      </c>
      <c r="AA116">
        <f>WarehouseData[[#This Row],[stock_level]]/WarehouseData[[#This Row],[daily_demand]]</f>
        <v>4.6320244533270634</v>
      </c>
      <c r="AB116">
        <f>WarehouseData[[#This Row],[stock_level]]*WarehouseData[[#This Row],[unit_price]]</f>
        <v>38998.120000000003</v>
      </c>
      <c r="AC116">
        <f>WarehouseData[[#This Row],[stock_level]]*WarehouseData[[#This Row],[holding_cost_per_unit_day]]*30</f>
        <v>9574.2000000000007</v>
      </c>
      <c r="AD116" t="str">
        <f>IF(WarehouseData[[#This Row],[order_fulfillment_rate]]&gt;=0.9,"Strong",IF(WarehouseData[[#This Row],[order_fulfillment_rate]]&gt;=0.8,"Moderate","Needs Attention"))</f>
        <v>Moderate</v>
      </c>
      <c r="AE116" t="str">
        <f>IF(WarehouseData[[#This Row],[picking_time_seconds]]&gt;120,"Slow",IF(WarehouseData[[#This Row],[picking_time_seconds]]&gt;=60,"Average","Fast"))</f>
        <v>Average</v>
      </c>
    </row>
    <row r="117" spans="1:31" x14ac:dyDescent="0.25">
      <c r="A117" t="s">
        <v>222</v>
      </c>
      <c r="B117" t="s">
        <v>36</v>
      </c>
      <c r="C117">
        <v>431</v>
      </c>
      <c r="D117">
        <v>99</v>
      </c>
      <c r="E117">
        <v>13</v>
      </c>
      <c r="F117">
        <v>5</v>
      </c>
      <c r="G117">
        <v>17.32</v>
      </c>
      <c r="H117">
        <v>6.58</v>
      </c>
      <c r="I117">
        <v>0.54</v>
      </c>
      <c r="J117" t="s">
        <v>223</v>
      </c>
      <c r="K117" t="s">
        <v>46</v>
      </c>
      <c r="L117">
        <v>25</v>
      </c>
      <c r="M117">
        <v>1.94</v>
      </c>
      <c r="N117">
        <v>146.31</v>
      </c>
      <c r="O117">
        <v>0.24</v>
      </c>
      <c r="P117">
        <v>4</v>
      </c>
      <c r="Q117">
        <v>0.98</v>
      </c>
      <c r="R117">
        <v>264</v>
      </c>
      <c r="S117">
        <v>10.74</v>
      </c>
      <c r="T117">
        <v>0.43</v>
      </c>
      <c r="U117" s="1">
        <v>45629</v>
      </c>
      <c r="V117">
        <v>15.07</v>
      </c>
      <c r="W117">
        <v>0.72099999999999997</v>
      </c>
      <c r="X117" t="str">
        <f>IF(WarehouseData[[#This Row],[stock_level]]&lt;=WarehouseData[[#This Row],[reorder_point]],"Low Stock","Sufficient Stock")</f>
        <v>Sufficient Stock</v>
      </c>
      <c r="Y117">
        <f>WarehouseData[[#This Row],[daily_demand]]*WarehouseData[[#This Row],[lead_time_days]]</f>
        <v>86.6</v>
      </c>
      <c r="Z117" t="str">
        <f>IF(WarehouseData[[#This Row],[stock_level]]&lt;=WarehouseData[[#This Row],[Demand During Lead Time]],"At Risk","Safe")</f>
        <v>Safe</v>
      </c>
      <c r="AA117">
        <f>WarehouseData[[#This Row],[stock_level]]/WarehouseData[[#This Row],[daily_demand]]</f>
        <v>24.884526558891455</v>
      </c>
      <c r="AB117">
        <f>WarehouseData[[#This Row],[stock_level]]*WarehouseData[[#This Row],[unit_price]]</f>
        <v>63059.61</v>
      </c>
      <c r="AC117">
        <f>WarehouseData[[#This Row],[stock_level]]*WarehouseData[[#This Row],[holding_cost_per_unit_day]]*30</f>
        <v>3103.2</v>
      </c>
      <c r="AD117" t="str">
        <f>IF(WarehouseData[[#This Row],[order_fulfillment_rate]]&gt;=0.9,"Strong",IF(WarehouseData[[#This Row],[order_fulfillment_rate]]&gt;=0.8,"Moderate","Needs Attention"))</f>
        <v>Strong</v>
      </c>
      <c r="AE117" t="str">
        <f>IF(WarehouseData[[#This Row],[picking_time_seconds]]&gt;120,"Slow",IF(WarehouseData[[#This Row],[picking_time_seconds]]&gt;=60,"Average","Fast"))</f>
        <v>Fast</v>
      </c>
    </row>
    <row r="118" spans="1:31" x14ac:dyDescent="0.25">
      <c r="A118" t="s">
        <v>224</v>
      </c>
      <c r="B118" t="s">
        <v>48</v>
      </c>
      <c r="C118">
        <v>385</v>
      </c>
      <c r="D118">
        <v>96</v>
      </c>
      <c r="E118">
        <v>11</v>
      </c>
      <c r="F118">
        <v>3</v>
      </c>
      <c r="G118">
        <v>20.6</v>
      </c>
      <c r="H118">
        <v>5.92</v>
      </c>
      <c r="I118">
        <v>0.57999999999999996</v>
      </c>
      <c r="J118" t="s">
        <v>185</v>
      </c>
      <c r="K118" t="s">
        <v>52</v>
      </c>
      <c r="L118">
        <v>167</v>
      </c>
      <c r="M118">
        <v>1.51</v>
      </c>
      <c r="N118">
        <v>198.59</v>
      </c>
      <c r="O118">
        <v>1.51</v>
      </c>
      <c r="P118">
        <v>9</v>
      </c>
      <c r="Q118">
        <v>0.96</v>
      </c>
      <c r="R118">
        <v>213</v>
      </c>
      <c r="S118">
        <v>14.29</v>
      </c>
      <c r="T118">
        <v>0.46</v>
      </c>
      <c r="U118" s="1">
        <v>45541</v>
      </c>
      <c r="V118">
        <v>162.62</v>
      </c>
      <c r="W118">
        <v>0.54400000000000004</v>
      </c>
      <c r="X118" t="str">
        <f>IF(WarehouseData[[#This Row],[stock_level]]&lt;=WarehouseData[[#This Row],[reorder_point]],"Low Stock","Sufficient Stock")</f>
        <v>Sufficient Stock</v>
      </c>
      <c r="Y118">
        <f>WarehouseData[[#This Row],[daily_demand]]*WarehouseData[[#This Row],[lead_time_days]]</f>
        <v>61.800000000000004</v>
      </c>
      <c r="Z118" t="str">
        <f>IF(WarehouseData[[#This Row],[stock_level]]&lt;=WarehouseData[[#This Row],[Demand During Lead Time]],"At Risk","Safe")</f>
        <v>Safe</v>
      </c>
      <c r="AA118">
        <f>WarehouseData[[#This Row],[stock_level]]/WarehouseData[[#This Row],[daily_demand]]</f>
        <v>18.689320388349515</v>
      </c>
      <c r="AB118">
        <f>WarehouseData[[#This Row],[stock_level]]*WarehouseData[[#This Row],[unit_price]]</f>
        <v>76457.149999999994</v>
      </c>
      <c r="AC118">
        <f>WarehouseData[[#This Row],[stock_level]]*WarehouseData[[#This Row],[holding_cost_per_unit_day]]*30</f>
        <v>17440.5</v>
      </c>
      <c r="AD118" t="str">
        <f>IF(WarehouseData[[#This Row],[order_fulfillment_rate]]&gt;=0.9,"Strong",IF(WarehouseData[[#This Row],[order_fulfillment_rate]]&gt;=0.8,"Moderate","Needs Attention"))</f>
        <v>Strong</v>
      </c>
      <c r="AE118" t="str">
        <f>IF(WarehouseData[[#This Row],[picking_time_seconds]]&gt;120,"Slow",IF(WarehouseData[[#This Row],[picking_time_seconds]]&gt;=60,"Average","Fast"))</f>
        <v>Slow</v>
      </c>
    </row>
    <row r="119" spans="1:31" x14ac:dyDescent="0.25">
      <c r="A119" t="s">
        <v>225</v>
      </c>
      <c r="B119" t="s">
        <v>40</v>
      </c>
      <c r="C119">
        <v>72</v>
      </c>
      <c r="D119">
        <v>99</v>
      </c>
      <c r="E119">
        <v>10</v>
      </c>
      <c r="F119">
        <v>2</v>
      </c>
      <c r="G119">
        <v>21.74</v>
      </c>
      <c r="H119">
        <v>1.57</v>
      </c>
      <c r="I119">
        <v>0.85</v>
      </c>
      <c r="J119" t="s">
        <v>160</v>
      </c>
      <c r="K119" t="s">
        <v>52</v>
      </c>
      <c r="L119">
        <v>107</v>
      </c>
      <c r="M119">
        <v>4.1100000000000003</v>
      </c>
      <c r="N119">
        <v>96.16</v>
      </c>
      <c r="O119">
        <v>1.9</v>
      </c>
      <c r="P119">
        <v>4</v>
      </c>
      <c r="Q119">
        <v>0.81</v>
      </c>
      <c r="R119">
        <v>219</v>
      </c>
      <c r="S119">
        <v>4.91</v>
      </c>
      <c r="T119">
        <v>0.47</v>
      </c>
      <c r="U119" s="1">
        <v>45300</v>
      </c>
      <c r="V119">
        <v>87.45</v>
      </c>
      <c r="W119">
        <v>0.45100000000000001</v>
      </c>
      <c r="X119" t="str">
        <f>IF(WarehouseData[[#This Row],[stock_level]]&lt;=WarehouseData[[#This Row],[reorder_point]],"Low Stock","Sufficient Stock")</f>
        <v>Low Stock</v>
      </c>
      <c r="Y119">
        <f>WarehouseData[[#This Row],[daily_demand]]*WarehouseData[[#This Row],[lead_time_days]]</f>
        <v>43.48</v>
      </c>
      <c r="Z119" t="str">
        <f>IF(WarehouseData[[#This Row],[stock_level]]&lt;=WarehouseData[[#This Row],[Demand During Lead Time]],"At Risk","Safe")</f>
        <v>Safe</v>
      </c>
      <c r="AA119">
        <f>WarehouseData[[#This Row],[stock_level]]/WarehouseData[[#This Row],[daily_demand]]</f>
        <v>3.3118675252989882</v>
      </c>
      <c r="AB119">
        <f>WarehouseData[[#This Row],[stock_level]]*WarehouseData[[#This Row],[unit_price]]</f>
        <v>6923.5199999999995</v>
      </c>
      <c r="AC119">
        <f>WarehouseData[[#This Row],[stock_level]]*WarehouseData[[#This Row],[holding_cost_per_unit_day]]*30</f>
        <v>4103.9999999999991</v>
      </c>
      <c r="AD119" t="str">
        <f>IF(WarehouseData[[#This Row],[order_fulfillment_rate]]&gt;=0.9,"Strong",IF(WarehouseData[[#This Row],[order_fulfillment_rate]]&gt;=0.8,"Moderate","Needs Attention"))</f>
        <v>Moderate</v>
      </c>
      <c r="AE119" t="str">
        <f>IF(WarehouseData[[#This Row],[picking_time_seconds]]&gt;120,"Slow",IF(WarehouseData[[#This Row],[picking_time_seconds]]&gt;=60,"Average","Fast"))</f>
        <v>Average</v>
      </c>
    </row>
    <row r="120" spans="1:31" x14ac:dyDescent="0.25">
      <c r="A120" t="s">
        <v>226</v>
      </c>
      <c r="B120" t="s">
        <v>73</v>
      </c>
      <c r="C120">
        <v>427</v>
      </c>
      <c r="D120">
        <v>15</v>
      </c>
      <c r="E120">
        <v>5</v>
      </c>
      <c r="F120">
        <v>4</v>
      </c>
      <c r="G120">
        <v>31.68</v>
      </c>
      <c r="H120">
        <v>9.1300000000000008</v>
      </c>
      <c r="I120">
        <v>0.41</v>
      </c>
      <c r="J120" t="s">
        <v>75</v>
      </c>
      <c r="K120" t="s">
        <v>52</v>
      </c>
      <c r="L120">
        <v>113</v>
      </c>
      <c r="M120">
        <v>0.9</v>
      </c>
      <c r="N120">
        <v>36.75</v>
      </c>
      <c r="O120">
        <v>1.43</v>
      </c>
      <c r="P120">
        <v>0</v>
      </c>
      <c r="Q120">
        <v>0.75</v>
      </c>
      <c r="R120">
        <v>270</v>
      </c>
      <c r="S120">
        <v>3.47</v>
      </c>
      <c r="T120">
        <v>0.7</v>
      </c>
      <c r="U120" s="1">
        <v>45295</v>
      </c>
      <c r="V120">
        <v>297.56</v>
      </c>
      <c r="W120">
        <v>0.59299999999999997</v>
      </c>
      <c r="X120" t="str">
        <f>IF(WarehouseData[[#This Row],[stock_level]]&lt;=WarehouseData[[#This Row],[reorder_point]],"Low Stock","Sufficient Stock")</f>
        <v>Sufficient Stock</v>
      </c>
      <c r="Y120">
        <f>WarehouseData[[#This Row],[daily_demand]]*WarehouseData[[#This Row],[lead_time_days]]</f>
        <v>126.72</v>
      </c>
      <c r="Z120" t="str">
        <f>IF(WarehouseData[[#This Row],[stock_level]]&lt;=WarehouseData[[#This Row],[Demand During Lead Time]],"At Risk","Safe")</f>
        <v>Safe</v>
      </c>
      <c r="AA120">
        <f>WarehouseData[[#This Row],[stock_level]]/WarehouseData[[#This Row],[daily_demand]]</f>
        <v>13.478535353535353</v>
      </c>
      <c r="AB120">
        <f>WarehouseData[[#This Row],[stock_level]]*WarehouseData[[#This Row],[unit_price]]</f>
        <v>15692.25</v>
      </c>
      <c r="AC120">
        <f>WarehouseData[[#This Row],[stock_level]]*WarehouseData[[#This Row],[holding_cost_per_unit_day]]*30</f>
        <v>18318.3</v>
      </c>
      <c r="AD120" t="str">
        <f>IF(WarehouseData[[#This Row],[order_fulfillment_rate]]&gt;=0.9,"Strong",IF(WarehouseData[[#This Row],[order_fulfillment_rate]]&gt;=0.8,"Moderate","Needs Attention"))</f>
        <v>Needs Attention</v>
      </c>
      <c r="AE120" t="str">
        <f>IF(WarehouseData[[#This Row],[picking_time_seconds]]&gt;120,"Slow",IF(WarehouseData[[#This Row],[picking_time_seconds]]&gt;=60,"Average","Fast"))</f>
        <v>Average</v>
      </c>
    </row>
    <row r="121" spans="1:31" x14ac:dyDescent="0.25">
      <c r="A121" t="s">
        <v>227</v>
      </c>
      <c r="B121" t="s">
        <v>48</v>
      </c>
      <c r="C121">
        <v>354</v>
      </c>
      <c r="D121">
        <v>79</v>
      </c>
      <c r="E121">
        <v>5</v>
      </c>
      <c r="F121">
        <v>9</v>
      </c>
      <c r="G121">
        <v>15.05</v>
      </c>
      <c r="H121">
        <v>2.39</v>
      </c>
      <c r="I121">
        <v>0.26</v>
      </c>
      <c r="J121" t="s">
        <v>228</v>
      </c>
      <c r="K121" t="s">
        <v>38</v>
      </c>
      <c r="L121">
        <v>53</v>
      </c>
      <c r="M121">
        <v>1.53</v>
      </c>
      <c r="N121">
        <v>148.19</v>
      </c>
      <c r="O121">
        <v>1.69</v>
      </c>
      <c r="P121">
        <v>1</v>
      </c>
      <c r="Q121">
        <v>0.76</v>
      </c>
      <c r="R121">
        <v>309</v>
      </c>
      <c r="S121">
        <v>6.27</v>
      </c>
      <c r="T121">
        <v>0.7</v>
      </c>
      <c r="U121" s="1">
        <v>45564</v>
      </c>
      <c r="V121">
        <v>55.51</v>
      </c>
      <c r="W121">
        <v>0.58699999999999997</v>
      </c>
      <c r="X121" t="str">
        <f>IF(WarehouseData[[#This Row],[stock_level]]&lt;=WarehouseData[[#This Row],[reorder_point]],"Low Stock","Sufficient Stock")</f>
        <v>Sufficient Stock</v>
      </c>
      <c r="Y121">
        <f>WarehouseData[[#This Row],[daily_demand]]*WarehouseData[[#This Row],[lead_time_days]]</f>
        <v>135.45000000000002</v>
      </c>
      <c r="Z121" t="str">
        <f>IF(WarehouseData[[#This Row],[stock_level]]&lt;=WarehouseData[[#This Row],[Demand During Lead Time]],"At Risk","Safe")</f>
        <v>Safe</v>
      </c>
      <c r="AA121">
        <f>WarehouseData[[#This Row],[stock_level]]/WarehouseData[[#This Row],[daily_demand]]</f>
        <v>23.521594684385381</v>
      </c>
      <c r="AB121">
        <f>WarehouseData[[#This Row],[stock_level]]*WarehouseData[[#This Row],[unit_price]]</f>
        <v>52459.26</v>
      </c>
      <c r="AC121">
        <f>WarehouseData[[#This Row],[stock_level]]*WarehouseData[[#This Row],[holding_cost_per_unit_day]]*30</f>
        <v>17947.8</v>
      </c>
      <c r="AD121" t="str">
        <f>IF(WarehouseData[[#This Row],[order_fulfillment_rate]]&gt;=0.9,"Strong",IF(WarehouseData[[#This Row],[order_fulfillment_rate]]&gt;=0.8,"Moderate","Needs Attention"))</f>
        <v>Needs Attention</v>
      </c>
      <c r="AE121" t="str">
        <f>IF(WarehouseData[[#This Row],[picking_time_seconds]]&gt;120,"Slow",IF(WarehouseData[[#This Row],[picking_time_seconds]]&gt;=60,"Average","Fast"))</f>
        <v>Fast</v>
      </c>
    </row>
    <row r="122" spans="1:31" x14ac:dyDescent="0.25">
      <c r="A122" t="s">
        <v>229</v>
      </c>
      <c r="B122" t="s">
        <v>48</v>
      </c>
      <c r="C122">
        <v>41</v>
      </c>
      <c r="D122">
        <v>53</v>
      </c>
      <c r="E122">
        <v>3</v>
      </c>
      <c r="F122">
        <v>6</v>
      </c>
      <c r="G122">
        <v>48.49</v>
      </c>
      <c r="H122">
        <v>7.56</v>
      </c>
      <c r="I122">
        <v>0.6</v>
      </c>
      <c r="J122" t="s">
        <v>88</v>
      </c>
      <c r="K122" t="s">
        <v>38</v>
      </c>
      <c r="L122">
        <v>175</v>
      </c>
      <c r="M122">
        <v>1.42</v>
      </c>
      <c r="N122">
        <v>157.77000000000001</v>
      </c>
      <c r="O122">
        <v>1.02</v>
      </c>
      <c r="P122">
        <v>8</v>
      </c>
      <c r="Q122">
        <v>0.85</v>
      </c>
      <c r="R122">
        <v>773</v>
      </c>
      <c r="S122">
        <v>4.71</v>
      </c>
      <c r="T122">
        <v>0.62</v>
      </c>
      <c r="U122" s="1">
        <v>45574</v>
      </c>
      <c r="V122">
        <v>136.97999999999999</v>
      </c>
      <c r="W122">
        <v>0.495</v>
      </c>
      <c r="X122" t="str">
        <f>IF(WarehouseData[[#This Row],[stock_level]]&lt;=WarehouseData[[#This Row],[reorder_point]],"Low Stock","Sufficient Stock")</f>
        <v>Low Stock</v>
      </c>
      <c r="Y122">
        <f>WarehouseData[[#This Row],[daily_demand]]*WarehouseData[[#This Row],[lead_time_days]]</f>
        <v>290.94</v>
      </c>
      <c r="Z122" t="str">
        <f>IF(WarehouseData[[#This Row],[stock_level]]&lt;=WarehouseData[[#This Row],[Demand During Lead Time]],"At Risk","Safe")</f>
        <v>At Risk</v>
      </c>
      <c r="AA122">
        <f>WarehouseData[[#This Row],[stock_level]]/WarehouseData[[#This Row],[daily_demand]]</f>
        <v>0.8455351618890492</v>
      </c>
      <c r="AB122">
        <f>WarehouseData[[#This Row],[stock_level]]*WarehouseData[[#This Row],[unit_price]]</f>
        <v>6468.5700000000006</v>
      </c>
      <c r="AC122">
        <f>WarehouseData[[#This Row],[stock_level]]*WarehouseData[[#This Row],[holding_cost_per_unit_day]]*30</f>
        <v>1254.5999999999999</v>
      </c>
      <c r="AD122" t="str">
        <f>IF(WarehouseData[[#This Row],[order_fulfillment_rate]]&gt;=0.9,"Strong",IF(WarehouseData[[#This Row],[order_fulfillment_rate]]&gt;=0.8,"Moderate","Needs Attention"))</f>
        <v>Moderate</v>
      </c>
      <c r="AE122" t="str">
        <f>IF(WarehouseData[[#This Row],[picking_time_seconds]]&gt;120,"Slow",IF(WarehouseData[[#This Row],[picking_time_seconds]]&gt;=60,"Average","Fast"))</f>
        <v>Slow</v>
      </c>
    </row>
    <row r="123" spans="1:31" x14ac:dyDescent="0.25">
      <c r="A123" t="s">
        <v>230</v>
      </c>
      <c r="B123" t="s">
        <v>32</v>
      </c>
      <c r="C123">
        <v>49</v>
      </c>
      <c r="D123">
        <v>81</v>
      </c>
      <c r="E123">
        <v>5</v>
      </c>
      <c r="F123">
        <v>6</v>
      </c>
      <c r="G123">
        <v>30.83</v>
      </c>
      <c r="H123">
        <v>8.91</v>
      </c>
      <c r="I123">
        <v>0.95</v>
      </c>
      <c r="J123" t="s">
        <v>221</v>
      </c>
      <c r="K123" t="s">
        <v>38</v>
      </c>
      <c r="L123">
        <v>60</v>
      </c>
      <c r="M123">
        <v>2.39</v>
      </c>
      <c r="N123">
        <v>172.04</v>
      </c>
      <c r="O123">
        <v>0.71</v>
      </c>
      <c r="P123">
        <v>1</v>
      </c>
      <c r="Q123">
        <v>0.88</v>
      </c>
      <c r="R123">
        <v>310</v>
      </c>
      <c r="S123">
        <v>9.59</v>
      </c>
      <c r="T123">
        <v>0.89</v>
      </c>
      <c r="U123" s="1">
        <v>45502</v>
      </c>
      <c r="V123">
        <v>291.31</v>
      </c>
      <c r="W123">
        <v>0.79100000000000004</v>
      </c>
      <c r="X123" t="str">
        <f>IF(WarehouseData[[#This Row],[stock_level]]&lt;=WarehouseData[[#This Row],[reorder_point]],"Low Stock","Sufficient Stock")</f>
        <v>Low Stock</v>
      </c>
      <c r="Y123">
        <f>WarehouseData[[#This Row],[daily_demand]]*WarehouseData[[#This Row],[lead_time_days]]</f>
        <v>184.98</v>
      </c>
      <c r="Z123" t="str">
        <f>IF(WarehouseData[[#This Row],[stock_level]]&lt;=WarehouseData[[#This Row],[Demand During Lead Time]],"At Risk","Safe")</f>
        <v>At Risk</v>
      </c>
      <c r="AA123">
        <f>WarehouseData[[#This Row],[stock_level]]/WarehouseData[[#This Row],[daily_demand]]</f>
        <v>1.5893610120012975</v>
      </c>
      <c r="AB123">
        <f>WarehouseData[[#This Row],[stock_level]]*WarehouseData[[#This Row],[unit_price]]</f>
        <v>8429.9599999999991</v>
      </c>
      <c r="AC123">
        <f>WarehouseData[[#This Row],[stock_level]]*WarehouseData[[#This Row],[holding_cost_per_unit_day]]*30</f>
        <v>1043.7</v>
      </c>
      <c r="AD123" t="str">
        <f>IF(WarehouseData[[#This Row],[order_fulfillment_rate]]&gt;=0.9,"Strong",IF(WarehouseData[[#This Row],[order_fulfillment_rate]]&gt;=0.8,"Moderate","Needs Attention"))</f>
        <v>Moderate</v>
      </c>
      <c r="AE123" t="str">
        <f>IF(WarehouseData[[#This Row],[picking_time_seconds]]&gt;120,"Slow",IF(WarehouseData[[#This Row],[picking_time_seconds]]&gt;=60,"Average","Fast"))</f>
        <v>Average</v>
      </c>
    </row>
    <row r="124" spans="1:31" x14ac:dyDescent="0.25">
      <c r="A124" t="s">
        <v>231</v>
      </c>
      <c r="B124" t="s">
        <v>36</v>
      </c>
      <c r="C124">
        <v>210</v>
      </c>
      <c r="D124">
        <v>33</v>
      </c>
      <c r="E124">
        <v>14</v>
      </c>
      <c r="F124">
        <v>8</v>
      </c>
      <c r="G124">
        <v>20.57</v>
      </c>
      <c r="H124">
        <v>6.01</v>
      </c>
      <c r="I124">
        <v>0.56999999999999995</v>
      </c>
      <c r="J124" t="s">
        <v>75</v>
      </c>
      <c r="K124" t="s">
        <v>34</v>
      </c>
      <c r="L124">
        <v>27</v>
      </c>
      <c r="M124">
        <v>1.95</v>
      </c>
      <c r="N124">
        <v>67.28</v>
      </c>
      <c r="O124">
        <v>1.38</v>
      </c>
      <c r="P124">
        <v>9</v>
      </c>
      <c r="Q124">
        <v>0.71</v>
      </c>
      <c r="R124">
        <v>863</v>
      </c>
      <c r="S124">
        <v>11.42</v>
      </c>
      <c r="T124">
        <v>0.88</v>
      </c>
      <c r="U124" s="1">
        <v>45298</v>
      </c>
      <c r="V124">
        <v>71.8</v>
      </c>
      <c r="W124">
        <v>0.55200000000000005</v>
      </c>
      <c r="X124" t="str">
        <f>IF(WarehouseData[[#This Row],[stock_level]]&lt;=WarehouseData[[#This Row],[reorder_point]],"Low Stock","Sufficient Stock")</f>
        <v>Sufficient Stock</v>
      </c>
      <c r="Y124">
        <f>WarehouseData[[#This Row],[daily_demand]]*WarehouseData[[#This Row],[lead_time_days]]</f>
        <v>164.56</v>
      </c>
      <c r="Z124" t="str">
        <f>IF(WarehouseData[[#This Row],[stock_level]]&lt;=WarehouseData[[#This Row],[Demand During Lead Time]],"At Risk","Safe")</f>
        <v>Safe</v>
      </c>
      <c r="AA124">
        <f>WarehouseData[[#This Row],[stock_level]]/WarehouseData[[#This Row],[daily_demand]]</f>
        <v>10.209042294603792</v>
      </c>
      <c r="AB124">
        <f>WarehouseData[[#This Row],[stock_level]]*WarehouseData[[#This Row],[unit_price]]</f>
        <v>14128.800000000001</v>
      </c>
      <c r="AC124">
        <f>WarehouseData[[#This Row],[stock_level]]*WarehouseData[[#This Row],[holding_cost_per_unit_day]]*30</f>
        <v>8693.9999999999982</v>
      </c>
      <c r="AD124" t="str">
        <f>IF(WarehouseData[[#This Row],[order_fulfillment_rate]]&gt;=0.9,"Strong",IF(WarehouseData[[#This Row],[order_fulfillment_rate]]&gt;=0.8,"Moderate","Needs Attention"))</f>
        <v>Needs Attention</v>
      </c>
      <c r="AE124" t="str">
        <f>IF(WarehouseData[[#This Row],[picking_time_seconds]]&gt;120,"Slow",IF(WarehouseData[[#This Row],[picking_time_seconds]]&gt;=60,"Average","Fast"))</f>
        <v>Fast</v>
      </c>
    </row>
    <row r="125" spans="1:31" x14ac:dyDescent="0.25">
      <c r="A125" t="s">
        <v>232</v>
      </c>
      <c r="B125" t="s">
        <v>40</v>
      </c>
      <c r="C125">
        <v>279</v>
      </c>
      <c r="D125">
        <v>95</v>
      </c>
      <c r="E125">
        <v>14</v>
      </c>
      <c r="F125">
        <v>5</v>
      </c>
      <c r="G125">
        <v>32.61</v>
      </c>
      <c r="H125">
        <v>2.85</v>
      </c>
      <c r="I125">
        <v>0.85</v>
      </c>
      <c r="J125" t="s">
        <v>90</v>
      </c>
      <c r="K125" t="s">
        <v>38</v>
      </c>
      <c r="L125">
        <v>14</v>
      </c>
      <c r="M125">
        <v>3.74</v>
      </c>
      <c r="N125">
        <v>107.03</v>
      </c>
      <c r="O125">
        <v>1.04</v>
      </c>
      <c r="P125">
        <v>1</v>
      </c>
      <c r="Q125">
        <v>0.82</v>
      </c>
      <c r="R125">
        <v>892</v>
      </c>
      <c r="S125">
        <v>6.63</v>
      </c>
      <c r="T125">
        <v>0.37</v>
      </c>
      <c r="U125" s="1">
        <v>45300</v>
      </c>
      <c r="V125">
        <v>244</v>
      </c>
      <c r="W125">
        <v>0.60199999999999998</v>
      </c>
      <c r="X125" t="str">
        <f>IF(WarehouseData[[#This Row],[stock_level]]&lt;=WarehouseData[[#This Row],[reorder_point]],"Low Stock","Sufficient Stock")</f>
        <v>Sufficient Stock</v>
      </c>
      <c r="Y125">
        <f>WarehouseData[[#This Row],[daily_demand]]*WarehouseData[[#This Row],[lead_time_days]]</f>
        <v>163.05000000000001</v>
      </c>
      <c r="Z125" t="str">
        <f>IF(WarehouseData[[#This Row],[stock_level]]&lt;=WarehouseData[[#This Row],[Demand During Lead Time]],"At Risk","Safe")</f>
        <v>Safe</v>
      </c>
      <c r="AA125">
        <f>WarehouseData[[#This Row],[stock_level]]/WarehouseData[[#This Row],[daily_demand]]</f>
        <v>8.5556577736890524</v>
      </c>
      <c r="AB125">
        <f>WarehouseData[[#This Row],[stock_level]]*WarehouseData[[#This Row],[unit_price]]</f>
        <v>29861.37</v>
      </c>
      <c r="AC125">
        <f>WarehouseData[[#This Row],[stock_level]]*WarehouseData[[#This Row],[holding_cost_per_unit_day]]*30</f>
        <v>8704.8000000000011</v>
      </c>
      <c r="AD125" t="str">
        <f>IF(WarehouseData[[#This Row],[order_fulfillment_rate]]&gt;=0.9,"Strong",IF(WarehouseData[[#This Row],[order_fulfillment_rate]]&gt;=0.8,"Moderate","Needs Attention"))</f>
        <v>Moderate</v>
      </c>
      <c r="AE125" t="str">
        <f>IF(WarehouseData[[#This Row],[picking_time_seconds]]&gt;120,"Slow",IF(WarehouseData[[#This Row],[picking_time_seconds]]&gt;=60,"Average","Fast"))</f>
        <v>Fast</v>
      </c>
    </row>
    <row r="126" spans="1:31" x14ac:dyDescent="0.25">
      <c r="A126" t="s">
        <v>233</v>
      </c>
      <c r="B126" t="s">
        <v>73</v>
      </c>
      <c r="C126">
        <v>224</v>
      </c>
      <c r="D126">
        <v>28</v>
      </c>
      <c r="E126">
        <v>14</v>
      </c>
      <c r="F126">
        <v>4</v>
      </c>
      <c r="G126">
        <v>20.37</v>
      </c>
      <c r="H126">
        <v>3.44</v>
      </c>
      <c r="I126">
        <v>0.78</v>
      </c>
      <c r="J126" t="s">
        <v>234</v>
      </c>
      <c r="K126" t="s">
        <v>52</v>
      </c>
      <c r="L126">
        <v>177</v>
      </c>
      <c r="M126">
        <v>3.65</v>
      </c>
      <c r="N126">
        <v>172.93</v>
      </c>
      <c r="O126">
        <v>1.8</v>
      </c>
      <c r="P126">
        <v>8</v>
      </c>
      <c r="Q126">
        <v>0.95</v>
      </c>
      <c r="R126">
        <v>691</v>
      </c>
      <c r="S126">
        <v>2.2599999999999998</v>
      </c>
      <c r="T126">
        <v>0.63</v>
      </c>
      <c r="U126" s="1">
        <v>45563</v>
      </c>
      <c r="V126">
        <v>80.48</v>
      </c>
      <c r="W126">
        <v>0.40600000000000003</v>
      </c>
      <c r="X126" t="str">
        <f>IF(WarehouseData[[#This Row],[stock_level]]&lt;=WarehouseData[[#This Row],[reorder_point]],"Low Stock","Sufficient Stock")</f>
        <v>Sufficient Stock</v>
      </c>
      <c r="Y126">
        <f>WarehouseData[[#This Row],[daily_demand]]*WarehouseData[[#This Row],[lead_time_days]]</f>
        <v>81.48</v>
      </c>
      <c r="Z126" t="str">
        <f>IF(WarehouseData[[#This Row],[stock_level]]&lt;=WarehouseData[[#This Row],[Demand During Lead Time]],"At Risk","Safe")</f>
        <v>Safe</v>
      </c>
      <c r="AA126">
        <f>WarehouseData[[#This Row],[stock_level]]/WarehouseData[[#This Row],[daily_demand]]</f>
        <v>10.996563573883162</v>
      </c>
      <c r="AB126">
        <f>WarehouseData[[#This Row],[stock_level]]*WarehouseData[[#This Row],[unit_price]]</f>
        <v>38736.32</v>
      </c>
      <c r="AC126">
        <f>WarehouseData[[#This Row],[stock_level]]*WarehouseData[[#This Row],[holding_cost_per_unit_day]]*30</f>
        <v>12096</v>
      </c>
      <c r="AD126" t="str">
        <f>IF(WarehouseData[[#This Row],[order_fulfillment_rate]]&gt;=0.9,"Strong",IF(WarehouseData[[#This Row],[order_fulfillment_rate]]&gt;=0.8,"Moderate","Needs Attention"))</f>
        <v>Strong</v>
      </c>
      <c r="AE126" t="str">
        <f>IF(WarehouseData[[#This Row],[picking_time_seconds]]&gt;120,"Slow",IF(WarehouseData[[#This Row],[picking_time_seconds]]&gt;=60,"Average","Fast"))</f>
        <v>Slow</v>
      </c>
    </row>
    <row r="127" spans="1:31" x14ac:dyDescent="0.25">
      <c r="A127" t="s">
        <v>235</v>
      </c>
      <c r="B127" t="s">
        <v>32</v>
      </c>
      <c r="C127">
        <v>78</v>
      </c>
      <c r="D127">
        <v>27</v>
      </c>
      <c r="E127">
        <v>13</v>
      </c>
      <c r="F127">
        <v>8</v>
      </c>
      <c r="G127">
        <v>41.07</v>
      </c>
      <c r="H127">
        <v>8.91</v>
      </c>
      <c r="I127">
        <v>0.56999999999999995</v>
      </c>
      <c r="J127" t="s">
        <v>236</v>
      </c>
      <c r="K127" t="s">
        <v>38</v>
      </c>
      <c r="L127">
        <v>15</v>
      </c>
      <c r="M127">
        <v>1.96</v>
      </c>
      <c r="N127">
        <v>174.3</v>
      </c>
      <c r="O127">
        <v>1.95</v>
      </c>
      <c r="P127">
        <v>2</v>
      </c>
      <c r="Q127">
        <v>0.83</v>
      </c>
      <c r="R127">
        <v>666</v>
      </c>
      <c r="S127">
        <v>1.37</v>
      </c>
      <c r="T127">
        <v>0.83</v>
      </c>
      <c r="U127" s="1">
        <v>45432</v>
      </c>
      <c r="V127">
        <v>31.83</v>
      </c>
      <c r="W127">
        <v>0.51500000000000001</v>
      </c>
      <c r="X127" t="str">
        <f>IF(WarehouseData[[#This Row],[stock_level]]&lt;=WarehouseData[[#This Row],[reorder_point]],"Low Stock","Sufficient Stock")</f>
        <v>Sufficient Stock</v>
      </c>
      <c r="Y127">
        <f>WarehouseData[[#This Row],[daily_demand]]*WarehouseData[[#This Row],[lead_time_days]]</f>
        <v>328.56</v>
      </c>
      <c r="Z127" t="str">
        <f>IF(WarehouseData[[#This Row],[stock_level]]&lt;=WarehouseData[[#This Row],[Demand During Lead Time]],"At Risk","Safe")</f>
        <v>At Risk</v>
      </c>
      <c r="AA127">
        <f>WarehouseData[[#This Row],[stock_level]]/WarehouseData[[#This Row],[daily_demand]]</f>
        <v>1.8991964937910883</v>
      </c>
      <c r="AB127">
        <f>WarehouseData[[#This Row],[stock_level]]*WarehouseData[[#This Row],[unit_price]]</f>
        <v>13595.400000000001</v>
      </c>
      <c r="AC127">
        <f>WarehouseData[[#This Row],[stock_level]]*WarehouseData[[#This Row],[holding_cost_per_unit_day]]*30</f>
        <v>4563</v>
      </c>
      <c r="AD127" t="str">
        <f>IF(WarehouseData[[#This Row],[order_fulfillment_rate]]&gt;=0.9,"Strong",IF(WarehouseData[[#This Row],[order_fulfillment_rate]]&gt;=0.8,"Moderate","Needs Attention"))</f>
        <v>Moderate</v>
      </c>
      <c r="AE127" t="str">
        <f>IF(WarehouseData[[#This Row],[picking_time_seconds]]&gt;120,"Slow",IF(WarehouseData[[#This Row],[picking_time_seconds]]&gt;=60,"Average","Fast"))</f>
        <v>Fast</v>
      </c>
    </row>
    <row r="128" spans="1:31" x14ac:dyDescent="0.25">
      <c r="A128" t="s">
        <v>237</v>
      </c>
      <c r="B128" t="s">
        <v>36</v>
      </c>
      <c r="C128">
        <v>490</v>
      </c>
      <c r="D128">
        <v>39</v>
      </c>
      <c r="E128">
        <v>3</v>
      </c>
      <c r="F128">
        <v>7</v>
      </c>
      <c r="G128">
        <v>28.82</v>
      </c>
      <c r="H128">
        <v>3.33</v>
      </c>
      <c r="I128">
        <v>0.68</v>
      </c>
      <c r="J128" t="s">
        <v>190</v>
      </c>
      <c r="K128" t="s">
        <v>38</v>
      </c>
      <c r="L128">
        <v>85</v>
      </c>
      <c r="M128">
        <v>2.4700000000000002</v>
      </c>
      <c r="N128">
        <v>14.88</v>
      </c>
      <c r="O128">
        <v>1.66</v>
      </c>
      <c r="P128">
        <v>1</v>
      </c>
      <c r="Q128">
        <v>0.75</v>
      </c>
      <c r="R128">
        <v>615</v>
      </c>
      <c r="S128">
        <v>4.05</v>
      </c>
      <c r="T128">
        <v>0.89</v>
      </c>
      <c r="U128" s="1">
        <v>45566</v>
      </c>
      <c r="V128">
        <v>22.4</v>
      </c>
      <c r="W128">
        <v>0.59599999999999997</v>
      </c>
      <c r="X128" t="str">
        <f>IF(WarehouseData[[#This Row],[stock_level]]&lt;=WarehouseData[[#This Row],[reorder_point]],"Low Stock","Sufficient Stock")</f>
        <v>Sufficient Stock</v>
      </c>
      <c r="Y128">
        <f>WarehouseData[[#This Row],[daily_demand]]*WarehouseData[[#This Row],[lead_time_days]]</f>
        <v>201.74</v>
      </c>
      <c r="Z128" t="str">
        <f>IF(WarehouseData[[#This Row],[stock_level]]&lt;=WarehouseData[[#This Row],[Demand During Lead Time]],"At Risk","Safe")</f>
        <v>Safe</v>
      </c>
      <c r="AA128">
        <f>WarehouseData[[#This Row],[stock_level]]/WarehouseData[[#This Row],[daily_demand]]</f>
        <v>17.002081887578072</v>
      </c>
      <c r="AB128">
        <f>WarehouseData[[#This Row],[stock_level]]*WarehouseData[[#This Row],[unit_price]]</f>
        <v>7291.2000000000007</v>
      </c>
      <c r="AC128">
        <f>WarehouseData[[#This Row],[stock_level]]*WarehouseData[[#This Row],[holding_cost_per_unit_day]]*30</f>
        <v>24402</v>
      </c>
      <c r="AD128" t="str">
        <f>IF(WarehouseData[[#This Row],[order_fulfillment_rate]]&gt;=0.9,"Strong",IF(WarehouseData[[#This Row],[order_fulfillment_rate]]&gt;=0.8,"Moderate","Needs Attention"))</f>
        <v>Needs Attention</v>
      </c>
      <c r="AE128" t="str">
        <f>IF(WarehouseData[[#This Row],[picking_time_seconds]]&gt;120,"Slow",IF(WarehouseData[[#This Row],[picking_time_seconds]]&gt;=60,"Average","Fast"))</f>
        <v>Average</v>
      </c>
    </row>
    <row r="129" spans="1:31" x14ac:dyDescent="0.25">
      <c r="A129" t="s">
        <v>238</v>
      </c>
      <c r="B129" t="s">
        <v>32</v>
      </c>
      <c r="C129">
        <v>283</v>
      </c>
      <c r="D129">
        <v>51</v>
      </c>
      <c r="E129">
        <v>10</v>
      </c>
      <c r="F129">
        <v>7</v>
      </c>
      <c r="G129">
        <v>3.06</v>
      </c>
      <c r="H129">
        <v>7.59</v>
      </c>
      <c r="I129">
        <v>0.47</v>
      </c>
      <c r="J129" t="s">
        <v>135</v>
      </c>
      <c r="K129" t="s">
        <v>46</v>
      </c>
      <c r="L129">
        <v>124</v>
      </c>
      <c r="M129">
        <v>1.44</v>
      </c>
      <c r="N129">
        <v>137.47</v>
      </c>
      <c r="O129">
        <v>1.99</v>
      </c>
      <c r="P129">
        <v>6</v>
      </c>
      <c r="Q129">
        <v>0.99</v>
      </c>
      <c r="R129">
        <v>669</v>
      </c>
      <c r="S129">
        <v>11.25</v>
      </c>
      <c r="T129">
        <v>0.4</v>
      </c>
      <c r="U129" s="1">
        <v>45438</v>
      </c>
      <c r="V129">
        <v>285.13</v>
      </c>
      <c r="W129">
        <v>0.50900000000000001</v>
      </c>
      <c r="X129" t="str">
        <f>IF(WarehouseData[[#This Row],[stock_level]]&lt;=WarehouseData[[#This Row],[reorder_point]],"Low Stock","Sufficient Stock")</f>
        <v>Sufficient Stock</v>
      </c>
      <c r="Y129">
        <f>WarehouseData[[#This Row],[daily_demand]]*WarehouseData[[#This Row],[lead_time_days]]</f>
        <v>21.42</v>
      </c>
      <c r="Z129" t="str">
        <f>IF(WarehouseData[[#This Row],[stock_level]]&lt;=WarehouseData[[#This Row],[Demand During Lead Time]],"At Risk","Safe")</f>
        <v>Safe</v>
      </c>
      <c r="AA129">
        <f>WarehouseData[[#This Row],[stock_level]]/WarehouseData[[#This Row],[daily_demand]]</f>
        <v>92.48366013071896</v>
      </c>
      <c r="AB129">
        <f>WarehouseData[[#This Row],[stock_level]]*WarehouseData[[#This Row],[unit_price]]</f>
        <v>38904.01</v>
      </c>
      <c r="AC129">
        <f>WarehouseData[[#This Row],[stock_level]]*WarehouseData[[#This Row],[holding_cost_per_unit_day]]*30</f>
        <v>16895.099999999999</v>
      </c>
      <c r="AD129" t="str">
        <f>IF(WarehouseData[[#This Row],[order_fulfillment_rate]]&gt;=0.9,"Strong",IF(WarehouseData[[#This Row],[order_fulfillment_rate]]&gt;=0.8,"Moderate","Needs Attention"))</f>
        <v>Strong</v>
      </c>
      <c r="AE129" t="str">
        <f>IF(WarehouseData[[#This Row],[picking_time_seconds]]&gt;120,"Slow",IF(WarehouseData[[#This Row],[picking_time_seconds]]&gt;=60,"Average","Fast"))</f>
        <v>Slow</v>
      </c>
    </row>
    <row r="130" spans="1:31" x14ac:dyDescent="0.25">
      <c r="A130" t="s">
        <v>239</v>
      </c>
      <c r="B130" t="s">
        <v>36</v>
      </c>
      <c r="C130">
        <v>485</v>
      </c>
      <c r="D130">
        <v>42</v>
      </c>
      <c r="E130">
        <v>3</v>
      </c>
      <c r="F130">
        <v>8</v>
      </c>
      <c r="G130">
        <v>9.66</v>
      </c>
      <c r="H130">
        <v>9.91</v>
      </c>
      <c r="I130">
        <v>0.57999999999999996</v>
      </c>
      <c r="J130" t="s">
        <v>240</v>
      </c>
      <c r="K130" t="s">
        <v>38</v>
      </c>
      <c r="L130">
        <v>21</v>
      </c>
      <c r="M130">
        <v>3.52</v>
      </c>
      <c r="N130">
        <v>124.32</v>
      </c>
      <c r="O130">
        <v>0.76</v>
      </c>
      <c r="P130">
        <v>8</v>
      </c>
      <c r="Q130">
        <v>0.78</v>
      </c>
      <c r="R130">
        <v>521</v>
      </c>
      <c r="S130">
        <v>4.0999999999999996</v>
      </c>
      <c r="T130">
        <v>0.6</v>
      </c>
      <c r="U130" s="1">
        <v>45300</v>
      </c>
      <c r="V130">
        <v>71.739999999999995</v>
      </c>
      <c r="W130">
        <v>0.495</v>
      </c>
      <c r="X130" t="str">
        <f>IF(WarehouseData[[#This Row],[stock_level]]&lt;=WarehouseData[[#This Row],[reorder_point]],"Low Stock","Sufficient Stock")</f>
        <v>Sufficient Stock</v>
      </c>
      <c r="Y130">
        <f>WarehouseData[[#This Row],[daily_demand]]*WarehouseData[[#This Row],[lead_time_days]]</f>
        <v>77.28</v>
      </c>
      <c r="Z130" t="str">
        <f>IF(WarehouseData[[#This Row],[stock_level]]&lt;=WarehouseData[[#This Row],[Demand During Lead Time]],"At Risk","Safe")</f>
        <v>Safe</v>
      </c>
      <c r="AA130">
        <f>WarehouseData[[#This Row],[stock_level]]/WarehouseData[[#This Row],[daily_demand]]</f>
        <v>50.207039337474122</v>
      </c>
      <c r="AB130">
        <f>WarehouseData[[#This Row],[stock_level]]*WarehouseData[[#This Row],[unit_price]]</f>
        <v>60295.199999999997</v>
      </c>
      <c r="AC130">
        <f>WarehouseData[[#This Row],[stock_level]]*WarehouseData[[#This Row],[holding_cost_per_unit_day]]*30</f>
        <v>11058</v>
      </c>
      <c r="AD130" t="str">
        <f>IF(WarehouseData[[#This Row],[order_fulfillment_rate]]&gt;=0.9,"Strong",IF(WarehouseData[[#This Row],[order_fulfillment_rate]]&gt;=0.8,"Moderate","Needs Attention"))</f>
        <v>Needs Attention</v>
      </c>
      <c r="AE130" t="str">
        <f>IF(WarehouseData[[#This Row],[picking_time_seconds]]&gt;120,"Slow",IF(WarehouseData[[#This Row],[picking_time_seconds]]&gt;=60,"Average","Fast"))</f>
        <v>Fast</v>
      </c>
    </row>
    <row r="131" spans="1:31" x14ac:dyDescent="0.25">
      <c r="A131" t="s">
        <v>241</v>
      </c>
      <c r="B131" t="s">
        <v>36</v>
      </c>
      <c r="C131">
        <v>31</v>
      </c>
      <c r="D131">
        <v>83</v>
      </c>
      <c r="E131">
        <v>7</v>
      </c>
      <c r="F131">
        <v>3</v>
      </c>
      <c r="G131">
        <v>43.38</v>
      </c>
      <c r="H131">
        <v>10</v>
      </c>
      <c r="I131">
        <v>0.56000000000000005</v>
      </c>
      <c r="J131" t="s">
        <v>129</v>
      </c>
      <c r="K131" t="s">
        <v>46</v>
      </c>
      <c r="L131">
        <v>21</v>
      </c>
      <c r="M131">
        <v>2.2799999999999998</v>
      </c>
      <c r="N131">
        <v>25.83</v>
      </c>
      <c r="O131">
        <v>1.8</v>
      </c>
      <c r="P131">
        <v>5</v>
      </c>
      <c r="Q131">
        <v>0.94</v>
      </c>
      <c r="R131">
        <v>876</v>
      </c>
      <c r="S131">
        <v>13.75</v>
      </c>
      <c r="T131">
        <v>0.62</v>
      </c>
      <c r="U131" s="1">
        <v>45549</v>
      </c>
      <c r="V131">
        <v>94.67</v>
      </c>
      <c r="W131">
        <v>0.61499999999999999</v>
      </c>
      <c r="X131" t="str">
        <f>IF(WarehouseData[[#This Row],[stock_level]]&lt;=WarehouseData[[#This Row],[reorder_point]],"Low Stock","Sufficient Stock")</f>
        <v>Low Stock</v>
      </c>
      <c r="Y131">
        <f>WarehouseData[[#This Row],[daily_demand]]*WarehouseData[[#This Row],[lead_time_days]]</f>
        <v>130.14000000000001</v>
      </c>
      <c r="Z131" t="str">
        <f>IF(WarehouseData[[#This Row],[stock_level]]&lt;=WarehouseData[[#This Row],[Demand During Lead Time]],"At Risk","Safe")</f>
        <v>At Risk</v>
      </c>
      <c r="AA131">
        <f>WarehouseData[[#This Row],[stock_level]]/WarehouseData[[#This Row],[daily_demand]]</f>
        <v>0.71461502996772697</v>
      </c>
      <c r="AB131">
        <f>WarehouseData[[#This Row],[stock_level]]*WarehouseData[[#This Row],[unit_price]]</f>
        <v>800.7299999999999</v>
      </c>
      <c r="AC131">
        <f>WarehouseData[[#This Row],[stock_level]]*WarehouseData[[#This Row],[holding_cost_per_unit_day]]*30</f>
        <v>1674.0000000000002</v>
      </c>
      <c r="AD131" t="str">
        <f>IF(WarehouseData[[#This Row],[order_fulfillment_rate]]&gt;=0.9,"Strong",IF(WarehouseData[[#This Row],[order_fulfillment_rate]]&gt;=0.8,"Moderate","Needs Attention"))</f>
        <v>Strong</v>
      </c>
      <c r="AE131" t="str">
        <f>IF(WarehouseData[[#This Row],[picking_time_seconds]]&gt;120,"Slow",IF(WarehouseData[[#This Row],[picking_time_seconds]]&gt;=60,"Average","Fast"))</f>
        <v>Fast</v>
      </c>
    </row>
    <row r="132" spans="1:31" x14ac:dyDescent="0.25">
      <c r="A132" t="s">
        <v>242</v>
      </c>
      <c r="B132" t="s">
        <v>40</v>
      </c>
      <c r="C132">
        <v>138</v>
      </c>
      <c r="D132">
        <v>21</v>
      </c>
      <c r="E132">
        <v>11</v>
      </c>
      <c r="F132">
        <v>6</v>
      </c>
      <c r="G132">
        <v>28.58</v>
      </c>
      <c r="H132">
        <v>5.57</v>
      </c>
      <c r="I132">
        <v>0.74</v>
      </c>
      <c r="J132" t="s">
        <v>54</v>
      </c>
      <c r="K132" t="s">
        <v>38</v>
      </c>
      <c r="L132">
        <v>82</v>
      </c>
      <c r="M132">
        <v>1.1000000000000001</v>
      </c>
      <c r="N132">
        <v>186.73</v>
      </c>
      <c r="O132">
        <v>0.73</v>
      </c>
      <c r="P132">
        <v>6</v>
      </c>
      <c r="Q132">
        <v>0.76</v>
      </c>
      <c r="R132">
        <v>850</v>
      </c>
      <c r="S132">
        <v>10.119999999999999</v>
      </c>
      <c r="T132">
        <v>0.76</v>
      </c>
      <c r="U132" s="1">
        <v>45649</v>
      </c>
      <c r="V132">
        <v>290.39999999999998</v>
      </c>
      <c r="W132">
        <v>0.64600000000000002</v>
      </c>
      <c r="X132" t="str">
        <f>IF(WarehouseData[[#This Row],[stock_level]]&lt;=WarehouseData[[#This Row],[reorder_point]],"Low Stock","Sufficient Stock")</f>
        <v>Sufficient Stock</v>
      </c>
      <c r="Y132">
        <f>WarehouseData[[#This Row],[daily_demand]]*WarehouseData[[#This Row],[lead_time_days]]</f>
        <v>171.48</v>
      </c>
      <c r="Z132" t="str">
        <f>IF(WarehouseData[[#This Row],[stock_level]]&lt;=WarehouseData[[#This Row],[Demand During Lead Time]],"At Risk","Safe")</f>
        <v>At Risk</v>
      </c>
      <c r="AA132">
        <f>WarehouseData[[#This Row],[stock_level]]/WarehouseData[[#This Row],[daily_demand]]</f>
        <v>4.8285514345696292</v>
      </c>
      <c r="AB132">
        <f>WarehouseData[[#This Row],[stock_level]]*WarehouseData[[#This Row],[unit_price]]</f>
        <v>25768.739999999998</v>
      </c>
      <c r="AC132">
        <f>WarehouseData[[#This Row],[stock_level]]*WarehouseData[[#This Row],[holding_cost_per_unit_day]]*30</f>
        <v>3022.2</v>
      </c>
      <c r="AD132" t="str">
        <f>IF(WarehouseData[[#This Row],[order_fulfillment_rate]]&gt;=0.9,"Strong",IF(WarehouseData[[#This Row],[order_fulfillment_rate]]&gt;=0.8,"Moderate","Needs Attention"))</f>
        <v>Needs Attention</v>
      </c>
      <c r="AE132" t="str">
        <f>IF(WarehouseData[[#This Row],[picking_time_seconds]]&gt;120,"Slow",IF(WarehouseData[[#This Row],[picking_time_seconds]]&gt;=60,"Average","Fast"))</f>
        <v>Average</v>
      </c>
    </row>
    <row r="133" spans="1:31" x14ac:dyDescent="0.25">
      <c r="A133" t="s">
        <v>243</v>
      </c>
      <c r="B133" t="s">
        <v>36</v>
      </c>
      <c r="C133">
        <v>434</v>
      </c>
      <c r="D133">
        <v>36</v>
      </c>
      <c r="E133">
        <v>9</v>
      </c>
      <c r="F133">
        <v>4</v>
      </c>
      <c r="G133">
        <v>47.57</v>
      </c>
      <c r="H133">
        <v>8.35</v>
      </c>
      <c r="I133">
        <v>0.47</v>
      </c>
      <c r="J133" t="s">
        <v>49</v>
      </c>
      <c r="K133" t="s">
        <v>46</v>
      </c>
      <c r="L133">
        <v>115</v>
      </c>
      <c r="M133">
        <v>1.07</v>
      </c>
      <c r="N133">
        <v>94.62</v>
      </c>
      <c r="O133">
        <v>0.32</v>
      </c>
      <c r="P133">
        <v>2</v>
      </c>
      <c r="Q133">
        <v>0.83</v>
      </c>
      <c r="R133">
        <v>304</v>
      </c>
      <c r="S133">
        <v>13.07</v>
      </c>
      <c r="T133">
        <v>0.46</v>
      </c>
      <c r="U133" s="1">
        <v>45637</v>
      </c>
      <c r="V133">
        <v>200.64</v>
      </c>
      <c r="W133">
        <v>0.76</v>
      </c>
      <c r="X133" t="str">
        <f>IF(WarehouseData[[#This Row],[stock_level]]&lt;=WarehouseData[[#This Row],[reorder_point]],"Low Stock","Sufficient Stock")</f>
        <v>Sufficient Stock</v>
      </c>
      <c r="Y133">
        <f>WarehouseData[[#This Row],[daily_demand]]*WarehouseData[[#This Row],[lead_time_days]]</f>
        <v>190.28</v>
      </c>
      <c r="Z133" t="str">
        <f>IF(WarehouseData[[#This Row],[stock_level]]&lt;=WarehouseData[[#This Row],[Demand During Lead Time]],"At Risk","Safe")</f>
        <v>Safe</v>
      </c>
      <c r="AA133">
        <f>WarehouseData[[#This Row],[stock_level]]/WarehouseData[[#This Row],[daily_demand]]</f>
        <v>9.1233970990119815</v>
      </c>
      <c r="AB133">
        <f>WarehouseData[[#This Row],[stock_level]]*WarehouseData[[#This Row],[unit_price]]</f>
        <v>41065.08</v>
      </c>
      <c r="AC133">
        <f>WarehouseData[[#This Row],[stock_level]]*WarehouseData[[#This Row],[holding_cost_per_unit_day]]*30</f>
        <v>4166.3999999999996</v>
      </c>
      <c r="AD133" t="str">
        <f>IF(WarehouseData[[#This Row],[order_fulfillment_rate]]&gt;=0.9,"Strong",IF(WarehouseData[[#This Row],[order_fulfillment_rate]]&gt;=0.8,"Moderate","Needs Attention"))</f>
        <v>Moderate</v>
      </c>
      <c r="AE133" t="str">
        <f>IF(WarehouseData[[#This Row],[picking_time_seconds]]&gt;120,"Slow",IF(WarehouseData[[#This Row],[picking_time_seconds]]&gt;=60,"Average","Fast"))</f>
        <v>Average</v>
      </c>
    </row>
    <row r="134" spans="1:31" x14ac:dyDescent="0.25">
      <c r="A134" t="s">
        <v>244</v>
      </c>
      <c r="B134" t="s">
        <v>32</v>
      </c>
      <c r="C134">
        <v>481</v>
      </c>
      <c r="D134">
        <v>48</v>
      </c>
      <c r="E134">
        <v>6</v>
      </c>
      <c r="F134">
        <v>5</v>
      </c>
      <c r="G134">
        <v>4.55</v>
      </c>
      <c r="H134">
        <v>9.91</v>
      </c>
      <c r="I134">
        <v>0.19</v>
      </c>
      <c r="J134" t="s">
        <v>245</v>
      </c>
      <c r="K134" t="s">
        <v>52</v>
      </c>
      <c r="L134">
        <v>159</v>
      </c>
      <c r="M134">
        <v>1.95</v>
      </c>
      <c r="N134">
        <v>138.11000000000001</v>
      </c>
      <c r="O134">
        <v>1.28</v>
      </c>
      <c r="P134">
        <v>2</v>
      </c>
      <c r="Q134">
        <v>0.85</v>
      </c>
      <c r="R134">
        <v>327</v>
      </c>
      <c r="S134">
        <v>6.4</v>
      </c>
      <c r="T134">
        <v>0.43</v>
      </c>
      <c r="U134" s="1">
        <v>45512</v>
      </c>
      <c r="V134">
        <v>151.56</v>
      </c>
      <c r="W134">
        <v>0.57299999999999995</v>
      </c>
      <c r="X134" t="str">
        <f>IF(WarehouseData[[#This Row],[stock_level]]&lt;=WarehouseData[[#This Row],[reorder_point]],"Low Stock","Sufficient Stock")</f>
        <v>Sufficient Stock</v>
      </c>
      <c r="Y134">
        <f>WarehouseData[[#This Row],[daily_demand]]*WarehouseData[[#This Row],[lead_time_days]]</f>
        <v>22.75</v>
      </c>
      <c r="Z134" t="str">
        <f>IF(WarehouseData[[#This Row],[stock_level]]&lt;=WarehouseData[[#This Row],[Demand During Lead Time]],"At Risk","Safe")</f>
        <v>Safe</v>
      </c>
      <c r="AA134">
        <f>WarehouseData[[#This Row],[stock_level]]/WarehouseData[[#This Row],[daily_demand]]</f>
        <v>105.71428571428572</v>
      </c>
      <c r="AB134">
        <f>WarehouseData[[#This Row],[stock_level]]*WarehouseData[[#This Row],[unit_price]]</f>
        <v>66430.91</v>
      </c>
      <c r="AC134">
        <f>WarehouseData[[#This Row],[stock_level]]*WarehouseData[[#This Row],[holding_cost_per_unit_day]]*30</f>
        <v>18470.400000000001</v>
      </c>
      <c r="AD134" t="str">
        <f>IF(WarehouseData[[#This Row],[order_fulfillment_rate]]&gt;=0.9,"Strong",IF(WarehouseData[[#This Row],[order_fulfillment_rate]]&gt;=0.8,"Moderate","Needs Attention"))</f>
        <v>Moderate</v>
      </c>
      <c r="AE134" t="str">
        <f>IF(WarehouseData[[#This Row],[picking_time_seconds]]&gt;120,"Slow",IF(WarehouseData[[#This Row],[picking_time_seconds]]&gt;=60,"Average","Fast"))</f>
        <v>Slow</v>
      </c>
    </row>
    <row r="135" spans="1:31" x14ac:dyDescent="0.25">
      <c r="A135" t="s">
        <v>246</v>
      </c>
      <c r="B135" t="s">
        <v>36</v>
      </c>
      <c r="C135">
        <v>309</v>
      </c>
      <c r="D135">
        <v>18</v>
      </c>
      <c r="E135">
        <v>13</v>
      </c>
      <c r="F135">
        <v>9</v>
      </c>
      <c r="G135">
        <v>15.47</v>
      </c>
      <c r="H135">
        <v>4.0599999999999996</v>
      </c>
      <c r="I135">
        <v>0.81</v>
      </c>
      <c r="J135" t="s">
        <v>84</v>
      </c>
      <c r="K135" t="s">
        <v>38</v>
      </c>
      <c r="L135">
        <v>58</v>
      </c>
      <c r="M135">
        <v>3.86</v>
      </c>
      <c r="N135">
        <v>177.73</v>
      </c>
      <c r="O135">
        <v>0.96</v>
      </c>
      <c r="P135">
        <v>7</v>
      </c>
      <c r="Q135">
        <v>0.85</v>
      </c>
      <c r="R135">
        <v>608</v>
      </c>
      <c r="S135">
        <v>14.77</v>
      </c>
      <c r="T135">
        <v>0.76</v>
      </c>
      <c r="U135" s="1">
        <v>45383</v>
      </c>
      <c r="V135">
        <v>136.27000000000001</v>
      </c>
      <c r="W135">
        <v>0.68300000000000005</v>
      </c>
      <c r="X135" t="str">
        <f>IF(WarehouseData[[#This Row],[stock_level]]&lt;=WarehouseData[[#This Row],[reorder_point]],"Low Stock","Sufficient Stock")</f>
        <v>Sufficient Stock</v>
      </c>
      <c r="Y135">
        <f>WarehouseData[[#This Row],[daily_demand]]*WarehouseData[[#This Row],[lead_time_days]]</f>
        <v>139.23000000000002</v>
      </c>
      <c r="Z135" t="str">
        <f>IF(WarehouseData[[#This Row],[stock_level]]&lt;=WarehouseData[[#This Row],[Demand During Lead Time]],"At Risk","Safe")</f>
        <v>Safe</v>
      </c>
      <c r="AA135">
        <f>WarehouseData[[#This Row],[stock_level]]/WarehouseData[[#This Row],[daily_demand]]</f>
        <v>19.974143503555268</v>
      </c>
      <c r="AB135">
        <f>WarehouseData[[#This Row],[stock_level]]*WarehouseData[[#This Row],[unit_price]]</f>
        <v>54918.57</v>
      </c>
      <c r="AC135">
        <f>WarehouseData[[#This Row],[stock_level]]*WarehouseData[[#This Row],[holding_cost_per_unit_day]]*30</f>
        <v>8899.1999999999989</v>
      </c>
      <c r="AD135" t="str">
        <f>IF(WarehouseData[[#This Row],[order_fulfillment_rate]]&gt;=0.9,"Strong",IF(WarehouseData[[#This Row],[order_fulfillment_rate]]&gt;=0.8,"Moderate","Needs Attention"))</f>
        <v>Moderate</v>
      </c>
      <c r="AE135" t="str">
        <f>IF(WarehouseData[[#This Row],[picking_time_seconds]]&gt;120,"Slow",IF(WarehouseData[[#This Row],[picking_time_seconds]]&gt;=60,"Average","Fast"))</f>
        <v>Fast</v>
      </c>
    </row>
    <row r="136" spans="1:31" x14ac:dyDescent="0.25">
      <c r="A136" t="s">
        <v>247</v>
      </c>
      <c r="B136" t="s">
        <v>40</v>
      </c>
      <c r="C136">
        <v>357</v>
      </c>
      <c r="D136">
        <v>30</v>
      </c>
      <c r="E136">
        <v>11</v>
      </c>
      <c r="F136">
        <v>2</v>
      </c>
      <c r="G136">
        <v>10.48</v>
      </c>
      <c r="H136">
        <v>2.9</v>
      </c>
      <c r="I136">
        <v>0.72</v>
      </c>
      <c r="J136" t="s">
        <v>137</v>
      </c>
      <c r="K136" t="s">
        <v>52</v>
      </c>
      <c r="L136">
        <v>13</v>
      </c>
      <c r="M136">
        <v>0.61</v>
      </c>
      <c r="N136">
        <v>34.72</v>
      </c>
      <c r="O136">
        <v>1.85</v>
      </c>
      <c r="P136">
        <v>6</v>
      </c>
      <c r="Q136">
        <v>0.85</v>
      </c>
      <c r="R136">
        <v>695</v>
      </c>
      <c r="S136">
        <v>10.51</v>
      </c>
      <c r="T136">
        <v>0.52</v>
      </c>
      <c r="U136" s="1">
        <v>45346</v>
      </c>
      <c r="V136">
        <v>24.08</v>
      </c>
      <c r="W136">
        <v>0.50900000000000001</v>
      </c>
      <c r="X136" t="str">
        <f>IF(WarehouseData[[#This Row],[stock_level]]&lt;=WarehouseData[[#This Row],[reorder_point]],"Low Stock","Sufficient Stock")</f>
        <v>Sufficient Stock</v>
      </c>
      <c r="Y136">
        <f>WarehouseData[[#This Row],[daily_demand]]*WarehouseData[[#This Row],[lead_time_days]]</f>
        <v>20.96</v>
      </c>
      <c r="Z136" t="str">
        <f>IF(WarehouseData[[#This Row],[stock_level]]&lt;=WarehouseData[[#This Row],[Demand During Lead Time]],"At Risk","Safe")</f>
        <v>Safe</v>
      </c>
      <c r="AA136">
        <f>WarehouseData[[#This Row],[stock_level]]/WarehouseData[[#This Row],[daily_demand]]</f>
        <v>34.064885496183201</v>
      </c>
      <c r="AB136">
        <f>WarehouseData[[#This Row],[stock_level]]*WarehouseData[[#This Row],[unit_price]]</f>
        <v>12395.039999999999</v>
      </c>
      <c r="AC136">
        <f>WarehouseData[[#This Row],[stock_level]]*WarehouseData[[#This Row],[holding_cost_per_unit_day]]*30</f>
        <v>19813.5</v>
      </c>
      <c r="AD136" t="str">
        <f>IF(WarehouseData[[#This Row],[order_fulfillment_rate]]&gt;=0.9,"Strong",IF(WarehouseData[[#This Row],[order_fulfillment_rate]]&gt;=0.8,"Moderate","Needs Attention"))</f>
        <v>Moderate</v>
      </c>
      <c r="AE136" t="str">
        <f>IF(WarehouseData[[#This Row],[picking_time_seconds]]&gt;120,"Slow",IF(WarehouseData[[#This Row],[picking_time_seconds]]&gt;=60,"Average","Fast"))</f>
        <v>Fast</v>
      </c>
    </row>
    <row r="137" spans="1:31" x14ac:dyDescent="0.25">
      <c r="A137" t="s">
        <v>248</v>
      </c>
      <c r="B137" t="s">
        <v>40</v>
      </c>
      <c r="C137">
        <v>267</v>
      </c>
      <c r="D137">
        <v>85</v>
      </c>
      <c r="E137">
        <v>11</v>
      </c>
      <c r="F137">
        <v>5</v>
      </c>
      <c r="G137">
        <v>28.14</v>
      </c>
      <c r="H137">
        <v>1.59</v>
      </c>
      <c r="I137">
        <v>0.96</v>
      </c>
      <c r="J137" t="s">
        <v>129</v>
      </c>
      <c r="K137" t="s">
        <v>38</v>
      </c>
      <c r="L137">
        <v>12</v>
      </c>
      <c r="M137">
        <v>1.66</v>
      </c>
      <c r="N137">
        <v>172.61</v>
      </c>
      <c r="O137">
        <v>1.04</v>
      </c>
      <c r="P137">
        <v>4</v>
      </c>
      <c r="Q137">
        <v>0.77</v>
      </c>
      <c r="R137">
        <v>73</v>
      </c>
      <c r="S137">
        <v>6</v>
      </c>
      <c r="T137">
        <v>0.2</v>
      </c>
      <c r="U137" s="1">
        <v>45341</v>
      </c>
      <c r="V137">
        <v>253.29</v>
      </c>
      <c r="W137">
        <v>0.49</v>
      </c>
      <c r="X137" t="str">
        <f>IF(WarehouseData[[#This Row],[stock_level]]&lt;=WarehouseData[[#This Row],[reorder_point]],"Low Stock","Sufficient Stock")</f>
        <v>Sufficient Stock</v>
      </c>
      <c r="Y137">
        <f>WarehouseData[[#This Row],[daily_demand]]*WarehouseData[[#This Row],[lead_time_days]]</f>
        <v>140.69999999999999</v>
      </c>
      <c r="Z137" t="str">
        <f>IF(WarehouseData[[#This Row],[stock_level]]&lt;=WarehouseData[[#This Row],[Demand During Lead Time]],"At Risk","Safe")</f>
        <v>Safe</v>
      </c>
      <c r="AA137">
        <f>WarehouseData[[#This Row],[stock_level]]/WarehouseData[[#This Row],[daily_demand]]</f>
        <v>9.4882729211087415</v>
      </c>
      <c r="AB137">
        <f>WarehouseData[[#This Row],[stock_level]]*WarehouseData[[#This Row],[unit_price]]</f>
        <v>46086.87</v>
      </c>
      <c r="AC137">
        <f>WarehouseData[[#This Row],[stock_level]]*WarehouseData[[#This Row],[holding_cost_per_unit_day]]*30</f>
        <v>8330.4</v>
      </c>
      <c r="AD137" t="str">
        <f>IF(WarehouseData[[#This Row],[order_fulfillment_rate]]&gt;=0.9,"Strong",IF(WarehouseData[[#This Row],[order_fulfillment_rate]]&gt;=0.8,"Moderate","Needs Attention"))</f>
        <v>Needs Attention</v>
      </c>
      <c r="AE137" t="str">
        <f>IF(WarehouseData[[#This Row],[picking_time_seconds]]&gt;120,"Slow",IF(WarehouseData[[#This Row],[picking_time_seconds]]&gt;=60,"Average","Fast"))</f>
        <v>Fast</v>
      </c>
    </row>
    <row r="138" spans="1:31" x14ac:dyDescent="0.25">
      <c r="A138" t="s">
        <v>249</v>
      </c>
      <c r="B138" t="s">
        <v>32</v>
      </c>
      <c r="C138">
        <v>373</v>
      </c>
      <c r="D138">
        <v>38</v>
      </c>
      <c r="E138">
        <v>4</v>
      </c>
      <c r="F138">
        <v>5</v>
      </c>
      <c r="G138">
        <v>19.760000000000002</v>
      </c>
      <c r="H138">
        <v>1.84</v>
      </c>
      <c r="I138">
        <v>0.49</v>
      </c>
      <c r="J138" t="s">
        <v>245</v>
      </c>
      <c r="K138" t="s">
        <v>34</v>
      </c>
      <c r="L138">
        <v>153</v>
      </c>
      <c r="M138">
        <v>1.23</v>
      </c>
      <c r="N138">
        <v>147.62</v>
      </c>
      <c r="O138">
        <v>1.86</v>
      </c>
      <c r="P138">
        <v>5</v>
      </c>
      <c r="Q138">
        <v>0.85</v>
      </c>
      <c r="R138">
        <v>482</v>
      </c>
      <c r="S138">
        <v>3.98</v>
      </c>
      <c r="T138">
        <v>0.95</v>
      </c>
      <c r="U138" s="1">
        <v>45560</v>
      </c>
      <c r="V138">
        <v>230.99</v>
      </c>
      <c r="W138">
        <v>0.52700000000000002</v>
      </c>
      <c r="X138" t="str">
        <f>IF(WarehouseData[[#This Row],[stock_level]]&lt;=WarehouseData[[#This Row],[reorder_point]],"Low Stock","Sufficient Stock")</f>
        <v>Sufficient Stock</v>
      </c>
      <c r="Y138">
        <f>WarehouseData[[#This Row],[daily_demand]]*WarehouseData[[#This Row],[lead_time_days]]</f>
        <v>98.800000000000011</v>
      </c>
      <c r="Z138" t="str">
        <f>IF(WarehouseData[[#This Row],[stock_level]]&lt;=WarehouseData[[#This Row],[Demand During Lead Time]],"At Risk","Safe")</f>
        <v>Safe</v>
      </c>
      <c r="AA138">
        <f>WarehouseData[[#This Row],[stock_level]]/WarehouseData[[#This Row],[daily_demand]]</f>
        <v>18.876518218623481</v>
      </c>
      <c r="AB138">
        <f>WarehouseData[[#This Row],[stock_level]]*WarehouseData[[#This Row],[unit_price]]</f>
        <v>55062.26</v>
      </c>
      <c r="AC138">
        <f>WarehouseData[[#This Row],[stock_level]]*WarehouseData[[#This Row],[holding_cost_per_unit_day]]*30</f>
        <v>20813.400000000001</v>
      </c>
      <c r="AD138" t="str">
        <f>IF(WarehouseData[[#This Row],[order_fulfillment_rate]]&gt;=0.9,"Strong",IF(WarehouseData[[#This Row],[order_fulfillment_rate]]&gt;=0.8,"Moderate","Needs Attention"))</f>
        <v>Moderate</v>
      </c>
      <c r="AE138" t="str">
        <f>IF(WarehouseData[[#This Row],[picking_time_seconds]]&gt;120,"Slow",IF(WarehouseData[[#This Row],[picking_time_seconds]]&gt;=60,"Average","Fast"))</f>
        <v>Slow</v>
      </c>
    </row>
    <row r="139" spans="1:31" x14ac:dyDescent="0.25">
      <c r="A139" t="s">
        <v>250</v>
      </c>
      <c r="B139" t="s">
        <v>48</v>
      </c>
      <c r="C139">
        <v>146</v>
      </c>
      <c r="D139">
        <v>42</v>
      </c>
      <c r="E139">
        <v>12</v>
      </c>
      <c r="F139">
        <v>4</v>
      </c>
      <c r="G139">
        <v>8.7100000000000009</v>
      </c>
      <c r="H139">
        <v>8.61</v>
      </c>
      <c r="I139">
        <v>0.17</v>
      </c>
      <c r="J139" t="s">
        <v>251</v>
      </c>
      <c r="K139" t="s">
        <v>34</v>
      </c>
      <c r="L139">
        <v>23</v>
      </c>
      <c r="M139">
        <v>4.8</v>
      </c>
      <c r="N139">
        <v>169.52</v>
      </c>
      <c r="O139">
        <v>0.25</v>
      </c>
      <c r="P139">
        <v>8</v>
      </c>
      <c r="Q139">
        <v>0.84</v>
      </c>
      <c r="R139">
        <v>678</v>
      </c>
      <c r="S139">
        <v>13.13</v>
      </c>
      <c r="T139">
        <v>0.32</v>
      </c>
      <c r="U139" s="1">
        <v>45368</v>
      </c>
      <c r="V139">
        <v>36.299999999999997</v>
      </c>
      <c r="W139">
        <v>0.622</v>
      </c>
      <c r="X139" t="str">
        <f>IF(WarehouseData[[#This Row],[stock_level]]&lt;=WarehouseData[[#This Row],[reorder_point]],"Low Stock","Sufficient Stock")</f>
        <v>Sufficient Stock</v>
      </c>
      <c r="Y139">
        <f>WarehouseData[[#This Row],[daily_demand]]*WarehouseData[[#This Row],[lead_time_days]]</f>
        <v>34.840000000000003</v>
      </c>
      <c r="Z139" t="str">
        <f>IF(WarehouseData[[#This Row],[stock_level]]&lt;=WarehouseData[[#This Row],[Demand During Lead Time]],"At Risk","Safe")</f>
        <v>Safe</v>
      </c>
      <c r="AA139">
        <f>WarehouseData[[#This Row],[stock_level]]/WarehouseData[[#This Row],[daily_demand]]</f>
        <v>16.762342135476462</v>
      </c>
      <c r="AB139">
        <f>WarehouseData[[#This Row],[stock_level]]*WarehouseData[[#This Row],[unit_price]]</f>
        <v>24749.920000000002</v>
      </c>
      <c r="AC139">
        <f>WarehouseData[[#This Row],[stock_level]]*WarehouseData[[#This Row],[holding_cost_per_unit_day]]*30</f>
        <v>1095</v>
      </c>
      <c r="AD139" t="str">
        <f>IF(WarehouseData[[#This Row],[order_fulfillment_rate]]&gt;=0.9,"Strong",IF(WarehouseData[[#This Row],[order_fulfillment_rate]]&gt;=0.8,"Moderate","Needs Attention"))</f>
        <v>Moderate</v>
      </c>
      <c r="AE139" t="str">
        <f>IF(WarehouseData[[#This Row],[picking_time_seconds]]&gt;120,"Slow",IF(WarehouseData[[#This Row],[picking_time_seconds]]&gt;=60,"Average","Fast"))</f>
        <v>Fast</v>
      </c>
    </row>
    <row r="140" spans="1:31" x14ac:dyDescent="0.25">
      <c r="A140" t="s">
        <v>252</v>
      </c>
      <c r="B140" t="s">
        <v>48</v>
      </c>
      <c r="C140">
        <v>94</v>
      </c>
      <c r="D140">
        <v>71</v>
      </c>
      <c r="E140">
        <v>12</v>
      </c>
      <c r="F140">
        <v>6</v>
      </c>
      <c r="G140">
        <v>32.49</v>
      </c>
      <c r="H140">
        <v>6.09</v>
      </c>
      <c r="I140">
        <v>0.21</v>
      </c>
      <c r="J140" t="s">
        <v>68</v>
      </c>
      <c r="K140" t="s">
        <v>52</v>
      </c>
      <c r="L140">
        <v>73</v>
      </c>
      <c r="M140">
        <v>3.67</v>
      </c>
      <c r="N140">
        <v>104.02</v>
      </c>
      <c r="O140">
        <v>1.68</v>
      </c>
      <c r="P140">
        <v>2</v>
      </c>
      <c r="Q140">
        <v>0.76</v>
      </c>
      <c r="R140">
        <v>800</v>
      </c>
      <c r="S140">
        <v>5.45</v>
      </c>
      <c r="T140">
        <v>0.32</v>
      </c>
      <c r="U140" s="1">
        <v>45415</v>
      </c>
      <c r="V140">
        <v>112.5</v>
      </c>
      <c r="W140">
        <v>0.48099999999999998</v>
      </c>
      <c r="X140" t="str">
        <f>IF(WarehouseData[[#This Row],[stock_level]]&lt;=WarehouseData[[#This Row],[reorder_point]],"Low Stock","Sufficient Stock")</f>
        <v>Sufficient Stock</v>
      </c>
      <c r="Y140">
        <f>WarehouseData[[#This Row],[daily_demand]]*WarehouseData[[#This Row],[lead_time_days]]</f>
        <v>194.94</v>
      </c>
      <c r="Z140" t="str">
        <f>IF(WarehouseData[[#This Row],[stock_level]]&lt;=WarehouseData[[#This Row],[Demand During Lead Time]],"At Risk","Safe")</f>
        <v>At Risk</v>
      </c>
      <c r="AA140">
        <f>WarehouseData[[#This Row],[stock_level]]/WarehouseData[[#This Row],[daily_demand]]</f>
        <v>2.8931979070483225</v>
      </c>
      <c r="AB140">
        <f>WarehouseData[[#This Row],[stock_level]]*WarehouseData[[#This Row],[unit_price]]</f>
        <v>9777.8799999999992</v>
      </c>
      <c r="AC140">
        <f>WarehouseData[[#This Row],[stock_level]]*WarehouseData[[#This Row],[holding_cost_per_unit_day]]*30</f>
        <v>4737.5999999999995</v>
      </c>
      <c r="AD140" t="str">
        <f>IF(WarehouseData[[#This Row],[order_fulfillment_rate]]&gt;=0.9,"Strong",IF(WarehouseData[[#This Row],[order_fulfillment_rate]]&gt;=0.8,"Moderate","Needs Attention"))</f>
        <v>Needs Attention</v>
      </c>
      <c r="AE140" t="str">
        <f>IF(WarehouseData[[#This Row],[picking_time_seconds]]&gt;120,"Slow",IF(WarehouseData[[#This Row],[picking_time_seconds]]&gt;=60,"Average","Fast"))</f>
        <v>Average</v>
      </c>
    </row>
    <row r="141" spans="1:31" x14ac:dyDescent="0.25">
      <c r="A141" t="s">
        <v>253</v>
      </c>
      <c r="B141" t="s">
        <v>36</v>
      </c>
      <c r="C141">
        <v>380</v>
      </c>
      <c r="D141">
        <v>24</v>
      </c>
      <c r="E141">
        <v>13</v>
      </c>
      <c r="F141">
        <v>4</v>
      </c>
      <c r="G141">
        <v>27.28</v>
      </c>
      <c r="H141">
        <v>8.8000000000000007</v>
      </c>
      <c r="I141">
        <v>0.8</v>
      </c>
      <c r="J141" t="s">
        <v>251</v>
      </c>
      <c r="K141" t="s">
        <v>52</v>
      </c>
      <c r="L141">
        <v>129</v>
      </c>
      <c r="M141">
        <v>1.55</v>
      </c>
      <c r="N141">
        <v>16.36</v>
      </c>
      <c r="O141">
        <v>1.54</v>
      </c>
      <c r="P141">
        <v>2</v>
      </c>
      <c r="Q141">
        <v>1</v>
      </c>
      <c r="R141">
        <v>527</v>
      </c>
      <c r="S141">
        <v>1.62</v>
      </c>
      <c r="T141">
        <v>0.85</v>
      </c>
      <c r="U141" s="1">
        <v>45390</v>
      </c>
      <c r="V141">
        <v>266.77</v>
      </c>
      <c r="W141">
        <v>0.59799999999999998</v>
      </c>
      <c r="X141" t="str">
        <f>IF(WarehouseData[[#This Row],[stock_level]]&lt;=WarehouseData[[#This Row],[reorder_point]],"Low Stock","Sufficient Stock")</f>
        <v>Sufficient Stock</v>
      </c>
      <c r="Y141">
        <f>WarehouseData[[#This Row],[daily_demand]]*WarehouseData[[#This Row],[lead_time_days]]</f>
        <v>109.12</v>
      </c>
      <c r="Z141" t="str">
        <f>IF(WarehouseData[[#This Row],[stock_level]]&lt;=WarehouseData[[#This Row],[Demand During Lead Time]],"At Risk","Safe")</f>
        <v>Safe</v>
      </c>
      <c r="AA141">
        <f>WarehouseData[[#This Row],[stock_level]]/WarehouseData[[#This Row],[daily_demand]]</f>
        <v>13.929618768328446</v>
      </c>
      <c r="AB141">
        <f>WarehouseData[[#This Row],[stock_level]]*WarehouseData[[#This Row],[unit_price]]</f>
        <v>6216.8</v>
      </c>
      <c r="AC141">
        <f>WarehouseData[[#This Row],[stock_level]]*WarehouseData[[#This Row],[holding_cost_per_unit_day]]*30</f>
        <v>17556</v>
      </c>
      <c r="AD141" t="str">
        <f>IF(WarehouseData[[#This Row],[order_fulfillment_rate]]&gt;=0.9,"Strong",IF(WarehouseData[[#This Row],[order_fulfillment_rate]]&gt;=0.8,"Moderate","Needs Attention"))</f>
        <v>Strong</v>
      </c>
      <c r="AE141" t="str">
        <f>IF(WarehouseData[[#This Row],[picking_time_seconds]]&gt;120,"Slow",IF(WarehouseData[[#This Row],[picking_time_seconds]]&gt;=60,"Average","Fast"))</f>
        <v>Slow</v>
      </c>
    </row>
    <row r="142" spans="1:31" x14ac:dyDescent="0.25">
      <c r="A142" t="s">
        <v>254</v>
      </c>
      <c r="B142" t="s">
        <v>73</v>
      </c>
      <c r="C142">
        <v>223</v>
      </c>
      <c r="D142">
        <v>11</v>
      </c>
      <c r="E142">
        <v>14</v>
      </c>
      <c r="F142">
        <v>2</v>
      </c>
      <c r="G142">
        <v>14.46</v>
      </c>
      <c r="H142">
        <v>8</v>
      </c>
      <c r="I142">
        <v>0.16</v>
      </c>
      <c r="J142" t="s">
        <v>223</v>
      </c>
      <c r="K142" t="s">
        <v>34</v>
      </c>
      <c r="L142">
        <v>178</v>
      </c>
      <c r="M142">
        <v>1.43</v>
      </c>
      <c r="N142">
        <v>137.4</v>
      </c>
      <c r="O142">
        <v>1.47</v>
      </c>
      <c r="P142">
        <v>5</v>
      </c>
      <c r="Q142">
        <v>0.96</v>
      </c>
      <c r="R142">
        <v>543</v>
      </c>
      <c r="S142">
        <v>4.9000000000000004</v>
      </c>
      <c r="T142">
        <v>0.47</v>
      </c>
      <c r="U142" s="1">
        <v>45609</v>
      </c>
      <c r="V142">
        <v>78.569999999999993</v>
      </c>
      <c r="W142">
        <v>0.504</v>
      </c>
      <c r="X142" t="str">
        <f>IF(WarehouseData[[#This Row],[stock_level]]&lt;=WarehouseData[[#This Row],[reorder_point]],"Low Stock","Sufficient Stock")</f>
        <v>Sufficient Stock</v>
      </c>
      <c r="Y142">
        <f>WarehouseData[[#This Row],[daily_demand]]*WarehouseData[[#This Row],[lead_time_days]]</f>
        <v>28.92</v>
      </c>
      <c r="Z142" t="str">
        <f>IF(WarehouseData[[#This Row],[stock_level]]&lt;=WarehouseData[[#This Row],[Demand During Lead Time]],"At Risk","Safe")</f>
        <v>Safe</v>
      </c>
      <c r="AA142">
        <f>WarehouseData[[#This Row],[stock_level]]/WarehouseData[[#This Row],[daily_demand]]</f>
        <v>15.421853388658366</v>
      </c>
      <c r="AB142">
        <f>WarehouseData[[#This Row],[stock_level]]*WarehouseData[[#This Row],[unit_price]]</f>
        <v>30640.2</v>
      </c>
      <c r="AC142">
        <f>WarehouseData[[#This Row],[stock_level]]*WarehouseData[[#This Row],[holding_cost_per_unit_day]]*30</f>
        <v>9834.2999999999993</v>
      </c>
      <c r="AD142" t="str">
        <f>IF(WarehouseData[[#This Row],[order_fulfillment_rate]]&gt;=0.9,"Strong",IF(WarehouseData[[#This Row],[order_fulfillment_rate]]&gt;=0.8,"Moderate","Needs Attention"))</f>
        <v>Strong</v>
      </c>
      <c r="AE142" t="str">
        <f>IF(WarehouseData[[#This Row],[picking_time_seconds]]&gt;120,"Slow",IF(WarehouseData[[#This Row],[picking_time_seconds]]&gt;=60,"Average","Fast"))</f>
        <v>Slow</v>
      </c>
    </row>
    <row r="143" spans="1:31" x14ac:dyDescent="0.25">
      <c r="A143" t="s">
        <v>255</v>
      </c>
      <c r="B143" t="s">
        <v>36</v>
      </c>
      <c r="C143">
        <v>68</v>
      </c>
      <c r="D143">
        <v>61</v>
      </c>
      <c r="E143">
        <v>8</v>
      </c>
      <c r="F143">
        <v>8</v>
      </c>
      <c r="G143">
        <v>24.51</v>
      </c>
      <c r="H143">
        <v>6.9</v>
      </c>
      <c r="I143">
        <v>0.92</v>
      </c>
      <c r="J143" t="s">
        <v>152</v>
      </c>
      <c r="K143" t="s">
        <v>34</v>
      </c>
      <c r="L143">
        <v>77</v>
      </c>
      <c r="M143">
        <v>4.3600000000000003</v>
      </c>
      <c r="N143">
        <v>81.16</v>
      </c>
      <c r="O143">
        <v>0.77</v>
      </c>
      <c r="P143">
        <v>7</v>
      </c>
      <c r="Q143">
        <v>0.97</v>
      </c>
      <c r="R143">
        <v>431</v>
      </c>
      <c r="S143">
        <v>3.51</v>
      </c>
      <c r="T143">
        <v>0.46</v>
      </c>
      <c r="U143" s="1">
        <v>45561</v>
      </c>
      <c r="V143">
        <v>187.26</v>
      </c>
      <c r="W143">
        <v>0.51600000000000001</v>
      </c>
      <c r="X143" t="str">
        <f>IF(WarehouseData[[#This Row],[stock_level]]&lt;=WarehouseData[[#This Row],[reorder_point]],"Low Stock","Sufficient Stock")</f>
        <v>Sufficient Stock</v>
      </c>
      <c r="Y143">
        <f>WarehouseData[[#This Row],[daily_demand]]*WarehouseData[[#This Row],[lead_time_days]]</f>
        <v>196.08</v>
      </c>
      <c r="Z143" t="str">
        <f>IF(WarehouseData[[#This Row],[stock_level]]&lt;=WarehouseData[[#This Row],[Demand During Lead Time]],"At Risk","Safe")</f>
        <v>At Risk</v>
      </c>
      <c r="AA143">
        <f>WarehouseData[[#This Row],[stock_level]]/WarehouseData[[#This Row],[daily_demand]]</f>
        <v>2.77437780497756</v>
      </c>
      <c r="AB143">
        <f>WarehouseData[[#This Row],[stock_level]]*WarehouseData[[#This Row],[unit_price]]</f>
        <v>5518.88</v>
      </c>
      <c r="AC143">
        <f>WarehouseData[[#This Row],[stock_level]]*WarehouseData[[#This Row],[holding_cost_per_unit_day]]*30</f>
        <v>1570.8</v>
      </c>
      <c r="AD143" t="str">
        <f>IF(WarehouseData[[#This Row],[order_fulfillment_rate]]&gt;=0.9,"Strong",IF(WarehouseData[[#This Row],[order_fulfillment_rate]]&gt;=0.8,"Moderate","Needs Attention"))</f>
        <v>Strong</v>
      </c>
      <c r="AE143" t="str">
        <f>IF(WarehouseData[[#This Row],[picking_time_seconds]]&gt;120,"Slow",IF(WarehouseData[[#This Row],[picking_time_seconds]]&gt;=60,"Average","Fast"))</f>
        <v>Average</v>
      </c>
    </row>
    <row r="144" spans="1:31" x14ac:dyDescent="0.25">
      <c r="A144" t="s">
        <v>256</v>
      </c>
      <c r="B144" t="s">
        <v>32</v>
      </c>
      <c r="C144">
        <v>98</v>
      </c>
      <c r="D144">
        <v>53</v>
      </c>
      <c r="E144">
        <v>6</v>
      </c>
      <c r="F144">
        <v>4</v>
      </c>
      <c r="G144">
        <v>37.54</v>
      </c>
      <c r="H144">
        <v>6.29</v>
      </c>
      <c r="I144">
        <v>0.35</v>
      </c>
      <c r="J144" t="s">
        <v>51</v>
      </c>
      <c r="K144" t="s">
        <v>46</v>
      </c>
      <c r="L144">
        <v>68</v>
      </c>
      <c r="M144">
        <v>1.36</v>
      </c>
      <c r="N144">
        <v>86.46</v>
      </c>
      <c r="O144">
        <v>1.59</v>
      </c>
      <c r="P144">
        <v>4</v>
      </c>
      <c r="Q144">
        <v>0.91</v>
      </c>
      <c r="R144">
        <v>868</v>
      </c>
      <c r="S144">
        <v>5.48</v>
      </c>
      <c r="T144">
        <v>0.7</v>
      </c>
      <c r="U144" s="1">
        <v>45421</v>
      </c>
      <c r="V144">
        <v>151.5</v>
      </c>
      <c r="W144">
        <v>0.55600000000000005</v>
      </c>
      <c r="X144" t="str">
        <f>IF(WarehouseData[[#This Row],[stock_level]]&lt;=WarehouseData[[#This Row],[reorder_point]],"Low Stock","Sufficient Stock")</f>
        <v>Sufficient Stock</v>
      </c>
      <c r="Y144">
        <f>WarehouseData[[#This Row],[daily_demand]]*WarehouseData[[#This Row],[lead_time_days]]</f>
        <v>150.16</v>
      </c>
      <c r="Z144" t="str">
        <f>IF(WarehouseData[[#This Row],[stock_level]]&lt;=WarehouseData[[#This Row],[Demand During Lead Time]],"At Risk","Safe")</f>
        <v>At Risk</v>
      </c>
      <c r="AA144">
        <f>WarehouseData[[#This Row],[stock_level]]/WarehouseData[[#This Row],[daily_demand]]</f>
        <v>2.610548748002131</v>
      </c>
      <c r="AB144">
        <f>WarehouseData[[#This Row],[stock_level]]*WarehouseData[[#This Row],[unit_price]]</f>
        <v>8473.08</v>
      </c>
      <c r="AC144">
        <f>WarehouseData[[#This Row],[stock_level]]*WarehouseData[[#This Row],[holding_cost_per_unit_day]]*30</f>
        <v>4674.6000000000004</v>
      </c>
      <c r="AD144" t="str">
        <f>IF(WarehouseData[[#This Row],[order_fulfillment_rate]]&gt;=0.9,"Strong",IF(WarehouseData[[#This Row],[order_fulfillment_rate]]&gt;=0.8,"Moderate","Needs Attention"))</f>
        <v>Strong</v>
      </c>
      <c r="AE144" t="str">
        <f>IF(WarehouseData[[#This Row],[picking_time_seconds]]&gt;120,"Slow",IF(WarehouseData[[#This Row],[picking_time_seconds]]&gt;=60,"Average","Fast"))</f>
        <v>Average</v>
      </c>
    </row>
    <row r="145" spans="1:31" x14ac:dyDescent="0.25">
      <c r="A145" t="s">
        <v>257</v>
      </c>
      <c r="B145" t="s">
        <v>32</v>
      </c>
      <c r="C145">
        <v>460</v>
      </c>
      <c r="D145">
        <v>63</v>
      </c>
      <c r="E145">
        <v>10</v>
      </c>
      <c r="F145">
        <v>3</v>
      </c>
      <c r="G145">
        <v>11.06</v>
      </c>
      <c r="H145">
        <v>0.96</v>
      </c>
      <c r="I145">
        <v>0.91</v>
      </c>
      <c r="J145" t="s">
        <v>54</v>
      </c>
      <c r="K145" t="s">
        <v>38</v>
      </c>
      <c r="L145">
        <v>139</v>
      </c>
      <c r="M145">
        <v>4.99</v>
      </c>
      <c r="N145">
        <v>93.84</v>
      </c>
      <c r="O145">
        <v>1.02</v>
      </c>
      <c r="P145">
        <v>0</v>
      </c>
      <c r="Q145">
        <v>0.75</v>
      </c>
      <c r="R145">
        <v>423</v>
      </c>
      <c r="S145">
        <v>9.59</v>
      </c>
      <c r="T145">
        <v>0.25</v>
      </c>
      <c r="U145" s="1">
        <v>45473</v>
      </c>
      <c r="V145">
        <v>247.37</v>
      </c>
      <c r="W145">
        <v>0.626</v>
      </c>
      <c r="X145" t="str">
        <f>IF(WarehouseData[[#This Row],[stock_level]]&lt;=WarehouseData[[#This Row],[reorder_point]],"Low Stock","Sufficient Stock")</f>
        <v>Sufficient Stock</v>
      </c>
      <c r="Y145">
        <f>WarehouseData[[#This Row],[daily_demand]]*WarehouseData[[#This Row],[lead_time_days]]</f>
        <v>33.18</v>
      </c>
      <c r="Z145" t="str">
        <f>IF(WarehouseData[[#This Row],[stock_level]]&lt;=WarehouseData[[#This Row],[Demand During Lead Time]],"At Risk","Safe")</f>
        <v>Safe</v>
      </c>
      <c r="AA145">
        <f>WarehouseData[[#This Row],[stock_level]]/WarehouseData[[#This Row],[daily_demand]]</f>
        <v>41.591320072332728</v>
      </c>
      <c r="AB145">
        <f>WarehouseData[[#This Row],[stock_level]]*WarehouseData[[#This Row],[unit_price]]</f>
        <v>43166.400000000001</v>
      </c>
      <c r="AC145">
        <f>WarehouseData[[#This Row],[stock_level]]*WarehouseData[[#This Row],[holding_cost_per_unit_day]]*30</f>
        <v>14076</v>
      </c>
      <c r="AD145" t="str">
        <f>IF(WarehouseData[[#This Row],[order_fulfillment_rate]]&gt;=0.9,"Strong",IF(WarehouseData[[#This Row],[order_fulfillment_rate]]&gt;=0.8,"Moderate","Needs Attention"))</f>
        <v>Needs Attention</v>
      </c>
      <c r="AE145" t="str">
        <f>IF(WarehouseData[[#This Row],[picking_time_seconds]]&gt;120,"Slow",IF(WarehouseData[[#This Row],[picking_time_seconds]]&gt;=60,"Average","Fast"))</f>
        <v>Slow</v>
      </c>
    </row>
    <row r="146" spans="1:31" x14ac:dyDescent="0.25">
      <c r="A146" t="s">
        <v>258</v>
      </c>
      <c r="B146" t="s">
        <v>32</v>
      </c>
      <c r="C146">
        <v>498</v>
      </c>
      <c r="D146">
        <v>27</v>
      </c>
      <c r="E146">
        <v>14</v>
      </c>
      <c r="F146">
        <v>5</v>
      </c>
      <c r="G146">
        <v>15.35</v>
      </c>
      <c r="H146">
        <v>8.7899999999999991</v>
      </c>
      <c r="I146">
        <v>0.8</v>
      </c>
      <c r="J146" t="s">
        <v>259</v>
      </c>
      <c r="K146" t="s">
        <v>34</v>
      </c>
      <c r="L146">
        <v>128</v>
      </c>
      <c r="M146">
        <v>1.77</v>
      </c>
      <c r="N146">
        <v>103.65</v>
      </c>
      <c r="O146">
        <v>1.46</v>
      </c>
      <c r="P146">
        <v>2</v>
      </c>
      <c r="Q146">
        <v>0.87</v>
      </c>
      <c r="R146">
        <v>602</v>
      </c>
      <c r="S146">
        <v>8.01</v>
      </c>
      <c r="T146">
        <v>0.39</v>
      </c>
      <c r="U146" s="1">
        <v>45428</v>
      </c>
      <c r="V146">
        <v>20.46</v>
      </c>
      <c r="W146">
        <v>0.57299999999999995</v>
      </c>
      <c r="X146" t="str">
        <f>IF(WarehouseData[[#This Row],[stock_level]]&lt;=WarehouseData[[#This Row],[reorder_point]],"Low Stock","Sufficient Stock")</f>
        <v>Sufficient Stock</v>
      </c>
      <c r="Y146">
        <f>WarehouseData[[#This Row],[daily_demand]]*WarehouseData[[#This Row],[lead_time_days]]</f>
        <v>76.75</v>
      </c>
      <c r="Z146" t="str">
        <f>IF(WarehouseData[[#This Row],[stock_level]]&lt;=WarehouseData[[#This Row],[Demand During Lead Time]],"At Risk","Safe")</f>
        <v>Safe</v>
      </c>
      <c r="AA146">
        <f>WarehouseData[[#This Row],[stock_level]]/WarehouseData[[#This Row],[daily_demand]]</f>
        <v>32.442996742671014</v>
      </c>
      <c r="AB146">
        <f>WarehouseData[[#This Row],[stock_level]]*WarehouseData[[#This Row],[unit_price]]</f>
        <v>51617.700000000004</v>
      </c>
      <c r="AC146">
        <f>WarehouseData[[#This Row],[stock_level]]*WarehouseData[[#This Row],[holding_cost_per_unit_day]]*30</f>
        <v>21812.399999999998</v>
      </c>
      <c r="AD146" t="str">
        <f>IF(WarehouseData[[#This Row],[order_fulfillment_rate]]&gt;=0.9,"Strong",IF(WarehouseData[[#This Row],[order_fulfillment_rate]]&gt;=0.8,"Moderate","Needs Attention"))</f>
        <v>Moderate</v>
      </c>
      <c r="AE146" t="str">
        <f>IF(WarehouseData[[#This Row],[picking_time_seconds]]&gt;120,"Slow",IF(WarehouseData[[#This Row],[picking_time_seconds]]&gt;=60,"Average","Fast"))</f>
        <v>Slow</v>
      </c>
    </row>
    <row r="147" spans="1:31" x14ac:dyDescent="0.25">
      <c r="A147" t="s">
        <v>260</v>
      </c>
      <c r="B147" t="s">
        <v>32</v>
      </c>
      <c r="C147">
        <v>260</v>
      </c>
      <c r="D147">
        <v>12</v>
      </c>
      <c r="E147">
        <v>13</v>
      </c>
      <c r="F147">
        <v>6</v>
      </c>
      <c r="G147">
        <v>17.96</v>
      </c>
      <c r="H147">
        <v>4.47</v>
      </c>
      <c r="I147">
        <v>0.88</v>
      </c>
      <c r="J147" t="s">
        <v>234</v>
      </c>
      <c r="K147" t="s">
        <v>52</v>
      </c>
      <c r="L147">
        <v>19</v>
      </c>
      <c r="M147">
        <v>0.88</v>
      </c>
      <c r="N147">
        <v>135.77000000000001</v>
      </c>
      <c r="O147">
        <v>1.1499999999999999</v>
      </c>
      <c r="P147">
        <v>7</v>
      </c>
      <c r="Q147">
        <v>0.95</v>
      </c>
      <c r="R147">
        <v>811</v>
      </c>
      <c r="S147">
        <v>10.95</v>
      </c>
      <c r="T147">
        <v>0.24</v>
      </c>
      <c r="U147" s="1">
        <v>45495</v>
      </c>
      <c r="V147">
        <v>246.68</v>
      </c>
      <c r="W147">
        <v>0.52900000000000003</v>
      </c>
      <c r="X147" t="str">
        <f>IF(WarehouseData[[#This Row],[stock_level]]&lt;=WarehouseData[[#This Row],[reorder_point]],"Low Stock","Sufficient Stock")</f>
        <v>Sufficient Stock</v>
      </c>
      <c r="Y147">
        <f>WarehouseData[[#This Row],[daily_demand]]*WarehouseData[[#This Row],[lead_time_days]]</f>
        <v>107.76</v>
      </c>
      <c r="Z147" t="str">
        <f>IF(WarehouseData[[#This Row],[stock_level]]&lt;=WarehouseData[[#This Row],[Demand During Lead Time]],"At Risk","Safe")</f>
        <v>Safe</v>
      </c>
      <c r="AA147">
        <f>WarehouseData[[#This Row],[stock_level]]/WarehouseData[[#This Row],[daily_demand]]</f>
        <v>14.476614699331847</v>
      </c>
      <c r="AB147">
        <f>WarehouseData[[#This Row],[stock_level]]*WarehouseData[[#This Row],[unit_price]]</f>
        <v>35300.200000000004</v>
      </c>
      <c r="AC147">
        <f>WarehouseData[[#This Row],[stock_level]]*WarehouseData[[#This Row],[holding_cost_per_unit_day]]*30</f>
        <v>8970</v>
      </c>
      <c r="AD147" t="str">
        <f>IF(WarehouseData[[#This Row],[order_fulfillment_rate]]&gt;=0.9,"Strong",IF(WarehouseData[[#This Row],[order_fulfillment_rate]]&gt;=0.8,"Moderate","Needs Attention"))</f>
        <v>Strong</v>
      </c>
      <c r="AE147" t="str">
        <f>IF(WarehouseData[[#This Row],[picking_time_seconds]]&gt;120,"Slow",IF(WarehouseData[[#This Row],[picking_time_seconds]]&gt;=60,"Average","Fast"))</f>
        <v>Fast</v>
      </c>
    </row>
    <row r="148" spans="1:31" x14ac:dyDescent="0.25">
      <c r="A148" t="s">
        <v>261</v>
      </c>
      <c r="B148" t="s">
        <v>32</v>
      </c>
      <c r="C148">
        <v>368</v>
      </c>
      <c r="D148">
        <v>16</v>
      </c>
      <c r="E148">
        <v>9</v>
      </c>
      <c r="F148">
        <v>9</v>
      </c>
      <c r="G148">
        <v>37.590000000000003</v>
      </c>
      <c r="H148">
        <v>5.82</v>
      </c>
      <c r="I148">
        <v>0.28999999999999998</v>
      </c>
      <c r="J148" t="s">
        <v>64</v>
      </c>
      <c r="K148" t="s">
        <v>52</v>
      </c>
      <c r="L148">
        <v>84</v>
      </c>
      <c r="M148">
        <v>3.61</v>
      </c>
      <c r="N148">
        <v>148.09</v>
      </c>
      <c r="O148">
        <v>0.4</v>
      </c>
      <c r="P148">
        <v>3</v>
      </c>
      <c r="Q148">
        <v>0.71</v>
      </c>
      <c r="R148">
        <v>372</v>
      </c>
      <c r="S148">
        <v>5.67</v>
      </c>
      <c r="T148">
        <v>0.43</v>
      </c>
      <c r="U148" s="1">
        <v>45332</v>
      </c>
      <c r="V148">
        <v>49.36</v>
      </c>
      <c r="W148">
        <v>0.60399999999999998</v>
      </c>
      <c r="X148" t="str">
        <f>IF(WarehouseData[[#This Row],[stock_level]]&lt;=WarehouseData[[#This Row],[reorder_point]],"Low Stock","Sufficient Stock")</f>
        <v>Sufficient Stock</v>
      </c>
      <c r="Y148">
        <f>WarehouseData[[#This Row],[daily_demand]]*WarehouseData[[#This Row],[lead_time_days]]</f>
        <v>338.31000000000006</v>
      </c>
      <c r="Z148" t="str">
        <f>IF(WarehouseData[[#This Row],[stock_level]]&lt;=WarehouseData[[#This Row],[Demand During Lead Time]],"At Risk","Safe")</f>
        <v>Safe</v>
      </c>
      <c r="AA148">
        <f>WarehouseData[[#This Row],[stock_level]]/WarehouseData[[#This Row],[daily_demand]]</f>
        <v>9.789837722798616</v>
      </c>
      <c r="AB148">
        <f>WarehouseData[[#This Row],[stock_level]]*WarehouseData[[#This Row],[unit_price]]</f>
        <v>54497.120000000003</v>
      </c>
      <c r="AC148">
        <f>WarehouseData[[#This Row],[stock_level]]*WarehouseData[[#This Row],[holding_cost_per_unit_day]]*30</f>
        <v>4416.0000000000009</v>
      </c>
      <c r="AD148" t="str">
        <f>IF(WarehouseData[[#This Row],[order_fulfillment_rate]]&gt;=0.9,"Strong",IF(WarehouseData[[#This Row],[order_fulfillment_rate]]&gt;=0.8,"Moderate","Needs Attention"))</f>
        <v>Needs Attention</v>
      </c>
      <c r="AE148" t="str">
        <f>IF(WarehouseData[[#This Row],[picking_time_seconds]]&gt;120,"Slow",IF(WarehouseData[[#This Row],[picking_time_seconds]]&gt;=60,"Average","Fast"))</f>
        <v>Average</v>
      </c>
    </row>
    <row r="149" spans="1:31" x14ac:dyDescent="0.25">
      <c r="A149" t="s">
        <v>262</v>
      </c>
      <c r="B149" t="s">
        <v>40</v>
      </c>
      <c r="C149">
        <v>173</v>
      </c>
      <c r="D149">
        <v>52</v>
      </c>
      <c r="E149">
        <v>9</v>
      </c>
      <c r="F149">
        <v>7</v>
      </c>
      <c r="G149">
        <v>42.5</v>
      </c>
      <c r="H149">
        <v>0.71</v>
      </c>
      <c r="I149">
        <v>0.64</v>
      </c>
      <c r="J149" t="s">
        <v>263</v>
      </c>
      <c r="K149" t="s">
        <v>34</v>
      </c>
      <c r="L149">
        <v>99</v>
      </c>
      <c r="M149">
        <v>3.24</v>
      </c>
      <c r="N149">
        <v>157.6</v>
      </c>
      <c r="O149">
        <v>0.22</v>
      </c>
      <c r="P149">
        <v>8</v>
      </c>
      <c r="Q149">
        <v>0.85</v>
      </c>
      <c r="R149">
        <v>138</v>
      </c>
      <c r="S149">
        <v>2.68</v>
      </c>
      <c r="T149">
        <v>0.9</v>
      </c>
      <c r="U149" s="1">
        <v>45483</v>
      </c>
      <c r="V149">
        <v>14.37</v>
      </c>
      <c r="W149">
        <v>0.60399999999999998</v>
      </c>
      <c r="X149" t="str">
        <f>IF(WarehouseData[[#This Row],[stock_level]]&lt;=WarehouseData[[#This Row],[reorder_point]],"Low Stock","Sufficient Stock")</f>
        <v>Sufficient Stock</v>
      </c>
      <c r="Y149">
        <f>WarehouseData[[#This Row],[daily_demand]]*WarehouseData[[#This Row],[lead_time_days]]</f>
        <v>297.5</v>
      </c>
      <c r="Z149" t="str">
        <f>IF(WarehouseData[[#This Row],[stock_level]]&lt;=WarehouseData[[#This Row],[Demand During Lead Time]],"At Risk","Safe")</f>
        <v>At Risk</v>
      </c>
      <c r="AA149">
        <f>WarehouseData[[#This Row],[stock_level]]/WarehouseData[[#This Row],[daily_demand]]</f>
        <v>4.0705882352941174</v>
      </c>
      <c r="AB149">
        <f>WarehouseData[[#This Row],[stock_level]]*WarehouseData[[#This Row],[unit_price]]</f>
        <v>27264.799999999999</v>
      </c>
      <c r="AC149">
        <f>WarehouseData[[#This Row],[stock_level]]*WarehouseData[[#This Row],[holding_cost_per_unit_day]]*30</f>
        <v>1141.8000000000002</v>
      </c>
      <c r="AD149" t="str">
        <f>IF(WarehouseData[[#This Row],[order_fulfillment_rate]]&gt;=0.9,"Strong",IF(WarehouseData[[#This Row],[order_fulfillment_rate]]&gt;=0.8,"Moderate","Needs Attention"))</f>
        <v>Moderate</v>
      </c>
      <c r="AE149" t="str">
        <f>IF(WarehouseData[[#This Row],[picking_time_seconds]]&gt;120,"Slow",IF(WarehouseData[[#This Row],[picking_time_seconds]]&gt;=60,"Average","Fast"))</f>
        <v>Average</v>
      </c>
    </row>
    <row r="150" spans="1:31" x14ac:dyDescent="0.25">
      <c r="A150" t="s">
        <v>264</v>
      </c>
      <c r="B150" t="s">
        <v>48</v>
      </c>
      <c r="C150">
        <v>293</v>
      </c>
      <c r="D150">
        <v>91</v>
      </c>
      <c r="E150">
        <v>13</v>
      </c>
      <c r="F150">
        <v>2</v>
      </c>
      <c r="G150">
        <v>19.440000000000001</v>
      </c>
      <c r="H150">
        <v>9.39</v>
      </c>
      <c r="I150">
        <v>0.18</v>
      </c>
      <c r="J150" t="s">
        <v>265</v>
      </c>
      <c r="K150" t="s">
        <v>52</v>
      </c>
      <c r="L150">
        <v>110</v>
      </c>
      <c r="M150">
        <v>5</v>
      </c>
      <c r="N150">
        <v>137.61000000000001</v>
      </c>
      <c r="O150">
        <v>0.8</v>
      </c>
      <c r="P150">
        <v>5</v>
      </c>
      <c r="Q150">
        <v>0.82</v>
      </c>
      <c r="R150">
        <v>141</v>
      </c>
      <c r="S150">
        <v>3.24</v>
      </c>
      <c r="T150">
        <v>0.93</v>
      </c>
      <c r="U150" s="1">
        <v>45499</v>
      </c>
      <c r="V150">
        <v>182.7</v>
      </c>
      <c r="W150">
        <v>0.61299999999999999</v>
      </c>
      <c r="X150" t="str">
        <f>IF(WarehouseData[[#This Row],[stock_level]]&lt;=WarehouseData[[#This Row],[reorder_point]],"Low Stock","Sufficient Stock")</f>
        <v>Sufficient Stock</v>
      </c>
      <c r="Y150">
        <f>WarehouseData[[#This Row],[daily_demand]]*WarehouseData[[#This Row],[lead_time_days]]</f>
        <v>38.880000000000003</v>
      </c>
      <c r="Z150" t="str">
        <f>IF(WarehouseData[[#This Row],[stock_level]]&lt;=WarehouseData[[#This Row],[Demand During Lead Time]],"At Risk","Safe")</f>
        <v>Safe</v>
      </c>
      <c r="AA150">
        <f>WarehouseData[[#This Row],[stock_level]]/WarehouseData[[#This Row],[daily_demand]]</f>
        <v>15.072016460905349</v>
      </c>
      <c r="AB150">
        <f>WarehouseData[[#This Row],[stock_level]]*WarehouseData[[#This Row],[unit_price]]</f>
        <v>40319.730000000003</v>
      </c>
      <c r="AC150">
        <f>WarehouseData[[#This Row],[stock_level]]*WarehouseData[[#This Row],[holding_cost_per_unit_day]]*30</f>
        <v>7032</v>
      </c>
      <c r="AD150" t="str">
        <f>IF(WarehouseData[[#This Row],[order_fulfillment_rate]]&gt;=0.9,"Strong",IF(WarehouseData[[#This Row],[order_fulfillment_rate]]&gt;=0.8,"Moderate","Needs Attention"))</f>
        <v>Moderate</v>
      </c>
      <c r="AE150" t="str">
        <f>IF(WarehouseData[[#This Row],[picking_time_seconds]]&gt;120,"Slow",IF(WarehouseData[[#This Row],[picking_time_seconds]]&gt;=60,"Average","Fast"))</f>
        <v>Average</v>
      </c>
    </row>
    <row r="151" spans="1:31" x14ac:dyDescent="0.25">
      <c r="A151" t="s">
        <v>266</v>
      </c>
      <c r="B151" t="s">
        <v>32</v>
      </c>
      <c r="C151">
        <v>115</v>
      </c>
      <c r="D151">
        <v>47</v>
      </c>
      <c r="E151">
        <v>12</v>
      </c>
      <c r="F151">
        <v>7</v>
      </c>
      <c r="G151">
        <v>15.53</v>
      </c>
      <c r="H151">
        <v>9.08</v>
      </c>
      <c r="I151">
        <v>0.28000000000000003</v>
      </c>
      <c r="J151" t="s">
        <v>37</v>
      </c>
      <c r="K151" t="s">
        <v>38</v>
      </c>
      <c r="L151">
        <v>163</v>
      </c>
      <c r="M151">
        <v>4.1100000000000003</v>
      </c>
      <c r="N151">
        <v>162.66</v>
      </c>
      <c r="O151">
        <v>1.87</v>
      </c>
      <c r="P151">
        <v>9</v>
      </c>
      <c r="Q151">
        <v>0.76</v>
      </c>
      <c r="R151">
        <v>426</v>
      </c>
      <c r="S151">
        <v>12.16</v>
      </c>
      <c r="T151">
        <v>0.45</v>
      </c>
      <c r="U151" s="1">
        <v>45527</v>
      </c>
      <c r="V151">
        <v>85.01</v>
      </c>
      <c r="W151">
        <v>0.437</v>
      </c>
      <c r="X151" t="str">
        <f>IF(WarehouseData[[#This Row],[stock_level]]&lt;=WarehouseData[[#This Row],[reorder_point]],"Low Stock","Sufficient Stock")</f>
        <v>Sufficient Stock</v>
      </c>
      <c r="Y151">
        <f>WarehouseData[[#This Row],[daily_demand]]*WarehouseData[[#This Row],[lead_time_days]]</f>
        <v>108.71</v>
      </c>
      <c r="Z151" t="str">
        <f>IF(WarehouseData[[#This Row],[stock_level]]&lt;=WarehouseData[[#This Row],[Demand During Lead Time]],"At Risk","Safe")</f>
        <v>Safe</v>
      </c>
      <c r="AA151">
        <f>WarehouseData[[#This Row],[stock_level]]/WarehouseData[[#This Row],[daily_demand]]</f>
        <v>7.405022537025113</v>
      </c>
      <c r="AB151">
        <f>WarehouseData[[#This Row],[stock_level]]*WarehouseData[[#This Row],[unit_price]]</f>
        <v>18705.899999999998</v>
      </c>
      <c r="AC151">
        <f>WarehouseData[[#This Row],[stock_level]]*WarehouseData[[#This Row],[holding_cost_per_unit_day]]*30</f>
        <v>6451.5</v>
      </c>
      <c r="AD151" t="str">
        <f>IF(WarehouseData[[#This Row],[order_fulfillment_rate]]&gt;=0.9,"Strong",IF(WarehouseData[[#This Row],[order_fulfillment_rate]]&gt;=0.8,"Moderate","Needs Attention"))</f>
        <v>Needs Attention</v>
      </c>
      <c r="AE151" t="str">
        <f>IF(WarehouseData[[#This Row],[picking_time_seconds]]&gt;120,"Slow",IF(WarehouseData[[#This Row],[picking_time_seconds]]&gt;=60,"Average","Fast"))</f>
        <v>Slow</v>
      </c>
    </row>
    <row r="152" spans="1:31" x14ac:dyDescent="0.25">
      <c r="A152" t="s">
        <v>267</v>
      </c>
      <c r="B152" t="s">
        <v>73</v>
      </c>
      <c r="C152">
        <v>233</v>
      </c>
      <c r="D152">
        <v>46</v>
      </c>
      <c r="E152">
        <v>11</v>
      </c>
      <c r="F152">
        <v>5</v>
      </c>
      <c r="G152">
        <v>44.58</v>
      </c>
      <c r="H152">
        <v>5.66</v>
      </c>
      <c r="I152">
        <v>0.38</v>
      </c>
      <c r="J152" t="s">
        <v>113</v>
      </c>
      <c r="K152" t="s">
        <v>46</v>
      </c>
      <c r="L152">
        <v>141</v>
      </c>
      <c r="M152">
        <v>2.4300000000000002</v>
      </c>
      <c r="N152">
        <v>33.21</v>
      </c>
      <c r="O152">
        <v>1.1100000000000001</v>
      </c>
      <c r="P152">
        <v>3</v>
      </c>
      <c r="Q152">
        <v>0.81</v>
      </c>
      <c r="R152">
        <v>130</v>
      </c>
      <c r="S152">
        <v>2.37</v>
      </c>
      <c r="T152">
        <v>0.35</v>
      </c>
      <c r="U152" s="1">
        <v>45581</v>
      </c>
      <c r="V152">
        <v>215.69</v>
      </c>
      <c r="W152">
        <v>0.49299999999999999</v>
      </c>
      <c r="X152" t="str">
        <f>IF(WarehouseData[[#This Row],[stock_level]]&lt;=WarehouseData[[#This Row],[reorder_point]],"Low Stock","Sufficient Stock")</f>
        <v>Sufficient Stock</v>
      </c>
      <c r="Y152">
        <f>WarehouseData[[#This Row],[daily_demand]]*WarehouseData[[#This Row],[lead_time_days]]</f>
        <v>222.89999999999998</v>
      </c>
      <c r="Z152" t="str">
        <f>IF(WarehouseData[[#This Row],[stock_level]]&lt;=WarehouseData[[#This Row],[Demand During Lead Time]],"At Risk","Safe")</f>
        <v>Safe</v>
      </c>
      <c r="AA152">
        <f>WarehouseData[[#This Row],[stock_level]]/WarehouseData[[#This Row],[daily_demand]]</f>
        <v>5.2265589950650515</v>
      </c>
      <c r="AB152">
        <f>WarehouseData[[#This Row],[stock_level]]*WarehouseData[[#This Row],[unit_price]]</f>
        <v>7737.93</v>
      </c>
      <c r="AC152">
        <f>WarehouseData[[#This Row],[stock_level]]*WarehouseData[[#This Row],[holding_cost_per_unit_day]]*30</f>
        <v>7758.9</v>
      </c>
      <c r="AD152" t="str">
        <f>IF(WarehouseData[[#This Row],[order_fulfillment_rate]]&gt;=0.9,"Strong",IF(WarehouseData[[#This Row],[order_fulfillment_rate]]&gt;=0.8,"Moderate","Needs Attention"))</f>
        <v>Moderate</v>
      </c>
      <c r="AE152" t="str">
        <f>IF(WarehouseData[[#This Row],[picking_time_seconds]]&gt;120,"Slow",IF(WarehouseData[[#This Row],[picking_time_seconds]]&gt;=60,"Average","Fast"))</f>
        <v>Slow</v>
      </c>
    </row>
    <row r="153" spans="1:31" x14ac:dyDescent="0.25">
      <c r="A153" t="s">
        <v>268</v>
      </c>
      <c r="B153" t="s">
        <v>73</v>
      </c>
      <c r="C153">
        <v>313</v>
      </c>
      <c r="D153">
        <v>67</v>
      </c>
      <c r="E153">
        <v>7</v>
      </c>
      <c r="F153">
        <v>4</v>
      </c>
      <c r="G153">
        <v>49.97</v>
      </c>
      <c r="H153">
        <v>5.98</v>
      </c>
      <c r="I153">
        <v>0.77</v>
      </c>
      <c r="J153" t="s">
        <v>148</v>
      </c>
      <c r="K153" t="s">
        <v>38</v>
      </c>
      <c r="L153">
        <v>37</v>
      </c>
      <c r="M153">
        <v>3.54</v>
      </c>
      <c r="N153">
        <v>169</v>
      </c>
      <c r="O153">
        <v>1.62</v>
      </c>
      <c r="P153">
        <v>3</v>
      </c>
      <c r="Q153">
        <v>1</v>
      </c>
      <c r="R153">
        <v>691</v>
      </c>
      <c r="S153">
        <v>12.17</v>
      </c>
      <c r="T153">
        <v>0.31</v>
      </c>
      <c r="U153" s="1">
        <v>45416</v>
      </c>
      <c r="V153">
        <v>146.24</v>
      </c>
      <c r="W153">
        <v>0.60199999999999998</v>
      </c>
      <c r="X153" t="str">
        <f>IF(WarehouseData[[#This Row],[stock_level]]&lt;=WarehouseData[[#This Row],[reorder_point]],"Low Stock","Sufficient Stock")</f>
        <v>Sufficient Stock</v>
      </c>
      <c r="Y153">
        <f>WarehouseData[[#This Row],[daily_demand]]*WarehouseData[[#This Row],[lead_time_days]]</f>
        <v>199.88</v>
      </c>
      <c r="Z153" t="str">
        <f>IF(WarehouseData[[#This Row],[stock_level]]&lt;=WarehouseData[[#This Row],[Demand During Lead Time]],"At Risk","Safe")</f>
        <v>Safe</v>
      </c>
      <c r="AA153">
        <f>WarehouseData[[#This Row],[stock_level]]/WarehouseData[[#This Row],[daily_demand]]</f>
        <v>6.2637582549529718</v>
      </c>
      <c r="AB153">
        <f>WarehouseData[[#This Row],[stock_level]]*WarehouseData[[#This Row],[unit_price]]</f>
        <v>52897</v>
      </c>
      <c r="AC153">
        <f>WarehouseData[[#This Row],[stock_level]]*WarehouseData[[#This Row],[holding_cost_per_unit_day]]*30</f>
        <v>15211.800000000001</v>
      </c>
      <c r="AD153" t="str">
        <f>IF(WarehouseData[[#This Row],[order_fulfillment_rate]]&gt;=0.9,"Strong",IF(WarehouseData[[#This Row],[order_fulfillment_rate]]&gt;=0.8,"Moderate","Needs Attention"))</f>
        <v>Strong</v>
      </c>
      <c r="AE153" t="str">
        <f>IF(WarehouseData[[#This Row],[picking_time_seconds]]&gt;120,"Slow",IF(WarehouseData[[#This Row],[picking_time_seconds]]&gt;=60,"Average","Fast"))</f>
        <v>Fast</v>
      </c>
    </row>
    <row r="154" spans="1:31" x14ac:dyDescent="0.25">
      <c r="A154" t="s">
        <v>269</v>
      </c>
      <c r="B154" t="s">
        <v>73</v>
      </c>
      <c r="C154">
        <v>228</v>
      </c>
      <c r="D154">
        <v>42</v>
      </c>
      <c r="E154">
        <v>8</v>
      </c>
      <c r="F154">
        <v>7</v>
      </c>
      <c r="G154">
        <v>33.85</v>
      </c>
      <c r="H154">
        <v>7.2</v>
      </c>
      <c r="I154">
        <v>0.12</v>
      </c>
      <c r="J154" t="s">
        <v>106</v>
      </c>
      <c r="K154" t="s">
        <v>46</v>
      </c>
      <c r="L154">
        <v>139</v>
      </c>
      <c r="M154">
        <v>4.18</v>
      </c>
      <c r="N154">
        <v>83.58</v>
      </c>
      <c r="O154">
        <v>1.19</v>
      </c>
      <c r="P154">
        <v>9</v>
      </c>
      <c r="Q154">
        <v>0.92</v>
      </c>
      <c r="R154">
        <v>652</v>
      </c>
      <c r="S154">
        <v>3.98</v>
      </c>
      <c r="T154">
        <v>0.52</v>
      </c>
      <c r="U154" s="1">
        <v>45648</v>
      </c>
      <c r="V154">
        <v>185.6</v>
      </c>
      <c r="W154">
        <v>0.442</v>
      </c>
      <c r="X154" t="str">
        <f>IF(WarehouseData[[#This Row],[stock_level]]&lt;=WarehouseData[[#This Row],[reorder_point]],"Low Stock","Sufficient Stock")</f>
        <v>Sufficient Stock</v>
      </c>
      <c r="Y154">
        <f>WarehouseData[[#This Row],[daily_demand]]*WarehouseData[[#This Row],[lead_time_days]]</f>
        <v>236.95000000000002</v>
      </c>
      <c r="Z154" t="str">
        <f>IF(WarehouseData[[#This Row],[stock_level]]&lt;=WarehouseData[[#This Row],[Demand During Lead Time]],"At Risk","Safe")</f>
        <v>At Risk</v>
      </c>
      <c r="AA154">
        <f>WarehouseData[[#This Row],[stock_level]]/WarehouseData[[#This Row],[daily_demand]]</f>
        <v>6.7355982274741502</v>
      </c>
      <c r="AB154">
        <f>WarehouseData[[#This Row],[stock_level]]*WarehouseData[[#This Row],[unit_price]]</f>
        <v>19056.239999999998</v>
      </c>
      <c r="AC154">
        <f>WarehouseData[[#This Row],[stock_level]]*WarehouseData[[#This Row],[holding_cost_per_unit_day]]*30</f>
        <v>8139.5999999999995</v>
      </c>
      <c r="AD154" t="str">
        <f>IF(WarehouseData[[#This Row],[order_fulfillment_rate]]&gt;=0.9,"Strong",IF(WarehouseData[[#This Row],[order_fulfillment_rate]]&gt;=0.8,"Moderate","Needs Attention"))</f>
        <v>Strong</v>
      </c>
      <c r="AE154" t="str">
        <f>IF(WarehouseData[[#This Row],[picking_time_seconds]]&gt;120,"Slow",IF(WarehouseData[[#This Row],[picking_time_seconds]]&gt;=60,"Average","Fast"))</f>
        <v>Slow</v>
      </c>
    </row>
    <row r="155" spans="1:31" x14ac:dyDescent="0.25">
      <c r="A155" t="s">
        <v>270</v>
      </c>
      <c r="B155" t="s">
        <v>73</v>
      </c>
      <c r="C155">
        <v>362</v>
      </c>
      <c r="D155">
        <v>68</v>
      </c>
      <c r="E155">
        <v>3</v>
      </c>
      <c r="F155">
        <v>3</v>
      </c>
      <c r="G155">
        <v>49.51</v>
      </c>
      <c r="H155">
        <v>3.01</v>
      </c>
      <c r="I155">
        <v>0.91</v>
      </c>
      <c r="J155" t="s">
        <v>188</v>
      </c>
      <c r="K155" t="s">
        <v>46</v>
      </c>
      <c r="L155">
        <v>75</v>
      </c>
      <c r="M155">
        <v>2.81</v>
      </c>
      <c r="N155">
        <v>110.47</v>
      </c>
      <c r="O155">
        <v>1.92</v>
      </c>
      <c r="P155">
        <v>4</v>
      </c>
      <c r="Q155">
        <v>0.79</v>
      </c>
      <c r="R155">
        <v>149</v>
      </c>
      <c r="S155">
        <v>10.5</v>
      </c>
      <c r="T155">
        <v>0.86</v>
      </c>
      <c r="U155" s="1">
        <v>45407</v>
      </c>
      <c r="V155">
        <v>210.01</v>
      </c>
      <c r="W155">
        <v>0.59799999999999998</v>
      </c>
      <c r="X155" t="str">
        <f>IF(WarehouseData[[#This Row],[stock_level]]&lt;=WarehouseData[[#This Row],[reorder_point]],"Low Stock","Sufficient Stock")</f>
        <v>Sufficient Stock</v>
      </c>
      <c r="Y155">
        <f>WarehouseData[[#This Row],[daily_demand]]*WarehouseData[[#This Row],[lead_time_days]]</f>
        <v>148.53</v>
      </c>
      <c r="Z155" t="str">
        <f>IF(WarehouseData[[#This Row],[stock_level]]&lt;=WarehouseData[[#This Row],[Demand During Lead Time]],"At Risk","Safe")</f>
        <v>Safe</v>
      </c>
      <c r="AA155">
        <f>WarehouseData[[#This Row],[stock_level]]/WarehouseData[[#This Row],[daily_demand]]</f>
        <v>7.3116542112704508</v>
      </c>
      <c r="AB155">
        <f>WarehouseData[[#This Row],[stock_level]]*WarehouseData[[#This Row],[unit_price]]</f>
        <v>39990.14</v>
      </c>
      <c r="AC155">
        <f>WarehouseData[[#This Row],[stock_level]]*WarehouseData[[#This Row],[holding_cost_per_unit_day]]*30</f>
        <v>20851.199999999997</v>
      </c>
      <c r="AD155" t="str">
        <f>IF(WarehouseData[[#This Row],[order_fulfillment_rate]]&gt;=0.9,"Strong",IF(WarehouseData[[#This Row],[order_fulfillment_rate]]&gt;=0.8,"Moderate","Needs Attention"))</f>
        <v>Needs Attention</v>
      </c>
      <c r="AE155" t="str">
        <f>IF(WarehouseData[[#This Row],[picking_time_seconds]]&gt;120,"Slow",IF(WarehouseData[[#This Row],[picking_time_seconds]]&gt;=60,"Average","Fast"))</f>
        <v>Average</v>
      </c>
    </row>
    <row r="156" spans="1:31" x14ac:dyDescent="0.25">
      <c r="A156" t="s">
        <v>271</v>
      </c>
      <c r="B156" t="s">
        <v>40</v>
      </c>
      <c r="C156">
        <v>107</v>
      </c>
      <c r="D156">
        <v>20</v>
      </c>
      <c r="E156">
        <v>8</v>
      </c>
      <c r="F156">
        <v>4</v>
      </c>
      <c r="G156">
        <v>33.340000000000003</v>
      </c>
      <c r="H156">
        <v>2.61</v>
      </c>
      <c r="I156">
        <v>0.16</v>
      </c>
      <c r="J156" t="s">
        <v>68</v>
      </c>
      <c r="K156" t="s">
        <v>34</v>
      </c>
      <c r="L156">
        <v>153</v>
      </c>
      <c r="M156">
        <v>1.73</v>
      </c>
      <c r="N156">
        <v>92.42</v>
      </c>
      <c r="O156">
        <v>0.8</v>
      </c>
      <c r="P156">
        <v>6</v>
      </c>
      <c r="Q156">
        <v>0.88</v>
      </c>
      <c r="R156">
        <v>639</v>
      </c>
      <c r="S156">
        <v>9.7200000000000006</v>
      </c>
      <c r="T156">
        <v>0.88</v>
      </c>
      <c r="U156" s="1">
        <v>45445</v>
      </c>
      <c r="V156">
        <v>278.81</v>
      </c>
      <c r="W156">
        <v>0.68200000000000005</v>
      </c>
      <c r="X156" t="str">
        <f>IF(WarehouseData[[#This Row],[stock_level]]&lt;=WarehouseData[[#This Row],[reorder_point]],"Low Stock","Sufficient Stock")</f>
        <v>Sufficient Stock</v>
      </c>
      <c r="Y156">
        <f>WarehouseData[[#This Row],[daily_demand]]*WarehouseData[[#This Row],[lead_time_days]]</f>
        <v>133.36000000000001</v>
      </c>
      <c r="Z156" t="str">
        <f>IF(WarehouseData[[#This Row],[stock_level]]&lt;=WarehouseData[[#This Row],[Demand During Lead Time]],"At Risk","Safe")</f>
        <v>At Risk</v>
      </c>
      <c r="AA156">
        <f>WarehouseData[[#This Row],[stock_level]]/WarehouseData[[#This Row],[daily_demand]]</f>
        <v>3.2093581283743249</v>
      </c>
      <c r="AB156">
        <f>WarehouseData[[#This Row],[stock_level]]*WarehouseData[[#This Row],[unit_price]]</f>
        <v>9888.94</v>
      </c>
      <c r="AC156">
        <f>WarehouseData[[#This Row],[stock_level]]*WarehouseData[[#This Row],[holding_cost_per_unit_day]]*30</f>
        <v>2568.0000000000005</v>
      </c>
      <c r="AD156" t="str">
        <f>IF(WarehouseData[[#This Row],[order_fulfillment_rate]]&gt;=0.9,"Strong",IF(WarehouseData[[#This Row],[order_fulfillment_rate]]&gt;=0.8,"Moderate","Needs Attention"))</f>
        <v>Moderate</v>
      </c>
      <c r="AE156" t="str">
        <f>IF(WarehouseData[[#This Row],[picking_time_seconds]]&gt;120,"Slow",IF(WarehouseData[[#This Row],[picking_time_seconds]]&gt;=60,"Average","Fast"))</f>
        <v>Slow</v>
      </c>
    </row>
    <row r="157" spans="1:31" x14ac:dyDescent="0.25">
      <c r="A157" t="s">
        <v>272</v>
      </c>
      <c r="B157" t="s">
        <v>73</v>
      </c>
      <c r="C157">
        <v>325</v>
      </c>
      <c r="D157">
        <v>77</v>
      </c>
      <c r="E157">
        <v>4</v>
      </c>
      <c r="F157">
        <v>5</v>
      </c>
      <c r="G157">
        <v>36.94</v>
      </c>
      <c r="H157">
        <v>6.9</v>
      </c>
      <c r="I157">
        <v>0.44</v>
      </c>
      <c r="J157" t="s">
        <v>273</v>
      </c>
      <c r="K157" t="s">
        <v>52</v>
      </c>
      <c r="L157">
        <v>133</v>
      </c>
      <c r="M157">
        <v>1.45</v>
      </c>
      <c r="N157">
        <v>100.39</v>
      </c>
      <c r="O157">
        <v>0.21</v>
      </c>
      <c r="P157">
        <v>6</v>
      </c>
      <c r="Q157">
        <v>0.77</v>
      </c>
      <c r="R157">
        <v>604</v>
      </c>
      <c r="S157">
        <v>2.38</v>
      </c>
      <c r="T157">
        <v>0.24</v>
      </c>
      <c r="U157" s="1">
        <v>45642</v>
      </c>
      <c r="V157">
        <v>248.7</v>
      </c>
      <c r="W157">
        <v>0.49299999999999999</v>
      </c>
      <c r="X157" t="str">
        <f>IF(WarehouseData[[#This Row],[stock_level]]&lt;=WarehouseData[[#This Row],[reorder_point]],"Low Stock","Sufficient Stock")</f>
        <v>Sufficient Stock</v>
      </c>
      <c r="Y157">
        <f>WarehouseData[[#This Row],[daily_demand]]*WarehouseData[[#This Row],[lead_time_days]]</f>
        <v>184.7</v>
      </c>
      <c r="Z157" t="str">
        <f>IF(WarehouseData[[#This Row],[stock_level]]&lt;=WarehouseData[[#This Row],[Demand During Lead Time]],"At Risk","Safe")</f>
        <v>Safe</v>
      </c>
      <c r="AA157">
        <f>WarehouseData[[#This Row],[stock_level]]/WarehouseData[[#This Row],[daily_demand]]</f>
        <v>8.7980508933405535</v>
      </c>
      <c r="AB157">
        <f>WarehouseData[[#This Row],[stock_level]]*WarehouseData[[#This Row],[unit_price]]</f>
        <v>32626.75</v>
      </c>
      <c r="AC157">
        <f>WarehouseData[[#This Row],[stock_level]]*WarehouseData[[#This Row],[holding_cost_per_unit_day]]*30</f>
        <v>2047.5</v>
      </c>
      <c r="AD157" t="str">
        <f>IF(WarehouseData[[#This Row],[order_fulfillment_rate]]&gt;=0.9,"Strong",IF(WarehouseData[[#This Row],[order_fulfillment_rate]]&gt;=0.8,"Moderate","Needs Attention"))</f>
        <v>Needs Attention</v>
      </c>
      <c r="AE157" t="str">
        <f>IF(WarehouseData[[#This Row],[picking_time_seconds]]&gt;120,"Slow",IF(WarehouseData[[#This Row],[picking_time_seconds]]&gt;=60,"Average","Fast"))</f>
        <v>Slow</v>
      </c>
    </row>
    <row r="158" spans="1:31" x14ac:dyDescent="0.25">
      <c r="A158" t="s">
        <v>274</v>
      </c>
      <c r="B158" t="s">
        <v>32</v>
      </c>
      <c r="C158">
        <v>283</v>
      </c>
      <c r="D158">
        <v>91</v>
      </c>
      <c r="E158">
        <v>8</v>
      </c>
      <c r="F158">
        <v>7</v>
      </c>
      <c r="G158">
        <v>20.04</v>
      </c>
      <c r="H158">
        <v>1.49</v>
      </c>
      <c r="I158">
        <v>0.17</v>
      </c>
      <c r="J158" t="s">
        <v>160</v>
      </c>
      <c r="K158" t="s">
        <v>46</v>
      </c>
      <c r="L158">
        <v>66</v>
      </c>
      <c r="M158">
        <v>1.83</v>
      </c>
      <c r="N158">
        <v>64.23</v>
      </c>
      <c r="O158">
        <v>1.58</v>
      </c>
      <c r="P158">
        <v>9</v>
      </c>
      <c r="Q158">
        <v>0.88</v>
      </c>
      <c r="R158">
        <v>172</v>
      </c>
      <c r="S158">
        <v>10.32</v>
      </c>
      <c r="T158">
        <v>0.37</v>
      </c>
      <c r="U158" s="1">
        <v>45333</v>
      </c>
      <c r="V158">
        <v>153.58000000000001</v>
      </c>
      <c r="W158">
        <v>0.45</v>
      </c>
      <c r="X158" t="str">
        <f>IF(WarehouseData[[#This Row],[stock_level]]&lt;=WarehouseData[[#This Row],[reorder_point]],"Low Stock","Sufficient Stock")</f>
        <v>Sufficient Stock</v>
      </c>
      <c r="Y158">
        <f>WarehouseData[[#This Row],[daily_demand]]*WarehouseData[[#This Row],[lead_time_days]]</f>
        <v>140.28</v>
      </c>
      <c r="Z158" t="str">
        <f>IF(WarehouseData[[#This Row],[stock_level]]&lt;=WarehouseData[[#This Row],[Demand During Lead Time]],"At Risk","Safe")</f>
        <v>Safe</v>
      </c>
      <c r="AA158">
        <f>WarehouseData[[#This Row],[stock_level]]/WarehouseData[[#This Row],[daily_demand]]</f>
        <v>14.121756487025948</v>
      </c>
      <c r="AB158">
        <f>WarehouseData[[#This Row],[stock_level]]*WarehouseData[[#This Row],[unit_price]]</f>
        <v>18177.09</v>
      </c>
      <c r="AC158">
        <f>WarehouseData[[#This Row],[stock_level]]*WarehouseData[[#This Row],[holding_cost_per_unit_day]]*30</f>
        <v>13414.2</v>
      </c>
      <c r="AD158" t="str">
        <f>IF(WarehouseData[[#This Row],[order_fulfillment_rate]]&gt;=0.9,"Strong",IF(WarehouseData[[#This Row],[order_fulfillment_rate]]&gt;=0.8,"Moderate","Needs Attention"))</f>
        <v>Moderate</v>
      </c>
      <c r="AE158" t="str">
        <f>IF(WarehouseData[[#This Row],[picking_time_seconds]]&gt;120,"Slow",IF(WarehouseData[[#This Row],[picking_time_seconds]]&gt;=60,"Average","Fast"))</f>
        <v>Average</v>
      </c>
    </row>
    <row r="159" spans="1:31" x14ac:dyDescent="0.25">
      <c r="A159" t="s">
        <v>275</v>
      </c>
      <c r="B159" t="s">
        <v>36</v>
      </c>
      <c r="C159">
        <v>444</v>
      </c>
      <c r="D159">
        <v>77</v>
      </c>
      <c r="E159">
        <v>11</v>
      </c>
      <c r="F159">
        <v>9</v>
      </c>
      <c r="G159">
        <v>22.22</v>
      </c>
      <c r="H159">
        <v>4.8099999999999996</v>
      </c>
      <c r="I159">
        <v>0.79</v>
      </c>
      <c r="J159" t="s">
        <v>276</v>
      </c>
      <c r="K159" t="s">
        <v>34</v>
      </c>
      <c r="L159">
        <v>160</v>
      </c>
      <c r="M159">
        <v>4.32</v>
      </c>
      <c r="N159">
        <v>42.29</v>
      </c>
      <c r="O159">
        <v>1.44</v>
      </c>
      <c r="P159">
        <v>6</v>
      </c>
      <c r="Q159">
        <v>0.97</v>
      </c>
      <c r="R159">
        <v>849</v>
      </c>
      <c r="S159">
        <v>7.27</v>
      </c>
      <c r="T159">
        <v>0.36</v>
      </c>
      <c r="U159" s="1">
        <v>45626</v>
      </c>
      <c r="V159">
        <v>137.02000000000001</v>
      </c>
      <c r="W159">
        <v>0.499</v>
      </c>
      <c r="X159" t="str">
        <f>IF(WarehouseData[[#This Row],[stock_level]]&lt;=WarehouseData[[#This Row],[reorder_point]],"Low Stock","Sufficient Stock")</f>
        <v>Sufficient Stock</v>
      </c>
      <c r="Y159">
        <f>WarehouseData[[#This Row],[daily_demand]]*WarehouseData[[#This Row],[lead_time_days]]</f>
        <v>199.98</v>
      </c>
      <c r="Z159" t="str">
        <f>IF(WarehouseData[[#This Row],[stock_level]]&lt;=WarehouseData[[#This Row],[Demand During Lead Time]],"At Risk","Safe")</f>
        <v>Safe</v>
      </c>
      <c r="AA159">
        <f>WarehouseData[[#This Row],[stock_level]]/WarehouseData[[#This Row],[daily_demand]]</f>
        <v>19.981998199819984</v>
      </c>
      <c r="AB159">
        <f>WarehouseData[[#This Row],[stock_level]]*WarehouseData[[#This Row],[unit_price]]</f>
        <v>18776.759999999998</v>
      </c>
      <c r="AC159">
        <f>WarehouseData[[#This Row],[stock_level]]*WarehouseData[[#This Row],[holding_cost_per_unit_day]]*30</f>
        <v>19180.8</v>
      </c>
      <c r="AD159" t="str">
        <f>IF(WarehouseData[[#This Row],[order_fulfillment_rate]]&gt;=0.9,"Strong",IF(WarehouseData[[#This Row],[order_fulfillment_rate]]&gt;=0.8,"Moderate","Needs Attention"))</f>
        <v>Strong</v>
      </c>
      <c r="AE159" t="str">
        <f>IF(WarehouseData[[#This Row],[picking_time_seconds]]&gt;120,"Slow",IF(WarehouseData[[#This Row],[picking_time_seconds]]&gt;=60,"Average","Fast"))</f>
        <v>Slow</v>
      </c>
    </row>
    <row r="160" spans="1:31" x14ac:dyDescent="0.25">
      <c r="A160" t="s">
        <v>277</v>
      </c>
      <c r="B160" t="s">
        <v>73</v>
      </c>
      <c r="C160">
        <v>409</v>
      </c>
      <c r="D160">
        <v>97</v>
      </c>
      <c r="E160">
        <v>10</v>
      </c>
      <c r="F160">
        <v>8</v>
      </c>
      <c r="G160">
        <v>8.06</v>
      </c>
      <c r="H160">
        <v>5.18</v>
      </c>
      <c r="I160">
        <v>0.23</v>
      </c>
      <c r="J160" t="s">
        <v>120</v>
      </c>
      <c r="K160" t="s">
        <v>52</v>
      </c>
      <c r="L160">
        <v>160</v>
      </c>
      <c r="M160">
        <v>2.21</v>
      </c>
      <c r="N160">
        <v>29.93</v>
      </c>
      <c r="O160">
        <v>1.1000000000000001</v>
      </c>
      <c r="P160">
        <v>4</v>
      </c>
      <c r="Q160">
        <v>0.87</v>
      </c>
      <c r="R160">
        <v>445</v>
      </c>
      <c r="S160">
        <v>10.9</v>
      </c>
      <c r="T160">
        <v>0.86</v>
      </c>
      <c r="U160" s="1">
        <v>45624</v>
      </c>
      <c r="V160">
        <v>199.86</v>
      </c>
      <c r="W160">
        <v>0.70099999999999996</v>
      </c>
      <c r="X160" t="str">
        <f>IF(WarehouseData[[#This Row],[stock_level]]&lt;=WarehouseData[[#This Row],[reorder_point]],"Low Stock","Sufficient Stock")</f>
        <v>Sufficient Stock</v>
      </c>
      <c r="Y160">
        <f>WarehouseData[[#This Row],[daily_demand]]*WarehouseData[[#This Row],[lead_time_days]]</f>
        <v>64.48</v>
      </c>
      <c r="Z160" t="str">
        <f>IF(WarehouseData[[#This Row],[stock_level]]&lt;=WarehouseData[[#This Row],[Demand During Lead Time]],"At Risk","Safe")</f>
        <v>Safe</v>
      </c>
      <c r="AA160">
        <f>WarehouseData[[#This Row],[stock_level]]/WarehouseData[[#This Row],[daily_demand]]</f>
        <v>50.744416873449126</v>
      </c>
      <c r="AB160">
        <f>WarehouseData[[#This Row],[stock_level]]*WarehouseData[[#This Row],[unit_price]]</f>
        <v>12241.369999999999</v>
      </c>
      <c r="AC160">
        <f>WarehouseData[[#This Row],[stock_level]]*WarehouseData[[#This Row],[holding_cost_per_unit_day]]*30</f>
        <v>13497.000000000002</v>
      </c>
      <c r="AD160" t="str">
        <f>IF(WarehouseData[[#This Row],[order_fulfillment_rate]]&gt;=0.9,"Strong",IF(WarehouseData[[#This Row],[order_fulfillment_rate]]&gt;=0.8,"Moderate","Needs Attention"))</f>
        <v>Moderate</v>
      </c>
      <c r="AE160" t="str">
        <f>IF(WarehouseData[[#This Row],[picking_time_seconds]]&gt;120,"Slow",IF(WarehouseData[[#This Row],[picking_time_seconds]]&gt;=60,"Average","Fast"))</f>
        <v>Slow</v>
      </c>
    </row>
    <row r="161" spans="1:31" x14ac:dyDescent="0.25">
      <c r="A161" t="s">
        <v>278</v>
      </c>
      <c r="B161" t="s">
        <v>40</v>
      </c>
      <c r="C161">
        <v>344</v>
      </c>
      <c r="D161">
        <v>31</v>
      </c>
      <c r="E161">
        <v>11</v>
      </c>
      <c r="F161">
        <v>2</v>
      </c>
      <c r="G161">
        <v>41.31</v>
      </c>
      <c r="H161">
        <v>4.12</v>
      </c>
      <c r="I161">
        <v>0.9</v>
      </c>
      <c r="J161" t="s">
        <v>273</v>
      </c>
      <c r="K161" t="s">
        <v>52</v>
      </c>
      <c r="L161">
        <v>30</v>
      </c>
      <c r="M161">
        <v>1.79</v>
      </c>
      <c r="N161">
        <v>95.77</v>
      </c>
      <c r="O161">
        <v>0.72</v>
      </c>
      <c r="P161">
        <v>8</v>
      </c>
      <c r="Q161">
        <v>0.92</v>
      </c>
      <c r="R161">
        <v>72</v>
      </c>
      <c r="S161">
        <v>12.7</v>
      </c>
      <c r="T161">
        <v>0.56999999999999995</v>
      </c>
      <c r="U161" s="1">
        <v>45308</v>
      </c>
      <c r="V161">
        <v>222.72</v>
      </c>
      <c r="W161">
        <v>0.63500000000000001</v>
      </c>
      <c r="X161" t="str">
        <f>IF(WarehouseData[[#This Row],[stock_level]]&lt;=WarehouseData[[#This Row],[reorder_point]],"Low Stock","Sufficient Stock")</f>
        <v>Sufficient Stock</v>
      </c>
      <c r="Y161">
        <f>WarehouseData[[#This Row],[daily_demand]]*WarehouseData[[#This Row],[lead_time_days]]</f>
        <v>82.62</v>
      </c>
      <c r="Z161" t="str">
        <f>IF(WarehouseData[[#This Row],[stock_level]]&lt;=WarehouseData[[#This Row],[Demand During Lead Time]],"At Risk","Safe")</f>
        <v>Safe</v>
      </c>
      <c r="AA161">
        <f>WarehouseData[[#This Row],[stock_level]]/WarehouseData[[#This Row],[daily_demand]]</f>
        <v>8.3272815298959078</v>
      </c>
      <c r="AB161">
        <f>WarehouseData[[#This Row],[stock_level]]*WarehouseData[[#This Row],[unit_price]]</f>
        <v>32944.879999999997</v>
      </c>
      <c r="AC161">
        <f>WarehouseData[[#This Row],[stock_level]]*WarehouseData[[#This Row],[holding_cost_per_unit_day]]*30</f>
        <v>7430.4</v>
      </c>
      <c r="AD161" t="str">
        <f>IF(WarehouseData[[#This Row],[order_fulfillment_rate]]&gt;=0.9,"Strong",IF(WarehouseData[[#This Row],[order_fulfillment_rate]]&gt;=0.8,"Moderate","Needs Attention"))</f>
        <v>Strong</v>
      </c>
      <c r="AE161" t="str">
        <f>IF(WarehouseData[[#This Row],[picking_time_seconds]]&gt;120,"Slow",IF(WarehouseData[[#This Row],[picking_time_seconds]]&gt;=60,"Average","Fast"))</f>
        <v>Fast</v>
      </c>
    </row>
    <row r="162" spans="1:31" x14ac:dyDescent="0.25">
      <c r="A162" t="s">
        <v>279</v>
      </c>
      <c r="B162" t="s">
        <v>40</v>
      </c>
      <c r="C162">
        <v>447</v>
      </c>
      <c r="D162">
        <v>75</v>
      </c>
      <c r="E162">
        <v>12</v>
      </c>
      <c r="F162">
        <v>7</v>
      </c>
      <c r="G162">
        <v>46.62</v>
      </c>
      <c r="H162">
        <v>2.2599999999999998</v>
      </c>
      <c r="I162">
        <v>0.57999999999999996</v>
      </c>
      <c r="J162" t="s">
        <v>202</v>
      </c>
      <c r="K162" t="s">
        <v>46</v>
      </c>
      <c r="L162">
        <v>112</v>
      </c>
      <c r="M162">
        <v>4.13</v>
      </c>
      <c r="N162">
        <v>33.799999999999997</v>
      </c>
      <c r="O162">
        <v>0.46</v>
      </c>
      <c r="P162">
        <v>1</v>
      </c>
      <c r="Q162">
        <v>0.84</v>
      </c>
      <c r="R162">
        <v>705</v>
      </c>
      <c r="S162">
        <v>1.55</v>
      </c>
      <c r="T162">
        <v>0.49</v>
      </c>
      <c r="U162" s="1">
        <v>45339</v>
      </c>
      <c r="V162">
        <v>60.07</v>
      </c>
      <c r="W162">
        <v>0.621</v>
      </c>
      <c r="X162" t="str">
        <f>IF(WarehouseData[[#This Row],[stock_level]]&lt;=WarehouseData[[#This Row],[reorder_point]],"Low Stock","Sufficient Stock")</f>
        <v>Sufficient Stock</v>
      </c>
      <c r="Y162">
        <f>WarehouseData[[#This Row],[daily_demand]]*WarehouseData[[#This Row],[lead_time_days]]</f>
        <v>326.33999999999997</v>
      </c>
      <c r="Z162" t="str">
        <f>IF(WarehouseData[[#This Row],[stock_level]]&lt;=WarehouseData[[#This Row],[Demand During Lead Time]],"At Risk","Safe")</f>
        <v>Safe</v>
      </c>
      <c r="AA162">
        <f>WarehouseData[[#This Row],[stock_level]]/WarehouseData[[#This Row],[daily_demand]]</f>
        <v>9.5881595881595878</v>
      </c>
      <c r="AB162">
        <f>WarehouseData[[#This Row],[stock_level]]*WarehouseData[[#This Row],[unit_price]]</f>
        <v>15108.599999999999</v>
      </c>
      <c r="AC162">
        <f>WarehouseData[[#This Row],[stock_level]]*WarehouseData[[#This Row],[holding_cost_per_unit_day]]*30</f>
        <v>6168.6</v>
      </c>
      <c r="AD162" t="str">
        <f>IF(WarehouseData[[#This Row],[order_fulfillment_rate]]&gt;=0.9,"Strong",IF(WarehouseData[[#This Row],[order_fulfillment_rate]]&gt;=0.8,"Moderate","Needs Attention"))</f>
        <v>Moderate</v>
      </c>
      <c r="AE162" t="str">
        <f>IF(WarehouseData[[#This Row],[picking_time_seconds]]&gt;120,"Slow",IF(WarehouseData[[#This Row],[picking_time_seconds]]&gt;=60,"Average","Fast"))</f>
        <v>Average</v>
      </c>
    </row>
    <row r="163" spans="1:31" x14ac:dyDescent="0.25">
      <c r="A163" t="s">
        <v>280</v>
      </c>
      <c r="B163" t="s">
        <v>73</v>
      </c>
      <c r="C163">
        <v>396</v>
      </c>
      <c r="D163">
        <v>53</v>
      </c>
      <c r="E163">
        <v>10</v>
      </c>
      <c r="F163">
        <v>9</v>
      </c>
      <c r="G163">
        <v>31.55</v>
      </c>
      <c r="H163">
        <v>3.88</v>
      </c>
      <c r="I163">
        <v>0.95</v>
      </c>
      <c r="J163" t="s">
        <v>281</v>
      </c>
      <c r="K163" t="s">
        <v>52</v>
      </c>
      <c r="L163">
        <v>162</v>
      </c>
      <c r="M163">
        <v>0.64</v>
      </c>
      <c r="N163">
        <v>56.55</v>
      </c>
      <c r="O163">
        <v>1.02</v>
      </c>
      <c r="P163">
        <v>7</v>
      </c>
      <c r="Q163">
        <v>0.86</v>
      </c>
      <c r="R163">
        <v>989</v>
      </c>
      <c r="S163">
        <v>10.07</v>
      </c>
      <c r="T163">
        <v>0.97</v>
      </c>
      <c r="U163" s="1">
        <v>45499</v>
      </c>
      <c r="V163">
        <v>19.43</v>
      </c>
      <c r="W163">
        <v>0.65800000000000003</v>
      </c>
      <c r="X163" t="str">
        <f>IF(WarehouseData[[#This Row],[stock_level]]&lt;=WarehouseData[[#This Row],[reorder_point]],"Low Stock","Sufficient Stock")</f>
        <v>Sufficient Stock</v>
      </c>
      <c r="Y163">
        <f>WarehouseData[[#This Row],[daily_demand]]*WarehouseData[[#This Row],[lead_time_days]]</f>
        <v>283.95</v>
      </c>
      <c r="Z163" t="str">
        <f>IF(WarehouseData[[#This Row],[stock_level]]&lt;=WarehouseData[[#This Row],[Demand During Lead Time]],"At Risk","Safe")</f>
        <v>Safe</v>
      </c>
      <c r="AA163">
        <f>WarehouseData[[#This Row],[stock_level]]/WarehouseData[[#This Row],[daily_demand]]</f>
        <v>12.551505546751189</v>
      </c>
      <c r="AB163">
        <f>WarehouseData[[#This Row],[stock_level]]*WarehouseData[[#This Row],[unit_price]]</f>
        <v>22393.8</v>
      </c>
      <c r="AC163">
        <f>WarehouseData[[#This Row],[stock_level]]*WarehouseData[[#This Row],[holding_cost_per_unit_day]]*30</f>
        <v>12117.6</v>
      </c>
      <c r="AD163" t="str">
        <f>IF(WarehouseData[[#This Row],[order_fulfillment_rate]]&gt;=0.9,"Strong",IF(WarehouseData[[#This Row],[order_fulfillment_rate]]&gt;=0.8,"Moderate","Needs Attention"))</f>
        <v>Moderate</v>
      </c>
      <c r="AE163" t="str">
        <f>IF(WarehouseData[[#This Row],[picking_time_seconds]]&gt;120,"Slow",IF(WarehouseData[[#This Row],[picking_time_seconds]]&gt;=60,"Average","Fast"))</f>
        <v>Slow</v>
      </c>
    </row>
    <row r="164" spans="1:31" x14ac:dyDescent="0.25">
      <c r="A164" t="s">
        <v>282</v>
      </c>
      <c r="B164" t="s">
        <v>36</v>
      </c>
      <c r="C164">
        <v>339</v>
      </c>
      <c r="D164">
        <v>15</v>
      </c>
      <c r="E164">
        <v>5</v>
      </c>
      <c r="F164">
        <v>8</v>
      </c>
      <c r="G164">
        <v>17.84</v>
      </c>
      <c r="H164">
        <v>3.71</v>
      </c>
      <c r="I164">
        <v>0.36</v>
      </c>
      <c r="J164" t="s">
        <v>283</v>
      </c>
      <c r="K164" t="s">
        <v>38</v>
      </c>
      <c r="L164">
        <v>67</v>
      </c>
      <c r="M164">
        <v>3.17</v>
      </c>
      <c r="N164">
        <v>35.39</v>
      </c>
      <c r="O164">
        <v>1.37</v>
      </c>
      <c r="P164">
        <v>9</v>
      </c>
      <c r="Q164">
        <v>0.91</v>
      </c>
      <c r="R164">
        <v>819</v>
      </c>
      <c r="S164">
        <v>2.4700000000000002</v>
      </c>
      <c r="T164">
        <v>0.94</v>
      </c>
      <c r="U164" s="1">
        <v>45486</v>
      </c>
      <c r="V164">
        <v>141.85</v>
      </c>
      <c r="W164">
        <v>0.48599999999999999</v>
      </c>
      <c r="X164" t="str">
        <f>IF(WarehouseData[[#This Row],[stock_level]]&lt;=WarehouseData[[#This Row],[reorder_point]],"Low Stock","Sufficient Stock")</f>
        <v>Sufficient Stock</v>
      </c>
      <c r="Y164">
        <f>WarehouseData[[#This Row],[daily_demand]]*WarehouseData[[#This Row],[lead_time_days]]</f>
        <v>142.72</v>
      </c>
      <c r="Z164" t="str">
        <f>IF(WarehouseData[[#This Row],[stock_level]]&lt;=WarehouseData[[#This Row],[Demand During Lead Time]],"At Risk","Safe")</f>
        <v>Safe</v>
      </c>
      <c r="AA164">
        <f>WarehouseData[[#This Row],[stock_level]]/WarehouseData[[#This Row],[daily_demand]]</f>
        <v>19.002242152466369</v>
      </c>
      <c r="AB164">
        <f>WarehouseData[[#This Row],[stock_level]]*WarehouseData[[#This Row],[unit_price]]</f>
        <v>11997.210000000001</v>
      </c>
      <c r="AC164">
        <f>WarehouseData[[#This Row],[stock_level]]*WarehouseData[[#This Row],[holding_cost_per_unit_day]]*30</f>
        <v>13932.900000000001</v>
      </c>
      <c r="AD164" t="str">
        <f>IF(WarehouseData[[#This Row],[order_fulfillment_rate]]&gt;=0.9,"Strong",IF(WarehouseData[[#This Row],[order_fulfillment_rate]]&gt;=0.8,"Moderate","Needs Attention"))</f>
        <v>Strong</v>
      </c>
      <c r="AE164" t="str">
        <f>IF(WarehouseData[[#This Row],[picking_time_seconds]]&gt;120,"Slow",IF(WarehouseData[[#This Row],[picking_time_seconds]]&gt;=60,"Average","Fast"))</f>
        <v>Average</v>
      </c>
    </row>
    <row r="165" spans="1:31" x14ac:dyDescent="0.25">
      <c r="A165" t="s">
        <v>284</v>
      </c>
      <c r="B165" t="s">
        <v>73</v>
      </c>
      <c r="C165">
        <v>176</v>
      </c>
      <c r="D165">
        <v>51</v>
      </c>
      <c r="E165">
        <v>10</v>
      </c>
      <c r="F165">
        <v>8</v>
      </c>
      <c r="G165">
        <v>8.5500000000000007</v>
      </c>
      <c r="H165">
        <v>5.24</v>
      </c>
      <c r="I165">
        <v>0.51</v>
      </c>
      <c r="J165" t="s">
        <v>144</v>
      </c>
      <c r="K165" t="s">
        <v>52</v>
      </c>
      <c r="L165">
        <v>46</v>
      </c>
      <c r="M165">
        <v>4.43</v>
      </c>
      <c r="N165">
        <v>30.73</v>
      </c>
      <c r="O165">
        <v>1.2</v>
      </c>
      <c r="P165">
        <v>7</v>
      </c>
      <c r="Q165">
        <v>0.94</v>
      </c>
      <c r="R165">
        <v>568</v>
      </c>
      <c r="S165">
        <v>6.3</v>
      </c>
      <c r="T165">
        <v>0.55000000000000004</v>
      </c>
      <c r="U165" s="1">
        <v>45485</v>
      </c>
      <c r="V165">
        <v>38.840000000000003</v>
      </c>
      <c r="W165">
        <v>0.52200000000000002</v>
      </c>
      <c r="X165" t="str">
        <f>IF(WarehouseData[[#This Row],[stock_level]]&lt;=WarehouseData[[#This Row],[reorder_point]],"Low Stock","Sufficient Stock")</f>
        <v>Sufficient Stock</v>
      </c>
      <c r="Y165">
        <f>WarehouseData[[#This Row],[daily_demand]]*WarehouseData[[#This Row],[lead_time_days]]</f>
        <v>68.400000000000006</v>
      </c>
      <c r="Z165" t="str">
        <f>IF(WarehouseData[[#This Row],[stock_level]]&lt;=WarehouseData[[#This Row],[Demand During Lead Time]],"At Risk","Safe")</f>
        <v>Safe</v>
      </c>
      <c r="AA165">
        <f>WarehouseData[[#This Row],[stock_level]]/WarehouseData[[#This Row],[daily_demand]]</f>
        <v>20.584795321637426</v>
      </c>
      <c r="AB165">
        <f>WarehouseData[[#This Row],[stock_level]]*WarehouseData[[#This Row],[unit_price]]</f>
        <v>5408.4800000000005</v>
      </c>
      <c r="AC165">
        <f>WarehouseData[[#This Row],[stock_level]]*WarehouseData[[#This Row],[holding_cost_per_unit_day]]*30</f>
        <v>6336</v>
      </c>
      <c r="AD165" t="str">
        <f>IF(WarehouseData[[#This Row],[order_fulfillment_rate]]&gt;=0.9,"Strong",IF(WarehouseData[[#This Row],[order_fulfillment_rate]]&gt;=0.8,"Moderate","Needs Attention"))</f>
        <v>Strong</v>
      </c>
      <c r="AE165" t="str">
        <f>IF(WarehouseData[[#This Row],[picking_time_seconds]]&gt;120,"Slow",IF(WarehouseData[[#This Row],[picking_time_seconds]]&gt;=60,"Average","Fast"))</f>
        <v>Fast</v>
      </c>
    </row>
    <row r="166" spans="1:31" x14ac:dyDescent="0.25">
      <c r="A166" t="s">
        <v>285</v>
      </c>
      <c r="B166" t="s">
        <v>40</v>
      </c>
      <c r="C166">
        <v>175</v>
      </c>
      <c r="D166">
        <v>34</v>
      </c>
      <c r="E166">
        <v>8</v>
      </c>
      <c r="F166">
        <v>7</v>
      </c>
      <c r="G166">
        <v>13.99</v>
      </c>
      <c r="H166">
        <v>6.91</v>
      </c>
      <c r="I166">
        <v>0.72</v>
      </c>
      <c r="J166" t="s">
        <v>286</v>
      </c>
      <c r="K166" t="s">
        <v>38</v>
      </c>
      <c r="L166">
        <v>152</v>
      </c>
      <c r="M166">
        <v>2.35</v>
      </c>
      <c r="N166">
        <v>177.67</v>
      </c>
      <c r="O166">
        <v>0.93</v>
      </c>
      <c r="P166">
        <v>2</v>
      </c>
      <c r="Q166">
        <v>0.9</v>
      </c>
      <c r="R166">
        <v>326</v>
      </c>
      <c r="S166">
        <v>1.18</v>
      </c>
      <c r="T166">
        <v>0.3</v>
      </c>
      <c r="U166" s="1">
        <v>45574</v>
      </c>
      <c r="V166">
        <v>89.09</v>
      </c>
      <c r="W166">
        <v>0.52300000000000002</v>
      </c>
      <c r="X166" t="str">
        <f>IF(WarehouseData[[#This Row],[stock_level]]&lt;=WarehouseData[[#This Row],[reorder_point]],"Low Stock","Sufficient Stock")</f>
        <v>Sufficient Stock</v>
      </c>
      <c r="Y166">
        <f>WarehouseData[[#This Row],[daily_demand]]*WarehouseData[[#This Row],[lead_time_days]]</f>
        <v>97.93</v>
      </c>
      <c r="Z166" t="str">
        <f>IF(WarehouseData[[#This Row],[stock_level]]&lt;=WarehouseData[[#This Row],[Demand During Lead Time]],"At Risk","Safe")</f>
        <v>Safe</v>
      </c>
      <c r="AA166">
        <f>WarehouseData[[#This Row],[stock_level]]/WarehouseData[[#This Row],[daily_demand]]</f>
        <v>12.508934953538242</v>
      </c>
      <c r="AB166">
        <f>WarehouseData[[#This Row],[stock_level]]*WarehouseData[[#This Row],[unit_price]]</f>
        <v>31092.249999999996</v>
      </c>
      <c r="AC166">
        <f>WarehouseData[[#This Row],[stock_level]]*WarehouseData[[#This Row],[holding_cost_per_unit_day]]*30</f>
        <v>4882.5</v>
      </c>
      <c r="AD166" t="str">
        <f>IF(WarehouseData[[#This Row],[order_fulfillment_rate]]&gt;=0.9,"Strong",IF(WarehouseData[[#This Row],[order_fulfillment_rate]]&gt;=0.8,"Moderate","Needs Attention"))</f>
        <v>Strong</v>
      </c>
      <c r="AE166" t="str">
        <f>IF(WarehouseData[[#This Row],[picking_time_seconds]]&gt;120,"Slow",IF(WarehouseData[[#This Row],[picking_time_seconds]]&gt;=60,"Average","Fast"))</f>
        <v>Slow</v>
      </c>
    </row>
    <row r="167" spans="1:31" x14ac:dyDescent="0.25">
      <c r="A167" t="s">
        <v>287</v>
      </c>
      <c r="B167" t="s">
        <v>48</v>
      </c>
      <c r="C167">
        <v>158</v>
      </c>
      <c r="D167">
        <v>66</v>
      </c>
      <c r="E167">
        <v>8</v>
      </c>
      <c r="F167">
        <v>6</v>
      </c>
      <c r="G167">
        <v>13.52</v>
      </c>
      <c r="H167">
        <v>9.6999999999999993</v>
      </c>
      <c r="I167">
        <v>0.85</v>
      </c>
      <c r="J167" t="s">
        <v>188</v>
      </c>
      <c r="K167" t="s">
        <v>52</v>
      </c>
      <c r="L167">
        <v>165</v>
      </c>
      <c r="M167">
        <v>1.71</v>
      </c>
      <c r="N167">
        <v>138.06</v>
      </c>
      <c r="O167">
        <v>1.1299999999999999</v>
      </c>
      <c r="P167">
        <v>4</v>
      </c>
      <c r="Q167">
        <v>0.99</v>
      </c>
      <c r="R167">
        <v>747</v>
      </c>
      <c r="S167">
        <v>5.6</v>
      </c>
      <c r="T167">
        <v>0.34</v>
      </c>
      <c r="U167" s="1">
        <v>45535</v>
      </c>
      <c r="V167">
        <v>179.57</v>
      </c>
      <c r="W167">
        <v>0.54800000000000004</v>
      </c>
      <c r="X167" t="str">
        <f>IF(WarehouseData[[#This Row],[stock_level]]&lt;=WarehouseData[[#This Row],[reorder_point]],"Low Stock","Sufficient Stock")</f>
        <v>Sufficient Stock</v>
      </c>
      <c r="Y167">
        <f>WarehouseData[[#This Row],[daily_demand]]*WarehouseData[[#This Row],[lead_time_days]]</f>
        <v>81.12</v>
      </c>
      <c r="Z167" t="str">
        <f>IF(WarehouseData[[#This Row],[stock_level]]&lt;=WarehouseData[[#This Row],[Demand During Lead Time]],"At Risk","Safe")</f>
        <v>Safe</v>
      </c>
      <c r="AA167">
        <f>WarehouseData[[#This Row],[stock_level]]/WarehouseData[[#This Row],[daily_demand]]</f>
        <v>11.68639053254438</v>
      </c>
      <c r="AB167">
        <f>WarehouseData[[#This Row],[stock_level]]*WarehouseData[[#This Row],[unit_price]]</f>
        <v>21813.48</v>
      </c>
      <c r="AC167">
        <f>WarehouseData[[#This Row],[stock_level]]*WarehouseData[[#This Row],[holding_cost_per_unit_day]]*30</f>
        <v>5356.2</v>
      </c>
      <c r="AD167" t="str">
        <f>IF(WarehouseData[[#This Row],[order_fulfillment_rate]]&gt;=0.9,"Strong",IF(WarehouseData[[#This Row],[order_fulfillment_rate]]&gt;=0.8,"Moderate","Needs Attention"))</f>
        <v>Strong</v>
      </c>
      <c r="AE167" t="str">
        <f>IF(WarehouseData[[#This Row],[picking_time_seconds]]&gt;120,"Slow",IF(WarehouseData[[#This Row],[picking_time_seconds]]&gt;=60,"Average","Fast"))</f>
        <v>Slow</v>
      </c>
    </row>
    <row r="168" spans="1:31" x14ac:dyDescent="0.25">
      <c r="A168" t="s">
        <v>288</v>
      </c>
      <c r="B168" t="s">
        <v>32</v>
      </c>
      <c r="C168">
        <v>140</v>
      </c>
      <c r="D168">
        <v>94</v>
      </c>
      <c r="E168">
        <v>8</v>
      </c>
      <c r="F168">
        <v>7</v>
      </c>
      <c r="G168">
        <v>31.06</v>
      </c>
      <c r="H168">
        <v>1.87</v>
      </c>
      <c r="I168">
        <v>0.48</v>
      </c>
      <c r="J168" t="s">
        <v>289</v>
      </c>
      <c r="K168" t="s">
        <v>46</v>
      </c>
      <c r="L168">
        <v>141</v>
      </c>
      <c r="M168">
        <v>2.71</v>
      </c>
      <c r="N168">
        <v>185.51</v>
      </c>
      <c r="O168">
        <v>0.31</v>
      </c>
      <c r="P168">
        <v>7</v>
      </c>
      <c r="Q168">
        <v>0.95</v>
      </c>
      <c r="R168">
        <v>144</v>
      </c>
      <c r="S168">
        <v>3.37</v>
      </c>
      <c r="T168">
        <v>0.28999999999999998</v>
      </c>
      <c r="U168" s="1">
        <v>45320</v>
      </c>
      <c r="V168">
        <v>53.92</v>
      </c>
      <c r="W168">
        <v>0.52200000000000002</v>
      </c>
      <c r="X168" t="str">
        <f>IF(WarehouseData[[#This Row],[stock_level]]&lt;=WarehouseData[[#This Row],[reorder_point]],"Low Stock","Sufficient Stock")</f>
        <v>Sufficient Stock</v>
      </c>
      <c r="Y168">
        <f>WarehouseData[[#This Row],[daily_demand]]*WarehouseData[[#This Row],[lead_time_days]]</f>
        <v>217.42</v>
      </c>
      <c r="Z168" t="str">
        <f>IF(WarehouseData[[#This Row],[stock_level]]&lt;=WarehouseData[[#This Row],[Demand During Lead Time]],"At Risk","Safe")</f>
        <v>At Risk</v>
      </c>
      <c r="AA168">
        <f>WarehouseData[[#This Row],[stock_level]]/WarehouseData[[#This Row],[daily_demand]]</f>
        <v>4.507405022537025</v>
      </c>
      <c r="AB168">
        <f>WarehouseData[[#This Row],[stock_level]]*WarehouseData[[#This Row],[unit_price]]</f>
        <v>25971.399999999998</v>
      </c>
      <c r="AC168">
        <f>WarehouseData[[#This Row],[stock_level]]*WarehouseData[[#This Row],[holding_cost_per_unit_day]]*30</f>
        <v>1302</v>
      </c>
      <c r="AD168" t="str">
        <f>IF(WarehouseData[[#This Row],[order_fulfillment_rate]]&gt;=0.9,"Strong",IF(WarehouseData[[#This Row],[order_fulfillment_rate]]&gt;=0.8,"Moderate","Needs Attention"))</f>
        <v>Strong</v>
      </c>
      <c r="AE168" t="str">
        <f>IF(WarehouseData[[#This Row],[picking_time_seconds]]&gt;120,"Slow",IF(WarehouseData[[#This Row],[picking_time_seconds]]&gt;=60,"Average","Fast"))</f>
        <v>Slow</v>
      </c>
    </row>
    <row r="169" spans="1:31" x14ac:dyDescent="0.25">
      <c r="A169" t="s">
        <v>290</v>
      </c>
      <c r="B169" t="s">
        <v>40</v>
      </c>
      <c r="C169">
        <v>84</v>
      </c>
      <c r="D169">
        <v>64</v>
      </c>
      <c r="E169">
        <v>5</v>
      </c>
      <c r="F169">
        <v>5</v>
      </c>
      <c r="G169">
        <v>47.31</v>
      </c>
      <c r="H169">
        <v>8.7899999999999991</v>
      </c>
      <c r="I169">
        <v>0.9</v>
      </c>
      <c r="J169" t="s">
        <v>37</v>
      </c>
      <c r="K169" t="s">
        <v>46</v>
      </c>
      <c r="L169">
        <v>56</v>
      </c>
      <c r="M169">
        <v>3.73</v>
      </c>
      <c r="N169">
        <v>132.36000000000001</v>
      </c>
      <c r="O169">
        <v>1.42</v>
      </c>
      <c r="P169">
        <v>9</v>
      </c>
      <c r="Q169">
        <v>0.93</v>
      </c>
      <c r="R169">
        <v>968</v>
      </c>
      <c r="S169">
        <v>8.7899999999999991</v>
      </c>
      <c r="T169">
        <v>0.74</v>
      </c>
      <c r="U169" s="1">
        <v>45618</v>
      </c>
      <c r="V169">
        <v>18.260000000000002</v>
      </c>
      <c r="W169">
        <v>0.52900000000000003</v>
      </c>
      <c r="X169" t="str">
        <f>IF(WarehouseData[[#This Row],[stock_level]]&lt;=WarehouseData[[#This Row],[reorder_point]],"Low Stock","Sufficient Stock")</f>
        <v>Sufficient Stock</v>
      </c>
      <c r="Y169">
        <f>WarehouseData[[#This Row],[daily_demand]]*WarehouseData[[#This Row],[lead_time_days]]</f>
        <v>236.55</v>
      </c>
      <c r="Z169" t="str">
        <f>IF(WarehouseData[[#This Row],[stock_level]]&lt;=WarehouseData[[#This Row],[Demand During Lead Time]],"At Risk","Safe")</f>
        <v>At Risk</v>
      </c>
      <c r="AA169">
        <f>WarehouseData[[#This Row],[stock_level]]/WarehouseData[[#This Row],[daily_demand]]</f>
        <v>1.7755231452124285</v>
      </c>
      <c r="AB169">
        <f>WarehouseData[[#This Row],[stock_level]]*WarehouseData[[#This Row],[unit_price]]</f>
        <v>11118.240000000002</v>
      </c>
      <c r="AC169">
        <f>WarehouseData[[#This Row],[stock_level]]*WarehouseData[[#This Row],[holding_cost_per_unit_day]]*30</f>
        <v>3578.4</v>
      </c>
      <c r="AD169" t="str">
        <f>IF(WarehouseData[[#This Row],[order_fulfillment_rate]]&gt;=0.9,"Strong",IF(WarehouseData[[#This Row],[order_fulfillment_rate]]&gt;=0.8,"Moderate","Needs Attention"))</f>
        <v>Strong</v>
      </c>
      <c r="AE169" t="str">
        <f>IF(WarehouseData[[#This Row],[picking_time_seconds]]&gt;120,"Slow",IF(WarehouseData[[#This Row],[picking_time_seconds]]&gt;=60,"Average","Fast"))</f>
        <v>Fast</v>
      </c>
    </row>
    <row r="170" spans="1:31" x14ac:dyDescent="0.25">
      <c r="A170" t="s">
        <v>291</v>
      </c>
      <c r="B170" t="s">
        <v>73</v>
      </c>
      <c r="C170">
        <v>126</v>
      </c>
      <c r="D170">
        <v>25</v>
      </c>
      <c r="E170">
        <v>12</v>
      </c>
      <c r="F170">
        <v>8</v>
      </c>
      <c r="G170">
        <v>3.37</v>
      </c>
      <c r="H170">
        <v>3.2</v>
      </c>
      <c r="I170">
        <v>0.21</v>
      </c>
      <c r="J170" t="s">
        <v>188</v>
      </c>
      <c r="K170" t="s">
        <v>34</v>
      </c>
      <c r="L170">
        <v>112</v>
      </c>
      <c r="M170">
        <v>2.82</v>
      </c>
      <c r="N170">
        <v>170.35</v>
      </c>
      <c r="O170">
        <v>1.5</v>
      </c>
      <c r="P170">
        <v>8</v>
      </c>
      <c r="Q170">
        <v>0.95</v>
      </c>
      <c r="R170">
        <v>431</v>
      </c>
      <c r="S170">
        <v>8.17</v>
      </c>
      <c r="T170">
        <v>0.64</v>
      </c>
      <c r="U170" s="1">
        <v>45296</v>
      </c>
      <c r="V170">
        <v>170.83</v>
      </c>
      <c r="W170">
        <v>0.51700000000000002</v>
      </c>
      <c r="X170" t="str">
        <f>IF(WarehouseData[[#This Row],[stock_level]]&lt;=WarehouseData[[#This Row],[reorder_point]],"Low Stock","Sufficient Stock")</f>
        <v>Sufficient Stock</v>
      </c>
      <c r="Y170">
        <f>WarehouseData[[#This Row],[daily_demand]]*WarehouseData[[#This Row],[lead_time_days]]</f>
        <v>26.96</v>
      </c>
      <c r="Z170" t="str">
        <f>IF(WarehouseData[[#This Row],[stock_level]]&lt;=WarehouseData[[#This Row],[Demand During Lead Time]],"At Risk","Safe")</f>
        <v>Safe</v>
      </c>
      <c r="AA170">
        <f>WarehouseData[[#This Row],[stock_level]]/WarehouseData[[#This Row],[daily_demand]]</f>
        <v>37.388724035608305</v>
      </c>
      <c r="AB170">
        <f>WarehouseData[[#This Row],[stock_level]]*WarehouseData[[#This Row],[unit_price]]</f>
        <v>21464.1</v>
      </c>
      <c r="AC170">
        <f>WarehouseData[[#This Row],[stock_level]]*WarehouseData[[#This Row],[holding_cost_per_unit_day]]*30</f>
        <v>5670</v>
      </c>
      <c r="AD170" t="str">
        <f>IF(WarehouseData[[#This Row],[order_fulfillment_rate]]&gt;=0.9,"Strong",IF(WarehouseData[[#This Row],[order_fulfillment_rate]]&gt;=0.8,"Moderate","Needs Attention"))</f>
        <v>Strong</v>
      </c>
      <c r="AE170" t="str">
        <f>IF(WarehouseData[[#This Row],[picking_time_seconds]]&gt;120,"Slow",IF(WarehouseData[[#This Row],[picking_time_seconds]]&gt;=60,"Average","Fast"))</f>
        <v>Average</v>
      </c>
    </row>
    <row r="171" spans="1:31" x14ac:dyDescent="0.25">
      <c r="A171" t="s">
        <v>292</v>
      </c>
      <c r="B171" t="s">
        <v>32</v>
      </c>
      <c r="C171">
        <v>166</v>
      </c>
      <c r="D171">
        <v>23</v>
      </c>
      <c r="E171">
        <v>3</v>
      </c>
      <c r="F171">
        <v>2</v>
      </c>
      <c r="G171">
        <v>1.05</v>
      </c>
      <c r="H171">
        <v>6.12</v>
      </c>
      <c r="I171">
        <v>0.74</v>
      </c>
      <c r="J171" t="s">
        <v>137</v>
      </c>
      <c r="K171" t="s">
        <v>38</v>
      </c>
      <c r="L171">
        <v>81</v>
      </c>
      <c r="M171">
        <v>0.53</v>
      </c>
      <c r="N171">
        <v>115.51</v>
      </c>
      <c r="O171">
        <v>0.12</v>
      </c>
      <c r="P171">
        <v>6</v>
      </c>
      <c r="Q171">
        <v>0.78</v>
      </c>
      <c r="R171">
        <v>426</v>
      </c>
      <c r="S171">
        <v>12.11</v>
      </c>
      <c r="T171">
        <v>0.65</v>
      </c>
      <c r="U171" s="1">
        <v>45651</v>
      </c>
      <c r="V171">
        <v>145.21</v>
      </c>
      <c r="W171">
        <v>0.71499999999999997</v>
      </c>
      <c r="X171" t="str">
        <f>IF(WarehouseData[[#This Row],[stock_level]]&lt;=WarehouseData[[#This Row],[reorder_point]],"Low Stock","Sufficient Stock")</f>
        <v>Sufficient Stock</v>
      </c>
      <c r="Y171">
        <f>WarehouseData[[#This Row],[daily_demand]]*WarehouseData[[#This Row],[lead_time_days]]</f>
        <v>2.1</v>
      </c>
      <c r="Z171" t="str">
        <f>IF(WarehouseData[[#This Row],[stock_level]]&lt;=WarehouseData[[#This Row],[Demand During Lead Time]],"At Risk","Safe")</f>
        <v>Safe</v>
      </c>
      <c r="AA171">
        <f>WarehouseData[[#This Row],[stock_level]]/WarehouseData[[#This Row],[daily_demand]]</f>
        <v>158.0952380952381</v>
      </c>
      <c r="AB171">
        <f>WarehouseData[[#This Row],[stock_level]]*WarehouseData[[#This Row],[unit_price]]</f>
        <v>19174.66</v>
      </c>
      <c r="AC171">
        <f>WarehouseData[[#This Row],[stock_level]]*WarehouseData[[#This Row],[holding_cost_per_unit_day]]*30</f>
        <v>597.59999999999991</v>
      </c>
      <c r="AD171" t="str">
        <f>IF(WarehouseData[[#This Row],[order_fulfillment_rate]]&gt;=0.9,"Strong",IF(WarehouseData[[#This Row],[order_fulfillment_rate]]&gt;=0.8,"Moderate","Needs Attention"))</f>
        <v>Needs Attention</v>
      </c>
      <c r="AE171" t="str">
        <f>IF(WarehouseData[[#This Row],[picking_time_seconds]]&gt;120,"Slow",IF(WarehouseData[[#This Row],[picking_time_seconds]]&gt;=60,"Average","Fast"))</f>
        <v>Average</v>
      </c>
    </row>
    <row r="172" spans="1:31" x14ac:dyDescent="0.25">
      <c r="A172" t="s">
        <v>293</v>
      </c>
      <c r="B172" t="s">
        <v>73</v>
      </c>
      <c r="C172">
        <v>156</v>
      </c>
      <c r="D172">
        <v>48</v>
      </c>
      <c r="E172">
        <v>14</v>
      </c>
      <c r="F172">
        <v>5</v>
      </c>
      <c r="G172">
        <v>30.41</v>
      </c>
      <c r="H172">
        <v>5.69</v>
      </c>
      <c r="I172">
        <v>0.41</v>
      </c>
      <c r="J172" t="s">
        <v>263</v>
      </c>
      <c r="K172" t="s">
        <v>38</v>
      </c>
      <c r="L172">
        <v>98</v>
      </c>
      <c r="M172">
        <v>0.85</v>
      </c>
      <c r="N172">
        <v>97.9</v>
      </c>
      <c r="O172">
        <v>0.61</v>
      </c>
      <c r="P172">
        <v>3</v>
      </c>
      <c r="Q172">
        <v>0.83</v>
      </c>
      <c r="R172">
        <v>74</v>
      </c>
      <c r="S172">
        <v>9.9600000000000009</v>
      </c>
      <c r="T172">
        <v>0.28000000000000003</v>
      </c>
      <c r="U172" s="1">
        <v>45379</v>
      </c>
      <c r="V172">
        <v>98.83</v>
      </c>
      <c r="W172">
        <v>0.63400000000000001</v>
      </c>
      <c r="X172" t="str">
        <f>IF(WarehouseData[[#This Row],[stock_level]]&lt;=WarehouseData[[#This Row],[reorder_point]],"Low Stock","Sufficient Stock")</f>
        <v>Sufficient Stock</v>
      </c>
      <c r="Y172">
        <f>WarehouseData[[#This Row],[daily_demand]]*WarehouseData[[#This Row],[lead_time_days]]</f>
        <v>152.05000000000001</v>
      </c>
      <c r="Z172" t="str">
        <f>IF(WarehouseData[[#This Row],[stock_level]]&lt;=WarehouseData[[#This Row],[Demand During Lead Time]],"At Risk","Safe")</f>
        <v>Safe</v>
      </c>
      <c r="AA172">
        <f>WarehouseData[[#This Row],[stock_level]]/WarehouseData[[#This Row],[daily_demand]]</f>
        <v>5.1298914830647817</v>
      </c>
      <c r="AB172">
        <f>WarehouseData[[#This Row],[stock_level]]*WarehouseData[[#This Row],[unit_price]]</f>
        <v>15272.400000000001</v>
      </c>
      <c r="AC172">
        <f>WarehouseData[[#This Row],[stock_level]]*WarehouseData[[#This Row],[holding_cost_per_unit_day]]*30</f>
        <v>2854.7999999999997</v>
      </c>
      <c r="AD172" t="str">
        <f>IF(WarehouseData[[#This Row],[order_fulfillment_rate]]&gt;=0.9,"Strong",IF(WarehouseData[[#This Row],[order_fulfillment_rate]]&gt;=0.8,"Moderate","Needs Attention"))</f>
        <v>Moderate</v>
      </c>
      <c r="AE172" t="str">
        <f>IF(WarehouseData[[#This Row],[picking_time_seconds]]&gt;120,"Slow",IF(WarehouseData[[#This Row],[picking_time_seconds]]&gt;=60,"Average","Fast"))</f>
        <v>Average</v>
      </c>
    </row>
    <row r="173" spans="1:31" x14ac:dyDescent="0.25">
      <c r="A173" t="s">
        <v>294</v>
      </c>
      <c r="B173" t="s">
        <v>73</v>
      </c>
      <c r="C173">
        <v>430</v>
      </c>
      <c r="D173">
        <v>37</v>
      </c>
      <c r="E173">
        <v>6</v>
      </c>
      <c r="F173">
        <v>3</v>
      </c>
      <c r="G173">
        <v>14.92</v>
      </c>
      <c r="H173">
        <v>5.79</v>
      </c>
      <c r="I173">
        <v>0.19</v>
      </c>
      <c r="J173" t="s">
        <v>185</v>
      </c>
      <c r="K173" t="s">
        <v>46</v>
      </c>
      <c r="L173">
        <v>67</v>
      </c>
      <c r="M173">
        <v>3.75</v>
      </c>
      <c r="N173">
        <v>110.41</v>
      </c>
      <c r="O173">
        <v>0.28000000000000003</v>
      </c>
      <c r="P173">
        <v>3</v>
      </c>
      <c r="Q173">
        <v>0.87</v>
      </c>
      <c r="R173">
        <v>340</v>
      </c>
      <c r="S173">
        <v>11</v>
      </c>
      <c r="T173">
        <v>0.83</v>
      </c>
      <c r="U173" s="1">
        <v>45334</v>
      </c>
      <c r="V173">
        <v>145.94999999999999</v>
      </c>
      <c r="W173">
        <v>0.79900000000000004</v>
      </c>
      <c r="X173" t="str">
        <f>IF(WarehouseData[[#This Row],[stock_level]]&lt;=WarehouseData[[#This Row],[reorder_point]],"Low Stock","Sufficient Stock")</f>
        <v>Sufficient Stock</v>
      </c>
      <c r="Y173">
        <f>WarehouseData[[#This Row],[daily_demand]]*WarehouseData[[#This Row],[lead_time_days]]</f>
        <v>44.76</v>
      </c>
      <c r="Z173" t="str">
        <f>IF(WarehouseData[[#This Row],[stock_level]]&lt;=WarehouseData[[#This Row],[Demand During Lead Time]],"At Risk","Safe")</f>
        <v>Safe</v>
      </c>
      <c r="AA173">
        <f>WarehouseData[[#This Row],[stock_level]]/WarehouseData[[#This Row],[daily_demand]]</f>
        <v>28.820375335120644</v>
      </c>
      <c r="AB173">
        <f>WarehouseData[[#This Row],[stock_level]]*WarehouseData[[#This Row],[unit_price]]</f>
        <v>47476.299999999996</v>
      </c>
      <c r="AC173">
        <f>WarehouseData[[#This Row],[stock_level]]*WarehouseData[[#This Row],[holding_cost_per_unit_day]]*30</f>
        <v>3612</v>
      </c>
      <c r="AD173" t="str">
        <f>IF(WarehouseData[[#This Row],[order_fulfillment_rate]]&gt;=0.9,"Strong",IF(WarehouseData[[#This Row],[order_fulfillment_rate]]&gt;=0.8,"Moderate","Needs Attention"))</f>
        <v>Moderate</v>
      </c>
      <c r="AE173" t="str">
        <f>IF(WarehouseData[[#This Row],[picking_time_seconds]]&gt;120,"Slow",IF(WarehouseData[[#This Row],[picking_time_seconds]]&gt;=60,"Average","Fast"))</f>
        <v>Average</v>
      </c>
    </row>
    <row r="174" spans="1:31" x14ac:dyDescent="0.25">
      <c r="A174" t="s">
        <v>295</v>
      </c>
      <c r="B174" t="s">
        <v>48</v>
      </c>
      <c r="C174">
        <v>181</v>
      </c>
      <c r="D174">
        <v>60</v>
      </c>
      <c r="E174">
        <v>12</v>
      </c>
      <c r="F174">
        <v>4</v>
      </c>
      <c r="G174">
        <v>44.15</v>
      </c>
      <c r="H174">
        <v>7.37</v>
      </c>
      <c r="I174">
        <v>0.45</v>
      </c>
      <c r="J174" t="s">
        <v>166</v>
      </c>
      <c r="K174" t="s">
        <v>46</v>
      </c>
      <c r="L174">
        <v>114</v>
      </c>
      <c r="M174">
        <v>2.2999999999999998</v>
      </c>
      <c r="N174">
        <v>70.84</v>
      </c>
      <c r="O174">
        <v>2</v>
      </c>
      <c r="P174">
        <v>2</v>
      </c>
      <c r="Q174">
        <v>0.84</v>
      </c>
      <c r="R174">
        <v>276</v>
      </c>
      <c r="S174">
        <v>2.29</v>
      </c>
      <c r="T174">
        <v>0.63</v>
      </c>
      <c r="U174" s="1">
        <v>45547</v>
      </c>
      <c r="V174">
        <v>208.22</v>
      </c>
      <c r="W174">
        <v>0.48499999999999999</v>
      </c>
      <c r="X174" t="str">
        <f>IF(WarehouseData[[#This Row],[stock_level]]&lt;=WarehouseData[[#This Row],[reorder_point]],"Low Stock","Sufficient Stock")</f>
        <v>Sufficient Stock</v>
      </c>
      <c r="Y174">
        <f>WarehouseData[[#This Row],[daily_demand]]*WarehouseData[[#This Row],[lead_time_days]]</f>
        <v>176.6</v>
      </c>
      <c r="Z174" t="str">
        <f>IF(WarehouseData[[#This Row],[stock_level]]&lt;=WarehouseData[[#This Row],[Demand During Lead Time]],"At Risk","Safe")</f>
        <v>Safe</v>
      </c>
      <c r="AA174">
        <f>WarehouseData[[#This Row],[stock_level]]/WarehouseData[[#This Row],[daily_demand]]</f>
        <v>4.0996602491506229</v>
      </c>
      <c r="AB174">
        <f>WarehouseData[[#This Row],[stock_level]]*WarehouseData[[#This Row],[unit_price]]</f>
        <v>12822.04</v>
      </c>
      <c r="AC174">
        <f>WarehouseData[[#This Row],[stock_level]]*WarehouseData[[#This Row],[holding_cost_per_unit_day]]*30</f>
        <v>10860</v>
      </c>
      <c r="AD174" t="str">
        <f>IF(WarehouseData[[#This Row],[order_fulfillment_rate]]&gt;=0.9,"Strong",IF(WarehouseData[[#This Row],[order_fulfillment_rate]]&gt;=0.8,"Moderate","Needs Attention"))</f>
        <v>Moderate</v>
      </c>
      <c r="AE174" t="str">
        <f>IF(WarehouseData[[#This Row],[picking_time_seconds]]&gt;120,"Slow",IF(WarehouseData[[#This Row],[picking_time_seconds]]&gt;=60,"Average","Fast"))</f>
        <v>Average</v>
      </c>
    </row>
    <row r="175" spans="1:31" x14ac:dyDescent="0.25">
      <c r="A175" t="s">
        <v>296</v>
      </c>
      <c r="B175" t="s">
        <v>32</v>
      </c>
      <c r="C175">
        <v>447</v>
      </c>
      <c r="D175">
        <v>58</v>
      </c>
      <c r="E175">
        <v>14</v>
      </c>
      <c r="F175">
        <v>7</v>
      </c>
      <c r="G175">
        <v>17.04</v>
      </c>
      <c r="H175">
        <v>4.13</v>
      </c>
      <c r="I175">
        <v>0.89</v>
      </c>
      <c r="J175" t="s">
        <v>190</v>
      </c>
      <c r="K175" t="s">
        <v>46</v>
      </c>
      <c r="L175">
        <v>78</v>
      </c>
      <c r="M175">
        <v>4.03</v>
      </c>
      <c r="N175">
        <v>135.01</v>
      </c>
      <c r="O175">
        <v>1.23</v>
      </c>
      <c r="P175">
        <v>7</v>
      </c>
      <c r="Q175">
        <v>0.95</v>
      </c>
      <c r="R175">
        <v>222</v>
      </c>
      <c r="S175">
        <v>1.39</v>
      </c>
      <c r="T175">
        <v>0.27</v>
      </c>
      <c r="U175" s="1">
        <v>45514</v>
      </c>
      <c r="V175">
        <v>41.61</v>
      </c>
      <c r="W175">
        <v>0.4</v>
      </c>
      <c r="X175" t="str">
        <f>IF(WarehouseData[[#This Row],[stock_level]]&lt;=WarehouseData[[#This Row],[reorder_point]],"Low Stock","Sufficient Stock")</f>
        <v>Sufficient Stock</v>
      </c>
      <c r="Y175">
        <f>WarehouseData[[#This Row],[daily_demand]]*WarehouseData[[#This Row],[lead_time_days]]</f>
        <v>119.28</v>
      </c>
      <c r="Z175" t="str">
        <f>IF(WarehouseData[[#This Row],[stock_level]]&lt;=WarehouseData[[#This Row],[Demand During Lead Time]],"At Risk","Safe")</f>
        <v>Safe</v>
      </c>
      <c r="AA175">
        <f>WarehouseData[[#This Row],[stock_level]]/WarehouseData[[#This Row],[daily_demand]]</f>
        <v>26.232394366197184</v>
      </c>
      <c r="AB175">
        <f>WarehouseData[[#This Row],[stock_level]]*WarehouseData[[#This Row],[unit_price]]</f>
        <v>60349.469999999994</v>
      </c>
      <c r="AC175">
        <f>WarehouseData[[#This Row],[stock_level]]*WarehouseData[[#This Row],[holding_cost_per_unit_day]]*30</f>
        <v>16494.3</v>
      </c>
      <c r="AD175" t="str">
        <f>IF(WarehouseData[[#This Row],[order_fulfillment_rate]]&gt;=0.9,"Strong",IF(WarehouseData[[#This Row],[order_fulfillment_rate]]&gt;=0.8,"Moderate","Needs Attention"))</f>
        <v>Strong</v>
      </c>
      <c r="AE175" t="str">
        <f>IF(WarehouseData[[#This Row],[picking_time_seconds]]&gt;120,"Slow",IF(WarehouseData[[#This Row],[picking_time_seconds]]&gt;=60,"Average","Fast"))</f>
        <v>Average</v>
      </c>
    </row>
    <row r="176" spans="1:31" x14ac:dyDescent="0.25">
      <c r="A176" t="s">
        <v>297</v>
      </c>
      <c r="B176" t="s">
        <v>32</v>
      </c>
      <c r="C176">
        <v>471</v>
      </c>
      <c r="D176">
        <v>18</v>
      </c>
      <c r="E176">
        <v>8</v>
      </c>
      <c r="F176">
        <v>6</v>
      </c>
      <c r="G176">
        <v>15.2</v>
      </c>
      <c r="H176">
        <v>3.53</v>
      </c>
      <c r="I176">
        <v>0.98</v>
      </c>
      <c r="J176" t="s">
        <v>110</v>
      </c>
      <c r="K176" t="s">
        <v>38</v>
      </c>
      <c r="L176">
        <v>55</v>
      </c>
      <c r="M176">
        <v>3.42</v>
      </c>
      <c r="N176">
        <v>180.46</v>
      </c>
      <c r="O176">
        <v>0.98</v>
      </c>
      <c r="P176">
        <v>5</v>
      </c>
      <c r="Q176">
        <v>0.71</v>
      </c>
      <c r="R176">
        <v>696</v>
      </c>
      <c r="S176">
        <v>14.57</v>
      </c>
      <c r="T176">
        <v>0.8</v>
      </c>
      <c r="U176" s="1">
        <v>45622</v>
      </c>
      <c r="V176">
        <v>84.15</v>
      </c>
      <c r="W176">
        <v>0.69799999999999995</v>
      </c>
      <c r="X176" t="str">
        <f>IF(WarehouseData[[#This Row],[stock_level]]&lt;=WarehouseData[[#This Row],[reorder_point]],"Low Stock","Sufficient Stock")</f>
        <v>Sufficient Stock</v>
      </c>
      <c r="Y176">
        <f>WarehouseData[[#This Row],[daily_demand]]*WarehouseData[[#This Row],[lead_time_days]]</f>
        <v>91.199999999999989</v>
      </c>
      <c r="Z176" t="str">
        <f>IF(WarehouseData[[#This Row],[stock_level]]&lt;=WarehouseData[[#This Row],[Demand During Lead Time]],"At Risk","Safe")</f>
        <v>Safe</v>
      </c>
      <c r="AA176">
        <f>WarehouseData[[#This Row],[stock_level]]/WarehouseData[[#This Row],[daily_demand]]</f>
        <v>30.986842105263161</v>
      </c>
      <c r="AB176">
        <f>WarehouseData[[#This Row],[stock_level]]*WarehouseData[[#This Row],[unit_price]]</f>
        <v>84996.66</v>
      </c>
      <c r="AC176">
        <f>WarehouseData[[#This Row],[stock_level]]*WarehouseData[[#This Row],[holding_cost_per_unit_day]]*30</f>
        <v>13847.4</v>
      </c>
      <c r="AD176" t="str">
        <f>IF(WarehouseData[[#This Row],[order_fulfillment_rate]]&gt;=0.9,"Strong",IF(WarehouseData[[#This Row],[order_fulfillment_rate]]&gt;=0.8,"Moderate","Needs Attention"))</f>
        <v>Needs Attention</v>
      </c>
      <c r="AE176" t="str">
        <f>IF(WarehouseData[[#This Row],[picking_time_seconds]]&gt;120,"Slow",IF(WarehouseData[[#This Row],[picking_time_seconds]]&gt;=60,"Average","Fast"))</f>
        <v>Fast</v>
      </c>
    </row>
    <row r="177" spans="1:31" x14ac:dyDescent="0.25">
      <c r="A177" t="s">
        <v>298</v>
      </c>
      <c r="B177" t="s">
        <v>48</v>
      </c>
      <c r="C177">
        <v>119</v>
      </c>
      <c r="D177">
        <v>67</v>
      </c>
      <c r="E177">
        <v>13</v>
      </c>
      <c r="F177">
        <v>2</v>
      </c>
      <c r="G177">
        <v>14.21</v>
      </c>
      <c r="H177">
        <v>8.6</v>
      </c>
      <c r="I177">
        <v>0.45</v>
      </c>
      <c r="J177" t="s">
        <v>37</v>
      </c>
      <c r="K177" t="s">
        <v>34</v>
      </c>
      <c r="L177">
        <v>162</v>
      </c>
      <c r="M177">
        <v>3.12</v>
      </c>
      <c r="N177">
        <v>158.65</v>
      </c>
      <c r="O177">
        <v>0.98</v>
      </c>
      <c r="P177">
        <v>9</v>
      </c>
      <c r="Q177">
        <v>0.76</v>
      </c>
      <c r="R177">
        <v>502</v>
      </c>
      <c r="S177">
        <v>6.98</v>
      </c>
      <c r="T177">
        <v>0.99</v>
      </c>
      <c r="U177" s="1">
        <v>45461</v>
      </c>
      <c r="V177">
        <v>240.54</v>
      </c>
      <c r="W177">
        <v>0.56499999999999995</v>
      </c>
      <c r="X177" t="str">
        <f>IF(WarehouseData[[#This Row],[stock_level]]&lt;=WarehouseData[[#This Row],[reorder_point]],"Low Stock","Sufficient Stock")</f>
        <v>Sufficient Stock</v>
      </c>
      <c r="Y177">
        <f>WarehouseData[[#This Row],[daily_demand]]*WarehouseData[[#This Row],[lead_time_days]]</f>
        <v>28.42</v>
      </c>
      <c r="Z177" t="str">
        <f>IF(WarehouseData[[#This Row],[stock_level]]&lt;=WarehouseData[[#This Row],[Demand During Lead Time]],"At Risk","Safe")</f>
        <v>Safe</v>
      </c>
      <c r="AA177">
        <f>WarehouseData[[#This Row],[stock_level]]/WarehouseData[[#This Row],[daily_demand]]</f>
        <v>8.3743842364532011</v>
      </c>
      <c r="AB177">
        <f>WarehouseData[[#This Row],[stock_level]]*WarehouseData[[#This Row],[unit_price]]</f>
        <v>18879.350000000002</v>
      </c>
      <c r="AC177">
        <f>WarehouseData[[#This Row],[stock_level]]*WarehouseData[[#This Row],[holding_cost_per_unit_day]]*30</f>
        <v>3498.6000000000004</v>
      </c>
      <c r="AD177" t="str">
        <f>IF(WarehouseData[[#This Row],[order_fulfillment_rate]]&gt;=0.9,"Strong",IF(WarehouseData[[#This Row],[order_fulfillment_rate]]&gt;=0.8,"Moderate","Needs Attention"))</f>
        <v>Needs Attention</v>
      </c>
      <c r="AE177" t="str">
        <f>IF(WarehouseData[[#This Row],[picking_time_seconds]]&gt;120,"Slow",IF(WarehouseData[[#This Row],[picking_time_seconds]]&gt;=60,"Average","Fast"))</f>
        <v>Slow</v>
      </c>
    </row>
    <row r="178" spans="1:31" x14ac:dyDescent="0.25">
      <c r="A178" t="s">
        <v>299</v>
      </c>
      <c r="B178" t="s">
        <v>40</v>
      </c>
      <c r="C178">
        <v>357</v>
      </c>
      <c r="D178">
        <v>54</v>
      </c>
      <c r="E178">
        <v>14</v>
      </c>
      <c r="F178">
        <v>6</v>
      </c>
      <c r="G178">
        <v>8.1</v>
      </c>
      <c r="H178">
        <v>2.59</v>
      </c>
      <c r="I178">
        <v>0.9</v>
      </c>
      <c r="J178" t="s">
        <v>146</v>
      </c>
      <c r="K178" t="s">
        <v>38</v>
      </c>
      <c r="L178">
        <v>34</v>
      </c>
      <c r="M178">
        <v>4.5599999999999996</v>
      </c>
      <c r="N178">
        <v>97.78</v>
      </c>
      <c r="O178">
        <v>1.93</v>
      </c>
      <c r="P178">
        <v>5</v>
      </c>
      <c r="Q178">
        <v>0.96</v>
      </c>
      <c r="R178">
        <v>337</v>
      </c>
      <c r="S178">
        <v>6.53</v>
      </c>
      <c r="T178">
        <v>0.55000000000000004</v>
      </c>
      <c r="U178" s="1">
        <v>45581</v>
      </c>
      <c r="V178">
        <v>204.34</v>
      </c>
      <c r="W178">
        <v>0.496</v>
      </c>
      <c r="X178" t="str">
        <f>IF(WarehouseData[[#This Row],[stock_level]]&lt;=WarehouseData[[#This Row],[reorder_point]],"Low Stock","Sufficient Stock")</f>
        <v>Sufficient Stock</v>
      </c>
      <c r="Y178">
        <f>WarehouseData[[#This Row],[daily_demand]]*WarehouseData[[#This Row],[lead_time_days]]</f>
        <v>48.599999999999994</v>
      </c>
      <c r="Z178" t="str">
        <f>IF(WarehouseData[[#This Row],[stock_level]]&lt;=WarehouseData[[#This Row],[Demand During Lead Time]],"At Risk","Safe")</f>
        <v>Safe</v>
      </c>
      <c r="AA178">
        <f>WarehouseData[[#This Row],[stock_level]]/WarehouseData[[#This Row],[daily_demand]]</f>
        <v>44.074074074074076</v>
      </c>
      <c r="AB178">
        <f>WarehouseData[[#This Row],[stock_level]]*WarehouseData[[#This Row],[unit_price]]</f>
        <v>34907.46</v>
      </c>
      <c r="AC178">
        <f>WarehouseData[[#This Row],[stock_level]]*WarehouseData[[#This Row],[holding_cost_per_unit_day]]*30</f>
        <v>20670.3</v>
      </c>
      <c r="AD178" t="str">
        <f>IF(WarehouseData[[#This Row],[order_fulfillment_rate]]&gt;=0.9,"Strong",IF(WarehouseData[[#This Row],[order_fulfillment_rate]]&gt;=0.8,"Moderate","Needs Attention"))</f>
        <v>Strong</v>
      </c>
      <c r="AE178" t="str">
        <f>IF(WarehouseData[[#This Row],[picking_time_seconds]]&gt;120,"Slow",IF(WarehouseData[[#This Row],[picking_time_seconds]]&gt;=60,"Average","Fast"))</f>
        <v>Fast</v>
      </c>
    </row>
    <row r="179" spans="1:31" x14ac:dyDescent="0.25">
      <c r="A179" t="s">
        <v>300</v>
      </c>
      <c r="B179" t="s">
        <v>73</v>
      </c>
      <c r="C179">
        <v>418</v>
      </c>
      <c r="D179">
        <v>31</v>
      </c>
      <c r="E179">
        <v>12</v>
      </c>
      <c r="F179">
        <v>6</v>
      </c>
      <c r="G179">
        <v>29.49</v>
      </c>
      <c r="H179">
        <v>2.21</v>
      </c>
      <c r="I179">
        <v>0.56000000000000005</v>
      </c>
      <c r="J179" t="s">
        <v>301</v>
      </c>
      <c r="K179" t="s">
        <v>46</v>
      </c>
      <c r="L179">
        <v>130</v>
      </c>
      <c r="M179">
        <v>0.6</v>
      </c>
      <c r="N179">
        <v>191.24</v>
      </c>
      <c r="O179">
        <v>1.35</v>
      </c>
      <c r="P179">
        <v>9</v>
      </c>
      <c r="Q179">
        <v>0.72</v>
      </c>
      <c r="R179">
        <v>870</v>
      </c>
      <c r="S179">
        <v>1.49</v>
      </c>
      <c r="T179">
        <v>0.28999999999999998</v>
      </c>
      <c r="U179" s="1">
        <v>45340</v>
      </c>
      <c r="V179">
        <v>87.21</v>
      </c>
      <c r="W179">
        <v>0.307</v>
      </c>
      <c r="X179" t="str">
        <f>IF(WarehouseData[[#This Row],[stock_level]]&lt;=WarehouseData[[#This Row],[reorder_point]],"Low Stock","Sufficient Stock")</f>
        <v>Sufficient Stock</v>
      </c>
      <c r="Y179">
        <f>WarehouseData[[#This Row],[daily_demand]]*WarehouseData[[#This Row],[lead_time_days]]</f>
        <v>176.94</v>
      </c>
      <c r="Z179" t="str">
        <f>IF(WarehouseData[[#This Row],[stock_level]]&lt;=WarehouseData[[#This Row],[Demand During Lead Time]],"At Risk","Safe")</f>
        <v>Safe</v>
      </c>
      <c r="AA179">
        <f>WarehouseData[[#This Row],[stock_level]]/WarehouseData[[#This Row],[daily_demand]]</f>
        <v>14.174296371651408</v>
      </c>
      <c r="AB179">
        <f>WarehouseData[[#This Row],[stock_level]]*WarehouseData[[#This Row],[unit_price]]</f>
        <v>79938.320000000007</v>
      </c>
      <c r="AC179">
        <f>WarehouseData[[#This Row],[stock_level]]*WarehouseData[[#This Row],[holding_cost_per_unit_day]]*30</f>
        <v>16929.000000000004</v>
      </c>
      <c r="AD179" t="str">
        <f>IF(WarehouseData[[#This Row],[order_fulfillment_rate]]&gt;=0.9,"Strong",IF(WarehouseData[[#This Row],[order_fulfillment_rate]]&gt;=0.8,"Moderate","Needs Attention"))</f>
        <v>Needs Attention</v>
      </c>
      <c r="AE179" t="str">
        <f>IF(WarehouseData[[#This Row],[picking_time_seconds]]&gt;120,"Slow",IF(WarehouseData[[#This Row],[picking_time_seconds]]&gt;=60,"Average","Fast"))</f>
        <v>Slow</v>
      </c>
    </row>
    <row r="180" spans="1:31" x14ac:dyDescent="0.25">
      <c r="A180" t="s">
        <v>302</v>
      </c>
      <c r="B180" t="s">
        <v>36</v>
      </c>
      <c r="C180">
        <v>326</v>
      </c>
      <c r="D180">
        <v>41</v>
      </c>
      <c r="E180">
        <v>4</v>
      </c>
      <c r="F180">
        <v>6</v>
      </c>
      <c r="G180">
        <v>9.24</v>
      </c>
      <c r="H180">
        <v>0.65</v>
      </c>
      <c r="I180">
        <v>0.75</v>
      </c>
      <c r="J180" t="s">
        <v>106</v>
      </c>
      <c r="K180" t="s">
        <v>34</v>
      </c>
      <c r="L180">
        <v>44</v>
      </c>
      <c r="M180">
        <v>1.2</v>
      </c>
      <c r="N180">
        <v>197.23</v>
      </c>
      <c r="O180">
        <v>0.42</v>
      </c>
      <c r="P180">
        <v>9</v>
      </c>
      <c r="Q180">
        <v>0.77</v>
      </c>
      <c r="R180">
        <v>118</v>
      </c>
      <c r="S180">
        <v>2.66</v>
      </c>
      <c r="T180">
        <v>0.28000000000000003</v>
      </c>
      <c r="U180" s="1">
        <v>45562</v>
      </c>
      <c r="V180">
        <v>125.46</v>
      </c>
      <c r="W180">
        <v>0.42299999999999999</v>
      </c>
      <c r="X180" t="str">
        <f>IF(WarehouseData[[#This Row],[stock_level]]&lt;=WarehouseData[[#This Row],[reorder_point]],"Low Stock","Sufficient Stock")</f>
        <v>Sufficient Stock</v>
      </c>
      <c r="Y180">
        <f>WarehouseData[[#This Row],[daily_demand]]*WarehouseData[[#This Row],[lead_time_days]]</f>
        <v>55.44</v>
      </c>
      <c r="Z180" t="str">
        <f>IF(WarehouseData[[#This Row],[stock_level]]&lt;=WarehouseData[[#This Row],[Demand During Lead Time]],"At Risk","Safe")</f>
        <v>Safe</v>
      </c>
      <c r="AA180">
        <f>WarehouseData[[#This Row],[stock_level]]/WarehouseData[[#This Row],[daily_demand]]</f>
        <v>35.281385281385283</v>
      </c>
      <c r="AB180">
        <f>WarehouseData[[#This Row],[stock_level]]*WarehouseData[[#This Row],[unit_price]]</f>
        <v>64296.979999999996</v>
      </c>
      <c r="AC180">
        <f>WarehouseData[[#This Row],[stock_level]]*WarehouseData[[#This Row],[holding_cost_per_unit_day]]*30</f>
        <v>4107.5999999999995</v>
      </c>
      <c r="AD180" t="str">
        <f>IF(WarehouseData[[#This Row],[order_fulfillment_rate]]&gt;=0.9,"Strong",IF(WarehouseData[[#This Row],[order_fulfillment_rate]]&gt;=0.8,"Moderate","Needs Attention"))</f>
        <v>Needs Attention</v>
      </c>
      <c r="AE180" t="str">
        <f>IF(WarehouseData[[#This Row],[picking_time_seconds]]&gt;120,"Slow",IF(WarehouseData[[#This Row],[picking_time_seconds]]&gt;=60,"Average","Fast"))</f>
        <v>Fast</v>
      </c>
    </row>
    <row r="181" spans="1:31" x14ac:dyDescent="0.25">
      <c r="A181" t="s">
        <v>303</v>
      </c>
      <c r="B181" t="s">
        <v>73</v>
      </c>
      <c r="C181">
        <v>160</v>
      </c>
      <c r="D181">
        <v>78</v>
      </c>
      <c r="E181">
        <v>9</v>
      </c>
      <c r="F181">
        <v>7</v>
      </c>
      <c r="G181">
        <v>21.81</v>
      </c>
      <c r="H181">
        <v>2.5</v>
      </c>
      <c r="I181">
        <v>0.14000000000000001</v>
      </c>
      <c r="J181" t="s">
        <v>135</v>
      </c>
      <c r="K181" t="s">
        <v>52</v>
      </c>
      <c r="L181">
        <v>24</v>
      </c>
      <c r="M181">
        <v>3.31</v>
      </c>
      <c r="N181">
        <v>103.69</v>
      </c>
      <c r="O181">
        <v>0.95</v>
      </c>
      <c r="P181">
        <v>8</v>
      </c>
      <c r="Q181">
        <v>0.81</v>
      </c>
      <c r="R181">
        <v>330</v>
      </c>
      <c r="S181">
        <v>14.17</v>
      </c>
      <c r="T181">
        <v>0.22</v>
      </c>
      <c r="U181" s="1">
        <v>45313</v>
      </c>
      <c r="V181">
        <v>44.73</v>
      </c>
      <c r="W181">
        <v>0.54</v>
      </c>
      <c r="X181" t="str">
        <f>IF(WarehouseData[[#This Row],[stock_level]]&lt;=WarehouseData[[#This Row],[reorder_point]],"Low Stock","Sufficient Stock")</f>
        <v>Sufficient Stock</v>
      </c>
      <c r="Y181">
        <f>WarehouseData[[#This Row],[daily_demand]]*WarehouseData[[#This Row],[lead_time_days]]</f>
        <v>152.66999999999999</v>
      </c>
      <c r="Z181" t="str">
        <f>IF(WarehouseData[[#This Row],[stock_level]]&lt;=WarehouseData[[#This Row],[Demand During Lead Time]],"At Risk","Safe")</f>
        <v>Safe</v>
      </c>
      <c r="AA181">
        <f>WarehouseData[[#This Row],[stock_level]]/WarehouseData[[#This Row],[daily_demand]]</f>
        <v>7.3360843649701977</v>
      </c>
      <c r="AB181">
        <f>WarehouseData[[#This Row],[stock_level]]*WarehouseData[[#This Row],[unit_price]]</f>
        <v>16590.400000000001</v>
      </c>
      <c r="AC181">
        <f>WarehouseData[[#This Row],[stock_level]]*WarehouseData[[#This Row],[holding_cost_per_unit_day]]*30</f>
        <v>4560</v>
      </c>
      <c r="AD181" t="str">
        <f>IF(WarehouseData[[#This Row],[order_fulfillment_rate]]&gt;=0.9,"Strong",IF(WarehouseData[[#This Row],[order_fulfillment_rate]]&gt;=0.8,"Moderate","Needs Attention"))</f>
        <v>Moderate</v>
      </c>
      <c r="AE181" t="str">
        <f>IF(WarehouseData[[#This Row],[picking_time_seconds]]&gt;120,"Slow",IF(WarehouseData[[#This Row],[picking_time_seconds]]&gt;=60,"Average","Fast"))</f>
        <v>Fast</v>
      </c>
    </row>
    <row r="182" spans="1:31" x14ac:dyDescent="0.25">
      <c r="A182" t="s">
        <v>304</v>
      </c>
      <c r="B182" t="s">
        <v>73</v>
      </c>
      <c r="C182">
        <v>102</v>
      </c>
      <c r="D182">
        <v>96</v>
      </c>
      <c r="E182">
        <v>9</v>
      </c>
      <c r="F182">
        <v>2</v>
      </c>
      <c r="G182">
        <v>23.59</v>
      </c>
      <c r="H182">
        <v>5.43</v>
      </c>
      <c r="I182">
        <v>0.6</v>
      </c>
      <c r="J182" t="s">
        <v>102</v>
      </c>
      <c r="K182" t="s">
        <v>52</v>
      </c>
      <c r="L182">
        <v>115</v>
      </c>
      <c r="M182">
        <v>0.8</v>
      </c>
      <c r="N182">
        <v>174.28</v>
      </c>
      <c r="O182">
        <v>1.57</v>
      </c>
      <c r="P182">
        <v>2</v>
      </c>
      <c r="Q182">
        <v>0.93</v>
      </c>
      <c r="R182">
        <v>912</v>
      </c>
      <c r="S182">
        <v>10.73</v>
      </c>
      <c r="T182">
        <v>0.82</v>
      </c>
      <c r="U182" s="1">
        <v>45409</v>
      </c>
      <c r="V182">
        <v>83.41</v>
      </c>
      <c r="W182">
        <v>0.69599999999999995</v>
      </c>
      <c r="X182" t="str">
        <f>IF(WarehouseData[[#This Row],[stock_level]]&lt;=WarehouseData[[#This Row],[reorder_point]],"Low Stock","Sufficient Stock")</f>
        <v>Sufficient Stock</v>
      </c>
      <c r="Y182">
        <f>WarehouseData[[#This Row],[daily_demand]]*WarehouseData[[#This Row],[lead_time_days]]</f>
        <v>47.18</v>
      </c>
      <c r="Z182" t="str">
        <f>IF(WarehouseData[[#This Row],[stock_level]]&lt;=WarehouseData[[#This Row],[Demand During Lead Time]],"At Risk","Safe")</f>
        <v>Safe</v>
      </c>
      <c r="AA182">
        <f>WarehouseData[[#This Row],[stock_level]]/WarehouseData[[#This Row],[daily_demand]]</f>
        <v>4.3238660449342943</v>
      </c>
      <c r="AB182">
        <f>WarehouseData[[#This Row],[stock_level]]*WarehouseData[[#This Row],[unit_price]]</f>
        <v>17776.560000000001</v>
      </c>
      <c r="AC182">
        <f>WarehouseData[[#This Row],[stock_level]]*WarehouseData[[#This Row],[holding_cost_per_unit_day]]*30</f>
        <v>4804.2000000000007</v>
      </c>
      <c r="AD182" t="str">
        <f>IF(WarehouseData[[#This Row],[order_fulfillment_rate]]&gt;=0.9,"Strong",IF(WarehouseData[[#This Row],[order_fulfillment_rate]]&gt;=0.8,"Moderate","Needs Attention"))</f>
        <v>Strong</v>
      </c>
      <c r="AE182" t="str">
        <f>IF(WarehouseData[[#This Row],[picking_time_seconds]]&gt;120,"Slow",IF(WarehouseData[[#This Row],[picking_time_seconds]]&gt;=60,"Average","Fast"))</f>
        <v>Average</v>
      </c>
    </row>
    <row r="183" spans="1:31" x14ac:dyDescent="0.25">
      <c r="A183" t="s">
        <v>305</v>
      </c>
      <c r="B183" t="s">
        <v>40</v>
      </c>
      <c r="C183">
        <v>196</v>
      </c>
      <c r="D183">
        <v>78</v>
      </c>
      <c r="E183">
        <v>13</v>
      </c>
      <c r="F183">
        <v>2</v>
      </c>
      <c r="G183">
        <v>2</v>
      </c>
      <c r="H183">
        <v>5.62</v>
      </c>
      <c r="I183">
        <v>0.16</v>
      </c>
      <c r="J183" t="s">
        <v>289</v>
      </c>
      <c r="K183" t="s">
        <v>46</v>
      </c>
      <c r="L183">
        <v>137</v>
      </c>
      <c r="M183">
        <v>3.4</v>
      </c>
      <c r="N183">
        <v>10.91</v>
      </c>
      <c r="O183">
        <v>0.9</v>
      </c>
      <c r="P183">
        <v>3</v>
      </c>
      <c r="Q183">
        <v>0.87</v>
      </c>
      <c r="R183">
        <v>391</v>
      </c>
      <c r="S183">
        <v>6.73</v>
      </c>
      <c r="T183">
        <v>0.76</v>
      </c>
      <c r="U183" s="1">
        <v>45400</v>
      </c>
      <c r="V183">
        <v>253.93</v>
      </c>
      <c r="W183">
        <v>0.66600000000000004</v>
      </c>
      <c r="X183" t="str">
        <f>IF(WarehouseData[[#This Row],[stock_level]]&lt;=WarehouseData[[#This Row],[reorder_point]],"Low Stock","Sufficient Stock")</f>
        <v>Sufficient Stock</v>
      </c>
      <c r="Y183">
        <f>WarehouseData[[#This Row],[daily_demand]]*WarehouseData[[#This Row],[lead_time_days]]</f>
        <v>4</v>
      </c>
      <c r="Z183" t="str">
        <f>IF(WarehouseData[[#This Row],[stock_level]]&lt;=WarehouseData[[#This Row],[Demand During Lead Time]],"At Risk","Safe")</f>
        <v>Safe</v>
      </c>
      <c r="AA183">
        <f>WarehouseData[[#This Row],[stock_level]]/WarehouseData[[#This Row],[daily_demand]]</f>
        <v>98</v>
      </c>
      <c r="AB183">
        <f>WarehouseData[[#This Row],[stock_level]]*WarehouseData[[#This Row],[unit_price]]</f>
        <v>2138.36</v>
      </c>
      <c r="AC183">
        <f>WarehouseData[[#This Row],[stock_level]]*WarehouseData[[#This Row],[holding_cost_per_unit_day]]*30</f>
        <v>5292</v>
      </c>
      <c r="AD183" t="str">
        <f>IF(WarehouseData[[#This Row],[order_fulfillment_rate]]&gt;=0.9,"Strong",IF(WarehouseData[[#This Row],[order_fulfillment_rate]]&gt;=0.8,"Moderate","Needs Attention"))</f>
        <v>Moderate</v>
      </c>
      <c r="AE183" t="str">
        <f>IF(WarehouseData[[#This Row],[picking_time_seconds]]&gt;120,"Slow",IF(WarehouseData[[#This Row],[picking_time_seconds]]&gt;=60,"Average","Fast"))</f>
        <v>Slow</v>
      </c>
    </row>
    <row r="184" spans="1:31" x14ac:dyDescent="0.25">
      <c r="A184" t="s">
        <v>306</v>
      </c>
      <c r="B184" t="s">
        <v>73</v>
      </c>
      <c r="C184">
        <v>217</v>
      </c>
      <c r="D184">
        <v>51</v>
      </c>
      <c r="E184">
        <v>6</v>
      </c>
      <c r="F184">
        <v>8</v>
      </c>
      <c r="G184">
        <v>1.82</v>
      </c>
      <c r="H184">
        <v>2.92</v>
      </c>
      <c r="I184">
        <v>0.34</v>
      </c>
      <c r="J184" t="s">
        <v>289</v>
      </c>
      <c r="K184" t="s">
        <v>34</v>
      </c>
      <c r="L184">
        <v>83</v>
      </c>
      <c r="M184">
        <v>4.93</v>
      </c>
      <c r="N184">
        <v>22.66</v>
      </c>
      <c r="O184">
        <v>0.69</v>
      </c>
      <c r="P184">
        <v>2</v>
      </c>
      <c r="Q184">
        <v>0.99</v>
      </c>
      <c r="R184">
        <v>919</v>
      </c>
      <c r="S184">
        <v>13.66</v>
      </c>
      <c r="T184">
        <v>0.67</v>
      </c>
      <c r="U184" s="1">
        <v>45646</v>
      </c>
      <c r="V184">
        <v>137.72</v>
      </c>
      <c r="W184">
        <v>0.80500000000000005</v>
      </c>
      <c r="X184" t="str">
        <f>IF(WarehouseData[[#This Row],[stock_level]]&lt;=WarehouseData[[#This Row],[reorder_point]],"Low Stock","Sufficient Stock")</f>
        <v>Sufficient Stock</v>
      </c>
      <c r="Y184">
        <f>WarehouseData[[#This Row],[daily_demand]]*WarehouseData[[#This Row],[lead_time_days]]</f>
        <v>14.56</v>
      </c>
      <c r="Z184" t="str">
        <f>IF(WarehouseData[[#This Row],[stock_level]]&lt;=WarehouseData[[#This Row],[Demand During Lead Time]],"At Risk","Safe")</f>
        <v>Safe</v>
      </c>
      <c r="AA184">
        <f>WarehouseData[[#This Row],[stock_level]]/WarehouseData[[#This Row],[daily_demand]]</f>
        <v>119.23076923076923</v>
      </c>
      <c r="AB184">
        <f>WarehouseData[[#This Row],[stock_level]]*WarehouseData[[#This Row],[unit_price]]</f>
        <v>4917.22</v>
      </c>
      <c r="AC184">
        <f>WarehouseData[[#This Row],[stock_level]]*WarehouseData[[#This Row],[holding_cost_per_unit_day]]*30</f>
        <v>4491.8999999999996</v>
      </c>
      <c r="AD184" t="str">
        <f>IF(WarehouseData[[#This Row],[order_fulfillment_rate]]&gt;=0.9,"Strong",IF(WarehouseData[[#This Row],[order_fulfillment_rate]]&gt;=0.8,"Moderate","Needs Attention"))</f>
        <v>Strong</v>
      </c>
      <c r="AE184" t="str">
        <f>IF(WarehouseData[[#This Row],[picking_time_seconds]]&gt;120,"Slow",IF(WarehouseData[[#This Row],[picking_time_seconds]]&gt;=60,"Average","Fast"))</f>
        <v>Average</v>
      </c>
    </row>
    <row r="185" spans="1:31" x14ac:dyDescent="0.25">
      <c r="A185" t="s">
        <v>307</v>
      </c>
      <c r="B185" t="s">
        <v>48</v>
      </c>
      <c r="C185">
        <v>131</v>
      </c>
      <c r="D185">
        <v>62</v>
      </c>
      <c r="E185">
        <v>6</v>
      </c>
      <c r="F185">
        <v>6</v>
      </c>
      <c r="G185">
        <v>26.49</v>
      </c>
      <c r="H185">
        <v>1.19</v>
      </c>
      <c r="I185">
        <v>0.61</v>
      </c>
      <c r="J185" t="s">
        <v>129</v>
      </c>
      <c r="K185" t="s">
        <v>46</v>
      </c>
      <c r="L185">
        <v>97</v>
      </c>
      <c r="M185">
        <v>4.45</v>
      </c>
      <c r="N185">
        <v>14.25</v>
      </c>
      <c r="O185">
        <v>1.98</v>
      </c>
      <c r="P185">
        <v>2</v>
      </c>
      <c r="Q185">
        <v>0.77</v>
      </c>
      <c r="R185">
        <v>382</v>
      </c>
      <c r="S185">
        <v>9.26</v>
      </c>
      <c r="T185">
        <v>0.81</v>
      </c>
      <c r="U185" s="1">
        <v>45582</v>
      </c>
      <c r="V185">
        <v>195.68</v>
      </c>
      <c r="W185">
        <v>0.60099999999999998</v>
      </c>
      <c r="X185" t="str">
        <f>IF(WarehouseData[[#This Row],[stock_level]]&lt;=WarehouseData[[#This Row],[reorder_point]],"Low Stock","Sufficient Stock")</f>
        <v>Sufficient Stock</v>
      </c>
      <c r="Y185">
        <f>WarehouseData[[#This Row],[daily_demand]]*WarehouseData[[#This Row],[lead_time_days]]</f>
        <v>158.94</v>
      </c>
      <c r="Z185" t="str">
        <f>IF(WarehouseData[[#This Row],[stock_level]]&lt;=WarehouseData[[#This Row],[Demand During Lead Time]],"At Risk","Safe")</f>
        <v>At Risk</v>
      </c>
      <c r="AA185">
        <f>WarehouseData[[#This Row],[stock_level]]/WarehouseData[[#This Row],[daily_demand]]</f>
        <v>4.9452623631559085</v>
      </c>
      <c r="AB185">
        <f>WarehouseData[[#This Row],[stock_level]]*WarehouseData[[#This Row],[unit_price]]</f>
        <v>1866.75</v>
      </c>
      <c r="AC185">
        <f>WarehouseData[[#This Row],[stock_level]]*WarehouseData[[#This Row],[holding_cost_per_unit_day]]*30</f>
        <v>7781.4</v>
      </c>
      <c r="AD185" t="str">
        <f>IF(WarehouseData[[#This Row],[order_fulfillment_rate]]&gt;=0.9,"Strong",IF(WarehouseData[[#This Row],[order_fulfillment_rate]]&gt;=0.8,"Moderate","Needs Attention"))</f>
        <v>Needs Attention</v>
      </c>
      <c r="AE185" t="str">
        <f>IF(WarehouseData[[#This Row],[picking_time_seconds]]&gt;120,"Slow",IF(WarehouseData[[#This Row],[picking_time_seconds]]&gt;=60,"Average","Fast"))</f>
        <v>Average</v>
      </c>
    </row>
    <row r="186" spans="1:31" x14ac:dyDescent="0.25">
      <c r="A186" t="s">
        <v>308</v>
      </c>
      <c r="B186" t="s">
        <v>48</v>
      </c>
      <c r="C186">
        <v>75</v>
      </c>
      <c r="D186">
        <v>68</v>
      </c>
      <c r="E186">
        <v>3</v>
      </c>
      <c r="F186">
        <v>8</v>
      </c>
      <c r="G186">
        <v>35.11</v>
      </c>
      <c r="H186">
        <v>7.57</v>
      </c>
      <c r="I186">
        <v>0.83</v>
      </c>
      <c r="J186" t="s">
        <v>79</v>
      </c>
      <c r="K186" t="s">
        <v>38</v>
      </c>
      <c r="L186">
        <v>172</v>
      </c>
      <c r="M186">
        <v>3.16</v>
      </c>
      <c r="N186">
        <v>156.9</v>
      </c>
      <c r="O186">
        <v>1.88</v>
      </c>
      <c r="P186">
        <v>0</v>
      </c>
      <c r="Q186">
        <v>0.96</v>
      </c>
      <c r="R186">
        <v>792</v>
      </c>
      <c r="S186">
        <v>11.45</v>
      </c>
      <c r="T186">
        <v>1</v>
      </c>
      <c r="U186" s="1">
        <v>45535</v>
      </c>
      <c r="V186">
        <v>56.33</v>
      </c>
      <c r="W186">
        <v>0.75700000000000001</v>
      </c>
      <c r="X186" t="str">
        <f>IF(WarehouseData[[#This Row],[stock_level]]&lt;=WarehouseData[[#This Row],[reorder_point]],"Low Stock","Sufficient Stock")</f>
        <v>Sufficient Stock</v>
      </c>
      <c r="Y186">
        <f>WarehouseData[[#This Row],[daily_demand]]*WarehouseData[[#This Row],[lead_time_days]]</f>
        <v>280.88</v>
      </c>
      <c r="Z186" t="str">
        <f>IF(WarehouseData[[#This Row],[stock_level]]&lt;=WarehouseData[[#This Row],[Demand During Lead Time]],"At Risk","Safe")</f>
        <v>At Risk</v>
      </c>
      <c r="AA186">
        <f>WarehouseData[[#This Row],[stock_level]]/WarehouseData[[#This Row],[daily_demand]]</f>
        <v>2.1361435488464826</v>
      </c>
      <c r="AB186">
        <f>WarehouseData[[#This Row],[stock_level]]*WarehouseData[[#This Row],[unit_price]]</f>
        <v>11767.5</v>
      </c>
      <c r="AC186">
        <f>WarehouseData[[#This Row],[stock_level]]*WarehouseData[[#This Row],[holding_cost_per_unit_day]]*30</f>
        <v>4230</v>
      </c>
      <c r="AD186" t="str">
        <f>IF(WarehouseData[[#This Row],[order_fulfillment_rate]]&gt;=0.9,"Strong",IF(WarehouseData[[#This Row],[order_fulfillment_rate]]&gt;=0.8,"Moderate","Needs Attention"))</f>
        <v>Strong</v>
      </c>
      <c r="AE186" t="str">
        <f>IF(WarehouseData[[#This Row],[picking_time_seconds]]&gt;120,"Slow",IF(WarehouseData[[#This Row],[picking_time_seconds]]&gt;=60,"Average","Fast"))</f>
        <v>Slow</v>
      </c>
    </row>
    <row r="187" spans="1:31" x14ac:dyDescent="0.25">
      <c r="A187" t="s">
        <v>309</v>
      </c>
      <c r="B187" t="s">
        <v>32</v>
      </c>
      <c r="C187">
        <v>479</v>
      </c>
      <c r="D187">
        <v>83</v>
      </c>
      <c r="E187">
        <v>4</v>
      </c>
      <c r="F187">
        <v>8</v>
      </c>
      <c r="G187">
        <v>47.16</v>
      </c>
      <c r="H187">
        <v>7.7</v>
      </c>
      <c r="I187">
        <v>0.6</v>
      </c>
      <c r="J187" t="s">
        <v>104</v>
      </c>
      <c r="K187" t="s">
        <v>38</v>
      </c>
      <c r="L187">
        <v>38</v>
      </c>
      <c r="M187">
        <v>4.5199999999999996</v>
      </c>
      <c r="N187">
        <v>25.16</v>
      </c>
      <c r="O187">
        <v>1.89</v>
      </c>
      <c r="P187">
        <v>9</v>
      </c>
      <c r="Q187">
        <v>0.78</v>
      </c>
      <c r="R187">
        <v>435</v>
      </c>
      <c r="S187">
        <v>7.04</v>
      </c>
      <c r="T187">
        <v>0.52</v>
      </c>
      <c r="U187" s="1">
        <v>45430</v>
      </c>
      <c r="V187">
        <v>63.16</v>
      </c>
      <c r="W187">
        <v>0.38500000000000001</v>
      </c>
      <c r="X187" t="str">
        <f>IF(WarehouseData[[#This Row],[stock_level]]&lt;=WarehouseData[[#This Row],[reorder_point]],"Low Stock","Sufficient Stock")</f>
        <v>Sufficient Stock</v>
      </c>
      <c r="Y187">
        <f>WarehouseData[[#This Row],[daily_demand]]*WarehouseData[[#This Row],[lead_time_days]]</f>
        <v>377.28</v>
      </c>
      <c r="Z187" t="str">
        <f>IF(WarehouseData[[#This Row],[stock_level]]&lt;=WarehouseData[[#This Row],[Demand During Lead Time]],"At Risk","Safe")</f>
        <v>Safe</v>
      </c>
      <c r="AA187">
        <f>WarehouseData[[#This Row],[stock_level]]/WarehouseData[[#This Row],[daily_demand]]</f>
        <v>10.156912637828668</v>
      </c>
      <c r="AB187">
        <f>WarehouseData[[#This Row],[stock_level]]*WarehouseData[[#This Row],[unit_price]]</f>
        <v>12051.64</v>
      </c>
      <c r="AC187">
        <f>WarehouseData[[#This Row],[stock_level]]*WarehouseData[[#This Row],[holding_cost_per_unit_day]]*30</f>
        <v>27159.3</v>
      </c>
      <c r="AD187" t="str">
        <f>IF(WarehouseData[[#This Row],[order_fulfillment_rate]]&gt;=0.9,"Strong",IF(WarehouseData[[#This Row],[order_fulfillment_rate]]&gt;=0.8,"Moderate","Needs Attention"))</f>
        <v>Needs Attention</v>
      </c>
      <c r="AE187" t="str">
        <f>IF(WarehouseData[[#This Row],[picking_time_seconds]]&gt;120,"Slow",IF(WarehouseData[[#This Row],[picking_time_seconds]]&gt;=60,"Average","Fast"))</f>
        <v>Fast</v>
      </c>
    </row>
    <row r="188" spans="1:31" x14ac:dyDescent="0.25">
      <c r="A188" t="s">
        <v>310</v>
      </c>
      <c r="B188" t="s">
        <v>36</v>
      </c>
      <c r="C188">
        <v>198</v>
      </c>
      <c r="D188">
        <v>48</v>
      </c>
      <c r="E188">
        <v>11</v>
      </c>
      <c r="F188">
        <v>4</v>
      </c>
      <c r="G188">
        <v>9.7799999999999994</v>
      </c>
      <c r="H188">
        <v>9.98</v>
      </c>
      <c r="I188">
        <v>0.94</v>
      </c>
      <c r="J188" t="s">
        <v>311</v>
      </c>
      <c r="K188" t="s">
        <v>34</v>
      </c>
      <c r="L188">
        <v>47</v>
      </c>
      <c r="M188">
        <v>1.02</v>
      </c>
      <c r="N188">
        <v>13.24</v>
      </c>
      <c r="O188">
        <v>0.35</v>
      </c>
      <c r="P188">
        <v>5</v>
      </c>
      <c r="Q188">
        <v>0.77</v>
      </c>
      <c r="R188">
        <v>391</v>
      </c>
      <c r="S188">
        <v>7.04</v>
      </c>
      <c r="T188">
        <v>0.76</v>
      </c>
      <c r="U188" s="1">
        <v>45315</v>
      </c>
      <c r="V188">
        <v>282.87</v>
      </c>
      <c r="W188">
        <v>0.66500000000000004</v>
      </c>
      <c r="X188" t="str">
        <f>IF(WarehouseData[[#This Row],[stock_level]]&lt;=WarehouseData[[#This Row],[reorder_point]],"Low Stock","Sufficient Stock")</f>
        <v>Sufficient Stock</v>
      </c>
      <c r="Y188">
        <f>WarehouseData[[#This Row],[daily_demand]]*WarehouseData[[#This Row],[lead_time_days]]</f>
        <v>39.119999999999997</v>
      </c>
      <c r="Z188" t="str">
        <f>IF(WarehouseData[[#This Row],[stock_level]]&lt;=WarehouseData[[#This Row],[Demand During Lead Time]],"At Risk","Safe")</f>
        <v>Safe</v>
      </c>
      <c r="AA188">
        <f>WarehouseData[[#This Row],[stock_level]]/WarehouseData[[#This Row],[daily_demand]]</f>
        <v>20.245398773006137</v>
      </c>
      <c r="AB188">
        <f>WarehouseData[[#This Row],[stock_level]]*WarehouseData[[#This Row],[unit_price]]</f>
        <v>2621.52</v>
      </c>
      <c r="AC188">
        <f>WarehouseData[[#This Row],[stock_level]]*WarehouseData[[#This Row],[holding_cost_per_unit_day]]*30</f>
        <v>2079</v>
      </c>
      <c r="AD188" t="str">
        <f>IF(WarehouseData[[#This Row],[order_fulfillment_rate]]&gt;=0.9,"Strong",IF(WarehouseData[[#This Row],[order_fulfillment_rate]]&gt;=0.8,"Moderate","Needs Attention"))</f>
        <v>Needs Attention</v>
      </c>
      <c r="AE188" t="str">
        <f>IF(WarehouseData[[#This Row],[picking_time_seconds]]&gt;120,"Slow",IF(WarehouseData[[#This Row],[picking_time_seconds]]&gt;=60,"Average","Fast"))</f>
        <v>Fast</v>
      </c>
    </row>
    <row r="189" spans="1:31" x14ac:dyDescent="0.25">
      <c r="A189" t="s">
        <v>312</v>
      </c>
      <c r="B189" t="s">
        <v>73</v>
      </c>
      <c r="C189">
        <v>440</v>
      </c>
      <c r="D189">
        <v>24</v>
      </c>
      <c r="E189">
        <v>12</v>
      </c>
      <c r="F189">
        <v>7</v>
      </c>
      <c r="G189">
        <v>6.06</v>
      </c>
      <c r="H189">
        <v>9.0500000000000007</v>
      </c>
      <c r="I189">
        <v>0.83</v>
      </c>
      <c r="J189" t="s">
        <v>79</v>
      </c>
      <c r="K189" t="s">
        <v>46</v>
      </c>
      <c r="L189">
        <v>33</v>
      </c>
      <c r="M189">
        <v>2.5499999999999998</v>
      </c>
      <c r="N189">
        <v>38.01</v>
      </c>
      <c r="O189">
        <v>0.55000000000000004</v>
      </c>
      <c r="P189">
        <v>8</v>
      </c>
      <c r="Q189">
        <v>0.85</v>
      </c>
      <c r="R189">
        <v>366</v>
      </c>
      <c r="S189">
        <v>1.96</v>
      </c>
      <c r="T189">
        <v>0.5</v>
      </c>
      <c r="U189" s="1">
        <v>45330</v>
      </c>
      <c r="V189">
        <v>254.02</v>
      </c>
      <c r="W189">
        <v>0.48099999999999998</v>
      </c>
      <c r="X189" t="str">
        <f>IF(WarehouseData[[#This Row],[stock_level]]&lt;=WarehouseData[[#This Row],[reorder_point]],"Low Stock","Sufficient Stock")</f>
        <v>Sufficient Stock</v>
      </c>
      <c r="Y189">
        <f>WarehouseData[[#This Row],[daily_demand]]*WarehouseData[[#This Row],[lead_time_days]]</f>
        <v>42.419999999999995</v>
      </c>
      <c r="Z189" t="str">
        <f>IF(WarehouseData[[#This Row],[stock_level]]&lt;=WarehouseData[[#This Row],[Demand During Lead Time]],"At Risk","Safe")</f>
        <v>Safe</v>
      </c>
      <c r="AA189">
        <f>WarehouseData[[#This Row],[stock_level]]/WarehouseData[[#This Row],[daily_demand]]</f>
        <v>72.60726072607261</v>
      </c>
      <c r="AB189">
        <f>WarehouseData[[#This Row],[stock_level]]*WarehouseData[[#This Row],[unit_price]]</f>
        <v>16724.399999999998</v>
      </c>
      <c r="AC189">
        <f>WarehouseData[[#This Row],[stock_level]]*WarehouseData[[#This Row],[holding_cost_per_unit_day]]*30</f>
        <v>7260.0000000000009</v>
      </c>
      <c r="AD189" t="str">
        <f>IF(WarehouseData[[#This Row],[order_fulfillment_rate]]&gt;=0.9,"Strong",IF(WarehouseData[[#This Row],[order_fulfillment_rate]]&gt;=0.8,"Moderate","Needs Attention"))</f>
        <v>Moderate</v>
      </c>
      <c r="AE189" t="str">
        <f>IF(WarehouseData[[#This Row],[picking_time_seconds]]&gt;120,"Slow",IF(WarehouseData[[#This Row],[picking_time_seconds]]&gt;=60,"Average","Fast"))</f>
        <v>Fast</v>
      </c>
    </row>
    <row r="190" spans="1:31" x14ac:dyDescent="0.25">
      <c r="A190" t="s">
        <v>313</v>
      </c>
      <c r="B190" t="s">
        <v>73</v>
      </c>
      <c r="C190">
        <v>420</v>
      </c>
      <c r="D190">
        <v>80</v>
      </c>
      <c r="E190">
        <v>10</v>
      </c>
      <c r="F190">
        <v>7</v>
      </c>
      <c r="G190">
        <v>3.55</v>
      </c>
      <c r="H190">
        <v>9.3000000000000007</v>
      </c>
      <c r="I190">
        <v>0.24</v>
      </c>
      <c r="J190" t="s">
        <v>57</v>
      </c>
      <c r="K190" t="s">
        <v>46</v>
      </c>
      <c r="L190">
        <v>28</v>
      </c>
      <c r="M190">
        <v>2.4300000000000002</v>
      </c>
      <c r="N190">
        <v>68.2</v>
      </c>
      <c r="O190">
        <v>0.94</v>
      </c>
      <c r="P190">
        <v>4</v>
      </c>
      <c r="Q190">
        <v>0.72</v>
      </c>
      <c r="R190">
        <v>954</v>
      </c>
      <c r="S190">
        <v>11.28</v>
      </c>
      <c r="T190">
        <v>0.48</v>
      </c>
      <c r="U190" s="1">
        <v>45642</v>
      </c>
      <c r="V190">
        <v>239.2</v>
      </c>
      <c r="W190">
        <v>0.61599999999999999</v>
      </c>
      <c r="X190" t="str">
        <f>IF(WarehouseData[[#This Row],[stock_level]]&lt;=WarehouseData[[#This Row],[reorder_point]],"Low Stock","Sufficient Stock")</f>
        <v>Sufficient Stock</v>
      </c>
      <c r="Y190">
        <f>WarehouseData[[#This Row],[daily_demand]]*WarehouseData[[#This Row],[lead_time_days]]</f>
        <v>24.849999999999998</v>
      </c>
      <c r="Z190" t="str">
        <f>IF(WarehouseData[[#This Row],[stock_level]]&lt;=WarehouseData[[#This Row],[Demand During Lead Time]],"At Risk","Safe")</f>
        <v>Safe</v>
      </c>
      <c r="AA190">
        <f>WarehouseData[[#This Row],[stock_level]]/WarehouseData[[#This Row],[daily_demand]]</f>
        <v>118.30985915492958</v>
      </c>
      <c r="AB190">
        <f>WarehouseData[[#This Row],[stock_level]]*WarehouseData[[#This Row],[unit_price]]</f>
        <v>28644</v>
      </c>
      <c r="AC190">
        <f>WarehouseData[[#This Row],[stock_level]]*WarehouseData[[#This Row],[holding_cost_per_unit_day]]*30</f>
        <v>11843.999999999998</v>
      </c>
      <c r="AD190" t="str">
        <f>IF(WarehouseData[[#This Row],[order_fulfillment_rate]]&gt;=0.9,"Strong",IF(WarehouseData[[#This Row],[order_fulfillment_rate]]&gt;=0.8,"Moderate","Needs Attention"))</f>
        <v>Needs Attention</v>
      </c>
      <c r="AE190" t="str">
        <f>IF(WarehouseData[[#This Row],[picking_time_seconds]]&gt;120,"Slow",IF(WarehouseData[[#This Row],[picking_time_seconds]]&gt;=60,"Average","Fast"))</f>
        <v>Fast</v>
      </c>
    </row>
    <row r="191" spans="1:31" x14ac:dyDescent="0.25">
      <c r="A191" t="s">
        <v>314</v>
      </c>
      <c r="B191" t="s">
        <v>40</v>
      </c>
      <c r="C191">
        <v>205</v>
      </c>
      <c r="D191">
        <v>38</v>
      </c>
      <c r="E191">
        <v>10</v>
      </c>
      <c r="F191">
        <v>5</v>
      </c>
      <c r="G191">
        <v>22.37</v>
      </c>
      <c r="H191">
        <v>8.08</v>
      </c>
      <c r="I191">
        <v>0.45</v>
      </c>
      <c r="J191" t="s">
        <v>148</v>
      </c>
      <c r="K191" t="s">
        <v>52</v>
      </c>
      <c r="L191">
        <v>58</v>
      </c>
      <c r="M191">
        <v>2.0099999999999998</v>
      </c>
      <c r="N191">
        <v>98.29</v>
      </c>
      <c r="O191">
        <v>1.68</v>
      </c>
      <c r="P191">
        <v>9</v>
      </c>
      <c r="Q191">
        <v>0.82</v>
      </c>
      <c r="R191">
        <v>356</v>
      </c>
      <c r="S191">
        <v>2.39</v>
      </c>
      <c r="T191">
        <v>0.88</v>
      </c>
      <c r="U191" s="1">
        <v>45435</v>
      </c>
      <c r="V191">
        <v>105.58</v>
      </c>
      <c r="W191">
        <v>0.42399999999999999</v>
      </c>
      <c r="X191" t="str">
        <f>IF(WarehouseData[[#This Row],[stock_level]]&lt;=WarehouseData[[#This Row],[reorder_point]],"Low Stock","Sufficient Stock")</f>
        <v>Sufficient Stock</v>
      </c>
      <c r="Y191">
        <f>WarehouseData[[#This Row],[daily_demand]]*WarehouseData[[#This Row],[lead_time_days]]</f>
        <v>111.85000000000001</v>
      </c>
      <c r="Z191" t="str">
        <f>IF(WarehouseData[[#This Row],[stock_level]]&lt;=WarehouseData[[#This Row],[Demand During Lead Time]],"At Risk","Safe")</f>
        <v>Safe</v>
      </c>
      <c r="AA191">
        <f>WarehouseData[[#This Row],[stock_level]]/WarehouseData[[#This Row],[daily_demand]]</f>
        <v>9.1640590075994623</v>
      </c>
      <c r="AB191">
        <f>WarehouseData[[#This Row],[stock_level]]*WarehouseData[[#This Row],[unit_price]]</f>
        <v>20149.45</v>
      </c>
      <c r="AC191">
        <f>WarehouseData[[#This Row],[stock_level]]*WarehouseData[[#This Row],[holding_cost_per_unit_day]]*30</f>
        <v>10332</v>
      </c>
      <c r="AD191" t="str">
        <f>IF(WarehouseData[[#This Row],[order_fulfillment_rate]]&gt;=0.9,"Strong",IF(WarehouseData[[#This Row],[order_fulfillment_rate]]&gt;=0.8,"Moderate","Needs Attention"))</f>
        <v>Moderate</v>
      </c>
      <c r="AE191" t="str">
        <f>IF(WarehouseData[[#This Row],[picking_time_seconds]]&gt;120,"Slow",IF(WarehouseData[[#This Row],[picking_time_seconds]]&gt;=60,"Average","Fast"))</f>
        <v>Fast</v>
      </c>
    </row>
    <row r="192" spans="1:31" x14ac:dyDescent="0.25">
      <c r="A192" t="s">
        <v>315</v>
      </c>
      <c r="B192" t="s">
        <v>48</v>
      </c>
      <c r="C192">
        <v>490</v>
      </c>
      <c r="D192">
        <v>12</v>
      </c>
      <c r="E192">
        <v>11</v>
      </c>
      <c r="F192">
        <v>9</v>
      </c>
      <c r="G192">
        <v>31.53</v>
      </c>
      <c r="H192">
        <v>6.35</v>
      </c>
      <c r="I192">
        <v>0.7</v>
      </c>
      <c r="J192" t="s">
        <v>316</v>
      </c>
      <c r="K192" t="s">
        <v>34</v>
      </c>
      <c r="L192">
        <v>53</v>
      </c>
      <c r="M192">
        <v>0.5</v>
      </c>
      <c r="N192">
        <v>22.43</v>
      </c>
      <c r="O192">
        <v>1.5</v>
      </c>
      <c r="P192">
        <v>1</v>
      </c>
      <c r="Q192">
        <v>0.81</v>
      </c>
      <c r="R192">
        <v>819</v>
      </c>
      <c r="S192">
        <v>11.7</v>
      </c>
      <c r="T192">
        <v>0.66</v>
      </c>
      <c r="U192" s="1">
        <v>45570</v>
      </c>
      <c r="V192">
        <v>173.2</v>
      </c>
      <c r="W192">
        <v>0.68</v>
      </c>
      <c r="X192" t="str">
        <f>IF(WarehouseData[[#This Row],[stock_level]]&lt;=WarehouseData[[#This Row],[reorder_point]],"Low Stock","Sufficient Stock")</f>
        <v>Sufficient Stock</v>
      </c>
      <c r="Y192">
        <f>WarehouseData[[#This Row],[daily_demand]]*WarehouseData[[#This Row],[lead_time_days]]</f>
        <v>283.77</v>
      </c>
      <c r="Z192" t="str">
        <f>IF(WarehouseData[[#This Row],[stock_level]]&lt;=WarehouseData[[#This Row],[Demand During Lead Time]],"At Risk","Safe")</f>
        <v>Safe</v>
      </c>
      <c r="AA192">
        <f>WarehouseData[[#This Row],[stock_level]]/WarehouseData[[#This Row],[daily_demand]]</f>
        <v>15.540754836663494</v>
      </c>
      <c r="AB192">
        <f>WarehouseData[[#This Row],[stock_level]]*WarehouseData[[#This Row],[unit_price]]</f>
        <v>10990.7</v>
      </c>
      <c r="AC192">
        <f>WarehouseData[[#This Row],[stock_level]]*WarehouseData[[#This Row],[holding_cost_per_unit_day]]*30</f>
        <v>22050</v>
      </c>
      <c r="AD192" t="str">
        <f>IF(WarehouseData[[#This Row],[order_fulfillment_rate]]&gt;=0.9,"Strong",IF(WarehouseData[[#This Row],[order_fulfillment_rate]]&gt;=0.8,"Moderate","Needs Attention"))</f>
        <v>Moderate</v>
      </c>
      <c r="AE192" t="str">
        <f>IF(WarehouseData[[#This Row],[picking_time_seconds]]&gt;120,"Slow",IF(WarehouseData[[#This Row],[picking_time_seconds]]&gt;=60,"Average","Fast"))</f>
        <v>Fast</v>
      </c>
    </row>
    <row r="193" spans="1:31" x14ac:dyDescent="0.25">
      <c r="A193" t="s">
        <v>317</v>
      </c>
      <c r="B193" t="s">
        <v>36</v>
      </c>
      <c r="C193">
        <v>237</v>
      </c>
      <c r="D193">
        <v>92</v>
      </c>
      <c r="E193">
        <v>9</v>
      </c>
      <c r="F193">
        <v>8</v>
      </c>
      <c r="G193">
        <v>42.19</v>
      </c>
      <c r="H193">
        <v>1.72</v>
      </c>
      <c r="I193">
        <v>0.94</v>
      </c>
      <c r="J193" t="s">
        <v>33</v>
      </c>
      <c r="K193" t="s">
        <v>46</v>
      </c>
      <c r="L193">
        <v>163</v>
      </c>
      <c r="M193">
        <v>4.51</v>
      </c>
      <c r="N193">
        <v>104.81</v>
      </c>
      <c r="O193">
        <v>1.71</v>
      </c>
      <c r="P193">
        <v>9</v>
      </c>
      <c r="Q193">
        <v>0.75</v>
      </c>
      <c r="R193">
        <v>222</v>
      </c>
      <c r="S193">
        <v>3.67</v>
      </c>
      <c r="T193">
        <v>0.3</v>
      </c>
      <c r="U193" s="1">
        <v>45580</v>
      </c>
      <c r="V193">
        <v>152.78</v>
      </c>
      <c r="W193">
        <v>0.308</v>
      </c>
      <c r="X193" t="str">
        <f>IF(WarehouseData[[#This Row],[stock_level]]&lt;=WarehouseData[[#This Row],[reorder_point]],"Low Stock","Sufficient Stock")</f>
        <v>Sufficient Stock</v>
      </c>
      <c r="Y193">
        <f>WarehouseData[[#This Row],[daily_demand]]*WarehouseData[[#This Row],[lead_time_days]]</f>
        <v>337.52</v>
      </c>
      <c r="Z193" t="str">
        <f>IF(WarehouseData[[#This Row],[stock_level]]&lt;=WarehouseData[[#This Row],[Demand During Lead Time]],"At Risk","Safe")</f>
        <v>At Risk</v>
      </c>
      <c r="AA193">
        <f>WarehouseData[[#This Row],[stock_level]]/WarehouseData[[#This Row],[daily_demand]]</f>
        <v>5.6174448921545395</v>
      </c>
      <c r="AB193">
        <f>WarehouseData[[#This Row],[stock_level]]*WarehouseData[[#This Row],[unit_price]]</f>
        <v>24839.97</v>
      </c>
      <c r="AC193">
        <f>WarehouseData[[#This Row],[stock_level]]*WarehouseData[[#This Row],[holding_cost_per_unit_day]]*30</f>
        <v>12158.099999999999</v>
      </c>
      <c r="AD193" t="str">
        <f>IF(WarehouseData[[#This Row],[order_fulfillment_rate]]&gt;=0.9,"Strong",IF(WarehouseData[[#This Row],[order_fulfillment_rate]]&gt;=0.8,"Moderate","Needs Attention"))</f>
        <v>Needs Attention</v>
      </c>
      <c r="AE193" t="str">
        <f>IF(WarehouseData[[#This Row],[picking_time_seconds]]&gt;120,"Slow",IF(WarehouseData[[#This Row],[picking_time_seconds]]&gt;=60,"Average","Fast"))</f>
        <v>Slow</v>
      </c>
    </row>
    <row r="194" spans="1:31" x14ac:dyDescent="0.25">
      <c r="A194" t="s">
        <v>318</v>
      </c>
      <c r="B194" t="s">
        <v>32</v>
      </c>
      <c r="C194">
        <v>432</v>
      </c>
      <c r="D194">
        <v>19</v>
      </c>
      <c r="E194">
        <v>11</v>
      </c>
      <c r="F194">
        <v>7</v>
      </c>
      <c r="G194">
        <v>34.450000000000003</v>
      </c>
      <c r="H194">
        <v>6.41</v>
      </c>
      <c r="I194">
        <v>0.99</v>
      </c>
      <c r="J194" t="s">
        <v>79</v>
      </c>
      <c r="K194" t="s">
        <v>38</v>
      </c>
      <c r="L194">
        <v>162</v>
      </c>
      <c r="M194">
        <v>4</v>
      </c>
      <c r="N194">
        <v>57.13</v>
      </c>
      <c r="O194">
        <v>1.85</v>
      </c>
      <c r="P194">
        <v>3</v>
      </c>
      <c r="Q194">
        <v>0.96</v>
      </c>
      <c r="R194">
        <v>593</v>
      </c>
      <c r="S194">
        <v>4.46</v>
      </c>
      <c r="T194">
        <v>0.52</v>
      </c>
      <c r="U194" s="1">
        <v>45628</v>
      </c>
      <c r="V194">
        <v>287.31</v>
      </c>
      <c r="W194">
        <v>0.51</v>
      </c>
      <c r="X194" t="str">
        <f>IF(WarehouseData[[#This Row],[stock_level]]&lt;=WarehouseData[[#This Row],[reorder_point]],"Low Stock","Sufficient Stock")</f>
        <v>Sufficient Stock</v>
      </c>
      <c r="Y194">
        <f>WarehouseData[[#This Row],[daily_demand]]*WarehouseData[[#This Row],[lead_time_days]]</f>
        <v>241.15000000000003</v>
      </c>
      <c r="Z194" t="str">
        <f>IF(WarehouseData[[#This Row],[stock_level]]&lt;=WarehouseData[[#This Row],[Demand During Lead Time]],"At Risk","Safe")</f>
        <v>Safe</v>
      </c>
      <c r="AA194">
        <f>WarehouseData[[#This Row],[stock_level]]/WarehouseData[[#This Row],[daily_demand]]</f>
        <v>12.539912917271407</v>
      </c>
      <c r="AB194">
        <f>WarehouseData[[#This Row],[stock_level]]*WarehouseData[[#This Row],[unit_price]]</f>
        <v>24680.16</v>
      </c>
      <c r="AC194">
        <f>WarehouseData[[#This Row],[stock_level]]*WarehouseData[[#This Row],[holding_cost_per_unit_day]]*30</f>
        <v>23976</v>
      </c>
      <c r="AD194" t="str">
        <f>IF(WarehouseData[[#This Row],[order_fulfillment_rate]]&gt;=0.9,"Strong",IF(WarehouseData[[#This Row],[order_fulfillment_rate]]&gt;=0.8,"Moderate","Needs Attention"))</f>
        <v>Strong</v>
      </c>
      <c r="AE194" t="str">
        <f>IF(WarehouseData[[#This Row],[picking_time_seconds]]&gt;120,"Slow",IF(WarehouseData[[#This Row],[picking_time_seconds]]&gt;=60,"Average","Fast"))</f>
        <v>Slow</v>
      </c>
    </row>
    <row r="195" spans="1:31" x14ac:dyDescent="0.25">
      <c r="A195" t="s">
        <v>319</v>
      </c>
      <c r="B195" t="s">
        <v>48</v>
      </c>
      <c r="C195">
        <v>436</v>
      </c>
      <c r="D195">
        <v>38</v>
      </c>
      <c r="E195">
        <v>12</v>
      </c>
      <c r="F195">
        <v>6</v>
      </c>
      <c r="G195">
        <v>11.21</v>
      </c>
      <c r="H195">
        <v>1.03</v>
      </c>
      <c r="I195">
        <v>0.79</v>
      </c>
      <c r="J195" t="s">
        <v>81</v>
      </c>
      <c r="K195" t="s">
        <v>46</v>
      </c>
      <c r="L195">
        <v>44</v>
      </c>
      <c r="M195">
        <v>3.44</v>
      </c>
      <c r="N195">
        <v>62.13</v>
      </c>
      <c r="O195">
        <v>1.58</v>
      </c>
      <c r="P195">
        <v>5</v>
      </c>
      <c r="Q195">
        <v>0.82</v>
      </c>
      <c r="R195">
        <v>249</v>
      </c>
      <c r="S195">
        <v>13.85</v>
      </c>
      <c r="T195">
        <v>0.84</v>
      </c>
      <c r="U195" s="1">
        <v>45308</v>
      </c>
      <c r="V195">
        <v>79.489999999999995</v>
      </c>
      <c r="W195">
        <v>0.65900000000000003</v>
      </c>
      <c r="X195" t="str">
        <f>IF(WarehouseData[[#This Row],[stock_level]]&lt;=WarehouseData[[#This Row],[reorder_point]],"Low Stock","Sufficient Stock")</f>
        <v>Sufficient Stock</v>
      </c>
      <c r="Y195">
        <f>WarehouseData[[#This Row],[daily_demand]]*WarehouseData[[#This Row],[lead_time_days]]</f>
        <v>67.260000000000005</v>
      </c>
      <c r="Z195" t="str">
        <f>IF(WarehouseData[[#This Row],[stock_level]]&lt;=WarehouseData[[#This Row],[Demand During Lead Time]],"At Risk","Safe")</f>
        <v>Safe</v>
      </c>
      <c r="AA195">
        <f>WarehouseData[[#This Row],[stock_level]]/WarehouseData[[#This Row],[daily_demand]]</f>
        <v>38.893844781445132</v>
      </c>
      <c r="AB195">
        <f>WarehouseData[[#This Row],[stock_level]]*WarehouseData[[#This Row],[unit_price]]</f>
        <v>27088.68</v>
      </c>
      <c r="AC195">
        <f>WarehouseData[[#This Row],[stock_level]]*WarehouseData[[#This Row],[holding_cost_per_unit_day]]*30</f>
        <v>20666.400000000001</v>
      </c>
      <c r="AD195" t="str">
        <f>IF(WarehouseData[[#This Row],[order_fulfillment_rate]]&gt;=0.9,"Strong",IF(WarehouseData[[#This Row],[order_fulfillment_rate]]&gt;=0.8,"Moderate","Needs Attention"))</f>
        <v>Moderate</v>
      </c>
      <c r="AE195" t="str">
        <f>IF(WarehouseData[[#This Row],[picking_time_seconds]]&gt;120,"Slow",IF(WarehouseData[[#This Row],[picking_time_seconds]]&gt;=60,"Average","Fast"))</f>
        <v>Fast</v>
      </c>
    </row>
    <row r="196" spans="1:31" x14ac:dyDescent="0.25">
      <c r="A196" t="s">
        <v>320</v>
      </c>
      <c r="B196" t="s">
        <v>32</v>
      </c>
      <c r="C196">
        <v>335</v>
      </c>
      <c r="D196">
        <v>88</v>
      </c>
      <c r="E196">
        <v>14</v>
      </c>
      <c r="F196">
        <v>9</v>
      </c>
      <c r="G196">
        <v>23.63</v>
      </c>
      <c r="H196">
        <v>8.91</v>
      </c>
      <c r="I196">
        <v>0.62</v>
      </c>
      <c r="J196" t="s">
        <v>86</v>
      </c>
      <c r="K196" t="s">
        <v>46</v>
      </c>
      <c r="L196">
        <v>173</v>
      </c>
      <c r="M196">
        <v>1.08</v>
      </c>
      <c r="N196">
        <v>166.16</v>
      </c>
      <c r="O196">
        <v>0.6</v>
      </c>
      <c r="P196">
        <v>6</v>
      </c>
      <c r="Q196">
        <v>0.99</v>
      </c>
      <c r="R196">
        <v>641</v>
      </c>
      <c r="S196">
        <v>7.6</v>
      </c>
      <c r="T196">
        <v>0.95</v>
      </c>
      <c r="U196" s="1">
        <v>45383</v>
      </c>
      <c r="V196">
        <v>284.7</v>
      </c>
      <c r="W196">
        <v>0.70899999999999996</v>
      </c>
      <c r="X196" t="str">
        <f>IF(WarehouseData[[#This Row],[stock_level]]&lt;=WarehouseData[[#This Row],[reorder_point]],"Low Stock","Sufficient Stock")</f>
        <v>Sufficient Stock</v>
      </c>
      <c r="Y196">
        <f>WarehouseData[[#This Row],[daily_demand]]*WarehouseData[[#This Row],[lead_time_days]]</f>
        <v>212.67</v>
      </c>
      <c r="Z196" t="str">
        <f>IF(WarehouseData[[#This Row],[stock_level]]&lt;=WarehouseData[[#This Row],[Demand During Lead Time]],"At Risk","Safe")</f>
        <v>Safe</v>
      </c>
      <c r="AA196">
        <f>WarehouseData[[#This Row],[stock_level]]/WarehouseData[[#This Row],[daily_demand]]</f>
        <v>14.176893779094373</v>
      </c>
      <c r="AB196">
        <f>WarehouseData[[#This Row],[stock_level]]*WarehouseData[[#This Row],[unit_price]]</f>
        <v>55663.6</v>
      </c>
      <c r="AC196">
        <f>WarehouseData[[#This Row],[stock_level]]*WarehouseData[[#This Row],[holding_cost_per_unit_day]]*30</f>
        <v>6030</v>
      </c>
      <c r="AD196" t="str">
        <f>IF(WarehouseData[[#This Row],[order_fulfillment_rate]]&gt;=0.9,"Strong",IF(WarehouseData[[#This Row],[order_fulfillment_rate]]&gt;=0.8,"Moderate","Needs Attention"))</f>
        <v>Strong</v>
      </c>
      <c r="AE196" t="str">
        <f>IF(WarehouseData[[#This Row],[picking_time_seconds]]&gt;120,"Slow",IF(WarehouseData[[#This Row],[picking_time_seconds]]&gt;=60,"Average","Fast"))</f>
        <v>Slow</v>
      </c>
    </row>
    <row r="197" spans="1:31" x14ac:dyDescent="0.25">
      <c r="A197" t="s">
        <v>321</v>
      </c>
      <c r="B197" t="s">
        <v>40</v>
      </c>
      <c r="C197">
        <v>494</v>
      </c>
      <c r="D197">
        <v>44</v>
      </c>
      <c r="E197">
        <v>4</v>
      </c>
      <c r="F197">
        <v>3</v>
      </c>
      <c r="G197">
        <v>45.61</v>
      </c>
      <c r="H197">
        <v>5.08</v>
      </c>
      <c r="I197">
        <v>0.78</v>
      </c>
      <c r="J197" t="s">
        <v>113</v>
      </c>
      <c r="K197" t="s">
        <v>38</v>
      </c>
      <c r="L197">
        <v>151</v>
      </c>
      <c r="M197">
        <v>2.2000000000000002</v>
      </c>
      <c r="N197">
        <v>197.52</v>
      </c>
      <c r="O197">
        <v>0.64</v>
      </c>
      <c r="P197">
        <v>6</v>
      </c>
      <c r="Q197">
        <v>0.97</v>
      </c>
      <c r="R197">
        <v>914</v>
      </c>
      <c r="S197">
        <v>2.75</v>
      </c>
      <c r="T197">
        <v>0.69</v>
      </c>
      <c r="U197" s="1">
        <v>45453</v>
      </c>
      <c r="V197">
        <v>214.99</v>
      </c>
      <c r="W197">
        <v>0.58499999999999996</v>
      </c>
      <c r="X197" t="str">
        <f>IF(WarehouseData[[#This Row],[stock_level]]&lt;=WarehouseData[[#This Row],[reorder_point]],"Low Stock","Sufficient Stock")</f>
        <v>Sufficient Stock</v>
      </c>
      <c r="Y197">
        <f>WarehouseData[[#This Row],[daily_demand]]*WarehouseData[[#This Row],[lead_time_days]]</f>
        <v>136.82999999999998</v>
      </c>
      <c r="Z197" t="str">
        <f>IF(WarehouseData[[#This Row],[stock_level]]&lt;=WarehouseData[[#This Row],[Demand During Lead Time]],"At Risk","Safe")</f>
        <v>Safe</v>
      </c>
      <c r="AA197">
        <f>WarehouseData[[#This Row],[stock_level]]/WarehouseData[[#This Row],[daily_demand]]</f>
        <v>10.830958123218593</v>
      </c>
      <c r="AB197">
        <f>WarehouseData[[#This Row],[stock_level]]*WarehouseData[[#This Row],[unit_price]]</f>
        <v>97574.88</v>
      </c>
      <c r="AC197">
        <f>WarehouseData[[#This Row],[stock_level]]*WarehouseData[[#This Row],[holding_cost_per_unit_day]]*30</f>
        <v>9484.8000000000011</v>
      </c>
      <c r="AD197" t="str">
        <f>IF(WarehouseData[[#This Row],[order_fulfillment_rate]]&gt;=0.9,"Strong",IF(WarehouseData[[#This Row],[order_fulfillment_rate]]&gt;=0.8,"Moderate","Needs Attention"))</f>
        <v>Strong</v>
      </c>
      <c r="AE197" t="str">
        <f>IF(WarehouseData[[#This Row],[picking_time_seconds]]&gt;120,"Slow",IF(WarehouseData[[#This Row],[picking_time_seconds]]&gt;=60,"Average","Fast"))</f>
        <v>Slow</v>
      </c>
    </row>
    <row r="198" spans="1:31" x14ac:dyDescent="0.25">
      <c r="A198" t="s">
        <v>322</v>
      </c>
      <c r="B198" t="s">
        <v>40</v>
      </c>
      <c r="C198">
        <v>236</v>
      </c>
      <c r="D198">
        <v>15</v>
      </c>
      <c r="E198">
        <v>8</v>
      </c>
      <c r="F198">
        <v>6</v>
      </c>
      <c r="G198">
        <v>17.010000000000002</v>
      </c>
      <c r="H198">
        <v>7.13</v>
      </c>
      <c r="I198">
        <v>0.35</v>
      </c>
      <c r="J198" t="s">
        <v>178</v>
      </c>
      <c r="K198" t="s">
        <v>38</v>
      </c>
      <c r="L198">
        <v>65</v>
      </c>
      <c r="M198">
        <v>4.66</v>
      </c>
      <c r="N198">
        <v>98.13</v>
      </c>
      <c r="O198">
        <v>0.77</v>
      </c>
      <c r="P198">
        <v>3</v>
      </c>
      <c r="Q198">
        <v>0.76</v>
      </c>
      <c r="R198">
        <v>124</v>
      </c>
      <c r="S198">
        <v>13.67</v>
      </c>
      <c r="T198">
        <v>0.52</v>
      </c>
      <c r="U198" s="1">
        <v>45300</v>
      </c>
      <c r="V198">
        <v>129.97</v>
      </c>
      <c r="W198">
        <v>0.70099999999999996</v>
      </c>
      <c r="X198" t="str">
        <f>IF(WarehouseData[[#This Row],[stock_level]]&lt;=WarehouseData[[#This Row],[reorder_point]],"Low Stock","Sufficient Stock")</f>
        <v>Sufficient Stock</v>
      </c>
      <c r="Y198">
        <f>WarehouseData[[#This Row],[daily_demand]]*WarehouseData[[#This Row],[lead_time_days]]</f>
        <v>102.06</v>
      </c>
      <c r="Z198" t="str">
        <f>IF(WarehouseData[[#This Row],[stock_level]]&lt;=WarehouseData[[#This Row],[Demand During Lead Time]],"At Risk","Safe")</f>
        <v>Safe</v>
      </c>
      <c r="AA198">
        <f>WarehouseData[[#This Row],[stock_level]]/WarehouseData[[#This Row],[daily_demand]]</f>
        <v>13.874191651969429</v>
      </c>
      <c r="AB198">
        <f>WarehouseData[[#This Row],[stock_level]]*WarehouseData[[#This Row],[unit_price]]</f>
        <v>23158.68</v>
      </c>
      <c r="AC198">
        <f>WarehouseData[[#This Row],[stock_level]]*WarehouseData[[#This Row],[holding_cost_per_unit_day]]*30</f>
        <v>5451.6</v>
      </c>
      <c r="AD198" t="str">
        <f>IF(WarehouseData[[#This Row],[order_fulfillment_rate]]&gt;=0.9,"Strong",IF(WarehouseData[[#This Row],[order_fulfillment_rate]]&gt;=0.8,"Moderate","Needs Attention"))</f>
        <v>Needs Attention</v>
      </c>
      <c r="AE198" t="str">
        <f>IF(WarehouseData[[#This Row],[picking_time_seconds]]&gt;120,"Slow",IF(WarehouseData[[#This Row],[picking_time_seconds]]&gt;=60,"Average","Fast"))</f>
        <v>Average</v>
      </c>
    </row>
    <row r="199" spans="1:31" x14ac:dyDescent="0.25">
      <c r="A199" t="s">
        <v>323</v>
      </c>
      <c r="B199" t="s">
        <v>73</v>
      </c>
      <c r="C199">
        <v>139</v>
      </c>
      <c r="D199">
        <v>21</v>
      </c>
      <c r="E199">
        <v>5</v>
      </c>
      <c r="F199">
        <v>2</v>
      </c>
      <c r="G199">
        <v>25.44</v>
      </c>
      <c r="H199">
        <v>1</v>
      </c>
      <c r="I199">
        <v>0.36</v>
      </c>
      <c r="J199" t="s">
        <v>104</v>
      </c>
      <c r="K199" t="s">
        <v>46</v>
      </c>
      <c r="L199">
        <v>143</v>
      </c>
      <c r="M199">
        <v>3.28</v>
      </c>
      <c r="N199">
        <v>71.14</v>
      </c>
      <c r="O199">
        <v>0.68</v>
      </c>
      <c r="P199">
        <v>9</v>
      </c>
      <c r="Q199">
        <v>0.85</v>
      </c>
      <c r="R199">
        <v>977</v>
      </c>
      <c r="S199">
        <v>7.33</v>
      </c>
      <c r="T199">
        <v>0.4</v>
      </c>
      <c r="U199" s="1">
        <v>45398</v>
      </c>
      <c r="V199">
        <v>87.24</v>
      </c>
      <c r="W199">
        <v>0.5</v>
      </c>
      <c r="X199" t="str">
        <f>IF(WarehouseData[[#This Row],[stock_level]]&lt;=WarehouseData[[#This Row],[reorder_point]],"Low Stock","Sufficient Stock")</f>
        <v>Sufficient Stock</v>
      </c>
      <c r="Y199">
        <f>WarehouseData[[#This Row],[daily_demand]]*WarehouseData[[#This Row],[lead_time_days]]</f>
        <v>50.88</v>
      </c>
      <c r="Z199" t="str">
        <f>IF(WarehouseData[[#This Row],[stock_level]]&lt;=WarehouseData[[#This Row],[Demand During Lead Time]],"At Risk","Safe")</f>
        <v>Safe</v>
      </c>
      <c r="AA199">
        <f>WarehouseData[[#This Row],[stock_level]]/WarehouseData[[#This Row],[daily_demand]]</f>
        <v>5.4638364779874209</v>
      </c>
      <c r="AB199">
        <f>WarehouseData[[#This Row],[stock_level]]*WarehouseData[[#This Row],[unit_price]]</f>
        <v>9888.4600000000009</v>
      </c>
      <c r="AC199">
        <f>WarehouseData[[#This Row],[stock_level]]*WarehouseData[[#This Row],[holding_cost_per_unit_day]]*30</f>
        <v>2835.6000000000004</v>
      </c>
      <c r="AD199" t="str">
        <f>IF(WarehouseData[[#This Row],[order_fulfillment_rate]]&gt;=0.9,"Strong",IF(WarehouseData[[#This Row],[order_fulfillment_rate]]&gt;=0.8,"Moderate","Needs Attention"))</f>
        <v>Moderate</v>
      </c>
      <c r="AE199" t="str">
        <f>IF(WarehouseData[[#This Row],[picking_time_seconds]]&gt;120,"Slow",IF(WarehouseData[[#This Row],[picking_time_seconds]]&gt;=60,"Average","Fast"))</f>
        <v>Slow</v>
      </c>
    </row>
    <row r="200" spans="1:31" x14ac:dyDescent="0.25">
      <c r="A200" t="s">
        <v>324</v>
      </c>
      <c r="B200" t="s">
        <v>36</v>
      </c>
      <c r="C200">
        <v>458</v>
      </c>
      <c r="D200">
        <v>47</v>
      </c>
      <c r="E200">
        <v>13</v>
      </c>
      <c r="F200">
        <v>7</v>
      </c>
      <c r="G200">
        <v>47.97</v>
      </c>
      <c r="H200">
        <v>5.58</v>
      </c>
      <c r="I200">
        <v>0.69</v>
      </c>
      <c r="J200" t="s">
        <v>106</v>
      </c>
      <c r="K200" t="s">
        <v>38</v>
      </c>
      <c r="L200">
        <v>41</v>
      </c>
      <c r="M200">
        <v>3.22</v>
      </c>
      <c r="N200">
        <v>186.98</v>
      </c>
      <c r="O200">
        <v>0.56999999999999995</v>
      </c>
      <c r="P200">
        <v>9</v>
      </c>
      <c r="Q200">
        <v>0.88</v>
      </c>
      <c r="R200">
        <v>825</v>
      </c>
      <c r="S200">
        <v>2.83</v>
      </c>
      <c r="T200">
        <v>0.54</v>
      </c>
      <c r="U200" s="1">
        <v>45592</v>
      </c>
      <c r="V200">
        <v>229.63</v>
      </c>
      <c r="W200">
        <v>0.48499999999999999</v>
      </c>
      <c r="X200" t="str">
        <f>IF(WarehouseData[[#This Row],[stock_level]]&lt;=WarehouseData[[#This Row],[reorder_point]],"Low Stock","Sufficient Stock")</f>
        <v>Sufficient Stock</v>
      </c>
      <c r="Y200">
        <f>WarehouseData[[#This Row],[daily_demand]]*WarehouseData[[#This Row],[lead_time_days]]</f>
        <v>335.78999999999996</v>
      </c>
      <c r="Z200" t="str">
        <f>IF(WarehouseData[[#This Row],[stock_level]]&lt;=WarehouseData[[#This Row],[Demand During Lead Time]],"At Risk","Safe")</f>
        <v>Safe</v>
      </c>
      <c r="AA200">
        <f>WarehouseData[[#This Row],[stock_level]]/WarehouseData[[#This Row],[daily_demand]]</f>
        <v>9.5476339378778405</v>
      </c>
      <c r="AB200">
        <f>WarehouseData[[#This Row],[stock_level]]*WarehouseData[[#This Row],[unit_price]]</f>
        <v>85636.84</v>
      </c>
      <c r="AC200">
        <f>WarehouseData[[#This Row],[stock_level]]*WarehouseData[[#This Row],[holding_cost_per_unit_day]]*30</f>
        <v>7831.8</v>
      </c>
      <c r="AD200" t="str">
        <f>IF(WarehouseData[[#This Row],[order_fulfillment_rate]]&gt;=0.9,"Strong",IF(WarehouseData[[#This Row],[order_fulfillment_rate]]&gt;=0.8,"Moderate","Needs Attention"))</f>
        <v>Moderate</v>
      </c>
      <c r="AE200" t="str">
        <f>IF(WarehouseData[[#This Row],[picking_time_seconds]]&gt;120,"Slow",IF(WarehouseData[[#This Row],[picking_time_seconds]]&gt;=60,"Average","Fast"))</f>
        <v>Fast</v>
      </c>
    </row>
    <row r="201" spans="1:31" x14ac:dyDescent="0.25">
      <c r="A201" t="s">
        <v>325</v>
      </c>
      <c r="B201" t="s">
        <v>32</v>
      </c>
      <c r="C201">
        <v>413</v>
      </c>
      <c r="D201">
        <v>86</v>
      </c>
      <c r="E201">
        <v>8</v>
      </c>
      <c r="F201">
        <v>9</v>
      </c>
      <c r="G201">
        <v>37</v>
      </c>
      <c r="H201">
        <v>3.36</v>
      </c>
      <c r="I201">
        <v>0.88</v>
      </c>
      <c r="J201" t="s">
        <v>62</v>
      </c>
      <c r="K201" t="s">
        <v>52</v>
      </c>
      <c r="L201">
        <v>35</v>
      </c>
      <c r="M201">
        <v>4.6100000000000003</v>
      </c>
      <c r="N201">
        <v>105.09</v>
      </c>
      <c r="O201">
        <v>1.53</v>
      </c>
      <c r="P201">
        <v>4</v>
      </c>
      <c r="Q201">
        <v>0.95</v>
      </c>
      <c r="R201">
        <v>646</v>
      </c>
      <c r="S201">
        <v>6.47</v>
      </c>
      <c r="T201">
        <v>0.65</v>
      </c>
      <c r="U201" s="1">
        <v>45365</v>
      </c>
      <c r="V201">
        <v>248.65</v>
      </c>
      <c r="W201">
        <v>0.57299999999999995</v>
      </c>
      <c r="X201" t="str">
        <f>IF(WarehouseData[[#This Row],[stock_level]]&lt;=WarehouseData[[#This Row],[reorder_point]],"Low Stock","Sufficient Stock")</f>
        <v>Sufficient Stock</v>
      </c>
      <c r="Y201">
        <f>WarehouseData[[#This Row],[daily_demand]]*WarehouseData[[#This Row],[lead_time_days]]</f>
        <v>333</v>
      </c>
      <c r="Z201" t="str">
        <f>IF(WarehouseData[[#This Row],[stock_level]]&lt;=WarehouseData[[#This Row],[Demand During Lead Time]],"At Risk","Safe")</f>
        <v>Safe</v>
      </c>
      <c r="AA201">
        <f>WarehouseData[[#This Row],[stock_level]]/WarehouseData[[#This Row],[daily_demand]]</f>
        <v>11.162162162162161</v>
      </c>
      <c r="AB201">
        <f>WarehouseData[[#This Row],[stock_level]]*WarehouseData[[#This Row],[unit_price]]</f>
        <v>43402.17</v>
      </c>
      <c r="AC201">
        <f>WarehouseData[[#This Row],[stock_level]]*WarehouseData[[#This Row],[holding_cost_per_unit_day]]*30</f>
        <v>18956.7</v>
      </c>
      <c r="AD201" t="str">
        <f>IF(WarehouseData[[#This Row],[order_fulfillment_rate]]&gt;=0.9,"Strong",IF(WarehouseData[[#This Row],[order_fulfillment_rate]]&gt;=0.8,"Moderate","Needs Attention"))</f>
        <v>Strong</v>
      </c>
      <c r="AE201" t="str">
        <f>IF(WarehouseData[[#This Row],[picking_time_seconds]]&gt;120,"Slow",IF(WarehouseData[[#This Row],[picking_time_seconds]]&gt;=60,"Average","Fast"))</f>
        <v>Fast</v>
      </c>
    </row>
    <row r="202" spans="1:31" x14ac:dyDescent="0.25">
      <c r="A202" t="s">
        <v>326</v>
      </c>
      <c r="B202" t="s">
        <v>48</v>
      </c>
      <c r="C202">
        <v>194</v>
      </c>
      <c r="D202">
        <v>28</v>
      </c>
      <c r="E202">
        <v>5</v>
      </c>
      <c r="F202">
        <v>7</v>
      </c>
      <c r="G202">
        <v>37.64</v>
      </c>
      <c r="H202">
        <v>3.21</v>
      </c>
      <c r="I202">
        <v>0.97</v>
      </c>
      <c r="J202" t="s">
        <v>215</v>
      </c>
      <c r="K202" t="s">
        <v>52</v>
      </c>
      <c r="L202">
        <v>152</v>
      </c>
      <c r="M202">
        <v>3.02</v>
      </c>
      <c r="N202">
        <v>148.77000000000001</v>
      </c>
      <c r="O202">
        <v>0.16</v>
      </c>
      <c r="P202">
        <v>3</v>
      </c>
      <c r="Q202">
        <v>0.97</v>
      </c>
      <c r="R202">
        <v>266</v>
      </c>
      <c r="S202">
        <v>9.25</v>
      </c>
      <c r="T202">
        <v>0.2</v>
      </c>
      <c r="U202" s="1">
        <v>45656</v>
      </c>
      <c r="V202">
        <v>113.68</v>
      </c>
      <c r="W202">
        <v>0.68100000000000005</v>
      </c>
      <c r="X202" t="str">
        <f>IF(WarehouseData[[#This Row],[stock_level]]&lt;=WarehouseData[[#This Row],[reorder_point]],"Low Stock","Sufficient Stock")</f>
        <v>Sufficient Stock</v>
      </c>
      <c r="Y202">
        <f>WarehouseData[[#This Row],[daily_demand]]*WarehouseData[[#This Row],[lead_time_days]]</f>
        <v>263.48</v>
      </c>
      <c r="Z202" t="str">
        <f>IF(WarehouseData[[#This Row],[stock_level]]&lt;=WarehouseData[[#This Row],[Demand During Lead Time]],"At Risk","Safe")</f>
        <v>At Risk</v>
      </c>
      <c r="AA202">
        <f>WarehouseData[[#This Row],[stock_level]]/WarehouseData[[#This Row],[daily_demand]]</f>
        <v>5.1540913921360252</v>
      </c>
      <c r="AB202">
        <f>WarehouseData[[#This Row],[stock_level]]*WarehouseData[[#This Row],[unit_price]]</f>
        <v>28861.38</v>
      </c>
      <c r="AC202">
        <f>WarehouseData[[#This Row],[stock_level]]*WarehouseData[[#This Row],[holding_cost_per_unit_day]]*30</f>
        <v>931.19999999999993</v>
      </c>
      <c r="AD202" t="str">
        <f>IF(WarehouseData[[#This Row],[order_fulfillment_rate]]&gt;=0.9,"Strong",IF(WarehouseData[[#This Row],[order_fulfillment_rate]]&gt;=0.8,"Moderate","Needs Attention"))</f>
        <v>Strong</v>
      </c>
      <c r="AE202" t="str">
        <f>IF(WarehouseData[[#This Row],[picking_time_seconds]]&gt;120,"Slow",IF(WarehouseData[[#This Row],[picking_time_seconds]]&gt;=60,"Average","Fast"))</f>
        <v>Slow</v>
      </c>
    </row>
    <row r="203" spans="1:31" x14ac:dyDescent="0.25">
      <c r="A203" t="s">
        <v>327</v>
      </c>
      <c r="B203" t="s">
        <v>40</v>
      </c>
      <c r="C203">
        <v>42</v>
      </c>
      <c r="D203">
        <v>76</v>
      </c>
      <c r="E203">
        <v>10</v>
      </c>
      <c r="F203">
        <v>5</v>
      </c>
      <c r="G203">
        <v>13.36</v>
      </c>
      <c r="H203">
        <v>4.2</v>
      </c>
      <c r="I203">
        <v>0.41</v>
      </c>
      <c r="J203" t="s">
        <v>281</v>
      </c>
      <c r="K203" t="s">
        <v>52</v>
      </c>
      <c r="L203">
        <v>65</v>
      </c>
      <c r="M203">
        <v>3.19</v>
      </c>
      <c r="N203">
        <v>88.61</v>
      </c>
      <c r="O203">
        <v>1.48</v>
      </c>
      <c r="P203">
        <v>9</v>
      </c>
      <c r="Q203">
        <v>0.89</v>
      </c>
      <c r="R203">
        <v>682</v>
      </c>
      <c r="S203">
        <v>6.07</v>
      </c>
      <c r="T203">
        <v>0.41</v>
      </c>
      <c r="U203" s="1">
        <v>45495</v>
      </c>
      <c r="V203">
        <v>59.85</v>
      </c>
      <c r="W203">
        <v>0.41299999999999998</v>
      </c>
      <c r="X203" t="str">
        <f>IF(WarehouseData[[#This Row],[stock_level]]&lt;=WarehouseData[[#This Row],[reorder_point]],"Low Stock","Sufficient Stock")</f>
        <v>Low Stock</v>
      </c>
      <c r="Y203">
        <f>WarehouseData[[#This Row],[daily_demand]]*WarehouseData[[#This Row],[lead_time_days]]</f>
        <v>66.8</v>
      </c>
      <c r="Z203" t="str">
        <f>IF(WarehouseData[[#This Row],[stock_level]]&lt;=WarehouseData[[#This Row],[Demand During Lead Time]],"At Risk","Safe")</f>
        <v>At Risk</v>
      </c>
      <c r="AA203">
        <f>WarehouseData[[#This Row],[stock_level]]/WarehouseData[[#This Row],[daily_demand]]</f>
        <v>3.1437125748502996</v>
      </c>
      <c r="AB203">
        <f>WarehouseData[[#This Row],[stock_level]]*WarehouseData[[#This Row],[unit_price]]</f>
        <v>3721.62</v>
      </c>
      <c r="AC203">
        <f>WarehouseData[[#This Row],[stock_level]]*WarehouseData[[#This Row],[holding_cost_per_unit_day]]*30</f>
        <v>1864.8</v>
      </c>
      <c r="AD203" t="str">
        <f>IF(WarehouseData[[#This Row],[order_fulfillment_rate]]&gt;=0.9,"Strong",IF(WarehouseData[[#This Row],[order_fulfillment_rate]]&gt;=0.8,"Moderate","Needs Attention"))</f>
        <v>Moderate</v>
      </c>
      <c r="AE203" t="str">
        <f>IF(WarehouseData[[#This Row],[picking_time_seconds]]&gt;120,"Slow",IF(WarehouseData[[#This Row],[picking_time_seconds]]&gt;=60,"Average","Fast"))</f>
        <v>Average</v>
      </c>
    </row>
    <row r="204" spans="1:31" x14ac:dyDescent="0.25">
      <c r="A204" t="s">
        <v>328</v>
      </c>
      <c r="B204" t="s">
        <v>73</v>
      </c>
      <c r="C204">
        <v>232</v>
      </c>
      <c r="D204">
        <v>17</v>
      </c>
      <c r="E204">
        <v>13</v>
      </c>
      <c r="F204">
        <v>8</v>
      </c>
      <c r="G204">
        <v>21.32</v>
      </c>
      <c r="H204">
        <v>0.51</v>
      </c>
      <c r="I204">
        <v>0.82</v>
      </c>
      <c r="J204" t="s">
        <v>102</v>
      </c>
      <c r="K204" t="s">
        <v>38</v>
      </c>
      <c r="L204">
        <v>46</v>
      </c>
      <c r="M204">
        <v>2.06</v>
      </c>
      <c r="N204">
        <v>48.48</v>
      </c>
      <c r="O204">
        <v>1.66</v>
      </c>
      <c r="P204">
        <v>5</v>
      </c>
      <c r="Q204">
        <v>0.71</v>
      </c>
      <c r="R204">
        <v>581</v>
      </c>
      <c r="S204">
        <v>13.94</v>
      </c>
      <c r="T204">
        <v>0.74</v>
      </c>
      <c r="U204" s="1">
        <v>45331</v>
      </c>
      <c r="V204">
        <v>152.75</v>
      </c>
      <c r="W204">
        <v>0.61</v>
      </c>
      <c r="X204" t="str">
        <f>IF(WarehouseData[[#This Row],[stock_level]]&lt;=WarehouseData[[#This Row],[reorder_point]],"Low Stock","Sufficient Stock")</f>
        <v>Sufficient Stock</v>
      </c>
      <c r="Y204">
        <f>WarehouseData[[#This Row],[daily_demand]]*WarehouseData[[#This Row],[lead_time_days]]</f>
        <v>170.56</v>
      </c>
      <c r="Z204" t="str">
        <f>IF(WarehouseData[[#This Row],[stock_level]]&lt;=WarehouseData[[#This Row],[Demand During Lead Time]],"At Risk","Safe")</f>
        <v>Safe</v>
      </c>
      <c r="AA204">
        <f>WarehouseData[[#This Row],[stock_level]]/WarehouseData[[#This Row],[daily_demand]]</f>
        <v>10.881801125703564</v>
      </c>
      <c r="AB204">
        <f>WarehouseData[[#This Row],[stock_level]]*WarehouseData[[#This Row],[unit_price]]</f>
        <v>11247.359999999999</v>
      </c>
      <c r="AC204">
        <f>WarehouseData[[#This Row],[stock_level]]*WarehouseData[[#This Row],[holding_cost_per_unit_day]]*30</f>
        <v>11553.6</v>
      </c>
      <c r="AD204" t="str">
        <f>IF(WarehouseData[[#This Row],[order_fulfillment_rate]]&gt;=0.9,"Strong",IF(WarehouseData[[#This Row],[order_fulfillment_rate]]&gt;=0.8,"Moderate","Needs Attention"))</f>
        <v>Needs Attention</v>
      </c>
      <c r="AE204" t="str">
        <f>IF(WarehouseData[[#This Row],[picking_time_seconds]]&gt;120,"Slow",IF(WarehouseData[[#This Row],[picking_time_seconds]]&gt;=60,"Average","Fast"))</f>
        <v>Fast</v>
      </c>
    </row>
    <row r="205" spans="1:31" x14ac:dyDescent="0.25">
      <c r="A205" t="s">
        <v>329</v>
      </c>
      <c r="B205" t="s">
        <v>73</v>
      </c>
      <c r="C205">
        <v>424</v>
      </c>
      <c r="D205">
        <v>17</v>
      </c>
      <c r="E205">
        <v>6</v>
      </c>
      <c r="F205">
        <v>3</v>
      </c>
      <c r="G205">
        <v>5.03</v>
      </c>
      <c r="H205">
        <v>4.93</v>
      </c>
      <c r="I205">
        <v>0.87</v>
      </c>
      <c r="J205" t="s">
        <v>273</v>
      </c>
      <c r="K205" t="s">
        <v>38</v>
      </c>
      <c r="L205">
        <v>134</v>
      </c>
      <c r="M205">
        <v>2.17</v>
      </c>
      <c r="N205">
        <v>134.43</v>
      </c>
      <c r="O205">
        <v>0.23</v>
      </c>
      <c r="P205">
        <v>6</v>
      </c>
      <c r="Q205">
        <v>0.84</v>
      </c>
      <c r="R205">
        <v>498</v>
      </c>
      <c r="S205">
        <v>4.78</v>
      </c>
      <c r="T205">
        <v>0.74</v>
      </c>
      <c r="U205" s="1">
        <v>45445</v>
      </c>
      <c r="V205">
        <v>145.87</v>
      </c>
      <c r="W205">
        <v>0.63700000000000001</v>
      </c>
      <c r="X205" t="str">
        <f>IF(WarehouseData[[#This Row],[stock_level]]&lt;=WarehouseData[[#This Row],[reorder_point]],"Low Stock","Sufficient Stock")</f>
        <v>Sufficient Stock</v>
      </c>
      <c r="Y205">
        <f>WarehouseData[[#This Row],[daily_demand]]*WarehouseData[[#This Row],[lead_time_days]]</f>
        <v>15.09</v>
      </c>
      <c r="Z205" t="str">
        <f>IF(WarehouseData[[#This Row],[stock_level]]&lt;=WarehouseData[[#This Row],[Demand During Lead Time]],"At Risk","Safe")</f>
        <v>Safe</v>
      </c>
      <c r="AA205">
        <f>WarehouseData[[#This Row],[stock_level]]/WarehouseData[[#This Row],[daily_demand]]</f>
        <v>84.294234592445321</v>
      </c>
      <c r="AB205">
        <f>WarehouseData[[#This Row],[stock_level]]*WarehouseData[[#This Row],[unit_price]]</f>
        <v>56998.32</v>
      </c>
      <c r="AC205">
        <f>WarehouseData[[#This Row],[stock_level]]*WarehouseData[[#This Row],[holding_cost_per_unit_day]]*30</f>
        <v>2925.6000000000004</v>
      </c>
      <c r="AD205" t="str">
        <f>IF(WarehouseData[[#This Row],[order_fulfillment_rate]]&gt;=0.9,"Strong",IF(WarehouseData[[#This Row],[order_fulfillment_rate]]&gt;=0.8,"Moderate","Needs Attention"))</f>
        <v>Moderate</v>
      </c>
      <c r="AE205" t="str">
        <f>IF(WarehouseData[[#This Row],[picking_time_seconds]]&gt;120,"Slow",IF(WarehouseData[[#This Row],[picking_time_seconds]]&gt;=60,"Average","Fast"))</f>
        <v>Slow</v>
      </c>
    </row>
    <row r="206" spans="1:31" x14ac:dyDescent="0.25">
      <c r="A206" t="s">
        <v>330</v>
      </c>
      <c r="B206" t="s">
        <v>32</v>
      </c>
      <c r="C206">
        <v>254</v>
      </c>
      <c r="D206">
        <v>93</v>
      </c>
      <c r="E206">
        <v>14</v>
      </c>
      <c r="F206">
        <v>7</v>
      </c>
      <c r="G206">
        <v>30.72</v>
      </c>
      <c r="H206">
        <v>5.12</v>
      </c>
      <c r="I206">
        <v>0.66</v>
      </c>
      <c r="J206" t="s">
        <v>212</v>
      </c>
      <c r="K206" t="s">
        <v>38</v>
      </c>
      <c r="L206">
        <v>62</v>
      </c>
      <c r="M206">
        <v>3.59</v>
      </c>
      <c r="N206">
        <v>136.32</v>
      </c>
      <c r="O206">
        <v>0.22</v>
      </c>
      <c r="P206">
        <v>1</v>
      </c>
      <c r="Q206">
        <v>0.97</v>
      </c>
      <c r="R206">
        <v>710</v>
      </c>
      <c r="S206">
        <v>3.46</v>
      </c>
      <c r="T206">
        <v>0.72</v>
      </c>
      <c r="U206" s="1">
        <v>45375</v>
      </c>
      <c r="V206">
        <v>220.37</v>
      </c>
      <c r="W206">
        <v>0.74199999999999999</v>
      </c>
      <c r="X206" t="str">
        <f>IF(WarehouseData[[#This Row],[stock_level]]&lt;=WarehouseData[[#This Row],[reorder_point]],"Low Stock","Sufficient Stock")</f>
        <v>Sufficient Stock</v>
      </c>
      <c r="Y206">
        <f>WarehouseData[[#This Row],[daily_demand]]*WarehouseData[[#This Row],[lead_time_days]]</f>
        <v>215.04</v>
      </c>
      <c r="Z206" t="str">
        <f>IF(WarehouseData[[#This Row],[stock_level]]&lt;=WarehouseData[[#This Row],[Demand During Lead Time]],"At Risk","Safe")</f>
        <v>Safe</v>
      </c>
      <c r="AA206">
        <f>WarehouseData[[#This Row],[stock_level]]/WarehouseData[[#This Row],[daily_demand]]</f>
        <v>8.2682291666666679</v>
      </c>
      <c r="AB206">
        <f>WarehouseData[[#This Row],[stock_level]]*WarehouseData[[#This Row],[unit_price]]</f>
        <v>34625.279999999999</v>
      </c>
      <c r="AC206">
        <f>WarehouseData[[#This Row],[stock_level]]*WarehouseData[[#This Row],[holding_cost_per_unit_day]]*30</f>
        <v>1676.4</v>
      </c>
      <c r="AD206" t="str">
        <f>IF(WarehouseData[[#This Row],[order_fulfillment_rate]]&gt;=0.9,"Strong",IF(WarehouseData[[#This Row],[order_fulfillment_rate]]&gt;=0.8,"Moderate","Needs Attention"))</f>
        <v>Strong</v>
      </c>
      <c r="AE206" t="str">
        <f>IF(WarehouseData[[#This Row],[picking_time_seconds]]&gt;120,"Slow",IF(WarehouseData[[#This Row],[picking_time_seconds]]&gt;=60,"Average","Fast"))</f>
        <v>Average</v>
      </c>
    </row>
    <row r="207" spans="1:31" x14ac:dyDescent="0.25">
      <c r="A207" t="s">
        <v>331</v>
      </c>
      <c r="B207" t="s">
        <v>40</v>
      </c>
      <c r="C207">
        <v>32</v>
      </c>
      <c r="D207">
        <v>56</v>
      </c>
      <c r="E207">
        <v>12</v>
      </c>
      <c r="F207">
        <v>5</v>
      </c>
      <c r="G207">
        <v>6.08</v>
      </c>
      <c r="H207">
        <v>8.6999999999999993</v>
      </c>
      <c r="I207">
        <v>0.41</v>
      </c>
      <c r="J207" t="s">
        <v>332</v>
      </c>
      <c r="K207" t="s">
        <v>34</v>
      </c>
      <c r="L207">
        <v>110</v>
      </c>
      <c r="M207">
        <v>1.94</v>
      </c>
      <c r="N207">
        <v>97.43</v>
      </c>
      <c r="O207">
        <v>0.64</v>
      </c>
      <c r="P207">
        <v>9</v>
      </c>
      <c r="Q207">
        <v>0.91</v>
      </c>
      <c r="R207">
        <v>56</v>
      </c>
      <c r="S207">
        <v>4.09</v>
      </c>
      <c r="T207">
        <v>0.96</v>
      </c>
      <c r="U207" s="1">
        <v>45580</v>
      </c>
      <c r="V207">
        <v>292.22000000000003</v>
      </c>
      <c r="W207">
        <v>0.58499999999999996</v>
      </c>
      <c r="X207" t="str">
        <f>IF(WarehouseData[[#This Row],[stock_level]]&lt;=WarehouseData[[#This Row],[reorder_point]],"Low Stock","Sufficient Stock")</f>
        <v>Low Stock</v>
      </c>
      <c r="Y207">
        <f>WarehouseData[[#This Row],[daily_demand]]*WarehouseData[[#This Row],[lead_time_days]]</f>
        <v>30.4</v>
      </c>
      <c r="Z207" t="str">
        <f>IF(WarehouseData[[#This Row],[stock_level]]&lt;=WarehouseData[[#This Row],[Demand During Lead Time]],"At Risk","Safe")</f>
        <v>Safe</v>
      </c>
      <c r="AA207">
        <f>WarehouseData[[#This Row],[stock_level]]/WarehouseData[[#This Row],[daily_demand]]</f>
        <v>5.2631578947368425</v>
      </c>
      <c r="AB207">
        <f>WarehouseData[[#This Row],[stock_level]]*WarehouseData[[#This Row],[unit_price]]</f>
        <v>3117.76</v>
      </c>
      <c r="AC207">
        <f>WarehouseData[[#This Row],[stock_level]]*WarehouseData[[#This Row],[holding_cost_per_unit_day]]*30</f>
        <v>614.4</v>
      </c>
      <c r="AD207" t="str">
        <f>IF(WarehouseData[[#This Row],[order_fulfillment_rate]]&gt;=0.9,"Strong",IF(WarehouseData[[#This Row],[order_fulfillment_rate]]&gt;=0.8,"Moderate","Needs Attention"))</f>
        <v>Strong</v>
      </c>
      <c r="AE207" t="str">
        <f>IF(WarehouseData[[#This Row],[picking_time_seconds]]&gt;120,"Slow",IF(WarehouseData[[#This Row],[picking_time_seconds]]&gt;=60,"Average","Fast"))</f>
        <v>Average</v>
      </c>
    </row>
    <row r="208" spans="1:31" x14ac:dyDescent="0.25">
      <c r="A208" t="s">
        <v>333</v>
      </c>
      <c r="B208" t="s">
        <v>36</v>
      </c>
      <c r="C208">
        <v>120</v>
      </c>
      <c r="D208">
        <v>13</v>
      </c>
      <c r="E208">
        <v>8</v>
      </c>
      <c r="F208">
        <v>5</v>
      </c>
      <c r="G208">
        <v>41.96</v>
      </c>
      <c r="H208">
        <v>4.76</v>
      </c>
      <c r="I208">
        <v>0.66</v>
      </c>
      <c r="J208" t="s">
        <v>334</v>
      </c>
      <c r="K208" t="s">
        <v>38</v>
      </c>
      <c r="L208">
        <v>87</v>
      </c>
      <c r="M208">
        <v>3.02</v>
      </c>
      <c r="N208">
        <v>61.29</v>
      </c>
      <c r="O208">
        <v>0.5</v>
      </c>
      <c r="P208">
        <v>2</v>
      </c>
      <c r="Q208">
        <v>0.96</v>
      </c>
      <c r="R208">
        <v>938</v>
      </c>
      <c r="S208">
        <v>2.17</v>
      </c>
      <c r="T208">
        <v>0.65</v>
      </c>
      <c r="U208" s="1">
        <v>45415</v>
      </c>
      <c r="V208">
        <v>164.07</v>
      </c>
      <c r="W208">
        <v>0.66100000000000003</v>
      </c>
      <c r="X208" t="str">
        <f>IF(WarehouseData[[#This Row],[stock_level]]&lt;=WarehouseData[[#This Row],[reorder_point]],"Low Stock","Sufficient Stock")</f>
        <v>Sufficient Stock</v>
      </c>
      <c r="Y208">
        <f>WarehouseData[[#This Row],[daily_demand]]*WarehouseData[[#This Row],[lead_time_days]]</f>
        <v>209.8</v>
      </c>
      <c r="Z208" t="str">
        <f>IF(WarehouseData[[#This Row],[stock_level]]&lt;=WarehouseData[[#This Row],[Demand During Lead Time]],"At Risk","Safe")</f>
        <v>At Risk</v>
      </c>
      <c r="AA208">
        <f>WarehouseData[[#This Row],[stock_level]]/WarehouseData[[#This Row],[daily_demand]]</f>
        <v>2.8598665395614873</v>
      </c>
      <c r="AB208">
        <f>WarehouseData[[#This Row],[stock_level]]*WarehouseData[[#This Row],[unit_price]]</f>
        <v>7354.8</v>
      </c>
      <c r="AC208">
        <f>WarehouseData[[#This Row],[stock_level]]*WarehouseData[[#This Row],[holding_cost_per_unit_day]]*30</f>
        <v>1800</v>
      </c>
      <c r="AD208" t="str">
        <f>IF(WarehouseData[[#This Row],[order_fulfillment_rate]]&gt;=0.9,"Strong",IF(WarehouseData[[#This Row],[order_fulfillment_rate]]&gt;=0.8,"Moderate","Needs Attention"))</f>
        <v>Strong</v>
      </c>
      <c r="AE208" t="str">
        <f>IF(WarehouseData[[#This Row],[picking_time_seconds]]&gt;120,"Slow",IF(WarehouseData[[#This Row],[picking_time_seconds]]&gt;=60,"Average","Fast"))</f>
        <v>Average</v>
      </c>
    </row>
    <row r="209" spans="1:31" x14ac:dyDescent="0.25">
      <c r="A209" t="s">
        <v>335</v>
      </c>
      <c r="B209" t="s">
        <v>40</v>
      </c>
      <c r="C209">
        <v>436</v>
      </c>
      <c r="D209">
        <v>60</v>
      </c>
      <c r="E209">
        <v>11</v>
      </c>
      <c r="F209">
        <v>3</v>
      </c>
      <c r="G209">
        <v>40.909999999999997</v>
      </c>
      <c r="H209">
        <v>3.95</v>
      </c>
      <c r="I209">
        <v>0.63</v>
      </c>
      <c r="J209" t="s">
        <v>37</v>
      </c>
      <c r="K209" t="s">
        <v>52</v>
      </c>
      <c r="L209">
        <v>45</v>
      </c>
      <c r="M209">
        <v>1.76</v>
      </c>
      <c r="N209">
        <v>168.04</v>
      </c>
      <c r="O209">
        <v>1.2</v>
      </c>
      <c r="P209">
        <v>7</v>
      </c>
      <c r="Q209">
        <v>0.9</v>
      </c>
      <c r="R209">
        <v>939</v>
      </c>
      <c r="S209">
        <v>7.33</v>
      </c>
      <c r="T209">
        <v>0.42</v>
      </c>
      <c r="U209" s="1">
        <v>45582</v>
      </c>
      <c r="V209">
        <v>222.2</v>
      </c>
      <c r="W209">
        <v>0.502</v>
      </c>
      <c r="X209" t="str">
        <f>IF(WarehouseData[[#This Row],[stock_level]]&lt;=WarehouseData[[#This Row],[reorder_point]],"Low Stock","Sufficient Stock")</f>
        <v>Sufficient Stock</v>
      </c>
      <c r="Y209">
        <f>WarehouseData[[#This Row],[daily_demand]]*WarehouseData[[#This Row],[lead_time_days]]</f>
        <v>122.72999999999999</v>
      </c>
      <c r="Z209" t="str">
        <f>IF(WarehouseData[[#This Row],[stock_level]]&lt;=WarehouseData[[#This Row],[Demand During Lead Time]],"At Risk","Safe")</f>
        <v>Safe</v>
      </c>
      <c r="AA209">
        <f>WarehouseData[[#This Row],[stock_level]]/WarehouseData[[#This Row],[daily_demand]]</f>
        <v>10.657540943534588</v>
      </c>
      <c r="AB209">
        <f>WarehouseData[[#This Row],[stock_level]]*WarehouseData[[#This Row],[unit_price]]</f>
        <v>73265.440000000002</v>
      </c>
      <c r="AC209">
        <f>WarehouseData[[#This Row],[stock_level]]*WarehouseData[[#This Row],[holding_cost_per_unit_day]]*30</f>
        <v>15695.999999999998</v>
      </c>
      <c r="AD209" t="str">
        <f>IF(WarehouseData[[#This Row],[order_fulfillment_rate]]&gt;=0.9,"Strong",IF(WarehouseData[[#This Row],[order_fulfillment_rate]]&gt;=0.8,"Moderate","Needs Attention"))</f>
        <v>Strong</v>
      </c>
      <c r="AE209" t="str">
        <f>IF(WarehouseData[[#This Row],[picking_time_seconds]]&gt;120,"Slow",IF(WarehouseData[[#This Row],[picking_time_seconds]]&gt;=60,"Average","Fast"))</f>
        <v>Fast</v>
      </c>
    </row>
    <row r="210" spans="1:31" x14ac:dyDescent="0.25">
      <c r="A210" t="s">
        <v>336</v>
      </c>
      <c r="B210" t="s">
        <v>32</v>
      </c>
      <c r="C210">
        <v>43</v>
      </c>
      <c r="D210">
        <v>94</v>
      </c>
      <c r="E210">
        <v>4</v>
      </c>
      <c r="F210">
        <v>6</v>
      </c>
      <c r="G210">
        <v>27.15</v>
      </c>
      <c r="H210">
        <v>9.9499999999999993</v>
      </c>
      <c r="I210">
        <v>0.65</v>
      </c>
      <c r="J210" t="s">
        <v>152</v>
      </c>
      <c r="K210" t="s">
        <v>52</v>
      </c>
      <c r="L210">
        <v>110</v>
      </c>
      <c r="M210">
        <v>1.25</v>
      </c>
      <c r="N210">
        <v>62.31</v>
      </c>
      <c r="O210">
        <v>1.38</v>
      </c>
      <c r="P210">
        <v>6</v>
      </c>
      <c r="Q210">
        <v>0.71</v>
      </c>
      <c r="R210">
        <v>442</v>
      </c>
      <c r="S210">
        <v>13.3</v>
      </c>
      <c r="T210">
        <v>0.85</v>
      </c>
      <c r="U210" s="1">
        <v>45491</v>
      </c>
      <c r="V210">
        <v>111.67</v>
      </c>
      <c r="W210">
        <v>0.63100000000000001</v>
      </c>
      <c r="X210" t="str">
        <f>IF(WarehouseData[[#This Row],[stock_level]]&lt;=WarehouseData[[#This Row],[reorder_point]],"Low Stock","Sufficient Stock")</f>
        <v>Low Stock</v>
      </c>
      <c r="Y210">
        <f>WarehouseData[[#This Row],[daily_demand]]*WarehouseData[[#This Row],[lead_time_days]]</f>
        <v>162.89999999999998</v>
      </c>
      <c r="Z210" t="str">
        <f>IF(WarehouseData[[#This Row],[stock_level]]&lt;=WarehouseData[[#This Row],[Demand During Lead Time]],"At Risk","Safe")</f>
        <v>At Risk</v>
      </c>
      <c r="AA210">
        <f>WarehouseData[[#This Row],[stock_level]]/WarehouseData[[#This Row],[daily_demand]]</f>
        <v>1.5837937384898713</v>
      </c>
      <c r="AB210">
        <f>WarehouseData[[#This Row],[stock_level]]*WarehouseData[[#This Row],[unit_price]]</f>
        <v>2679.33</v>
      </c>
      <c r="AC210">
        <f>WarehouseData[[#This Row],[stock_level]]*WarehouseData[[#This Row],[holding_cost_per_unit_day]]*30</f>
        <v>1780.1999999999998</v>
      </c>
      <c r="AD210" t="str">
        <f>IF(WarehouseData[[#This Row],[order_fulfillment_rate]]&gt;=0.9,"Strong",IF(WarehouseData[[#This Row],[order_fulfillment_rate]]&gt;=0.8,"Moderate","Needs Attention"))</f>
        <v>Needs Attention</v>
      </c>
      <c r="AE210" t="str">
        <f>IF(WarehouseData[[#This Row],[picking_time_seconds]]&gt;120,"Slow",IF(WarehouseData[[#This Row],[picking_time_seconds]]&gt;=60,"Average","Fast"))</f>
        <v>Average</v>
      </c>
    </row>
    <row r="211" spans="1:31" x14ac:dyDescent="0.25">
      <c r="A211" t="s">
        <v>337</v>
      </c>
      <c r="B211" t="s">
        <v>32</v>
      </c>
      <c r="C211">
        <v>383</v>
      </c>
      <c r="D211">
        <v>76</v>
      </c>
      <c r="E211">
        <v>4</v>
      </c>
      <c r="F211">
        <v>6</v>
      </c>
      <c r="G211">
        <v>7.92</v>
      </c>
      <c r="H211">
        <v>5.93</v>
      </c>
      <c r="I211">
        <v>0.66</v>
      </c>
      <c r="J211" t="s">
        <v>338</v>
      </c>
      <c r="K211" t="s">
        <v>52</v>
      </c>
      <c r="L211">
        <v>20</v>
      </c>
      <c r="M211">
        <v>2.54</v>
      </c>
      <c r="N211">
        <v>135.21</v>
      </c>
      <c r="O211">
        <v>1.3</v>
      </c>
      <c r="P211">
        <v>0</v>
      </c>
      <c r="Q211">
        <v>0.99</v>
      </c>
      <c r="R211">
        <v>647</v>
      </c>
      <c r="S211">
        <v>5.27</v>
      </c>
      <c r="T211">
        <v>0.51</v>
      </c>
      <c r="U211" s="1">
        <v>45638</v>
      </c>
      <c r="V211">
        <v>183.88</v>
      </c>
      <c r="W211">
        <v>0.64</v>
      </c>
      <c r="X211" t="str">
        <f>IF(WarehouseData[[#This Row],[stock_level]]&lt;=WarehouseData[[#This Row],[reorder_point]],"Low Stock","Sufficient Stock")</f>
        <v>Sufficient Stock</v>
      </c>
      <c r="Y211">
        <f>WarehouseData[[#This Row],[daily_demand]]*WarehouseData[[#This Row],[lead_time_days]]</f>
        <v>47.519999999999996</v>
      </c>
      <c r="Z211" t="str">
        <f>IF(WarehouseData[[#This Row],[stock_level]]&lt;=WarehouseData[[#This Row],[Demand During Lead Time]],"At Risk","Safe")</f>
        <v>Safe</v>
      </c>
      <c r="AA211">
        <f>WarehouseData[[#This Row],[stock_level]]/WarehouseData[[#This Row],[daily_demand]]</f>
        <v>48.358585858585862</v>
      </c>
      <c r="AB211">
        <f>WarehouseData[[#This Row],[stock_level]]*WarehouseData[[#This Row],[unit_price]]</f>
        <v>51785.43</v>
      </c>
      <c r="AC211">
        <f>WarehouseData[[#This Row],[stock_level]]*WarehouseData[[#This Row],[holding_cost_per_unit_day]]*30</f>
        <v>14937.000000000002</v>
      </c>
      <c r="AD211" t="str">
        <f>IF(WarehouseData[[#This Row],[order_fulfillment_rate]]&gt;=0.9,"Strong",IF(WarehouseData[[#This Row],[order_fulfillment_rate]]&gt;=0.8,"Moderate","Needs Attention"))</f>
        <v>Strong</v>
      </c>
      <c r="AE211" t="str">
        <f>IF(WarehouseData[[#This Row],[picking_time_seconds]]&gt;120,"Slow",IF(WarehouseData[[#This Row],[picking_time_seconds]]&gt;=60,"Average","Fast"))</f>
        <v>Fast</v>
      </c>
    </row>
    <row r="212" spans="1:31" x14ac:dyDescent="0.25">
      <c r="A212" t="s">
        <v>339</v>
      </c>
      <c r="B212" t="s">
        <v>40</v>
      </c>
      <c r="C212">
        <v>30</v>
      </c>
      <c r="D212">
        <v>54</v>
      </c>
      <c r="E212">
        <v>9</v>
      </c>
      <c r="F212">
        <v>6</v>
      </c>
      <c r="G212">
        <v>2.25</v>
      </c>
      <c r="H212">
        <v>4.99</v>
      </c>
      <c r="I212">
        <v>0.86</v>
      </c>
      <c r="J212" t="s">
        <v>340</v>
      </c>
      <c r="K212" t="s">
        <v>34</v>
      </c>
      <c r="L212">
        <v>36</v>
      </c>
      <c r="M212">
        <v>1.48</v>
      </c>
      <c r="N212">
        <v>82.96</v>
      </c>
      <c r="O212">
        <v>0.78</v>
      </c>
      <c r="P212">
        <v>3</v>
      </c>
      <c r="Q212">
        <v>0.98</v>
      </c>
      <c r="R212">
        <v>435</v>
      </c>
      <c r="S212">
        <v>4.62</v>
      </c>
      <c r="T212">
        <v>0.39</v>
      </c>
      <c r="U212" s="1">
        <v>45568</v>
      </c>
      <c r="V212">
        <v>43.45</v>
      </c>
      <c r="W212">
        <v>0.59799999999999998</v>
      </c>
      <c r="X212" t="str">
        <f>IF(WarehouseData[[#This Row],[stock_level]]&lt;=WarehouseData[[#This Row],[reorder_point]],"Low Stock","Sufficient Stock")</f>
        <v>Low Stock</v>
      </c>
      <c r="Y212">
        <f>WarehouseData[[#This Row],[daily_demand]]*WarehouseData[[#This Row],[lead_time_days]]</f>
        <v>13.5</v>
      </c>
      <c r="Z212" t="str">
        <f>IF(WarehouseData[[#This Row],[stock_level]]&lt;=WarehouseData[[#This Row],[Demand During Lead Time]],"At Risk","Safe")</f>
        <v>Safe</v>
      </c>
      <c r="AA212">
        <f>WarehouseData[[#This Row],[stock_level]]/WarehouseData[[#This Row],[daily_demand]]</f>
        <v>13.333333333333334</v>
      </c>
      <c r="AB212">
        <f>WarehouseData[[#This Row],[stock_level]]*WarehouseData[[#This Row],[unit_price]]</f>
        <v>2488.7999999999997</v>
      </c>
      <c r="AC212">
        <f>WarehouseData[[#This Row],[stock_level]]*WarehouseData[[#This Row],[holding_cost_per_unit_day]]*30</f>
        <v>702.00000000000011</v>
      </c>
      <c r="AD212" t="str">
        <f>IF(WarehouseData[[#This Row],[order_fulfillment_rate]]&gt;=0.9,"Strong",IF(WarehouseData[[#This Row],[order_fulfillment_rate]]&gt;=0.8,"Moderate","Needs Attention"))</f>
        <v>Strong</v>
      </c>
      <c r="AE212" t="str">
        <f>IF(WarehouseData[[#This Row],[picking_time_seconds]]&gt;120,"Slow",IF(WarehouseData[[#This Row],[picking_time_seconds]]&gt;=60,"Average","Fast"))</f>
        <v>Fast</v>
      </c>
    </row>
    <row r="213" spans="1:31" x14ac:dyDescent="0.25">
      <c r="A213" t="s">
        <v>341</v>
      </c>
      <c r="B213" t="s">
        <v>32</v>
      </c>
      <c r="C213">
        <v>292</v>
      </c>
      <c r="D213">
        <v>17</v>
      </c>
      <c r="E213">
        <v>4</v>
      </c>
      <c r="F213">
        <v>4</v>
      </c>
      <c r="G213">
        <v>40.04</v>
      </c>
      <c r="H213">
        <v>5.21</v>
      </c>
      <c r="I213">
        <v>0.25</v>
      </c>
      <c r="J213" t="s">
        <v>217</v>
      </c>
      <c r="K213" t="s">
        <v>46</v>
      </c>
      <c r="L213">
        <v>11</v>
      </c>
      <c r="M213">
        <v>4.54</v>
      </c>
      <c r="N213">
        <v>99.77</v>
      </c>
      <c r="O213">
        <v>1.05</v>
      </c>
      <c r="P213">
        <v>4</v>
      </c>
      <c r="Q213">
        <v>0.74</v>
      </c>
      <c r="R213">
        <v>550</v>
      </c>
      <c r="S213">
        <v>12.72</v>
      </c>
      <c r="T213">
        <v>0.65</v>
      </c>
      <c r="U213" s="1">
        <v>45461</v>
      </c>
      <c r="V213">
        <v>246.33</v>
      </c>
      <c r="W213">
        <v>0.66300000000000003</v>
      </c>
      <c r="X213" t="str">
        <f>IF(WarehouseData[[#This Row],[stock_level]]&lt;=WarehouseData[[#This Row],[reorder_point]],"Low Stock","Sufficient Stock")</f>
        <v>Sufficient Stock</v>
      </c>
      <c r="Y213">
        <f>WarehouseData[[#This Row],[daily_demand]]*WarehouseData[[#This Row],[lead_time_days]]</f>
        <v>160.16</v>
      </c>
      <c r="Z213" t="str">
        <f>IF(WarehouseData[[#This Row],[stock_level]]&lt;=WarehouseData[[#This Row],[Demand During Lead Time]],"At Risk","Safe")</f>
        <v>Safe</v>
      </c>
      <c r="AA213">
        <f>WarehouseData[[#This Row],[stock_level]]/WarehouseData[[#This Row],[daily_demand]]</f>
        <v>7.2927072927072931</v>
      </c>
      <c r="AB213">
        <f>WarehouseData[[#This Row],[stock_level]]*WarehouseData[[#This Row],[unit_price]]</f>
        <v>29132.84</v>
      </c>
      <c r="AC213">
        <f>WarehouseData[[#This Row],[stock_level]]*WarehouseData[[#This Row],[holding_cost_per_unit_day]]*30</f>
        <v>9198</v>
      </c>
      <c r="AD213" t="str">
        <f>IF(WarehouseData[[#This Row],[order_fulfillment_rate]]&gt;=0.9,"Strong",IF(WarehouseData[[#This Row],[order_fulfillment_rate]]&gt;=0.8,"Moderate","Needs Attention"))</f>
        <v>Needs Attention</v>
      </c>
      <c r="AE213" t="str">
        <f>IF(WarehouseData[[#This Row],[picking_time_seconds]]&gt;120,"Slow",IF(WarehouseData[[#This Row],[picking_time_seconds]]&gt;=60,"Average","Fast"))</f>
        <v>Fast</v>
      </c>
    </row>
    <row r="214" spans="1:31" x14ac:dyDescent="0.25">
      <c r="A214" t="s">
        <v>342</v>
      </c>
      <c r="B214" t="s">
        <v>40</v>
      </c>
      <c r="C214">
        <v>471</v>
      </c>
      <c r="D214">
        <v>96</v>
      </c>
      <c r="E214">
        <v>4</v>
      </c>
      <c r="F214">
        <v>8</v>
      </c>
      <c r="G214">
        <v>30.41</v>
      </c>
      <c r="H214">
        <v>8.19</v>
      </c>
      <c r="I214">
        <v>0.43</v>
      </c>
      <c r="J214" t="s">
        <v>340</v>
      </c>
      <c r="K214" t="s">
        <v>52</v>
      </c>
      <c r="L214">
        <v>31</v>
      </c>
      <c r="M214">
        <v>1.87</v>
      </c>
      <c r="N214">
        <v>50.17</v>
      </c>
      <c r="O214">
        <v>1.32</v>
      </c>
      <c r="P214">
        <v>2</v>
      </c>
      <c r="Q214">
        <v>0.73</v>
      </c>
      <c r="R214">
        <v>196</v>
      </c>
      <c r="S214">
        <v>5.28</v>
      </c>
      <c r="T214">
        <v>0.43</v>
      </c>
      <c r="U214" s="1">
        <v>45488</v>
      </c>
      <c r="V214">
        <v>109.85</v>
      </c>
      <c r="W214">
        <v>0.53</v>
      </c>
      <c r="X214" t="str">
        <f>IF(WarehouseData[[#This Row],[stock_level]]&lt;=WarehouseData[[#This Row],[reorder_point]],"Low Stock","Sufficient Stock")</f>
        <v>Sufficient Stock</v>
      </c>
      <c r="Y214">
        <f>WarehouseData[[#This Row],[daily_demand]]*WarehouseData[[#This Row],[lead_time_days]]</f>
        <v>243.28</v>
      </c>
      <c r="Z214" t="str">
        <f>IF(WarehouseData[[#This Row],[stock_level]]&lt;=WarehouseData[[#This Row],[Demand During Lead Time]],"At Risk","Safe")</f>
        <v>Safe</v>
      </c>
      <c r="AA214">
        <f>WarehouseData[[#This Row],[stock_level]]/WarehouseData[[#This Row],[daily_demand]]</f>
        <v>15.488326208484052</v>
      </c>
      <c r="AB214">
        <f>WarehouseData[[#This Row],[stock_level]]*WarehouseData[[#This Row],[unit_price]]</f>
        <v>23630.07</v>
      </c>
      <c r="AC214">
        <f>WarehouseData[[#This Row],[stock_level]]*WarehouseData[[#This Row],[holding_cost_per_unit_day]]*30</f>
        <v>18651.600000000002</v>
      </c>
      <c r="AD214" t="str">
        <f>IF(WarehouseData[[#This Row],[order_fulfillment_rate]]&gt;=0.9,"Strong",IF(WarehouseData[[#This Row],[order_fulfillment_rate]]&gt;=0.8,"Moderate","Needs Attention"))</f>
        <v>Needs Attention</v>
      </c>
      <c r="AE214" t="str">
        <f>IF(WarehouseData[[#This Row],[picking_time_seconds]]&gt;120,"Slow",IF(WarehouseData[[#This Row],[picking_time_seconds]]&gt;=60,"Average","Fast"))</f>
        <v>Fast</v>
      </c>
    </row>
    <row r="215" spans="1:31" x14ac:dyDescent="0.25">
      <c r="A215" t="s">
        <v>343</v>
      </c>
      <c r="B215" t="s">
        <v>48</v>
      </c>
      <c r="C215">
        <v>450</v>
      </c>
      <c r="D215">
        <v>25</v>
      </c>
      <c r="E215">
        <v>6</v>
      </c>
      <c r="F215">
        <v>9</v>
      </c>
      <c r="G215">
        <v>35.840000000000003</v>
      </c>
      <c r="H215">
        <v>3.74</v>
      </c>
      <c r="I215">
        <v>0.63</v>
      </c>
      <c r="J215" t="s">
        <v>228</v>
      </c>
      <c r="K215" t="s">
        <v>34</v>
      </c>
      <c r="L215">
        <v>75</v>
      </c>
      <c r="M215">
        <v>3.19</v>
      </c>
      <c r="N215">
        <v>133.4</v>
      </c>
      <c r="O215">
        <v>0.33</v>
      </c>
      <c r="P215">
        <v>3</v>
      </c>
      <c r="Q215">
        <v>0.86</v>
      </c>
      <c r="R215">
        <v>365</v>
      </c>
      <c r="S215">
        <v>7.68</v>
      </c>
      <c r="T215">
        <v>0.52</v>
      </c>
      <c r="U215" s="1">
        <v>45363</v>
      </c>
      <c r="V215">
        <v>33.21</v>
      </c>
      <c r="W215">
        <v>0.68500000000000005</v>
      </c>
      <c r="X215" t="str">
        <f>IF(WarehouseData[[#This Row],[stock_level]]&lt;=WarehouseData[[#This Row],[reorder_point]],"Low Stock","Sufficient Stock")</f>
        <v>Sufficient Stock</v>
      </c>
      <c r="Y215">
        <f>WarehouseData[[#This Row],[daily_demand]]*WarehouseData[[#This Row],[lead_time_days]]</f>
        <v>322.56000000000006</v>
      </c>
      <c r="Z215" t="str">
        <f>IF(WarehouseData[[#This Row],[stock_level]]&lt;=WarehouseData[[#This Row],[Demand During Lead Time]],"At Risk","Safe")</f>
        <v>Safe</v>
      </c>
      <c r="AA215">
        <f>WarehouseData[[#This Row],[stock_level]]/WarehouseData[[#This Row],[daily_demand]]</f>
        <v>12.555803571428569</v>
      </c>
      <c r="AB215">
        <f>WarehouseData[[#This Row],[stock_level]]*WarehouseData[[#This Row],[unit_price]]</f>
        <v>60030</v>
      </c>
      <c r="AC215">
        <f>WarehouseData[[#This Row],[stock_level]]*WarehouseData[[#This Row],[holding_cost_per_unit_day]]*30</f>
        <v>4455</v>
      </c>
      <c r="AD215" t="str">
        <f>IF(WarehouseData[[#This Row],[order_fulfillment_rate]]&gt;=0.9,"Strong",IF(WarehouseData[[#This Row],[order_fulfillment_rate]]&gt;=0.8,"Moderate","Needs Attention"))</f>
        <v>Moderate</v>
      </c>
      <c r="AE215" t="str">
        <f>IF(WarehouseData[[#This Row],[picking_time_seconds]]&gt;120,"Slow",IF(WarehouseData[[#This Row],[picking_time_seconds]]&gt;=60,"Average","Fast"))</f>
        <v>Average</v>
      </c>
    </row>
    <row r="216" spans="1:31" x14ac:dyDescent="0.25">
      <c r="A216" t="s">
        <v>344</v>
      </c>
      <c r="B216" t="s">
        <v>40</v>
      </c>
      <c r="C216">
        <v>300</v>
      </c>
      <c r="D216">
        <v>86</v>
      </c>
      <c r="E216">
        <v>11</v>
      </c>
      <c r="F216">
        <v>8</v>
      </c>
      <c r="G216">
        <v>15.89</v>
      </c>
      <c r="H216">
        <v>4.2</v>
      </c>
      <c r="I216">
        <v>0.35</v>
      </c>
      <c r="J216" t="s">
        <v>142</v>
      </c>
      <c r="K216" t="s">
        <v>46</v>
      </c>
      <c r="L216">
        <v>121</v>
      </c>
      <c r="M216">
        <v>1.69</v>
      </c>
      <c r="N216">
        <v>52.91</v>
      </c>
      <c r="O216">
        <v>0.54</v>
      </c>
      <c r="P216">
        <v>9</v>
      </c>
      <c r="Q216">
        <v>0.93</v>
      </c>
      <c r="R216">
        <v>503</v>
      </c>
      <c r="S216">
        <v>1.44</v>
      </c>
      <c r="T216">
        <v>0.75</v>
      </c>
      <c r="U216" s="1">
        <v>45644</v>
      </c>
      <c r="V216">
        <v>297.26</v>
      </c>
      <c r="W216">
        <v>0.52100000000000002</v>
      </c>
      <c r="X216" t="str">
        <f>IF(WarehouseData[[#This Row],[stock_level]]&lt;=WarehouseData[[#This Row],[reorder_point]],"Low Stock","Sufficient Stock")</f>
        <v>Sufficient Stock</v>
      </c>
      <c r="Y216">
        <f>WarehouseData[[#This Row],[daily_demand]]*WarehouseData[[#This Row],[lead_time_days]]</f>
        <v>127.12</v>
      </c>
      <c r="Z216" t="str">
        <f>IF(WarehouseData[[#This Row],[stock_level]]&lt;=WarehouseData[[#This Row],[Demand During Lead Time]],"At Risk","Safe")</f>
        <v>Safe</v>
      </c>
      <c r="AA216">
        <f>WarehouseData[[#This Row],[stock_level]]/WarehouseData[[#This Row],[daily_demand]]</f>
        <v>18.879798615481434</v>
      </c>
      <c r="AB216">
        <f>WarehouseData[[#This Row],[stock_level]]*WarehouseData[[#This Row],[unit_price]]</f>
        <v>15872.999999999998</v>
      </c>
      <c r="AC216">
        <f>WarehouseData[[#This Row],[stock_level]]*WarehouseData[[#This Row],[holding_cost_per_unit_day]]*30</f>
        <v>4860</v>
      </c>
      <c r="AD216" t="str">
        <f>IF(WarehouseData[[#This Row],[order_fulfillment_rate]]&gt;=0.9,"Strong",IF(WarehouseData[[#This Row],[order_fulfillment_rate]]&gt;=0.8,"Moderate","Needs Attention"))</f>
        <v>Strong</v>
      </c>
      <c r="AE216" t="str">
        <f>IF(WarehouseData[[#This Row],[picking_time_seconds]]&gt;120,"Slow",IF(WarehouseData[[#This Row],[picking_time_seconds]]&gt;=60,"Average","Fast"))</f>
        <v>Slow</v>
      </c>
    </row>
    <row r="217" spans="1:31" x14ac:dyDescent="0.25">
      <c r="A217" t="s">
        <v>345</v>
      </c>
      <c r="B217" t="s">
        <v>40</v>
      </c>
      <c r="C217">
        <v>113</v>
      </c>
      <c r="D217">
        <v>76</v>
      </c>
      <c r="E217">
        <v>10</v>
      </c>
      <c r="F217">
        <v>6</v>
      </c>
      <c r="G217">
        <v>25.96</v>
      </c>
      <c r="H217">
        <v>7.68</v>
      </c>
      <c r="I217">
        <v>0.98</v>
      </c>
      <c r="J217" t="s">
        <v>142</v>
      </c>
      <c r="K217" t="s">
        <v>34</v>
      </c>
      <c r="L217">
        <v>26</v>
      </c>
      <c r="M217">
        <v>1.66</v>
      </c>
      <c r="N217">
        <v>102.29</v>
      </c>
      <c r="O217">
        <v>1.79</v>
      </c>
      <c r="P217">
        <v>9</v>
      </c>
      <c r="Q217">
        <v>0.81</v>
      </c>
      <c r="R217">
        <v>236</v>
      </c>
      <c r="S217">
        <v>5.0199999999999996</v>
      </c>
      <c r="T217">
        <v>1</v>
      </c>
      <c r="U217" s="1">
        <v>45332</v>
      </c>
      <c r="V217">
        <v>271.52</v>
      </c>
      <c r="W217">
        <v>0.47</v>
      </c>
      <c r="X217" t="str">
        <f>IF(WarehouseData[[#This Row],[stock_level]]&lt;=WarehouseData[[#This Row],[reorder_point]],"Low Stock","Sufficient Stock")</f>
        <v>Sufficient Stock</v>
      </c>
      <c r="Y217">
        <f>WarehouseData[[#This Row],[daily_demand]]*WarehouseData[[#This Row],[lead_time_days]]</f>
        <v>155.76</v>
      </c>
      <c r="Z217" t="str">
        <f>IF(WarehouseData[[#This Row],[stock_level]]&lt;=WarehouseData[[#This Row],[Demand During Lead Time]],"At Risk","Safe")</f>
        <v>At Risk</v>
      </c>
      <c r="AA217">
        <f>WarehouseData[[#This Row],[stock_level]]/WarehouseData[[#This Row],[daily_demand]]</f>
        <v>4.3528505392912171</v>
      </c>
      <c r="AB217">
        <f>WarehouseData[[#This Row],[stock_level]]*WarehouseData[[#This Row],[unit_price]]</f>
        <v>11558.77</v>
      </c>
      <c r="AC217">
        <f>WarehouseData[[#This Row],[stock_level]]*WarehouseData[[#This Row],[holding_cost_per_unit_day]]*30</f>
        <v>6068.1</v>
      </c>
      <c r="AD217" t="str">
        <f>IF(WarehouseData[[#This Row],[order_fulfillment_rate]]&gt;=0.9,"Strong",IF(WarehouseData[[#This Row],[order_fulfillment_rate]]&gt;=0.8,"Moderate","Needs Attention"))</f>
        <v>Moderate</v>
      </c>
      <c r="AE217" t="str">
        <f>IF(WarehouseData[[#This Row],[picking_time_seconds]]&gt;120,"Slow",IF(WarehouseData[[#This Row],[picking_time_seconds]]&gt;=60,"Average","Fast"))</f>
        <v>Fast</v>
      </c>
    </row>
    <row r="218" spans="1:31" x14ac:dyDescent="0.25">
      <c r="A218" t="s">
        <v>346</v>
      </c>
      <c r="B218" t="s">
        <v>32</v>
      </c>
      <c r="C218">
        <v>220</v>
      </c>
      <c r="D218">
        <v>18</v>
      </c>
      <c r="E218">
        <v>4</v>
      </c>
      <c r="F218">
        <v>3</v>
      </c>
      <c r="G218">
        <v>37.61</v>
      </c>
      <c r="H218">
        <v>1.19</v>
      </c>
      <c r="I218">
        <v>0.34</v>
      </c>
      <c r="J218" t="s">
        <v>133</v>
      </c>
      <c r="K218" t="s">
        <v>34</v>
      </c>
      <c r="L218">
        <v>141</v>
      </c>
      <c r="M218">
        <v>2.08</v>
      </c>
      <c r="N218">
        <v>72.41</v>
      </c>
      <c r="O218">
        <v>0.75</v>
      </c>
      <c r="P218">
        <v>9</v>
      </c>
      <c r="Q218">
        <v>0.74</v>
      </c>
      <c r="R218">
        <v>374</v>
      </c>
      <c r="S218">
        <v>2.83</v>
      </c>
      <c r="T218">
        <v>0.72</v>
      </c>
      <c r="U218" s="1">
        <v>45548</v>
      </c>
      <c r="V218">
        <v>67.260000000000005</v>
      </c>
      <c r="W218">
        <v>0.47499999999999998</v>
      </c>
      <c r="X218" t="str">
        <f>IF(WarehouseData[[#This Row],[stock_level]]&lt;=WarehouseData[[#This Row],[reorder_point]],"Low Stock","Sufficient Stock")</f>
        <v>Sufficient Stock</v>
      </c>
      <c r="Y218">
        <f>WarehouseData[[#This Row],[daily_demand]]*WarehouseData[[#This Row],[lead_time_days]]</f>
        <v>112.83</v>
      </c>
      <c r="Z218" t="str">
        <f>IF(WarehouseData[[#This Row],[stock_level]]&lt;=WarehouseData[[#This Row],[Demand During Lead Time]],"At Risk","Safe")</f>
        <v>Safe</v>
      </c>
      <c r="AA218">
        <f>WarehouseData[[#This Row],[stock_level]]/WarehouseData[[#This Row],[daily_demand]]</f>
        <v>5.8495081095453338</v>
      </c>
      <c r="AB218">
        <f>WarehouseData[[#This Row],[stock_level]]*WarehouseData[[#This Row],[unit_price]]</f>
        <v>15930.199999999999</v>
      </c>
      <c r="AC218">
        <f>WarehouseData[[#This Row],[stock_level]]*WarehouseData[[#This Row],[holding_cost_per_unit_day]]*30</f>
        <v>4950</v>
      </c>
      <c r="AD218" t="str">
        <f>IF(WarehouseData[[#This Row],[order_fulfillment_rate]]&gt;=0.9,"Strong",IF(WarehouseData[[#This Row],[order_fulfillment_rate]]&gt;=0.8,"Moderate","Needs Attention"))</f>
        <v>Needs Attention</v>
      </c>
      <c r="AE218" t="str">
        <f>IF(WarehouseData[[#This Row],[picking_time_seconds]]&gt;120,"Slow",IF(WarehouseData[[#This Row],[picking_time_seconds]]&gt;=60,"Average","Fast"))</f>
        <v>Slow</v>
      </c>
    </row>
    <row r="219" spans="1:31" x14ac:dyDescent="0.25">
      <c r="A219" t="s">
        <v>347</v>
      </c>
      <c r="B219" t="s">
        <v>32</v>
      </c>
      <c r="C219">
        <v>40</v>
      </c>
      <c r="D219">
        <v>69</v>
      </c>
      <c r="E219">
        <v>10</v>
      </c>
      <c r="F219">
        <v>4</v>
      </c>
      <c r="G219">
        <v>23.67</v>
      </c>
      <c r="H219">
        <v>8.7200000000000006</v>
      </c>
      <c r="I219">
        <v>0.52</v>
      </c>
      <c r="J219" t="s">
        <v>332</v>
      </c>
      <c r="K219" t="s">
        <v>46</v>
      </c>
      <c r="L219">
        <v>23</v>
      </c>
      <c r="M219">
        <v>4.62</v>
      </c>
      <c r="N219">
        <v>193.09</v>
      </c>
      <c r="O219">
        <v>1.62</v>
      </c>
      <c r="P219">
        <v>6</v>
      </c>
      <c r="Q219">
        <v>0.85</v>
      </c>
      <c r="R219">
        <v>862</v>
      </c>
      <c r="S219">
        <v>2.48</v>
      </c>
      <c r="T219">
        <v>0.42</v>
      </c>
      <c r="U219" s="1">
        <v>45469</v>
      </c>
      <c r="V219">
        <v>115.33</v>
      </c>
      <c r="W219">
        <v>0.40500000000000003</v>
      </c>
      <c r="X219" t="str">
        <f>IF(WarehouseData[[#This Row],[stock_level]]&lt;=WarehouseData[[#This Row],[reorder_point]],"Low Stock","Sufficient Stock")</f>
        <v>Low Stock</v>
      </c>
      <c r="Y219">
        <f>WarehouseData[[#This Row],[daily_demand]]*WarehouseData[[#This Row],[lead_time_days]]</f>
        <v>94.68</v>
      </c>
      <c r="Z219" t="str">
        <f>IF(WarehouseData[[#This Row],[stock_level]]&lt;=WarehouseData[[#This Row],[Demand During Lead Time]],"At Risk","Safe")</f>
        <v>At Risk</v>
      </c>
      <c r="AA219">
        <f>WarehouseData[[#This Row],[stock_level]]/WarehouseData[[#This Row],[daily_demand]]</f>
        <v>1.6899028305872412</v>
      </c>
      <c r="AB219">
        <f>WarehouseData[[#This Row],[stock_level]]*WarehouseData[[#This Row],[unit_price]]</f>
        <v>7723.6</v>
      </c>
      <c r="AC219">
        <f>WarehouseData[[#This Row],[stock_level]]*WarehouseData[[#This Row],[holding_cost_per_unit_day]]*30</f>
        <v>1944.0000000000005</v>
      </c>
      <c r="AD219" t="str">
        <f>IF(WarehouseData[[#This Row],[order_fulfillment_rate]]&gt;=0.9,"Strong",IF(WarehouseData[[#This Row],[order_fulfillment_rate]]&gt;=0.8,"Moderate","Needs Attention"))</f>
        <v>Moderate</v>
      </c>
      <c r="AE219" t="str">
        <f>IF(WarehouseData[[#This Row],[picking_time_seconds]]&gt;120,"Slow",IF(WarehouseData[[#This Row],[picking_time_seconds]]&gt;=60,"Average","Fast"))</f>
        <v>Fast</v>
      </c>
    </row>
    <row r="220" spans="1:31" x14ac:dyDescent="0.25">
      <c r="A220" t="s">
        <v>348</v>
      </c>
      <c r="B220" t="s">
        <v>73</v>
      </c>
      <c r="C220">
        <v>359</v>
      </c>
      <c r="D220">
        <v>87</v>
      </c>
      <c r="E220">
        <v>6</v>
      </c>
      <c r="F220">
        <v>8</v>
      </c>
      <c r="G220">
        <v>30.47</v>
      </c>
      <c r="H220">
        <v>4.59</v>
      </c>
      <c r="I220">
        <v>0.89</v>
      </c>
      <c r="J220" t="s">
        <v>160</v>
      </c>
      <c r="K220" t="s">
        <v>38</v>
      </c>
      <c r="L220">
        <v>16</v>
      </c>
      <c r="M220">
        <v>2.2599999999999998</v>
      </c>
      <c r="N220">
        <v>196.62</v>
      </c>
      <c r="O220">
        <v>0.57999999999999996</v>
      </c>
      <c r="P220">
        <v>7</v>
      </c>
      <c r="Q220">
        <v>0.8</v>
      </c>
      <c r="R220">
        <v>367</v>
      </c>
      <c r="S220">
        <v>7.04</v>
      </c>
      <c r="T220">
        <v>0.27</v>
      </c>
      <c r="U220" s="1">
        <v>45319</v>
      </c>
      <c r="V220">
        <v>281.64999999999998</v>
      </c>
      <c r="W220">
        <v>0.51</v>
      </c>
      <c r="X220" t="str">
        <f>IF(WarehouseData[[#This Row],[stock_level]]&lt;=WarehouseData[[#This Row],[reorder_point]],"Low Stock","Sufficient Stock")</f>
        <v>Sufficient Stock</v>
      </c>
      <c r="Y220">
        <f>WarehouseData[[#This Row],[daily_demand]]*WarehouseData[[#This Row],[lead_time_days]]</f>
        <v>243.76</v>
      </c>
      <c r="Z220" t="str">
        <f>IF(WarehouseData[[#This Row],[stock_level]]&lt;=WarehouseData[[#This Row],[Demand During Lead Time]],"At Risk","Safe")</f>
        <v>Safe</v>
      </c>
      <c r="AA220">
        <f>WarehouseData[[#This Row],[stock_level]]/WarehouseData[[#This Row],[daily_demand]]</f>
        <v>11.782080735149327</v>
      </c>
      <c r="AB220">
        <f>WarehouseData[[#This Row],[stock_level]]*WarehouseData[[#This Row],[unit_price]]</f>
        <v>70586.58</v>
      </c>
      <c r="AC220">
        <f>WarehouseData[[#This Row],[stock_level]]*WarehouseData[[#This Row],[holding_cost_per_unit_day]]*30</f>
        <v>6246.6</v>
      </c>
      <c r="AD220" t="str">
        <f>IF(WarehouseData[[#This Row],[order_fulfillment_rate]]&gt;=0.9,"Strong",IF(WarehouseData[[#This Row],[order_fulfillment_rate]]&gt;=0.8,"Moderate","Needs Attention"))</f>
        <v>Moderate</v>
      </c>
      <c r="AE220" t="str">
        <f>IF(WarehouseData[[#This Row],[picking_time_seconds]]&gt;120,"Slow",IF(WarehouseData[[#This Row],[picking_time_seconds]]&gt;=60,"Average","Fast"))</f>
        <v>Fast</v>
      </c>
    </row>
    <row r="221" spans="1:31" x14ac:dyDescent="0.25">
      <c r="A221" t="s">
        <v>349</v>
      </c>
      <c r="B221" t="s">
        <v>73</v>
      </c>
      <c r="C221">
        <v>486</v>
      </c>
      <c r="D221">
        <v>86</v>
      </c>
      <c r="E221">
        <v>4</v>
      </c>
      <c r="F221">
        <v>6</v>
      </c>
      <c r="G221">
        <v>39.700000000000003</v>
      </c>
      <c r="H221">
        <v>6.02</v>
      </c>
      <c r="I221">
        <v>0.17</v>
      </c>
      <c r="J221" t="s">
        <v>104</v>
      </c>
      <c r="K221" t="s">
        <v>38</v>
      </c>
      <c r="L221">
        <v>88</v>
      </c>
      <c r="M221">
        <v>4.2</v>
      </c>
      <c r="N221">
        <v>153.16</v>
      </c>
      <c r="O221">
        <v>0.18</v>
      </c>
      <c r="P221">
        <v>8</v>
      </c>
      <c r="Q221">
        <v>0.81</v>
      </c>
      <c r="R221">
        <v>443</v>
      </c>
      <c r="S221">
        <v>4.88</v>
      </c>
      <c r="T221">
        <v>0.49</v>
      </c>
      <c r="U221" s="1">
        <v>45342</v>
      </c>
      <c r="V221">
        <v>240.94</v>
      </c>
      <c r="W221">
        <v>0.54700000000000004</v>
      </c>
      <c r="X221" t="str">
        <f>IF(WarehouseData[[#This Row],[stock_level]]&lt;=WarehouseData[[#This Row],[reorder_point]],"Low Stock","Sufficient Stock")</f>
        <v>Sufficient Stock</v>
      </c>
      <c r="Y221">
        <f>WarehouseData[[#This Row],[daily_demand]]*WarehouseData[[#This Row],[lead_time_days]]</f>
        <v>238.20000000000002</v>
      </c>
      <c r="Z221" t="str">
        <f>IF(WarehouseData[[#This Row],[stock_level]]&lt;=WarehouseData[[#This Row],[Demand During Lead Time]],"At Risk","Safe")</f>
        <v>Safe</v>
      </c>
      <c r="AA221">
        <f>WarehouseData[[#This Row],[stock_level]]/WarehouseData[[#This Row],[daily_demand]]</f>
        <v>12.241813602015112</v>
      </c>
      <c r="AB221">
        <f>WarehouseData[[#This Row],[stock_level]]*WarehouseData[[#This Row],[unit_price]]</f>
        <v>74435.759999999995</v>
      </c>
      <c r="AC221">
        <f>WarehouseData[[#This Row],[stock_level]]*WarehouseData[[#This Row],[holding_cost_per_unit_day]]*30</f>
        <v>2624.3999999999996</v>
      </c>
      <c r="AD221" t="str">
        <f>IF(WarehouseData[[#This Row],[order_fulfillment_rate]]&gt;=0.9,"Strong",IF(WarehouseData[[#This Row],[order_fulfillment_rate]]&gt;=0.8,"Moderate","Needs Attention"))</f>
        <v>Moderate</v>
      </c>
      <c r="AE221" t="str">
        <f>IF(WarehouseData[[#This Row],[picking_time_seconds]]&gt;120,"Slow",IF(WarehouseData[[#This Row],[picking_time_seconds]]&gt;=60,"Average","Fast"))</f>
        <v>Average</v>
      </c>
    </row>
    <row r="222" spans="1:31" x14ac:dyDescent="0.25">
      <c r="A222" t="s">
        <v>350</v>
      </c>
      <c r="B222" t="s">
        <v>48</v>
      </c>
      <c r="C222">
        <v>230</v>
      </c>
      <c r="D222">
        <v>80</v>
      </c>
      <c r="E222">
        <v>13</v>
      </c>
      <c r="F222">
        <v>4</v>
      </c>
      <c r="G222">
        <v>11.55</v>
      </c>
      <c r="H222">
        <v>7.7</v>
      </c>
      <c r="I222">
        <v>0.84</v>
      </c>
      <c r="J222" t="s">
        <v>137</v>
      </c>
      <c r="K222" t="s">
        <v>52</v>
      </c>
      <c r="L222">
        <v>153</v>
      </c>
      <c r="M222">
        <v>1.39</v>
      </c>
      <c r="N222">
        <v>196.94</v>
      </c>
      <c r="O222">
        <v>1.05</v>
      </c>
      <c r="P222">
        <v>1</v>
      </c>
      <c r="Q222">
        <v>0.89</v>
      </c>
      <c r="R222">
        <v>428</v>
      </c>
      <c r="S222">
        <v>3.33</v>
      </c>
      <c r="T222">
        <v>0.22</v>
      </c>
      <c r="U222" s="1">
        <v>45515</v>
      </c>
      <c r="V222">
        <v>272.86</v>
      </c>
      <c r="W222">
        <v>0.54100000000000004</v>
      </c>
      <c r="X222" t="str">
        <f>IF(WarehouseData[[#This Row],[stock_level]]&lt;=WarehouseData[[#This Row],[reorder_point]],"Low Stock","Sufficient Stock")</f>
        <v>Sufficient Stock</v>
      </c>
      <c r="Y222">
        <f>WarehouseData[[#This Row],[daily_demand]]*WarehouseData[[#This Row],[lead_time_days]]</f>
        <v>46.2</v>
      </c>
      <c r="Z222" t="str">
        <f>IF(WarehouseData[[#This Row],[stock_level]]&lt;=WarehouseData[[#This Row],[Demand During Lead Time]],"At Risk","Safe")</f>
        <v>Safe</v>
      </c>
      <c r="AA222">
        <f>WarehouseData[[#This Row],[stock_level]]/WarehouseData[[#This Row],[daily_demand]]</f>
        <v>19.913419913419911</v>
      </c>
      <c r="AB222">
        <f>WarehouseData[[#This Row],[stock_level]]*WarehouseData[[#This Row],[unit_price]]</f>
        <v>45296.2</v>
      </c>
      <c r="AC222">
        <f>WarehouseData[[#This Row],[stock_level]]*WarehouseData[[#This Row],[holding_cost_per_unit_day]]*30</f>
        <v>7245</v>
      </c>
      <c r="AD222" t="str">
        <f>IF(WarehouseData[[#This Row],[order_fulfillment_rate]]&gt;=0.9,"Strong",IF(WarehouseData[[#This Row],[order_fulfillment_rate]]&gt;=0.8,"Moderate","Needs Attention"))</f>
        <v>Moderate</v>
      </c>
      <c r="AE222" t="str">
        <f>IF(WarehouseData[[#This Row],[picking_time_seconds]]&gt;120,"Slow",IF(WarehouseData[[#This Row],[picking_time_seconds]]&gt;=60,"Average","Fast"))</f>
        <v>Slow</v>
      </c>
    </row>
    <row r="223" spans="1:31" x14ac:dyDescent="0.25">
      <c r="A223" t="s">
        <v>351</v>
      </c>
      <c r="B223" t="s">
        <v>73</v>
      </c>
      <c r="C223">
        <v>159</v>
      </c>
      <c r="D223">
        <v>24</v>
      </c>
      <c r="E223">
        <v>12</v>
      </c>
      <c r="F223">
        <v>9</v>
      </c>
      <c r="G223">
        <v>4.2300000000000004</v>
      </c>
      <c r="H223">
        <v>3.03</v>
      </c>
      <c r="I223">
        <v>0.61</v>
      </c>
      <c r="J223" t="s">
        <v>166</v>
      </c>
      <c r="K223" t="s">
        <v>46</v>
      </c>
      <c r="L223">
        <v>113</v>
      </c>
      <c r="M223">
        <v>0.72</v>
      </c>
      <c r="N223">
        <v>31.57</v>
      </c>
      <c r="O223">
        <v>1.8</v>
      </c>
      <c r="P223">
        <v>3</v>
      </c>
      <c r="Q223">
        <v>0.97</v>
      </c>
      <c r="R223">
        <v>754</v>
      </c>
      <c r="S223">
        <v>8.16</v>
      </c>
      <c r="T223">
        <v>0.56999999999999995</v>
      </c>
      <c r="U223" s="1">
        <v>45410</v>
      </c>
      <c r="V223">
        <v>173.14</v>
      </c>
      <c r="W223">
        <v>0.57699999999999996</v>
      </c>
      <c r="X223" t="str">
        <f>IF(WarehouseData[[#This Row],[stock_level]]&lt;=WarehouseData[[#This Row],[reorder_point]],"Low Stock","Sufficient Stock")</f>
        <v>Sufficient Stock</v>
      </c>
      <c r="Y223">
        <f>WarehouseData[[#This Row],[daily_demand]]*WarehouseData[[#This Row],[lead_time_days]]</f>
        <v>38.070000000000007</v>
      </c>
      <c r="Z223" t="str">
        <f>IF(WarehouseData[[#This Row],[stock_level]]&lt;=WarehouseData[[#This Row],[Demand During Lead Time]],"At Risk","Safe")</f>
        <v>Safe</v>
      </c>
      <c r="AA223">
        <f>WarehouseData[[#This Row],[stock_level]]/WarehouseData[[#This Row],[daily_demand]]</f>
        <v>37.588652482269502</v>
      </c>
      <c r="AB223">
        <f>WarehouseData[[#This Row],[stock_level]]*WarehouseData[[#This Row],[unit_price]]</f>
        <v>5019.63</v>
      </c>
      <c r="AC223">
        <f>WarehouseData[[#This Row],[stock_level]]*WarehouseData[[#This Row],[holding_cost_per_unit_day]]*30</f>
        <v>8586</v>
      </c>
      <c r="AD223" t="str">
        <f>IF(WarehouseData[[#This Row],[order_fulfillment_rate]]&gt;=0.9,"Strong",IF(WarehouseData[[#This Row],[order_fulfillment_rate]]&gt;=0.8,"Moderate","Needs Attention"))</f>
        <v>Strong</v>
      </c>
      <c r="AE223" t="str">
        <f>IF(WarehouseData[[#This Row],[picking_time_seconds]]&gt;120,"Slow",IF(WarehouseData[[#This Row],[picking_time_seconds]]&gt;=60,"Average","Fast"))</f>
        <v>Average</v>
      </c>
    </row>
    <row r="224" spans="1:31" x14ac:dyDescent="0.25">
      <c r="A224" t="s">
        <v>352</v>
      </c>
      <c r="B224" t="s">
        <v>40</v>
      </c>
      <c r="C224">
        <v>312</v>
      </c>
      <c r="D224">
        <v>80</v>
      </c>
      <c r="E224">
        <v>9</v>
      </c>
      <c r="F224">
        <v>3</v>
      </c>
      <c r="G224">
        <v>27.06</v>
      </c>
      <c r="H224">
        <v>8.9600000000000009</v>
      </c>
      <c r="I224">
        <v>0.13</v>
      </c>
      <c r="J224" t="s">
        <v>353</v>
      </c>
      <c r="K224" t="s">
        <v>52</v>
      </c>
      <c r="L224">
        <v>156</v>
      </c>
      <c r="M224">
        <v>4.0199999999999996</v>
      </c>
      <c r="N224">
        <v>198.54</v>
      </c>
      <c r="O224">
        <v>1.66</v>
      </c>
      <c r="P224">
        <v>0</v>
      </c>
      <c r="Q224">
        <v>0.87</v>
      </c>
      <c r="R224">
        <v>843</v>
      </c>
      <c r="S224">
        <v>11.98</v>
      </c>
      <c r="T224">
        <v>0.73</v>
      </c>
      <c r="U224" s="1">
        <v>45330</v>
      </c>
      <c r="V224">
        <v>80.5</v>
      </c>
      <c r="W224">
        <v>0.71399999999999997</v>
      </c>
      <c r="X224" t="str">
        <f>IF(WarehouseData[[#This Row],[stock_level]]&lt;=WarehouseData[[#This Row],[reorder_point]],"Low Stock","Sufficient Stock")</f>
        <v>Sufficient Stock</v>
      </c>
      <c r="Y224">
        <f>WarehouseData[[#This Row],[daily_demand]]*WarehouseData[[#This Row],[lead_time_days]]</f>
        <v>81.179999999999993</v>
      </c>
      <c r="Z224" t="str">
        <f>IF(WarehouseData[[#This Row],[stock_level]]&lt;=WarehouseData[[#This Row],[Demand During Lead Time]],"At Risk","Safe")</f>
        <v>Safe</v>
      </c>
      <c r="AA224">
        <f>WarehouseData[[#This Row],[stock_level]]/WarehouseData[[#This Row],[daily_demand]]</f>
        <v>11.529933481152995</v>
      </c>
      <c r="AB224">
        <f>WarehouseData[[#This Row],[stock_level]]*WarehouseData[[#This Row],[unit_price]]</f>
        <v>61944.479999999996</v>
      </c>
      <c r="AC224">
        <f>WarehouseData[[#This Row],[stock_level]]*WarehouseData[[#This Row],[holding_cost_per_unit_day]]*30</f>
        <v>15537.599999999999</v>
      </c>
      <c r="AD224" t="str">
        <f>IF(WarehouseData[[#This Row],[order_fulfillment_rate]]&gt;=0.9,"Strong",IF(WarehouseData[[#This Row],[order_fulfillment_rate]]&gt;=0.8,"Moderate","Needs Attention"))</f>
        <v>Moderate</v>
      </c>
      <c r="AE224" t="str">
        <f>IF(WarehouseData[[#This Row],[picking_time_seconds]]&gt;120,"Slow",IF(WarehouseData[[#This Row],[picking_time_seconds]]&gt;=60,"Average","Fast"))</f>
        <v>Slow</v>
      </c>
    </row>
    <row r="225" spans="1:31" x14ac:dyDescent="0.25">
      <c r="A225" t="s">
        <v>354</v>
      </c>
      <c r="B225" t="s">
        <v>32</v>
      </c>
      <c r="C225">
        <v>317</v>
      </c>
      <c r="D225">
        <v>50</v>
      </c>
      <c r="E225">
        <v>8</v>
      </c>
      <c r="F225">
        <v>6</v>
      </c>
      <c r="G225">
        <v>4.04</v>
      </c>
      <c r="H225">
        <v>9.8000000000000007</v>
      </c>
      <c r="I225">
        <v>0.91</v>
      </c>
      <c r="J225" t="s">
        <v>353</v>
      </c>
      <c r="K225" t="s">
        <v>34</v>
      </c>
      <c r="L225">
        <v>10</v>
      </c>
      <c r="M225">
        <v>2.94</v>
      </c>
      <c r="N225">
        <v>29.68</v>
      </c>
      <c r="O225">
        <v>0.57999999999999996</v>
      </c>
      <c r="P225">
        <v>2</v>
      </c>
      <c r="Q225">
        <v>0.91</v>
      </c>
      <c r="R225">
        <v>523</v>
      </c>
      <c r="S225">
        <v>11.29</v>
      </c>
      <c r="T225">
        <v>0.61</v>
      </c>
      <c r="U225" s="1">
        <v>45466</v>
      </c>
      <c r="V225">
        <v>75.849999999999994</v>
      </c>
      <c r="W225">
        <v>0.75700000000000001</v>
      </c>
      <c r="X225" t="str">
        <f>IF(WarehouseData[[#This Row],[stock_level]]&lt;=WarehouseData[[#This Row],[reorder_point]],"Low Stock","Sufficient Stock")</f>
        <v>Sufficient Stock</v>
      </c>
      <c r="Y225">
        <f>WarehouseData[[#This Row],[daily_demand]]*WarehouseData[[#This Row],[lead_time_days]]</f>
        <v>24.240000000000002</v>
      </c>
      <c r="Z225" t="str">
        <f>IF(WarehouseData[[#This Row],[stock_level]]&lt;=WarehouseData[[#This Row],[Demand During Lead Time]],"At Risk","Safe")</f>
        <v>Safe</v>
      </c>
      <c r="AA225">
        <f>WarehouseData[[#This Row],[stock_level]]/WarehouseData[[#This Row],[daily_demand]]</f>
        <v>78.465346534653463</v>
      </c>
      <c r="AB225">
        <f>WarehouseData[[#This Row],[stock_level]]*WarehouseData[[#This Row],[unit_price]]</f>
        <v>9408.56</v>
      </c>
      <c r="AC225">
        <f>WarehouseData[[#This Row],[stock_level]]*WarehouseData[[#This Row],[holding_cost_per_unit_day]]*30</f>
        <v>5515.7999999999993</v>
      </c>
      <c r="AD225" t="str">
        <f>IF(WarehouseData[[#This Row],[order_fulfillment_rate]]&gt;=0.9,"Strong",IF(WarehouseData[[#This Row],[order_fulfillment_rate]]&gt;=0.8,"Moderate","Needs Attention"))</f>
        <v>Strong</v>
      </c>
      <c r="AE225" t="str">
        <f>IF(WarehouseData[[#This Row],[picking_time_seconds]]&gt;120,"Slow",IF(WarehouseData[[#This Row],[picking_time_seconds]]&gt;=60,"Average","Fast"))</f>
        <v>Fast</v>
      </c>
    </row>
    <row r="226" spans="1:31" x14ac:dyDescent="0.25">
      <c r="A226" t="s">
        <v>355</v>
      </c>
      <c r="B226" t="s">
        <v>73</v>
      </c>
      <c r="C226">
        <v>420</v>
      </c>
      <c r="D226">
        <v>31</v>
      </c>
      <c r="E226">
        <v>12</v>
      </c>
      <c r="F226">
        <v>9</v>
      </c>
      <c r="G226">
        <v>38.56</v>
      </c>
      <c r="H226">
        <v>5.2</v>
      </c>
      <c r="I226">
        <v>0.14000000000000001</v>
      </c>
      <c r="J226" t="s">
        <v>163</v>
      </c>
      <c r="K226" t="s">
        <v>38</v>
      </c>
      <c r="L226">
        <v>40</v>
      </c>
      <c r="M226">
        <v>2.77</v>
      </c>
      <c r="N226">
        <v>88.94</v>
      </c>
      <c r="O226">
        <v>1.83</v>
      </c>
      <c r="P226">
        <v>7</v>
      </c>
      <c r="Q226">
        <v>0.9</v>
      </c>
      <c r="R226">
        <v>749</v>
      </c>
      <c r="S226">
        <v>4.51</v>
      </c>
      <c r="T226">
        <v>0.89</v>
      </c>
      <c r="U226" s="1">
        <v>45601</v>
      </c>
      <c r="V226">
        <v>162.44</v>
      </c>
      <c r="W226">
        <v>0.495</v>
      </c>
      <c r="X226" t="str">
        <f>IF(WarehouseData[[#This Row],[stock_level]]&lt;=WarehouseData[[#This Row],[reorder_point]],"Low Stock","Sufficient Stock")</f>
        <v>Sufficient Stock</v>
      </c>
      <c r="Y226">
        <f>WarehouseData[[#This Row],[daily_demand]]*WarehouseData[[#This Row],[lead_time_days]]</f>
        <v>347.04</v>
      </c>
      <c r="Z226" t="str">
        <f>IF(WarehouseData[[#This Row],[stock_level]]&lt;=WarehouseData[[#This Row],[Demand During Lead Time]],"At Risk","Safe")</f>
        <v>Safe</v>
      </c>
      <c r="AA226">
        <f>WarehouseData[[#This Row],[stock_level]]/WarehouseData[[#This Row],[daily_demand]]</f>
        <v>10.892116182572613</v>
      </c>
      <c r="AB226">
        <f>WarehouseData[[#This Row],[stock_level]]*WarehouseData[[#This Row],[unit_price]]</f>
        <v>37354.799999999996</v>
      </c>
      <c r="AC226">
        <f>WarehouseData[[#This Row],[stock_level]]*WarehouseData[[#This Row],[holding_cost_per_unit_day]]*30</f>
        <v>23058</v>
      </c>
      <c r="AD226" t="str">
        <f>IF(WarehouseData[[#This Row],[order_fulfillment_rate]]&gt;=0.9,"Strong",IF(WarehouseData[[#This Row],[order_fulfillment_rate]]&gt;=0.8,"Moderate","Needs Attention"))</f>
        <v>Strong</v>
      </c>
      <c r="AE226" t="str">
        <f>IF(WarehouseData[[#This Row],[picking_time_seconds]]&gt;120,"Slow",IF(WarehouseData[[#This Row],[picking_time_seconds]]&gt;=60,"Average","Fast"))</f>
        <v>Fast</v>
      </c>
    </row>
    <row r="227" spans="1:31" x14ac:dyDescent="0.25">
      <c r="A227" t="s">
        <v>356</v>
      </c>
      <c r="B227" t="s">
        <v>73</v>
      </c>
      <c r="C227">
        <v>120</v>
      </c>
      <c r="D227">
        <v>33</v>
      </c>
      <c r="E227">
        <v>7</v>
      </c>
      <c r="F227">
        <v>2</v>
      </c>
      <c r="G227">
        <v>36.24</v>
      </c>
      <c r="H227">
        <v>9.4</v>
      </c>
      <c r="I227">
        <v>0.56000000000000005</v>
      </c>
      <c r="J227" t="s">
        <v>357</v>
      </c>
      <c r="K227" t="s">
        <v>52</v>
      </c>
      <c r="L227">
        <v>137</v>
      </c>
      <c r="M227">
        <v>1.72</v>
      </c>
      <c r="N227">
        <v>55.4</v>
      </c>
      <c r="O227">
        <v>1.01</v>
      </c>
      <c r="P227">
        <v>6</v>
      </c>
      <c r="Q227">
        <v>0.87</v>
      </c>
      <c r="R227">
        <v>67</v>
      </c>
      <c r="S227">
        <v>4.68</v>
      </c>
      <c r="T227">
        <v>0.6</v>
      </c>
      <c r="U227" s="1">
        <v>45606</v>
      </c>
      <c r="V227">
        <v>277.95999999999998</v>
      </c>
      <c r="W227">
        <v>0.53500000000000003</v>
      </c>
      <c r="X227" t="str">
        <f>IF(WarehouseData[[#This Row],[stock_level]]&lt;=WarehouseData[[#This Row],[reorder_point]],"Low Stock","Sufficient Stock")</f>
        <v>Sufficient Stock</v>
      </c>
      <c r="Y227">
        <f>WarehouseData[[#This Row],[daily_demand]]*WarehouseData[[#This Row],[lead_time_days]]</f>
        <v>72.48</v>
      </c>
      <c r="Z227" t="str">
        <f>IF(WarehouseData[[#This Row],[stock_level]]&lt;=WarehouseData[[#This Row],[Demand During Lead Time]],"At Risk","Safe")</f>
        <v>Safe</v>
      </c>
      <c r="AA227">
        <f>WarehouseData[[#This Row],[stock_level]]/WarehouseData[[#This Row],[daily_demand]]</f>
        <v>3.3112582781456954</v>
      </c>
      <c r="AB227">
        <f>WarehouseData[[#This Row],[stock_level]]*WarehouseData[[#This Row],[unit_price]]</f>
        <v>6648</v>
      </c>
      <c r="AC227">
        <f>WarehouseData[[#This Row],[stock_level]]*WarehouseData[[#This Row],[holding_cost_per_unit_day]]*30</f>
        <v>3636</v>
      </c>
      <c r="AD227" t="str">
        <f>IF(WarehouseData[[#This Row],[order_fulfillment_rate]]&gt;=0.9,"Strong",IF(WarehouseData[[#This Row],[order_fulfillment_rate]]&gt;=0.8,"Moderate","Needs Attention"))</f>
        <v>Moderate</v>
      </c>
      <c r="AE227" t="str">
        <f>IF(WarehouseData[[#This Row],[picking_time_seconds]]&gt;120,"Slow",IF(WarehouseData[[#This Row],[picking_time_seconds]]&gt;=60,"Average","Fast"))</f>
        <v>Slow</v>
      </c>
    </row>
    <row r="228" spans="1:31" x14ac:dyDescent="0.25">
      <c r="A228" t="s">
        <v>358</v>
      </c>
      <c r="B228" t="s">
        <v>48</v>
      </c>
      <c r="C228">
        <v>323</v>
      </c>
      <c r="D228">
        <v>53</v>
      </c>
      <c r="E228">
        <v>13</v>
      </c>
      <c r="F228">
        <v>9</v>
      </c>
      <c r="G228">
        <v>44.2</v>
      </c>
      <c r="H228">
        <v>0.51</v>
      </c>
      <c r="I228">
        <v>0.14000000000000001</v>
      </c>
      <c r="J228" t="s">
        <v>144</v>
      </c>
      <c r="K228" t="s">
        <v>52</v>
      </c>
      <c r="L228">
        <v>141</v>
      </c>
      <c r="M228">
        <v>0.83</v>
      </c>
      <c r="N228">
        <v>191.23</v>
      </c>
      <c r="O228">
        <v>0.19</v>
      </c>
      <c r="P228">
        <v>7</v>
      </c>
      <c r="Q228">
        <v>0.79</v>
      </c>
      <c r="R228">
        <v>876</v>
      </c>
      <c r="S228">
        <v>11.25</v>
      </c>
      <c r="T228">
        <v>0.56999999999999995</v>
      </c>
      <c r="U228" s="1">
        <v>45596</v>
      </c>
      <c r="V228">
        <v>193.16</v>
      </c>
      <c r="W228">
        <v>0.66300000000000003</v>
      </c>
      <c r="X228" t="str">
        <f>IF(WarehouseData[[#This Row],[stock_level]]&lt;=WarehouseData[[#This Row],[reorder_point]],"Low Stock","Sufficient Stock")</f>
        <v>Sufficient Stock</v>
      </c>
      <c r="Y228">
        <f>WarehouseData[[#This Row],[daily_demand]]*WarehouseData[[#This Row],[lead_time_days]]</f>
        <v>397.8</v>
      </c>
      <c r="Z228" t="str">
        <f>IF(WarehouseData[[#This Row],[stock_level]]&lt;=WarehouseData[[#This Row],[Demand During Lead Time]],"At Risk","Safe")</f>
        <v>At Risk</v>
      </c>
      <c r="AA228">
        <f>WarehouseData[[#This Row],[stock_level]]/WarehouseData[[#This Row],[daily_demand]]</f>
        <v>7.3076923076923075</v>
      </c>
      <c r="AB228">
        <f>WarehouseData[[#This Row],[stock_level]]*WarehouseData[[#This Row],[unit_price]]</f>
        <v>61767.289999999994</v>
      </c>
      <c r="AC228">
        <f>WarehouseData[[#This Row],[stock_level]]*WarehouseData[[#This Row],[holding_cost_per_unit_day]]*30</f>
        <v>1841.1</v>
      </c>
      <c r="AD228" t="str">
        <f>IF(WarehouseData[[#This Row],[order_fulfillment_rate]]&gt;=0.9,"Strong",IF(WarehouseData[[#This Row],[order_fulfillment_rate]]&gt;=0.8,"Moderate","Needs Attention"))</f>
        <v>Needs Attention</v>
      </c>
      <c r="AE228" t="str">
        <f>IF(WarehouseData[[#This Row],[picking_time_seconds]]&gt;120,"Slow",IF(WarehouseData[[#This Row],[picking_time_seconds]]&gt;=60,"Average","Fast"))</f>
        <v>Slow</v>
      </c>
    </row>
    <row r="229" spans="1:31" x14ac:dyDescent="0.25">
      <c r="A229" t="s">
        <v>359</v>
      </c>
      <c r="B229" t="s">
        <v>48</v>
      </c>
      <c r="C229">
        <v>378</v>
      </c>
      <c r="D229">
        <v>10</v>
      </c>
      <c r="E229">
        <v>3</v>
      </c>
      <c r="F229">
        <v>7</v>
      </c>
      <c r="G229">
        <v>32.340000000000003</v>
      </c>
      <c r="H229">
        <v>9</v>
      </c>
      <c r="I229">
        <v>0.16</v>
      </c>
      <c r="J229" t="s">
        <v>196</v>
      </c>
      <c r="K229" t="s">
        <v>38</v>
      </c>
      <c r="L229">
        <v>100</v>
      </c>
      <c r="M229">
        <v>2.67</v>
      </c>
      <c r="N229">
        <v>130.80000000000001</v>
      </c>
      <c r="O229">
        <v>0.15</v>
      </c>
      <c r="P229">
        <v>5</v>
      </c>
      <c r="Q229">
        <v>0.81</v>
      </c>
      <c r="R229">
        <v>198</v>
      </c>
      <c r="S229">
        <v>8.8000000000000007</v>
      </c>
      <c r="T229">
        <v>0.45</v>
      </c>
      <c r="U229" s="1">
        <v>45495</v>
      </c>
      <c r="V229">
        <v>19.97</v>
      </c>
      <c r="W229">
        <v>0.65400000000000003</v>
      </c>
      <c r="X229" t="str">
        <f>IF(WarehouseData[[#This Row],[stock_level]]&lt;=WarehouseData[[#This Row],[reorder_point]],"Low Stock","Sufficient Stock")</f>
        <v>Sufficient Stock</v>
      </c>
      <c r="Y229">
        <f>WarehouseData[[#This Row],[daily_demand]]*WarehouseData[[#This Row],[lead_time_days]]</f>
        <v>226.38000000000002</v>
      </c>
      <c r="Z229" t="str">
        <f>IF(WarehouseData[[#This Row],[stock_level]]&lt;=WarehouseData[[#This Row],[Demand During Lead Time]],"At Risk","Safe")</f>
        <v>Safe</v>
      </c>
      <c r="AA229">
        <f>WarehouseData[[#This Row],[stock_level]]/WarehouseData[[#This Row],[daily_demand]]</f>
        <v>11.688311688311687</v>
      </c>
      <c r="AB229">
        <f>WarehouseData[[#This Row],[stock_level]]*WarehouseData[[#This Row],[unit_price]]</f>
        <v>49442.400000000001</v>
      </c>
      <c r="AC229">
        <f>WarehouseData[[#This Row],[stock_level]]*WarehouseData[[#This Row],[holding_cost_per_unit_day]]*30</f>
        <v>1700.9999999999998</v>
      </c>
      <c r="AD229" t="str">
        <f>IF(WarehouseData[[#This Row],[order_fulfillment_rate]]&gt;=0.9,"Strong",IF(WarehouseData[[#This Row],[order_fulfillment_rate]]&gt;=0.8,"Moderate","Needs Attention"))</f>
        <v>Moderate</v>
      </c>
      <c r="AE229" t="str">
        <f>IF(WarehouseData[[#This Row],[picking_time_seconds]]&gt;120,"Slow",IF(WarehouseData[[#This Row],[picking_time_seconds]]&gt;=60,"Average","Fast"))</f>
        <v>Average</v>
      </c>
    </row>
    <row r="230" spans="1:31" x14ac:dyDescent="0.25">
      <c r="A230" t="s">
        <v>360</v>
      </c>
      <c r="B230" t="s">
        <v>40</v>
      </c>
      <c r="C230">
        <v>47</v>
      </c>
      <c r="D230">
        <v>19</v>
      </c>
      <c r="E230">
        <v>4</v>
      </c>
      <c r="F230">
        <v>3</v>
      </c>
      <c r="G230">
        <v>4.29</v>
      </c>
      <c r="H230">
        <v>3.45</v>
      </c>
      <c r="I230">
        <v>0.9</v>
      </c>
      <c r="J230" t="s">
        <v>129</v>
      </c>
      <c r="K230" t="s">
        <v>34</v>
      </c>
      <c r="L230">
        <v>67</v>
      </c>
      <c r="M230">
        <v>4.4000000000000004</v>
      </c>
      <c r="N230">
        <v>123.45</v>
      </c>
      <c r="O230">
        <v>1.02</v>
      </c>
      <c r="P230">
        <v>4</v>
      </c>
      <c r="Q230">
        <v>0.79</v>
      </c>
      <c r="R230">
        <v>607</v>
      </c>
      <c r="S230">
        <v>11.39</v>
      </c>
      <c r="T230">
        <v>0.87</v>
      </c>
      <c r="U230" s="1">
        <v>45459</v>
      </c>
      <c r="V230">
        <v>172.54</v>
      </c>
      <c r="W230">
        <v>0.70199999999999996</v>
      </c>
      <c r="X230" t="str">
        <f>IF(WarehouseData[[#This Row],[stock_level]]&lt;=WarehouseData[[#This Row],[reorder_point]],"Low Stock","Sufficient Stock")</f>
        <v>Sufficient Stock</v>
      </c>
      <c r="Y230">
        <f>WarehouseData[[#This Row],[daily_demand]]*WarehouseData[[#This Row],[lead_time_days]]</f>
        <v>12.870000000000001</v>
      </c>
      <c r="Z230" t="str">
        <f>IF(WarehouseData[[#This Row],[stock_level]]&lt;=WarehouseData[[#This Row],[Demand During Lead Time]],"At Risk","Safe")</f>
        <v>Safe</v>
      </c>
      <c r="AA230">
        <f>WarehouseData[[#This Row],[stock_level]]/WarehouseData[[#This Row],[daily_demand]]</f>
        <v>10.955710955710956</v>
      </c>
      <c r="AB230">
        <f>WarehouseData[[#This Row],[stock_level]]*WarehouseData[[#This Row],[unit_price]]</f>
        <v>5802.1500000000005</v>
      </c>
      <c r="AC230">
        <f>WarehouseData[[#This Row],[stock_level]]*WarehouseData[[#This Row],[holding_cost_per_unit_day]]*30</f>
        <v>1438.1999999999998</v>
      </c>
      <c r="AD230" t="str">
        <f>IF(WarehouseData[[#This Row],[order_fulfillment_rate]]&gt;=0.9,"Strong",IF(WarehouseData[[#This Row],[order_fulfillment_rate]]&gt;=0.8,"Moderate","Needs Attention"))</f>
        <v>Needs Attention</v>
      </c>
      <c r="AE230" t="str">
        <f>IF(WarehouseData[[#This Row],[picking_time_seconds]]&gt;120,"Slow",IF(WarehouseData[[#This Row],[picking_time_seconds]]&gt;=60,"Average","Fast"))</f>
        <v>Average</v>
      </c>
    </row>
    <row r="231" spans="1:31" x14ac:dyDescent="0.25">
      <c r="A231" t="s">
        <v>361</v>
      </c>
      <c r="B231" t="s">
        <v>32</v>
      </c>
      <c r="C231">
        <v>60</v>
      </c>
      <c r="D231">
        <v>89</v>
      </c>
      <c r="E231">
        <v>10</v>
      </c>
      <c r="F231">
        <v>9</v>
      </c>
      <c r="G231">
        <v>13.4</v>
      </c>
      <c r="H231">
        <v>3.46</v>
      </c>
      <c r="I231">
        <v>0.79</v>
      </c>
      <c r="J231" t="s">
        <v>281</v>
      </c>
      <c r="K231" t="s">
        <v>52</v>
      </c>
      <c r="L231">
        <v>65</v>
      </c>
      <c r="M231">
        <v>1.04</v>
      </c>
      <c r="N231">
        <v>199.51</v>
      </c>
      <c r="O231">
        <v>1.1399999999999999</v>
      </c>
      <c r="P231">
        <v>9</v>
      </c>
      <c r="Q231">
        <v>0.98</v>
      </c>
      <c r="R231">
        <v>61</v>
      </c>
      <c r="S231">
        <v>1.02</v>
      </c>
      <c r="T231">
        <v>0.92</v>
      </c>
      <c r="U231" s="1">
        <v>45307</v>
      </c>
      <c r="V231">
        <v>186.45</v>
      </c>
      <c r="W231">
        <v>0.5</v>
      </c>
      <c r="X231" t="str">
        <f>IF(WarehouseData[[#This Row],[stock_level]]&lt;=WarehouseData[[#This Row],[reorder_point]],"Low Stock","Sufficient Stock")</f>
        <v>Low Stock</v>
      </c>
      <c r="Y231">
        <f>WarehouseData[[#This Row],[daily_demand]]*WarehouseData[[#This Row],[lead_time_days]]</f>
        <v>120.60000000000001</v>
      </c>
      <c r="Z231" t="str">
        <f>IF(WarehouseData[[#This Row],[stock_level]]&lt;=WarehouseData[[#This Row],[Demand During Lead Time]],"At Risk","Safe")</f>
        <v>At Risk</v>
      </c>
      <c r="AA231">
        <f>WarehouseData[[#This Row],[stock_level]]/WarehouseData[[#This Row],[daily_demand]]</f>
        <v>4.4776119402985071</v>
      </c>
      <c r="AB231">
        <f>WarehouseData[[#This Row],[stock_level]]*WarehouseData[[#This Row],[unit_price]]</f>
        <v>11970.599999999999</v>
      </c>
      <c r="AC231">
        <f>WarehouseData[[#This Row],[stock_level]]*WarehouseData[[#This Row],[holding_cost_per_unit_day]]*30</f>
        <v>2051.9999999999995</v>
      </c>
      <c r="AD231" t="str">
        <f>IF(WarehouseData[[#This Row],[order_fulfillment_rate]]&gt;=0.9,"Strong",IF(WarehouseData[[#This Row],[order_fulfillment_rate]]&gt;=0.8,"Moderate","Needs Attention"))</f>
        <v>Strong</v>
      </c>
      <c r="AE231" t="str">
        <f>IF(WarehouseData[[#This Row],[picking_time_seconds]]&gt;120,"Slow",IF(WarehouseData[[#This Row],[picking_time_seconds]]&gt;=60,"Average","Fast"))</f>
        <v>Average</v>
      </c>
    </row>
    <row r="232" spans="1:31" x14ac:dyDescent="0.25">
      <c r="A232" t="s">
        <v>362</v>
      </c>
      <c r="B232" t="s">
        <v>48</v>
      </c>
      <c r="C232">
        <v>374</v>
      </c>
      <c r="D232">
        <v>81</v>
      </c>
      <c r="E232">
        <v>3</v>
      </c>
      <c r="F232">
        <v>9</v>
      </c>
      <c r="G232">
        <v>40.590000000000003</v>
      </c>
      <c r="H232">
        <v>2.67</v>
      </c>
      <c r="I232">
        <v>0.28000000000000003</v>
      </c>
      <c r="J232" t="s">
        <v>81</v>
      </c>
      <c r="K232" t="s">
        <v>52</v>
      </c>
      <c r="L232">
        <v>52</v>
      </c>
      <c r="M232">
        <v>4.68</v>
      </c>
      <c r="N232">
        <v>126.36</v>
      </c>
      <c r="O232">
        <v>0.25</v>
      </c>
      <c r="P232">
        <v>8</v>
      </c>
      <c r="Q232">
        <v>0.95</v>
      </c>
      <c r="R232">
        <v>791</v>
      </c>
      <c r="S232">
        <v>2.2200000000000002</v>
      </c>
      <c r="T232">
        <v>0.98</v>
      </c>
      <c r="U232" s="1">
        <v>45616</v>
      </c>
      <c r="V232">
        <v>178.65</v>
      </c>
      <c r="W232">
        <v>0.63100000000000001</v>
      </c>
      <c r="X232" t="str">
        <f>IF(WarehouseData[[#This Row],[stock_level]]&lt;=WarehouseData[[#This Row],[reorder_point]],"Low Stock","Sufficient Stock")</f>
        <v>Sufficient Stock</v>
      </c>
      <c r="Y232">
        <f>WarehouseData[[#This Row],[daily_demand]]*WarehouseData[[#This Row],[lead_time_days]]</f>
        <v>365.31000000000006</v>
      </c>
      <c r="Z232" t="str">
        <f>IF(WarehouseData[[#This Row],[stock_level]]&lt;=WarehouseData[[#This Row],[Demand During Lead Time]],"At Risk","Safe")</f>
        <v>Safe</v>
      </c>
      <c r="AA232">
        <f>WarehouseData[[#This Row],[stock_level]]/WarehouseData[[#This Row],[daily_demand]]</f>
        <v>9.2140921409214087</v>
      </c>
      <c r="AB232">
        <f>WarehouseData[[#This Row],[stock_level]]*WarehouseData[[#This Row],[unit_price]]</f>
        <v>47258.64</v>
      </c>
      <c r="AC232">
        <f>WarehouseData[[#This Row],[stock_level]]*WarehouseData[[#This Row],[holding_cost_per_unit_day]]*30</f>
        <v>2805</v>
      </c>
      <c r="AD232" t="str">
        <f>IF(WarehouseData[[#This Row],[order_fulfillment_rate]]&gt;=0.9,"Strong",IF(WarehouseData[[#This Row],[order_fulfillment_rate]]&gt;=0.8,"Moderate","Needs Attention"))</f>
        <v>Strong</v>
      </c>
      <c r="AE232" t="str">
        <f>IF(WarehouseData[[#This Row],[picking_time_seconds]]&gt;120,"Slow",IF(WarehouseData[[#This Row],[picking_time_seconds]]&gt;=60,"Average","Fast"))</f>
        <v>Fast</v>
      </c>
    </row>
    <row r="233" spans="1:31" x14ac:dyDescent="0.25">
      <c r="A233" t="s">
        <v>363</v>
      </c>
      <c r="B233" t="s">
        <v>73</v>
      </c>
      <c r="C233">
        <v>322</v>
      </c>
      <c r="D233">
        <v>65</v>
      </c>
      <c r="E233">
        <v>5</v>
      </c>
      <c r="F233">
        <v>5</v>
      </c>
      <c r="G233">
        <v>9.19</v>
      </c>
      <c r="H233">
        <v>3.51</v>
      </c>
      <c r="I233">
        <v>0.66</v>
      </c>
      <c r="J233" t="s">
        <v>68</v>
      </c>
      <c r="K233" t="s">
        <v>46</v>
      </c>
      <c r="L233">
        <v>83</v>
      </c>
      <c r="M233">
        <v>1.74</v>
      </c>
      <c r="N233">
        <v>132.77000000000001</v>
      </c>
      <c r="O233">
        <v>1.85</v>
      </c>
      <c r="P233">
        <v>4</v>
      </c>
      <c r="Q233">
        <v>0.87</v>
      </c>
      <c r="R233">
        <v>511</v>
      </c>
      <c r="S233">
        <v>12.23</v>
      </c>
      <c r="T233">
        <v>0.98</v>
      </c>
      <c r="U233" s="1">
        <v>45431</v>
      </c>
      <c r="V233">
        <v>210.41</v>
      </c>
      <c r="W233">
        <v>0.66800000000000004</v>
      </c>
      <c r="X233" t="str">
        <f>IF(WarehouseData[[#This Row],[stock_level]]&lt;=WarehouseData[[#This Row],[reorder_point]],"Low Stock","Sufficient Stock")</f>
        <v>Sufficient Stock</v>
      </c>
      <c r="Y233">
        <f>WarehouseData[[#This Row],[daily_demand]]*WarehouseData[[#This Row],[lead_time_days]]</f>
        <v>45.949999999999996</v>
      </c>
      <c r="Z233" t="str">
        <f>IF(WarehouseData[[#This Row],[stock_level]]&lt;=WarehouseData[[#This Row],[Demand During Lead Time]],"At Risk","Safe")</f>
        <v>Safe</v>
      </c>
      <c r="AA233">
        <f>WarehouseData[[#This Row],[stock_level]]/WarehouseData[[#This Row],[daily_demand]]</f>
        <v>35.038084874863983</v>
      </c>
      <c r="AB233">
        <f>WarehouseData[[#This Row],[stock_level]]*WarehouseData[[#This Row],[unit_price]]</f>
        <v>42751.94</v>
      </c>
      <c r="AC233">
        <f>WarehouseData[[#This Row],[stock_level]]*WarehouseData[[#This Row],[holding_cost_per_unit_day]]*30</f>
        <v>17871</v>
      </c>
      <c r="AD233" t="str">
        <f>IF(WarehouseData[[#This Row],[order_fulfillment_rate]]&gt;=0.9,"Strong",IF(WarehouseData[[#This Row],[order_fulfillment_rate]]&gt;=0.8,"Moderate","Needs Attention"))</f>
        <v>Moderate</v>
      </c>
      <c r="AE233" t="str">
        <f>IF(WarehouseData[[#This Row],[picking_time_seconds]]&gt;120,"Slow",IF(WarehouseData[[#This Row],[picking_time_seconds]]&gt;=60,"Average","Fast"))</f>
        <v>Average</v>
      </c>
    </row>
    <row r="234" spans="1:31" x14ac:dyDescent="0.25">
      <c r="A234" t="s">
        <v>364</v>
      </c>
      <c r="B234" t="s">
        <v>32</v>
      </c>
      <c r="C234">
        <v>165</v>
      </c>
      <c r="D234">
        <v>98</v>
      </c>
      <c r="E234">
        <v>4</v>
      </c>
      <c r="F234">
        <v>5</v>
      </c>
      <c r="G234">
        <v>35.229999999999997</v>
      </c>
      <c r="H234">
        <v>2.5299999999999998</v>
      </c>
      <c r="I234">
        <v>0.82</v>
      </c>
      <c r="J234" t="s">
        <v>75</v>
      </c>
      <c r="K234" t="s">
        <v>46</v>
      </c>
      <c r="L234">
        <v>58</v>
      </c>
      <c r="M234">
        <v>2.89</v>
      </c>
      <c r="N234">
        <v>18.510000000000002</v>
      </c>
      <c r="O234">
        <v>1.46</v>
      </c>
      <c r="P234">
        <v>8</v>
      </c>
      <c r="Q234">
        <v>0.97</v>
      </c>
      <c r="R234">
        <v>674</v>
      </c>
      <c r="S234">
        <v>12.92</v>
      </c>
      <c r="T234">
        <v>0.98</v>
      </c>
      <c r="U234" s="1">
        <v>45522</v>
      </c>
      <c r="V234">
        <v>95.12</v>
      </c>
      <c r="W234">
        <v>0.65600000000000003</v>
      </c>
      <c r="X234" t="str">
        <f>IF(WarehouseData[[#This Row],[stock_level]]&lt;=WarehouseData[[#This Row],[reorder_point]],"Low Stock","Sufficient Stock")</f>
        <v>Sufficient Stock</v>
      </c>
      <c r="Y234">
        <f>WarehouseData[[#This Row],[daily_demand]]*WarehouseData[[#This Row],[lead_time_days]]</f>
        <v>176.14999999999998</v>
      </c>
      <c r="Z234" t="str">
        <f>IF(WarehouseData[[#This Row],[stock_level]]&lt;=WarehouseData[[#This Row],[Demand During Lead Time]],"At Risk","Safe")</f>
        <v>At Risk</v>
      </c>
      <c r="AA234">
        <f>WarehouseData[[#This Row],[stock_level]]/WarehouseData[[#This Row],[daily_demand]]</f>
        <v>4.6835083735452745</v>
      </c>
      <c r="AB234">
        <f>WarehouseData[[#This Row],[stock_level]]*WarehouseData[[#This Row],[unit_price]]</f>
        <v>3054.15</v>
      </c>
      <c r="AC234">
        <f>WarehouseData[[#This Row],[stock_level]]*WarehouseData[[#This Row],[holding_cost_per_unit_day]]*30</f>
        <v>7227</v>
      </c>
      <c r="AD234" t="str">
        <f>IF(WarehouseData[[#This Row],[order_fulfillment_rate]]&gt;=0.9,"Strong",IF(WarehouseData[[#This Row],[order_fulfillment_rate]]&gt;=0.8,"Moderate","Needs Attention"))</f>
        <v>Strong</v>
      </c>
      <c r="AE234" t="str">
        <f>IF(WarehouseData[[#This Row],[picking_time_seconds]]&gt;120,"Slow",IF(WarehouseData[[#This Row],[picking_time_seconds]]&gt;=60,"Average","Fast"))</f>
        <v>Fast</v>
      </c>
    </row>
    <row r="235" spans="1:31" x14ac:dyDescent="0.25">
      <c r="A235" t="s">
        <v>365</v>
      </c>
      <c r="B235" t="s">
        <v>32</v>
      </c>
      <c r="C235">
        <v>275</v>
      </c>
      <c r="D235">
        <v>59</v>
      </c>
      <c r="E235">
        <v>7</v>
      </c>
      <c r="F235">
        <v>9</v>
      </c>
      <c r="G235">
        <v>39.229999999999997</v>
      </c>
      <c r="H235">
        <v>9.11</v>
      </c>
      <c r="I235">
        <v>0.9</v>
      </c>
      <c r="J235" t="s">
        <v>62</v>
      </c>
      <c r="K235" t="s">
        <v>38</v>
      </c>
      <c r="L235">
        <v>121</v>
      </c>
      <c r="M235">
        <v>0.8</v>
      </c>
      <c r="N235">
        <v>173.22</v>
      </c>
      <c r="O235">
        <v>1.62</v>
      </c>
      <c r="P235">
        <v>3</v>
      </c>
      <c r="Q235">
        <v>0.97</v>
      </c>
      <c r="R235">
        <v>209</v>
      </c>
      <c r="S235">
        <v>5.81</v>
      </c>
      <c r="T235">
        <v>0.77</v>
      </c>
      <c r="U235" s="1">
        <v>45543</v>
      </c>
      <c r="V235">
        <v>51.69</v>
      </c>
      <c r="W235">
        <v>0.60299999999999998</v>
      </c>
      <c r="X235" t="str">
        <f>IF(WarehouseData[[#This Row],[stock_level]]&lt;=WarehouseData[[#This Row],[reorder_point]],"Low Stock","Sufficient Stock")</f>
        <v>Sufficient Stock</v>
      </c>
      <c r="Y235">
        <f>WarehouseData[[#This Row],[daily_demand]]*WarehouseData[[#This Row],[lead_time_days]]</f>
        <v>353.07</v>
      </c>
      <c r="Z235" t="str">
        <f>IF(WarehouseData[[#This Row],[stock_level]]&lt;=WarehouseData[[#This Row],[Demand During Lead Time]],"At Risk","Safe")</f>
        <v>At Risk</v>
      </c>
      <c r="AA235">
        <f>WarehouseData[[#This Row],[stock_level]]/WarehouseData[[#This Row],[daily_demand]]</f>
        <v>7.0099413713994396</v>
      </c>
      <c r="AB235">
        <f>WarehouseData[[#This Row],[stock_level]]*WarehouseData[[#This Row],[unit_price]]</f>
        <v>47635.5</v>
      </c>
      <c r="AC235">
        <f>WarehouseData[[#This Row],[stock_level]]*WarehouseData[[#This Row],[holding_cost_per_unit_day]]*30</f>
        <v>13365.000000000002</v>
      </c>
      <c r="AD235" t="str">
        <f>IF(WarehouseData[[#This Row],[order_fulfillment_rate]]&gt;=0.9,"Strong",IF(WarehouseData[[#This Row],[order_fulfillment_rate]]&gt;=0.8,"Moderate","Needs Attention"))</f>
        <v>Strong</v>
      </c>
      <c r="AE235" t="str">
        <f>IF(WarehouseData[[#This Row],[picking_time_seconds]]&gt;120,"Slow",IF(WarehouseData[[#This Row],[picking_time_seconds]]&gt;=60,"Average","Fast"))</f>
        <v>Slow</v>
      </c>
    </row>
    <row r="236" spans="1:31" x14ac:dyDescent="0.25">
      <c r="A236" t="s">
        <v>366</v>
      </c>
      <c r="B236" t="s">
        <v>73</v>
      </c>
      <c r="C236">
        <v>481</v>
      </c>
      <c r="D236">
        <v>21</v>
      </c>
      <c r="E236">
        <v>6</v>
      </c>
      <c r="F236">
        <v>9</v>
      </c>
      <c r="G236">
        <v>17.18</v>
      </c>
      <c r="H236">
        <v>9.0399999999999991</v>
      </c>
      <c r="I236">
        <v>0.52</v>
      </c>
      <c r="J236" t="s">
        <v>263</v>
      </c>
      <c r="K236" t="s">
        <v>38</v>
      </c>
      <c r="L236">
        <v>117</v>
      </c>
      <c r="M236">
        <v>2.41</v>
      </c>
      <c r="N236">
        <v>194.32</v>
      </c>
      <c r="O236">
        <v>1.21</v>
      </c>
      <c r="P236">
        <v>4</v>
      </c>
      <c r="Q236">
        <v>0.98</v>
      </c>
      <c r="R236">
        <v>984</v>
      </c>
      <c r="S236">
        <v>14.42</v>
      </c>
      <c r="T236">
        <v>0.65</v>
      </c>
      <c r="U236" s="1">
        <v>45408</v>
      </c>
      <c r="V236">
        <v>227.51</v>
      </c>
      <c r="W236">
        <v>0.71699999999999997</v>
      </c>
      <c r="X236" t="str">
        <f>IF(WarehouseData[[#This Row],[stock_level]]&lt;=WarehouseData[[#This Row],[reorder_point]],"Low Stock","Sufficient Stock")</f>
        <v>Sufficient Stock</v>
      </c>
      <c r="Y236">
        <f>WarehouseData[[#This Row],[daily_demand]]*WarehouseData[[#This Row],[lead_time_days]]</f>
        <v>154.62</v>
      </c>
      <c r="Z236" t="str">
        <f>IF(WarehouseData[[#This Row],[stock_level]]&lt;=WarehouseData[[#This Row],[Demand During Lead Time]],"At Risk","Safe")</f>
        <v>Safe</v>
      </c>
      <c r="AA236">
        <f>WarehouseData[[#This Row],[stock_level]]/WarehouseData[[#This Row],[daily_demand]]</f>
        <v>27.997671711292202</v>
      </c>
      <c r="AB236">
        <f>WarehouseData[[#This Row],[stock_level]]*WarehouseData[[#This Row],[unit_price]]</f>
        <v>93467.92</v>
      </c>
      <c r="AC236">
        <f>WarehouseData[[#This Row],[stock_level]]*WarehouseData[[#This Row],[holding_cost_per_unit_day]]*30</f>
        <v>17460.3</v>
      </c>
      <c r="AD236" t="str">
        <f>IF(WarehouseData[[#This Row],[order_fulfillment_rate]]&gt;=0.9,"Strong",IF(WarehouseData[[#This Row],[order_fulfillment_rate]]&gt;=0.8,"Moderate","Needs Attention"))</f>
        <v>Strong</v>
      </c>
      <c r="AE236" t="str">
        <f>IF(WarehouseData[[#This Row],[picking_time_seconds]]&gt;120,"Slow",IF(WarehouseData[[#This Row],[picking_time_seconds]]&gt;=60,"Average","Fast"))</f>
        <v>Average</v>
      </c>
    </row>
    <row r="237" spans="1:31" x14ac:dyDescent="0.25">
      <c r="A237" t="s">
        <v>367</v>
      </c>
      <c r="B237" t="s">
        <v>48</v>
      </c>
      <c r="C237">
        <v>246</v>
      </c>
      <c r="D237">
        <v>98</v>
      </c>
      <c r="E237">
        <v>9</v>
      </c>
      <c r="F237">
        <v>3</v>
      </c>
      <c r="G237">
        <v>16.79</v>
      </c>
      <c r="H237">
        <v>1.47</v>
      </c>
      <c r="I237">
        <v>0.91</v>
      </c>
      <c r="J237" t="s">
        <v>133</v>
      </c>
      <c r="K237" t="s">
        <v>34</v>
      </c>
      <c r="L237">
        <v>69</v>
      </c>
      <c r="M237">
        <v>1.07</v>
      </c>
      <c r="N237">
        <v>192.46</v>
      </c>
      <c r="O237">
        <v>1.36</v>
      </c>
      <c r="P237">
        <v>0</v>
      </c>
      <c r="Q237">
        <v>0.77</v>
      </c>
      <c r="R237">
        <v>788</v>
      </c>
      <c r="S237">
        <v>5.22</v>
      </c>
      <c r="T237">
        <v>0.34</v>
      </c>
      <c r="U237" s="1">
        <v>45474</v>
      </c>
      <c r="V237">
        <v>66.94</v>
      </c>
      <c r="W237">
        <v>0.55600000000000005</v>
      </c>
      <c r="X237" t="str">
        <f>IF(WarehouseData[[#This Row],[stock_level]]&lt;=WarehouseData[[#This Row],[reorder_point]],"Low Stock","Sufficient Stock")</f>
        <v>Sufficient Stock</v>
      </c>
      <c r="Y237">
        <f>WarehouseData[[#This Row],[daily_demand]]*WarehouseData[[#This Row],[lead_time_days]]</f>
        <v>50.37</v>
      </c>
      <c r="Z237" t="str">
        <f>IF(WarehouseData[[#This Row],[stock_level]]&lt;=WarehouseData[[#This Row],[Demand During Lead Time]],"At Risk","Safe")</f>
        <v>Safe</v>
      </c>
      <c r="AA237">
        <f>WarehouseData[[#This Row],[stock_level]]/WarehouseData[[#This Row],[daily_demand]]</f>
        <v>14.651578320428827</v>
      </c>
      <c r="AB237">
        <f>WarehouseData[[#This Row],[stock_level]]*WarehouseData[[#This Row],[unit_price]]</f>
        <v>47345.16</v>
      </c>
      <c r="AC237">
        <f>WarehouseData[[#This Row],[stock_level]]*WarehouseData[[#This Row],[holding_cost_per_unit_day]]*30</f>
        <v>10036.799999999999</v>
      </c>
      <c r="AD237" t="str">
        <f>IF(WarehouseData[[#This Row],[order_fulfillment_rate]]&gt;=0.9,"Strong",IF(WarehouseData[[#This Row],[order_fulfillment_rate]]&gt;=0.8,"Moderate","Needs Attention"))</f>
        <v>Needs Attention</v>
      </c>
      <c r="AE237" t="str">
        <f>IF(WarehouseData[[#This Row],[picking_time_seconds]]&gt;120,"Slow",IF(WarehouseData[[#This Row],[picking_time_seconds]]&gt;=60,"Average","Fast"))</f>
        <v>Average</v>
      </c>
    </row>
    <row r="238" spans="1:31" x14ac:dyDescent="0.25">
      <c r="A238" t="s">
        <v>368</v>
      </c>
      <c r="B238" t="s">
        <v>73</v>
      </c>
      <c r="C238">
        <v>255</v>
      </c>
      <c r="D238">
        <v>90</v>
      </c>
      <c r="E238">
        <v>7</v>
      </c>
      <c r="F238">
        <v>5</v>
      </c>
      <c r="G238">
        <v>28.33</v>
      </c>
      <c r="H238">
        <v>1.86</v>
      </c>
      <c r="I238">
        <v>0.56000000000000005</v>
      </c>
      <c r="J238" t="s">
        <v>207</v>
      </c>
      <c r="K238" t="s">
        <v>34</v>
      </c>
      <c r="L238">
        <v>103</v>
      </c>
      <c r="M238">
        <v>0.72</v>
      </c>
      <c r="N238">
        <v>52.01</v>
      </c>
      <c r="O238">
        <v>0.84</v>
      </c>
      <c r="P238">
        <v>5</v>
      </c>
      <c r="Q238">
        <v>0.92</v>
      </c>
      <c r="R238">
        <v>744</v>
      </c>
      <c r="S238">
        <v>13.46</v>
      </c>
      <c r="T238">
        <v>0.81</v>
      </c>
      <c r="U238" s="1">
        <v>45575</v>
      </c>
      <c r="V238">
        <v>43.11</v>
      </c>
      <c r="W238">
        <v>0.74099999999999999</v>
      </c>
      <c r="X238" t="str">
        <f>IF(WarehouseData[[#This Row],[stock_level]]&lt;=WarehouseData[[#This Row],[reorder_point]],"Low Stock","Sufficient Stock")</f>
        <v>Sufficient Stock</v>
      </c>
      <c r="Y238">
        <f>WarehouseData[[#This Row],[daily_demand]]*WarehouseData[[#This Row],[lead_time_days]]</f>
        <v>141.64999999999998</v>
      </c>
      <c r="Z238" t="str">
        <f>IF(WarehouseData[[#This Row],[stock_level]]&lt;=WarehouseData[[#This Row],[Demand During Lead Time]],"At Risk","Safe")</f>
        <v>Safe</v>
      </c>
      <c r="AA238">
        <f>WarehouseData[[#This Row],[stock_level]]/WarehouseData[[#This Row],[daily_demand]]</f>
        <v>9.0010589481115435</v>
      </c>
      <c r="AB238">
        <f>WarehouseData[[#This Row],[stock_level]]*WarehouseData[[#This Row],[unit_price]]</f>
        <v>13262.55</v>
      </c>
      <c r="AC238">
        <f>WarehouseData[[#This Row],[stock_level]]*WarehouseData[[#This Row],[holding_cost_per_unit_day]]*30</f>
        <v>6426</v>
      </c>
      <c r="AD238" t="str">
        <f>IF(WarehouseData[[#This Row],[order_fulfillment_rate]]&gt;=0.9,"Strong",IF(WarehouseData[[#This Row],[order_fulfillment_rate]]&gt;=0.8,"Moderate","Needs Attention"))</f>
        <v>Strong</v>
      </c>
      <c r="AE238" t="str">
        <f>IF(WarehouseData[[#This Row],[picking_time_seconds]]&gt;120,"Slow",IF(WarehouseData[[#This Row],[picking_time_seconds]]&gt;=60,"Average","Fast"))</f>
        <v>Average</v>
      </c>
    </row>
    <row r="239" spans="1:31" x14ac:dyDescent="0.25">
      <c r="A239" t="s">
        <v>369</v>
      </c>
      <c r="B239" t="s">
        <v>32</v>
      </c>
      <c r="C239">
        <v>380</v>
      </c>
      <c r="D239">
        <v>69</v>
      </c>
      <c r="E239">
        <v>10</v>
      </c>
      <c r="F239">
        <v>8</v>
      </c>
      <c r="G239">
        <v>43.2</v>
      </c>
      <c r="H239">
        <v>8.69</v>
      </c>
      <c r="I239">
        <v>0.72</v>
      </c>
      <c r="J239" t="s">
        <v>86</v>
      </c>
      <c r="K239" t="s">
        <v>52</v>
      </c>
      <c r="L239">
        <v>153</v>
      </c>
      <c r="M239">
        <v>4.8499999999999996</v>
      </c>
      <c r="N239">
        <v>52.92</v>
      </c>
      <c r="O239">
        <v>1.39</v>
      </c>
      <c r="P239">
        <v>2</v>
      </c>
      <c r="Q239">
        <v>0.88</v>
      </c>
      <c r="R239">
        <v>616</v>
      </c>
      <c r="S239">
        <v>6.9</v>
      </c>
      <c r="T239">
        <v>0.79</v>
      </c>
      <c r="U239" s="1">
        <v>45484</v>
      </c>
      <c r="V239">
        <v>114.22</v>
      </c>
      <c r="W239">
        <v>0.64700000000000002</v>
      </c>
      <c r="X239" t="str">
        <f>IF(WarehouseData[[#This Row],[stock_level]]&lt;=WarehouseData[[#This Row],[reorder_point]],"Low Stock","Sufficient Stock")</f>
        <v>Sufficient Stock</v>
      </c>
      <c r="Y239">
        <f>WarehouseData[[#This Row],[daily_demand]]*WarehouseData[[#This Row],[lead_time_days]]</f>
        <v>345.6</v>
      </c>
      <c r="Z239" t="str">
        <f>IF(WarehouseData[[#This Row],[stock_level]]&lt;=WarehouseData[[#This Row],[Demand During Lead Time]],"At Risk","Safe")</f>
        <v>Safe</v>
      </c>
      <c r="AA239">
        <f>WarehouseData[[#This Row],[stock_level]]/WarehouseData[[#This Row],[daily_demand]]</f>
        <v>8.7962962962962958</v>
      </c>
      <c r="AB239">
        <f>WarehouseData[[#This Row],[stock_level]]*WarehouseData[[#This Row],[unit_price]]</f>
        <v>20109.600000000002</v>
      </c>
      <c r="AC239">
        <f>WarehouseData[[#This Row],[stock_level]]*WarehouseData[[#This Row],[holding_cost_per_unit_day]]*30</f>
        <v>15845.999999999998</v>
      </c>
      <c r="AD239" t="str">
        <f>IF(WarehouseData[[#This Row],[order_fulfillment_rate]]&gt;=0.9,"Strong",IF(WarehouseData[[#This Row],[order_fulfillment_rate]]&gt;=0.8,"Moderate","Needs Attention"))</f>
        <v>Moderate</v>
      </c>
      <c r="AE239" t="str">
        <f>IF(WarehouseData[[#This Row],[picking_time_seconds]]&gt;120,"Slow",IF(WarehouseData[[#This Row],[picking_time_seconds]]&gt;=60,"Average","Fast"))</f>
        <v>Slow</v>
      </c>
    </row>
    <row r="240" spans="1:31" x14ac:dyDescent="0.25">
      <c r="A240" t="s">
        <v>370</v>
      </c>
      <c r="B240" t="s">
        <v>36</v>
      </c>
      <c r="C240">
        <v>399</v>
      </c>
      <c r="D240">
        <v>35</v>
      </c>
      <c r="E240">
        <v>6</v>
      </c>
      <c r="F240">
        <v>3</v>
      </c>
      <c r="G240">
        <v>11.97</v>
      </c>
      <c r="H240">
        <v>4.29</v>
      </c>
      <c r="I240">
        <v>0.98</v>
      </c>
      <c r="J240" t="s">
        <v>88</v>
      </c>
      <c r="K240" t="s">
        <v>46</v>
      </c>
      <c r="L240">
        <v>82</v>
      </c>
      <c r="M240">
        <v>3.79</v>
      </c>
      <c r="N240">
        <v>79.55</v>
      </c>
      <c r="O240">
        <v>1.96</v>
      </c>
      <c r="P240">
        <v>9</v>
      </c>
      <c r="Q240">
        <v>0.92</v>
      </c>
      <c r="R240">
        <v>315</v>
      </c>
      <c r="S240">
        <v>8.8699999999999992</v>
      </c>
      <c r="T240">
        <v>0.87</v>
      </c>
      <c r="U240" s="1">
        <v>45513</v>
      </c>
      <c r="V240">
        <v>251.5</v>
      </c>
      <c r="W240">
        <v>0.5</v>
      </c>
      <c r="X240" t="str">
        <f>IF(WarehouseData[[#This Row],[stock_level]]&lt;=WarehouseData[[#This Row],[reorder_point]],"Low Stock","Sufficient Stock")</f>
        <v>Sufficient Stock</v>
      </c>
      <c r="Y240">
        <f>WarehouseData[[#This Row],[daily_demand]]*WarehouseData[[#This Row],[lead_time_days]]</f>
        <v>35.910000000000004</v>
      </c>
      <c r="Z240" t="str">
        <f>IF(WarehouseData[[#This Row],[stock_level]]&lt;=WarehouseData[[#This Row],[Demand During Lead Time]],"At Risk","Safe")</f>
        <v>Safe</v>
      </c>
      <c r="AA240">
        <f>WarehouseData[[#This Row],[stock_level]]/WarehouseData[[#This Row],[daily_demand]]</f>
        <v>33.333333333333329</v>
      </c>
      <c r="AB240">
        <f>WarehouseData[[#This Row],[stock_level]]*WarehouseData[[#This Row],[unit_price]]</f>
        <v>31740.449999999997</v>
      </c>
      <c r="AC240">
        <f>WarehouseData[[#This Row],[stock_level]]*WarehouseData[[#This Row],[holding_cost_per_unit_day]]*30</f>
        <v>23461.199999999997</v>
      </c>
      <c r="AD240" t="str">
        <f>IF(WarehouseData[[#This Row],[order_fulfillment_rate]]&gt;=0.9,"Strong",IF(WarehouseData[[#This Row],[order_fulfillment_rate]]&gt;=0.8,"Moderate","Needs Attention"))</f>
        <v>Strong</v>
      </c>
      <c r="AE240" t="str">
        <f>IF(WarehouseData[[#This Row],[picking_time_seconds]]&gt;120,"Slow",IF(WarehouseData[[#This Row],[picking_time_seconds]]&gt;=60,"Average","Fast"))</f>
        <v>Average</v>
      </c>
    </row>
    <row r="241" spans="1:31" x14ac:dyDescent="0.25">
      <c r="A241" t="s">
        <v>371</v>
      </c>
      <c r="B241" t="s">
        <v>36</v>
      </c>
      <c r="C241">
        <v>474</v>
      </c>
      <c r="D241">
        <v>87</v>
      </c>
      <c r="E241">
        <v>14</v>
      </c>
      <c r="F241">
        <v>2</v>
      </c>
      <c r="G241">
        <v>47.12</v>
      </c>
      <c r="H241">
        <v>2.11</v>
      </c>
      <c r="I241">
        <v>0.31</v>
      </c>
      <c r="J241" t="s">
        <v>338</v>
      </c>
      <c r="K241" t="s">
        <v>34</v>
      </c>
      <c r="L241">
        <v>108</v>
      </c>
      <c r="M241">
        <v>3.74</v>
      </c>
      <c r="N241">
        <v>68.94</v>
      </c>
      <c r="O241">
        <v>1.33</v>
      </c>
      <c r="P241">
        <v>1</v>
      </c>
      <c r="Q241">
        <v>0.78</v>
      </c>
      <c r="R241">
        <v>596</v>
      </c>
      <c r="S241">
        <v>10.01</v>
      </c>
      <c r="T241">
        <v>0.56999999999999995</v>
      </c>
      <c r="U241" s="1">
        <v>45387</v>
      </c>
      <c r="V241">
        <v>33.81</v>
      </c>
      <c r="W241">
        <v>0.65</v>
      </c>
      <c r="X241" t="str">
        <f>IF(WarehouseData[[#This Row],[stock_level]]&lt;=WarehouseData[[#This Row],[reorder_point]],"Low Stock","Sufficient Stock")</f>
        <v>Sufficient Stock</v>
      </c>
      <c r="Y241">
        <f>WarehouseData[[#This Row],[daily_demand]]*WarehouseData[[#This Row],[lead_time_days]]</f>
        <v>94.24</v>
      </c>
      <c r="Z241" t="str">
        <f>IF(WarehouseData[[#This Row],[stock_level]]&lt;=WarehouseData[[#This Row],[Demand During Lead Time]],"At Risk","Safe")</f>
        <v>Safe</v>
      </c>
      <c r="AA241">
        <f>WarehouseData[[#This Row],[stock_level]]/WarehouseData[[#This Row],[daily_demand]]</f>
        <v>10.059422750424449</v>
      </c>
      <c r="AB241">
        <f>WarehouseData[[#This Row],[stock_level]]*WarehouseData[[#This Row],[unit_price]]</f>
        <v>32677.559999999998</v>
      </c>
      <c r="AC241">
        <f>WarehouseData[[#This Row],[stock_level]]*WarehouseData[[#This Row],[holding_cost_per_unit_day]]*30</f>
        <v>18912.600000000002</v>
      </c>
      <c r="AD241" t="str">
        <f>IF(WarehouseData[[#This Row],[order_fulfillment_rate]]&gt;=0.9,"Strong",IF(WarehouseData[[#This Row],[order_fulfillment_rate]]&gt;=0.8,"Moderate","Needs Attention"))</f>
        <v>Needs Attention</v>
      </c>
      <c r="AE241" t="str">
        <f>IF(WarehouseData[[#This Row],[picking_time_seconds]]&gt;120,"Slow",IF(WarehouseData[[#This Row],[picking_time_seconds]]&gt;=60,"Average","Fast"))</f>
        <v>Average</v>
      </c>
    </row>
    <row r="242" spans="1:31" x14ac:dyDescent="0.25">
      <c r="A242" t="s">
        <v>372</v>
      </c>
      <c r="B242" t="s">
        <v>40</v>
      </c>
      <c r="C242">
        <v>32</v>
      </c>
      <c r="D242">
        <v>50</v>
      </c>
      <c r="E242">
        <v>8</v>
      </c>
      <c r="F242">
        <v>3</v>
      </c>
      <c r="G242">
        <v>30.36</v>
      </c>
      <c r="H242">
        <v>5.35</v>
      </c>
      <c r="I242">
        <v>0.25</v>
      </c>
      <c r="J242" t="s">
        <v>223</v>
      </c>
      <c r="K242" t="s">
        <v>52</v>
      </c>
      <c r="L242">
        <v>123</v>
      </c>
      <c r="M242">
        <v>0.91</v>
      </c>
      <c r="N242">
        <v>68.069999999999993</v>
      </c>
      <c r="O242">
        <v>0.75</v>
      </c>
      <c r="P242">
        <v>5</v>
      </c>
      <c r="Q242">
        <v>0.91</v>
      </c>
      <c r="R242">
        <v>129</v>
      </c>
      <c r="S242">
        <v>2.86</v>
      </c>
      <c r="T242">
        <v>0.91</v>
      </c>
      <c r="U242" s="1">
        <v>45640</v>
      </c>
      <c r="V242">
        <v>66.709999999999994</v>
      </c>
      <c r="W242">
        <v>0.627</v>
      </c>
      <c r="X242" t="str">
        <f>IF(WarehouseData[[#This Row],[stock_level]]&lt;=WarehouseData[[#This Row],[reorder_point]],"Low Stock","Sufficient Stock")</f>
        <v>Low Stock</v>
      </c>
      <c r="Y242">
        <f>WarehouseData[[#This Row],[daily_demand]]*WarehouseData[[#This Row],[lead_time_days]]</f>
        <v>91.08</v>
      </c>
      <c r="Z242" t="str">
        <f>IF(WarehouseData[[#This Row],[stock_level]]&lt;=WarehouseData[[#This Row],[Demand During Lead Time]],"At Risk","Safe")</f>
        <v>At Risk</v>
      </c>
      <c r="AA242">
        <f>WarehouseData[[#This Row],[stock_level]]/WarehouseData[[#This Row],[daily_demand]]</f>
        <v>1.0540184453227932</v>
      </c>
      <c r="AB242">
        <f>WarehouseData[[#This Row],[stock_level]]*WarehouseData[[#This Row],[unit_price]]</f>
        <v>2178.2399999999998</v>
      </c>
      <c r="AC242">
        <f>WarehouseData[[#This Row],[stock_level]]*WarehouseData[[#This Row],[holding_cost_per_unit_day]]*30</f>
        <v>720</v>
      </c>
      <c r="AD242" t="str">
        <f>IF(WarehouseData[[#This Row],[order_fulfillment_rate]]&gt;=0.9,"Strong",IF(WarehouseData[[#This Row],[order_fulfillment_rate]]&gt;=0.8,"Moderate","Needs Attention"))</f>
        <v>Strong</v>
      </c>
      <c r="AE242" t="str">
        <f>IF(WarehouseData[[#This Row],[picking_time_seconds]]&gt;120,"Slow",IF(WarehouseData[[#This Row],[picking_time_seconds]]&gt;=60,"Average","Fast"))</f>
        <v>Slow</v>
      </c>
    </row>
    <row r="243" spans="1:31" x14ac:dyDescent="0.25">
      <c r="A243" t="s">
        <v>373</v>
      </c>
      <c r="B243" t="s">
        <v>73</v>
      </c>
      <c r="C243">
        <v>229</v>
      </c>
      <c r="D243">
        <v>45</v>
      </c>
      <c r="E243">
        <v>6</v>
      </c>
      <c r="F243">
        <v>6</v>
      </c>
      <c r="G243">
        <v>49.61</v>
      </c>
      <c r="H243">
        <v>4.46</v>
      </c>
      <c r="I243">
        <v>0.41</v>
      </c>
      <c r="J243" t="s">
        <v>183</v>
      </c>
      <c r="K243" t="s">
        <v>52</v>
      </c>
      <c r="L243">
        <v>24</v>
      </c>
      <c r="M243">
        <v>4.68</v>
      </c>
      <c r="N243">
        <v>124.99</v>
      </c>
      <c r="O243">
        <v>0.64</v>
      </c>
      <c r="P243">
        <v>0</v>
      </c>
      <c r="Q243">
        <v>0.82</v>
      </c>
      <c r="R243">
        <v>567</v>
      </c>
      <c r="S243">
        <v>1.52</v>
      </c>
      <c r="T243">
        <v>0.77</v>
      </c>
      <c r="U243" s="1">
        <v>45591</v>
      </c>
      <c r="V243">
        <v>147.83000000000001</v>
      </c>
      <c r="W243">
        <v>0.67400000000000004</v>
      </c>
      <c r="X243" t="str">
        <f>IF(WarehouseData[[#This Row],[stock_level]]&lt;=WarehouseData[[#This Row],[reorder_point]],"Low Stock","Sufficient Stock")</f>
        <v>Sufficient Stock</v>
      </c>
      <c r="Y243">
        <f>WarehouseData[[#This Row],[daily_demand]]*WarehouseData[[#This Row],[lead_time_days]]</f>
        <v>297.65999999999997</v>
      </c>
      <c r="Z243" t="str">
        <f>IF(WarehouseData[[#This Row],[stock_level]]&lt;=WarehouseData[[#This Row],[Demand During Lead Time]],"At Risk","Safe")</f>
        <v>At Risk</v>
      </c>
      <c r="AA243">
        <f>WarehouseData[[#This Row],[stock_level]]/WarehouseData[[#This Row],[daily_demand]]</f>
        <v>4.6160048377343275</v>
      </c>
      <c r="AB243">
        <f>WarehouseData[[#This Row],[stock_level]]*WarehouseData[[#This Row],[unit_price]]</f>
        <v>28622.71</v>
      </c>
      <c r="AC243">
        <f>WarehouseData[[#This Row],[stock_level]]*WarehouseData[[#This Row],[holding_cost_per_unit_day]]*30</f>
        <v>4396.8</v>
      </c>
      <c r="AD243" t="str">
        <f>IF(WarehouseData[[#This Row],[order_fulfillment_rate]]&gt;=0.9,"Strong",IF(WarehouseData[[#This Row],[order_fulfillment_rate]]&gt;=0.8,"Moderate","Needs Attention"))</f>
        <v>Moderate</v>
      </c>
      <c r="AE243" t="str">
        <f>IF(WarehouseData[[#This Row],[picking_time_seconds]]&gt;120,"Slow",IF(WarehouseData[[#This Row],[picking_time_seconds]]&gt;=60,"Average","Fast"))</f>
        <v>Fast</v>
      </c>
    </row>
    <row r="244" spans="1:31" x14ac:dyDescent="0.25">
      <c r="A244" t="s">
        <v>374</v>
      </c>
      <c r="B244" t="s">
        <v>73</v>
      </c>
      <c r="C244">
        <v>248</v>
      </c>
      <c r="D244">
        <v>32</v>
      </c>
      <c r="E244">
        <v>4</v>
      </c>
      <c r="F244">
        <v>6</v>
      </c>
      <c r="G244">
        <v>5.39</v>
      </c>
      <c r="H244">
        <v>2.58</v>
      </c>
      <c r="I244">
        <v>0.25</v>
      </c>
      <c r="J244" t="s">
        <v>90</v>
      </c>
      <c r="K244" t="s">
        <v>38</v>
      </c>
      <c r="L244">
        <v>72</v>
      </c>
      <c r="M244">
        <v>2.61</v>
      </c>
      <c r="N244">
        <v>163.07</v>
      </c>
      <c r="O244">
        <v>1.93</v>
      </c>
      <c r="P244">
        <v>8</v>
      </c>
      <c r="Q244">
        <v>0.95</v>
      </c>
      <c r="R244">
        <v>688</v>
      </c>
      <c r="S244">
        <v>6.98</v>
      </c>
      <c r="T244">
        <v>0.34</v>
      </c>
      <c r="U244" s="1">
        <v>45630</v>
      </c>
      <c r="V244">
        <v>93.42</v>
      </c>
      <c r="W244">
        <v>0.39800000000000002</v>
      </c>
      <c r="X244" t="str">
        <f>IF(WarehouseData[[#This Row],[stock_level]]&lt;=WarehouseData[[#This Row],[reorder_point]],"Low Stock","Sufficient Stock")</f>
        <v>Sufficient Stock</v>
      </c>
      <c r="Y244">
        <f>WarehouseData[[#This Row],[daily_demand]]*WarehouseData[[#This Row],[lead_time_days]]</f>
        <v>32.339999999999996</v>
      </c>
      <c r="Z244" t="str">
        <f>IF(WarehouseData[[#This Row],[stock_level]]&lt;=WarehouseData[[#This Row],[Demand During Lead Time]],"At Risk","Safe")</f>
        <v>Safe</v>
      </c>
      <c r="AA244">
        <f>WarehouseData[[#This Row],[stock_level]]/WarehouseData[[#This Row],[daily_demand]]</f>
        <v>46.011131725417442</v>
      </c>
      <c r="AB244">
        <f>WarehouseData[[#This Row],[stock_level]]*WarehouseData[[#This Row],[unit_price]]</f>
        <v>40441.360000000001</v>
      </c>
      <c r="AC244">
        <f>WarehouseData[[#This Row],[stock_level]]*WarehouseData[[#This Row],[holding_cost_per_unit_day]]*30</f>
        <v>14359.199999999999</v>
      </c>
      <c r="AD244" t="str">
        <f>IF(WarehouseData[[#This Row],[order_fulfillment_rate]]&gt;=0.9,"Strong",IF(WarehouseData[[#This Row],[order_fulfillment_rate]]&gt;=0.8,"Moderate","Needs Attention"))</f>
        <v>Strong</v>
      </c>
      <c r="AE244" t="str">
        <f>IF(WarehouseData[[#This Row],[picking_time_seconds]]&gt;120,"Slow",IF(WarehouseData[[#This Row],[picking_time_seconds]]&gt;=60,"Average","Fast"))</f>
        <v>Average</v>
      </c>
    </row>
    <row r="245" spans="1:31" x14ac:dyDescent="0.25">
      <c r="A245" t="s">
        <v>375</v>
      </c>
      <c r="B245" t="s">
        <v>40</v>
      </c>
      <c r="C245">
        <v>416</v>
      </c>
      <c r="D245">
        <v>52</v>
      </c>
      <c r="E245">
        <v>3</v>
      </c>
      <c r="F245">
        <v>4</v>
      </c>
      <c r="G245">
        <v>7.2</v>
      </c>
      <c r="H245">
        <v>7.35</v>
      </c>
      <c r="I245">
        <v>0.36</v>
      </c>
      <c r="J245" t="s">
        <v>178</v>
      </c>
      <c r="K245" t="s">
        <v>46</v>
      </c>
      <c r="L245">
        <v>37</v>
      </c>
      <c r="M245">
        <v>4.34</v>
      </c>
      <c r="N245">
        <v>187.99</v>
      </c>
      <c r="O245">
        <v>0.45</v>
      </c>
      <c r="P245">
        <v>4</v>
      </c>
      <c r="Q245">
        <v>0.94</v>
      </c>
      <c r="R245">
        <v>117</v>
      </c>
      <c r="S245">
        <v>3.24</v>
      </c>
      <c r="T245">
        <v>0.37</v>
      </c>
      <c r="U245" s="1">
        <v>45486</v>
      </c>
      <c r="V245">
        <v>219.28</v>
      </c>
      <c r="W245">
        <v>0.57999999999999996</v>
      </c>
      <c r="X245" t="str">
        <f>IF(WarehouseData[[#This Row],[stock_level]]&lt;=WarehouseData[[#This Row],[reorder_point]],"Low Stock","Sufficient Stock")</f>
        <v>Sufficient Stock</v>
      </c>
      <c r="Y245">
        <f>WarehouseData[[#This Row],[daily_demand]]*WarehouseData[[#This Row],[lead_time_days]]</f>
        <v>28.8</v>
      </c>
      <c r="Z245" t="str">
        <f>IF(WarehouseData[[#This Row],[stock_level]]&lt;=WarehouseData[[#This Row],[Demand During Lead Time]],"At Risk","Safe")</f>
        <v>Safe</v>
      </c>
      <c r="AA245">
        <f>WarehouseData[[#This Row],[stock_level]]/WarehouseData[[#This Row],[daily_demand]]</f>
        <v>57.777777777777779</v>
      </c>
      <c r="AB245">
        <f>WarehouseData[[#This Row],[stock_level]]*WarehouseData[[#This Row],[unit_price]]</f>
        <v>78203.839999999997</v>
      </c>
      <c r="AC245">
        <f>WarehouseData[[#This Row],[stock_level]]*WarehouseData[[#This Row],[holding_cost_per_unit_day]]*30</f>
        <v>5616.0000000000009</v>
      </c>
      <c r="AD245" t="str">
        <f>IF(WarehouseData[[#This Row],[order_fulfillment_rate]]&gt;=0.9,"Strong",IF(WarehouseData[[#This Row],[order_fulfillment_rate]]&gt;=0.8,"Moderate","Needs Attention"))</f>
        <v>Strong</v>
      </c>
      <c r="AE245" t="str">
        <f>IF(WarehouseData[[#This Row],[picking_time_seconds]]&gt;120,"Slow",IF(WarehouseData[[#This Row],[picking_time_seconds]]&gt;=60,"Average","Fast"))</f>
        <v>Fast</v>
      </c>
    </row>
    <row r="246" spans="1:31" x14ac:dyDescent="0.25">
      <c r="A246" t="s">
        <v>376</v>
      </c>
      <c r="B246" t="s">
        <v>40</v>
      </c>
      <c r="C246">
        <v>119</v>
      </c>
      <c r="D246">
        <v>15</v>
      </c>
      <c r="E246">
        <v>3</v>
      </c>
      <c r="F246">
        <v>5</v>
      </c>
      <c r="G246">
        <v>41.51</v>
      </c>
      <c r="H246">
        <v>6.5</v>
      </c>
      <c r="I246">
        <v>0.77</v>
      </c>
      <c r="J246" t="s">
        <v>377</v>
      </c>
      <c r="K246" t="s">
        <v>52</v>
      </c>
      <c r="L246">
        <v>157</v>
      </c>
      <c r="M246">
        <v>0.56000000000000005</v>
      </c>
      <c r="N246">
        <v>22.89</v>
      </c>
      <c r="O246">
        <v>1.63</v>
      </c>
      <c r="P246">
        <v>6</v>
      </c>
      <c r="Q246">
        <v>0.76</v>
      </c>
      <c r="R246">
        <v>751</v>
      </c>
      <c r="S246">
        <v>8.69</v>
      </c>
      <c r="T246">
        <v>0.85</v>
      </c>
      <c r="U246" s="1">
        <v>45335</v>
      </c>
      <c r="V246">
        <v>205.72</v>
      </c>
      <c r="W246">
        <v>0.55500000000000005</v>
      </c>
      <c r="X246" t="str">
        <f>IF(WarehouseData[[#This Row],[stock_level]]&lt;=WarehouseData[[#This Row],[reorder_point]],"Low Stock","Sufficient Stock")</f>
        <v>Sufficient Stock</v>
      </c>
      <c r="Y246">
        <f>WarehouseData[[#This Row],[daily_demand]]*WarehouseData[[#This Row],[lead_time_days]]</f>
        <v>207.54999999999998</v>
      </c>
      <c r="Z246" t="str">
        <f>IF(WarehouseData[[#This Row],[stock_level]]&lt;=WarehouseData[[#This Row],[Demand During Lead Time]],"At Risk","Safe")</f>
        <v>At Risk</v>
      </c>
      <c r="AA246">
        <f>WarehouseData[[#This Row],[stock_level]]/WarehouseData[[#This Row],[daily_demand]]</f>
        <v>2.8667790893760543</v>
      </c>
      <c r="AB246">
        <f>WarehouseData[[#This Row],[stock_level]]*WarehouseData[[#This Row],[unit_price]]</f>
        <v>2723.91</v>
      </c>
      <c r="AC246">
        <f>WarehouseData[[#This Row],[stock_level]]*WarehouseData[[#This Row],[holding_cost_per_unit_day]]*30</f>
        <v>5819.1</v>
      </c>
      <c r="AD246" t="str">
        <f>IF(WarehouseData[[#This Row],[order_fulfillment_rate]]&gt;=0.9,"Strong",IF(WarehouseData[[#This Row],[order_fulfillment_rate]]&gt;=0.8,"Moderate","Needs Attention"))</f>
        <v>Needs Attention</v>
      </c>
      <c r="AE246" t="str">
        <f>IF(WarehouseData[[#This Row],[picking_time_seconds]]&gt;120,"Slow",IF(WarehouseData[[#This Row],[picking_time_seconds]]&gt;=60,"Average","Fast"))</f>
        <v>Slow</v>
      </c>
    </row>
    <row r="247" spans="1:31" x14ac:dyDescent="0.25">
      <c r="A247" t="s">
        <v>378</v>
      </c>
      <c r="B247" t="s">
        <v>40</v>
      </c>
      <c r="C247">
        <v>50</v>
      </c>
      <c r="D247">
        <v>78</v>
      </c>
      <c r="E247">
        <v>10</v>
      </c>
      <c r="F247">
        <v>9</v>
      </c>
      <c r="G247">
        <v>43.37</v>
      </c>
      <c r="H247">
        <v>1.45</v>
      </c>
      <c r="I247">
        <v>0.53</v>
      </c>
      <c r="J247" t="s">
        <v>379</v>
      </c>
      <c r="K247" t="s">
        <v>38</v>
      </c>
      <c r="L247">
        <v>170</v>
      </c>
      <c r="M247">
        <v>1.84</v>
      </c>
      <c r="N247">
        <v>62.82</v>
      </c>
      <c r="O247">
        <v>0.98</v>
      </c>
      <c r="P247">
        <v>9</v>
      </c>
      <c r="Q247">
        <v>0.76</v>
      </c>
      <c r="R247">
        <v>293</v>
      </c>
      <c r="S247">
        <v>7.35</v>
      </c>
      <c r="T247">
        <v>0.54</v>
      </c>
      <c r="U247" s="1">
        <v>45608</v>
      </c>
      <c r="V247">
        <v>254.33</v>
      </c>
      <c r="W247">
        <v>0.48</v>
      </c>
      <c r="X247" t="str">
        <f>IF(WarehouseData[[#This Row],[stock_level]]&lt;=WarehouseData[[#This Row],[reorder_point]],"Low Stock","Sufficient Stock")</f>
        <v>Low Stock</v>
      </c>
      <c r="Y247">
        <f>WarehouseData[[#This Row],[daily_demand]]*WarehouseData[[#This Row],[lead_time_days]]</f>
        <v>390.33</v>
      </c>
      <c r="Z247" t="str">
        <f>IF(WarehouseData[[#This Row],[stock_level]]&lt;=WarehouseData[[#This Row],[Demand During Lead Time]],"At Risk","Safe")</f>
        <v>At Risk</v>
      </c>
      <c r="AA247">
        <f>WarehouseData[[#This Row],[stock_level]]/WarehouseData[[#This Row],[daily_demand]]</f>
        <v>1.1528706479133042</v>
      </c>
      <c r="AB247">
        <f>WarehouseData[[#This Row],[stock_level]]*WarehouseData[[#This Row],[unit_price]]</f>
        <v>3141</v>
      </c>
      <c r="AC247">
        <f>WarehouseData[[#This Row],[stock_level]]*WarehouseData[[#This Row],[holding_cost_per_unit_day]]*30</f>
        <v>1470</v>
      </c>
      <c r="AD247" t="str">
        <f>IF(WarehouseData[[#This Row],[order_fulfillment_rate]]&gt;=0.9,"Strong",IF(WarehouseData[[#This Row],[order_fulfillment_rate]]&gt;=0.8,"Moderate","Needs Attention"))</f>
        <v>Needs Attention</v>
      </c>
      <c r="AE247" t="str">
        <f>IF(WarehouseData[[#This Row],[picking_time_seconds]]&gt;120,"Slow",IF(WarehouseData[[#This Row],[picking_time_seconds]]&gt;=60,"Average","Fast"))</f>
        <v>Slow</v>
      </c>
    </row>
    <row r="248" spans="1:31" x14ac:dyDescent="0.25">
      <c r="A248" t="s">
        <v>380</v>
      </c>
      <c r="B248" t="s">
        <v>32</v>
      </c>
      <c r="C248">
        <v>405</v>
      </c>
      <c r="D248">
        <v>52</v>
      </c>
      <c r="E248">
        <v>6</v>
      </c>
      <c r="F248">
        <v>7</v>
      </c>
      <c r="G248">
        <v>22.83</v>
      </c>
      <c r="H248">
        <v>9.2899999999999991</v>
      </c>
      <c r="I248">
        <v>0.44</v>
      </c>
      <c r="J248" t="s">
        <v>98</v>
      </c>
      <c r="K248" t="s">
        <v>52</v>
      </c>
      <c r="L248">
        <v>45</v>
      </c>
      <c r="M248">
        <v>4.9800000000000004</v>
      </c>
      <c r="N248">
        <v>58.45</v>
      </c>
      <c r="O248">
        <v>0.94</v>
      </c>
      <c r="P248">
        <v>8</v>
      </c>
      <c r="Q248">
        <v>0.92</v>
      </c>
      <c r="R248">
        <v>58</v>
      </c>
      <c r="S248">
        <v>2.71</v>
      </c>
      <c r="T248">
        <v>0.4</v>
      </c>
      <c r="U248" s="1">
        <v>45443</v>
      </c>
      <c r="V248">
        <v>69.11</v>
      </c>
      <c r="W248">
        <v>0.44600000000000001</v>
      </c>
      <c r="X248" t="str">
        <f>IF(WarehouseData[[#This Row],[stock_level]]&lt;=WarehouseData[[#This Row],[reorder_point]],"Low Stock","Sufficient Stock")</f>
        <v>Sufficient Stock</v>
      </c>
      <c r="Y248">
        <f>WarehouseData[[#This Row],[daily_demand]]*WarehouseData[[#This Row],[lead_time_days]]</f>
        <v>159.81</v>
      </c>
      <c r="Z248" t="str">
        <f>IF(WarehouseData[[#This Row],[stock_level]]&lt;=WarehouseData[[#This Row],[Demand During Lead Time]],"At Risk","Safe")</f>
        <v>Safe</v>
      </c>
      <c r="AA248">
        <f>WarehouseData[[#This Row],[stock_level]]/WarehouseData[[#This Row],[daily_demand]]</f>
        <v>17.739816031537451</v>
      </c>
      <c r="AB248">
        <f>WarehouseData[[#This Row],[stock_level]]*WarehouseData[[#This Row],[unit_price]]</f>
        <v>23672.25</v>
      </c>
      <c r="AC248">
        <f>WarehouseData[[#This Row],[stock_level]]*WarehouseData[[#This Row],[holding_cost_per_unit_day]]*30</f>
        <v>11421</v>
      </c>
      <c r="AD248" t="str">
        <f>IF(WarehouseData[[#This Row],[order_fulfillment_rate]]&gt;=0.9,"Strong",IF(WarehouseData[[#This Row],[order_fulfillment_rate]]&gt;=0.8,"Moderate","Needs Attention"))</f>
        <v>Strong</v>
      </c>
      <c r="AE248" t="str">
        <f>IF(WarehouseData[[#This Row],[picking_time_seconds]]&gt;120,"Slow",IF(WarehouseData[[#This Row],[picking_time_seconds]]&gt;=60,"Average","Fast"))</f>
        <v>Fast</v>
      </c>
    </row>
    <row r="249" spans="1:31" x14ac:dyDescent="0.25">
      <c r="A249" t="s">
        <v>381</v>
      </c>
      <c r="B249" t="s">
        <v>73</v>
      </c>
      <c r="C249">
        <v>35</v>
      </c>
      <c r="D249">
        <v>34</v>
      </c>
      <c r="E249">
        <v>7</v>
      </c>
      <c r="F249">
        <v>5</v>
      </c>
      <c r="G249">
        <v>35.99</v>
      </c>
      <c r="H249">
        <v>5.81</v>
      </c>
      <c r="I249">
        <v>0.43</v>
      </c>
      <c r="J249" t="s">
        <v>139</v>
      </c>
      <c r="K249" t="s">
        <v>46</v>
      </c>
      <c r="L249">
        <v>134</v>
      </c>
      <c r="M249">
        <v>2.4300000000000002</v>
      </c>
      <c r="N249">
        <v>77.91</v>
      </c>
      <c r="O249">
        <v>1.52</v>
      </c>
      <c r="P249">
        <v>8</v>
      </c>
      <c r="Q249">
        <v>0.87</v>
      </c>
      <c r="R249">
        <v>206</v>
      </c>
      <c r="S249">
        <v>10.32</v>
      </c>
      <c r="T249">
        <v>0.54</v>
      </c>
      <c r="U249" s="1">
        <v>45418</v>
      </c>
      <c r="V249">
        <v>198.19</v>
      </c>
      <c r="W249">
        <v>0.50800000000000001</v>
      </c>
      <c r="X249" t="str">
        <f>IF(WarehouseData[[#This Row],[stock_level]]&lt;=WarehouseData[[#This Row],[reorder_point]],"Low Stock","Sufficient Stock")</f>
        <v>Sufficient Stock</v>
      </c>
      <c r="Y249">
        <f>WarehouseData[[#This Row],[daily_demand]]*WarehouseData[[#This Row],[lead_time_days]]</f>
        <v>179.95000000000002</v>
      </c>
      <c r="Z249" t="str">
        <f>IF(WarehouseData[[#This Row],[stock_level]]&lt;=WarehouseData[[#This Row],[Demand During Lead Time]],"At Risk","Safe")</f>
        <v>At Risk</v>
      </c>
      <c r="AA249">
        <f>WarehouseData[[#This Row],[stock_level]]/WarehouseData[[#This Row],[daily_demand]]</f>
        <v>0.97249235898860786</v>
      </c>
      <c r="AB249">
        <f>WarehouseData[[#This Row],[stock_level]]*WarehouseData[[#This Row],[unit_price]]</f>
        <v>2726.85</v>
      </c>
      <c r="AC249">
        <f>WarehouseData[[#This Row],[stock_level]]*WarehouseData[[#This Row],[holding_cost_per_unit_day]]*30</f>
        <v>1596</v>
      </c>
      <c r="AD249" t="str">
        <f>IF(WarehouseData[[#This Row],[order_fulfillment_rate]]&gt;=0.9,"Strong",IF(WarehouseData[[#This Row],[order_fulfillment_rate]]&gt;=0.8,"Moderate","Needs Attention"))</f>
        <v>Moderate</v>
      </c>
      <c r="AE249" t="str">
        <f>IF(WarehouseData[[#This Row],[picking_time_seconds]]&gt;120,"Slow",IF(WarehouseData[[#This Row],[picking_time_seconds]]&gt;=60,"Average","Fast"))</f>
        <v>Slow</v>
      </c>
    </row>
    <row r="250" spans="1:31" x14ac:dyDescent="0.25">
      <c r="A250" t="s">
        <v>382</v>
      </c>
      <c r="B250" t="s">
        <v>32</v>
      </c>
      <c r="C250">
        <v>156</v>
      </c>
      <c r="D250">
        <v>27</v>
      </c>
      <c r="E250">
        <v>13</v>
      </c>
      <c r="F250">
        <v>8</v>
      </c>
      <c r="G250">
        <v>43.51</v>
      </c>
      <c r="H250">
        <v>2.88</v>
      </c>
      <c r="I250">
        <v>0.28000000000000003</v>
      </c>
      <c r="J250" t="s">
        <v>49</v>
      </c>
      <c r="K250" t="s">
        <v>52</v>
      </c>
      <c r="L250">
        <v>150</v>
      </c>
      <c r="M250">
        <v>4.5</v>
      </c>
      <c r="N250">
        <v>90.62</v>
      </c>
      <c r="O250">
        <v>0.38</v>
      </c>
      <c r="P250">
        <v>6</v>
      </c>
      <c r="Q250">
        <v>0.87</v>
      </c>
      <c r="R250">
        <v>632</v>
      </c>
      <c r="S250">
        <v>1.29</v>
      </c>
      <c r="T250">
        <v>0.33</v>
      </c>
      <c r="U250" s="1">
        <v>45329</v>
      </c>
      <c r="V250">
        <v>234.67</v>
      </c>
      <c r="W250">
        <v>0.499</v>
      </c>
      <c r="X250" t="str">
        <f>IF(WarehouseData[[#This Row],[stock_level]]&lt;=WarehouseData[[#This Row],[reorder_point]],"Low Stock","Sufficient Stock")</f>
        <v>Sufficient Stock</v>
      </c>
      <c r="Y250">
        <f>WarehouseData[[#This Row],[daily_demand]]*WarehouseData[[#This Row],[lead_time_days]]</f>
        <v>348.08</v>
      </c>
      <c r="Z250" t="str">
        <f>IF(WarehouseData[[#This Row],[stock_level]]&lt;=WarehouseData[[#This Row],[Demand During Lead Time]],"At Risk","Safe")</f>
        <v>At Risk</v>
      </c>
      <c r="AA250">
        <f>WarehouseData[[#This Row],[stock_level]]/WarehouseData[[#This Row],[daily_demand]]</f>
        <v>3.5853826706504255</v>
      </c>
      <c r="AB250">
        <f>WarehouseData[[#This Row],[stock_level]]*WarehouseData[[#This Row],[unit_price]]</f>
        <v>14136.720000000001</v>
      </c>
      <c r="AC250">
        <f>WarehouseData[[#This Row],[stock_level]]*WarehouseData[[#This Row],[holding_cost_per_unit_day]]*30</f>
        <v>1778.4</v>
      </c>
      <c r="AD250" t="str">
        <f>IF(WarehouseData[[#This Row],[order_fulfillment_rate]]&gt;=0.9,"Strong",IF(WarehouseData[[#This Row],[order_fulfillment_rate]]&gt;=0.8,"Moderate","Needs Attention"))</f>
        <v>Moderate</v>
      </c>
      <c r="AE250" t="str">
        <f>IF(WarehouseData[[#This Row],[picking_time_seconds]]&gt;120,"Slow",IF(WarehouseData[[#This Row],[picking_time_seconds]]&gt;=60,"Average","Fast"))</f>
        <v>Slow</v>
      </c>
    </row>
    <row r="251" spans="1:31" x14ac:dyDescent="0.25">
      <c r="A251" t="s">
        <v>383</v>
      </c>
      <c r="B251" t="s">
        <v>40</v>
      </c>
      <c r="C251">
        <v>348</v>
      </c>
      <c r="D251">
        <v>71</v>
      </c>
      <c r="E251">
        <v>10</v>
      </c>
      <c r="F251">
        <v>3</v>
      </c>
      <c r="G251">
        <v>3.11</v>
      </c>
      <c r="H251">
        <v>2.46</v>
      </c>
      <c r="I251">
        <v>0.5</v>
      </c>
      <c r="J251" t="s">
        <v>51</v>
      </c>
      <c r="K251" t="s">
        <v>52</v>
      </c>
      <c r="L251">
        <v>71</v>
      </c>
      <c r="M251">
        <v>1.98</v>
      </c>
      <c r="N251">
        <v>83.94</v>
      </c>
      <c r="O251">
        <v>0.99</v>
      </c>
      <c r="P251">
        <v>3</v>
      </c>
      <c r="Q251">
        <v>0.93</v>
      </c>
      <c r="R251">
        <v>513</v>
      </c>
      <c r="S251">
        <v>2.77</v>
      </c>
      <c r="T251">
        <v>0.91</v>
      </c>
      <c r="U251" s="1">
        <v>45334</v>
      </c>
      <c r="V251">
        <v>28.17</v>
      </c>
      <c r="W251">
        <v>0.64600000000000002</v>
      </c>
      <c r="X251" t="str">
        <f>IF(WarehouseData[[#This Row],[stock_level]]&lt;=WarehouseData[[#This Row],[reorder_point]],"Low Stock","Sufficient Stock")</f>
        <v>Sufficient Stock</v>
      </c>
      <c r="Y251">
        <f>WarehouseData[[#This Row],[daily_demand]]*WarehouseData[[#This Row],[lead_time_days]]</f>
        <v>9.33</v>
      </c>
      <c r="Z251" t="str">
        <f>IF(WarehouseData[[#This Row],[stock_level]]&lt;=WarehouseData[[#This Row],[Demand During Lead Time]],"At Risk","Safe")</f>
        <v>Safe</v>
      </c>
      <c r="AA251">
        <f>WarehouseData[[#This Row],[stock_level]]/WarehouseData[[#This Row],[daily_demand]]</f>
        <v>111.89710610932477</v>
      </c>
      <c r="AB251">
        <f>WarehouseData[[#This Row],[stock_level]]*WarehouseData[[#This Row],[unit_price]]</f>
        <v>29211.119999999999</v>
      </c>
      <c r="AC251">
        <f>WarehouseData[[#This Row],[stock_level]]*WarehouseData[[#This Row],[holding_cost_per_unit_day]]*30</f>
        <v>10335.599999999999</v>
      </c>
      <c r="AD251" t="str">
        <f>IF(WarehouseData[[#This Row],[order_fulfillment_rate]]&gt;=0.9,"Strong",IF(WarehouseData[[#This Row],[order_fulfillment_rate]]&gt;=0.8,"Moderate","Needs Attention"))</f>
        <v>Strong</v>
      </c>
      <c r="AE251" t="str">
        <f>IF(WarehouseData[[#This Row],[picking_time_seconds]]&gt;120,"Slow",IF(WarehouseData[[#This Row],[picking_time_seconds]]&gt;=60,"Average","Fast"))</f>
        <v>Average</v>
      </c>
    </row>
    <row r="252" spans="1:31" x14ac:dyDescent="0.25">
      <c r="A252" t="s">
        <v>384</v>
      </c>
      <c r="B252" t="s">
        <v>73</v>
      </c>
      <c r="C252">
        <v>185</v>
      </c>
      <c r="D252">
        <v>22</v>
      </c>
      <c r="E252">
        <v>14</v>
      </c>
      <c r="F252">
        <v>7</v>
      </c>
      <c r="G252">
        <v>29.12</v>
      </c>
      <c r="H252">
        <v>1.79</v>
      </c>
      <c r="I252">
        <v>0.66</v>
      </c>
      <c r="J252" t="s">
        <v>160</v>
      </c>
      <c r="K252" t="s">
        <v>34</v>
      </c>
      <c r="L252">
        <v>160</v>
      </c>
      <c r="M252">
        <v>2.86</v>
      </c>
      <c r="N252">
        <v>190.91</v>
      </c>
      <c r="O252">
        <v>0.17</v>
      </c>
      <c r="P252">
        <v>3</v>
      </c>
      <c r="Q252">
        <v>0.96</v>
      </c>
      <c r="R252">
        <v>695</v>
      </c>
      <c r="S252">
        <v>10.8</v>
      </c>
      <c r="T252">
        <v>0.26</v>
      </c>
      <c r="U252" s="1">
        <v>45429</v>
      </c>
      <c r="V252">
        <v>20.68</v>
      </c>
      <c r="W252">
        <v>0.71099999999999997</v>
      </c>
      <c r="X252" t="str">
        <f>IF(WarehouseData[[#This Row],[stock_level]]&lt;=WarehouseData[[#This Row],[reorder_point]],"Low Stock","Sufficient Stock")</f>
        <v>Sufficient Stock</v>
      </c>
      <c r="Y252">
        <f>WarehouseData[[#This Row],[daily_demand]]*WarehouseData[[#This Row],[lead_time_days]]</f>
        <v>203.84</v>
      </c>
      <c r="Z252" t="str">
        <f>IF(WarehouseData[[#This Row],[stock_level]]&lt;=WarehouseData[[#This Row],[Demand During Lead Time]],"At Risk","Safe")</f>
        <v>At Risk</v>
      </c>
      <c r="AA252">
        <f>WarehouseData[[#This Row],[stock_level]]/WarehouseData[[#This Row],[daily_demand]]</f>
        <v>6.3530219780219781</v>
      </c>
      <c r="AB252">
        <f>WarehouseData[[#This Row],[stock_level]]*WarehouseData[[#This Row],[unit_price]]</f>
        <v>35318.35</v>
      </c>
      <c r="AC252">
        <f>WarehouseData[[#This Row],[stock_level]]*WarehouseData[[#This Row],[holding_cost_per_unit_day]]*30</f>
        <v>943.50000000000011</v>
      </c>
      <c r="AD252" t="str">
        <f>IF(WarehouseData[[#This Row],[order_fulfillment_rate]]&gt;=0.9,"Strong",IF(WarehouseData[[#This Row],[order_fulfillment_rate]]&gt;=0.8,"Moderate","Needs Attention"))</f>
        <v>Strong</v>
      </c>
      <c r="AE252" t="str">
        <f>IF(WarehouseData[[#This Row],[picking_time_seconds]]&gt;120,"Slow",IF(WarehouseData[[#This Row],[picking_time_seconds]]&gt;=60,"Average","Fast"))</f>
        <v>Slow</v>
      </c>
    </row>
    <row r="253" spans="1:31" x14ac:dyDescent="0.25">
      <c r="A253" t="s">
        <v>385</v>
      </c>
      <c r="B253" t="s">
        <v>32</v>
      </c>
      <c r="C253">
        <v>478</v>
      </c>
      <c r="D253">
        <v>52</v>
      </c>
      <c r="E253">
        <v>9</v>
      </c>
      <c r="F253">
        <v>7</v>
      </c>
      <c r="G253">
        <v>42.82</v>
      </c>
      <c r="H253">
        <v>4.53</v>
      </c>
      <c r="I253">
        <v>0.23</v>
      </c>
      <c r="J253" t="s">
        <v>110</v>
      </c>
      <c r="K253" t="s">
        <v>34</v>
      </c>
      <c r="L253">
        <v>22</v>
      </c>
      <c r="M253">
        <v>4.34</v>
      </c>
      <c r="N253">
        <v>93.05</v>
      </c>
      <c r="O253">
        <v>1.37</v>
      </c>
      <c r="P253">
        <v>6</v>
      </c>
      <c r="Q253">
        <v>0.77</v>
      </c>
      <c r="R253">
        <v>349</v>
      </c>
      <c r="S253">
        <v>8.39</v>
      </c>
      <c r="T253">
        <v>0.48</v>
      </c>
      <c r="U253" s="1">
        <v>45370</v>
      </c>
      <c r="V253">
        <v>172.18</v>
      </c>
      <c r="W253">
        <v>0.505</v>
      </c>
      <c r="X253" t="str">
        <f>IF(WarehouseData[[#This Row],[stock_level]]&lt;=WarehouseData[[#This Row],[reorder_point]],"Low Stock","Sufficient Stock")</f>
        <v>Sufficient Stock</v>
      </c>
      <c r="Y253">
        <f>WarehouseData[[#This Row],[daily_demand]]*WarehouseData[[#This Row],[lead_time_days]]</f>
        <v>299.74</v>
      </c>
      <c r="Z253" t="str">
        <f>IF(WarehouseData[[#This Row],[stock_level]]&lt;=WarehouseData[[#This Row],[Demand During Lead Time]],"At Risk","Safe")</f>
        <v>Safe</v>
      </c>
      <c r="AA253">
        <f>WarehouseData[[#This Row],[stock_level]]/WarehouseData[[#This Row],[daily_demand]]</f>
        <v>11.163007940214852</v>
      </c>
      <c r="AB253">
        <f>WarehouseData[[#This Row],[stock_level]]*WarehouseData[[#This Row],[unit_price]]</f>
        <v>44477.9</v>
      </c>
      <c r="AC253">
        <f>WarehouseData[[#This Row],[stock_level]]*WarehouseData[[#This Row],[holding_cost_per_unit_day]]*30</f>
        <v>19645.8</v>
      </c>
      <c r="AD253" t="str">
        <f>IF(WarehouseData[[#This Row],[order_fulfillment_rate]]&gt;=0.9,"Strong",IF(WarehouseData[[#This Row],[order_fulfillment_rate]]&gt;=0.8,"Moderate","Needs Attention"))</f>
        <v>Needs Attention</v>
      </c>
      <c r="AE253" t="str">
        <f>IF(WarehouseData[[#This Row],[picking_time_seconds]]&gt;120,"Slow",IF(WarehouseData[[#This Row],[picking_time_seconds]]&gt;=60,"Average","Fast"))</f>
        <v>Fast</v>
      </c>
    </row>
    <row r="254" spans="1:31" x14ac:dyDescent="0.25">
      <c r="A254" t="s">
        <v>386</v>
      </c>
      <c r="B254" t="s">
        <v>32</v>
      </c>
      <c r="C254">
        <v>329</v>
      </c>
      <c r="D254">
        <v>87</v>
      </c>
      <c r="E254">
        <v>10</v>
      </c>
      <c r="F254">
        <v>9</v>
      </c>
      <c r="G254">
        <v>20.51</v>
      </c>
      <c r="H254">
        <v>1.79</v>
      </c>
      <c r="I254">
        <v>0.98</v>
      </c>
      <c r="J254" t="s">
        <v>334</v>
      </c>
      <c r="K254" t="s">
        <v>38</v>
      </c>
      <c r="L254">
        <v>97</v>
      </c>
      <c r="M254">
        <v>3.23</v>
      </c>
      <c r="N254">
        <v>114.8</v>
      </c>
      <c r="O254">
        <v>0.21</v>
      </c>
      <c r="P254">
        <v>7</v>
      </c>
      <c r="Q254">
        <v>0.87</v>
      </c>
      <c r="R254">
        <v>369</v>
      </c>
      <c r="S254">
        <v>4.95</v>
      </c>
      <c r="T254">
        <v>0.65</v>
      </c>
      <c r="U254" s="1">
        <v>45486</v>
      </c>
      <c r="V254">
        <v>180.48</v>
      </c>
      <c r="W254">
        <v>0.60899999999999999</v>
      </c>
      <c r="X254" t="str">
        <f>IF(WarehouseData[[#This Row],[stock_level]]&lt;=WarehouseData[[#This Row],[reorder_point]],"Low Stock","Sufficient Stock")</f>
        <v>Sufficient Stock</v>
      </c>
      <c r="Y254">
        <f>WarehouseData[[#This Row],[daily_demand]]*WarehouseData[[#This Row],[lead_time_days]]</f>
        <v>184.59</v>
      </c>
      <c r="Z254" t="str">
        <f>IF(WarehouseData[[#This Row],[stock_level]]&lt;=WarehouseData[[#This Row],[Demand During Lead Time]],"At Risk","Safe")</f>
        <v>Safe</v>
      </c>
      <c r="AA254">
        <f>WarehouseData[[#This Row],[stock_level]]/WarehouseData[[#This Row],[daily_demand]]</f>
        <v>16.040955631399317</v>
      </c>
      <c r="AB254">
        <f>WarehouseData[[#This Row],[stock_level]]*WarehouseData[[#This Row],[unit_price]]</f>
        <v>37769.199999999997</v>
      </c>
      <c r="AC254">
        <f>WarehouseData[[#This Row],[stock_level]]*WarehouseData[[#This Row],[holding_cost_per_unit_day]]*30</f>
        <v>2072.7000000000003</v>
      </c>
      <c r="AD254" t="str">
        <f>IF(WarehouseData[[#This Row],[order_fulfillment_rate]]&gt;=0.9,"Strong",IF(WarehouseData[[#This Row],[order_fulfillment_rate]]&gt;=0.8,"Moderate","Needs Attention"))</f>
        <v>Moderate</v>
      </c>
      <c r="AE254" t="str">
        <f>IF(WarehouseData[[#This Row],[picking_time_seconds]]&gt;120,"Slow",IF(WarehouseData[[#This Row],[picking_time_seconds]]&gt;=60,"Average","Fast"))</f>
        <v>Average</v>
      </c>
    </row>
    <row r="255" spans="1:31" x14ac:dyDescent="0.25">
      <c r="A255" t="s">
        <v>387</v>
      </c>
      <c r="B255" t="s">
        <v>40</v>
      </c>
      <c r="C255">
        <v>459</v>
      </c>
      <c r="D255">
        <v>37</v>
      </c>
      <c r="E255">
        <v>10</v>
      </c>
      <c r="F255">
        <v>9</v>
      </c>
      <c r="G255">
        <v>15.82</v>
      </c>
      <c r="H255">
        <v>4.45</v>
      </c>
      <c r="I255">
        <v>0.5</v>
      </c>
      <c r="J255" t="s">
        <v>66</v>
      </c>
      <c r="K255" t="s">
        <v>52</v>
      </c>
      <c r="L255">
        <v>49</v>
      </c>
      <c r="M255">
        <v>3.76</v>
      </c>
      <c r="N255">
        <v>152.24</v>
      </c>
      <c r="O255">
        <v>0.27</v>
      </c>
      <c r="P255">
        <v>6</v>
      </c>
      <c r="Q255">
        <v>0.95</v>
      </c>
      <c r="R255">
        <v>298</v>
      </c>
      <c r="S255">
        <v>3.52</v>
      </c>
      <c r="T255">
        <v>0.9</v>
      </c>
      <c r="U255" s="1">
        <v>45656</v>
      </c>
      <c r="V255">
        <v>123.91</v>
      </c>
      <c r="W255">
        <v>0.67</v>
      </c>
      <c r="X255" t="str">
        <f>IF(WarehouseData[[#This Row],[stock_level]]&lt;=WarehouseData[[#This Row],[reorder_point]],"Low Stock","Sufficient Stock")</f>
        <v>Sufficient Stock</v>
      </c>
      <c r="Y255">
        <f>WarehouseData[[#This Row],[daily_demand]]*WarehouseData[[#This Row],[lead_time_days]]</f>
        <v>142.38</v>
      </c>
      <c r="Z255" t="str">
        <f>IF(WarehouseData[[#This Row],[stock_level]]&lt;=WarehouseData[[#This Row],[Demand During Lead Time]],"At Risk","Safe")</f>
        <v>Safe</v>
      </c>
      <c r="AA255">
        <f>WarehouseData[[#This Row],[stock_level]]/WarehouseData[[#This Row],[daily_demand]]</f>
        <v>29.013906447534765</v>
      </c>
      <c r="AB255">
        <f>WarehouseData[[#This Row],[stock_level]]*WarehouseData[[#This Row],[unit_price]]</f>
        <v>69878.16</v>
      </c>
      <c r="AC255">
        <f>WarehouseData[[#This Row],[stock_level]]*WarehouseData[[#This Row],[holding_cost_per_unit_day]]*30</f>
        <v>3717.9</v>
      </c>
      <c r="AD255" t="str">
        <f>IF(WarehouseData[[#This Row],[order_fulfillment_rate]]&gt;=0.9,"Strong",IF(WarehouseData[[#This Row],[order_fulfillment_rate]]&gt;=0.8,"Moderate","Needs Attention"))</f>
        <v>Strong</v>
      </c>
      <c r="AE255" t="str">
        <f>IF(WarehouseData[[#This Row],[picking_time_seconds]]&gt;120,"Slow",IF(WarehouseData[[#This Row],[picking_time_seconds]]&gt;=60,"Average","Fast"))</f>
        <v>Fast</v>
      </c>
    </row>
    <row r="256" spans="1:31" x14ac:dyDescent="0.25">
      <c r="A256" t="s">
        <v>388</v>
      </c>
      <c r="B256" t="s">
        <v>73</v>
      </c>
      <c r="C256">
        <v>489</v>
      </c>
      <c r="D256">
        <v>27</v>
      </c>
      <c r="E256">
        <v>8</v>
      </c>
      <c r="F256">
        <v>5</v>
      </c>
      <c r="G256">
        <v>39.99</v>
      </c>
      <c r="H256">
        <v>1.91</v>
      </c>
      <c r="I256">
        <v>0.95</v>
      </c>
      <c r="J256" t="s">
        <v>144</v>
      </c>
      <c r="K256" t="s">
        <v>38</v>
      </c>
      <c r="L256">
        <v>167</v>
      </c>
      <c r="M256">
        <v>1.53</v>
      </c>
      <c r="N256">
        <v>147.77000000000001</v>
      </c>
      <c r="O256">
        <v>1.71</v>
      </c>
      <c r="P256">
        <v>9</v>
      </c>
      <c r="Q256">
        <v>0.96</v>
      </c>
      <c r="R256">
        <v>372</v>
      </c>
      <c r="S256">
        <v>9.99</v>
      </c>
      <c r="T256">
        <v>0.83</v>
      </c>
      <c r="U256" s="1">
        <v>45616</v>
      </c>
      <c r="V256">
        <v>20.46</v>
      </c>
      <c r="W256">
        <v>0.54</v>
      </c>
      <c r="X256" t="str">
        <f>IF(WarehouseData[[#This Row],[stock_level]]&lt;=WarehouseData[[#This Row],[reorder_point]],"Low Stock","Sufficient Stock")</f>
        <v>Sufficient Stock</v>
      </c>
      <c r="Y256">
        <f>WarehouseData[[#This Row],[daily_demand]]*WarehouseData[[#This Row],[lead_time_days]]</f>
        <v>199.95000000000002</v>
      </c>
      <c r="Z256" t="str">
        <f>IF(WarehouseData[[#This Row],[stock_level]]&lt;=WarehouseData[[#This Row],[Demand During Lead Time]],"At Risk","Safe")</f>
        <v>Safe</v>
      </c>
      <c r="AA256">
        <f>WarehouseData[[#This Row],[stock_level]]/WarehouseData[[#This Row],[daily_demand]]</f>
        <v>12.228057014253563</v>
      </c>
      <c r="AB256">
        <f>WarehouseData[[#This Row],[stock_level]]*WarehouseData[[#This Row],[unit_price]]</f>
        <v>72259.53</v>
      </c>
      <c r="AC256">
        <f>WarehouseData[[#This Row],[stock_level]]*WarehouseData[[#This Row],[holding_cost_per_unit_day]]*30</f>
        <v>25085.699999999997</v>
      </c>
      <c r="AD256" t="str">
        <f>IF(WarehouseData[[#This Row],[order_fulfillment_rate]]&gt;=0.9,"Strong",IF(WarehouseData[[#This Row],[order_fulfillment_rate]]&gt;=0.8,"Moderate","Needs Attention"))</f>
        <v>Strong</v>
      </c>
      <c r="AE256" t="str">
        <f>IF(WarehouseData[[#This Row],[picking_time_seconds]]&gt;120,"Slow",IF(WarehouseData[[#This Row],[picking_time_seconds]]&gt;=60,"Average","Fast"))</f>
        <v>Slow</v>
      </c>
    </row>
    <row r="257" spans="1:31" x14ac:dyDescent="0.25">
      <c r="A257" t="s">
        <v>389</v>
      </c>
      <c r="B257" t="s">
        <v>40</v>
      </c>
      <c r="C257">
        <v>119</v>
      </c>
      <c r="D257">
        <v>68</v>
      </c>
      <c r="E257">
        <v>12</v>
      </c>
      <c r="F257">
        <v>7</v>
      </c>
      <c r="G257">
        <v>17.45</v>
      </c>
      <c r="H257">
        <v>6.74</v>
      </c>
      <c r="I257">
        <v>0.22</v>
      </c>
      <c r="J257" t="s">
        <v>77</v>
      </c>
      <c r="K257" t="s">
        <v>46</v>
      </c>
      <c r="L257">
        <v>133</v>
      </c>
      <c r="M257">
        <v>1.2</v>
      </c>
      <c r="N257">
        <v>120.76</v>
      </c>
      <c r="O257">
        <v>0.94</v>
      </c>
      <c r="P257">
        <v>3</v>
      </c>
      <c r="Q257">
        <v>0.79</v>
      </c>
      <c r="R257">
        <v>605</v>
      </c>
      <c r="S257">
        <v>3.88</v>
      </c>
      <c r="T257">
        <v>0.22</v>
      </c>
      <c r="U257" s="1">
        <v>45370</v>
      </c>
      <c r="V257">
        <v>126.56</v>
      </c>
      <c r="W257">
        <v>0.5</v>
      </c>
      <c r="X257" t="str">
        <f>IF(WarehouseData[[#This Row],[stock_level]]&lt;=WarehouseData[[#This Row],[reorder_point]],"Low Stock","Sufficient Stock")</f>
        <v>Sufficient Stock</v>
      </c>
      <c r="Y257">
        <f>WarehouseData[[#This Row],[daily_demand]]*WarehouseData[[#This Row],[lead_time_days]]</f>
        <v>122.14999999999999</v>
      </c>
      <c r="Z257" t="str">
        <f>IF(WarehouseData[[#This Row],[stock_level]]&lt;=WarehouseData[[#This Row],[Demand During Lead Time]],"At Risk","Safe")</f>
        <v>At Risk</v>
      </c>
      <c r="AA257">
        <f>WarehouseData[[#This Row],[stock_level]]/WarehouseData[[#This Row],[daily_demand]]</f>
        <v>6.8194842406876797</v>
      </c>
      <c r="AB257">
        <f>WarehouseData[[#This Row],[stock_level]]*WarehouseData[[#This Row],[unit_price]]</f>
        <v>14370.44</v>
      </c>
      <c r="AC257">
        <f>WarehouseData[[#This Row],[stock_level]]*WarehouseData[[#This Row],[holding_cost_per_unit_day]]*30</f>
        <v>3355.8</v>
      </c>
      <c r="AD257" t="str">
        <f>IF(WarehouseData[[#This Row],[order_fulfillment_rate]]&gt;=0.9,"Strong",IF(WarehouseData[[#This Row],[order_fulfillment_rate]]&gt;=0.8,"Moderate","Needs Attention"))</f>
        <v>Needs Attention</v>
      </c>
      <c r="AE257" t="str">
        <f>IF(WarehouseData[[#This Row],[picking_time_seconds]]&gt;120,"Slow",IF(WarehouseData[[#This Row],[picking_time_seconds]]&gt;=60,"Average","Fast"))</f>
        <v>Slow</v>
      </c>
    </row>
    <row r="258" spans="1:31" x14ac:dyDescent="0.25">
      <c r="A258" t="s">
        <v>390</v>
      </c>
      <c r="B258" t="s">
        <v>73</v>
      </c>
      <c r="C258">
        <v>128</v>
      </c>
      <c r="D258">
        <v>69</v>
      </c>
      <c r="E258">
        <v>4</v>
      </c>
      <c r="F258">
        <v>7</v>
      </c>
      <c r="G258">
        <v>1.1599999999999999</v>
      </c>
      <c r="H258">
        <v>7.96</v>
      </c>
      <c r="I258">
        <v>0.79</v>
      </c>
      <c r="J258" t="s">
        <v>66</v>
      </c>
      <c r="K258" t="s">
        <v>38</v>
      </c>
      <c r="L258">
        <v>34</v>
      </c>
      <c r="M258">
        <v>1.54</v>
      </c>
      <c r="N258">
        <v>173.56</v>
      </c>
      <c r="O258">
        <v>0.48</v>
      </c>
      <c r="P258">
        <v>3</v>
      </c>
      <c r="Q258">
        <v>0.73</v>
      </c>
      <c r="R258">
        <v>677</v>
      </c>
      <c r="S258">
        <v>14.78</v>
      </c>
      <c r="T258">
        <v>0.86</v>
      </c>
      <c r="U258" s="1">
        <v>45491</v>
      </c>
      <c r="V258">
        <v>196.21</v>
      </c>
      <c r="W258">
        <v>0.80700000000000005</v>
      </c>
      <c r="X258" t="str">
        <f>IF(WarehouseData[[#This Row],[stock_level]]&lt;=WarehouseData[[#This Row],[reorder_point]],"Low Stock","Sufficient Stock")</f>
        <v>Sufficient Stock</v>
      </c>
      <c r="Y258">
        <f>WarehouseData[[#This Row],[daily_demand]]*WarehouseData[[#This Row],[lead_time_days]]</f>
        <v>8.1199999999999992</v>
      </c>
      <c r="Z258" t="str">
        <f>IF(WarehouseData[[#This Row],[stock_level]]&lt;=WarehouseData[[#This Row],[Demand During Lead Time]],"At Risk","Safe")</f>
        <v>Safe</v>
      </c>
      <c r="AA258">
        <f>WarehouseData[[#This Row],[stock_level]]/WarehouseData[[#This Row],[daily_demand]]</f>
        <v>110.3448275862069</v>
      </c>
      <c r="AB258">
        <f>WarehouseData[[#This Row],[stock_level]]*WarehouseData[[#This Row],[unit_price]]</f>
        <v>22215.68</v>
      </c>
      <c r="AC258">
        <f>WarehouseData[[#This Row],[stock_level]]*WarehouseData[[#This Row],[holding_cost_per_unit_day]]*30</f>
        <v>1843.1999999999998</v>
      </c>
      <c r="AD258" t="str">
        <f>IF(WarehouseData[[#This Row],[order_fulfillment_rate]]&gt;=0.9,"Strong",IF(WarehouseData[[#This Row],[order_fulfillment_rate]]&gt;=0.8,"Moderate","Needs Attention"))</f>
        <v>Needs Attention</v>
      </c>
      <c r="AE258" t="str">
        <f>IF(WarehouseData[[#This Row],[picking_time_seconds]]&gt;120,"Slow",IF(WarehouseData[[#This Row],[picking_time_seconds]]&gt;=60,"Average","Fast"))</f>
        <v>Fast</v>
      </c>
    </row>
    <row r="259" spans="1:31" x14ac:dyDescent="0.25">
      <c r="A259" t="s">
        <v>391</v>
      </c>
      <c r="B259" t="s">
        <v>36</v>
      </c>
      <c r="C259">
        <v>362</v>
      </c>
      <c r="D259">
        <v>72</v>
      </c>
      <c r="E259">
        <v>8</v>
      </c>
      <c r="F259">
        <v>6</v>
      </c>
      <c r="G259">
        <v>48.02</v>
      </c>
      <c r="H259">
        <v>5.72</v>
      </c>
      <c r="I259">
        <v>0.66</v>
      </c>
      <c r="J259" t="s">
        <v>51</v>
      </c>
      <c r="K259" t="s">
        <v>52</v>
      </c>
      <c r="L259">
        <v>163</v>
      </c>
      <c r="M259">
        <v>2.72</v>
      </c>
      <c r="N259">
        <v>128.59</v>
      </c>
      <c r="O259">
        <v>1.23</v>
      </c>
      <c r="P259">
        <v>7</v>
      </c>
      <c r="Q259">
        <v>0.77</v>
      </c>
      <c r="R259">
        <v>511</v>
      </c>
      <c r="S259">
        <v>13.17</v>
      </c>
      <c r="T259">
        <v>0.71</v>
      </c>
      <c r="U259" s="1">
        <v>45454</v>
      </c>
      <c r="V259">
        <v>213.55</v>
      </c>
      <c r="W259">
        <v>0.60899999999999999</v>
      </c>
      <c r="X259" t="str">
        <f>IF(WarehouseData[[#This Row],[stock_level]]&lt;=WarehouseData[[#This Row],[reorder_point]],"Low Stock","Sufficient Stock")</f>
        <v>Sufficient Stock</v>
      </c>
      <c r="Y259">
        <f>WarehouseData[[#This Row],[daily_demand]]*WarehouseData[[#This Row],[lead_time_days]]</f>
        <v>288.12</v>
      </c>
      <c r="Z259" t="str">
        <f>IF(WarehouseData[[#This Row],[stock_level]]&lt;=WarehouseData[[#This Row],[Demand During Lead Time]],"At Risk","Safe")</f>
        <v>Safe</v>
      </c>
      <c r="AA259">
        <f>WarehouseData[[#This Row],[stock_level]]/WarehouseData[[#This Row],[daily_demand]]</f>
        <v>7.5385256143273631</v>
      </c>
      <c r="AB259">
        <f>WarehouseData[[#This Row],[stock_level]]*WarehouseData[[#This Row],[unit_price]]</f>
        <v>46549.58</v>
      </c>
      <c r="AC259">
        <f>WarehouseData[[#This Row],[stock_level]]*WarehouseData[[#This Row],[holding_cost_per_unit_day]]*30</f>
        <v>13357.8</v>
      </c>
      <c r="AD259" t="str">
        <f>IF(WarehouseData[[#This Row],[order_fulfillment_rate]]&gt;=0.9,"Strong",IF(WarehouseData[[#This Row],[order_fulfillment_rate]]&gt;=0.8,"Moderate","Needs Attention"))</f>
        <v>Needs Attention</v>
      </c>
      <c r="AE259" t="str">
        <f>IF(WarehouseData[[#This Row],[picking_time_seconds]]&gt;120,"Slow",IF(WarehouseData[[#This Row],[picking_time_seconds]]&gt;=60,"Average","Fast"))</f>
        <v>Slow</v>
      </c>
    </row>
    <row r="260" spans="1:31" x14ac:dyDescent="0.25">
      <c r="A260" t="s">
        <v>392</v>
      </c>
      <c r="B260" t="s">
        <v>48</v>
      </c>
      <c r="C260">
        <v>192</v>
      </c>
      <c r="D260">
        <v>66</v>
      </c>
      <c r="E260">
        <v>3</v>
      </c>
      <c r="F260">
        <v>2</v>
      </c>
      <c r="G260">
        <v>30.01</v>
      </c>
      <c r="H260">
        <v>6.96</v>
      </c>
      <c r="I260">
        <v>0.84</v>
      </c>
      <c r="J260" t="s">
        <v>102</v>
      </c>
      <c r="K260" t="s">
        <v>34</v>
      </c>
      <c r="L260">
        <v>33</v>
      </c>
      <c r="M260">
        <v>4.0999999999999996</v>
      </c>
      <c r="N260">
        <v>176.2</v>
      </c>
      <c r="O260">
        <v>1.0900000000000001</v>
      </c>
      <c r="P260">
        <v>8</v>
      </c>
      <c r="Q260">
        <v>0.98</v>
      </c>
      <c r="R260">
        <v>447</v>
      </c>
      <c r="S260">
        <v>2.85</v>
      </c>
      <c r="T260">
        <v>0.31</v>
      </c>
      <c r="U260" s="1">
        <v>45476</v>
      </c>
      <c r="V260">
        <v>152.91</v>
      </c>
      <c r="W260">
        <v>0.42699999999999999</v>
      </c>
      <c r="X260" t="str">
        <f>IF(WarehouseData[[#This Row],[stock_level]]&lt;=WarehouseData[[#This Row],[reorder_point]],"Low Stock","Sufficient Stock")</f>
        <v>Sufficient Stock</v>
      </c>
      <c r="Y260">
        <f>WarehouseData[[#This Row],[daily_demand]]*WarehouseData[[#This Row],[lead_time_days]]</f>
        <v>60.02</v>
      </c>
      <c r="Z260" t="str">
        <f>IF(WarehouseData[[#This Row],[stock_level]]&lt;=WarehouseData[[#This Row],[Demand During Lead Time]],"At Risk","Safe")</f>
        <v>Safe</v>
      </c>
      <c r="AA260">
        <f>WarehouseData[[#This Row],[stock_level]]/WarehouseData[[#This Row],[daily_demand]]</f>
        <v>6.3978673775408197</v>
      </c>
      <c r="AB260">
        <f>WarehouseData[[#This Row],[stock_level]]*WarehouseData[[#This Row],[unit_price]]</f>
        <v>33830.399999999994</v>
      </c>
      <c r="AC260">
        <f>WarehouseData[[#This Row],[stock_level]]*WarehouseData[[#This Row],[holding_cost_per_unit_day]]*30</f>
        <v>6278.4000000000005</v>
      </c>
      <c r="AD260" t="str">
        <f>IF(WarehouseData[[#This Row],[order_fulfillment_rate]]&gt;=0.9,"Strong",IF(WarehouseData[[#This Row],[order_fulfillment_rate]]&gt;=0.8,"Moderate","Needs Attention"))</f>
        <v>Strong</v>
      </c>
      <c r="AE260" t="str">
        <f>IF(WarehouseData[[#This Row],[picking_time_seconds]]&gt;120,"Slow",IF(WarehouseData[[#This Row],[picking_time_seconds]]&gt;=60,"Average","Fast"))</f>
        <v>Fast</v>
      </c>
    </row>
    <row r="261" spans="1:31" x14ac:dyDescent="0.25">
      <c r="A261" t="s">
        <v>393</v>
      </c>
      <c r="B261" t="s">
        <v>48</v>
      </c>
      <c r="C261">
        <v>256</v>
      </c>
      <c r="D261">
        <v>60</v>
      </c>
      <c r="E261">
        <v>3</v>
      </c>
      <c r="F261">
        <v>9</v>
      </c>
      <c r="G261">
        <v>41.16</v>
      </c>
      <c r="H261">
        <v>9.41</v>
      </c>
      <c r="I261">
        <v>0.64</v>
      </c>
      <c r="J261" t="s">
        <v>192</v>
      </c>
      <c r="K261" t="s">
        <v>34</v>
      </c>
      <c r="L261">
        <v>106</v>
      </c>
      <c r="M261">
        <v>2.09</v>
      </c>
      <c r="N261">
        <v>67.53</v>
      </c>
      <c r="O261">
        <v>0.88</v>
      </c>
      <c r="P261">
        <v>6</v>
      </c>
      <c r="Q261">
        <v>0.84</v>
      </c>
      <c r="R261">
        <v>442</v>
      </c>
      <c r="S261">
        <v>13.03</v>
      </c>
      <c r="T261">
        <v>0.69</v>
      </c>
      <c r="U261" s="1">
        <v>45346</v>
      </c>
      <c r="V261">
        <v>162.26</v>
      </c>
      <c r="W261">
        <v>0.67200000000000004</v>
      </c>
      <c r="X261" t="str">
        <f>IF(WarehouseData[[#This Row],[stock_level]]&lt;=WarehouseData[[#This Row],[reorder_point]],"Low Stock","Sufficient Stock")</f>
        <v>Sufficient Stock</v>
      </c>
      <c r="Y261">
        <f>WarehouseData[[#This Row],[daily_demand]]*WarehouseData[[#This Row],[lead_time_days]]</f>
        <v>370.43999999999994</v>
      </c>
      <c r="Z261" t="str">
        <f>IF(WarehouseData[[#This Row],[stock_level]]&lt;=WarehouseData[[#This Row],[Demand During Lead Time]],"At Risk","Safe")</f>
        <v>At Risk</v>
      </c>
      <c r="AA261">
        <f>WarehouseData[[#This Row],[stock_level]]/WarehouseData[[#This Row],[daily_demand]]</f>
        <v>6.2196307094266281</v>
      </c>
      <c r="AB261">
        <f>WarehouseData[[#This Row],[stock_level]]*WarehouseData[[#This Row],[unit_price]]</f>
        <v>17287.68</v>
      </c>
      <c r="AC261">
        <f>WarehouseData[[#This Row],[stock_level]]*WarehouseData[[#This Row],[holding_cost_per_unit_day]]*30</f>
        <v>6758.4</v>
      </c>
      <c r="AD261" t="str">
        <f>IF(WarehouseData[[#This Row],[order_fulfillment_rate]]&gt;=0.9,"Strong",IF(WarehouseData[[#This Row],[order_fulfillment_rate]]&gt;=0.8,"Moderate","Needs Attention"))</f>
        <v>Moderate</v>
      </c>
      <c r="AE261" t="str">
        <f>IF(WarehouseData[[#This Row],[picking_time_seconds]]&gt;120,"Slow",IF(WarehouseData[[#This Row],[picking_time_seconds]]&gt;=60,"Average","Fast"))</f>
        <v>Average</v>
      </c>
    </row>
    <row r="262" spans="1:31" x14ac:dyDescent="0.25">
      <c r="A262" t="s">
        <v>394</v>
      </c>
      <c r="B262" t="s">
        <v>48</v>
      </c>
      <c r="C262">
        <v>181</v>
      </c>
      <c r="D262">
        <v>65</v>
      </c>
      <c r="E262">
        <v>13</v>
      </c>
      <c r="F262">
        <v>3</v>
      </c>
      <c r="G262">
        <v>41.44</v>
      </c>
      <c r="H262">
        <v>6.56</v>
      </c>
      <c r="I262">
        <v>0.97</v>
      </c>
      <c r="J262" t="s">
        <v>158</v>
      </c>
      <c r="K262" t="s">
        <v>38</v>
      </c>
      <c r="L262">
        <v>48</v>
      </c>
      <c r="M262">
        <v>3.04</v>
      </c>
      <c r="N262">
        <v>35.08</v>
      </c>
      <c r="O262">
        <v>1.82</v>
      </c>
      <c r="P262">
        <v>2</v>
      </c>
      <c r="Q262">
        <v>0.83</v>
      </c>
      <c r="R262">
        <v>277</v>
      </c>
      <c r="S262">
        <v>5.83</v>
      </c>
      <c r="T262">
        <v>0.85</v>
      </c>
      <c r="U262" s="1">
        <v>45338</v>
      </c>
      <c r="V262">
        <v>205.08</v>
      </c>
      <c r="W262">
        <v>0.59199999999999997</v>
      </c>
      <c r="X262" t="str">
        <f>IF(WarehouseData[[#This Row],[stock_level]]&lt;=WarehouseData[[#This Row],[reorder_point]],"Low Stock","Sufficient Stock")</f>
        <v>Sufficient Stock</v>
      </c>
      <c r="Y262">
        <f>WarehouseData[[#This Row],[daily_demand]]*WarehouseData[[#This Row],[lead_time_days]]</f>
        <v>124.32</v>
      </c>
      <c r="Z262" t="str">
        <f>IF(WarehouseData[[#This Row],[stock_level]]&lt;=WarehouseData[[#This Row],[Demand During Lead Time]],"At Risk","Safe")</f>
        <v>Safe</v>
      </c>
      <c r="AA262">
        <f>WarehouseData[[#This Row],[stock_level]]/WarehouseData[[#This Row],[daily_demand]]</f>
        <v>4.3677606177606183</v>
      </c>
      <c r="AB262">
        <f>WarehouseData[[#This Row],[stock_level]]*WarehouseData[[#This Row],[unit_price]]</f>
        <v>6349.48</v>
      </c>
      <c r="AC262">
        <f>WarehouseData[[#This Row],[stock_level]]*WarehouseData[[#This Row],[holding_cost_per_unit_day]]*30</f>
        <v>9882.6</v>
      </c>
      <c r="AD262" t="str">
        <f>IF(WarehouseData[[#This Row],[order_fulfillment_rate]]&gt;=0.9,"Strong",IF(WarehouseData[[#This Row],[order_fulfillment_rate]]&gt;=0.8,"Moderate","Needs Attention"))</f>
        <v>Moderate</v>
      </c>
      <c r="AE262" t="str">
        <f>IF(WarehouseData[[#This Row],[picking_time_seconds]]&gt;120,"Slow",IF(WarehouseData[[#This Row],[picking_time_seconds]]&gt;=60,"Average","Fast"))</f>
        <v>Fast</v>
      </c>
    </row>
    <row r="263" spans="1:31" x14ac:dyDescent="0.25">
      <c r="A263" t="s">
        <v>395</v>
      </c>
      <c r="B263" t="s">
        <v>40</v>
      </c>
      <c r="C263">
        <v>412</v>
      </c>
      <c r="D263">
        <v>36</v>
      </c>
      <c r="E263">
        <v>5</v>
      </c>
      <c r="F263">
        <v>5</v>
      </c>
      <c r="G263">
        <v>4.25</v>
      </c>
      <c r="H263">
        <v>3.96</v>
      </c>
      <c r="I263">
        <v>0.66</v>
      </c>
      <c r="J263" t="s">
        <v>148</v>
      </c>
      <c r="K263" t="s">
        <v>34</v>
      </c>
      <c r="L263">
        <v>118</v>
      </c>
      <c r="M263">
        <v>4.12</v>
      </c>
      <c r="N263">
        <v>165.71</v>
      </c>
      <c r="O263">
        <v>1.52</v>
      </c>
      <c r="P263">
        <v>9</v>
      </c>
      <c r="Q263">
        <v>0.7</v>
      </c>
      <c r="R263">
        <v>968</v>
      </c>
      <c r="S263">
        <v>7.86</v>
      </c>
      <c r="T263">
        <v>0.68</v>
      </c>
      <c r="U263" s="1">
        <v>45294</v>
      </c>
      <c r="V263">
        <v>140.30000000000001</v>
      </c>
      <c r="W263">
        <v>0.44900000000000001</v>
      </c>
      <c r="X263" t="str">
        <f>IF(WarehouseData[[#This Row],[stock_level]]&lt;=WarehouseData[[#This Row],[reorder_point]],"Low Stock","Sufficient Stock")</f>
        <v>Sufficient Stock</v>
      </c>
      <c r="Y263">
        <f>WarehouseData[[#This Row],[daily_demand]]*WarehouseData[[#This Row],[lead_time_days]]</f>
        <v>21.25</v>
      </c>
      <c r="Z263" t="str">
        <f>IF(WarehouseData[[#This Row],[stock_level]]&lt;=WarehouseData[[#This Row],[Demand During Lead Time]],"At Risk","Safe")</f>
        <v>Safe</v>
      </c>
      <c r="AA263">
        <f>WarehouseData[[#This Row],[stock_level]]/WarehouseData[[#This Row],[daily_demand]]</f>
        <v>96.941176470588232</v>
      </c>
      <c r="AB263">
        <f>WarehouseData[[#This Row],[stock_level]]*WarehouseData[[#This Row],[unit_price]]</f>
        <v>68272.52</v>
      </c>
      <c r="AC263">
        <f>WarehouseData[[#This Row],[stock_level]]*WarehouseData[[#This Row],[holding_cost_per_unit_day]]*30</f>
        <v>18787.2</v>
      </c>
      <c r="AD263" t="str">
        <f>IF(WarehouseData[[#This Row],[order_fulfillment_rate]]&gt;=0.9,"Strong",IF(WarehouseData[[#This Row],[order_fulfillment_rate]]&gt;=0.8,"Moderate","Needs Attention"))</f>
        <v>Needs Attention</v>
      </c>
      <c r="AE263" t="str">
        <f>IF(WarehouseData[[#This Row],[picking_time_seconds]]&gt;120,"Slow",IF(WarehouseData[[#This Row],[picking_time_seconds]]&gt;=60,"Average","Fast"))</f>
        <v>Average</v>
      </c>
    </row>
    <row r="264" spans="1:31" x14ac:dyDescent="0.25">
      <c r="A264" t="s">
        <v>396</v>
      </c>
      <c r="B264" t="s">
        <v>36</v>
      </c>
      <c r="C264">
        <v>235</v>
      </c>
      <c r="D264">
        <v>41</v>
      </c>
      <c r="E264">
        <v>5</v>
      </c>
      <c r="F264">
        <v>9</v>
      </c>
      <c r="G264">
        <v>9.3699999999999992</v>
      </c>
      <c r="H264">
        <v>4.7699999999999996</v>
      </c>
      <c r="I264">
        <v>0.81</v>
      </c>
      <c r="J264" t="s">
        <v>217</v>
      </c>
      <c r="K264" t="s">
        <v>52</v>
      </c>
      <c r="L264">
        <v>70</v>
      </c>
      <c r="M264">
        <v>1.57</v>
      </c>
      <c r="N264">
        <v>82.68</v>
      </c>
      <c r="O264">
        <v>0.39</v>
      </c>
      <c r="P264">
        <v>0</v>
      </c>
      <c r="Q264">
        <v>0.72</v>
      </c>
      <c r="R264">
        <v>618</v>
      </c>
      <c r="S264">
        <v>3</v>
      </c>
      <c r="T264">
        <v>1</v>
      </c>
      <c r="U264" s="1">
        <v>45449</v>
      </c>
      <c r="V264">
        <v>86.42</v>
      </c>
      <c r="W264">
        <v>0.745</v>
      </c>
      <c r="X264" t="str">
        <f>IF(WarehouseData[[#This Row],[stock_level]]&lt;=WarehouseData[[#This Row],[reorder_point]],"Low Stock","Sufficient Stock")</f>
        <v>Sufficient Stock</v>
      </c>
      <c r="Y264">
        <f>WarehouseData[[#This Row],[daily_demand]]*WarehouseData[[#This Row],[lead_time_days]]</f>
        <v>84.33</v>
      </c>
      <c r="Z264" t="str">
        <f>IF(WarehouseData[[#This Row],[stock_level]]&lt;=WarehouseData[[#This Row],[Demand During Lead Time]],"At Risk","Safe")</f>
        <v>Safe</v>
      </c>
      <c r="AA264">
        <f>WarehouseData[[#This Row],[stock_level]]/WarehouseData[[#This Row],[daily_demand]]</f>
        <v>25.080042689434368</v>
      </c>
      <c r="AB264">
        <f>WarehouseData[[#This Row],[stock_level]]*WarehouseData[[#This Row],[unit_price]]</f>
        <v>19429.800000000003</v>
      </c>
      <c r="AC264">
        <f>WarehouseData[[#This Row],[stock_level]]*WarehouseData[[#This Row],[holding_cost_per_unit_day]]*30</f>
        <v>2749.5</v>
      </c>
      <c r="AD264" t="str">
        <f>IF(WarehouseData[[#This Row],[order_fulfillment_rate]]&gt;=0.9,"Strong",IF(WarehouseData[[#This Row],[order_fulfillment_rate]]&gt;=0.8,"Moderate","Needs Attention"))</f>
        <v>Needs Attention</v>
      </c>
      <c r="AE264" t="str">
        <f>IF(WarehouseData[[#This Row],[picking_time_seconds]]&gt;120,"Slow",IF(WarehouseData[[#This Row],[picking_time_seconds]]&gt;=60,"Average","Fast"))</f>
        <v>Average</v>
      </c>
    </row>
    <row r="265" spans="1:31" x14ac:dyDescent="0.25">
      <c r="A265" t="s">
        <v>397</v>
      </c>
      <c r="B265" t="s">
        <v>73</v>
      </c>
      <c r="C265">
        <v>283</v>
      </c>
      <c r="D265">
        <v>18</v>
      </c>
      <c r="E265">
        <v>13</v>
      </c>
      <c r="F265">
        <v>6</v>
      </c>
      <c r="G265">
        <v>16.239999999999998</v>
      </c>
      <c r="H265">
        <v>8.67</v>
      </c>
      <c r="I265">
        <v>0.89</v>
      </c>
      <c r="J265" t="s">
        <v>77</v>
      </c>
      <c r="K265" t="s">
        <v>52</v>
      </c>
      <c r="L265">
        <v>178</v>
      </c>
      <c r="M265">
        <v>4.47</v>
      </c>
      <c r="N265">
        <v>133.71</v>
      </c>
      <c r="O265">
        <v>1.18</v>
      </c>
      <c r="P265">
        <v>4</v>
      </c>
      <c r="Q265">
        <v>0.9</v>
      </c>
      <c r="R265">
        <v>293</v>
      </c>
      <c r="S265">
        <v>2.66</v>
      </c>
      <c r="T265">
        <v>0.61</v>
      </c>
      <c r="U265" s="1">
        <v>45519</v>
      </c>
      <c r="V265">
        <v>74.66</v>
      </c>
      <c r="W265">
        <v>0.53900000000000003</v>
      </c>
      <c r="X265" t="str">
        <f>IF(WarehouseData[[#This Row],[stock_level]]&lt;=WarehouseData[[#This Row],[reorder_point]],"Low Stock","Sufficient Stock")</f>
        <v>Sufficient Stock</v>
      </c>
      <c r="Y265">
        <f>WarehouseData[[#This Row],[daily_demand]]*WarehouseData[[#This Row],[lead_time_days]]</f>
        <v>97.44</v>
      </c>
      <c r="Z265" t="str">
        <f>IF(WarehouseData[[#This Row],[stock_level]]&lt;=WarehouseData[[#This Row],[Demand During Lead Time]],"At Risk","Safe")</f>
        <v>Safe</v>
      </c>
      <c r="AA265">
        <f>WarehouseData[[#This Row],[stock_level]]/WarehouseData[[#This Row],[daily_demand]]</f>
        <v>17.426108374384238</v>
      </c>
      <c r="AB265">
        <f>WarehouseData[[#This Row],[stock_level]]*WarehouseData[[#This Row],[unit_price]]</f>
        <v>37839.93</v>
      </c>
      <c r="AC265">
        <f>WarehouseData[[#This Row],[stock_level]]*WarehouseData[[#This Row],[holding_cost_per_unit_day]]*30</f>
        <v>10018.200000000001</v>
      </c>
      <c r="AD265" t="str">
        <f>IF(WarehouseData[[#This Row],[order_fulfillment_rate]]&gt;=0.9,"Strong",IF(WarehouseData[[#This Row],[order_fulfillment_rate]]&gt;=0.8,"Moderate","Needs Attention"))</f>
        <v>Strong</v>
      </c>
      <c r="AE265" t="str">
        <f>IF(WarehouseData[[#This Row],[picking_time_seconds]]&gt;120,"Slow",IF(WarehouseData[[#This Row],[picking_time_seconds]]&gt;=60,"Average","Fast"))</f>
        <v>Slow</v>
      </c>
    </row>
    <row r="266" spans="1:31" x14ac:dyDescent="0.25">
      <c r="A266" t="s">
        <v>398</v>
      </c>
      <c r="B266" t="s">
        <v>32</v>
      </c>
      <c r="C266">
        <v>282</v>
      </c>
      <c r="D266">
        <v>93</v>
      </c>
      <c r="E266">
        <v>7</v>
      </c>
      <c r="F266">
        <v>8</v>
      </c>
      <c r="G266">
        <v>16.71</v>
      </c>
      <c r="H266">
        <v>1.74</v>
      </c>
      <c r="I266">
        <v>0.74</v>
      </c>
      <c r="J266" t="s">
        <v>160</v>
      </c>
      <c r="K266" t="s">
        <v>46</v>
      </c>
      <c r="L266">
        <v>29</v>
      </c>
      <c r="M266">
        <v>4.79</v>
      </c>
      <c r="N266">
        <v>150.09</v>
      </c>
      <c r="O266">
        <v>0.27</v>
      </c>
      <c r="P266">
        <v>5</v>
      </c>
      <c r="Q266">
        <v>0.88</v>
      </c>
      <c r="R266">
        <v>106</v>
      </c>
      <c r="S266">
        <v>13.12</v>
      </c>
      <c r="T266">
        <v>0.74</v>
      </c>
      <c r="U266" s="1">
        <v>45476</v>
      </c>
      <c r="V266">
        <v>228.3</v>
      </c>
      <c r="W266">
        <v>0.77200000000000002</v>
      </c>
      <c r="X266" t="str">
        <f>IF(WarehouseData[[#This Row],[stock_level]]&lt;=WarehouseData[[#This Row],[reorder_point]],"Low Stock","Sufficient Stock")</f>
        <v>Sufficient Stock</v>
      </c>
      <c r="Y266">
        <f>WarehouseData[[#This Row],[daily_demand]]*WarehouseData[[#This Row],[lead_time_days]]</f>
        <v>133.68</v>
      </c>
      <c r="Z266" t="str">
        <f>IF(WarehouseData[[#This Row],[stock_level]]&lt;=WarehouseData[[#This Row],[Demand During Lead Time]],"At Risk","Safe")</f>
        <v>Safe</v>
      </c>
      <c r="AA266">
        <f>WarehouseData[[#This Row],[stock_level]]/WarehouseData[[#This Row],[daily_demand]]</f>
        <v>16.876122082585276</v>
      </c>
      <c r="AB266">
        <f>WarehouseData[[#This Row],[stock_level]]*WarehouseData[[#This Row],[unit_price]]</f>
        <v>42325.38</v>
      </c>
      <c r="AC266">
        <f>WarehouseData[[#This Row],[stock_level]]*WarehouseData[[#This Row],[holding_cost_per_unit_day]]*30</f>
        <v>2284.1999999999998</v>
      </c>
      <c r="AD266" t="str">
        <f>IF(WarehouseData[[#This Row],[order_fulfillment_rate]]&gt;=0.9,"Strong",IF(WarehouseData[[#This Row],[order_fulfillment_rate]]&gt;=0.8,"Moderate","Needs Attention"))</f>
        <v>Moderate</v>
      </c>
      <c r="AE266" t="str">
        <f>IF(WarehouseData[[#This Row],[picking_time_seconds]]&gt;120,"Slow",IF(WarehouseData[[#This Row],[picking_time_seconds]]&gt;=60,"Average","Fast"))</f>
        <v>Fast</v>
      </c>
    </row>
    <row r="267" spans="1:31" x14ac:dyDescent="0.25">
      <c r="A267" t="s">
        <v>399</v>
      </c>
      <c r="B267" t="s">
        <v>73</v>
      </c>
      <c r="C267">
        <v>311</v>
      </c>
      <c r="D267">
        <v>77</v>
      </c>
      <c r="E267">
        <v>3</v>
      </c>
      <c r="F267">
        <v>9</v>
      </c>
      <c r="G267">
        <v>33.28</v>
      </c>
      <c r="H267">
        <v>3.59</v>
      </c>
      <c r="I267">
        <v>0.56999999999999995</v>
      </c>
      <c r="J267" t="s">
        <v>70</v>
      </c>
      <c r="K267" t="s">
        <v>34</v>
      </c>
      <c r="L267">
        <v>25</v>
      </c>
      <c r="M267">
        <v>0.68</v>
      </c>
      <c r="N267">
        <v>72.069999999999993</v>
      </c>
      <c r="O267">
        <v>0.56000000000000005</v>
      </c>
      <c r="P267">
        <v>8</v>
      </c>
      <c r="Q267">
        <v>0.87</v>
      </c>
      <c r="R267">
        <v>192</v>
      </c>
      <c r="S267">
        <v>9.82</v>
      </c>
      <c r="T267">
        <v>0.26</v>
      </c>
      <c r="U267" s="1">
        <v>45430</v>
      </c>
      <c r="V267">
        <v>151.38999999999999</v>
      </c>
      <c r="W267">
        <v>0.54100000000000004</v>
      </c>
      <c r="X267" t="str">
        <f>IF(WarehouseData[[#This Row],[stock_level]]&lt;=WarehouseData[[#This Row],[reorder_point]],"Low Stock","Sufficient Stock")</f>
        <v>Sufficient Stock</v>
      </c>
      <c r="Y267">
        <f>WarehouseData[[#This Row],[daily_demand]]*WarehouseData[[#This Row],[lead_time_days]]</f>
        <v>299.52</v>
      </c>
      <c r="Z267" t="str">
        <f>IF(WarehouseData[[#This Row],[stock_level]]&lt;=WarehouseData[[#This Row],[Demand During Lead Time]],"At Risk","Safe")</f>
        <v>Safe</v>
      </c>
      <c r="AA267">
        <f>WarehouseData[[#This Row],[stock_level]]/WarehouseData[[#This Row],[daily_demand]]</f>
        <v>9.3449519230769234</v>
      </c>
      <c r="AB267">
        <f>WarehouseData[[#This Row],[stock_level]]*WarehouseData[[#This Row],[unit_price]]</f>
        <v>22413.769999999997</v>
      </c>
      <c r="AC267">
        <f>WarehouseData[[#This Row],[stock_level]]*WarehouseData[[#This Row],[holding_cost_per_unit_day]]*30</f>
        <v>5224.8000000000011</v>
      </c>
      <c r="AD267" t="str">
        <f>IF(WarehouseData[[#This Row],[order_fulfillment_rate]]&gt;=0.9,"Strong",IF(WarehouseData[[#This Row],[order_fulfillment_rate]]&gt;=0.8,"Moderate","Needs Attention"))</f>
        <v>Moderate</v>
      </c>
      <c r="AE267" t="str">
        <f>IF(WarehouseData[[#This Row],[picking_time_seconds]]&gt;120,"Slow",IF(WarehouseData[[#This Row],[picking_time_seconds]]&gt;=60,"Average","Fast"))</f>
        <v>Fast</v>
      </c>
    </row>
    <row r="268" spans="1:31" x14ac:dyDescent="0.25">
      <c r="A268" t="s">
        <v>400</v>
      </c>
      <c r="B268" t="s">
        <v>32</v>
      </c>
      <c r="C268">
        <v>293</v>
      </c>
      <c r="D268">
        <v>55</v>
      </c>
      <c r="E268">
        <v>12</v>
      </c>
      <c r="F268">
        <v>8</v>
      </c>
      <c r="G268">
        <v>31.53</v>
      </c>
      <c r="H268">
        <v>5.98</v>
      </c>
      <c r="I268">
        <v>0.35</v>
      </c>
      <c r="J268" t="s">
        <v>401</v>
      </c>
      <c r="K268" t="s">
        <v>34</v>
      </c>
      <c r="L268">
        <v>158</v>
      </c>
      <c r="M268">
        <v>0.77</v>
      </c>
      <c r="N268">
        <v>105.98</v>
      </c>
      <c r="O268">
        <v>1.83</v>
      </c>
      <c r="P268">
        <v>4</v>
      </c>
      <c r="Q268">
        <v>0.73</v>
      </c>
      <c r="R268">
        <v>241</v>
      </c>
      <c r="S268">
        <v>7.45</v>
      </c>
      <c r="T268">
        <v>0.85</v>
      </c>
      <c r="U268" s="1">
        <v>45344</v>
      </c>
      <c r="V268">
        <v>190.98</v>
      </c>
      <c r="W268">
        <v>0.55200000000000005</v>
      </c>
      <c r="X268" t="str">
        <f>IF(WarehouseData[[#This Row],[stock_level]]&lt;=WarehouseData[[#This Row],[reorder_point]],"Low Stock","Sufficient Stock")</f>
        <v>Sufficient Stock</v>
      </c>
      <c r="Y268">
        <f>WarehouseData[[#This Row],[daily_demand]]*WarehouseData[[#This Row],[lead_time_days]]</f>
        <v>252.24</v>
      </c>
      <c r="Z268" t="str">
        <f>IF(WarehouseData[[#This Row],[stock_level]]&lt;=WarehouseData[[#This Row],[Demand During Lead Time]],"At Risk","Safe")</f>
        <v>Safe</v>
      </c>
      <c r="AA268">
        <f>WarehouseData[[#This Row],[stock_level]]/WarehouseData[[#This Row],[daily_demand]]</f>
        <v>9.2927370758008241</v>
      </c>
      <c r="AB268">
        <f>WarehouseData[[#This Row],[stock_level]]*WarehouseData[[#This Row],[unit_price]]</f>
        <v>31052.14</v>
      </c>
      <c r="AC268">
        <f>WarehouseData[[#This Row],[stock_level]]*WarehouseData[[#This Row],[holding_cost_per_unit_day]]*30</f>
        <v>16085.7</v>
      </c>
      <c r="AD268" t="str">
        <f>IF(WarehouseData[[#This Row],[order_fulfillment_rate]]&gt;=0.9,"Strong",IF(WarehouseData[[#This Row],[order_fulfillment_rate]]&gt;=0.8,"Moderate","Needs Attention"))</f>
        <v>Needs Attention</v>
      </c>
      <c r="AE268" t="str">
        <f>IF(WarehouseData[[#This Row],[picking_time_seconds]]&gt;120,"Slow",IF(WarehouseData[[#This Row],[picking_time_seconds]]&gt;=60,"Average","Fast"))</f>
        <v>Slow</v>
      </c>
    </row>
    <row r="269" spans="1:31" x14ac:dyDescent="0.25">
      <c r="A269" t="s">
        <v>402</v>
      </c>
      <c r="B269" t="s">
        <v>73</v>
      </c>
      <c r="C269">
        <v>22</v>
      </c>
      <c r="D269">
        <v>76</v>
      </c>
      <c r="E269">
        <v>8</v>
      </c>
      <c r="F269">
        <v>4</v>
      </c>
      <c r="G269">
        <v>25.23</v>
      </c>
      <c r="H269">
        <v>6.93</v>
      </c>
      <c r="I269">
        <v>0.87</v>
      </c>
      <c r="J269" t="s">
        <v>192</v>
      </c>
      <c r="K269" t="s">
        <v>46</v>
      </c>
      <c r="L269">
        <v>24</v>
      </c>
      <c r="M269">
        <v>0.91</v>
      </c>
      <c r="N269">
        <v>180.04</v>
      </c>
      <c r="O269">
        <v>0.98</v>
      </c>
      <c r="P269">
        <v>0</v>
      </c>
      <c r="Q269">
        <v>0.81</v>
      </c>
      <c r="R269">
        <v>568</v>
      </c>
      <c r="S269">
        <v>1.51</v>
      </c>
      <c r="T269">
        <v>0.7</v>
      </c>
      <c r="U269" s="1">
        <v>45359</v>
      </c>
      <c r="V269">
        <v>146.62</v>
      </c>
      <c r="W269">
        <v>0.624</v>
      </c>
      <c r="X269" t="str">
        <f>IF(WarehouseData[[#This Row],[stock_level]]&lt;=WarehouseData[[#This Row],[reorder_point]],"Low Stock","Sufficient Stock")</f>
        <v>Low Stock</v>
      </c>
      <c r="Y269">
        <f>WarehouseData[[#This Row],[daily_demand]]*WarehouseData[[#This Row],[lead_time_days]]</f>
        <v>100.92</v>
      </c>
      <c r="Z269" t="str">
        <f>IF(WarehouseData[[#This Row],[stock_level]]&lt;=WarehouseData[[#This Row],[Demand During Lead Time]],"At Risk","Safe")</f>
        <v>At Risk</v>
      </c>
      <c r="AA269">
        <f>WarehouseData[[#This Row],[stock_level]]/WarehouseData[[#This Row],[daily_demand]]</f>
        <v>0.87197780420134763</v>
      </c>
      <c r="AB269">
        <f>WarehouseData[[#This Row],[stock_level]]*WarehouseData[[#This Row],[unit_price]]</f>
        <v>3960.8799999999997</v>
      </c>
      <c r="AC269">
        <f>WarehouseData[[#This Row],[stock_level]]*WarehouseData[[#This Row],[holding_cost_per_unit_day]]*30</f>
        <v>646.79999999999995</v>
      </c>
      <c r="AD269" t="str">
        <f>IF(WarehouseData[[#This Row],[order_fulfillment_rate]]&gt;=0.9,"Strong",IF(WarehouseData[[#This Row],[order_fulfillment_rate]]&gt;=0.8,"Moderate","Needs Attention"))</f>
        <v>Moderate</v>
      </c>
      <c r="AE269" t="str">
        <f>IF(WarehouseData[[#This Row],[picking_time_seconds]]&gt;120,"Slow",IF(WarehouseData[[#This Row],[picking_time_seconds]]&gt;=60,"Average","Fast"))</f>
        <v>Fast</v>
      </c>
    </row>
    <row r="270" spans="1:31" x14ac:dyDescent="0.25">
      <c r="A270" t="s">
        <v>403</v>
      </c>
      <c r="B270" t="s">
        <v>36</v>
      </c>
      <c r="C270">
        <v>47</v>
      </c>
      <c r="D270">
        <v>35</v>
      </c>
      <c r="E270">
        <v>9</v>
      </c>
      <c r="F270">
        <v>7</v>
      </c>
      <c r="G270">
        <v>11.35</v>
      </c>
      <c r="H270">
        <v>7.75</v>
      </c>
      <c r="I270">
        <v>0.53</v>
      </c>
      <c r="J270" t="s">
        <v>259</v>
      </c>
      <c r="K270" t="s">
        <v>38</v>
      </c>
      <c r="L270">
        <v>176</v>
      </c>
      <c r="M270">
        <v>4</v>
      </c>
      <c r="N270">
        <v>177.16</v>
      </c>
      <c r="O270">
        <v>1.8</v>
      </c>
      <c r="P270">
        <v>3</v>
      </c>
      <c r="Q270">
        <v>0.94</v>
      </c>
      <c r="R270">
        <v>453</v>
      </c>
      <c r="S270">
        <v>13.91</v>
      </c>
      <c r="T270">
        <v>0.65</v>
      </c>
      <c r="U270" s="1">
        <v>45336</v>
      </c>
      <c r="V270">
        <v>247.46</v>
      </c>
      <c r="W270">
        <v>0.66300000000000003</v>
      </c>
      <c r="X270" t="str">
        <f>IF(WarehouseData[[#This Row],[stock_level]]&lt;=WarehouseData[[#This Row],[reorder_point]],"Low Stock","Sufficient Stock")</f>
        <v>Sufficient Stock</v>
      </c>
      <c r="Y270">
        <f>WarehouseData[[#This Row],[daily_demand]]*WarehouseData[[#This Row],[lead_time_days]]</f>
        <v>79.45</v>
      </c>
      <c r="Z270" t="str">
        <f>IF(WarehouseData[[#This Row],[stock_level]]&lt;=WarehouseData[[#This Row],[Demand During Lead Time]],"At Risk","Safe")</f>
        <v>At Risk</v>
      </c>
      <c r="AA270">
        <f>WarehouseData[[#This Row],[stock_level]]/WarehouseData[[#This Row],[daily_demand]]</f>
        <v>4.1409691629955949</v>
      </c>
      <c r="AB270">
        <f>WarehouseData[[#This Row],[stock_level]]*WarehouseData[[#This Row],[unit_price]]</f>
        <v>8326.52</v>
      </c>
      <c r="AC270">
        <f>WarehouseData[[#This Row],[stock_level]]*WarehouseData[[#This Row],[holding_cost_per_unit_day]]*30</f>
        <v>2538.0000000000005</v>
      </c>
      <c r="AD270" t="str">
        <f>IF(WarehouseData[[#This Row],[order_fulfillment_rate]]&gt;=0.9,"Strong",IF(WarehouseData[[#This Row],[order_fulfillment_rate]]&gt;=0.8,"Moderate","Needs Attention"))</f>
        <v>Strong</v>
      </c>
      <c r="AE270" t="str">
        <f>IF(WarehouseData[[#This Row],[picking_time_seconds]]&gt;120,"Slow",IF(WarehouseData[[#This Row],[picking_time_seconds]]&gt;=60,"Average","Fast"))</f>
        <v>Slow</v>
      </c>
    </row>
    <row r="271" spans="1:31" x14ac:dyDescent="0.25">
      <c r="A271" t="s">
        <v>404</v>
      </c>
      <c r="B271" t="s">
        <v>32</v>
      </c>
      <c r="C271">
        <v>345</v>
      </c>
      <c r="D271">
        <v>17</v>
      </c>
      <c r="E271">
        <v>12</v>
      </c>
      <c r="F271">
        <v>7</v>
      </c>
      <c r="G271">
        <v>19.72</v>
      </c>
      <c r="H271">
        <v>3.52</v>
      </c>
      <c r="I271">
        <v>0.66</v>
      </c>
      <c r="J271" t="s">
        <v>340</v>
      </c>
      <c r="K271" t="s">
        <v>46</v>
      </c>
      <c r="L271">
        <v>51</v>
      </c>
      <c r="M271">
        <v>1.35</v>
      </c>
      <c r="N271">
        <v>152.38</v>
      </c>
      <c r="O271">
        <v>0.42</v>
      </c>
      <c r="P271">
        <v>1</v>
      </c>
      <c r="Q271">
        <v>0.75</v>
      </c>
      <c r="R271">
        <v>324</v>
      </c>
      <c r="S271">
        <v>6.27</v>
      </c>
      <c r="T271">
        <v>0.77</v>
      </c>
      <c r="U271" s="1">
        <v>45387</v>
      </c>
      <c r="V271">
        <v>154.09</v>
      </c>
      <c r="W271">
        <v>0.72599999999999998</v>
      </c>
      <c r="X271" t="str">
        <f>IF(WarehouseData[[#This Row],[stock_level]]&lt;=WarehouseData[[#This Row],[reorder_point]],"Low Stock","Sufficient Stock")</f>
        <v>Sufficient Stock</v>
      </c>
      <c r="Y271">
        <f>WarehouseData[[#This Row],[daily_demand]]*WarehouseData[[#This Row],[lead_time_days]]</f>
        <v>138.04</v>
      </c>
      <c r="Z271" t="str">
        <f>IF(WarehouseData[[#This Row],[stock_level]]&lt;=WarehouseData[[#This Row],[Demand During Lead Time]],"At Risk","Safe")</f>
        <v>Safe</v>
      </c>
      <c r="AA271">
        <f>WarehouseData[[#This Row],[stock_level]]/WarehouseData[[#This Row],[daily_demand]]</f>
        <v>17.494929006085194</v>
      </c>
      <c r="AB271">
        <f>WarehouseData[[#This Row],[stock_level]]*WarehouseData[[#This Row],[unit_price]]</f>
        <v>52571.1</v>
      </c>
      <c r="AC271">
        <f>WarehouseData[[#This Row],[stock_level]]*WarehouseData[[#This Row],[holding_cost_per_unit_day]]*30</f>
        <v>4347</v>
      </c>
      <c r="AD271" t="str">
        <f>IF(WarehouseData[[#This Row],[order_fulfillment_rate]]&gt;=0.9,"Strong",IF(WarehouseData[[#This Row],[order_fulfillment_rate]]&gt;=0.8,"Moderate","Needs Attention"))</f>
        <v>Needs Attention</v>
      </c>
      <c r="AE271" t="str">
        <f>IF(WarehouseData[[#This Row],[picking_time_seconds]]&gt;120,"Slow",IF(WarehouseData[[#This Row],[picking_time_seconds]]&gt;=60,"Average","Fast"))</f>
        <v>Fast</v>
      </c>
    </row>
    <row r="272" spans="1:31" x14ac:dyDescent="0.25">
      <c r="A272" t="s">
        <v>405</v>
      </c>
      <c r="B272" t="s">
        <v>40</v>
      </c>
      <c r="C272">
        <v>447</v>
      </c>
      <c r="D272">
        <v>15</v>
      </c>
      <c r="E272">
        <v>14</v>
      </c>
      <c r="F272">
        <v>5</v>
      </c>
      <c r="G272">
        <v>27.64</v>
      </c>
      <c r="H272">
        <v>1.89</v>
      </c>
      <c r="I272">
        <v>0.17</v>
      </c>
      <c r="J272" t="s">
        <v>45</v>
      </c>
      <c r="K272" t="s">
        <v>34</v>
      </c>
      <c r="L272">
        <v>13</v>
      </c>
      <c r="M272">
        <v>3.77</v>
      </c>
      <c r="N272">
        <v>154.91999999999999</v>
      </c>
      <c r="O272">
        <v>0.49</v>
      </c>
      <c r="P272">
        <v>3</v>
      </c>
      <c r="Q272">
        <v>0.96</v>
      </c>
      <c r="R272">
        <v>695</v>
      </c>
      <c r="S272">
        <v>6.83</v>
      </c>
      <c r="T272">
        <v>0.65</v>
      </c>
      <c r="U272" s="1">
        <v>45512</v>
      </c>
      <c r="V272">
        <v>296.54000000000002</v>
      </c>
      <c r="W272">
        <v>0.70399999999999996</v>
      </c>
      <c r="X272" t="str">
        <f>IF(WarehouseData[[#This Row],[stock_level]]&lt;=WarehouseData[[#This Row],[reorder_point]],"Low Stock","Sufficient Stock")</f>
        <v>Sufficient Stock</v>
      </c>
      <c r="Y272">
        <f>WarehouseData[[#This Row],[daily_demand]]*WarehouseData[[#This Row],[lead_time_days]]</f>
        <v>138.19999999999999</v>
      </c>
      <c r="Z272" t="str">
        <f>IF(WarehouseData[[#This Row],[stock_level]]&lt;=WarehouseData[[#This Row],[Demand During Lead Time]],"At Risk","Safe")</f>
        <v>Safe</v>
      </c>
      <c r="AA272">
        <f>WarehouseData[[#This Row],[stock_level]]/WarehouseData[[#This Row],[daily_demand]]</f>
        <v>16.17221418234443</v>
      </c>
      <c r="AB272">
        <f>WarehouseData[[#This Row],[stock_level]]*WarehouseData[[#This Row],[unit_price]]</f>
        <v>69249.239999999991</v>
      </c>
      <c r="AC272">
        <f>WarehouseData[[#This Row],[stock_level]]*WarehouseData[[#This Row],[holding_cost_per_unit_day]]*30</f>
        <v>6570.9</v>
      </c>
      <c r="AD272" t="str">
        <f>IF(WarehouseData[[#This Row],[order_fulfillment_rate]]&gt;=0.9,"Strong",IF(WarehouseData[[#This Row],[order_fulfillment_rate]]&gt;=0.8,"Moderate","Needs Attention"))</f>
        <v>Strong</v>
      </c>
      <c r="AE272" t="str">
        <f>IF(WarehouseData[[#This Row],[picking_time_seconds]]&gt;120,"Slow",IF(WarehouseData[[#This Row],[picking_time_seconds]]&gt;=60,"Average","Fast"))</f>
        <v>Fast</v>
      </c>
    </row>
    <row r="273" spans="1:31" x14ac:dyDescent="0.25">
      <c r="A273" t="s">
        <v>406</v>
      </c>
      <c r="B273" t="s">
        <v>73</v>
      </c>
      <c r="C273">
        <v>168</v>
      </c>
      <c r="D273">
        <v>89</v>
      </c>
      <c r="E273">
        <v>13</v>
      </c>
      <c r="F273">
        <v>2</v>
      </c>
      <c r="G273">
        <v>23.93</v>
      </c>
      <c r="H273">
        <v>9.57</v>
      </c>
      <c r="I273">
        <v>0.55000000000000004</v>
      </c>
      <c r="J273" t="s">
        <v>183</v>
      </c>
      <c r="K273" t="s">
        <v>38</v>
      </c>
      <c r="L273">
        <v>161</v>
      </c>
      <c r="M273">
        <v>2.4900000000000002</v>
      </c>
      <c r="N273">
        <v>180.56</v>
      </c>
      <c r="O273">
        <v>0.77</v>
      </c>
      <c r="P273">
        <v>6</v>
      </c>
      <c r="Q273">
        <v>0.74</v>
      </c>
      <c r="R273">
        <v>996</v>
      </c>
      <c r="S273">
        <v>5.0599999999999996</v>
      </c>
      <c r="T273">
        <v>0.81</v>
      </c>
      <c r="U273" s="1">
        <v>45521</v>
      </c>
      <c r="V273">
        <v>80.36</v>
      </c>
      <c r="W273">
        <v>0.57999999999999996</v>
      </c>
      <c r="X273" t="str">
        <f>IF(WarehouseData[[#This Row],[stock_level]]&lt;=WarehouseData[[#This Row],[reorder_point]],"Low Stock","Sufficient Stock")</f>
        <v>Sufficient Stock</v>
      </c>
      <c r="Y273">
        <f>WarehouseData[[#This Row],[daily_demand]]*WarehouseData[[#This Row],[lead_time_days]]</f>
        <v>47.86</v>
      </c>
      <c r="Z273" t="str">
        <f>IF(WarehouseData[[#This Row],[stock_level]]&lt;=WarehouseData[[#This Row],[Demand During Lead Time]],"At Risk","Safe")</f>
        <v>Safe</v>
      </c>
      <c r="AA273">
        <f>WarehouseData[[#This Row],[stock_level]]/WarehouseData[[#This Row],[daily_demand]]</f>
        <v>7.0204763894692856</v>
      </c>
      <c r="AB273">
        <f>WarehouseData[[#This Row],[stock_level]]*WarehouseData[[#This Row],[unit_price]]</f>
        <v>30334.080000000002</v>
      </c>
      <c r="AC273">
        <f>WarehouseData[[#This Row],[stock_level]]*WarehouseData[[#This Row],[holding_cost_per_unit_day]]*30</f>
        <v>3880.8</v>
      </c>
      <c r="AD273" t="str">
        <f>IF(WarehouseData[[#This Row],[order_fulfillment_rate]]&gt;=0.9,"Strong",IF(WarehouseData[[#This Row],[order_fulfillment_rate]]&gt;=0.8,"Moderate","Needs Attention"))</f>
        <v>Needs Attention</v>
      </c>
      <c r="AE273" t="str">
        <f>IF(WarehouseData[[#This Row],[picking_time_seconds]]&gt;120,"Slow",IF(WarehouseData[[#This Row],[picking_time_seconds]]&gt;=60,"Average","Fast"))</f>
        <v>Slow</v>
      </c>
    </row>
    <row r="274" spans="1:31" x14ac:dyDescent="0.25">
      <c r="A274" t="s">
        <v>407</v>
      </c>
      <c r="B274" t="s">
        <v>73</v>
      </c>
      <c r="C274">
        <v>47</v>
      </c>
      <c r="D274">
        <v>33</v>
      </c>
      <c r="E274">
        <v>5</v>
      </c>
      <c r="F274">
        <v>2</v>
      </c>
      <c r="G274">
        <v>7.24</v>
      </c>
      <c r="H274">
        <v>1.23</v>
      </c>
      <c r="I274">
        <v>0.73</v>
      </c>
      <c r="J274" t="s">
        <v>332</v>
      </c>
      <c r="K274" t="s">
        <v>52</v>
      </c>
      <c r="L274">
        <v>140</v>
      </c>
      <c r="M274">
        <v>4.26</v>
      </c>
      <c r="N274">
        <v>149.9</v>
      </c>
      <c r="O274">
        <v>0.8</v>
      </c>
      <c r="P274">
        <v>8</v>
      </c>
      <c r="Q274">
        <v>0.75</v>
      </c>
      <c r="R274">
        <v>88</v>
      </c>
      <c r="S274">
        <v>13.48</v>
      </c>
      <c r="T274">
        <v>0.67</v>
      </c>
      <c r="U274" s="1">
        <v>45577</v>
      </c>
      <c r="V274">
        <v>50.17</v>
      </c>
      <c r="W274">
        <v>0.624</v>
      </c>
      <c r="X274" t="str">
        <f>IF(WarehouseData[[#This Row],[stock_level]]&lt;=WarehouseData[[#This Row],[reorder_point]],"Low Stock","Sufficient Stock")</f>
        <v>Sufficient Stock</v>
      </c>
      <c r="Y274">
        <f>WarehouseData[[#This Row],[daily_demand]]*WarehouseData[[#This Row],[lead_time_days]]</f>
        <v>14.48</v>
      </c>
      <c r="Z274" t="str">
        <f>IF(WarehouseData[[#This Row],[stock_level]]&lt;=WarehouseData[[#This Row],[Demand During Lead Time]],"At Risk","Safe")</f>
        <v>Safe</v>
      </c>
      <c r="AA274">
        <f>WarehouseData[[#This Row],[stock_level]]/WarehouseData[[#This Row],[daily_demand]]</f>
        <v>6.4917127071823204</v>
      </c>
      <c r="AB274">
        <f>WarehouseData[[#This Row],[stock_level]]*WarehouseData[[#This Row],[unit_price]]</f>
        <v>7045.3</v>
      </c>
      <c r="AC274">
        <f>WarehouseData[[#This Row],[stock_level]]*WarehouseData[[#This Row],[holding_cost_per_unit_day]]*30</f>
        <v>1128</v>
      </c>
      <c r="AD274" t="str">
        <f>IF(WarehouseData[[#This Row],[order_fulfillment_rate]]&gt;=0.9,"Strong",IF(WarehouseData[[#This Row],[order_fulfillment_rate]]&gt;=0.8,"Moderate","Needs Attention"))</f>
        <v>Needs Attention</v>
      </c>
      <c r="AE274" t="str">
        <f>IF(WarehouseData[[#This Row],[picking_time_seconds]]&gt;120,"Slow",IF(WarehouseData[[#This Row],[picking_time_seconds]]&gt;=60,"Average","Fast"))</f>
        <v>Slow</v>
      </c>
    </row>
    <row r="275" spans="1:31" x14ac:dyDescent="0.25">
      <c r="A275" t="s">
        <v>408</v>
      </c>
      <c r="B275" t="s">
        <v>32</v>
      </c>
      <c r="C275">
        <v>329</v>
      </c>
      <c r="D275">
        <v>57</v>
      </c>
      <c r="E275">
        <v>6</v>
      </c>
      <c r="F275">
        <v>5</v>
      </c>
      <c r="G275">
        <v>32.83</v>
      </c>
      <c r="H275">
        <v>1.41</v>
      </c>
      <c r="I275">
        <v>0.63</v>
      </c>
      <c r="J275" t="s">
        <v>75</v>
      </c>
      <c r="K275" t="s">
        <v>52</v>
      </c>
      <c r="L275">
        <v>123</v>
      </c>
      <c r="M275">
        <v>4.1399999999999997</v>
      </c>
      <c r="N275">
        <v>74.52</v>
      </c>
      <c r="O275">
        <v>1.52</v>
      </c>
      <c r="P275">
        <v>2</v>
      </c>
      <c r="Q275">
        <v>0.84</v>
      </c>
      <c r="R275">
        <v>242</v>
      </c>
      <c r="S275">
        <v>5.82</v>
      </c>
      <c r="T275">
        <v>0.62</v>
      </c>
      <c r="U275" s="1">
        <v>45576</v>
      </c>
      <c r="V275">
        <v>118.34</v>
      </c>
      <c r="W275">
        <v>0.57799999999999996</v>
      </c>
      <c r="X275" t="str">
        <f>IF(WarehouseData[[#This Row],[stock_level]]&lt;=WarehouseData[[#This Row],[reorder_point]],"Low Stock","Sufficient Stock")</f>
        <v>Sufficient Stock</v>
      </c>
      <c r="Y275">
        <f>WarehouseData[[#This Row],[daily_demand]]*WarehouseData[[#This Row],[lead_time_days]]</f>
        <v>164.14999999999998</v>
      </c>
      <c r="Z275" t="str">
        <f>IF(WarehouseData[[#This Row],[stock_level]]&lt;=WarehouseData[[#This Row],[Demand During Lead Time]],"At Risk","Safe")</f>
        <v>Safe</v>
      </c>
      <c r="AA275">
        <f>WarehouseData[[#This Row],[stock_level]]/WarehouseData[[#This Row],[daily_demand]]</f>
        <v>10.021321961620469</v>
      </c>
      <c r="AB275">
        <f>WarehouseData[[#This Row],[stock_level]]*WarehouseData[[#This Row],[unit_price]]</f>
        <v>24517.079999999998</v>
      </c>
      <c r="AC275">
        <f>WarehouseData[[#This Row],[stock_level]]*WarehouseData[[#This Row],[holding_cost_per_unit_day]]*30</f>
        <v>15002.4</v>
      </c>
      <c r="AD275" t="str">
        <f>IF(WarehouseData[[#This Row],[order_fulfillment_rate]]&gt;=0.9,"Strong",IF(WarehouseData[[#This Row],[order_fulfillment_rate]]&gt;=0.8,"Moderate","Needs Attention"))</f>
        <v>Moderate</v>
      </c>
      <c r="AE275" t="str">
        <f>IF(WarehouseData[[#This Row],[picking_time_seconds]]&gt;120,"Slow",IF(WarehouseData[[#This Row],[picking_time_seconds]]&gt;=60,"Average","Fast"))</f>
        <v>Slow</v>
      </c>
    </row>
    <row r="276" spans="1:31" x14ac:dyDescent="0.25">
      <c r="A276" t="s">
        <v>409</v>
      </c>
      <c r="B276" t="s">
        <v>40</v>
      </c>
      <c r="C276">
        <v>457</v>
      </c>
      <c r="D276">
        <v>54</v>
      </c>
      <c r="E276">
        <v>12</v>
      </c>
      <c r="F276">
        <v>5</v>
      </c>
      <c r="G276">
        <v>4.58</v>
      </c>
      <c r="H276">
        <v>5.2</v>
      </c>
      <c r="I276">
        <v>0.5</v>
      </c>
      <c r="J276" t="s">
        <v>62</v>
      </c>
      <c r="K276" t="s">
        <v>46</v>
      </c>
      <c r="L276">
        <v>138</v>
      </c>
      <c r="M276">
        <v>4.82</v>
      </c>
      <c r="N276">
        <v>32.950000000000003</v>
      </c>
      <c r="O276">
        <v>1.24</v>
      </c>
      <c r="P276">
        <v>2</v>
      </c>
      <c r="Q276">
        <v>0.98</v>
      </c>
      <c r="R276">
        <v>376</v>
      </c>
      <c r="S276">
        <v>3.44</v>
      </c>
      <c r="T276">
        <v>0.31</v>
      </c>
      <c r="U276" s="1">
        <v>45554</v>
      </c>
      <c r="V276">
        <v>276.41000000000003</v>
      </c>
      <c r="W276">
        <v>0.54</v>
      </c>
      <c r="X276" t="str">
        <f>IF(WarehouseData[[#This Row],[stock_level]]&lt;=WarehouseData[[#This Row],[reorder_point]],"Low Stock","Sufficient Stock")</f>
        <v>Sufficient Stock</v>
      </c>
      <c r="Y276">
        <f>WarehouseData[[#This Row],[daily_demand]]*WarehouseData[[#This Row],[lead_time_days]]</f>
        <v>22.9</v>
      </c>
      <c r="Z276" t="str">
        <f>IF(WarehouseData[[#This Row],[stock_level]]&lt;=WarehouseData[[#This Row],[Demand During Lead Time]],"At Risk","Safe")</f>
        <v>Safe</v>
      </c>
      <c r="AA276">
        <f>WarehouseData[[#This Row],[stock_level]]/WarehouseData[[#This Row],[daily_demand]]</f>
        <v>99.78165938864629</v>
      </c>
      <c r="AB276">
        <f>WarehouseData[[#This Row],[stock_level]]*WarehouseData[[#This Row],[unit_price]]</f>
        <v>15058.150000000001</v>
      </c>
      <c r="AC276">
        <f>WarehouseData[[#This Row],[stock_level]]*WarehouseData[[#This Row],[holding_cost_per_unit_day]]*30</f>
        <v>17000.399999999998</v>
      </c>
      <c r="AD276" t="str">
        <f>IF(WarehouseData[[#This Row],[order_fulfillment_rate]]&gt;=0.9,"Strong",IF(WarehouseData[[#This Row],[order_fulfillment_rate]]&gt;=0.8,"Moderate","Needs Attention"))</f>
        <v>Strong</v>
      </c>
      <c r="AE276" t="str">
        <f>IF(WarehouseData[[#This Row],[picking_time_seconds]]&gt;120,"Slow",IF(WarehouseData[[#This Row],[picking_time_seconds]]&gt;=60,"Average","Fast"))</f>
        <v>Slow</v>
      </c>
    </row>
    <row r="277" spans="1:31" x14ac:dyDescent="0.25">
      <c r="A277" t="s">
        <v>410</v>
      </c>
      <c r="B277" t="s">
        <v>40</v>
      </c>
      <c r="C277">
        <v>84</v>
      </c>
      <c r="D277">
        <v>22</v>
      </c>
      <c r="E277">
        <v>13</v>
      </c>
      <c r="F277">
        <v>6</v>
      </c>
      <c r="G277">
        <v>19.53</v>
      </c>
      <c r="H277">
        <v>8.2799999999999994</v>
      </c>
      <c r="I277">
        <v>0.3</v>
      </c>
      <c r="J277" t="s">
        <v>353</v>
      </c>
      <c r="K277" t="s">
        <v>52</v>
      </c>
      <c r="L277">
        <v>150</v>
      </c>
      <c r="M277">
        <v>1.63</v>
      </c>
      <c r="N277">
        <v>90.16</v>
      </c>
      <c r="O277">
        <v>1.1499999999999999</v>
      </c>
      <c r="P277">
        <v>3</v>
      </c>
      <c r="Q277">
        <v>0.8</v>
      </c>
      <c r="R277">
        <v>532</v>
      </c>
      <c r="S277">
        <v>8.01</v>
      </c>
      <c r="T277">
        <v>0.57999999999999996</v>
      </c>
      <c r="U277" s="1">
        <v>45500</v>
      </c>
      <c r="V277">
        <v>257.17</v>
      </c>
      <c r="W277">
        <v>0.60799999999999998</v>
      </c>
      <c r="X277" t="str">
        <f>IF(WarehouseData[[#This Row],[stock_level]]&lt;=WarehouseData[[#This Row],[reorder_point]],"Low Stock","Sufficient Stock")</f>
        <v>Sufficient Stock</v>
      </c>
      <c r="Y277">
        <f>WarehouseData[[#This Row],[daily_demand]]*WarehouseData[[#This Row],[lead_time_days]]</f>
        <v>117.18</v>
      </c>
      <c r="Z277" t="str">
        <f>IF(WarehouseData[[#This Row],[stock_level]]&lt;=WarehouseData[[#This Row],[Demand During Lead Time]],"At Risk","Safe")</f>
        <v>At Risk</v>
      </c>
      <c r="AA277">
        <f>WarehouseData[[#This Row],[stock_level]]/WarehouseData[[#This Row],[daily_demand]]</f>
        <v>4.301075268817204</v>
      </c>
      <c r="AB277">
        <f>WarehouseData[[#This Row],[stock_level]]*WarehouseData[[#This Row],[unit_price]]</f>
        <v>7573.44</v>
      </c>
      <c r="AC277">
        <f>WarehouseData[[#This Row],[stock_level]]*WarehouseData[[#This Row],[holding_cost_per_unit_day]]*30</f>
        <v>2898</v>
      </c>
      <c r="AD277" t="str">
        <f>IF(WarehouseData[[#This Row],[order_fulfillment_rate]]&gt;=0.9,"Strong",IF(WarehouseData[[#This Row],[order_fulfillment_rate]]&gt;=0.8,"Moderate","Needs Attention"))</f>
        <v>Moderate</v>
      </c>
      <c r="AE277" t="str">
        <f>IF(WarehouseData[[#This Row],[picking_time_seconds]]&gt;120,"Slow",IF(WarehouseData[[#This Row],[picking_time_seconds]]&gt;=60,"Average","Fast"))</f>
        <v>Slow</v>
      </c>
    </row>
    <row r="278" spans="1:31" x14ac:dyDescent="0.25">
      <c r="A278" t="s">
        <v>411</v>
      </c>
      <c r="B278" t="s">
        <v>36</v>
      </c>
      <c r="C278">
        <v>375</v>
      </c>
      <c r="D278">
        <v>78</v>
      </c>
      <c r="E278">
        <v>12</v>
      </c>
      <c r="F278">
        <v>8</v>
      </c>
      <c r="G278">
        <v>35.79</v>
      </c>
      <c r="H278">
        <v>7.86</v>
      </c>
      <c r="I278">
        <v>0.38</v>
      </c>
      <c r="J278" t="s">
        <v>289</v>
      </c>
      <c r="K278" t="s">
        <v>34</v>
      </c>
      <c r="L278">
        <v>63</v>
      </c>
      <c r="M278">
        <v>1.53</v>
      </c>
      <c r="N278">
        <v>26.6</v>
      </c>
      <c r="O278">
        <v>1.24</v>
      </c>
      <c r="P278">
        <v>6</v>
      </c>
      <c r="Q278">
        <v>0.9</v>
      </c>
      <c r="R278">
        <v>74</v>
      </c>
      <c r="S278">
        <v>11.94</v>
      </c>
      <c r="T278">
        <v>0.63</v>
      </c>
      <c r="U278" s="1">
        <v>45344</v>
      </c>
      <c r="V278">
        <v>81.73</v>
      </c>
      <c r="W278">
        <v>0.621</v>
      </c>
      <c r="X278" t="str">
        <f>IF(WarehouseData[[#This Row],[stock_level]]&lt;=WarehouseData[[#This Row],[reorder_point]],"Low Stock","Sufficient Stock")</f>
        <v>Sufficient Stock</v>
      </c>
      <c r="Y278">
        <f>WarehouseData[[#This Row],[daily_demand]]*WarehouseData[[#This Row],[lead_time_days]]</f>
        <v>286.32</v>
      </c>
      <c r="Z278" t="str">
        <f>IF(WarehouseData[[#This Row],[stock_level]]&lt;=WarehouseData[[#This Row],[Demand During Lead Time]],"At Risk","Safe")</f>
        <v>Safe</v>
      </c>
      <c r="AA278">
        <f>WarehouseData[[#This Row],[stock_level]]/WarehouseData[[#This Row],[daily_demand]]</f>
        <v>10.477787091366304</v>
      </c>
      <c r="AB278">
        <f>WarehouseData[[#This Row],[stock_level]]*WarehouseData[[#This Row],[unit_price]]</f>
        <v>9975</v>
      </c>
      <c r="AC278">
        <f>WarehouseData[[#This Row],[stock_level]]*WarehouseData[[#This Row],[holding_cost_per_unit_day]]*30</f>
        <v>13950</v>
      </c>
      <c r="AD278" t="str">
        <f>IF(WarehouseData[[#This Row],[order_fulfillment_rate]]&gt;=0.9,"Strong",IF(WarehouseData[[#This Row],[order_fulfillment_rate]]&gt;=0.8,"Moderate","Needs Attention"))</f>
        <v>Strong</v>
      </c>
      <c r="AE278" t="str">
        <f>IF(WarehouseData[[#This Row],[picking_time_seconds]]&gt;120,"Slow",IF(WarehouseData[[#This Row],[picking_time_seconds]]&gt;=60,"Average","Fast"))</f>
        <v>Average</v>
      </c>
    </row>
    <row r="279" spans="1:31" x14ac:dyDescent="0.25">
      <c r="A279" t="s">
        <v>412</v>
      </c>
      <c r="B279" t="s">
        <v>40</v>
      </c>
      <c r="C279">
        <v>40</v>
      </c>
      <c r="D279">
        <v>34</v>
      </c>
      <c r="E279">
        <v>14</v>
      </c>
      <c r="F279">
        <v>5</v>
      </c>
      <c r="G279">
        <v>1.98</v>
      </c>
      <c r="H279">
        <v>9.41</v>
      </c>
      <c r="I279">
        <v>0.73</v>
      </c>
      <c r="J279" t="s">
        <v>154</v>
      </c>
      <c r="K279" t="s">
        <v>46</v>
      </c>
      <c r="L279">
        <v>91</v>
      </c>
      <c r="M279">
        <v>0.64</v>
      </c>
      <c r="N279">
        <v>32</v>
      </c>
      <c r="O279">
        <v>1.49</v>
      </c>
      <c r="P279">
        <v>5</v>
      </c>
      <c r="Q279">
        <v>0.88</v>
      </c>
      <c r="R279">
        <v>151</v>
      </c>
      <c r="S279">
        <v>6.2</v>
      </c>
      <c r="T279">
        <v>0.7</v>
      </c>
      <c r="U279" s="1">
        <v>45305</v>
      </c>
      <c r="V279">
        <v>183.91</v>
      </c>
      <c r="W279">
        <v>0.55000000000000004</v>
      </c>
      <c r="X279" t="str">
        <f>IF(WarehouseData[[#This Row],[stock_level]]&lt;=WarehouseData[[#This Row],[reorder_point]],"Low Stock","Sufficient Stock")</f>
        <v>Sufficient Stock</v>
      </c>
      <c r="Y279">
        <f>WarehouseData[[#This Row],[daily_demand]]*WarehouseData[[#This Row],[lead_time_days]]</f>
        <v>9.9</v>
      </c>
      <c r="Z279" t="str">
        <f>IF(WarehouseData[[#This Row],[stock_level]]&lt;=WarehouseData[[#This Row],[Demand During Lead Time]],"At Risk","Safe")</f>
        <v>Safe</v>
      </c>
      <c r="AA279">
        <f>WarehouseData[[#This Row],[stock_level]]/WarehouseData[[#This Row],[daily_demand]]</f>
        <v>20.202020202020201</v>
      </c>
      <c r="AB279">
        <f>WarehouseData[[#This Row],[stock_level]]*WarehouseData[[#This Row],[unit_price]]</f>
        <v>1280</v>
      </c>
      <c r="AC279">
        <f>WarehouseData[[#This Row],[stock_level]]*WarehouseData[[#This Row],[holding_cost_per_unit_day]]*30</f>
        <v>1788</v>
      </c>
      <c r="AD279" t="str">
        <f>IF(WarehouseData[[#This Row],[order_fulfillment_rate]]&gt;=0.9,"Strong",IF(WarehouseData[[#This Row],[order_fulfillment_rate]]&gt;=0.8,"Moderate","Needs Attention"))</f>
        <v>Moderate</v>
      </c>
      <c r="AE279" t="str">
        <f>IF(WarehouseData[[#This Row],[picking_time_seconds]]&gt;120,"Slow",IF(WarehouseData[[#This Row],[picking_time_seconds]]&gt;=60,"Average","Fast"))</f>
        <v>Average</v>
      </c>
    </row>
    <row r="280" spans="1:31" x14ac:dyDescent="0.25">
      <c r="A280" t="s">
        <v>413</v>
      </c>
      <c r="B280" t="s">
        <v>40</v>
      </c>
      <c r="C280">
        <v>271</v>
      </c>
      <c r="D280">
        <v>29</v>
      </c>
      <c r="E280">
        <v>12</v>
      </c>
      <c r="F280">
        <v>8</v>
      </c>
      <c r="G280">
        <v>28.93</v>
      </c>
      <c r="H280">
        <v>1.85</v>
      </c>
      <c r="I280">
        <v>0.3</v>
      </c>
      <c r="J280" t="s">
        <v>154</v>
      </c>
      <c r="K280" t="s">
        <v>34</v>
      </c>
      <c r="L280">
        <v>49</v>
      </c>
      <c r="M280">
        <v>2.35</v>
      </c>
      <c r="N280">
        <v>190.53</v>
      </c>
      <c r="O280">
        <v>1.8</v>
      </c>
      <c r="P280">
        <v>4</v>
      </c>
      <c r="Q280">
        <v>0.74</v>
      </c>
      <c r="R280">
        <v>712</v>
      </c>
      <c r="S280">
        <v>10.130000000000001</v>
      </c>
      <c r="T280">
        <v>0.56000000000000005</v>
      </c>
      <c r="U280" s="1">
        <v>45337</v>
      </c>
      <c r="V280">
        <v>180.79</v>
      </c>
      <c r="W280">
        <v>0.53500000000000003</v>
      </c>
      <c r="X280" t="str">
        <f>IF(WarehouseData[[#This Row],[stock_level]]&lt;=WarehouseData[[#This Row],[reorder_point]],"Low Stock","Sufficient Stock")</f>
        <v>Sufficient Stock</v>
      </c>
      <c r="Y280">
        <f>WarehouseData[[#This Row],[daily_demand]]*WarehouseData[[#This Row],[lead_time_days]]</f>
        <v>231.44</v>
      </c>
      <c r="Z280" t="str">
        <f>IF(WarehouseData[[#This Row],[stock_level]]&lt;=WarehouseData[[#This Row],[Demand During Lead Time]],"At Risk","Safe")</f>
        <v>Safe</v>
      </c>
      <c r="AA280">
        <f>WarehouseData[[#This Row],[stock_level]]/WarehouseData[[#This Row],[daily_demand]]</f>
        <v>9.3674386450051852</v>
      </c>
      <c r="AB280">
        <f>WarehouseData[[#This Row],[stock_level]]*WarehouseData[[#This Row],[unit_price]]</f>
        <v>51633.63</v>
      </c>
      <c r="AC280">
        <f>WarehouseData[[#This Row],[stock_level]]*WarehouseData[[#This Row],[holding_cost_per_unit_day]]*30</f>
        <v>14634</v>
      </c>
      <c r="AD280" t="str">
        <f>IF(WarehouseData[[#This Row],[order_fulfillment_rate]]&gt;=0.9,"Strong",IF(WarehouseData[[#This Row],[order_fulfillment_rate]]&gt;=0.8,"Moderate","Needs Attention"))</f>
        <v>Needs Attention</v>
      </c>
      <c r="AE280" t="str">
        <f>IF(WarehouseData[[#This Row],[picking_time_seconds]]&gt;120,"Slow",IF(WarehouseData[[#This Row],[picking_time_seconds]]&gt;=60,"Average","Fast"))</f>
        <v>Fast</v>
      </c>
    </row>
    <row r="281" spans="1:31" x14ac:dyDescent="0.25">
      <c r="A281" t="s">
        <v>414</v>
      </c>
      <c r="B281" t="s">
        <v>40</v>
      </c>
      <c r="C281">
        <v>254</v>
      </c>
      <c r="D281">
        <v>91</v>
      </c>
      <c r="E281">
        <v>12</v>
      </c>
      <c r="F281">
        <v>9</v>
      </c>
      <c r="G281">
        <v>17.39</v>
      </c>
      <c r="H281">
        <v>4.07</v>
      </c>
      <c r="I281">
        <v>0.66</v>
      </c>
      <c r="J281" t="s">
        <v>357</v>
      </c>
      <c r="K281" t="s">
        <v>34</v>
      </c>
      <c r="L281">
        <v>136</v>
      </c>
      <c r="M281">
        <v>2.57</v>
      </c>
      <c r="N281">
        <v>138.41999999999999</v>
      </c>
      <c r="O281">
        <v>0.89</v>
      </c>
      <c r="P281">
        <v>3</v>
      </c>
      <c r="Q281">
        <v>0.77</v>
      </c>
      <c r="R281">
        <v>266</v>
      </c>
      <c r="S281">
        <v>5.26</v>
      </c>
      <c r="T281">
        <v>0.32</v>
      </c>
      <c r="U281" s="1">
        <v>45473</v>
      </c>
      <c r="V281">
        <v>95.09</v>
      </c>
      <c r="W281">
        <v>0.53900000000000003</v>
      </c>
      <c r="X281" t="str">
        <f>IF(WarehouseData[[#This Row],[stock_level]]&lt;=WarehouseData[[#This Row],[reorder_point]],"Low Stock","Sufficient Stock")</f>
        <v>Sufficient Stock</v>
      </c>
      <c r="Y281">
        <f>WarehouseData[[#This Row],[daily_demand]]*WarehouseData[[#This Row],[lead_time_days]]</f>
        <v>156.51</v>
      </c>
      <c r="Z281" t="str">
        <f>IF(WarehouseData[[#This Row],[stock_level]]&lt;=WarehouseData[[#This Row],[Demand During Lead Time]],"At Risk","Safe")</f>
        <v>Safe</v>
      </c>
      <c r="AA281">
        <f>WarehouseData[[#This Row],[stock_level]]/WarehouseData[[#This Row],[daily_demand]]</f>
        <v>14.606095457159286</v>
      </c>
      <c r="AB281">
        <f>WarehouseData[[#This Row],[stock_level]]*WarehouseData[[#This Row],[unit_price]]</f>
        <v>35158.68</v>
      </c>
      <c r="AC281">
        <f>WarehouseData[[#This Row],[stock_level]]*WarehouseData[[#This Row],[holding_cost_per_unit_day]]*30</f>
        <v>6781.8</v>
      </c>
      <c r="AD281" t="str">
        <f>IF(WarehouseData[[#This Row],[order_fulfillment_rate]]&gt;=0.9,"Strong",IF(WarehouseData[[#This Row],[order_fulfillment_rate]]&gt;=0.8,"Moderate","Needs Attention"))</f>
        <v>Needs Attention</v>
      </c>
      <c r="AE281" t="str">
        <f>IF(WarehouseData[[#This Row],[picking_time_seconds]]&gt;120,"Slow",IF(WarehouseData[[#This Row],[picking_time_seconds]]&gt;=60,"Average","Fast"))</f>
        <v>Slow</v>
      </c>
    </row>
    <row r="282" spans="1:31" x14ac:dyDescent="0.25">
      <c r="A282" t="s">
        <v>415</v>
      </c>
      <c r="B282" t="s">
        <v>48</v>
      </c>
      <c r="C282">
        <v>246</v>
      </c>
      <c r="D282">
        <v>91</v>
      </c>
      <c r="E282">
        <v>12</v>
      </c>
      <c r="F282">
        <v>9</v>
      </c>
      <c r="G282">
        <v>1.43</v>
      </c>
      <c r="H282">
        <v>3.18</v>
      </c>
      <c r="I282">
        <v>0.63</v>
      </c>
      <c r="J282" t="s">
        <v>49</v>
      </c>
      <c r="K282" t="s">
        <v>38</v>
      </c>
      <c r="L282">
        <v>148</v>
      </c>
      <c r="M282">
        <v>4.84</v>
      </c>
      <c r="N282">
        <v>171.81</v>
      </c>
      <c r="O282">
        <v>1.63</v>
      </c>
      <c r="P282">
        <v>7</v>
      </c>
      <c r="Q282">
        <v>0.98</v>
      </c>
      <c r="R282">
        <v>791</v>
      </c>
      <c r="S282">
        <v>11.08</v>
      </c>
      <c r="T282">
        <v>0.32</v>
      </c>
      <c r="U282" s="1">
        <v>45575</v>
      </c>
      <c r="V282">
        <v>78.260000000000005</v>
      </c>
      <c r="W282">
        <v>0.505</v>
      </c>
      <c r="X282" t="str">
        <f>IF(WarehouseData[[#This Row],[stock_level]]&lt;=WarehouseData[[#This Row],[reorder_point]],"Low Stock","Sufficient Stock")</f>
        <v>Sufficient Stock</v>
      </c>
      <c r="Y282">
        <f>WarehouseData[[#This Row],[daily_demand]]*WarehouseData[[#This Row],[lead_time_days]]</f>
        <v>12.87</v>
      </c>
      <c r="Z282" t="str">
        <f>IF(WarehouseData[[#This Row],[stock_level]]&lt;=WarehouseData[[#This Row],[Demand During Lead Time]],"At Risk","Safe")</f>
        <v>Safe</v>
      </c>
      <c r="AA282">
        <f>WarehouseData[[#This Row],[stock_level]]/WarehouseData[[#This Row],[daily_demand]]</f>
        <v>172.02797202797203</v>
      </c>
      <c r="AB282">
        <f>WarehouseData[[#This Row],[stock_level]]*WarehouseData[[#This Row],[unit_price]]</f>
        <v>42265.26</v>
      </c>
      <c r="AC282">
        <f>WarehouseData[[#This Row],[stock_level]]*WarehouseData[[#This Row],[holding_cost_per_unit_day]]*30</f>
        <v>12029.4</v>
      </c>
      <c r="AD282" t="str">
        <f>IF(WarehouseData[[#This Row],[order_fulfillment_rate]]&gt;=0.9,"Strong",IF(WarehouseData[[#This Row],[order_fulfillment_rate]]&gt;=0.8,"Moderate","Needs Attention"))</f>
        <v>Strong</v>
      </c>
      <c r="AE282" t="str">
        <f>IF(WarehouseData[[#This Row],[picking_time_seconds]]&gt;120,"Slow",IF(WarehouseData[[#This Row],[picking_time_seconds]]&gt;=60,"Average","Fast"))</f>
        <v>Slow</v>
      </c>
    </row>
    <row r="283" spans="1:31" x14ac:dyDescent="0.25">
      <c r="A283" t="s">
        <v>416</v>
      </c>
      <c r="B283" t="s">
        <v>36</v>
      </c>
      <c r="C283">
        <v>32</v>
      </c>
      <c r="D283">
        <v>75</v>
      </c>
      <c r="E283">
        <v>5</v>
      </c>
      <c r="F283">
        <v>4</v>
      </c>
      <c r="G283">
        <v>10.33</v>
      </c>
      <c r="H283">
        <v>8.68</v>
      </c>
      <c r="I283">
        <v>0.97</v>
      </c>
      <c r="J283" t="s">
        <v>357</v>
      </c>
      <c r="K283" t="s">
        <v>38</v>
      </c>
      <c r="L283">
        <v>51</v>
      </c>
      <c r="M283">
        <v>4.24</v>
      </c>
      <c r="N283">
        <v>132.15</v>
      </c>
      <c r="O283">
        <v>1.04</v>
      </c>
      <c r="P283">
        <v>3</v>
      </c>
      <c r="Q283">
        <v>0.76</v>
      </c>
      <c r="R283">
        <v>316</v>
      </c>
      <c r="S283">
        <v>10.36</v>
      </c>
      <c r="T283">
        <v>0.78</v>
      </c>
      <c r="U283" s="1">
        <v>45339</v>
      </c>
      <c r="V283">
        <v>123.11</v>
      </c>
      <c r="W283">
        <v>0.68200000000000005</v>
      </c>
      <c r="X283" t="str">
        <f>IF(WarehouseData[[#This Row],[stock_level]]&lt;=WarehouseData[[#This Row],[reorder_point]],"Low Stock","Sufficient Stock")</f>
        <v>Low Stock</v>
      </c>
      <c r="Y283">
        <f>WarehouseData[[#This Row],[daily_demand]]*WarehouseData[[#This Row],[lead_time_days]]</f>
        <v>41.32</v>
      </c>
      <c r="Z283" t="str">
        <f>IF(WarehouseData[[#This Row],[stock_level]]&lt;=WarehouseData[[#This Row],[Demand During Lead Time]],"At Risk","Safe")</f>
        <v>At Risk</v>
      </c>
      <c r="AA283">
        <f>WarehouseData[[#This Row],[stock_level]]/WarehouseData[[#This Row],[daily_demand]]</f>
        <v>3.0977734753146176</v>
      </c>
      <c r="AB283">
        <f>WarehouseData[[#This Row],[stock_level]]*WarehouseData[[#This Row],[unit_price]]</f>
        <v>4228.8</v>
      </c>
      <c r="AC283">
        <f>WarehouseData[[#This Row],[stock_level]]*WarehouseData[[#This Row],[holding_cost_per_unit_day]]*30</f>
        <v>998.40000000000009</v>
      </c>
      <c r="AD283" t="str">
        <f>IF(WarehouseData[[#This Row],[order_fulfillment_rate]]&gt;=0.9,"Strong",IF(WarehouseData[[#This Row],[order_fulfillment_rate]]&gt;=0.8,"Moderate","Needs Attention"))</f>
        <v>Needs Attention</v>
      </c>
      <c r="AE283" t="str">
        <f>IF(WarehouseData[[#This Row],[picking_time_seconds]]&gt;120,"Slow",IF(WarehouseData[[#This Row],[picking_time_seconds]]&gt;=60,"Average","Fast"))</f>
        <v>Fast</v>
      </c>
    </row>
    <row r="284" spans="1:31" x14ac:dyDescent="0.25">
      <c r="A284" t="s">
        <v>417</v>
      </c>
      <c r="B284" t="s">
        <v>73</v>
      </c>
      <c r="C284">
        <v>332</v>
      </c>
      <c r="D284">
        <v>83</v>
      </c>
      <c r="E284">
        <v>3</v>
      </c>
      <c r="F284">
        <v>8</v>
      </c>
      <c r="G284">
        <v>47.11</v>
      </c>
      <c r="H284">
        <v>5.14</v>
      </c>
      <c r="I284">
        <v>0.15</v>
      </c>
      <c r="J284" t="s">
        <v>418</v>
      </c>
      <c r="K284" t="s">
        <v>38</v>
      </c>
      <c r="L284">
        <v>102</v>
      </c>
      <c r="M284">
        <v>1.25</v>
      </c>
      <c r="N284">
        <v>89.52</v>
      </c>
      <c r="O284">
        <v>1.47</v>
      </c>
      <c r="P284">
        <v>2</v>
      </c>
      <c r="Q284">
        <v>0.91</v>
      </c>
      <c r="R284">
        <v>211</v>
      </c>
      <c r="S284">
        <v>10.53</v>
      </c>
      <c r="T284">
        <v>0.73</v>
      </c>
      <c r="U284" s="1">
        <v>45597</v>
      </c>
      <c r="V284">
        <v>238.7</v>
      </c>
      <c r="W284">
        <v>0.68100000000000005</v>
      </c>
      <c r="X284" t="str">
        <f>IF(WarehouseData[[#This Row],[stock_level]]&lt;=WarehouseData[[#This Row],[reorder_point]],"Low Stock","Sufficient Stock")</f>
        <v>Sufficient Stock</v>
      </c>
      <c r="Y284">
        <f>WarehouseData[[#This Row],[daily_demand]]*WarehouseData[[#This Row],[lead_time_days]]</f>
        <v>376.88</v>
      </c>
      <c r="Z284" t="str">
        <f>IF(WarehouseData[[#This Row],[stock_level]]&lt;=WarehouseData[[#This Row],[Demand During Lead Time]],"At Risk","Safe")</f>
        <v>At Risk</v>
      </c>
      <c r="AA284">
        <f>WarehouseData[[#This Row],[stock_level]]/WarehouseData[[#This Row],[daily_demand]]</f>
        <v>7.0473360220759922</v>
      </c>
      <c r="AB284">
        <f>WarehouseData[[#This Row],[stock_level]]*WarehouseData[[#This Row],[unit_price]]</f>
        <v>29720.639999999999</v>
      </c>
      <c r="AC284">
        <f>WarehouseData[[#This Row],[stock_level]]*WarehouseData[[#This Row],[holding_cost_per_unit_day]]*30</f>
        <v>14641.199999999999</v>
      </c>
      <c r="AD284" t="str">
        <f>IF(WarehouseData[[#This Row],[order_fulfillment_rate]]&gt;=0.9,"Strong",IF(WarehouseData[[#This Row],[order_fulfillment_rate]]&gt;=0.8,"Moderate","Needs Attention"))</f>
        <v>Strong</v>
      </c>
      <c r="AE284" t="str">
        <f>IF(WarehouseData[[#This Row],[picking_time_seconds]]&gt;120,"Slow",IF(WarehouseData[[#This Row],[picking_time_seconds]]&gt;=60,"Average","Fast"))</f>
        <v>Average</v>
      </c>
    </row>
    <row r="285" spans="1:31" x14ac:dyDescent="0.25">
      <c r="A285" t="s">
        <v>419</v>
      </c>
      <c r="B285" t="s">
        <v>32</v>
      </c>
      <c r="C285">
        <v>68</v>
      </c>
      <c r="D285">
        <v>54</v>
      </c>
      <c r="E285">
        <v>10</v>
      </c>
      <c r="F285">
        <v>6</v>
      </c>
      <c r="G285">
        <v>26.54</v>
      </c>
      <c r="H285">
        <v>0.76</v>
      </c>
      <c r="I285">
        <v>0.2</v>
      </c>
      <c r="J285" t="s">
        <v>156</v>
      </c>
      <c r="K285" t="s">
        <v>52</v>
      </c>
      <c r="L285">
        <v>13</v>
      </c>
      <c r="M285">
        <v>4.09</v>
      </c>
      <c r="N285">
        <v>14.78</v>
      </c>
      <c r="O285">
        <v>1.76</v>
      </c>
      <c r="P285">
        <v>6</v>
      </c>
      <c r="Q285">
        <v>0.99</v>
      </c>
      <c r="R285">
        <v>336</v>
      </c>
      <c r="S285">
        <v>10.039999999999999</v>
      </c>
      <c r="T285">
        <v>0.41</v>
      </c>
      <c r="U285" s="1">
        <v>45598</v>
      </c>
      <c r="V285">
        <v>65.599999999999994</v>
      </c>
      <c r="W285">
        <v>0.51800000000000002</v>
      </c>
      <c r="X285" t="str">
        <f>IF(WarehouseData[[#This Row],[stock_level]]&lt;=WarehouseData[[#This Row],[reorder_point]],"Low Stock","Sufficient Stock")</f>
        <v>Sufficient Stock</v>
      </c>
      <c r="Y285">
        <f>WarehouseData[[#This Row],[daily_demand]]*WarehouseData[[#This Row],[lead_time_days]]</f>
        <v>159.24</v>
      </c>
      <c r="Z285" t="str">
        <f>IF(WarehouseData[[#This Row],[stock_level]]&lt;=WarehouseData[[#This Row],[Demand During Lead Time]],"At Risk","Safe")</f>
        <v>At Risk</v>
      </c>
      <c r="AA285">
        <f>WarehouseData[[#This Row],[stock_level]]/WarehouseData[[#This Row],[daily_demand]]</f>
        <v>2.562170308967596</v>
      </c>
      <c r="AB285">
        <f>WarehouseData[[#This Row],[stock_level]]*WarehouseData[[#This Row],[unit_price]]</f>
        <v>1005.04</v>
      </c>
      <c r="AC285">
        <f>WarehouseData[[#This Row],[stock_level]]*WarehouseData[[#This Row],[holding_cost_per_unit_day]]*30</f>
        <v>3590.4</v>
      </c>
      <c r="AD285" t="str">
        <f>IF(WarehouseData[[#This Row],[order_fulfillment_rate]]&gt;=0.9,"Strong",IF(WarehouseData[[#This Row],[order_fulfillment_rate]]&gt;=0.8,"Moderate","Needs Attention"))</f>
        <v>Strong</v>
      </c>
      <c r="AE285" t="str">
        <f>IF(WarehouseData[[#This Row],[picking_time_seconds]]&gt;120,"Slow",IF(WarehouseData[[#This Row],[picking_time_seconds]]&gt;=60,"Average","Fast"))</f>
        <v>Fast</v>
      </c>
    </row>
    <row r="286" spans="1:31" x14ac:dyDescent="0.25">
      <c r="A286" t="s">
        <v>420</v>
      </c>
      <c r="B286" t="s">
        <v>73</v>
      </c>
      <c r="C286">
        <v>137</v>
      </c>
      <c r="D286">
        <v>56</v>
      </c>
      <c r="E286">
        <v>12</v>
      </c>
      <c r="F286">
        <v>9</v>
      </c>
      <c r="G286">
        <v>49.86</v>
      </c>
      <c r="H286">
        <v>7.23</v>
      </c>
      <c r="I286">
        <v>0.56000000000000005</v>
      </c>
      <c r="J286" t="s">
        <v>122</v>
      </c>
      <c r="K286" t="s">
        <v>38</v>
      </c>
      <c r="L286">
        <v>34</v>
      </c>
      <c r="M286">
        <v>1.3</v>
      </c>
      <c r="N286">
        <v>191.61</v>
      </c>
      <c r="O286">
        <v>0.16</v>
      </c>
      <c r="P286">
        <v>1</v>
      </c>
      <c r="Q286">
        <v>0.74</v>
      </c>
      <c r="R286">
        <v>727</v>
      </c>
      <c r="S286">
        <v>3.19</v>
      </c>
      <c r="T286">
        <v>0.56000000000000005</v>
      </c>
      <c r="U286" s="1">
        <v>45458</v>
      </c>
      <c r="V286">
        <v>139.26</v>
      </c>
      <c r="W286">
        <v>0.66700000000000004</v>
      </c>
      <c r="X286" t="str">
        <f>IF(WarehouseData[[#This Row],[stock_level]]&lt;=WarehouseData[[#This Row],[reorder_point]],"Low Stock","Sufficient Stock")</f>
        <v>Sufficient Stock</v>
      </c>
      <c r="Y286">
        <f>WarehouseData[[#This Row],[daily_demand]]*WarehouseData[[#This Row],[lead_time_days]]</f>
        <v>448.74</v>
      </c>
      <c r="Z286" t="str">
        <f>IF(WarehouseData[[#This Row],[stock_level]]&lt;=WarehouseData[[#This Row],[Demand During Lead Time]],"At Risk","Safe")</f>
        <v>At Risk</v>
      </c>
      <c r="AA286">
        <f>WarehouseData[[#This Row],[stock_level]]/WarehouseData[[#This Row],[daily_demand]]</f>
        <v>2.7476935419173687</v>
      </c>
      <c r="AB286">
        <f>WarehouseData[[#This Row],[stock_level]]*WarehouseData[[#This Row],[unit_price]]</f>
        <v>26250.570000000003</v>
      </c>
      <c r="AC286">
        <f>WarehouseData[[#This Row],[stock_level]]*WarehouseData[[#This Row],[holding_cost_per_unit_day]]*30</f>
        <v>657.6</v>
      </c>
      <c r="AD286" t="str">
        <f>IF(WarehouseData[[#This Row],[order_fulfillment_rate]]&gt;=0.9,"Strong",IF(WarehouseData[[#This Row],[order_fulfillment_rate]]&gt;=0.8,"Moderate","Needs Attention"))</f>
        <v>Needs Attention</v>
      </c>
      <c r="AE286" t="str">
        <f>IF(WarehouseData[[#This Row],[picking_time_seconds]]&gt;120,"Slow",IF(WarehouseData[[#This Row],[picking_time_seconds]]&gt;=60,"Average","Fast"))</f>
        <v>Fast</v>
      </c>
    </row>
    <row r="287" spans="1:31" x14ac:dyDescent="0.25">
      <c r="A287" t="s">
        <v>421</v>
      </c>
      <c r="B287" t="s">
        <v>36</v>
      </c>
      <c r="C287">
        <v>73</v>
      </c>
      <c r="D287">
        <v>72</v>
      </c>
      <c r="E287">
        <v>12</v>
      </c>
      <c r="F287">
        <v>7</v>
      </c>
      <c r="G287">
        <v>26.72</v>
      </c>
      <c r="H287">
        <v>4.1900000000000004</v>
      </c>
      <c r="I287">
        <v>0.56999999999999995</v>
      </c>
      <c r="J287" t="s">
        <v>122</v>
      </c>
      <c r="K287" t="s">
        <v>34</v>
      </c>
      <c r="L287">
        <v>109</v>
      </c>
      <c r="M287">
        <v>0.85</v>
      </c>
      <c r="N287">
        <v>23.48</v>
      </c>
      <c r="O287">
        <v>1.1399999999999999</v>
      </c>
      <c r="P287">
        <v>3</v>
      </c>
      <c r="Q287">
        <v>0.82</v>
      </c>
      <c r="R287">
        <v>935</v>
      </c>
      <c r="S287">
        <v>13.43</v>
      </c>
      <c r="T287">
        <v>0.45</v>
      </c>
      <c r="U287" s="1">
        <v>45489</v>
      </c>
      <c r="V287">
        <v>149.69</v>
      </c>
      <c r="W287">
        <v>0.65900000000000003</v>
      </c>
      <c r="X287" t="str">
        <f>IF(WarehouseData[[#This Row],[stock_level]]&lt;=WarehouseData[[#This Row],[reorder_point]],"Low Stock","Sufficient Stock")</f>
        <v>Sufficient Stock</v>
      </c>
      <c r="Y287">
        <f>WarehouseData[[#This Row],[daily_demand]]*WarehouseData[[#This Row],[lead_time_days]]</f>
        <v>187.04</v>
      </c>
      <c r="Z287" t="str">
        <f>IF(WarehouseData[[#This Row],[stock_level]]&lt;=WarehouseData[[#This Row],[Demand During Lead Time]],"At Risk","Safe")</f>
        <v>At Risk</v>
      </c>
      <c r="AA287">
        <f>WarehouseData[[#This Row],[stock_level]]/WarehouseData[[#This Row],[daily_demand]]</f>
        <v>2.7320359281437128</v>
      </c>
      <c r="AB287">
        <f>WarehouseData[[#This Row],[stock_level]]*WarehouseData[[#This Row],[unit_price]]</f>
        <v>1714.04</v>
      </c>
      <c r="AC287">
        <f>WarehouseData[[#This Row],[stock_level]]*WarehouseData[[#This Row],[holding_cost_per_unit_day]]*30</f>
        <v>2496.6</v>
      </c>
      <c r="AD287" t="str">
        <f>IF(WarehouseData[[#This Row],[order_fulfillment_rate]]&gt;=0.9,"Strong",IF(WarehouseData[[#This Row],[order_fulfillment_rate]]&gt;=0.8,"Moderate","Needs Attention"))</f>
        <v>Moderate</v>
      </c>
      <c r="AE287" t="str">
        <f>IF(WarehouseData[[#This Row],[picking_time_seconds]]&gt;120,"Slow",IF(WarehouseData[[#This Row],[picking_time_seconds]]&gt;=60,"Average","Fast"))</f>
        <v>Average</v>
      </c>
    </row>
    <row r="288" spans="1:31" x14ac:dyDescent="0.25">
      <c r="A288" t="s">
        <v>422</v>
      </c>
      <c r="B288" t="s">
        <v>32</v>
      </c>
      <c r="C288">
        <v>157</v>
      </c>
      <c r="D288">
        <v>85</v>
      </c>
      <c r="E288">
        <v>4</v>
      </c>
      <c r="F288">
        <v>7</v>
      </c>
      <c r="G288">
        <v>27.65</v>
      </c>
      <c r="H288">
        <v>5.55</v>
      </c>
      <c r="I288">
        <v>0.14000000000000001</v>
      </c>
      <c r="J288" t="s">
        <v>163</v>
      </c>
      <c r="K288" t="s">
        <v>46</v>
      </c>
      <c r="L288">
        <v>173</v>
      </c>
      <c r="M288">
        <v>4.2699999999999996</v>
      </c>
      <c r="N288">
        <v>125.93</v>
      </c>
      <c r="O288">
        <v>1.98</v>
      </c>
      <c r="P288">
        <v>7</v>
      </c>
      <c r="Q288">
        <v>0.77</v>
      </c>
      <c r="R288">
        <v>931</v>
      </c>
      <c r="S288">
        <v>9.1999999999999993</v>
      </c>
      <c r="T288">
        <v>0.34</v>
      </c>
      <c r="U288" s="1">
        <v>45298</v>
      </c>
      <c r="V288">
        <v>282.35000000000002</v>
      </c>
      <c r="W288">
        <v>0.40699999999999997</v>
      </c>
      <c r="X288" t="str">
        <f>IF(WarehouseData[[#This Row],[stock_level]]&lt;=WarehouseData[[#This Row],[reorder_point]],"Low Stock","Sufficient Stock")</f>
        <v>Sufficient Stock</v>
      </c>
      <c r="Y288">
        <f>WarehouseData[[#This Row],[daily_demand]]*WarehouseData[[#This Row],[lead_time_days]]</f>
        <v>193.54999999999998</v>
      </c>
      <c r="Z288" t="str">
        <f>IF(WarehouseData[[#This Row],[stock_level]]&lt;=WarehouseData[[#This Row],[Demand During Lead Time]],"At Risk","Safe")</f>
        <v>At Risk</v>
      </c>
      <c r="AA288">
        <f>WarehouseData[[#This Row],[stock_level]]/WarehouseData[[#This Row],[daily_demand]]</f>
        <v>5.6781193490054251</v>
      </c>
      <c r="AB288">
        <f>WarehouseData[[#This Row],[stock_level]]*WarehouseData[[#This Row],[unit_price]]</f>
        <v>19771.010000000002</v>
      </c>
      <c r="AC288">
        <f>WarehouseData[[#This Row],[stock_level]]*WarehouseData[[#This Row],[holding_cost_per_unit_day]]*30</f>
        <v>9325.8000000000011</v>
      </c>
      <c r="AD288" t="str">
        <f>IF(WarehouseData[[#This Row],[order_fulfillment_rate]]&gt;=0.9,"Strong",IF(WarehouseData[[#This Row],[order_fulfillment_rate]]&gt;=0.8,"Moderate","Needs Attention"))</f>
        <v>Needs Attention</v>
      </c>
      <c r="AE288" t="str">
        <f>IF(WarehouseData[[#This Row],[picking_time_seconds]]&gt;120,"Slow",IF(WarehouseData[[#This Row],[picking_time_seconds]]&gt;=60,"Average","Fast"))</f>
        <v>Slow</v>
      </c>
    </row>
    <row r="289" spans="1:31" x14ac:dyDescent="0.25">
      <c r="A289" t="s">
        <v>423</v>
      </c>
      <c r="B289" t="s">
        <v>36</v>
      </c>
      <c r="C289">
        <v>72</v>
      </c>
      <c r="D289">
        <v>86</v>
      </c>
      <c r="E289">
        <v>3</v>
      </c>
      <c r="F289">
        <v>9</v>
      </c>
      <c r="G289">
        <v>20.2</v>
      </c>
      <c r="H289">
        <v>8.99</v>
      </c>
      <c r="I289">
        <v>0.84</v>
      </c>
      <c r="J289" t="s">
        <v>301</v>
      </c>
      <c r="K289" t="s">
        <v>46</v>
      </c>
      <c r="L289">
        <v>134</v>
      </c>
      <c r="M289">
        <v>4.8899999999999997</v>
      </c>
      <c r="N289">
        <v>29.42</v>
      </c>
      <c r="O289">
        <v>1.04</v>
      </c>
      <c r="P289">
        <v>3</v>
      </c>
      <c r="Q289">
        <v>0.77</v>
      </c>
      <c r="R289">
        <v>296</v>
      </c>
      <c r="S289">
        <v>6.35</v>
      </c>
      <c r="T289">
        <v>0.46</v>
      </c>
      <c r="U289" s="1">
        <v>45441</v>
      </c>
      <c r="V289">
        <v>98.02</v>
      </c>
      <c r="W289">
        <v>0.56699999999999995</v>
      </c>
      <c r="X289" t="str">
        <f>IF(WarehouseData[[#This Row],[stock_level]]&lt;=WarehouseData[[#This Row],[reorder_point]],"Low Stock","Sufficient Stock")</f>
        <v>Low Stock</v>
      </c>
      <c r="Y289">
        <f>WarehouseData[[#This Row],[daily_demand]]*WarehouseData[[#This Row],[lead_time_days]]</f>
        <v>181.79999999999998</v>
      </c>
      <c r="Z289" t="str">
        <f>IF(WarehouseData[[#This Row],[stock_level]]&lt;=WarehouseData[[#This Row],[Demand During Lead Time]],"At Risk","Safe")</f>
        <v>At Risk</v>
      </c>
      <c r="AA289">
        <f>WarehouseData[[#This Row],[stock_level]]/WarehouseData[[#This Row],[daily_demand]]</f>
        <v>3.5643564356435644</v>
      </c>
      <c r="AB289">
        <f>WarehouseData[[#This Row],[stock_level]]*WarehouseData[[#This Row],[unit_price]]</f>
        <v>2118.2400000000002</v>
      </c>
      <c r="AC289">
        <f>WarehouseData[[#This Row],[stock_level]]*WarehouseData[[#This Row],[holding_cost_per_unit_day]]*30</f>
        <v>2246.3999999999996</v>
      </c>
      <c r="AD289" t="str">
        <f>IF(WarehouseData[[#This Row],[order_fulfillment_rate]]&gt;=0.9,"Strong",IF(WarehouseData[[#This Row],[order_fulfillment_rate]]&gt;=0.8,"Moderate","Needs Attention"))</f>
        <v>Needs Attention</v>
      </c>
      <c r="AE289" t="str">
        <f>IF(WarehouseData[[#This Row],[picking_time_seconds]]&gt;120,"Slow",IF(WarehouseData[[#This Row],[picking_time_seconds]]&gt;=60,"Average","Fast"))</f>
        <v>Slow</v>
      </c>
    </row>
    <row r="290" spans="1:31" x14ac:dyDescent="0.25">
      <c r="A290" t="s">
        <v>424</v>
      </c>
      <c r="B290" t="s">
        <v>40</v>
      </c>
      <c r="C290">
        <v>63</v>
      </c>
      <c r="D290">
        <v>64</v>
      </c>
      <c r="E290">
        <v>10</v>
      </c>
      <c r="F290">
        <v>9</v>
      </c>
      <c r="G290">
        <v>16.190000000000001</v>
      </c>
      <c r="H290">
        <v>2.94</v>
      </c>
      <c r="I290">
        <v>0.55000000000000004</v>
      </c>
      <c r="J290" t="s">
        <v>124</v>
      </c>
      <c r="K290" t="s">
        <v>34</v>
      </c>
      <c r="L290">
        <v>49</v>
      </c>
      <c r="M290">
        <v>0.9</v>
      </c>
      <c r="N290">
        <v>63.99</v>
      </c>
      <c r="O290">
        <v>1.74</v>
      </c>
      <c r="P290">
        <v>9</v>
      </c>
      <c r="Q290">
        <v>0.74</v>
      </c>
      <c r="R290">
        <v>223</v>
      </c>
      <c r="S290">
        <v>3.41</v>
      </c>
      <c r="T290">
        <v>0.41</v>
      </c>
      <c r="U290" s="1">
        <v>45503</v>
      </c>
      <c r="V290">
        <v>15.7</v>
      </c>
      <c r="W290">
        <v>0.32100000000000001</v>
      </c>
      <c r="X290" t="str">
        <f>IF(WarehouseData[[#This Row],[stock_level]]&lt;=WarehouseData[[#This Row],[reorder_point]],"Low Stock","Sufficient Stock")</f>
        <v>Low Stock</v>
      </c>
      <c r="Y290">
        <f>WarehouseData[[#This Row],[daily_demand]]*WarehouseData[[#This Row],[lead_time_days]]</f>
        <v>145.71</v>
      </c>
      <c r="Z290" t="str">
        <f>IF(WarehouseData[[#This Row],[stock_level]]&lt;=WarehouseData[[#This Row],[Demand During Lead Time]],"At Risk","Safe")</f>
        <v>At Risk</v>
      </c>
      <c r="AA290">
        <f>WarehouseData[[#This Row],[stock_level]]/WarehouseData[[#This Row],[daily_demand]]</f>
        <v>3.8912909203211856</v>
      </c>
      <c r="AB290">
        <f>WarehouseData[[#This Row],[stock_level]]*WarehouseData[[#This Row],[unit_price]]</f>
        <v>4031.3700000000003</v>
      </c>
      <c r="AC290">
        <f>WarehouseData[[#This Row],[stock_level]]*WarehouseData[[#This Row],[holding_cost_per_unit_day]]*30</f>
        <v>3288.6000000000004</v>
      </c>
      <c r="AD290" t="str">
        <f>IF(WarehouseData[[#This Row],[order_fulfillment_rate]]&gt;=0.9,"Strong",IF(WarehouseData[[#This Row],[order_fulfillment_rate]]&gt;=0.8,"Moderate","Needs Attention"))</f>
        <v>Needs Attention</v>
      </c>
      <c r="AE290" t="str">
        <f>IF(WarehouseData[[#This Row],[picking_time_seconds]]&gt;120,"Slow",IF(WarehouseData[[#This Row],[picking_time_seconds]]&gt;=60,"Average","Fast"))</f>
        <v>Fast</v>
      </c>
    </row>
    <row r="291" spans="1:31" x14ac:dyDescent="0.25">
      <c r="A291" t="s">
        <v>425</v>
      </c>
      <c r="B291" t="s">
        <v>32</v>
      </c>
      <c r="C291">
        <v>322</v>
      </c>
      <c r="D291">
        <v>84</v>
      </c>
      <c r="E291">
        <v>9</v>
      </c>
      <c r="F291">
        <v>9</v>
      </c>
      <c r="G291">
        <v>13.33</v>
      </c>
      <c r="H291">
        <v>2.78</v>
      </c>
      <c r="I291">
        <v>0.41</v>
      </c>
      <c r="J291" t="s">
        <v>68</v>
      </c>
      <c r="K291" t="s">
        <v>52</v>
      </c>
      <c r="L291">
        <v>101</v>
      </c>
      <c r="M291">
        <v>4.16</v>
      </c>
      <c r="N291">
        <v>45.31</v>
      </c>
      <c r="O291">
        <v>0.45</v>
      </c>
      <c r="P291">
        <v>6</v>
      </c>
      <c r="Q291">
        <v>0.89</v>
      </c>
      <c r="R291">
        <v>445</v>
      </c>
      <c r="S291">
        <v>11.97</v>
      </c>
      <c r="T291">
        <v>0.27</v>
      </c>
      <c r="U291" s="1">
        <v>45490</v>
      </c>
      <c r="V291">
        <v>211.18</v>
      </c>
      <c r="W291">
        <v>0.627</v>
      </c>
      <c r="X291" t="str">
        <f>IF(WarehouseData[[#This Row],[stock_level]]&lt;=WarehouseData[[#This Row],[reorder_point]],"Low Stock","Sufficient Stock")</f>
        <v>Sufficient Stock</v>
      </c>
      <c r="Y291">
        <f>WarehouseData[[#This Row],[daily_demand]]*WarehouseData[[#This Row],[lead_time_days]]</f>
        <v>119.97</v>
      </c>
      <c r="Z291" t="str">
        <f>IF(WarehouseData[[#This Row],[stock_level]]&lt;=WarehouseData[[#This Row],[Demand During Lead Time]],"At Risk","Safe")</f>
        <v>Safe</v>
      </c>
      <c r="AA291">
        <f>WarehouseData[[#This Row],[stock_level]]/WarehouseData[[#This Row],[daily_demand]]</f>
        <v>24.156039009752437</v>
      </c>
      <c r="AB291">
        <f>WarehouseData[[#This Row],[stock_level]]*WarehouseData[[#This Row],[unit_price]]</f>
        <v>14589.820000000002</v>
      </c>
      <c r="AC291">
        <f>WarehouseData[[#This Row],[stock_level]]*WarehouseData[[#This Row],[holding_cost_per_unit_day]]*30</f>
        <v>4347</v>
      </c>
      <c r="AD291" t="str">
        <f>IF(WarehouseData[[#This Row],[order_fulfillment_rate]]&gt;=0.9,"Strong",IF(WarehouseData[[#This Row],[order_fulfillment_rate]]&gt;=0.8,"Moderate","Needs Attention"))</f>
        <v>Moderate</v>
      </c>
      <c r="AE291" t="str">
        <f>IF(WarehouseData[[#This Row],[picking_time_seconds]]&gt;120,"Slow",IF(WarehouseData[[#This Row],[picking_time_seconds]]&gt;=60,"Average","Fast"))</f>
        <v>Average</v>
      </c>
    </row>
    <row r="292" spans="1:31" x14ac:dyDescent="0.25">
      <c r="A292" t="s">
        <v>426</v>
      </c>
      <c r="B292" t="s">
        <v>40</v>
      </c>
      <c r="C292">
        <v>72</v>
      </c>
      <c r="D292">
        <v>28</v>
      </c>
      <c r="E292">
        <v>9</v>
      </c>
      <c r="F292">
        <v>8</v>
      </c>
      <c r="G292">
        <v>17.829999999999998</v>
      </c>
      <c r="H292">
        <v>3</v>
      </c>
      <c r="I292">
        <v>0.39</v>
      </c>
      <c r="J292" t="s">
        <v>418</v>
      </c>
      <c r="K292" t="s">
        <v>46</v>
      </c>
      <c r="L292">
        <v>145</v>
      </c>
      <c r="M292">
        <v>4.37</v>
      </c>
      <c r="N292">
        <v>115.21</v>
      </c>
      <c r="O292">
        <v>1.25</v>
      </c>
      <c r="P292">
        <v>1</v>
      </c>
      <c r="Q292">
        <v>0.92</v>
      </c>
      <c r="R292">
        <v>58</v>
      </c>
      <c r="S292">
        <v>8.1300000000000008</v>
      </c>
      <c r="T292">
        <v>0.6</v>
      </c>
      <c r="U292" s="1">
        <v>45335</v>
      </c>
      <c r="V292">
        <v>229.18</v>
      </c>
      <c r="W292">
        <v>0.66700000000000004</v>
      </c>
      <c r="X292" t="str">
        <f>IF(WarehouseData[[#This Row],[stock_level]]&lt;=WarehouseData[[#This Row],[reorder_point]],"Low Stock","Sufficient Stock")</f>
        <v>Sufficient Stock</v>
      </c>
      <c r="Y292">
        <f>WarehouseData[[#This Row],[daily_demand]]*WarehouseData[[#This Row],[lead_time_days]]</f>
        <v>142.63999999999999</v>
      </c>
      <c r="Z292" t="str">
        <f>IF(WarehouseData[[#This Row],[stock_level]]&lt;=WarehouseData[[#This Row],[Demand During Lead Time]],"At Risk","Safe")</f>
        <v>At Risk</v>
      </c>
      <c r="AA292">
        <f>WarehouseData[[#This Row],[stock_level]]/WarehouseData[[#This Row],[daily_demand]]</f>
        <v>4.0381379697139659</v>
      </c>
      <c r="AB292">
        <f>WarehouseData[[#This Row],[stock_level]]*WarehouseData[[#This Row],[unit_price]]</f>
        <v>8295.119999999999</v>
      </c>
      <c r="AC292">
        <f>WarehouseData[[#This Row],[stock_level]]*WarehouseData[[#This Row],[holding_cost_per_unit_day]]*30</f>
        <v>2700</v>
      </c>
      <c r="AD292" t="str">
        <f>IF(WarehouseData[[#This Row],[order_fulfillment_rate]]&gt;=0.9,"Strong",IF(WarehouseData[[#This Row],[order_fulfillment_rate]]&gt;=0.8,"Moderate","Needs Attention"))</f>
        <v>Strong</v>
      </c>
      <c r="AE292" t="str">
        <f>IF(WarehouseData[[#This Row],[picking_time_seconds]]&gt;120,"Slow",IF(WarehouseData[[#This Row],[picking_time_seconds]]&gt;=60,"Average","Fast"))</f>
        <v>Slow</v>
      </c>
    </row>
    <row r="293" spans="1:31" x14ac:dyDescent="0.25">
      <c r="A293" t="s">
        <v>427</v>
      </c>
      <c r="B293" t="s">
        <v>73</v>
      </c>
      <c r="C293">
        <v>93</v>
      </c>
      <c r="D293">
        <v>44</v>
      </c>
      <c r="E293">
        <v>6</v>
      </c>
      <c r="F293">
        <v>7</v>
      </c>
      <c r="G293">
        <v>23.53</v>
      </c>
      <c r="H293">
        <v>3.71</v>
      </c>
      <c r="I293">
        <v>0.88</v>
      </c>
      <c r="J293" t="s">
        <v>202</v>
      </c>
      <c r="K293" t="s">
        <v>34</v>
      </c>
      <c r="L293">
        <v>94</v>
      </c>
      <c r="M293">
        <v>1.03</v>
      </c>
      <c r="N293">
        <v>178.54</v>
      </c>
      <c r="O293">
        <v>1.75</v>
      </c>
      <c r="P293">
        <v>4</v>
      </c>
      <c r="Q293">
        <v>0.9</v>
      </c>
      <c r="R293">
        <v>958</v>
      </c>
      <c r="S293">
        <v>3.06</v>
      </c>
      <c r="T293">
        <v>0.56000000000000005</v>
      </c>
      <c r="U293" s="1">
        <v>45578</v>
      </c>
      <c r="V293">
        <v>213.88</v>
      </c>
      <c r="W293">
        <v>0.47799999999999998</v>
      </c>
      <c r="X293" t="str">
        <f>IF(WarehouseData[[#This Row],[stock_level]]&lt;=WarehouseData[[#This Row],[reorder_point]],"Low Stock","Sufficient Stock")</f>
        <v>Sufficient Stock</v>
      </c>
      <c r="Y293">
        <f>WarehouseData[[#This Row],[daily_demand]]*WarehouseData[[#This Row],[lead_time_days]]</f>
        <v>164.71</v>
      </c>
      <c r="Z293" t="str">
        <f>IF(WarehouseData[[#This Row],[stock_level]]&lt;=WarehouseData[[#This Row],[Demand During Lead Time]],"At Risk","Safe")</f>
        <v>At Risk</v>
      </c>
      <c r="AA293">
        <f>WarehouseData[[#This Row],[stock_level]]/WarehouseData[[#This Row],[daily_demand]]</f>
        <v>3.9524011899702507</v>
      </c>
      <c r="AB293">
        <f>WarehouseData[[#This Row],[stock_level]]*WarehouseData[[#This Row],[unit_price]]</f>
        <v>16604.219999999998</v>
      </c>
      <c r="AC293">
        <f>WarehouseData[[#This Row],[stock_level]]*WarehouseData[[#This Row],[holding_cost_per_unit_day]]*30</f>
        <v>4882.5</v>
      </c>
      <c r="AD293" t="str">
        <f>IF(WarehouseData[[#This Row],[order_fulfillment_rate]]&gt;=0.9,"Strong",IF(WarehouseData[[#This Row],[order_fulfillment_rate]]&gt;=0.8,"Moderate","Needs Attention"))</f>
        <v>Strong</v>
      </c>
      <c r="AE293" t="str">
        <f>IF(WarehouseData[[#This Row],[picking_time_seconds]]&gt;120,"Slow",IF(WarehouseData[[#This Row],[picking_time_seconds]]&gt;=60,"Average","Fast"))</f>
        <v>Average</v>
      </c>
    </row>
    <row r="294" spans="1:31" x14ac:dyDescent="0.25">
      <c r="A294" t="s">
        <v>428</v>
      </c>
      <c r="B294" t="s">
        <v>73</v>
      </c>
      <c r="C294">
        <v>65</v>
      </c>
      <c r="D294">
        <v>62</v>
      </c>
      <c r="E294">
        <v>13</v>
      </c>
      <c r="F294">
        <v>7</v>
      </c>
      <c r="G294">
        <v>10.41</v>
      </c>
      <c r="H294">
        <v>1.52</v>
      </c>
      <c r="I294">
        <v>0.28000000000000003</v>
      </c>
      <c r="J294" t="s">
        <v>133</v>
      </c>
      <c r="K294" t="s">
        <v>34</v>
      </c>
      <c r="L294">
        <v>44</v>
      </c>
      <c r="M294">
        <v>1.77</v>
      </c>
      <c r="N294">
        <v>130.77000000000001</v>
      </c>
      <c r="O294">
        <v>0.92</v>
      </c>
      <c r="P294">
        <v>3</v>
      </c>
      <c r="Q294">
        <v>0.98</v>
      </c>
      <c r="R294">
        <v>497</v>
      </c>
      <c r="S294">
        <v>13.9</v>
      </c>
      <c r="T294">
        <v>0.77</v>
      </c>
      <c r="U294" s="1">
        <v>45416</v>
      </c>
      <c r="V294">
        <v>213.21</v>
      </c>
      <c r="W294">
        <v>0.78300000000000003</v>
      </c>
      <c r="X294" t="str">
        <f>IF(WarehouseData[[#This Row],[stock_level]]&lt;=WarehouseData[[#This Row],[reorder_point]],"Low Stock","Sufficient Stock")</f>
        <v>Sufficient Stock</v>
      </c>
      <c r="Y294">
        <f>WarehouseData[[#This Row],[daily_demand]]*WarehouseData[[#This Row],[lead_time_days]]</f>
        <v>72.87</v>
      </c>
      <c r="Z294" t="str">
        <f>IF(WarehouseData[[#This Row],[stock_level]]&lt;=WarehouseData[[#This Row],[Demand During Lead Time]],"At Risk","Safe")</f>
        <v>At Risk</v>
      </c>
      <c r="AA294">
        <f>WarehouseData[[#This Row],[stock_level]]/WarehouseData[[#This Row],[daily_demand]]</f>
        <v>6.2439961575408258</v>
      </c>
      <c r="AB294">
        <f>WarehouseData[[#This Row],[stock_level]]*WarehouseData[[#This Row],[unit_price]]</f>
        <v>8500.0500000000011</v>
      </c>
      <c r="AC294">
        <f>WarehouseData[[#This Row],[stock_level]]*WarehouseData[[#This Row],[holding_cost_per_unit_day]]*30</f>
        <v>1794.0000000000002</v>
      </c>
      <c r="AD294" t="str">
        <f>IF(WarehouseData[[#This Row],[order_fulfillment_rate]]&gt;=0.9,"Strong",IF(WarehouseData[[#This Row],[order_fulfillment_rate]]&gt;=0.8,"Moderate","Needs Attention"))</f>
        <v>Strong</v>
      </c>
      <c r="AE294" t="str">
        <f>IF(WarehouseData[[#This Row],[picking_time_seconds]]&gt;120,"Slow",IF(WarehouseData[[#This Row],[picking_time_seconds]]&gt;=60,"Average","Fast"))</f>
        <v>Fast</v>
      </c>
    </row>
    <row r="295" spans="1:31" x14ac:dyDescent="0.25">
      <c r="A295" t="s">
        <v>429</v>
      </c>
      <c r="B295" t="s">
        <v>32</v>
      </c>
      <c r="C295">
        <v>32</v>
      </c>
      <c r="D295">
        <v>35</v>
      </c>
      <c r="E295">
        <v>11</v>
      </c>
      <c r="F295">
        <v>3</v>
      </c>
      <c r="G295">
        <v>12.02</v>
      </c>
      <c r="H295">
        <v>7.12</v>
      </c>
      <c r="I295">
        <v>0.24</v>
      </c>
      <c r="J295" t="s">
        <v>265</v>
      </c>
      <c r="K295" t="s">
        <v>34</v>
      </c>
      <c r="L295">
        <v>155</v>
      </c>
      <c r="M295">
        <v>3.8</v>
      </c>
      <c r="N295">
        <v>136.19999999999999</v>
      </c>
      <c r="O295">
        <v>1.02</v>
      </c>
      <c r="P295">
        <v>8</v>
      </c>
      <c r="Q295">
        <v>0.74</v>
      </c>
      <c r="R295">
        <v>837</v>
      </c>
      <c r="S295">
        <v>2.4900000000000002</v>
      </c>
      <c r="T295">
        <v>0.7</v>
      </c>
      <c r="U295" s="1">
        <v>45584</v>
      </c>
      <c r="V295">
        <v>150.13999999999999</v>
      </c>
      <c r="W295">
        <v>0.45900000000000002</v>
      </c>
      <c r="X295" t="str">
        <f>IF(WarehouseData[[#This Row],[stock_level]]&lt;=WarehouseData[[#This Row],[reorder_point]],"Low Stock","Sufficient Stock")</f>
        <v>Low Stock</v>
      </c>
      <c r="Y295">
        <f>WarehouseData[[#This Row],[daily_demand]]*WarehouseData[[#This Row],[lead_time_days]]</f>
        <v>36.06</v>
      </c>
      <c r="Z295" t="str">
        <f>IF(WarehouseData[[#This Row],[stock_level]]&lt;=WarehouseData[[#This Row],[Demand During Lead Time]],"At Risk","Safe")</f>
        <v>At Risk</v>
      </c>
      <c r="AA295">
        <f>WarehouseData[[#This Row],[stock_level]]/WarehouseData[[#This Row],[daily_demand]]</f>
        <v>2.6622296173044928</v>
      </c>
      <c r="AB295">
        <f>WarehouseData[[#This Row],[stock_level]]*WarehouseData[[#This Row],[unit_price]]</f>
        <v>4358.3999999999996</v>
      </c>
      <c r="AC295">
        <f>WarehouseData[[#This Row],[stock_level]]*WarehouseData[[#This Row],[holding_cost_per_unit_day]]*30</f>
        <v>979.2</v>
      </c>
      <c r="AD295" t="str">
        <f>IF(WarehouseData[[#This Row],[order_fulfillment_rate]]&gt;=0.9,"Strong",IF(WarehouseData[[#This Row],[order_fulfillment_rate]]&gt;=0.8,"Moderate","Needs Attention"))</f>
        <v>Needs Attention</v>
      </c>
      <c r="AE295" t="str">
        <f>IF(WarehouseData[[#This Row],[picking_time_seconds]]&gt;120,"Slow",IF(WarehouseData[[#This Row],[picking_time_seconds]]&gt;=60,"Average","Fast"))</f>
        <v>Slow</v>
      </c>
    </row>
    <row r="296" spans="1:31" x14ac:dyDescent="0.25">
      <c r="A296" t="s">
        <v>430</v>
      </c>
      <c r="B296" t="s">
        <v>32</v>
      </c>
      <c r="C296">
        <v>184</v>
      </c>
      <c r="D296">
        <v>23</v>
      </c>
      <c r="E296">
        <v>8</v>
      </c>
      <c r="F296">
        <v>9</v>
      </c>
      <c r="G296">
        <v>14.31</v>
      </c>
      <c r="H296">
        <v>2.4700000000000002</v>
      </c>
      <c r="I296">
        <v>0.28999999999999998</v>
      </c>
      <c r="J296" t="s">
        <v>59</v>
      </c>
      <c r="K296" t="s">
        <v>46</v>
      </c>
      <c r="L296">
        <v>56</v>
      </c>
      <c r="M296">
        <v>4.13</v>
      </c>
      <c r="N296">
        <v>182.7</v>
      </c>
      <c r="O296">
        <v>0.26</v>
      </c>
      <c r="P296">
        <v>6</v>
      </c>
      <c r="Q296">
        <v>0.8</v>
      </c>
      <c r="R296">
        <v>620</v>
      </c>
      <c r="S296">
        <v>8.34</v>
      </c>
      <c r="T296">
        <v>0.47</v>
      </c>
      <c r="U296" s="1">
        <v>45558</v>
      </c>
      <c r="V296">
        <v>15.41</v>
      </c>
      <c r="W296">
        <v>0.61899999999999999</v>
      </c>
      <c r="X296" t="str">
        <f>IF(WarehouseData[[#This Row],[stock_level]]&lt;=WarehouseData[[#This Row],[reorder_point]],"Low Stock","Sufficient Stock")</f>
        <v>Sufficient Stock</v>
      </c>
      <c r="Y296">
        <f>WarehouseData[[#This Row],[daily_demand]]*WarehouseData[[#This Row],[lead_time_days]]</f>
        <v>128.79</v>
      </c>
      <c r="Z296" t="str">
        <f>IF(WarehouseData[[#This Row],[stock_level]]&lt;=WarehouseData[[#This Row],[Demand During Lead Time]],"At Risk","Safe")</f>
        <v>Safe</v>
      </c>
      <c r="AA296">
        <f>WarehouseData[[#This Row],[stock_level]]/WarehouseData[[#This Row],[daily_demand]]</f>
        <v>12.858141160027952</v>
      </c>
      <c r="AB296">
        <f>WarehouseData[[#This Row],[stock_level]]*WarehouseData[[#This Row],[unit_price]]</f>
        <v>33616.799999999996</v>
      </c>
      <c r="AC296">
        <f>WarehouseData[[#This Row],[stock_level]]*WarehouseData[[#This Row],[holding_cost_per_unit_day]]*30</f>
        <v>1435.2</v>
      </c>
      <c r="AD296" t="str">
        <f>IF(WarehouseData[[#This Row],[order_fulfillment_rate]]&gt;=0.9,"Strong",IF(WarehouseData[[#This Row],[order_fulfillment_rate]]&gt;=0.8,"Moderate","Needs Attention"))</f>
        <v>Moderate</v>
      </c>
      <c r="AE296" t="str">
        <f>IF(WarehouseData[[#This Row],[picking_time_seconds]]&gt;120,"Slow",IF(WarehouseData[[#This Row],[picking_time_seconds]]&gt;=60,"Average","Fast"))</f>
        <v>Fast</v>
      </c>
    </row>
    <row r="297" spans="1:31" x14ac:dyDescent="0.25">
      <c r="A297" t="s">
        <v>431</v>
      </c>
      <c r="B297" t="s">
        <v>36</v>
      </c>
      <c r="C297">
        <v>121</v>
      </c>
      <c r="D297">
        <v>54</v>
      </c>
      <c r="E297">
        <v>4</v>
      </c>
      <c r="F297">
        <v>4</v>
      </c>
      <c r="G297">
        <v>23.01</v>
      </c>
      <c r="H297">
        <v>9.3000000000000007</v>
      </c>
      <c r="I297">
        <v>0.66</v>
      </c>
      <c r="J297" t="s">
        <v>90</v>
      </c>
      <c r="K297" t="s">
        <v>46</v>
      </c>
      <c r="L297">
        <v>162</v>
      </c>
      <c r="M297">
        <v>2.09</v>
      </c>
      <c r="N297">
        <v>152.38999999999999</v>
      </c>
      <c r="O297">
        <v>0.18</v>
      </c>
      <c r="P297">
        <v>8</v>
      </c>
      <c r="Q297">
        <v>0.8</v>
      </c>
      <c r="R297">
        <v>646</v>
      </c>
      <c r="S297">
        <v>9.5500000000000007</v>
      </c>
      <c r="T297">
        <v>0.6</v>
      </c>
      <c r="U297" s="1">
        <v>45378</v>
      </c>
      <c r="V297">
        <v>221.68</v>
      </c>
      <c r="W297">
        <v>0.629</v>
      </c>
      <c r="X297" t="str">
        <f>IF(WarehouseData[[#This Row],[stock_level]]&lt;=WarehouseData[[#This Row],[reorder_point]],"Low Stock","Sufficient Stock")</f>
        <v>Sufficient Stock</v>
      </c>
      <c r="Y297">
        <f>WarehouseData[[#This Row],[daily_demand]]*WarehouseData[[#This Row],[lead_time_days]]</f>
        <v>92.04</v>
      </c>
      <c r="Z297" t="str">
        <f>IF(WarehouseData[[#This Row],[stock_level]]&lt;=WarehouseData[[#This Row],[Demand During Lead Time]],"At Risk","Safe")</f>
        <v>Safe</v>
      </c>
      <c r="AA297">
        <f>WarehouseData[[#This Row],[stock_level]]/WarehouseData[[#This Row],[daily_demand]]</f>
        <v>5.2585832246849193</v>
      </c>
      <c r="AB297">
        <f>WarehouseData[[#This Row],[stock_level]]*WarehouseData[[#This Row],[unit_price]]</f>
        <v>18439.189999999999</v>
      </c>
      <c r="AC297">
        <f>WarehouseData[[#This Row],[stock_level]]*WarehouseData[[#This Row],[holding_cost_per_unit_day]]*30</f>
        <v>653.4</v>
      </c>
      <c r="AD297" t="str">
        <f>IF(WarehouseData[[#This Row],[order_fulfillment_rate]]&gt;=0.9,"Strong",IF(WarehouseData[[#This Row],[order_fulfillment_rate]]&gt;=0.8,"Moderate","Needs Attention"))</f>
        <v>Moderate</v>
      </c>
      <c r="AE297" t="str">
        <f>IF(WarehouseData[[#This Row],[picking_time_seconds]]&gt;120,"Slow",IF(WarehouseData[[#This Row],[picking_time_seconds]]&gt;=60,"Average","Fast"))</f>
        <v>Slow</v>
      </c>
    </row>
    <row r="298" spans="1:31" x14ac:dyDescent="0.25">
      <c r="A298" t="s">
        <v>432</v>
      </c>
      <c r="B298" t="s">
        <v>36</v>
      </c>
      <c r="C298">
        <v>299</v>
      </c>
      <c r="D298">
        <v>53</v>
      </c>
      <c r="E298">
        <v>3</v>
      </c>
      <c r="F298">
        <v>9</v>
      </c>
      <c r="G298">
        <v>32.99</v>
      </c>
      <c r="H298">
        <v>2.5499999999999998</v>
      </c>
      <c r="I298">
        <v>0.83</v>
      </c>
      <c r="J298" t="s">
        <v>190</v>
      </c>
      <c r="K298" t="s">
        <v>38</v>
      </c>
      <c r="L298">
        <v>178</v>
      </c>
      <c r="M298">
        <v>1.22</v>
      </c>
      <c r="N298">
        <v>174.53</v>
      </c>
      <c r="O298">
        <v>0.99</v>
      </c>
      <c r="P298">
        <v>9</v>
      </c>
      <c r="Q298">
        <v>0.77</v>
      </c>
      <c r="R298">
        <v>711</v>
      </c>
      <c r="S298">
        <v>14.99</v>
      </c>
      <c r="T298">
        <v>0.63</v>
      </c>
      <c r="U298" s="1">
        <v>45642</v>
      </c>
      <c r="V298">
        <v>281.58999999999997</v>
      </c>
      <c r="W298">
        <v>0.60099999999999998</v>
      </c>
      <c r="X298" t="str">
        <f>IF(WarehouseData[[#This Row],[stock_level]]&lt;=WarehouseData[[#This Row],[reorder_point]],"Low Stock","Sufficient Stock")</f>
        <v>Sufficient Stock</v>
      </c>
      <c r="Y298">
        <f>WarehouseData[[#This Row],[daily_demand]]*WarehouseData[[#This Row],[lead_time_days]]</f>
        <v>296.91000000000003</v>
      </c>
      <c r="Z298" t="str">
        <f>IF(WarehouseData[[#This Row],[stock_level]]&lt;=WarehouseData[[#This Row],[Demand During Lead Time]],"At Risk","Safe")</f>
        <v>Safe</v>
      </c>
      <c r="AA298">
        <f>WarehouseData[[#This Row],[stock_level]]/WarehouseData[[#This Row],[daily_demand]]</f>
        <v>9.06335253107002</v>
      </c>
      <c r="AB298">
        <f>WarehouseData[[#This Row],[stock_level]]*WarehouseData[[#This Row],[unit_price]]</f>
        <v>52184.47</v>
      </c>
      <c r="AC298">
        <f>WarehouseData[[#This Row],[stock_level]]*WarehouseData[[#This Row],[holding_cost_per_unit_day]]*30</f>
        <v>8880.2999999999993</v>
      </c>
      <c r="AD298" t="str">
        <f>IF(WarehouseData[[#This Row],[order_fulfillment_rate]]&gt;=0.9,"Strong",IF(WarehouseData[[#This Row],[order_fulfillment_rate]]&gt;=0.8,"Moderate","Needs Attention"))</f>
        <v>Needs Attention</v>
      </c>
      <c r="AE298" t="str">
        <f>IF(WarehouseData[[#This Row],[picking_time_seconds]]&gt;120,"Slow",IF(WarehouseData[[#This Row],[picking_time_seconds]]&gt;=60,"Average","Fast"))</f>
        <v>Slow</v>
      </c>
    </row>
    <row r="299" spans="1:31" x14ac:dyDescent="0.25">
      <c r="A299" t="s">
        <v>433</v>
      </c>
      <c r="B299" t="s">
        <v>40</v>
      </c>
      <c r="C299">
        <v>277</v>
      </c>
      <c r="D299">
        <v>97</v>
      </c>
      <c r="E299">
        <v>3</v>
      </c>
      <c r="F299">
        <v>6</v>
      </c>
      <c r="G299">
        <v>42.95</v>
      </c>
      <c r="H299">
        <v>2.93</v>
      </c>
      <c r="I299">
        <v>0.4</v>
      </c>
      <c r="J299" t="s">
        <v>122</v>
      </c>
      <c r="K299" t="s">
        <v>38</v>
      </c>
      <c r="L299">
        <v>14</v>
      </c>
      <c r="M299">
        <v>3.42</v>
      </c>
      <c r="N299">
        <v>89.11</v>
      </c>
      <c r="O299">
        <v>1.7</v>
      </c>
      <c r="P299">
        <v>6</v>
      </c>
      <c r="Q299">
        <v>0.74</v>
      </c>
      <c r="R299">
        <v>370</v>
      </c>
      <c r="S299">
        <v>2.97</v>
      </c>
      <c r="T299">
        <v>0.93</v>
      </c>
      <c r="U299" s="1">
        <v>45486</v>
      </c>
      <c r="V299">
        <v>55.64</v>
      </c>
      <c r="W299">
        <v>0.48399999999999999</v>
      </c>
      <c r="X299" t="str">
        <f>IF(WarehouseData[[#This Row],[stock_level]]&lt;=WarehouseData[[#This Row],[reorder_point]],"Low Stock","Sufficient Stock")</f>
        <v>Sufficient Stock</v>
      </c>
      <c r="Y299">
        <f>WarehouseData[[#This Row],[daily_demand]]*WarehouseData[[#This Row],[lead_time_days]]</f>
        <v>257.70000000000005</v>
      </c>
      <c r="Z299" t="str">
        <f>IF(WarehouseData[[#This Row],[stock_level]]&lt;=WarehouseData[[#This Row],[Demand During Lead Time]],"At Risk","Safe")</f>
        <v>Safe</v>
      </c>
      <c r="AA299">
        <f>WarehouseData[[#This Row],[stock_level]]/WarehouseData[[#This Row],[daily_demand]]</f>
        <v>6.4493597206053543</v>
      </c>
      <c r="AB299">
        <f>WarehouseData[[#This Row],[stock_level]]*WarehouseData[[#This Row],[unit_price]]</f>
        <v>24683.47</v>
      </c>
      <c r="AC299">
        <f>WarehouseData[[#This Row],[stock_level]]*WarehouseData[[#This Row],[holding_cost_per_unit_day]]*30</f>
        <v>14127</v>
      </c>
      <c r="AD299" t="str">
        <f>IF(WarehouseData[[#This Row],[order_fulfillment_rate]]&gt;=0.9,"Strong",IF(WarehouseData[[#This Row],[order_fulfillment_rate]]&gt;=0.8,"Moderate","Needs Attention"))</f>
        <v>Needs Attention</v>
      </c>
      <c r="AE299" t="str">
        <f>IF(WarehouseData[[#This Row],[picking_time_seconds]]&gt;120,"Slow",IF(WarehouseData[[#This Row],[picking_time_seconds]]&gt;=60,"Average","Fast"))</f>
        <v>Fast</v>
      </c>
    </row>
    <row r="300" spans="1:31" x14ac:dyDescent="0.25">
      <c r="A300" t="s">
        <v>434</v>
      </c>
      <c r="B300" t="s">
        <v>32</v>
      </c>
      <c r="C300">
        <v>489</v>
      </c>
      <c r="D300">
        <v>74</v>
      </c>
      <c r="E300">
        <v>11</v>
      </c>
      <c r="F300">
        <v>6</v>
      </c>
      <c r="G300">
        <v>15.07</v>
      </c>
      <c r="H300">
        <v>3.32</v>
      </c>
      <c r="I300">
        <v>0.26</v>
      </c>
      <c r="J300" t="s">
        <v>217</v>
      </c>
      <c r="K300" t="s">
        <v>34</v>
      </c>
      <c r="L300">
        <v>134</v>
      </c>
      <c r="M300">
        <v>3.66</v>
      </c>
      <c r="N300">
        <v>174.42</v>
      </c>
      <c r="O300">
        <v>1.87</v>
      </c>
      <c r="P300">
        <v>1</v>
      </c>
      <c r="Q300">
        <v>0.85</v>
      </c>
      <c r="R300">
        <v>621</v>
      </c>
      <c r="S300">
        <v>9.59</v>
      </c>
      <c r="T300">
        <v>0.99</v>
      </c>
      <c r="U300" s="1">
        <v>45378</v>
      </c>
      <c r="V300">
        <v>29.7</v>
      </c>
      <c r="W300">
        <v>0.68899999999999995</v>
      </c>
      <c r="X300" t="str">
        <f>IF(WarehouseData[[#This Row],[stock_level]]&lt;=WarehouseData[[#This Row],[reorder_point]],"Low Stock","Sufficient Stock")</f>
        <v>Sufficient Stock</v>
      </c>
      <c r="Y300">
        <f>WarehouseData[[#This Row],[daily_demand]]*WarehouseData[[#This Row],[lead_time_days]]</f>
        <v>90.42</v>
      </c>
      <c r="Z300" t="str">
        <f>IF(WarehouseData[[#This Row],[stock_level]]&lt;=WarehouseData[[#This Row],[Demand During Lead Time]],"At Risk","Safe")</f>
        <v>Safe</v>
      </c>
      <c r="AA300">
        <f>WarehouseData[[#This Row],[stock_level]]/WarehouseData[[#This Row],[daily_demand]]</f>
        <v>32.448573324485736</v>
      </c>
      <c r="AB300">
        <f>WarehouseData[[#This Row],[stock_level]]*WarehouseData[[#This Row],[unit_price]]</f>
        <v>85291.37999999999</v>
      </c>
      <c r="AC300">
        <f>WarehouseData[[#This Row],[stock_level]]*WarehouseData[[#This Row],[holding_cost_per_unit_day]]*30</f>
        <v>27432.9</v>
      </c>
      <c r="AD300" t="str">
        <f>IF(WarehouseData[[#This Row],[order_fulfillment_rate]]&gt;=0.9,"Strong",IF(WarehouseData[[#This Row],[order_fulfillment_rate]]&gt;=0.8,"Moderate","Needs Attention"))</f>
        <v>Moderate</v>
      </c>
      <c r="AE300" t="str">
        <f>IF(WarehouseData[[#This Row],[picking_time_seconds]]&gt;120,"Slow",IF(WarehouseData[[#This Row],[picking_time_seconds]]&gt;=60,"Average","Fast"))</f>
        <v>Slow</v>
      </c>
    </row>
    <row r="301" spans="1:31" x14ac:dyDescent="0.25">
      <c r="A301" t="s">
        <v>435</v>
      </c>
      <c r="B301" t="s">
        <v>73</v>
      </c>
      <c r="C301">
        <v>356</v>
      </c>
      <c r="D301">
        <v>60</v>
      </c>
      <c r="E301">
        <v>6</v>
      </c>
      <c r="F301">
        <v>7</v>
      </c>
      <c r="G301">
        <v>10</v>
      </c>
      <c r="H301">
        <v>7.8</v>
      </c>
      <c r="I301">
        <v>0.28999999999999998</v>
      </c>
      <c r="J301" t="s">
        <v>223</v>
      </c>
      <c r="K301" t="s">
        <v>34</v>
      </c>
      <c r="L301">
        <v>120</v>
      </c>
      <c r="M301">
        <v>2.77</v>
      </c>
      <c r="N301">
        <v>132.71</v>
      </c>
      <c r="O301">
        <v>1.35</v>
      </c>
      <c r="P301">
        <v>1</v>
      </c>
      <c r="Q301">
        <v>0.95</v>
      </c>
      <c r="R301">
        <v>174</v>
      </c>
      <c r="S301">
        <v>7.67</v>
      </c>
      <c r="T301">
        <v>0.85</v>
      </c>
      <c r="U301" s="1">
        <v>45363</v>
      </c>
      <c r="V301">
        <v>86.91</v>
      </c>
      <c r="W301">
        <v>0.70699999999999996</v>
      </c>
      <c r="X301" t="str">
        <f>IF(WarehouseData[[#This Row],[stock_level]]&lt;=WarehouseData[[#This Row],[reorder_point]],"Low Stock","Sufficient Stock")</f>
        <v>Sufficient Stock</v>
      </c>
      <c r="Y301">
        <f>WarehouseData[[#This Row],[daily_demand]]*WarehouseData[[#This Row],[lead_time_days]]</f>
        <v>70</v>
      </c>
      <c r="Z301" t="str">
        <f>IF(WarehouseData[[#This Row],[stock_level]]&lt;=WarehouseData[[#This Row],[Demand During Lead Time]],"At Risk","Safe")</f>
        <v>Safe</v>
      </c>
      <c r="AA301">
        <f>WarehouseData[[#This Row],[stock_level]]/WarehouseData[[#This Row],[daily_demand]]</f>
        <v>35.6</v>
      </c>
      <c r="AB301">
        <f>WarehouseData[[#This Row],[stock_level]]*WarehouseData[[#This Row],[unit_price]]</f>
        <v>47244.76</v>
      </c>
      <c r="AC301">
        <f>WarehouseData[[#This Row],[stock_level]]*WarehouseData[[#This Row],[holding_cost_per_unit_day]]*30</f>
        <v>14418</v>
      </c>
      <c r="AD301" t="str">
        <f>IF(WarehouseData[[#This Row],[order_fulfillment_rate]]&gt;=0.9,"Strong",IF(WarehouseData[[#This Row],[order_fulfillment_rate]]&gt;=0.8,"Moderate","Needs Attention"))</f>
        <v>Strong</v>
      </c>
      <c r="AE301" t="str">
        <f>IF(WarehouseData[[#This Row],[picking_time_seconds]]&gt;120,"Slow",IF(WarehouseData[[#This Row],[picking_time_seconds]]&gt;=60,"Average","Fast"))</f>
        <v>Average</v>
      </c>
    </row>
    <row r="302" spans="1:31" x14ac:dyDescent="0.25">
      <c r="A302" t="s">
        <v>436</v>
      </c>
      <c r="B302" t="s">
        <v>36</v>
      </c>
      <c r="C302">
        <v>375</v>
      </c>
      <c r="D302">
        <v>52</v>
      </c>
      <c r="E302">
        <v>7</v>
      </c>
      <c r="F302">
        <v>9</v>
      </c>
      <c r="G302">
        <v>19.559999999999999</v>
      </c>
      <c r="H302">
        <v>4.5599999999999996</v>
      </c>
      <c r="I302">
        <v>0.66</v>
      </c>
      <c r="J302" t="s">
        <v>133</v>
      </c>
      <c r="K302" t="s">
        <v>34</v>
      </c>
      <c r="L302">
        <v>81</v>
      </c>
      <c r="M302">
        <v>1.1499999999999999</v>
      </c>
      <c r="N302">
        <v>35.770000000000003</v>
      </c>
      <c r="O302">
        <v>1.67</v>
      </c>
      <c r="P302">
        <v>1</v>
      </c>
      <c r="Q302">
        <v>0.99</v>
      </c>
      <c r="R302">
        <v>90</v>
      </c>
      <c r="S302">
        <v>4.5999999999999996</v>
      </c>
      <c r="T302">
        <v>0.65</v>
      </c>
      <c r="U302" s="1">
        <v>45429</v>
      </c>
      <c r="V302">
        <v>256.44</v>
      </c>
      <c r="W302">
        <v>0.60199999999999998</v>
      </c>
      <c r="X302" t="str">
        <f>IF(WarehouseData[[#This Row],[stock_level]]&lt;=WarehouseData[[#This Row],[reorder_point]],"Low Stock","Sufficient Stock")</f>
        <v>Sufficient Stock</v>
      </c>
      <c r="Y302">
        <f>WarehouseData[[#This Row],[daily_demand]]*WarehouseData[[#This Row],[lead_time_days]]</f>
        <v>176.04</v>
      </c>
      <c r="Z302" t="str">
        <f>IF(WarehouseData[[#This Row],[stock_level]]&lt;=WarehouseData[[#This Row],[Demand During Lead Time]],"At Risk","Safe")</f>
        <v>Safe</v>
      </c>
      <c r="AA302">
        <f>WarehouseData[[#This Row],[stock_level]]/WarehouseData[[#This Row],[daily_demand]]</f>
        <v>19.171779141104295</v>
      </c>
      <c r="AB302">
        <f>WarehouseData[[#This Row],[stock_level]]*WarehouseData[[#This Row],[unit_price]]</f>
        <v>13413.750000000002</v>
      </c>
      <c r="AC302">
        <f>WarehouseData[[#This Row],[stock_level]]*WarehouseData[[#This Row],[holding_cost_per_unit_day]]*30</f>
        <v>18787.5</v>
      </c>
      <c r="AD302" t="str">
        <f>IF(WarehouseData[[#This Row],[order_fulfillment_rate]]&gt;=0.9,"Strong",IF(WarehouseData[[#This Row],[order_fulfillment_rate]]&gt;=0.8,"Moderate","Needs Attention"))</f>
        <v>Strong</v>
      </c>
      <c r="AE302" t="str">
        <f>IF(WarehouseData[[#This Row],[picking_time_seconds]]&gt;120,"Slow",IF(WarehouseData[[#This Row],[picking_time_seconds]]&gt;=60,"Average","Fast"))</f>
        <v>Average</v>
      </c>
    </row>
    <row r="303" spans="1:31" x14ac:dyDescent="0.25">
      <c r="A303" t="s">
        <v>437</v>
      </c>
      <c r="B303" t="s">
        <v>36</v>
      </c>
      <c r="C303">
        <v>417</v>
      </c>
      <c r="D303">
        <v>95</v>
      </c>
      <c r="E303">
        <v>5</v>
      </c>
      <c r="F303">
        <v>2</v>
      </c>
      <c r="G303">
        <v>44.82</v>
      </c>
      <c r="H303">
        <v>8.2799999999999994</v>
      </c>
      <c r="I303">
        <v>0.32</v>
      </c>
      <c r="J303" t="s">
        <v>110</v>
      </c>
      <c r="K303" t="s">
        <v>34</v>
      </c>
      <c r="L303">
        <v>96</v>
      </c>
      <c r="M303">
        <v>4.3</v>
      </c>
      <c r="N303">
        <v>17.36</v>
      </c>
      <c r="O303">
        <v>1.5</v>
      </c>
      <c r="P303">
        <v>4</v>
      </c>
      <c r="Q303">
        <v>0.74</v>
      </c>
      <c r="R303">
        <v>386</v>
      </c>
      <c r="S303">
        <v>14.19</v>
      </c>
      <c r="T303">
        <v>0.94</v>
      </c>
      <c r="U303" s="1">
        <v>45446</v>
      </c>
      <c r="V303">
        <v>40.78</v>
      </c>
      <c r="W303">
        <v>0.69499999999999995</v>
      </c>
      <c r="X303" t="str">
        <f>IF(WarehouseData[[#This Row],[stock_level]]&lt;=WarehouseData[[#This Row],[reorder_point]],"Low Stock","Sufficient Stock")</f>
        <v>Sufficient Stock</v>
      </c>
      <c r="Y303">
        <f>WarehouseData[[#This Row],[daily_demand]]*WarehouseData[[#This Row],[lead_time_days]]</f>
        <v>89.64</v>
      </c>
      <c r="Z303" t="str">
        <f>IF(WarehouseData[[#This Row],[stock_level]]&lt;=WarehouseData[[#This Row],[Demand During Lead Time]],"At Risk","Safe")</f>
        <v>Safe</v>
      </c>
      <c r="AA303">
        <f>WarehouseData[[#This Row],[stock_level]]/WarehouseData[[#This Row],[daily_demand]]</f>
        <v>9.3038821954484607</v>
      </c>
      <c r="AB303">
        <f>WarehouseData[[#This Row],[stock_level]]*WarehouseData[[#This Row],[unit_price]]</f>
        <v>7239.12</v>
      </c>
      <c r="AC303">
        <f>WarehouseData[[#This Row],[stock_level]]*WarehouseData[[#This Row],[holding_cost_per_unit_day]]*30</f>
        <v>18765</v>
      </c>
      <c r="AD303" t="str">
        <f>IF(WarehouseData[[#This Row],[order_fulfillment_rate]]&gt;=0.9,"Strong",IF(WarehouseData[[#This Row],[order_fulfillment_rate]]&gt;=0.8,"Moderate","Needs Attention"))</f>
        <v>Needs Attention</v>
      </c>
      <c r="AE303" t="str">
        <f>IF(WarehouseData[[#This Row],[picking_time_seconds]]&gt;120,"Slow",IF(WarehouseData[[#This Row],[picking_time_seconds]]&gt;=60,"Average","Fast"))</f>
        <v>Average</v>
      </c>
    </row>
    <row r="304" spans="1:31" x14ac:dyDescent="0.25">
      <c r="A304" t="s">
        <v>438</v>
      </c>
      <c r="B304" t="s">
        <v>73</v>
      </c>
      <c r="C304">
        <v>157</v>
      </c>
      <c r="D304">
        <v>32</v>
      </c>
      <c r="E304">
        <v>6</v>
      </c>
      <c r="F304">
        <v>6</v>
      </c>
      <c r="G304">
        <v>1.48</v>
      </c>
      <c r="H304">
        <v>7.96</v>
      </c>
      <c r="I304">
        <v>0.89</v>
      </c>
      <c r="J304" t="s">
        <v>57</v>
      </c>
      <c r="K304" t="s">
        <v>46</v>
      </c>
      <c r="L304">
        <v>12</v>
      </c>
      <c r="M304">
        <v>3.4</v>
      </c>
      <c r="N304">
        <v>56.37</v>
      </c>
      <c r="O304">
        <v>1.43</v>
      </c>
      <c r="P304">
        <v>0</v>
      </c>
      <c r="Q304">
        <v>0.95</v>
      </c>
      <c r="R304">
        <v>734</v>
      </c>
      <c r="S304">
        <v>12.07</v>
      </c>
      <c r="T304">
        <v>0.34</v>
      </c>
      <c r="U304" s="1">
        <v>45429</v>
      </c>
      <c r="V304">
        <v>217.4</v>
      </c>
      <c r="W304">
        <v>0.67600000000000005</v>
      </c>
      <c r="X304" t="str">
        <f>IF(WarehouseData[[#This Row],[stock_level]]&lt;=WarehouseData[[#This Row],[reorder_point]],"Low Stock","Sufficient Stock")</f>
        <v>Sufficient Stock</v>
      </c>
      <c r="Y304">
        <f>WarehouseData[[#This Row],[daily_demand]]*WarehouseData[[#This Row],[lead_time_days]]</f>
        <v>8.879999999999999</v>
      </c>
      <c r="Z304" t="str">
        <f>IF(WarehouseData[[#This Row],[stock_level]]&lt;=WarehouseData[[#This Row],[Demand During Lead Time]],"At Risk","Safe")</f>
        <v>Safe</v>
      </c>
      <c r="AA304">
        <f>WarehouseData[[#This Row],[stock_level]]/WarehouseData[[#This Row],[daily_demand]]</f>
        <v>106.08108108108108</v>
      </c>
      <c r="AB304">
        <f>WarehouseData[[#This Row],[stock_level]]*WarehouseData[[#This Row],[unit_price]]</f>
        <v>8850.09</v>
      </c>
      <c r="AC304">
        <f>WarehouseData[[#This Row],[stock_level]]*WarehouseData[[#This Row],[holding_cost_per_unit_day]]*30</f>
        <v>6735.2999999999993</v>
      </c>
      <c r="AD304" t="str">
        <f>IF(WarehouseData[[#This Row],[order_fulfillment_rate]]&gt;=0.9,"Strong",IF(WarehouseData[[#This Row],[order_fulfillment_rate]]&gt;=0.8,"Moderate","Needs Attention"))</f>
        <v>Strong</v>
      </c>
      <c r="AE304" t="str">
        <f>IF(WarehouseData[[#This Row],[picking_time_seconds]]&gt;120,"Slow",IF(WarehouseData[[#This Row],[picking_time_seconds]]&gt;=60,"Average","Fast"))</f>
        <v>Fast</v>
      </c>
    </row>
    <row r="305" spans="1:31" x14ac:dyDescent="0.25">
      <c r="A305" t="s">
        <v>439</v>
      </c>
      <c r="B305" t="s">
        <v>36</v>
      </c>
      <c r="C305">
        <v>182</v>
      </c>
      <c r="D305">
        <v>65</v>
      </c>
      <c r="E305">
        <v>14</v>
      </c>
      <c r="F305">
        <v>9</v>
      </c>
      <c r="G305">
        <v>34.22</v>
      </c>
      <c r="H305">
        <v>9.33</v>
      </c>
      <c r="I305">
        <v>0.19</v>
      </c>
      <c r="J305" t="s">
        <v>49</v>
      </c>
      <c r="K305" t="s">
        <v>38</v>
      </c>
      <c r="L305">
        <v>174</v>
      </c>
      <c r="M305">
        <v>4.41</v>
      </c>
      <c r="N305">
        <v>81.89</v>
      </c>
      <c r="O305">
        <v>1.56</v>
      </c>
      <c r="P305">
        <v>6</v>
      </c>
      <c r="Q305">
        <v>0.95</v>
      </c>
      <c r="R305">
        <v>821</v>
      </c>
      <c r="S305">
        <v>11.88</v>
      </c>
      <c r="T305">
        <v>0.76</v>
      </c>
      <c r="U305" s="1">
        <v>45544</v>
      </c>
      <c r="V305">
        <v>28.25</v>
      </c>
      <c r="W305">
        <v>0.624</v>
      </c>
      <c r="X305" t="str">
        <f>IF(WarehouseData[[#This Row],[stock_level]]&lt;=WarehouseData[[#This Row],[reorder_point]],"Low Stock","Sufficient Stock")</f>
        <v>Sufficient Stock</v>
      </c>
      <c r="Y305">
        <f>WarehouseData[[#This Row],[daily_demand]]*WarehouseData[[#This Row],[lead_time_days]]</f>
        <v>307.98</v>
      </c>
      <c r="Z305" t="str">
        <f>IF(WarehouseData[[#This Row],[stock_level]]&lt;=WarehouseData[[#This Row],[Demand During Lead Time]],"At Risk","Safe")</f>
        <v>At Risk</v>
      </c>
      <c r="AA305">
        <f>WarehouseData[[#This Row],[stock_level]]/WarehouseData[[#This Row],[daily_demand]]</f>
        <v>5.3185271770894218</v>
      </c>
      <c r="AB305">
        <f>WarehouseData[[#This Row],[stock_level]]*WarehouseData[[#This Row],[unit_price]]</f>
        <v>14903.98</v>
      </c>
      <c r="AC305">
        <f>WarehouseData[[#This Row],[stock_level]]*WarehouseData[[#This Row],[holding_cost_per_unit_day]]*30</f>
        <v>8517.6</v>
      </c>
      <c r="AD305" t="str">
        <f>IF(WarehouseData[[#This Row],[order_fulfillment_rate]]&gt;=0.9,"Strong",IF(WarehouseData[[#This Row],[order_fulfillment_rate]]&gt;=0.8,"Moderate","Needs Attention"))</f>
        <v>Strong</v>
      </c>
      <c r="AE305" t="str">
        <f>IF(WarehouseData[[#This Row],[picking_time_seconds]]&gt;120,"Slow",IF(WarehouseData[[#This Row],[picking_time_seconds]]&gt;=60,"Average","Fast"))</f>
        <v>Slow</v>
      </c>
    </row>
    <row r="306" spans="1:31" x14ac:dyDescent="0.25">
      <c r="A306" t="s">
        <v>440</v>
      </c>
      <c r="B306" t="s">
        <v>40</v>
      </c>
      <c r="C306">
        <v>428</v>
      </c>
      <c r="D306">
        <v>28</v>
      </c>
      <c r="E306">
        <v>10</v>
      </c>
      <c r="F306">
        <v>4</v>
      </c>
      <c r="G306">
        <v>24.38</v>
      </c>
      <c r="H306">
        <v>7.69</v>
      </c>
      <c r="I306">
        <v>0.13</v>
      </c>
      <c r="J306" t="s">
        <v>156</v>
      </c>
      <c r="K306" t="s">
        <v>52</v>
      </c>
      <c r="L306">
        <v>102</v>
      </c>
      <c r="M306">
        <v>4.7</v>
      </c>
      <c r="N306">
        <v>169.14</v>
      </c>
      <c r="O306">
        <v>1.06</v>
      </c>
      <c r="P306">
        <v>1</v>
      </c>
      <c r="Q306">
        <v>0.82</v>
      </c>
      <c r="R306">
        <v>375</v>
      </c>
      <c r="S306">
        <v>13.59</v>
      </c>
      <c r="T306">
        <v>0.56999999999999995</v>
      </c>
      <c r="U306" s="1">
        <v>45366</v>
      </c>
      <c r="V306">
        <v>19.510000000000002</v>
      </c>
      <c r="W306">
        <v>0.73299999999999998</v>
      </c>
      <c r="X306" t="str">
        <f>IF(WarehouseData[[#This Row],[stock_level]]&lt;=WarehouseData[[#This Row],[reorder_point]],"Low Stock","Sufficient Stock")</f>
        <v>Sufficient Stock</v>
      </c>
      <c r="Y306">
        <f>WarehouseData[[#This Row],[daily_demand]]*WarehouseData[[#This Row],[lead_time_days]]</f>
        <v>97.52</v>
      </c>
      <c r="Z306" t="str">
        <f>IF(WarehouseData[[#This Row],[stock_level]]&lt;=WarehouseData[[#This Row],[Demand During Lead Time]],"At Risk","Safe")</f>
        <v>Safe</v>
      </c>
      <c r="AA306">
        <f>WarehouseData[[#This Row],[stock_level]]/WarehouseData[[#This Row],[daily_demand]]</f>
        <v>17.555373256767844</v>
      </c>
      <c r="AB306">
        <f>WarehouseData[[#This Row],[stock_level]]*WarehouseData[[#This Row],[unit_price]]</f>
        <v>72391.92</v>
      </c>
      <c r="AC306">
        <f>WarehouseData[[#This Row],[stock_level]]*WarehouseData[[#This Row],[holding_cost_per_unit_day]]*30</f>
        <v>13610.4</v>
      </c>
      <c r="AD306" t="str">
        <f>IF(WarehouseData[[#This Row],[order_fulfillment_rate]]&gt;=0.9,"Strong",IF(WarehouseData[[#This Row],[order_fulfillment_rate]]&gt;=0.8,"Moderate","Needs Attention"))</f>
        <v>Moderate</v>
      </c>
      <c r="AE306" t="str">
        <f>IF(WarehouseData[[#This Row],[picking_time_seconds]]&gt;120,"Slow",IF(WarehouseData[[#This Row],[picking_time_seconds]]&gt;=60,"Average","Fast"))</f>
        <v>Average</v>
      </c>
    </row>
    <row r="307" spans="1:31" x14ac:dyDescent="0.25">
      <c r="A307" t="s">
        <v>441</v>
      </c>
      <c r="B307" t="s">
        <v>32</v>
      </c>
      <c r="C307">
        <v>406</v>
      </c>
      <c r="D307">
        <v>91</v>
      </c>
      <c r="E307">
        <v>6</v>
      </c>
      <c r="F307">
        <v>5</v>
      </c>
      <c r="G307">
        <v>8.89</v>
      </c>
      <c r="H307">
        <v>0.99</v>
      </c>
      <c r="I307">
        <v>0.18</v>
      </c>
      <c r="J307" t="s">
        <v>156</v>
      </c>
      <c r="K307" t="s">
        <v>34</v>
      </c>
      <c r="L307">
        <v>50</v>
      </c>
      <c r="M307">
        <v>4.13</v>
      </c>
      <c r="N307">
        <v>150.84</v>
      </c>
      <c r="O307">
        <v>0.97</v>
      </c>
      <c r="P307">
        <v>3</v>
      </c>
      <c r="Q307">
        <v>0.73</v>
      </c>
      <c r="R307">
        <v>734</v>
      </c>
      <c r="S307">
        <v>11.15</v>
      </c>
      <c r="T307">
        <v>0.32</v>
      </c>
      <c r="U307" s="1">
        <v>45324</v>
      </c>
      <c r="V307">
        <v>268.48</v>
      </c>
      <c r="W307">
        <v>0.60199999999999998</v>
      </c>
      <c r="X307" t="str">
        <f>IF(WarehouseData[[#This Row],[stock_level]]&lt;=WarehouseData[[#This Row],[reorder_point]],"Low Stock","Sufficient Stock")</f>
        <v>Sufficient Stock</v>
      </c>
      <c r="Y307">
        <f>WarehouseData[[#This Row],[daily_demand]]*WarehouseData[[#This Row],[lead_time_days]]</f>
        <v>44.45</v>
      </c>
      <c r="Z307" t="str">
        <f>IF(WarehouseData[[#This Row],[stock_level]]&lt;=WarehouseData[[#This Row],[Demand During Lead Time]],"At Risk","Safe")</f>
        <v>Safe</v>
      </c>
      <c r="AA307">
        <f>WarehouseData[[#This Row],[stock_level]]/WarehouseData[[#This Row],[daily_demand]]</f>
        <v>45.669291338582674</v>
      </c>
      <c r="AB307">
        <f>WarehouseData[[#This Row],[stock_level]]*WarehouseData[[#This Row],[unit_price]]</f>
        <v>61241.04</v>
      </c>
      <c r="AC307">
        <f>WarehouseData[[#This Row],[stock_level]]*WarehouseData[[#This Row],[holding_cost_per_unit_day]]*30</f>
        <v>11814.6</v>
      </c>
      <c r="AD307" t="str">
        <f>IF(WarehouseData[[#This Row],[order_fulfillment_rate]]&gt;=0.9,"Strong",IF(WarehouseData[[#This Row],[order_fulfillment_rate]]&gt;=0.8,"Moderate","Needs Attention"))</f>
        <v>Needs Attention</v>
      </c>
      <c r="AE307" t="str">
        <f>IF(WarehouseData[[#This Row],[picking_time_seconds]]&gt;120,"Slow",IF(WarehouseData[[#This Row],[picking_time_seconds]]&gt;=60,"Average","Fast"))</f>
        <v>Fast</v>
      </c>
    </row>
    <row r="308" spans="1:31" x14ac:dyDescent="0.25">
      <c r="A308" t="s">
        <v>442</v>
      </c>
      <c r="B308" t="s">
        <v>73</v>
      </c>
      <c r="C308">
        <v>130</v>
      </c>
      <c r="D308">
        <v>85</v>
      </c>
      <c r="E308">
        <v>11</v>
      </c>
      <c r="F308">
        <v>9</v>
      </c>
      <c r="G308">
        <v>16.73</v>
      </c>
      <c r="H308">
        <v>8.4499999999999993</v>
      </c>
      <c r="I308">
        <v>0.86</v>
      </c>
      <c r="J308" t="s">
        <v>137</v>
      </c>
      <c r="K308" t="s">
        <v>38</v>
      </c>
      <c r="L308">
        <v>157</v>
      </c>
      <c r="M308">
        <v>4.8099999999999996</v>
      </c>
      <c r="N308">
        <v>191.52</v>
      </c>
      <c r="O308">
        <v>0.4</v>
      </c>
      <c r="P308">
        <v>8</v>
      </c>
      <c r="Q308">
        <v>1</v>
      </c>
      <c r="R308">
        <v>235</v>
      </c>
      <c r="S308">
        <v>8.09</v>
      </c>
      <c r="T308">
        <v>0.26</v>
      </c>
      <c r="U308" s="1">
        <v>45377</v>
      </c>
      <c r="V308">
        <v>233.46</v>
      </c>
      <c r="W308">
        <v>0.56000000000000005</v>
      </c>
      <c r="X308" t="str">
        <f>IF(WarehouseData[[#This Row],[stock_level]]&lt;=WarehouseData[[#This Row],[reorder_point]],"Low Stock","Sufficient Stock")</f>
        <v>Sufficient Stock</v>
      </c>
      <c r="Y308">
        <f>WarehouseData[[#This Row],[daily_demand]]*WarehouseData[[#This Row],[lead_time_days]]</f>
        <v>150.57</v>
      </c>
      <c r="Z308" t="str">
        <f>IF(WarehouseData[[#This Row],[stock_level]]&lt;=WarehouseData[[#This Row],[Demand During Lead Time]],"At Risk","Safe")</f>
        <v>At Risk</v>
      </c>
      <c r="AA308">
        <f>WarehouseData[[#This Row],[stock_level]]/WarehouseData[[#This Row],[daily_demand]]</f>
        <v>7.770472205618649</v>
      </c>
      <c r="AB308">
        <f>WarehouseData[[#This Row],[stock_level]]*WarehouseData[[#This Row],[unit_price]]</f>
        <v>24897.600000000002</v>
      </c>
      <c r="AC308">
        <f>WarehouseData[[#This Row],[stock_level]]*WarehouseData[[#This Row],[holding_cost_per_unit_day]]*30</f>
        <v>1560</v>
      </c>
      <c r="AD308" t="str">
        <f>IF(WarehouseData[[#This Row],[order_fulfillment_rate]]&gt;=0.9,"Strong",IF(WarehouseData[[#This Row],[order_fulfillment_rate]]&gt;=0.8,"Moderate","Needs Attention"))</f>
        <v>Strong</v>
      </c>
      <c r="AE308" t="str">
        <f>IF(WarehouseData[[#This Row],[picking_time_seconds]]&gt;120,"Slow",IF(WarehouseData[[#This Row],[picking_time_seconds]]&gt;=60,"Average","Fast"))</f>
        <v>Slow</v>
      </c>
    </row>
    <row r="309" spans="1:31" x14ac:dyDescent="0.25">
      <c r="A309" t="s">
        <v>443</v>
      </c>
      <c r="B309" t="s">
        <v>32</v>
      </c>
      <c r="C309">
        <v>121</v>
      </c>
      <c r="D309">
        <v>64</v>
      </c>
      <c r="E309">
        <v>11</v>
      </c>
      <c r="F309">
        <v>4</v>
      </c>
      <c r="G309">
        <v>12.02</v>
      </c>
      <c r="H309">
        <v>9.41</v>
      </c>
      <c r="I309">
        <v>0.69</v>
      </c>
      <c r="J309" t="s">
        <v>98</v>
      </c>
      <c r="K309" t="s">
        <v>34</v>
      </c>
      <c r="L309">
        <v>96</v>
      </c>
      <c r="M309">
        <v>4.79</v>
      </c>
      <c r="N309">
        <v>116.24</v>
      </c>
      <c r="O309">
        <v>1.7</v>
      </c>
      <c r="P309">
        <v>7</v>
      </c>
      <c r="Q309">
        <v>0.9</v>
      </c>
      <c r="R309">
        <v>290</v>
      </c>
      <c r="S309">
        <v>6.48</v>
      </c>
      <c r="T309">
        <v>0.57999999999999996</v>
      </c>
      <c r="U309" s="1">
        <v>45514</v>
      </c>
      <c r="V309">
        <v>183.59</v>
      </c>
      <c r="W309">
        <v>0.47199999999999998</v>
      </c>
      <c r="X309" t="str">
        <f>IF(WarehouseData[[#This Row],[stock_level]]&lt;=WarehouseData[[#This Row],[reorder_point]],"Low Stock","Sufficient Stock")</f>
        <v>Sufficient Stock</v>
      </c>
      <c r="Y309">
        <f>WarehouseData[[#This Row],[daily_demand]]*WarehouseData[[#This Row],[lead_time_days]]</f>
        <v>48.08</v>
      </c>
      <c r="Z309" t="str">
        <f>IF(WarehouseData[[#This Row],[stock_level]]&lt;=WarehouseData[[#This Row],[Demand During Lead Time]],"At Risk","Safe")</f>
        <v>Safe</v>
      </c>
      <c r="AA309">
        <f>WarehouseData[[#This Row],[stock_level]]/WarehouseData[[#This Row],[daily_demand]]</f>
        <v>10.066555740432612</v>
      </c>
      <c r="AB309">
        <f>WarehouseData[[#This Row],[stock_level]]*WarehouseData[[#This Row],[unit_price]]</f>
        <v>14065.039999999999</v>
      </c>
      <c r="AC309">
        <f>WarehouseData[[#This Row],[stock_level]]*WarehouseData[[#This Row],[holding_cost_per_unit_day]]*30</f>
        <v>6171</v>
      </c>
      <c r="AD309" t="str">
        <f>IF(WarehouseData[[#This Row],[order_fulfillment_rate]]&gt;=0.9,"Strong",IF(WarehouseData[[#This Row],[order_fulfillment_rate]]&gt;=0.8,"Moderate","Needs Attention"))</f>
        <v>Strong</v>
      </c>
      <c r="AE309" t="str">
        <f>IF(WarehouseData[[#This Row],[picking_time_seconds]]&gt;120,"Slow",IF(WarehouseData[[#This Row],[picking_time_seconds]]&gt;=60,"Average","Fast"))</f>
        <v>Average</v>
      </c>
    </row>
    <row r="310" spans="1:31" x14ac:dyDescent="0.25">
      <c r="A310" t="s">
        <v>444</v>
      </c>
      <c r="B310" t="s">
        <v>36</v>
      </c>
      <c r="C310">
        <v>36</v>
      </c>
      <c r="D310">
        <v>69</v>
      </c>
      <c r="E310">
        <v>8</v>
      </c>
      <c r="F310">
        <v>7</v>
      </c>
      <c r="G310">
        <v>44.01</v>
      </c>
      <c r="H310">
        <v>9.94</v>
      </c>
      <c r="I310">
        <v>0.96</v>
      </c>
      <c r="J310" t="s">
        <v>54</v>
      </c>
      <c r="K310" t="s">
        <v>46</v>
      </c>
      <c r="L310">
        <v>177</v>
      </c>
      <c r="M310">
        <v>3.29</v>
      </c>
      <c r="N310">
        <v>152.07</v>
      </c>
      <c r="O310">
        <v>0.18</v>
      </c>
      <c r="P310">
        <v>9</v>
      </c>
      <c r="Q310">
        <v>0.99</v>
      </c>
      <c r="R310">
        <v>388</v>
      </c>
      <c r="S310">
        <v>10.86</v>
      </c>
      <c r="T310">
        <v>0.39</v>
      </c>
      <c r="U310" s="1">
        <v>45433</v>
      </c>
      <c r="V310">
        <v>59.88</v>
      </c>
      <c r="W310">
        <v>0.623</v>
      </c>
      <c r="X310" t="str">
        <f>IF(WarehouseData[[#This Row],[stock_level]]&lt;=WarehouseData[[#This Row],[reorder_point]],"Low Stock","Sufficient Stock")</f>
        <v>Low Stock</v>
      </c>
      <c r="Y310">
        <f>WarehouseData[[#This Row],[daily_demand]]*WarehouseData[[#This Row],[lead_time_days]]</f>
        <v>308.07</v>
      </c>
      <c r="Z310" t="str">
        <f>IF(WarehouseData[[#This Row],[stock_level]]&lt;=WarehouseData[[#This Row],[Demand During Lead Time]],"At Risk","Safe")</f>
        <v>At Risk</v>
      </c>
      <c r="AA310">
        <f>WarehouseData[[#This Row],[stock_level]]/WarehouseData[[#This Row],[daily_demand]]</f>
        <v>0.81799591002044991</v>
      </c>
      <c r="AB310">
        <f>WarehouseData[[#This Row],[stock_level]]*WarehouseData[[#This Row],[unit_price]]</f>
        <v>5474.5199999999995</v>
      </c>
      <c r="AC310">
        <f>WarehouseData[[#This Row],[stock_level]]*WarehouseData[[#This Row],[holding_cost_per_unit_day]]*30</f>
        <v>194.39999999999998</v>
      </c>
      <c r="AD310" t="str">
        <f>IF(WarehouseData[[#This Row],[order_fulfillment_rate]]&gt;=0.9,"Strong",IF(WarehouseData[[#This Row],[order_fulfillment_rate]]&gt;=0.8,"Moderate","Needs Attention"))</f>
        <v>Strong</v>
      </c>
      <c r="AE310" t="str">
        <f>IF(WarehouseData[[#This Row],[picking_time_seconds]]&gt;120,"Slow",IF(WarehouseData[[#This Row],[picking_time_seconds]]&gt;=60,"Average","Fast"))</f>
        <v>Slow</v>
      </c>
    </row>
    <row r="311" spans="1:31" x14ac:dyDescent="0.25">
      <c r="A311" t="s">
        <v>445</v>
      </c>
      <c r="B311" t="s">
        <v>36</v>
      </c>
      <c r="C311">
        <v>287</v>
      </c>
      <c r="D311">
        <v>68</v>
      </c>
      <c r="E311">
        <v>4</v>
      </c>
      <c r="F311">
        <v>7</v>
      </c>
      <c r="G311">
        <v>24.61</v>
      </c>
      <c r="H311">
        <v>1.69</v>
      </c>
      <c r="I311">
        <v>0.4</v>
      </c>
      <c r="J311" t="s">
        <v>68</v>
      </c>
      <c r="K311" t="s">
        <v>52</v>
      </c>
      <c r="L311">
        <v>94</v>
      </c>
      <c r="M311">
        <v>3.78</v>
      </c>
      <c r="N311">
        <v>62.3</v>
      </c>
      <c r="O311">
        <v>0.61</v>
      </c>
      <c r="P311">
        <v>1</v>
      </c>
      <c r="Q311">
        <v>0.85</v>
      </c>
      <c r="R311">
        <v>143</v>
      </c>
      <c r="S311">
        <v>9.44</v>
      </c>
      <c r="T311">
        <v>0.4</v>
      </c>
      <c r="U311" s="1">
        <v>45507</v>
      </c>
      <c r="V311">
        <v>90.87</v>
      </c>
      <c r="W311">
        <v>0.69499999999999995</v>
      </c>
      <c r="X311" t="str">
        <f>IF(WarehouseData[[#This Row],[stock_level]]&lt;=WarehouseData[[#This Row],[reorder_point]],"Low Stock","Sufficient Stock")</f>
        <v>Sufficient Stock</v>
      </c>
      <c r="Y311">
        <f>WarehouseData[[#This Row],[daily_demand]]*WarehouseData[[#This Row],[lead_time_days]]</f>
        <v>172.26999999999998</v>
      </c>
      <c r="Z311" t="str">
        <f>IF(WarehouseData[[#This Row],[stock_level]]&lt;=WarehouseData[[#This Row],[Demand During Lead Time]],"At Risk","Safe")</f>
        <v>Safe</v>
      </c>
      <c r="AA311">
        <f>WarehouseData[[#This Row],[stock_level]]/WarehouseData[[#This Row],[daily_demand]]</f>
        <v>11.661926046322634</v>
      </c>
      <c r="AB311">
        <f>WarehouseData[[#This Row],[stock_level]]*WarehouseData[[#This Row],[unit_price]]</f>
        <v>17880.099999999999</v>
      </c>
      <c r="AC311">
        <f>WarehouseData[[#This Row],[stock_level]]*WarehouseData[[#This Row],[holding_cost_per_unit_day]]*30</f>
        <v>5252.0999999999995</v>
      </c>
      <c r="AD311" t="str">
        <f>IF(WarehouseData[[#This Row],[order_fulfillment_rate]]&gt;=0.9,"Strong",IF(WarehouseData[[#This Row],[order_fulfillment_rate]]&gt;=0.8,"Moderate","Needs Attention"))</f>
        <v>Moderate</v>
      </c>
      <c r="AE311" t="str">
        <f>IF(WarehouseData[[#This Row],[picking_time_seconds]]&gt;120,"Slow",IF(WarehouseData[[#This Row],[picking_time_seconds]]&gt;=60,"Average","Fast"))</f>
        <v>Average</v>
      </c>
    </row>
    <row r="312" spans="1:31" x14ac:dyDescent="0.25">
      <c r="A312" t="s">
        <v>446</v>
      </c>
      <c r="B312" t="s">
        <v>73</v>
      </c>
      <c r="C312">
        <v>201</v>
      </c>
      <c r="D312">
        <v>42</v>
      </c>
      <c r="E312">
        <v>14</v>
      </c>
      <c r="F312">
        <v>3</v>
      </c>
      <c r="G312">
        <v>28.59</v>
      </c>
      <c r="H312">
        <v>6.33</v>
      </c>
      <c r="I312">
        <v>0.28999999999999998</v>
      </c>
      <c r="J312" t="s">
        <v>447</v>
      </c>
      <c r="K312" t="s">
        <v>38</v>
      </c>
      <c r="L312">
        <v>145</v>
      </c>
      <c r="M312">
        <v>3.65</v>
      </c>
      <c r="N312">
        <v>139.12</v>
      </c>
      <c r="O312">
        <v>1.0900000000000001</v>
      </c>
      <c r="P312">
        <v>3</v>
      </c>
      <c r="Q312">
        <v>0.82</v>
      </c>
      <c r="R312">
        <v>968</v>
      </c>
      <c r="S312">
        <v>8.6</v>
      </c>
      <c r="T312">
        <v>0.46</v>
      </c>
      <c r="U312" s="1">
        <v>45445</v>
      </c>
      <c r="V312">
        <v>24.1</v>
      </c>
      <c r="W312">
        <v>0.60199999999999998</v>
      </c>
      <c r="X312" t="str">
        <f>IF(WarehouseData[[#This Row],[stock_level]]&lt;=WarehouseData[[#This Row],[reorder_point]],"Low Stock","Sufficient Stock")</f>
        <v>Sufficient Stock</v>
      </c>
      <c r="Y312">
        <f>WarehouseData[[#This Row],[daily_demand]]*WarehouseData[[#This Row],[lead_time_days]]</f>
        <v>85.77</v>
      </c>
      <c r="Z312" t="str">
        <f>IF(WarehouseData[[#This Row],[stock_level]]&lt;=WarehouseData[[#This Row],[Demand During Lead Time]],"At Risk","Safe")</f>
        <v>Safe</v>
      </c>
      <c r="AA312">
        <f>WarehouseData[[#This Row],[stock_level]]/WarehouseData[[#This Row],[daily_demand]]</f>
        <v>7.0304302203567683</v>
      </c>
      <c r="AB312">
        <f>WarehouseData[[#This Row],[stock_level]]*WarehouseData[[#This Row],[unit_price]]</f>
        <v>27963.120000000003</v>
      </c>
      <c r="AC312">
        <f>WarehouseData[[#This Row],[stock_level]]*WarehouseData[[#This Row],[holding_cost_per_unit_day]]*30</f>
        <v>6572.7</v>
      </c>
      <c r="AD312" t="str">
        <f>IF(WarehouseData[[#This Row],[order_fulfillment_rate]]&gt;=0.9,"Strong",IF(WarehouseData[[#This Row],[order_fulfillment_rate]]&gt;=0.8,"Moderate","Needs Attention"))</f>
        <v>Moderate</v>
      </c>
      <c r="AE312" t="str">
        <f>IF(WarehouseData[[#This Row],[picking_time_seconds]]&gt;120,"Slow",IF(WarehouseData[[#This Row],[picking_time_seconds]]&gt;=60,"Average","Fast"))</f>
        <v>Slow</v>
      </c>
    </row>
    <row r="313" spans="1:31" x14ac:dyDescent="0.25">
      <c r="A313" t="s">
        <v>448</v>
      </c>
      <c r="B313" t="s">
        <v>40</v>
      </c>
      <c r="C313">
        <v>391</v>
      </c>
      <c r="D313">
        <v>28</v>
      </c>
      <c r="E313">
        <v>12</v>
      </c>
      <c r="F313">
        <v>8</v>
      </c>
      <c r="G313">
        <v>30.09</v>
      </c>
      <c r="H313">
        <v>2.39</v>
      </c>
      <c r="I313">
        <v>0.61</v>
      </c>
      <c r="J313" t="s">
        <v>45</v>
      </c>
      <c r="K313" t="s">
        <v>38</v>
      </c>
      <c r="L313">
        <v>142</v>
      </c>
      <c r="M313">
        <v>3.3</v>
      </c>
      <c r="N313">
        <v>144.16999999999999</v>
      </c>
      <c r="O313">
        <v>1.95</v>
      </c>
      <c r="P313">
        <v>3</v>
      </c>
      <c r="Q313">
        <v>0.77</v>
      </c>
      <c r="R313">
        <v>465</v>
      </c>
      <c r="S313">
        <v>9.25</v>
      </c>
      <c r="T313">
        <v>0.77</v>
      </c>
      <c r="U313" s="1">
        <v>45539</v>
      </c>
      <c r="V313">
        <v>197.16</v>
      </c>
      <c r="W313">
        <v>0.57599999999999996</v>
      </c>
      <c r="X313" t="str">
        <f>IF(WarehouseData[[#This Row],[stock_level]]&lt;=WarehouseData[[#This Row],[reorder_point]],"Low Stock","Sufficient Stock")</f>
        <v>Sufficient Stock</v>
      </c>
      <c r="Y313">
        <f>WarehouseData[[#This Row],[daily_demand]]*WarehouseData[[#This Row],[lead_time_days]]</f>
        <v>240.72</v>
      </c>
      <c r="Z313" t="str">
        <f>IF(WarehouseData[[#This Row],[stock_level]]&lt;=WarehouseData[[#This Row],[Demand During Lead Time]],"At Risk","Safe")</f>
        <v>Safe</v>
      </c>
      <c r="AA313">
        <f>WarehouseData[[#This Row],[stock_level]]/WarehouseData[[#This Row],[daily_demand]]</f>
        <v>12.994350282485875</v>
      </c>
      <c r="AB313">
        <f>WarehouseData[[#This Row],[stock_level]]*WarehouseData[[#This Row],[unit_price]]</f>
        <v>56370.469999999994</v>
      </c>
      <c r="AC313">
        <f>WarehouseData[[#This Row],[stock_level]]*WarehouseData[[#This Row],[holding_cost_per_unit_day]]*30</f>
        <v>22873.499999999996</v>
      </c>
      <c r="AD313" t="str">
        <f>IF(WarehouseData[[#This Row],[order_fulfillment_rate]]&gt;=0.9,"Strong",IF(WarehouseData[[#This Row],[order_fulfillment_rate]]&gt;=0.8,"Moderate","Needs Attention"))</f>
        <v>Needs Attention</v>
      </c>
      <c r="AE313" t="str">
        <f>IF(WarehouseData[[#This Row],[picking_time_seconds]]&gt;120,"Slow",IF(WarehouseData[[#This Row],[picking_time_seconds]]&gt;=60,"Average","Fast"))</f>
        <v>Slow</v>
      </c>
    </row>
    <row r="314" spans="1:31" x14ac:dyDescent="0.25">
      <c r="A314" t="s">
        <v>449</v>
      </c>
      <c r="B314" t="s">
        <v>48</v>
      </c>
      <c r="C314">
        <v>43</v>
      </c>
      <c r="D314">
        <v>37</v>
      </c>
      <c r="E314">
        <v>13</v>
      </c>
      <c r="F314">
        <v>6</v>
      </c>
      <c r="G314">
        <v>32.340000000000003</v>
      </c>
      <c r="H314">
        <v>2.99</v>
      </c>
      <c r="I314">
        <v>0.57999999999999996</v>
      </c>
      <c r="J314" t="s">
        <v>202</v>
      </c>
      <c r="K314" t="s">
        <v>52</v>
      </c>
      <c r="L314">
        <v>34</v>
      </c>
      <c r="M314">
        <v>0.59</v>
      </c>
      <c r="N314">
        <v>171.2</v>
      </c>
      <c r="O314">
        <v>1.59</v>
      </c>
      <c r="P314">
        <v>1</v>
      </c>
      <c r="Q314">
        <v>1</v>
      </c>
      <c r="R314">
        <v>112</v>
      </c>
      <c r="S314">
        <v>10.17</v>
      </c>
      <c r="T314">
        <v>0.33</v>
      </c>
      <c r="U314" s="1">
        <v>45331</v>
      </c>
      <c r="V314">
        <v>208.96</v>
      </c>
      <c r="W314">
        <v>0.623</v>
      </c>
      <c r="X314" t="str">
        <f>IF(WarehouseData[[#This Row],[stock_level]]&lt;=WarehouseData[[#This Row],[reorder_point]],"Low Stock","Sufficient Stock")</f>
        <v>Sufficient Stock</v>
      </c>
      <c r="Y314">
        <f>WarehouseData[[#This Row],[daily_demand]]*WarehouseData[[#This Row],[lead_time_days]]</f>
        <v>194.04000000000002</v>
      </c>
      <c r="Z314" t="str">
        <f>IF(WarehouseData[[#This Row],[stock_level]]&lt;=WarehouseData[[#This Row],[Demand During Lead Time]],"At Risk","Safe")</f>
        <v>At Risk</v>
      </c>
      <c r="AA314">
        <f>WarehouseData[[#This Row],[stock_level]]/WarehouseData[[#This Row],[daily_demand]]</f>
        <v>1.3296227581941866</v>
      </c>
      <c r="AB314">
        <f>WarehouseData[[#This Row],[stock_level]]*WarehouseData[[#This Row],[unit_price]]</f>
        <v>7361.5999999999995</v>
      </c>
      <c r="AC314">
        <f>WarehouseData[[#This Row],[stock_level]]*WarehouseData[[#This Row],[holding_cost_per_unit_day]]*30</f>
        <v>2051.1000000000004</v>
      </c>
      <c r="AD314" t="str">
        <f>IF(WarehouseData[[#This Row],[order_fulfillment_rate]]&gt;=0.9,"Strong",IF(WarehouseData[[#This Row],[order_fulfillment_rate]]&gt;=0.8,"Moderate","Needs Attention"))</f>
        <v>Strong</v>
      </c>
      <c r="AE314" t="str">
        <f>IF(WarehouseData[[#This Row],[picking_time_seconds]]&gt;120,"Slow",IF(WarehouseData[[#This Row],[picking_time_seconds]]&gt;=60,"Average","Fast"))</f>
        <v>Fast</v>
      </c>
    </row>
    <row r="315" spans="1:31" x14ac:dyDescent="0.25">
      <c r="A315" t="s">
        <v>450</v>
      </c>
      <c r="B315" t="s">
        <v>73</v>
      </c>
      <c r="C315">
        <v>48</v>
      </c>
      <c r="D315">
        <v>61</v>
      </c>
      <c r="E315">
        <v>9</v>
      </c>
      <c r="F315">
        <v>8</v>
      </c>
      <c r="G315">
        <v>25.28</v>
      </c>
      <c r="H315">
        <v>7.58</v>
      </c>
      <c r="I315">
        <v>0.63</v>
      </c>
      <c r="J315" t="s">
        <v>49</v>
      </c>
      <c r="K315" t="s">
        <v>46</v>
      </c>
      <c r="L315">
        <v>48</v>
      </c>
      <c r="M315">
        <v>2.1</v>
      </c>
      <c r="N315">
        <v>111.92</v>
      </c>
      <c r="O315">
        <v>0.8</v>
      </c>
      <c r="P315">
        <v>1</v>
      </c>
      <c r="Q315">
        <v>0.78</v>
      </c>
      <c r="R315">
        <v>782</v>
      </c>
      <c r="S315">
        <v>14.56</v>
      </c>
      <c r="T315">
        <v>0.77</v>
      </c>
      <c r="U315" s="1">
        <v>45476</v>
      </c>
      <c r="V315">
        <v>104.77</v>
      </c>
      <c r="W315">
        <v>0.80400000000000005</v>
      </c>
      <c r="X315" t="str">
        <f>IF(WarehouseData[[#This Row],[stock_level]]&lt;=WarehouseData[[#This Row],[reorder_point]],"Low Stock","Sufficient Stock")</f>
        <v>Low Stock</v>
      </c>
      <c r="Y315">
        <f>WarehouseData[[#This Row],[daily_demand]]*WarehouseData[[#This Row],[lead_time_days]]</f>
        <v>202.24</v>
      </c>
      <c r="Z315" t="str">
        <f>IF(WarehouseData[[#This Row],[stock_level]]&lt;=WarehouseData[[#This Row],[Demand During Lead Time]],"At Risk","Safe")</f>
        <v>At Risk</v>
      </c>
      <c r="AA315">
        <f>WarehouseData[[#This Row],[stock_level]]/WarehouseData[[#This Row],[daily_demand]]</f>
        <v>1.8987341772151898</v>
      </c>
      <c r="AB315">
        <f>WarehouseData[[#This Row],[stock_level]]*WarehouseData[[#This Row],[unit_price]]</f>
        <v>5372.16</v>
      </c>
      <c r="AC315">
        <f>WarehouseData[[#This Row],[stock_level]]*WarehouseData[[#This Row],[holding_cost_per_unit_day]]*30</f>
        <v>1152.0000000000002</v>
      </c>
      <c r="AD315" t="str">
        <f>IF(WarehouseData[[#This Row],[order_fulfillment_rate]]&gt;=0.9,"Strong",IF(WarehouseData[[#This Row],[order_fulfillment_rate]]&gt;=0.8,"Moderate","Needs Attention"))</f>
        <v>Needs Attention</v>
      </c>
      <c r="AE315" t="str">
        <f>IF(WarehouseData[[#This Row],[picking_time_seconds]]&gt;120,"Slow",IF(WarehouseData[[#This Row],[picking_time_seconds]]&gt;=60,"Average","Fast"))</f>
        <v>Fast</v>
      </c>
    </row>
    <row r="316" spans="1:31" x14ac:dyDescent="0.25">
      <c r="A316" t="s">
        <v>451</v>
      </c>
      <c r="B316" t="s">
        <v>48</v>
      </c>
      <c r="C316">
        <v>190</v>
      </c>
      <c r="D316">
        <v>58</v>
      </c>
      <c r="E316">
        <v>11</v>
      </c>
      <c r="F316">
        <v>9</v>
      </c>
      <c r="G316">
        <v>1.88</v>
      </c>
      <c r="H316">
        <v>9.7899999999999991</v>
      </c>
      <c r="I316">
        <v>0.41</v>
      </c>
      <c r="J316" t="s">
        <v>192</v>
      </c>
      <c r="K316" t="s">
        <v>52</v>
      </c>
      <c r="L316">
        <v>174</v>
      </c>
      <c r="M316">
        <v>0.95</v>
      </c>
      <c r="N316">
        <v>133.31</v>
      </c>
      <c r="O316">
        <v>1.46</v>
      </c>
      <c r="P316">
        <v>4</v>
      </c>
      <c r="Q316">
        <v>0.71</v>
      </c>
      <c r="R316">
        <v>569</v>
      </c>
      <c r="S316">
        <v>11.54</v>
      </c>
      <c r="T316">
        <v>0.83</v>
      </c>
      <c r="U316" s="1">
        <v>45420</v>
      </c>
      <c r="V316">
        <v>108.14</v>
      </c>
      <c r="W316">
        <v>0.63600000000000001</v>
      </c>
      <c r="X316" t="str">
        <f>IF(WarehouseData[[#This Row],[stock_level]]&lt;=WarehouseData[[#This Row],[reorder_point]],"Low Stock","Sufficient Stock")</f>
        <v>Sufficient Stock</v>
      </c>
      <c r="Y316">
        <f>WarehouseData[[#This Row],[daily_demand]]*WarehouseData[[#This Row],[lead_time_days]]</f>
        <v>16.919999999999998</v>
      </c>
      <c r="Z316" t="str">
        <f>IF(WarehouseData[[#This Row],[stock_level]]&lt;=WarehouseData[[#This Row],[Demand During Lead Time]],"At Risk","Safe")</f>
        <v>Safe</v>
      </c>
      <c r="AA316">
        <f>WarehouseData[[#This Row],[stock_level]]/WarehouseData[[#This Row],[daily_demand]]</f>
        <v>101.06382978723404</v>
      </c>
      <c r="AB316">
        <f>WarehouseData[[#This Row],[stock_level]]*WarehouseData[[#This Row],[unit_price]]</f>
        <v>25328.9</v>
      </c>
      <c r="AC316">
        <f>WarehouseData[[#This Row],[stock_level]]*WarehouseData[[#This Row],[holding_cost_per_unit_day]]*30</f>
        <v>8322</v>
      </c>
      <c r="AD316" t="str">
        <f>IF(WarehouseData[[#This Row],[order_fulfillment_rate]]&gt;=0.9,"Strong",IF(WarehouseData[[#This Row],[order_fulfillment_rate]]&gt;=0.8,"Moderate","Needs Attention"))</f>
        <v>Needs Attention</v>
      </c>
      <c r="AE316" t="str">
        <f>IF(WarehouseData[[#This Row],[picking_time_seconds]]&gt;120,"Slow",IF(WarehouseData[[#This Row],[picking_time_seconds]]&gt;=60,"Average","Fast"))</f>
        <v>Slow</v>
      </c>
    </row>
    <row r="317" spans="1:31" x14ac:dyDescent="0.25">
      <c r="A317" t="s">
        <v>452</v>
      </c>
      <c r="B317" t="s">
        <v>48</v>
      </c>
      <c r="C317">
        <v>428</v>
      </c>
      <c r="D317">
        <v>46</v>
      </c>
      <c r="E317">
        <v>8</v>
      </c>
      <c r="F317">
        <v>8</v>
      </c>
      <c r="G317">
        <v>17.399999999999999</v>
      </c>
      <c r="H317">
        <v>6.15</v>
      </c>
      <c r="I317">
        <v>0.11</v>
      </c>
      <c r="J317" t="s">
        <v>377</v>
      </c>
      <c r="K317" t="s">
        <v>38</v>
      </c>
      <c r="L317">
        <v>134</v>
      </c>
      <c r="M317">
        <v>1.85</v>
      </c>
      <c r="N317">
        <v>48.58</v>
      </c>
      <c r="O317">
        <v>1.87</v>
      </c>
      <c r="P317">
        <v>3</v>
      </c>
      <c r="Q317">
        <v>0.85</v>
      </c>
      <c r="R317">
        <v>774</v>
      </c>
      <c r="S317">
        <v>3.47</v>
      </c>
      <c r="T317">
        <v>0.68</v>
      </c>
      <c r="U317" s="1">
        <v>45418</v>
      </c>
      <c r="V317">
        <v>192.4</v>
      </c>
      <c r="W317">
        <v>0.505</v>
      </c>
      <c r="X317" t="str">
        <f>IF(WarehouseData[[#This Row],[stock_level]]&lt;=WarehouseData[[#This Row],[reorder_point]],"Low Stock","Sufficient Stock")</f>
        <v>Sufficient Stock</v>
      </c>
      <c r="Y317">
        <f>WarehouseData[[#This Row],[daily_demand]]*WarehouseData[[#This Row],[lead_time_days]]</f>
        <v>139.19999999999999</v>
      </c>
      <c r="Z317" t="str">
        <f>IF(WarehouseData[[#This Row],[stock_level]]&lt;=WarehouseData[[#This Row],[Demand During Lead Time]],"At Risk","Safe")</f>
        <v>Safe</v>
      </c>
      <c r="AA317">
        <f>WarehouseData[[#This Row],[stock_level]]/WarehouseData[[#This Row],[daily_demand]]</f>
        <v>24.597701149425291</v>
      </c>
      <c r="AB317">
        <f>WarehouseData[[#This Row],[stock_level]]*WarehouseData[[#This Row],[unit_price]]</f>
        <v>20792.239999999998</v>
      </c>
      <c r="AC317">
        <f>WarehouseData[[#This Row],[stock_level]]*WarehouseData[[#This Row],[holding_cost_per_unit_day]]*30</f>
        <v>24010.799999999999</v>
      </c>
      <c r="AD317" t="str">
        <f>IF(WarehouseData[[#This Row],[order_fulfillment_rate]]&gt;=0.9,"Strong",IF(WarehouseData[[#This Row],[order_fulfillment_rate]]&gt;=0.8,"Moderate","Needs Attention"))</f>
        <v>Moderate</v>
      </c>
      <c r="AE317" t="str">
        <f>IF(WarehouseData[[#This Row],[picking_time_seconds]]&gt;120,"Slow",IF(WarehouseData[[#This Row],[picking_time_seconds]]&gt;=60,"Average","Fast"))</f>
        <v>Slow</v>
      </c>
    </row>
    <row r="318" spans="1:31" x14ac:dyDescent="0.25">
      <c r="A318" t="s">
        <v>453</v>
      </c>
      <c r="B318" t="s">
        <v>40</v>
      </c>
      <c r="C318">
        <v>247</v>
      </c>
      <c r="D318">
        <v>35</v>
      </c>
      <c r="E318">
        <v>5</v>
      </c>
      <c r="F318">
        <v>6</v>
      </c>
      <c r="G318">
        <v>10.01</v>
      </c>
      <c r="H318">
        <v>8.58</v>
      </c>
      <c r="I318">
        <v>0.13</v>
      </c>
      <c r="J318" t="s">
        <v>144</v>
      </c>
      <c r="K318" t="s">
        <v>52</v>
      </c>
      <c r="L318">
        <v>114</v>
      </c>
      <c r="M318">
        <v>0.81</v>
      </c>
      <c r="N318">
        <v>149.97999999999999</v>
      </c>
      <c r="O318">
        <v>1.1200000000000001</v>
      </c>
      <c r="P318">
        <v>7</v>
      </c>
      <c r="Q318">
        <v>0.81</v>
      </c>
      <c r="R318">
        <v>258</v>
      </c>
      <c r="S318">
        <v>7.53</v>
      </c>
      <c r="T318">
        <v>0.4</v>
      </c>
      <c r="U318" s="1">
        <v>45612</v>
      </c>
      <c r="V318">
        <v>284.24</v>
      </c>
      <c r="W318">
        <v>0.49</v>
      </c>
      <c r="X318" t="str">
        <f>IF(WarehouseData[[#This Row],[stock_level]]&lt;=WarehouseData[[#This Row],[reorder_point]],"Low Stock","Sufficient Stock")</f>
        <v>Sufficient Stock</v>
      </c>
      <c r="Y318">
        <f>WarehouseData[[#This Row],[daily_demand]]*WarehouseData[[#This Row],[lead_time_days]]</f>
        <v>60.06</v>
      </c>
      <c r="Z318" t="str">
        <f>IF(WarehouseData[[#This Row],[stock_level]]&lt;=WarehouseData[[#This Row],[Demand During Lead Time]],"At Risk","Safe")</f>
        <v>Safe</v>
      </c>
      <c r="AA318">
        <f>WarehouseData[[#This Row],[stock_level]]/WarehouseData[[#This Row],[daily_demand]]</f>
        <v>24.675324675324674</v>
      </c>
      <c r="AB318">
        <f>WarehouseData[[#This Row],[stock_level]]*WarehouseData[[#This Row],[unit_price]]</f>
        <v>37045.06</v>
      </c>
      <c r="AC318">
        <f>WarehouseData[[#This Row],[stock_level]]*WarehouseData[[#This Row],[holding_cost_per_unit_day]]*30</f>
        <v>8299.2000000000007</v>
      </c>
      <c r="AD318" t="str">
        <f>IF(WarehouseData[[#This Row],[order_fulfillment_rate]]&gt;=0.9,"Strong",IF(WarehouseData[[#This Row],[order_fulfillment_rate]]&gt;=0.8,"Moderate","Needs Attention"))</f>
        <v>Moderate</v>
      </c>
      <c r="AE318" t="str">
        <f>IF(WarehouseData[[#This Row],[picking_time_seconds]]&gt;120,"Slow",IF(WarehouseData[[#This Row],[picking_time_seconds]]&gt;=60,"Average","Fast"))</f>
        <v>Average</v>
      </c>
    </row>
    <row r="319" spans="1:31" x14ac:dyDescent="0.25">
      <c r="A319" t="s">
        <v>454</v>
      </c>
      <c r="B319" t="s">
        <v>48</v>
      </c>
      <c r="C319">
        <v>397</v>
      </c>
      <c r="D319">
        <v>49</v>
      </c>
      <c r="E319">
        <v>9</v>
      </c>
      <c r="F319">
        <v>6</v>
      </c>
      <c r="G319">
        <v>34.33</v>
      </c>
      <c r="H319">
        <v>0.57999999999999996</v>
      </c>
      <c r="I319">
        <v>0.7</v>
      </c>
      <c r="J319" t="s">
        <v>122</v>
      </c>
      <c r="K319" t="s">
        <v>46</v>
      </c>
      <c r="L319">
        <v>14</v>
      </c>
      <c r="M319">
        <v>4.6399999999999997</v>
      </c>
      <c r="N319">
        <v>169.3</v>
      </c>
      <c r="O319">
        <v>0.98</v>
      </c>
      <c r="P319">
        <v>3</v>
      </c>
      <c r="Q319">
        <v>0.78</v>
      </c>
      <c r="R319">
        <v>258</v>
      </c>
      <c r="S319">
        <v>10.5</v>
      </c>
      <c r="T319">
        <v>0.24</v>
      </c>
      <c r="U319" s="1">
        <v>45545</v>
      </c>
      <c r="V319">
        <v>124.47</v>
      </c>
      <c r="W319">
        <v>0.58599999999999997</v>
      </c>
      <c r="X319" t="str">
        <f>IF(WarehouseData[[#This Row],[stock_level]]&lt;=WarehouseData[[#This Row],[reorder_point]],"Low Stock","Sufficient Stock")</f>
        <v>Sufficient Stock</v>
      </c>
      <c r="Y319">
        <f>WarehouseData[[#This Row],[daily_demand]]*WarehouseData[[#This Row],[lead_time_days]]</f>
        <v>205.98</v>
      </c>
      <c r="Z319" t="str">
        <f>IF(WarehouseData[[#This Row],[stock_level]]&lt;=WarehouseData[[#This Row],[Demand During Lead Time]],"At Risk","Safe")</f>
        <v>Safe</v>
      </c>
      <c r="AA319">
        <f>WarehouseData[[#This Row],[stock_level]]/WarehouseData[[#This Row],[daily_demand]]</f>
        <v>11.564229536848238</v>
      </c>
      <c r="AB319">
        <f>WarehouseData[[#This Row],[stock_level]]*WarehouseData[[#This Row],[unit_price]]</f>
        <v>67212.100000000006</v>
      </c>
      <c r="AC319">
        <f>WarehouseData[[#This Row],[stock_level]]*WarehouseData[[#This Row],[holding_cost_per_unit_day]]*30</f>
        <v>11671.8</v>
      </c>
      <c r="AD319" t="str">
        <f>IF(WarehouseData[[#This Row],[order_fulfillment_rate]]&gt;=0.9,"Strong",IF(WarehouseData[[#This Row],[order_fulfillment_rate]]&gt;=0.8,"Moderate","Needs Attention"))</f>
        <v>Needs Attention</v>
      </c>
      <c r="AE319" t="str">
        <f>IF(WarehouseData[[#This Row],[picking_time_seconds]]&gt;120,"Slow",IF(WarehouseData[[#This Row],[picking_time_seconds]]&gt;=60,"Average","Fast"))</f>
        <v>Fast</v>
      </c>
    </row>
    <row r="320" spans="1:31" x14ac:dyDescent="0.25">
      <c r="A320" t="s">
        <v>455</v>
      </c>
      <c r="B320" t="s">
        <v>48</v>
      </c>
      <c r="C320">
        <v>207</v>
      </c>
      <c r="D320">
        <v>89</v>
      </c>
      <c r="E320">
        <v>7</v>
      </c>
      <c r="F320">
        <v>9</v>
      </c>
      <c r="G320">
        <v>3.78</v>
      </c>
      <c r="H320">
        <v>0.85</v>
      </c>
      <c r="I320">
        <v>0.56999999999999995</v>
      </c>
      <c r="J320" t="s">
        <v>265</v>
      </c>
      <c r="K320" t="s">
        <v>46</v>
      </c>
      <c r="L320">
        <v>145</v>
      </c>
      <c r="M320">
        <v>2.5299999999999998</v>
      </c>
      <c r="N320">
        <v>122.81</v>
      </c>
      <c r="O320">
        <v>1.1499999999999999</v>
      </c>
      <c r="P320">
        <v>7</v>
      </c>
      <c r="Q320">
        <v>0.89</v>
      </c>
      <c r="R320">
        <v>425</v>
      </c>
      <c r="S320">
        <v>3.46</v>
      </c>
      <c r="T320">
        <v>0.53</v>
      </c>
      <c r="U320" s="1">
        <v>45596</v>
      </c>
      <c r="V320">
        <v>153.13999999999999</v>
      </c>
      <c r="W320">
        <v>0.47499999999999998</v>
      </c>
      <c r="X320" t="str">
        <f>IF(WarehouseData[[#This Row],[stock_level]]&lt;=WarehouseData[[#This Row],[reorder_point]],"Low Stock","Sufficient Stock")</f>
        <v>Sufficient Stock</v>
      </c>
      <c r="Y320">
        <f>WarehouseData[[#This Row],[daily_demand]]*WarehouseData[[#This Row],[lead_time_days]]</f>
        <v>34.019999999999996</v>
      </c>
      <c r="Z320" t="str">
        <f>IF(WarehouseData[[#This Row],[stock_level]]&lt;=WarehouseData[[#This Row],[Demand During Lead Time]],"At Risk","Safe")</f>
        <v>Safe</v>
      </c>
      <c r="AA320">
        <f>WarehouseData[[#This Row],[stock_level]]/WarehouseData[[#This Row],[daily_demand]]</f>
        <v>54.761904761904766</v>
      </c>
      <c r="AB320">
        <f>WarehouseData[[#This Row],[stock_level]]*WarehouseData[[#This Row],[unit_price]]</f>
        <v>25421.670000000002</v>
      </c>
      <c r="AC320">
        <f>WarehouseData[[#This Row],[stock_level]]*WarehouseData[[#This Row],[holding_cost_per_unit_day]]*30</f>
        <v>7141.4999999999991</v>
      </c>
      <c r="AD320" t="str">
        <f>IF(WarehouseData[[#This Row],[order_fulfillment_rate]]&gt;=0.9,"Strong",IF(WarehouseData[[#This Row],[order_fulfillment_rate]]&gt;=0.8,"Moderate","Needs Attention"))</f>
        <v>Moderate</v>
      </c>
      <c r="AE320" t="str">
        <f>IF(WarehouseData[[#This Row],[picking_time_seconds]]&gt;120,"Slow",IF(WarehouseData[[#This Row],[picking_time_seconds]]&gt;=60,"Average","Fast"))</f>
        <v>Slow</v>
      </c>
    </row>
    <row r="321" spans="1:31" x14ac:dyDescent="0.25">
      <c r="A321" t="s">
        <v>456</v>
      </c>
      <c r="B321" t="s">
        <v>40</v>
      </c>
      <c r="C321">
        <v>365</v>
      </c>
      <c r="D321">
        <v>47</v>
      </c>
      <c r="E321">
        <v>3</v>
      </c>
      <c r="F321">
        <v>7</v>
      </c>
      <c r="G321">
        <v>28.63</v>
      </c>
      <c r="H321">
        <v>6.17</v>
      </c>
      <c r="I321">
        <v>0.84</v>
      </c>
      <c r="J321" t="s">
        <v>90</v>
      </c>
      <c r="K321" t="s">
        <v>34</v>
      </c>
      <c r="L321">
        <v>13</v>
      </c>
      <c r="M321">
        <v>1.35</v>
      </c>
      <c r="N321">
        <v>31.98</v>
      </c>
      <c r="O321">
        <v>0.69</v>
      </c>
      <c r="P321">
        <v>4</v>
      </c>
      <c r="Q321">
        <v>0.81</v>
      </c>
      <c r="R321">
        <v>134</v>
      </c>
      <c r="S321">
        <v>14.06</v>
      </c>
      <c r="T321">
        <v>0.88</v>
      </c>
      <c r="U321" s="1">
        <v>45607</v>
      </c>
      <c r="V321">
        <v>212.5</v>
      </c>
      <c r="W321">
        <v>0.77600000000000002</v>
      </c>
      <c r="X321" t="str">
        <f>IF(WarehouseData[[#This Row],[stock_level]]&lt;=WarehouseData[[#This Row],[reorder_point]],"Low Stock","Sufficient Stock")</f>
        <v>Sufficient Stock</v>
      </c>
      <c r="Y321">
        <f>WarehouseData[[#This Row],[daily_demand]]*WarehouseData[[#This Row],[lead_time_days]]</f>
        <v>200.41</v>
      </c>
      <c r="Z321" t="str">
        <f>IF(WarehouseData[[#This Row],[stock_level]]&lt;=WarehouseData[[#This Row],[Demand During Lead Time]],"At Risk","Safe")</f>
        <v>Safe</v>
      </c>
      <c r="AA321">
        <f>WarehouseData[[#This Row],[stock_level]]/WarehouseData[[#This Row],[daily_demand]]</f>
        <v>12.748864827104436</v>
      </c>
      <c r="AB321">
        <f>WarehouseData[[#This Row],[stock_level]]*WarehouseData[[#This Row],[unit_price]]</f>
        <v>11672.7</v>
      </c>
      <c r="AC321">
        <f>WarehouseData[[#This Row],[stock_level]]*WarehouseData[[#This Row],[holding_cost_per_unit_day]]*30</f>
        <v>7555.5</v>
      </c>
      <c r="AD321" t="str">
        <f>IF(WarehouseData[[#This Row],[order_fulfillment_rate]]&gt;=0.9,"Strong",IF(WarehouseData[[#This Row],[order_fulfillment_rate]]&gt;=0.8,"Moderate","Needs Attention"))</f>
        <v>Moderate</v>
      </c>
      <c r="AE321" t="str">
        <f>IF(WarehouseData[[#This Row],[picking_time_seconds]]&gt;120,"Slow",IF(WarehouseData[[#This Row],[picking_time_seconds]]&gt;=60,"Average","Fast"))</f>
        <v>Fast</v>
      </c>
    </row>
    <row r="322" spans="1:31" x14ac:dyDescent="0.25">
      <c r="A322" t="s">
        <v>457</v>
      </c>
      <c r="B322" t="s">
        <v>48</v>
      </c>
      <c r="C322">
        <v>249</v>
      </c>
      <c r="D322">
        <v>86</v>
      </c>
      <c r="E322">
        <v>5</v>
      </c>
      <c r="F322">
        <v>6</v>
      </c>
      <c r="G322">
        <v>11.32</v>
      </c>
      <c r="H322">
        <v>4.2</v>
      </c>
      <c r="I322">
        <v>0.37</v>
      </c>
      <c r="J322" t="s">
        <v>62</v>
      </c>
      <c r="K322" t="s">
        <v>52</v>
      </c>
      <c r="L322">
        <v>178</v>
      </c>
      <c r="M322">
        <v>3.13</v>
      </c>
      <c r="N322">
        <v>69.44</v>
      </c>
      <c r="O322">
        <v>1.82</v>
      </c>
      <c r="P322">
        <v>0</v>
      </c>
      <c r="Q322">
        <v>0.82</v>
      </c>
      <c r="R322">
        <v>256</v>
      </c>
      <c r="S322">
        <v>2.08</v>
      </c>
      <c r="T322">
        <v>0.28000000000000003</v>
      </c>
      <c r="U322" s="1">
        <v>45392</v>
      </c>
      <c r="V322">
        <v>109.27</v>
      </c>
      <c r="W322">
        <v>0.46600000000000003</v>
      </c>
      <c r="X322" t="str">
        <f>IF(WarehouseData[[#This Row],[stock_level]]&lt;=WarehouseData[[#This Row],[reorder_point]],"Low Stock","Sufficient Stock")</f>
        <v>Sufficient Stock</v>
      </c>
      <c r="Y322">
        <f>WarehouseData[[#This Row],[daily_demand]]*WarehouseData[[#This Row],[lead_time_days]]</f>
        <v>67.92</v>
      </c>
      <c r="Z322" t="str">
        <f>IF(WarehouseData[[#This Row],[stock_level]]&lt;=WarehouseData[[#This Row],[Demand During Lead Time]],"At Risk","Safe")</f>
        <v>Safe</v>
      </c>
      <c r="AA322">
        <f>WarehouseData[[#This Row],[stock_level]]/WarehouseData[[#This Row],[daily_demand]]</f>
        <v>21.996466431095406</v>
      </c>
      <c r="AB322">
        <f>WarehouseData[[#This Row],[stock_level]]*WarehouseData[[#This Row],[unit_price]]</f>
        <v>17290.559999999998</v>
      </c>
      <c r="AC322">
        <f>WarehouseData[[#This Row],[stock_level]]*WarehouseData[[#This Row],[holding_cost_per_unit_day]]*30</f>
        <v>13595.4</v>
      </c>
      <c r="AD322" t="str">
        <f>IF(WarehouseData[[#This Row],[order_fulfillment_rate]]&gt;=0.9,"Strong",IF(WarehouseData[[#This Row],[order_fulfillment_rate]]&gt;=0.8,"Moderate","Needs Attention"))</f>
        <v>Moderate</v>
      </c>
      <c r="AE322" t="str">
        <f>IF(WarehouseData[[#This Row],[picking_time_seconds]]&gt;120,"Slow",IF(WarehouseData[[#This Row],[picking_time_seconds]]&gt;=60,"Average","Fast"))</f>
        <v>Slow</v>
      </c>
    </row>
    <row r="323" spans="1:31" x14ac:dyDescent="0.25">
      <c r="A323" t="s">
        <v>458</v>
      </c>
      <c r="B323" t="s">
        <v>48</v>
      </c>
      <c r="C323">
        <v>340</v>
      </c>
      <c r="D323">
        <v>96</v>
      </c>
      <c r="E323">
        <v>7</v>
      </c>
      <c r="F323">
        <v>2</v>
      </c>
      <c r="G323">
        <v>47.49</v>
      </c>
      <c r="H323">
        <v>8.9499999999999993</v>
      </c>
      <c r="I323">
        <v>0.83</v>
      </c>
      <c r="J323" t="s">
        <v>286</v>
      </c>
      <c r="K323" t="s">
        <v>52</v>
      </c>
      <c r="L323">
        <v>69</v>
      </c>
      <c r="M323">
        <v>1.38</v>
      </c>
      <c r="N323">
        <v>100.35</v>
      </c>
      <c r="O323">
        <v>1.61</v>
      </c>
      <c r="P323">
        <v>8</v>
      </c>
      <c r="Q323">
        <v>0.71</v>
      </c>
      <c r="R323">
        <v>396</v>
      </c>
      <c r="S323">
        <v>9.5500000000000007</v>
      </c>
      <c r="T323">
        <v>0.8</v>
      </c>
      <c r="U323" s="1">
        <v>45526</v>
      </c>
      <c r="V323">
        <v>261.97000000000003</v>
      </c>
      <c r="W323">
        <v>0.50800000000000001</v>
      </c>
      <c r="X323" t="str">
        <f>IF(WarehouseData[[#This Row],[stock_level]]&lt;=WarehouseData[[#This Row],[reorder_point]],"Low Stock","Sufficient Stock")</f>
        <v>Sufficient Stock</v>
      </c>
      <c r="Y323">
        <f>WarehouseData[[#This Row],[daily_demand]]*WarehouseData[[#This Row],[lead_time_days]]</f>
        <v>94.98</v>
      </c>
      <c r="Z323" t="str">
        <f>IF(WarehouseData[[#This Row],[stock_level]]&lt;=WarehouseData[[#This Row],[Demand During Lead Time]],"At Risk","Safe")</f>
        <v>Safe</v>
      </c>
      <c r="AA323">
        <f>WarehouseData[[#This Row],[stock_level]]/WarehouseData[[#This Row],[daily_demand]]</f>
        <v>7.159401979364076</v>
      </c>
      <c r="AB323">
        <f>WarehouseData[[#This Row],[stock_level]]*WarehouseData[[#This Row],[unit_price]]</f>
        <v>34119</v>
      </c>
      <c r="AC323">
        <f>WarehouseData[[#This Row],[stock_level]]*WarehouseData[[#This Row],[holding_cost_per_unit_day]]*30</f>
        <v>16422</v>
      </c>
      <c r="AD323" t="str">
        <f>IF(WarehouseData[[#This Row],[order_fulfillment_rate]]&gt;=0.9,"Strong",IF(WarehouseData[[#This Row],[order_fulfillment_rate]]&gt;=0.8,"Moderate","Needs Attention"))</f>
        <v>Needs Attention</v>
      </c>
      <c r="AE323" t="str">
        <f>IF(WarehouseData[[#This Row],[picking_time_seconds]]&gt;120,"Slow",IF(WarehouseData[[#This Row],[picking_time_seconds]]&gt;=60,"Average","Fast"))</f>
        <v>Average</v>
      </c>
    </row>
    <row r="324" spans="1:31" x14ac:dyDescent="0.25">
      <c r="A324" t="s">
        <v>459</v>
      </c>
      <c r="B324" t="s">
        <v>48</v>
      </c>
      <c r="C324">
        <v>359</v>
      </c>
      <c r="D324">
        <v>63</v>
      </c>
      <c r="E324">
        <v>9</v>
      </c>
      <c r="F324">
        <v>2</v>
      </c>
      <c r="G324">
        <v>17.440000000000001</v>
      </c>
      <c r="H324">
        <v>3.37</v>
      </c>
      <c r="I324">
        <v>0.48</v>
      </c>
      <c r="J324" t="s">
        <v>64</v>
      </c>
      <c r="K324" t="s">
        <v>38</v>
      </c>
      <c r="L324">
        <v>63</v>
      </c>
      <c r="M324">
        <v>4.12</v>
      </c>
      <c r="N324">
        <v>138.66</v>
      </c>
      <c r="O324">
        <v>1.44</v>
      </c>
      <c r="P324">
        <v>7</v>
      </c>
      <c r="Q324">
        <v>0.88</v>
      </c>
      <c r="R324">
        <v>714</v>
      </c>
      <c r="S324">
        <v>14.66</v>
      </c>
      <c r="T324">
        <v>0.56999999999999995</v>
      </c>
      <c r="U324" s="1">
        <v>45346</v>
      </c>
      <c r="V324">
        <v>255.39</v>
      </c>
      <c r="W324">
        <v>0.60099999999999998</v>
      </c>
      <c r="X324" t="str">
        <f>IF(WarehouseData[[#This Row],[stock_level]]&lt;=WarehouseData[[#This Row],[reorder_point]],"Low Stock","Sufficient Stock")</f>
        <v>Sufficient Stock</v>
      </c>
      <c r="Y324">
        <f>WarehouseData[[#This Row],[daily_demand]]*WarehouseData[[#This Row],[lead_time_days]]</f>
        <v>34.880000000000003</v>
      </c>
      <c r="Z324" t="str">
        <f>IF(WarehouseData[[#This Row],[stock_level]]&lt;=WarehouseData[[#This Row],[Demand During Lead Time]],"At Risk","Safe")</f>
        <v>Safe</v>
      </c>
      <c r="AA324">
        <f>WarehouseData[[#This Row],[stock_level]]/WarehouseData[[#This Row],[daily_demand]]</f>
        <v>20.584862385321099</v>
      </c>
      <c r="AB324">
        <f>WarehouseData[[#This Row],[stock_level]]*WarehouseData[[#This Row],[unit_price]]</f>
        <v>49778.94</v>
      </c>
      <c r="AC324">
        <f>WarehouseData[[#This Row],[stock_level]]*WarehouseData[[#This Row],[holding_cost_per_unit_day]]*30</f>
        <v>15508.800000000001</v>
      </c>
      <c r="AD324" t="str">
        <f>IF(WarehouseData[[#This Row],[order_fulfillment_rate]]&gt;=0.9,"Strong",IF(WarehouseData[[#This Row],[order_fulfillment_rate]]&gt;=0.8,"Moderate","Needs Attention"))</f>
        <v>Moderate</v>
      </c>
      <c r="AE324" t="str">
        <f>IF(WarehouseData[[#This Row],[picking_time_seconds]]&gt;120,"Slow",IF(WarehouseData[[#This Row],[picking_time_seconds]]&gt;=60,"Average","Fast"))</f>
        <v>Average</v>
      </c>
    </row>
    <row r="325" spans="1:31" x14ac:dyDescent="0.25">
      <c r="A325" t="s">
        <v>460</v>
      </c>
      <c r="B325" t="s">
        <v>73</v>
      </c>
      <c r="C325">
        <v>138</v>
      </c>
      <c r="D325">
        <v>31</v>
      </c>
      <c r="E325">
        <v>5</v>
      </c>
      <c r="F325">
        <v>5</v>
      </c>
      <c r="G325">
        <v>16.940000000000001</v>
      </c>
      <c r="H325">
        <v>4.5999999999999996</v>
      </c>
      <c r="I325">
        <v>0.19</v>
      </c>
      <c r="J325" t="s">
        <v>263</v>
      </c>
      <c r="K325" t="s">
        <v>46</v>
      </c>
      <c r="L325">
        <v>159</v>
      </c>
      <c r="M325">
        <v>1.88</v>
      </c>
      <c r="N325">
        <v>70.86</v>
      </c>
      <c r="O325">
        <v>1.22</v>
      </c>
      <c r="P325">
        <v>0</v>
      </c>
      <c r="Q325">
        <v>0.74</v>
      </c>
      <c r="R325">
        <v>210</v>
      </c>
      <c r="S325">
        <v>11.19</v>
      </c>
      <c r="T325">
        <v>0.92</v>
      </c>
      <c r="U325" s="1">
        <v>45361</v>
      </c>
      <c r="V325">
        <v>205.54</v>
      </c>
      <c r="W325">
        <v>0.75900000000000001</v>
      </c>
      <c r="X325" t="str">
        <f>IF(WarehouseData[[#This Row],[stock_level]]&lt;=WarehouseData[[#This Row],[reorder_point]],"Low Stock","Sufficient Stock")</f>
        <v>Sufficient Stock</v>
      </c>
      <c r="Y325">
        <f>WarehouseData[[#This Row],[daily_demand]]*WarehouseData[[#This Row],[lead_time_days]]</f>
        <v>84.7</v>
      </c>
      <c r="Z325" t="str">
        <f>IF(WarehouseData[[#This Row],[stock_level]]&lt;=WarehouseData[[#This Row],[Demand During Lead Time]],"At Risk","Safe")</f>
        <v>Safe</v>
      </c>
      <c r="AA325">
        <f>WarehouseData[[#This Row],[stock_level]]/WarehouseData[[#This Row],[daily_demand]]</f>
        <v>8.1463990554899635</v>
      </c>
      <c r="AB325">
        <f>WarehouseData[[#This Row],[stock_level]]*WarehouseData[[#This Row],[unit_price]]</f>
        <v>9778.68</v>
      </c>
      <c r="AC325">
        <f>WarehouseData[[#This Row],[stock_level]]*WarehouseData[[#This Row],[holding_cost_per_unit_day]]*30</f>
        <v>5050.7999999999993</v>
      </c>
      <c r="AD325" t="str">
        <f>IF(WarehouseData[[#This Row],[order_fulfillment_rate]]&gt;=0.9,"Strong",IF(WarehouseData[[#This Row],[order_fulfillment_rate]]&gt;=0.8,"Moderate","Needs Attention"))</f>
        <v>Needs Attention</v>
      </c>
      <c r="AE325" t="str">
        <f>IF(WarehouseData[[#This Row],[picking_time_seconds]]&gt;120,"Slow",IF(WarehouseData[[#This Row],[picking_time_seconds]]&gt;=60,"Average","Fast"))</f>
        <v>Slow</v>
      </c>
    </row>
    <row r="326" spans="1:31" x14ac:dyDescent="0.25">
      <c r="A326" t="s">
        <v>461</v>
      </c>
      <c r="B326" t="s">
        <v>73</v>
      </c>
      <c r="C326">
        <v>175</v>
      </c>
      <c r="D326">
        <v>25</v>
      </c>
      <c r="E326">
        <v>8</v>
      </c>
      <c r="F326">
        <v>6</v>
      </c>
      <c r="G326">
        <v>46.25</v>
      </c>
      <c r="H326">
        <v>5.52</v>
      </c>
      <c r="I326">
        <v>0.98</v>
      </c>
      <c r="J326" t="s">
        <v>340</v>
      </c>
      <c r="K326" t="s">
        <v>52</v>
      </c>
      <c r="L326">
        <v>87</v>
      </c>
      <c r="M326">
        <v>1.92</v>
      </c>
      <c r="N326">
        <v>169.66</v>
      </c>
      <c r="O326">
        <v>1.94</v>
      </c>
      <c r="P326">
        <v>2</v>
      </c>
      <c r="Q326">
        <v>0.76</v>
      </c>
      <c r="R326">
        <v>499</v>
      </c>
      <c r="S326">
        <v>10.48</v>
      </c>
      <c r="T326">
        <v>0.48</v>
      </c>
      <c r="U326" s="1">
        <v>45447</v>
      </c>
      <c r="V326">
        <v>165.71</v>
      </c>
      <c r="W326">
        <v>0.55400000000000005</v>
      </c>
      <c r="X326" t="str">
        <f>IF(WarehouseData[[#This Row],[stock_level]]&lt;=WarehouseData[[#This Row],[reorder_point]],"Low Stock","Sufficient Stock")</f>
        <v>Sufficient Stock</v>
      </c>
      <c r="Y326">
        <f>WarehouseData[[#This Row],[daily_demand]]*WarehouseData[[#This Row],[lead_time_days]]</f>
        <v>277.5</v>
      </c>
      <c r="Z326" t="str">
        <f>IF(WarehouseData[[#This Row],[stock_level]]&lt;=WarehouseData[[#This Row],[Demand During Lead Time]],"At Risk","Safe")</f>
        <v>At Risk</v>
      </c>
      <c r="AA326">
        <f>WarehouseData[[#This Row],[stock_level]]/WarehouseData[[#This Row],[daily_demand]]</f>
        <v>3.7837837837837838</v>
      </c>
      <c r="AB326">
        <f>WarehouseData[[#This Row],[stock_level]]*WarehouseData[[#This Row],[unit_price]]</f>
        <v>29690.5</v>
      </c>
      <c r="AC326">
        <f>WarehouseData[[#This Row],[stock_level]]*WarehouseData[[#This Row],[holding_cost_per_unit_day]]*30</f>
        <v>10185</v>
      </c>
      <c r="AD326" t="str">
        <f>IF(WarehouseData[[#This Row],[order_fulfillment_rate]]&gt;=0.9,"Strong",IF(WarehouseData[[#This Row],[order_fulfillment_rate]]&gt;=0.8,"Moderate","Needs Attention"))</f>
        <v>Needs Attention</v>
      </c>
      <c r="AE326" t="str">
        <f>IF(WarehouseData[[#This Row],[picking_time_seconds]]&gt;120,"Slow",IF(WarehouseData[[#This Row],[picking_time_seconds]]&gt;=60,"Average","Fast"))</f>
        <v>Average</v>
      </c>
    </row>
    <row r="327" spans="1:31" x14ac:dyDescent="0.25">
      <c r="A327" t="s">
        <v>462</v>
      </c>
      <c r="B327" t="s">
        <v>73</v>
      </c>
      <c r="C327">
        <v>291</v>
      </c>
      <c r="D327">
        <v>37</v>
      </c>
      <c r="E327">
        <v>7</v>
      </c>
      <c r="F327">
        <v>3</v>
      </c>
      <c r="G327">
        <v>21.45</v>
      </c>
      <c r="H327">
        <v>3.09</v>
      </c>
      <c r="I327">
        <v>0.56000000000000005</v>
      </c>
      <c r="J327" t="s">
        <v>196</v>
      </c>
      <c r="K327" t="s">
        <v>38</v>
      </c>
      <c r="L327">
        <v>28</v>
      </c>
      <c r="M327">
        <v>4.41</v>
      </c>
      <c r="N327">
        <v>80.64</v>
      </c>
      <c r="O327">
        <v>0.67</v>
      </c>
      <c r="P327">
        <v>2</v>
      </c>
      <c r="Q327">
        <v>0.92</v>
      </c>
      <c r="R327">
        <v>165</v>
      </c>
      <c r="S327">
        <v>14.96</v>
      </c>
      <c r="T327">
        <v>0.76</v>
      </c>
      <c r="U327" s="1">
        <v>45295</v>
      </c>
      <c r="V327">
        <v>295.22000000000003</v>
      </c>
      <c r="W327">
        <v>0.82799999999999996</v>
      </c>
      <c r="X327" t="str">
        <f>IF(WarehouseData[[#This Row],[stock_level]]&lt;=WarehouseData[[#This Row],[reorder_point]],"Low Stock","Sufficient Stock")</f>
        <v>Sufficient Stock</v>
      </c>
      <c r="Y327">
        <f>WarehouseData[[#This Row],[daily_demand]]*WarehouseData[[#This Row],[lead_time_days]]</f>
        <v>64.349999999999994</v>
      </c>
      <c r="Z327" t="str">
        <f>IF(WarehouseData[[#This Row],[stock_level]]&lt;=WarehouseData[[#This Row],[Demand During Lead Time]],"At Risk","Safe")</f>
        <v>Safe</v>
      </c>
      <c r="AA327">
        <f>WarehouseData[[#This Row],[stock_level]]/WarehouseData[[#This Row],[daily_demand]]</f>
        <v>13.566433566433567</v>
      </c>
      <c r="AB327">
        <f>WarehouseData[[#This Row],[stock_level]]*WarehouseData[[#This Row],[unit_price]]</f>
        <v>23466.240000000002</v>
      </c>
      <c r="AC327">
        <f>WarehouseData[[#This Row],[stock_level]]*WarehouseData[[#This Row],[holding_cost_per_unit_day]]*30</f>
        <v>5849.1</v>
      </c>
      <c r="AD327" t="str">
        <f>IF(WarehouseData[[#This Row],[order_fulfillment_rate]]&gt;=0.9,"Strong",IF(WarehouseData[[#This Row],[order_fulfillment_rate]]&gt;=0.8,"Moderate","Needs Attention"))</f>
        <v>Strong</v>
      </c>
      <c r="AE327" t="str">
        <f>IF(WarehouseData[[#This Row],[picking_time_seconds]]&gt;120,"Slow",IF(WarehouseData[[#This Row],[picking_time_seconds]]&gt;=60,"Average","Fast"))</f>
        <v>Fast</v>
      </c>
    </row>
    <row r="328" spans="1:31" x14ac:dyDescent="0.25">
      <c r="A328" t="s">
        <v>463</v>
      </c>
      <c r="B328" t="s">
        <v>40</v>
      </c>
      <c r="C328">
        <v>194</v>
      </c>
      <c r="D328">
        <v>44</v>
      </c>
      <c r="E328">
        <v>3</v>
      </c>
      <c r="F328">
        <v>5</v>
      </c>
      <c r="G328">
        <v>48.18</v>
      </c>
      <c r="H328">
        <v>9.1300000000000008</v>
      </c>
      <c r="I328">
        <v>0.67</v>
      </c>
      <c r="J328" t="s">
        <v>418</v>
      </c>
      <c r="K328" t="s">
        <v>34</v>
      </c>
      <c r="L328">
        <v>108</v>
      </c>
      <c r="M328">
        <v>3.02</v>
      </c>
      <c r="N328">
        <v>18.14</v>
      </c>
      <c r="O328">
        <v>0.64</v>
      </c>
      <c r="P328">
        <v>4</v>
      </c>
      <c r="Q328">
        <v>0.79</v>
      </c>
      <c r="R328">
        <v>411</v>
      </c>
      <c r="S328">
        <v>12.09</v>
      </c>
      <c r="T328">
        <v>0.79</v>
      </c>
      <c r="U328" s="1">
        <v>45494</v>
      </c>
      <c r="V328">
        <v>213.69</v>
      </c>
      <c r="W328">
        <v>0.73299999999999998</v>
      </c>
      <c r="X328" t="str">
        <f>IF(WarehouseData[[#This Row],[stock_level]]&lt;=WarehouseData[[#This Row],[reorder_point]],"Low Stock","Sufficient Stock")</f>
        <v>Sufficient Stock</v>
      </c>
      <c r="Y328">
        <f>WarehouseData[[#This Row],[daily_demand]]*WarehouseData[[#This Row],[lead_time_days]]</f>
        <v>240.9</v>
      </c>
      <c r="Z328" t="str">
        <f>IF(WarehouseData[[#This Row],[stock_level]]&lt;=WarehouseData[[#This Row],[Demand During Lead Time]],"At Risk","Safe")</f>
        <v>At Risk</v>
      </c>
      <c r="AA328">
        <f>WarehouseData[[#This Row],[stock_level]]/WarehouseData[[#This Row],[daily_demand]]</f>
        <v>4.0265670402656708</v>
      </c>
      <c r="AB328">
        <f>WarehouseData[[#This Row],[stock_level]]*WarehouseData[[#This Row],[unit_price]]</f>
        <v>3519.1600000000003</v>
      </c>
      <c r="AC328">
        <f>WarehouseData[[#This Row],[stock_level]]*WarehouseData[[#This Row],[holding_cost_per_unit_day]]*30</f>
        <v>3724.7999999999997</v>
      </c>
      <c r="AD328" t="str">
        <f>IF(WarehouseData[[#This Row],[order_fulfillment_rate]]&gt;=0.9,"Strong",IF(WarehouseData[[#This Row],[order_fulfillment_rate]]&gt;=0.8,"Moderate","Needs Attention"))</f>
        <v>Needs Attention</v>
      </c>
      <c r="AE328" t="str">
        <f>IF(WarehouseData[[#This Row],[picking_time_seconds]]&gt;120,"Slow",IF(WarehouseData[[#This Row],[picking_time_seconds]]&gt;=60,"Average","Fast"))</f>
        <v>Average</v>
      </c>
    </row>
    <row r="329" spans="1:31" x14ac:dyDescent="0.25">
      <c r="A329" t="s">
        <v>464</v>
      </c>
      <c r="B329" t="s">
        <v>36</v>
      </c>
      <c r="C329">
        <v>484</v>
      </c>
      <c r="D329">
        <v>69</v>
      </c>
      <c r="E329">
        <v>12</v>
      </c>
      <c r="F329">
        <v>7</v>
      </c>
      <c r="G329">
        <v>2.1800000000000002</v>
      </c>
      <c r="H329">
        <v>4.91</v>
      </c>
      <c r="I329">
        <v>0.7</v>
      </c>
      <c r="J329" t="s">
        <v>332</v>
      </c>
      <c r="K329" t="s">
        <v>52</v>
      </c>
      <c r="L329">
        <v>77</v>
      </c>
      <c r="M329">
        <v>4.49</v>
      </c>
      <c r="N329">
        <v>160.86000000000001</v>
      </c>
      <c r="O329">
        <v>0.56000000000000005</v>
      </c>
      <c r="P329">
        <v>6</v>
      </c>
      <c r="Q329">
        <v>0.75</v>
      </c>
      <c r="R329">
        <v>300</v>
      </c>
      <c r="S329">
        <v>14.58</v>
      </c>
      <c r="T329">
        <v>0.36</v>
      </c>
      <c r="U329" s="1">
        <v>45462</v>
      </c>
      <c r="V329">
        <v>196.54</v>
      </c>
      <c r="W329">
        <v>0.64</v>
      </c>
      <c r="X329" t="str">
        <f>IF(WarehouseData[[#This Row],[stock_level]]&lt;=WarehouseData[[#This Row],[reorder_point]],"Low Stock","Sufficient Stock")</f>
        <v>Sufficient Stock</v>
      </c>
      <c r="Y329">
        <f>WarehouseData[[#This Row],[daily_demand]]*WarehouseData[[#This Row],[lead_time_days]]</f>
        <v>15.260000000000002</v>
      </c>
      <c r="Z329" t="str">
        <f>IF(WarehouseData[[#This Row],[stock_level]]&lt;=WarehouseData[[#This Row],[Demand During Lead Time]],"At Risk","Safe")</f>
        <v>Safe</v>
      </c>
      <c r="AA329">
        <f>WarehouseData[[#This Row],[stock_level]]/WarehouseData[[#This Row],[daily_demand]]</f>
        <v>222.0183486238532</v>
      </c>
      <c r="AB329">
        <f>WarehouseData[[#This Row],[stock_level]]*WarehouseData[[#This Row],[unit_price]]</f>
        <v>77856.240000000005</v>
      </c>
      <c r="AC329">
        <f>WarehouseData[[#This Row],[stock_level]]*WarehouseData[[#This Row],[holding_cost_per_unit_day]]*30</f>
        <v>8131.2000000000007</v>
      </c>
      <c r="AD329" t="str">
        <f>IF(WarehouseData[[#This Row],[order_fulfillment_rate]]&gt;=0.9,"Strong",IF(WarehouseData[[#This Row],[order_fulfillment_rate]]&gt;=0.8,"Moderate","Needs Attention"))</f>
        <v>Needs Attention</v>
      </c>
      <c r="AE329" t="str">
        <f>IF(WarehouseData[[#This Row],[picking_time_seconds]]&gt;120,"Slow",IF(WarehouseData[[#This Row],[picking_time_seconds]]&gt;=60,"Average","Fast"))</f>
        <v>Average</v>
      </c>
    </row>
    <row r="330" spans="1:31" x14ac:dyDescent="0.25">
      <c r="A330" t="s">
        <v>465</v>
      </c>
      <c r="B330" t="s">
        <v>48</v>
      </c>
      <c r="C330">
        <v>123</v>
      </c>
      <c r="D330">
        <v>54</v>
      </c>
      <c r="E330">
        <v>8</v>
      </c>
      <c r="F330">
        <v>6</v>
      </c>
      <c r="G330">
        <v>16.010000000000002</v>
      </c>
      <c r="H330">
        <v>4.53</v>
      </c>
      <c r="I330">
        <v>0.43</v>
      </c>
      <c r="J330" t="s">
        <v>466</v>
      </c>
      <c r="K330" t="s">
        <v>52</v>
      </c>
      <c r="L330">
        <v>42</v>
      </c>
      <c r="M330">
        <v>2.36</v>
      </c>
      <c r="N330">
        <v>132.4</v>
      </c>
      <c r="O330">
        <v>1.51</v>
      </c>
      <c r="P330">
        <v>0</v>
      </c>
      <c r="Q330">
        <v>0.87</v>
      </c>
      <c r="R330">
        <v>961</v>
      </c>
      <c r="S330">
        <v>10.78</v>
      </c>
      <c r="T330">
        <v>0.33</v>
      </c>
      <c r="U330" s="1">
        <v>45609</v>
      </c>
      <c r="V330">
        <v>264.27999999999997</v>
      </c>
      <c r="W330">
        <v>0.63300000000000001</v>
      </c>
      <c r="X330" t="str">
        <f>IF(WarehouseData[[#This Row],[stock_level]]&lt;=WarehouseData[[#This Row],[reorder_point]],"Low Stock","Sufficient Stock")</f>
        <v>Sufficient Stock</v>
      </c>
      <c r="Y330">
        <f>WarehouseData[[#This Row],[daily_demand]]*WarehouseData[[#This Row],[lead_time_days]]</f>
        <v>96.06</v>
      </c>
      <c r="Z330" t="str">
        <f>IF(WarehouseData[[#This Row],[stock_level]]&lt;=WarehouseData[[#This Row],[Demand During Lead Time]],"At Risk","Safe")</f>
        <v>Safe</v>
      </c>
      <c r="AA330">
        <f>WarehouseData[[#This Row],[stock_level]]/WarehouseData[[#This Row],[daily_demand]]</f>
        <v>7.6826983135540283</v>
      </c>
      <c r="AB330">
        <f>WarehouseData[[#This Row],[stock_level]]*WarehouseData[[#This Row],[unit_price]]</f>
        <v>16285.2</v>
      </c>
      <c r="AC330">
        <f>WarehouseData[[#This Row],[stock_level]]*WarehouseData[[#This Row],[holding_cost_per_unit_day]]*30</f>
        <v>5571.9</v>
      </c>
      <c r="AD330" t="str">
        <f>IF(WarehouseData[[#This Row],[order_fulfillment_rate]]&gt;=0.9,"Strong",IF(WarehouseData[[#This Row],[order_fulfillment_rate]]&gt;=0.8,"Moderate","Needs Attention"))</f>
        <v>Moderate</v>
      </c>
      <c r="AE330" t="str">
        <f>IF(WarehouseData[[#This Row],[picking_time_seconds]]&gt;120,"Slow",IF(WarehouseData[[#This Row],[picking_time_seconds]]&gt;=60,"Average","Fast"))</f>
        <v>Fast</v>
      </c>
    </row>
    <row r="331" spans="1:31" x14ac:dyDescent="0.25">
      <c r="A331" t="s">
        <v>467</v>
      </c>
      <c r="B331" t="s">
        <v>48</v>
      </c>
      <c r="C331">
        <v>111</v>
      </c>
      <c r="D331">
        <v>55</v>
      </c>
      <c r="E331">
        <v>10</v>
      </c>
      <c r="F331">
        <v>2</v>
      </c>
      <c r="G331">
        <v>33.64</v>
      </c>
      <c r="H331">
        <v>8.57</v>
      </c>
      <c r="I331">
        <v>0.77</v>
      </c>
      <c r="J331" t="s">
        <v>75</v>
      </c>
      <c r="K331" t="s">
        <v>38</v>
      </c>
      <c r="L331">
        <v>159</v>
      </c>
      <c r="M331">
        <v>2.0499999999999998</v>
      </c>
      <c r="N331">
        <v>162.37</v>
      </c>
      <c r="O331">
        <v>1.61</v>
      </c>
      <c r="P331">
        <v>0</v>
      </c>
      <c r="Q331">
        <v>0.76</v>
      </c>
      <c r="R331">
        <v>232</v>
      </c>
      <c r="S331">
        <v>10.32</v>
      </c>
      <c r="T331">
        <v>0.27</v>
      </c>
      <c r="U331" s="1">
        <v>45486</v>
      </c>
      <c r="V331">
        <v>170.95</v>
      </c>
      <c r="W331">
        <v>0.58299999999999996</v>
      </c>
      <c r="X331" t="str">
        <f>IF(WarehouseData[[#This Row],[stock_level]]&lt;=WarehouseData[[#This Row],[reorder_point]],"Low Stock","Sufficient Stock")</f>
        <v>Sufficient Stock</v>
      </c>
      <c r="Y331">
        <f>WarehouseData[[#This Row],[daily_demand]]*WarehouseData[[#This Row],[lead_time_days]]</f>
        <v>67.28</v>
      </c>
      <c r="Z331" t="str">
        <f>IF(WarehouseData[[#This Row],[stock_level]]&lt;=WarehouseData[[#This Row],[Demand During Lead Time]],"At Risk","Safe")</f>
        <v>Safe</v>
      </c>
      <c r="AA331">
        <f>WarehouseData[[#This Row],[stock_level]]/WarehouseData[[#This Row],[daily_demand]]</f>
        <v>3.2996432818073722</v>
      </c>
      <c r="AB331">
        <f>WarehouseData[[#This Row],[stock_level]]*WarehouseData[[#This Row],[unit_price]]</f>
        <v>18023.07</v>
      </c>
      <c r="AC331">
        <f>WarehouseData[[#This Row],[stock_level]]*WarehouseData[[#This Row],[holding_cost_per_unit_day]]*30</f>
        <v>5361.3</v>
      </c>
      <c r="AD331" t="str">
        <f>IF(WarehouseData[[#This Row],[order_fulfillment_rate]]&gt;=0.9,"Strong",IF(WarehouseData[[#This Row],[order_fulfillment_rate]]&gt;=0.8,"Moderate","Needs Attention"))</f>
        <v>Needs Attention</v>
      </c>
      <c r="AE331" t="str">
        <f>IF(WarehouseData[[#This Row],[picking_time_seconds]]&gt;120,"Slow",IF(WarehouseData[[#This Row],[picking_time_seconds]]&gt;=60,"Average","Fast"))</f>
        <v>Slow</v>
      </c>
    </row>
    <row r="332" spans="1:31" x14ac:dyDescent="0.25">
      <c r="A332" t="s">
        <v>468</v>
      </c>
      <c r="B332" t="s">
        <v>40</v>
      </c>
      <c r="C332">
        <v>205</v>
      </c>
      <c r="D332">
        <v>81</v>
      </c>
      <c r="E332">
        <v>3</v>
      </c>
      <c r="F332">
        <v>3</v>
      </c>
      <c r="G332">
        <v>44.65</v>
      </c>
      <c r="H332">
        <v>3.46</v>
      </c>
      <c r="I332">
        <v>0.88</v>
      </c>
      <c r="J332" t="s">
        <v>223</v>
      </c>
      <c r="K332" t="s">
        <v>38</v>
      </c>
      <c r="L332">
        <v>148</v>
      </c>
      <c r="M332">
        <v>2.78</v>
      </c>
      <c r="N332">
        <v>76.290000000000006</v>
      </c>
      <c r="O332">
        <v>1.23</v>
      </c>
      <c r="P332">
        <v>9</v>
      </c>
      <c r="Q332">
        <v>0.78</v>
      </c>
      <c r="R332">
        <v>725</v>
      </c>
      <c r="S332">
        <v>11.68</v>
      </c>
      <c r="T332">
        <v>0.76</v>
      </c>
      <c r="U332" s="1">
        <v>45460</v>
      </c>
      <c r="V332">
        <v>80.45</v>
      </c>
      <c r="W332">
        <v>0.56100000000000005</v>
      </c>
      <c r="X332" t="str">
        <f>IF(WarehouseData[[#This Row],[stock_level]]&lt;=WarehouseData[[#This Row],[reorder_point]],"Low Stock","Sufficient Stock")</f>
        <v>Sufficient Stock</v>
      </c>
      <c r="Y332">
        <f>WarehouseData[[#This Row],[daily_demand]]*WarehouseData[[#This Row],[lead_time_days]]</f>
        <v>133.94999999999999</v>
      </c>
      <c r="Z332" t="str">
        <f>IF(WarehouseData[[#This Row],[stock_level]]&lt;=WarehouseData[[#This Row],[Demand During Lead Time]],"At Risk","Safe")</f>
        <v>Safe</v>
      </c>
      <c r="AA332">
        <f>WarehouseData[[#This Row],[stock_level]]/WarehouseData[[#This Row],[daily_demand]]</f>
        <v>4.591265397536394</v>
      </c>
      <c r="AB332">
        <f>WarehouseData[[#This Row],[stock_level]]*WarehouseData[[#This Row],[unit_price]]</f>
        <v>15639.45</v>
      </c>
      <c r="AC332">
        <f>WarehouseData[[#This Row],[stock_level]]*WarehouseData[[#This Row],[holding_cost_per_unit_day]]*30</f>
        <v>7564.5</v>
      </c>
      <c r="AD332" t="str">
        <f>IF(WarehouseData[[#This Row],[order_fulfillment_rate]]&gt;=0.9,"Strong",IF(WarehouseData[[#This Row],[order_fulfillment_rate]]&gt;=0.8,"Moderate","Needs Attention"))</f>
        <v>Needs Attention</v>
      </c>
      <c r="AE332" t="str">
        <f>IF(WarehouseData[[#This Row],[picking_time_seconds]]&gt;120,"Slow",IF(WarehouseData[[#This Row],[picking_time_seconds]]&gt;=60,"Average","Fast"))</f>
        <v>Slow</v>
      </c>
    </row>
    <row r="333" spans="1:31" x14ac:dyDescent="0.25">
      <c r="A333" t="s">
        <v>469</v>
      </c>
      <c r="B333" t="s">
        <v>48</v>
      </c>
      <c r="C333">
        <v>479</v>
      </c>
      <c r="D333">
        <v>64</v>
      </c>
      <c r="E333">
        <v>4</v>
      </c>
      <c r="F333">
        <v>9</v>
      </c>
      <c r="G333">
        <v>13.56</v>
      </c>
      <c r="H333">
        <v>8.27</v>
      </c>
      <c r="I333">
        <v>0.45</v>
      </c>
      <c r="J333" t="s">
        <v>217</v>
      </c>
      <c r="K333" t="s">
        <v>46</v>
      </c>
      <c r="L333">
        <v>25</v>
      </c>
      <c r="M333">
        <v>0.78</v>
      </c>
      <c r="N333">
        <v>13.35</v>
      </c>
      <c r="O333">
        <v>1.34</v>
      </c>
      <c r="P333">
        <v>5</v>
      </c>
      <c r="Q333">
        <v>0.89</v>
      </c>
      <c r="R333">
        <v>377</v>
      </c>
      <c r="S333">
        <v>3.64</v>
      </c>
      <c r="T333">
        <v>0.64</v>
      </c>
      <c r="U333" s="1">
        <v>45517</v>
      </c>
      <c r="V333">
        <v>49.95</v>
      </c>
      <c r="W333">
        <v>0.52100000000000002</v>
      </c>
      <c r="X333" t="str">
        <f>IF(WarehouseData[[#This Row],[stock_level]]&lt;=WarehouseData[[#This Row],[reorder_point]],"Low Stock","Sufficient Stock")</f>
        <v>Sufficient Stock</v>
      </c>
      <c r="Y333">
        <f>WarehouseData[[#This Row],[daily_demand]]*WarehouseData[[#This Row],[lead_time_days]]</f>
        <v>122.04</v>
      </c>
      <c r="Z333" t="str">
        <f>IF(WarehouseData[[#This Row],[stock_level]]&lt;=WarehouseData[[#This Row],[Demand During Lead Time]],"At Risk","Safe")</f>
        <v>Safe</v>
      </c>
      <c r="AA333">
        <f>WarehouseData[[#This Row],[stock_level]]/WarehouseData[[#This Row],[daily_demand]]</f>
        <v>35.32448377581121</v>
      </c>
      <c r="AB333">
        <f>WarehouseData[[#This Row],[stock_level]]*WarehouseData[[#This Row],[unit_price]]</f>
        <v>6394.65</v>
      </c>
      <c r="AC333">
        <f>WarehouseData[[#This Row],[stock_level]]*WarehouseData[[#This Row],[holding_cost_per_unit_day]]*30</f>
        <v>19255.8</v>
      </c>
      <c r="AD333" t="str">
        <f>IF(WarehouseData[[#This Row],[order_fulfillment_rate]]&gt;=0.9,"Strong",IF(WarehouseData[[#This Row],[order_fulfillment_rate]]&gt;=0.8,"Moderate","Needs Attention"))</f>
        <v>Moderate</v>
      </c>
      <c r="AE333" t="str">
        <f>IF(WarehouseData[[#This Row],[picking_time_seconds]]&gt;120,"Slow",IF(WarehouseData[[#This Row],[picking_time_seconds]]&gt;=60,"Average","Fast"))</f>
        <v>Fast</v>
      </c>
    </row>
    <row r="334" spans="1:31" x14ac:dyDescent="0.25">
      <c r="A334" t="s">
        <v>470</v>
      </c>
      <c r="B334" t="s">
        <v>73</v>
      </c>
      <c r="C334">
        <v>302</v>
      </c>
      <c r="D334">
        <v>95</v>
      </c>
      <c r="E334">
        <v>6</v>
      </c>
      <c r="F334">
        <v>5</v>
      </c>
      <c r="G334">
        <v>46.59</v>
      </c>
      <c r="H334">
        <v>1.66</v>
      </c>
      <c r="I334">
        <v>0.69</v>
      </c>
      <c r="J334" t="s">
        <v>196</v>
      </c>
      <c r="K334" t="s">
        <v>46</v>
      </c>
      <c r="L334">
        <v>136</v>
      </c>
      <c r="M334">
        <v>1.19</v>
      </c>
      <c r="N334">
        <v>24.01</v>
      </c>
      <c r="O334">
        <v>0.76</v>
      </c>
      <c r="P334">
        <v>4</v>
      </c>
      <c r="Q334">
        <v>0.92</v>
      </c>
      <c r="R334">
        <v>641</v>
      </c>
      <c r="S334">
        <v>12.28</v>
      </c>
      <c r="T334">
        <v>0.27</v>
      </c>
      <c r="U334" s="1">
        <v>45463</v>
      </c>
      <c r="V334">
        <v>146.6</v>
      </c>
      <c r="W334">
        <v>0.64600000000000002</v>
      </c>
      <c r="X334" t="str">
        <f>IF(WarehouseData[[#This Row],[stock_level]]&lt;=WarehouseData[[#This Row],[reorder_point]],"Low Stock","Sufficient Stock")</f>
        <v>Sufficient Stock</v>
      </c>
      <c r="Y334">
        <f>WarehouseData[[#This Row],[daily_demand]]*WarehouseData[[#This Row],[lead_time_days]]</f>
        <v>232.95000000000002</v>
      </c>
      <c r="Z334" t="str">
        <f>IF(WarehouseData[[#This Row],[stock_level]]&lt;=WarehouseData[[#This Row],[Demand During Lead Time]],"At Risk","Safe")</f>
        <v>Safe</v>
      </c>
      <c r="AA334">
        <f>WarehouseData[[#This Row],[stock_level]]/WarehouseData[[#This Row],[daily_demand]]</f>
        <v>6.4820776990770543</v>
      </c>
      <c r="AB334">
        <f>WarehouseData[[#This Row],[stock_level]]*WarehouseData[[#This Row],[unit_price]]</f>
        <v>7251.02</v>
      </c>
      <c r="AC334">
        <f>WarehouseData[[#This Row],[stock_level]]*WarehouseData[[#This Row],[holding_cost_per_unit_day]]*30</f>
        <v>6885.6</v>
      </c>
      <c r="AD334" t="str">
        <f>IF(WarehouseData[[#This Row],[order_fulfillment_rate]]&gt;=0.9,"Strong",IF(WarehouseData[[#This Row],[order_fulfillment_rate]]&gt;=0.8,"Moderate","Needs Attention"))</f>
        <v>Strong</v>
      </c>
      <c r="AE334" t="str">
        <f>IF(WarehouseData[[#This Row],[picking_time_seconds]]&gt;120,"Slow",IF(WarehouseData[[#This Row],[picking_time_seconds]]&gt;=60,"Average","Fast"))</f>
        <v>Slow</v>
      </c>
    </row>
    <row r="335" spans="1:31" x14ac:dyDescent="0.25">
      <c r="A335" t="s">
        <v>471</v>
      </c>
      <c r="B335" t="s">
        <v>36</v>
      </c>
      <c r="C335">
        <v>200</v>
      </c>
      <c r="D335">
        <v>94</v>
      </c>
      <c r="E335">
        <v>14</v>
      </c>
      <c r="F335">
        <v>3</v>
      </c>
      <c r="G335">
        <v>30.11</v>
      </c>
      <c r="H335">
        <v>2.2400000000000002</v>
      </c>
      <c r="I335">
        <v>0.78</v>
      </c>
      <c r="J335" t="s">
        <v>120</v>
      </c>
      <c r="K335" t="s">
        <v>46</v>
      </c>
      <c r="L335">
        <v>102</v>
      </c>
      <c r="M335">
        <v>1.49</v>
      </c>
      <c r="N335">
        <v>31.24</v>
      </c>
      <c r="O335">
        <v>0.18</v>
      </c>
      <c r="P335">
        <v>2</v>
      </c>
      <c r="Q335">
        <v>0.92</v>
      </c>
      <c r="R335">
        <v>56</v>
      </c>
      <c r="S335">
        <v>14.58</v>
      </c>
      <c r="T335">
        <v>0.45</v>
      </c>
      <c r="U335" s="1">
        <v>45512</v>
      </c>
      <c r="V335">
        <v>159.54</v>
      </c>
      <c r="W335">
        <v>0.81</v>
      </c>
      <c r="X335" t="str">
        <f>IF(WarehouseData[[#This Row],[stock_level]]&lt;=WarehouseData[[#This Row],[reorder_point]],"Low Stock","Sufficient Stock")</f>
        <v>Sufficient Stock</v>
      </c>
      <c r="Y335">
        <f>WarehouseData[[#This Row],[daily_demand]]*WarehouseData[[#This Row],[lead_time_days]]</f>
        <v>90.33</v>
      </c>
      <c r="Z335" t="str">
        <f>IF(WarehouseData[[#This Row],[stock_level]]&lt;=WarehouseData[[#This Row],[Demand During Lead Time]],"At Risk","Safe")</f>
        <v>Safe</v>
      </c>
      <c r="AA335">
        <f>WarehouseData[[#This Row],[stock_level]]/WarehouseData[[#This Row],[daily_demand]]</f>
        <v>6.6423115244104949</v>
      </c>
      <c r="AB335">
        <f>WarehouseData[[#This Row],[stock_level]]*WarehouseData[[#This Row],[unit_price]]</f>
        <v>6248</v>
      </c>
      <c r="AC335">
        <f>WarehouseData[[#This Row],[stock_level]]*WarehouseData[[#This Row],[holding_cost_per_unit_day]]*30</f>
        <v>1080</v>
      </c>
      <c r="AD335" t="str">
        <f>IF(WarehouseData[[#This Row],[order_fulfillment_rate]]&gt;=0.9,"Strong",IF(WarehouseData[[#This Row],[order_fulfillment_rate]]&gt;=0.8,"Moderate","Needs Attention"))</f>
        <v>Strong</v>
      </c>
      <c r="AE335" t="str">
        <f>IF(WarehouseData[[#This Row],[picking_time_seconds]]&gt;120,"Slow",IF(WarehouseData[[#This Row],[picking_time_seconds]]&gt;=60,"Average","Fast"))</f>
        <v>Average</v>
      </c>
    </row>
    <row r="336" spans="1:31" x14ac:dyDescent="0.25">
      <c r="A336" t="s">
        <v>472</v>
      </c>
      <c r="B336" t="s">
        <v>32</v>
      </c>
      <c r="C336">
        <v>189</v>
      </c>
      <c r="D336">
        <v>35</v>
      </c>
      <c r="E336">
        <v>4</v>
      </c>
      <c r="F336">
        <v>6</v>
      </c>
      <c r="G336">
        <v>40.25</v>
      </c>
      <c r="H336">
        <v>9.5299999999999994</v>
      </c>
      <c r="I336">
        <v>0.27</v>
      </c>
      <c r="J336" t="s">
        <v>102</v>
      </c>
      <c r="K336" t="s">
        <v>52</v>
      </c>
      <c r="L336">
        <v>53</v>
      </c>
      <c r="M336">
        <v>4.18</v>
      </c>
      <c r="N336">
        <v>162.97999999999999</v>
      </c>
      <c r="O336">
        <v>0.57999999999999996</v>
      </c>
      <c r="P336">
        <v>2</v>
      </c>
      <c r="Q336">
        <v>0.84</v>
      </c>
      <c r="R336">
        <v>886</v>
      </c>
      <c r="S336">
        <v>9.56</v>
      </c>
      <c r="T336">
        <v>0.31</v>
      </c>
      <c r="U336" s="1">
        <v>45625</v>
      </c>
      <c r="V336">
        <v>250.03</v>
      </c>
      <c r="W336">
        <v>0.65900000000000003</v>
      </c>
      <c r="X336" t="str">
        <f>IF(WarehouseData[[#This Row],[stock_level]]&lt;=WarehouseData[[#This Row],[reorder_point]],"Low Stock","Sufficient Stock")</f>
        <v>Sufficient Stock</v>
      </c>
      <c r="Y336">
        <f>WarehouseData[[#This Row],[daily_demand]]*WarehouseData[[#This Row],[lead_time_days]]</f>
        <v>241.5</v>
      </c>
      <c r="Z336" t="str">
        <f>IF(WarehouseData[[#This Row],[stock_level]]&lt;=WarehouseData[[#This Row],[Demand During Lead Time]],"At Risk","Safe")</f>
        <v>At Risk</v>
      </c>
      <c r="AA336">
        <f>WarehouseData[[#This Row],[stock_level]]/WarehouseData[[#This Row],[daily_demand]]</f>
        <v>4.6956521739130439</v>
      </c>
      <c r="AB336">
        <f>WarehouseData[[#This Row],[stock_level]]*WarehouseData[[#This Row],[unit_price]]</f>
        <v>30803.219999999998</v>
      </c>
      <c r="AC336">
        <f>WarehouseData[[#This Row],[stock_level]]*WarehouseData[[#This Row],[holding_cost_per_unit_day]]*30</f>
        <v>3288.6</v>
      </c>
      <c r="AD336" t="str">
        <f>IF(WarehouseData[[#This Row],[order_fulfillment_rate]]&gt;=0.9,"Strong",IF(WarehouseData[[#This Row],[order_fulfillment_rate]]&gt;=0.8,"Moderate","Needs Attention"))</f>
        <v>Moderate</v>
      </c>
      <c r="AE336" t="str">
        <f>IF(WarehouseData[[#This Row],[picking_time_seconds]]&gt;120,"Slow",IF(WarehouseData[[#This Row],[picking_time_seconds]]&gt;=60,"Average","Fast"))</f>
        <v>Fast</v>
      </c>
    </row>
    <row r="337" spans="1:31" x14ac:dyDescent="0.25">
      <c r="A337" t="s">
        <v>473</v>
      </c>
      <c r="B337" t="s">
        <v>48</v>
      </c>
      <c r="C337">
        <v>206</v>
      </c>
      <c r="D337">
        <v>94</v>
      </c>
      <c r="E337">
        <v>13</v>
      </c>
      <c r="F337">
        <v>4</v>
      </c>
      <c r="G337">
        <v>20.46</v>
      </c>
      <c r="H337">
        <v>8.5</v>
      </c>
      <c r="I337">
        <v>0.4</v>
      </c>
      <c r="J337" t="s">
        <v>276</v>
      </c>
      <c r="K337" t="s">
        <v>38</v>
      </c>
      <c r="L337">
        <v>18</v>
      </c>
      <c r="M337">
        <v>3.8</v>
      </c>
      <c r="N337">
        <v>67.27</v>
      </c>
      <c r="O337">
        <v>1.21</v>
      </c>
      <c r="P337">
        <v>3</v>
      </c>
      <c r="Q337">
        <v>0.84</v>
      </c>
      <c r="R337">
        <v>648</v>
      </c>
      <c r="S337">
        <v>1.17</v>
      </c>
      <c r="T337">
        <v>0.27</v>
      </c>
      <c r="U337" s="1">
        <v>45596</v>
      </c>
      <c r="V337">
        <v>50.45</v>
      </c>
      <c r="W337">
        <v>0.45700000000000002</v>
      </c>
      <c r="X337" t="str">
        <f>IF(WarehouseData[[#This Row],[stock_level]]&lt;=WarehouseData[[#This Row],[reorder_point]],"Low Stock","Sufficient Stock")</f>
        <v>Sufficient Stock</v>
      </c>
      <c r="Y337">
        <f>WarehouseData[[#This Row],[daily_demand]]*WarehouseData[[#This Row],[lead_time_days]]</f>
        <v>81.84</v>
      </c>
      <c r="Z337" t="str">
        <f>IF(WarehouseData[[#This Row],[stock_level]]&lt;=WarehouseData[[#This Row],[Demand During Lead Time]],"At Risk","Safe")</f>
        <v>Safe</v>
      </c>
      <c r="AA337">
        <f>WarehouseData[[#This Row],[stock_level]]/WarehouseData[[#This Row],[daily_demand]]</f>
        <v>10.068426197458455</v>
      </c>
      <c r="AB337">
        <f>WarehouseData[[#This Row],[stock_level]]*WarehouseData[[#This Row],[unit_price]]</f>
        <v>13857.619999999999</v>
      </c>
      <c r="AC337">
        <f>WarehouseData[[#This Row],[stock_level]]*WarehouseData[[#This Row],[holding_cost_per_unit_day]]*30</f>
        <v>7477.7999999999993</v>
      </c>
      <c r="AD337" t="str">
        <f>IF(WarehouseData[[#This Row],[order_fulfillment_rate]]&gt;=0.9,"Strong",IF(WarehouseData[[#This Row],[order_fulfillment_rate]]&gt;=0.8,"Moderate","Needs Attention"))</f>
        <v>Moderate</v>
      </c>
      <c r="AE337" t="str">
        <f>IF(WarehouseData[[#This Row],[picking_time_seconds]]&gt;120,"Slow",IF(WarehouseData[[#This Row],[picking_time_seconds]]&gt;=60,"Average","Fast"))</f>
        <v>Fast</v>
      </c>
    </row>
    <row r="338" spans="1:31" x14ac:dyDescent="0.25">
      <c r="A338" t="s">
        <v>474</v>
      </c>
      <c r="B338" t="s">
        <v>73</v>
      </c>
      <c r="C338">
        <v>194</v>
      </c>
      <c r="D338">
        <v>34</v>
      </c>
      <c r="E338">
        <v>11</v>
      </c>
      <c r="F338">
        <v>3</v>
      </c>
      <c r="G338">
        <v>11.4</v>
      </c>
      <c r="H338">
        <v>4.1900000000000004</v>
      </c>
      <c r="I338">
        <v>0.2</v>
      </c>
      <c r="J338" t="s">
        <v>129</v>
      </c>
      <c r="K338" t="s">
        <v>46</v>
      </c>
      <c r="L338">
        <v>87</v>
      </c>
      <c r="M338">
        <v>1.37</v>
      </c>
      <c r="N338">
        <v>199.6</v>
      </c>
      <c r="O338">
        <v>1.64</v>
      </c>
      <c r="P338">
        <v>9</v>
      </c>
      <c r="Q338">
        <v>0.94</v>
      </c>
      <c r="R338">
        <v>569</v>
      </c>
      <c r="S338">
        <v>2.0099999999999998</v>
      </c>
      <c r="T338">
        <v>0.44</v>
      </c>
      <c r="U338" s="1">
        <v>45361</v>
      </c>
      <c r="V338">
        <v>207.56</v>
      </c>
      <c r="W338">
        <v>0.35899999999999999</v>
      </c>
      <c r="X338" t="str">
        <f>IF(WarehouseData[[#This Row],[stock_level]]&lt;=WarehouseData[[#This Row],[reorder_point]],"Low Stock","Sufficient Stock")</f>
        <v>Sufficient Stock</v>
      </c>
      <c r="Y338">
        <f>WarehouseData[[#This Row],[daily_demand]]*WarehouseData[[#This Row],[lead_time_days]]</f>
        <v>34.200000000000003</v>
      </c>
      <c r="Z338" t="str">
        <f>IF(WarehouseData[[#This Row],[stock_level]]&lt;=WarehouseData[[#This Row],[Demand During Lead Time]],"At Risk","Safe")</f>
        <v>Safe</v>
      </c>
      <c r="AA338">
        <f>WarehouseData[[#This Row],[stock_level]]/WarehouseData[[#This Row],[daily_demand]]</f>
        <v>17.017543859649123</v>
      </c>
      <c r="AB338">
        <f>WarehouseData[[#This Row],[stock_level]]*WarehouseData[[#This Row],[unit_price]]</f>
        <v>38722.400000000001</v>
      </c>
      <c r="AC338">
        <f>WarehouseData[[#This Row],[stock_level]]*WarehouseData[[#This Row],[holding_cost_per_unit_day]]*30</f>
        <v>9544.7999999999993</v>
      </c>
      <c r="AD338" t="str">
        <f>IF(WarehouseData[[#This Row],[order_fulfillment_rate]]&gt;=0.9,"Strong",IF(WarehouseData[[#This Row],[order_fulfillment_rate]]&gt;=0.8,"Moderate","Needs Attention"))</f>
        <v>Strong</v>
      </c>
      <c r="AE338" t="str">
        <f>IF(WarehouseData[[#This Row],[picking_time_seconds]]&gt;120,"Slow",IF(WarehouseData[[#This Row],[picking_time_seconds]]&gt;=60,"Average","Fast"))</f>
        <v>Average</v>
      </c>
    </row>
    <row r="339" spans="1:31" x14ac:dyDescent="0.25">
      <c r="A339" t="s">
        <v>475</v>
      </c>
      <c r="B339" t="s">
        <v>32</v>
      </c>
      <c r="C339">
        <v>241</v>
      </c>
      <c r="D339">
        <v>74</v>
      </c>
      <c r="E339">
        <v>12</v>
      </c>
      <c r="F339">
        <v>3</v>
      </c>
      <c r="G339">
        <v>45.65</v>
      </c>
      <c r="H339">
        <v>6.57</v>
      </c>
      <c r="I339">
        <v>0.64</v>
      </c>
      <c r="J339" t="s">
        <v>135</v>
      </c>
      <c r="K339" t="s">
        <v>52</v>
      </c>
      <c r="L339">
        <v>88</v>
      </c>
      <c r="M339">
        <v>1.75</v>
      </c>
      <c r="N339">
        <v>154.09</v>
      </c>
      <c r="O339">
        <v>1.58</v>
      </c>
      <c r="P339">
        <v>1</v>
      </c>
      <c r="Q339">
        <v>0.76</v>
      </c>
      <c r="R339">
        <v>436</v>
      </c>
      <c r="S339">
        <v>4.29</v>
      </c>
      <c r="T339">
        <v>0.28000000000000003</v>
      </c>
      <c r="U339" s="1">
        <v>45445</v>
      </c>
      <c r="V339">
        <v>98.2</v>
      </c>
      <c r="W339">
        <v>0.48699999999999999</v>
      </c>
      <c r="X339" t="str">
        <f>IF(WarehouseData[[#This Row],[stock_level]]&lt;=WarehouseData[[#This Row],[reorder_point]],"Low Stock","Sufficient Stock")</f>
        <v>Sufficient Stock</v>
      </c>
      <c r="Y339">
        <f>WarehouseData[[#This Row],[daily_demand]]*WarehouseData[[#This Row],[lead_time_days]]</f>
        <v>136.94999999999999</v>
      </c>
      <c r="Z339" t="str">
        <f>IF(WarehouseData[[#This Row],[stock_level]]&lt;=WarehouseData[[#This Row],[Demand During Lead Time]],"At Risk","Safe")</f>
        <v>Safe</v>
      </c>
      <c r="AA339">
        <f>WarehouseData[[#This Row],[stock_level]]/WarehouseData[[#This Row],[daily_demand]]</f>
        <v>5.2792990142387737</v>
      </c>
      <c r="AB339">
        <f>WarehouseData[[#This Row],[stock_level]]*WarehouseData[[#This Row],[unit_price]]</f>
        <v>37135.69</v>
      </c>
      <c r="AC339">
        <f>WarehouseData[[#This Row],[stock_level]]*WarehouseData[[#This Row],[holding_cost_per_unit_day]]*30</f>
        <v>11423.400000000001</v>
      </c>
      <c r="AD339" t="str">
        <f>IF(WarehouseData[[#This Row],[order_fulfillment_rate]]&gt;=0.9,"Strong",IF(WarehouseData[[#This Row],[order_fulfillment_rate]]&gt;=0.8,"Moderate","Needs Attention"))</f>
        <v>Needs Attention</v>
      </c>
      <c r="AE339" t="str">
        <f>IF(WarehouseData[[#This Row],[picking_time_seconds]]&gt;120,"Slow",IF(WarehouseData[[#This Row],[picking_time_seconds]]&gt;=60,"Average","Fast"))</f>
        <v>Average</v>
      </c>
    </row>
    <row r="340" spans="1:31" x14ac:dyDescent="0.25">
      <c r="A340" t="s">
        <v>476</v>
      </c>
      <c r="B340" t="s">
        <v>36</v>
      </c>
      <c r="C340">
        <v>252</v>
      </c>
      <c r="D340">
        <v>15</v>
      </c>
      <c r="E340">
        <v>10</v>
      </c>
      <c r="F340">
        <v>7</v>
      </c>
      <c r="G340">
        <v>46.72</v>
      </c>
      <c r="H340">
        <v>9.4600000000000009</v>
      </c>
      <c r="I340">
        <v>0.82</v>
      </c>
      <c r="J340" t="s">
        <v>477</v>
      </c>
      <c r="K340" t="s">
        <v>46</v>
      </c>
      <c r="L340">
        <v>95</v>
      </c>
      <c r="M340">
        <v>4.75</v>
      </c>
      <c r="N340">
        <v>124.22</v>
      </c>
      <c r="O340">
        <v>0.44</v>
      </c>
      <c r="P340">
        <v>8</v>
      </c>
      <c r="Q340">
        <v>0.75</v>
      </c>
      <c r="R340">
        <v>980</v>
      </c>
      <c r="S340">
        <v>7.88</v>
      </c>
      <c r="T340">
        <v>0.41</v>
      </c>
      <c r="U340" s="1">
        <v>45456</v>
      </c>
      <c r="V340">
        <v>282.32</v>
      </c>
      <c r="W340">
        <v>0.53300000000000003</v>
      </c>
      <c r="X340" t="str">
        <f>IF(WarehouseData[[#This Row],[stock_level]]&lt;=WarehouseData[[#This Row],[reorder_point]],"Low Stock","Sufficient Stock")</f>
        <v>Sufficient Stock</v>
      </c>
      <c r="Y340">
        <f>WarehouseData[[#This Row],[daily_demand]]*WarehouseData[[#This Row],[lead_time_days]]</f>
        <v>327.03999999999996</v>
      </c>
      <c r="Z340" t="str">
        <f>IF(WarehouseData[[#This Row],[stock_level]]&lt;=WarehouseData[[#This Row],[Demand During Lead Time]],"At Risk","Safe")</f>
        <v>At Risk</v>
      </c>
      <c r="AA340">
        <f>WarehouseData[[#This Row],[stock_level]]/WarehouseData[[#This Row],[daily_demand]]</f>
        <v>5.3938356164383565</v>
      </c>
      <c r="AB340">
        <f>WarehouseData[[#This Row],[stock_level]]*WarehouseData[[#This Row],[unit_price]]</f>
        <v>31303.439999999999</v>
      </c>
      <c r="AC340">
        <f>WarehouseData[[#This Row],[stock_level]]*WarehouseData[[#This Row],[holding_cost_per_unit_day]]*30</f>
        <v>3326.3999999999996</v>
      </c>
      <c r="AD340" t="str">
        <f>IF(WarehouseData[[#This Row],[order_fulfillment_rate]]&gt;=0.9,"Strong",IF(WarehouseData[[#This Row],[order_fulfillment_rate]]&gt;=0.8,"Moderate","Needs Attention"))</f>
        <v>Needs Attention</v>
      </c>
      <c r="AE340" t="str">
        <f>IF(WarehouseData[[#This Row],[picking_time_seconds]]&gt;120,"Slow",IF(WarehouseData[[#This Row],[picking_time_seconds]]&gt;=60,"Average","Fast"))</f>
        <v>Average</v>
      </c>
    </row>
    <row r="341" spans="1:31" x14ac:dyDescent="0.25">
      <c r="A341" t="s">
        <v>478</v>
      </c>
      <c r="B341" t="s">
        <v>32</v>
      </c>
      <c r="C341">
        <v>181</v>
      </c>
      <c r="D341">
        <v>32</v>
      </c>
      <c r="E341">
        <v>10</v>
      </c>
      <c r="F341">
        <v>2</v>
      </c>
      <c r="G341">
        <v>25.38</v>
      </c>
      <c r="H341">
        <v>2.5099999999999998</v>
      </c>
      <c r="I341">
        <v>0.65</v>
      </c>
      <c r="J341" t="s">
        <v>68</v>
      </c>
      <c r="K341" t="s">
        <v>34</v>
      </c>
      <c r="L341">
        <v>24</v>
      </c>
      <c r="M341">
        <v>0.89</v>
      </c>
      <c r="N341">
        <v>196.89</v>
      </c>
      <c r="O341">
        <v>0.2</v>
      </c>
      <c r="P341">
        <v>3</v>
      </c>
      <c r="Q341">
        <v>0.9</v>
      </c>
      <c r="R341">
        <v>419</v>
      </c>
      <c r="S341">
        <v>6.79</v>
      </c>
      <c r="T341">
        <v>0.64</v>
      </c>
      <c r="U341" s="1">
        <v>45600</v>
      </c>
      <c r="V341">
        <v>146.41999999999999</v>
      </c>
      <c r="W341">
        <v>0.71899999999999997</v>
      </c>
      <c r="X341" t="str">
        <f>IF(WarehouseData[[#This Row],[stock_level]]&lt;=WarehouseData[[#This Row],[reorder_point]],"Low Stock","Sufficient Stock")</f>
        <v>Sufficient Stock</v>
      </c>
      <c r="Y341">
        <f>WarehouseData[[#This Row],[daily_demand]]*WarehouseData[[#This Row],[lead_time_days]]</f>
        <v>50.76</v>
      </c>
      <c r="Z341" t="str">
        <f>IF(WarehouseData[[#This Row],[stock_level]]&lt;=WarehouseData[[#This Row],[Demand During Lead Time]],"At Risk","Safe")</f>
        <v>Safe</v>
      </c>
      <c r="AA341">
        <f>WarehouseData[[#This Row],[stock_level]]/WarehouseData[[#This Row],[daily_demand]]</f>
        <v>7.1315996847911745</v>
      </c>
      <c r="AB341">
        <f>WarehouseData[[#This Row],[stock_level]]*WarehouseData[[#This Row],[unit_price]]</f>
        <v>35637.089999999997</v>
      </c>
      <c r="AC341">
        <f>WarehouseData[[#This Row],[stock_level]]*WarehouseData[[#This Row],[holding_cost_per_unit_day]]*30</f>
        <v>1086</v>
      </c>
      <c r="AD341" t="str">
        <f>IF(WarehouseData[[#This Row],[order_fulfillment_rate]]&gt;=0.9,"Strong",IF(WarehouseData[[#This Row],[order_fulfillment_rate]]&gt;=0.8,"Moderate","Needs Attention"))</f>
        <v>Strong</v>
      </c>
      <c r="AE341" t="str">
        <f>IF(WarehouseData[[#This Row],[picking_time_seconds]]&gt;120,"Slow",IF(WarehouseData[[#This Row],[picking_time_seconds]]&gt;=60,"Average","Fast"))</f>
        <v>Fast</v>
      </c>
    </row>
    <row r="342" spans="1:31" x14ac:dyDescent="0.25">
      <c r="A342" t="s">
        <v>479</v>
      </c>
      <c r="B342" t="s">
        <v>73</v>
      </c>
      <c r="C342">
        <v>440</v>
      </c>
      <c r="D342">
        <v>73</v>
      </c>
      <c r="E342">
        <v>6</v>
      </c>
      <c r="F342">
        <v>9</v>
      </c>
      <c r="G342">
        <v>1.32</v>
      </c>
      <c r="H342">
        <v>1.06</v>
      </c>
      <c r="I342">
        <v>0.26</v>
      </c>
      <c r="J342" t="s">
        <v>92</v>
      </c>
      <c r="K342" t="s">
        <v>52</v>
      </c>
      <c r="L342">
        <v>15</v>
      </c>
      <c r="M342">
        <v>2.96</v>
      </c>
      <c r="N342">
        <v>70.099999999999994</v>
      </c>
      <c r="O342">
        <v>1.72</v>
      </c>
      <c r="P342">
        <v>9</v>
      </c>
      <c r="Q342">
        <v>0.82</v>
      </c>
      <c r="R342">
        <v>597</v>
      </c>
      <c r="S342">
        <v>14.71</v>
      </c>
      <c r="T342">
        <v>0.65</v>
      </c>
      <c r="U342" s="1">
        <v>45647</v>
      </c>
      <c r="V342">
        <v>190.5</v>
      </c>
      <c r="W342">
        <v>0.53800000000000003</v>
      </c>
      <c r="X342" t="str">
        <f>IF(WarehouseData[[#This Row],[stock_level]]&lt;=WarehouseData[[#This Row],[reorder_point]],"Low Stock","Sufficient Stock")</f>
        <v>Sufficient Stock</v>
      </c>
      <c r="Y342">
        <f>WarehouseData[[#This Row],[daily_demand]]*WarehouseData[[#This Row],[lead_time_days]]</f>
        <v>11.88</v>
      </c>
      <c r="Z342" t="str">
        <f>IF(WarehouseData[[#This Row],[stock_level]]&lt;=WarehouseData[[#This Row],[Demand During Lead Time]],"At Risk","Safe")</f>
        <v>Safe</v>
      </c>
      <c r="AA342">
        <f>WarehouseData[[#This Row],[stock_level]]/WarehouseData[[#This Row],[daily_demand]]</f>
        <v>333.33333333333331</v>
      </c>
      <c r="AB342">
        <f>WarehouseData[[#This Row],[stock_level]]*WarehouseData[[#This Row],[unit_price]]</f>
        <v>30843.999999999996</v>
      </c>
      <c r="AC342">
        <f>WarehouseData[[#This Row],[stock_level]]*WarehouseData[[#This Row],[holding_cost_per_unit_day]]*30</f>
        <v>22704</v>
      </c>
      <c r="AD342" t="str">
        <f>IF(WarehouseData[[#This Row],[order_fulfillment_rate]]&gt;=0.9,"Strong",IF(WarehouseData[[#This Row],[order_fulfillment_rate]]&gt;=0.8,"Moderate","Needs Attention"))</f>
        <v>Moderate</v>
      </c>
      <c r="AE342" t="str">
        <f>IF(WarehouseData[[#This Row],[picking_time_seconds]]&gt;120,"Slow",IF(WarehouseData[[#This Row],[picking_time_seconds]]&gt;=60,"Average","Fast"))</f>
        <v>Fast</v>
      </c>
    </row>
    <row r="343" spans="1:31" x14ac:dyDescent="0.25">
      <c r="A343" t="s">
        <v>480</v>
      </c>
      <c r="B343" t="s">
        <v>32</v>
      </c>
      <c r="C343">
        <v>153</v>
      </c>
      <c r="D343">
        <v>96</v>
      </c>
      <c r="E343">
        <v>7</v>
      </c>
      <c r="F343">
        <v>6</v>
      </c>
      <c r="G343">
        <v>6.38</v>
      </c>
      <c r="H343">
        <v>5.61</v>
      </c>
      <c r="I343">
        <v>0.59</v>
      </c>
      <c r="J343" t="s">
        <v>133</v>
      </c>
      <c r="K343" t="s">
        <v>46</v>
      </c>
      <c r="L343">
        <v>10</v>
      </c>
      <c r="M343">
        <v>2.85</v>
      </c>
      <c r="N343">
        <v>41.47</v>
      </c>
      <c r="O343">
        <v>0.24</v>
      </c>
      <c r="P343">
        <v>2</v>
      </c>
      <c r="Q343">
        <v>0.91</v>
      </c>
      <c r="R343">
        <v>812</v>
      </c>
      <c r="S343">
        <v>14.24</v>
      </c>
      <c r="T343">
        <v>0.33</v>
      </c>
      <c r="U343" s="1">
        <v>45394</v>
      </c>
      <c r="V343">
        <v>198.53</v>
      </c>
      <c r="W343">
        <v>0.77400000000000002</v>
      </c>
      <c r="X343" t="str">
        <f>IF(WarehouseData[[#This Row],[stock_level]]&lt;=WarehouseData[[#This Row],[reorder_point]],"Low Stock","Sufficient Stock")</f>
        <v>Sufficient Stock</v>
      </c>
      <c r="Y343">
        <f>WarehouseData[[#This Row],[daily_demand]]*WarehouseData[[#This Row],[lead_time_days]]</f>
        <v>38.28</v>
      </c>
      <c r="Z343" t="str">
        <f>IF(WarehouseData[[#This Row],[stock_level]]&lt;=WarehouseData[[#This Row],[Demand During Lead Time]],"At Risk","Safe")</f>
        <v>Safe</v>
      </c>
      <c r="AA343">
        <f>WarehouseData[[#This Row],[stock_level]]/WarehouseData[[#This Row],[daily_demand]]</f>
        <v>23.981191222570533</v>
      </c>
      <c r="AB343">
        <f>WarehouseData[[#This Row],[stock_level]]*WarehouseData[[#This Row],[unit_price]]</f>
        <v>6344.91</v>
      </c>
      <c r="AC343">
        <f>WarehouseData[[#This Row],[stock_level]]*WarehouseData[[#This Row],[holding_cost_per_unit_day]]*30</f>
        <v>1101.5999999999999</v>
      </c>
      <c r="AD343" t="str">
        <f>IF(WarehouseData[[#This Row],[order_fulfillment_rate]]&gt;=0.9,"Strong",IF(WarehouseData[[#This Row],[order_fulfillment_rate]]&gt;=0.8,"Moderate","Needs Attention"))</f>
        <v>Strong</v>
      </c>
      <c r="AE343" t="str">
        <f>IF(WarehouseData[[#This Row],[picking_time_seconds]]&gt;120,"Slow",IF(WarehouseData[[#This Row],[picking_time_seconds]]&gt;=60,"Average","Fast"))</f>
        <v>Fast</v>
      </c>
    </row>
    <row r="344" spans="1:31" x14ac:dyDescent="0.25">
      <c r="A344" t="s">
        <v>481</v>
      </c>
      <c r="B344" t="s">
        <v>40</v>
      </c>
      <c r="C344">
        <v>410</v>
      </c>
      <c r="D344">
        <v>52</v>
      </c>
      <c r="E344">
        <v>6</v>
      </c>
      <c r="F344">
        <v>3</v>
      </c>
      <c r="G344">
        <v>29.08</v>
      </c>
      <c r="H344">
        <v>1.85</v>
      </c>
      <c r="I344">
        <v>0.85</v>
      </c>
      <c r="J344" t="s">
        <v>84</v>
      </c>
      <c r="K344" t="s">
        <v>46</v>
      </c>
      <c r="L344">
        <v>29</v>
      </c>
      <c r="M344">
        <v>3.77</v>
      </c>
      <c r="N344">
        <v>150.08000000000001</v>
      </c>
      <c r="O344">
        <v>0.85</v>
      </c>
      <c r="P344">
        <v>9</v>
      </c>
      <c r="Q344">
        <v>0.78</v>
      </c>
      <c r="R344">
        <v>661</v>
      </c>
      <c r="S344">
        <v>6.5</v>
      </c>
      <c r="T344">
        <v>0.35</v>
      </c>
      <c r="U344" s="1">
        <v>45537</v>
      </c>
      <c r="V344">
        <v>36.39</v>
      </c>
      <c r="W344">
        <v>0.44800000000000001</v>
      </c>
      <c r="X344" t="str">
        <f>IF(WarehouseData[[#This Row],[stock_level]]&lt;=WarehouseData[[#This Row],[reorder_point]],"Low Stock","Sufficient Stock")</f>
        <v>Sufficient Stock</v>
      </c>
      <c r="Y344">
        <f>WarehouseData[[#This Row],[daily_demand]]*WarehouseData[[#This Row],[lead_time_days]]</f>
        <v>87.24</v>
      </c>
      <c r="Z344" t="str">
        <f>IF(WarehouseData[[#This Row],[stock_level]]&lt;=WarehouseData[[#This Row],[Demand During Lead Time]],"At Risk","Safe")</f>
        <v>Safe</v>
      </c>
      <c r="AA344">
        <f>WarehouseData[[#This Row],[stock_level]]/WarehouseData[[#This Row],[daily_demand]]</f>
        <v>14.099037138927098</v>
      </c>
      <c r="AB344">
        <f>WarehouseData[[#This Row],[stock_level]]*WarehouseData[[#This Row],[unit_price]]</f>
        <v>61532.800000000003</v>
      </c>
      <c r="AC344">
        <f>WarehouseData[[#This Row],[stock_level]]*WarehouseData[[#This Row],[holding_cost_per_unit_day]]*30</f>
        <v>10455</v>
      </c>
      <c r="AD344" t="str">
        <f>IF(WarehouseData[[#This Row],[order_fulfillment_rate]]&gt;=0.9,"Strong",IF(WarehouseData[[#This Row],[order_fulfillment_rate]]&gt;=0.8,"Moderate","Needs Attention"))</f>
        <v>Needs Attention</v>
      </c>
      <c r="AE344" t="str">
        <f>IF(WarehouseData[[#This Row],[picking_time_seconds]]&gt;120,"Slow",IF(WarehouseData[[#This Row],[picking_time_seconds]]&gt;=60,"Average","Fast"))</f>
        <v>Fast</v>
      </c>
    </row>
    <row r="345" spans="1:31" x14ac:dyDescent="0.25">
      <c r="A345" t="s">
        <v>482</v>
      </c>
      <c r="B345" t="s">
        <v>32</v>
      </c>
      <c r="C345">
        <v>499</v>
      </c>
      <c r="D345">
        <v>32</v>
      </c>
      <c r="E345">
        <v>11</v>
      </c>
      <c r="F345">
        <v>6</v>
      </c>
      <c r="G345">
        <v>2.17</v>
      </c>
      <c r="H345">
        <v>2.2799999999999998</v>
      </c>
      <c r="I345">
        <v>0.37</v>
      </c>
      <c r="J345" t="s">
        <v>163</v>
      </c>
      <c r="K345" t="s">
        <v>34</v>
      </c>
      <c r="L345">
        <v>173</v>
      </c>
      <c r="M345">
        <v>1.68</v>
      </c>
      <c r="N345">
        <v>62.84</v>
      </c>
      <c r="O345">
        <v>0.28000000000000003</v>
      </c>
      <c r="P345">
        <v>6</v>
      </c>
      <c r="Q345">
        <v>0.8</v>
      </c>
      <c r="R345">
        <v>128</v>
      </c>
      <c r="S345">
        <v>12.12</v>
      </c>
      <c r="T345">
        <v>0.88</v>
      </c>
      <c r="U345" s="1">
        <v>45452</v>
      </c>
      <c r="V345">
        <v>257.14</v>
      </c>
      <c r="W345">
        <v>0.75</v>
      </c>
      <c r="X345" t="str">
        <f>IF(WarehouseData[[#This Row],[stock_level]]&lt;=WarehouseData[[#This Row],[reorder_point]],"Low Stock","Sufficient Stock")</f>
        <v>Sufficient Stock</v>
      </c>
      <c r="Y345">
        <f>WarehouseData[[#This Row],[daily_demand]]*WarehouseData[[#This Row],[lead_time_days]]</f>
        <v>13.02</v>
      </c>
      <c r="Z345" t="str">
        <f>IF(WarehouseData[[#This Row],[stock_level]]&lt;=WarehouseData[[#This Row],[Demand During Lead Time]],"At Risk","Safe")</f>
        <v>Safe</v>
      </c>
      <c r="AA345">
        <f>WarehouseData[[#This Row],[stock_level]]/WarehouseData[[#This Row],[daily_demand]]</f>
        <v>229.95391705069125</v>
      </c>
      <c r="AB345">
        <f>WarehouseData[[#This Row],[stock_level]]*WarehouseData[[#This Row],[unit_price]]</f>
        <v>31357.160000000003</v>
      </c>
      <c r="AC345">
        <f>WarehouseData[[#This Row],[stock_level]]*WarehouseData[[#This Row],[holding_cost_per_unit_day]]*30</f>
        <v>4191.6000000000004</v>
      </c>
      <c r="AD345" t="str">
        <f>IF(WarehouseData[[#This Row],[order_fulfillment_rate]]&gt;=0.9,"Strong",IF(WarehouseData[[#This Row],[order_fulfillment_rate]]&gt;=0.8,"Moderate","Needs Attention"))</f>
        <v>Moderate</v>
      </c>
      <c r="AE345" t="str">
        <f>IF(WarehouseData[[#This Row],[picking_time_seconds]]&gt;120,"Slow",IF(WarehouseData[[#This Row],[picking_time_seconds]]&gt;=60,"Average","Fast"))</f>
        <v>Slow</v>
      </c>
    </row>
    <row r="346" spans="1:31" x14ac:dyDescent="0.25">
      <c r="A346" t="s">
        <v>483</v>
      </c>
      <c r="B346" t="s">
        <v>48</v>
      </c>
      <c r="C346">
        <v>243</v>
      </c>
      <c r="D346">
        <v>39</v>
      </c>
      <c r="E346">
        <v>4</v>
      </c>
      <c r="F346">
        <v>2</v>
      </c>
      <c r="G346">
        <v>20.45</v>
      </c>
      <c r="H346">
        <v>8.9700000000000006</v>
      </c>
      <c r="I346">
        <v>0.85</v>
      </c>
      <c r="J346" t="s">
        <v>88</v>
      </c>
      <c r="K346" t="s">
        <v>34</v>
      </c>
      <c r="L346">
        <v>139</v>
      </c>
      <c r="M346">
        <v>4.71</v>
      </c>
      <c r="N346">
        <v>192.6</v>
      </c>
      <c r="O346">
        <v>1.17</v>
      </c>
      <c r="P346">
        <v>8</v>
      </c>
      <c r="Q346">
        <v>0.97</v>
      </c>
      <c r="R346">
        <v>847</v>
      </c>
      <c r="S346">
        <v>9.91</v>
      </c>
      <c r="T346">
        <v>0.33</v>
      </c>
      <c r="U346" s="1">
        <v>45382</v>
      </c>
      <c r="V346">
        <v>57.63</v>
      </c>
      <c r="W346">
        <v>0.51500000000000001</v>
      </c>
      <c r="X346" t="str">
        <f>IF(WarehouseData[[#This Row],[stock_level]]&lt;=WarehouseData[[#This Row],[reorder_point]],"Low Stock","Sufficient Stock")</f>
        <v>Sufficient Stock</v>
      </c>
      <c r="Y346">
        <f>WarehouseData[[#This Row],[daily_demand]]*WarehouseData[[#This Row],[lead_time_days]]</f>
        <v>40.9</v>
      </c>
      <c r="Z346" t="str">
        <f>IF(WarehouseData[[#This Row],[stock_level]]&lt;=WarehouseData[[#This Row],[Demand During Lead Time]],"At Risk","Safe")</f>
        <v>Safe</v>
      </c>
      <c r="AA346">
        <f>WarehouseData[[#This Row],[stock_level]]/WarehouseData[[#This Row],[daily_demand]]</f>
        <v>11.882640586797066</v>
      </c>
      <c r="AB346">
        <f>WarehouseData[[#This Row],[stock_level]]*WarehouseData[[#This Row],[unit_price]]</f>
        <v>46801.799999999996</v>
      </c>
      <c r="AC346">
        <f>WarehouseData[[#This Row],[stock_level]]*WarehouseData[[#This Row],[holding_cost_per_unit_day]]*30</f>
        <v>8529.2999999999993</v>
      </c>
      <c r="AD346" t="str">
        <f>IF(WarehouseData[[#This Row],[order_fulfillment_rate]]&gt;=0.9,"Strong",IF(WarehouseData[[#This Row],[order_fulfillment_rate]]&gt;=0.8,"Moderate","Needs Attention"))</f>
        <v>Strong</v>
      </c>
      <c r="AE346" t="str">
        <f>IF(WarehouseData[[#This Row],[picking_time_seconds]]&gt;120,"Slow",IF(WarehouseData[[#This Row],[picking_time_seconds]]&gt;=60,"Average","Fast"))</f>
        <v>Slow</v>
      </c>
    </row>
    <row r="347" spans="1:31" x14ac:dyDescent="0.25">
      <c r="A347" t="s">
        <v>484</v>
      </c>
      <c r="B347" t="s">
        <v>48</v>
      </c>
      <c r="C347">
        <v>172</v>
      </c>
      <c r="D347">
        <v>86</v>
      </c>
      <c r="E347">
        <v>13</v>
      </c>
      <c r="F347">
        <v>7</v>
      </c>
      <c r="G347">
        <v>15.87</v>
      </c>
      <c r="H347">
        <v>0.56999999999999995</v>
      </c>
      <c r="I347">
        <v>0.81</v>
      </c>
      <c r="J347" t="s">
        <v>332</v>
      </c>
      <c r="K347" t="s">
        <v>46</v>
      </c>
      <c r="L347">
        <v>79</v>
      </c>
      <c r="M347">
        <v>2.35</v>
      </c>
      <c r="N347">
        <v>197.73</v>
      </c>
      <c r="O347">
        <v>0.79</v>
      </c>
      <c r="P347">
        <v>1</v>
      </c>
      <c r="Q347">
        <v>0.83</v>
      </c>
      <c r="R347">
        <v>832</v>
      </c>
      <c r="S347">
        <v>4.4000000000000004</v>
      </c>
      <c r="T347">
        <v>0.24</v>
      </c>
      <c r="U347" s="1">
        <v>45495</v>
      </c>
      <c r="V347">
        <v>125.25</v>
      </c>
      <c r="W347">
        <v>0.57399999999999995</v>
      </c>
      <c r="X347" t="str">
        <f>IF(WarehouseData[[#This Row],[stock_level]]&lt;=WarehouseData[[#This Row],[reorder_point]],"Low Stock","Sufficient Stock")</f>
        <v>Sufficient Stock</v>
      </c>
      <c r="Y347">
        <f>WarehouseData[[#This Row],[daily_demand]]*WarehouseData[[#This Row],[lead_time_days]]</f>
        <v>111.08999999999999</v>
      </c>
      <c r="Z347" t="str">
        <f>IF(WarehouseData[[#This Row],[stock_level]]&lt;=WarehouseData[[#This Row],[Demand During Lead Time]],"At Risk","Safe")</f>
        <v>Safe</v>
      </c>
      <c r="AA347">
        <f>WarehouseData[[#This Row],[stock_level]]/WarehouseData[[#This Row],[daily_demand]]</f>
        <v>10.838059231253938</v>
      </c>
      <c r="AB347">
        <f>WarehouseData[[#This Row],[stock_level]]*WarehouseData[[#This Row],[unit_price]]</f>
        <v>34009.56</v>
      </c>
      <c r="AC347">
        <f>WarehouseData[[#This Row],[stock_level]]*WarehouseData[[#This Row],[holding_cost_per_unit_day]]*30</f>
        <v>4076.3999999999996</v>
      </c>
      <c r="AD347" t="str">
        <f>IF(WarehouseData[[#This Row],[order_fulfillment_rate]]&gt;=0.9,"Strong",IF(WarehouseData[[#This Row],[order_fulfillment_rate]]&gt;=0.8,"Moderate","Needs Attention"))</f>
        <v>Moderate</v>
      </c>
      <c r="AE347" t="str">
        <f>IF(WarehouseData[[#This Row],[picking_time_seconds]]&gt;120,"Slow",IF(WarehouseData[[#This Row],[picking_time_seconds]]&gt;=60,"Average","Fast"))</f>
        <v>Average</v>
      </c>
    </row>
    <row r="348" spans="1:31" x14ac:dyDescent="0.25">
      <c r="A348" t="s">
        <v>485</v>
      </c>
      <c r="B348" t="s">
        <v>40</v>
      </c>
      <c r="C348">
        <v>52</v>
      </c>
      <c r="D348">
        <v>27</v>
      </c>
      <c r="E348">
        <v>10</v>
      </c>
      <c r="F348">
        <v>6</v>
      </c>
      <c r="G348">
        <v>36</v>
      </c>
      <c r="H348">
        <v>8.26</v>
      </c>
      <c r="I348">
        <v>0.12</v>
      </c>
      <c r="J348" t="s">
        <v>113</v>
      </c>
      <c r="K348" t="s">
        <v>46</v>
      </c>
      <c r="L348">
        <v>11</v>
      </c>
      <c r="M348">
        <v>1.79</v>
      </c>
      <c r="N348">
        <v>186.02</v>
      </c>
      <c r="O348">
        <v>0.48</v>
      </c>
      <c r="P348">
        <v>5</v>
      </c>
      <c r="Q348">
        <v>0.88</v>
      </c>
      <c r="R348">
        <v>270</v>
      </c>
      <c r="S348">
        <v>14.04</v>
      </c>
      <c r="T348">
        <v>0.4</v>
      </c>
      <c r="U348" s="1">
        <v>45455</v>
      </c>
      <c r="V348">
        <v>205.04</v>
      </c>
      <c r="W348">
        <v>0.69499999999999995</v>
      </c>
      <c r="X348" t="str">
        <f>IF(WarehouseData[[#This Row],[stock_level]]&lt;=WarehouseData[[#This Row],[reorder_point]],"Low Stock","Sufficient Stock")</f>
        <v>Sufficient Stock</v>
      </c>
      <c r="Y348">
        <f>WarehouseData[[#This Row],[daily_demand]]*WarehouseData[[#This Row],[lead_time_days]]</f>
        <v>216</v>
      </c>
      <c r="Z348" t="str">
        <f>IF(WarehouseData[[#This Row],[stock_level]]&lt;=WarehouseData[[#This Row],[Demand During Lead Time]],"At Risk","Safe")</f>
        <v>At Risk</v>
      </c>
      <c r="AA348">
        <f>WarehouseData[[#This Row],[stock_level]]/WarehouseData[[#This Row],[daily_demand]]</f>
        <v>1.4444444444444444</v>
      </c>
      <c r="AB348">
        <f>WarehouseData[[#This Row],[stock_level]]*WarehouseData[[#This Row],[unit_price]]</f>
        <v>9673.0400000000009</v>
      </c>
      <c r="AC348">
        <f>WarehouseData[[#This Row],[stock_level]]*WarehouseData[[#This Row],[holding_cost_per_unit_day]]*30</f>
        <v>748.80000000000007</v>
      </c>
      <c r="AD348" t="str">
        <f>IF(WarehouseData[[#This Row],[order_fulfillment_rate]]&gt;=0.9,"Strong",IF(WarehouseData[[#This Row],[order_fulfillment_rate]]&gt;=0.8,"Moderate","Needs Attention"))</f>
        <v>Moderate</v>
      </c>
      <c r="AE348" t="str">
        <f>IF(WarehouseData[[#This Row],[picking_time_seconds]]&gt;120,"Slow",IF(WarehouseData[[#This Row],[picking_time_seconds]]&gt;=60,"Average","Fast"))</f>
        <v>Fast</v>
      </c>
    </row>
    <row r="349" spans="1:31" x14ac:dyDescent="0.25">
      <c r="A349" t="s">
        <v>486</v>
      </c>
      <c r="B349" t="s">
        <v>73</v>
      </c>
      <c r="C349">
        <v>74</v>
      </c>
      <c r="D349">
        <v>96</v>
      </c>
      <c r="E349">
        <v>4</v>
      </c>
      <c r="F349">
        <v>8</v>
      </c>
      <c r="G349">
        <v>3.72</v>
      </c>
      <c r="H349">
        <v>5.41</v>
      </c>
      <c r="I349">
        <v>0.32</v>
      </c>
      <c r="J349" t="s">
        <v>156</v>
      </c>
      <c r="K349" t="s">
        <v>38</v>
      </c>
      <c r="L349">
        <v>140</v>
      </c>
      <c r="M349">
        <v>2.02</v>
      </c>
      <c r="N349">
        <v>189.5</v>
      </c>
      <c r="O349">
        <v>1.23</v>
      </c>
      <c r="P349">
        <v>4</v>
      </c>
      <c r="Q349">
        <v>0.73</v>
      </c>
      <c r="R349">
        <v>757</v>
      </c>
      <c r="S349">
        <v>4.63</v>
      </c>
      <c r="T349">
        <v>0.66</v>
      </c>
      <c r="U349" s="1">
        <v>45441</v>
      </c>
      <c r="V349">
        <v>26.01</v>
      </c>
      <c r="W349">
        <v>0.53700000000000003</v>
      </c>
      <c r="X349" t="str">
        <f>IF(WarehouseData[[#This Row],[stock_level]]&lt;=WarehouseData[[#This Row],[reorder_point]],"Low Stock","Sufficient Stock")</f>
        <v>Low Stock</v>
      </c>
      <c r="Y349">
        <f>WarehouseData[[#This Row],[daily_demand]]*WarehouseData[[#This Row],[lead_time_days]]</f>
        <v>29.76</v>
      </c>
      <c r="Z349" t="str">
        <f>IF(WarehouseData[[#This Row],[stock_level]]&lt;=WarehouseData[[#This Row],[Demand During Lead Time]],"At Risk","Safe")</f>
        <v>Safe</v>
      </c>
      <c r="AA349">
        <f>WarehouseData[[#This Row],[stock_level]]/WarehouseData[[#This Row],[daily_demand]]</f>
        <v>19.892473118279568</v>
      </c>
      <c r="AB349">
        <f>WarehouseData[[#This Row],[stock_level]]*WarehouseData[[#This Row],[unit_price]]</f>
        <v>14023</v>
      </c>
      <c r="AC349">
        <f>WarehouseData[[#This Row],[stock_level]]*WarehouseData[[#This Row],[holding_cost_per_unit_day]]*30</f>
        <v>2730.6</v>
      </c>
      <c r="AD349" t="str">
        <f>IF(WarehouseData[[#This Row],[order_fulfillment_rate]]&gt;=0.9,"Strong",IF(WarehouseData[[#This Row],[order_fulfillment_rate]]&gt;=0.8,"Moderate","Needs Attention"))</f>
        <v>Needs Attention</v>
      </c>
      <c r="AE349" t="str">
        <f>IF(WarehouseData[[#This Row],[picking_time_seconds]]&gt;120,"Slow",IF(WarehouseData[[#This Row],[picking_time_seconds]]&gt;=60,"Average","Fast"))</f>
        <v>Slow</v>
      </c>
    </row>
    <row r="350" spans="1:31" x14ac:dyDescent="0.25">
      <c r="A350" t="s">
        <v>487</v>
      </c>
      <c r="B350" t="s">
        <v>48</v>
      </c>
      <c r="C350">
        <v>461</v>
      </c>
      <c r="D350">
        <v>88</v>
      </c>
      <c r="E350">
        <v>3</v>
      </c>
      <c r="F350">
        <v>2</v>
      </c>
      <c r="G350">
        <v>24.95</v>
      </c>
      <c r="H350">
        <v>5.81</v>
      </c>
      <c r="I350">
        <v>0.59</v>
      </c>
      <c r="J350" t="s">
        <v>146</v>
      </c>
      <c r="K350" t="s">
        <v>46</v>
      </c>
      <c r="L350">
        <v>16</v>
      </c>
      <c r="M350">
        <v>2.0699999999999998</v>
      </c>
      <c r="N350">
        <v>126.97</v>
      </c>
      <c r="O350">
        <v>0.79</v>
      </c>
      <c r="P350">
        <v>0</v>
      </c>
      <c r="Q350">
        <v>0.75</v>
      </c>
      <c r="R350">
        <v>787</v>
      </c>
      <c r="S350">
        <v>13.18</v>
      </c>
      <c r="T350">
        <v>0.21</v>
      </c>
      <c r="U350" s="1">
        <v>45647</v>
      </c>
      <c r="V350">
        <v>178.32</v>
      </c>
      <c r="W350">
        <v>0.68899999999999995</v>
      </c>
      <c r="X350" t="str">
        <f>IF(WarehouseData[[#This Row],[stock_level]]&lt;=WarehouseData[[#This Row],[reorder_point]],"Low Stock","Sufficient Stock")</f>
        <v>Sufficient Stock</v>
      </c>
      <c r="Y350">
        <f>WarehouseData[[#This Row],[daily_demand]]*WarehouseData[[#This Row],[lead_time_days]]</f>
        <v>49.9</v>
      </c>
      <c r="Z350" t="str">
        <f>IF(WarehouseData[[#This Row],[stock_level]]&lt;=WarehouseData[[#This Row],[Demand During Lead Time]],"At Risk","Safe")</f>
        <v>Safe</v>
      </c>
      <c r="AA350">
        <f>WarehouseData[[#This Row],[stock_level]]/WarehouseData[[#This Row],[daily_demand]]</f>
        <v>18.476953907815631</v>
      </c>
      <c r="AB350">
        <f>WarehouseData[[#This Row],[stock_level]]*WarehouseData[[#This Row],[unit_price]]</f>
        <v>58533.17</v>
      </c>
      <c r="AC350">
        <f>WarehouseData[[#This Row],[stock_level]]*WarehouseData[[#This Row],[holding_cost_per_unit_day]]*30</f>
        <v>10925.7</v>
      </c>
      <c r="AD350" t="str">
        <f>IF(WarehouseData[[#This Row],[order_fulfillment_rate]]&gt;=0.9,"Strong",IF(WarehouseData[[#This Row],[order_fulfillment_rate]]&gt;=0.8,"Moderate","Needs Attention"))</f>
        <v>Needs Attention</v>
      </c>
      <c r="AE350" t="str">
        <f>IF(WarehouseData[[#This Row],[picking_time_seconds]]&gt;120,"Slow",IF(WarehouseData[[#This Row],[picking_time_seconds]]&gt;=60,"Average","Fast"))</f>
        <v>Fast</v>
      </c>
    </row>
    <row r="351" spans="1:31" x14ac:dyDescent="0.25">
      <c r="A351" t="s">
        <v>488</v>
      </c>
      <c r="B351" t="s">
        <v>36</v>
      </c>
      <c r="C351">
        <v>26</v>
      </c>
      <c r="D351">
        <v>30</v>
      </c>
      <c r="E351">
        <v>12</v>
      </c>
      <c r="F351">
        <v>2</v>
      </c>
      <c r="G351">
        <v>29.38</v>
      </c>
      <c r="H351">
        <v>6.88</v>
      </c>
      <c r="I351">
        <v>0.75</v>
      </c>
      <c r="J351" t="s">
        <v>75</v>
      </c>
      <c r="K351" t="s">
        <v>46</v>
      </c>
      <c r="L351">
        <v>93</v>
      </c>
      <c r="M351">
        <v>1.4</v>
      </c>
      <c r="N351">
        <v>141.5</v>
      </c>
      <c r="O351">
        <v>0.42</v>
      </c>
      <c r="P351">
        <v>6</v>
      </c>
      <c r="Q351">
        <v>0.71</v>
      </c>
      <c r="R351">
        <v>648</v>
      </c>
      <c r="S351">
        <v>9.93</v>
      </c>
      <c r="T351">
        <v>0.99</v>
      </c>
      <c r="U351" s="1">
        <v>45616</v>
      </c>
      <c r="V351">
        <v>128.88</v>
      </c>
      <c r="W351">
        <v>0.71</v>
      </c>
      <c r="X351" t="str">
        <f>IF(WarehouseData[[#This Row],[stock_level]]&lt;=WarehouseData[[#This Row],[reorder_point]],"Low Stock","Sufficient Stock")</f>
        <v>Low Stock</v>
      </c>
      <c r="Y351">
        <f>WarehouseData[[#This Row],[daily_demand]]*WarehouseData[[#This Row],[lead_time_days]]</f>
        <v>58.76</v>
      </c>
      <c r="Z351" t="str">
        <f>IF(WarehouseData[[#This Row],[stock_level]]&lt;=WarehouseData[[#This Row],[Demand During Lead Time]],"At Risk","Safe")</f>
        <v>At Risk</v>
      </c>
      <c r="AA351">
        <f>WarehouseData[[#This Row],[stock_level]]/WarehouseData[[#This Row],[daily_demand]]</f>
        <v>0.88495575221238942</v>
      </c>
      <c r="AB351">
        <f>WarehouseData[[#This Row],[stock_level]]*WarehouseData[[#This Row],[unit_price]]</f>
        <v>3679</v>
      </c>
      <c r="AC351">
        <f>WarehouseData[[#This Row],[stock_level]]*WarehouseData[[#This Row],[holding_cost_per_unit_day]]*30</f>
        <v>327.60000000000002</v>
      </c>
      <c r="AD351" t="str">
        <f>IF(WarehouseData[[#This Row],[order_fulfillment_rate]]&gt;=0.9,"Strong",IF(WarehouseData[[#This Row],[order_fulfillment_rate]]&gt;=0.8,"Moderate","Needs Attention"))</f>
        <v>Needs Attention</v>
      </c>
      <c r="AE351" t="str">
        <f>IF(WarehouseData[[#This Row],[picking_time_seconds]]&gt;120,"Slow",IF(WarehouseData[[#This Row],[picking_time_seconds]]&gt;=60,"Average","Fast"))</f>
        <v>Average</v>
      </c>
    </row>
    <row r="352" spans="1:31" x14ac:dyDescent="0.25">
      <c r="A352" t="s">
        <v>489</v>
      </c>
      <c r="B352" t="s">
        <v>48</v>
      </c>
      <c r="C352">
        <v>263</v>
      </c>
      <c r="D352">
        <v>66</v>
      </c>
      <c r="E352">
        <v>5</v>
      </c>
      <c r="F352">
        <v>9</v>
      </c>
      <c r="G352">
        <v>31.25</v>
      </c>
      <c r="H352">
        <v>4.5999999999999996</v>
      </c>
      <c r="I352">
        <v>0.89</v>
      </c>
      <c r="J352" t="s">
        <v>217</v>
      </c>
      <c r="K352" t="s">
        <v>38</v>
      </c>
      <c r="L352">
        <v>178</v>
      </c>
      <c r="M352">
        <v>4.68</v>
      </c>
      <c r="N352">
        <v>27.91</v>
      </c>
      <c r="O352">
        <v>1.43</v>
      </c>
      <c r="P352">
        <v>0</v>
      </c>
      <c r="Q352">
        <v>0.83</v>
      </c>
      <c r="R352">
        <v>619</v>
      </c>
      <c r="S352">
        <v>9.6999999999999993</v>
      </c>
      <c r="T352">
        <v>0.38</v>
      </c>
      <c r="U352" s="1">
        <v>45543</v>
      </c>
      <c r="V352">
        <v>28.52</v>
      </c>
      <c r="W352">
        <v>0.628</v>
      </c>
      <c r="X352" t="str">
        <f>IF(WarehouseData[[#This Row],[stock_level]]&lt;=WarehouseData[[#This Row],[reorder_point]],"Low Stock","Sufficient Stock")</f>
        <v>Sufficient Stock</v>
      </c>
      <c r="Y352">
        <f>WarehouseData[[#This Row],[daily_demand]]*WarehouseData[[#This Row],[lead_time_days]]</f>
        <v>281.25</v>
      </c>
      <c r="Z352" t="str">
        <f>IF(WarehouseData[[#This Row],[stock_level]]&lt;=WarehouseData[[#This Row],[Demand During Lead Time]],"At Risk","Safe")</f>
        <v>At Risk</v>
      </c>
      <c r="AA352">
        <f>WarehouseData[[#This Row],[stock_level]]/WarehouseData[[#This Row],[daily_demand]]</f>
        <v>8.4160000000000004</v>
      </c>
      <c r="AB352">
        <f>WarehouseData[[#This Row],[stock_level]]*WarehouseData[[#This Row],[unit_price]]</f>
        <v>7340.33</v>
      </c>
      <c r="AC352">
        <f>WarehouseData[[#This Row],[stock_level]]*WarehouseData[[#This Row],[holding_cost_per_unit_day]]*30</f>
        <v>11282.699999999999</v>
      </c>
      <c r="AD352" t="str">
        <f>IF(WarehouseData[[#This Row],[order_fulfillment_rate]]&gt;=0.9,"Strong",IF(WarehouseData[[#This Row],[order_fulfillment_rate]]&gt;=0.8,"Moderate","Needs Attention"))</f>
        <v>Moderate</v>
      </c>
      <c r="AE352" t="str">
        <f>IF(WarehouseData[[#This Row],[picking_time_seconds]]&gt;120,"Slow",IF(WarehouseData[[#This Row],[picking_time_seconds]]&gt;=60,"Average","Fast"))</f>
        <v>Slow</v>
      </c>
    </row>
    <row r="353" spans="1:31" x14ac:dyDescent="0.25">
      <c r="A353" t="s">
        <v>490</v>
      </c>
      <c r="B353" t="s">
        <v>48</v>
      </c>
      <c r="C353">
        <v>332</v>
      </c>
      <c r="D353">
        <v>32</v>
      </c>
      <c r="E353">
        <v>11</v>
      </c>
      <c r="F353">
        <v>5</v>
      </c>
      <c r="G353">
        <v>20.85</v>
      </c>
      <c r="H353">
        <v>1.6</v>
      </c>
      <c r="I353">
        <v>0.68</v>
      </c>
      <c r="J353" t="s">
        <v>251</v>
      </c>
      <c r="K353" t="s">
        <v>38</v>
      </c>
      <c r="L353">
        <v>63</v>
      </c>
      <c r="M353">
        <v>1.29</v>
      </c>
      <c r="N353">
        <v>154.97999999999999</v>
      </c>
      <c r="O353">
        <v>1.69</v>
      </c>
      <c r="P353">
        <v>9</v>
      </c>
      <c r="Q353">
        <v>1</v>
      </c>
      <c r="R353">
        <v>461</v>
      </c>
      <c r="S353">
        <v>12.74</v>
      </c>
      <c r="T353">
        <v>0.39</v>
      </c>
      <c r="U353" s="1">
        <v>45586</v>
      </c>
      <c r="V353">
        <v>220.65</v>
      </c>
      <c r="W353">
        <v>0.499</v>
      </c>
      <c r="X353" t="str">
        <f>IF(WarehouseData[[#This Row],[stock_level]]&lt;=WarehouseData[[#This Row],[reorder_point]],"Low Stock","Sufficient Stock")</f>
        <v>Sufficient Stock</v>
      </c>
      <c r="Y353">
        <f>WarehouseData[[#This Row],[daily_demand]]*WarehouseData[[#This Row],[lead_time_days]]</f>
        <v>104.25</v>
      </c>
      <c r="Z353" t="str">
        <f>IF(WarehouseData[[#This Row],[stock_level]]&lt;=WarehouseData[[#This Row],[Demand During Lead Time]],"At Risk","Safe")</f>
        <v>Safe</v>
      </c>
      <c r="AA353">
        <f>WarehouseData[[#This Row],[stock_level]]/WarehouseData[[#This Row],[daily_demand]]</f>
        <v>15.923261390887289</v>
      </c>
      <c r="AB353">
        <f>WarehouseData[[#This Row],[stock_level]]*WarehouseData[[#This Row],[unit_price]]</f>
        <v>51453.359999999993</v>
      </c>
      <c r="AC353">
        <f>WarehouseData[[#This Row],[stock_level]]*WarehouseData[[#This Row],[holding_cost_per_unit_day]]*30</f>
        <v>16832.399999999998</v>
      </c>
      <c r="AD353" t="str">
        <f>IF(WarehouseData[[#This Row],[order_fulfillment_rate]]&gt;=0.9,"Strong",IF(WarehouseData[[#This Row],[order_fulfillment_rate]]&gt;=0.8,"Moderate","Needs Attention"))</f>
        <v>Strong</v>
      </c>
      <c r="AE353" t="str">
        <f>IF(WarehouseData[[#This Row],[picking_time_seconds]]&gt;120,"Slow",IF(WarehouseData[[#This Row],[picking_time_seconds]]&gt;=60,"Average","Fast"))</f>
        <v>Average</v>
      </c>
    </row>
    <row r="354" spans="1:31" x14ac:dyDescent="0.25">
      <c r="A354" t="s">
        <v>491</v>
      </c>
      <c r="B354" t="s">
        <v>73</v>
      </c>
      <c r="C354">
        <v>145</v>
      </c>
      <c r="D354">
        <v>54</v>
      </c>
      <c r="E354">
        <v>14</v>
      </c>
      <c r="F354">
        <v>7</v>
      </c>
      <c r="G354">
        <v>15.91</v>
      </c>
      <c r="H354">
        <v>1.48</v>
      </c>
      <c r="I354">
        <v>0.44</v>
      </c>
      <c r="J354" t="s">
        <v>43</v>
      </c>
      <c r="K354" t="s">
        <v>46</v>
      </c>
      <c r="L354">
        <v>50</v>
      </c>
      <c r="M354">
        <v>4.47</v>
      </c>
      <c r="N354">
        <v>48.39</v>
      </c>
      <c r="O354">
        <v>0.62</v>
      </c>
      <c r="P354">
        <v>8</v>
      </c>
      <c r="Q354">
        <v>0.96</v>
      </c>
      <c r="R354">
        <v>528</v>
      </c>
      <c r="S354">
        <v>7.92</v>
      </c>
      <c r="T354">
        <v>0.79</v>
      </c>
      <c r="U354" s="1">
        <v>45416</v>
      </c>
      <c r="V354">
        <v>155.38999999999999</v>
      </c>
      <c r="W354">
        <v>0.63400000000000001</v>
      </c>
      <c r="X354" t="str">
        <f>IF(WarehouseData[[#This Row],[stock_level]]&lt;=WarehouseData[[#This Row],[reorder_point]],"Low Stock","Sufficient Stock")</f>
        <v>Sufficient Stock</v>
      </c>
      <c r="Y354">
        <f>WarehouseData[[#This Row],[daily_demand]]*WarehouseData[[#This Row],[lead_time_days]]</f>
        <v>111.37</v>
      </c>
      <c r="Z354" t="str">
        <f>IF(WarehouseData[[#This Row],[stock_level]]&lt;=WarehouseData[[#This Row],[Demand During Lead Time]],"At Risk","Safe")</f>
        <v>Safe</v>
      </c>
      <c r="AA354">
        <f>WarehouseData[[#This Row],[stock_level]]/WarehouseData[[#This Row],[daily_demand]]</f>
        <v>9.1137649277184156</v>
      </c>
      <c r="AB354">
        <f>WarehouseData[[#This Row],[stock_level]]*WarehouseData[[#This Row],[unit_price]]</f>
        <v>7016.55</v>
      </c>
      <c r="AC354">
        <f>WarehouseData[[#This Row],[stock_level]]*WarehouseData[[#This Row],[holding_cost_per_unit_day]]*30</f>
        <v>2697</v>
      </c>
      <c r="AD354" t="str">
        <f>IF(WarehouseData[[#This Row],[order_fulfillment_rate]]&gt;=0.9,"Strong",IF(WarehouseData[[#This Row],[order_fulfillment_rate]]&gt;=0.8,"Moderate","Needs Attention"))</f>
        <v>Strong</v>
      </c>
      <c r="AE354" t="str">
        <f>IF(WarehouseData[[#This Row],[picking_time_seconds]]&gt;120,"Slow",IF(WarehouseData[[#This Row],[picking_time_seconds]]&gt;=60,"Average","Fast"))</f>
        <v>Fast</v>
      </c>
    </row>
    <row r="355" spans="1:31" x14ac:dyDescent="0.25">
      <c r="A355" t="s">
        <v>492</v>
      </c>
      <c r="B355" t="s">
        <v>32</v>
      </c>
      <c r="C355">
        <v>31</v>
      </c>
      <c r="D355">
        <v>53</v>
      </c>
      <c r="E355">
        <v>5</v>
      </c>
      <c r="F355">
        <v>7</v>
      </c>
      <c r="G355">
        <v>34.44</v>
      </c>
      <c r="H355">
        <v>7.67</v>
      </c>
      <c r="I355">
        <v>0.27</v>
      </c>
      <c r="J355" t="s">
        <v>62</v>
      </c>
      <c r="K355" t="s">
        <v>38</v>
      </c>
      <c r="L355">
        <v>124</v>
      </c>
      <c r="M355">
        <v>2.3199999999999998</v>
      </c>
      <c r="N355">
        <v>169.66</v>
      </c>
      <c r="O355">
        <v>0.45</v>
      </c>
      <c r="P355">
        <v>3</v>
      </c>
      <c r="Q355">
        <v>0.89</v>
      </c>
      <c r="R355">
        <v>731</v>
      </c>
      <c r="S355">
        <v>12.95</v>
      </c>
      <c r="T355">
        <v>0.4</v>
      </c>
      <c r="U355" s="1">
        <v>45458</v>
      </c>
      <c r="V355">
        <v>98</v>
      </c>
      <c r="W355">
        <v>0.72599999999999998</v>
      </c>
      <c r="X355" t="str">
        <f>IF(WarehouseData[[#This Row],[stock_level]]&lt;=WarehouseData[[#This Row],[reorder_point]],"Low Stock","Sufficient Stock")</f>
        <v>Low Stock</v>
      </c>
      <c r="Y355">
        <f>WarehouseData[[#This Row],[daily_demand]]*WarehouseData[[#This Row],[lead_time_days]]</f>
        <v>241.07999999999998</v>
      </c>
      <c r="Z355" t="str">
        <f>IF(WarehouseData[[#This Row],[stock_level]]&lt;=WarehouseData[[#This Row],[Demand During Lead Time]],"At Risk","Safe")</f>
        <v>At Risk</v>
      </c>
      <c r="AA355">
        <f>WarehouseData[[#This Row],[stock_level]]/WarehouseData[[#This Row],[daily_demand]]</f>
        <v>0.90011614401858309</v>
      </c>
      <c r="AB355">
        <f>WarehouseData[[#This Row],[stock_level]]*WarehouseData[[#This Row],[unit_price]]</f>
        <v>5259.46</v>
      </c>
      <c r="AC355">
        <f>WarehouseData[[#This Row],[stock_level]]*WarehouseData[[#This Row],[holding_cost_per_unit_day]]*30</f>
        <v>418.50000000000006</v>
      </c>
      <c r="AD355" t="str">
        <f>IF(WarehouseData[[#This Row],[order_fulfillment_rate]]&gt;=0.9,"Strong",IF(WarehouseData[[#This Row],[order_fulfillment_rate]]&gt;=0.8,"Moderate","Needs Attention"))</f>
        <v>Moderate</v>
      </c>
      <c r="AE355" t="str">
        <f>IF(WarehouseData[[#This Row],[picking_time_seconds]]&gt;120,"Slow",IF(WarehouseData[[#This Row],[picking_time_seconds]]&gt;=60,"Average","Fast"))</f>
        <v>Slow</v>
      </c>
    </row>
    <row r="356" spans="1:31" x14ac:dyDescent="0.25">
      <c r="A356" t="s">
        <v>493</v>
      </c>
      <c r="B356" t="s">
        <v>48</v>
      </c>
      <c r="C356">
        <v>35</v>
      </c>
      <c r="D356">
        <v>91</v>
      </c>
      <c r="E356">
        <v>11</v>
      </c>
      <c r="F356">
        <v>9</v>
      </c>
      <c r="G356">
        <v>42.53</v>
      </c>
      <c r="H356">
        <v>2.6</v>
      </c>
      <c r="I356">
        <v>0.78</v>
      </c>
      <c r="J356" t="s">
        <v>217</v>
      </c>
      <c r="K356" t="s">
        <v>52</v>
      </c>
      <c r="L356">
        <v>142</v>
      </c>
      <c r="M356">
        <v>1.71</v>
      </c>
      <c r="N356">
        <v>192.69</v>
      </c>
      <c r="O356">
        <v>0.24</v>
      </c>
      <c r="P356">
        <v>7</v>
      </c>
      <c r="Q356">
        <v>0.96</v>
      </c>
      <c r="R356">
        <v>146</v>
      </c>
      <c r="S356">
        <v>8.6999999999999993</v>
      </c>
      <c r="T356">
        <v>0.52</v>
      </c>
      <c r="U356" s="1">
        <v>45484</v>
      </c>
      <c r="V356">
        <v>34.46</v>
      </c>
      <c r="W356">
        <v>0.64800000000000002</v>
      </c>
      <c r="X356" t="str">
        <f>IF(WarehouseData[[#This Row],[stock_level]]&lt;=WarehouseData[[#This Row],[reorder_point]],"Low Stock","Sufficient Stock")</f>
        <v>Low Stock</v>
      </c>
      <c r="Y356">
        <f>WarehouseData[[#This Row],[daily_demand]]*WarehouseData[[#This Row],[lead_time_days]]</f>
        <v>382.77</v>
      </c>
      <c r="Z356" t="str">
        <f>IF(WarehouseData[[#This Row],[stock_level]]&lt;=WarehouseData[[#This Row],[Demand During Lead Time]],"At Risk","Safe")</f>
        <v>At Risk</v>
      </c>
      <c r="AA356">
        <f>WarehouseData[[#This Row],[stock_level]]/WarehouseData[[#This Row],[daily_demand]]</f>
        <v>0.8229485069362803</v>
      </c>
      <c r="AB356">
        <f>WarehouseData[[#This Row],[stock_level]]*WarehouseData[[#This Row],[unit_price]]</f>
        <v>6744.15</v>
      </c>
      <c r="AC356">
        <f>WarehouseData[[#This Row],[stock_level]]*WarehouseData[[#This Row],[holding_cost_per_unit_day]]*30</f>
        <v>252</v>
      </c>
      <c r="AD356" t="str">
        <f>IF(WarehouseData[[#This Row],[order_fulfillment_rate]]&gt;=0.9,"Strong",IF(WarehouseData[[#This Row],[order_fulfillment_rate]]&gt;=0.8,"Moderate","Needs Attention"))</f>
        <v>Strong</v>
      </c>
      <c r="AE356" t="str">
        <f>IF(WarehouseData[[#This Row],[picking_time_seconds]]&gt;120,"Slow",IF(WarehouseData[[#This Row],[picking_time_seconds]]&gt;=60,"Average","Fast"))</f>
        <v>Slow</v>
      </c>
    </row>
    <row r="357" spans="1:31" x14ac:dyDescent="0.25">
      <c r="A357" t="s">
        <v>494</v>
      </c>
      <c r="B357" t="s">
        <v>40</v>
      </c>
      <c r="C357">
        <v>227</v>
      </c>
      <c r="D357">
        <v>97</v>
      </c>
      <c r="E357">
        <v>9</v>
      </c>
      <c r="F357">
        <v>8</v>
      </c>
      <c r="G357">
        <v>34.99</v>
      </c>
      <c r="H357">
        <v>0.77</v>
      </c>
      <c r="I357">
        <v>0.28999999999999998</v>
      </c>
      <c r="J357" t="s">
        <v>245</v>
      </c>
      <c r="K357" t="s">
        <v>34</v>
      </c>
      <c r="L357">
        <v>111</v>
      </c>
      <c r="M357">
        <v>1.39</v>
      </c>
      <c r="N357">
        <v>50.35</v>
      </c>
      <c r="O357">
        <v>1.1000000000000001</v>
      </c>
      <c r="P357">
        <v>0</v>
      </c>
      <c r="Q357">
        <v>0.88</v>
      </c>
      <c r="R357">
        <v>707</v>
      </c>
      <c r="S357">
        <v>14.79</v>
      </c>
      <c r="T357">
        <v>0.64</v>
      </c>
      <c r="U357" s="1">
        <v>45435</v>
      </c>
      <c r="V357">
        <v>168.77</v>
      </c>
      <c r="W357">
        <v>0.79100000000000004</v>
      </c>
      <c r="X357" t="str">
        <f>IF(WarehouseData[[#This Row],[stock_level]]&lt;=WarehouseData[[#This Row],[reorder_point]],"Low Stock","Sufficient Stock")</f>
        <v>Sufficient Stock</v>
      </c>
      <c r="Y357">
        <f>WarehouseData[[#This Row],[daily_demand]]*WarehouseData[[#This Row],[lead_time_days]]</f>
        <v>279.92</v>
      </c>
      <c r="Z357" t="str">
        <f>IF(WarehouseData[[#This Row],[stock_level]]&lt;=WarehouseData[[#This Row],[Demand During Lead Time]],"At Risk","Safe")</f>
        <v>At Risk</v>
      </c>
      <c r="AA357">
        <f>WarehouseData[[#This Row],[stock_level]]/WarehouseData[[#This Row],[daily_demand]]</f>
        <v>6.4875678765361524</v>
      </c>
      <c r="AB357">
        <f>WarehouseData[[#This Row],[stock_level]]*WarehouseData[[#This Row],[unit_price]]</f>
        <v>11429.45</v>
      </c>
      <c r="AC357">
        <f>WarehouseData[[#This Row],[stock_level]]*WarehouseData[[#This Row],[holding_cost_per_unit_day]]*30</f>
        <v>7491.0000000000009</v>
      </c>
      <c r="AD357" t="str">
        <f>IF(WarehouseData[[#This Row],[order_fulfillment_rate]]&gt;=0.9,"Strong",IF(WarehouseData[[#This Row],[order_fulfillment_rate]]&gt;=0.8,"Moderate","Needs Attention"))</f>
        <v>Moderate</v>
      </c>
      <c r="AE357" t="str">
        <f>IF(WarehouseData[[#This Row],[picking_time_seconds]]&gt;120,"Slow",IF(WarehouseData[[#This Row],[picking_time_seconds]]&gt;=60,"Average","Fast"))</f>
        <v>Average</v>
      </c>
    </row>
    <row r="358" spans="1:31" x14ac:dyDescent="0.25">
      <c r="A358" t="s">
        <v>495</v>
      </c>
      <c r="B358" t="s">
        <v>32</v>
      </c>
      <c r="C358">
        <v>62</v>
      </c>
      <c r="D358">
        <v>56</v>
      </c>
      <c r="E358">
        <v>12</v>
      </c>
      <c r="F358">
        <v>6</v>
      </c>
      <c r="G358">
        <v>46.67</v>
      </c>
      <c r="H358">
        <v>9.81</v>
      </c>
      <c r="I358">
        <v>0.73</v>
      </c>
      <c r="J358" t="s">
        <v>221</v>
      </c>
      <c r="K358" t="s">
        <v>52</v>
      </c>
      <c r="L358">
        <v>91</v>
      </c>
      <c r="M358">
        <v>2.77</v>
      </c>
      <c r="N358">
        <v>24.83</v>
      </c>
      <c r="O358">
        <v>1.68</v>
      </c>
      <c r="P358">
        <v>4</v>
      </c>
      <c r="Q358">
        <v>0.81</v>
      </c>
      <c r="R358">
        <v>950</v>
      </c>
      <c r="S358">
        <v>10.24</v>
      </c>
      <c r="T358">
        <v>0.22</v>
      </c>
      <c r="U358" s="1">
        <v>45493</v>
      </c>
      <c r="V358">
        <v>98.73</v>
      </c>
      <c r="W358">
        <v>0.495</v>
      </c>
      <c r="X358" t="str">
        <f>IF(WarehouseData[[#This Row],[stock_level]]&lt;=WarehouseData[[#This Row],[reorder_point]],"Low Stock","Sufficient Stock")</f>
        <v>Sufficient Stock</v>
      </c>
      <c r="Y358">
        <f>WarehouseData[[#This Row],[daily_demand]]*WarehouseData[[#This Row],[lead_time_days]]</f>
        <v>280.02</v>
      </c>
      <c r="Z358" t="str">
        <f>IF(WarehouseData[[#This Row],[stock_level]]&lt;=WarehouseData[[#This Row],[Demand During Lead Time]],"At Risk","Safe")</f>
        <v>At Risk</v>
      </c>
      <c r="AA358">
        <f>WarehouseData[[#This Row],[stock_level]]/WarehouseData[[#This Row],[daily_demand]]</f>
        <v>1.3284765373901863</v>
      </c>
      <c r="AB358">
        <f>WarehouseData[[#This Row],[stock_level]]*WarehouseData[[#This Row],[unit_price]]</f>
        <v>1539.4599999999998</v>
      </c>
      <c r="AC358">
        <f>WarehouseData[[#This Row],[stock_level]]*WarehouseData[[#This Row],[holding_cost_per_unit_day]]*30</f>
        <v>3124.7999999999997</v>
      </c>
      <c r="AD358" t="str">
        <f>IF(WarehouseData[[#This Row],[order_fulfillment_rate]]&gt;=0.9,"Strong",IF(WarehouseData[[#This Row],[order_fulfillment_rate]]&gt;=0.8,"Moderate","Needs Attention"))</f>
        <v>Moderate</v>
      </c>
      <c r="AE358" t="str">
        <f>IF(WarehouseData[[#This Row],[picking_time_seconds]]&gt;120,"Slow",IF(WarehouseData[[#This Row],[picking_time_seconds]]&gt;=60,"Average","Fast"))</f>
        <v>Average</v>
      </c>
    </row>
    <row r="359" spans="1:31" x14ac:dyDescent="0.25">
      <c r="A359" t="s">
        <v>496</v>
      </c>
      <c r="B359" t="s">
        <v>36</v>
      </c>
      <c r="C359">
        <v>392</v>
      </c>
      <c r="D359">
        <v>49</v>
      </c>
      <c r="E359">
        <v>3</v>
      </c>
      <c r="F359">
        <v>4</v>
      </c>
      <c r="G359">
        <v>36.15</v>
      </c>
      <c r="H359">
        <v>9.81</v>
      </c>
      <c r="I359">
        <v>0.26</v>
      </c>
      <c r="J359" t="s">
        <v>217</v>
      </c>
      <c r="K359" t="s">
        <v>34</v>
      </c>
      <c r="L359">
        <v>72</v>
      </c>
      <c r="M359">
        <v>3.51</v>
      </c>
      <c r="N359">
        <v>101.94</v>
      </c>
      <c r="O359">
        <v>0.57999999999999996</v>
      </c>
      <c r="P359">
        <v>2</v>
      </c>
      <c r="Q359">
        <v>0.75</v>
      </c>
      <c r="R359">
        <v>442</v>
      </c>
      <c r="S359">
        <v>6.24</v>
      </c>
      <c r="T359">
        <v>0.87</v>
      </c>
      <c r="U359" s="1">
        <v>45478</v>
      </c>
      <c r="V359">
        <v>284.54000000000002</v>
      </c>
      <c r="W359">
        <v>0.70899999999999996</v>
      </c>
      <c r="X359" t="str">
        <f>IF(WarehouseData[[#This Row],[stock_level]]&lt;=WarehouseData[[#This Row],[reorder_point]],"Low Stock","Sufficient Stock")</f>
        <v>Sufficient Stock</v>
      </c>
      <c r="Y359">
        <f>WarehouseData[[#This Row],[daily_demand]]*WarehouseData[[#This Row],[lead_time_days]]</f>
        <v>144.6</v>
      </c>
      <c r="Z359" t="str">
        <f>IF(WarehouseData[[#This Row],[stock_level]]&lt;=WarehouseData[[#This Row],[Demand During Lead Time]],"At Risk","Safe")</f>
        <v>Safe</v>
      </c>
      <c r="AA359">
        <f>WarehouseData[[#This Row],[stock_level]]/WarehouseData[[#This Row],[daily_demand]]</f>
        <v>10.843706777316736</v>
      </c>
      <c r="AB359">
        <f>WarehouseData[[#This Row],[stock_level]]*WarehouseData[[#This Row],[unit_price]]</f>
        <v>39960.479999999996</v>
      </c>
      <c r="AC359">
        <f>WarehouseData[[#This Row],[stock_level]]*WarehouseData[[#This Row],[holding_cost_per_unit_day]]*30</f>
        <v>6820.7999999999993</v>
      </c>
      <c r="AD359" t="str">
        <f>IF(WarehouseData[[#This Row],[order_fulfillment_rate]]&gt;=0.9,"Strong",IF(WarehouseData[[#This Row],[order_fulfillment_rate]]&gt;=0.8,"Moderate","Needs Attention"))</f>
        <v>Needs Attention</v>
      </c>
      <c r="AE359" t="str">
        <f>IF(WarehouseData[[#This Row],[picking_time_seconds]]&gt;120,"Slow",IF(WarehouseData[[#This Row],[picking_time_seconds]]&gt;=60,"Average","Fast"))</f>
        <v>Average</v>
      </c>
    </row>
    <row r="360" spans="1:31" x14ac:dyDescent="0.25">
      <c r="A360" t="s">
        <v>497</v>
      </c>
      <c r="B360" t="s">
        <v>73</v>
      </c>
      <c r="C360">
        <v>480</v>
      </c>
      <c r="D360">
        <v>60</v>
      </c>
      <c r="E360">
        <v>12</v>
      </c>
      <c r="F360">
        <v>8</v>
      </c>
      <c r="G360">
        <v>38.47</v>
      </c>
      <c r="H360">
        <v>4.09</v>
      </c>
      <c r="I360">
        <v>0.18</v>
      </c>
      <c r="J360" t="s">
        <v>265</v>
      </c>
      <c r="K360" t="s">
        <v>34</v>
      </c>
      <c r="L360">
        <v>10</v>
      </c>
      <c r="M360">
        <v>4.54</v>
      </c>
      <c r="N360">
        <v>160.38999999999999</v>
      </c>
      <c r="O360">
        <v>0.98</v>
      </c>
      <c r="P360">
        <v>3</v>
      </c>
      <c r="Q360">
        <v>0.9</v>
      </c>
      <c r="R360">
        <v>517</v>
      </c>
      <c r="S360">
        <v>11.69</v>
      </c>
      <c r="T360">
        <v>0.61</v>
      </c>
      <c r="U360" s="1">
        <v>45350</v>
      </c>
      <c r="V360">
        <v>181.54</v>
      </c>
      <c r="W360">
        <v>0.7</v>
      </c>
      <c r="X360" t="str">
        <f>IF(WarehouseData[[#This Row],[stock_level]]&lt;=WarehouseData[[#This Row],[reorder_point]],"Low Stock","Sufficient Stock")</f>
        <v>Sufficient Stock</v>
      </c>
      <c r="Y360">
        <f>WarehouseData[[#This Row],[daily_demand]]*WarehouseData[[#This Row],[lead_time_days]]</f>
        <v>307.76</v>
      </c>
      <c r="Z360" t="str">
        <f>IF(WarehouseData[[#This Row],[stock_level]]&lt;=WarehouseData[[#This Row],[Demand During Lead Time]],"At Risk","Safe")</f>
        <v>Safe</v>
      </c>
      <c r="AA360">
        <f>WarehouseData[[#This Row],[stock_level]]/WarehouseData[[#This Row],[daily_demand]]</f>
        <v>12.477255003899142</v>
      </c>
      <c r="AB360">
        <f>WarehouseData[[#This Row],[stock_level]]*WarehouseData[[#This Row],[unit_price]]</f>
        <v>76987.199999999997</v>
      </c>
      <c r="AC360">
        <f>WarehouseData[[#This Row],[stock_level]]*WarehouseData[[#This Row],[holding_cost_per_unit_day]]*30</f>
        <v>14112</v>
      </c>
      <c r="AD360" t="str">
        <f>IF(WarehouseData[[#This Row],[order_fulfillment_rate]]&gt;=0.9,"Strong",IF(WarehouseData[[#This Row],[order_fulfillment_rate]]&gt;=0.8,"Moderate","Needs Attention"))</f>
        <v>Strong</v>
      </c>
      <c r="AE360" t="str">
        <f>IF(WarehouseData[[#This Row],[picking_time_seconds]]&gt;120,"Slow",IF(WarehouseData[[#This Row],[picking_time_seconds]]&gt;=60,"Average","Fast"))</f>
        <v>Fast</v>
      </c>
    </row>
    <row r="361" spans="1:31" x14ac:dyDescent="0.25">
      <c r="A361" t="s">
        <v>498</v>
      </c>
      <c r="B361" t="s">
        <v>36</v>
      </c>
      <c r="C361">
        <v>154</v>
      </c>
      <c r="D361">
        <v>51</v>
      </c>
      <c r="E361">
        <v>7</v>
      </c>
      <c r="F361">
        <v>5</v>
      </c>
      <c r="G361">
        <v>9.23</v>
      </c>
      <c r="H361">
        <v>0.74</v>
      </c>
      <c r="I361">
        <v>0.33</v>
      </c>
      <c r="J361" t="s">
        <v>251</v>
      </c>
      <c r="K361" t="s">
        <v>46</v>
      </c>
      <c r="L361">
        <v>34</v>
      </c>
      <c r="M361">
        <v>3.44</v>
      </c>
      <c r="N361">
        <v>156.41999999999999</v>
      </c>
      <c r="O361">
        <v>0.41</v>
      </c>
      <c r="P361">
        <v>3</v>
      </c>
      <c r="Q361">
        <v>0.76</v>
      </c>
      <c r="R361">
        <v>919</v>
      </c>
      <c r="S361">
        <v>8.14</v>
      </c>
      <c r="T361">
        <v>0.45</v>
      </c>
      <c r="U361" s="1">
        <v>45580</v>
      </c>
      <c r="V361">
        <v>92.67</v>
      </c>
      <c r="W361">
        <v>0.65</v>
      </c>
      <c r="X361" t="str">
        <f>IF(WarehouseData[[#This Row],[stock_level]]&lt;=WarehouseData[[#This Row],[reorder_point]],"Low Stock","Sufficient Stock")</f>
        <v>Sufficient Stock</v>
      </c>
      <c r="Y361">
        <f>WarehouseData[[#This Row],[daily_demand]]*WarehouseData[[#This Row],[lead_time_days]]</f>
        <v>46.150000000000006</v>
      </c>
      <c r="Z361" t="str">
        <f>IF(WarehouseData[[#This Row],[stock_level]]&lt;=WarehouseData[[#This Row],[Demand During Lead Time]],"At Risk","Safe")</f>
        <v>Safe</v>
      </c>
      <c r="AA361">
        <f>WarehouseData[[#This Row],[stock_level]]/WarehouseData[[#This Row],[daily_demand]]</f>
        <v>16.684723726977246</v>
      </c>
      <c r="AB361">
        <f>WarehouseData[[#This Row],[stock_level]]*WarehouseData[[#This Row],[unit_price]]</f>
        <v>24088.679999999997</v>
      </c>
      <c r="AC361">
        <f>WarehouseData[[#This Row],[stock_level]]*WarehouseData[[#This Row],[holding_cost_per_unit_day]]*30</f>
        <v>1894.1999999999998</v>
      </c>
      <c r="AD361" t="str">
        <f>IF(WarehouseData[[#This Row],[order_fulfillment_rate]]&gt;=0.9,"Strong",IF(WarehouseData[[#This Row],[order_fulfillment_rate]]&gt;=0.8,"Moderate","Needs Attention"))</f>
        <v>Needs Attention</v>
      </c>
      <c r="AE361" t="str">
        <f>IF(WarehouseData[[#This Row],[picking_time_seconds]]&gt;120,"Slow",IF(WarehouseData[[#This Row],[picking_time_seconds]]&gt;=60,"Average","Fast"))</f>
        <v>Fast</v>
      </c>
    </row>
    <row r="362" spans="1:31" x14ac:dyDescent="0.25">
      <c r="A362" t="s">
        <v>499</v>
      </c>
      <c r="B362" t="s">
        <v>32</v>
      </c>
      <c r="C362">
        <v>247</v>
      </c>
      <c r="D362">
        <v>16</v>
      </c>
      <c r="E362">
        <v>11</v>
      </c>
      <c r="F362">
        <v>7</v>
      </c>
      <c r="G362">
        <v>21.56</v>
      </c>
      <c r="H362">
        <v>7.41</v>
      </c>
      <c r="I362">
        <v>0.36</v>
      </c>
      <c r="J362" t="s">
        <v>466</v>
      </c>
      <c r="K362" t="s">
        <v>34</v>
      </c>
      <c r="L362">
        <v>152</v>
      </c>
      <c r="M362">
        <v>2.68</v>
      </c>
      <c r="N362">
        <v>142.4</v>
      </c>
      <c r="O362">
        <v>0.87</v>
      </c>
      <c r="P362">
        <v>7</v>
      </c>
      <c r="Q362">
        <v>0.83</v>
      </c>
      <c r="R362">
        <v>420</v>
      </c>
      <c r="S362">
        <v>12.28</v>
      </c>
      <c r="T362">
        <v>0.52</v>
      </c>
      <c r="U362" s="1">
        <v>45394</v>
      </c>
      <c r="V362">
        <v>163.30000000000001</v>
      </c>
      <c r="W362">
        <v>0.60699999999999998</v>
      </c>
      <c r="X362" t="str">
        <f>IF(WarehouseData[[#This Row],[stock_level]]&lt;=WarehouseData[[#This Row],[reorder_point]],"Low Stock","Sufficient Stock")</f>
        <v>Sufficient Stock</v>
      </c>
      <c r="Y362">
        <f>WarehouseData[[#This Row],[daily_demand]]*WarehouseData[[#This Row],[lead_time_days]]</f>
        <v>150.91999999999999</v>
      </c>
      <c r="Z362" t="str">
        <f>IF(WarehouseData[[#This Row],[stock_level]]&lt;=WarehouseData[[#This Row],[Demand During Lead Time]],"At Risk","Safe")</f>
        <v>Safe</v>
      </c>
      <c r="AA362">
        <f>WarehouseData[[#This Row],[stock_level]]/WarehouseData[[#This Row],[daily_demand]]</f>
        <v>11.456400742115029</v>
      </c>
      <c r="AB362">
        <f>WarehouseData[[#This Row],[stock_level]]*WarehouseData[[#This Row],[unit_price]]</f>
        <v>35172.800000000003</v>
      </c>
      <c r="AC362">
        <f>WarehouseData[[#This Row],[stock_level]]*WarehouseData[[#This Row],[holding_cost_per_unit_day]]*30</f>
        <v>6446.7</v>
      </c>
      <c r="AD362" t="str">
        <f>IF(WarehouseData[[#This Row],[order_fulfillment_rate]]&gt;=0.9,"Strong",IF(WarehouseData[[#This Row],[order_fulfillment_rate]]&gt;=0.8,"Moderate","Needs Attention"))</f>
        <v>Moderate</v>
      </c>
      <c r="AE362" t="str">
        <f>IF(WarehouseData[[#This Row],[picking_time_seconds]]&gt;120,"Slow",IF(WarehouseData[[#This Row],[picking_time_seconds]]&gt;=60,"Average","Fast"))</f>
        <v>Slow</v>
      </c>
    </row>
    <row r="363" spans="1:31" x14ac:dyDescent="0.25">
      <c r="A363" t="s">
        <v>500</v>
      </c>
      <c r="B363" t="s">
        <v>32</v>
      </c>
      <c r="C363">
        <v>130</v>
      </c>
      <c r="D363">
        <v>59</v>
      </c>
      <c r="E363">
        <v>14</v>
      </c>
      <c r="F363">
        <v>2</v>
      </c>
      <c r="G363">
        <v>24.77</v>
      </c>
      <c r="H363">
        <v>8.39</v>
      </c>
      <c r="I363">
        <v>0.68</v>
      </c>
      <c r="J363" t="s">
        <v>79</v>
      </c>
      <c r="K363" t="s">
        <v>52</v>
      </c>
      <c r="L363">
        <v>154</v>
      </c>
      <c r="M363">
        <v>0.65</v>
      </c>
      <c r="N363">
        <v>165.93</v>
      </c>
      <c r="O363">
        <v>0.13</v>
      </c>
      <c r="P363">
        <v>9</v>
      </c>
      <c r="Q363">
        <v>0.95</v>
      </c>
      <c r="R363">
        <v>442</v>
      </c>
      <c r="S363">
        <v>12.67</v>
      </c>
      <c r="T363">
        <v>0.24</v>
      </c>
      <c r="U363" s="1">
        <v>45595</v>
      </c>
      <c r="V363">
        <v>166.45</v>
      </c>
      <c r="W363">
        <v>0.61399999999999999</v>
      </c>
      <c r="X363" t="str">
        <f>IF(WarehouseData[[#This Row],[stock_level]]&lt;=WarehouseData[[#This Row],[reorder_point]],"Low Stock","Sufficient Stock")</f>
        <v>Sufficient Stock</v>
      </c>
      <c r="Y363">
        <f>WarehouseData[[#This Row],[daily_demand]]*WarehouseData[[#This Row],[lead_time_days]]</f>
        <v>49.54</v>
      </c>
      <c r="Z363" t="str">
        <f>IF(WarehouseData[[#This Row],[stock_level]]&lt;=WarehouseData[[#This Row],[Demand During Lead Time]],"At Risk","Safe")</f>
        <v>Safe</v>
      </c>
      <c r="AA363">
        <f>WarehouseData[[#This Row],[stock_level]]/WarehouseData[[#This Row],[daily_demand]]</f>
        <v>5.2482842147759383</v>
      </c>
      <c r="AB363">
        <f>WarehouseData[[#This Row],[stock_level]]*WarehouseData[[#This Row],[unit_price]]</f>
        <v>21570.9</v>
      </c>
      <c r="AC363">
        <f>WarehouseData[[#This Row],[stock_level]]*WarehouseData[[#This Row],[holding_cost_per_unit_day]]*30</f>
        <v>507.00000000000006</v>
      </c>
      <c r="AD363" t="str">
        <f>IF(WarehouseData[[#This Row],[order_fulfillment_rate]]&gt;=0.9,"Strong",IF(WarehouseData[[#This Row],[order_fulfillment_rate]]&gt;=0.8,"Moderate","Needs Attention"))</f>
        <v>Strong</v>
      </c>
      <c r="AE363" t="str">
        <f>IF(WarehouseData[[#This Row],[picking_time_seconds]]&gt;120,"Slow",IF(WarehouseData[[#This Row],[picking_time_seconds]]&gt;=60,"Average","Fast"))</f>
        <v>Slow</v>
      </c>
    </row>
    <row r="364" spans="1:31" x14ac:dyDescent="0.25">
      <c r="A364" t="s">
        <v>501</v>
      </c>
      <c r="B364" t="s">
        <v>32</v>
      </c>
      <c r="C364">
        <v>326</v>
      </c>
      <c r="D364">
        <v>57</v>
      </c>
      <c r="E364">
        <v>5</v>
      </c>
      <c r="F364">
        <v>7</v>
      </c>
      <c r="G364">
        <v>13.56</v>
      </c>
      <c r="H364">
        <v>1.69</v>
      </c>
      <c r="I364">
        <v>0.24</v>
      </c>
      <c r="J364" t="s">
        <v>281</v>
      </c>
      <c r="K364" t="s">
        <v>46</v>
      </c>
      <c r="L364">
        <v>158</v>
      </c>
      <c r="M364">
        <v>4.62</v>
      </c>
      <c r="N364">
        <v>43.25</v>
      </c>
      <c r="O364">
        <v>1.83</v>
      </c>
      <c r="P364">
        <v>9</v>
      </c>
      <c r="Q364">
        <v>0.74</v>
      </c>
      <c r="R364">
        <v>67</v>
      </c>
      <c r="S364">
        <v>9.64</v>
      </c>
      <c r="T364">
        <v>0.77</v>
      </c>
      <c r="U364" s="1">
        <v>45571</v>
      </c>
      <c r="V364">
        <v>220.76</v>
      </c>
      <c r="W364">
        <v>0.46800000000000003</v>
      </c>
      <c r="X364" t="str">
        <f>IF(WarehouseData[[#This Row],[stock_level]]&lt;=WarehouseData[[#This Row],[reorder_point]],"Low Stock","Sufficient Stock")</f>
        <v>Sufficient Stock</v>
      </c>
      <c r="Y364">
        <f>WarehouseData[[#This Row],[daily_demand]]*WarehouseData[[#This Row],[lead_time_days]]</f>
        <v>94.92</v>
      </c>
      <c r="Z364" t="str">
        <f>IF(WarehouseData[[#This Row],[stock_level]]&lt;=WarehouseData[[#This Row],[Demand During Lead Time]],"At Risk","Safe")</f>
        <v>Safe</v>
      </c>
      <c r="AA364">
        <f>WarehouseData[[#This Row],[stock_level]]/WarehouseData[[#This Row],[daily_demand]]</f>
        <v>24.041297935103245</v>
      </c>
      <c r="AB364">
        <f>WarehouseData[[#This Row],[stock_level]]*WarehouseData[[#This Row],[unit_price]]</f>
        <v>14099.5</v>
      </c>
      <c r="AC364">
        <f>WarehouseData[[#This Row],[stock_level]]*WarehouseData[[#This Row],[holding_cost_per_unit_day]]*30</f>
        <v>17897.400000000001</v>
      </c>
      <c r="AD364" t="str">
        <f>IF(WarehouseData[[#This Row],[order_fulfillment_rate]]&gt;=0.9,"Strong",IF(WarehouseData[[#This Row],[order_fulfillment_rate]]&gt;=0.8,"Moderate","Needs Attention"))</f>
        <v>Needs Attention</v>
      </c>
      <c r="AE364" t="str">
        <f>IF(WarehouseData[[#This Row],[picking_time_seconds]]&gt;120,"Slow",IF(WarehouseData[[#This Row],[picking_time_seconds]]&gt;=60,"Average","Fast"))</f>
        <v>Slow</v>
      </c>
    </row>
    <row r="365" spans="1:31" x14ac:dyDescent="0.25">
      <c r="A365" t="s">
        <v>502</v>
      </c>
      <c r="B365" t="s">
        <v>36</v>
      </c>
      <c r="C365">
        <v>476</v>
      </c>
      <c r="D365">
        <v>93</v>
      </c>
      <c r="E365">
        <v>11</v>
      </c>
      <c r="F365">
        <v>8</v>
      </c>
      <c r="G365">
        <v>26.9</v>
      </c>
      <c r="H365">
        <v>1.79</v>
      </c>
      <c r="I365">
        <v>0.94</v>
      </c>
      <c r="J365" t="s">
        <v>106</v>
      </c>
      <c r="K365" t="s">
        <v>38</v>
      </c>
      <c r="L365">
        <v>64</v>
      </c>
      <c r="M365">
        <v>4.5599999999999996</v>
      </c>
      <c r="N365">
        <v>133.87</v>
      </c>
      <c r="O365">
        <v>1.39</v>
      </c>
      <c r="P365">
        <v>2</v>
      </c>
      <c r="Q365">
        <v>0.74</v>
      </c>
      <c r="R365">
        <v>233</v>
      </c>
      <c r="S365">
        <v>13.21</v>
      </c>
      <c r="T365">
        <v>0.63</v>
      </c>
      <c r="U365" s="1">
        <v>45384</v>
      </c>
      <c r="V365">
        <v>271.64</v>
      </c>
      <c r="W365">
        <v>0.67100000000000004</v>
      </c>
      <c r="X365" t="str">
        <f>IF(WarehouseData[[#This Row],[stock_level]]&lt;=WarehouseData[[#This Row],[reorder_point]],"Low Stock","Sufficient Stock")</f>
        <v>Sufficient Stock</v>
      </c>
      <c r="Y365">
        <f>WarehouseData[[#This Row],[daily_demand]]*WarehouseData[[#This Row],[lead_time_days]]</f>
        <v>215.2</v>
      </c>
      <c r="Z365" t="str">
        <f>IF(WarehouseData[[#This Row],[stock_level]]&lt;=WarehouseData[[#This Row],[Demand During Lead Time]],"At Risk","Safe")</f>
        <v>Safe</v>
      </c>
      <c r="AA365">
        <f>WarehouseData[[#This Row],[stock_level]]/WarehouseData[[#This Row],[daily_demand]]</f>
        <v>17.695167286245354</v>
      </c>
      <c r="AB365">
        <f>WarehouseData[[#This Row],[stock_level]]*WarehouseData[[#This Row],[unit_price]]</f>
        <v>63722.12</v>
      </c>
      <c r="AC365">
        <f>WarehouseData[[#This Row],[stock_level]]*WarehouseData[[#This Row],[holding_cost_per_unit_day]]*30</f>
        <v>19849.2</v>
      </c>
      <c r="AD365" t="str">
        <f>IF(WarehouseData[[#This Row],[order_fulfillment_rate]]&gt;=0.9,"Strong",IF(WarehouseData[[#This Row],[order_fulfillment_rate]]&gt;=0.8,"Moderate","Needs Attention"))</f>
        <v>Needs Attention</v>
      </c>
      <c r="AE365" t="str">
        <f>IF(WarehouseData[[#This Row],[picking_time_seconds]]&gt;120,"Slow",IF(WarehouseData[[#This Row],[picking_time_seconds]]&gt;=60,"Average","Fast"))</f>
        <v>Average</v>
      </c>
    </row>
    <row r="366" spans="1:31" x14ac:dyDescent="0.25">
      <c r="A366" t="s">
        <v>503</v>
      </c>
      <c r="B366" t="s">
        <v>32</v>
      </c>
      <c r="C366">
        <v>179</v>
      </c>
      <c r="D366">
        <v>15</v>
      </c>
      <c r="E366">
        <v>7</v>
      </c>
      <c r="F366">
        <v>4</v>
      </c>
      <c r="G366">
        <v>15.25</v>
      </c>
      <c r="H366">
        <v>8.31</v>
      </c>
      <c r="I366">
        <v>0.6</v>
      </c>
      <c r="J366" t="s">
        <v>217</v>
      </c>
      <c r="K366" t="s">
        <v>52</v>
      </c>
      <c r="L366">
        <v>116</v>
      </c>
      <c r="M366">
        <v>2.2000000000000002</v>
      </c>
      <c r="N366">
        <v>125.08</v>
      </c>
      <c r="O366">
        <v>0.73</v>
      </c>
      <c r="P366">
        <v>0</v>
      </c>
      <c r="Q366">
        <v>0.77</v>
      </c>
      <c r="R366">
        <v>192</v>
      </c>
      <c r="S366">
        <v>6.65</v>
      </c>
      <c r="T366">
        <v>0.93</v>
      </c>
      <c r="U366" s="1">
        <v>45641</v>
      </c>
      <c r="V366">
        <v>289.14999999999998</v>
      </c>
      <c r="W366">
        <v>0.75600000000000001</v>
      </c>
      <c r="X366" t="str">
        <f>IF(WarehouseData[[#This Row],[stock_level]]&lt;=WarehouseData[[#This Row],[reorder_point]],"Low Stock","Sufficient Stock")</f>
        <v>Sufficient Stock</v>
      </c>
      <c r="Y366">
        <f>WarehouseData[[#This Row],[daily_demand]]*WarehouseData[[#This Row],[lead_time_days]]</f>
        <v>61</v>
      </c>
      <c r="Z366" t="str">
        <f>IF(WarehouseData[[#This Row],[stock_level]]&lt;=WarehouseData[[#This Row],[Demand During Lead Time]],"At Risk","Safe")</f>
        <v>Safe</v>
      </c>
      <c r="AA366">
        <f>WarehouseData[[#This Row],[stock_level]]/WarehouseData[[#This Row],[daily_demand]]</f>
        <v>11.737704918032787</v>
      </c>
      <c r="AB366">
        <f>WarehouseData[[#This Row],[stock_level]]*WarehouseData[[#This Row],[unit_price]]</f>
        <v>22389.32</v>
      </c>
      <c r="AC366">
        <f>WarehouseData[[#This Row],[stock_level]]*WarehouseData[[#This Row],[holding_cost_per_unit_day]]*30</f>
        <v>3920.0999999999995</v>
      </c>
      <c r="AD366" t="str">
        <f>IF(WarehouseData[[#This Row],[order_fulfillment_rate]]&gt;=0.9,"Strong",IF(WarehouseData[[#This Row],[order_fulfillment_rate]]&gt;=0.8,"Moderate","Needs Attention"))</f>
        <v>Needs Attention</v>
      </c>
      <c r="AE366" t="str">
        <f>IF(WarehouseData[[#This Row],[picking_time_seconds]]&gt;120,"Slow",IF(WarehouseData[[#This Row],[picking_time_seconds]]&gt;=60,"Average","Fast"))</f>
        <v>Average</v>
      </c>
    </row>
    <row r="367" spans="1:31" x14ac:dyDescent="0.25">
      <c r="A367" t="s">
        <v>504</v>
      </c>
      <c r="B367" t="s">
        <v>36</v>
      </c>
      <c r="C367">
        <v>350</v>
      </c>
      <c r="D367">
        <v>18</v>
      </c>
      <c r="E367">
        <v>11</v>
      </c>
      <c r="F367">
        <v>3</v>
      </c>
      <c r="G367">
        <v>34.69</v>
      </c>
      <c r="H367">
        <v>9.26</v>
      </c>
      <c r="I367">
        <v>0.54</v>
      </c>
      <c r="J367" t="s">
        <v>259</v>
      </c>
      <c r="K367" t="s">
        <v>46</v>
      </c>
      <c r="L367">
        <v>147</v>
      </c>
      <c r="M367">
        <v>0.63</v>
      </c>
      <c r="N367">
        <v>39.15</v>
      </c>
      <c r="O367">
        <v>1.77</v>
      </c>
      <c r="P367">
        <v>4</v>
      </c>
      <c r="Q367">
        <v>0.87</v>
      </c>
      <c r="R367">
        <v>512</v>
      </c>
      <c r="S367">
        <v>1.8</v>
      </c>
      <c r="T367">
        <v>0.56999999999999995</v>
      </c>
      <c r="U367" s="1">
        <v>45573</v>
      </c>
      <c r="V367">
        <v>218.19</v>
      </c>
      <c r="W367">
        <v>0.45500000000000002</v>
      </c>
      <c r="X367" t="str">
        <f>IF(WarehouseData[[#This Row],[stock_level]]&lt;=WarehouseData[[#This Row],[reorder_point]],"Low Stock","Sufficient Stock")</f>
        <v>Sufficient Stock</v>
      </c>
      <c r="Y367">
        <f>WarehouseData[[#This Row],[daily_demand]]*WarehouseData[[#This Row],[lead_time_days]]</f>
        <v>104.07</v>
      </c>
      <c r="Z367" t="str">
        <f>IF(WarehouseData[[#This Row],[stock_level]]&lt;=WarehouseData[[#This Row],[Demand During Lead Time]],"At Risk","Safe")</f>
        <v>Safe</v>
      </c>
      <c r="AA367">
        <f>WarehouseData[[#This Row],[stock_level]]/WarehouseData[[#This Row],[daily_demand]]</f>
        <v>10.089362928797925</v>
      </c>
      <c r="AB367">
        <f>WarehouseData[[#This Row],[stock_level]]*WarehouseData[[#This Row],[unit_price]]</f>
        <v>13702.5</v>
      </c>
      <c r="AC367">
        <f>WarehouseData[[#This Row],[stock_level]]*WarehouseData[[#This Row],[holding_cost_per_unit_day]]*30</f>
        <v>18585</v>
      </c>
      <c r="AD367" t="str">
        <f>IF(WarehouseData[[#This Row],[order_fulfillment_rate]]&gt;=0.9,"Strong",IF(WarehouseData[[#This Row],[order_fulfillment_rate]]&gt;=0.8,"Moderate","Needs Attention"))</f>
        <v>Moderate</v>
      </c>
      <c r="AE367" t="str">
        <f>IF(WarehouseData[[#This Row],[picking_time_seconds]]&gt;120,"Slow",IF(WarehouseData[[#This Row],[picking_time_seconds]]&gt;=60,"Average","Fast"))</f>
        <v>Slow</v>
      </c>
    </row>
    <row r="368" spans="1:31" x14ac:dyDescent="0.25">
      <c r="A368" t="s">
        <v>505</v>
      </c>
      <c r="B368" t="s">
        <v>32</v>
      </c>
      <c r="C368">
        <v>283</v>
      </c>
      <c r="D368">
        <v>66</v>
      </c>
      <c r="E368">
        <v>12</v>
      </c>
      <c r="F368">
        <v>3</v>
      </c>
      <c r="G368">
        <v>24.04</v>
      </c>
      <c r="H368">
        <v>8.01</v>
      </c>
      <c r="I368">
        <v>0.49</v>
      </c>
      <c r="J368" t="s">
        <v>142</v>
      </c>
      <c r="K368" t="s">
        <v>34</v>
      </c>
      <c r="L368">
        <v>74</v>
      </c>
      <c r="M368">
        <v>3.8</v>
      </c>
      <c r="N368">
        <v>88.74</v>
      </c>
      <c r="O368">
        <v>0.45</v>
      </c>
      <c r="P368">
        <v>1</v>
      </c>
      <c r="Q368">
        <v>0.78</v>
      </c>
      <c r="R368">
        <v>556</v>
      </c>
      <c r="S368">
        <v>10.28</v>
      </c>
      <c r="T368">
        <v>0.86</v>
      </c>
      <c r="U368" s="1">
        <v>45305</v>
      </c>
      <c r="V368">
        <v>168.31</v>
      </c>
      <c r="W368">
        <v>0.8</v>
      </c>
      <c r="X368" t="str">
        <f>IF(WarehouseData[[#This Row],[stock_level]]&lt;=WarehouseData[[#This Row],[reorder_point]],"Low Stock","Sufficient Stock")</f>
        <v>Sufficient Stock</v>
      </c>
      <c r="Y368">
        <f>WarehouseData[[#This Row],[daily_demand]]*WarehouseData[[#This Row],[lead_time_days]]</f>
        <v>72.12</v>
      </c>
      <c r="Z368" t="str">
        <f>IF(WarehouseData[[#This Row],[stock_level]]&lt;=WarehouseData[[#This Row],[Demand During Lead Time]],"At Risk","Safe")</f>
        <v>Safe</v>
      </c>
      <c r="AA368">
        <f>WarehouseData[[#This Row],[stock_level]]/WarehouseData[[#This Row],[daily_demand]]</f>
        <v>11.772046589018304</v>
      </c>
      <c r="AB368">
        <f>WarehouseData[[#This Row],[stock_level]]*WarehouseData[[#This Row],[unit_price]]</f>
        <v>25113.42</v>
      </c>
      <c r="AC368">
        <f>WarehouseData[[#This Row],[stock_level]]*WarehouseData[[#This Row],[holding_cost_per_unit_day]]*30</f>
        <v>3820.5000000000005</v>
      </c>
      <c r="AD368" t="str">
        <f>IF(WarehouseData[[#This Row],[order_fulfillment_rate]]&gt;=0.9,"Strong",IF(WarehouseData[[#This Row],[order_fulfillment_rate]]&gt;=0.8,"Moderate","Needs Attention"))</f>
        <v>Needs Attention</v>
      </c>
      <c r="AE368" t="str">
        <f>IF(WarehouseData[[#This Row],[picking_time_seconds]]&gt;120,"Slow",IF(WarehouseData[[#This Row],[picking_time_seconds]]&gt;=60,"Average","Fast"))</f>
        <v>Average</v>
      </c>
    </row>
    <row r="369" spans="1:31" x14ac:dyDescent="0.25">
      <c r="A369" t="s">
        <v>506</v>
      </c>
      <c r="B369" t="s">
        <v>40</v>
      </c>
      <c r="C369">
        <v>244</v>
      </c>
      <c r="D369">
        <v>40</v>
      </c>
      <c r="E369">
        <v>8</v>
      </c>
      <c r="F369">
        <v>9</v>
      </c>
      <c r="G369">
        <v>23.48</v>
      </c>
      <c r="H369">
        <v>2.41</v>
      </c>
      <c r="I369">
        <v>0.61</v>
      </c>
      <c r="J369" t="s">
        <v>447</v>
      </c>
      <c r="K369" t="s">
        <v>52</v>
      </c>
      <c r="L369">
        <v>46</v>
      </c>
      <c r="M369">
        <v>4.0599999999999996</v>
      </c>
      <c r="N369">
        <v>171.98</v>
      </c>
      <c r="O369">
        <v>0.25</v>
      </c>
      <c r="P369">
        <v>5</v>
      </c>
      <c r="Q369">
        <v>0.85</v>
      </c>
      <c r="R369">
        <v>383</v>
      </c>
      <c r="S369">
        <v>11.7</v>
      </c>
      <c r="T369">
        <v>0.35</v>
      </c>
      <c r="U369" s="1">
        <v>45528</v>
      </c>
      <c r="V369">
        <v>75.23</v>
      </c>
      <c r="W369">
        <v>0.67100000000000004</v>
      </c>
      <c r="X369" t="str">
        <f>IF(WarehouseData[[#This Row],[stock_level]]&lt;=WarehouseData[[#This Row],[reorder_point]],"Low Stock","Sufficient Stock")</f>
        <v>Sufficient Stock</v>
      </c>
      <c r="Y369">
        <f>WarehouseData[[#This Row],[daily_demand]]*WarehouseData[[#This Row],[lead_time_days]]</f>
        <v>211.32</v>
      </c>
      <c r="Z369" t="str">
        <f>IF(WarehouseData[[#This Row],[stock_level]]&lt;=WarehouseData[[#This Row],[Demand During Lead Time]],"At Risk","Safe")</f>
        <v>Safe</v>
      </c>
      <c r="AA369">
        <f>WarehouseData[[#This Row],[stock_level]]/WarehouseData[[#This Row],[daily_demand]]</f>
        <v>10.391822827938672</v>
      </c>
      <c r="AB369">
        <f>WarehouseData[[#This Row],[stock_level]]*WarehouseData[[#This Row],[unit_price]]</f>
        <v>41963.119999999995</v>
      </c>
      <c r="AC369">
        <f>WarehouseData[[#This Row],[stock_level]]*WarehouseData[[#This Row],[holding_cost_per_unit_day]]*30</f>
        <v>1830</v>
      </c>
      <c r="AD369" t="str">
        <f>IF(WarehouseData[[#This Row],[order_fulfillment_rate]]&gt;=0.9,"Strong",IF(WarehouseData[[#This Row],[order_fulfillment_rate]]&gt;=0.8,"Moderate","Needs Attention"))</f>
        <v>Moderate</v>
      </c>
      <c r="AE369" t="str">
        <f>IF(WarehouseData[[#This Row],[picking_time_seconds]]&gt;120,"Slow",IF(WarehouseData[[#This Row],[picking_time_seconds]]&gt;=60,"Average","Fast"))</f>
        <v>Fast</v>
      </c>
    </row>
    <row r="370" spans="1:31" x14ac:dyDescent="0.25">
      <c r="A370" t="s">
        <v>507</v>
      </c>
      <c r="B370" t="s">
        <v>32</v>
      </c>
      <c r="C370">
        <v>490</v>
      </c>
      <c r="D370">
        <v>30</v>
      </c>
      <c r="E370">
        <v>11</v>
      </c>
      <c r="F370">
        <v>7</v>
      </c>
      <c r="G370">
        <v>49.2</v>
      </c>
      <c r="H370">
        <v>4.41</v>
      </c>
      <c r="I370">
        <v>0.12</v>
      </c>
      <c r="J370" t="s">
        <v>160</v>
      </c>
      <c r="K370" t="s">
        <v>34</v>
      </c>
      <c r="L370">
        <v>121</v>
      </c>
      <c r="M370">
        <v>2.94</v>
      </c>
      <c r="N370">
        <v>194.64</v>
      </c>
      <c r="O370">
        <v>1.89</v>
      </c>
      <c r="P370">
        <v>3</v>
      </c>
      <c r="Q370">
        <v>0.79</v>
      </c>
      <c r="R370">
        <v>111</v>
      </c>
      <c r="S370">
        <v>2.02</v>
      </c>
      <c r="T370">
        <v>0.25</v>
      </c>
      <c r="U370" s="1">
        <v>45654</v>
      </c>
      <c r="V370">
        <v>126.88</v>
      </c>
      <c r="W370">
        <v>0.38600000000000001</v>
      </c>
      <c r="X370" t="str">
        <f>IF(WarehouseData[[#This Row],[stock_level]]&lt;=WarehouseData[[#This Row],[reorder_point]],"Low Stock","Sufficient Stock")</f>
        <v>Sufficient Stock</v>
      </c>
      <c r="Y370">
        <f>WarehouseData[[#This Row],[daily_demand]]*WarehouseData[[#This Row],[lead_time_days]]</f>
        <v>344.40000000000003</v>
      </c>
      <c r="Z370" t="str">
        <f>IF(WarehouseData[[#This Row],[stock_level]]&lt;=WarehouseData[[#This Row],[Demand During Lead Time]],"At Risk","Safe")</f>
        <v>Safe</v>
      </c>
      <c r="AA370">
        <f>WarehouseData[[#This Row],[stock_level]]/WarehouseData[[#This Row],[daily_demand]]</f>
        <v>9.9593495934959346</v>
      </c>
      <c r="AB370">
        <f>WarehouseData[[#This Row],[stock_level]]*WarehouseData[[#This Row],[unit_price]]</f>
        <v>95373.599999999991</v>
      </c>
      <c r="AC370">
        <f>WarehouseData[[#This Row],[stock_level]]*WarehouseData[[#This Row],[holding_cost_per_unit_day]]*30</f>
        <v>27782.999999999996</v>
      </c>
      <c r="AD370" t="str">
        <f>IF(WarehouseData[[#This Row],[order_fulfillment_rate]]&gt;=0.9,"Strong",IF(WarehouseData[[#This Row],[order_fulfillment_rate]]&gt;=0.8,"Moderate","Needs Attention"))</f>
        <v>Needs Attention</v>
      </c>
      <c r="AE370" t="str">
        <f>IF(WarehouseData[[#This Row],[picking_time_seconds]]&gt;120,"Slow",IF(WarehouseData[[#This Row],[picking_time_seconds]]&gt;=60,"Average","Fast"))</f>
        <v>Slow</v>
      </c>
    </row>
    <row r="371" spans="1:31" x14ac:dyDescent="0.25">
      <c r="A371" t="s">
        <v>508</v>
      </c>
      <c r="B371" t="s">
        <v>36</v>
      </c>
      <c r="C371">
        <v>236</v>
      </c>
      <c r="D371">
        <v>99</v>
      </c>
      <c r="E371">
        <v>9</v>
      </c>
      <c r="F371">
        <v>7</v>
      </c>
      <c r="G371">
        <v>20.23</v>
      </c>
      <c r="H371">
        <v>6.21</v>
      </c>
      <c r="I371">
        <v>0.99</v>
      </c>
      <c r="J371" t="s">
        <v>273</v>
      </c>
      <c r="K371" t="s">
        <v>46</v>
      </c>
      <c r="L371">
        <v>16</v>
      </c>
      <c r="M371">
        <v>2.31</v>
      </c>
      <c r="N371">
        <v>136.43</v>
      </c>
      <c r="O371">
        <v>0.69</v>
      </c>
      <c r="P371">
        <v>8</v>
      </c>
      <c r="Q371">
        <v>0.85</v>
      </c>
      <c r="R371">
        <v>212</v>
      </c>
      <c r="S371">
        <v>11.79</v>
      </c>
      <c r="T371">
        <v>0.96</v>
      </c>
      <c r="U371" s="1">
        <v>45399</v>
      </c>
      <c r="V371">
        <v>151.75</v>
      </c>
      <c r="W371">
        <v>0.69</v>
      </c>
      <c r="X371" t="str">
        <f>IF(WarehouseData[[#This Row],[stock_level]]&lt;=WarehouseData[[#This Row],[reorder_point]],"Low Stock","Sufficient Stock")</f>
        <v>Sufficient Stock</v>
      </c>
      <c r="Y371">
        <f>WarehouseData[[#This Row],[daily_demand]]*WarehouseData[[#This Row],[lead_time_days]]</f>
        <v>141.61000000000001</v>
      </c>
      <c r="Z371" t="str">
        <f>IF(WarehouseData[[#This Row],[stock_level]]&lt;=WarehouseData[[#This Row],[Demand During Lead Time]],"At Risk","Safe")</f>
        <v>Safe</v>
      </c>
      <c r="AA371">
        <f>WarehouseData[[#This Row],[stock_level]]/WarehouseData[[#This Row],[daily_demand]]</f>
        <v>11.66584280771132</v>
      </c>
      <c r="AB371">
        <f>WarehouseData[[#This Row],[stock_level]]*WarehouseData[[#This Row],[unit_price]]</f>
        <v>32197.480000000003</v>
      </c>
      <c r="AC371">
        <f>WarehouseData[[#This Row],[stock_level]]*WarehouseData[[#This Row],[holding_cost_per_unit_day]]*30</f>
        <v>4885.1999999999989</v>
      </c>
      <c r="AD371" t="str">
        <f>IF(WarehouseData[[#This Row],[order_fulfillment_rate]]&gt;=0.9,"Strong",IF(WarehouseData[[#This Row],[order_fulfillment_rate]]&gt;=0.8,"Moderate","Needs Attention"))</f>
        <v>Moderate</v>
      </c>
      <c r="AE371" t="str">
        <f>IF(WarehouseData[[#This Row],[picking_time_seconds]]&gt;120,"Slow",IF(WarehouseData[[#This Row],[picking_time_seconds]]&gt;=60,"Average","Fast"))</f>
        <v>Fast</v>
      </c>
    </row>
    <row r="372" spans="1:31" x14ac:dyDescent="0.25">
      <c r="A372" t="s">
        <v>509</v>
      </c>
      <c r="B372" t="s">
        <v>48</v>
      </c>
      <c r="C372">
        <v>475</v>
      </c>
      <c r="D372">
        <v>49</v>
      </c>
      <c r="E372">
        <v>9</v>
      </c>
      <c r="F372">
        <v>5</v>
      </c>
      <c r="G372">
        <v>18.75</v>
      </c>
      <c r="H372">
        <v>2.02</v>
      </c>
      <c r="I372">
        <v>0.6</v>
      </c>
      <c r="J372" t="s">
        <v>160</v>
      </c>
      <c r="K372" t="s">
        <v>46</v>
      </c>
      <c r="L372">
        <v>85</v>
      </c>
      <c r="M372">
        <v>4.33</v>
      </c>
      <c r="N372">
        <v>185.17</v>
      </c>
      <c r="O372">
        <v>1.88</v>
      </c>
      <c r="P372">
        <v>6</v>
      </c>
      <c r="Q372">
        <v>0.78</v>
      </c>
      <c r="R372">
        <v>601</v>
      </c>
      <c r="S372">
        <v>9.9499999999999993</v>
      </c>
      <c r="T372">
        <v>0.41</v>
      </c>
      <c r="U372" s="1">
        <v>45516</v>
      </c>
      <c r="V372">
        <v>47.23</v>
      </c>
      <c r="W372">
        <v>0.46300000000000002</v>
      </c>
      <c r="X372" t="str">
        <f>IF(WarehouseData[[#This Row],[stock_level]]&lt;=WarehouseData[[#This Row],[reorder_point]],"Low Stock","Sufficient Stock")</f>
        <v>Sufficient Stock</v>
      </c>
      <c r="Y372">
        <f>WarehouseData[[#This Row],[daily_demand]]*WarehouseData[[#This Row],[lead_time_days]]</f>
        <v>93.75</v>
      </c>
      <c r="Z372" t="str">
        <f>IF(WarehouseData[[#This Row],[stock_level]]&lt;=WarehouseData[[#This Row],[Demand During Lead Time]],"At Risk","Safe")</f>
        <v>Safe</v>
      </c>
      <c r="AA372">
        <f>WarehouseData[[#This Row],[stock_level]]/WarehouseData[[#This Row],[daily_demand]]</f>
        <v>25.333333333333332</v>
      </c>
      <c r="AB372">
        <f>WarehouseData[[#This Row],[stock_level]]*WarehouseData[[#This Row],[unit_price]]</f>
        <v>87955.75</v>
      </c>
      <c r="AC372">
        <f>WarehouseData[[#This Row],[stock_level]]*WarehouseData[[#This Row],[holding_cost_per_unit_day]]*30</f>
        <v>26790</v>
      </c>
      <c r="AD372" t="str">
        <f>IF(WarehouseData[[#This Row],[order_fulfillment_rate]]&gt;=0.9,"Strong",IF(WarehouseData[[#This Row],[order_fulfillment_rate]]&gt;=0.8,"Moderate","Needs Attention"))</f>
        <v>Needs Attention</v>
      </c>
      <c r="AE372" t="str">
        <f>IF(WarehouseData[[#This Row],[picking_time_seconds]]&gt;120,"Slow",IF(WarehouseData[[#This Row],[picking_time_seconds]]&gt;=60,"Average","Fast"))</f>
        <v>Average</v>
      </c>
    </row>
    <row r="373" spans="1:31" x14ac:dyDescent="0.25">
      <c r="A373" t="s">
        <v>510</v>
      </c>
      <c r="B373" t="s">
        <v>32</v>
      </c>
      <c r="C373">
        <v>64</v>
      </c>
      <c r="D373">
        <v>54</v>
      </c>
      <c r="E373">
        <v>10</v>
      </c>
      <c r="F373">
        <v>7</v>
      </c>
      <c r="G373">
        <v>16.61</v>
      </c>
      <c r="H373">
        <v>2.5</v>
      </c>
      <c r="I373">
        <v>0.13</v>
      </c>
      <c r="J373" t="s">
        <v>59</v>
      </c>
      <c r="K373" t="s">
        <v>38</v>
      </c>
      <c r="L373">
        <v>49</v>
      </c>
      <c r="M373">
        <v>1.37</v>
      </c>
      <c r="N373">
        <v>35.090000000000003</v>
      </c>
      <c r="O373">
        <v>1.31</v>
      </c>
      <c r="P373">
        <v>1</v>
      </c>
      <c r="Q373">
        <v>0.99</v>
      </c>
      <c r="R373">
        <v>228</v>
      </c>
      <c r="S373">
        <v>2.63</v>
      </c>
      <c r="T373">
        <v>0.87</v>
      </c>
      <c r="U373" s="1">
        <v>45441</v>
      </c>
      <c r="V373">
        <v>84.36</v>
      </c>
      <c r="W373">
        <v>0.65600000000000003</v>
      </c>
      <c r="X373" t="str">
        <f>IF(WarehouseData[[#This Row],[stock_level]]&lt;=WarehouseData[[#This Row],[reorder_point]],"Low Stock","Sufficient Stock")</f>
        <v>Sufficient Stock</v>
      </c>
      <c r="Y373">
        <f>WarehouseData[[#This Row],[daily_demand]]*WarehouseData[[#This Row],[lead_time_days]]</f>
        <v>116.27</v>
      </c>
      <c r="Z373" t="str">
        <f>IF(WarehouseData[[#This Row],[stock_level]]&lt;=WarehouseData[[#This Row],[Demand During Lead Time]],"At Risk","Safe")</f>
        <v>At Risk</v>
      </c>
      <c r="AA373">
        <f>WarehouseData[[#This Row],[stock_level]]/WarehouseData[[#This Row],[daily_demand]]</f>
        <v>3.8531005418422639</v>
      </c>
      <c r="AB373">
        <f>WarehouseData[[#This Row],[stock_level]]*WarehouseData[[#This Row],[unit_price]]</f>
        <v>2245.7600000000002</v>
      </c>
      <c r="AC373">
        <f>WarehouseData[[#This Row],[stock_level]]*WarehouseData[[#This Row],[holding_cost_per_unit_day]]*30</f>
        <v>2515.2000000000003</v>
      </c>
      <c r="AD373" t="str">
        <f>IF(WarehouseData[[#This Row],[order_fulfillment_rate]]&gt;=0.9,"Strong",IF(WarehouseData[[#This Row],[order_fulfillment_rate]]&gt;=0.8,"Moderate","Needs Attention"))</f>
        <v>Strong</v>
      </c>
      <c r="AE373" t="str">
        <f>IF(WarehouseData[[#This Row],[picking_time_seconds]]&gt;120,"Slow",IF(WarehouseData[[#This Row],[picking_time_seconds]]&gt;=60,"Average","Fast"))</f>
        <v>Fast</v>
      </c>
    </row>
    <row r="374" spans="1:31" x14ac:dyDescent="0.25">
      <c r="A374" t="s">
        <v>511</v>
      </c>
      <c r="B374" t="s">
        <v>48</v>
      </c>
      <c r="C374">
        <v>233</v>
      </c>
      <c r="D374">
        <v>86</v>
      </c>
      <c r="E374">
        <v>9</v>
      </c>
      <c r="F374">
        <v>4</v>
      </c>
      <c r="G374">
        <v>44.84</v>
      </c>
      <c r="H374">
        <v>3.19</v>
      </c>
      <c r="I374">
        <v>0.63</v>
      </c>
      <c r="J374" t="s">
        <v>340</v>
      </c>
      <c r="K374" t="s">
        <v>38</v>
      </c>
      <c r="L374">
        <v>10</v>
      </c>
      <c r="M374">
        <v>2.48</v>
      </c>
      <c r="N374">
        <v>195.26</v>
      </c>
      <c r="O374">
        <v>1.96</v>
      </c>
      <c r="P374">
        <v>6</v>
      </c>
      <c r="Q374">
        <v>0.85</v>
      </c>
      <c r="R374">
        <v>284</v>
      </c>
      <c r="S374">
        <v>8.56</v>
      </c>
      <c r="T374">
        <v>0.41</v>
      </c>
      <c r="U374" s="1">
        <v>45646</v>
      </c>
      <c r="V374">
        <v>295.49</v>
      </c>
      <c r="W374">
        <v>0.45</v>
      </c>
      <c r="X374" t="str">
        <f>IF(WarehouseData[[#This Row],[stock_level]]&lt;=WarehouseData[[#This Row],[reorder_point]],"Low Stock","Sufficient Stock")</f>
        <v>Sufficient Stock</v>
      </c>
      <c r="Y374">
        <f>WarehouseData[[#This Row],[daily_demand]]*WarehouseData[[#This Row],[lead_time_days]]</f>
        <v>179.36</v>
      </c>
      <c r="Z374" t="str">
        <f>IF(WarehouseData[[#This Row],[stock_level]]&lt;=WarehouseData[[#This Row],[Demand During Lead Time]],"At Risk","Safe")</f>
        <v>Safe</v>
      </c>
      <c r="AA374">
        <f>WarehouseData[[#This Row],[stock_level]]/WarehouseData[[#This Row],[daily_demand]]</f>
        <v>5.1962533452274755</v>
      </c>
      <c r="AB374">
        <f>WarehouseData[[#This Row],[stock_level]]*WarehouseData[[#This Row],[unit_price]]</f>
        <v>45495.579999999994</v>
      </c>
      <c r="AC374">
        <f>WarehouseData[[#This Row],[stock_level]]*WarehouseData[[#This Row],[holding_cost_per_unit_day]]*30</f>
        <v>13700.4</v>
      </c>
      <c r="AD374" t="str">
        <f>IF(WarehouseData[[#This Row],[order_fulfillment_rate]]&gt;=0.9,"Strong",IF(WarehouseData[[#This Row],[order_fulfillment_rate]]&gt;=0.8,"Moderate","Needs Attention"))</f>
        <v>Moderate</v>
      </c>
      <c r="AE374" t="str">
        <f>IF(WarehouseData[[#This Row],[picking_time_seconds]]&gt;120,"Slow",IF(WarehouseData[[#This Row],[picking_time_seconds]]&gt;=60,"Average","Fast"))</f>
        <v>Fast</v>
      </c>
    </row>
    <row r="375" spans="1:31" x14ac:dyDescent="0.25">
      <c r="A375" t="s">
        <v>512</v>
      </c>
      <c r="B375" t="s">
        <v>40</v>
      </c>
      <c r="C375">
        <v>78</v>
      </c>
      <c r="D375">
        <v>58</v>
      </c>
      <c r="E375">
        <v>14</v>
      </c>
      <c r="F375">
        <v>7</v>
      </c>
      <c r="G375">
        <v>25.34</v>
      </c>
      <c r="H375">
        <v>5.34</v>
      </c>
      <c r="I375">
        <v>0.49</v>
      </c>
      <c r="J375" t="s">
        <v>223</v>
      </c>
      <c r="K375" t="s">
        <v>52</v>
      </c>
      <c r="L375">
        <v>157</v>
      </c>
      <c r="M375">
        <v>0.61</v>
      </c>
      <c r="N375">
        <v>16.37</v>
      </c>
      <c r="O375">
        <v>1.53</v>
      </c>
      <c r="P375">
        <v>9</v>
      </c>
      <c r="Q375">
        <v>0.92</v>
      </c>
      <c r="R375">
        <v>941</v>
      </c>
      <c r="S375">
        <v>2.52</v>
      </c>
      <c r="T375">
        <v>0.32</v>
      </c>
      <c r="U375" s="1">
        <v>45327</v>
      </c>
      <c r="V375">
        <v>229.44</v>
      </c>
      <c r="W375">
        <v>0.34899999999999998</v>
      </c>
      <c r="X375" t="str">
        <f>IF(WarehouseData[[#This Row],[stock_level]]&lt;=WarehouseData[[#This Row],[reorder_point]],"Low Stock","Sufficient Stock")</f>
        <v>Sufficient Stock</v>
      </c>
      <c r="Y375">
        <f>WarehouseData[[#This Row],[daily_demand]]*WarehouseData[[#This Row],[lead_time_days]]</f>
        <v>177.38</v>
      </c>
      <c r="Z375" t="str">
        <f>IF(WarehouseData[[#This Row],[stock_level]]&lt;=WarehouseData[[#This Row],[Demand During Lead Time]],"At Risk","Safe")</f>
        <v>At Risk</v>
      </c>
      <c r="AA375">
        <f>WarehouseData[[#This Row],[stock_level]]/WarehouseData[[#This Row],[daily_demand]]</f>
        <v>3.0781373322809786</v>
      </c>
      <c r="AB375">
        <f>WarehouseData[[#This Row],[stock_level]]*WarehouseData[[#This Row],[unit_price]]</f>
        <v>1276.8600000000001</v>
      </c>
      <c r="AC375">
        <f>WarehouseData[[#This Row],[stock_level]]*WarehouseData[[#This Row],[holding_cost_per_unit_day]]*30</f>
        <v>3580.2000000000003</v>
      </c>
      <c r="AD375" t="str">
        <f>IF(WarehouseData[[#This Row],[order_fulfillment_rate]]&gt;=0.9,"Strong",IF(WarehouseData[[#This Row],[order_fulfillment_rate]]&gt;=0.8,"Moderate","Needs Attention"))</f>
        <v>Strong</v>
      </c>
      <c r="AE375" t="str">
        <f>IF(WarehouseData[[#This Row],[picking_time_seconds]]&gt;120,"Slow",IF(WarehouseData[[#This Row],[picking_time_seconds]]&gt;=60,"Average","Fast"))</f>
        <v>Slow</v>
      </c>
    </row>
    <row r="376" spans="1:31" x14ac:dyDescent="0.25">
      <c r="A376" t="s">
        <v>513</v>
      </c>
      <c r="B376" t="s">
        <v>73</v>
      </c>
      <c r="C376">
        <v>151</v>
      </c>
      <c r="D376">
        <v>96</v>
      </c>
      <c r="E376">
        <v>11</v>
      </c>
      <c r="F376">
        <v>6</v>
      </c>
      <c r="G376">
        <v>30.4</v>
      </c>
      <c r="H376">
        <v>5.35</v>
      </c>
      <c r="I376">
        <v>0.12</v>
      </c>
      <c r="J376" t="s">
        <v>139</v>
      </c>
      <c r="K376" t="s">
        <v>38</v>
      </c>
      <c r="L376">
        <v>117</v>
      </c>
      <c r="M376">
        <v>1.24</v>
      </c>
      <c r="N376">
        <v>110.18</v>
      </c>
      <c r="O376">
        <v>0.3</v>
      </c>
      <c r="P376">
        <v>7</v>
      </c>
      <c r="Q376">
        <v>0.91</v>
      </c>
      <c r="R376">
        <v>109</v>
      </c>
      <c r="S376">
        <v>5.5</v>
      </c>
      <c r="T376">
        <v>0.79</v>
      </c>
      <c r="U376" s="1">
        <v>45501</v>
      </c>
      <c r="V376">
        <v>149.78</v>
      </c>
      <c r="W376">
        <v>0.64300000000000002</v>
      </c>
      <c r="X376" t="str">
        <f>IF(WarehouseData[[#This Row],[stock_level]]&lt;=WarehouseData[[#This Row],[reorder_point]],"Low Stock","Sufficient Stock")</f>
        <v>Sufficient Stock</v>
      </c>
      <c r="Y376">
        <f>WarehouseData[[#This Row],[daily_demand]]*WarehouseData[[#This Row],[lead_time_days]]</f>
        <v>182.39999999999998</v>
      </c>
      <c r="Z376" t="str">
        <f>IF(WarehouseData[[#This Row],[stock_level]]&lt;=WarehouseData[[#This Row],[Demand During Lead Time]],"At Risk","Safe")</f>
        <v>At Risk</v>
      </c>
      <c r="AA376">
        <f>WarehouseData[[#This Row],[stock_level]]/WarehouseData[[#This Row],[daily_demand]]</f>
        <v>4.9671052631578947</v>
      </c>
      <c r="AB376">
        <f>WarehouseData[[#This Row],[stock_level]]*WarehouseData[[#This Row],[unit_price]]</f>
        <v>16637.18</v>
      </c>
      <c r="AC376">
        <f>WarehouseData[[#This Row],[stock_level]]*WarehouseData[[#This Row],[holding_cost_per_unit_day]]*30</f>
        <v>1359</v>
      </c>
      <c r="AD376" t="str">
        <f>IF(WarehouseData[[#This Row],[order_fulfillment_rate]]&gt;=0.9,"Strong",IF(WarehouseData[[#This Row],[order_fulfillment_rate]]&gt;=0.8,"Moderate","Needs Attention"))</f>
        <v>Strong</v>
      </c>
      <c r="AE376" t="str">
        <f>IF(WarehouseData[[#This Row],[picking_time_seconds]]&gt;120,"Slow",IF(WarehouseData[[#This Row],[picking_time_seconds]]&gt;=60,"Average","Fast"))</f>
        <v>Average</v>
      </c>
    </row>
    <row r="377" spans="1:31" x14ac:dyDescent="0.25">
      <c r="A377" t="s">
        <v>514</v>
      </c>
      <c r="B377" t="s">
        <v>40</v>
      </c>
      <c r="C377">
        <v>123</v>
      </c>
      <c r="D377">
        <v>29</v>
      </c>
      <c r="E377">
        <v>13</v>
      </c>
      <c r="F377">
        <v>8</v>
      </c>
      <c r="G377">
        <v>9.86</v>
      </c>
      <c r="H377">
        <v>8.24</v>
      </c>
      <c r="I377">
        <v>0.93</v>
      </c>
      <c r="J377" t="s">
        <v>228</v>
      </c>
      <c r="K377" t="s">
        <v>34</v>
      </c>
      <c r="L377">
        <v>168</v>
      </c>
      <c r="M377">
        <v>4.7300000000000004</v>
      </c>
      <c r="N377">
        <v>65.290000000000006</v>
      </c>
      <c r="O377">
        <v>1.72</v>
      </c>
      <c r="P377">
        <v>2</v>
      </c>
      <c r="Q377">
        <v>0.85</v>
      </c>
      <c r="R377">
        <v>277</v>
      </c>
      <c r="S377">
        <v>12.26</v>
      </c>
      <c r="T377">
        <v>0.82</v>
      </c>
      <c r="U377" s="1">
        <v>45636</v>
      </c>
      <c r="V377">
        <v>75.55</v>
      </c>
      <c r="W377">
        <v>0.68500000000000005</v>
      </c>
      <c r="X377" t="str">
        <f>IF(WarehouseData[[#This Row],[stock_level]]&lt;=WarehouseData[[#This Row],[reorder_point]],"Low Stock","Sufficient Stock")</f>
        <v>Sufficient Stock</v>
      </c>
      <c r="Y377">
        <f>WarehouseData[[#This Row],[daily_demand]]*WarehouseData[[#This Row],[lead_time_days]]</f>
        <v>78.88</v>
      </c>
      <c r="Z377" t="str">
        <f>IF(WarehouseData[[#This Row],[stock_level]]&lt;=WarehouseData[[#This Row],[Demand During Lead Time]],"At Risk","Safe")</f>
        <v>Safe</v>
      </c>
      <c r="AA377">
        <f>WarehouseData[[#This Row],[stock_level]]/WarehouseData[[#This Row],[daily_demand]]</f>
        <v>12.474645030425965</v>
      </c>
      <c r="AB377">
        <f>WarehouseData[[#This Row],[stock_level]]*WarehouseData[[#This Row],[unit_price]]</f>
        <v>8030.670000000001</v>
      </c>
      <c r="AC377">
        <f>WarehouseData[[#This Row],[stock_level]]*WarehouseData[[#This Row],[holding_cost_per_unit_day]]*30</f>
        <v>6346.8</v>
      </c>
      <c r="AD377" t="str">
        <f>IF(WarehouseData[[#This Row],[order_fulfillment_rate]]&gt;=0.9,"Strong",IF(WarehouseData[[#This Row],[order_fulfillment_rate]]&gt;=0.8,"Moderate","Needs Attention"))</f>
        <v>Moderate</v>
      </c>
      <c r="AE377" t="str">
        <f>IF(WarehouseData[[#This Row],[picking_time_seconds]]&gt;120,"Slow",IF(WarehouseData[[#This Row],[picking_time_seconds]]&gt;=60,"Average","Fast"))</f>
        <v>Slow</v>
      </c>
    </row>
    <row r="378" spans="1:31" x14ac:dyDescent="0.25">
      <c r="A378" t="s">
        <v>515</v>
      </c>
      <c r="B378" t="s">
        <v>32</v>
      </c>
      <c r="C378">
        <v>214</v>
      </c>
      <c r="D378">
        <v>26</v>
      </c>
      <c r="E378">
        <v>11</v>
      </c>
      <c r="F378">
        <v>9</v>
      </c>
      <c r="G378">
        <v>27.51</v>
      </c>
      <c r="H378">
        <v>7.65</v>
      </c>
      <c r="I378">
        <v>0.11</v>
      </c>
      <c r="J378" t="s">
        <v>49</v>
      </c>
      <c r="K378" t="s">
        <v>34</v>
      </c>
      <c r="L378">
        <v>77</v>
      </c>
      <c r="M378">
        <v>3.1</v>
      </c>
      <c r="N378">
        <v>164.64</v>
      </c>
      <c r="O378">
        <v>0.38</v>
      </c>
      <c r="P378">
        <v>2</v>
      </c>
      <c r="Q378">
        <v>0.77</v>
      </c>
      <c r="R378">
        <v>288</v>
      </c>
      <c r="S378">
        <v>2.41</v>
      </c>
      <c r="T378">
        <v>0.87</v>
      </c>
      <c r="U378" s="1">
        <v>45547</v>
      </c>
      <c r="V378">
        <v>176.3</v>
      </c>
      <c r="W378">
        <v>0.68200000000000005</v>
      </c>
      <c r="X378" t="str">
        <f>IF(WarehouseData[[#This Row],[stock_level]]&lt;=WarehouseData[[#This Row],[reorder_point]],"Low Stock","Sufficient Stock")</f>
        <v>Sufficient Stock</v>
      </c>
      <c r="Y378">
        <f>WarehouseData[[#This Row],[daily_demand]]*WarehouseData[[#This Row],[lead_time_days]]</f>
        <v>247.59</v>
      </c>
      <c r="Z378" t="str">
        <f>IF(WarehouseData[[#This Row],[stock_level]]&lt;=WarehouseData[[#This Row],[Demand During Lead Time]],"At Risk","Safe")</f>
        <v>At Risk</v>
      </c>
      <c r="AA378">
        <f>WarehouseData[[#This Row],[stock_level]]/WarehouseData[[#This Row],[daily_demand]]</f>
        <v>7.7789894583787706</v>
      </c>
      <c r="AB378">
        <f>WarehouseData[[#This Row],[stock_level]]*WarehouseData[[#This Row],[unit_price]]</f>
        <v>35232.959999999999</v>
      </c>
      <c r="AC378">
        <f>WarehouseData[[#This Row],[stock_level]]*WarehouseData[[#This Row],[holding_cost_per_unit_day]]*30</f>
        <v>2439.6000000000004</v>
      </c>
      <c r="AD378" t="str">
        <f>IF(WarehouseData[[#This Row],[order_fulfillment_rate]]&gt;=0.9,"Strong",IF(WarehouseData[[#This Row],[order_fulfillment_rate]]&gt;=0.8,"Moderate","Needs Attention"))</f>
        <v>Needs Attention</v>
      </c>
      <c r="AE378" t="str">
        <f>IF(WarehouseData[[#This Row],[picking_time_seconds]]&gt;120,"Slow",IF(WarehouseData[[#This Row],[picking_time_seconds]]&gt;=60,"Average","Fast"))</f>
        <v>Average</v>
      </c>
    </row>
    <row r="379" spans="1:31" x14ac:dyDescent="0.25">
      <c r="A379" t="s">
        <v>516</v>
      </c>
      <c r="B379" t="s">
        <v>48</v>
      </c>
      <c r="C379">
        <v>432</v>
      </c>
      <c r="D379">
        <v>37</v>
      </c>
      <c r="E379">
        <v>8</v>
      </c>
      <c r="F379">
        <v>4</v>
      </c>
      <c r="G379">
        <v>14.46</v>
      </c>
      <c r="H379">
        <v>9.18</v>
      </c>
      <c r="I379">
        <v>0.62</v>
      </c>
      <c r="J379" t="s">
        <v>251</v>
      </c>
      <c r="K379" t="s">
        <v>38</v>
      </c>
      <c r="L379">
        <v>21</v>
      </c>
      <c r="M379">
        <v>4.13</v>
      </c>
      <c r="N379">
        <v>51.33</v>
      </c>
      <c r="O379">
        <v>1.42</v>
      </c>
      <c r="P379">
        <v>1</v>
      </c>
      <c r="Q379">
        <v>0.85</v>
      </c>
      <c r="R379">
        <v>617</v>
      </c>
      <c r="S379">
        <v>7.43</v>
      </c>
      <c r="T379">
        <v>0.89</v>
      </c>
      <c r="U379" s="1">
        <v>45363</v>
      </c>
      <c r="V379">
        <v>77.239999999999995</v>
      </c>
      <c r="W379">
        <v>0.68500000000000005</v>
      </c>
      <c r="X379" t="str">
        <f>IF(WarehouseData[[#This Row],[stock_level]]&lt;=WarehouseData[[#This Row],[reorder_point]],"Low Stock","Sufficient Stock")</f>
        <v>Sufficient Stock</v>
      </c>
      <c r="Y379">
        <f>WarehouseData[[#This Row],[daily_demand]]*WarehouseData[[#This Row],[lead_time_days]]</f>
        <v>57.84</v>
      </c>
      <c r="Z379" t="str">
        <f>IF(WarehouseData[[#This Row],[stock_level]]&lt;=WarehouseData[[#This Row],[Demand During Lead Time]],"At Risk","Safe")</f>
        <v>Safe</v>
      </c>
      <c r="AA379">
        <f>WarehouseData[[#This Row],[stock_level]]/WarehouseData[[#This Row],[daily_demand]]</f>
        <v>29.875518672199167</v>
      </c>
      <c r="AB379">
        <f>WarehouseData[[#This Row],[stock_level]]*WarehouseData[[#This Row],[unit_price]]</f>
        <v>22174.559999999998</v>
      </c>
      <c r="AC379">
        <f>WarehouseData[[#This Row],[stock_level]]*WarehouseData[[#This Row],[holding_cost_per_unit_day]]*30</f>
        <v>18403.199999999997</v>
      </c>
      <c r="AD379" t="str">
        <f>IF(WarehouseData[[#This Row],[order_fulfillment_rate]]&gt;=0.9,"Strong",IF(WarehouseData[[#This Row],[order_fulfillment_rate]]&gt;=0.8,"Moderate","Needs Attention"))</f>
        <v>Moderate</v>
      </c>
      <c r="AE379" t="str">
        <f>IF(WarehouseData[[#This Row],[picking_time_seconds]]&gt;120,"Slow",IF(WarehouseData[[#This Row],[picking_time_seconds]]&gt;=60,"Average","Fast"))</f>
        <v>Fast</v>
      </c>
    </row>
    <row r="380" spans="1:31" x14ac:dyDescent="0.25">
      <c r="A380" t="s">
        <v>517</v>
      </c>
      <c r="B380" t="s">
        <v>48</v>
      </c>
      <c r="C380">
        <v>176</v>
      </c>
      <c r="D380">
        <v>50</v>
      </c>
      <c r="E380">
        <v>9</v>
      </c>
      <c r="F380">
        <v>5</v>
      </c>
      <c r="G380">
        <v>36.799999999999997</v>
      </c>
      <c r="H380">
        <v>8.41</v>
      </c>
      <c r="I380">
        <v>0.97</v>
      </c>
      <c r="J380" t="s">
        <v>273</v>
      </c>
      <c r="K380" t="s">
        <v>38</v>
      </c>
      <c r="L380">
        <v>159</v>
      </c>
      <c r="M380">
        <v>2.69</v>
      </c>
      <c r="N380">
        <v>12.19</v>
      </c>
      <c r="O380">
        <v>1.05</v>
      </c>
      <c r="P380">
        <v>0</v>
      </c>
      <c r="Q380">
        <v>0.9</v>
      </c>
      <c r="R380">
        <v>795</v>
      </c>
      <c r="S380">
        <v>9.48</v>
      </c>
      <c r="T380">
        <v>0.59</v>
      </c>
      <c r="U380" s="1">
        <v>45616</v>
      </c>
      <c r="V380">
        <v>66</v>
      </c>
      <c r="W380">
        <v>0.71899999999999997</v>
      </c>
      <c r="X380" t="str">
        <f>IF(WarehouseData[[#This Row],[stock_level]]&lt;=WarehouseData[[#This Row],[reorder_point]],"Low Stock","Sufficient Stock")</f>
        <v>Sufficient Stock</v>
      </c>
      <c r="Y380">
        <f>WarehouseData[[#This Row],[daily_demand]]*WarehouseData[[#This Row],[lead_time_days]]</f>
        <v>184</v>
      </c>
      <c r="Z380" t="str">
        <f>IF(WarehouseData[[#This Row],[stock_level]]&lt;=WarehouseData[[#This Row],[Demand During Lead Time]],"At Risk","Safe")</f>
        <v>At Risk</v>
      </c>
      <c r="AA380">
        <f>WarehouseData[[#This Row],[stock_level]]/WarehouseData[[#This Row],[daily_demand]]</f>
        <v>4.7826086956521747</v>
      </c>
      <c r="AB380">
        <f>WarehouseData[[#This Row],[stock_level]]*WarehouseData[[#This Row],[unit_price]]</f>
        <v>2145.44</v>
      </c>
      <c r="AC380">
        <f>WarehouseData[[#This Row],[stock_level]]*WarehouseData[[#This Row],[holding_cost_per_unit_day]]*30</f>
        <v>5544</v>
      </c>
      <c r="AD380" t="str">
        <f>IF(WarehouseData[[#This Row],[order_fulfillment_rate]]&gt;=0.9,"Strong",IF(WarehouseData[[#This Row],[order_fulfillment_rate]]&gt;=0.8,"Moderate","Needs Attention"))</f>
        <v>Strong</v>
      </c>
      <c r="AE380" t="str">
        <f>IF(WarehouseData[[#This Row],[picking_time_seconds]]&gt;120,"Slow",IF(WarehouseData[[#This Row],[picking_time_seconds]]&gt;=60,"Average","Fast"))</f>
        <v>Slow</v>
      </c>
    </row>
    <row r="381" spans="1:31" x14ac:dyDescent="0.25">
      <c r="A381" t="s">
        <v>518</v>
      </c>
      <c r="B381" t="s">
        <v>36</v>
      </c>
      <c r="C381">
        <v>117</v>
      </c>
      <c r="D381">
        <v>75</v>
      </c>
      <c r="E381">
        <v>4</v>
      </c>
      <c r="F381">
        <v>6</v>
      </c>
      <c r="G381">
        <v>41.79</v>
      </c>
      <c r="H381">
        <v>2.91</v>
      </c>
      <c r="I381">
        <v>0.31</v>
      </c>
      <c r="J381" t="s">
        <v>131</v>
      </c>
      <c r="K381" t="s">
        <v>38</v>
      </c>
      <c r="L381">
        <v>138</v>
      </c>
      <c r="M381">
        <v>4.26</v>
      </c>
      <c r="N381">
        <v>88.78</v>
      </c>
      <c r="O381">
        <v>1.44</v>
      </c>
      <c r="P381">
        <v>2</v>
      </c>
      <c r="Q381">
        <v>0.84</v>
      </c>
      <c r="R381">
        <v>133</v>
      </c>
      <c r="S381">
        <v>14.17</v>
      </c>
      <c r="T381">
        <v>0.52</v>
      </c>
      <c r="U381" s="1">
        <v>45447</v>
      </c>
      <c r="V381">
        <v>37.19</v>
      </c>
      <c r="W381">
        <v>0.67700000000000005</v>
      </c>
      <c r="X381" t="str">
        <f>IF(WarehouseData[[#This Row],[stock_level]]&lt;=WarehouseData[[#This Row],[reorder_point]],"Low Stock","Sufficient Stock")</f>
        <v>Sufficient Stock</v>
      </c>
      <c r="Y381">
        <f>WarehouseData[[#This Row],[daily_demand]]*WarehouseData[[#This Row],[lead_time_days]]</f>
        <v>250.74</v>
      </c>
      <c r="Z381" t="str">
        <f>IF(WarehouseData[[#This Row],[stock_level]]&lt;=WarehouseData[[#This Row],[Demand During Lead Time]],"At Risk","Safe")</f>
        <v>At Risk</v>
      </c>
      <c r="AA381">
        <f>WarehouseData[[#This Row],[stock_level]]/WarehouseData[[#This Row],[daily_demand]]</f>
        <v>2.7997128499641062</v>
      </c>
      <c r="AB381">
        <f>WarehouseData[[#This Row],[stock_level]]*WarehouseData[[#This Row],[unit_price]]</f>
        <v>10387.26</v>
      </c>
      <c r="AC381">
        <f>WarehouseData[[#This Row],[stock_level]]*WarehouseData[[#This Row],[holding_cost_per_unit_day]]*30</f>
        <v>5054.3999999999996</v>
      </c>
      <c r="AD381" t="str">
        <f>IF(WarehouseData[[#This Row],[order_fulfillment_rate]]&gt;=0.9,"Strong",IF(WarehouseData[[#This Row],[order_fulfillment_rate]]&gt;=0.8,"Moderate","Needs Attention"))</f>
        <v>Moderate</v>
      </c>
      <c r="AE381" t="str">
        <f>IF(WarehouseData[[#This Row],[picking_time_seconds]]&gt;120,"Slow",IF(WarehouseData[[#This Row],[picking_time_seconds]]&gt;=60,"Average","Fast"))</f>
        <v>Slow</v>
      </c>
    </row>
    <row r="382" spans="1:31" x14ac:dyDescent="0.25">
      <c r="A382" t="s">
        <v>519</v>
      </c>
      <c r="B382" t="s">
        <v>48</v>
      </c>
      <c r="C382">
        <v>245</v>
      </c>
      <c r="D382">
        <v>34</v>
      </c>
      <c r="E382">
        <v>11</v>
      </c>
      <c r="F382">
        <v>6</v>
      </c>
      <c r="G382">
        <v>36.03</v>
      </c>
      <c r="H382">
        <v>3.65</v>
      </c>
      <c r="I382">
        <v>0.33</v>
      </c>
      <c r="J382" t="s">
        <v>150</v>
      </c>
      <c r="K382" t="s">
        <v>52</v>
      </c>
      <c r="L382">
        <v>135</v>
      </c>
      <c r="M382">
        <v>2.93</v>
      </c>
      <c r="N382">
        <v>22.18</v>
      </c>
      <c r="O382">
        <v>1.55</v>
      </c>
      <c r="P382">
        <v>9</v>
      </c>
      <c r="Q382">
        <v>0.72</v>
      </c>
      <c r="R382">
        <v>764</v>
      </c>
      <c r="S382">
        <v>11.32</v>
      </c>
      <c r="T382">
        <v>0.8</v>
      </c>
      <c r="U382" s="1">
        <v>45415</v>
      </c>
      <c r="V382">
        <v>110.3</v>
      </c>
      <c r="W382">
        <v>0.52</v>
      </c>
      <c r="X382" t="str">
        <f>IF(WarehouseData[[#This Row],[stock_level]]&lt;=WarehouseData[[#This Row],[reorder_point]],"Low Stock","Sufficient Stock")</f>
        <v>Sufficient Stock</v>
      </c>
      <c r="Y382">
        <f>WarehouseData[[#This Row],[daily_demand]]*WarehouseData[[#This Row],[lead_time_days]]</f>
        <v>216.18</v>
      </c>
      <c r="Z382" t="str">
        <f>IF(WarehouseData[[#This Row],[stock_level]]&lt;=WarehouseData[[#This Row],[Demand During Lead Time]],"At Risk","Safe")</f>
        <v>Safe</v>
      </c>
      <c r="AA382">
        <f>WarehouseData[[#This Row],[stock_level]]/WarehouseData[[#This Row],[daily_demand]]</f>
        <v>6.7998889814043846</v>
      </c>
      <c r="AB382">
        <f>WarehouseData[[#This Row],[stock_level]]*WarehouseData[[#This Row],[unit_price]]</f>
        <v>5434.1</v>
      </c>
      <c r="AC382">
        <f>WarehouseData[[#This Row],[stock_level]]*WarehouseData[[#This Row],[holding_cost_per_unit_day]]*30</f>
        <v>11392.5</v>
      </c>
      <c r="AD382" t="str">
        <f>IF(WarehouseData[[#This Row],[order_fulfillment_rate]]&gt;=0.9,"Strong",IF(WarehouseData[[#This Row],[order_fulfillment_rate]]&gt;=0.8,"Moderate","Needs Attention"))</f>
        <v>Needs Attention</v>
      </c>
      <c r="AE382" t="str">
        <f>IF(WarehouseData[[#This Row],[picking_time_seconds]]&gt;120,"Slow",IF(WarehouseData[[#This Row],[picking_time_seconds]]&gt;=60,"Average","Fast"))</f>
        <v>Slow</v>
      </c>
    </row>
    <row r="383" spans="1:31" x14ac:dyDescent="0.25">
      <c r="A383" t="s">
        <v>520</v>
      </c>
      <c r="B383" t="s">
        <v>36</v>
      </c>
      <c r="C383">
        <v>431</v>
      </c>
      <c r="D383">
        <v>67</v>
      </c>
      <c r="E383">
        <v>14</v>
      </c>
      <c r="F383">
        <v>8</v>
      </c>
      <c r="G383">
        <v>36.78</v>
      </c>
      <c r="H383">
        <v>5.25</v>
      </c>
      <c r="I383">
        <v>0.1</v>
      </c>
      <c r="J383" t="s">
        <v>142</v>
      </c>
      <c r="K383" t="s">
        <v>52</v>
      </c>
      <c r="L383">
        <v>10</v>
      </c>
      <c r="M383">
        <v>0.52</v>
      </c>
      <c r="N383">
        <v>65.12</v>
      </c>
      <c r="O383">
        <v>1.63</v>
      </c>
      <c r="P383">
        <v>6</v>
      </c>
      <c r="Q383">
        <v>0.71</v>
      </c>
      <c r="R383">
        <v>90</v>
      </c>
      <c r="S383">
        <v>2.95</v>
      </c>
      <c r="T383">
        <v>0.66</v>
      </c>
      <c r="U383" s="1">
        <v>45421</v>
      </c>
      <c r="V383">
        <v>167.1</v>
      </c>
      <c r="W383">
        <v>0.43</v>
      </c>
      <c r="X383" t="str">
        <f>IF(WarehouseData[[#This Row],[stock_level]]&lt;=WarehouseData[[#This Row],[reorder_point]],"Low Stock","Sufficient Stock")</f>
        <v>Sufficient Stock</v>
      </c>
      <c r="Y383">
        <f>WarehouseData[[#This Row],[daily_demand]]*WarehouseData[[#This Row],[lead_time_days]]</f>
        <v>294.24</v>
      </c>
      <c r="Z383" t="str">
        <f>IF(WarehouseData[[#This Row],[stock_level]]&lt;=WarehouseData[[#This Row],[Demand During Lead Time]],"At Risk","Safe")</f>
        <v>Safe</v>
      </c>
      <c r="AA383">
        <f>WarehouseData[[#This Row],[stock_level]]/WarehouseData[[#This Row],[daily_demand]]</f>
        <v>11.718325176726481</v>
      </c>
      <c r="AB383">
        <f>WarehouseData[[#This Row],[stock_level]]*WarehouseData[[#This Row],[unit_price]]</f>
        <v>28066.720000000001</v>
      </c>
      <c r="AC383">
        <f>WarehouseData[[#This Row],[stock_level]]*WarehouseData[[#This Row],[holding_cost_per_unit_day]]*30</f>
        <v>21075.899999999998</v>
      </c>
      <c r="AD383" t="str">
        <f>IF(WarehouseData[[#This Row],[order_fulfillment_rate]]&gt;=0.9,"Strong",IF(WarehouseData[[#This Row],[order_fulfillment_rate]]&gt;=0.8,"Moderate","Needs Attention"))</f>
        <v>Needs Attention</v>
      </c>
      <c r="AE383" t="str">
        <f>IF(WarehouseData[[#This Row],[picking_time_seconds]]&gt;120,"Slow",IF(WarehouseData[[#This Row],[picking_time_seconds]]&gt;=60,"Average","Fast"))</f>
        <v>Fast</v>
      </c>
    </row>
    <row r="384" spans="1:31" x14ac:dyDescent="0.25">
      <c r="A384" t="s">
        <v>521</v>
      </c>
      <c r="B384" t="s">
        <v>73</v>
      </c>
      <c r="C384">
        <v>224</v>
      </c>
      <c r="D384">
        <v>50</v>
      </c>
      <c r="E384">
        <v>3</v>
      </c>
      <c r="F384">
        <v>3</v>
      </c>
      <c r="G384">
        <v>26.11</v>
      </c>
      <c r="H384">
        <v>0.64</v>
      </c>
      <c r="I384">
        <v>0.16</v>
      </c>
      <c r="J384" t="s">
        <v>95</v>
      </c>
      <c r="K384" t="s">
        <v>34</v>
      </c>
      <c r="L384">
        <v>140</v>
      </c>
      <c r="M384">
        <v>4.55</v>
      </c>
      <c r="N384">
        <v>132.31</v>
      </c>
      <c r="O384">
        <v>1.69</v>
      </c>
      <c r="P384">
        <v>8</v>
      </c>
      <c r="Q384">
        <v>0.8</v>
      </c>
      <c r="R384">
        <v>487</v>
      </c>
      <c r="S384">
        <v>14.56</v>
      </c>
      <c r="T384">
        <v>0.97</v>
      </c>
      <c r="U384" s="1">
        <v>45629</v>
      </c>
      <c r="V384">
        <v>56.21</v>
      </c>
      <c r="W384">
        <v>0.61899999999999999</v>
      </c>
      <c r="X384" t="str">
        <f>IF(WarehouseData[[#This Row],[stock_level]]&lt;=WarehouseData[[#This Row],[reorder_point]],"Low Stock","Sufficient Stock")</f>
        <v>Sufficient Stock</v>
      </c>
      <c r="Y384">
        <f>WarehouseData[[#This Row],[daily_demand]]*WarehouseData[[#This Row],[lead_time_days]]</f>
        <v>78.33</v>
      </c>
      <c r="Z384" t="str">
        <f>IF(WarehouseData[[#This Row],[stock_level]]&lt;=WarehouseData[[#This Row],[Demand During Lead Time]],"At Risk","Safe")</f>
        <v>Safe</v>
      </c>
      <c r="AA384">
        <f>WarehouseData[[#This Row],[stock_level]]/WarehouseData[[#This Row],[daily_demand]]</f>
        <v>8.5790884718498663</v>
      </c>
      <c r="AB384">
        <f>WarehouseData[[#This Row],[stock_level]]*WarehouseData[[#This Row],[unit_price]]</f>
        <v>29637.440000000002</v>
      </c>
      <c r="AC384">
        <f>WarehouseData[[#This Row],[stock_level]]*WarehouseData[[#This Row],[holding_cost_per_unit_day]]*30</f>
        <v>11356.8</v>
      </c>
      <c r="AD384" t="str">
        <f>IF(WarehouseData[[#This Row],[order_fulfillment_rate]]&gt;=0.9,"Strong",IF(WarehouseData[[#This Row],[order_fulfillment_rate]]&gt;=0.8,"Moderate","Needs Attention"))</f>
        <v>Moderate</v>
      </c>
      <c r="AE384" t="str">
        <f>IF(WarehouseData[[#This Row],[picking_time_seconds]]&gt;120,"Slow",IF(WarehouseData[[#This Row],[picking_time_seconds]]&gt;=60,"Average","Fast"))</f>
        <v>Slow</v>
      </c>
    </row>
    <row r="385" spans="1:31" x14ac:dyDescent="0.25">
      <c r="A385" t="s">
        <v>522</v>
      </c>
      <c r="B385" t="s">
        <v>32</v>
      </c>
      <c r="C385">
        <v>98</v>
      </c>
      <c r="D385">
        <v>15</v>
      </c>
      <c r="E385">
        <v>3</v>
      </c>
      <c r="F385">
        <v>4</v>
      </c>
      <c r="G385">
        <v>35.89</v>
      </c>
      <c r="H385">
        <v>9.09</v>
      </c>
      <c r="I385">
        <v>0.14000000000000001</v>
      </c>
      <c r="J385" t="s">
        <v>163</v>
      </c>
      <c r="K385" t="s">
        <v>52</v>
      </c>
      <c r="L385">
        <v>126</v>
      </c>
      <c r="M385">
        <v>1.17</v>
      </c>
      <c r="N385">
        <v>65.989999999999995</v>
      </c>
      <c r="O385">
        <v>1.71</v>
      </c>
      <c r="P385">
        <v>8</v>
      </c>
      <c r="Q385">
        <v>0.75</v>
      </c>
      <c r="R385">
        <v>578</v>
      </c>
      <c r="S385">
        <v>7.69</v>
      </c>
      <c r="T385">
        <v>0.5</v>
      </c>
      <c r="U385" s="1">
        <v>45370</v>
      </c>
      <c r="V385">
        <v>68.13</v>
      </c>
      <c r="W385">
        <v>0.42199999999999999</v>
      </c>
      <c r="X385" t="str">
        <f>IF(WarehouseData[[#This Row],[stock_level]]&lt;=WarehouseData[[#This Row],[reorder_point]],"Low Stock","Sufficient Stock")</f>
        <v>Sufficient Stock</v>
      </c>
      <c r="Y385">
        <f>WarehouseData[[#This Row],[daily_demand]]*WarehouseData[[#This Row],[lead_time_days]]</f>
        <v>143.56</v>
      </c>
      <c r="Z385" t="str">
        <f>IF(WarehouseData[[#This Row],[stock_level]]&lt;=WarehouseData[[#This Row],[Demand During Lead Time]],"At Risk","Safe")</f>
        <v>At Risk</v>
      </c>
      <c r="AA385">
        <f>WarehouseData[[#This Row],[stock_level]]/WarehouseData[[#This Row],[daily_demand]]</f>
        <v>2.7305656171635553</v>
      </c>
      <c r="AB385">
        <f>WarehouseData[[#This Row],[stock_level]]*WarehouseData[[#This Row],[unit_price]]</f>
        <v>6467.0199999999995</v>
      </c>
      <c r="AC385">
        <f>WarehouseData[[#This Row],[stock_level]]*WarehouseData[[#This Row],[holding_cost_per_unit_day]]*30</f>
        <v>5027.3999999999996</v>
      </c>
      <c r="AD385" t="str">
        <f>IF(WarehouseData[[#This Row],[order_fulfillment_rate]]&gt;=0.9,"Strong",IF(WarehouseData[[#This Row],[order_fulfillment_rate]]&gt;=0.8,"Moderate","Needs Attention"))</f>
        <v>Needs Attention</v>
      </c>
      <c r="AE385" t="str">
        <f>IF(WarehouseData[[#This Row],[picking_time_seconds]]&gt;120,"Slow",IF(WarehouseData[[#This Row],[picking_time_seconds]]&gt;=60,"Average","Fast"))</f>
        <v>Slow</v>
      </c>
    </row>
    <row r="386" spans="1:31" x14ac:dyDescent="0.25">
      <c r="A386" t="s">
        <v>523</v>
      </c>
      <c r="B386" t="s">
        <v>36</v>
      </c>
      <c r="C386">
        <v>143</v>
      </c>
      <c r="D386">
        <v>84</v>
      </c>
      <c r="E386">
        <v>5</v>
      </c>
      <c r="F386">
        <v>8</v>
      </c>
      <c r="G386">
        <v>21.71</v>
      </c>
      <c r="H386">
        <v>0.92</v>
      </c>
      <c r="I386">
        <v>0.84</v>
      </c>
      <c r="J386" t="s">
        <v>251</v>
      </c>
      <c r="K386" t="s">
        <v>52</v>
      </c>
      <c r="L386">
        <v>158</v>
      </c>
      <c r="M386">
        <v>2.5299999999999998</v>
      </c>
      <c r="N386">
        <v>56.7</v>
      </c>
      <c r="O386">
        <v>0.88</v>
      </c>
      <c r="P386">
        <v>5</v>
      </c>
      <c r="Q386">
        <v>0.97</v>
      </c>
      <c r="R386">
        <v>154</v>
      </c>
      <c r="S386">
        <v>6.18</v>
      </c>
      <c r="T386">
        <v>0.23</v>
      </c>
      <c r="U386" s="1">
        <v>45508</v>
      </c>
      <c r="V386">
        <v>123.43</v>
      </c>
      <c r="W386">
        <v>0.53400000000000003</v>
      </c>
      <c r="X386" t="str">
        <f>IF(WarehouseData[[#This Row],[stock_level]]&lt;=WarehouseData[[#This Row],[reorder_point]],"Low Stock","Sufficient Stock")</f>
        <v>Sufficient Stock</v>
      </c>
      <c r="Y386">
        <f>WarehouseData[[#This Row],[daily_demand]]*WarehouseData[[#This Row],[lead_time_days]]</f>
        <v>173.68</v>
      </c>
      <c r="Z386" t="str">
        <f>IF(WarehouseData[[#This Row],[stock_level]]&lt;=WarehouseData[[#This Row],[Demand During Lead Time]],"At Risk","Safe")</f>
        <v>At Risk</v>
      </c>
      <c r="AA386">
        <f>WarehouseData[[#This Row],[stock_level]]/WarehouseData[[#This Row],[daily_demand]]</f>
        <v>6.5868263473053892</v>
      </c>
      <c r="AB386">
        <f>WarehouseData[[#This Row],[stock_level]]*WarehouseData[[#This Row],[unit_price]]</f>
        <v>8108.1</v>
      </c>
      <c r="AC386">
        <f>WarehouseData[[#This Row],[stock_level]]*WarehouseData[[#This Row],[holding_cost_per_unit_day]]*30</f>
        <v>3775.2000000000003</v>
      </c>
      <c r="AD386" t="str">
        <f>IF(WarehouseData[[#This Row],[order_fulfillment_rate]]&gt;=0.9,"Strong",IF(WarehouseData[[#This Row],[order_fulfillment_rate]]&gt;=0.8,"Moderate","Needs Attention"))</f>
        <v>Strong</v>
      </c>
      <c r="AE386" t="str">
        <f>IF(WarehouseData[[#This Row],[picking_time_seconds]]&gt;120,"Slow",IF(WarehouseData[[#This Row],[picking_time_seconds]]&gt;=60,"Average","Fast"))</f>
        <v>Slow</v>
      </c>
    </row>
    <row r="387" spans="1:31" x14ac:dyDescent="0.25">
      <c r="A387" t="s">
        <v>524</v>
      </c>
      <c r="B387" t="s">
        <v>73</v>
      </c>
      <c r="C387">
        <v>490</v>
      </c>
      <c r="D387">
        <v>47</v>
      </c>
      <c r="E387">
        <v>14</v>
      </c>
      <c r="F387">
        <v>6</v>
      </c>
      <c r="G387">
        <v>32.92</v>
      </c>
      <c r="H387">
        <v>3.56</v>
      </c>
      <c r="I387">
        <v>0.85</v>
      </c>
      <c r="J387" t="s">
        <v>228</v>
      </c>
      <c r="K387" t="s">
        <v>46</v>
      </c>
      <c r="L387">
        <v>22</v>
      </c>
      <c r="M387">
        <v>2.65</v>
      </c>
      <c r="N387">
        <v>39.54</v>
      </c>
      <c r="O387">
        <v>1.79</v>
      </c>
      <c r="P387">
        <v>5</v>
      </c>
      <c r="Q387">
        <v>0.75</v>
      </c>
      <c r="R387">
        <v>586</v>
      </c>
      <c r="S387">
        <v>2.8</v>
      </c>
      <c r="T387">
        <v>0.67</v>
      </c>
      <c r="U387" s="1">
        <v>45485</v>
      </c>
      <c r="V387">
        <v>151.96</v>
      </c>
      <c r="W387">
        <v>0.442</v>
      </c>
      <c r="X387" t="str">
        <f>IF(WarehouseData[[#This Row],[stock_level]]&lt;=WarehouseData[[#This Row],[reorder_point]],"Low Stock","Sufficient Stock")</f>
        <v>Sufficient Stock</v>
      </c>
      <c r="Y387">
        <f>WarehouseData[[#This Row],[daily_demand]]*WarehouseData[[#This Row],[lead_time_days]]</f>
        <v>197.52</v>
      </c>
      <c r="Z387" t="str">
        <f>IF(WarehouseData[[#This Row],[stock_level]]&lt;=WarehouseData[[#This Row],[Demand During Lead Time]],"At Risk","Safe")</f>
        <v>Safe</v>
      </c>
      <c r="AA387">
        <f>WarehouseData[[#This Row],[stock_level]]/WarehouseData[[#This Row],[daily_demand]]</f>
        <v>14.884568651275819</v>
      </c>
      <c r="AB387">
        <f>WarehouseData[[#This Row],[stock_level]]*WarehouseData[[#This Row],[unit_price]]</f>
        <v>19374.599999999999</v>
      </c>
      <c r="AC387">
        <f>WarehouseData[[#This Row],[stock_level]]*WarehouseData[[#This Row],[holding_cost_per_unit_day]]*30</f>
        <v>26313</v>
      </c>
      <c r="AD387" t="str">
        <f>IF(WarehouseData[[#This Row],[order_fulfillment_rate]]&gt;=0.9,"Strong",IF(WarehouseData[[#This Row],[order_fulfillment_rate]]&gt;=0.8,"Moderate","Needs Attention"))</f>
        <v>Needs Attention</v>
      </c>
      <c r="AE387" t="str">
        <f>IF(WarehouseData[[#This Row],[picking_time_seconds]]&gt;120,"Slow",IF(WarehouseData[[#This Row],[picking_time_seconds]]&gt;=60,"Average","Fast"))</f>
        <v>Fast</v>
      </c>
    </row>
    <row r="388" spans="1:31" x14ac:dyDescent="0.25">
      <c r="A388" t="s">
        <v>525</v>
      </c>
      <c r="B388" t="s">
        <v>48</v>
      </c>
      <c r="C388">
        <v>447</v>
      </c>
      <c r="D388">
        <v>15</v>
      </c>
      <c r="E388">
        <v>8</v>
      </c>
      <c r="F388">
        <v>5</v>
      </c>
      <c r="G388">
        <v>13.69</v>
      </c>
      <c r="H388">
        <v>5.91</v>
      </c>
      <c r="I388">
        <v>0.75</v>
      </c>
      <c r="J388" t="s">
        <v>379</v>
      </c>
      <c r="K388" t="s">
        <v>34</v>
      </c>
      <c r="L388">
        <v>150</v>
      </c>
      <c r="M388">
        <v>0.71</v>
      </c>
      <c r="N388">
        <v>35.68</v>
      </c>
      <c r="O388">
        <v>1.47</v>
      </c>
      <c r="P388">
        <v>4</v>
      </c>
      <c r="Q388">
        <v>0.82</v>
      </c>
      <c r="R388">
        <v>431</v>
      </c>
      <c r="S388">
        <v>14.07</v>
      </c>
      <c r="T388">
        <v>0.48</v>
      </c>
      <c r="U388" s="1">
        <v>45329</v>
      </c>
      <c r="V388">
        <v>231.06</v>
      </c>
      <c r="W388">
        <v>0.621</v>
      </c>
      <c r="X388" t="str">
        <f>IF(WarehouseData[[#This Row],[stock_level]]&lt;=WarehouseData[[#This Row],[reorder_point]],"Low Stock","Sufficient Stock")</f>
        <v>Sufficient Stock</v>
      </c>
      <c r="Y388">
        <f>WarehouseData[[#This Row],[daily_demand]]*WarehouseData[[#This Row],[lead_time_days]]</f>
        <v>68.45</v>
      </c>
      <c r="Z388" t="str">
        <f>IF(WarehouseData[[#This Row],[stock_level]]&lt;=WarehouseData[[#This Row],[Demand During Lead Time]],"At Risk","Safe")</f>
        <v>Safe</v>
      </c>
      <c r="AA388">
        <f>WarehouseData[[#This Row],[stock_level]]/WarehouseData[[#This Row],[daily_demand]]</f>
        <v>32.651570489408329</v>
      </c>
      <c r="AB388">
        <f>WarehouseData[[#This Row],[stock_level]]*WarehouseData[[#This Row],[unit_price]]</f>
        <v>15948.96</v>
      </c>
      <c r="AC388">
        <f>WarehouseData[[#This Row],[stock_level]]*WarehouseData[[#This Row],[holding_cost_per_unit_day]]*30</f>
        <v>19712.7</v>
      </c>
      <c r="AD388" t="str">
        <f>IF(WarehouseData[[#This Row],[order_fulfillment_rate]]&gt;=0.9,"Strong",IF(WarehouseData[[#This Row],[order_fulfillment_rate]]&gt;=0.8,"Moderate","Needs Attention"))</f>
        <v>Moderate</v>
      </c>
      <c r="AE388" t="str">
        <f>IF(WarehouseData[[#This Row],[picking_time_seconds]]&gt;120,"Slow",IF(WarehouseData[[#This Row],[picking_time_seconds]]&gt;=60,"Average","Fast"))</f>
        <v>Slow</v>
      </c>
    </row>
    <row r="389" spans="1:31" x14ac:dyDescent="0.25">
      <c r="A389" t="s">
        <v>526</v>
      </c>
      <c r="B389" t="s">
        <v>48</v>
      </c>
      <c r="C389">
        <v>237</v>
      </c>
      <c r="D389">
        <v>54</v>
      </c>
      <c r="E389">
        <v>7</v>
      </c>
      <c r="F389">
        <v>8</v>
      </c>
      <c r="G389">
        <v>4.42</v>
      </c>
      <c r="H389">
        <v>5.42</v>
      </c>
      <c r="I389">
        <v>0.42</v>
      </c>
      <c r="J389" t="s">
        <v>221</v>
      </c>
      <c r="K389" t="s">
        <v>34</v>
      </c>
      <c r="L389">
        <v>114</v>
      </c>
      <c r="M389">
        <v>0.74</v>
      </c>
      <c r="N389">
        <v>109.91</v>
      </c>
      <c r="O389">
        <v>1.69</v>
      </c>
      <c r="P389">
        <v>1</v>
      </c>
      <c r="Q389">
        <v>0.91</v>
      </c>
      <c r="R389">
        <v>142</v>
      </c>
      <c r="S389">
        <v>9.2100000000000009</v>
      </c>
      <c r="T389">
        <v>0.47</v>
      </c>
      <c r="U389" s="1">
        <v>45521</v>
      </c>
      <c r="V389">
        <v>174.32</v>
      </c>
      <c r="W389">
        <v>0.61</v>
      </c>
      <c r="X389" t="str">
        <f>IF(WarehouseData[[#This Row],[stock_level]]&lt;=WarehouseData[[#This Row],[reorder_point]],"Low Stock","Sufficient Stock")</f>
        <v>Sufficient Stock</v>
      </c>
      <c r="Y389">
        <f>WarehouseData[[#This Row],[daily_demand]]*WarehouseData[[#This Row],[lead_time_days]]</f>
        <v>35.36</v>
      </c>
      <c r="Z389" t="str">
        <f>IF(WarehouseData[[#This Row],[stock_level]]&lt;=WarehouseData[[#This Row],[Demand During Lead Time]],"At Risk","Safe")</f>
        <v>Safe</v>
      </c>
      <c r="AA389">
        <f>WarehouseData[[#This Row],[stock_level]]/WarehouseData[[#This Row],[daily_demand]]</f>
        <v>53.619909502262445</v>
      </c>
      <c r="AB389">
        <f>WarehouseData[[#This Row],[stock_level]]*WarehouseData[[#This Row],[unit_price]]</f>
        <v>26048.67</v>
      </c>
      <c r="AC389">
        <f>WarehouseData[[#This Row],[stock_level]]*WarehouseData[[#This Row],[holding_cost_per_unit_day]]*30</f>
        <v>12015.9</v>
      </c>
      <c r="AD389" t="str">
        <f>IF(WarehouseData[[#This Row],[order_fulfillment_rate]]&gt;=0.9,"Strong",IF(WarehouseData[[#This Row],[order_fulfillment_rate]]&gt;=0.8,"Moderate","Needs Attention"))</f>
        <v>Strong</v>
      </c>
      <c r="AE389" t="str">
        <f>IF(WarehouseData[[#This Row],[picking_time_seconds]]&gt;120,"Slow",IF(WarehouseData[[#This Row],[picking_time_seconds]]&gt;=60,"Average","Fast"))</f>
        <v>Average</v>
      </c>
    </row>
    <row r="390" spans="1:31" x14ac:dyDescent="0.25">
      <c r="A390" t="s">
        <v>527</v>
      </c>
      <c r="B390" t="s">
        <v>73</v>
      </c>
      <c r="C390">
        <v>23</v>
      </c>
      <c r="D390">
        <v>84</v>
      </c>
      <c r="E390">
        <v>4</v>
      </c>
      <c r="F390">
        <v>3</v>
      </c>
      <c r="G390">
        <v>21.26</v>
      </c>
      <c r="H390">
        <v>6.72</v>
      </c>
      <c r="I390">
        <v>0.84</v>
      </c>
      <c r="J390" t="s">
        <v>129</v>
      </c>
      <c r="K390" t="s">
        <v>38</v>
      </c>
      <c r="L390">
        <v>170</v>
      </c>
      <c r="M390">
        <v>3.93</v>
      </c>
      <c r="N390">
        <v>139.49</v>
      </c>
      <c r="O390">
        <v>1.98</v>
      </c>
      <c r="P390">
        <v>6</v>
      </c>
      <c r="Q390">
        <v>0.94</v>
      </c>
      <c r="R390">
        <v>264</v>
      </c>
      <c r="S390">
        <v>14.83</v>
      </c>
      <c r="T390">
        <v>0.65</v>
      </c>
      <c r="U390" s="1">
        <v>45598</v>
      </c>
      <c r="V390">
        <v>189.13</v>
      </c>
      <c r="W390">
        <v>0.59799999999999998</v>
      </c>
      <c r="X390" t="str">
        <f>IF(WarehouseData[[#This Row],[stock_level]]&lt;=WarehouseData[[#This Row],[reorder_point]],"Low Stock","Sufficient Stock")</f>
        <v>Low Stock</v>
      </c>
      <c r="Y390">
        <f>WarehouseData[[#This Row],[daily_demand]]*WarehouseData[[#This Row],[lead_time_days]]</f>
        <v>63.78</v>
      </c>
      <c r="Z390" t="str">
        <f>IF(WarehouseData[[#This Row],[stock_level]]&lt;=WarehouseData[[#This Row],[Demand During Lead Time]],"At Risk","Safe")</f>
        <v>At Risk</v>
      </c>
      <c r="AA390">
        <f>WarehouseData[[#This Row],[stock_level]]/WarehouseData[[#This Row],[daily_demand]]</f>
        <v>1.0818438381937912</v>
      </c>
      <c r="AB390">
        <f>WarehouseData[[#This Row],[stock_level]]*WarehouseData[[#This Row],[unit_price]]</f>
        <v>3208.2700000000004</v>
      </c>
      <c r="AC390">
        <f>WarehouseData[[#This Row],[stock_level]]*WarehouseData[[#This Row],[holding_cost_per_unit_day]]*30</f>
        <v>1366.2</v>
      </c>
      <c r="AD390" t="str">
        <f>IF(WarehouseData[[#This Row],[order_fulfillment_rate]]&gt;=0.9,"Strong",IF(WarehouseData[[#This Row],[order_fulfillment_rate]]&gt;=0.8,"Moderate","Needs Attention"))</f>
        <v>Strong</v>
      </c>
      <c r="AE390" t="str">
        <f>IF(WarehouseData[[#This Row],[picking_time_seconds]]&gt;120,"Slow",IF(WarehouseData[[#This Row],[picking_time_seconds]]&gt;=60,"Average","Fast"))</f>
        <v>Slow</v>
      </c>
    </row>
    <row r="391" spans="1:31" x14ac:dyDescent="0.25">
      <c r="A391" t="s">
        <v>528</v>
      </c>
      <c r="B391" t="s">
        <v>48</v>
      </c>
      <c r="C391">
        <v>109</v>
      </c>
      <c r="D391">
        <v>23</v>
      </c>
      <c r="E391">
        <v>11</v>
      </c>
      <c r="F391">
        <v>6</v>
      </c>
      <c r="G391">
        <v>23.63</v>
      </c>
      <c r="H391">
        <v>5.51</v>
      </c>
      <c r="I391">
        <v>0.59</v>
      </c>
      <c r="J391" t="s">
        <v>181</v>
      </c>
      <c r="K391" t="s">
        <v>46</v>
      </c>
      <c r="L391">
        <v>143</v>
      </c>
      <c r="M391">
        <v>1.85</v>
      </c>
      <c r="N391">
        <v>96.02</v>
      </c>
      <c r="O391">
        <v>0.32</v>
      </c>
      <c r="P391">
        <v>0</v>
      </c>
      <c r="Q391">
        <v>0.84</v>
      </c>
      <c r="R391">
        <v>954</v>
      </c>
      <c r="S391">
        <v>3.43</v>
      </c>
      <c r="T391">
        <v>0.94</v>
      </c>
      <c r="U391" s="1">
        <v>45537</v>
      </c>
      <c r="V391">
        <v>211.9</v>
      </c>
      <c r="W391">
        <v>0.77</v>
      </c>
      <c r="X391" t="str">
        <f>IF(WarehouseData[[#This Row],[stock_level]]&lt;=WarehouseData[[#This Row],[reorder_point]],"Low Stock","Sufficient Stock")</f>
        <v>Sufficient Stock</v>
      </c>
      <c r="Y391">
        <f>WarehouseData[[#This Row],[daily_demand]]*WarehouseData[[#This Row],[lead_time_days]]</f>
        <v>141.78</v>
      </c>
      <c r="Z391" t="str">
        <f>IF(WarehouseData[[#This Row],[stock_level]]&lt;=WarehouseData[[#This Row],[Demand During Lead Time]],"At Risk","Safe")</f>
        <v>At Risk</v>
      </c>
      <c r="AA391">
        <f>WarehouseData[[#This Row],[stock_level]]/WarehouseData[[#This Row],[daily_demand]]</f>
        <v>4.6127803639441387</v>
      </c>
      <c r="AB391">
        <f>WarehouseData[[#This Row],[stock_level]]*WarehouseData[[#This Row],[unit_price]]</f>
        <v>10466.18</v>
      </c>
      <c r="AC391">
        <f>WarehouseData[[#This Row],[stock_level]]*WarehouseData[[#This Row],[holding_cost_per_unit_day]]*30</f>
        <v>1046.4000000000001</v>
      </c>
      <c r="AD391" t="str">
        <f>IF(WarehouseData[[#This Row],[order_fulfillment_rate]]&gt;=0.9,"Strong",IF(WarehouseData[[#This Row],[order_fulfillment_rate]]&gt;=0.8,"Moderate","Needs Attention"))</f>
        <v>Moderate</v>
      </c>
      <c r="AE391" t="str">
        <f>IF(WarehouseData[[#This Row],[picking_time_seconds]]&gt;120,"Slow",IF(WarehouseData[[#This Row],[picking_time_seconds]]&gt;=60,"Average","Fast"))</f>
        <v>Slow</v>
      </c>
    </row>
    <row r="392" spans="1:31" x14ac:dyDescent="0.25">
      <c r="A392" t="s">
        <v>529</v>
      </c>
      <c r="B392" t="s">
        <v>73</v>
      </c>
      <c r="C392">
        <v>123</v>
      </c>
      <c r="D392">
        <v>75</v>
      </c>
      <c r="E392">
        <v>12</v>
      </c>
      <c r="F392">
        <v>8</v>
      </c>
      <c r="G392">
        <v>13.56</v>
      </c>
      <c r="H392">
        <v>2.68</v>
      </c>
      <c r="I392">
        <v>0.37</v>
      </c>
      <c r="J392" t="s">
        <v>183</v>
      </c>
      <c r="K392" t="s">
        <v>38</v>
      </c>
      <c r="L392">
        <v>34</v>
      </c>
      <c r="M392">
        <v>2.34</v>
      </c>
      <c r="N392">
        <v>33.479999999999997</v>
      </c>
      <c r="O392">
        <v>0.8</v>
      </c>
      <c r="P392">
        <v>5</v>
      </c>
      <c r="Q392">
        <v>0.75</v>
      </c>
      <c r="R392">
        <v>745</v>
      </c>
      <c r="S392">
        <v>8.64</v>
      </c>
      <c r="T392">
        <v>0.41</v>
      </c>
      <c r="U392" s="1">
        <v>45590</v>
      </c>
      <c r="V392">
        <v>140.79</v>
      </c>
      <c r="W392">
        <v>0.56699999999999995</v>
      </c>
      <c r="X392" t="str">
        <f>IF(WarehouseData[[#This Row],[stock_level]]&lt;=WarehouseData[[#This Row],[reorder_point]],"Low Stock","Sufficient Stock")</f>
        <v>Sufficient Stock</v>
      </c>
      <c r="Y392">
        <f>WarehouseData[[#This Row],[daily_demand]]*WarehouseData[[#This Row],[lead_time_days]]</f>
        <v>108.48</v>
      </c>
      <c r="Z392" t="str">
        <f>IF(WarehouseData[[#This Row],[stock_level]]&lt;=WarehouseData[[#This Row],[Demand During Lead Time]],"At Risk","Safe")</f>
        <v>Safe</v>
      </c>
      <c r="AA392">
        <f>WarehouseData[[#This Row],[stock_level]]/WarehouseData[[#This Row],[daily_demand]]</f>
        <v>9.0707964601769913</v>
      </c>
      <c r="AB392">
        <f>WarehouseData[[#This Row],[stock_level]]*WarehouseData[[#This Row],[unit_price]]</f>
        <v>4118.04</v>
      </c>
      <c r="AC392">
        <f>WarehouseData[[#This Row],[stock_level]]*WarehouseData[[#This Row],[holding_cost_per_unit_day]]*30</f>
        <v>2952</v>
      </c>
      <c r="AD392" t="str">
        <f>IF(WarehouseData[[#This Row],[order_fulfillment_rate]]&gt;=0.9,"Strong",IF(WarehouseData[[#This Row],[order_fulfillment_rate]]&gt;=0.8,"Moderate","Needs Attention"))</f>
        <v>Needs Attention</v>
      </c>
      <c r="AE392" t="str">
        <f>IF(WarehouseData[[#This Row],[picking_time_seconds]]&gt;120,"Slow",IF(WarehouseData[[#This Row],[picking_time_seconds]]&gt;=60,"Average","Fast"))</f>
        <v>Fast</v>
      </c>
    </row>
    <row r="393" spans="1:31" x14ac:dyDescent="0.25">
      <c r="A393" t="s">
        <v>530</v>
      </c>
      <c r="B393" t="s">
        <v>36</v>
      </c>
      <c r="C393">
        <v>412</v>
      </c>
      <c r="D393">
        <v>49</v>
      </c>
      <c r="E393">
        <v>6</v>
      </c>
      <c r="F393">
        <v>4</v>
      </c>
      <c r="G393">
        <v>36.659999999999997</v>
      </c>
      <c r="H393">
        <v>2.41</v>
      </c>
      <c r="I393">
        <v>0.49</v>
      </c>
      <c r="J393" t="s">
        <v>88</v>
      </c>
      <c r="K393" t="s">
        <v>52</v>
      </c>
      <c r="L393">
        <v>160</v>
      </c>
      <c r="M393">
        <v>3.04</v>
      </c>
      <c r="N393">
        <v>133.07</v>
      </c>
      <c r="O393">
        <v>1.63</v>
      </c>
      <c r="P393">
        <v>3</v>
      </c>
      <c r="Q393">
        <v>0.78</v>
      </c>
      <c r="R393">
        <v>266</v>
      </c>
      <c r="S393">
        <v>2.54</v>
      </c>
      <c r="T393">
        <v>0.5</v>
      </c>
      <c r="U393" s="1">
        <v>45497</v>
      </c>
      <c r="V393">
        <v>109.51</v>
      </c>
      <c r="W393">
        <v>0.46700000000000003</v>
      </c>
      <c r="X393" t="str">
        <f>IF(WarehouseData[[#This Row],[stock_level]]&lt;=WarehouseData[[#This Row],[reorder_point]],"Low Stock","Sufficient Stock")</f>
        <v>Sufficient Stock</v>
      </c>
      <c r="Y393">
        <f>WarehouseData[[#This Row],[daily_demand]]*WarehouseData[[#This Row],[lead_time_days]]</f>
        <v>146.63999999999999</v>
      </c>
      <c r="Z393" t="str">
        <f>IF(WarehouseData[[#This Row],[stock_level]]&lt;=WarehouseData[[#This Row],[Demand During Lead Time]],"At Risk","Safe")</f>
        <v>Safe</v>
      </c>
      <c r="AA393">
        <f>WarehouseData[[#This Row],[stock_level]]/WarehouseData[[#This Row],[daily_demand]]</f>
        <v>11.238406983087835</v>
      </c>
      <c r="AB393">
        <f>WarehouseData[[#This Row],[stock_level]]*WarehouseData[[#This Row],[unit_price]]</f>
        <v>54824.84</v>
      </c>
      <c r="AC393">
        <f>WarehouseData[[#This Row],[stock_level]]*WarehouseData[[#This Row],[holding_cost_per_unit_day]]*30</f>
        <v>20146.8</v>
      </c>
      <c r="AD393" t="str">
        <f>IF(WarehouseData[[#This Row],[order_fulfillment_rate]]&gt;=0.9,"Strong",IF(WarehouseData[[#This Row],[order_fulfillment_rate]]&gt;=0.8,"Moderate","Needs Attention"))</f>
        <v>Needs Attention</v>
      </c>
      <c r="AE393" t="str">
        <f>IF(WarehouseData[[#This Row],[picking_time_seconds]]&gt;120,"Slow",IF(WarehouseData[[#This Row],[picking_time_seconds]]&gt;=60,"Average","Fast"))</f>
        <v>Slow</v>
      </c>
    </row>
    <row r="394" spans="1:31" x14ac:dyDescent="0.25">
      <c r="A394" t="s">
        <v>531</v>
      </c>
      <c r="B394" t="s">
        <v>36</v>
      </c>
      <c r="C394">
        <v>138</v>
      </c>
      <c r="D394">
        <v>12</v>
      </c>
      <c r="E394">
        <v>6</v>
      </c>
      <c r="F394">
        <v>3</v>
      </c>
      <c r="G394">
        <v>4.5999999999999996</v>
      </c>
      <c r="H394">
        <v>9.1199999999999992</v>
      </c>
      <c r="I394">
        <v>0.16</v>
      </c>
      <c r="J394" t="s">
        <v>221</v>
      </c>
      <c r="K394" t="s">
        <v>34</v>
      </c>
      <c r="L394">
        <v>97</v>
      </c>
      <c r="M394">
        <v>2.1800000000000002</v>
      </c>
      <c r="N394">
        <v>115.85</v>
      </c>
      <c r="O394">
        <v>0.26</v>
      </c>
      <c r="P394">
        <v>2</v>
      </c>
      <c r="Q394">
        <v>0.83</v>
      </c>
      <c r="R394">
        <v>538</v>
      </c>
      <c r="S394">
        <v>8.34</v>
      </c>
      <c r="T394">
        <v>0.91</v>
      </c>
      <c r="U394" s="1">
        <v>45565</v>
      </c>
      <c r="V394">
        <v>242.12</v>
      </c>
      <c r="W394">
        <v>0.79300000000000004</v>
      </c>
      <c r="X394" t="str">
        <f>IF(WarehouseData[[#This Row],[stock_level]]&lt;=WarehouseData[[#This Row],[reorder_point]],"Low Stock","Sufficient Stock")</f>
        <v>Sufficient Stock</v>
      </c>
      <c r="Y394">
        <f>WarehouseData[[#This Row],[daily_demand]]*WarehouseData[[#This Row],[lead_time_days]]</f>
        <v>13.799999999999999</v>
      </c>
      <c r="Z394" t="str">
        <f>IF(WarehouseData[[#This Row],[stock_level]]&lt;=WarehouseData[[#This Row],[Demand During Lead Time]],"At Risk","Safe")</f>
        <v>Safe</v>
      </c>
      <c r="AA394">
        <f>WarehouseData[[#This Row],[stock_level]]/WarehouseData[[#This Row],[daily_demand]]</f>
        <v>30.000000000000004</v>
      </c>
      <c r="AB394">
        <f>WarehouseData[[#This Row],[stock_level]]*WarehouseData[[#This Row],[unit_price]]</f>
        <v>15987.3</v>
      </c>
      <c r="AC394">
        <f>WarehouseData[[#This Row],[stock_level]]*WarehouseData[[#This Row],[holding_cost_per_unit_day]]*30</f>
        <v>1076.4000000000001</v>
      </c>
      <c r="AD394" t="str">
        <f>IF(WarehouseData[[#This Row],[order_fulfillment_rate]]&gt;=0.9,"Strong",IF(WarehouseData[[#This Row],[order_fulfillment_rate]]&gt;=0.8,"Moderate","Needs Attention"))</f>
        <v>Moderate</v>
      </c>
      <c r="AE394" t="str">
        <f>IF(WarehouseData[[#This Row],[picking_time_seconds]]&gt;120,"Slow",IF(WarehouseData[[#This Row],[picking_time_seconds]]&gt;=60,"Average","Fast"))</f>
        <v>Average</v>
      </c>
    </row>
    <row r="395" spans="1:31" x14ac:dyDescent="0.25">
      <c r="A395" t="s">
        <v>532</v>
      </c>
      <c r="B395" t="s">
        <v>73</v>
      </c>
      <c r="C395">
        <v>152</v>
      </c>
      <c r="D395">
        <v>33</v>
      </c>
      <c r="E395">
        <v>7</v>
      </c>
      <c r="F395">
        <v>4</v>
      </c>
      <c r="G395">
        <v>11.91</v>
      </c>
      <c r="H395">
        <v>3.01</v>
      </c>
      <c r="I395">
        <v>0.95</v>
      </c>
      <c r="J395" t="s">
        <v>340</v>
      </c>
      <c r="K395" t="s">
        <v>52</v>
      </c>
      <c r="L395">
        <v>110</v>
      </c>
      <c r="M395">
        <v>3.99</v>
      </c>
      <c r="N395">
        <v>82.44</v>
      </c>
      <c r="O395">
        <v>1.1299999999999999</v>
      </c>
      <c r="P395">
        <v>0</v>
      </c>
      <c r="Q395">
        <v>0.81</v>
      </c>
      <c r="R395">
        <v>200</v>
      </c>
      <c r="S395">
        <v>13.46</v>
      </c>
      <c r="T395">
        <v>0.92</v>
      </c>
      <c r="U395" s="1">
        <v>45551</v>
      </c>
      <c r="V395">
        <v>250.21</v>
      </c>
      <c r="W395">
        <v>0.81200000000000006</v>
      </c>
      <c r="X395" t="str">
        <f>IF(WarehouseData[[#This Row],[stock_level]]&lt;=WarehouseData[[#This Row],[reorder_point]],"Low Stock","Sufficient Stock")</f>
        <v>Sufficient Stock</v>
      </c>
      <c r="Y395">
        <f>WarehouseData[[#This Row],[daily_demand]]*WarehouseData[[#This Row],[lead_time_days]]</f>
        <v>47.64</v>
      </c>
      <c r="Z395" t="str">
        <f>IF(WarehouseData[[#This Row],[stock_level]]&lt;=WarehouseData[[#This Row],[Demand During Lead Time]],"At Risk","Safe")</f>
        <v>Safe</v>
      </c>
      <c r="AA395">
        <f>WarehouseData[[#This Row],[stock_level]]/WarehouseData[[#This Row],[daily_demand]]</f>
        <v>12.762384550797648</v>
      </c>
      <c r="AB395">
        <f>WarehouseData[[#This Row],[stock_level]]*WarehouseData[[#This Row],[unit_price]]</f>
        <v>12530.88</v>
      </c>
      <c r="AC395">
        <f>WarehouseData[[#This Row],[stock_level]]*WarehouseData[[#This Row],[holding_cost_per_unit_day]]*30</f>
        <v>5152.7999999999993</v>
      </c>
      <c r="AD395" t="str">
        <f>IF(WarehouseData[[#This Row],[order_fulfillment_rate]]&gt;=0.9,"Strong",IF(WarehouseData[[#This Row],[order_fulfillment_rate]]&gt;=0.8,"Moderate","Needs Attention"))</f>
        <v>Moderate</v>
      </c>
      <c r="AE395" t="str">
        <f>IF(WarehouseData[[#This Row],[picking_time_seconds]]&gt;120,"Slow",IF(WarehouseData[[#This Row],[picking_time_seconds]]&gt;=60,"Average","Fast"))</f>
        <v>Average</v>
      </c>
    </row>
    <row r="396" spans="1:31" x14ac:dyDescent="0.25">
      <c r="A396" t="s">
        <v>533</v>
      </c>
      <c r="B396" t="s">
        <v>36</v>
      </c>
      <c r="C396">
        <v>331</v>
      </c>
      <c r="D396">
        <v>28</v>
      </c>
      <c r="E396">
        <v>10</v>
      </c>
      <c r="F396">
        <v>4</v>
      </c>
      <c r="G396">
        <v>37.68</v>
      </c>
      <c r="H396">
        <v>3.17</v>
      </c>
      <c r="I396">
        <v>0.66</v>
      </c>
      <c r="J396" t="s">
        <v>129</v>
      </c>
      <c r="K396" t="s">
        <v>52</v>
      </c>
      <c r="L396">
        <v>35</v>
      </c>
      <c r="M396">
        <v>4.4800000000000004</v>
      </c>
      <c r="N396">
        <v>72.709999999999994</v>
      </c>
      <c r="O396">
        <v>1.73</v>
      </c>
      <c r="P396">
        <v>5</v>
      </c>
      <c r="Q396">
        <v>0.8</v>
      </c>
      <c r="R396">
        <v>423</v>
      </c>
      <c r="S396">
        <v>2.5299999999999998</v>
      </c>
      <c r="T396">
        <v>0.39</v>
      </c>
      <c r="U396" s="1">
        <v>45646</v>
      </c>
      <c r="V396">
        <v>54.65</v>
      </c>
      <c r="W396">
        <v>0.39900000000000002</v>
      </c>
      <c r="X396" t="str">
        <f>IF(WarehouseData[[#This Row],[stock_level]]&lt;=WarehouseData[[#This Row],[reorder_point]],"Low Stock","Sufficient Stock")</f>
        <v>Sufficient Stock</v>
      </c>
      <c r="Y396">
        <f>WarehouseData[[#This Row],[daily_demand]]*WarehouseData[[#This Row],[lead_time_days]]</f>
        <v>150.72</v>
      </c>
      <c r="Z396" t="str">
        <f>IF(WarehouseData[[#This Row],[stock_level]]&lt;=WarehouseData[[#This Row],[Demand During Lead Time]],"At Risk","Safe")</f>
        <v>Safe</v>
      </c>
      <c r="AA396">
        <f>WarehouseData[[#This Row],[stock_level]]/WarehouseData[[#This Row],[daily_demand]]</f>
        <v>8.7845010615711256</v>
      </c>
      <c r="AB396">
        <f>WarehouseData[[#This Row],[stock_level]]*WarehouseData[[#This Row],[unit_price]]</f>
        <v>24067.01</v>
      </c>
      <c r="AC396">
        <f>WarehouseData[[#This Row],[stock_level]]*WarehouseData[[#This Row],[holding_cost_per_unit_day]]*30</f>
        <v>17178.900000000001</v>
      </c>
      <c r="AD396" t="str">
        <f>IF(WarehouseData[[#This Row],[order_fulfillment_rate]]&gt;=0.9,"Strong",IF(WarehouseData[[#This Row],[order_fulfillment_rate]]&gt;=0.8,"Moderate","Needs Attention"))</f>
        <v>Moderate</v>
      </c>
      <c r="AE396" t="str">
        <f>IF(WarehouseData[[#This Row],[picking_time_seconds]]&gt;120,"Slow",IF(WarehouseData[[#This Row],[picking_time_seconds]]&gt;=60,"Average","Fast"))</f>
        <v>Fast</v>
      </c>
    </row>
    <row r="397" spans="1:31" x14ac:dyDescent="0.25">
      <c r="A397" t="s">
        <v>534</v>
      </c>
      <c r="B397" t="s">
        <v>36</v>
      </c>
      <c r="C397">
        <v>115</v>
      </c>
      <c r="D397">
        <v>27</v>
      </c>
      <c r="E397">
        <v>12</v>
      </c>
      <c r="F397">
        <v>4</v>
      </c>
      <c r="G397">
        <v>22.42</v>
      </c>
      <c r="H397">
        <v>4.42</v>
      </c>
      <c r="I397">
        <v>0.76</v>
      </c>
      <c r="J397" t="s">
        <v>236</v>
      </c>
      <c r="K397" t="s">
        <v>46</v>
      </c>
      <c r="L397">
        <v>141</v>
      </c>
      <c r="M397">
        <v>0.77</v>
      </c>
      <c r="N397">
        <v>44.8</v>
      </c>
      <c r="O397">
        <v>0.14000000000000001</v>
      </c>
      <c r="P397">
        <v>6</v>
      </c>
      <c r="Q397">
        <v>0.74</v>
      </c>
      <c r="R397">
        <v>819</v>
      </c>
      <c r="S397">
        <v>4.78</v>
      </c>
      <c r="T397">
        <v>0.77</v>
      </c>
      <c r="U397" s="1">
        <v>45506</v>
      </c>
      <c r="V397">
        <v>286.48</v>
      </c>
      <c r="W397">
        <v>0.63200000000000001</v>
      </c>
      <c r="X397" t="str">
        <f>IF(WarehouseData[[#This Row],[stock_level]]&lt;=WarehouseData[[#This Row],[reorder_point]],"Low Stock","Sufficient Stock")</f>
        <v>Sufficient Stock</v>
      </c>
      <c r="Y397">
        <f>WarehouseData[[#This Row],[daily_demand]]*WarehouseData[[#This Row],[lead_time_days]]</f>
        <v>89.68</v>
      </c>
      <c r="Z397" t="str">
        <f>IF(WarehouseData[[#This Row],[stock_level]]&lt;=WarehouseData[[#This Row],[Demand During Lead Time]],"At Risk","Safe")</f>
        <v>Safe</v>
      </c>
      <c r="AA397">
        <f>WarehouseData[[#This Row],[stock_level]]/WarehouseData[[#This Row],[daily_demand]]</f>
        <v>5.1293487957181085</v>
      </c>
      <c r="AB397">
        <f>WarehouseData[[#This Row],[stock_level]]*WarehouseData[[#This Row],[unit_price]]</f>
        <v>5152</v>
      </c>
      <c r="AC397">
        <f>WarehouseData[[#This Row],[stock_level]]*WarehouseData[[#This Row],[holding_cost_per_unit_day]]*30</f>
        <v>483.00000000000006</v>
      </c>
      <c r="AD397" t="str">
        <f>IF(WarehouseData[[#This Row],[order_fulfillment_rate]]&gt;=0.9,"Strong",IF(WarehouseData[[#This Row],[order_fulfillment_rate]]&gt;=0.8,"Moderate","Needs Attention"))</f>
        <v>Needs Attention</v>
      </c>
      <c r="AE397" t="str">
        <f>IF(WarehouseData[[#This Row],[picking_time_seconds]]&gt;120,"Slow",IF(WarehouseData[[#This Row],[picking_time_seconds]]&gt;=60,"Average","Fast"))</f>
        <v>Slow</v>
      </c>
    </row>
    <row r="398" spans="1:31" x14ac:dyDescent="0.25">
      <c r="A398" t="s">
        <v>535</v>
      </c>
      <c r="B398" t="s">
        <v>36</v>
      </c>
      <c r="C398">
        <v>487</v>
      </c>
      <c r="D398">
        <v>73</v>
      </c>
      <c r="E398">
        <v>6</v>
      </c>
      <c r="F398">
        <v>8</v>
      </c>
      <c r="G398">
        <v>35.56</v>
      </c>
      <c r="H398">
        <v>1.82</v>
      </c>
      <c r="I398">
        <v>0.71</v>
      </c>
      <c r="J398" t="s">
        <v>353</v>
      </c>
      <c r="K398" t="s">
        <v>46</v>
      </c>
      <c r="L398">
        <v>111</v>
      </c>
      <c r="M398">
        <v>3.36</v>
      </c>
      <c r="N398">
        <v>37.799999999999997</v>
      </c>
      <c r="O398">
        <v>1.89</v>
      </c>
      <c r="P398">
        <v>0</v>
      </c>
      <c r="Q398">
        <v>0.97</v>
      </c>
      <c r="R398">
        <v>862</v>
      </c>
      <c r="S398">
        <v>10.55</v>
      </c>
      <c r="T398">
        <v>0.53</v>
      </c>
      <c r="U398" s="1">
        <v>45570</v>
      </c>
      <c r="V398">
        <v>279.68</v>
      </c>
      <c r="W398">
        <v>0.65200000000000002</v>
      </c>
      <c r="X398" t="str">
        <f>IF(WarehouseData[[#This Row],[stock_level]]&lt;=WarehouseData[[#This Row],[reorder_point]],"Low Stock","Sufficient Stock")</f>
        <v>Sufficient Stock</v>
      </c>
      <c r="Y398">
        <f>WarehouseData[[#This Row],[daily_demand]]*WarehouseData[[#This Row],[lead_time_days]]</f>
        <v>284.48</v>
      </c>
      <c r="Z398" t="str">
        <f>IF(WarehouseData[[#This Row],[stock_level]]&lt;=WarehouseData[[#This Row],[Demand During Lead Time]],"At Risk","Safe")</f>
        <v>Safe</v>
      </c>
      <c r="AA398">
        <f>WarehouseData[[#This Row],[stock_level]]/WarehouseData[[#This Row],[daily_demand]]</f>
        <v>13.695163104611922</v>
      </c>
      <c r="AB398">
        <f>WarehouseData[[#This Row],[stock_level]]*WarehouseData[[#This Row],[unit_price]]</f>
        <v>18408.599999999999</v>
      </c>
      <c r="AC398">
        <f>WarehouseData[[#This Row],[stock_level]]*WarehouseData[[#This Row],[holding_cost_per_unit_day]]*30</f>
        <v>27612.899999999998</v>
      </c>
      <c r="AD398" t="str">
        <f>IF(WarehouseData[[#This Row],[order_fulfillment_rate]]&gt;=0.9,"Strong",IF(WarehouseData[[#This Row],[order_fulfillment_rate]]&gt;=0.8,"Moderate","Needs Attention"))</f>
        <v>Strong</v>
      </c>
      <c r="AE398" t="str">
        <f>IF(WarehouseData[[#This Row],[picking_time_seconds]]&gt;120,"Slow",IF(WarehouseData[[#This Row],[picking_time_seconds]]&gt;=60,"Average","Fast"))</f>
        <v>Average</v>
      </c>
    </row>
    <row r="399" spans="1:31" x14ac:dyDescent="0.25">
      <c r="A399" t="s">
        <v>536</v>
      </c>
      <c r="B399" t="s">
        <v>40</v>
      </c>
      <c r="C399">
        <v>453</v>
      </c>
      <c r="D399">
        <v>97</v>
      </c>
      <c r="E399">
        <v>7</v>
      </c>
      <c r="F399">
        <v>3</v>
      </c>
      <c r="G399">
        <v>28.81</v>
      </c>
      <c r="H399">
        <v>5.32</v>
      </c>
      <c r="I399">
        <v>0.7</v>
      </c>
      <c r="J399" t="s">
        <v>183</v>
      </c>
      <c r="K399" t="s">
        <v>34</v>
      </c>
      <c r="L399">
        <v>172</v>
      </c>
      <c r="M399">
        <v>1.93</v>
      </c>
      <c r="N399">
        <v>74.37</v>
      </c>
      <c r="O399">
        <v>1.96</v>
      </c>
      <c r="P399">
        <v>0</v>
      </c>
      <c r="Q399">
        <v>0.71</v>
      </c>
      <c r="R399">
        <v>680</v>
      </c>
      <c r="S399">
        <v>2.0699999999999998</v>
      </c>
      <c r="T399">
        <v>0.95</v>
      </c>
      <c r="U399" s="1">
        <v>45310</v>
      </c>
      <c r="V399">
        <v>262.55</v>
      </c>
      <c r="W399">
        <v>0.56399999999999995</v>
      </c>
      <c r="X399" t="str">
        <f>IF(WarehouseData[[#This Row],[stock_level]]&lt;=WarehouseData[[#This Row],[reorder_point]],"Low Stock","Sufficient Stock")</f>
        <v>Sufficient Stock</v>
      </c>
      <c r="Y399">
        <f>WarehouseData[[#This Row],[daily_demand]]*WarehouseData[[#This Row],[lead_time_days]]</f>
        <v>86.429999999999993</v>
      </c>
      <c r="Z399" t="str">
        <f>IF(WarehouseData[[#This Row],[stock_level]]&lt;=WarehouseData[[#This Row],[Demand During Lead Time]],"At Risk","Safe")</f>
        <v>Safe</v>
      </c>
      <c r="AA399">
        <f>WarehouseData[[#This Row],[stock_level]]/WarehouseData[[#This Row],[daily_demand]]</f>
        <v>15.723707046164527</v>
      </c>
      <c r="AB399">
        <f>WarehouseData[[#This Row],[stock_level]]*WarehouseData[[#This Row],[unit_price]]</f>
        <v>33689.61</v>
      </c>
      <c r="AC399">
        <f>WarehouseData[[#This Row],[stock_level]]*WarehouseData[[#This Row],[holding_cost_per_unit_day]]*30</f>
        <v>26636.400000000001</v>
      </c>
      <c r="AD399" t="str">
        <f>IF(WarehouseData[[#This Row],[order_fulfillment_rate]]&gt;=0.9,"Strong",IF(WarehouseData[[#This Row],[order_fulfillment_rate]]&gt;=0.8,"Moderate","Needs Attention"))</f>
        <v>Needs Attention</v>
      </c>
      <c r="AE399" t="str">
        <f>IF(WarehouseData[[#This Row],[picking_time_seconds]]&gt;120,"Slow",IF(WarehouseData[[#This Row],[picking_time_seconds]]&gt;=60,"Average","Fast"))</f>
        <v>Slow</v>
      </c>
    </row>
    <row r="400" spans="1:31" x14ac:dyDescent="0.25">
      <c r="A400" t="s">
        <v>537</v>
      </c>
      <c r="B400" t="s">
        <v>32</v>
      </c>
      <c r="C400">
        <v>350</v>
      </c>
      <c r="D400">
        <v>44</v>
      </c>
      <c r="E400">
        <v>14</v>
      </c>
      <c r="F400">
        <v>8</v>
      </c>
      <c r="G400">
        <v>47.58</v>
      </c>
      <c r="H400">
        <v>6.82</v>
      </c>
      <c r="I400">
        <v>0.12</v>
      </c>
      <c r="J400" t="s">
        <v>190</v>
      </c>
      <c r="K400" t="s">
        <v>34</v>
      </c>
      <c r="L400">
        <v>109</v>
      </c>
      <c r="M400">
        <v>3.12</v>
      </c>
      <c r="N400">
        <v>17.91</v>
      </c>
      <c r="O400">
        <v>0.71</v>
      </c>
      <c r="P400">
        <v>6</v>
      </c>
      <c r="Q400">
        <v>0.83</v>
      </c>
      <c r="R400">
        <v>498</v>
      </c>
      <c r="S400">
        <v>7.36</v>
      </c>
      <c r="T400">
        <v>0.79</v>
      </c>
      <c r="U400" s="1">
        <v>45476</v>
      </c>
      <c r="V400">
        <v>132.57</v>
      </c>
      <c r="W400">
        <v>0.63100000000000001</v>
      </c>
      <c r="X400" t="str">
        <f>IF(WarehouseData[[#This Row],[stock_level]]&lt;=WarehouseData[[#This Row],[reorder_point]],"Low Stock","Sufficient Stock")</f>
        <v>Sufficient Stock</v>
      </c>
      <c r="Y400">
        <f>WarehouseData[[#This Row],[daily_demand]]*WarehouseData[[#This Row],[lead_time_days]]</f>
        <v>380.64</v>
      </c>
      <c r="Z400" t="str">
        <f>IF(WarehouseData[[#This Row],[stock_level]]&lt;=WarehouseData[[#This Row],[Demand During Lead Time]],"At Risk","Safe")</f>
        <v>At Risk</v>
      </c>
      <c r="AA400">
        <f>WarehouseData[[#This Row],[stock_level]]/WarehouseData[[#This Row],[daily_demand]]</f>
        <v>7.3560319461958805</v>
      </c>
      <c r="AB400">
        <f>WarehouseData[[#This Row],[stock_level]]*WarehouseData[[#This Row],[unit_price]]</f>
        <v>6268.5</v>
      </c>
      <c r="AC400">
        <f>WarehouseData[[#This Row],[stock_level]]*WarehouseData[[#This Row],[holding_cost_per_unit_day]]*30</f>
        <v>7455</v>
      </c>
      <c r="AD400" t="str">
        <f>IF(WarehouseData[[#This Row],[order_fulfillment_rate]]&gt;=0.9,"Strong",IF(WarehouseData[[#This Row],[order_fulfillment_rate]]&gt;=0.8,"Moderate","Needs Attention"))</f>
        <v>Moderate</v>
      </c>
      <c r="AE400" t="str">
        <f>IF(WarehouseData[[#This Row],[picking_time_seconds]]&gt;120,"Slow",IF(WarehouseData[[#This Row],[picking_time_seconds]]&gt;=60,"Average","Fast"))</f>
        <v>Average</v>
      </c>
    </row>
    <row r="401" spans="1:31" x14ac:dyDescent="0.25">
      <c r="A401" t="s">
        <v>538</v>
      </c>
      <c r="B401" t="s">
        <v>48</v>
      </c>
      <c r="C401">
        <v>162</v>
      </c>
      <c r="D401">
        <v>71</v>
      </c>
      <c r="E401">
        <v>6</v>
      </c>
      <c r="F401">
        <v>8</v>
      </c>
      <c r="G401">
        <v>30.29</v>
      </c>
      <c r="H401">
        <v>7.97</v>
      </c>
      <c r="I401">
        <v>0.56999999999999995</v>
      </c>
      <c r="J401" t="s">
        <v>316</v>
      </c>
      <c r="K401" t="s">
        <v>46</v>
      </c>
      <c r="L401">
        <v>34</v>
      </c>
      <c r="M401">
        <v>2.68</v>
      </c>
      <c r="N401">
        <v>92.96</v>
      </c>
      <c r="O401">
        <v>1.56</v>
      </c>
      <c r="P401">
        <v>5</v>
      </c>
      <c r="Q401">
        <v>0.99</v>
      </c>
      <c r="R401">
        <v>471</v>
      </c>
      <c r="S401">
        <v>5.66</v>
      </c>
      <c r="T401">
        <v>0.6</v>
      </c>
      <c r="U401" s="1">
        <v>45651</v>
      </c>
      <c r="V401">
        <v>254.23</v>
      </c>
      <c r="W401">
        <v>0.53700000000000003</v>
      </c>
      <c r="X401" t="str">
        <f>IF(WarehouseData[[#This Row],[stock_level]]&lt;=WarehouseData[[#This Row],[reorder_point]],"Low Stock","Sufficient Stock")</f>
        <v>Sufficient Stock</v>
      </c>
      <c r="Y401">
        <f>WarehouseData[[#This Row],[daily_demand]]*WarehouseData[[#This Row],[lead_time_days]]</f>
        <v>242.32</v>
      </c>
      <c r="Z401" t="str">
        <f>IF(WarehouseData[[#This Row],[stock_level]]&lt;=WarehouseData[[#This Row],[Demand During Lead Time]],"At Risk","Safe")</f>
        <v>At Risk</v>
      </c>
      <c r="AA401">
        <f>WarehouseData[[#This Row],[stock_level]]/WarehouseData[[#This Row],[daily_demand]]</f>
        <v>5.3482997689006275</v>
      </c>
      <c r="AB401">
        <f>WarehouseData[[#This Row],[stock_level]]*WarehouseData[[#This Row],[unit_price]]</f>
        <v>15059.519999999999</v>
      </c>
      <c r="AC401">
        <f>WarehouseData[[#This Row],[stock_level]]*WarehouseData[[#This Row],[holding_cost_per_unit_day]]*30</f>
        <v>7581.6</v>
      </c>
      <c r="AD401" t="str">
        <f>IF(WarehouseData[[#This Row],[order_fulfillment_rate]]&gt;=0.9,"Strong",IF(WarehouseData[[#This Row],[order_fulfillment_rate]]&gt;=0.8,"Moderate","Needs Attention"))</f>
        <v>Strong</v>
      </c>
      <c r="AE401" t="str">
        <f>IF(WarehouseData[[#This Row],[picking_time_seconds]]&gt;120,"Slow",IF(WarehouseData[[#This Row],[picking_time_seconds]]&gt;=60,"Average","Fast"))</f>
        <v>Fast</v>
      </c>
    </row>
    <row r="402" spans="1:31" x14ac:dyDescent="0.25">
      <c r="A402" t="s">
        <v>539</v>
      </c>
      <c r="B402" t="s">
        <v>40</v>
      </c>
      <c r="C402">
        <v>307</v>
      </c>
      <c r="D402">
        <v>10</v>
      </c>
      <c r="E402">
        <v>8</v>
      </c>
      <c r="F402">
        <v>8</v>
      </c>
      <c r="G402">
        <v>1.73</v>
      </c>
      <c r="H402">
        <v>7.26</v>
      </c>
      <c r="I402">
        <v>0.84</v>
      </c>
      <c r="J402" t="s">
        <v>135</v>
      </c>
      <c r="K402" t="s">
        <v>46</v>
      </c>
      <c r="L402">
        <v>157</v>
      </c>
      <c r="M402">
        <v>2</v>
      </c>
      <c r="N402">
        <v>124.3</v>
      </c>
      <c r="O402">
        <v>0.34</v>
      </c>
      <c r="P402">
        <v>6</v>
      </c>
      <c r="Q402">
        <v>0.9</v>
      </c>
      <c r="R402">
        <v>695</v>
      </c>
      <c r="S402">
        <v>12.73</v>
      </c>
      <c r="T402">
        <v>0.85</v>
      </c>
      <c r="U402" s="1">
        <v>45566</v>
      </c>
      <c r="V402">
        <v>192.14</v>
      </c>
      <c r="W402">
        <v>0.76600000000000001</v>
      </c>
      <c r="X402" t="str">
        <f>IF(WarehouseData[[#This Row],[stock_level]]&lt;=WarehouseData[[#This Row],[reorder_point]],"Low Stock","Sufficient Stock")</f>
        <v>Sufficient Stock</v>
      </c>
      <c r="Y402">
        <f>WarehouseData[[#This Row],[daily_demand]]*WarehouseData[[#This Row],[lead_time_days]]</f>
        <v>13.84</v>
      </c>
      <c r="Z402" t="str">
        <f>IF(WarehouseData[[#This Row],[stock_level]]&lt;=WarehouseData[[#This Row],[Demand During Lead Time]],"At Risk","Safe")</f>
        <v>Safe</v>
      </c>
      <c r="AA402">
        <f>WarehouseData[[#This Row],[stock_level]]/WarehouseData[[#This Row],[daily_demand]]</f>
        <v>177.45664739884393</v>
      </c>
      <c r="AB402">
        <f>WarehouseData[[#This Row],[stock_level]]*WarehouseData[[#This Row],[unit_price]]</f>
        <v>38160.1</v>
      </c>
      <c r="AC402">
        <f>WarehouseData[[#This Row],[stock_level]]*WarehouseData[[#This Row],[holding_cost_per_unit_day]]*30</f>
        <v>3131.4</v>
      </c>
      <c r="AD402" t="str">
        <f>IF(WarehouseData[[#This Row],[order_fulfillment_rate]]&gt;=0.9,"Strong",IF(WarehouseData[[#This Row],[order_fulfillment_rate]]&gt;=0.8,"Moderate","Needs Attention"))</f>
        <v>Strong</v>
      </c>
      <c r="AE402" t="str">
        <f>IF(WarehouseData[[#This Row],[picking_time_seconds]]&gt;120,"Slow",IF(WarehouseData[[#This Row],[picking_time_seconds]]&gt;=60,"Average","Fast"))</f>
        <v>Slow</v>
      </c>
    </row>
    <row r="403" spans="1:31" x14ac:dyDescent="0.25">
      <c r="A403" t="s">
        <v>540</v>
      </c>
      <c r="B403" t="s">
        <v>36</v>
      </c>
      <c r="C403">
        <v>47</v>
      </c>
      <c r="D403">
        <v>34</v>
      </c>
      <c r="E403">
        <v>14</v>
      </c>
      <c r="F403">
        <v>6</v>
      </c>
      <c r="G403">
        <v>18.29</v>
      </c>
      <c r="H403">
        <v>1.9</v>
      </c>
      <c r="I403">
        <v>0.14000000000000001</v>
      </c>
      <c r="J403" t="s">
        <v>221</v>
      </c>
      <c r="K403" t="s">
        <v>46</v>
      </c>
      <c r="L403">
        <v>10</v>
      </c>
      <c r="M403">
        <v>0.93</v>
      </c>
      <c r="N403">
        <v>188.91</v>
      </c>
      <c r="O403">
        <v>1.57</v>
      </c>
      <c r="P403">
        <v>7</v>
      </c>
      <c r="Q403">
        <v>0.81</v>
      </c>
      <c r="R403">
        <v>993</v>
      </c>
      <c r="S403">
        <v>1.69</v>
      </c>
      <c r="T403">
        <v>1</v>
      </c>
      <c r="U403" s="1">
        <v>45596</v>
      </c>
      <c r="V403">
        <v>69.56</v>
      </c>
      <c r="W403">
        <v>0.48799999999999999</v>
      </c>
      <c r="X403" t="str">
        <f>IF(WarehouseData[[#This Row],[stock_level]]&lt;=WarehouseData[[#This Row],[reorder_point]],"Low Stock","Sufficient Stock")</f>
        <v>Sufficient Stock</v>
      </c>
      <c r="Y403">
        <f>WarehouseData[[#This Row],[daily_demand]]*WarehouseData[[#This Row],[lead_time_days]]</f>
        <v>109.74</v>
      </c>
      <c r="Z403" t="str">
        <f>IF(WarehouseData[[#This Row],[stock_level]]&lt;=WarehouseData[[#This Row],[Demand During Lead Time]],"At Risk","Safe")</f>
        <v>At Risk</v>
      </c>
      <c r="AA403">
        <f>WarehouseData[[#This Row],[stock_level]]/WarehouseData[[#This Row],[daily_demand]]</f>
        <v>2.5697102241662111</v>
      </c>
      <c r="AB403">
        <f>WarehouseData[[#This Row],[stock_level]]*WarehouseData[[#This Row],[unit_price]]</f>
        <v>8878.77</v>
      </c>
      <c r="AC403">
        <f>WarehouseData[[#This Row],[stock_level]]*WarehouseData[[#This Row],[holding_cost_per_unit_day]]*30</f>
        <v>2213.7000000000003</v>
      </c>
      <c r="AD403" t="str">
        <f>IF(WarehouseData[[#This Row],[order_fulfillment_rate]]&gt;=0.9,"Strong",IF(WarehouseData[[#This Row],[order_fulfillment_rate]]&gt;=0.8,"Moderate","Needs Attention"))</f>
        <v>Moderate</v>
      </c>
      <c r="AE403" t="str">
        <f>IF(WarehouseData[[#This Row],[picking_time_seconds]]&gt;120,"Slow",IF(WarehouseData[[#This Row],[picking_time_seconds]]&gt;=60,"Average","Fast"))</f>
        <v>Fast</v>
      </c>
    </row>
    <row r="404" spans="1:31" x14ac:dyDescent="0.25">
      <c r="A404" t="s">
        <v>541</v>
      </c>
      <c r="B404" t="s">
        <v>73</v>
      </c>
      <c r="C404">
        <v>297</v>
      </c>
      <c r="D404">
        <v>54</v>
      </c>
      <c r="E404">
        <v>5</v>
      </c>
      <c r="F404">
        <v>7</v>
      </c>
      <c r="G404">
        <v>8.01</v>
      </c>
      <c r="H404">
        <v>4.83</v>
      </c>
      <c r="I404">
        <v>0.96</v>
      </c>
      <c r="J404" t="s">
        <v>263</v>
      </c>
      <c r="K404" t="s">
        <v>46</v>
      </c>
      <c r="L404">
        <v>103</v>
      </c>
      <c r="M404">
        <v>3.02</v>
      </c>
      <c r="N404">
        <v>128.91</v>
      </c>
      <c r="O404">
        <v>1.01</v>
      </c>
      <c r="P404">
        <v>7</v>
      </c>
      <c r="Q404">
        <v>0.74</v>
      </c>
      <c r="R404">
        <v>989</v>
      </c>
      <c r="S404">
        <v>13.09</v>
      </c>
      <c r="T404">
        <v>0.56000000000000005</v>
      </c>
      <c r="U404" s="1">
        <v>45618</v>
      </c>
      <c r="V404">
        <v>234.72</v>
      </c>
      <c r="W404">
        <v>0.59399999999999997</v>
      </c>
      <c r="X404" t="str">
        <f>IF(WarehouseData[[#This Row],[stock_level]]&lt;=WarehouseData[[#This Row],[reorder_point]],"Low Stock","Sufficient Stock")</f>
        <v>Sufficient Stock</v>
      </c>
      <c r="Y404">
        <f>WarehouseData[[#This Row],[daily_demand]]*WarehouseData[[#This Row],[lead_time_days]]</f>
        <v>56.07</v>
      </c>
      <c r="Z404" t="str">
        <f>IF(WarehouseData[[#This Row],[stock_level]]&lt;=WarehouseData[[#This Row],[Demand During Lead Time]],"At Risk","Safe")</f>
        <v>Safe</v>
      </c>
      <c r="AA404">
        <f>WarehouseData[[#This Row],[stock_level]]/WarehouseData[[#This Row],[daily_demand]]</f>
        <v>37.078651685393261</v>
      </c>
      <c r="AB404">
        <f>WarehouseData[[#This Row],[stock_level]]*WarehouseData[[#This Row],[unit_price]]</f>
        <v>38286.269999999997</v>
      </c>
      <c r="AC404">
        <f>WarehouseData[[#This Row],[stock_level]]*WarehouseData[[#This Row],[holding_cost_per_unit_day]]*30</f>
        <v>8999.1</v>
      </c>
      <c r="AD404" t="str">
        <f>IF(WarehouseData[[#This Row],[order_fulfillment_rate]]&gt;=0.9,"Strong",IF(WarehouseData[[#This Row],[order_fulfillment_rate]]&gt;=0.8,"Moderate","Needs Attention"))</f>
        <v>Needs Attention</v>
      </c>
      <c r="AE404" t="str">
        <f>IF(WarehouseData[[#This Row],[picking_time_seconds]]&gt;120,"Slow",IF(WarehouseData[[#This Row],[picking_time_seconds]]&gt;=60,"Average","Fast"))</f>
        <v>Average</v>
      </c>
    </row>
    <row r="405" spans="1:31" x14ac:dyDescent="0.25">
      <c r="A405" t="s">
        <v>542</v>
      </c>
      <c r="B405" t="s">
        <v>36</v>
      </c>
      <c r="C405">
        <v>252</v>
      </c>
      <c r="D405">
        <v>58</v>
      </c>
      <c r="E405">
        <v>10</v>
      </c>
      <c r="F405">
        <v>2</v>
      </c>
      <c r="G405">
        <v>46.31</v>
      </c>
      <c r="H405">
        <v>0.87</v>
      </c>
      <c r="I405">
        <v>0.48</v>
      </c>
      <c r="J405" t="s">
        <v>192</v>
      </c>
      <c r="K405" t="s">
        <v>34</v>
      </c>
      <c r="L405">
        <v>77</v>
      </c>
      <c r="M405">
        <v>1.01</v>
      </c>
      <c r="N405">
        <v>128.57</v>
      </c>
      <c r="O405">
        <v>1.73</v>
      </c>
      <c r="P405">
        <v>8</v>
      </c>
      <c r="Q405">
        <v>0.99</v>
      </c>
      <c r="R405">
        <v>256</v>
      </c>
      <c r="S405">
        <v>10.85</v>
      </c>
      <c r="T405">
        <v>0.5</v>
      </c>
      <c r="U405" s="1">
        <v>45335</v>
      </c>
      <c r="V405">
        <v>127.77</v>
      </c>
      <c r="W405">
        <v>0.51</v>
      </c>
      <c r="X405" t="str">
        <f>IF(WarehouseData[[#This Row],[stock_level]]&lt;=WarehouseData[[#This Row],[reorder_point]],"Low Stock","Sufficient Stock")</f>
        <v>Sufficient Stock</v>
      </c>
      <c r="Y405">
        <f>WarehouseData[[#This Row],[daily_demand]]*WarehouseData[[#This Row],[lead_time_days]]</f>
        <v>92.62</v>
      </c>
      <c r="Z405" t="str">
        <f>IF(WarehouseData[[#This Row],[stock_level]]&lt;=WarehouseData[[#This Row],[Demand During Lead Time]],"At Risk","Safe")</f>
        <v>Safe</v>
      </c>
      <c r="AA405">
        <f>WarehouseData[[#This Row],[stock_level]]/WarehouseData[[#This Row],[daily_demand]]</f>
        <v>5.4415892895702873</v>
      </c>
      <c r="AB405">
        <f>WarehouseData[[#This Row],[stock_level]]*WarehouseData[[#This Row],[unit_price]]</f>
        <v>32399.64</v>
      </c>
      <c r="AC405">
        <f>WarehouseData[[#This Row],[stock_level]]*WarehouseData[[#This Row],[holding_cost_per_unit_day]]*30</f>
        <v>13078.8</v>
      </c>
      <c r="AD405" t="str">
        <f>IF(WarehouseData[[#This Row],[order_fulfillment_rate]]&gt;=0.9,"Strong",IF(WarehouseData[[#This Row],[order_fulfillment_rate]]&gt;=0.8,"Moderate","Needs Attention"))</f>
        <v>Strong</v>
      </c>
      <c r="AE405" t="str">
        <f>IF(WarehouseData[[#This Row],[picking_time_seconds]]&gt;120,"Slow",IF(WarehouseData[[#This Row],[picking_time_seconds]]&gt;=60,"Average","Fast"))</f>
        <v>Average</v>
      </c>
    </row>
    <row r="406" spans="1:31" x14ac:dyDescent="0.25">
      <c r="A406" t="s">
        <v>543</v>
      </c>
      <c r="B406" t="s">
        <v>32</v>
      </c>
      <c r="C406">
        <v>36</v>
      </c>
      <c r="D406">
        <v>98</v>
      </c>
      <c r="E406">
        <v>8</v>
      </c>
      <c r="F406">
        <v>6</v>
      </c>
      <c r="G406">
        <v>6.1</v>
      </c>
      <c r="H406">
        <v>0.67</v>
      </c>
      <c r="I406">
        <v>0.36</v>
      </c>
      <c r="J406" t="s">
        <v>286</v>
      </c>
      <c r="K406" t="s">
        <v>34</v>
      </c>
      <c r="L406">
        <v>32</v>
      </c>
      <c r="M406">
        <v>1.2</v>
      </c>
      <c r="N406">
        <v>81.14</v>
      </c>
      <c r="O406">
        <v>0.5</v>
      </c>
      <c r="P406">
        <v>8</v>
      </c>
      <c r="Q406">
        <v>0.7</v>
      </c>
      <c r="R406">
        <v>824</v>
      </c>
      <c r="S406">
        <v>5.16</v>
      </c>
      <c r="T406">
        <v>0.69</v>
      </c>
      <c r="U406" s="1">
        <v>45347</v>
      </c>
      <c r="V406">
        <v>94.73</v>
      </c>
      <c r="W406">
        <v>0.53700000000000003</v>
      </c>
      <c r="X406" t="str">
        <f>IF(WarehouseData[[#This Row],[stock_level]]&lt;=WarehouseData[[#This Row],[reorder_point]],"Low Stock","Sufficient Stock")</f>
        <v>Low Stock</v>
      </c>
      <c r="Y406">
        <f>WarehouseData[[#This Row],[daily_demand]]*WarehouseData[[#This Row],[lead_time_days]]</f>
        <v>36.599999999999994</v>
      </c>
      <c r="Z406" t="str">
        <f>IF(WarehouseData[[#This Row],[stock_level]]&lt;=WarehouseData[[#This Row],[Demand During Lead Time]],"At Risk","Safe")</f>
        <v>At Risk</v>
      </c>
      <c r="AA406">
        <f>WarehouseData[[#This Row],[stock_level]]/WarehouseData[[#This Row],[daily_demand]]</f>
        <v>5.9016393442622954</v>
      </c>
      <c r="AB406">
        <f>WarehouseData[[#This Row],[stock_level]]*WarehouseData[[#This Row],[unit_price]]</f>
        <v>2921.04</v>
      </c>
      <c r="AC406">
        <f>WarehouseData[[#This Row],[stock_level]]*WarehouseData[[#This Row],[holding_cost_per_unit_day]]*30</f>
        <v>540</v>
      </c>
      <c r="AD406" t="str">
        <f>IF(WarehouseData[[#This Row],[order_fulfillment_rate]]&gt;=0.9,"Strong",IF(WarehouseData[[#This Row],[order_fulfillment_rate]]&gt;=0.8,"Moderate","Needs Attention"))</f>
        <v>Needs Attention</v>
      </c>
      <c r="AE406" t="str">
        <f>IF(WarehouseData[[#This Row],[picking_time_seconds]]&gt;120,"Slow",IF(WarehouseData[[#This Row],[picking_time_seconds]]&gt;=60,"Average","Fast"))</f>
        <v>Fast</v>
      </c>
    </row>
    <row r="407" spans="1:31" x14ac:dyDescent="0.25">
      <c r="A407" t="s">
        <v>544</v>
      </c>
      <c r="B407" t="s">
        <v>36</v>
      </c>
      <c r="C407">
        <v>78</v>
      </c>
      <c r="D407">
        <v>25</v>
      </c>
      <c r="E407">
        <v>12</v>
      </c>
      <c r="F407">
        <v>3</v>
      </c>
      <c r="G407">
        <v>20</v>
      </c>
      <c r="H407">
        <v>4.68</v>
      </c>
      <c r="I407">
        <v>0.57999999999999996</v>
      </c>
      <c r="J407" t="s">
        <v>135</v>
      </c>
      <c r="K407" t="s">
        <v>52</v>
      </c>
      <c r="L407">
        <v>115</v>
      </c>
      <c r="M407">
        <v>4.92</v>
      </c>
      <c r="N407">
        <v>35.33</v>
      </c>
      <c r="O407">
        <v>1.38</v>
      </c>
      <c r="P407">
        <v>6</v>
      </c>
      <c r="Q407">
        <v>0.9</v>
      </c>
      <c r="R407">
        <v>883</v>
      </c>
      <c r="S407">
        <v>3.77</v>
      </c>
      <c r="T407">
        <v>0.75</v>
      </c>
      <c r="U407" s="1">
        <v>45419</v>
      </c>
      <c r="V407">
        <v>264.7</v>
      </c>
      <c r="W407">
        <v>0.52200000000000002</v>
      </c>
      <c r="X407" t="str">
        <f>IF(WarehouseData[[#This Row],[stock_level]]&lt;=WarehouseData[[#This Row],[reorder_point]],"Low Stock","Sufficient Stock")</f>
        <v>Sufficient Stock</v>
      </c>
      <c r="Y407">
        <f>WarehouseData[[#This Row],[daily_demand]]*WarehouseData[[#This Row],[lead_time_days]]</f>
        <v>60</v>
      </c>
      <c r="Z407" t="str">
        <f>IF(WarehouseData[[#This Row],[stock_level]]&lt;=WarehouseData[[#This Row],[Demand During Lead Time]],"At Risk","Safe")</f>
        <v>Safe</v>
      </c>
      <c r="AA407">
        <f>WarehouseData[[#This Row],[stock_level]]/WarehouseData[[#This Row],[daily_demand]]</f>
        <v>3.9</v>
      </c>
      <c r="AB407">
        <f>WarehouseData[[#This Row],[stock_level]]*WarehouseData[[#This Row],[unit_price]]</f>
        <v>2755.74</v>
      </c>
      <c r="AC407">
        <f>WarehouseData[[#This Row],[stock_level]]*WarehouseData[[#This Row],[holding_cost_per_unit_day]]*30</f>
        <v>3229.2</v>
      </c>
      <c r="AD407" t="str">
        <f>IF(WarehouseData[[#This Row],[order_fulfillment_rate]]&gt;=0.9,"Strong",IF(WarehouseData[[#This Row],[order_fulfillment_rate]]&gt;=0.8,"Moderate","Needs Attention"))</f>
        <v>Strong</v>
      </c>
      <c r="AE407" t="str">
        <f>IF(WarehouseData[[#This Row],[picking_time_seconds]]&gt;120,"Slow",IF(WarehouseData[[#This Row],[picking_time_seconds]]&gt;=60,"Average","Fast"))</f>
        <v>Average</v>
      </c>
    </row>
    <row r="408" spans="1:31" x14ac:dyDescent="0.25">
      <c r="A408" t="s">
        <v>545</v>
      </c>
      <c r="B408" t="s">
        <v>73</v>
      </c>
      <c r="C408">
        <v>109</v>
      </c>
      <c r="D408">
        <v>28</v>
      </c>
      <c r="E408">
        <v>7</v>
      </c>
      <c r="F408">
        <v>2</v>
      </c>
      <c r="G408">
        <v>12.08</v>
      </c>
      <c r="H408">
        <v>2.9</v>
      </c>
      <c r="I408">
        <v>0.82</v>
      </c>
      <c r="J408" t="s">
        <v>150</v>
      </c>
      <c r="K408" t="s">
        <v>52</v>
      </c>
      <c r="L408">
        <v>159</v>
      </c>
      <c r="M408">
        <v>1.93</v>
      </c>
      <c r="N408">
        <v>94.92</v>
      </c>
      <c r="O408">
        <v>1.59</v>
      </c>
      <c r="P408">
        <v>8</v>
      </c>
      <c r="Q408">
        <v>0.96</v>
      </c>
      <c r="R408">
        <v>751</v>
      </c>
      <c r="S408">
        <v>14.3</v>
      </c>
      <c r="T408">
        <v>0.76</v>
      </c>
      <c r="U408" s="1">
        <v>45628</v>
      </c>
      <c r="V408">
        <v>260.06</v>
      </c>
      <c r="W408">
        <v>0.61599999999999999</v>
      </c>
      <c r="X408" t="str">
        <f>IF(WarehouseData[[#This Row],[stock_level]]&lt;=WarehouseData[[#This Row],[reorder_point]],"Low Stock","Sufficient Stock")</f>
        <v>Sufficient Stock</v>
      </c>
      <c r="Y408">
        <f>WarehouseData[[#This Row],[daily_demand]]*WarehouseData[[#This Row],[lead_time_days]]</f>
        <v>24.16</v>
      </c>
      <c r="Z408" t="str">
        <f>IF(WarehouseData[[#This Row],[stock_level]]&lt;=WarehouseData[[#This Row],[Demand During Lead Time]],"At Risk","Safe")</f>
        <v>Safe</v>
      </c>
      <c r="AA408">
        <f>WarehouseData[[#This Row],[stock_level]]/WarehouseData[[#This Row],[daily_demand]]</f>
        <v>9.0231788079470192</v>
      </c>
      <c r="AB408">
        <f>WarehouseData[[#This Row],[stock_level]]*WarehouseData[[#This Row],[unit_price]]</f>
        <v>10346.280000000001</v>
      </c>
      <c r="AC408">
        <f>WarehouseData[[#This Row],[stock_level]]*WarehouseData[[#This Row],[holding_cost_per_unit_day]]*30</f>
        <v>5199.3</v>
      </c>
      <c r="AD408" t="str">
        <f>IF(WarehouseData[[#This Row],[order_fulfillment_rate]]&gt;=0.9,"Strong",IF(WarehouseData[[#This Row],[order_fulfillment_rate]]&gt;=0.8,"Moderate","Needs Attention"))</f>
        <v>Strong</v>
      </c>
      <c r="AE408" t="str">
        <f>IF(WarehouseData[[#This Row],[picking_time_seconds]]&gt;120,"Slow",IF(WarehouseData[[#This Row],[picking_time_seconds]]&gt;=60,"Average","Fast"))</f>
        <v>Slow</v>
      </c>
    </row>
    <row r="409" spans="1:31" x14ac:dyDescent="0.25">
      <c r="A409" t="s">
        <v>546</v>
      </c>
      <c r="B409" t="s">
        <v>32</v>
      </c>
      <c r="C409">
        <v>218</v>
      </c>
      <c r="D409">
        <v>32</v>
      </c>
      <c r="E409">
        <v>4</v>
      </c>
      <c r="F409">
        <v>2</v>
      </c>
      <c r="G409">
        <v>42.49</v>
      </c>
      <c r="H409">
        <v>6.99</v>
      </c>
      <c r="I409">
        <v>0.53</v>
      </c>
      <c r="J409" t="s">
        <v>228</v>
      </c>
      <c r="K409" t="s">
        <v>52</v>
      </c>
      <c r="L409">
        <v>104</v>
      </c>
      <c r="M409">
        <v>3.13</v>
      </c>
      <c r="N409">
        <v>123.75</v>
      </c>
      <c r="O409">
        <v>0.48</v>
      </c>
      <c r="P409">
        <v>5</v>
      </c>
      <c r="Q409">
        <v>0.71</v>
      </c>
      <c r="R409">
        <v>719</v>
      </c>
      <c r="S409">
        <v>8.75</v>
      </c>
      <c r="T409">
        <v>0.57999999999999996</v>
      </c>
      <c r="U409" s="1">
        <v>45632</v>
      </c>
      <c r="V409">
        <v>260.67</v>
      </c>
      <c r="W409">
        <v>0.627</v>
      </c>
      <c r="X409" t="str">
        <f>IF(WarehouseData[[#This Row],[stock_level]]&lt;=WarehouseData[[#This Row],[reorder_point]],"Low Stock","Sufficient Stock")</f>
        <v>Sufficient Stock</v>
      </c>
      <c r="Y409">
        <f>WarehouseData[[#This Row],[daily_demand]]*WarehouseData[[#This Row],[lead_time_days]]</f>
        <v>84.98</v>
      </c>
      <c r="Z409" t="str">
        <f>IF(WarehouseData[[#This Row],[stock_level]]&lt;=WarehouseData[[#This Row],[Demand During Lead Time]],"At Risk","Safe")</f>
        <v>Safe</v>
      </c>
      <c r="AA409">
        <f>WarehouseData[[#This Row],[stock_level]]/WarehouseData[[#This Row],[daily_demand]]</f>
        <v>5.1306189691692161</v>
      </c>
      <c r="AB409">
        <f>WarehouseData[[#This Row],[stock_level]]*WarehouseData[[#This Row],[unit_price]]</f>
        <v>26977.5</v>
      </c>
      <c r="AC409">
        <f>WarehouseData[[#This Row],[stock_level]]*WarehouseData[[#This Row],[holding_cost_per_unit_day]]*30</f>
        <v>3139.2</v>
      </c>
      <c r="AD409" t="str">
        <f>IF(WarehouseData[[#This Row],[order_fulfillment_rate]]&gt;=0.9,"Strong",IF(WarehouseData[[#This Row],[order_fulfillment_rate]]&gt;=0.8,"Moderate","Needs Attention"))</f>
        <v>Needs Attention</v>
      </c>
      <c r="AE409" t="str">
        <f>IF(WarehouseData[[#This Row],[picking_time_seconds]]&gt;120,"Slow",IF(WarehouseData[[#This Row],[picking_time_seconds]]&gt;=60,"Average","Fast"))</f>
        <v>Average</v>
      </c>
    </row>
    <row r="410" spans="1:31" x14ac:dyDescent="0.25">
      <c r="A410" t="s">
        <v>547</v>
      </c>
      <c r="B410" t="s">
        <v>36</v>
      </c>
      <c r="C410">
        <v>381</v>
      </c>
      <c r="D410">
        <v>92</v>
      </c>
      <c r="E410">
        <v>12</v>
      </c>
      <c r="F410">
        <v>2</v>
      </c>
      <c r="G410">
        <v>16.12</v>
      </c>
      <c r="H410">
        <v>7.38</v>
      </c>
      <c r="I410">
        <v>0.68</v>
      </c>
      <c r="J410" t="s">
        <v>122</v>
      </c>
      <c r="K410" t="s">
        <v>34</v>
      </c>
      <c r="L410">
        <v>71</v>
      </c>
      <c r="M410">
        <v>1.73</v>
      </c>
      <c r="N410">
        <v>147.57</v>
      </c>
      <c r="O410">
        <v>1.65</v>
      </c>
      <c r="P410">
        <v>8</v>
      </c>
      <c r="Q410">
        <v>0.92</v>
      </c>
      <c r="R410">
        <v>526</v>
      </c>
      <c r="S410">
        <v>5.83</v>
      </c>
      <c r="T410">
        <v>0.47</v>
      </c>
      <c r="U410" s="1">
        <v>45473</v>
      </c>
      <c r="V410">
        <v>259.26</v>
      </c>
      <c r="W410">
        <v>0.43099999999999999</v>
      </c>
      <c r="X410" t="str">
        <f>IF(WarehouseData[[#This Row],[stock_level]]&lt;=WarehouseData[[#This Row],[reorder_point]],"Low Stock","Sufficient Stock")</f>
        <v>Sufficient Stock</v>
      </c>
      <c r="Y410">
        <f>WarehouseData[[#This Row],[daily_demand]]*WarehouseData[[#This Row],[lead_time_days]]</f>
        <v>32.24</v>
      </c>
      <c r="Z410" t="str">
        <f>IF(WarehouseData[[#This Row],[stock_level]]&lt;=WarehouseData[[#This Row],[Demand During Lead Time]],"At Risk","Safe")</f>
        <v>Safe</v>
      </c>
      <c r="AA410">
        <f>WarehouseData[[#This Row],[stock_level]]/WarehouseData[[#This Row],[daily_demand]]</f>
        <v>23.635235732009924</v>
      </c>
      <c r="AB410">
        <f>WarehouseData[[#This Row],[stock_level]]*WarehouseData[[#This Row],[unit_price]]</f>
        <v>56224.17</v>
      </c>
      <c r="AC410">
        <f>WarehouseData[[#This Row],[stock_level]]*WarehouseData[[#This Row],[holding_cost_per_unit_day]]*30</f>
        <v>18859.5</v>
      </c>
      <c r="AD410" t="str">
        <f>IF(WarehouseData[[#This Row],[order_fulfillment_rate]]&gt;=0.9,"Strong",IF(WarehouseData[[#This Row],[order_fulfillment_rate]]&gt;=0.8,"Moderate","Needs Attention"))</f>
        <v>Strong</v>
      </c>
      <c r="AE410" t="str">
        <f>IF(WarehouseData[[#This Row],[picking_time_seconds]]&gt;120,"Slow",IF(WarehouseData[[#This Row],[picking_time_seconds]]&gt;=60,"Average","Fast"))</f>
        <v>Average</v>
      </c>
    </row>
    <row r="411" spans="1:31" x14ac:dyDescent="0.25">
      <c r="A411" t="s">
        <v>548</v>
      </c>
      <c r="B411" t="s">
        <v>32</v>
      </c>
      <c r="C411">
        <v>460</v>
      </c>
      <c r="D411">
        <v>34</v>
      </c>
      <c r="E411">
        <v>12</v>
      </c>
      <c r="F411">
        <v>7</v>
      </c>
      <c r="G411">
        <v>49.6</v>
      </c>
      <c r="H411">
        <v>9.01</v>
      </c>
      <c r="I411">
        <v>0.55000000000000004</v>
      </c>
      <c r="J411" t="s">
        <v>192</v>
      </c>
      <c r="K411" t="s">
        <v>38</v>
      </c>
      <c r="L411">
        <v>138</v>
      </c>
      <c r="M411">
        <v>4.3899999999999997</v>
      </c>
      <c r="N411">
        <v>166.96</v>
      </c>
      <c r="O411">
        <v>1.92</v>
      </c>
      <c r="P411">
        <v>1</v>
      </c>
      <c r="Q411">
        <v>1</v>
      </c>
      <c r="R411">
        <v>637</v>
      </c>
      <c r="S411">
        <v>1.62</v>
      </c>
      <c r="T411">
        <v>0.86</v>
      </c>
      <c r="U411" s="1">
        <v>45377</v>
      </c>
      <c r="V411">
        <v>170.73</v>
      </c>
      <c r="W411">
        <v>0.58199999999999996</v>
      </c>
      <c r="X411" t="str">
        <f>IF(WarehouseData[[#This Row],[stock_level]]&lt;=WarehouseData[[#This Row],[reorder_point]],"Low Stock","Sufficient Stock")</f>
        <v>Sufficient Stock</v>
      </c>
      <c r="Y411">
        <f>WarehouseData[[#This Row],[daily_demand]]*WarehouseData[[#This Row],[lead_time_days]]</f>
        <v>347.2</v>
      </c>
      <c r="Z411" t="str">
        <f>IF(WarehouseData[[#This Row],[stock_level]]&lt;=WarehouseData[[#This Row],[Demand During Lead Time]],"At Risk","Safe")</f>
        <v>Safe</v>
      </c>
      <c r="AA411">
        <f>WarehouseData[[#This Row],[stock_level]]/WarehouseData[[#This Row],[daily_demand]]</f>
        <v>9.2741935483870961</v>
      </c>
      <c r="AB411">
        <f>WarehouseData[[#This Row],[stock_level]]*WarehouseData[[#This Row],[unit_price]]</f>
        <v>76801.600000000006</v>
      </c>
      <c r="AC411">
        <f>WarehouseData[[#This Row],[stock_level]]*WarehouseData[[#This Row],[holding_cost_per_unit_day]]*30</f>
        <v>26495.999999999996</v>
      </c>
      <c r="AD411" t="str">
        <f>IF(WarehouseData[[#This Row],[order_fulfillment_rate]]&gt;=0.9,"Strong",IF(WarehouseData[[#This Row],[order_fulfillment_rate]]&gt;=0.8,"Moderate","Needs Attention"))</f>
        <v>Strong</v>
      </c>
      <c r="AE411" t="str">
        <f>IF(WarehouseData[[#This Row],[picking_time_seconds]]&gt;120,"Slow",IF(WarehouseData[[#This Row],[picking_time_seconds]]&gt;=60,"Average","Fast"))</f>
        <v>Slow</v>
      </c>
    </row>
    <row r="412" spans="1:31" x14ac:dyDescent="0.25">
      <c r="A412" t="s">
        <v>549</v>
      </c>
      <c r="B412" t="s">
        <v>48</v>
      </c>
      <c r="C412">
        <v>45</v>
      </c>
      <c r="D412">
        <v>25</v>
      </c>
      <c r="E412">
        <v>9</v>
      </c>
      <c r="F412">
        <v>8</v>
      </c>
      <c r="G412">
        <v>2.89</v>
      </c>
      <c r="H412">
        <v>7.73</v>
      </c>
      <c r="I412">
        <v>0.67</v>
      </c>
      <c r="J412" t="s">
        <v>137</v>
      </c>
      <c r="K412" t="s">
        <v>52</v>
      </c>
      <c r="L412">
        <v>77</v>
      </c>
      <c r="M412">
        <v>1.78</v>
      </c>
      <c r="N412">
        <v>58.63</v>
      </c>
      <c r="O412">
        <v>1.27</v>
      </c>
      <c r="P412">
        <v>1</v>
      </c>
      <c r="Q412">
        <v>0.89</v>
      </c>
      <c r="R412">
        <v>613</v>
      </c>
      <c r="S412">
        <v>3.32</v>
      </c>
      <c r="T412">
        <v>0.97</v>
      </c>
      <c r="U412" s="1">
        <v>45623</v>
      </c>
      <c r="V412">
        <v>188.91</v>
      </c>
      <c r="W412">
        <v>0.66900000000000004</v>
      </c>
      <c r="X412" t="str">
        <f>IF(WarehouseData[[#This Row],[stock_level]]&lt;=WarehouseData[[#This Row],[reorder_point]],"Low Stock","Sufficient Stock")</f>
        <v>Sufficient Stock</v>
      </c>
      <c r="Y412">
        <f>WarehouseData[[#This Row],[daily_demand]]*WarehouseData[[#This Row],[lead_time_days]]</f>
        <v>23.12</v>
      </c>
      <c r="Z412" t="str">
        <f>IF(WarehouseData[[#This Row],[stock_level]]&lt;=WarehouseData[[#This Row],[Demand During Lead Time]],"At Risk","Safe")</f>
        <v>Safe</v>
      </c>
      <c r="AA412">
        <f>WarehouseData[[#This Row],[stock_level]]/WarehouseData[[#This Row],[daily_demand]]</f>
        <v>15.570934256055363</v>
      </c>
      <c r="AB412">
        <f>WarehouseData[[#This Row],[stock_level]]*WarehouseData[[#This Row],[unit_price]]</f>
        <v>2638.35</v>
      </c>
      <c r="AC412">
        <f>WarehouseData[[#This Row],[stock_level]]*WarehouseData[[#This Row],[holding_cost_per_unit_day]]*30</f>
        <v>1714.5</v>
      </c>
      <c r="AD412" t="str">
        <f>IF(WarehouseData[[#This Row],[order_fulfillment_rate]]&gt;=0.9,"Strong",IF(WarehouseData[[#This Row],[order_fulfillment_rate]]&gt;=0.8,"Moderate","Needs Attention"))</f>
        <v>Moderate</v>
      </c>
      <c r="AE412" t="str">
        <f>IF(WarehouseData[[#This Row],[picking_time_seconds]]&gt;120,"Slow",IF(WarehouseData[[#This Row],[picking_time_seconds]]&gt;=60,"Average","Fast"))</f>
        <v>Average</v>
      </c>
    </row>
    <row r="413" spans="1:31" x14ac:dyDescent="0.25">
      <c r="A413" t="s">
        <v>550</v>
      </c>
      <c r="B413" t="s">
        <v>48</v>
      </c>
      <c r="C413">
        <v>44</v>
      </c>
      <c r="D413">
        <v>63</v>
      </c>
      <c r="E413">
        <v>4</v>
      </c>
      <c r="F413">
        <v>9</v>
      </c>
      <c r="G413">
        <v>7.29</v>
      </c>
      <c r="H413">
        <v>0.96</v>
      </c>
      <c r="I413">
        <v>0.22</v>
      </c>
      <c r="J413" t="s">
        <v>75</v>
      </c>
      <c r="K413" t="s">
        <v>38</v>
      </c>
      <c r="L413">
        <v>156</v>
      </c>
      <c r="M413">
        <v>2.15</v>
      </c>
      <c r="N413">
        <v>55.83</v>
      </c>
      <c r="O413">
        <v>1.59</v>
      </c>
      <c r="P413">
        <v>5</v>
      </c>
      <c r="Q413">
        <v>0.82</v>
      </c>
      <c r="R413">
        <v>275</v>
      </c>
      <c r="S413">
        <v>9.3699999999999992</v>
      </c>
      <c r="T413">
        <v>0.89</v>
      </c>
      <c r="U413" s="1">
        <v>45605</v>
      </c>
      <c r="V413">
        <v>285.17</v>
      </c>
      <c r="W413">
        <v>0.60799999999999998</v>
      </c>
      <c r="X413" t="str">
        <f>IF(WarehouseData[[#This Row],[stock_level]]&lt;=WarehouseData[[#This Row],[reorder_point]],"Low Stock","Sufficient Stock")</f>
        <v>Low Stock</v>
      </c>
      <c r="Y413">
        <f>WarehouseData[[#This Row],[daily_demand]]*WarehouseData[[#This Row],[lead_time_days]]</f>
        <v>65.61</v>
      </c>
      <c r="Z413" t="str">
        <f>IF(WarehouseData[[#This Row],[stock_level]]&lt;=WarehouseData[[#This Row],[Demand During Lead Time]],"At Risk","Safe")</f>
        <v>At Risk</v>
      </c>
      <c r="AA413">
        <f>WarehouseData[[#This Row],[stock_level]]/WarehouseData[[#This Row],[daily_demand]]</f>
        <v>6.0356652949245539</v>
      </c>
      <c r="AB413">
        <f>WarehouseData[[#This Row],[stock_level]]*WarehouseData[[#This Row],[unit_price]]</f>
        <v>2456.52</v>
      </c>
      <c r="AC413">
        <f>WarehouseData[[#This Row],[stock_level]]*WarehouseData[[#This Row],[holding_cost_per_unit_day]]*30</f>
        <v>2098.8000000000002</v>
      </c>
      <c r="AD413" t="str">
        <f>IF(WarehouseData[[#This Row],[order_fulfillment_rate]]&gt;=0.9,"Strong",IF(WarehouseData[[#This Row],[order_fulfillment_rate]]&gt;=0.8,"Moderate","Needs Attention"))</f>
        <v>Moderate</v>
      </c>
      <c r="AE413" t="str">
        <f>IF(WarehouseData[[#This Row],[picking_time_seconds]]&gt;120,"Slow",IF(WarehouseData[[#This Row],[picking_time_seconds]]&gt;=60,"Average","Fast"))</f>
        <v>Slow</v>
      </c>
    </row>
    <row r="414" spans="1:31" x14ac:dyDescent="0.25">
      <c r="A414" t="s">
        <v>551</v>
      </c>
      <c r="B414" t="s">
        <v>36</v>
      </c>
      <c r="C414">
        <v>413</v>
      </c>
      <c r="D414">
        <v>82</v>
      </c>
      <c r="E414">
        <v>3</v>
      </c>
      <c r="F414">
        <v>5</v>
      </c>
      <c r="G414">
        <v>12.01</v>
      </c>
      <c r="H414">
        <v>4.03</v>
      </c>
      <c r="I414">
        <v>0.13</v>
      </c>
      <c r="J414" t="s">
        <v>79</v>
      </c>
      <c r="K414" t="s">
        <v>38</v>
      </c>
      <c r="L414">
        <v>39</v>
      </c>
      <c r="M414">
        <v>3.24</v>
      </c>
      <c r="N414">
        <v>117.41</v>
      </c>
      <c r="O414">
        <v>1.1100000000000001</v>
      </c>
      <c r="P414">
        <v>2</v>
      </c>
      <c r="Q414">
        <v>0.96</v>
      </c>
      <c r="R414">
        <v>655</v>
      </c>
      <c r="S414">
        <v>8.18</v>
      </c>
      <c r="T414">
        <v>0.75</v>
      </c>
      <c r="U414" s="1">
        <v>45314</v>
      </c>
      <c r="V414">
        <v>47.51</v>
      </c>
      <c r="W414">
        <v>0.7</v>
      </c>
      <c r="X414" t="str">
        <f>IF(WarehouseData[[#This Row],[stock_level]]&lt;=WarehouseData[[#This Row],[reorder_point]],"Low Stock","Sufficient Stock")</f>
        <v>Sufficient Stock</v>
      </c>
      <c r="Y414">
        <f>WarehouseData[[#This Row],[daily_demand]]*WarehouseData[[#This Row],[lead_time_days]]</f>
        <v>60.05</v>
      </c>
      <c r="Z414" t="str">
        <f>IF(WarehouseData[[#This Row],[stock_level]]&lt;=WarehouseData[[#This Row],[Demand During Lead Time]],"At Risk","Safe")</f>
        <v>Safe</v>
      </c>
      <c r="AA414">
        <f>WarehouseData[[#This Row],[stock_level]]/WarehouseData[[#This Row],[daily_demand]]</f>
        <v>34.388009991673606</v>
      </c>
      <c r="AB414">
        <f>WarehouseData[[#This Row],[stock_level]]*WarehouseData[[#This Row],[unit_price]]</f>
        <v>48490.33</v>
      </c>
      <c r="AC414">
        <f>WarehouseData[[#This Row],[stock_level]]*WarehouseData[[#This Row],[holding_cost_per_unit_day]]*30</f>
        <v>13752.900000000001</v>
      </c>
      <c r="AD414" t="str">
        <f>IF(WarehouseData[[#This Row],[order_fulfillment_rate]]&gt;=0.9,"Strong",IF(WarehouseData[[#This Row],[order_fulfillment_rate]]&gt;=0.8,"Moderate","Needs Attention"))</f>
        <v>Strong</v>
      </c>
      <c r="AE414" t="str">
        <f>IF(WarehouseData[[#This Row],[picking_time_seconds]]&gt;120,"Slow",IF(WarehouseData[[#This Row],[picking_time_seconds]]&gt;=60,"Average","Fast"))</f>
        <v>Fast</v>
      </c>
    </row>
    <row r="415" spans="1:31" x14ac:dyDescent="0.25">
      <c r="A415" t="s">
        <v>552</v>
      </c>
      <c r="B415" t="s">
        <v>32</v>
      </c>
      <c r="C415">
        <v>320</v>
      </c>
      <c r="D415">
        <v>10</v>
      </c>
      <c r="E415">
        <v>9</v>
      </c>
      <c r="F415">
        <v>3</v>
      </c>
      <c r="G415">
        <v>40.74</v>
      </c>
      <c r="H415">
        <v>3.09</v>
      </c>
      <c r="I415">
        <v>0.22</v>
      </c>
      <c r="J415" t="s">
        <v>129</v>
      </c>
      <c r="K415" t="s">
        <v>38</v>
      </c>
      <c r="L415">
        <v>138</v>
      </c>
      <c r="M415">
        <v>4.41</v>
      </c>
      <c r="N415">
        <v>117.54</v>
      </c>
      <c r="O415">
        <v>1.24</v>
      </c>
      <c r="P415">
        <v>1</v>
      </c>
      <c r="Q415">
        <v>0.87</v>
      </c>
      <c r="R415">
        <v>853</v>
      </c>
      <c r="S415">
        <v>11.61</v>
      </c>
      <c r="T415">
        <v>0.49</v>
      </c>
      <c r="U415" s="1">
        <v>45580</v>
      </c>
      <c r="V415">
        <v>243.82</v>
      </c>
      <c r="W415">
        <v>0.68300000000000005</v>
      </c>
      <c r="X415" t="str">
        <f>IF(WarehouseData[[#This Row],[stock_level]]&lt;=WarehouseData[[#This Row],[reorder_point]],"Low Stock","Sufficient Stock")</f>
        <v>Sufficient Stock</v>
      </c>
      <c r="Y415">
        <f>WarehouseData[[#This Row],[daily_demand]]*WarehouseData[[#This Row],[lead_time_days]]</f>
        <v>122.22</v>
      </c>
      <c r="Z415" t="str">
        <f>IF(WarehouseData[[#This Row],[stock_level]]&lt;=WarehouseData[[#This Row],[Demand During Lead Time]],"At Risk","Safe")</f>
        <v>Safe</v>
      </c>
      <c r="AA415">
        <f>WarehouseData[[#This Row],[stock_level]]/WarehouseData[[#This Row],[daily_demand]]</f>
        <v>7.8546882670594007</v>
      </c>
      <c r="AB415">
        <f>WarehouseData[[#This Row],[stock_level]]*WarehouseData[[#This Row],[unit_price]]</f>
        <v>37612.800000000003</v>
      </c>
      <c r="AC415">
        <f>WarehouseData[[#This Row],[stock_level]]*WarehouseData[[#This Row],[holding_cost_per_unit_day]]*30</f>
        <v>11904</v>
      </c>
      <c r="AD415" t="str">
        <f>IF(WarehouseData[[#This Row],[order_fulfillment_rate]]&gt;=0.9,"Strong",IF(WarehouseData[[#This Row],[order_fulfillment_rate]]&gt;=0.8,"Moderate","Needs Attention"))</f>
        <v>Moderate</v>
      </c>
      <c r="AE415" t="str">
        <f>IF(WarehouseData[[#This Row],[picking_time_seconds]]&gt;120,"Slow",IF(WarehouseData[[#This Row],[picking_time_seconds]]&gt;=60,"Average","Fast"))</f>
        <v>Slow</v>
      </c>
    </row>
    <row r="416" spans="1:31" x14ac:dyDescent="0.25">
      <c r="A416" t="s">
        <v>553</v>
      </c>
      <c r="B416" t="s">
        <v>73</v>
      </c>
      <c r="C416">
        <v>358</v>
      </c>
      <c r="D416">
        <v>51</v>
      </c>
      <c r="E416">
        <v>7</v>
      </c>
      <c r="F416">
        <v>9</v>
      </c>
      <c r="G416">
        <v>44.05</v>
      </c>
      <c r="H416">
        <v>4.17</v>
      </c>
      <c r="I416">
        <v>0.36</v>
      </c>
      <c r="J416" t="s">
        <v>353</v>
      </c>
      <c r="K416" t="s">
        <v>46</v>
      </c>
      <c r="L416">
        <v>57</v>
      </c>
      <c r="M416">
        <v>4.17</v>
      </c>
      <c r="N416">
        <v>51.41</v>
      </c>
      <c r="O416">
        <v>0.13</v>
      </c>
      <c r="P416">
        <v>7</v>
      </c>
      <c r="Q416">
        <v>0.92</v>
      </c>
      <c r="R416">
        <v>852</v>
      </c>
      <c r="S416">
        <v>12.69</v>
      </c>
      <c r="T416">
        <v>0.7</v>
      </c>
      <c r="U416" s="1">
        <v>45622</v>
      </c>
      <c r="V416">
        <v>162.62</v>
      </c>
      <c r="W416">
        <v>0.74</v>
      </c>
      <c r="X416" t="str">
        <f>IF(WarehouseData[[#This Row],[stock_level]]&lt;=WarehouseData[[#This Row],[reorder_point]],"Low Stock","Sufficient Stock")</f>
        <v>Sufficient Stock</v>
      </c>
      <c r="Y416">
        <f>WarehouseData[[#This Row],[daily_demand]]*WarehouseData[[#This Row],[lead_time_days]]</f>
        <v>396.45</v>
      </c>
      <c r="Z416" t="str">
        <f>IF(WarehouseData[[#This Row],[stock_level]]&lt;=WarehouseData[[#This Row],[Demand During Lead Time]],"At Risk","Safe")</f>
        <v>At Risk</v>
      </c>
      <c r="AA416">
        <f>WarehouseData[[#This Row],[stock_level]]/WarehouseData[[#This Row],[daily_demand]]</f>
        <v>8.1271282633371182</v>
      </c>
      <c r="AB416">
        <f>WarehouseData[[#This Row],[stock_level]]*WarehouseData[[#This Row],[unit_price]]</f>
        <v>18404.78</v>
      </c>
      <c r="AC416">
        <f>WarehouseData[[#This Row],[stock_level]]*WarehouseData[[#This Row],[holding_cost_per_unit_day]]*30</f>
        <v>1396.2</v>
      </c>
      <c r="AD416" t="str">
        <f>IF(WarehouseData[[#This Row],[order_fulfillment_rate]]&gt;=0.9,"Strong",IF(WarehouseData[[#This Row],[order_fulfillment_rate]]&gt;=0.8,"Moderate","Needs Attention"))</f>
        <v>Strong</v>
      </c>
      <c r="AE416" t="str">
        <f>IF(WarehouseData[[#This Row],[picking_time_seconds]]&gt;120,"Slow",IF(WarehouseData[[#This Row],[picking_time_seconds]]&gt;=60,"Average","Fast"))</f>
        <v>Fast</v>
      </c>
    </row>
    <row r="417" spans="1:31" x14ac:dyDescent="0.25">
      <c r="A417" t="s">
        <v>554</v>
      </c>
      <c r="B417" t="s">
        <v>36</v>
      </c>
      <c r="C417">
        <v>286</v>
      </c>
      <c r="D417">
        <v>28</v>
      </c>
      <c r="E417">
        <v>3</v>
      </c>
      <c r="F417">
        <v>7</v>
      </c>
      <c r="G417">
        <v>4.5</v>
      </c>
      <c r="H417">
        <v>2.02</v>
      </c>
      <c r="I417">
        <v>0.33</v>
      </c>
      <c r="J417" t="s">
        <v>126</v>
      </c>
      <c r="K417" t="s">
        <v>34</v>
      </c>
      <c r="L417">
        <v>28</v>
      </c>
      <c r="M417">
        <v>1.69</v>
      </c>
      <c r="N417">
        <v>121.62</v>
      </c>
      <c r="O417">
        <v>1.1000000000000001</v>
      </c>
      <c r="P417">
        <v>6</v>
      </c>
      <c r="Q417">
        <v>0.88</v>
      </c>
      <c r="R417">
        <v>883</v>
      </c>
      <c r="S417">
        <v>6.56</v>
      </c>
      <c r="T417">
        <v>0.28000000000000003</v>
      </c>
      <c r="U417" s="1">
        <v>45638</v>
      </c>
      <c r="V417">
        <v>293.74</v>
      </c>
      <c r="W417">
        <v>0.48899999999999999</v>
      </c>
      <c r="X417" t="str">
        <f>IF(WarehouseData[[#This Row],[stock_level]]&lt;=WarehouseData[[#This Row],[reorder_point]],"Low Stock","Sufficient Stock")</f>
        <v>Sufficient Stock</v>
      </c>
      <c r="Y417">
        <f>WarehouseData[[#This Row],[daily_demand]]*WarehouseData[[#This Row],[lead_time_days]]</f>
        <v>31.5</v>
      </c>
      <c r="Z417" t="str">
        <f>IF(WarehouseData[[#This Row],[stock_level]]&lt;=WarehouseData[[#This Row],[Demand During Lead Time]],"At Risk","Safe")</f>
        <v>Safe</v>
      </c>
      <c r="AA417">
        <f>WarehouseData[[#This Row],[stock_level]]/WarehouseData[[#This Row],[daily_demand]]</f>
        <v>63.555555555555557</v>
      </c>
      <c r="AB417">
        <f>WarehouseData[[#This Row],[stock_level]]*WarehouseData[[#This Row],[unit_price]]</f>
        <v>34783.32</v>
      </c>
      <c r="AC417">
        <f>WarehouseData[[#This Row],[stock_level]]*WarehouseData[[#This Row],[holding_cost_per_unit_day]]*30</f>
        <v>9438</v>
      </c>
      <c r="AD417" t="str">
        <f>IF(WarehouseData[[#This Row],[order_fulfillment_rate]]&gt;=0.9,"Strong",IF(WarehouseData[[#This Row],[order_fulfillment_rate]]&gt;=0.8,"Moderate","Needs Attention"))</f>
        <v>Moderate</v>
      </c>
      <c r="AE417" t="str">
        <f>IF(WarehouseData[[#This Row],[picking_time_seconds]]&gt;120,"Slow",IF(WarehouseData[[#This Row],[picking_time_seconds]]&gt;=60,"Average","Fast"))</f>
        <v>Fast</v>
      </c>
    </row>
    <row r="418" spans="1:31" x14ac:dyDescent="0.25">
      <c r="A418" t="s">
        <v>555</v>
      </c>
      <c r="B418" t="s">
        <v>48</v>
      </c>
      <c r="C418">
        <v>480</v>
      </c>
      <c r="D418">
        <v>43</v>
      </c>
      <c r="E418">
        <v>6</v>
      </c>
      <c r="F418">
        <v>7</v>
      </c>
      <c r="G418">
        <v>2.59</v>
      </c>
      <c r="H418">
        <v>1.43</v>
      </c>
      <c r="I418">
        <v>0.65</v>
      </c>
      <c r="J418" t="s">
        <v>160</v>
      </c>
      <c r="K418" t="s">
        <v>34</v>
      </c>
      <c r="L418">
        <v>136</v>
      </c>
      <c r="M418">
        <v>4.2300000000000004</v>
      </c>
      <c r="N418">
        <v>75.72</v>
      </c>
      <c r="O418">
        <v>1.19</v>
      </c>
      <c r="P418">
        <v>7</v>
      </c>
      <c r="Q418">
        <v>0.71</v>
      </c>
      <c r="R418">
        <v>739</v>
      </c>
      <c r="S418">
        <v>2.41</v>
      </c>
      <c r="T418">
        <v>0.63</v>
      </c>
      <c r="U418" s="1">
        <v>45623</v>
      </c>
      <c r="V418">
        <v>195.37</v>
      </c>
      <c r="W418">
        <v>0.441</v>
      </c>
      <c r="X418" t="str">
        <f>IF(WarehouseData[[#This Row],[stock_level]]&lt;=WarehouseData[[#This Row],[reorder_point]],"Low Stock","Sufficient Stock")</f>
        <v>Sufficient Stock</v>
      </c>
      <c r="Y418">
        <f>WarehouseData[[#This Row],[daily_demand]]*WarehouseData[[#This Row],[lead_time_days]]</f>
        <v>18.13</v>
      </c>
      <c r="Z418" t="str">
        <f>IF(WarehouseData[[#This Row],[stock_level]]&lt;=WarehouseData[[#This Row],[Demand During Lead Time]],"At Risk","Safe")</f>
        <v>Safe</v>
      </c>
      <c r="AA418">
        <f>WarehouseData[[#This Row],[stock_level]]/WarehouseData[[#This Row],[daily_demand]]</f>
        <v>185.32818532818533</v>
      </c>
      <c r="AB418">
        <f>WarehouseData[[#This Row],[stock_level]]*WarehouseData[[#This Row],[unit_price]]</f>
        <v>36345.599999999999</v>
      </c>
      <c r="AC418">
        <f>WarehouseData[[#This Row],[stock_level]]*WarehouseData[[#This Row],[holding_cost_per_unit_day]]*30</f>
        <v>17135.999999999996</v>
      </c>
      <c r="AD418" t="str">
        <f>IF(WarehouseData[[#This Row],[order_fulfillment_rate]]&gt;=0.9,"Strong",IF(WarehouseData[[#This Row],[order_fulfillment_rate]]&gt;=0.8,"Moderate","Needs Attention"))</f>
        <v>Needs Attention</v>
      </c>
      <c r="AE418" t="str">
        <f>IF(WarehouseData[[#This Row],[picking_time_seconds]]&gt;120,"Slow",IF(WarehouseData[[#This Row],[picking_time_seconds]]&gt;=60,"Average","Fast"))</f>
        <v>Slow</v>
      </c>
    </row>
    <row r="419" spans="1:31" x14ac:dyDescent="0.25">
      <c r="A419" t="s">
        <v>556</v>
      </c>
      <c r="B419" t="s">
        <v>48</v>
      </c>
      <c r="C419">
        <v>200</v>
      </c>
      <c r="D419">
        <v>89</v>
      </c>
      <c r="E419">
        <v>14</v>
      </c>
      <c r="F419">
        <v>5</v>
      </c>
      <c r="G419">
        <v>37.479999999999997</v>
      </c>
      <c r="H419">
        <v>5.45</v>
      </c>
      <c r="I419">
        <v>0.51</v>
      </c>
      <c r="J419" t="s">
        <v>49</v>
      </c>
      <c r="K419" t="s">
        <v>52</v>
      </c>
      <c r="L419">
        <v>159</v>
      </c>
      <c r="M419">
        <v>3.66</v>
      </c>
      <c r="N419">
        <v>131.47</v>
      </c>
      <c r="O419">
        <v>1.37</v>
      </c>
      <c r="P419">
        <v>5</v>
      </c>
      <c r="Q419">
        <v>0.76</v>
      </c>
      <c r="R419">
        <v>436</v>
      </c>
      <c r="S419">
        <v>12.08</v>
      </c>
      <c r="T419">
        <v>0.82</v>
      </c>
      <c r="U419" s="1">
        <v>45496</v>
      </c>
      <c r="V419">
        <v>57.14</v>
      </c>
      <c r="W419">
        <v>0.64</v>
      </c>
      <c r="X419" t="str">
        <f>IF(WarehouseData[[#This Row],[stock_level]]&lt;=WarehouseData[[#This Row],[reorder_point]],"Low Stock","Sufficient Stock")</f>
        <v>Sufficient Stock</v>
      </c>
      <c r="Y419">
        <f>WarehouseData[[#This Row],[daily_demand]]*WarehouseData[[#This Row],[lead_time_days]]</f>
        <v>187.39999999999998</v>
      </c>
      <c r="Z419" t="str">
        <f>IF(WarehouseData[[#This Row],[stock_level]]&lt;=WarehouseData[[#This Row],[Demand During Lead Time]],"At Risk","Safe")</f>
        <v>Safe</v>
      </c>
      <c r="AA419">
        <f>WarehouseData[[#This Row],[stock_level]]/WarehouseData[[#This Row],[daily_demand]]</f>
        <v>5.3361792956243335</v>
      </c>
      <c r="AB419">
        <f>WarehouseData[[#This Row],[stock_level]]*WarehouseData[[#This Row],[unit_price]]</f>
        <v>26294</v>
      </c>
      <c r="AC419">
        <f>WarehouseData[[#This Row],[stock_level]]*WarehouseData[[#This Row],[holding_cost_per_unit_day]]*30</f>
        <v>8220</v>
      </c>
      <c r="AD419" t="str">
        <f>IF(WarehouseData[[#This Row],[order_fulfillment_rate]]&gt;=0.9,"Strong",IF(WarehouseData[[#This Row],[order_fulfillment_rate]]&gt;=0.8,"Moderate","Needs Attention"))</f>
        <v>Needs Attention</v>
      </c>
      <c r="AE419" t="str">
        <f>IF(WarehouseData[[#This Row],[picking_time_seconds]]&gt;120,"Slow",IF(WarehouseData[[#This Row],[picking_time_seconds]]&gt;=60,"Average","Fast"))</f>
        <v>Slow</v>
      </c>
    </row>
    <row r="420" spans="1:31" x14ac:dyDescent="0.25">
      <c r="A420" t="s">
        <v>557</v>
      </c>
      <c r="B420" t="s">
        <v>36</v>
      </c>
      <c r="C420">
        <v>475</v>
      </c>
      <c r="D420">
        <v>64</v>
      </c>
      <c r="E420">
        <v>6</v>
      </c>
      <c r="F420">
        <v>2</v>
      </c>
      <c r="G420">
        <v>7.53</v>
      </c>
      <c r="H420">
        <v>7.34</v>
      </c>
      <c r="I420">
        <v>0.13</v>
      </c>
      <c r="J420" t="s">
        <v>178</v>
      </c>
      <c r="K420" t="s">
        <v>52</v>
      </c>
      <c r="L420">
        <v>59</v>
      </c>
      <c r="M420">
        <v>4.95</v>
      </c>
      <c r="N420">
        <v>65.3</v>
      </c>
      <c r="O420">
        <v>0.42</v>
      </c>
      <c r="P420">
        <v>8</v>
      </c>
      <c r="Q420">
        <v>0.72</v>
      </c>
      <c r="R420">
        <v>155</v>
      </c>
      <c r="S420">
        <v>8.75</v>
      </c>
      <c r="T420">
        <v>0.4</v>
      </c>
      <c r="U420" s="1">
        <v>45461</v>
      </c>
      <c r="V420">
        <v>246.49</v>
      </c>
      <c r="W420">
        <v>0.53900000000000003</v>
      </c>
      <c r="X420" t="str">
        <f>IF(WarehouseData[[#This Row],[stock_level]]&lt;=WarehouseData[[#This Row],[reorder_point]],"Low Stock","Sufficient Stock")</f>
        <v>Sufficient Stock</v>
      </c>
      <c r="Y420">
        <f>WarehouseData[[#This Row],[daily_demand]]*WarehouseData[[#This Row],[lead_time_days]]</f>
        <v>15.06</v>
      </c>
      <c r="Z420" t="str">
        <f>IF(WarehouseData[[#This Row],[stock_level]]&lt;=WarehouseData[[#This Row],[Demand During Lead Time]],"At Risk","Safe")</f>
        <v>Safe</v>
      </c>
      <c r="AA420">
        <f>WarehouseData[[#This Row],[stock_level]]/WarehouseData[[#This Row],[daily_demand]]</f>
        <v>63.081009296148736</v>
      </c>
      <c r="AB420">
        <f>WarehouseData[[#This Row],[stock_level]]*WarehouseData[[#This Row],[unit_price]]</f>
        <v>31017.5</v>
      </c>
      <c r="AC420">
        <f>WarehouseData[[#This Row],[stock_level]]*WarehouseData[[#This Row],[holding_cost_per_unit_day]]*30</f>
        <v>5985</v>
      </c>
      <c r="AD420" t="str">
        <f>IF(WarehouseData[[#This Row],[order_fulfillment_rate]]&gt;=0.9,"Strong",IF(WarehouseData[[#This Row],[order_fulfillment_rate]]&gt;=0.8,"Moderate","Needs Attention"))</f>
        <v>Needs Attention</v>
      </c>
      <c r="AE420" t="str">
        <f>IF(WarehouseData[[#This Row],[picking_time_seconds]]&gt;120,"Slow",IF(WarehouseData[[#This Row],[picking_time_seconds]]&gt;=60,"Average","Fast"))</f>
        <v>Fast</v>
      </c>
    </row>
    <row r="421" spans="1:31" x14ac:dyDescent="0.25">
      <c r="A421" t="s">
        <v>558</v>
      </c>
      <c r="B421" t="s">
        <v>32</v>
      </c>
      <c r="C421">
        <v>379</v>
      </c>
      <c r="D421">
        <v>27</v>
      </c>
      <c r="E421">
        <v>12</v>
      </c>
      <c r="F421">
        <v>8</v>
      </c>
      <c r="G421">
        <v>7.52</v>
      </c>
      <c r="H421">
        <v>7.17</v>
      </c>
      <c r="I421">
        <v>0.13</v>
      </c>
      <c r="J421" t="s">
        <v>477</v>
      </c>
      <c r="K421" t="s">
        <v>34</v>
      </c>
      <c r="L421">
        <v>143</v>
      </c>
      <c r="M421">
        <v>4.71</v>
      </c>
      <c r="N421">
        <v>122.54</v>
      </c>
      <c r="O421">
        <v>0.56000000000000005</v>
      </c>
      <c r="P421">
        <v>8</v>
      </c>
      <c r="Q421">
        <v>0.73</v>
      </c>
      <c r="R421">
        <v>125</v>
      </c>
      <c r="S421">
        <v>14.72</v>
      </c>
      <c r="T421">
        <v>0.6</v>
      </c>
      <c r="U421" s="1">
        <v>45512</v>
      </c>
      <c r="V421">
        <v>205.07</v>
      </c>
      <c r="W421">
        <v>0.64600000000000002</v>
      </c>
      <c r="X421" t="str">
        <f>IF(WarehouseData[[#This Row],[stock_level]]&lt;=WarehouseData[[#This Row],[reorder_point]],"Low Stock","Sufficient Stock")</f>
        <v>Sufficient Stock</v>
      </c>
      <c r="Y421">
        <f>WarehouseData[[#This Row],[daily_demand]]*WarehouseData[[#This Row],[lead_time_days]]</f>
        <v>60.16</v>
      </c>
      <c r="Z421" t="str">
        <f>IF(WarehouseData[[#This Row],[stock_level]]&lt;=WarehouseData[[#This Row],[Demand During Lead Time]],"At Risk","Safe")</f>
        <v>Safe</v>
      </c>
      <c r="AA421">
        <f>WarehouseData[[#This Row],[stock_level]]/WarehouseData[[#This Row],[daily_demand]]</f>
        <v>50.398936170212771</v>
      </c>
      <c r="AB421">
        <f>WarehouseData[[#This Row],[stock_level]]*WarehouseData[[#This Row],[unit_price]]</f>
        <v>46442.66</v>
      </c>
      <c r="AC421">
        <f>WarehouseData[[#This Row],[stock_level]]*WarehouseData[[#This Row],[holding_cost_per_unit_day]]*30</f>
        <v>6367.2000000000007</v>
      </c>
      <c r="AD421" t="str">
        <f>IF(WarehouseData[[#This Row],[order_fulfillment_rate]]&gt;=0.9,"Strong",IF(WarehouseData[[#This Row],[order_fulfillment_rate]]&gt;=0.8,"Moderate","Needs Attention"))</f>
        <v>Needs Attention</v>
      </c>
      <c r="AE421" t="str">
        <f>IF(WarehouseData[[#This Row],[picking_time_seconds]]&gt;120,"Slow",IF(WarehouseData[[#This Row],[picking_time_seconds]]&gt;=60,"Average","Fast"))</f>
        <v>Slow</v>
      </c>
    </row>
    <row r="422" spans="1:31" x14ac:dyDescent="0.25">
      <c r="A422" t="s">
        <v>559</v>
      </c>
      <c r="B422" t="s">
        <v>48</v>
      </c>
      <c r="C422">
        <v>87</v>
      </c>
      <c r="D422">
        <v>43</v>
      </c>
      <c r="E422">
        <v>9</v>
      </c>
      <c r="F422">
        <v>5</v>
      </c>
      <c r="G422">
        <v>2.1</v>
      </c>
      <c r="H422">
        <v>4.78</v>
      </c>
      <c r="I422">
        <v>0.18</v>
      </c>
      <c r="J422" t="s">
        <v>106</v>
      </c>
      <c r="K422" t="s">
        <v>46</v>
      </c>
      <c r="L422">
        <v>158</v>
      </c>
      <c r="M422">
        <v>2.9</v>
      </c>
      <c r="N422">
        <v>155.97999999999999</v>
      </c>
      <c r="O422">
        <v>1.54</v>
      </c>
      <c r="P422">
        <v>1</v>
      </c>
      <c r="Q422">
        <v>0.7</v>
      </c>
      <c r="R422">
        <v>565</v>
      </c>
      <c r="S422">
        <v>12.15</v>
      </c>
      <c r="T422">
        <v>0.26</v>
      </c>
      <c r="U422" s="1">
        <v>45346</v>
      </c>
      <c r="V422">
        <v>53.19</v>
      </c>
      <c r="W422">
        <v>0.57999999999999996</v>
      </c>
      <c r="X422" t="str">
        <f>IF(WarehouseData[[#This Row],[stock_level]]&lt;=WarehouseData[[#This Row],[reorder_point]],"Low Stock","Sufficient Stock")</f>
        <v>Sufficient Stock</v>
      </c>
      <c r="Y422">
        <f>WarehouseData[[#This Row],[daily_demand]]*WarehouseData[[#This Row],[lead_time_days]]</f>
        <v>10.5</v>
      </c>
      <c r="Z422" t="str">
        <f>IF(WarehouseData[[#This Row],[stock_level]]&lt;=WarehouseData[[#This Row],[Demand During Lead Time]],"At Risk","Safe")</f>
        <v>Safe</v>
      </c>
      <c r="AA422">
        <f>WarehouseData[[#This Row],[stock_level]]/WarehouseData[[#This Row],[daily_demand]]</f>
        <v>41.428571428571423</v>
      </c>
      <c r="AB422">
        <f>WarehouseData[[#This Row],[stock_level]]*WarehouseData[[#This Row],[unit_price]]</f>
        <v>13570.259999999998</v>
      </c>
      <c r="AC422">
        <f>WarehouseData[[#This Row],[stock_level]]*WarehouseData[[#This Row],[holding_cost_per_unit_day]]*30</f>
        <v>4019.3999999999996</v>
      </c>
      <c r="AD422" t="str">
        <f>IF(WarehouseData[[#This Row],[order_fulfillment_rate]]&gt;=0.9,"Strong",IF(WarehouseData[[#This Row],[order_fulfillment_rate]]&gt;=0.8,"Moderate","Needs Attention"))</f>
        <v>Needs Attention</v>
      </c>
      <c r="AE422" t="str">
        <f>IF(WarehouseData[[#This Row],[picking_time_seconds]]&gt;120,"Slow",IF(WarehouseData[[#This Row],[picking_time_seconds]]&gt;=60,"Average","Fast"))</f>
        <v>Slow</v>
      </c>
    </row>
    <row r="423" spans="1:31" x14ac:dyDescent="0.25">
      <c r="A423" t="s">
        <v>560</v>
      </c>
      <c r="B423" t="s">
        <v>32</v>
      </c>
      <c r="C423">
        <v>370</v>
      </c>
      <c r="D423">
        <v>98</v>
      </c>
      <c r="E423">
        <v>11</v>
      </c>
      <c r="F423">
        <v>9</v>
      </c>
      <c r="G423">
        <v>3.44</v>
      </c>
      <c r="H423">
        <v>5.46</v>
      </c>
      <c r="I423">
        <v>0.42</v>
      </c>
      <c r="J423" t="s">
        <v>377</v>
      </c>
      <c r="K423" t="s">
        <v>34</v>
      </c>
      <c r="L423">
        <v>156</v>
      </c>
      <c r="M423">
        <v>3.87</v>
      </c>
      <c r="N423">
        <v>196.23</v>
      </c>
      <c r="O423">
        <v>0.42</v>
      </c>
      <c r="P423">
        <v>9</v>
      </c>
      <c r="Q423">
        <v>0.83</v>
      </c>
      <c r="R423">
        <v>872</v>
      </c>
      <c r="S423">
        <v>5.61</v>
      </c>
      <c r="T423">
        <v>0.87</v>
      </c>
      <c r="U423" s="1">
        <v>45297</v>
      </c>
      <c r="V423">
        <v>12.61</v>
      </c>
      <c r="W423">
        <v>0.59299999999999997</v>
      </c>
      <c r="X423" t="str">
        <f>IF(WarehouseData[[#This Row],[stock_level]]&lt;=WarehouseData[[#This Row],[reorder_point]],"Low Stock","Sufficient Stock")</f>
        <v>Sufficient Stock</v>
      </c>
      <c r="Y423">
        <f>WarehouseData[[#This Row],[daily_demand]]*WarehouseData[[#This Row],[lead_time_days]]</f>
        <v>30.96</v>
      </c>
      <c r="Z423" t="str">
        <f>IF(WarehouseData[[#This Row],[stock_level]]&lt;=WarehouseData[[#This Row],[Demand During Lead Time]],"At Risk","Safe")</f>
        <v>Safe</v>
      </c>
      <c r="AA423">
        <f>WarehouseData[[#This Row],[stock_level]]/WarehouseData[[#This Row],[daily_demand]]</f>
        <v>107.55813953488372</v>
      </c>
      <c r="AB423">
        <f>WarehouseData[[#This Row],[stock_level]]*WarehouseData[[#This Row],[unit_price]]</f>
        <v>72605.099999999991</v>
      </c>
      <c r="AC423">
        <f>WarehouseData[[#This Row],[stock_level]]*WarehouseData[[#This Row],[holding_cost_per_unit_day]]*30</f>
        <v>4662</v>
      </c>
      <c r="AD423" t="str">
        <f>IF(WarehouseData[[#This Row],[order_fulfillment_rate]]&gt;=0.9,"Strong",IF(WarehouseData[[#This Row],[order_fulfillment_rate]]&gt;=0.8,"Moderate","Needs Attention"))</f>
        <v>Moderate</v>
      </c>
      <c r="AE423" t="str">
        <f>IF(WarehouseData[[#This Row],[picking_time_seconds]]&gt;120,"Slow",IF(WarehouseData[[#This Row],[picking_time_seconds]]&gt;=60,"Average","Fast"))</f>
        <v>Slow</v>
      </c>
    </row>
    <row r="424" spans="1:31" x14ac:dyDescent="0.25">
      <c r="A424" t="s">
        <v>561</v>
      </c>
      <c r="B424" t="s">
        <v>48</v>
      </c>
      <c r="C424">
        <v>431</v>
      </c>
      <c r="D424">
        <v>54</v>
      </c>
      <c r="E424">
        <v>4</v>
      </c>
      <c r="F424">
        <v>9</v>
      </c>
      <c r="G424">
        <v>13.92</v>
      </c>
      <c r="H424">
        <v>5.41</v>
      </c>
      <c r="I424">
        <v>0.11</v>
      </c>
      <c r="J424" t="s">
        <v>62</v>
      </c>
      <c r="K424" t="s">
        <v>38</v>
      </c>
      <c r="L424">
        <v>174</v>
      </c>
      <c r="M424">
        <v>3.07</v>
      </c>
      <c r="N424">
        <v>183.1</v>
      </c>
      <c r="O424">
        <v>0.89</v>
      </c>
      <c r="P424">
        <v>4</v>
      </c>
      <c r="Q424">
        <v>0.75</v>
      </c>
      <c r="R424">
        <v>997</v>
      </c>
      <c r="S424">
        <v>7</v>
      </c>
      <c r="T424">
        <v>0.48</v>
      </c>
      <c r="U424" s="1">
        <v>45342</v>
      </c>
      <c r="V424">
        <v>167.66</v>
      </c>
      <c r="W424">
        <v>0.56999999999999995</v>
      </c>
      <c r="X424" t="str">
        <f>IF(WarehouseData[[#This Row],[stock_level]]&lt;=WarehouseData[[#This Row],[reorder_point]],"Low Stock","Sufficient Stock")</f>
        <v>Sufficient Stock</v>
      </c>
      <c r="Y424">
        <f>WarehouseData[[#This Row],[daily_demand]]*WarehouseData[[#This Row],[lead_time_days]]</f>
        <v>125.28</v>
      </c>
      <c r="Z424" t="str">
        <f>IF(WarehouseData[[#This Row],[stock_level]]&lt;=WarehouseData[[#This Row],[Demand During Lead Time]],"At Risk","Safe")</f>
        <v>Safe</v>
      </c>
      <c r="AA424">
        <f>WarehouseData[[#This Row],[stock_level]]/WarehouseData[[#This Row],[daily_demand]]</f>
        <v>30.962643678160919</v>
      </c>
      <c r="AB424">
        <f>WarehouseData[[#This Row],[stock_level]]*WarehouseData[[#This Row],[unit_price]]</f>
        <v>78916.099999999991</v>
      </c>
      <c r="AC424">
        <f>WarehouseData[[#This Row],[stock_level]]*WarehouseData[[#This Row],[holding_cost_per_unit_day]]*30</f>
        <v>11507.7</v>
      </c>
      <c r="AD424" t="str">
        <f>IF(WarehouseData[[#This Row],[order_fulfillment_rate]]&gt;=0.9,"Strong",IF(WarehouseData[[#This Row],[order_fulfillment_rate]]&gt;=0.8,"Moderate","Needs Attention"))</f>
        <v>Needs Attention</v>
      </c>
      <c r="AE424" t="str">
        <f>IF(WarehouseData[[#This Row],[picking_time_seconds]]&gt;120,"Slow",IF(WarehouseData[[#This Row],[picking_time_seconds]]&gt;=60,"Average","Fast"))</f>
        <v>Slow</v>
      </c>
    </row>
    <row r="425" spans="1:31" x14ac:dyDescent="0.25">
      <c r="A425" t="s">
        <v>562</v>
      </c>
      <c r="B425" t="s">
        <v>48</v>
      </c>
      <c r="C425">
        <v>478</v>
      </c>
      <c r="D425">
        <v>15</v>
      </c>
      <c r="E425">
        <v>14</v>
      </c>
      <c r="F425">
        <v>5</v>
      </c>
      <c r="G425">
        <v>4.1900000000000004</v>
      </c>
      <c r="H425">
        <v>7.07</v>
      </c>
      <c r="I425">
        <v>0.54</v>
      </c>
      <c r="J425" t="s">
        <v>158</v>
      </c>
      <c r="K425" t="s">
        <v>34</v>
      </c>
      <c r="L425">
        <v>72</v>
      </c>
      <c r="M425">
        <v>3.18</v>
      </c>
      <c r="N425">
        <v>105.67</v>
      </c>
      <c r="O425">
        <v>0.57999999999999996</v>
      </c>
      <c r="P425">
        <v>8</v>
      </c>
      <c r="Q425">
        <v>0.96</v>
      </c>
      <c r="R425">
        <v>236</v>
      </c>
      <c r="S425">
        <v>4.3</v>
      </c>
      <c r="T425">
        <v>0.67</v>
      </c>
      <c r="U425" s="1">
        <v>45424</v>
      </c>
      <c r="V425">
        <v>80.03</v>
      </c>
      <c r="W425">
        <v>0.56499999999999995</v>
      </c>
      <c r="X425" t="str">
        <f>IF(WarehouseData[[#This Row],[stock_level]]&lt;=WarehouseData[[#This Row],[reorder_point]],"Low Stock","Sufficient Stock")</f>
        <v>Sufficient Stock</v>
      </c>
      <c r="Y425">
        <f>WarehouseData[[#This Row],[daily_demand]]*WarehouseData[[#This Row],[lead_time_days]]</f>
        <v>20.950000000000003</v>
      </c>
      <c r="Z425" t="str">
        <f>IF(WarehouseData[[#This Row],[stock_level]]&lt;=WarehouseData[[#This Row],[Demand During Lead Time]],"At Risk","Safe")</f>
        <v>Safe</v>
      </c>
      <c r="AA425">
        <f>WarehouseData[[#This Row],[stock_level]]/WarehouseData[[#This Row],[daily_demand]]</f>
        <v>114.08114558472553</v>
      </c>
      <c r="AB425">
        <f>WarehouseData[[#This Row],[stock_level]]*WarehouseData[[#This Row],[unit_price]]</f>
        <v>50510.26</v>
      </c>
      <c r="AC425">
        <f>WarehouseData[[#This Row],[stock_level]]*WarehouseData[[#This Row],[holding_cost_per_unit_day]]*30</f>
        <v>8317.2000000000007</v>
      </c>
      <c r="AD425" t="str">
        <f>IF(WarehouseData[[#This Row],[order_fulfillment_rate]]&gt;=0.9,"Strong",IF(WarehouseData[[#This Row],[order_fulfillment_rate]]&gt;=0.8,"Moderate","Needs Attention"))</f>
        <v>Strong</v>
      </c>
      <c r="AE425" t="str">
        <f>IF(WarehouseData[[#This Row],[picking_time_seconds]]&gt;120,"Slow",IF(WarehouseData[[#This Row],[picking_time_seconds]]&gt;=60,"Average","Fast"))</f>
        <v>Average</v>
      </c>
    </row>
    <row r="426" spans="1:31" x14ac:dyDescent="0.25">
      <c r="A426" t="s">
        <v>563</v>
      </c>
      <c r="B426" t="s">
        <v>40</v>
      </c>
      <c r="C426">
        <v>340</v>
      </c>
      <c r="D426">
        <v>30</v>
      </c>
      <c r="E426">
        <v>3</v>
      </c>
      <c r="F426">
        <v>7</v>
      </c>
      <c r="G426">
        <v>19.079999999999998</v>
      </c>
      <c r="H426">
        <v>0.96</v>
      </c>
      <c r="I426">
        <v>0.42</v>
      </c>
      <c r="J426" t="s">
        <v>316</v>
      </c>
      <c r="K426" t="s">
        <v>46</v>
      </c>
      <c r="L426">
        <v>166</v>
      </c>
      <c r="M426">
        <v>0.96</v>
      </c>
      <c r="N426">
        <v>102.79</v>
      </c>
      <c r="O426">
        <v>1.1399999999999999</v>
      </c>
      <c r="P426">
        <v>2</v>
      </c>
      <c r="Q426">
        <v>0.93</v>
      </c>
      <c r="R426">
        <v>581</v>
      </c>
      <c r="S426">
        <v>8.17</v>
      </c>
      <c r="T426">
        <v>0.5</v>
      </c>
      <c r="U426" s="1">
        <v>45405</v>
      </c>
      <c r="V426">
        <v>261.5</v>
      </c>
      <c r="W426">
        <v>0.64100000000000001</v>
      </c>
      <c r="X426" t="str">
        <f>IF(WarehouseData[[#This Row],[stock_level]]&lt;=WarehouseData[[#This Row],[reorder_point]],"Low Stock","Sufficient Stock")</f>
        <v>Sufficient Stock</v>
      </c>
      <c r="Y426">
        <f>WarehouseData[[#This Row],[daily_demand]]*WarehouseData[[#This Row],[lead_time_days]]</f>
        <v>133.56</v>
      </c>
      <c r="Z426" t="str">
        <f>IF(WarehouseData[[#This Row],[stock_level]]&lt;=WarehouseData[[#This Row],[Demand During Lead Time]],"At Risk","Safe")</f>
        <v>Safe</v>
      </c>
      <c r="AA426">
        <f>WarehouseData[[#This Row],[stock_level]]/WarehouseData[[#This Row],[daily_demand]]</f>
        <v>17.819706498951785</v>
      </c>
      <c r="AB426">
        <f>WarehouseData[[#This Row],[stock_level]]*WarehouseData[[#This Row],[unit_price]]</f>
        <v>34948.6</v>
      </c>
      <c r="AC426">
        <f>WarehouseData[[#This Row],[stock_level]]*WarehouseData[[#This Row],[holding_cost_per_unit_day]]*30</f>
        <v>11627.999999999998</v>
      </c>
      <c r="AD426" t="str">
        <f>IF(WarehouseData[[#This Row],[order_fulfillment_rate]]&gt;=0.9,"Strong",IF(WarehouseData[[#This Row],[order_fulfillment_rate]]&gt;=0.8,"Moderate","Needs Attention"))</f>
        <v>Strong</v>
      </c>
      <c r="AE426" t="str">
        <f>IF(WarehouseData[[#This Row],[picking_time_seconds]]&gt;120,"Slow",IF(WarehouseData[[#This Row],[picking_time_seconds]]&gt;=60,"Average","Fast"))</f>
        <v>Slow</v>
      </c>
    </row>
    <row r="427" spans="1:31" x14ac:dyDescent="0.25">
      <c r="A427" t="s">
        <v>564</v>
      </c>
      <c r="B427" t="s">
        <v>48</v>
      </c>
      <c r="C427">
        <v>68</v>
      </c>
      <c r="D427">
        <v>79</v>
      </c>
      <c r="E427">
        <v>4</v>
      </c>
      <c r="F427">
        <v>3</v>
      </c>
      <c r="G427">
        <v>41.81</v>
      </c>
      <c r="H427">
        <v>7.24</v>
      </c>
      <c r="I427">
        <v>0.6</v>
      </c>
      <c r="J427" t="s">
        <v>565</v>
      </c>
      <c r="K427" t="s">
        <v>34</v>
      </c>
      <c r="L427">
        <v>171</v>
      </c>
      <c r="M427">
        <v>0.51</v>
      </c>
      <c r="N427">
        <v>93.16</v>
      </c>
      <c r="O427">
        <v>1.98</v>
      </c>
      <c r="P427">
        <v>4</v>
      </c>
      <c r="Q427">
        <v>0.87</v>
      </c>
      <c r="R427">
        <v>324</v>
      </c>
      <c r="S427">
        <v>10.95</v>
      </c>
      <c r="T427">
        <v>0.68</v>
      </c>
      <c r="U427" s="1">
        <v>45553</v>
      </c>
      <c r="V427">
        <v>82.77</v>
      </c>
      <c r="W427">
        <v>0.57799999999999996</v>
      </c>
      <c r="X427" t="str">
        <f>IF(WarehouseData[[#This Row],[stock_level]]&lt;=WarehouseData[[#This Row],[reorder_point]],"Low Stock","Sufficient Stock")</f>
        <v>Low Stock</v>
      </c>
      <c r="Y427">
        <f>WarehouseData[[#This Row],[daily_demand]]*WarehouseData[[#This Row],[lead_time_days]]</f>
        <v>125.43</v>
      </c>
      <c r="Z427" t="str">
        <f>IF(WarehouseData[[#This Row],[stock_level]]&lt;=WarehouseData[[#This Row],[Demand During Lead Time]],"At Risk","Safe")</f>
        <v>At Risk</v>
      </c>
      <c r="AA427">
        <f>WarehouseData[[#This Row],[stock_level]]/WarehouseData[[#This Row],[daily_demand]]</f>
        <v>1.6264051662281749</v>
      </c>
      <c r="AB427">
        <f>WarehouseData[[#This Row],[stock_level]]*WarehouseData[[#This Row],[unit_price]]</f>
        <v>6334.88</v>
      </c>
      <c r="AC427">
        <f>WarehouseData[[#This Row],[stock_level]]*WarehouseData[[#This Row],[holding_cost_per_unit_day]]*30</f>
        <v>4039.2</v>
      </c>
      <c r="AD427" t="str">
        <f>IF(WarehouseData[[#This Row],[order_fulfillment_rate]]&gt;=0.9,"Strong",IF(WarehouseData[[#This Row],[order_fulfillment_rate]]&gt;=0.8,"Moderate","Needs Attention"))</f>
        <v>Moderate</v>
      </c>
      <c r="AE427" t="str">
        <f>IF(WarehouseData[[#This Row],[picking_time_seconds]]&gt;120,"Slow",IF(WarehouseData[[#This Row],[picking_time_seconds]]&gt;=60,"Average","Fast"))</f>
        <v>Slow</v>
      </c>
    </row>
    <row r="428" spans="1:31" x14ac:dyDescent="0.25">
      <c r="A428" t="s">
        <v>566</v>
      </c>
      <c r="B428" t="s">
        <v>73</v>
      </c>
      <c r="C428">
        <v>194</v>
      </c>
      <c r="D428">
        <v>57</v>
      </c>
      <c r="E428">
        <v>9</v>
      </c>
      <c r="F428">
        <v>4</v>
      </c>
      <c r="G428">
        <v>16.989999999999998</v>
      </c>
      <c r="H428">
        <v>6.03</v>
      </c>
      <c r="I428">
        <v>0.75</v>
      </c>
      <c r="J428" t="s">
        <v>90</v>
      </c>
      <c r="K428" t="s">
        <v>34</v>
      </c>
      <c r="L428">
        <v>138</v>
      </c>
      <c r="M428">
        <v>0.72</v>
      </c>
      <c r="N428">
        <v>15.27</v>
      </c>
      <c r="O428">
        <v>1.72</v>
      </c>
      <c r="P428">
        <v>7</v>
      </c>
      <c r="Q428">
        <v>0.85</v>
      </c>
      <c r="R428">
        <v>697</v>
      </c>
      <c r="S428">
        <v>9.57</v>
      </c>
      <c r="T428">
        <v>0.8</v>
      </c>
      <c r="U428" s="1">
        <v>45557</v>
      </c>
      <c r="V428">
        <v>202.23</v>
      </c>
      <c r="W428">
        <v>0.54600000000000004</v>
      </c>
      <c r="X428" t="str">
        <f>IF(WarehouseData[[#This Row],[stock_level]]&lt;=WarehouseData[[#This Row],[reorder_point]],"Low Stock","Sufficient Stock")</f>
        <v>Sufficient Stock</v>
      </c>
      <c r="Y428">
        <f>WarehouseData[[#This Row],[daily_demand]]*WarehouseData[[#This Row],[lead_time_days]]</f>
        <v>67.959999999999994</v>
      </c>
      <c r="Z428" t="str">
        <f>IF(WarehouseData[[#This Row],[stock_level]]&lt;=WarehouseData[[#This Row],[Demand During Lead Time]],"At Risk","Safe")</f>
        <v>Safe</v>
      </c>
      <c r="AA428">
        <f>WarehouseData[[#This Row],[stock_level]]/WarehouseData[[#This Row],[daily_demand]]</f>
        <v>11.418481459682168</v>
      </c>
      <c r="AB428">
        <f>WarehouseData[[#This Row],[stock_level]]*WarehouseData[[#This Row],[unit_price]]</f>
        <v>2962.38</v>
      </c>
      <c r="AC428">
        <f>WarehouseData[[#This Row],[stock_level]]*WarehouseData[[#This Row],[holding_cost_per_unit_day]]*30</f>
        <v>10010.4</v>
      </c>
      <c r="AD428" t="str">
        <f>IF(WarehouseData[[#This Row],[order_fulfillment_rate]]&gt;=0.9,"Strong",IF(WarehouseData[[#This Row],[order_fulfillment_rate]]&gt;=0.8,"Moderate","Needs Attention"))</f>
        <v>Moderate</v>
      </c>
      <c r="AE428" t="str">
        <f>IF(WarehouseData[[#This Row],[picking_time_seconds]]&gt;120,"Slow",IF(WarehouseData[[#This Row],[picking_time_seconds]]&gt;=60,"Average","Fast"))</f>
        <v>Slow</v>
      </c>
    </row>
    <row r="429" spans="1:31" x14ac:dyDescent="0.25">
      <c r="A429" t="s">
        <v>567</v>
      </c>
      <c r="B429" t="s">
        <v>36</v>
      </c>
      <c r="C429">
        <v>71</v>
      </c>
      <c r="D429">
        <v>48</v>
      </c>
      <c r="E429">
        <v>12</v>
      </c>
      <c r="F429">
        <v>8</v>
      </c>
      <c r="G429">
        <v>36.659999999999997</v>
      </c>
      <c r="H429">
        <v>2.38</v>
      </c>
      <c r="I429">
        <v>0.33</v>
      </c>
      <c r="J429" t="s">
        <v>281</v>
      </c>
      <c r="K429" t="s">
        <v>34</v>
      </c>
      <c r="L429">
        <v>57</v>
      </c>
      <c r="M429">
        <v>4.8499999999999996</v>
      </c>
      <c r="N429">
        <v>41.53</v>
      </c>
      <c r="O429">
        <v>0.61</v>
      </c>
      <c r="P429">
        <v>1</v>
      </c>
      <c r="Q429">
        <v>0.78</v>
      </c>
      <c r="R429">
        <v>588</v>
      </c>
      <c r="S429">
        <v>5.79</v>
      </c>
      <c r="T429">
        <v>0.46</v>
      </c>
      <c r="U429" s="1">
        <v>45577</v>
      </c>
      <c r="V429">
        <v>110.09</v>
      </c>
      <c r="W429">
        <v>0.64400000000000002</v>
      </c>
      <c r="X429" t="str">
        <f>IF(WarehouseData[[#This Row],[stock_level]]&lt;=WarehouseData[[#This Row],[reorder_point]],"Low Stock","Sufficient Stock")</f>
        <v>Sufficient Stock</v>
      </c>
      <c r="Y429">
        <f>WarehouseData[[#This Row],[daily_demand]]*WarehouseData[[#This Row],[lead_time_days]]</f>
        <v>293.27999999999997</v>
      </c>
      <c r="Z429" t="str">
        <f>IF(WarehouseData[[#This Row],[stock_level]]&lt;=WarehouseData[[#This Row],[Demand During Lead Time]],"At Risk","Safe")</f>
        <v>At Risk</v>
      </c>
      <c r="AA429">
        <f>WarehouseData[[#This Row],[stock_level]]/WarehouseData[[#This Row],[daily_demand]]</f>
        <v>1.9367157665030008</v>
      </c>
      <c r="AB429">
        <f>WarehouseData[[#This Row],[stock_level]]*WarehouseData[[#This Row],[unit_price]]</f>
        <v>2948.63</v>
      </c>
      <c r="AC429">
        <f>WarehouseData[[#This Row],[stock_level]]*WarehouseData[[#This Row],[holding_cost_per_unit_day]]*30</f>
        <v>1299.3000000000002</v>
      </c>
      <c r="AD429" t="str">
        <f>IF(WarehouseData[[#This Row],[order_fulfillment_rate]]&gt;=0.9,"Strong",IF(WarehouseData[[#This Row],[order_fulfillment_rate]]&gt;=0.8,"Moderate","Needs Attention"))</f>
        <v>Needs Attention</v>
      </c>
      <c r="AE429" t="str">
        <f>IF(WarehouseData[[#This Row],[picking_time_seconds]]&gt;120,"Slow",IF(WarehouseData[[#This Row],[picking_time_seconds]]&gt;=60,"Average","Fast"))</f>
        <v>Fast</v>
      </c>
    </row>
    <row r="430" spans="1:31" x14ac:dyDescent="0.25">
      <c r="A430" t="s">
        <v>568</v>
      </c>
      <c r="B430" t="s">
        <v>36</v>
      </c>
      <c r="C430">
        <v>121</v>
      </c>
      <c r="D430">
        <v>40</v>
      </c>
      <c r="E430">
        <v>8</v>
      </c>
      <c r="F430">
        <v>9</v>
      </c>
      <c r="G430">
        <v>5.6</v>
      </c>
      <c r="H430">
        <v>0.97</v>
      </c>
      <c r="I430">
        <v>0.24</v>
      </c>
      <c r="J430" t="s">
        <v>286</v>
      </c>
      <c r="K430" t="s">
        <v>38</v>
      </c>
      <c r="L430">
        <v>98</v>
      </c>
      <c r="M430">
        <v>1.07</v>
      </c>
      <c r="N430">
        <v>21.25</v>
      </c>
      <c r="O430">
        <v>0.8</v>
      </c>
      <c r="P430">
        <v>5</v>
      </c>
      <c r="Q430">
        <v>0.84</v>
      </c>
      <c r="R430">
        <v>697</v>
      </c>
      <c r="S430">
        <v>12.53</v>
      </c>
      <c r="T430">
        <v>0.62</v>
      </c>
      <c r="U430" s="1">
        <v>45589</v>
      </c>
      <c r="V430">
        <v>111.59</v>
      </c>
      <c r="W430">
        <v>0.67900000000000005</v>
      </c>
      <c r="X430" t="str">
        <f>IF(WarehouseData[[#This Row],[stock_level]]&lt;=WarehouseData[[#This Row],[reorder_point]],"Low Stock","Sufficient Stock")</f>
        <v>Sufficient Stock</v>
      </c>
      <c r="Y430">
        <f>WarehouseData[[#This Row],[daily_demand]]*WarehouseData[[#This Row],[lead_time_days]]</f>
        <v>50.4</v>
      </c>
      <c r="Z430" t="str">
        <f>IF(WarehouseData[[#This Row],[stock_level]]&lt;=WarehouseData[[#This Row],[Demand During Lead Time]],"At Risk","Safe")</f>
        <v>Safe</v>
      </c>
      <c r="AA430">
        <f>WarehouseData[[#This Row],[stock_level]]/WarehouseData[[#This Row],[daily_demand]]</f>
        <v>21.607142857142858</v>
      </c>
      <c r="AB430">
        <f>WarehouseData[[#This Row],[stock_level]]*WarehouseData[[#This Row],[unit_price]]</f>
        <v>2571.25</v>
      </c>
      <c r="AC430">
        <f>WarehouseData[[#This Row],[stock_level]]*WarehouseData[[#This Row],[holding_cost_per_unit_day]]*30</f>
        <v>2904.0000000000005</v>
      </c>
      <c r="AD430" t="str">
        <f>IF(WarehouseData[[#This Row],[order_fulfillment_rate]]&gt;=0.9,"Strong",IF(WarehouseData[[#This Row],[order_fulfillment_rate]]&gt;=0.8,"Moderate","Needs Attention"))</f>
        <v>Moderate</v>
      </c>
      <c r="AE430" t="str">
        <f>IF(WarehouseData[[#This Row],[picking_time_seconds]]&gt;120,"Slow",IF(WarehouseData[[#This Row],[picking_time_seconds]]&gt;=60,"Average","Fast"))</f>
        <v>Average</v>
      </c>
    </row>
    <row r="431" spans="1:31" x14ac:dyDescent="0.25">
      <c r="A431" t="s">
        <v>569</v>
      </c>
      <c r="B431" t="s">
        <v>32</v>
      </c>
      <c r="C431">
        <v>235</v>
      </c>
      <c r="D431">
        <v>19</v>
      </c>
      <c r="E431">
        <v>6</v>
      </c>
      <c r="F431">
        <v>9</v>
      </c>
      <c r="G431">
        <v>33.31</v>
      </c>
      <c r="H431">
        <v>1.53</v>
      </c>
      <c r="I431">
        <v>0.35</v>
      </c>
      <c r="J431" t="s">
        <v>183</v>
      </c>
      <c r="K431" t="s">
        <v>52</v>
      </c>
      <c r="L431">
        <v>136</v>
      </c>
      <c r="M431">
        <v>0.7</v>
      </c>
      <c r="N431">
        <v>142.31</v>
      </c>
      <c r="O431">
        <v>1.85</v>
      </c>
      <c r="P431">
        <v>3</v>
      </c>
      <c r="Q431">
        <v>0.89</v>
      </c>
      <c r="R431">
        <v>67</v>
      </c>
      <c r="S431">
        <v>2.4700000000000002</v>
      </c>
      <c r="T431">
        <v>0.84</v>
      </c>
      <c r="U431" s="1">
        <v>45644</v>
      </c>
      <c r="V431">
        <v>62.73</v>
      </c>
      <c r="W431">
        <v>0.53400000000000003</v>
      </c>
      <c r="X431" t="str">
        <f>IF(WarehouseData[[#This Row],[stock_level]]&lt;=WarehouseData[[#This Row],[reorder_point]],"Low Stock","Sufficient Stock")</f>
        <v>Sufficient Stock</v>
      </c>
      <c r="Y431">
        <f>WarehouseData[[#This Row],[daily_demand]]*WarehouseData[[#This Row],[lead_time_days]]</f>
        <v>299.79000000000002</v>
      </c>
      <c r="Z431" t="str">
        <f>IF(WarehouseData[[#This Row],[stock_level]]&lt;=WarehouseData[[#This Row],[Demand During Lead Time]],"At Risk","Safe")</f>
        <v>At Risk</v>
      </c>
      <c r="AA431">
        <f>WarehouseData[[#This Row],[stock_level]]/WarehouseData[[#This Row],[daily_demand]]</f>
        <v>7.0549384569198432</v>
      </c>
      <c r="AB431">
        <f>WarehouseData[[#This Row],[stock_level]]*WarehouseData[[#This Row],[unit_price]]</f>
        <v>33442.85</v>
      </c>
      <c r="AC431">
        <f>WarehouseData[[#This Row],[stock_level]]*WarehouseData[[#This Row],[holding_cost_per_unit_day]]*30</f>
        <v>13042.5</v>
      </c>
      <c r="AD431" t="str">
        <f>IF(WarehouseData[[#This Row],[order_fulfillment_rate]]&gt;=0.9,"Strong",IF(WarehouseData[[#This Row],[order_fulfillment_rate]]&gt;=0.8,"Moderate","Needs Attention"))</f>
        <v>Moderate</v>
      </c>
      <c r="AE431" t="str">
        <f>IF(WarehouseData[[#This Row],[picking_time_seconds]]&gt;120,"Slow",IF(WarehouseData[[#This Row],[picking_time_seconds]]&gt;=60,"Average","Fast"))</f>
        <v>Slow</v>
      </c>
    </row>
    <row r="432" spans="1:31" x14ac:dyDescent="0.25">
      <c r="A432" t="s">
        <v>570</v>
      </c>
      <c r="B432" t="s">
        <v>48</v>
      </c>
      <c r="C432">
        <v>457</v>
      </c>
      <c r="D432">
        <v>39</v>
      </c>
      <c r="E432">
        <v>3</v>
      </c>
      <c r="F432">
        <v>5</v>
      </c>
      <c r="G432">
        <v>16.52</v>
      </c>
      <c r="H432">
        <v>5.48</v>
      </c>
      <c r="I432">
        <v>0.1</v>
      </c>
      <c r="J432" t="s">
        <v>144</v>
      </c>
      <c r="K432" t="s">
        <v>46</v>
      </c>
      <c r="L432">
        <v>158</v>
      </c>
      <c r="M432">
        <v>1.89</v>
      </c>
      <c r="N432">
        <v>88.51</v>
      </c>
      <c r="O432">
        <v>1.81</v>
      </c>
      <c r="P432">
        <v>5</v>
      </c>
      <c r="Q432">
        <v>0.93</v>
      </c>
      <c r="R432">
        <v>334</v>
      </c>
      <c r="S432">
        <v>3</v>
      </c>
      <c r="T432">
        <v>0.75</v>
      </c>
      <c r="U432" s="1">
        <v>45586</v>
      </c>
      <c r="V432">
        <v>155.79</v>
      </c>
      <c r="W432">
        <v>0.495</v>
      </c>
      <c r="X432" t="str">
        <f>IF(WarehouseData[[#This Row],[stock_level]]&lt;=WarehouseData[[#This Row],[reorder_point]],"Low Stock","Sufficient Stock")</f>
        <v>Sufficient Stock</v>
      </c>
      <c r="Y432">
        <f>WarehouseData[[#This Row],[daily_demand]]*WarehouseData[[#This Row],[lead_time_days]]</f>
        <v>82.6</v>
      </c>
      <c r="Z432" t="str">
        <f>IF(WarehouseData[[#This Row],[stock_level]]&lt;=WarehouseData[[#This Row],[Demand During Lead Time]],"At Risk","Safe")</f>
        <v>Safe</v>
      </c>
      <c r="AA432">
        <f>WarehouseData[[#This Row],[stock_level]]/WarehouseData[[#This Row],[daily_demand]]</f>
        <v>27.663438256658598</v>
      </c>
      <c r="AB432">
        <f>WarehouseData[[#This Row],[stock_level]]*WarehouseData[[#This Row],[unit_price]]</f>
        <v>40449.07</v>
      </c>
      <c r="AC432">
        <f>WarehouseData[[#This Row],[stock_level]]*WarehouseData[[#This Row],[holding_cost_per_unit_day]]*30</f>
        <v>24815.100000000002</v>
      </c>
      <c r="AD432" t="str">
        <f>IF(WarehouseData[[#This Row],[order_fulfillment_rate]]&gt;=0.9,"Strong",IF(WarehouseData[[#This Row],[order_fulfillment_rate]]&gt;=0.8,"Moderate","Needs Attention"))</f>
        <v>Strong</v>
      </c>
      <c r="AE432" t="str">
        <f>IF(WarehouseData[[#This Row],[picking_time_seconds]]&gt;120,"Slow",IF(WarehouseData[[#This Row],[picking_time_seconds]]&gt;=60,"Average","Fast"))</f>
        <v>Slow</v>
      </c>
    </row>
    <row r="433" spans="1:31" x14ac:dyDescent="0.25">
      <c r="A433" t="s">
        <v>571</v>
      </c>
      <c r="B433" t="s">
        <v>73</v>
      </c>
      <c r="C433">
        <v>207</v>
      </c>
      <c r="D433">
        <v>27</v>
      </c>
      <c r="E433">
        <v>3</v>
      </c>
      <c r="F433">
        <v>8</v>
      </c>
      <c r="G433">
        <v>37.74</v>
      </c>
      <c r="H433">
        <v>7.7</v>
      </c>
      <c r="I433">
        <v>0.21</v>
      </c>
      <c r="J433" t="s">
        <v>316</v>
      </c>
      <c r="K433" t="s">
        <v>38</v>
      </c>
      <c r="L433">
        <v>171</v>
      </c>
      <c r="M433">
        <v>3.15</v>
      </c>
      <c r="N433">
        <v>22.12</v>
      </c>
      <c r="O433">
        <v>0.41</v>
      </c>
      <c r="P433">
        <v>2</v>
      </c>
      <c r="Q433">
        <v>0.72</v>
      </c>
      <c r="R433">
        <v>351</v>
      </c>
      <c r="S433">
        <v>6.66</v>
      </c>
      <c r="T433">
        <v>0.25</v>
      </c>
      <c r="U433" s="1">
        <v>45405</v>
      </c>
      <c r="V433">
        <v>177.99</v>
      </c>
      <c r="W433">
        <v>0.60199999999999998</v>
      </c>
      <c r="X433" t="str">
        <f>IF(WarehouseData[[#This Row],[stock_level]]&lt;=WarehouseData[[#This Row],[reorder_point]],"Low Stock","Sufficient Stock")</f>
        <v>Sufficient Stock</v>
      </c>
      <c r="Y433">
        <f>WarehouseData[[#This Row],[daily_demand]]*WarehouseData[[#This Row],[lead_time_days]]</f>
        <v>301.92</v>
      </c>
      <c r="Z433" t="str">
        <f>IF(WarehouseData[[#This Row],[stock_level]]&lt;=WarehouseData[[#This Row],[Demand During Lead Time]],"At Risk","Safe")</f>
        <v>At Risk</v>
      </c>
      <c r="AA433">
        <f>WarehouseData[[#This Row],[stock_level]]/WarehouseData[[#This Row],[daily_demand]]</f>
        <v>5.484896661367249</v>
      </c>
      <c r="AB433">
        <f>WarehouseData[[#This Row],[stock_level]]*WarehouseData[[#This Row],[unit_price]]</f>
        <v>4578.84</v>
      </c>
      <c r="AC433">
        <f>WarehouseData[[#This Row],[stock_level]]*WarehouseData[[#This Row],[holding_cost_per_unit_day]]*30</f>
        <v>2546.1</v>
      </c>
      <c r="AD433" t="str">
        <f>IF(WarehouseData[[#This Row],[order_fulfillment_rate]]&gt;=0.9,"Strong",IF(WarehouseData[[#This Row],[order_fulfillment_rate]]&gt;=0.8,"Moderate","Needs Attention"))</f>
        <v>Needs Attention</v>
      </c>
      <c r="AE433" t="str">
        <f>IF(WarehouseData[[#This Row],[picking_time_seconds]]&gt;120,"Slow",IF(WarehouseData[[#This Row],[picking_time_seconds]]&gt;=60,"Average","Fast"))</f>
        <v>Slow</v>
      </c>
    </row>
    <row r="434" spans="1:31" x14ac:dyDescent="0.25">
      <c r="A434" t="s">
        <v>572</v>
      </c>
      <c r="B434" t="s">
        <v>32</v>
      </c>
      <c r="C434">
        <v>76</v>
      </c>
      <c r="D434">
        <v>69</v>
      </c>
      <c r="E434">
        <v>7</v>
      </c>
      <c r="F434">
        <v>5</v>
      </c>
      <c r="G434">
        <v>7.68</v>
      </c>
      <c r="H434">
        <v>3.68</v>
      </c>
      <c r="I434">
        <v>0.78</v>
      </c>
      <c r="J434" t="s">
        <v>163</v>
      </c>
      <c r="K434" t="s">
        <v>34</v>
      </c>
      <c r="L434">
        <v>163</v>
      </c>
      <c r="M434">
        <v>4.7699999999999996</v>
      </c>
      <c r="N434">
        <v>141.21</v>
      </c>
      <c r="O434">
        <v>1.68</v>
      </c>
      <c r="P434">
        <v>5</v>
      </c>
      <c r="Q434">
        <v>0.91</v>
      </c>
      <c r="R434">
        <v>548</v>
      </c>
      <c r="S434">
        <v>10.83</v>
      </c>
      <c r="T434">
        <v>0.66</v>
      </c>
      <c r="U434" s="1">
        <v>45520</v>
      </c>
      <c r="V434">
        <v>178.49</v>
      </c>
      <c r="W434">
        <v>0.59</v>
      </c>
      <c r="X434" t="str">
        <f>IF(WarehouseData[[#This Row],[stock_level]]&lt;=WarehouseData[[#This Row],[reorder_point]],"Low Stock","Sufficient Stock")</f>
        <v>Sufficient Stock</v>
      </c>
      <c r="Y434">
        <f>WarehouseData[[#This Row],[daily_demand]]*WarehouseData[[#This Row],[lead_time_days]]</f>
        <v>38.4</v>
      </c>
      <c r="Z434" t="str">
        <f>IF(WarehouseData[[#This Row],[stock_level]]&lt;=WarehouseData[[#This Row],[Demand During Lead Time]],"At Risk","Safe")</f>
        <v>Safe</v>
      </c>
      <c r="AA434">
        <f>WarehouseData[[#This Row],[stock_level]]/WarehouseData[[#This Row],[daily_demand]]</f>
        <v>9.8958333333333339</v>
      </c>
      <c r="AB434">
        <f>WarehouseData[[#This Row],[stock_level]]*WarehouseData[[#This Row],[unit_price]]</f>
        <v>10731.960000000001</v>
      </c>
      <c r="AC434">
        <f>WarehouseData[[#This Row],[stock_level]]*WarehouseData[[#This Row],[holding_cost_per_unit_day]]*30</f>
        <v>3830.3999999999996</v>
      </c>
      <c r="AD434" t="str">
        <f>IF(WarehouseData[[#This Row],[order_fulfillment_rate]]&gt;=0.9,"Strong",IF(WarehouseData[[#This Row],[order_fulfillment_rate]]&gt;=0.8,"Moderate","Needs Attention"))</f>
        <v>Strong</v>
      </c>
      <c r="AE434" t="str">
        <f>IF(WarehouseData[[#This Row],[picking_time_seconds]]&gt;120,"Slow",IF(WarehouseData[[#This Row],[picking_time_seconds]]&gt;=60,"Average","Fast"))</f>
        <v>Slow</v>
      </c>
    </row>
    <row r="435" spans="1:31" x14ac:dyDescent="0.25">
      <c r="A435" t="s">
        <v>573</v>
      </c>
      <c r="B435" t="s">
        <v>40</v>
      </c>
      <c r="C435">
        <v>66</v>
      </c>
      <c r="D435">
        <v>97</v>
      </c>
      <c r="E435">
        <v>3</v>
      </c>
      <c r="F435">
        <v>2</v>
      </c>
      <c r="G435">
        <v>45</v>
      </c>
      <c r="H435">
        <v>4.0999999999999996</v>
      </c>
      <c r="I435">
        <v>0.3</v>
      </c>
      <c r="J435" t="s">
        <v>57</v>
      </c>
      <c r="K435" t="s">
        <v>34</v>
      </c>
      <c r="L435">
        <v>45</v>
      </c>
      <c r="M435">
        <v>3.65</v>
      </c>
      <c r="N435">
        <v>132.44</v>
      </c>
      <c r="O435">
        <v>0.67</v>
      </c>
      <c r="P435">
        <v>6</v>
      </c>
      <c r="Q435">
        <v>0.92</v>
      </c>
      <c r="R435">
        <v>981</v>
      </c>
      <c r="S435">
        <v>10.72</v>
      </c>
      <c r="T435">
        <v>0.5</v>
      </c>
      <c r="U435" s="1">
        <v>45483</v>
      </c>
      <c r="V435">
        <v>258.42</v>
      </c>
      <c r="W435">
        <v>0.64</v>
      </c>
      <c r="X435" t="str">
        <f>IF(WarehouseData[[#This Row],[stock_level]]&lt;=WarehouseData[[#This Row],[reorder_point]],"Low Stock","Sufficient Stock")</f>
        <v>Low Stock</v>
      </c>
      <c r="Y435">
        <f>WarehouseData[[#This Row],[daily_demand]]*WarehouseData[[#This Row],[lead_time_days]]</f>
        <v>90</v>
      </c>
      <c r="Z435" t="str">
        <f>IF(WarehouseData[[#This Row],[stock_level]]&lt;=WarehouseData[[#This Row],[Demand During Lead Time]],"At Risk","Safe")</f>
        <v>At Risk</v>
      </c>
      <c r="AA435">
        <f>WarehouseData[[#This Row],[stock_level]]/WarehouseData[[#This Row],[daily_demand]]</f>
        <v>1.4666666666666666</v>
      </c>
      <c r="AB435">
        <f>WarehouseData[[#This Row],[stock_level]]*WarehouseData[[#This Row],[unit_price]]</f>
        <v>8741.0399999999991</v>
      </c>
      <c r="AC435">
        <f>WarehouseData[[#This Row],[stock_level]]*WarehouseData[[#This Row],[holding_cost_per_unit_day]]*30</f>
        <v>1326.6000000000001</v>
      </c>
      <c r="AD435" t="str">
        <f>IF(WarehouseData[[#This Row],[order_fulfillment_rate]]&gt;=0.9,"Strong",IF(WarehouseData[[#This Row],[order_fulfillment_rate]]&gt;=0.8,"Moderate","Needs Attention"))</f>
        <v>Strong</v>
      </c>
      <c r="AE435" t="str">
        <f>IF(WarehouseData[[#This Row],[picking_time_seconds]]&gt;120,"Slow",IF(WarehouseData[[#This Row],[picking_time_seconds]]&gt;=60,"Average","Fast"))</f>
        <v>Fast</v>
      </c>
    </row>
    <row r="436" spans="1:31" x14ac:dyDescent="0.25">
      <c r="A436" t="s">
        <v>574</v>
      </c>
      <c r="B436" t="s">
        <v>32</v>
      </c>
      <c r="C436">
        <v>178</v>
      </c>
      <c r="D436">
        <v>82</v>
      </c>
      <c r="E436">
        <v>14</v>
      </c>
      <c r="F436">
        <v>8</v>
      </c>
      <c r="G436">
        <v>12.89</v>
      </c>
      <c r="H436">
        <v>9.3699999999999992</v>
      </c>
      <c r="I436">
        <v>0.99</v>
      </c>
      <c r="J436" t="s">
        <v>54</v>
      </c>
      <c r="K436" t="s">
        <v>52</v>
      </c>
      <c r="L436">
        <v>160</v>
      </c>
      <c r="M436">
        <v>1.74</v>
      </c>
      <c r="N436">
        <v>146.79</v>
      </c>
      <c r="O436">
        <v>1.1299999999999999</v>
      </c>
      <c r="P436">
        <v>9</v>
      </c>
      <c r="Q436">
        <v>0.87</v>
      </c>
      <c r="R436">
        <v>948</v>
      </c>
      <c r="S436">
        <v>6.13</v>
      </c>
      <c r="T436">
        <v>0.77</v>
      </c>
      <c r="U436" s="1">
        <v>45492</v>
      </c>
      <c r="V436">
        <v>199.18</v>
      </c>
      <c r="W436">
        <v>0.51700000000000002</v>
      </c>
      <c r="X436" t="str">
        <f>IF(WarehouseData[[#This Row],[stock_level]]&lt;=WarehouseData[[#This Row],[reorder_point]],"Low Stock","Sufficient Stock")</f>
        <v>Sufficient Stock</v>
      </c>
      <c r="Y436">
        <f>WarehouseData[[#This Row],[daily_demand]]*WarehouseData[[#This Row],[lead_time_days]]</f>
        <v>103.12</v>
      </c>
      <c r="Z436" t="str">
        <f>IF(WarehouseData[[#This Row],[stock_level]]&lt;=WarehouseData[[#This Row],[Demand During Lead Time]],"At Risk","Safe")</f>
        <v>Safe</v>
      </c>
      <c r="AA436">
        <f>WarehouseData[[#This Row],[stock_level]]/WarehouseData[[#This Row],[daily_demand]]</f>
        <v>13.809154383242824</v>
      </c>
      <c r="AB436">
        <f>WarehouseData[[#This Row],[stock_level]]*WarehouseData[[#This Row],[unit_price]]</f>
        <v>26128.62</v>
      </c>
      <c r="AC436">
        <f>WarehouseData[[#This Row],[stock_level]]*WarehouseData[[#This Row],[holding_cost_per_unit_day]]*30</f>
        <v>6034.2</v>
      </c>
      <c r="AD436" t="str">
        <f>IF(WarehouseData[[#This Row],[order_fulfillment_rate]]&gt;=0.9,"Strong",IF(WarehouseData[[#This Row],[order_fulfillment_rate]]&gt;=0.8,"Moderate","Needs Attention"))</f>
        <v>Moderate</v>
      </c>
      <c r="AE436" t="str">
        <f>IF(WarehouseData[[#This Row],[picking_time_seconds]]&gt;120,"Slow",IF(WarehouseData[[#This Row],[picking_time_seconds]]&gt;=60,"Average","Fast"))</f>
        <v>Slow</v>
      </c>
    </row>
    <row r="437" spans="1:31" x14ac:dyDescent="0.25">
      <c r="A437" t="s">
        <v>575</v>
      </c>
      <c r="B437" t="s">
        <v>32</v>
      </c>
      <c r="C437">
        <v>193</v>
      </c>
      <c r="D437">
        <v>24</v>
      </c>
      <c r="E437">
        <v>9</v>
      </c>
      <c r="F437">
        <v>2</v>
      </c>
      <c r="G437">
        <v>18.3</v>
      </c>
      <c r="H437">
        <v>2.52</v>
      </c>
      <c r="I437">
        <v>0.25</v>
      </c>
      <c r="J437" t="s">
        <v>129</v>
      </c>
      <c r="K437" t="s">
        <v>52</v>
      </c>
      <c r="L437">
        <v>90</v>
      </c>
      <c r="M437">
        <v>4.7300000000000004</v>
      </c>
      <c r="N437">
        <v>123.97</v>
      </c>
      <c r="O437">
        <v>0.11</v>
      </c>
      <c r="P437">
        <v>2</v>
      </c>
      <c r="Q437">
        <v>0.76</v>
      </c>
      <c r="R437">
        <v>954</v>
      </c>
      <c r="S437">
        <v>10.75</v>
      </c>
      <c r="T437">
        <v>0.21</v>
      </c>
      <c r="U437" s="1">
        <v>45529</v>
      </c>
      <c r="V437">
        <v>224.67</v>
      </c>
      <c r="W437">
        <v>0.68600000000000005</v>
      </c>
      <c r="X437" t="str">
        <f>IF(WarehouseData[[#This Row],[stock_level]]&lt;=WarehouseData[[#This Row],[reorder_point]],"Low Stock","Sufficient Stock")</f>
        <v>Sufficient Stock</v>
      </c>
      <c r="Y437">
        <f>WarehouseData[[#This Row],[daily_demand]]*WarehouseData[[#This Row],[lead_time_days]]</f>
        <v>36.6</v>
      </c>
      <c r="Z437" t="str">
        <f>IF(WarehouseData[[#This Row],[stock_level]]&lt;=WarehouseData[[#This Row],[Demand During Lead Time]],"At Risk","Safe")</f>
        <v>Safe</v>
      </c>
      <c r="AA437">
        <f>WarehouseData[[#This Row],[stock_level]]/WarehouseData[[#This Row],[daily_demand]]</f>
        <v>10.546448087431694</v>
      </c>
      <c r="AB437">
        <f>WarehouseData[[#This Row],[stock_level]]*WarehouseData[[#This Row],[unit_price]]</f>
        <v>23926.21</v>
      </c>
      <c r="AC437">
        <f>WarehouseData[[#This Row],[stock_level]]*WarehouseData[[#This Row],[holding_cost_per_unit_day]]*30</f>
        <v>636.9</v>
      </c>
      <c r="AD437" t="str">
        <f>IF(WarehouseData[[#This Row],[order_fulfillment_rate]]&gt;=0.9,"Strong",IF(WarehouseData[[#This Row],[order_fulfillment_rate]]&gt;=0.8,"Moderate","Needs Attention"))</f>
        <v>Needs Attention</v>
      </c>
      <c r="AE437" t="str">
        <f>IF(WarehouseData[[#This Row],[picking_time_seconds]]&gt;120,"Slow",IF(WarehouseData[[#This Row],[picking_time_seconds]]&gt;=60,"Average","Fast"))</f>
        <v>Average</v>
      </c>
    </row>
    <row r="438" spans="1:31" x14ac:dyDescent="0.25">
      <c r="A438" t="s">
        <v>576</v>
      </c>
      <c r="B438" t="s">
        <v>48</v>
      </c>
      <c r="C438">
        <v>261</v>
      </c>
      <c r="D438">
        <v>13</v>
      </c>
      <c r="E438">
        <v>13</v>
      </c>
      <c r="F438">
        <v>9</v>
      </c>
      <c r="G438">
        <v>47.56</v>
      </c>
      <c r="H438">
        <v>1.49</v>
      </c>
      <c r="I438">
        <v>0.81</v>
      </c>
      <c r="J438" t="s">
        <v>37</v>
      </c>
      <c r="K438" t="s">
        <v>52</v>
      </c>
      <c r="L438">
        <v>56</v>
      </c>
      <c r="M438">
        <v>0.66</v>
      </c>
      <c r="N438">
        <v>40.69</v>
      </c>
      <c r="O438">
        <v>2</v>
      </c>
      <c r="P438">
        <v>4</v>
      </c>
      <c r="Q438">
        <v>0.86</v>
      </c>
      <c r="R438">
        <v>699</v>
      </c>
      <c r="S438">
        <v>1.85</v>
      </c>
      <c r="T438">
        <v>0.46</v>
      </c>
      <c r="U438" s="1">
        <v>45639</v>
      </c>
      <c r="V438">
        <v>103.8</v>
      </c>
      <c r="W438">
        <v>0.40899999999999997</v>
      </c>
      <c r="X438" t="str">
        <f>IF(WarehouseData[[#This Row],[stock_level]]&lt;=WarehouseData[[#This Row],[reorder_point]],"Low Stock","Sufficient Stock")</f>
        <v>Sufficient Stock</v>
      </c>
      <c r="Y438">
        <f>WarehouseData[[#This Row],[daily_demand]]*WarehouseData[[#This Row],[lead_time_days]]</f>
        <v>428.04</v>
      </c>
      <c r="Z438" t="str">
        <f>IF(WarehouseData[[#This Row],[stock_level]]&lt;=WarehouseData[[#This Row],[Demand During Lead Time]],"At Risk","Safe")</f>
        <v>At Risk</v>
      </c>
      <c r="AA438">
        <f>WarehouseData[[#This Row],[stock_level]]/WarehouseData[[#This Row],[daily_demand]]</f>
        <v>5.48780487804878</v>
      </c>
      <c r="AB438">
        <f>WarehouseData[[#This Row],[stock_level]]*WarehouseData[[#This Row],[unit_price]]</f>
        <v>10620.09</v>
      </c>
      <c r="AC438">
        <f>WarehouseData[[#This Row],[stock_level]]*WarehouseData[[#This Row],[holding_cost_per_unit_day]]*30</f>
        <v>15660</v>
      </c>
      <c r="AD438" t="str">
        <f>IF(WarehouseData[[#This Row],[order_fulfillment_rate]]&gt;=0.9,"Strong",IF(WarehouseData[[#This Row],[order_fulfillment_rate]]&gt;=0.8,"Moderate","Needs Attention"))</f>
        <v>Moderate</v>
      </c>
      <c r="AE438" t="str">
        <f>IF(WarehouseData[[#This Row],[picking_time_seconds]]&gt;120,"Slow",IF(WarehouseData[[#This Row],[picking_time_seconds]]&gt;=60,"Average","Fast"))</f>
        <v>Fast</v>
      </c>
    </row>
    <row r="439" spans="1:31" x14ac:dyDescent="0.25">
      <c r="A439" t="s">
        <v>577</v>
      </c>
      <c r="B439" t="s">
        <v>40</v>
      </c>
      <c r="C439">
        <v>301</v>
      </c>
      <c r="D439">
        <v>72</v>
      </c>
      <c r="E439">
        <v>3</v>
      </c>
      <c r="F439">
        <v>7</v>
      </c>
      <c r="G439">
        <v>29.35</v>
      </c>
      <c r="H439">
        <v>3.76</v>
      </c>
      <c r="I439">
        <v>0.73</v>
      </c>
      <c r="J439" t="s">
        <v>57</v>
      </c>
      <c r="K439" t="s">
        <v>38</v>
      </c>
      <c r="L439">
        <v>157</v>
      </c>
      <c r="M439">
        <v>4.91</v>
      </c>
      <c r="N439">
        <v>21.66</v>
      </c>
      <c r="O439">
        <v>1.55</v>
      </c>
      <c r="P439">
        <v>7</v>
      </c>
      <c r="Q439">
        <v>0.85</v>
      </c>
      <c r="R439">
        <v>793</v>
      </c>
      <c r="S439">
        <v>5.0599999999999996</v>
      </c>
      <c r="T439">
        <v>0.27</v>
      </c>
      <c r="U439" s="1">
        <v>45593</v>
      </c>
      <c r="V439">
        <v>132</v>
      </c>
      <c r="W439">
        <v>0.39600000000000002</v>
      </c>
      <c r="X439" t="str">
        <f>IF(WarehouseData[[#This Row],[stock_level]]&lt;=WarehouseData[[#This Row],[reorder_point]],"Low Stock","Sufficient Stock")</f>
        <v>Sufficient Stock</v>
      </c>
      <c r="Y439">
        <f>WarehouseData[[#This Row],[daily_demand]]*WarehouseData[[#This Row],[lead_time_days]]</f>
        <v>205.45000000000002</v>
      </c>
      <c r="Z439" t="str">
        <f>IF(WarehouseData[[#This Row],[stock_level]]&lt;=WarehouseData[[#This Row],[Demand During Lead Time]],"At Risk","Safe")</f>
        <v>Safe</v>
      </c>
      <c r="AA439">
        <f>WarehouseData[[#This Row],[stock_level]]/WarehouseData[[#This Row],[daily_demand]]</f>
        <v>10.255536626916523</v>
      </c>
      <c r="AB439">
        <f>WarehouseData[[#This Row],[stock_level]]*WarehouseData[[#This Row],[unit_price]]</f>
        <v>6519.66</v>
      </c>
      <c r="AC439">
        <f>WarehouseData[[#This Row],[stock_level]]*WarehouseData[[#This Row],[holding_cost_per_unit_day]]*30</f>
        <v>13996.5</v>
      </c>
      <c r="AD439" t="str">
        <f>IF(WarehouseData[[#This Row],[order_fulfillment_rate]]&gt;=0.9,"Strong",IF(WarehouseData[[#This Row],[order_fulfillment_rate]]&gt;=0.8,"Moderate","Needs Attention"))</f>
        <v>Moderate</v>
      </c>
      <c r="AE439" t="str">
        <f>IF(WarehouseData[[#This Row],[picking_time_seconds]]&gt;120,"Slow",IF(WarehouseData[[#This Row],[picking_time_seconds]]&gt;=60,"Average","Fast"))</f>
        <v>Slow</v>
      </c>
    </row>
    <row r="440" spans="1:31" x14ac:dyDescent="0.25">
      <c r="A440" t="s">
        <v>578</v>
      </c>
      <c r="B440" t="s">
        <v>32</v>
      </c>
      <c r="C440">
        <v>260</v>
      </c>
      <c r="D440">
        <v>49</v>
      </c>
      <c r="E440">
        <v>3</v>
      </c>
      <c r="F440">
        <v>2</v>
      </c>
      <c r="G440">
        <v>18.920000000000002</v>
      </c>
      <c r="H440">
        <v>7.59</v>
      </c>
      <c r="I440">
        <v>0.39</v>
      </c>
      <c r="J440" t="s">
        <v>245</v>
      </c>
      <c r="K440" t="s">
        <v>46</v>
      </c>
      <c r="L440">
        <v>36</v>
      </c>
      <c r="M440">
        <v>0.76</v>
      </c>
      <c r="N440">
        <v>165.26</v>
      </c>
      <c r="O440">
        <v>0.56000000000000005</v>
      </c>
      <c r="P440">
        <v>1</v>
      </c>
      <c r="Q440">
        <v>0.84</v>
      </c>
      <c r="R440">
        <v>901</v>
      </c>
      <c r="S440">
        <v>10.71</v>
      </c>
      <c r="T440">
        <v>0.94</v>
      </c>
      <c r="U440" s="1">
        <v>45645</v>
      </c>
      <c r="V440">
        <v>15.3</v>
      </c>
      <c r="W440">
        <v>0.82299999999999995</v>
      </c>
      <c r="X440" t="str">
        <f>IF(WarehouseData[[#This Row],[stock_level]]&lt;=WarehouseData[[#This Row],[reorder_point]],"Low Stock","Sufficient Stock")</f>
        <v>Sufficient Stock</v>
      </c>
      <c r="Y440">
        <f>WarehouseData[[#This Row],[daily_demand]]*WarehouseData[[#This Row],[lead_time_days]]</f>
        <v>37.840000000000003</v>
      </c>
      <c r="Z440" t="str">
        <f>IF(WarehouseData[[#This Row],[stock_level]]&lt;=WarehouseData[[#This Row],[Demand During Lead Time]],"At Risk","Safe")</f>
        <v>Safe</v>
      </c>
      <c r="AA440">
        <f>WarehouseData[[#This Row],[stock_level]]/WarehouseData[[#This Row],[daily_demand]]</f>
        <v>13.742071881606764</v>
      </c>
      <c r="AB440">
        <f>WarehouseData[[#This Row],[stock_level]]*WarehouseData[[#This Row],[unit_price]]</f>
        <v>42967.6</v>
      </c>
      <c r="AC440">
        <f>WarehouseData[[#This Row],[stock_level]]*WarehouseData[[#This Row],[holding_cost_per_unit_day]]*30</f>
        <v>4368.0000000000009</v>
      </c>
      <c r="AD440" t="str">
        <f>IF(WarehouseData[[#This Row],[order_fulfillment_rate]]&gt;=0.9,"Strong",IF(WarehouseData[[#This Row],[order_fulfillment_rate]]&gt;=0.8,"Moderate","Needs Attention"))</f>
        <v>Moderate</v>
      </c>
      <c r="AE440" t="str">
        <f>IF(WarehouseData[[#This Row],[picking_time_seconds]]&gt;120,"Slow",IF(WarehouseData[[#This Row],[picking_time_seconds]]&gt;=60,"Average","Fast"))</f>
        <v>Fast</v>
      </c>
    </row>
    <row r="441" spans="1:31" x14ac:dyDescent="0.25">
      <c r="A441" t="s">
        <v>579</v>
      </c>
      <c r="B441" t="s">
        <v>73</v>
      </c>
      <c r="C441">
        <v>389</v>
      </c>
      <c r="D441">
        <v>18</v>
      </c>
      <c r="E441">
        <v>4</v>
      </c>
      <c r="F441">
        <v>8</v>
      </c>
      <c r="G441">
        <v>47.53</v>
      </c>
      <c r="H441">
        <v>6.45</v>
      </c>
      <c r="I441">
        <v>0.4</v>
      </c>
      <c r="J441" t="s">
        <v>144</v>
      </c>
      <c r="K441" t="s">
        <v>52</v>
      </c>
      <c r="L441">
        <v>174</v>
      </c>
      <c r="M441">
        <v>3.89</v>
      </c>
      <c r="N441">
        <v>51</v>
      </c>
      <c r="O441">
        <v>1.4</v>
      </c>
      <c r="P441">
        <v>6</v>
      </c>
      <c r="Q441">
        <v>0.84</v>
      </c>
      <c r="R441">
        <v>306</v>
      </c>
      <c r="S441">
        <v>3.58</v>
      </c>
      <c r="T441">
        <v>0.9</v>
      </c>
      <c r="U441" s="1">
        <v>45548</v>
      </c>
      <c r="V441">
        <v>32.94</v>
      </c>
      <c r="W441">
        <v>0.53600000000000003</v>
      </c>
      <c r="X441" t="str">
        <f>IF(WarehouseData[[#This Row],[stock_level]]&lt;=WarehouseData[[#This Row],[reorder_point]],"Low Stock","Sufficient Stock")</f>
        <v>Sufficient Stock</v>
      </c>
      <c r="Y441">
        <f>WarehouseData[[#This Row],[daily_demand]]*WarehouseData[[#This Row],[lead_time_days]]</f>
        <v>380.24</v>
      </c>
      <c r="Z441" t="str">
        <f>IF(WarehouseData[[#This Row],[stock_level]]&lt;=WarehouseData[[#This Row],[Demand During Lead Time]],"At Risk","Safe")</f>
        <v>Safe</v>
      </c>
      <c r="AA441">
        <f>WarehouseData[[#This Row],[stock_level]]/WarehouseData[[#This Row],[daily_demand]]</f>
        <v>8.1843046496949299</v>
      </c>
      <c r="AB441">
        <f>WarehouseData[[#This Row],[stock_level]]*WarehouseData[[#This Row],[unit_price]]</f>
        <v>19839</v>
      </c>
      <c r="AC441">
        <f>WarehouseData[[#This Row],[stock_level]]*WarehouseData[[#This Row],[holding_cost_per_unit_day]]*30</f>
        <v>16337.999999999996</v>
      </c>
      <c r="AD441" t="str">
        <f>IF(WarehouseData[[#This Row],[order_fulfillment_rate]]&gt;=0.9,"Strong",IF(WarehouseData[[#This Row],[order_fulfillment_rate]]&gt;=0.8,"Moderate","Needs Attention"))</f>
        <v>Moderate</v>
      </c>
      <c r="AE441" t="str">
        <f>IF(WarehouseData[[#This Row],[picking_time_seconds]]&gt;120,"Slow",IF(WarehouseData[[#This Row],[picking_time_seconds]]&gt;=60,"Average","Fast"))</f>
        <v>Slow</v>
      </c>
    </row>
    <row r="442" spans="1:31" x14ac:dyDescent="0.25">
      <c r="A442" t="s">
        <v>580</v>
      </c>
      <c r="B442" t="s">
        <v>73</v>
      </c>
      <c r="C442">
        <v>24</v>
      </c>
      <c r="D442">
        <v>18</v>
      </c>
      <c r="E442">
        <v>13</v>
      </c>
      <c r="F442">
        <v>6</v>
      </c>
      <c r="G442">
        <v>17.12</v>
      </c>
      <c r="H442">
        <v>4.45</v>
      </c>
      <c r="I442">
        <v>0.61</v>
      </c>
      <c r="J442" t="s">
        <v>113</v>
      </c>
      <c r="K442" t="s">
        <v>34</v>
      </c>
      <c r="L442">
        <v>61</v>
      </c>
      <c r="M442">
        <v>0.7</v>
      </c>
      <c r="N442">
        <v>113.08</v>
      </c>
      <c r="O442">
        <v>0.66</v>
      </c>
      <c r="P442">
        <v>0</v>
      </c>
      <c r="Q442">
        <v>0.73</v>
      </c>
      <c r="R442">
        <v>268</v>
      </c>
      <c r="S442">
        <v>3.98</v>
      </c>
      <c r="T442">
        <v>0.97</v>
      </c>
      <c r="U442" s="1">
        <v>45369</v>
      </c>
      <c r="V442">
        <v>121.68</v>
      </c>
      <c r="W442">
        <v>0.72699999999999998</v>
      </c>
      <c r="X442" t="str">
        <f>IF(WarehouseData[[#This Row],[stock_level]]&lt;=WarehouseData[[#This Row],[reorder_point]],"Low Stock","Sufficient Stock")</f>
        <v>Sufficient Stock</v>
      </c>
      <c r="Y442">
        <f>WarehouseData[[#This Row],[daily_demand]]*WarehouseData[[#This Row],[lead_time_days]]</f>
        <v>102.72</v>
      </c>
      <c r="Z442" t="str">
        <f>IF(WarehouseData[[#This Row],[stock_level]]&lt;=WarehouseData[[#This Row],[Demand During Lead Time]],"At Risk","Safe")</f>
        <v>At Risk</v>
      </c>
      <c r="AA442">
        <f>WarehouseData[[#This Row],[stock_level]]/WarehouseData[[#This Row],[daily_demand]]</f>
        <v>1.4018691588785046</v>
      </c>
      <c r="AB442">
        <f>WarehouseData[[#This Row],[stock_level]]*WarehouseData[[#This Row],[unit_price]]</f>
        <v>2713.92</v>
      </c>
      <c r="AC442">
        <f>WarehouseData[[#This Row],[stock_level]]*WarehouseData[[#This Row],[holding_cost_per_unit_day]]*30</f>
        <v>475.2</v>
      </c>
      <c r="AD442" t="str">
        <f>IF(WarehouseData[[#This Row],[order_fulfillment_rate]]&gt;=0.9,"Strong",IF(WarehouseData[[#This Row],[order_fulfillment_rate]]&gt;=0.8,"Moderate","Needs Attention"))</f>
        <v>Needs Attention</v>
      </c>
      <c r="AE442" t="str">
        <f>IF(WarehouseData[[#This Row],[picking_time_seconds]]&gt;120,"Slow",IF(WarehouseData[[#This Row],[picking_time_seconds]]&gt;=60,"Average","Fast"))</f>
        <v>Average</v>
      </c>
    </row>
    <row r="443" spans="1:31" x14ac:dyDescent="0.25">
      <c r="A443" t="s">
        <v>581</v>
      </c>
      <c r="B443" t="s">
        <v>36</v>
      </c>
      <c r="C443">
        <v>103</v>
      </c>
      <c r="D443">
        <v>35</v>
      </c>
      <c r="E443">
        <v>14</v>
      </c>
      <c r="F443">
        <v>8</v>
      </c>
      <c r="G443">
        <v>5.65</v>
      </c>
      <c r="H443">
        <v>9.67</v>
      </c>
      <c r="I443">
        <v>0.87</v>
      </c>
      <c r="J443" t="s">
        <v>185</v>
      </c>
      <c r="K443" t="s">
        <v>46</v>
      </c>
      <c r="L443">
        <v>84</v>
      </c>
      <c r="M443">
        <v>4.6900000000000004</v>
      </c>
      <c r="N443">
        <v>102.19</v>
      </c>
      <c r="O443">
        <v>0.27</v>
      </c>
      <c r="P443">
        <v>6</v>
      </c>
      <c r="Q443">
        <v>0.75</v>
      </c>
      <c r="R443">
        <v>693</v>
      </c>
      <c r="S443">
        <v>2.2200000000000002</v>
      </c>
      <c r="T443">
        <v>0.71</v>
      </c>
      <c r="U443" s="1">
        <v>45468</v>
      </c>
      <c r="V443">
        <v>70.819999999999993</v>
      </c>
      <c r="W443">
        <v>0.57499999999999996</v>
      </c>
      <c r="X443" t="str">
        <f>IF(WarehouseData[[#This Row],[stock_level]]&lt;=WarehouseData[[#This Row],[reorder_point]],"Low Stock","Sufficient Stock")</f>
        <v>Sufficient Stock</v>
      </c>
      <c r="Y443">
        <f>WarehouseData[[#This Row],[daily_demand]]*WarehouseData[[#This Row],[lead_time_days]]</f>
        <v>45.2</v>
      </c>
      <c r="Z443" t="str">
        <f>IF(WarehouseData[[#This Row],[stock_level]]&lt;=WarehouseData[[#This Row],[Demand During Lead Time]],"At Risk","Safe")</f>
        <v>Safe</v>
      </c>
      <c r="AA443">
        <f>WarehouseData[[#This Row],[stock_level]]/WarehouseData[[#This Row],[daily_demand]]</f>
        <v>18.23008849557522</v>
      </c>
      <c r="AB443">
        <f>WarehouseData[[#This Row],[stock_level]]*WarehouseData[[#This Row],[unit_price]]</f>
        <v>10525.57</v>
      </c>
      <c r="AC443">
        <f>WarehouseData[[#This Row],[stock_level]]*WarehouseData[[#This Row],[holding_cost_per_unit_day]]*30</f>
        <v>834.30000000000007</v>
      </c>
      <c r="AD443" t="str">
        <f>IF(WarehouseData[[#This Row],[order_fulfillment_rate]]&gt;=0.9,"Strong",IF(WarehouseData[[#This Row],[order_fulfillment_rate]]&gt;=0.8,"Moderate","Needs Attention"))</f>
        <v>Needs Attention</v>
      </c>
      <c r="AE443" t="str">
        <f>IF(WarehouseData[[#This Row],[picking_time_seconds]]&gt;120,"Slow",IF(WarehouseData[[#This Row],[picking_time_seconds]]&gt;=60,"Average","Fast"))</f>
        <v>Average</v>
      </c>
    </row>
    <row r="444" spans="1:31" x14ac:dyDescent="0.25">
      <c r="A444" t="s">
        <v>582</v>
      </c>
      <c r="B444" t="s">
        <v>40</v>
      </c>
      <c r="C444">
        <v>327</v>
      </c>
      <c r="D444">
        <v>13</v>
      </c>
      <c r="E444">
        <v>12</v>
      </c>
      <c r="F444">
        <v>5</v>
      </c>
      <c r="G444">
        <v>49.85</v>
      </c>
      <c r="H444">
        <v>7.48</v>
      </c>
      <c r="I444">
        <v>0.45</v>
      </c>
      <c r="J444" t="s">
        <v>477</v>
      </c>
      <c r="K444" t="s">
        <v>34</v>
      </c>
      <c r="L444">
        <v>101</v>
      </c>
      <c r="M444">
        <v>0.99</v>
      </c>
      <c r="N444">
        <v>185</v>
      </c>
      <c r="O444">
        <v>0.91</v>
      </c>
      <c r="P444">
        <v>0</v>
      </c>
      <c r="Q444">
        <v>0.73</v>
      </c>
      <c r="R444">
        <v>993</v>
      </c>
      <c r="S444">
        <v>6.1</v>
      </c>
      <c r="T444">
        <v>0.85</v>
      </c>
      <c r="U444" s="1">
        <v>45304</v>
      </c>
      <c r="V444">
        <v>245.76</v>
      </c>
      <c r="W444">
        <v>0.70599999999999996</v>
      </c>
      <c r="X444" t="str">
        <f>IF(WarehouseData[[#This Row],[stock_level]]&lt;=WarehouseData[[#This Row],[reorder_point]],"Low Stock","Sufficient Stock")</f>
        <v>Sufficient Stock</v>
      </c>
      <c r="Y444">
        <f>WarehouseData[[#This Row],[daily_demand]]*WarehouseData[[#This Row],[lead_time_days]]</f>
        <v>249.25</v>
      </c>
      <c r="Z444" t="str">
        <f>IF(WarehouseData[[#This Row],[stock_level]]&lt;=WarehouseData[[#This Row],[Demand During Lead Time]],"At Risk","Safe")</f>
        <v>Safe</v>
      </c>
      <c r="AA444">
        <f>WarehouseData[[#This Row],[stock_level]]/WarehouseData[[#This Row],[daily_demand]]</f>
        <v>6.5596790371113336</v>
      </c>
      <c r="AB444">
        <f>WarehouseData[[#This Row],[stock_level]]*WarehouseData[[#This Row],[unit_price]]</f>
        <v>60495</v>
      </c>
      <c r="AC444">
        <f>WarehouseData[[#This Row],[stock_level]]*WarehouseData[[#This Row],[holding_cost_per_unit_day]]*30</f>
        <v>8927.1</v>
      </c>
      <c r="AD444" t="str">
        <f>IF(WarehouseData[[#This Row],[order_fulfillment_rate]]&gt;=0.9,"Strong",IF(WarehouseData[[#This Row],[order_fulfillment_rate]]&gt;=0.8,"Moderate","Needs Attention"))</f>
        <v>Needs Attention</v>
      </c>
      <c r="AE444" t="str">
        <f>IF(WarehouseData[[#This Row],[picking_time_seconds]]&gt;120,"Slow",IF(WarehouseData[[#This Row],[picking_time_seconds]]&gt;=60,"Average","Fast"))</f>
        <v>Average</v>
      </c>
    </row>
    <row r="445" spans="1:31" x14ac:dyDescent="0.25">
      <c r="A445" t="s">
        <v>583</v>
      </c>
      <c r="B445" t="s">
        <v>40</v>
      </c>
      <c r="C445">
        <v>380</v>
      </c>
      <c r="D445">
        <v>90</v>
      </c>
      <c r="E445">
        <v>5</v>
      </c>
      <c r="F445">
        <v>2</v>
      </c>
      <c r="G445">
        <v>14.12</v>
      </c>
      <c r="H445">
        <v>1.0900000000000001</v>
      </c>
      <c r="I445">
        <v>0.16</v>
      </c>
      <c r="J445" t="s">
        <v>81</v>
      </c>
      <c r="K445" t="s">
        <v>34</v>
      </c>
      <c r="L445">
        <v>71</v>
      </c>
      <c r="M445">
        <v>0.73</v>
      </c>
      <c r="N445">
        <v>114.96</v>
      </c>
      <c r="O445">
        <v>1.27</v>
      </c>
      <c r="P445">
        <v>3</v>
      </c>
      <c r="Q445">
        <v>0.77</v>
      </c>
      <c r="R445">
        <v>406</v>
      </c>
      <c r="S445">
        <v>12.55</v>
      </c>
      <c r="T445">
        <v>0.69</v>
      </c>
      <c r="U445" s="1">
        <v>45539</v>
      </c>
      <c r="V445">
        <v>206.18</v>
      </c>
      <c r="W445">
        <v>0.67200000000000004</v>
      </c>
      <c r="X445" t="str">
        <f>IF(WarehouseData[[#This Row],[stock_level]]&lt;=WarehouseData[[#This Row],[reorder_point]],"Low Stock","Sufficient Stock")</f>
        <v>Sufficient Stock</v>
      </c>
      <c r="Y445">
        <f>WarehouseData[[#This Row],[daily_demand]]*WarehouseData[[#This Row],[lead_time_days]]</f>
        <v>28.24</v>
      </c>
      <c r="Z445" t="str">
        <f>IF(WarehouseData[[#This Row],[stock_level]]&lt;=WarehouseData[[#This Row],[Demand During Lead Time]],"At Risk","Safe")</f>
        <v>Safe</v>
      </c>
      <c r="AA445">
        <f>WarehouseData[[#This Row],[stock_level]]/WarehouseData[[#This Row],[daily_demand]]</f>
        <v>26.912181303116149</v>
      </c>
      <c r="AB445">
        <f>WarehouseData[[#This Row],[stock_level]]*WarehouseData[[#This Row],[unit_price]]</f>
        <v>43684.799999999996</v>
      </c>
      <c r="AC445">
        <f>WarehouseData[[#This Row],[stock_level]]*WarehouseData[[#This Row],[holding_cost_per_unit_day]]*30</f>
        <v>14478</v>
      </c>
      <c r="AD445" t="str">
        <f>IF(WarehouseData[[#This Row],[order_fulfillment_rate]]&gt;=0.9,"Strong",IF(WarehouseData[[#This Row],[order_fulfillment_rate]]&gt;=0.8,"Moderate","Needs Attention"))</f>
        <v>Needs Attention</v>
      </c>
      <c r="AE445" t="str">
        <f>IF(WarehouseData[[#This Row],[picking_time_seconds]]&gt;120,"Slow",IF(WarehouseData[[#This Row],[picking_time_seconds]]&gt;=60,"Average","Fast"))</f>
        <v>Average</v>
      </c>
    </row>
    <row r="446" spans="1:31" x14ac:dyDescent="0.25">
      <c r="A446" t="s">
        <v>584</v>
      </c>
      <c r="B446" t="s">
        <v>36</v>
      </c>
      <c r="C446">
        <v>478</v>
      </c>
      <c r="D446">
        <v>25</v>
      </c>
      <c r="E446">
        <v>13</v>
      </c>
      <c r="F446">
        <v>3</v>
      </c>
      <c r="G446">
        <v>42.71</v>
      </c>
      <c r="H446">
        <v>7.57</v>
      </c>
      <c r="I446">
        <v>0.44</v>
      </c>
      <c r="J446" t="s">
        <v>181</v>
      </c>
      <c r="K446" t="s">
        <v>46</v>
      </c>
      <c r="L446">
        <v>75</v>
      </c>
      <c r="M446">
        <v>4.5</v>
      </c>
      <c r="N446">
        <v>120.2</v>
      </c>
      <c r="O446">
        <v>0.27</v>
      </c>
      <c r="P446">
        <v>3</v>
      </c>
      <c r="Q446">
        <v>0.78</v>
      </c>
      <c r="R446">
        <v>305</v>
      </c>
      <c r="S446">
        <v>12.71</v>
      </c>
      <c r="T446">
        <v>0.59</v>
      </c>
      <c r="U446" s="1">
        <v>45345</v>
      </c>
      <c r="V446">
        <v>291.39</v>
      </c>
      <c r="W446">
        <v>0.75600000000000001</v>
      </c>
      <c r="X446" t="str">
        <f>IF(WarehouseData[[#This Row],[stock_level]]&lt;=WarehouseData[[#This Row],[reorder_point]],"Low Stock","Sufficient Stock")</f>
        <v>Sufficient Stock</v>
      </c>
      <c r="Y446">
        <f>WarehouseData[[#This Row],[daily_demand]]*WarehouseData[[#This Row],[lead_time_days]]</f>
        <v>128.13</v>
      </c>
      <c r="Z446" t="str">
        <f>IF(WarehouseData[[#This Row],[stock_level]]&lt;=WarehouseData[[#This Row],[Demand During Lead Time]],"At Risk","Safe")</f>
        <v>Safe</v>
      </c>
      <c r="AA446">
        <f>WarehouseData[[#This Row],[stock_level]]/WarehouseData[[#This Row],[daily_demand]]</f>
        <v>11.191758370405058</v>
      </c>
      <c r="AB446">
        <f>WarehouseData[[#This Row],[stock_level]]*WarehouseData[[#This Row],[unit_price]]</f>
        <v>57455.6</v>
      </c>
      <c r="AC446">
        <f>WarehouseData[[#This Row],[stock_level]]*WarehouseData[[#This Row],[holding_cost_per_unit_day]]*30</f>
        <v>3871.8</v>
      </c>
      <c r="AD446" t="str">
        <f>IF(WarehouseData[[#This Row],[order_fulfillment_rate]]&gt;=0.9,"Strong",IF(WarehouseData[[#This Row],[order_fulfillment_rate]]&gt;=0.8,"Moderate","Needs Attention"))</f>
        <v>Needs Attention</v>
      </c>
      <c r="AE446" t="str">
        <f>IF(WarehouseData[[#This Row],[picking_time_seconds]]&gt;120,"Slow",IF(WarehouseData[[#This Row],[picking_time_seconds]]&gt;=60,"Average","Fast"))</f>
        <v>Average</v>
      </c>
    </row>
    <row r="447" spans="1:31" x14ac:dyDescent="0.25">
      <c r="A447" t="s">
        <v>585</v>
      </c>
      <c r="B447" t="s">
        <v>32</v>
      </c>
      <c r="C447">
        <v>267</v>
      </c>
      <c r="D447">
        <v>24</v>
      </c>
      <c r="E447">
        <v>3</v>
      </c>
      <c r="F447">
        <v>6</v>
      </c>
      <c r="G447">
        <v>9.11</v>
      </c>
      <c r="H447">
        <v>0.73</v>
      </c>
      <c r="I447">
        <v>0.28999999999999998</v>
      </c>
      <c r="J447" t="s">
        <v>88</v>
      </c>
      <c r="K447" t="s">
        <v>38</v>
      </c>
      <c r="L447">
        <v>161</v>
      </c>
      <c r="M447">
        <v>0.93</v>
      </c>
      <c r="N447">
        <v>70.709999999999994</v>
      </c>
      <c r="O447">
        <v>1.08</v>
      </c>
      <c r="P447">
        <v>4</v>
      </c>
      <c r="Q447">
        <v>0.77</v>
      </c>
      <c r="R447">
        <v>657</v>
      </c>
      <c r="S447">
        <v>13.07</v>
      </c>
      <c r="T447">
        <v>0.87</v>
      </c>
      <c r="U447" s="1">
        <v>45443</v>
      </c>
      <c r="V447">
        <v>267.24</v>
      </c>
      <c r="W447">
        <v>0.71399999999999997</v>
      </c>
      <c r="X447" t="str">
        <f>IF(WarehouseData[[#This Row],[stock_level]]&lt;=WarehouseData[[#This Row],[reorder_point]],"Low Stock","Sufficient Stock")</f>
        <v>Sufficient Stock</v>
      </c>
      <c r="Y447">
        <f>WarehouseData[[#This Row],[daily_demand]]*WarehouseData[[#This Row],[lead_time_days]]</f>
        <v>54.66</v>
      </c>
      <c r="Z447" t="str">
        <f>IF(WarehouseData[[#This Row],[stock_level]]&lt;=WarehouseData[[#This Row],[Demand During Lead Time]],"At Risk","Safe")</f>
        <v>Safe</v>
      </c>
      <c r="AA447">
        <f>WarehouseData[[#This Row],[stock_level]]/WarehouseData[[#This Row],[daily_demand]]</f>
        <v>29.308452250274424</v>
      </c>
      <c r="AB447">
        <f>WarehouseData[[#This Row],[stock_level]]*WarehouseData[[#This Row],[unit_price]]</f>
        <v>18879.57</v>
      </c>
      <c r="AC447">
        <f>WarehouseData[[#This Row],[stock_level]]*WarehouseData[[#This Row],[holding_cost_per_unit_day]]*30</f>
        <v>8650.8000000000011</v>
      </c>
      <c r="AD447" t="str">
        <f>IF(WarehouseData[[#This Row],[order_fulfillment_rate]]&gt;=0.9,"Strong",IF(WarehouseData[[#This Row],[order_fulfillment_rate]]&gt;=0.8,"Moderate","Needs Attention"))</f>
        <v>Needs Attention</v>
      </c>
      <c r="AE447" t="str">
        <f>IF(WarehouseData[[#This Row],[picking_time_seconds]]&gt;120,"Slow",IF(WarehouseData[[#This Row],[picking_time_seconds]]&gt;=60,"Average","Fast"))</f>
        <v>Slow</v>
      </c>
    </row>
    <row r="448" spans="1:31" x14ac:dyDescent="0.25">
      <c r="A448" t="s">
        <v>586</v>
      </c>
      <c r="B448" t="s">
        <v>40</v>
      </c>
      <c r="C448">
        <v>73</v>
      </c>
      <c r="D448">
        <v>61</v>
      </c>
      <c r="E448">
        <v>11</v>
      </c>
      <c r="F448">
        <v>7</v>
      </c>
      <c r="G448">
        <v>36.840000000000003</v>
      </c>
      <c r="H448">
        <v>6.68</v>
      </c>
      <c r="I448">
        <v>0.95</v>
      </c>
      <c r="J448" t="s">
        <v>110</v>
      </c>
      <c r="K448" t="s">
        <v>46</v>
      </c>
      <c r="L448">
        <v>89</v>
      </c>
      <c r="M448">
        <v>4.09</v>
      </c>
      <c r="N448">
        <v>192.15</v>
      </c>
      <c r="O448">
        <v>1.08</v>
      </c>
      <c r="P448">
        <v>1</v>
      </c>
      <c r="Q448">
        <v>0.76</v>
      </c>
      <c r="R448">
        <v>323</v>
      </c>
      <c r="S448">
        <v>1.51</v>
      </c>
      <c r="T448">
        <v>0.82</v>
      </c>
      <c r="U448" s="1">
        <v>45504</v>
      </c>
      <c r="V448">
        <v>293.52</v>
      </c>
      <c r="W448">
        <v>0.60799999999999998</v>
      </c>
      <c r="X448" t="str">
        <f>IF(WarehouseData[[#This Row],[stock_level]]&lt;=WarehouseData[[#This Row],[reorder_point]],"Low Stock","Sufficient Stock")</f>
        <v>Sufficient Stock</v>
      </c>
      <c r="Y448">
        <f>WarehouseData[[#This Row],[daily_demand]]*WarehouseData[[#This Row],[lead_time_days]]</f>
        <v>257.88</v>
      </c>
      <c r="Z448" t="str">
        <f>IF(WarehouseData[[#This Row],[stock_level]]&lt;=WarehouseData[[#This Row],[Demand During Lead Time]],"At Risk","Safe")</f>
        <v>At Risk</v>
      </c>
      <c r="AA448">
        <f>WarehouseData[[#This Row],[stock_level]]/WarehouseData[[#This Row],[daily_demand]]</f>
        <v>1.9815418023887077</v>
      </c>
      <c r="AB448">
        <f>WarehouseData[[#This Row],[stock_level]]*WarehouseData[[#This Row],[unit_price]]</f>
        <v>14026.95</v>
      </c>
      <c r="AC448">
        <f>WarehouseData[[#This Row],[stock_level]]*WarehouseData[[#This Row],[holding_cost_per_unit_day]]*30</f>
        <v>2365.2000000000003</v>
      </c>
      <c r="AD448" t="str">
        <f>IF(WarehouseData[[#This Row],[order_fulfillment_rate]]&gt;=0.9,"Strong",IF(WarehouseData[[#This Row],[order_fulfillment_rate]]&gt;=0.8,"Moderate","Needs Attention"))</f>
        <v>Needs Attention</v>
      </c>
      <c r="AE448" t="str">
        <f>IF(WarehouseData[[#This Row],[picking_time_seconds]]&gt;120,"Slow",IF(WarehouseData[[#This Row],[picking_time_seconds]]&gt;=60,"Average","Fast"))</f>
        <v>Average</v>
      </c>
    </row>
    <row r="449" spans="1:31" x14ac:dyDescent="0.25">
      <c r="A449" t="s">
        <v>587</v>
      </c>
      <c r="B449" t="s">
        <v>73</v>
      </c>
      <c r="C449">
        <v>180</v>
      </c>
      <c r="D449">
        <v>78</v>
      </c>
      <c r="E449">
        <v>12</v>
      </c>
      <c r="F449">
        <v>4</v>
      </c>
      <c r="G449">
        <v>26.7</v>
      </c>
      <c r="H449">
        <v>2.5</v>
      </c>
      <c r="I449">
        <v>0.73</v>
      </c>
      <c r="J449" t="s">
        <v>181</v>
      </c>
      <c r="K449" t="s">
        <v>52</v>
      </c>
      <c r="L449">
        <v>149</v>
      </c>
      <c r="M449">
        <v>3.86</v>
      </c>
      <c r="N449">
        <v>126.35</v>
      </c>
      <c r="O449">
        <v>1.29</v>
      </c>
      <c r="P449">
        <v>5</v>
      </c>
      <c r="Q449">
        <v>0.92</v>
      </c>
      <c r="R449">
        <v>383</v>
      </c>
      <c r="S449">
        <v>14.91</v>
      </c>
      <c r="T449">
        <v>0.79</v>
      </c>
      <c r="U449" s="1">
        <v>45335</v>
      </c>
      <c r="V449">
        <v>115.93</v>
      </c>
      <c r="W449">
        <v>0.71199999999999997</v>
      </c>
      <c r="X449" t="str">
        <f>IF(WarehouseData[[#This Row],[stock_level]]&lt;=WarehouseData[[#This Row],[reorder_point]],"Low Stock","Sufficient Stock")</f>
        <v>Sufficient Stock</v>
      </c>
      <c r="Y449">
        <f>WarehouseData[[#This Row],[daily_demand]]*WarehouseData[[#This Row],[lead_time_days]]</f>
        <v>106.8</v>
      </c>
      <c r="Z449" t="str">
        <f>IF(WarehouseData[[#This Row],[stock_level]]&lt;=WarehouseData[[#This Row],[Demand During Lead Time]],"At Risk","Safe")</f>
        <v>Safe</v>
      </c>
      <c r="AA449">
        <f>WarehouseData[[#This Row],[stock_level]]/WarehouseData[[#This Row],[daily_demand]]</f>
        <v>6.7415730337078656</v>
      </c>
      <c r="AB449">
        <f>WarehouseData[[#This Row],[stock_level]]*WarehouseData[[#This Row],[unit_price]]</f>
        <v>22743</v>
      </c>
      <c r="AC449">
        <f>WarehouseData[[#This Row],[stock_level]]*WarehouseData[[#This Row],[holding_cost_per_unit_day]]*30</f>
        <v>6966.0000000000009</v>
      </c>
      <c r="AD449" t="str">
        <f>IF(WarehouseData[[#This Row],[order_fulfillment_rate]]&gt;=0.9,"Strong",IF(WarehouseData[[#This Row],[order_fulfillment_rate]]&gt;=0.8,"Moderate","Needs Attention"))</f>
        <v>Strong</v>
      </c>
      <c r="AE449" t="str">
        <f>IF(WarehouseData[[#This Row],[picking_time_seconds]]&gt;120,"Slow",IF(WarehouseData[[#This Row],[picking_time_seconds]]&gt;=60,"Average","Fast"))</f>
        <v>Slow</v>
      </c>
    </row>
    <row r="450" spans="1:31" x14ac:dyDescent="0.25">
      <c r="A450" t="s">
        <v>588</v>
      </c>
      <c r="B450" t="s">
        <v>73</v>
      </c>
      <c r="C450">
        <v>453</v>
      </c>
      <c r="D450">
        <v>14</v>
      </c>
      <c r="E450">
        <v>10</v>
      </c>
      <c r="F450">
        <v>5</v>
      </c>
      <c r="G450">
        <v>49.06</v>
      </c>
      <c r="H450">
        <v>7.12</v>
      </c>
      <c r="I450">
        <v>0.15</v>
      </c>
      <c r="J450" t="s">
        <v>188</v>
      </c>
      <c r="K450" t="s">
        <v>46</v>
      </c>
      <c r="L450">
        <v>153</v>
      </c>
      <c r="M450">
        <v>3.19</v>
      </c>
      <c r="N450">
        <v>10.95</v>
      </c>
      <c r="O450">
        <v>0.56000000000000005</v>
      </c>
      <c r="P450">
        <v>5</v>
      </c>
      <c r="Q450">
        <v>0.95</v>
      </c>
      <c r="R450">
        <v>862</v>
      </c>
      <c r="S450">
        <v>8.0399999999999991</v>
      </c>
      <c r="T450">
        <v>0.92</v>
      </c>
      <c r="U450" s="1">
        <v>45351</v>
      </c>
      <c r="V450">
        <v>150.47</v>
      </c>
      <c r="W450">
        <v>0.72499999999999998</v>
      </c>
      <c r="X450" t="str">
        <f>IF(WarehouseData[[#This Row],[stock_level]]&lt;=WarehouseData[[#This Row],[reorder_point]],"Low Stock","Sufficient Stock")</f>
        <v>Sufficient Stock</v>
      </c>
      <c r="Y450">
        <f>WarehouseData[[#This Row],[daily_demand]]*WarehouseData[[#This Row],[lead_time_days]]</f>
        <v>245.3</v>
      </c>
      <c r="Z450" t="str">
        <f>IF(WarehouseData[[#This Row],[stock_level]]&lt;=WarehouseData[[#This Row],[Demand During Lead Time]],"At Risk","Safe")</f>
        <v>Safe</v>
      </c>
      <c r="AA450">
        <f>WarehouseData[[#This Row],[stock_level]]/WarehouseData[[#This Row],[daily_demand]]</f>
        <v>9.2335915205870354</v>
      </c>
      <c r="AB450">
        <f>WarehouseData[[#This Row],[stock_level]]*WarehouseData[[#This Row],[unit_price]]</f>
        <v>4960.3499999999995</v>
      </c>
      <c r="AC450">
        <f>WarehouseData[[#This Row],[stock_level]]*WarehouseData[[#This Row],[holding_cost_per_unit_day]]*30</f>
        <v>7610.4000000000015</v>
      </c>
      <c r="AD450" t="str">
        <f>IF(WarehouseData[[#This Row],[order_fulfillment_rate]]&gt;=0.9,"Strong",IF(WarehouseData[[#This Row],[order_fulfillment_rate]]&gt;=0.8,"Moderate","Needs Attention"))</f>
        <v>Strong</v>
      </c>
      <c r="AE450" t="str">
        <f>IF(WarehouseData[[#This Row],[picking_time_seconds]]&gt;120,"Slow",IF(WarehouseData[[#This Row],[picking_time_seconds]]&gt;=60,"Average","Fast"))</f>
        <v>Slow</v>
      </c>
    </row>
    <row r="451" spans="1:31" x14ac:dyDescent="0.25">
      <c r="A451" t="s">
        <v>589</v>
      </c>
      <c r="B451" t="s">
        <v>48</v>
      </c>
      <c r="C451">
        <v>441</v>
      </c>
      <c r="D451">
        <v>29</v>
      </c>
      <c r="E451">
        <v>7</v>
      </c>
      <c r="F451">
        <v>5</v>
      </c>
      <c r="G451">
        <v>28.09</v>
      </c>
      <c r="H451">
        <v>3.44</v>
      </c>
      <c r="I451">
        <v>0.36</v>
      </c>
      <c r="J451" t="s">
        <v>33</v>
      </c>
      <c r="K451" t="s">
        <v>52</v>
      </c>
      <c r="L451">
        <v>173</v>
      </c>
      <c r="M451">
        <v>2.2000000000000002</v>
      </c>
      <c r="N451">
        <v>115.66</v>
      </c>
      <c r="O451">
        <v>0.14000000000000001</v>
      </c>
      <c r="P451">
        <v>7</v>
      </c>
      <c r="Q451">
        <v>0.8</v>
      </c>
      <c r="R451">
        <v>417</v>
      </c>
      <c r="S451">
        <v>13.22</v>
      </c>
      <c r="T451">
        <v>0.94</v>
      </c>
      <c r="U451" s="1">
        <v>45364</v>
      </c>
      <c r="V451">
        <v>118.06</v>
      </c>
      <c r="W451">
        <v>0.77</v>
      </c>
      <c r="X451" t="str">
        <f>IF(WarehouseData[[#This Row],[stock_level]]&lt;=WarehouseData[[#This Row],[reorder_point]],"Low Stock","Sufficient Stock")</f>
        <v>Sufficient Stock</v>
      </c>
      <c r="Y451">
        <f>WarehouseData[[#This Row],[daily_demand]]*WarehouseData[[#This Row],[lead_time_days]]</f>
        <v>140.44999999999999</v>
      </c>
      <c r="Z451" t="str">
        <f>IF(WarehouseData[[#This Row],[stock_level]]&lt;=WarehouseData[[#This Row],[Demand During Lead Time]],"At Risk","Safe")</f>
        <v>Safe</v>
      </c>
      <c r="AA451">
        <f>WarehouseData[[#This Row],[stock_level]]/WarehouseData[[#This Row],[daily_demand]]</f>
        <v>15.699537201851193</v>
      </c>
      <c r="AB451">
        <f>WarehouseData[[#This Row],[stock_level]]*WarehouseData[[#This Row],[unit_price]]</f>
        <v>51006.06</v>
      </c>
      <c r="AC451">
        <f>WarehouseData[[#This Row],[stock_level]]*WarehouseData[[#This Row],[holding_cost_per_unit_day]]*30</f>
        <v>1852.2000000000003</v>
      </c>
      <c r="AD451" t="str">
        <f>IF(WarehouseData[[#This Row],[order_fulfillment_rate]]&gt;=0.9,"Strong",IF(WarehouseData[[#This Row],[order_fulfillment_rate]]&gt;=0.8,"Moderate","Needs Attention"))</f>
        <v>Moderate</v>
      </c>
      <c r="AE451" t="str">
        <f>IF(WarehouseData[[#This Row],[picking_time_seconds]]&gt;120,"Slow",IF(WarehouseData[[#This Row],[picking_time_seconds]]&gt;=60,"Average","Fast"))</f>
        <v>Slow</v>
      </c>
    </row>
    <row r="452" spans="1:31" x14ac:dyDescent="0.25">
      <c r="A452" t="s">
        <v>590</v>
      </c>
      <c r="B452" t="s">
        <v>40</v>
      </c>
      <c r="C452">
        <v>430</v>
      </c>
      <c r="D452">
        <v>88</v>
      </c>
      <c r="E452">
        <v>13</v>
      </c>
      <c r="F452">
        <v>3</v>
      </c>
      <c r="G452">
        <v>2.23</v>
      </c>
      <c r="H452">
        <v>8.7899999999999991</v>
      </c>
      <c r="I452">
        <v>0.15</v>
      </c>
      <c r="J452" t="s">
        <v>129</v>
      </c>
      <c r="K452" t="s">
        <v>52</v>
      </c>
      <c r="L452">
        <v>139</v>
      </c>
      <c r="M452">
        <v>4.62</v>
      </c>
      <c r="N452">
        <v>79.13</v>
      </c>
      <c r="O452">
        <v>0.72</v>
      </c>
      <c r="P452">
        <v>9</v>
      </c>
      <c r="Q452">
        <v>0.79</v>
      </c>
      <c r="R452">
        <v>64</v>
      </c>
      <c r="S452">
        <v>13.67</v>
      </c>
      <c r="T452">
        <v>0.56000000000000005</v>
      </c>
      <c r="U452" s="1">
        <v>45470</v>
      </c>
      <c r="V452">
        <v>289.64999999999998</v>
      </c>
      <c r="W452">
        <v>0.6</v>
      </c>
      <c r="X452" t="str">
        <f>IF(WarehouseData[[#This Row],[stock_level]]&lt;=WarehouseData[[#This Row],[reorder_point]],"Low Stock","Sufficient Stock")</f>
        <v>Sufficient Stock</v>
      </c>
      <c r="Y452">
        <f>WarehouseData[[#This Row],[daily_demand]]*WarehouseData[[#This Row],[lead_time_days]]</f>
        <v>6.6899999999999995</v>
      </c>
      <c r="Z452" t="str">
        <f>IF(WarehouseData[[#This Row],[stock_level]]&lt;=WarehouseData[[#This Row],[Demand During Lead Time]],"At Risk","Safe")</f>
        <v>Safe</v>
      </c>
      <c r="AA452">
        <f>WarehouseData[[#This Row],[stock_level]]/WarehouseData[[#This Row],[daily_demand]]</f>
        <v>192.82511210762331</v>
      </c>
      <c r="AB452">
        <f>WarehouseData[[#This Row],[stock_level]]*WarehouseData[[#This Row],[unit_price]]</f>
        <v>34025.9</v>
      </c>
      <c r="AC452">
        <f>WarehouseData[[#This Row],[stock_level]]*WarehouseData[[#This Row],[holding_cost_per_unit_day]]*30</f>
        <v>9287.9999999999982</v>
      </c>
      <c r="AD452" t="str">
        <f>IF(WarehouseData[[#This Row],[order_fulfillment_rate]]&gt;=0.9,"Strong",IF(WarehouseData[[#This Row],[order_fulfillment_rate]]&gt;=0.8,"Moderate","Needs Attention"))</f>
        <v>Needs Attention</v>
      </c>
      <c r="AE452" t="str">
        <f>IF(WarehouseData[[#This Row],[picking_time_seconds]]&gt;120,"Slow",IF(WarehouseData[[#This Row],[picking_time_seconds]]&gt;=60,"Average","Fast"))</f>
        <v>Slow</v>
      </c>
    </row>
    <row r="453" spans="1:31" x14ac:dyDescent="0.25">
      <c r="A453" t="s">
        <v>591</v>
      </c>
      <c r="B453" t="s">
        <v>32</v>
      </c>
      <c r="C453">
        <v>245</v>
      </c>
      <c r="D453">
        <v>27</v>
      </c>
      <c r="E453">
        <v>4</v>
      </c>
      <c r="F453">
        <v>4</v>
      </c>
      <c r="G453">
        <v>30.59</v>
      </c>
      <c r="H453">
        <v>3.7</v>
      </c>
      <c r="I453">
        <v>0.85</v>
      </c>
      <c r="J453" t="s">
        <v>79</v>
      </c>
      <c r="K453" t="s">
        <v>46</v>
      </c>
      <c r="L453">
        <v>73</v>
      </c>
      <c r="M453">
        <v>4.42</v>
      </c>
      <c r="N453">
        <v>16.100000000000001</v>
      </c>
      <c r="O453">
        <v>0.86</v>
      </c>
      <c r="P453">
        <v>0</v>
      </c>
      <c r="Q453">
        <v>0.95</v>
      </c>
      <c r="R453">
        <v>228</v>
      </c>
      <c r="S453">
        <v>8.1999999999999993</v>
      </c>
      <c r="T453">
        <v>0.43</v>
      </c>
      <c r="U453" s="1">
        <v>45451</v>
      </c>
      <c r="V453">
        <v>126.79</v>
      </c>
      <c r="W453">
        <v>0.69899999999999995</v>
      </c>
      <c r="X453" t="str">
        <f>IF(WarehouseData[[#This Row],[stock_level]]&lt;=WarehouseData[[#This Row],[reorder_point]],"Low Stock","Sufficient Stock")</f>
        <v>Sufficient Stock</v>
      </c>
      <c r="Y453">
        <f>WarehouseData[[#This Row],[daily_demand]]*WarehouseData[[#This Row],[lead_time_days]]</f>
        <v>122.36</v>
      </c>
      <c r="Z453" t="str">
        <f>IF(WarehouseData[[#This Row],[stock_level]]&lt;=WarehouseData[[#This Row],[Demand During Lead Time]],"At Risk","Safe")</f>
        <v>Safe</v>
      </c>
      <c r="AA453">
        <f>WarehouseData[[#This Row],[stock_level]]/WarehouseData[[#This Row],[daily_demand]]</f>
        <v>8.0091533180778036</v>
      </c>
      <c r="AB453">
        <f>WarehouseData[[#This Row],[stock_level]]*WarehouseData[[#This Row],[unit_price]]</f>
        <v>3944.5000000000005</v>
      </c>
      <c r="AC453">
        <f>WarehouseData[[#This Row],[stock_level]]*WarehouseData[[#This Row],[holding_cost_per_unit_day]]*30</f>
        <v>6321</v>
      </c>
      <c r="AD453" t="str">
        <f>IF(WarehouseData[[#This Row],[order_fulfillment_rate]]&gt;=0.9,"Strong",IF(WarehouseData[[#This Row],[order_fulfillment_rate]]&gt;=0.8,"Moderate","Needs Attention"))</f>
        <v>Strong</v>
      </c>
      <c r="AE453" t="str">
        <f>IF(WarehouseData[[#This Row],[picking_time_seconds]]&gt;120,"Slow",IF(WarehouseData[[#This Row],[picking_time_seconds]]&gt;=60,"Average","Fast"))</f>
        <v>Average</v>
      </c>
    </row>
    <row r="454" spans="1:31" x14ac:dyDescent="0.25">
      <c r="A454" t="s">
        <v>592</v>
      </c>
      <c r="B454" t="s">
        <v>36</v>
      </c>
      <c r="C454">
        <v>34</v>
      </c>
      <c r="D454">
        <v>11</v>
      </c>
      <c r="E454">
        <v>7</v>
      </c>
      <c r="F454">
        <v>9</v>
      </c>
      <c r="G454">
        <v>8.1199999999999992</v>
      </c>
      <c r="H454">
        <v>6.39</v>
      </c>
      <c r="I454">
        <v>0.92</v>
      </c>
      <c r="J454" t="s">
        <v>332</v>
      </c>
      <c r="K454" t="s">
        <v>46</v>
      </c>
      <c r="L454">
        <v>38</v>
      </c>
      <c r="M454">
        <v>2.42</v>
      </c>
      <c r="N454">
        <v>91.99</v>
      </c>
      <c r="O454">
        <v>1.31</v>
      </c>
      <c r="P454">
        <v>3</v>
      </c>
      <c r="Q454">
        <v>0.89</v>
      </c>
      <c r="R454">
        <v>494</v>
      </c>
      <c r="S454">
        <v>1.72</v>
      </c>
      <c r="T454">
        <v>0.61</v>
      </c>
      <c r="U454" s="1">
        <v>45467</v>
      </c>
      <c r="V454">
        <v>43.86</v>
      </c>
      <c r="W454">
        <v>0.53200000000000003</v>
      </c>
      <c r="X454" t="str">
        <f>IF(WarehouseData[[#This Row],[stock_level]]&lt;=WarehouseData[[#This Row],[reorder_point]],"Low Stock","Sufficient Stock")</f>
        <v>Sufficient Stock</v>
      </c>
      <c r="Y454">
        <f>WarehouseData[[#This Row],[daily_demand]]*WarehouseData[[#This Row],[lead_time_days]]</f>
        <v>73.08</v>
      </c>
      <c r="Z454" t="str">
        <f>IF(WarehouseData[[#This Row],[stock_level]]&lt;=WarehouseData[[#This Row],[Demand During Lead Time]],"At Risk","Safe")</f>
        <v>At Risk</v>
      </c>
      <c r="AA454">
        <f>WarehouseData[[#This Row],[stock_level]]/WarehouseData[[#This Row],[daily_demand]]</f>
        <v>4.1871921182266014</v>
      </c>
      <c r="AB454">
        <f>WarehouseData[[#This Row],[stock_level]]*WarehouseData[[#This Row],[unit_price]]</f>
        <v>3127.66</v>
      </c>
      <c r="AC454">
        <f>WarehouseData[[#This Row],[stock_level]]*WarehouseData[[#This Row],[holding_cost_per_unit_day]]*30</f>
        <v>1336.2</v>
      </c>
      <c r="AD454" t="str">
        <f>IF(WarehouseData[[#This Row],[order_fulfillment_rate]]&gt;=0.9,"Strong",IF(WarehouseData[[#This Row],[order_fulfillment_rate]]&gt;=0.8,"Moderate","Needs Attention"))</f>
        <v>Moderate</v>
      </c>
      <c r="AE454" t="str">
        <f>IF(WarehouseData[[#This Row],[picking_time_seconds]]&gt;120,"Slow",IF(WarehouseData[[#This Row],[picking_time_seconds]]&gt;=60,"Average","Fast"))</f>
        <v>Fast</v>
      </c>
    </row>
    <row r="455" spans="1:31" x14ac:dyDescent="0.25">
      <c r="A455" t="s">
        <v>593</v>
      </c>
      <c r="B455" t="s">
        <v>36</v>
      </c>
      <c r="C455">
        <v>243</v>
      </c>
      <c r="D455">
        <v>22</v>
      </c>
      <c r="E455">
        <v>8</v>
      </c>
      <c r="F455">
        <v>4</v>
      </c>
      <c r="G455">
        <v>40.130000000000003</v>
      </c>
      <c r="H455">
        <v>3.22</v>
      </c>
      <c r="I455">
        <v>0.2</v>
      </c>
      <c r="J455" t="s">
        <v>283</v>
      </c>
      <c r="K455" t="s">
        <v>52</v>
      </c>
      <c r="L455">
        <v>96</v>
      </c>
      <c r="M455">
        <v>1.54</v>
      </c>
      <c r="N455">
        <v>156.97999999999999</v>
      </c>
      <c r="O455">
        <v>1.87</v>
      </c>
      <c r="P455">
        <v>1</v>
      </c>
      <c r="Q455">
        <v>0.79</v>
      </c>
      <c r="R455">
        <v>821</v>
      </c>
      <c r="S455">
        <v>9.36</v>
      </c>
      <c r="T455">
        <v>0.27</v>
      </c>
      <c r="U455" s="1">
        <v>45525</v>
      </c>
      <c r="V455">
        <v>82.65</v>
      </c>
      <c r="W455">
        <v>0.53</v>
      </c>
      <c r="X455" t="str">
        <f>IF(WarehouseData[[#This Row],[stock_level]]&lt;=WarehouseData[[#This Row],[reorder_point]],"Low Stock","Sufficient Stock")</f>
        <v>Sufficient Stock</v>
      </c>
      <c r="Y455">
        <f>WarehouseData[[#This Row],[daily_demand]]*WarehouseData[[#This Row],[lead_time_days]]</f>
        <v>160.52000000000001</v>
      </c>
      <c r="Z455" t="str">
        <f>IF(WarehouseData[[#This Row],[stock_level]]&lt;=WarehouseData[[#This Row],[Demand During Lead Time]],"At Risk","Safe")</f>
        <v>Safe</v>
      </c>
      <c r="AA455">
        <f>WarehouseData[[#This Row],[stock_level]]/WarehouseData[[#This Row],[daily_demand]]</f>
        <v>6.0553202093197109</v>
      </c>
      <c r="AB455">
        <f>WarehouseData[[#This Row],[stock_level]]*WarehouseData[[#This Row],[unit_price]]</f>
        <v>38146.14</v>
      </c>
      <c r="AC455">
        <f>WarehouseData[[#This Row],[stock_level]]*WarehouseData[[#This Row],[holding_cost_per_unit_day]]*30</f>
        <v>13632.300000000001</v>
      </c>
      <c r="AD455" t="str">
        <f>IF(WarehouseData[[#This Row],[order_fulfillment_rate]]&gt;=0.9,"Strong",IF(WarehouseData[[#This Row],[order_fulfillment_rate]]&gt;=0.8,"Moderate","Needs Attention"))</f>
        <v>Needs Attention</v>
      </c>
      <c r="AE455" t="str">
        <f>IF(WarehouseData[[#This Row],[picking_time_seconds]]&gt;120,"Slow",IF(WarehouseData[[#This Row],[picking_time_seconds]]&gt;=60,"Average","Fast"))</f>
        <v>Average</v>
      </c>
    </row>
    <row r="456" spans="1:31" x14ac:dyDescent="0.25">
      <c r="A456" t="s">
        <v>594</v>
      </c>
      <c r="B456" t="s">
        <v>32</v>
      </c>
      <c r="C456">
        <v>80</v>
      </c>
      <c r="D456">
        <v>13</v>
      </c>
      <c r="E456">
        <v>3</v>
      </c>
      <c r="F456">
        <v>7</v>
      </c>
      <c r="G456">
        <v>42.97</v>
      </c>
      <c r="H456">
        <v>9.2100000000000009</v>
      </c>
      <c r="I456">
        <v>0.5</v>
      </c>
      <c r="J456" t="s">
        <v>265</v>
      </c>
      <c r="K456" t="s">
        <v>34</v>
      </c>
      <c r="L456">
        <v>105</v>
      </c>
      <c r="M456">
        <v>1.73</v>
      </c>
      <c r="N456">
        <v>105.72</v>
      </c>
      <c r="O456">
        <v>0.49</v>
      </c>
      <c r="P456">
        <v>7</v>
      </c>
      <c r="Q456">
        <v>0.91</v>
      </c>
      <c r="R456">
        <v>452</v>
      </c>
      <c r="S456">
        <v>5.68</v>
      </c>
      <c r="T456">
        <v>0.95</v>
      </c>
      <c r="U456" s="1">
        <v>45397</v>
      </c>
      <c r="V456">
        <v>133.19999999999999</v>
      </c>
      <c r="W456">
        <v>0.65900000000000003</v>
      </c>
      <c r="X456" t="str">
        <f>IF(WarehouseData[[#This Row],[stock_level]]&lt;=WarehouseData[[#This Row],[reorder_point]],"Low Stock","Sufficient Stock")</f>
        <v>Sufficient Stock</v>
      </c>
      <c r="Y456">
        <f>WarehouseData[[#This Row],[daily_demand]]*WarehouseData[[#This Row],[lead_time_days]]</f>
        <v>300.78999999999996</v>
      </c>
      <c r="Z456" t="str">
        <f>IF(WarehouseData[[#This Row],[stock_level]]&lt;=WarehouseData[[#This Row],[Demand During Lead Time]],"At Risk","Safe")</f>
        <v>At Risk</v>
      </c>
      <c r="AA456">
        <f>WarehouseData[[#This Row],[stock_level]]/WarehouseData[[#This Row],[daily_demand]]</f>
        <v>1.8617640214102862</v>
      </c>
      <c r="AB456">
        <f>WarehouseData[[#This Row],[stock_level]]*WarehouseData[[#This Row],[unit_price]]</f>
        <v>8457.6</v>
      </c>
      <c r="AC456">
        <f>WarehouseData[[#This Row],[stock_level]]*WarehouseData[[#This Row],[holding_cost_per_unit_day]]*30</f>
        <v>1176</v>
      </c>
      <c r="AD456" t="str">
        <f>IF(WarehouseData[[#This Row],[order_fulfillment_rate]]&gt;=0.9,"Strong",IF(WarehouseData[[#This Row],[order_fulfillment_rate]]&gt;=0.8,"Moderate","Needs Attention"))</f>
        <v>Strong</v>
      </c>
      <c r="AE456" t="str">
        <f>IF(WarehouseData[[#This Row],[picking_time_seconds]]&gt;120,"Slow",IF(WarehouseData[[#This Row],[picking_time_seconds]]&gt;=60,"Average","Fast"))</f>
        <v>Average</v>
      </c>
    </row>
    <row r="457" spans="1:31" x14ac:dyDescent="0.25">
      <c r="A457" t="s">
        <v>595</v>
      </c>
      <c r="B457" t="s">
        <v>48</v>
      </c>
      <c r="C457">
        <v>141</v>
      </c>
      <c r="D457">
        <v>51</v>
      </c>
      <c r="E457">
        <v>13</v>
      </c>
      <c r="F457">
        <v>7</v>
      </c>
      <c r="G457">
        <v>24.62</v>
      </c>
      <c r="H457">
        <v>7.92</v>
      </c>
      <c r="I457">
        <v>0.94</v>
      </c>
      <c r="J457" t="s">
        <v>64</v>
      </c>
      <c r="K457" t="s">
        <v>46</v>
      </c>
      <c r="L457">
        <v>40</v>
      </c>
      <c r="M457">
        <v>1.49</v>
      </c>
      <c r="N457">
        <v>131.5</v>
      </c>
      <c r="O457">
        <v>1.41</v>
      </c>
      <c r="P457">
        <v>3</v>
      </c>
      <c r="Q457">
        <v>0.8</v>
      </c>
      <c r="R457">
        <v>137</v>
      </c>
      <c r="S457">
        <v>3.89</v>
      </c>
      <c r="T457">
        <v>0.99</v>
      </c>
      <c r="U457" s="1">
        <v>45558</v>
      </c>
      <c r="V457">
        <v>184.87</v>
      </c>
      <c r="W457">
        <v>0.60899999999999999</v>
      </c>
      <c r="X457" t="str">
        <f>IF(WarehouseData[[#This Row],[stock_level]]&lt;=WarehouseData[[#This Row],[reorder_point]],"Low Stock","Sufficient Stock")</f>
        <v>Sufficient Stock</v>
      </c>
      <c r="Y457">
        <f>WarehouseData[[#This Row],[daily_demand]]*WarehouseData[[#This Row],[lead_time_days]]</f>
        <v>172.34</v>
      </c>
      <c r="Z457" t="str">
        <f>IF(WarehouseData[[#This Row],[stock_level]]&lt;=WarehouseData[[#This Row],[Demand During Lead Time]],"At Risk","Safe")</f>
        <v>At Risk</v>
      </c>
      <c r="AA457">
        <f>WarehouseData[[#This Row],[stock_level]]/WarehouseData[[#This Row],[daily_demand]]</f>
        <v>5.7270511779041424</v>
      </c>
      <c r="AB457">
        <f>WarehouseData[[#This Row],[stock_level]]*WarehouseData[[#This Row],[unit_price]]</f>
        <v>18541.5</v>
      </c>
      <c r="AC457">
        <f>WarehouseData[[#This Row],[stock_level]]*WarehouseData[[#This Row],[holding_cost_per_unit_day]]*30</f>
        <v>5964.3</v>
      </c>
      <c r="AD457" t="str">
        <f>IF(WarehouseData[[#This Row],[order_fulfillment_rate]]&gt;=0.9,"Strong",IF(WarehouseData[[#This Row],[order_fulfillment_rate]]&gt;=0.8,"Moderate","Needs Attention"))</f>
        <v>Moderate</v>
      </c>
      <c r="AE457" t="str">
        <f>IF(WarehouseData[[#This Row],[picking_time_seconds]]&gt;120,"Slow",IF(WarehouseData[[#This Row],[picking_time_seconds]]&gt;=60,"Average","Fast"))</f>
        <v>Fast</v>
      </c>
    </row>
    <row r="458" spans="1:31" x14ac:dyDescent="0.25">
      <c r="A458" t="s">
        <v>596</v>
      </c>
      <c r="B458" t="s">
        <v>36</v>
      </c>
      <c r="C458">
        <v>296</v>
      </c>
      <c r="D458">
        <v>83</v>
      </c>
      <c r="E458">
        <v>6</v>
      </c>
      <c r="F458">
        <v>6</v>
      </c>
      <c r="G458">
        <v>39.380000000000003</v>
      </c>
      <c r="H458">
        <v>2.81</v>
      </c>
      <c r="I458">
        <v>0.23</v>
      </c>
      <c r="J458" t="s">
        <v>33</v>
      </c>
      <c r="K458" t="s">
        <v>38</v>
      </c>
      <c r="L458">
        <v>92</v>
      </c>
      <c r="M458">
        <v>2.94</v>
      </c>
      <c r="N458">
        <v>131.55000000000001</v>
      </c>
      <c r="O458">
        <v>0.28999999999999998</v>
      </c>
      <c r="P458">
        <v>7</v>
      </c>
      <c r="Q458">
        <v>0.88</v>
      </c>
      <c r="R458">
        <v>143</v>
      </c>
      <c r="S458">
        <v>3.56</v>
      </c>
      <c r="T458">
        <v>0.72</v>
      </c>
      <c r="U458" s="1">
        <v>45539</v>
      </c>
      <c r="V458">
        <v>189.25</v>
      </c>
      <c r="W458">
        <v>0.59799999999999998</v>
      </c>
      <c r="X458" t="str">
        <f>IF(WarehouseData[[#This Row],[stock_level]]&lt;=WarehouseData[[#This Row],[reorder_point]],"Low Stock","Sufficient Stock")</f>
        <v>Sufficient Stock</v>
      </c>
      <c r="Y458">
        <f>WarehouseData[[#This Row],[daily_demand]]*WarehouseData[[#This Row],[lead_time_days]]</f>
        <v>236.28000000000003</v>
      </c>
      <c r="Z458" t="str">
        <f>IF(WarehouseData[[#This Row],[stock_level]]&lt;=WarehouseData[[#This Row],[Demand During Lead Time]],"At Risk","Safe")</f>
        <v>Safe</v>
      </c>
      <c r="AA458">
        <f>WarehouseData[[#This Row],[stock_level]]/WarehouseData[[#This Row],[daily_demand]]</f>
        <v>7.5165058405281862</v>
      </c>
      <c r="AB458">
        <f>WarehouseData[[#This Row],[stock_level]]*WarehouseData[[#This Row],[unit_price]]</f>
        <v>38938.800000000003</v>
      </c>
      <c r="AC458">
        <f>WarehouseData[[#This Row],[stock_level]]*WarehouseData[[#This Row],[holding_cost_per_unit_day]]*30</f>
        <v>2575.1999999999998</v>
      </c>
      <c r="AD458" t="str">
        <f>IF(WarehouseData[[#This Row],[order_fulfillment_rate]]&gt;=0.9,"Strong",IF(WarehouseData[[#This Row],[order_fulfillment_rate]]&gt;=0.8,"Moderate","Needs Attention"))</f>
        <v>Moderate</v>
      </c>
      <c r="AE458" t="str">
        <f>IF(WarehouseData[[#This Row],[picking_time_seconds]]&gt;120,"Slow",IF(WarehouseData[[#This Row],[picking_time_seconds]]&gt;=60,"Average","Fast"))</f>
        <v>Average</v>
      </c>
    </row>
    <row r="459" spans="1:31" x14ac:dyDescent="0.25">
      <c r="A459" t="s">
        <v>597</v>
      </c>
      <c r="B459" t="s">
        <v>40</v>
      </c>
      <c r="C459">
        <v>65</v>
      </c>
      <c r="D459">
        <v>70</v>
      </c>
      <c r="E459">
        <v>11</v>
      </c>
      <c r="F459">
        <v>9</v>
      </c>
      <c r="G459">
        <v>8.11</v>
      </c>
      <c r="H459">
        <v>9.51</v>
      </c>
      <c r="I459">
        <v>0.36</v>
      </c>
      <c r="J459" t="s">
        <v>68</v>
      </c>
      <c r="K459" t="s">
        <v>52</v>
      </c>
      <c r="L459">
        <v>152</v>
      </c>
      <c r="M459">
        <v>4.41</v>
      </c>
      <c r="N459">
        <v>137.49</v>
      </c>
      <c r="O459">
        <v>0.46</v>
      </c>
      <c r="P459">
        <v>1</v>
      </c>
      <c r="Q459">
        <v>1</v>
      </c>
      <c r="R459">
        <v>894</v>
      </c>
      <c r="S459">
        <v>8.83</v>
      </c>
      <c r="T459">
        <v>0.8</v>
      </c>
      <c r="U459" s="1">
        <v>45470</v>
      </c>
      <c r="V459">
        <v>230.05</v>
      </c>
      <c r="W459">
        <v>0.81200000000000006</v>
      </c>
      <c r="X459" t="str">
        <f>IF(WarehouseData[[#This Row],[stock_level]]&lt;=WarehouseData[[#This Row],[reorder_point]],"Low Stock","Sufficient Stock")</f>
        <v>Low Stock</v>
      </c>
      <c r="Y459">
        <f>WarehouseData[[#This Row],[daily_demand]]*WarehouseData[[#This Row],[lead_time_days]]</f>
        <v>72.989999999999995</v>
      </c>
      <c r="Z459" t="str">
        <f>IF(WarehouseData[[#This Row],[stock_level]]&lt;=WarehouseData[[#This Row],[Demand During Lead Time]],"At Risk","Safe")</f>
        <v>At Risk</v>
      </c>
      <c r="AA459">
        <f>WarehouseData[[#This Row],[stock_level]]/WarehouseData[[#This Row],[daily_demand]]</f>
        <v>8.0147965474722564</v>
      </c>
      <c r="AB459">
        <f>WarehouseData[[#This Row],[stock_level]]*WarehouseData[[#This Row],[unit_price]]</f>
        <v>8936.85</v>
      </c>
      <c r="AC459">
        <f>WarehouseData[[#This Row],[stock_level]]*WarehouseData[[#This Row],[holding_cost_per_unit_day]]*30</f>
        <v>897.00000000000011</v>
      </c>
      <c r="AD459" t="str">
        <f>IF(WarehouseData[[#This Row],[order_fulfillment_rate]]&gt;=0.9,"Strong",IF(WarehouseData[[#This Row],[order_fulfillment_rate]]&gt;=0.8,"Moderate","Needs Attention"))</f>
        <v>Strong</v>
      </c>
      <c r="AE459" t="str">
        <f>IF(WarehouseData[[#This Row],[picking_time_seconds]]&gt;120,"Slow",IF(WarehouseData[[#This Row],[picking_time_seconds]]&gt;=60,"Average","Fast"))</f>
        <v>Slow</v>
      </c>
    </row>
    <row r="460" spans="1:31" x14ac:dyDescent="0.25">
      <c r="A460" t="s">
        <v>598</v>
      </c>
      <c r="B460" t="s">
        <v>48</v>
      </c>
      <c r="C460">
        <v>472</v>
      </c>
      <c r="D460">
        <v>17</v>
      </c>
      <c r="E460">
        <v>4</v>
      </c>
      <c r="F460">
        <v>5</v>
      </c>
      <c r="G460">
        <v>25.11</v>
      </c>
      <c r="H460">
        <v>3.89</v>
      </c>
      <c r="I460">
        <v>0.37</v>
      </c>
      <c r="J460" t="s">
        <v>45</v>
      </c>
      <c r="K460" t="s">
        <v>34</v>
      </c>
      <c r="L460">
        <v>42</v>
      </c>
      <c r="M460">
        <v>3.98</v>
      </c>
      <c r="N460">
        <v>83.64</v>
      </c>
      <c r="O460">
        <v>1.07</v>
      </c>
      <c r="P460">
        <v>3</v>
      </c>
      <c r="Q460">
        <v>0.79</v>
      </c>
      <c r="R460">
        <v>444</v>
      </c>
      <c r="S460">
        <v>2.46</v>
      </c>
      <c r="T460">
        <v>0.46</v>
      </c>
      <c r="U460" s="1">
        <v>45535</v>
      </c>
      <c r="V460">
        <v>197.88</v>
      </c>
      <c r="W460">
        <v>0.51600000000000001</v>
      </c>
      <c r="X460" t="str">
        <f>IF(WarehouseData[[#This Row],[stock_level]]&lt;=WarehouseData[[#This Row],[reorder_point]],"Low Stock","Sufficient Stock")</f>
        <v>Sufficient Stock</v>
      </c>
      <c r="Y460">
        <f>WarehouseData[[#This Row],[daily_demand]]*WarehouseData[[#This Row],[lead_time_days]]</f>
        <v>125.55</v>
      </c>
      <c r="Z460" t="str">
        <f>IF(WarehouseData[[#This Row],[stock_level]]&lt;=WarehouseData[[#This Row],[Demand During Lead Time]],"At Risk","Safe")</f>
        <v>Safe</v>
      </c>
      <c r="AA460">
        <f>WarehouseData[[#This Row],[stock_level]]/WarehouseData[[#This Row],[daily_demand]]</f>
        <v>18.797291915571485</v>
      </c>
      <c r="AB460">
        <f>WarehouseData[[#This Row],[stock_level]]*WarehouseData[[#This Row],[unit_price]]</f>
        <v>39478.080000000002</v>
      </c>
      <c r="AC460">
        <f>WarehouseData[[#This Row],[stock_level]]*WarehouseData[[#This Row],[holding_cost_per_unit_day]]*30</f>
        <v>15151.2</v>
      </c>
      <c r="AD460" t="str">
        <f>IF(WarehouseData[[#This Row],[order_fulfillment_rate]]&gt;=0.9,"Strong",IF(WarehouseData[[#This Row],[order_fulfillment_rate]]&gt;=0.8,"Moderate","Needs Attention"))</f>
        <v>Needs Attention</v>
      </c>
      <c r="AE460" t="str">
        <f>IF(WarehouseData[[#This Row],[picking_time_seconds]]&gt;120,"Slow",IF(WarehouseData[[#This Row],[picking_time_seconds]]&gt;=60,"Average","Fast"))</f>
        <v>Fast</v>
      </c>
    </row>
    <row r="461" spans="1:31" x14ac:dyDescent="0.25">
      <c r="A461" t="s">
        <v>599</v>
      </c>
      <c r="B461" t="s">
        <v>40</v>
      </c>
      <c r="C461">
        <v>409</v>
      </c>
      <c r="D461">
        <v>76</v>
      </c>
      <c r="E461">
        <v>7</v>
      </c>
      <c r="F461">
        <v>2</v>
      </c>
      <c r="G461">
        <v>20.3</v>
      </c>
      <c r="H461">
        <v>6.69</v>
      </c>
      <c r="I461">
        <v>0.13</v>
      </c>
      <c r="J461" t="s">
        <v>131</v>
      </c>
      <c r="K461" t="s">
        <v>46</v>
      </c>
      <c r="L461">
        <v>109</v>
      </c>
      <c r="M461">
        <v>4.08</v>
      </c>
      <c r="N461">
        <v>80.3</v>
      </c>
      <c r="O461">
        <v>1.45</v>
      </c>
      <c r="P461">
        <v>8</v>
      </c>
      <c r="Q461">
        <v>0.98</v>
      </c>
      <c r="R461">
        <v>77</v>
      </c>
      <c r="S461">
        <v>12.5</v>
      </c>
      <c r="T461">
        <v>0.89</v>
      </c>
      <c r="U461" s="1">
        <v>45341</v>
      </c>
      <c r="V461">
        <v>152.54</v>
      </c>
      <c r="W461">
        <v>0.63600000000000001</v>
      </c>
      <c r="X461" t="str">
        <f>IF(WarehouseData[[#This Row],[stock_level]]&lt;=WarehouseData[[#This Row],[reorder_point]],"Low Stock","Sufficient Stock")</f>
        <v>Sufficient Stock</v>
      </c>
      <c r="Y461">
        <f>WarehouseData[[#This Row],[daily_demand]]*WarehouseData[[#This Row],[lead_time_days]]</f>
        <v>40.6</v>
      </c>
      <c r="Z461" t="str">
        <f>IF(WarehouseData[[#This Row],[stock_level]]&lt;=WarehouseData[[#This Row],[Demand During Lead Time]],"At Risk","Safe")</f>
        <v>Safe</v>
      </c>
      <c r="AA461">
        <f>WarehouseData[[#This Row],[stock_level]]/WarehouseData[[#This Row],[daily_demand]]</f>
        <v>20.147783251231527</v>
      </c>
      <c r="AB461">
        <f>WarehouseData[[#This Row],[stock_level]]*WarehouseData[[#This Row],[unit_price]]</f>
        <v>32842.699999999997</v>
      </c>
      <c r="AC461">
        <f>WarehouseData[[#This Row],[stock_level]]*WarehouseData[[#This Row],[holding_cost_per_unit_day]]*30</f>
        <v>17791.5</v>
      </c>
      <c r="AD461" t="str">
        <f>IF(WarehouseData[[#This Row],[order_fulfillment_rate]]&gt;=0.9,"Strong",IF(WarehouseData[[#This Row],[order_fulfillment_rate]]&gt;=0.8,"Moderate","Needs Attention"))</f>
        <v>Strong</v>
      </c>
      <c r="AE461" t="str">
        <f>IF(WarehouseData[[#This Row],[picking_time_seconds]]&gt;120,"Slow",IF(WarehouseData[[#This Row],[picking_time_seconds]]&gt;=60,"Average","Fast"))</f>
        <v>Average</v>
      </c>
    </row>
    <row r="462" spans="1:31" x14ac:dyDescent="0.25">
      <c r="A462" t="s">
        <v>600</v>
      </c>
      <c r="B462" t="s">
        <v>73</v>
      </c>
      <c r="C462">
        <v>313</v>
      </c>
      <c r="D462">
        <v>72</v>
      </c>
      <c r="E462">
        <v>3</v>
      </c>
      <c r="F462">
        <v>7</v>
      </c>
      <c r="G462">
        <v>30.95</v>
      </c>
      <c r="H462">
        <v>7.56</v>
      </c>
      <c r="I462">
        <v>0.13</v>
      </c>
      <c r="J462" t="s">
        <v>102</v>
      </c>
      <c r="K462" t="s">
        <v>46</v>
      </c>
      <c r="L462">
        <v>157</v>
      </c>
      <c r="M462">
        <v>2.52</v>
      </c>
      <c r="N462">
        <v>10.87</v>
      </c>
      <c r="O462">
        <v>1.73</v>
      </c>
      <c r="P462">
        <v>4</v>
      </c>
      <c r="Q462">
        <v>0.8</v>
      </c>
      <c r="R462">
        <v>746</v>
      </c>
      <c r="S462">
        <v>4.18</v>
      </c>
      <c r="T462">
        <v>0.92</v>
      </c>
      <c r="U462" s="1">
        <v>45516</v>
      </c>
      <c r="V462">
        <v>18.75</v>
      </c>
      <c r="W462">
        <v>0.54700000000000004</v>
      </c>
      <c r="X462" t="str">
        <f>IF(WarehouseData[[#This Row],[stock_level]]&lt;=WarehouseData[[#This Row],[reorder_point]],"Low Stock","Sufficient Stock")</f>
        <v>Sufficient Stock</v>
      </c>
      <c r="Y462">
        <f>WarehouseData[[#This Row],[daily_demand]]*WarehouseData[[#This Row],[lead_time_days]]</f>
        <v>216.65</v>
      </c>
      <c r="Z462" t="str">
        <f>IF(WarehouseData[[#This Row],[stock_level]]&lt;=WarehouseData[[#This Row],[Demand During Lead Time]],"At Risk","Safe")</f>
        <v>Safe</v>
      </c>
      <c r="AA462">
        <f>WarehouseData[[#This Row],[stock_level]]/WarehouseData[[#This Row],[daily_demand]]</f>
        <v>10.113085621970921</v>
      </c>
      <c r="AB462">
        <f>WarehouseData[[#This Row],[stock_level]]*WarehouseData[[#This Row],[unit_price]]</f>
        <v>3402.31</v>
      </c>
      <c r="AC462">
        <f>WarehouseData[[#This Row],[stock_level]]*WarehouseData[[#This Row],[holding_cost_per_unit_day]]*30</f>
        <v>16244.7</v>
      </c>
      <c r="AD462" t="str">
        <f>IF(WarehouseData[[#This Row],[order_fulfillment_rate]]&gt;=0.9,"Strong",IF(WarehouseData[[#This Row],[order_fulfillment_rate]]&gt;=0.8,"Moderate","Needs Attention"))</f>
        <v>Moderate</v>
      </c>
      <c r="AE462" t="str">
        <f>IF(WarehouseData[[#This Row],[picking_time_seconds]]&gt;120,"Slow",IF(WarehouseData[[#This Row],[picking_time_seconds]]&gt;=60,"Average","Fast"))</f>
        <v>Slow</v>
      </c>
    </row>
    <row r="463" spans="1:31" x14ac:dyDescent="0.25">
      <c r="A463" t="s">
        <v>601</v>
      </c>
      <c r="B463" t="s">
        <v>48</v>
      </c>
      <c r="C463">
        <v>81</v>
      </c>
      <c r="D463">
        <v>18</v>
      </c>
      <c r="E463">
        <v>6</v>
      </c>
      <c r="F463">
        <v>3</v>
      </c>
      <c r="G463">
        <v>3.18</v>
      </c>
      <c r="H463">
        <v>0.72</v>
      </c>
      <c r="I463">
        <v>0.96</v>
      </c>
      <c r="J463" t="s">
        <v>401</v>
      </c>
      <c r="K463" t="s">
        <v>34</v>
      </c>
      <c r="L463">
        <v>82</v>
      </c>
      <c r="M463">
        <v>1.95</v>
      </c>
      <c r="N463">
        <v>39.299999999999997</v>
      </c>
      <c r="O463">
        <v>1.51</v>
      </c>
      <c r="P463">
        <v>5</v>
      </c>
      <c r="Q463">
        <v>0.86</v>
      </c>
      <c r="R463">
        <v>124</v>
      </c>
      <c r="S463">
        <v>8.69</v>
      </c>
      <c r="T463">
        <v>0.26</v>
      </c>
      <c r="U463" s="1">
        <v>45648</v>
      </c>
      <c r="V463">
        <v>211.56</v>
      </c>
      <c r="W463">
        <v>0.48899999999999999</v>
      </c>
      <c r="X463" t="str">
        <f>IF(WarehouseData[[#This Row],[stock_level]]&lt;=WarehouseData[[#This Row],[reorder_point]],"Low Stock","Sufficient Stock")</f>
        <v>Sufficient Stock</v>
      </c>
      <c r="Y463">
        <f>WarehouseData[[#This Row],[daily_demand]]*WarehouseData[[#This Row],[lead_time_days]]</f>
        <v>9.5400000000000009</v>
      </c>
      <c r="Z463" t="str">
        <f>IF(WarehouseData[[#This Row],[stock_level]]&lt;=WarehouseData[[#This Row],[Demand During Lead Time]],"At Risk","Safe")</f>
        <v>Safe</v>
      </c>
      <c r="AA463">
        <f>WarehouseData[[#This Row],[stock_level]]/WarehouseData[[#This Row],[daily_demand]]</f>
        <v>25.471698113207545</v>
      </c>
      <c r="AB463">
        <f>WarehouseData[[#This Row],[stock_level]]*WarehouseData[[#This Row],[unit_price]]</f>
        <v>3183.2999999999997</v>
      </c>
      <c r="AC463">
        <f>WarehouseData[[#This Row],[stock_level]]*WarehouseData[[#This Row],[holding_cost_per_unit_day]]*30</f>
        <v>3669.3</v>
      </c>
      <c r="AD463" t="str">
        <f>IF(WarehouseData[[#This Row],[order_fulfillment_rate]]&gt;=0.9,"Strong",IF(WarehouseData[[#This Row],[order_fulfillment_rate]]&gt;=0.8,"Moderate","Needs Attention"))</f>
        <v>Moderate</v>
      </c>
      <c r="AE463" t="str">
        <f>IF(WarehouseData[[#This Row],[picking_time_seconds]]&gt;120,"Slow",IF(WarehouseData[[#This Row],[picking_time_seconds]]&gt;=60,"Average","Fast"))</f>
        <v>Average</v>
      </c>
    </row>
    <row r="464" spans="1:31" x14ac:dyDescent="0.25">
      <c r="A464" t="s">
        <v>602</v>
      </c>
      <c r="B464" t="s">
        <v>36</v>
      </c>
      <c r="C464">
        <v>105</v>
      </c>
      <c r="D464">
        <v>20</v>
      </c>
      <c r="E464">
        <v>6</v>
      </c>
      <c r="F464">
        <v>3</v>
      </c>
      <c r="G464">
        <v>37.85</v>
      </c>
      <c r="H464">
        <v>9.61</v>
      </c>
      <c r="I464">
        <v>0.61</v>
      </c>
      <c r="J464" t="s">
        <v>166</v>
      </c>
      <c r="K464" t="s">
        <v>38</v>
      </c>
      <c r="L464">
        <v>175</v>
      </c>
      <c r="M464">
        <v>3.91</v>
      </c>
      <c r="N464">
        <v>190.65</v>
      </c>
      <c r="O464">
        <v>0.13</v>
      </c>
      <c r="P464">
        <v>9</v>
      </c>
      <c r="Q464">
        <v>0.84</v>
      </c>
      <c r="R464">
        <v>103</v>
      </c>
      <c r="S464">
        <v>2.76</v>
      </c>
      <c r="T464">
        <v>0.31</v>
      </c>
      <c r="U464" s="1">
        <v>45523</v>
      </c>
      <c r="V464">
        <v>34.78</v>
      </c>
      <c r="W464">
        <v>0.47399999999999998</v>
      </c>
      <c r="X464" t="str">
        <f>IF(WarehouseData[[#This Row],[stock_level]]&lt;=WarehouseData[[#This Row],[reorder_point]],"Low Stock","Sufficient Stock")</f>
        <v>Sufficient Stock</v>
      </c>
      <c r="Y464">
        <f>WarehouseData[[#This Row],[daily_demand]]*WarehouseData[[#This Row],[lead_time_days]]</f>
        <v>113.55000000000001</v>
      </c>
      <c r="Z464" t="str">
        <f>IF(WarehouseData[[#This Row],[stock_level]]&lt;=WarehouseData[[#This Row],[Demand During Lead Time]],"At Risk","Safe")</f>
        <v>At Risk</v>
      </c>
      <c r="AA464">
        <f>WarehouseData[[#This Row],[stock_level]]/WarehouseData[[#This Row],[daily_demand]]</f>
        <v>2.7741083223249667</v>
      </c>
      <c r="AB464">
        <f>WarehouseData[[#This Row],[stock_level]]*WarehouseData[[#This Row],[unit_price]]</f>
        <v>20018.25</v>
      </c>
      <c r="AC464">
        <f>WarehouseData[[#This Row],[stock_level]]*WarehouseData[[#This Row],[holding_cost_per_unit_day]]*30</f>
        <v>409.5</v>
      </c>
      <c r="AD464" t="str">
        <f>IF(WarehouseData[[#This Row],[order_fulfillment_rate]]&gt;=0.9,"Strong",IF(WarehouseData[[#This Row],[order_fulfillment_rate]]&gt;=0.8,"Moderate","Needs Attention"))</f>
        <v>Moderate</v>
      </c>
      <c r="AE464" t="str">
        <f>IF(WarehouseData[[#This Row],[picking_time_seconds]]&gt;120,"Slow",IF(WarehouseData[[#This Row],[picking_time_seconds]]&gt;=60,"Average","Fast"))</f>
        <v>Slow</v>
      </c>
    </row>
    <row r="465" spans="1:31" x14ac:dyDescent="0.25">
      <c r="A465" t="s">
        <v>603</v>
      </c>
      <c r="B465" t="s">
        <v>48</v>
      </c>
      <c r="C465">
        <v>465</v>
      </c>
      <c r="D465">
        <v>51</v>
      </c>
      <c r="E465">
        <v>8</v>
      </c>
      <c r="F465">
        <v>3</v>
      </c>
      <c r="G465">
        <v>4.88</v>
      </c>
      <c r="H465">
        <v>3.77</v>
      </c>
      <c r="I465">
        <v>0.38</v>
      </c>
      <c r="J465" t="s">
        <v>353</v>
      </c>
      <c r="K465" t="s">
        <v>52</v>
      </c>
      <c r="L465">
        <v>140</v>
      </c>
      <c r="M465">
        <v>4.07</v>
      </c>
      <c r="N465">
        <v>170.06</v>
      </c>
      <c r="O465">
        <v>1.4</v>
      </c>
      <c r="P465">
        <v>8</v>
      </c>
      <c r="Q465">
        <v>0.93</v>
      </c>
      <c r="R465">
        <v>370</v>
      </c>
      <c r="S465">
        <v>13.03</v>
      </c>
      <c r="T465">
        <v>0.41</v>
      </c>
      <c r="U465" s="1">
        <v>45455</v>
      </c>
      <c r="V465">
        <v>145.96</v>
      </c>
      <c r="W465">
        <v>0.54200000000000004</v>
      </c>
      <c r="X465" t="str">
        <f>IF(WarehouseData[[#This Row],[stock_level]]&lt;=WarehouseData[[#This Row],[reorder_point]],"Low Stock","Sufficient Stock")</f>
        <v>Sufficient Stock</v>
      </c>
      <c r="Y465">
        <f>WarehouseData[[#This Row],[daily_demand]]*WarehouseData[[#This Row],[lead_time_days]]</f>
        <v>14.64</v>
      </c>
      <c r="Z465" t="str">
        <f>IF(WarehouseData[[#This Row],[stock_level]]&lt;=WarehouseData[[#This Row],[Demand During Lead Time]],"At Risk","Safe")</f>
        <v>Safe</v>
      </c>
      <c r="AA465">
        <f>WarehouseData[[#This Row],[stock_level]]/WarehouseData[[#This Row],[daily_demand]]</f>
        <v>95.286885245901644</v>
      </c>
      <c r="AB465">
        <f>WarehouseData[[#This Row],[stock_level]]*WarehouseData[[#This Row],[unit_price]]</f>
        <v>79077.899999999994</v>
      </c>
      <c r="AC465">
        <f>WarehouseData[[#This Row],[stock_level]]*WarehouseData[[#This Row],[holding_cost_per_unit_day]]*30</f>
        <v>19530</v>
      </c>
      <c r="AD465" t="str">
        <f>IF(WarehouseData[[#This Row],[order_fulfillment_rate]]&gt;=0.9,"Strong",IF(WarehouseData[[#This Row],[order_fulfillment_rate]]&gt;=0.8,"Moderate","Needs Attention"))</f>
        <v>Strong</v>
      </c>
      <c r="AE465" t="str">
        <f>IF(WarehouseData[[#This Row],[picking_time_seconds]]&gt;120,"Slow",IF(WarehouseData[[#This Row],[picking_time_seconds]]&gt;=60,"Average","Fast"))</f>
        <v>Slow</v>
      </c>
    </row>
    <row r="466" spans="1:31" x14ac:dyDescent="0.25">
      <c r="A466" t="s">
        <v>604</v>
      </c>
      <c r="B466" t="s">
        <v>48</v>
      </c>
      <c r="C466">
        <v>229</v>
      </c>
      <c r="D466">
        <v>22</v>
      </c>
      <c r="E466">
        <v>12</v>
      </c>
      <c r="F466">
        <v>8</v>
      </c>
      <c r="G466">
        <v>33.17</v>
      </c>
      <c r="H466">
        <v>2.2999999999999998</v>
      </c>
      <c r="I466">
        <v>0.44</v>
      </c>
      <c r="J466" t="s">
        <v>33</v>
      </c>
      <c r="K466" t="s">
        <v>46</v>
      </c>
      <c r="L466">
        <v>27</v>
      </c>
      <c r="M466">
        <v>3.63</v>
      </c>
      <c r="N466">
        <v>62.27</v>
      </c>
      <c r="O466">
        <v>1.67</v>
      </c>
      <c r="P466">
        <v>8</v>
      </c>
      <c r="Q466">
        <v>0.72</v>
      </c>
      <c r="R466">
        <v>608</v>
      </c>
      <c r="S466">
        <v>10.69</v>
      </c>
      <c r="T466">
        <v>0.76</v>
      </c>
      <c r="U466" s="1">
        <v>45326</v>
      </c>
      <c r="V466">
        <v>269.95</v>
      </c>
      <c r="W466">
        <v>0.51200000000000001</v>
      </c>
      <c r="X466" t="str">
        <f>IF(WarehouseData[[#This Row],[stock_level]]&lt;=WarehouseData[[#This Row],[reorder_point]],"Low Stock","Sufficient Stock")</f>
        <v>Sufficient Stock</v>
      </c>
      <c r="Y466">
        <f>WarehouseData[[#This Row],[daily_demand]]*WarehouseData[[#This Row],[lead_time_days]]</f>
        <v>265.36</v>
      </c>
      <c r="Z466" t="str">
        <f>IF(WarehouseData[[#This Row],[stock_level]]&lt;=WarehouseData[[#This Row],[Demand During Lead Time]],"At Risk","Safe")</f>
        <v>At Risk</v>
      </c>
      <c r="AA466">
        <f>WarehouseData[[#This Row],[stock_level]]/WarehouseData[[#This Row],[daily_demand]]</f>
        <v>6.9038287609285494</v>
      </c>
      <c r="AB466">
        <f>WarehouseData[[#This Row],[stock_level]]*WarehouseData[[#This Row],[unit_price]]</f>
        <v>14259.83</v>
      </c>
      <c r="AC466">
        <f>WarehouseData[[#This Row],[stock_level]]*WarehouseData[[#This Row],[holding_cost_per_unit_day]]*30</f>
        <v>11472.9</v>
      </c>
      <c r="AD466" t="str">
        <f>IF(WarehouseData[[#This Row],[order_fulfillment_rate]]&gt;=0.9,"Strong",IF(WarehouseData[[#This Row],[order_fulfillment_rate]]&gt;=0.8,"Moderate","Needs Attention"))</f>
        <v>Needs Attention</v>
      </c>
      <c r="AE466" t="str">
        <f>IF(WarehouseData[[#This Row],[picking_time_seconds]]&gt;120,"Slow",IF(WarehouseData[[#This Row],[picking_time_seconds]]&gt;=60,"Average","Fast"))</f>
        <v>Fast</v>
      </c>
    </row>
    <row r="467" spans="1:31" x14ac:dyDescent="0.25">
      <c r="A467" t="s">
        <v>605</v>
      </c>
      <c r="B467" t="s">
        <v>48</v>
      </c>
      <c r="C467">
        <v>97</v>
      </c>
      <c r="D467">
        <v>45</v>
      </c>
      <c r="E467">
        <v>11</v>
      </c>
      <c r="F467">
        <v>9</v>
      </c>
      <c r="G467">
        <v>1.9</v>
      </c>
      <c r="H467">
        <v>8.58</v>
      </c>
      <c r="I467">
        <v>0.74</v>
      </c>
      <c r="J467" t="s">
        <v>129</v>
      </c>
      <c r="K467" t="s">
        <v>38</v>
      </c>
      <c r="L467">
        <v>135</v>
      </c>
      <c r="M467">
        <v>0.64</v>
      </c>
      <c r="N467">
        <v>86.23</v>
      </c>
      <c r="O467">
        <v>1.1000000000000001</v>
      </c>
      <c r="P467">
        <v>6</v>
      </c>
      <c r="Q467">
        <v>0.89</v>
      </c>
      <c r="R467">
        <v>809</v>
      </c>
      <c r="S467">
        <v>3.89</v>
      </c>
      <c r="T467">
        <v>0.35</v>
      </c>
      <c r="U467" s="1">
        <v>45445</v>
      </c>
      <c r="V467">
        <v>183.09</v>
      </c>
      <c r="W467">
        <v>0.47</v>
      </c>
      <c r="X467" t="str">
        <f>IF(WarehouseData[[#This Row],[stock_level]]&lt;=WarehouseData[[#This Row],[reorder_point]],"Low Stock","Sufficient Stock")</f>
        <v>Sufficient Stock</v>
      </c>
      <c r="Y467">
        <f>WarehouseData[[#This Row],[daily_demand]]*WarehouseData[[#This Row],[lead_time_days]]</f>
        <v>17.099999999999998</v>
      </c>
      <c r="Z467" t="str">
        <f>IF(WarehouseData[[#This Row],[stock_level]]&lt;=WarehouseData[[#This Row],[Demand During Lead Time]],"At Risk","Safe")</f>
        <v>Safe</v>
      </c>
      <c r="AA467">
        <f>WarehouseData[[#This Row],[stock_level]]/WarehouseData[[#This Row],[daily_demand]]</f>
        <v>51.05263157894737</v>
      </c>
      <c r="AB467">
        <f>WarehouseData[[#This Row],[stock_level]]*WarehouseData[[#This Row],[unit_price]]</f>
        <v>8364.31</v>
      </c>
      <c r="AC467">
        <f>WarehouseData[[#This Row],[stock_level]]*WarehouseData[[#This Row],[holding_cost_per_unit_day]]*30</f>
        <v>3201</v>
      </c>
      <c r="AD467" t="str">
        <f>IF(WarehouseData[[#This Row],[order_fulfillment_rate]]&gt;=0.9,"Strong",IF(WarehouseData[[#This Row],[order_fulfillment_rate]]&gt;=0.8,"Moderate","Needs Attention"))</f>
        <v>Moderate</v>
      </c>
      <c r="AE467" t="str">
        <f>IF(WarehouseData[[#This Row],[picking_time_seconds]]&gt;120,"Slow",IF(WarehouseData[[#This Row],[picking_time_seconds]]&gt;=60,"Average","Fast"))</f>
        <v>Slow</v>
      </c>
    </row>
    <row r="468" spans="1:31" x14ac:dyDescent="0.25">
      <c r="A468" t="s">
        <v>606</v>
      </c>
      <c r="B468" t="s">
        <v>48</v>
      </c>
      <c r="C468">
        <v>221</v>
      </c>
      <c r="D468">
        <v>22</v>
      </c>
      <c r="E468">
        <v>5</v>
      </c>
      <c r="F468">
        <v>9</v>
      </c>
      <c r="G468">
        <v>41.76</v>
      </c>
      <c r="H468">
        <v>7.18</v>
      </c>
      <c r="I468">
        <v>0.43</v>
      </c>
      <c r="J468" t="s">
        <v>106</v>
      </c>
      <c r="K468" t="s">
        <v>52</v>
      </c>
      <c r="L468">
        <v>16</v>
      </c>
      <c r="M468">
        <v>3.15</v>
      </c>
      <c r="N468">
        <v>188.59</v>
      </c>
      <c r="O468">
        <v>1.93</v>
      </c>
      <c r="P468">
        <v>1</v>
      </c>
      <c r="Q468">
        <v>0.93</v>
      </c>
      <c r="R468">
        <v>283</v>
      </c>
      <c r="S468">
        <v>11.02</v>
      </c>
      <c r="T468">
        <v>0.38</v>
      </c>
      <c r="U468" s="1">
        <v>45314</v>
      </c>
      <c r="V468">
        <v>67.7</v>
      </c>
      <c r="W468">
        <v>0.59599999999999997</v>
      </c>
      <c r="X468" t="str">
        <f>IF(WarehouseData[[#This Row],[stock_level]]&lt;=WarehouseData[[#This Row],[reorder_point]],"Low Stock","Sufficient Stock")</f>
        <v>Sufficient Stock</v>
      </c>
      <c r="Y468">
        <f>WarehouseData[[#This Row],[daily_demand]]*WarehouseData[[#This Row],[lead_time_days]]</f>
        <v>375.84</v>
      </c>
      <c r="Z468" t="str">
        <f>IF(WarehouseData[[#This Row],[stock_level]]&lt;=WarehouseData[[#This Row],[Demand During Lead Time]],"At Risk","Safe")</f>
        <v>At Risk</v>
      </c>
      <c r="AA468">
        <f>WarehouseData[[#This Row],[stock_level]]/WarehouseData[[#This Row],[daily_demand]]</f>
        <v>5.2921455938697317</v>
      </c>
      <c r="AB468">
        <f>WarehouseData[[#This Row],[stock_level]]*WarehouseData[[#This Row],[unit_price]]</f>
        <v>41678.39</v>
      </c>
      <c r="AC468">
        <f>WarehouseData[[#This Row],[stock_level]]*WarehouseData[[#This Row],[holding_cost_per_unit_day]]*30</f>
        <v>12795.9</v>
      </c>
      <c r="AD468" t="str">
        <f>IF(WarehouseData[[#This Row],[order_fulfillment_rate]]&gt;=0.9,"Strong",IF(WarehouseData[[#This Row],[order_fulfillment_rate]]&gt;=0.8,"Moderate","Needs Attention"))</f>
        <v>Strong</v>
      </c>
      <c r="AE468" t="str">
        <f>IF(WarehouseData[[#This Row],[picking_time_seconds]]&gt;120,"Slow",IF(WarehouseData[[#This Row],[picking_time_seconds]]&gt;=60,"Average","Fast"))</f>
        <v>Fast</v>
      </c>
    </row>
    <row r="469" spans="1:31" x14ac:dyDescent="0.25">
      <c r="A469" t="s">
        <v>607</v>
      </c>
      <c r="B469" t="s">
        <v>40</v>
      </c>
      <c r="C469">
        <v>321</v>
      </c>
      <c r="D469">
        <v>21</v>
      </c>
      <c r="E469">
        <v>11</v>
      </c>
      <c r="F469">
        <v>7</v>
      </c>
      <c r="G469">
        <v>9.56</v>
      </c>
      <c r="H469">
        <v>1.32</v>
      </c>
      <c r="I469">
        <v>0.3</v>
      </c>
      <c r="J469" t="s">
        <v>43</v>
      </c>
      <c r="K469" t="s">
        <v>38</v>
      </c>
      <c r="L469">
        <v>172</v>
      </c>
      <c r="M469">
        <v>2.06</v>
      </c>
      <c r="N469">
        <v>57.58</v>
      </c>
      <c r="O469">
        <v>0.11</v>
      </c>
      <c r="P469">
        <v>6</v>
      </c>
      <c r="Q469">
        <v>0.84</v>
      </c>
      <c r="R469">
        <v>679</v>
      </c>
      <c r="S469">
        <v>2.16</v>
      </c>
      <c r="T469">
        <v>0.51</v>
      </c>
      <c r="U469" s="1">
        <v>45655</v>
      </c>
      <c r="V469">
        <v>244.31</v>
      </c>
      <c r="W469">
        <v>0.56799999999999995</v>
      </c>
      <c r="X469" t="str">
        <f>IF(WarehouseData[[#This Row],[stock_level]]&lt;=WarehouseData[[#This Row],[reorder_point]],"Low Stock","Sufficient Stock")</f>
        <v>Sufficient Stock</v>
      </c>
      <c r="Y469">
        <f>WarehouseData[[#This Row],[daily_demand]]*WarehouseData[[#This Row],[lead_time_days]]</f>
        <v>66.92</v>
      </c>
      <c r="Z469" t="str">
        <f>IF(WarehouseData[[#This Row],[stock_level]]&lt;=WarehouseData[[#This Row],[Demand During Lead Time]],"At Risk","Safe")</f>
        <v>Safe</v>
      </c>
      <c r="AA469">
        <f>WarehouseData[[#This Row],[stock_level]]/WarehouseData[[#This Row],[daily_demand]]</f>
        <v>33.577405857740587</v>
      </c>
      <c r="AB469">
        <f>WarehouseData[[#This Row],[stock_level]]*WarehouseData[[#This Row],[unit_price]]</f>
        <v>18483.18</v>
      </c>
      <c r="AC469">
        <f>WarehouseData[[#This Row],[stock_level]]*WarehouseData[[#This Row],[holding_cost_per_unit_day]]*30</f>
        <v>1059.3000000000002</v>
      </c>
      <c r="AD469" t="str">
        <f>IF(WarehouseData[[#This Row],[order_fulfillment_rate]]&gt;=0.9,"Strong",IF(WarehouseData[[#This Row],[order_fulfillment_rate]]&gt;=0.8,"Moderate","Needs Attention"))</f>
        <v>Moderate</v>
      </c>
      <c r="AE469" t="str">
        <f>IF(WarehouseData[[#This Row],[picking_time_seconds]]&gt;120,"Slow",IF(WarehouseData[[#This Row],[picking_time_seconds]]&gt;=60,"Average","Fast"))</f>
        <v>Slow</v>
      </c>
    </row>
    <row r="470" spans="1:31" x14ac:dyDescent="0.25">
      <c r="A470" t="s">
        <v>608</v>
      </c>
      <c r="B470" t="s">
        <v>73</v>
      </c>
      <c r="C470">
        <v>416</v>
      </c>
      <c r="D470">
        <v>46</v>
      </c>
      <c r="E470">
        <v>8</v>
      </c>
      <c r="F470">
        <v>7</v>
      </c>
      <c r="G470">
        <v>26.26</v>
      </c>
      <c r="H470">
        <v>1.61</v>
      </c>
      <c r="I470">
        <v>0.19</v>
      </c>
      <c r="J470" t="s">
        <v>377</v>
      </c>
      <c r="K470" t="s">
        <v>52</v>
      </c>
      <c r="L470">
        <v>133</v>
      </c>
      <c r="M470">
        <v>1.38</v>
      </c>
      <c r="N470">
        <v>111.18</v>
      </c>
      <c r="O470">
        <v>1.66</v>
      </c>
      <c r="P470">
        <v>8</v>
      </c>
      <c r="Q470">
        <v>0.73</v>
      </c>
      <c r="R470">
        <v>821</v>
      </c>
      <c r="S470">
        <v>11.81</v>
      </c>
      <c r="T470">
        <v>0.69</v>
      </c>
      <c r="U470" s="1">
        <v>45350</v>
      </c>
      <c r="V470">
        <v>97.12</v>
      </c>
      <c r="W470">
        <v>0.51500000000000001</v>
      </c>
      <c r="X470" t="str">
        <f>IF(WarehouseData[[#This Row],[stock_level]]&lt;=WarehouseData[[#This Row],[reorder_point]],"Low Stock","Sufficient Stock")</f>
        <v>Sufficient Stock</v>
      </c>
      <c r="Y470">
        <f>WarehouseData[[#This Row],[daily_demand]]*WarehouseData[[#This Row],[lead_time_days]]</f>
        <v>183.82000000000002</v>
      </c>
      <c r="Z470" t="str">
        <f>IF(WarehouseData[[#This Row],[stock_level]]&lt;=WarehouseData[[#This Row],[Demand During Lead Time]],"At Risk","Safe")</f>
        <v>Safe</v>
      </c>
      <c r="AA470">
        <f>WarehouseData[[#This Row],[stock_level]]/WarehouseData[[#This Row],[daily_demand]]</f>
        <v>15.841584158415841</v>
      </c>
      <c r="AB470">
        <f>WarehouseData[[#This Row],[stock_level]]*WarehouseData[[#This Row],[unit_price]]</f>
        <v>46250.880000000005</v>
      </c>
      <c r="AC470">
        <f>WarehouseData[[#This Row],[stock_level]]*WarehouseData[[#This Row],[holding_cost_per_unit_day]]*30</f>
        <v>20716.8</v>
      </c>
      <c r="AD470" t="str">
        <f>IF(WarehouseData[[#This Row],[order_fulfillment_rate]]&gt;=0.9,"Strong",IF(WarehouseData[[#This Row],[order_fulfillment_rate]]&gt;=0.8,"Moderate","Needs Attention"))</f>
        <v>Needs Attention</v>
      </c>
      <c r="AE470" t="str">
        <f>IF(WarehouseData[[#This Row],[picking_time_seconds]]&gt;120,"Slow",IF(WarehouseData[[#This Row],[picking_time_seconds]]&gt;=60,"Average","Fast"))</f>
        <v>Slow</v>
      </c>
    </row>
    <row r="471" spans="1:31" x14ac:dyDescent="0.25">
      <c r="A471" t="s">
        <v>609</v>
      </c>
      <c r="B471" t="s">
        <v>32</v>
      </c>
      <c r="C471">
        <v>242</v>
      </c>
      <c r="D471">
        <v>83</v>
      </c>
      <c r="E471">
        <v>9</v>
      </c>
      <c r="F471">
        <v>3</v>
      </c>
      <c r="G471">
        <v>13.81</v>
      </c>
      <c r="H471">
        <v>7.29</v>
      </c>
      <c r="I471">
        <v>0.76</v>
      </c>
      <c r="J471" t="s">
        <v>144</v>
      </c>
      <c r="K471" t="s">
        <v>52</v>
      </c>
      <c r="L471">
        <v>123</v>
      </c>
      <c r="M471">
        <v>3.62</v>
      </c>
      <c r="N471">
        <v>14.2</v>
      </c>
      <c r="O471">
        <v>0.74</v>
      </c>
      <c r="P471">
        <v>1</v>
      </c>
      <c r="Q471">
        <v>0.77</v>
      </c>
      <c r="R471">
        <v>279</v>
      </c>
      <c r="S471">
        <v>7.86</v>
      </c>
      <c r="T471">
        <v>0.98</v>
      </c>
      <c r="U471" s="1">
        <v>45303</v>
      </c>
      <c r="V471">
        <v>177.41</v>
      </c>
      <c r="W471">
        <v>0.76100000000000001</v>
      </c>
      <c r="X471" t="str">
        <f>IF(WarehouseData[[#This Row],[stock_level]]&lt;=WarehouseData[[#This Row],[reorder_point]],"Low Stock","Sufficient Stock")</f>
        <v>Sufficient Stock</v>
      </c>
      <c r="Y471">
        <f>WarehouseData[[#This Row],[daily_demand]]*WarehouseData[[#This Row],[lead_time_days]]</f>
        <v>41.43</v>
      </c>
      <c r="Z471" t="str">
        <f>IF(WarehouseData[[#This Row],[stock_level]]&lt;=WarehouseData[[#This Row],[Demand During Lead Time]],"At Risk","Safe")</f>
        <v>Safe</v>
      </c>
      <c r="AA471">
        <f>WarehouseData[[#This Row],[stock_level]]/WarehouseData[[#This Row],[daily_demand]]</f>
        <v>17.523533671252714</v>
      </c>
      <c r="AB471">
        <f>WarehouseData[[#This Row],[stock_level]]*WarehouseData[[#This Row],[unit_price]]</f>
        <v>3436.3999999999996</v>
      </c>
      <c r="AC471">
        <f>WarehouseData[[#This Row],[stock_level]]*WarehouseData[[#This Row],[holding_cost_per_unit_day]]*30</f>
        <v>5372.4</v>
      </c>
      <c r="AD471" t="str">
        <f>IF(WarehouseData[[#This Row],[order_fulfillment_rate]]&gt;=0.9,"Strong",IF(WarehouseData[[#This Row],[order_fulfillment_rate]]&gt;=0.8,"Moderate","Needs Attention"))</f>
        <v>Needs Attention</v>
      </c>
      <c r="AE471" t="str">
        <f>IF(WarehouseData[[#This Row],[picking_time_seconds]]&gt;120,"Slow",IF(WarehouseData[[#This Row],[picking_time_seconds]]&gt;=60,"Average","Fast"))</f>
        <v>Slow</v>
      </c>
    </row>
    <row r="472" spans="1:31" x14ac:dyDescent="0.25">
      <c r="A472" t="s">
        <v>610</v>
      </c>
      <c r="B472" t="s">
        <v>48</v>
      </c>
      <c r="C472">
        <v>241</v>
      </c>
      <c r="D472">
        <v>82</v>
      </c>
      <c r="E472">
        <v>14</v>
      </c>
      <c r="F472">
        <v>9</v>
      </c>
      <c r="G472">
        <v>36.409999999999997</v>
      </c>
      <c r="H472">
        <v>1.21</v>
      </c>
      <c r="I472">
        <v>0.26</v>
      </c>
      <c r="J472" t="s">
        <v>158</v>
      </c>
      <c r="K472" t="s">
        <v>38</v>
      </c>
      <c r="L472">
        <v>93</v>
      </c>
      <c r="M472">
        <v>1.71</v>
      </c>
      <c r="N472">
        <v>127.75</v>
      </c>
      <c r="O472">
        <v>1.34</v>
      </c>
      <c r="P472">
        <v>6</v>
      </c>
      <c r="Q472">
        <v>0.9</v>
      </c>
      <c r="R472">
        <v>851</v>
      </c>
      <c r="S472">
        <v>2.68</v>
      </c>
      <c r="T472">
        <v>0.83</v>
      </c>
      <c r="U472" s="1">
        <v>45467</v>
      </c>
      <c r="V472">
        <v>194.4</v>
      </c>
      <c r="W472">
        <v>0.52800000000000002</v>
      </c>
      <c r="X472" t="str">
        <f>IF(WarehouseData[[#This Row],[stock_level]]&lt;=WarehouseData[[#This Row],[reorder_point]],"Low Stock","Sufficient Stock")</f>
        <v>Sufficient Stock</v>
      </c>
      <c r="Y472">
        <f>WarehouseData[[#This Row],[daily_demand]]*WarehouseData[[#This Row],[lead_time_days]]</f>
        <v>327.68999999999994</v>
      </c>
      <c r="Z472" t="str">
        <f>IF(WarehouseData[[#This Row],[stock_level]]&lt;=WarehouseData[[#This Row],[Demand During Lead Time]],"At Risk","Safe")</f>
        <v>At Risk</v>
      </c>
      <c r="AA472">
        <f>WarehouseData[[#This Row],[stock_level]]/WarehouseData[[#This Row],[daily_demand]]</f>
        <v>6.6190606976105473</v>
      </c>
      <c r="AB472">
        <f>WarehouseData[[#This Row],[stock_level]]*WarehouseData[[#This Row],[unit_price]]</f>
        <v>30787.75</v>
      </c>
      <c r="AC472">
        <f>WarehouseData[[#This Row],[stock_level]]*WarehouseData[[#This Row],[holding_cost_per_unit_day]]*30</f>
        <v>9688.2000000000007</v>
      </c>
      <c r="AD472" t="str">
        <f>IF(WarehouseData[[#This Row],[order_fulfillment_rate]]&gt;=0.9,"Strong",IF(WarehouseData[[#This Row],[order_fulfillment_rate]]&gt;=0.8,"Moderate","Needs Attention"))</f>
        <v>Strong</v>
      </c>
      <c r="AE472" t="str">
        <f>IF(WarehouseData[[#This Row],[picking_time_seconds]]&gt;120,"Slow",IF(WarehouseData[[#This Row],[picking_time_seconds]]&gt;=60,"Average","Fast"))</f>
        <v>Average</v>
      </c>
    </row>
    <row r="473" spans="1:31" x14ac:dyDescent="0.25">
      <c r="A473" t="s">
        <v>611</v>
      </c>
      <c r="B473" t="s">
        <v>36</v>
      </c>
      <c r="C473">
        <v>22</v>
      </c>
      <c r="D473">
        <v>61</v>
      </c>
      <c r="E473">
        <v>12</v>
      </c>
      <c r="F473">
        <v>9</v>
      </c>
      <c r="G473">
        <v>16.75</v>
      </c>
      <c r="H473">
        <v>9.2100000000000009</v>
      </c>
      <c r="I473">
        <v>0.16</v>
      </c>
      <c r="J473" t="s">
        <v>68</v>
      </c>
      <c r="K473" t="s">
        <v>52</v>
      </c>
      <c r="L473">
        <v>93</v>
      </c>
      <c r="M473">
        <v>4.6100000000000003</v>
      </c>
      <c r="N473">
        <v>186.71</v>
      </c>
      <c r="O473">
        <v>1.42</v>
      </c>
      <c r="P473">
        <v>6</v>
      </c>
      <c r="Q473">
        <v>0.97</v>
      </c>
      <c r="R473">
        <v>802</v>
      </c>
      <c r="S473">
        <v>8.7100000000000009</v>
      </c>
      <c r="T473">
        <v>0.65</v>
      </c>
      <c r="U473" s="1">
        <v>45623</v>
      </c>
      <c r="V473">
        <v>222.03</v>
      </c>
      <c r="W473">
        <v>0.57799999999999996</v>
      </c>
      <c r="X473" t="str">
        <f>IF(WarehouseData[[#This Row],[stock_level]]&lt;=WarehouseData[[#This Row],[reorder_point]],"Low Stock","Sufficient Stock")</f>
        <v>Low Stock</v>
      </c>
      <c r="Y473">
        <f>WarehouseData[[#This Row],[daily_demand]]*WarehouseData[[#This Row],[lead_time_days]]</f>
        <v>150.75</v>
      </c>
      <c r="Z473" t="str">
        <f>IF(WarehouseData[[#This Row],[stock_level]]&lt;=WarehouseData[[#This Row],[Demand During Lead Time]],"At Risk","Safe")</f>
        <v>At Risk</v>
      </c>
      <c r="AA473">
        <f>WarehouseData[[#This Row],[stock_level]]/WarehouseData[[#This Row],[daily_demand]]</f>
        <v>1.3134328358208955</v>
      </c>
      <c r="AB473">
        <f>WarehouseData[[#This Row],[stock_level]]*WarehouseData[[#This Row],[unit_price]]</f>
        <v>4107.62</v>
      </c>
      <c r="AC473">
        <f>WarehouseData[[#This Row],[stock_level]]*WarehouseData[[#This Row],[holding_cost_per_unit_day]]*30</f>
        <v>937.19999999999993</v>
      </c>
      <c r="AD473" t="str">
        <f>IF(WarehouseData[[#This Row],[order_fulfillment_rate]]&gt;=0.9,"Strong",IF(WarehouseData[[#This Row],[order_fulfillment_rate]]&gt;=0.8,"Moderate","Needs Attention"))</f>
        <v>Strong</v>
      </c>
      <c r="AE473" t="str">
        <f>IF(WarehouseData[[#This Row],[picking_time_seconds]]&gt;120,"Slow",IF(WarehouseData[[#This Row],[picking_time_seconds]]&gt;=60,"Average","Fast"))</f>
        <v>Average</v>
      </c>
    </row>
    <row r="474" spans="1:31" x14ac:dyDescent="0.25">
      <c r="A474" t="s">
        <v>612</v>
      </c>
      <c r="B474" t="s">
        <v>48</v>
      </c>
      <c r="C474">
        <v>497</v>
      </c>
      <c r="D474">
        <v>80</v>
      </c>
      <c r="E474">
        <v>4</v>
      </c>
      <c r="F474">
        <v>7</v>
      </c>
      <c r="G474">
        <v>36.51</v>
      </c>
      <c r="H474">
        <v>7.54</v>
      </c>
      <c r="I474">
        <v>0.48</v>
      </c>
      <c r="J474" t="s">
        <v>84</v>
      </c>
      <c r="K474" t="s">
        <v>46</v>
      </c>
      <c r="L474">
        <v>92</v>
      </c>
      <c r="M474">
        <v>1.84</v>
      </c>
      <c r="N474">
        <v>178.1</v>
      </c>
      <c r="O474">
        <v>0.68</v>
      </c>
      <c r="P474">
        <v>2</v>
      </c>
      <c r="Q474">
        <v>0.83</v>
      </c>
      <c r="R474">
        <v>381</v>
      </c>
      <c r="S474">
        <v>3.81</v>
      </c>
      <c r="T474">
        <v>0.24</v>
      </c>
      <c r="U474" s="1">
        <v>45347</v>
      </c>
      <c r="V474">
        <v>28.84</v>
      </c>
      <c r="W474">
        <v>0.55700000000000005</v>
      </c>
      <c r="X474" t="str">
        <f>IF(WarehouseData[[#This Row],[stock_level]]&lt;=WarehouseData[[#This Row],[reorder_point]],"Low Stock","Sufficient Stock")</f>
        <v>Sufficient Stock</v>
      </c>
      <c r="Y474">
        <f>WarehouseData[[#This Row],[daily_demand]]*WarehouseData[[#This Row],[lead_time_days]]</f>
        <v>255.57</v>
      </c>
      <c r="Z474" t="str">
        <f>IF(WarehouseData[[#This Row],[stock_level]]&lt;=WarehouseData[[#This Row],[Demand During Lead Time]],"At Risk","Safe")</f>
        <v>Safe</v>
      </c>
      <c r="AA474">
        <f>WarehouseData[[#This Row],[stock_level]]/WarehouseData[[#This Row],[daily_demand]]</f>
        <v>13.612708846891264</v>
      </c>
      <c r="AB474">
        <f>WarehouseData[[#This Row],[stock_level]]*WarehouseData[[#This Row],[unit_price]]</f>
        <v>88515.7</v>
      </c>
      <c r="AC474">
        <f>WarehouseData[[#This Row],[stock_level]]*WarehouseData[[#This Row],[holding_cost_per_unit_day]]*30</f>
        <v>10138.800000000001</v>
      </c>
      <c r="AD474" t="str">
        <f>IF(WarehouseData[[#This Row],[order_fulfillment_rate]]&gt;=0.9,"Strong",IF(WarehouseData[[#This Row],[order_fulfillment_rate]]&gt;=0.8,"Moderate","Needs Attention"))</f>
        <v>Moderate</v>
      </c>
      <c r="AE474" t="str">
        <f>IF(WarehouseData[[#This Row],[picking_time_seconds]]&gt;120,"Slow",IF(WarehouseData[[#This Row],[picking_time_seconds]]&gt;=60,"Average","Fast"))</f>
        <v>Average</v>
      </c>
    </row>
    <row r="475" spans="1:31" x14ac:dyDescent="0.25">
      <c r="A475" t="s">
        <v>613</v>
      </c>
      <c r="B475" t="s">
        <v>36</v>
      </c>
      <c r="C475">
        <v>25</v>
      </c>
      <c r="D475">
        <v>11</v>
      </c>
      <c r="E475">
        <v>13</v>
      </c>
      <c r="F475">
        <v>8</v>
      </c>
      <c r="G475">
        <v>14.96</v>
      </c>
      <c r="H475">
        <v>3.69</v>
      </c>
      <c r="I475">
        <v>0.14000000000000001</v>
      </c>
      <c r="J475" t="s">
        <v>286</v>
      </c>
      <c r="K475" t="s">
        <v>46</v>
      </c>
      <c r="L475">
        <v>114</v>
      </c>
      <c r="M475">
        <v>3</v>
      </c>
      <c r="N475">
        <v>105.37</v>
      </c>
      <c r="O475">
        <v>1.99</v>
      </c>
      <c r="P475">
        <v>5</v>
      </c>
      <c r="Q475">
        <v>0.87</v>
      </c>
      <c r="R475">
        <v>743</v>
      </c>
      <c r="S475">
        <v>10.42</v>
      </c>
      <c r="T475">
        <v>0.61</v>
      </c>
      <c r="U475" s="1">
        <v>45638</v>
      </c>
      <c r="V475">
        <v>257.74</v>
      </c>
      <c r="W475">
        <v>0.53600000000000003</v>
      </c>
      <c r="X475" t="str">
        <f>IF(WarehouseData[[#This Row],[stock_level]]&lt;=WarehouseData[[#This Row],[reorder_point]],"Low Stock","Sufficient Stock")</f>
        <v>Sufficient Stock</v>
      </c>
      <c r="Y475">
        <f>WarehouseData[[#This Row],[daily_demand]]*WarehouseData[[#This Row],[lead_time_days]]</f>
        <v>119.68</v>
      </c>
      <c r="Z475" t="str">
        <f>IF(WarehouseData[[#This Row],[stock_level]]&lt;=WarehouseData[[#This Row],[Demand During Lead Time]],"At Risk","Safe")</f>
        <v>At Risk</v>
      </c>
      <c r="AA475">
        <f>WarehouseData[[#This Row],[stock_level]]/WarehouseData[[#This Row],[daily_demand]]</f>
        <v>1.6711229946524062</v>
      </c>
      <c r="AB475">
        <f>WarehouseData[[#This Row],[stock_level]]*WarehouseData[[#This Row],[unit_price]]</f>
        <v>2634.25</v>
      </c>
      <c r="AC475">
        <f>WarehouseData[[#This Row],[stock_level]]*WarehouseData[[#This Row],[holding_cost_per_unit_day]]*30</f>
        <v>1492.5</v>
      </c>
      <c r="AD475" t="str">
        <f>IF(WarehouseData[[#This Row],[order_fulfillment_rate]]&gt;=0.9,"Strong",IF(WarehouseData[[#This Row],[order_fulfillment_rate]]&gt;=0.8,"Moderate","Needs Attention"))</f>
        <v>Moderate</v>
      </c>
      <c r="AE475" t="str">
        <f>IF(WarehouseData[[#This Row],[picking_time_seconds]]&gt;120,"Slow",IF(WarehouseData[[#This Row],[picking_time_seconds]]&gt;=60,"Average","Fast"))</f>
        <v>Average</v>
      </c>
    </row>
    <row r="476" spans="1:31" x14ac:dyDescent="0.25">
      <c r="A476" t="s">
        <v>614</v>
      </c>
      <c r="B476" t="s">
        <v>40</v>
      </c>
      <c r="C476">
        <v>112</v>
      </c>
      <c r="D476">
        <v>65</v>
      </c>
      <c r="E476">
        <v>12</v>
      </c>
      <c r="F476">
        <v>2</v>
      </c>
      <c r="G476">
        <v>37.869999999999997</v>
      </c>
      <c r="H476">
        <v>3.95</v>
      </c>
      <c r="I476">
        <v>0.97</v>
      </c>
      <c r="J476" t="s">
        <v>37</v>
      </c>
      <c r="K476" t="s">
        <v>38</v>
      </c>
      <c r="L476">
        <v>111</v>
      </c>
      <c r="M476">
        <v>4.22</v>
      </c>
      <c r="N476">
        <v>133.43</v>
      </c>
      <c r="O476">
        <v>0.3</v>
      </c>
      <c r="P476">
        <v>7</v>
      </c>
      <c r="Q476">
        <v>0.77</v>
      </c>
      <c r="R476">
        <v>521</v>
      </c>
      <c r="S476">
        <v>10.92</v>
      </c>
      <c r="T476">
        <v>0.36</v>
      </c>
      <c r="U476" s="1">
        <v>45376</v>
      </c>
      <c r="V476">
        <v>43.02</v>
      </c>
      <c r="W476">
        <v>0.60199999999999998</v>
      </c>
      <c r="X476" t="str">
        <f>IF(WarehouseData[[#This Row],[stock_level]]&lt;=WarehouseData[[#This Row],[reorder_point]],"Low Stock","Sufficient Stock")</f>
        <v>Sufficient Stock</v>
      </c>
      <c r="Y476">
        <f>WarehouseData[[#This Row],[daily_demand]]*WarehouseData[[#This Row],[lead_time_days]]</f>
        <v>75.739999999999995</v>
      </c>
      <c r="Z476" t="str">
        <f>IF(WarehouseData[[#This Row],[stock_level]]&lt;=WarehouseData[[#This Row],[Demand During Lead Time]],"At Risk","Safe")</f>
        <v>Safe</v>
      </c>
      <c r="AA476">
        <f>WarehouseData[[#This Row],[stock_level]]/WarehouseData[[#This Row],[daily_demand]]</f>
        <v>2.957486136783734</v>
      </c>
      <c r="AB476">
        <f>WarehouseData[[#This Row],[stock_level]]*WarehouseData[[#This Row],[unit_price]]</f>
        <v>14944.16</v>
      </c>
      <c r="AC476">
        <f>WarehouseData[[#This Row],[stock_level]]*WarehouseData[[#This Row],[holding_cost_per_unit_day]]*30</f>
        <v>1008</v>
      </c>
      <c r="AD476" t="str">
        <f>IF(WarehouseData[[#This Row],[order_fulfillment_rate]]&gt;=0.9,"Strong",IF(WarehouseData[[#This Row],[order_fulfillment_rate]]&gt;=0.8,"Moderate","Needs Attention"))</f>
        <v>Needs Attention</v>
      </c>
      <c r="AE476" t="str">
        <f>IF(WarehouseData[[#This Row],[picking_time_seconds]]&gt;120,"Slow",IF(WarehouseData[[#This Row],[picking_time_seconds]]&gt;=60,"Average","Fast"))</f>
        <v>Average</v>
      </c>
    </row>
    <row r="477" spans="1:31" x14ac:dyDescent="0.25">
      <c r="A477" t="s">
        <v>615</v>
      </c>
      <c r="B477" t="s">
        <v>36</v>
      </c>
      <c r="C477">
        <v>27</v>
      </c>
      <c r="D477">
        <v>69</v>
      </c>
      <c r="E477">
        <v>8</v>
      </c>
      <c r="F477">
        <v>2</v>
      </c>
      <c r="G477">
        <v>2.5</v>
      </c>
      <c r="H477">
        <v>5.31</v>
      </c>
      <c r="I477">
        <v>0.66</v>
      </c>
      <c r="J477" t="s">
        <v>192</v>
      </c>
      <c r="K477" t="s">
        <v>38</v>
      </c>
      <c r="L477">
        <v>102</v>
      </c>
      <c r="M477">
        <v>2.31</v>
      </c>
      <c r="N477">
        <v>118.26</v>
      </c>
      <c r="O477">
        <v>0.4</v>
      </c>
      <c r="P477">
        <v>9</v>
      </c>
      <c r="Q477">
        <v>0.82</v>
      </c>
      <c r="R477">
        <v>366</v>
      </c>
      <c r="S477">
        <v>11.65</v>
      </c>
      <c r="T477">
        <v>0.44</v>
      </c>
      <c r="U477" s="1">
        <v>45416</v>
      </c>
      <c r="V477">
        <v>37.409999999999997</v>
      </c>
      <c r="W477">
        <v>0.58699999999999997</v>
      </c>
      <c r="X477" t="str">
        <f>IF(WarehouseData[[#This Row],[stock_level]]&lt;=WarehouseData[[#This Row],[reorder_point]],"Low Stock","Sufficient Stock")</f>
        <v>Low Stock</v>
      </c>
      <c r="Y477">
        <f>WarehouseData[[#This Row],[daily_demand]]*WarehouseData[[#This Row],[lead_time_days]]</f>
        <v>5</v>
      </c>
      <c r="Z477" t="str">
        <f>IF(WarehouseData[[#This Row],[stock_level]]&lt;=WarehouseData[[#This Row],[Demand During Lead Time]],"At Risk","Safe")</f>
        <v>Safe</v>
      </c>
      <c r="AA477">
        <f>WarehouseData[[#This Row],[stock_level]]/WarehouseData[[#This Row],[daily_demand]]</f>
        <v>10.8</v>
      </c>
      <c r="AB477">
        <f>WarehouseData[[#This Row],[stock_level]]*WarehouseData[[#This Row],[unit_price]]</f>
        <v>3193.02</v>
      </c>
      <c r="AC477">
        <f>WarehouseData[[#This Row],[stock_level]]*WarehouseData[[#This Row],[holding_cost_per_unit_day]]*30</f>
        <v>324</v>
      </c>
      <c r="AD477" t="str">
        <f>IF(WarehouseData[[#This Row],[order_fulfillment_rate]]&gt;=0.9,"Strong",IF(WarehouseData[[#This Row],[order_fulfillment_rate]]&gt;=0.8,"Moderate","Needs Attention"))</f>
        <v>Moderate</v>
      </c>
      <c r="AE477" t="str">
        <f>IF(WarehouseData[[#This Row],[picking_time_seconds]]&gt;120,"Slow",IF(WarehouseData[[#This Row],[picking_time_seconds]]&gt;=60,"Average","Fast"))</f>
        <v>Average</v>
      </c>
    </row>
    <row r="478" spans="1:31" x14ac:dyDescent="0.25">
      <c r="A478" t="s">
        <v>616</v>
      </c>
      <c r="B478" t="s">
        <v>32</v>
      </c>
      <c r="C478">
        <v>447</v>
      </c>
      <c r="D478">
        <v>32</v>
      </c>
      <c r="E478">
        <v>8</v>
      </c>
      <c r="F478">
        <v>6</v>
      </c>
      <c r="G478">
        <v>14.88</v>
      </c>
      <c r="H478">
        <v>3.93</v>
      </c>
      <c r="I478">
        <v>0.24</v>
      </c>
      <c r="J478" t="s">
        <v>207</v>
      </c>
      <c r="K478" t="s">
        <v>52</v>
      </c>
      <c r="L478">
        <v>69</v>
      </c>
      <c r="M478">
        <v>4.2300000000000004</v>
      </c>
      <c r="N478">
        <v>22.73</v>
      </c>
      <c r="O478">
        <v>1.8</v>
      </c>
      <c r="P478">
        <v>7</v>
      </c>
      <c r="Q478">
        <v>0.8</v>
      </c>
      <c r="R478">
        <v>150</v>
      </c>
      <c r="S478">
        <v>13.53</v>
      </c>
      <c r="T478">
        <v>0.4</v>
      </c>
      <c r="U478" s="1">
        <v>45556</v>
      </c>
      <c r="V478">
        <v>142.5</v>
      </c>
      <c r="W478">
        <v>0.5</v>
      </c>
      <c r="X478" t="str">
        <f>IF(WarehouseData[[#This Row],[stock_level]]&lt;=WarehouseData[[#This Row],[reorder_point]],"Low Stock","Sufficient Stock")</f>
        <v>Sufficient Stock</v>
      </c>
      <c r="Y478">
        <f>WarehouseData[[#This Row],[daily_demand]]*WarehouseData[[#This Row],[lead_time_days]]</f>
        <v>89.28</v>
      </c>
      <c r="Z478" t="str">
        <f>IF(WarehouseData[[#This Row],[stock_level]]&lt;=WarehouseData[[#This Row],[Demand During Lead Time]],"At Risk","Safe")</f>
        <v>Safe</v>
      </c>
      <c r="AA478">
        <f>WarehouseData[[#This Row],[stock_level]]/WarehouseData[[#This Row],[daily_demand]]</f>
        <v>30.04032258064516</v>
      </c>
      <c r="AB478">
        <f>WarehouseData[[#This Row],[stock_level]]*WarehouseData[[#This Row],[unit_price]]</f>
        <v>10160.31</v>
      </c>
      <c r="AC478">
        <f>WarehouseData[[#This Row],[stock_level]]*WarehouseData[[#This Row],[holding_cost_per_unit_day]]*30</f>
        <v>24138</v>
      </c>
      <c r="AD478" t="str">
        <f>IF(WarehouseData[[#This Row],[order_fulfillment_rate]]&gt;=0.9,"Strong",IF(WarehouseData[[#This Row],[order_fulfillment_rate]]&gt;=0.8,"Moderate","Needs Attention"))</f>
        <v>Moderate</v>
      </c>
      <c r="AE478" t="str">
        <f>IF(WarehouseData[[#This Row],[picking_time_seconds]]&gt;120,"Slow",IF(WarehouseData[[#This Row],[picking_time_seconds]]&gt;=60,"Average","Fast"))</f>
        <v>Average</v>
      </c>
    </row>
    <row r="479" spans="1:31" x14ac:dyDescent="0.25">
      <c r="A479" t="s">
        <v>617</v>
      </c>
      <c r="B479" t="s">
        <v>73</v>
      </c>
      <c r="C479">
        <v>254</v>
      </c>
      <c r="D479">
        <v>49</v>
      </c>
      <c r="E479">
        <v>4</v>
      </c>
      <c r="F479">
        <v>9</v>
      </c>
      <c r="G479">
        <v>25.43</v>
      </c>
      <c r="H479">
        <v>7.94</v>
      </c>
      <c r="I479">
        <v>0.26</v>
      </c>
      <c r="J479" t="s">
        <v>113</v>
      </c>
      <c r="K479" t="s">
        <v>52</v>
      </c>
      <c r="L479">
        <v>111</v>
      </c>
      <c r="M479">
        <v>3.76</v>
      </c>
      <c r="N479">
        <v>40.159999999999997</v>
      </c>
      <c r="O479">
        <v>0.33</v>
      </c>
      <c r="P479">
        <v>2</v>
      </c>
      <c r="Q479">
        <v>0.9</v>
      </c>
      <c r="R479">
        <v>297</v>
      </c>
      <c r="S479">
        <v>10.17</v>
      </c>
      <c r="T479">
        <v>0.48</v>
      </c>
      <c r="U479" s="1">
        <v>45381</v>
      </c>
      <c r="V479">
        <v>117.93</v>
      </c>
      <c r="W479">
        <v>0.73899999999999999</v>
      </c>
      <c r="X479" t="str">
        <f>IF(WarehouseData[[#This Row],[stock_level]]&lt;=WarehouseData[[#This Row],[reorder_point]],"Low Stock","Sufficient Stock")</f>
        <v>Sufficient Stock</v>
      </c>
      <c r="Y479">
        <f>WarehouseData[[#This Row],[daily_demand]]*WarehouseData[[#This Row],[lead_time_days]]</f>
        <v>228.87</v>
      </c>
      <c r="Z479" t="str">
        <f>IF(WarehouseData[[#This Row],[stock_level]]&lt;=WarehouseData[[#This Row],[Demand During Lead Time]],"At Risk","Safe")</f>
        <v>Safe</v>
      </c>
      <c r="AA479">
        <f>WarehouseData[[#This Row],[stock_level]]/WarehouseData[[#This Row],[daily_demand]]</f>
        <v>9.98820290994888</v>
      </c>
      <c r="AB479">
        <f>WarehouseData[[#This Row],[stock_level]]*WarehouseData[[#This Row],[unit_price]]</f>
        <v>10200.64</v>
      </c>
      <c r="AC479">
        <f>WarehouseData[[#This Row],[stock_level]]*WarehouseData[[#This Row],[holding_cost_per_unit_day]]*30</f>
        <v>2514.6000000000004</v>
      </c>
      <c r="AD479" t="str">
        <f>IF(WarehouseData[[#This Row],[order_fulfillment_rate]]&gt;=0.9,"Strong",IF(WarehouseData[[#This Row],[order_fulfillment_rate]]&gt;=0.8,"Moderate","Needs Attention"))</f>
        <v>Strong</v>
      </c>
      <c r="AE479" t="str">
        <f>IF(WarehouseData[[#This Row],[picking_time_seconds]]&gt;120,"Slow",IF(WarehouseData[[#This Row],[picking_time_seconds]]&gt;=60,"Average","Fast"))</f>
        <v>Average</v>
      </c>
    </row>
    <row r="480" spans="1:31" x14ac:dyDescent="0.25">
      <c r="A480" t="s">
        <v>618</v>
      </c>
      <c r="B480" t="s">
        <v>36</v>
      </c>
      <c r="C480">
        <v>127</v>
      </c>
      <c r="D480">
        <v>73</v>
      </c>
      <c r="E480">
        <v>4</v>
      </c>
      <c r="F480">
        <v>5</v>
      </c>
      <c r="G480">
        <v>3.21</v>
      </c>
      <c r="H480">
        <v>9.76</v>
      </c>
      <c r="I480">
        <v>0.61</v>
      </c>
      <c r="J480" t="s">
        <v>62</v>
      </c>
      <c r="K480" t="s">
        <v>38</v>
      </c>
      <c r="L480">
        <v>33</v>
      </c>
      <c r="M480">
        <v>4.6399999999999997</v>
      </c>
      <c r="N480">
        <v>193.13</v>
      </c>
      <c r="O480">
        <v>0.82</v>
      </c>
      <c r="P480">
        <v>5</v>
      </c>
      <c r="Q480">
        <v>1</v>
      </c>
      <c r="R480">
        <v>529</v>
      </c>
      <c r="S480">
        <v>7.88</v>
      </c>
      <c r="T480">
        <v>0.25</v>
      </c>
      <c r="U480" s="1">
        <v>45574</v>
      </c>
      <c r="V480">
        <v>25.84</v>
      </c>
      <c r="W480">
        <v>0.57299999999999995</v>
      </c>
      <c r="X480" t="str">
        <f>IF(WarehouseData[[#This Row],[stock_level]]&lt;=WarehouseData[[#This Row],[reorder_point]],"Low Stock","Sufficient Stock")</f>
        <v>Sufficient Stock</v>
      </c>
      <c r="Y480">
        <f>WarehouseData[[#This Row],[daily_demand]]*WarehouseData[[#This Row],[lead_time_days]]</f>
        <v>16.05</v>
      </c>
      <c r="Z480" t="str">
        <f>IF(WarehouseData[[#This Row],[stock_level]]&lt;=WarehouseData[[#This Row],[Demand During Lead Time]],"At Risk","Safe")</f>
        <v>Safe</v>
      </c>
      <c r="AA480">
        <f>WarehouseData[[#This Row],[stock_level]]/WarehouseData[[#This Row],[daily_demand]]</f>
        <v>39.563862928348911</v>
      </c>
      <c r="AB480">
        <f>WarehouseData[[#This Row],[stock_level]]*WarehouseData[[#This Row],[unit_price]]</f>
        <v>24527.51</v>
      </c>
      <c r="AC480">
        <f>WarehouseData[[#This Row],[stock_level]]*WarehouseData[[#This Row],[holding_cost_per_unit_day]]*30</f>
        <v>3124.2</v>
      </c>
      <c r="AD480" t="str">
        <f>IF(WarehouseData[[#This Row],[order_fulfillment_rate]]&gt;=0.9,"Strong",IF(WarehouseData[[#This Row],[order_fulfillment_rate]]&gt;=0.8,"Moderate","Needs Attention"))</f>
        <v>Strong</v>
      </c>
      <c r="AE480" t="str">
        <f>IF(WarehouseData[[#This Row],[picking_time_seconds]]&gt;120,"Slow",IF(WarehouseData[[#This Row],[picking_time_seconds]]&gt;=60,"Average","Fast"))</f>
        <v>Fast</v>
      </c>
    </row>
    <row r="481" spans="1:31" x14ac:dyDescent="0.25">
      <c r="A481" t="s">
        <v>619</v>
      </c>
      <c r="B481" t="s">
        <v>36</v>
      </c>
      <c r="C481">
        <v>180</v>
      </c>
      <c r="D481">
        <v>94</v>
      </c>
      <c r="E481">
        <v>4</v>
      </c>
      <c r="F481">
        <v>2</v>
      </c>
      <c r="G481">
        <v>10.119999999999999</v>
      </c>
      <c r="H481">
        <v>6.05</v>
      </c>
      <c r="I481">
        <v>0.42</v>
      </c>
      <c r="J481" t="s">
        <v>70</v>
      </c>
      <c r="K481" t="s">
        <v>34</v>
      </c>
      <c r="L481">
        <v>118</v>
      </c>
      <c r="M481">
        <v>1.97</v>
      </c>
      <c r="N481">
        <v>58.63</v>
      </c>
      <c r="O481">
        <v>1.49</v>
      </c>
      <c r="P481">
        <v>1</v>
      </c>
      <c r="Q481">
        <v>0.94</v>
      </c>
      <c r="R481">
        <v>910</v>
      </c>
      <c r="S481">
        <v>12.96</v>
      </c>
      <c r="T481">
        <v>0.66</v>
      </c>
      <c r="U481" s="1">
        <v>45373</v>
      </c>
      <c r="V481">
        <v>58.14</v>
      </c>
      <c r="W481">
        <v>0.72399999999999998</v>
      </c>
      <c r="X481" t="str">
        <f>IF(WarehouseData[[#This Row],[stock_level]]&lt;=WarehouseData[[#This Row],[reorder_point]],"Low Stock","Sufficient Stock")</f>
        <v>Sufficient Stock</v>
      </c>
      <c r="Y481">
        <f>WarehouseData[[#This Row],[daily_demand]]*WarehouseData[[#This Row],[lead_time_days]]</f>
        <v>20.239999999999998</v>
      </c>
      <c r="Z481" t="str">
        <f>IF(WarehouseData[[#This Row],[stock_level]]&lt;=WarehouseData[[#This Row],[Demand During Lead Time]],"At Risk","Safe")</f>
        <v>Safe</v>
      </c>
      <c r="AA481">
        <f>WarehouseData[[#This Row],[stock_level]]/WarehouseData[[#This Row],[daily_demand]]</f>
        <v>17.786561264822137</v>
      </c>
      <c r="AB481">
        <f>WarehouseData[[#This Row],[stock_level]]*WarehouseData[[#This Row],[unit_price]]</f>
        <v>10553.4</v>
      </c>
      <c r="AC481">
        <f>WarehouseData[[#This Row],[stock_level]]*WarehouseData[[#This Row],[holding_cost_per_unit_day]]*30</f>
        <v>8046</v>
      </c>
      <c r="AD481" t="str">
        <f>IF(WarehouseData[[#This Row],[order_fulfillment_rate]]&gt;=0.9,"Strong",IF(WarehouseData[[#This Row],[order_fulfillment_rate]]&gt;=0.8,"Moderate","Needs Attention"))</f>
        <v>Strong</v>
      </c>
      <c r="AE481" t="str">
        <f>IF(WarehouseData[[#This Row],[picking_time_seconds]]&gt;120,"Slow",IF(WarehouseData[[#This Row],[picking_time_seconds]]&gt;=60,"Average","Fast"))</f>
        <v>Average</v>
      </c>
    </row>
    <row r="482" spans="1:31" x14ac:dyDescent="0.25">
      <c r="A482" t="s">
        <v>620</v>
      </c>
      <c r="B482" t="s">
        <v>73</v>
      </c>
      <c r="C482">
        <v>228</v>
      </c>
      <c r="D482">
        <v>32</v>
      </c>
      <c r="E482">
        <v>12</v>
      </c>
      <c r="F482">
        <v>6</v>
      </c>
      <c r="G482">
        <v>46.79</v>
      </c>
      <c r="H482">
        <v>4.74</v>
      </c>
      <c r="I482">
        <v>0.8</v>
      </c>
      <c r="J482" t="s">
        <v>178</v>
      </c>
      <c r="K482" t="s">
        <v>38</v>
      </c>
      <c r="L482">
        <v>176</v>
      </c>
      <c r="M482">
        <v>0.97</v>
      </c>
      <c r="N482">
        <v>83.05</v>
      </c>
      <c r="O482">
        <v>1.6</v>
      </c>
      <c r="P482">
        <v>1</v>
      </c>
      <c r="Q482">
        <v>0.76</v>
      </c>
      <c r="R482">
        <v>919</v>
      </c>
      <c r="S482">
        <v>13.6</v>
      </c>
      <c r="T482">
        <v>0.24</v>
      </c>
      <c r="U482" s="1">
        <v>45461</v>
      </c>
      <c r="V482">
        <v>137.37</v>
      </c>
      <c r="W482">
        <v>0.60099999999999998</v>
      </c>
      <c r="X482" t="str">
        <f>IF(WarehouseData[[#This Row],[stock_level]]&lt;=WarehouseData[[#This Row],[reorder_point]],"Low Stock","Sufficient Stock")</f>
        <v>Sufficient Stock</v>
      </c>
      <c r="Y482">
        <f>WarehouseData[[#This Row],[daily_demand]]*WarehouseData[[#This Row],[lead_time_days]]</f>
        <v>280.74</v>
      </c>
      <c r="Z482" t="str">
        <f>IF(WarehouseData[[#This Row],[stock_level]]&lt;=WarehouseData[[#This Row],[Demand During Lead Time]],"At Risk","Safe")</f>
        <v>At Risk</v>
      </c>
      <c r="AA482">
        <f>WarehouseData[[#This Row],[stock_level]]/WarehouseData[[#This Row],[daily_demand]]</f>
        <v>4.8728360760846332</v>
      </c>
      <c r="AB482">
        <f>WarehouseData[[#This Row],[stock_level]]*WarehouseData[[#This Row],[unit_price]]</f>
        <v>18935.399999999998</v>
      </c>
      <c r="AC482">
        <f>WarehouseData[[#This Row],[stock_level]]*WarehouseData[[#This Row],[holding_cost_per_unit_day]]*30</f>
        <v>10944</v>
      </c>
      <c r="AD482" t="str">
        <f>IF(WarehouseData[[#This Row],[order_fulfillment_rate]]&gt;=0.9,"Strong",IF(WarehouseData[[#This Row],[order_fulfillment_rate]]&gt;=0.8,"Moderate","Needs Attention"))</f>
        <v>Needs Attention</v>
      </c>
      <c r="AE482" t="str">
        <f>IF(WarehouseData[[#This Row],[picking_time_seconds]]&gt;120,"Slow",IF(WarehouseData[[#This Row],[picking_time_seconds]]&gt;=60,"Average","Fast"))</f>
        <v>Slow</v>
      </c>
    </row>
    <row r="483" spans="1:31" x14ac:dyDescent="0.25">
      <c r="A483" t="s">
        <v>621</v>
      </c>
      <c r="B483" t="s">
        <v>32</v>
      </c>
      <c r="C483">
        <v>259</v>
      </c>
      <c r="D483">
        <v>38</v>
      </c>
      <c r="E483">
        <v>14</v>
      </c>
      <c r="F483">
        <v>4</v>
      </c>
      <c r="G483">
        <v>48.86</v>
      </c>
      <c r="H483">
        <v>2.62</v>
      </c>
      <c r="I483">
        <v>0.59</v>
      </c>
      <c r="J483" t="s">
        <v>251</v>
      </c>
      <c r="K483" t="s">
        <v>34</v>
      </c>
      <c r="L483">
        <v>149</v>
      </c>
      <c r="M483">
        <v>2.44</v>
      </c>
      <c r="N483">
        <v>106.7</v>
      </c>
      <c r="O483">
        <v>1.91</v>
      </c>
      <c r="P483">
        <v>7</v>
      </c>
      <c r="Q483">
        <v>0.87</v>
      </c>
      <c r="R483">
        <v>674</v>
      </c>
      <c r="S483">
        <v>11.94</v>
      </c>
      <c r="T483">
        <v>0.73</v>
      </c>
      <c r="U483" s="1">
        <v>45578</v>
      </c>
      <c r="V483">
        <v>250.43</v>
      </c>
      <c r="W483">
        <v>0.54800000000000004</v>
      </c>
      <c r="X483" t="str">
        <f>IF(WarehouseData[[#This Row],[stock_level]]&lt;=WarehouseData[[#This Row],[reorder_point]],"Low Stock","Sufficient Stock")</f>
        <v>Sufficient Stock</v>
      </c>
      <c r="Y483">
        <f>WarehouseData[[#This Row],[daily_demand]]*WarehouseData[[#This Row],[lead_time_days]]</f>
        <v>195.44</v>
      </c>
      <c r="Z483" t="str">
        <f>IF(WarehouseData[[#This Row],[stock_level]]&lt;=WarehouseData[[#This Row],[Demand During Lead Time]],"At Risk","Safe")</f>
        <v>Safe</v>
      </c>
      <c r="AA483">
        <f>WarehouseData[[#This Row],[stock_level]]/WarehouseData[[#This Row],[daily_demand]]</f>
        <v>5.3008595988538678</v>
      </c>
      <c r="AB483">
        <f>WarehouseData[[#This Row],[stock_level]]*WarehouseData[[#This Row],[unit_price]]</f>
        <v>27635.3</v>
      </c>
      <c r="AC483">
        <f>WarehouseData[[#This Row],[stock_level]]*WarehouseData[[#This Row],[holding_cost_per_unit_day]]*30</f>
        <v>14840.7</v>
      </c>
      <c r="AD483" t="str">
        <f>IF(WarehouseData[[#This Row],[order_fulfillment_rate]]&gt;=0.9,"Strong",IF(WarehouseData[[#This Row],[order_fulfillment_rate]]&gt;=0.8,"Moderate","Needs Attention"))</f>
        <v>Moderate</v>
      </c>
      <c r="AE483" t="str">
        <f>IF(WarehouseData[[#This Row],[picking_time_seconds]]&gt;120,"Slow",IF(WarehouseData[[#This Row],[picking_time_seconds]]&gt;=60,"Average","Fast"))</f>
        <v>Slow</v>
      </c>
    </row>
    <row r="484" spans="1:31" x14ac:dyDescent="0.25">
      <c r="A484" t="s">
        <v>622</v>
      </c>
      <c r="B484" t="s">
        <v>48</v>
      </c>
      <c r="C484">
        <v>350</v>
      </c>
      <c r="D484">
        <v>87</v>
      </c>
      <c r="E484">
        <v>3</v>
      </c>
      <c r="F484">
        <v>5</v>
      </c>
      <c r="G484">
        <v>37.25</v>
      </c>
      <c r="H484">
        <v>6.71</v>
      </c>
      <c r="I484">
        <v>0.49</v>
      </c>
      <c r="J484" t="s">
        <v>144</v>
      </c>
      <c r="K484" t="s">
        <v>34</v>
      </c>
      <c r="L484">
        <v>103</v>
      </c>
      <c r="M484">
        <v>4.04</v>
      </c>
      <c r="N484">
        <v>196.04</v>
      </c>
      <c r="O484">
        <v>1.6</v>
      </c>
      <c r="P484">
        <v>9</v>
      </c>
      <c r="Q484">
        <v>0.72</v>
      </c>
      <c r="R484">
        <v>270</v>
      </c>
      <c r="S484">
        <v>14.19</v>
      </c>
      <c r="T484">
        <v>0.78</v>
      </c>
      <c r="U484" s="1">
        <v>45510</v>
      </c>
      <c r="V484">
        <v>45.18</v>
      </c>
      <c r="W484">
        <v>0.54900000000000004</v>
      </c>
      <c r="X484" t="str">
        <f>IF(WarehouseData[[#This Row],[stock_level]]&lt;=WarehouseData[[#This Row],[reorder_point]],"Low Stock","Sufficient Stock")</f>
        <v>Sufficient Stock</v>
      </c>
      <c r="Y484">
        <f>WarehouseData[[#This Row],[daily_demand]]*WarehouseData[[#This Row],[lead_time_days]]</f>
        <v>186.25</v>
      </c>
      <c r="Z484" t="str">
        <f>IF(WarehouseData[[#This Row],[stock_level]]&lt;=WarehouseData[[#This Row],[Demand During Lead Time]],"At Risk","Safe")</f>
        <v>Safe</v>
      </c>
      <c r="AA484">
        <f>WarehouseData[[#This Row],[stock_level]]/WarehouseData[[#This Row],[daily_demand]]</f>
        <v>9.3959731543624159</v>
      </c>
      <c r="AB484">
        <f>WarehouseData[[#This Row],[stock_level]]*WarehouseData[[#This Row],[unit_price]]</f>
        <v>68614</v>
      </c>
      <c r="AC484">
        <f>WarehouseData[[#This Row],[stock_level]]*WarehouseData[[#This Row],[holding_cost_per_unit_day]]*30</f>
        <v>16800</v>
      </c>
      <c r="AD484" t="str">
        <f>IF(WarehouseData[[#This Row],[order_fulfillment_rate]]&gt;=0.9,"Strong",IF(WarehouseData[[#This Row],[order_fulfillment_rate]]&gt;=0.8,"Moderate","Needs Attention"))</f>
        <v>Needs Attention</v>
      </c>
      <c r="AE484" t="str">
        <f>IF(WarehouseData[[#This Row],[picking_time_seconds]]&gt;120,"Slow",IF(WarehouseData[[#This Row],[picking_time_seconds]]&gt;=60,"Average","Fast"))</f>
        <v>Average</v>
      </c>
    </row>
    <row r="485" spans="1:31" x14ac:dyDescent="0.25">
      <c r="A485" t="s">
        <v>623</v>
      </c>
      <c r="B485" t="s">
        <v>36</v>
      </c>
      <c r="C485">
        <v>352</v>
      </c>
      <c r="D485">
        <v>99</v>
      </c>
      <c r="E485">
        <v>7</v>
      </c>
      <c r="F485">
        <v>9</v>
      </c>
      <c r="G485">
        <v>13.36</v>
      </c>
      <c r="H485">
        <v>7.01</v>
      </c>
      <c r="I485">
        <v>0.97</v>
      </c>
      <c r="J485" t="s">
        <v>240</v>
      </c>
      <c r="K485" t="s">
        <v>38</v>
      </c>
      <c r="L485">
        <v>73</v>
      </c>
      <c r="M485">
        <v>2.5299999999999998</v>
      </c>
      <c r="N485">
        <v>141.1</v>
      </c>
      <c r="O485">
        <v>1.7</v>
      </c>
      <c r="P485">
        <v>4</v>
      </c>
      <c r="Q485">
        <v>0.77</v>
      </c>
      <c r="R485">
        <v>388</v>
      </c>
      <c r="S485">
        <v>14.71</v>
      </c>
      <c r="T485">
        <v>0.59</v>
      </c>
      <c r="U485" s="1">
        <v>45528</v>
      </c>
      <c r="V485">
        <v>40.31</v>
      </c>
      <c r="W485">
        <v>0.61799999999999999</v>
      </c>
      <c r="X485" t="str">
        <f>IF(WarehouseData[[#This Row],[stock_level]]&lt;=WarehouseData[[#This Row],[reorder_point]],"Low Stock","Sufficient Stock")</f>
        <v>Sufficient Stock</v>
      </c>
      <c r="Y485">
        <f>WarehouseData[[#This Row],[daily_demand]]*WarehouseData[[#This Row],[lead_time_days]]</f>
        <v>120.24</v>
      </c>
      <c r="Z485" t="str">
        <f>IF(WarehouseData[[#This Row],[stock_level]]&lt;=WarehouseData[[#This Row],[Demand During Lead Time]],"At Risk","Safe")</f>
        <v>Safe</v>
      </c>
      <c r="AA485">
        <f>WarehouseData[[#This Row],[stock_level]]/WarehouseData[[#This Row],[daily_demand]]</f>
        <v>26.347305389221557</v>
      </c>
      <c r="AB485">
        <f>WarehouseData[[#This Row],[stock_level]]*WarehouseData[[#This Row],[unit_price]]</f>
        <v>49667.199999999997</v>
      </c>
      <c r="AC485">
        <f>WarehouseData[[#This Row],[stock_level]]*WarehouseData[[#This Row],[holding_cost_per_unit_day]]*30</f>
        <v>17952</v>
      </c>
      <c r="AD485" t="str">
        <f>IF(WarehouseData[[#This Row],[order_fulfillment_rate]]&gt;=0.9,"Strong",IF(WarehouseData[[#This Row],[order_fulfillment_rate]]&gt;=0.8,"Moderate","Needs Attention"))</f>
        <v>Needs Attention</v>
      </c>
      <c r="AE485" t="str">
        <f>IF(WarehouseData[[#This Row],[picking_time_seconds]]&gt;120,"Slow",IF(WarehouseData[[#This Row],[picking_time_seconds]]&gt;=60,"Average","Fast"))</f>
        <v>Average</v>
      </c>
    </row>
    <row r="486" spans="1:31" x14ac:dyDescent="0.25">
      <c r="A486" t="s">
        <v>624</v>
      </c>
      <c r="B486" t="s">
        <v>73</v>
      </c>
      <c r="C486">
        <v>69</v>
      </c>
      <c r="D486">
        <v>60</v>
      </c>
      <c r="E486">
        <v>10</v>
      </c>
      <c r="F486">
        <v>2</v>
      </c>
      <c r="G486">
        <v>13.77</v>
      </c>
      <c r="H486">
        <v>7.01</v>
      </c>
      <c r="I486">
        <v>0.45</v>
      </c>
      <c r="J486" t="s">
        <v>301</v>
      </c>
      <c r="K486" t="s">
        <v>38</v>
      </c>
      <c r="L486">
        <v>13</v>
      </c>
      <c r="M486">
        <v>1.68</v>
      </c>
      <c r="N486">
        <v>129.62</v>
      </c>
      <c r="O486">
        <v>1.9</v>
      </c>
      <c r="P486">
        <v>4</v>
      </c>
      <c r="Q486">
        <v>0.75</v>
      </c>
      <c r="R486">
        <v>197</v>
      </c>
      <c r="S486">
        <v>4.5199999999999996</v>
      </c>
      <c r="T486">
        <v>0.83</v>
      </c>
      <c r="U486" s="1">
        <v>45410</v>
      </c>
      <c r="V486">
        <v>243.4</v>
      </c>
      <c r="W486">
        <v>0.50600000000000001</v>
      </c>
      <c r="X486" t="str">
        <f>IF(WarehouseData[[#This Row],[stock_level]]&lt;=WarehouseData[[#This Row],[reorder_point]],"Low Stock","Sufficient Stock")</f>
        <v>Sufficient Stock</v>
      </c>
      <c r="Y486">
        <f>WarehouseData[[#This Row],[daily_demand]]*WarehouseData[[#This Row],[lead_time_days]]</f>
        <v>27.54</v>
      </c>
      <c r="Z486" t="str">
        <f>IF(WarehouseData[[#This Row],[stock_level]]&lt;=WarehouseData[[#This Row],[Demand During Lead Time]],"At Risk","Safe")</f>
        <v>Safe</v>
      </c>
      <c r="AA486">
        <f>WarehouseData[[#This Row],[stock_level]]/WarehouseData[[#This Row],[daily_demand]]</f>
        <v>5.0108932461873641</v>
      </c>
      <c r="AB486">
        <f>WarehouseData[[#This Row],[stock_level]]*WarehouseData[[#This Row],[unit_price]]</f>
        <v>8943.7800000000007</v>
      </c>
      <c r="AC486">
        <f>WarehouseData[[#This Row],[stock_level]]*WarehouseData[[#This Row],[holding_cost_per_unit_day]]*30</f>
        <v>3933</v>
      </c>
      <c r="AD486" t="str">
        <f>IF(WarehouseData[[#This Row],[order_fulfillment_rate]]&gt;=0.9,"Strong",IF(WarehouseData[[#This Row],[order_fulfillment_rate]]&gt;=0.8,"Moderate","Needs Attention"))</f>
        <v>Needs Attention</v>
      </c>
      <c r="AE486" t="str">
        <f>IF(WarehouseData[[#This Row],[picking_time_seconds]]&gt;120,"Slow",IF(WarehouseData[[#This Row],[picking_time_seconds]]&gt;=60,"Average","Fast"))</f>
        <v>Fast</v>
      </c>
    </row>
    <row r="487" spans="1:31" x14ac:dyDescent="0.25">
      <c r="A487" t="s">
        <v>625</v>
      </c>
      <c r="B487" t="s">
        <v>40</v>
      </c>
      <c r="C487">
        <v>30</v>
      </c>
      <c r="D487">
        <v>78</v>
      </c>
      <c r="E487">
        <v>4</v>
      </c>
      <c r="F487">
        <v>8</v>
      </c>
      <c r="G487">
        <v>32.64</v>
      </c>
      <c r="H487">
        <v>0.76</v>
      </c>
      <c r="I487">
        <v>0.46</v>
      </c>
      <c r="J487" t="s">
        <v>353</v>
      </c>
      <c r="K487" t="s">
        <v>38</v>
      </c>
      <c r="L487">
        <v>103</v>
      </c>
      <c r="M487">
        <v>0.62</v>
      </c>
      <c r="N487">
        <v>109.64</v>
      </c>
      <c r="O487">
        <v>1.1499999999999999</v>
      </c>
      <c r="P487">
        <v>3</v>
      </c>
      <c r="Q487">
        <v>0.8</v>
      </c>
      <c r="R487">
        <v>948</v>
      </c>
      <c r="S487">
        <v>3.57</v>
      </c>
      <c r="T487">
        <v>0.97</v>
      </c>
      <c r="U487" s="1">
        <v>45499</v>
      </c>
      <c r="V487">
        <v>152.77000000000001</v>
      </c>
      <c r="W487">
        <v>0.627</v>
      </c>
      <c r="X487" t="str">
        <f>IF(WarehouseData[[#This Row],[stock_level]]&lt;=WarehouseData[[#This Row],[reorder_point]],"Low Stock","Sufficient Stock")</f>
        <v>Low Stock</v>
      </c>
      <c r="Y487">
        <f>WarehouseData[[#This Row],[daily_demand]]*WarehouseData[[#This Row],[lead_time_days]]</f>
        <v>261.12</v>
      </c>
      <c r="Z487" t="str">
        <f>IF(WarehouseData[[#This Row],[stock_level]]&lt;=WarehouseData[[#This Row],[Demand During Lead Time]],"At Risk","Safe")</f>
        <v>At Risk</v>
      </c>
      <c r="AA487">
        <f>WarehouseData[[#This Row],[stock_level]]/WarehouseData[[#This Row],[daily_demand]]</f>
        <v>0.91911764705882348</v>
      </c>
      <c r="AB487">
        <f>WarehouseData[[#This Row],[stock_level]]*WarehouseData[[#This Row],[unit_price]]</f>
        <v>3289.2</v>
      </c>
      <c r="AC487">
        <f>WarehouseData[[#This Row],[stock_level]]*WarehouseData[[#This Row],[holding_cost_per_unit_day]]*30</f>
        <v>1035</v>
      </c>
      <c r="AD487" t="str">
        <f>IF(WarehouseData[[#This Row],[order_fulfillment_rate]]&gt;=0.9,"Strong",IF(WarehouseData[[#This Row],[order_fulfillment_rate]]&gt;=0.8,"Moderate","Needs Attention"))</f>
        <v>Moderate</v>
      </c>
      <c r="AE487" t="str">
        <f>IF(WarehouseData[[#This Row],[picking_time_seconds]]&gt;120,"Slow",IF(WarehouseData[[#This Row],[picking_time_seconds]]&gt;=60,"Average","Fast"))</f>
        <v>Average</v>
      </c>
    </row>
    <row r="488" spans="1:31" x14ac:dyDescent="0.25">
      <c r="A488" t="s">
        <v>626</v>
      </c>
      <c r="B488" t="s">
        <v>73</v>
      </c>
      <c r="C488">
        <v>370</v>
      </c>
      <c r="D488">
        <v>98</v>
      </c>
      <c r="E488">
        <v>7</v>
      </c>
      <c r="F488">
        <v>4</v>
      </c>
      <c r="G488">
        <v>6.76</v>
      </c>
      <c r="H488">
        <v>9.0399999999999991</v>
      </c>
      <c r="I488">
        <v>0.7</v>
      </c>
      <c r="J488" t="s">
        <v>131</v>
      </c>
      <c r="K488" t="s">
        <v>34</v>
      </c>
      <c r="L488">
        <v>142</v>
      </c>
      <c r="M488">
        <v>1.91</v>
      </c>
      <c r="N488">
        <v>143.13</v>
      </c>
      <c r="O488">
        <v>0.75</v>
      </c>
      <c r="P488">
        <v>9</v>
      </c>
      <c r="Q488">
        <v>0.9</v>
      </c>
      <c r="R488">
        <v>345</v>
      </c>
      <c r="S488">
        <v>7.28</v>
      </c>
      <c r="T488">
        <v>0.47</v>
      </c>
      <c r="U488" s="1">
        <v>45614</v>
      </c>
      <c r="V488">
        <v>114.47</v>
      </c>
      <c r="W488">
        <v>0.51600000000000001</v>
      </c>
      <c r="X488" t="str">
        <f>IF(WarehouseData[[#This Row],[stock_level]]&lt;=WarehouseData[[#This Row],[reorder_point]],"Low Stock","Sufficient Stock")</f>
        <v>Sufficient Stock</v>
      </c>
      <c r="Y488">
        <f>WarehouseData[[#This Row],[daily_demand]]*WarehouseData[[#This Row],[lead_time_days]]</f>
        <v>27.04</v>
      </c>
      <c r="Z488" t="str">
        <f>IF(WarehouseData[[#This Row],[stock_level]]&lt;=WarehouseData[[#This Row],[Demand During Lead Time]],"At Risk","Safe")</f>
        <v>Safe</v>
      </c>
      <c r="AA488">
        <f>WarehouseData[[#This Row],[stock_level]]/WarehouseData[[#This Row],[daily_demand]]</f>
        <v>54.73372781065089</v>
      </c>
      <c r="AB488">
        <f>WarehouseData[[#This Row],[stock_level]]*WarehouseData[[#This Row],[unit_price]]</f>
        <v>52958.1</v>
      </c>
      <c r="AC488">
        <f>WarehouseData[[#This Row],[stock_level]]*WarehouseData[[#This Row],[holding_cost_per_unit_day]]*30</f>
        <v>8325</v>
      </c>
      <c r="AD488" t="str">
        <f>IF(WarehouseData[[#This Row],[order_fulfillment_rate]]&gt;=0.9,"Strong",IF(WarehouseData[[#This Row],[order_fulfillment_rate]]&gt;=0.8,"Moderate","Needs Attention"))</f>
        <v>Strong</v>
      </c>
      <c r="AE488" t="str">
        <f>IF(WarehouseData[[#This Row],[picking_time_seconds]]&gt;120,"Slow",IF(WarehouseData[[#This Row],[picking_time_seconds]]&gt;=60,"Average","Fast"))</f>
        <v>Slow</v>
      </c>
    </row>
    <row r="489" spans="1:31" x14ac:dyDescent="0.25">
      <c r="A489" t="s">
        <v>627</v>
      </c>
      <c r="B489" t="s">
        <v>40</v>
      </c>
      <c r="C489">
        <v>175</v>
      </c>
      <c r="D489">
        <v>40</v>
      </c>
      <c r="E489">
        <v>14</v>
      </c>
      <c r="F489">
        <v>6</v>
      </c>
      <c r="G489">
        <v>47.47</v>
      </c>
      <c r="H489">
        <v>3.71</v>
      </c>
      <c r="I489">
        <v>0.83</v>
      </c>
      <c r="J489" t="s">
        <v>338</v>
      </c>
      <c r="K489" t="s">
        <v>46</v>
      </c>
      <c r="L489">
        <v>25</v>
      </c>
      <c r="M489">
        <v>3.71</v>
      </c>
      <c r="N489">
        <v>136.16</v>
      </c>
      <c r="O489">
        <v>1.55</v>
      </c>
      <c r="P489">
        <v>3</v>
      </c>
      <c r="Q489">
        <v>0.85</v>
      </c>
      <c r="R489">
        <v>758</v>
      </c>
      <c r="S489">
        <v>14.96</v>
      </c>
      <c r="T489">
        <v>0.7</v>
      </c>
      <c r="U489" s="1">
        <v>45386</v>
      </c>
      <c r="V489">
        <v>143.79</v>
      </c>
      <c r="W489">
        <v>0.69399999999999995</v>
      </c>
      <c r="X489" t="str">
        <f>IF(WarehouseData[[#This Row],[stock_level]]&lt;=WarehouseData[[#This Row],[reorder_point]],"Low Stock","Sufficient Stock")</f>
        <v>Sufficient Stock</v>
      </c>
      <c r="Y489">
        <f>WarehouseData[[#This Row],[daily_demand]]*WarehouseData[[#This Row],[lead_time_days]]</f>
        <v>284.82</v>
      </c>
      <c r="Z489" t="str">
        <f>IF(WarehouseData[[#This Row],[stock_level]]&lt;=WarehouseData[[#This Row],[Demand During Lead Time]],"At Risk","Safe")</f>
        <v>At Risk</v>
      </c>
      <c r="AA489">
        <f>WarehouseData[[#This Row],[stock_level]]/WarehouseData[[#This Row],[daily_demand]]</f>
        <v>3.6865388666526226</v>
      </c>
      <c r="AB489">
        <f>WarehouseData[[#This Row],[stock_level]]*WarehouseData[[#This Row],[unit_price]]</f>
        <v>23828</v>
      </c>
      <c r="AC489">
        <f>WarehouseData[[#This Row],[stock_level]]*WarehouseData[[#This Row],[holding_cost_per_unit_day]]*30</f>
        <v>8137.5</v>
      </c>
      <c r="AD489" t="str">
        <f>IF(WarehouseData[[#This Row],[order_fulfillment_rate]]&gt;=0.9,"Strong",IF(WarehouseData[[#This Row],[order_fulfillment_rate]]&gt;=0.8,"Moderate","Needs Attention"))</f>
        <v>Moderate</v>
      </c>
      <c r="AE489" t="str">
        <f>IF(WarehouseData[[#This Row],[picking_time_seconds]]&gt;120,"Slow",IF(WarehouseData[[#This Row],[picking_time_seconds]]&gt;=60,"Average","Fast"))</f>
        <v>Fast</v>
      </c>
    </row>
    <row r="490" spans="1:31" x14ac:dyDescent="0.25">
      <c r="A490" t="s">
        <v>628</v>
      </c>
      <c r="B490" t="s">
        <v>32</v>
      </c>
      <c r="C490">
        <v>89</v>
      </c>
      <c r="D490">
        <v>59</v>
      </c>
      <c r="E490">
        <v>10</v>
      </c>
      <c r="F490">
        <v>2</v>
      </c>
      <c r="G490">
        <v>12.02</v>
      </c>
      <c r="H490">
        <v>7.57</v>
      </c>
      <c r="I490">
        <v>0.66</v>
      </c>
      <c r="J490" t="s">
        <v>152</v>
      </c>
      <c r="K490" t="s">
        <v>46</v>
      </c>
      <c r="L490">
        <v>36</v>
      </c>
      <c r="M490">
        <v>1.1599999999999999</v>
      </c>
      <c r="N490">
        <v>181.54</v>
      </c>
      <c r="O490">
        <v>0.41</v>
      </c>
      <c r="P490">
        <v>7</v>
      </c>
      <c r="Q490">
        <v>0.98</v>
      </c>
      <c r="R490">
        <v>456</v>
      </c>
      <c r="S490">
        <v>2.2400000000000002</v>
      </c>
      <c r="T490">
        <v>0.46</v>
      </c>
      <c r="U490" s="1">
        <v>45387</v>
      </c>
      <c r="V490">
        <v>129.15</v>
      </c>
      <c r="W490">
        <v>0.53700000000000003</v>
      </c>
      <c r="X490" t="str">
        <f>IF(WarehouseData[[#This Row],[stock_level]]&lt;=WarehouseData[[#This Row],[reorder_point]],"Low Stock","Sufficient Stock")</f>
        <v>Sufficient Stock</v>
      </c>
      <c r="Y490">
        <f>WarehouseData[[#This Row],[daily_demand]]*WarehouseData[[#This Row],[lead_time_days]]</f>
        <v>24.04</v>
      </c>
      <c r="Z490" t="str">
        <f>IF(WarehouseData[[#This Row],[stock_level]]&lt;=WarehouseData[[#This Row],[Demand During Lead Time]],"At Risk","Safe")</f>
        <v>Safe</v>
      </c>
      <c r="AA490">
        <f>WarehouseData[[#This Row],[stock_level]]/WarehouseData[[#This Row],[daily_demand]]</f>
        <v>7.4043261231281203</v>
      </c>
      <c r="AB490">
        <f>WarehouseData[[#This Row],[stock_level]]*WarehouseData[[#This Row],[unit_price]]</f>
        <v>16157.06</v>
      </c>
      <c r="AC490">
        <f>WarehouseData[[#This Row],[stock_level]]*WarehouseData[[#This Row],[holding_cost_per_unit_day]]*30</f>
        <v>1094.6999999999998</v>
      </c>
      <c r="AD490" t="str">
        <f>IF(WarehouseData[[#This Row],[order_fulfillment_rate]]&gt;=0.9,"Strong",IF(WarehouseData[[#This Row],[order_fulfillment_rate]]&gt;=0.8,"Moderate","Needs Attention"))</f>
        <v>Strong</v>
      </c>
      <c r="AE490" t="str">
        <f>IF(WarehouseData[[#This Row],[picking_time_seconds]]&gt;120,"Slow",IF(WarehouseData[[#This Row],[picking_time_seconds]]&gt;=60,"Average","Fast"))</f>
        <v>Fast</v>
      </c>
    </row>
    <row r="491" spans="1:31" x14ac:dyDescent="0.25">
      <c r="A491" t="s">
        <v>629</v>
      </c>
      <c r="B491" t="s">
        <v>48</v>
      </c>
      <c r="C491">
        <v>188</v>
      </c>
      <c r="D491">
        <v>29</v>
      </c>
      <c r="E491">
        <v>12</v>
      </c>
      <c r="F491">
        <v>9</v>
      </c>
      <c r="G491">
        <v>49.98</v>
      </c>
      <c r="H491">
        <v>7.72</v>
      </c>
      <c r="I491">
        <v>0.73</v>
      </c>
      <c r="J491" t="s">
        <v>131</v>
      </c>
      <c r="K491" t="s">
        <v>38</v>
      </c>
      <c r="L491">
        <v>141</v>
      </c>
      <c r="M491">
        <v>2.0299999999999998</v>
      </c>
      <c r="N491">
        <v>112.95</v>
      </c>
      <c r="O491">
        <v>0.23</v>
      </c>
      <c r="P491">
        <v>2</v>
      </c>
      <c r="Q491">
        <v>0.76</v>
      </c>
      <c r="R491">
        <v>630</v>
      </c>
      <c r="S491">
        <v>10.97</v>
      </c>
      <c r="T491">
        <v>0.55000000000000004</v>
      </c>
      <c r="U491" s="1">
        <v>45619</v>
      </c>
      <c r="V491">
        <v>236.75</v>
      </c>
      <c r="W491">
        <v>0.745</v>
      </c>
      <c r="X491" t="str">
        <f>IF(WarehouseData[[#This Row],[stock_level]]&lt;=WarehouseData[[#This Row],[reorder_point]],"Low Stock","Sufficient Stock")</f>
        <v>Sufficient Stock</v>
      </c>
      <c r="Y491">
        <f>WarehouseData[[#This Row],[daily_demand]]*WarehouseData[[#This Row],[lead_time_days]]</f>
        <v>449.82</v>
      </c>
      <c r="Z491" t="str">
        <f>IF(WarehouseData[[#This Row],[stock_level]]&lt;=WarehouseData[[#This Row],[Demand During Lead Time]],"At Risk","Safe")</f>
        <v>At Risk</v>
      </c>
      <c r="AA491">
        <f>WarehouseData[[#This Row],[stock_level]]/WarehouseData[[#This Row],[daily_demand]]</f>
        <v>3.7615046018407363</v>
      </c>
      <c r="AB491">
        <f>WarehouseData[[#This Row],[stock_level]]*WarehouseData[[#This Row],[unit_price]]</f>
        <v>21234.600000000002</v>
      </c>
      <c r="AC491">
        <f>WarehouseData[[#This Row],[stock_level]]*WarehouseData[[#This Row],[holding_cost_per_unit_day]]*30</f>
        <v>1297.2</v>
      </c>
      <c r="AD491" t="str">
        <f>IF(WarehouseData[[#This Row],[order_fulfillment_rate]]&gt;=0.9,"Strong",IF(WarehouseData[[#This Row],[order_fulfillment_rate]]&gt;=0.8,"Moderate","Needs Attention"))</f>
        <v>Needs Attention</v>
      </c>
      <c r="AE491" t="str">
        <f>IF(WarehouseData[[#This Row],[picking_time_seconds]]&gt;120,"Slow",IF(WarehouseData[[#This Row],[picking_time_seconds]]&gt;=60,"Average","Fast"))</f>
        <v>Slow</v>
      </c>
    </row>
    <row r="492" spans="1:31" x14ac:dyDescent="0.25">
      <c r="A492" t="s">
        <v>630</v>
      </c>
      <c r="B492" t="s">
        <v>73</v>
      </c>
      <c r="C492">
        <v>291</v>
      </c>
      <c r="D492">
        <v>64</v>
      </c>
      <c r="E492">
        <v>7</v>
      </c>
      <c r="F492">
        <v>2</v>
      </c>
      <c r="G492">
        <v>25.29</v>
      </c>
      <c r="H492">
        <v>6.68</v>
      </c>
      <c r="I492">
        <v>0.44</v>
      </c>
      <c r="J492" t="s">
        <v>124</v>
      </c>
      <c r="K492" t="s">
        <v>38</v>
      </c>
      <c r="L492">
        <v>81</v>
      </c>
      <c r="M492">
        <v>0.59</v>
      </c>
      <c r="N492">
        <v>90.09</v>
      </c>
      <c r="O492">
        <v>1.59</v>
      </c>
      <c r="P492">
        <v>2</v>
      </c>
      <c r="Q492">
        <v>0.81</v>
      </c>
      <c r="R492">
        <v>527</v>
      </c>
      <c r="S492">
        <v>12.91</v>
      </c>
      <c r="T492">
        <v>0.22</v>
      </c>
      <c r="U492" s="1">
        <v>45628</v>
      </c>
      <c r="V492">
        <v>12.7</v>
      </c>
      <c r="W492">
        <v>0.57899999999999996</v>
      </c>
      <c r="X492" t="str">
        <f>IF(WarehouseData[[#This Row],[stock_level]]&lt;=WarehouseData[[#This Row],[reorder_point]],"Low Stock","Sufficient Stock")</f>
        <v>Sufficient Stock</v>
      </c>
      <c r="Y492">
        <f>WarehouseData[[#This Row],[daily_demand]]*WarehouseData[[#This Row],[lead_time_days]]</f>
        <v>50.58</v>
      </c>
      <c r="Z492" t="str">
        <f>IF(WarehouseData[[#This Row],[stock_level]]&lt;=WarehouseData[[#This Row],[Demand During Lead Time]],"At Risk","Safe")</f>
        <v>Safe</v>
      </c>
      <c r="AA492">
        <f>WarehouseData[[#This Row],[stock_level]]/WarehouseData[[#This Row],[daily_demand]]</f>
        <v>11.506524317912218</v>
      </c>
      <c r="AB492">
        <f>WarehouseData[[#This Row],[stock_level]]*WarehouseData[[#This Row],[unit_price]]</f>
        <v>26216.190000000002</v>
      </c>
      <c r="AC492">
        <f>WarehouseData[[#This Row],[stock_level]]*WarehouseData[[#This Row],[holding_cost_per_unit_day]]*30</f>
        <v>13880.7</v>
      </c>
      <c r="AD492" t="str">
        <f>IF(WarehouseData[[#This Row],[order_fulfillment_rate]]&gt;=0.9,"Strong",IF(WarehouseData[[#This Row],[order_fulfillment_rate]]&gt;=0.8,"Moderate","Needs Attention"))</f>
        <v>Moderate</v>
      </c>
      <c r="AE492" t="str">
        <f>IF(WarehouseData[[#This Row],[picking_time_seconds]]&gt;120,"Slow",IF(WarehouseData[[#This Row],[picking_time_seconds]]&gt;=60,"Average","Fast"))</f>
        <v>Average</v>
      </c>
    </row>
    <row r="493" spans="1:31" x14ac:dyDescent="0.25">
      <c r="A493" t="s">
        <v>631</v>
      </c>
      <c r="B493" t="s">
        <v>36</v>
      </c>
      <c r="C493">
        <v>87</v>
      </c>
      <c r="D493">
        <v>90</v>
      </c>
      <c r="E493">
        <v>4</v>
      </c>
      <c r="F493">
        <v>7</v>
      </c>
      <c r="G493">
        <v>38.799999999999997</v>
      </c>
      <c r="H493">
        <v>4.25</v>
      </c>
      <c r="I493">
        <v>0.53</v>
      </c>
      <c r="J493" t="s">
        <v>181</v>
      </c>
      <c r="K493" t="s">
        <v>52</v>
      </c>
      <c r="L493">
        <v>57</v>
      </c>
      <c r="M493">
        <v>3.75</v>
      </c>
      <c r="N493">
        <v>163.36000000000001</v>
      </c>
      <c r="O493">
        <v>1.91</v>
      </c>
      <c r="P493">
        <v>7</v>
      </c>
      <c r="Q493">
        <v>0.8</v>
      </c>
      <c r="R493">
        <v>849</v>
      </c>
      <c r="S493">
        <v>14.95</v>
      </c>
      <c r="T493">
        <v>0.26</v>
      </c>
      <c r="U493" s="1">
        <v>45513</v>
      </c>
      <c r="V493">
        <v>135.62</v>
      </c>
      <c r="W493">
        <v>0.48</v>
      </c>
      <c r="X493" t="str">
        <f>IF(WarehouseData[[#This Row],[stock_level]]&lt;=WarehouseData[[#This Row],[reorder_point]],"Low Stock","Sufficient Stock")</f>
        <v>Low Stock</v>
      </c>
      <c r="Y493">
        <f>WarehouseData[[#This Row],[daily_demand]]*WarehouseData[[#This Row],[lead_time_days]]</f>
        <v>271.59999999999997</v>
      </c>
      <c r="Z493" t="str">
        <f>IF(WarehouseData[[#This Row],[stock_level]]&lt;=WarehouseData[[#This Row],[Demand During Lead Time]],"At Risk","Safe")</f>
        <v>At Risk</v>
      </c>
      <c r="AA493">
        <f>WarehouseData[[#This Row],[stock_level]]/WarehouseData[[#This Row],[daily_demand]]</f>
        <v>2.2422680412371134</v>
      </c>
      <c r="AB493">
        <f>WarehouseData[[#This Row],[stock_level]]*WarehouseData[[#This Row],[unit_price]]</f>
        <v>14212.320000000002</v>
      </c>
      <c r="AC493">
        <f>WarehouseData[[#This Row],[stock_level]]*WarehouseData[[#This Row],[holding_cost_per_unit_day]]*30</f>
        <v>4985.0999999999995</v>
      </c>
      <c r="AD493" t="str">
        <f>IF(WarehouseData[[#This Row],[order_fulfillment_rate]]&gt;=0.9,"Strong",IF(WarehouseData[[#This Row],[order_fulfillment_rate]]&gt;=0.8,"Moderate","Needs Attention"))</f>
        <v>Moderate</v>
      </c>
      <c r="AE493" t="str">
        <f>IF(WarehouseData[[#This Row],[picking_time_seconds]]&gt;120,"Slow",IF(WarehouseData[[#This Row],[picking_time_seconds]]&gt;=60,"Average","Fast"))</f>
        <v>Fast</v>
      </c>
    </row>
    <row r="494" spans="1:31" x14ac:dyDescent="0.25">
      <c r="A494" t="s">
        <v>632</v>
      </c>
      <c r="B494" t="s">
        <v>32</v>
      </c>
      <c r="C494">
        <v>374</v>
      </c>
      <c r="D494">
        <v>11</v>
      </c>
      <c r="E494">
        <v>5</v>
      </c>
      <c r="F494">
        <v>4</v>
      </c>
      <c r="G494">
        <v>1.1100000000000001</v>
      </c>
      <c r="H494">
        <v>6.28</v>
      </c>
      <c r="I494">
        <v>0.28000000000000003</v>
      </c>
      <c r="J494" t="s">
        <v>188</v>
      </c>
      <c r="K494" t="s">
        <v>52</v>
      </c>
      <c r="L494">
        <v>145</v>
      </c>
      <c r="M494">
        <v>4.46</v>
      </c>
      <c r="N494">
        <v>161.96</v>
      </c>
      <c r="O494">
        <v>0.94</v>
      </c>
      <c r="P494">
        <v>2</v>
      </c>
      <c r="Q494">
        <v>0.77</v>
      </c>
      <c r="R494">
        <v>73</v>
      </c>
      <c r="S494">
        <v>9.68</v>
      </c>
      <c r="T494">
        <v>0.84</v>
      </c>
      <c r="U494" s="1">
        <v>45494</v>
      </c>
      <c r="V494">
        <v>56.07</v>
      </c>
      <c r="W494">
        <v>0.71699999999999997</v>
      </c>
      <c r="X494" t="str">
        <f>IF(WarehouseData[[#This Row],[stock_level]]&lt;=WarehouseData[[#This Row],[reorder_point]],"Low Stock","Sufficient Stock")</f>
        <v>Sufficient Stock</v>
      </c>
      <c r="Y494">
        <f>WarehouseData[[#This Row],[daily_demand]]*WarehouseData[[#This Row],[lead_time_days]]</f>
        <v>4.4400000000000004</v>
      </c>
      <c r="Z494" t="str">
        <f>IF(WarehouseData[[#This Row],[stock_level]]&lt;=WarehouseData[[#This Row],[Demand During Lead Time]],"At Risk","Safe")</f>
        <v>Safe</v>
      </c>
      <c r="AA494">
        <f>WarehouseData[[#This Row],[stock_level]]/WarehouseData[[#This Row],[daily_demand]]</f>
        <v>336.93693693693689</v>
      </c>
      <c r="AB494">
        <f>WarehouseData[[#This Row],[stock_level]]*WarehouseData[[#This Row],[unit_price]]</f>
        <v>60573.04</v>
      </c>
      <c r="AC494">
        <f>WarehouseData[[#This Row],[stock_level]]*WarehouseData[[#This Row],[holding_cost_per_unit_day]]*30</f>
        <v>10546.8</v>
      </c>
      <c r="AD494" t="str">
        <f>IF(WarehouseData[[#This Row],[order_fulfillment_rate]]&gt;=0.9,"Strong",IF(WarehouseData[[#This Row],[order_fulfillment_rate]]&gt;=0.8,"Moderate","Needs Attention"))</f>
        <v>Needs Attention</v>
      </c>
      <c r="AE494" t="str">
        <f>IF(WarehouseData[[#This Row],[picking_time_seconds]]&gt;120,"Slow",IF(WarehouseData[[#This Row],[picking_time_seconds]]&gt;=60,"Average","Fast"))</f>
        <v>Slow</v>
      </c>
    </row>
    <row r="495" spans="1:31" x14ac:dyDescent="0.25">
      <c r="A495" t="s">
        <v>633</v>
      </c>
      <c r="B495" t="s">
        <v>73</v>
      </c>
      <c r="C495">
        <v>271</v>
      </c>
      <c r="D495">
        <v>34</v>
      </c>
      <c r="E495">
        <v>8</v>
      </c>
      <c r="F495">
        <v>2</v>
      </c>
      <c r="G495">
        <v>44.55</v>
      </c>
      <c r="H495">
        <v>0.88</v>
      </c>
      <c r="I495">
        <v>0.71</v>
      </c>
      <c r="J495" t="s">
        <v>49</v>
      </c>
      <c r="K495" t="s">
        <v>52</v>
      </c>
      <c r="L495">
        <v>90</v>
      </c>
      <c r="M495">
        <v>3.06</v>
      </c>
      <c r="N495">
        <v>42.27</v>
      </c>
      <c r="O495">
        <v>0.41</v>
      </c>
      <c r="P495">
        <v>1</v>
      </c>
      <c r="Q495">
        <v>1</v>
      </c>
      <c r="R495">
        <v>930</v>
      </c>
      <c r="S495">
        <v>6.32</v>
      </c>
      <c r="T495">
        <v>0.31</v>
      </c>
      <c r="U495" s="1">
        <v>45306</v>
      </c>
      <c r="V495">
        <v>99.4</v>
      </c>
      <c r="W495">
        <v>0.68500000000000005</v>
      </c>
      <c r="X495" t="str">
        <f>IF(WarehouseData[[#This Row],[stock_level]]&lt;=WarehouseData[[#This Row],[reorder_point]],"Low Stock","Sufficient Stock")</f>
        <v>Sufficient Stock</v>
      </c>
      <c r="Y495">
        <f>WarehouseData[[#This Row],[daily_demand]]*WarehouseData[[#This Row],[lead_time_days]]</f>
        <v>89.1</v>
      </c>
      <c r="Z495" t="str">
        <f>IF(WarehouseData[[#This Row],[stock_level]]&lt;=WarehouseData[[#This Row],[Demand During Lead Time]],"At Risk","Safe")</f>
        <v>Safe</v>
      </c>
      <c r="AA495">
        <f>WarehouseData[[#This Row],[stock_level]]/WarehouseData[[#This Row],[daily_demand]]</f>
        <v>6.0830527497194167</v>
      </c>
      <c r="AB495">
        <f>WarehouseData[[#This Row],[stock_level]]*WarehouseData[[#This Row],[unit_price]]</f>
        <v>11455.17</v>
      </c>
      <c r="AC495">
        <f>WarehouseData[[#This Row],[stock_level]]*WarehouseData[[#This Row],[holding_cost_per_unit_day]]*30</f>
        <v>3333.3</v>
      </c>
      <c r="AD495" t="str">
        <f>IF(WarehouseData[[#This Row],[order_fulfillment_rate]]&gt;=0.9,"Strong",IF(WarehouseData[[#This Row],[order_fulfillment_rate]]&gt;=0.8,"Moderate","Needs Attention"))</f>
        <v>Strong</v>
      </c>
      <c r="AE495" t="str">
        <f>IF(WarehouseData[[#This Row],[picking_time_seconds]]&gt;120,"Slow",IF(WarehouseData[[#This Row],[picking_time_seconds]]&gt;=60,"Average","Fast"))</f>
        <v>Average</v>
      </c>
    </row>
    <row r="496" spans="1:31" x14ac:dyDescent="0.25">
      <c r="A496" t="s">
        <v>634</v>
      </c>
      <c r="B496" t="s">
        <v>36</v>
      </c>
      <c r="C496">
        <v>67</v>
      </c>
      <c r="D496">
        <v>22</v>
      </c>
      <c r="E496">
        <v>13</v>
      </c>
      <c r="F496">
        <v>3</v>
      </c>
      <c r="G496">
        <v>14.23</v>
      </c>
      <c r="H496">
        <v>7.74</v>
      </c>
      <c r="I496">
        <v>0.3</v>
      </c>
      <c r="J496" t="s">
        <v>183</v>
      </c>
      <c r="K496" t="s">
        <v>38</v>
      </c>
      <c r="L496">
        <v>53</v>
      </c>
      <c r="M496">
        <v>0.62</v>
      </c>
      <c r="N496">
        <v>54.99</v>
      </c>
      <c r="O496">
        <v>1.04</v>
      </c>
      <c r="P496">
        <v>4</v>
      </c>
      <c r="Q496">
        <v>0.82</v>
      </c>
      <c r="R496">
        <v>996</v>
      </c>
      <c r="S496">
        <v>3.33</v>
      </c>
      <c r="T496">
        <v>0.76</v>
      </c>
      <c r="U496" s="1">
        <v>45606</v>
      </c>
      <c r="V496">
        <v>42.53</v>
      </c>
      <c r="W496">
        <v>0.57599999999999996</v>
      </c>
      <c r="X496" t="str">
        <f>IF(WarehouseData[[#This Row],[stock_level]]&lt;=WarehouseData[[#This Row],[reorder_point]],"Low Stock","Sufficient Stock")</f>
        <v>Sufficient Stock</v>
      </c>
      <c r="Y496">
        <f>WarehouseData[[#This Row],[daily_demand]]*WarehouseData[[#This Row],[lead_time_days]]</f>
        <v>42.69</v>
      </c>
      <c r="Z496" t="str">
        <f>IF(WarehouseData[[#This Row],[stock_level]]&lt;=WarehouseData[[#This Row],[Demand During Lead Time]],"At Risk","Safe")</f>
        <v>Safe</v>
      </c>
      <c r="AA496">
        <f>WarehouseData[[#This Row],[stock_level]]/WarehouseData[[#This Row],[daily_demand]]</f>
        <v>4.7083626141953614</v>
      </c>
      <c r="AB496">
        <f>WarehouseData[[#This Row],[stock_level]]*WarehouseData[[#This Row],[unit_price]]</f>
        <v>3684.33</v>
      </c>
      <c r="AC496">
        <f>WarehouseData[[#This Row],[stock_level]]*WarehouseData[[#This Row],[holding_cost_per_unit_day]]*30</f>
        <v>2090.4</v>
      </c>
      <c r="AD496" t="str">
        <f>IF(WarehouseData[[#This Row],[order_fulfillment_rate]]&gt;=0.9,"Strong",IF(WarehouseData[[#This Row],[order_fulfillment_rate]]&gt;=0.8,"Moderate","Needs Attention"))</f>
        <v>Moderate</v>
      </c>
      <c r="AE496" t="str">
        <f>IF(WarehouseData[[#This Row],[picking_time_seconds]]&gt;120,"Slow",IF(WarehouseData[[#This Row],[picking_time_seconds]]&gt;=60,"Average","Fast"))</f>
        <v>Fast</v>
      </c>
    </row>
    <row r="497" spans="1:31" x14ac:dyDescent="0.25">
      <c r="A497" t="s">
        <v>635</v>
      </c>
      <c r="B497" t="s">
        <v>73</v>
      </c>
      <c r="C497">
        <v>203</v>
      </c>
      <c r="D497">
        <v>79</v>
      </c>
      <c r="E497">
        <v>13</v>
      </c>
      <c r="F497">
        <v>8</v>
      </c>
      <c r="G497">
        <v>33.729999999999997</v>
      </c>
      <c r="H497">
        <v>1.45</v>
      </c>
      <c r="I497">
        <v>0.1</v>
      </c>
      <c r="J497" t="s">
        <v>57</v>
      </c>
      <c r="K497" t="s">
        <v>46</v>
      </c>
      <c r="L497">
        <v>61</v>
      </c>
      <c r="M497">
        <v>1.48</v>
      </c>
      <c r="N497">
        <v>192.14</v>
      </c>
      <c r="O497">
        <v>0.85</v>
      </c>
      <c r="P497">
        <v>2</v>
      </c>
      <c r="Q497">
        <v>0.98</v>
      </c>
      <c r="R497">
        <v>932</v>
      </c>
      <c r="S497">
        <v>14.74</v>
      </c>
      <c r="T497">
        <v>0.77</v>
      </c>
      <c r="U497" s="1">
        <v>45393</v>
      </c>
      <c r="V497">
        <v>133.83000000000001</v>
      </c>
      <c r="W497">
        <v>0.82199999999999995</v>
      </c>
      <c r="X497" t="str">
        <f>IF(WarehouseData[[#This Row],[stock_level]]&lt;=WarehouseData[[#This Row],[reorder_point]],"Low Stock","Sufficient Stock")</f>
        <v>Sufficient Stock</v>
      </c>
      <c r="Y497">
        <f>WarehouseData[[#This Row],[daily_demand]]*WarehouseData[[#This Row],[lead_time_days]]</f>
        <v>269.83999999999997</v>
      </c>
      <c r="Z497" t="str">
        <f>IF(WarehouseData[[#This Row],[stock_level]]&lt;=WarehouseData[[#This Row],[Demand During Lead Time]],"At Risk","Safe")</f>
        <v>At Risk</v>
      </c>
      <c r="AA497">
        <f>WarehouseData[[#This Row],[stock_level]]/WarehouseData[[#This Row],[daily_demand]]</f>
        <v>6.0183812629706495</v>
      </c>
      <c r="AB497">
        <f>WarehouseData[[#This Row],[stock_level]]*WarehouseData[[#This Row],[unit_price]]</f>
        <v>39004.42</v>
      </c>
      <c r="AC497">
        <f>WarehouseData[[#This Row],[stock_level]]*WarehouseData[[#This Row],[holding_cost_per_unit_day]]*30</f>
        <v>5176.4999999999991</v>
      </c>
      <c r="AD497" t="str">
        <f>IF(WarehouseData[[#This Row],[order_fulfillment_rate]]&gt;=0.9,"Strong",IF(WarehouseData[[#This Row],[order_fulfillment_rate]]&gt;=0.8,"Moderate","Needs Attention"))</f>
        <v>Strong</v>
      </c>
      <c r="AE497" t="str">
        <f>IF(WarehouseData[[#This Row],[picking_time_seconds]]&gt;120,"Slow",IF(WarehouseData[[#This Row],[picking_time_seconds]]&gt;=60,"Average","Fast"))</f>
        <v>Average</v>
      </c>
    </row>
    <row r="498" spans="1:31" x14ac:dyDescent="0.25">
      <c r="A498" t="s">
        <v>636</v>
      </c>
      <c r="B498" t="s">
        <v>40</v>
      </c>
      <c r="C498">
        <v>339</v>
      </c>
      <c r="D498">
        <v>76</v>
      </c>
      <c r="E498">
        <v>7</v>
      </c>
      <c r="F498">
        <v>7</v>
      </c>
      <c r="G498">
        <v>40.51</v>
      </c>
      <c r="H498">
        <v>4.2699999999999996</v>
      </c>
      <c r="I498">
        <v>0.94</v>
      </c>
      <c r="J498" t="s">
        <v>124</v>
      </c>
      <c r="K498" t="s">
        <v>46</v>
      </c>
      <c r="L498">
        <v>43</v>
      </c>
      <c r="M498">
        <v>2.4700000000000002</v>
      </c>
      <c r="N498">
        <v>94.38</v>
      </c>
      <c r="O498">
        <v>0.81</v>
      </c>
      <c r="P498">
        <v>5</v>
      </c>
      <c r="Q498">
        <v>0.82</v>
      </c>
      <c r="R498">
        <v>235</v>
      </c>
      <c r="S498">
        <v>13.94</v>
      </c>
      <c r="T498">
        <v>1</v>
      </c>
      <c r="U498" s="1">
        <v>45522</v>
      </c>
      <c r="V498">
        <v>196.56</v>
      </c>
      <c r="W498">
        <v>0.76900000000000002</v>
      </c>
      <c r="X498" t="str">
        <f>IF(WarehouseData[[#This Row],[stock_level]]&lt;=WarehouseData[[#This Row],[reorder_point]],"Low Stock","Sufficient Stock")</f>
        <v>Sufficient Stock</v>
      </c>
      <c r="Y498">
        <f>WarehouseData[[#This Row],[daily_demand]]*WarehouseData[[#This Row],[lead_time_days]]</f>
        <v>283.57</v>
      </c>
      <c r="Z498" t="str">
        <f>IF(WarehouseData[[#This Row],[stock_level]]&lt;=WarehouseData[[#This Row],[Demand During Lead Time]],"At Risk","Safe")</f>
        <v>Safe</v>
      </c>
      <c r="AA498">
        <f>WarehouseData[[#This Row],[stock_level]]/WarehouseData[[#This Row],[daily_demand]]</f>
        <v>8.3683041224389036</v>
      </c>
      <c r="AB498">
        <f>WarehouseData[[#This Row],[stock_level]]*WarehouseData[[#This Row],[unit_price]]</f>
        <v>31994.82</v>
      </c>
      <c r="AC498">
        <f>WarehouseData[[#This Row],[stock_level]]*WarehouseData[[#This Row],[holding_cost_per_unit_day]]*30</f>
        <v>8237.7000000000007</v>
      </c>
      <c r="AD498" t="str">
        <f>IF(WarehouseData[[#This Row],[order_fulfillment_rate]]&gt;=0.9,"Strong",IF(WarehouseData[[#This Row],[order_fulfillment_rate]]&gt;=0.8,"Moderate","Needs Attention"))</f>
        <v>Moderate</v>
      </c>
      <c r="AE498" t="str">
        <f>IF(WarehouseData[[#This Row],[picking_time_seconds]]&gt;120,"Slow",IF(WarehouseData[[#This Row],[picking_time_seconds]]&gt;=60,"Average","Fast"))</f>
        <v>Fast</v>
      </c>
    </row>
    <row r="499" spans="1:31" x14ac:dyDescent="0.25">
      <c r="A499" t="s">
        <v>637</v>
      </c>
      <c r="B499" t="s">
        <v>73</v>
      </c>
      <c r="C499">
        <v>206</v>
      </c>
      <c r="D499">
        <v>67</v>
      </c>
      <c r="E499">
        <v>13</v>
      </c>
      <c r="F499">
        <v>7</v>
      </c>
      <c r="G499">
        <v>9.0399999999999991</v>
      </c>
      <c r="H499">
        <v>1.48</v>
      </c>
      <c r="I499">
        <v>0.38</v>
      </c>
      <c r="J499" t="s">
        <v>215</v>
      </c>
      <c r="K499" t="s">
        <v>38</v>
      </c>
      <c r="L499">
        <v>30</v>
      </c>
      <c r="M499">
        <v>3.14</v>
      </c>
      <c r="N499">
        <v>108.74</v>
      </c>
      <c r="O499">
        <v>1.29</v>
      </c>
      <c r="P499">
        <v>6</v>
      </c>
      <c r="Q499">
        <v>0.76</v>
      </c>
      <c r="R499">
        <v>219</v>
      </c>
      <c r="S499">
        <v>12.26</v>
      </c>
      <c r="T499">
        <v>0.76</v>
      </c>
      <c r="U499" s="1">
        <v>45595</v>
      </c>
      <c r="V499">
        <v>201.86</v>
      </c>
      <c r="W499">
        <v>0.61799999999999999</v>
      </c>
      <c r="X499" t="str">
        <f>IF(WarehouseData[[#This Row],[stock_level]]&lt;=WarehouseData[[#This Row],[reorder_point]],"Low Stock","Sufficient Stock")</f>
        <v>Sufficient Stock</v>
      </c>
      <c r="Y499">
        <f>WarehouseData[[#This Row],[daily_demand]]*WarehouseData[[#This Row],[lead_time_days]]</f>
        <v>63.279999999999994</v>
      </c>
      <c r="Z499" t="str">
        <f>IF(WarehouseData[[#This Row],[stock_level]]&lt;=WarehouseData[[#This Row],[Demand During Lead Time]],"At Risk","Safe")</f>
        <v>Safe</v>
      </c>
      <c r="AA499">
        <f>WarehouseData[[#This Row],[stock_level]]/WarehouseData[[#This Row],[daily_demand]]</f>
        <v>22.787610619469028</v>
      </c>
      <c r="AB499">
        <f>WarehouseData[[#This Row],[stock_level]]*WarehouseData[[#This Row],[unit_price]]</f>
        <v>22400.44</v>
      </c>
      <c r="AC499">
        <f>WarehouseData[[#This Row],[stock_level]]*WarehouseData[[#This Row],[holding_cost_per_unit_day]]*30</f>
        <v>7972.2000000000007</v>
      </c>
      <c r="AD499" t="str">
        <f>IF(WarehouseData[[#This Row],[order_fulfillment_rate]]&gt;=0.9,"Strong",IF(WarehouseData[[#This Row],[order_fulfillment_rate]]&gt;=0.8,"Moderate","Needs Attention"))</f>
        <v>Needs Attention</v>
      </c>
      <c r="AE499" t="str">
        <f>IF(WarehouseData[[#This Row],[picking_time_seconds]]&gt;120,"Slow",IF(WarehouseData[[#This Row],[picking_time_seconds]]&gt;=60,"Average","Fast"))</f>
        <v>Fast</v>
      </c>
    </row>
    <row r="500" spans="1:31" x14ac:dyDescent="0.25">
      <c r="A500" t="s">
        <v>638</v>
      </c>
      <c r="B500" t="s">
        <v>73</v>
      </c>
      <c r="C500">
        <v>109</v>
      </c>
      <c r="D500">
        <v>91</v>
      </c>
      <c r="E500">
        <v>6</v>
      </c>
      <c r="F500">
        <v>2</v>
      </c>
      <c r="G500">
        <v>22.68</v>
      </c>
      <c r="H500">
        <v>8.4499999999999993</v>
      </c>
      <c r="I500">
        <v>0.28000000000000003</v>
      </c>
      <c r="J500" t="s">
        <v>84</v>
      </c>
      <c r="K500" t="s">
        <v>38</v>
      </c>
      <c r="L500">
        <v>33</v>
      </c>
      <c r="M500">
        <v>2.73</v>
      </c>
      <c r="N500">
        <v>68.930000000000007</v>
      </c>
      <c r="O500">
        <v>0.43</v>
      </c>
      <c r="P500">
        <v>2</v>
      </c>
      <c r="Q500">
        <v>0.74</v>
      </c>
      <c r="R500">
        <v>852</v>
      </c>
      <c r="S500">
        <v>14.21</v>
      </c>
      <c r="T500">
        <v>0.3</v>
      </c>
      <c r="U500" s="1">
        <v>45511</v>
      </c>
      <c r="V500">
        <v>241.06</v>
      </c>
      <c r="W500">
        <v>0.71399999999999997</v>
      </c>
      <c r="X500" t="str">
        <f>IF(WarehouseData[[#This Row],[stock_level]]&lt;=WarehouseData[[#This Row],[reorder_point]],"Low Stock","Sufficient Stock")</f>
        <v>Sufficient Stock</v>
      </c>
      <c r="Y500">
        <f>WarehouseData[[#This Row],[daily_demand]]*WarehouseData[[#This Row],[lead_time_days]]</f>
        <v>45.36</v>
      </c>
      <c r="Z500" t="str">
        <f>IF(WarehouseData[[#This Row],[stock_level]]&lt;=WarehouseData[[#This Row],[Demand During Lead Time]],"At Risk","Safe")</f>
        <v>Safe</v>
      </c>
      <c r="AA500">
        <f>WarehouseData[[#This Row],[stock_level]]/WarehouseData[[#This Row],[daily_demand]]</f>
        <v>4.8059964726631392</v>
      </c>
      <c r="AB500">
        <f>WarehouseData[[#This Row],[stock_level]]*WarehouseData[[#This Row],[unit_price]]</f>
        <v>7513.3700000000008</v>
      </c>
      <c r="AC500">
        <f>WarehouseData[[#This Row],[stock_level]]*WarehouseData[[#This Row],[holding_cost_per_unit_day]]*30</f>
        <v>1406.1</v>
      </c>
      <c r="AD500" t="str">
        <f>IF(WarehouseData[[#This Row],[order_fulfillment_rate]]&gt;=0.9,"Strong",IF(WarehouseData[[#This Row],[order_fulfillment_rate]]&gt;=0.8,"Moderate","Needs Attention"))</f>
        <v>Needs Attention</v>
      </c>
      <c r="AE500" t="str">
        <f>IF(WarehouseData[[#This Row],[picking_time_seconds]]&gt;120,"Slow",IF(WarehouseData[[#This Row],[picking_time_seconds]]&gt;=60,"Average","Fast"))</f>
        <v>Fast</v>
      </c>
    </row>
    <row r="501" spans="1:31" x14ac:dyDescent="0.25">
      <c r="A501" t="s">
        <v>639</v>
      </c>
      <c r="B501" t="s">
        <v>73</v>
      </c>
      <c r="C501">
        <v>465</v>
      </c>
      <c r="D501">
        <v>84</v>
      </c>
      <c r="E501">
        <v>6</v>
      </c>
      <c r="F501">
        <v>8</v>
      </c>
      <c r="G501">
        <v>25.2</v>
      </c>
      <c r="H501">
        <v>5.73</v>
      </c>
      <c r="I501">
        <v>0.34</v>
      </c>
      <c r="J501" t="s">
        <v>418</v>
      </c>
      <c r="K501" t="s">
        <v>34</v>
      </c>
      <c r="L501">
        <v>53</v>
      </c>
      <c r="M501">
        <v>4.62</v>
      </c>
      <c r="N501">
        <v>101.4</v>
      </c>
      <c r="O501">
        <v>0.82</v>
      </c>
      <c r="P501">
        <v>8</v>
      </c>
      <c r="Q501">
        <v>0.96</v>
      </c>
      <c r="R501">
        <v>593</v>
      </c>
      <c r="S501">
        <v>1.85</v>
      </c>
      <c r="T501">
        <v>0.7</v>
      </c>
      <c r="U501" s="1">
        <v>45491</v>
      </c>
      <c r="V501">
        <v>246.35</v>
      </c>
      <c r="W501">
        <v>0.51500000000000001</v>
      </c>
      <c r="X501" t="str">
        <f>IF(WarehouseData[[#This Row],[stock_level]]&lt;=WarehouseData[[#This Row],[reorder_point]],"Low Stock","Sufficient Stock")</f>
        <v>Sufficient Stock</v>
      </c>
      <c r="Y501">
        <f>WarehouseData[[#This Row],[daily_demand]]*WarehouseData[[#This Row],[lead_time_days]]</f>
        <v>201.6</v>
      </c>
      <c r="Z501" t="str">
        <f>IF(WarehouseData[[#This Row],[stock_level]]&lt;=WarehouseData[[#This Row],[Demand During Lead Time]],"At Risk","Safe")</f>
        <v>Safe</v>
      </c>
      <c r="AA501">
        <f>WarehouseData[[#This Row],[stock_level]]/WarehouseData[[#This Row],[daily_demand]]</f>
        <v>18.452380952380953</v>
      </c>
      <c r="AB501">
        <f>WarehouseData[[#This Row],[stock_level]]*WarehouseData[[#This Row],[unit_price]]</f>
        <v>47151</v>
      </c>
      <c r="AC501">
        <f>WarehouseData[[#This Row],[stock_level]]*WarehouseData[[#This Row],[holding_cost_per_unit_day]]*30</f>
        <v>11438.999999999998</v>
      </c>
      <c r="AD501" t="str">
        <f>IF(WarehouseData[[#This Row],[order_fulfillment_rate]]&gt;=0.9,"Strong",IF(WarehouseData[[#This Row],[order_fulfillment_rate]]&gt;=0.8,"Moderate","Needs Attention"))</f>
        <v>Strong</v>
      </c>
      <c r="AE501" t="str">
        <f>IF(WarehouseData[[#This Row],[picking_time_seconds]]&gt;120,"Slow",IF(WarehouseData[[#This Row],[picking_time_seconds]]&gt;=60,"Average","Fast"))</f>
        <v>Fast</v>
      </c>
    </row>
    <row r="502" spans="1:31" x14ac:dyDescent="0.25">
      <c r="A502" t="s">
        <v>640</v>
      </c>
      <c r="B502" t="s">
        <v>32</v>
      </c>
      <c r="C502">
        <v>351</v>
      </c>
      <c r="D502">
        <v>93</v>
      </c>
      <c r="E502">
        <v>7</v>
      </c>
      <c r="F502">
        <v>7</v>
      </c>
      <c r="G502">
        <v>16.29</v>
      </c>
      <c r="H502">
        <v>7.06</v>
      </c>
      <c r="I502">
        <v>0.4</v>
      </c>
      <c r="J502" t="s">
        <v>150</v>
      </c>
      <c r="K502" t="s">
        <v>34</v>
      </c>
      <c r="L502">
        <v>123</v>
      </c>
      <c r="M502">
        <v>4.72</v>
      </c>
      <c r="N502">
        <v>151.24</v>
      </c>
      <c r="O502">
        <v>1.75</v>
      </c>
      <c r="P502">
        <v>9</v>
      </c>
      <c r="Q502">
        <v>0.71</v>
      </c>
      <c r="R502">
        <v>487</v>
      </c>
      <c r="S502">
        <v>9.84</v>
      </c>
      <c r="T502">
        <v>0.62</v>
      </c>
      <c r="U502" s="1">
        <v>45294</v>
      </c>
      <c r="V502">
        <v>183.34</v>
      </c>
      <c r="W502">
        <v>0.442</v>
      </c>
      <c r="X502" t="str">
        <f>IF(WarehouseData[[#This Row],[stock_level]]&lt;=WarehouseData[[#This Row],[reorder_point]],"Low Stock","Sufficient Stock")</f>
        <v>Sufficient Stock</v>
      </c>
      <c r="Y502">
        <f>WarehouseData[[#This Row],[daily_demand]]*WarehouseData[[#This Row],[lead_time_days]]</f>
        <v>114.03</v>
      </c>
      <c r="Z502" t="str">
        <f>IF(WarehouseData[[#This Row],[stock_level]]&lt;=WarehouseData[[#This Row],[Demand During Lead Time]],"At Risk","Safe")</f>
        <v>Safe</v>
      </c>
      <c r="AA502">
        <f>WarehouseData[[#This Row],[stock_level]]/WarehouseData[[#This Row],[daily_demand]]</f>
        <v>21.546961325966851</v>
      </c>
      <c r="AB502">
        <f>WarehouseData[[#This Row],[stock_level]]*WarehouseData[[#This Row],[unit_price]]</f>
        <v>53085.240000000005</v>
      </c>
      <c r="AC502">
        <f>WarehouseData[[#This Row],[stock_level]]*WarehouseData[[#This Row],[holding_cost_per_unit_day]]*30</f>
        <v>18427.5</v>
      </c>
      <c r="AD502" t="str">
        <f>IF(WarehouseData[[#This Row],[order_fulfillment_rate]]&gt;=0.9,"Strong",IF(WarehouseData[[#This Row],[order_fulfillment_rate]]&gt;=0.8,"Moderate","Needs Attention"))</f>
        <v>Needs Attention</v>
      </c>
      <c r="AE502" t="str">
        <f>IF(WarehouseData[[#This Row],[picking_time_seconds]]&gt;120,"Slow",IF(WarehouseData[[#This Row],[picking_time_seconds]]&gt;=60,"Average","Fast"))</f>
        <v>Slow</v>
      </c>
    </row>
    <row r="503" spans="1:31" x14ac:dyDescent="0.25">
      <c r="A503" t="s">
        <v>641</v>
      </c>
      <c r="B503" t="s">
        <v>73</v>
      </c>
      <c r="C503">
        <v>158</v>
      </c>
      <c r="D503">
        <v>73</v>
      </c>
      <c r="E503">
        <v>4</v>
      </c>
      <c r="F503">
        <v>5</v>
      </c>
      <c r="G503">
        <v>24.61</v>
      </c>
      <c r="H503">
        <v>6.98</v>
      </c>
      <c r="I503">
        <v>0.53</v>
      </c>
      <c r="J503" t="s">
        <v>245</v>
      </c>
      <c r="K503" t="s">
        <v>46</v>
      </c>
      <c r="L503">
        <v>178</v>
      </c>
      <c r="M503">
        <v>0.98</v>
      </c>
      <c r="N503">
        <v>101.65</v>
      </c>
      <c r="O503">
        <v>1.49</v>
      </c>
      <c r="P503">
        <v>0</v>
      </c>
      <c r="Q503">
        <v>0.99</v>
      </c>
      <c r="R503">
        <v>350</v>
      </c>
      <c r="S503">
        <v>4.8499999999999996</v>
      </c>
      <c r="T503">
        <v>0.93</v>
      </c>
      <c r="U503" s="1">
        <v>45652</v>
      </c>
      <c r="V503">
        <v>112.41</v>
      </c>
      <c r="W503">
        <v>0.7</v>
      </c>
      <c r="X503" t="str">
        <f>IF(WarehouseData[[#This Row],[stock_level]]&lt;=WarehouseData[[#This Row],[reorder_point]],"Low Stock","Sufficient Stock")</f>
        <v>Sufficient Stock</v>
      </c>
      <c r="Y503">
        <f>WarehouseData[[#This Row],[daily_demand]]*WarehouseData[[#This Row],[lead_time_days]]</f>
        <v>123.05</v>
      </c>
      <c r="Z503" t="str">
        <f>IF(WarehouseData[[#This Row],[stock_level]]&lt;=WarehouseData[[#This Row],[Demand During Lead Time]],"At Risk","Safe")</f>
        <v>Safe</v>
      </c>
      <c r="AA503">
        <f>WarehouseData[[#This Row],[stock_level]]/WarehouseData[[#This Row],[daily_demand]]</f>
        <v>6.42015440877692</v>
      </c>
      <c r="AB503">
        <f>WarehouseData[[#This Row],[stock_level]]*WarehouseData[[#This Row],[unit_price]]</f>
        <v>16060.7</v>
      </c>
      <c r="AC503">
        <f>WarehouseData[[#This Row],[stock_level]]*WarehouseData[[#This Row],[holding_cost_per_unit_day]]*30</f>
        <v>7062.5999999999995</v>
      </c>
      <c r="AD503" t="str">
        <f>IF(WarehouseData[[#This Row],[order_fulfillment_rate]]&gt;=0.9,"Strong",IF(WarehouseData[[#This Row],[order_fulfillment_rate]]&gt;=0.8,"Moderate","Needs Attention"))</f>
        <v>Strong</v>
      </c>
      <c r="AE503" t="str">
        <f>IF(WarehouseData[[#This Row],[picking_time_seconds]]&gt;120,"Slow",IF(WarehouseData[[#This Row],[picking_time_seconds]]&gt;=60,"Average","Fast"))</f>
        <v>Slow</v>
      </c>
    </row>
    <row r="504" spans="1:31" x14ac:dyDescent="0.25">
      <c r="A504" t="s">
        <v>642</v>
      </c>
      <c r="B504" t="s">
        <v>36</v>
      </c>
      <c r="C504">
        <v>376</v>
      </c>
      <c r="D504">
        <v>78</v>
      </c>
      <c r="E504">
        <v>11</v>
      </c>
      <c r="F504">
        <v>4</v>
      </c>
      <c r="G504">
        <v>16.559999999999999</v>
      </c>
      <c r="H504">
        <v>8.5</v>
      </c>
      <c r="I504">
        <v>0.16</v>
      </c>
      <c r="J504" t="s">
        <v>113</v>
      </c>
      <c r="K504" t="s">
        <v>52</v>
      </c>
      <c r="L504">
        <v>166</v>
      </c>
      <c r="M504">
        <v>1.1200000000000001</v>
      </c>
      <c r="N504">
        <v>69.81</v>
      </c>
      <c r="O504">
        <v>0.21</v>
      </c>
      <c r="P504">
        <v>6</v>
      </c>
      <c r="Q504">
        <v>0.83</v>
      </c>
      <c r="R504">
        <v>737</v>
      </c>
      <c r="S504">
        <v>11.72</v>
      </c>
      <c r="T504">
        <v>0.75</v>
      </c>
      <c r="U504" s="1">
        <v>45401</v>
      </c>
      <c r="V504">
        <v>24.88</v>
      </c>
      <c r="W504">
        <v>0.73099999999999998</v>
      </c>
      <c r="X504" t="str">
        <f>IF(WarehouseData[[#This Row],[stock_level]]&lt;=WarehouseData[[#This Row],[reorder_point]],"Low Stock","Sufficient Stock")</f>
        <v>Sufficient Stock</v>
      </c>
      <c r="Y504">
        <f>WarehouseData[[#This Row],[daily_demand]]*WarehouseData[[#This Row],[lead_time_days]]</f>
        <v>66.239999999999995</v>
      </c>
      <c r="Z504" t="str">
        <f>IF(WarehouseData[[#This Row],[stock_level]]&lt;=WarehouseData[[#This Row],[Demand During Lead Time]],"At Risk","Safe")</f>
        <v>Safe</v>
      </c>
      <c r="AA504">
        <f>WarehouseData[[#This Row],[stock_level]]/WarehouseData[[#This Row],[daily_demand]]</f>
        <v>22.705314009661837</v>
      </c>
      <c r="AB504">
        <f>WarehouseData[[#This Row],[stock_level]]*WarehouseData[[#This Row],[unit_price]]</f>
        <v>26248.560000000001</v>
      </c>
      <c r="AC504">
        <f>WarehouseData[[#This Row],[stock_level]]*WarehouseData[[#This Row],[holding_cost_per_unit_day]]*30</f>
        <v>2368.7999999999997</v>
      </c>
      <c r="AD504" t="str">
        <f>IF(WarehouseData[[#This Row],[order_fulfillment_rate]]&gt;=0.9,"Strong",IF(WarehouseData[[#This Row],[order_fulfillment_rate]]&gt;=0.8,"Moderate","Needs Attention"))</f>
        <v>Moderate</v>
      </c>
      <c r="AE504" t="str">
        <f>IF(WarehouseData[[#This Row],[picking_time_seconds]]&gt;120,"Slow",IF(WarehouseData[[#This Row],[picking_time_seconds]]&gt;=60,"Average","Fast"))</f>
        <v>Slow</v>
      </c>
    </row>
    <row r="505" spans="1:31" x14ac:dyDescent="0.25">
      <c r="A505" t="s">
        <v>643</v>
      </c>
      <c r="B505" t="s">
        <v>40</v>
      </c>
      <c r="C505">
        <v>108</v>
      </c>
      <c r="D505">
        <v>92</v>
      </c>
      <c r="E505">
        <v>4</v>
      </c>
      <c r="F505">
        <v>5</v>
      </c>
      <c r="G505">
        <v>18.68</v>
      </c>
      <c r="H505">
        <v>1.76</v>
      </c>
      <c r="I505">
        <v>0.15</v>
      </c>
      <c r="J505" t="s">
        <v>340</v>
      </c>
      <c r="K505" t="s">
        <v>46</v>
      </c>
      <c r="L505">
        <v>112</v>
      </c>
      <c r="M505">
        <v>2.11</v>
      </c>
      <c r="N505">
        <v>28.24</v>
      </c>
      <c r="O505">
        <v>1.08</v>
      </c>
      <c r="P505">
        <v>3</v>
      </c>
      <c r="Q505">
        <v>0.77</v>
      </c>
      <c r="R505">
        <v>413</v>
      </c>
      <c r="S505">
        <v>2.34</v>
      </c>
      <c r="T505">
        <v>0.61</v>
      </c>
      <c r="U505" s="1">
        <v>45397</v>
      </c>
      <c r="V505">
        <v>20.399999999999999</v>
      </c>
      <c r="W505">
        <v>0.53900000000000003</v>
      </c>
      <c r="X505" t="str">
        <f>IF(WarehouseData[[#This Row],[stock_level]]&lt;=WarehouseData[[#This Row],[reorder_point]],"Low Stock","Sufficient Stock")</f>
        <v>Sufficient Stock</v>
      </c>
      <c r="Y505">
        <f>WarehouseData[[#This Row],[daily_demand]]*WarehouseData[[#This Row],[lead_time_days]]</f>
        <v>93.4</v>
      </c>
      <c r="Z505" t="str">
        <f>IF(WarehouseData[[#This Row],[stock_level]]&lt;=WarehouseData[[#This Row],[Demand During Lead Time]],"At Risk","Safe")</f>
        <v>Safe</v>
      </c>
      <c r="AA505">
        <f>WarehouseData[[#This Row],[stock_level]]/WarehouseData[[#This Row],[daily_demand]]</f>
        <v>5.7815845824411136</v>
      </c>
      <c r="AB505">
        <f>WarehouseData[[#This Row],[stock_level]]*WarehouseData[[#This Row],[unit_price]]</f>
        <v>3049.9199999999996</v>
      </c>
      <c r="AC505">
        <f>WarehouseData[[#This Row],[stock_level]]*WarehouseData[[#This Row],[holding_cost_per_unit_day]]*30</f>
        <v>3499.2000000000003</v>
      </c>
      <c r="AD505" t="str">
        <f>IF(WarehouseData[[#This Row],[order_fulfillment_rate]]&gt;=0.9,"Strong",IF(WarehouseData[[#This Row],[order_fulfillment_rate]]&gt;=0.8,"Moderate","Needs Attention"))</f>
        <v>Needs Attention</v>
      </c>
      <c r="AE505" t="str">
        <f>IF(WarehouseData[[#This Row],[picking_time_seconds]]&gt;120,"Slow",IF(WarehouseData[[#This Row],[picking_time_seconds]]&gt;=60,"Average","Fast"))</f>
        <v>Average</v>
      </c>
    </row>
    <row r="506" spans="1:31" x14ac:dyDescent="0.25">
      <c r="A506" t="s">
        <v>644</v>
      </c>
      <c r="B506" t="s">
        <v>40</v>
      </c>
      <c r="C506">
        <v>293</v>
      </c>
      <c r="D506">
        <v>95</v>
      </c>
      <c r="E506">
        <v>12</v>
      </c>
      <c r="F506">
        <v>6</v>
      </c>
      <c r="G506">
        <v>33.799999999999997</v>
      </c>
      <c r="H506">
        <v>6.77</v>
      </c>
      <c r="I506">
        <v>0.36</v>
      </c>
      <c r="J506" t="s">
        <v>106</v>
      </c>
      <c r="K506" t="s">
        <v>34</v>
      </c>
      <c r="L506">
        <v>143</v>
      </c>
      <c r="M506">
        <v>2.4</v>
      </c>
      <c r="N506">
        <v>186.37</v>
      </c>
      <c r="O506">
        <v>0.27</v>
      </c>
      <c r="P506">
        <v>6</v>
      </c>
      <c r="Q506">
        <v>0.89</v>
      </c>
      <c r="R506">
        <v>903</v>
      </c>
      <c r="S506">
        <v>4.62</v>
      </c>
      <c r="T506">
        <v>0.7</v>
      </c>
      <c r="U506" s="1">
        <v>45434</v>
      </c>
      <c r="V506">
        <v>42.85</v>
      </c>
      <c r="W506">
        <v>0.63300000000000001</v>
      </c>
      <c r="X506" t="str">
        <f>IF(WarehouseData[[#This Row],[stock_level]]&lt;=WarehouseData[[#This Row],[reorder_point]],"Low Stock","Sufficient Stock")</f>
        <v>Sufficient Stock</v>
      </c>
      <c r="Y506">
        <f>WarehouseData[[#This Row],[daily_demand]]*WarehouseData[[#This Row],[lead_time_days]]</f>
        <v>202.79999999999998</v>
      </c>
      <c r="Z506" t="str">
        <f>IF(WarehouseData[[#This Row],[stock_level]]&lt;=WarehouseData[[#This Row],[Demand During Lead Time]],"At Risk","Safe")</f>
        <v>Safe</v>
      </c>
      <c r="AA506">
        <f>WarehouseData[[#This Row],[stock_level]]/WarehouseData[[#This Row],[daily_demand]]</f>
        <v>8.668639053254438</v>
      </c>
      <c r="AB506">
        <f>WarehouseData[[#This Row],[stock_level]]*WarehouseData[[#This Row],[unit_price]]</f>
        <v>54606.41</v>
      </c>
      <c r="AC506">
        <f>WarehouseData[[#This Row],[stock_level]]*WarehouseData[[#This Row],[holding_cost_per_unit_day]]*30</f>
        <v>2373.3000000000002</v>
      </c>
      <c r="AD506" t="str">
        <f>IF(WarehouseData[[#This Row],[order_fulfillment_rate]]&gt;=0.9,"Strong",IF(WarehouseData[[#This Row],[order_fulfillment_rate]]&gt;=0.8,"Moderate","Needs Attention"))</f>
        <v>Moderate</v>
      </c>
      <c r="AE506" t="str">
        <f>IF(WarehouseData[[#This Row],[picking_time_seconds]]&gt;120,"Slow",IF(WarehouseData[[#This Row],[picking_time_seconds]]&gt;=60,"Average","Fast"))</f>
        <v>Slow</v>
      </c>
    </row>
    <row r="507" spans="1:31" x14ac:dyDescent="0.25">
      <c r="A507" t="s">
        <v>645</v>
      </c>
      <c r="B507" t="s">
        <v>73</v>
      </c>
      <c r="C507">
        <v>38</v>
      </c>
      <c r="D507">
        <v>68</v>
      </c>
      <c r="E507">
        <v>4</v>
      </c>
      <c r="F507">
        <v>5</v>
      </c>
      <c r="G507">
        <v>32</v>
      </c>
      <c r="H507">
        <v>5.96</v>
      </c>
      <c r="I507">
        <v>0.37</v>
      </c>
      <c r="J507" t="s">
        <v>311</v>
      </c>
      <c r="K507" t="s">
        <v>46</v>
      </c>
      <c r="L507">
        <v>65</v>
      </c>
      <c r="M507">
        <v>3.14</v>
      </c>
      <c r="N507">
        <v>175.61</v>
      </c>
      <c r="O507">
        <v>1.92</v>
      </c>
      <c r="P507">
        <v>8</v>
      </c>
      <c r="Q507">
        <v>0.74</v>
      </c>
      <c r="R507">
        <v>226</v>
      </c>
      <c r="S507">
        <v>12.9</v>
      </c>
      <c r="T507">
        <v>0.55000000000000004</v>
      </c>
      <c r="U507" s="1">
        <v>45652</v>
      </c>
      <c r="V507">
        <v>295.31</v>
      </c>
      <c r="W507">
        <v>0.47799999999999998</v>
      </c>
      <c r="X507" t="str">
        <f>IF(WarehouseData[[#This Row],[stock_level]]&lt;=WarehouseData[[#This Row],[reorder_point]],"Low Stock","Sufficient Stock")</f>
        <v>Low Stock</v>
      </c>
      <c r="Y507">
        <f>WarehouseData[[#This Row],[daily_demand]]*WarehouseData[[#This Row],[lead_time_days]]</f>
        <v>160</v>
      </c>
      <c r="Z507" t="str">
        <f>IF(WarehouseData[[#This Row],[stock_level]]&lt;=WarehouseData[[#This Row],[Demand During Lead Time]],"At Risk","Safe")</f>
        <v>At Risk</v>
      </c>
      <c r="AA507">
        <f>WarehouseData[[#This Row],[stock_level]]/WarehouseData[[#This Row],[daily_demand]]</f>
        <v>1.1875</v>
      </c>
      <c r="AB507">
        <f>WarehouseData[[#This Row],[stock_level]]*WarehouseData[[#This Row],[unit_price]]</f>
        <v>6673.18</v>
      </c>
      <c r="AC507">
        <f>WarehouseData[[#This Row],[stock_level]]*WarehouseData[[#This Row],[holding_cost_per_unit_day]]*30</f>
        <v>2188.7999999999997</v>
      </c>
      <c r="AD507" t="str">
        <f>IF(WarehouseData[[#This Row],[order_fulfillment_rate]]&gt;=0.9,"Strong",IF(WarehouseData[[#This Row],[order_fulfillment_rate]]&gt;=0.8,"Moderate","Needs Attention"))</f>
        <v>Needs Attention</v>
      </c>
      <c r="AE507" t="str">
        <f>IF(WarehouseData[[#This Row],[picking_time_seconds]]&gt;120,"Slow",IF(WarehouseData[[#This Row],[picking_time_seconds]]&gt;=60,"Average","Fast"))</f>
        <v>Average</v>
      </c>
    </row>
    <row r="508" spans="1:31" x14ac:dyDescent="0.25">
      <c r="A508" t="s">
        <v>646</v>
      </c>
      <c r="B508" t="s">
        <v>32</v>
      </c>
      <c r="C508">
        <v>490</v>
      </c>
      <c r="D508">
        <v>69</v>
      </c>
      <c r="E508">
        <v>12</v>
      </c>
      <c r="F508">
        <v>8</v>
      </c>
      <c r="G508">
        <v>12.38</v>
      </c>
      <c r="H508">
        <v>0.79</v>
      </c>
      <c r="I508">
        <v>0.21</v>
      </c>
      <c r="J508" t="s">
        <v>418</v>
      </c>
      <c r="K508" t="s">
        <v>34</v>
      </c>
      <c r="L508">
        <v>23</v>
      </c>
      <c r="M508">
        <v>3.98</v>
      </c>
      <c r="N508">
        <v>160.36000000000001</v>
      </c>
      <c r="O508">
        <v>0.56000000000000005</v>
      </c>
      <c r="P508">
        <v>8</v>
      </c>
      <c r="Q508">
        <v>0.72</v>
      </c>
      <c r="R508">
        <v>851</v>
      </c>
      <c r="S508">
        <v>11.49</v>
      </c>
      <c r="T508">
        <v>0.61</v>
      </c>
      <c r="U508" s="1">
        <v>45324</v>
      </c>
      <c r="V508">
        <v>237.93</v>
      </c>
      <c r="W508">
        <v>0.60299999999999998</v>
      </c>
      <c r="X508" t="str">
        <f>IF(WarehouseData[[#This Row],[stock_level]]&lt;=WarehouseData[[#This Row],[reorder_point]],"Low Stock","Sufficient Stock")</f>
        <v>Sufficient Stock</v>
      </c>
      <c r="Y508">
        <f>WarehouseData[[#This Row],[daily_demand]]*WarehouseData[[#This Row],[lead_time_days]]</f>
        <v>99.04</v>
      </c>
      <c r="Z508" t="str">
        <f>IF(WarehouseData[[#This Row],[stock_level]]&lt;=WarehouseData[[#This Row],[Demand During Lead Time]],"At Risk","Safe")</f>
        <v>Safe</v>
      </c>
      <c r="AA508">
        <f>WarehouseData[[#This Row],[stock_level]]/WarehouseData[[#This Row],[daily_demand]]</f>
        <v>39.57996768982229</v>
      </c>
      <c r="AB508">
        <f>WarehouseData[[#This Row],[stock_level]]*WarehouseData[[#This Row],[unit_price]]</f>
        <v>78576.400000000009</v>
      </c>
      <c r="AC508">
        <f>WarehouseData[[#This Row],[stock_level]]*WarehouseData[[#This Row],[holding_cost_per_unit_day]]*30</f>
        <v>8232.0000000000018</v>
      </c>
      <c r="AD508" t="str">
        <f>IF(WarehouseData[[#This Row],[order_fulfillment_rate]]&gt;=0.9,"Strong",IF(WarehouseData[[#This Row],[order_fulfillment_rate]]&gt;=0.8,"Moderate","Needs Attention"))</f>
        <v>Needs Attention</v>
      </c>
      <c r="AE508" t="str">
        <f>IF(WarehouseData[[#This Row],[picking_time_seconds]]&gt;120,"Slow",IF(WarehouseData[[#This Row],[picking_time_seconds]]&gt;=60,"Average","Fast"))</f>
        <v>Fast</v>
      </c>
    </row>
    <row r="509" spans="1:31" x14ac:dyDescent="0.25">
      <c r="A509" t="s">
        <v>647</v>
      </c>
      <c r="B509" t="s">
        <v>32</v>
      </c>
      <c r="C509">
        <v>330</v>
      </c>
      <c r="D509">
        <v>92</v>
      </c>
      <c r="E509">
        <v>11</v>
      </c>
      <c r="F509">
        <v>3</v>
      </c>
      <c r="G509">
        <v>44.98</v>
      </c>
      <c r="H509">
        <v>2.41</v>
      </c>
      <c r="I509">
        <v>0.46</v>
      </c>
      <c r="J509" t="s">
        <v>41</v>
      </c>
      <c r="K509" t="s">
        <v>34</v>
      </c>
      <c r="L509">
        <v>110</v>
      </c>
      <c r="M509">
        <v>1.1100000000000001</v>
      </c>
      <c r="N509">
        <v>141.87</v>
      </c>
      <c r="O509">
        <v>1.87</v>
      </c>
      <c r="P509">
        <v>0</v>
      </c>
      <c r="Q509">
        <v>0.95</v>
      </c>
      <c r="R509">
        <v>193</v>
      </c>
      <c r="S509">
        <v>14.89</v>
      </c>
      <c r="T509">
        <v>0.78</v>
      </c>
      <c r="U509" s="1">
        <v>45587</v>
      </c>
      <c r="V509">
        <v>127.41</v>
      </c>
      <c r="W509">
        <v>0.75800000000000001</v>
      </c>
      <c r="X509" t="str">
        <f>IF(WarehouseData[[#This Row],[stock_level]]&lt;=WarehouseData[[#This Row],[reorder_point]],"Low Stock","Sufficient Stock")</f>
        <v>Sufficient Stock</v>
      </c>
      <c r="Y509">
        <f>WarehouseData[[#This Row],[daily_demand]]*WarehouseData[[#This Row],[lead_time_days]]</f>
        <v>134.94</v>
      </c>
      <c r="Z509" t="str">
        <f>IF(WarehouseData[[#This Row],[stock_level]]&lt;=WarehouseData[[#This Row],[Demand During Lead Time]],"At Risk","Safe")</f>
        <v>Safe</v>
      </c>
      <c r="AA509">
        <f>WarehouseData[[#This Row],[stock_level]]/WarehouseData[[#This Row],[daily_demand]]</f>
        <v>7.3365940417963547</v>
      </c>
      <c r="AB509">
        <f>WarehouseData[[#This Row],[stock_level]]*WarehouseData[[#This Row],[unit_price]]</f>
        <v>46817.1</v>
      </c>
      <c r="AC509">
        <f>WarehouseData[[#This Row],[stock_level]]*WarehouseData[[#This Row],[holding_cost_per_unit_day]]*30</f>
        <v>18513</v>
      </c>
      <c r="AD509" t="str">
        <f>IF(WarehouseData[[#This Row],[order_fulfillment_rate]]&gt;=0.9,"Strong",IF(WarehouseData[[#This Row],[order_fulfillment_rate]]&gt;=0.8,"Moderate","Needs Attention"))</f>
        <v>Strong</v>
      </c>
      <c r="AE509" t="str">
        <f>IF(WarehouseData[[#This Row],[picking_time_seconds]]&gt;120,"Slow",IF(WarehouseData[[#This Row],[picking_time_seconds]]&gt;=60,"Average","Fast"))</f>
        <v>Average</v>
      </c>
    </row>
    <row r="510" spans="1:31" x14ac:dyDescent="0.25">
      <c r="A510" t="s">
        <v>648</v>
      </c>
      <c r="B510" t="s">
        <v>36</v>
      </c>
      <c r="C510">
        <v>377</v>
      </c>
      <c r="D510">
        <v>71</v>
      </c>
      <c r="E510">
        <v>5</v>
      </c>
      <c r="F510">
        <v>7</v>
      </c>
      <c r="G510">
        <v>43.28</v>
      </c>
      <c r="H510">
        <v>3.04</v>
      </c>
      <c r="I510">
        <v>0.36</v>
      </c>
      <c r="J510" t="s">
        <v>311</v>
      </c>
      <c r="K510" t="s">
        <v>52</v>
      </c>
      <c r="L510">
        <v>10</v>
      </c>
      <c r="M510">
        <v>4.1100000000000003</v>
      </c>
      <c r="N510">
        <v>107.95</v>
      </c>
      <c r="O510">
        <v>1.68</v>
      </c>
      <c r="P510">
        <v>9</v>
      </c>
      <c r="Q510">
        <v>0.83</v>
      </c>
      <c r="R510">
        <v>572</v>
      </c>
      <c r="S510">
        <v>10.02</v>
      </c>
      <c r="T510">
        <v>0.26</v>
      </c>
      <c r="U510" s="1">
        <v>45344</v>
      </c>
      <c r="V510">
        <v>145.19999999999999</v>
      </c>
      <c r="W510">
        <v>0.40400000000000003</v>
      </c>
      <c r="X510" t="str">
        <f>IF(WarehouseData[[#This Row],[stock_level]]&lt;=WarehouseData[[#This Row],[reorder_point]],"Low Stock","Sufficient Stock")</f>
        <v>Sufficient Stock</v>
      </c>
      <c r="Y510">
        <f>WarehouseData[[#This Row],[daily_demand]]*WarehouseData[[#This Row],[lead_time_days]]</f>
        <v>302.96000000000004</v>
      </c>
      <c r="Z510" t="str">
        <f>IF(WarehouseData[[#This Row],[stock_level]]&lt;=WarehouseData[[#This Row],[Demand During Lead Time]],"At Risk","Safe")</f>
        <v>Safe</v>
      </c>
      <c r="AA510">
        <f>WarehouseData[[#This Row],[stock_level]]/WarehouseData[[#This Row],[daily_demand]]</f>
        <v>8.7107208872458415</v>
      </c>
      <c r="AB510">
        <f>WarehouseData[[#This Row],[stock_level]]*WarehouseData[[#This Row],[unit_price]]</f>
        <v>40697.15</v>
      </c>
      <c r="AC510">
        <f>WarehouseData[[#This Row],[stock_level]]*WarehouseData[[#This Row],[holding_cost_per_unit_day]]*30</f>
        <v>19000.8</v>
      </c>
      <c r="AD510" t="str">
        <f>IF(WarehouseData[[#This Row],[order_fulfillment_rate]]&gt;=0.9,"Strong",IF(WarehouseData[[#This Row],[order_fulfillment_rate]]&gt;=0.8,"Moderate","Needs Attention"))</f>
        <v>Moderate</v>
      </c>
      <c r="AE510" t="str">
        <f>IF(WarehouseData[[#This Row],[picking_time_seconds]]&gt;120,"Slow",IF(WarehouseData[[#This Row],[picking_time_seconds]]&gt;=60,"Average","Fast"))</f>
        <v>Fast</v>
      </c>
    </row>
    <row r="511" spans="1:31" x14ac:dyDescent="0.25">
      <c r="A511" t="s">
        <v>649</v>
      </c>
      <c r="B511" t="s">
        <v>73</v>
      </c>
      <c r="C511">
        <v>393</v>
      </c>
      <c r="D511">
        <v>25</v>
      </c>
      <c r="E511">
        <v>12</v>
      </c>
      <c r="F511">
        <v>8</v>
      </c>
      <c r="G511">
        <v>25.95</v>
      </c>
      <c r="H511">
        <v>1.19</v>
      </c>
      <c r="I511">
        <v>0.12</v>
      </c>
      <c r="J511" t="s">
        <v>43</v>
      </c>
      <c r="K511" t="s">
        <v>52</v>
      </c>
      <c r="L511">
        <v>21</v>
      </c>
      <c r="M511">
        <v>3.25</v>
      </c>
      <c r="N511">
        <v>180.51</v>
      </c>
      <c r="O511">
        <v>1.1499999999999999</v>
      </c>
      <c r="P511">
        <v>3</v>
      </c>
      <c r="Q511">
        <v>0.86</v>
      </c>
      <c r="R511">
        <v>530</v>
      </c>
      <c r="S511">
        <v>5.24</v>
      </c>
      <c r="T511">
        <v>0.69</v>
      </c>
      <c r="U511" s="1">
        <v>45566</v>
      </c>
      <c r="V511">
        <v>223.84</v>
      </c>
      <c r="W511">
        <v>0.60499999999999998</v>
      </c>
      <c r="X511" t="str">
        <f>IF(WarehouseData[[#This Row],[stock_level]]&lt;=WarehouseData[[#This Row],[reorder_point]],"Low Stock","Sufficient Stock")</f>
        <v>Sufficient Stock</v>
      </c>
      <c r="Y511">
        <f>WarehouseData[[#This Row],[daily_demand]]*WarehouseData[[#This Row],[lead_time_days]]</f>
        <v>207.6</v>
      </c>
      <c r="Z511" t="str">
        <f>IF(WarehouseData[[#This Row],[stock_level]]&lt;=WarehouseData[[#This Row],[Demand During Lead Time]],"At Risk","Safe")</f>
        <v>Safe</v>
      </c>
      <c r="AA511">
        <f>WarehouseData[[#This Row],[stock_level]]/WarehouseData[[#This Row],[daily_demand]]</f>
        <v>15.144508670520231</v>
      </c>
      <c r="AB511">
        <f>WarehouseData[[#This Row],[stock_level]]*WarehouseData[[#This Row],[unit_price]]</f>
        <v>70940.429999999993</v>
      </c>
      <c r="AC511">
        <f>WarehouseData[[#This Row],[stock_level]]*WarehouseData[[#This Row],[holding_cost_per_unit_day]]*30</f>
        <v>13558.5</v>
      </c>
      <c r="AD511" t="str">
        <f>IF(WarehouseData[[#This Row],[order_fulfillment_rate]]&gt;=0.9,"Strong",IF(WarehouseData[[#This Row],[order_fulfillment_rate]]&gt;=0.8,"Moderate","Needs Attention"))</f>
        <v>Moderate</v>
      </c>
      <c r="AE511" t="str">
        <f>IF(WarehouseData[[#This Row],[picking_time_seconds]]&gt;120,"Slow",IF(WarehouseData[[#This Row],[picking_time_seconds]]&gt;=60,"Average","Fast"))</f>
        <v>Fast</v>
      </c>
    </row>
    <row r="512" spans="1:31" x14ac:dyDescent="0.25">
      <c r="A512" t="s">
        <v>650</v>
      </c>
      <c r="B512" t="s">
        <v>40</v>
      </c>
      <c r="C512">
        <v>485</v>
      </c>
      <c r="D512">
        <v>97</v>
      </c>
      <c r="E512">
        <v>9</v>
      </c>
      <c r="F512">
        <v>7</v>
      </c>
      <c r="G512">
        <v>22.23</v>
      </c>
      <c r="H512">
        <v>3.87</v>
      </c>
      <c r="I512">
        <v>0.9</v>
      </c>
      <c r="J512" t="s">
        <v>401</v>
      </c>
      <c r="K512" t="s">
        <v>34</v>
      </c>
      <c r="L512">
        <v>124</v>
      </c>
      <c r="M512">
        <v>4.91</v>
      </c>
      <c r="N512">
        <v>160.41999999999999</v>
      </c>
      <c r="O512">
        <v>0.74</v>
      </c>
      <c r="P512">
        <v>6</v>
      </c>
      <c r="Q512">
        <v>0.75</v>
      </c>
      <c r="R512">
        <v>541</v>
      </c>
      <c r="S512">
        <v>8.67</v>
      </c>
      <c r="T512">
        <v>0.27</v>
      </c>
      <c r="U512" s="1">
        <v>45387</v>
      </c>
      <c r="V512">
        <v>159.18</v>
      </c>
      <c r="W512">
        <v>0.52600000000000002</v>
      </c>
      <c r="X512" t="str">
        <f>IF(WarehouseData[[#This Row],[stock_level]]&lt;=WarehouseData[[#This Row],[reorder_point]],"Low Stock","Sufficient Stock")</f>
        <v>Sufficient Stock</v>
      </c>
      <c r="Y512">
        <f>WarehouseData[[#This Row],[daily_demand]]*WarehouseData[[#This Row],[lead_time_days]]</f>
        <v>155.61000000000001</v>
      </c>
      <c r="Z512" t="str">
        <f>IF(WarehouseData[[#This Row],[stock_level]]&lt;=WarehouseData[[#This Row],[Demand During Lead Time]],"At Risk","Safe")</f>
        <v>Safe</v>
      </c>
      <c r="AA512">
        <f>WarehouseData[[#This Row],[stock_level]]/WarehouseData[[#This Row],[daily_demand]]</f>
        <v>21.817363922627081</v>
      </c>
      <c r="AB512">
        <f>WarehouseData[[#This Row],[stock_level]]*WarehouseData[[#This Row],[unit_price]]</f>
        <v>77803.7</v>
      </c>
      <c r="AC512">
        <f>WarehouseData[[#This Row],[stock_level]]*WarehouseData[[#This Row],[holding_cost_per_unit_day]]*30</f>
        <v>10767</v>
      </c>
      <c r="AD512" t="str">
        <f>IF(WarehouseData[[#This Row],[order_fulfillment_rate]]&gt;=0.9,"Strong",IF(WarehouseData[[#This Row],[order_fulfillment_rate]]&gt;=0.8,"Moderate","Needs Attention"))</f>
        <v>Needs Attention</v>
      </c>
      <c r="AE512" t="str">
        <f>IF(WarehouseData[[#This Row],[picking_time_seconds]]&gt;120,"Slow",IF(WarehouseData[[#This Row],[picking_time_seconds]]&gt;=60,"Average","Fast"))</f>
        <v>Slow</v>
      </c>
    </row>
    <row r="513" spans="1:31" x14ac:dyDescent="0.25">
      <c r="A513" t="s">
        <v>651</v>
      </c>
      <c r="B513" t="s">
        <v>32</v>
      </c>
      <c r="C513">
        <v>173</v>
      </c>
      <c r="D513">
        <v>77</v>
      </c>
      <c r="E513">
        <v>6</v>
      </c>
      <c r="F513">
        <v>9</v>
      </c>
      <c r="G513">
        <v>19.47</v>
      </c>
      <c r="H513">
        <v>0.76</v>
      </c>
      <c r="I513">
        <v>0.9</v>
      </c>
      <c r="J513" t="s">
        <v>418</v>
      </c>
      <c r="K513" t="s">
        <v>38</v>
      </c>
      <c r="L513">
        <v>115</v>
      </c>
      <c r="M513">
        <v>3.43</v>
      </c>
      <c r="N513">
        <v>165.04</v>
      </c>
      <c r="O513">
        <v>1.73</v>
      </c>
      <c r="P513">
        <v>9</v>
      </c>
      <c r="Q513">
        <v>0.72</v>
      </c>
      <c r="R513">
        <v>535</v>
      </c>
      <c r="S513">
        <v>14.22</v>
      </c>
      <c r="T513">
        <v>0.88</v>
      </c>
      <c r="U513" s="1">
        <v>45479</v>
      </c>
      <c r="V513">
        <v>114.52</v>
      </c>
      <c r="W513">
        <v>0.55700000000000005</v>
      </c>
      <c r="X513" t="str">
        <f>IF(WarehouseData[[#This Row],[stock_level]]&lt;=WarehouseData[[#This Row],[reorder_point]],"Low Stock","Sufficient Stock")</f>
        <v>Sufficient Stock</v>
      </c>
      <c r="Y513">
        <f>WarehouseData[[#This Row],[daily_demand]]*WarehouseData[[#This Row],[lead_time_days]]</f>
        <v>175.23</v>
      </c>
      <c r="Z513" t="str">
        <f>IF(WarehouseData[[#This Row],[stock_level]]&lt;=WarehouseData[[#This Row],[Demand During Lead Time]],"At Risk","Safe")</f>
        <v>At Risk</v>
      </c>
      <c r="AA513">
        <f>WarehouseData[[#This Row],[stock_level]]/WarehouseData[[#This Row],[daily_demand]]</f>
        <v>8.8854648176682076</v>
      </c>
      <c r="AB513">
        <f>WarehouseData[[#This Row],[stock_level]]*WarehouseData[[#This Row],[unit_price]]</f>
        <v>28551.919999999998</v>
      </c>
      <c r="AC513">
        <f>WarehouseData[[#This Row],[stock_level]]*WarehouseData[[#This Row],[holding_cost_per_unit_day]]*30</f>
        <v>8978.7000000000007</v>
      </c>
      <c r="AD513" t="str">
        <f>IF(WarehouseData[[#This Row],[order_fulfillment_rate]]&gt;=0.9,"Strong",IF(WarehouseData[[#This Row],[order_fulfillment_rate]]&gt;=0.8,"Moderate","Needs Attention"))</f>
        <v>Needs Attention</v>
      </c>
      <c r="AE513" t="str">
        <f>IF(WarehouseData[[#This Row],[picking_time_seconds]]&gt;120,"Slow",IF(WarehouseData[[#This Row],[picking_time_seconds]]&gt;=60,"Average","Fast"))</f>
        <v>Average</v>
      </c>
    </row>
    <row r="514" spans="1:31" x14ac:dyDescent="0.25">
      <c r="A514" t="s">
        <v>652</v>
      </c>
      <c r="B514" t="s">
        <v>73</v>
      </c>
      <c r="C514">
        <v>409</v>
      </c>
      <c r="D514">
        <v>24</v>
      </c>
      <c r="E514">
        <v>8</v>
      </c>
      <c r="F514">
        <v>3</v>
      </c>
      <c r="G514">
        <v>35.659999999999997</v>
      </c>
      <c r="H514">
        <v>5.76</v>
      </c>
      <c r="I514">
        <v>0.28999999999999998</v>
      </c>
      <c r="J514" t="s">
        <v>183</v>
      </c>
      <c r="K514" t="s">
        <v>52</v>
      </c>
      <c r="L514">
        <v>161</v>
      </c>
      <c r="M514">
        <v>3.72</v>
      </c>
      <c r="N514">
        <v>68.81</v>
      </c>
      <c r="O514">
        <v>0.39</v>
      </c>
      <c r="P514">
        <v>5</v>
      </c>
      <c r="Q514">
        <v>0.81</v>
      </c>
      <c r="R514">
        <v>708</v>
      </c>
      <c r="S514">
        <v>10.119999999999999</v>
      </c>
      <c r="T514">
        <v>0.95</v>
      </c>
      <c r="U514" s="1">
        <v>45458</v>
      </c>
      <c r="V514">
        <v>111.37</v>
      </c>
      <c r="W514">
        <v>0.748</v>
      </c>
      <c r="X514" t="str">
        <f>IF(WarehouseData[[#This Row],[stock_level]]&lt;=WarehouseData[[#This Row],[reorder_point]],"Low Stock","Sufficient Stock")</f>
        <v>Sufficient Stock</v>
      </c>
      <c r="Y514">
        <f>WarehouseData[[#This Row],[daily_demand]]*WarehouseData[[#This Row],[lead_time_days]]</f>
        <v>106.97999999999999</v>
      </c>
      <c r="Z514" t="str">
        <f>IF(WarehouseData[[#This Row],[stock_level]]&lt;=WarehouseData[[#This Row],[Demand During Lead Time]],"At Risk","Safe")</f>
        <v>Safe</v>
      </c>
      <c r="AA514">
        <f>WarehouseData[[#This Row],[stock_level]]/WarehouseData[[#This Row],[daily_demand]]</f>
        <v>11.469433538979249</v>
      </c>
      <c r="AB514">
        <f>WarehouseData[[#This Row],[stock_level]]*WarehouseData[[#This Row],[unit_price]]</f>
        <v>28143.29</v>
      </c>
      <c r="AC514">
        <f>WarehouseData[[#This Row],[stock_level]]*WarehouseData[[#This Row],[holding_cost_per_unit_day]]*30</f>
        <v>4785.3</v>
      </c>
      <c r="AD514" t="str">
        <f>IF(WarehouseData[[#This Row],[order_fulfillment_rate]]&gt;=0.9,"Strong",IF(WarehouseData[[#This Row],[order_fulfillment_rate]]&gt;=0.8,"Moderate","Needs Attention"))</f>
        <v>Moderate</v>
      </c>
      <c r="AE514" t="str">
        <f>IF(WarehouseData[[#This Row],[picking_time_seconds]]&gt;120,"Slow",IF(WarehouseData[[#This Row],[picking_time_seconds]]&gt;=60,"Average","Fast"))</f>
        <v>Slow</v>
      </c>
    </row>
    <row r="515" spans="1:31" x14ac:dyDescent="0.25">
      <c r="A515" t="s">
        <v>653</v>
      </c>
      <c r="B515" t="s">
        <v>32</v>
      </c>
      <c r="C515">
        <v>279</v>
      </c>
      <c r="D515">
        <v>98</v>
      </c>
      <c r="E515">
        <v>6</v>
      </c>
      <c r="F515">
        <v>7</v>
      </c>
      <c r="G515">
        <v>33.909999999999997</v>
      </c>
      <c r="H515">
        <v>2.5099999999999998</v>
      </c>
      <c r="I515">
        <v>0.25</v>
      </c>
      <c r="J515" t="s">
        <v>43</v>
      </c>
      <c r="K515" t="s">
        <v>34</v>
      </c>
      <c r="L515">
        <v>46</v>
      </c>
      <c r="M515">
        <v>1.38</v>
      </c>
      <c r="N515">
        <v>90.46</v>
      </c>
      <c r="O515">
        <v>0.44</v>
      </c>
      <c r="P515">
        <v>8</v>
      </c>
      <c r="Q515">
        <v>0.85</v>
      </c>
      <c r="R515">
        <v>909</v>
      </c>
      <c r="S515">
        <v>13.34</v>
      </c>
      <c r="T515">
        <v>0.82</v>
      </c>
      <c r="U515" s="1">
        <v>45392</v>
      </c>
      <c r="V515">
        <v>70.8</v>
      </c>
      <c r="W515">
        <v>0.70799999999999996</v>
      </c>
      <c r="X515" t="str">
        <f>IF(WarehouseData[[#This Row],[stock_level]]&lt;=WarehouseData[[#This Row],[reorder_point]],"Low Stock","Sufficient Stock")</f>
        <v>Sufficient Stock</v>
      </c>
      <c r="Y515">
        <f>WarehouseData[[#This Row],[daily_demand]]*WarehouseData[[#This Row],[lead_time_days]]</f>
        <v>237.36999999999998</v>
      </c>
      <c r="Z515" t="str">
        <f>IF(WarehouseData[[#This Row],[stock_level]]&lt;=WarehouseData[[#This Row],[Demand During Lead Time]],"At Risk","Safe")</f>
        <v>Safe</v>
      </c>
      <c r="AA515">
        <f>WarehouseData[[#This Row],[stock_level]]/WarehouseData[[#This Row],[daily_demand]]</f>
        <v>8.2276614567974065</v>
      </c>
      <c r="AB515">
        <f>WarehouseData[[#This Row],[stock_level]]*WarehouseData[[#This Row],[unit_price]]</f>
        <v>25238.339999999997</v>
      </c>
      <c r="AC515">
        <f>WarehouseData[[#This Row],[stock_level]]*WarehouseData[[#This Row],[holding_cost_per_unit_day]]*30</f>
        <v>3682.8</v>
      </c>
      <c r="AD515" t="str">
        <f>IF(WarehouseData[[#This Row],[order_fulfillment_rate]]&gt;=0.9,"Strong",IF(WarehouseData[[#This Row],[order_fulfillment_rate]]&gt;=0.8,"Moderate","Needs Attention"))</f>
        <v>Moderate</v>
      </c>
      <c r="AE515" t="str">
        <f>IF(WarehouseData[[#This Row],[picking_time_seconds]]&gt;120,"Slow",IF(WarehouseData[[#This Row],[picking_time_seconds]]&gt;=60,"Average","Fast"))</f>
        <v>Fast</v>
      </c>
    </row>
    <row r="516" spans="1:31" x14ac:dyDescent="0.25">
      <c r="A516" t="s">
        <v>654</v>
      </c>
      <c r="B516" t="s">
        <v>32</v>
      </c>
      <c r="C516">
        <v>127</v>
      </c>
      <c r="D516">
        <v>64</v>
      </c>
      <c r="E516">
        <v>12</v>
      </c>
      <c r="F516">
        <v>5</v>
      </c>
      <c r="G516">
        <v>10.61</v>
      </c>
      <c r="H516">
        <v>3.23</v>
      </c>
      <c r="I516">
        <v>0.59</v>
      </c>
      <c r="J516" t="s">
        <v>49</v>
      </c>
      <c r="K516" t="s">
        <v>38</v>
      </c>
      <c r="L516">
        <v>12</v>
      </c>
      <c r="M516">
        <v>3.96</v>
      </c>
      <c r="N516">
        <v>144.29</v>
      </c>
      <c r="O516">
        <v>0.53</v>
      </c>
      <c r="P516">
        <v>6</v>
      </c>
      <c r="Q516">
        <v>0.93</v>
      </c>
      <c r="R516">
        <v>974</v>
      </c>
      <c r="S516">
        <v>1.32</v>
      </c>
      <c r="T516">
        <v>0.77</v>
      </c>
      <c r="U516" s="1">
        <v>45526</v>
      </c>
      <c r="V516">
        <v>266.83</v>
      </c>
      <c r="W516">
        <v>0.58499999999999996</v>
      </c>
      <c r="X516" t="str">
        <f>IF(WarehouseData[[#This Row],[stock_level]]&lt;=WarehouseData[[#This Row],[reorder_point]],"Low Stock","Sufficient Stock")</f>
        <v>Sufficient Stock</v>
      </c>
      <c r="Y516">
        <f>WarehouseData[[#This Row],[daily_demand]]*WarehouseData[[#This Row],[lead_time_days]]</f>
        <v>53.05</v>
      </c>
      <c r="Z516" t="str">
        <f>IF(WarehouseData[[#This Row],[stock_level]]&lt;=WarehouseData[[#This Row],[Demand During Lead Time]],"At Risk","Safe")</f>
        <v>Safe</v>
      </c>
      <c r="AA516">
        <f>WarehouseData[[#This Row],[stock_level]]/WarehouseData[[#This Row],[daily_demand]]</f>
        <v>11.969839773798304</v>
      </c>
      <c r="AB516">
        <f>WarehouseData[[#This Row],[stock_level]]*WarehouseData[[#This Row],[unit_price]]</f>
        <v>18324.829999999998</v>
      </c>
      <c r="AC516">
        <f>WarehouseData[[#This Row],[stock_level]]*WarehouseData[[#This Row],[holding_cost_per_unit_day]]*30</f>
        <v>2019.3000000000002</v>
      </c>
      <c r="AD516" t="str">
        <f>IF(WarehouseData[[#This Row],[order_fulfillment_rate]]&gt;=0.9,"Strong",IF(WarehouseData[[#This Row],[order_fulfillment_rate]]&gt;=0.8,"Moderate","Needs Attention"))</f>
        <v>Strong</v>
      </c>
      <c r="AE516" t="str">
        <f>IF(WarehouseData[[#This Row],[picking_time_seconds]]&gt;120,"Slow",IF(WarehouseData[[#This Row],[picking_time_seconds]]&gt;=60,"Average","Fast"))</f>
        <v>Fast</v>
      </c>
    </row>
    <row r="517" spans="1:31" x14ac:dyDescent="0.25">
      <c r="A517" t="s">
        <v>655</v>
      </c>
      <c r="B517" t="s">
        <v>40</v>
      </c>
      <c r="C517">
        <v>390</v>
      </c>
      <c r="D517">
        <v>44</v>
      </c>
      <c r="E517">
        <v>9</v>
      </c>
      <c r="F517">
        <v>9</v>
      </c>
      <c r="G517">
        <v>33.9</v>
      </c>
      <c r="H517">
        <v>9.15</v>
      </c>
      <c r="I517">
        <v>0.67</v>
      </c>
      <c r="J517" t="s">
        <v>185</v>
      </c>
      <c r="K517" t="s">
        <v>38</v>
      </c>
      <c r="L517">
        <v>164</v>
      </c>
      <c r="M517">
        <v>0.86</v>
      </c>
      <c r="N517">
        <v>80.5</v>
      </c>
      <c r="O517">
        <v>1.24</v>
      </c>
      <c r="P517">
        <v>2</v>
      </c>
      <c r="Q517">
        <v>0.85</v>
      </c>
      <c r="R517">
        <v>534</v>
      </c>
      <c r="S517">
        <v>6.17</v>
      </c>
      <c r="T517">
        <v>0.95</v>
      </c>
      <c r="U517" s="1">
        <v>45350</v>
      </c>
      <c r="V517">
        <v>130.1</v>
      </c>
      <c r="W517">
        <v>0.67800000000000005</v>
      </c>
      <c r="X517" t="str">
        <f>IF(WarehouseData[[#This Row],[stock_level]]&lt;=WarehouseData[[#This Row],[reorder_point]],"Low Stock","Sufficient Stock")</f>
        <v>Sufficient Stock</v>
      </c>
      <c r="Y517">
        <f>WarehouseData[[#This Row],[daily_demand]]*WarehouseData[[#This Row],[lead_time_days]]</f>
        <v>305.09999999999997</v>
      </c>
      <c r="Z517" t="str">
        <f>IF(WarehouseData[[#This Row],[stock_level]]&lt;=WarehouseData[[#This Row],[Demand During Lead Time]],"At Risk","Safe")</f>
        <v>Safe</v>
      </c>
      <c r="AA517">
        <f>WarehouseData[[#This Row],[stock_level]]/WarehouseData[[#This Row],[daily_demand]]</f>
        <v>11.504424778761063</v>
      </c>
      <c r="AB517">
        <f>WarehouseData[[#This Row],[stock_level]]*WarehouseData[[#This Row],[unit_price]]</f>
        <v>31395</v>
      </c>
      <c r="AC517">
        <f>WarehouseData[[#This Row],[stock_level]]*WarehouseData[[#This Row],[holding_cost_per_unit_day]]*30</f>
        <v>14508</v>
      </c>
      <c r="AD517" t="str">
        <f>IF(WarehouseData[[#This Row],[order_fulfillment_rate]]&gt;=0.9,"Strong",IF(WarehouseData[[#This Row],[order_fulfillment_rate]]&gt;=0.8,"Moderate","Needs Attention"))</f>
        <v>Moderate</v>
      </c>
      <c r="AE517" t="str">
        <f>IF(WarehouseData[[#This Row],[picking_time_seconds]]&gt;120,"Slow",IF(WarehouseData[[#This Row],[picking_time_seconds]]&gt;=60,"Average","Fast"))</f>
        <v>Slow</v>
      </c>
    </row>
    <row r="518" spans="1:31" x14ac:dyDescent="0.25">
      <c r="A518" t="s">
        <v>656</v>
      </c>
      <c r="B518" t="s">
        <v>48</v>
      </c>
      <c r="C518">
        <v>304</v>
      </c>
      <c r="D518">
        <v>64</v>
      </c>
      <c r="E518">
        <v>3</v>
      </c>
      <c r="F518">
        <v>9</v>
      </c>
      <c r="G518">
        <v>13.37</v>
      </c>
      <c r="H518">
        <v>5.28</v>
      </c>
      <c r="I518">
        <v>0.96</v>
      </c>
      <c r="J518" t="s">
        <v>106</v>
      </c>
      <c r="K518" t="s">
        <v>46</v>
      </c>
      <c r="L518">
        <v>62</v>
      </c>
      <c r="M518">
        <v>3.45</v>
      </c>
      <c r="N518">
        <v>103.86</v>
      </c>
      <c r="O518">
        <v>0.7</v>
      </c>
      <c r="P518">
        <v>6</v>
      </c>
      <c r="Q518">
        <v>0.93</v>
      </c>
      <c r="R518">
        <v>871</v>
      </c>
      <c r="S518">
        <v>14.09</v>
      </c>
      <c r="T518">
        <v>0.37</v>
      </c>
      <c r="U518" s="1">
        <v>45426</v>
      </c>
      <c r="V518">
        <v>228.19</v>
      </c>
      <c r="W518">
        <v>0.65800000000000003</v>
      </c>
      <c r="X518" t="str">
        <f>IF(WarehouseData[[#This Row],[stock_level]]&lt;=WarehouseData[[#This Row],[reorder_point]],"Low Stock","Sufficient Stock")</f>
        <v>Sufficient Stock</v>
      </c>
      <c r="Y518">
        <f>WarehouseData[[#This Row],[daily_demand]]*WarehouseData[[#This Row],[lead_time_days]]</f>
        <v>120.33</v>
      </c>
      <c r="Z518" t="str">
        <f>IF(WarehouseData[[#This Row],[stock_level]]&lt;=WarehouseData[[#This Row],[Demand During Lead Time]],"At Risk","Safe")</f>
        <v>Safe</v>
      </c>
      <c r="AA518">
        <f>WarehouseData[[#This Row],[stock_level]]/WarehouseData[[#This Row],[daily_demand]]</f>
        <v>22.737471952131639</v>
      </c>
      <c r="AB518">
        <f>WarehouseData[[#This Row],[stock_level]]*WarehouseData[[#This Row],[unit_price]]</f>
        <v>31573.439999999999</v>
      </c>
      <c r="AC518">
        <f>WarehouseData[[#This Row],[stock_level]]*WarehouseData[[#This Row],[holding_cost_per_unit_day]]*30</f>
        <v>6383.9999999999991</v>
      </c>
      <c r="AD518" t="str">
        <f>IF(WarehouseData[[#This Row],[order_fulfillment_rate]]&gt;=0.9,"Strong",IF(WarehouseData[[#This Row],[order_fulfillment_rate]]&gt;=0.8,"Moderate","Needs Attention"))</f>
        <v>Strong</v>
      </c>
      <c r="AE518" t="str">
        <f>IF(WarehouseData[[#This Row],[picking_time_seconds]]&gt;120,"Slow",IF(WarehouseData[[#This Row],[picking_time_seconds]]&gt;=60,"Average","Fast"))</f>
        <v>Average</v>
      </c>
    </row>
    <row r="519" spans="1:31" x14ac:dyDescent="0.25">
      <c r="A519" t="s">
        <v>657</v>
      </c>
      <c r="B519" t="s">
        <v>36</v>
      </c>
      <c r="C519">
        <v>78</v>
      </c>
      <c r="D519">
        <v>23</v>
      </c>
      <c r="E519">
        <v>5</v>
      </c>
      <c r="F519">
        <v>6</v>
      </c>
      <c r="G519">
        <v>1.91</v>
      </c>
      <c r="H519">
        <v>3.06</v>
      </c>
      <c r="I519">
        <v>0.44</v>
      </c>
      <c r="J519" t="s">
        <v>92</v>
      </c>
      <c r="K519" t="s">
        <v>46</v>
      </c>
      <c r="L519">
        <v>109</v>
      </c>
      <c r="M519">
        <v>0.75</v>
      </c>
      <c r="N519">
        <v>132.84</v>
      </c>
      <c r="O519">
        <v>1.98</v>
      </c>
      <c r="P519">
        <v>9</v>
      </c>
      <c r="Q519">
        <v>0.73</v>
      </c>
      <c r="R519">
        <v>486</v>
      </c>
      <c r="S519">
        <v>1.55</v>
      </c>
      <c r="T519">
        <v>0.38</v>
      </c>
      <c r="U519" s="1">
        <v>45635</v>
      </c>
      <c r="V519">
        <v>176.39</v>
      </c>
      <c r="W519">
        <v>0.26500000000000001</v>
      </c>
      <c r="X519" t="str">
        <f>IF(WarehouseData[[#This Row],[stock_level]]&lt;=WarehouseData[[#This Row],[reorder_point]],"Low Stock","Sufficient Stock")</f>
        <v>Sufficient Stock</v>
      </c>
      <c r="Y519">
        <f>WarehouseData[[#This Row],[daily_demand]]*WarehouseData[[#This Row],[lead_time_days]]</f>
        <v>11.459999999999999</v>
      </c>
      <c r="Z519" t="str">
        <f>IF(WarehouseData[[#This Row],[stock_level]]&lt;=WarehouseData[[#This Row],[Demand During Lead Time]],"At Risk","Safe")</f>
        <v>Safe</v>
      </c>
      <c r="AA519">
        <f>WarehouseData[[#This Row],[stock_level]]/WarehouseData[[#This Row],[daily_demand]]</f>
        <v>40.837696335078533</v>
      </c>
      <c r="AB519">
        <f>WarehouseData[[#This Row],[stock_level]]*WarehouseData[[#This Row],[unit_price]]</f>
        <v>10361.52</v>
      </c>
      <c r="AC519">
        <f>WarehouseData[[#This Row],[stock_level]]*WarehouseData[[#This Row],[holding_cost_per_unit_day]]*30</f>
        <v>4633.2</v>
      </c>
      <c r="AD519" t="str">
        <f>IF(WarehouseData[[#This Row],[order_fulfillment_rate]]&gt;=0.9,"Strong",IF(WarehouseData[[#This Row],[order_fulfillment_rate]]&gt;=0.8,"Moderate","Needs Attention"))</f>
        <v>Needs Attention</v>
      </c>
      <c r="AE519" t="str">
        <f>IF(WarehouseData[[#This Row],[picking_time_seconds]]&gt;120,"Slow",IF(WarehouseData[[#This Row],[picking_time_seconds]]&gt;=60,"Average","Fast"))</f>
        <v>Average</v>
      </c>
    </row>
    <row r="520" spans="1:31" x14ac:dyDescent="0.25">
      <c r="A520" t="s">
        <v>658</v>
      </c>
      <c r="B520" t="s">
        <v>36</v>
      </c>
      <c r="C520">
        <v>144</v>
      </c>
      <c r="D520">
        <v>58</v>
      </c>
      <c r="E520">
        <v>5</v>
      </c>
      <c r="F520">
        <v>9</v>
      </c>
      <c r="G520">
        <v>35.26</v>
      </c>
      <c r="H520">
        <v>6.19</v>
      </c>
      <c r="I520">
        <v>0.66</v>
      </c>
      <c r="J520" t="s">
        <v>57</v>
      </c>
      <c r="K520" t="s">
        <v>52</v>
      </c>
      <c r="L520">
        <v>26</v>
      </c>
      <c r="M520">
        <v>1.02</v>
      </c>
      <c r="N520">
        <v>93.17</v>
      </c>
      <c r="O520">
        <v>0.47</v>
      </c>
      <c r="P520">
        <v>4</v>
      </c>
      <c r="Q520">
        <v>0.72</v>
      </c>
      <c r="R520">
        <v>244</v>
      </c>
      <c r="S520">
        <v>8.27</v>
      </c>
      <c r="T520">
        <v>0.57999999999999996</v>
      </c>
      <c r="U520" s="1">
        <v>45542</v>
      </c>
      <c r="V520">
        <v>228.69</v>
      </c>
      <c r="W520">
        <v>0.64300000000000002</v>
      </c>
      <c r="X520" t="str">
        <f>IF(WarehouseData[[#This Row],[stock_level]]&lt;=WarehouseData[[#This Row],[reorder_point]],"Low Stock","Sufficient Stock")</f>
        <v>Sufficient Stock</v>
      </c>
      <c r="Y520">
        <f>WarehouseData[[#This Row],[daily_demand]]*WarehouseData[[#This Row],[lead_time_days]]</f>
        <v>317.33999999999997</v>
      </c>
      <c r="Z520" t="str">
        <f>IF(WarehouseData[[#This Row],[stock_level]]&lt;=WarehouseData[[#This Row],[Demand During Lead Time]],"At Risk","Safe")</f>
        <v>At Risk</v>
      </c>
      <c r="AA520">
        <f>WarehouseData[[#This Row],[stock_level]]/WarehouseData[[#This Row],[daily_demand]]</f>
        <v>4.0839478162223486</v>
      </c>
      <c r="AB520">
        <f>WarehouseData[[#This Row],[stock_level]]*WarehouseData[[#This Row],[unit_price]]</f>
        <v>13416.48</v>
      </c>
      <c r="AC520">
        <f>WarehouseData[[#This Row],[stock_level]]*WarehouseData[[#This Row],[holding_cost_per_unit_day]]*30</f>
        <v>2030.3999999999999</v>
      </c>
      <c r="AD520" t="str">
        <f>IF(WarehouseData[[#This Row],[order_fulfillment_rate]]&gt;=0.9,"Strong",IF(WarehouseData[[#This Row],[order_fulfillment_rate]]&gt;=0.8,"Moderate","Needs Attention"))</f>
        <v>Needs Attention</v>
      </c>
      <c r="AE520" t="str">
        <f>IF(WarehouseData[[#This Row],[picking_time_seconds]]&gt;120,"Slow",IF(WarehouseData[[#This Row],[picking_time_seconds]]&gt;=60,"Average","Fast"))</f>
        <v>Fast</v>
      </c>
    </row>
    <row r="521" spans="1:31" x14ac:dyDescent="0.25">
      <c r="A521" t="s">
        <v>659</v>
      </c>
      <c r="B521" t="s">
        <v>40</v>
      </c>
      <c r="C521">
        <v>373</v>
      </c>
      <c r="D521">
        <v>92</v>
      </c>
      <c r="E521">
        <v>3</v>
      </c>
      <c r="F521">
        <v>9</v>
      </c>
      <c r="G521">
        <v>32.590000000000003</v>
      </c>
      <c r="H521">
        <v>2.42</v>
      </c>
      <c r="I521">
        <v>0.89</v>
      </c>
      <c r="J521" t="s">
        <v>120</v>
      </c>
      <c r="K521" t="s">
        <v>38</v>
      </c>
      <c r="L521">
        <v>122</v>
      </c>
      <c r="M521">
        <v>0.99</v>
      </c>
      <c r="N521">
        <v>160.68</v>
      </c>
      <c r="O521">
        <v>1.63</v>
      </c>
      <c r="P521">
        <v>1</v>
      </c>
      <c r="Q521">
        <v>0.75</v>
      </c>
      <c r="R521">
        <v>515</v>
      </c>
      <c r="S521">
        <v>5.85</v>
      </c>
      <c r="T521">
        <v>0.21</v>
      </c>
      <c r="U521" s="1">
        <v>45562</v>
      </c>
      <c r="V521">
        <v>103.06</v>
      </c>
      <c r="W521">
        <v>0.48699999999999999</v>
      </c>
      <c r="X521" t="str">
        <f>IF(WarehouseData[[#This Row],[stock_level]]&lt;=WarehouseData[[#This Row],[reorder_point]],"Low Stock","Sufficient Stock")</f>
        <v>Sufficient Stock</v>
      </c>
      <c r="Y521">
        <f>WarehouseData[[#This Row],[daily_demand]]*WarehouseData[[#This Row],[lead_time_days]]</f>
        <v>293.31000000000006</v>
      </c>
      <c r="Z521" t="str">
        <f>IF(WarehouseData[[#This Row],[stock_level]]&lt;=WarehouseData[[#This Row],[Demand During Lead Time]],"At Risk","Safe")</f>
        <v>Safe</v>
      </c>
      <c r="AA521">
        <f>WarehouseData[[#This Row],[stock_level]]/WarehouseData[[#This Row],[daily_demand]]</f>
        <v>11.445228597729363</v>
      </c>
      <c r="AB521">
        <f>WarehouseData[[#This Row],[stock_level]]*WarehouseData[[#This Row],[unit_price]]</f>
        <v>59933.64</v>
      </c>
      <c r="AC521">
        <f>WarehouseData[[#This Row],[stock_level]]*WarehouseData[[#This Row],[holding_cost_per_unit_day]]*30</f>
        <v>18239.7</v>
      </c>
      <c r="AD521" t="str">
        <f>IF(WarehouseData[[#This Row],[order_fulfillment_rate]]&gt;=0.9,"Strong",IF(WarehouseData[[#This Row],[order_fulfillment_rate]]&gt;=0.8,"Moderate","Needs Attention"))</f>
        <v>Needs Attention</v>
      </c>
      <c r="AE521" t="str">
        <f>IF(WarehouseData[[#This Row],[picking_time_seconds]]&gt;120,"Slow",IF(WarehouseData[[#This Row],[picking_time_seconds]]&gt;=60,"Average","Fast"))</f>
        <v>Slow</v>
      </c>
    </row>
    <row r="522" spans="1:31" x14ac:dyDescent="0.25">
      <c r="A522" t="s">
        <v>660</v>
      </c>
      <c r="B522" t="s">
        <v>32</v>
      </c>
      <c r="C522">
        <v>292</v>
      </c>
      <c r="D522">
        <v>16</v>
      </c>
      <c r="E522">
        <v>8</v>
      </c>
      <c r="F522">
        <v>2</v>
      </c>
      <c r="G522">
        <v>21.13</v>
      </c>
      <c r="H522">
        <v>1.21</v>
      </c>
      <c r="I522">
        <v>0.5</v>
      </c>
      <c r="J522" t="s">
        <v>70</v>
      </c>
      <c r="K522" t="s">
        <v>52</v>
      </c>
      <c r="L522">
        <v>119</v>
      </c>
      <c r="M522">
        <v>0.74</v>
      </c>
      <c r="N522">
        <v>32.090000000000003</v>
      </c>
      <c r="O522">
        <v>0.28000000000000003</v>
      </c>
      <c r="P522">
        <v>9</v>
      </c>
      <c r="Q522">
        <v>0.93</v>
      </c>
      <c r="R522">
        <v>125</v>
      </c>
      <c r="S522">
        <v>10.050000000000001</v>
      </c>
      <c r="T522">
        <v>0.97</v>
      </c>
      <c r="U522" s="1">
        <v>45619</v>
      </c>
      <c r="V522">
        <v>228.08</v>
      </c>
      <c r="W522">
        <v>0.70599999999999996</v>
      </c>
      <c r="X522" t="str">
        <f>IF(WarehouseData[[#This Row],[stock_level]]&lt;=WarehouseData[[#This Row],[reorder_point]],"Low Stock","Sufficient Stock")</f>
        <v>Sufficient Stock</v>
      </c>
      <c r="Y522">
        <f>WarehouseData[[#This Row],[daily_demand]]*WarehouseData[[#This Row],[lead_time_days]]</f>
        <v>42.26</v>
      </c>
      <c r="Z522" t="str">
        <f>IF(WarehouseData[[#This Row],[stock_level]]&lt;=WarehouseData[[#This Row],[Demand During Lead Time]],"At Risk","Safe")</f>
        <v>Safe</v>
      </c>
      <c r="AA522">
        <f>WarehouseData[[#This Row],[stock_level]]/WarehouseData[[#This Row],[daily_demand]]</f>
        <v>13.819214387127309</v>
      </c>
      <c r="AB522">
        <f>WarehouseData[[#This Row],[stock_level]]*WarehouseData[[#This Row],[unit_price]]</f>
        <v>9370.2800000000007</v>
      </c>
      <c r="AC522">
        <f>WarehouseData[[#This Row],[stock_level]]*WarehouseData[[#This Row],[holding_cost_per_unit_day]]*30</f>
        <v>2452.8000000000002</v>
      </c>
      <c r="AD522" t="str">
        <f>IF(WarehouseData[[#This Row],[order_fulfillment_rate]]&gt;=0.9,"Strong",IF(WarehouseData[[#This Row],[order_fulfillment_rate]]&gt;=0.8,"Moderate","Needs Attention"))</f>
        <v>Strong</v>
      </c>
      <c r="AE522" t="str">
        <f>IF(WarehouseData[[#This Row],[picking_time_seconds]]&gt;120,"Slow",IF(WarehouseData[[#This Row],[picking_time_seconds]]&gt;=60,"Average","Fast"))</f>
        <v>Average</v>
      </c>
    </row>
    <row r="523" spans="1:31" x14ac:dyDescent="0.25">
      <c r="A523" t="s">
        <v>661</v>
      </c>
      <c r="B523" t="s">
        <v>73</v>
      </c>
      <c r="C523">
        <v>126</v>
      </c>
      <c r="D523">
        <v>39</v>
      </c>
      <c r="E523">
        <v>13</v>
      </c>
      <c r="F523">
        <v>3</v>
      </c>
      <c r="G523">
        <v>26.76</v>
      </c>
      <c r="H523">
        <v>0.7</v>
      </c>
      <c r="I523">
        <v>0.21</v>
      </c>
      <c r="J523" t="s">
        <v>357</v>
      </c>
      <c r="K523" t="s">
        <v>34</v>
      </c>
      <c r="L523">
        <v>152</v>
      </c>
      <c r="M523">
        <v>1.95</v>
      </c>
      <c r="N523">
        <v>146.43</v>
      </c>
      <c r="O523">
        <v>0.77</v>
      </c>
      <c r="P523">
        <v>2</v>
      </c>
      <c r="Q523">
        <v>0.93</v>
      </c>
      <c r="R523">
        <v>209</v>
      </c>
      <c r="S523">
        <v>3.27</v>
      </c>
      <c r="T523">
        <v>0.23</v>
      </c>
      <c r="U523" s="1">
        <v>45452</v>
      </c>
      <c r="V523">
        <v>239.09</v>
      </c>
      <c r="W523">
        <v>0.55900000000000005</v>
      </c>
      <c r="X523" t="str">
        <f>IF(WarehouseData[[#This Row],[stock_level]]&lt;=WarehouseData[[#This Row],[reorder_point]],"Low Stock","Sufficient Stock")</f>
        <v>Sufficient Stock</v>
      </c>
      <c r="Y523">
        <f>WarehouseData[[#This Row],[daily_demand]]*WarehouseData[[#This Row],[lead_time_days]]</f>
        <v>80.28</v>
      </c>
      <c r="Z523" t="str">
        <f>IF(WarehouseData[[#This Row],[stock_level]]&lt;=WarehouseData[[#This Row],[Demand During Lead Time]],"At Risk","Safe")</f>
        <v>Safe</v>
      </c>
      <c r="AA523">
        <f>WarehouseData[[#This Row],[stock_level]]/WarehouseData[[#This Row],[daily_demand]]</f>
        <v>4.7085201793721971</v>
      </c>
      <c r="AB523">
        <f>WarehouseData[[#This Row],[stock_level]]*WarehouseData[[#This Row],[unit_price]]</f>
        <v>18450.18</v>
      </c>
      <c r="AC523">
        <f>WarehouseData[[#This Row],[stock_level]]*WarehouseData[[#This Row],[holding_cost_per_unit_day]]*30</f>
        <v>2910.6</v>
      </c>
      <c r="AD523" t="str">
        <f>IF(WarehouseData[[#This Row],[order_fulfillment_rate]]&gt;=0.9,"Strong",IF(WarehouseData[[#This Row],[order_fulfillment_rate]]&gt;=0.8,"Moderate","Needs Attention"))</f>
        <v>Strong</v>
      </c>
      <c r="AE523" t="str">
        <f>IF(WarehouseData[[#This Row],[picking_time_seconds]]&gt;120,"Slow",IF(WarehouseData[[#This Row],[picking_time_seconds]]&gt;=60,"Average","Fast"))</f>
        <v>Slow</v>
      </c>
    </row>
    <row r="524" spans="1:31" x14ac:dyDescent="0.25">
      <c r="A524" t="s">
        <v>662</v>
      </c>
      <c r="B524" t="s">
        <v>32</v>
      </c>
      <c r="C524">
        <v>318</v>
      </c>
      <c r="D524">
        <v>92</v>
      </c>
      <c r="E524">
        <v>11</v>
      </c>
      <c r="F524">
        <v>5</v>
      </c>
      <c r="G524">
        <v>47.41</v>
      </c>
      <c r="H524">
        <v>9.5399999999999991</v>
      </c>
      <c r="I524">
        <v>0.44</v>
      </c>
      <c r="J524" t="s">
        <v>51</v>
      </c>
      <c r="K524" t="s">
        <v>52</v>
      </c>
      <c r="L524">
        <v>176</v>
      </c>
      <c r="M524">
        <v>4.97</v>
      </c>
      <c r="N524">
        <v>37.590000000000003</v>
      </c>
      <c r="O524">
        <v>0.56000000000000005</v>
      </c>
      <c r="P524">
        <v>5</v>
      </c>
      <c r="Q524">
        <v>0.74</v>
      </c>
      <c r="R524">
        <v>539</v>
      </c>
      <c r="S524">
        <v>10.15</v>
      </c>
      <c r="T524">
        <v>0.68</v>
      </c>
      <c r="U524" s="1">
        <v>45597</v>
      </c>
      <c r="V524">
        <v>40.24</v>
      </c>
      <c r="W524">
        <v>0.66300000000000003</v>
      </c>
      <c r="X524" t="str">
        <f>IF(WarehouseData[[#This Row],[stock_level]]&lt;=WarehouseData[[#This Row],[reorder_point]],"Low Stock","Sufficient Stock")</f>
        <v>Sufficient Stock</v>
      </c>
      <c r="Y524">
        <f>WarehouseData[[#This Row],[daily_demand]]*WarehouseData[[#This Row],[lead_time_days]]</f>
        <v>237.04999999999998</v>
      </c>
      <c r="Z524" t="str">
        <f>IF(WarehouseData[[#This Row],[stock_level]]&lt;=WarehouseData[[#This Row],[Demand During Lead Time]],"At Risk","Safe")</f>
        <v>Safe</v>
      </c>
      <c r="AA524">
        <f>WarehouseData[[#This Row],[stock_level]]/WarehouseData[[#This Row],[daily_demand]]</f>
        <v>6.7074456865640162</v>
      </c>
      <c r="AB524">
        <f>WarehouseData[[#This Row],[stock_level]]*WarehouseData[[#This Row],[unit_price]]</f>
        <v>11953.62</v>
      </c>
      <c r="AC524">
        <f>WarehouseData[[#This Row],[stock_level]]*WarehouseData[[#This Row],[holding_cost_per_unit_day]]*30</f>
        <v>5342.4000000000005</v>
      </c>
      <c r="AD524" t="str">
        <f>IF(WarehouseData[[#This Row],[order_fulfillment_rate]]&gt;=0.9,"Strong",IF(WarehouseData[[#This Row],[order_fulfillment_rate]]&gt;=0.8,"Moderate","Needs Attention"))</f>
        <v>Needs Attention</v>
      </c>
      <c r="AE524" t="str">
        <f>IF(WarehouseData[[#This Row],[picking_time_seconds]]&gt;120,"Slow",IF(WarehouseData[[#This Row],[picking_time_seconds]]&gt;=60,"Average","Fast"))</f>
        <v>Slow</v>
      </c>
    </row>
    <row r="525" spans="1:31" x14ac:dyDescent="0.25">
      <c r="A525" t="s">
        <v>663</v>
      </c>
      <c r="B525" t="s">
        <v>40</v>
      </c>
      <c r="C525">
        <v>264</v>
      </c>
      <c r="D525">
        <v>58</v>
      </c>
      <c r="E525">
        <v>10</v>
      </c>
      <c r="F525">
        <v>8</v>
      </c>
      <c r="G525">
        <v>30.16</v>
      </c>
      <c r="H525">
        <v>7.38</v>
      </c>
      <c r="I525">
        <v>0.22</v>
      </c>
      <c r="J525" t="s">
        <v>86</v>
      </c>
      <c r="K525" t="s">
        <v>38</v>
      </c>
      <c r="L525">
        <v>13</v>
      </c>
      <c r="M525">
        <v>2.0699999999999998</v>
      </c>
      <c r="N525">
        <v>188.19</v>
      </c>
      <c r="O525">
        <v>1.96</v>
      </c>
      <c r="P525">
        <v>5</v>
      </c>
      <c r="Q525">
        <v>0.71</v>
      </c>
      <c r="R525">
        <v>149</v>
      </c>
      <c r="S525">
        <v>14.89</v>
      </c>
      <c r="T525">
        <v>0.48</v>
      </c>
      <c r="U525" s="1">
        <v>45490</v>
      </c>
      <c r="V525">
        <v>36.520000000000003</v>
      </c>
      <c r="W525">
        <v>0.54100000000000004</v>
      </c>
      <c r="X525" t="str">
        <f>IF(WarehouseData[[#This Row],[stock_level]]&lt;=WarehouseData[[#This Row],[reorder_point]],"Low Stock","Sufficient Stock")</f>
        <v>Sufficient Stock</v>
      </c>
      <c r="Y525">
        <f>WarehouseData[[#This Row],[daily_demand]]*WarehouseData[[#This Row],[lead_time_days]]</f>
        <v>241.28</v>
      </c>
      <c r="Z525" t="str">
        <f>IF(WarehouseData[[#This Row],[stock_level]]&lt;=WarehouseData[[#This Row],[Demand During Lead Time]],"At Risk","Safe")</f>
        <v>Safe</v>
      </c>
      <c r="AA525">
        <f>WarehouseData[[#This Row],[stock_level]]/WarehouseData[[#This Row],[daily_demand]]</f>
        <v>8.7533156498673748</v>
      </c>
      <c r="AB525">
        <f>WarehouseData[[#This Row],[stock_level]]*WarehouseData[[#This Row],[unit_price]]</f>
        <v>49682.159999999996</v>
      </c>
      <c r="AC525">
        <f>WarehouseData[[#This Row],[stock_level]]*WarehouseData[[#This Row],[holding_cost_per_unit_day]]*30</f>
        <v>15523.199999999999</v>
      </c>
      <c r="AD525" t="str">
        <f>IF(WarehouseData[[#This Row],[order_fulfillment_rate]]&gt;=0.9,"Strong",IF(WarehouseData[[#This Row],[order_fulfillment_rate]]&gt;=0.8,"Moderate","Needs Attention"))</f>
        <v>Needs Attention</v>
      </c>
      <c r="AE525" t="str">
        <f>IF(WarehouseData[[#This Row],[picking_time_seconds]]&gt;120,"Slow",IF(WarehouseData[[#This Row],[picking_time_seconds]]&gt;=60,"Average","Fast"))</f>
        <v>Fast</v>
      </c>
    </row>
    <row r="526" spans="1:31" x14ac:dyDescent="0.25">
      <c r="A526" t="s">
        <v>664</v>
      </c>
      <c r="B526" t="s">
        <v>36</v>
      </c>
      <c r="C526">
        <v>355</v>
      </c>
      <c r="D526">
        <v>98</v>
      </c>
      <c r="E526">
        <v>13</v>
      </c>
      <c r="F526">
        <v>5</v>
      </c>
      <c r="G526">
        <v>33.24</v>
      </c>
      <c r="H526">
        <v>8.1</v>
      </c>
      <c r="I526">
        <v>0.11</v>
      </c>
      <c r="J526" t="s">
        <v>135</v>
      </c>
      <c r="K526" t="s">
        <v>46</v>
      </c>
      <c r="L526">
        <v>154</v>
      </c>
      <c r="M526">
        <v>3.92</v>
      </c>
      <c r="N526">
        <v>69.67</v>
      </c>
      <c r="O526">
        <v>0.15</v>
      </c>
      <c r="P526">
        <v>6</v>
      </c>
      <c r="Q526">
        <v>0.91</v>
      </c>
      <c r="R526">
        <v>165</v>
      </c>
      <c r="S526">
        <v>4.8</v>
      </c>
      <c r="T526">
        <v>0.28000000000000003</v>
      </c>
      <c r="U526" s="1">
        <v>45604</v>
      </c>
      <c r="V526">
        <v>295.79000000000002</v>
      </c>
      <c r="W526">
        <v>0.56699999999999995</v>
      </c>
      <c r="X526" t="str">
        <f>IF(WarehouseData[[#This Row],[stock_level]]&lt;=WarehouseData[[#This Row],[reorder_point]],"Low Stock","Sufficient Stock")</f>
        <v>Sufficient Stock</v>
      </c>
      <c r="Y526">
        <f>WarehouseData[[#This Row],[daily_demand]]*WarehouseData[[#This Row],[lead_time_days]]</f>
        <v>166.20000000000002</v>
      </c>
      <c r="Z526" t="str">
        <f>IF(WarehouseData[[#This Row],[stock_level]]&lt;=WarehouseData[[#This Row],[Demand During Lead Time]],"At Risk","Safe")</f>
        <v>Safe</v>
      </c>
      <c r="AA526">
        <f>WarehouseData[[#This Row],[stock_level]]/WarehouseData[[#This Row],[daily_demand]]</f>
        <v>10.679903730445247</v>
      </c>
      <c r="AB526">
        <f>WarehouseData[[#This Row],[stock_level]]*WarehouseData[[#This Row],[unit_price]]</f>
        <v>24732.850000000002</v>
      </c>
      <c r="AC526">
        <f>WarehouseData[[#This Row],[stock_level]]*WarehouseData[[#This Row],[holding_cost_per_unit_day]]*30</f>
        <v>1597.5</v>
      </c>
      <c r="AD526" t="str">
        <f>IF(WarehouseData[[#This Row],[order_fulfillment_rate]]&gt;=0.9,"Strong",IF(WarehouseData[[#This Row],[order_fulfillment_rate]]&gt;=0.8,"Moderate","Needs Attention"))</f>
        <v>Strong</v>
      </c>
      <c r="AE526" t="str">
        <f>IF(WarehouseData[[#This Row],[picking_time_seconds]]&gt;120,"Slow",IF(WarehouseData[[#This Row],[picking_time_seconds]]&gt;=60,"Average","Fast"))</f>
        <v>Slow</v>
      </c>
    </row>
    <row r="527" spans="1:31" x14ac:dyDescent="0.25">
      <c r="A527" t="s">
        <v>665</v>
      </c>
      <c r="B527" t="s">
        <v>32</v>
      </c>
      <c r="C527">
        <v>469</v>
      </c>
      <c r="D527">
        <v>25</v>
      </c>
      <c r="E527">
        <v>9</v>
      </c>
      <c r="F527">
        <v>5</v>
      </c>
      <c r="G527">
        <v>4.13</v>
      </c>
      <c r="H527">
        <v>9.82</v>
      </c>
      <c r="I527">
        <v>0.78</v>
      </c>
      <c r="J527" t="s">
        <v>126</v>
      </c>
      <c r="K527" t="s">
        <v>52</v>
      </c>
      <c r="L527">
        <v>148</v>
      </c>
      <c r="M527">
        <v>1.1000000000000001</v>
      </c>
      <c r="N527">
        <v>161.13</v>
      </c>
      <c r="O527">
        <v>1.47</v>
      </c>
      <c r="P527">
        <v>5</v>
      </c>
      <c r="Q527">
        <v>0.96</v>
      </c>
      <c r="R527">
        <v>429</v>
      </c>
      <c r="S527">
        <v>7.46</v>
      </c>
      <c r="T527">
        <v>0.22</v>
      </c>
      <c r="U527" s="1">
        <v>45492</v>
      </c>
      <c r="V527">
        <v>44.21</v>
      </c>
      <c r="W527">
        <v>0.48799999999999999</v>
      </c>
      <c r="X527" t="str">
        <f>IF(WarehouseData[[#This Row],[stock_level]]&lt;=WarehouseData[[#This Row],[reorder_point]],"Low Stock","Sufficient Stock")</f>
        <v>Sufficient Stock</v>
      </c>
      <c r="Y527">
        <f>WarehouseData[[#This Row],[daily_demand]]*WarehouseData[[#This Row],[lead_time_days]]</f>
        <v>20.65</v>
      </c>
      <c r="Z527" t="str">
        <f>IF(WarehouseData[[#This Row],[stock_level]]&lt;=WarehouseData[[#This Row],[Demand During Lead Time]],"At Risk","Safe")</f>
        <v>Safe</v>
      </c>
      <c r="AA527">
        <f>WarehouseData[[#This Row],[stock_level]]/WarehouseData[[#This Row],[daily_demand]]</f>
        <v>113.55932203389831</v>
      </c>
      <c r="AB527">
        <f>WarehouseData[[#This Row],[stock_level]]*WarehouseData[[#This Row],[unit_price]]</f>
        <v>75569.97</v>
      </c>
      <c r="AC527">
        <f>WarehouseData[[#This Row],[stock_level]]*WarehouseData[[#This Row],[holding_cost_per_unit_day]]*30</f>
        <v>20682.899999999998</v>
      </c>
      <c r="AD527" t="str">
        <f>IF(WarehouseData[[#This Row],[order_fulfillment_rate]]&gt;=0.9,"Strong",IF(WarehouseData[[#This Row],[order_fulfillment_rate]]&gt;=0.8,"Moderate","Needs Attention"))</f>
        <v>Strong</v>
      </c>
      <c r="AE527" t="str">
        <f>IF(WarehouseData[[#This Row],[picking_time_seconds]]&gt;120,"Slow",IF(WarehouseData[[#This Row],[picking_time_seconds]]&gt;=60,"Average","Fast"))</f>
        <v>Slow</v>
      </c>
    </row>
    <row r="528" spans="1:31" x14ac:dyDescent="0.25">
      <c r="A528" t="s">
        <v>666</v>
      </c>
      <c r="B528" t="s">
        <v>36</v>
      </c>
      <c r="C528">
        <v>437</v>
      </c>
      <c r="D528">
        <v>60</v>
      </c>
      <c r="E528">
        <v>12</v>
      </c>
      <c r="F528">
        <v>2</v>
      </c>
      <c r="G528">
        <v>9.1300000000000008</v>
      </c>
      <c r="H528">
        <v>9.35</v>
      </c>
      <c r="I528">
        <v>0.31</v>
      </c>
      <c r="J528" t="s">
        <v>338</v>
      </c>
      <c r="K528" t="s">
        <v>46</v>
      </c>
      <c r="L528">
        <v>21</v>
      </c>
      <c r="M528">
        <v>2.5499999999999998</v>
      </c>
      <c r="N528">
        <v>109.07</v>
      </c>
      <c r="O528">
        <v>0.56999999999999995</v>
      </c>
      <c r="P528">
        <v>8</v>
      </c>
      <c r="Q528">
        <v>0.93</v>
      </c>
      <c r="R528">
        <v>644</v>
      </c>
      <c r="S528">
        <v>1.42</v>
      </c>
      <c r="T528">
        <v>0.41</v>
      </c>
      <c r="U528" s="1">
        <v>45592</v>
      </c>
      <c r="V528">
        <v>208.6</v>
      </c>
      <c r="W528">
        <v>0.47</v>
      </c>
      <c r="X528" t="str">
        <f>IF(WarehouseData[[#This Row],[stock_level]]&lt;=WarehouseData[[#This Row],[reorder_point]],"Low Stock","Sufficient Stock")</f>
        <v>Sufficient Stock</v>
      </c>
      <c r="Y528">
        <f>WarehouseData[[#This Row],[daily_demand]]*WarehouseData[[#This Row],[lead_time_days]]</f>
        <v>18.260000000000002</v>
      </c>
      <c r="Z528" t="str">
        <f>IF(WarehouseData[[#This Row],[stock_level]]&lt;=WarehouseData[[#This Row],[Demand During Lead Time]],"At Risk","Safe")</f>
        <v>Safe</v>
      </c>
      <c r="AA528">
        <f>WarehouseData[[#This Row],[stock_level]]/WarehouseData[[#This Row],[daily_demand]]</f>
        <v>47.864184008762315</v>
      </c>
      <c r="AB528">
        <f>WarehouseData[[#This Row],[stock_level]]*WarehouseData[[#This Row],[unit_price]]</f>
        <v>47663.59</v>
      </c>
      <c r="AC528">
        <f>WarehouseData[[#This Row],[stock_level]]*WarehouseData[[#This Row],[holding_cost_per_unit_day]]*30</f>
        <v>7472.6999999999989</v>
      </c>
      <c r="AD528" t="str">
        <f>IF(WarehouseData[[#This Row],[order_fulfillment_rate]]&gt;=0.9,"Strong",IF(WarehouseData[[#This Row],[order_fulfillment_rate]]&gt;=0.8,"Moderate","Needs Attention"))</f>
        <v>Strong</v>
      </c>
      <c r="AE528" t="str">
        <f>IF(WarehouseData[[#This Row],[picking_time_seconds]]&gt;120,"Slow",IF(WarehouseData[[#This Row],[picking_time_seconds]]&gt;=60,"Average","Fast"))</f>
        <v>Fast</v>
      </c>
    </row>
    <row r="529" spans="1:31" x14ac:dyDescent="0.25">
      <c r="A529" t="s">
        <v>667</v>
      </c>
      <c r="B529" t="s">
        <v>73</v>
      </c>
      <c r="C529">
        <v>266</v>
      </c>
      <c r="D529">
        <v>81</v>
      </c>
      <c r="E529">
        <v>10</v>
      </c>
      <c r="F529">
        <v>4</v>
      </c>
      <c r="G529">
        <v>15.75</v>
      </c>
      <c r="H529">
        <v>7.5</v>
      </c>
      <c r="I529">
        <v>0.1</v>
      </c>
      <c r="J529" t="s">
        <v>77</v>
      </c>
      <c r="K529" t="s">
        <v>52</v>
      </c>
      <c r="L529">
        <v>41</v>
      </c>
      <c r="M529">
        <v>1.33</v>
      </c>
      <c r="N529">
        <v>27.31</v>
      </c>
      <c r="O529">
        <v>1.64</v>
      </c>
      <c r="P529">
        <v>4</v>
      </c>
      <c r="Q529">
        <v>0.76</v>
      </c>
      <c r="R529">
        <v>873</v>
      </c>
      <c r="S529">
        <v>7.08</v>
      </c>
      <c r="T529">
        <v>0.28999999999999998</v>
      </c>
      <c r="U529" s="1">
        <v>45350</v>
      </c>
      <c r="V529">
        <v>226.87</v>
      </c>
      <c r="W529">
        <v>0.46</v>
      </c>
      <c r="X529" t="str">
        <f>IF(WarehouseData[[#This Row],[stock_level]]&lt;=WarehouseData[[#This Row],[reorder_point]],"Low Stock","Sufficient Stock")</f>
        <v>Sufficient Stock</v>
      </c>
      <c r="Y529">
        <f>WarehouseData[[#This Row],[daily_demand]]*WarehouseData[[#This Row],[lead_time_days]]</f>
        <v>63</v>
      </c>
      <c r="Z529" t="str">
        <f>IF(WarehouseData[[#This Row],[stock_level]]&lt;=WarehouseData[[#This Row],[Demand During Lead Time]],"At Risk","Safe")</f>
        <v>Safe</v>
      </c>
      <c r="AA529">
        <f>WarehouseData[[#This Row],[stock_level]]/WarehouseData[[#This Row],[daily_demand]]</f>
        <v>16.888888888888889</v>
      </c>
      <c r="AB529">
        <f>WarehouseData[[#This Row],[stock_level]]*WarehouseData[[#This Row],[unit_price]]</f>
        <v>7264.46</v>
      </c>
      <c r="AC529">
        <f>WarehouseData[[#This Row],[stock_level]]*WarehouseData[[#This Row],[holding_cost_per_unit_day]]*30</f>
        <v>13087.199999999999</v>
      </c>
      <c r="AD529" t="str">
        <f>IF(WarehouseData[[#This Row],[order_fulfillment_rate]]&gt;=0.9,"Strong",IF(WarehouseData[[#This Row],[order_fulfillment_rate]]&gt;=0.8,"Moderate","Needs Attention"))</f>
        <v>Needs Attention</v>
      </c>
      <c r="AE529" t="str">
        <f>IF(WarehouseData[[#This Row],[picking_time_seconds]]&gt;120,"Slow",IF(WarehouseData[[#This Row],[picking_time_seconds]]&gt;=60,"Average","Fast"))</f>
        <v>Fast</v>
      </c>
    </row>
    <row r="530" spans="1:31" x14ac:dyDescent="0.25">
      <c r="A530" t="s">
        <v>668</v>
      </c>
      <c r="B530" t="s">
        <v>36</v>
      </c>
      <c r="C530">
        <v>27</v>
      </c>
      <c r="D530">
        <v>91</v>
      </c>
      <c r="E530">
        <v>8</v>
      </c>
      <c r="F530">
        <v>7</v>
      </c>
      <c r="G530">
        <v>27.43</v>
      </c>
      <c r="H530">
        <v>7.09</v>
      </c>
      <c r="I530">
        <v>0.89</v>
      </c>
      <c r="J530" t="s">
        <v>51</v>
      </c>
      <c r="K530" t="s">
        <v>34</v>
      </c>
      <c r="L530">
        <v>164</v>
      </c>
      <c r="M530">
        <v>1.36</v>
      </c>
      <c r="N530">
        <v>120.69</v>
      </c>
      <c r="O530">
        <v>0.69</v>
      </c>
      <c r="P530">
        <v>4</v>
      </c>
      <c r="Q530">
        <v>0.88</v>
      </c>
      <c r="R530">
        <v>112</v>
      </c>
      <c r="S530">
        <v>6.68</v>
      </c>
      <c r="T530">
        <v>0.95</v>
      </c>
      <c r="U530" s="1">
        <v>45470</v>
      </c>
      <c r="V530">
        <v>28.42</v>
      </c>
      <c r="W530">
        <v>0.70599999999999996</v>
      </c>
      <c r="X530" t="str">
        <f>IF(WarehouseData[[#This Row],[stock_level]]&lt;=WarehouseData[[#This Row],[reorder_point]],"Low Stock","Sufficient Stock")</f>
        <v>Low Stock</v>
      </c>
      <c r="Y530">
        <f>WarehouseData[[#This Row],[daily_demand]]*WarehouseData[[#This Row],[lead_time_days]]</f>
        <v>192.01</v>
      </c>
      <c r="Z530" t="str">
        <f>IF(WarehouseData[[#This Row],[stock_level]]&lt;=WarehouseData[[#This Row],[Demand During Lead Time]],"At Risk","Safe")</f>
        <v>At Risk</v>
      </c>
      <c r="AA530">
        <f>WarehouseData[[#This Row],[stock_level]]/WarehouseData[[#This Row],[daily_demand]]</f>
        <v>0.98432373313889898</v>
      </c>
      <c r="AB530">
        <f>WarehouseData[[#This Row],[stock_level]]*WarehouseData[[#This Row],[unit_price]]</f>
        <v>3258.63</v>
      </c>
      <c r="AC530">
        <f>WarehouseData[[#This Row],[stock_level]]*WarehouseData[[#This Row],[holding_cost_per_unit_day]]*30</f>
        <v>558.9</v>
      </c>
      <c r="AD530" t="str">
        <f>IF(WarehouseData[[#This Row],[order_fulfillment_rate]]&gt;=0.9,"Strong",IF(WarehouseData[[#This Row],[order_fulfillment_rate]]&gt;=0.8,"Moderate","Needs Attention"))</f>
        <v>Moderate</v>
      </c>
      <c r="AE530" t="str">
        <f>IF(WarehouseData[[#This Row],[picking_time_seconds]]&gt;120,"Slow",IF(WarehouseData[[#This Row],[picking_time_seconds]]&gt;=60,"Average","Fast"))</f>
        <v>Slow</v>
      </c>
    </row>
    <row r="531" spans="1:31" x14ac:dyDescent="0.25">
      <c r="A531" t="s">
        <v>669</v>
      </c>
      <c r="B531" t="s">
        <v>36</v>
      </c>
      <c r="C531">
        <v>160</v>
      </c>
      <c r="D531">
        <v>89</v>
      </c>
      <c r="E531">
        <v>11</v>
      </c>
      <c r="F531">
        <v>7</v>
      </c>
      <c r="G531">
        <v>39.049999999999997</v>
      </c>
      <c r="H531">
        <v>3.7</v>
      </c>
      <c r="I531">
        <v>0.5</v>
      </c>
      <c r="J531" t="s">
        <v>41</v>
      </c>
      <c r="K531" t="s">
        <v>38</v>
      </c>
      <c r="L531">
        <v>52</v>
      </c>
      <c r="M531">
        <v>0.95</v>
      </c>
      <c r="N531">
        <v>183.31</v>
      </c>
      <c r="O531">
        <v>0.46</v>
      </c>
      <c r="P531">
        <v>7</v>
      </c>
      <c r="Q531">
        <v>0.93</v>
      </c>
      <c r="R531">
        <v>181</v>
      </c>
      <c r="S531">
        <v>8.91</v>
      </c>
      <c r="T531">
        <v>0.4</v>
      </c>
      <c r="U531" s="1">
        <v>45472</v>
      </c>
      <c r="V531">
        <v>226.49</v>
      </c>
      <c r="W531">
        <v>0.59899999999999998</v>
      </c>
      <c r="X531" t="str">
        <f>IF(WarehouseData[[#This Row],[stock_level]]&lt;=WarehouseData[[#This Row],[reorder_point]],"Low Stock","Sufficient Stock")</f>
        <v>Sufficient Stock</v>
      </c>
      <c r="Y531">
        <f>WarehouseData[[#This Row],[daily_demand]]*WarehouseData[[#This Row],[lead_time_days]]</f>
        <v>273.34999999999997</v>
      </c>
      <c r="Z531" t="str">
        <f>IF(WarehouseData[[#This Row],[stock_level]]&lt;=WarehouseData[[#This Row],[Demand During Lead Time]],"At Risk","Safe")</f>
        <v>At Risk</v>
      </c>
      <c r="AA531">
        <f>WarehouseData[[#This Row],[stock_level]]/WarehouseData[[#This Row],[daily_demand]]</f>
        <v>4.0973111395646606</v>
      </c>
      <c r="AB531">
        <f>WarehouseData[[#This Row],[stock_level]]*WarehouseData[[#This Row],[unit_price]]</f>
        <v>29329.599999999999</v>
      </c>
      <c r="AC531">
        <f>WarehouseData[[#This Row],[stock_level]]*WarehouseData[[#This Row],[holding_cost_per_unit_day]]*30</f>
        <v>2208.0000000000005</v>
      </c>
      <c r="AD531" t="str">
        <f>IF(WarehouseData[[#This Row],[order_fulfillment_rate]]&gt;=0.9,"Strong",IF(WarehouseData[[#This Row],[order_fulfillment_rate]]&gt;=0.8,"Moderate","Needs Attention"))</f>
        <v>Strong</v>
      </c>
      <c r="AE531" t="str">
        <f>IF(WarehouseData[[#This Row],[picking_time_seconds]]&gt;120,"Slow",IF(WarehouseData[[#This Row],[picking_time_seconds]]&gt;=60,"Average","Fast"))</f>
        <v>Fast</v>
      </c>
    </row>
    <row r="532" spans="1:31" x14ac:dyDescent="0.25">
      <c r="A532" t="s">
        <v>670</v>
      </c>
      <c r="B532" t="s">
        <v>48</v>
      </c>
      <c r="C532">
        <v>381</v>
      </c>
      <c r="D532">
        <v>92</v>
      </c>
      <c r="E532">
        <v>5</v>
      </c>
      <c r="F532">
        <v>8</v>
      </c>
      <c r="G532">
        <v>16.739999999999998</v>
      </c>
      <c r="H532">
        <v>1.49</v>
      </c>
      <c r="I532">
        <v>0.31</v>
      </c>
      <c r="J532" t="s">
        <v>163</v>
      </c>
      <c r="K532" t="s">
        <v>52</v>
      </c>
      <c r="L532">
        <v>113</v>
      </c>
      <c r="M532">
        <v>2.44</v>
      </c>
      <c r="N532">
        <v>39.869999999999997</v>
      </c>
      <c r="O532">
        <v>1.42</v>
      </c>
      <c r="P532">
        <v>7</v>
      </c>
      <c r="Q532">
        <v>0.78</v>
      </c>
      <c r="R532">
        <v>297</v>
      </c>
      <c r="S532">
        <v>4.59</v>
      </c>
      <c r="T532">
        <v>0.28000000000000003</v>
      </c>
      <c r="U532" s="1">
        <v>45526</v>
      </c>
      <c r="V532">
        <v>131.66</v>
      </c>
      <c r="W532">
        <v>0.39100000000000001</v>
      </c>
      <c r="X532" t="str">
        <f>IF(WarehouseData[[#This Row],[stock_level]]&lt;=WarehouseData[[#This Row],[reorder_point]],"Low Stock","Sufficient Stock")</f>
        <v>Sufficient Stock</v>
      </c>
      <c r="Y532">
        <f>WarehouseData[[#This Row],[daily_demand]]*WarehouseData[[#This Row],[lead_time_days]]</f>
        <v>133.91999999999999</v>
      </c>
      <c r="Z532" t="str">
        <f>IF(WarehouseData[[#This Row],[stock_level]]&lt;=WarehouseData[[#This Row],[Demand During Lead Time]],"At Risk","Safe")</f>
        <v>Safe</v>
      </c>
      <c r="AA532">
        <f>WarehouseData[[#This Row],[stock_level]]/WarehouseData[[#This Row],[daily_demand]]</f>
        <v>22.759856630824373</v>
      </c>
      <c r="AB532">
        <f>WarehouseData[[#This Row],[stock_level]]*WarehouseData[[#This Row],[unit_price]]</f>
        <v>15190.47</v>
      </c>
      <c r="AC532">
        <f>WarehouseData[[#This Row],[stock_level]]*WarehouseData[[#This Row],[holding_cost_per_unit_day]]*30</f>
        <v>16230.599999999999</v>
      </c>
      <c r="AD532" t="str">
        <f>IF(WarehouseData[[#This Row],[order_fulfillment_rate]]&gt;=0.9,"Strong",IF(WarehouseData[[#This Row],[order_fulfillment_rate]]&gt;=0.8,"Moderate","Needs Attention"))</f>
        <v>Needs Attention</v>
      </c>
      <c r="AE532" t="str">
        <f>IF(WarehouseData[[#This Row],[picking_time_seconds]]&gt;120,"Slow",IF(WarehouseData[[#This Row],[picking_time_seconds]]&gt;=60,"Average","Fast"))</f>
        <v>Average</v>
      </c>
    </row>
    <row r="533" spans="1:31" x14ac:dyDescent="0.25">
      <c r="A533" t="s">
        <v>671</v>
      </c>
      <c r="B533" t="s">
        <v>48</v>
      </c>
      <c r="C533">
        <v>27</v>
      </c>
      <c r="D533">
        <v>51</v>
      </c>
      <c r="E533">
        <v>12</v>
      </c>
      <c r="F533">
        <v>9</v>
      </c>
      <c r="G533">
        <v>18.46</v>
      </c>
      <c r="H533">
        <v>5.95</v>
      </c>
      <c r="I533">
        <v>0.34</v>
      </c>
      <c r="J533" t="s">
        <v>156</v>
      </c>
      <c r="K533" t="s">
        <v>34</v>
      </c>
      <c r="L533">
        <v>102</v>
      </c>
      <c r="M533">
        <v>0.84</v>
      </c>
      <c r="N533">
        <v>71.05</v>
      </c>
      <c r="O533">
        <v>0.59</v>
      </c>
      <c r="P533">
        <v>0</v>
      </c>
      <c r="Q533">
        <v>0.86</v>
      </c>
      <c r="R533">
        <v>444</v>
      </c>
      <c r="S533">
        <v>5.6</v>
      </c>
      <c r="T533">
        <v>0.82</v>
      </c>
      <c r="U533" s="1">
        <v>45608</v>
      </c>
      <c r="V533">
        <v>89.66</v>
      </c>
      <c r="W533">
        <v>0.752</v>
      </c>
      <c r="X533" t="str">
        <f>IF(WarehouseData[[#This Row],[stock_level]]&lt;=WarehouseData[[#This Row],[reorder_point]],"Low Stock","Sufficient Stock")</f>
        <v>Low Stock</v>
      </c>
      <c r="Y533">
        <f>WarehouseData[[#This Row],[daily_demand]]*WarehouseData[[#This Row],[lead_time_days]]</f>
        <v>166.14000000000001</v>
      </c>
      <c r="Z533" t="str">
        <f>IF(WarehouseData[[#This Row],[stock_level]]&lt;=WarehouseData[[#This Row],[Demand During Lead Time]],"At Risk","Safe")</f>
        <v>At Risk</v>
      </c>
      <c r="AA533">
        <f>WarehouseData[[#This Row],[stock_level]]/WarehouseData[[#This Row],[daily_demand]]</f>
        <v>1.4626218851570965</v>
      </c>
      <c r="AB533">
        <f>WarehouseData[[#This Row],[stock_level]]*WarehouseData[[#This Row],[unit_price]]</f>
        <v>1918.35</v>
      </c>
      <c r="AC533">
        <f>WarehouseData[[#This Row],[stock_level]]*WarehouseData[[#This Row],[holding_cost_per_unit_day]]*30</f>
        <v>477.9</v>
      </c>
      <c r="AD533" t="str">
        <f>IF(WarehouseData[[#This Row],[order_fulfillment_rate]]&gt;=0.9,"Strong",IF(WarehouseData[[#This Row],[order_fulfillment_rate]]&gt;=0.8,"Moderate","Needs Attention"))</f>
        <v>Moderate</v>
      </c>
      <c r="AE533" t="str">
        <f>IF(WarehouseData[[#This Row],[picking_time_seconds]]&gt;120,"Slow",IF(WarehouseData[[#This Row],[picking_time_seconds]]&gt;=60,"Average","Fast"))</f>
        <v>Average</v>
      </c>
    </row>
    <row r="534" spans="1:31" x14ac:dyDescent="0.25">
      <c r="A534" t="s">
        <v>672</v>
      </c>
      <c r="B534" t="s">
        <v>48</v>
      </c>
      <c r="C534">
        <v>497</v>
      </c>
      <c r="D534">
        <v>26</v>
      </c>
      <c r="E534">
        <v>12</v>
      </c>
      <c r="F534">
        <v>6</v>
      </c>
      <c r="G534">
        <v>13.55</v>
      </c>
      <c r="H534">
        <v>5.97</v>
      </c>
      <c r="I534">
        <v>0.32</v>
      </c>
      <c r="J534" t="s">
        <v>223</v>
      </c>
      <c r="K534" t="s">
        <v>34</v>
      </c>
      <c r="L534">
        <v>52</v>
      </c>
      <c r="M534">
        <v>4.59</v>
      </c>
      <c r="N534">
        <v>93.44</v>
      </c>
      <c r="O534">
        <v>1.02</v>
      </c>
      <c r="P534">
        <v>2</v>
      </c>
      <c r="Q534">
        <v>0.79</v>
      </c>
      <c r="R534">
        <v>692</v>
      </c>
      <c r="S534">
        <v>9.5399999999999991</v>
      </c>
      <c r="T534">
        <v>0.53</v>
      </c>
      <c r="U534" s="1">
        <v>45380</v>
      </c>
      <c r="V534">
        <v>202.95</v>
      </c>
      <c r="W534">
        <v>0.64900000000000002</v>
      </c>
      <c r="X534" t="str">
        <f>IF(WarehouseData[[#This Row],[stock_level]]&lt;=WarehouseData[[#This Row],[reorder_point]],"Low Stock","Sufficient Stock")</f>
        <v>Sufficient Stock</v>
      </c>
      <c r="Y534">
        <f>WarehouseData[[#This Row],[daily_demand]]*WarehouseData[[#This Row],[lead_time_days]]</f>
        <v>81.300000000000011</v>
      </c>
      <c r="Z534" t="str">
        <f>IF(WarehouseData[[#This Row],[stock_level]]&lt;=WarehouseData[[#This Row],[Demand During Lead Time]],"At Risk","Safe")</f>
        <v>Safe</v>
      </c>
      <c r="AA534">
        <f>WarehouseData[[#This Row],[stock_level]]/WarehouseData[[#This Row],[daily_demand]]</f>
        <v>36.678966789667896</v>
      </c>
      <c r="AB534">
        <f>WarehouseData[[#This Row],[stock_level]]*WarehouseData[[#This Row],[unit_price]]</f>
        <v>46439.68</v>
      </c>
      <c r="AC534">
        <f>WarehouseData[[#This Row],[stock_level]]*WarehouseData[[#This Row],[holding_cost_per_unit_day]]*30</f>
        <v>15208.2</v>
      </c>
      <c r="AD534" t="str">
        <f>IF(WarehouseData[[#This Row],[order_fulfillment_rate]]&gt;=0.9,"Strong",IF(WarehouseData[[#This Row],[order_fulfillment_rate]]&gt;=0.8,"Moderate","Needs Attention"))</f>
        <v>Needs Attention</v>
      </c>
      <c r="AE534" t="str">
        <f>IF(WarehouseData[[#This Row],[picking_time_seconds]]&gt;120,"Slow",IF(WarehouseData[[#This Row],[picking_time_seconds]]&gt;=60,"Average","Fast"))</f>
        <v>Fast</v>
      </c>
    </row>
    <row r="535" spans="1:31" x14ac:dyDescent="0.25">
      <c r="A535" t="s">
        <v>673</v>
      </c>
      <c r="B535" t="s">
        <v>36</v>
      </c>
      <c r="C535">
        <v>371</v>
      </c>
      <c r="D535">
        <v>72</v>
      </c>
      <c r="E535">
        <v>11</v>
      </c>
      <c r="F535">
        <v>8</v>
      </c>
      <c r="G535">
        <v>13.48</v>
      </c>
      <c r="H535">
        <v>9.5500000000000007</v>
      </c>
      <c r="I535">
        <v>0.28000000000000003</v>
      </c>
      <c r="J535" t="s">
        <v>401</v>
      </c>
      <c r="K535" t="s">
        <v>34</v>
      </c>
      <c r="L535">
        <v>140</v>
      </c>
      <c r="M535">
        <v>2.52</v>
      </c>
      <c r="N535">
        <v>62.26</v>
      </c>
      <c r="O535">
        <v>0.35</v>
      </c>
      <c r="P535">
        <v>5</v>
      </c>
      <c r="Q535">
        <v>0.77</v>
      </c>
      <c r="R535">
        <v>460</v>
      </c>
      <c r="S535">
        <v>13.72</v>
      </c>
      <c r="T535">
        <v>0.87</v>
      </c>
      <c r="U535" s="1">
        <v>45636</v>
      </c>
      <c r="V535">
        <v>251.61</v>
      </c>
      <c r="W535">
        <v>0.77600000000000002</v>
      </c>
      <c r="X535" t="str">
        <f>IF(WarehouseData[[#This Row],[stock_level]]&lt;=WarehouseData[[#This Row],[reorder_point]],"Low Stock","Sufficient Stock")</f>
        <v>Sufficient Stock</v>
      </c>
      <c r="Y535">
        <f>WarehouseData[[#This Row],[daily_demand]]*WarehouseData[[#This Row],[lead_time_days]]</f>
        <v>107.84</v>
      </c>
      <c r="Z535" t="str">
        <f>IF(WarehouseData[[#This Row],[stock_level]]&lt;=WarehouseData[[#This Row],[Demand During Lead Time]],"At Risk","Safe")</f>
        <v>Safe</v>
      </c>
      <c r="AA535">
        <f>WarehouseData[[#This Row],[stock_level]]/WarehouseData[[#This Row],[daily_demand]]</f>
        <v>27.522255192878337</v>
      </c>
      <c r="AB535">
        <f>WarehouseData[[#This Row],[stock_level]]*WarehouseData[[#This Row],[unit_price]]</f>
        <v>23098.46</v>
      </c>
      <c r="AC535">
        <f>WarehouseData[[#This Row],[stock_level]]*WarehouseData[[#This Row],[holding_cost_per_unit_day]]*30</f>
        <v>3895.5</v>
      </c>
      <c r="AD535" t="str">
        <f>IF(WarehouseData[[#This Row],[order_fulfillment_rate]]&gt;=0.9,"Strong",IF(WarehouseData[[#This Row],[order_fulfillment_rate]]&gt;=0.8,"Moderate","Needs Attention"))</f>
        <v>Needs Attention</v>
      </c>
      <c r="AE535" t="str">
        <f>IF(WarehouseData[[#This Row],[picking_time_seconds]]&gt;120,"Slow",IF(WarehouseData[[#This Row],[picking_time_seconds]]&gt;=60,"Average","Fast"))</f>
        <v>Slow</v>
      </c>
    </row>
    <row r="536" spans="1:31" x14ac:dyDescent="0.25">
      <c r="A536" t="s">
        <v>674</v>
      </c>
      <c r="B536" t="s">
        <v>40</v>
      </c>
      <c r="C536">
        <v>113</v>
      </c>
      <c r="D536">
        <v>54</v>
      </c>
      <c r="E536">
        <v>6</v>
      </c>
      <c r="F536">
        <v>4</v>
      </c>
      <c r="G536">
        <v>47.49</v>
      </c>
      <c r="H536">
        <v>4.7</v>
      </c>
      <c r="I536">
        <v>0.86</v>
      </c>
      <c r="J536" t="s">
        <v>45</v>
      </c>
      <c r="K536" t="s">
        <v>46</v>
      </c>
      <c r="L536">
        <v>166</v>
      </c>
      <c r="M536">
        <v>4.2699999999999996</v>
      </c>
      <c r="N536">
        <v>189.32</v>
      </c>
      <c r="O536">
        <v>1.48</v>
      </c>
      <c r="P536">
        <v>5</v>
      </c>
      <c r="Q536">
        <v>0.99</v>
      </c>
      <c r="R536">
        <v>928</v>
      </c>
      <c r="S536">
        <v>4.29</v>
      </c>
      <c r="T536">
        <v>0.87</v>
      </c>
      <c r="U536" s="1">
        <v>45653</v>
      </c>
      <c r="V536">
        <v>176.11</v>
      </c>
      <c r="W536">
        <v>0.58099999999999996</v>
      </c>
      <c r="X536" t="str">
        <f>IF(WarehouseData[[#This Row],[stock_level]]&lt;=WarehouseData[[#This Row],[reorder_point]],"Low Stock","Sufficient Stock")</f>
        <v>Sufficient Stock</v>
      </c>
      <c r="Y536">
        <f>WarehouseData[[#This Row],[daily_demand]]*WarehouseData[[#This Row],[lead_time_days]]</f>
        <v>189.96</v>
      </c>
      <c r="Z536" t="str">
        <f>IF(WarehouseData[[#This Row],[stock_level]]&lt;=WarehouseData[[#This Row],[Demand During Lead Time]],"At Risk","Safe")</f>
        <v>At Risk</v>
      </c>
      <c r="AA536">
        <f>WarehouseData[[#This Row],[stock_level]]/WarehouseData[[#This Row],[daily_demand]]</f>
        <v>2.3794483049062958</v>
      </c>
      <c r="AB536">
        <f>WarehouseData[[#This Row],[stock_level]]*WarehouseData[[#This Row],[unit_price]]</f>
        <v>21393.16</v>
      </c>
      <c r="AC536">
        <f>WarehouseData[[#This Row],[stock_level]]*WarehouseData[[#This Row],[holding_cost_per_unit_day]]*30</f>
        <v>5017.2000000000007</v>
      </c>
      <c r="AD536" t="str">
        <f>IF(WarehouseData[[#This Row],[order_fulfillment_rate]]&gt;=0.9,"Strong",IF(WarehouseData[[#This Row],[order_fulfillment_rate]]&gt;=0.8,"Moderate","Needs Attention"))</f>
        <v>Strong</v>
      </c>
      <c r="AE536" t="str">
        <f>IF(WarehouseData[[#This Row],[picking_time_seconds]]&gt;120,"Slow",IF(WarehouseData[[#This Row],[picking_time_seconds]]&gt;=60,"Average","Fast"))</f>
        <v>Slow</v>
      </c>
    </row>
    <row r="537" spans="1:31" x14ac:dyDescent="0.25">
      <c r="A537" t="s">
        <v>675</v>
      </c>
      <c r="B537" t="s">
        <v>36</v>
      </c>
      <c r="C537">
        <v>340</v>
      </c>
      <c r="D537">
        <v>86</v>
      </c>
      <c r="E537">
        <v>9</v>
      </c>
      <c r="F537">
        <v>7</v>
      </c>
      <c r="G537">
        <v>32.14</v>
      </c>
      <c r="H537">
        <v>7.06</v>
      </c>
      <c r="I537">
        <v>0.25</v>
      </c>
      <c r="J537" t="s">
        <v>160</v>
      </c>
      <c r="K537" t="s">
        <v>46</v>
      </c>
      <c r="L537">
        <v>94</v>
      </c>
      <c r="M537">
        <v>4.91</v>
      </c>
      <c r="N537">
        <v>81.73</v>
      </c>
      <c r="O537">
        <v>0.87</v>
      </c>
      <c r="P537">
        <v>0</v>
      </c>
      <c r="Q537">
        <v>0.97</v>
      </c>
      <c r="R537">
        <v>477</v>
      </c>
      <c r="S537">
        <v>10.48</v>
      </c>
      <c r="T537">
        <v>0.99</v>
      </c>
      <c r="U537" s="1">
        <v>45444</v>
      </c>
      <c r="V537">
        <v>262.48</v>
      </c>
      <c r="W537">
        <v>0.84499999999999997</v>
      </c>
      <c r="X537" t="str">
        <f>IF(WarehouseData[[#This Row],[stock_level]]&lt;=WarehouseData[[#This Row],[reorder_point]],"Low Stock","Sufficient Stock")</f>
        <v>Sufficient Stock</v>
      </c>
      <c r="Y537">
        <f>WarehouseData[[#This Row],[daily_demand]]*WarehouseData[[#This Row],[lead_time_days]]</f>
        <v>224.98000000000002</v>
      </c>
      <c r="Z537" t="str">
        <f>IF(WarehouseData[[#This Row],[stock_level]]&lt;=WarehouseData[[#This Row],[Demand During Lead Time]],"At Risk","Safe")</f>
        <v>Safe</v>
      </c>
      <c r="AA537">
        <f>WarehouseData[[#This Row],[stock_level]]/WarehouseData[[#This Row],[daily_demand]]</f>
        <v>10.578718108276291</v>
      </c>
      <c r="AB537">
        <f>WarehouseData[[#This Row],[stock_level]]*WarehouseData[[#This Row],[unit_price]]</f>
        <v>27788.2</v>
      </c>
      <c r="AC537">
        <f>WarehouseData[[#This Row],[stock_level]]*WarehouseData[[#This Row],[holding_cost_per_unit_day]]*30</f>
        <v>8874</v>
      </c>
      <c r="AD537" t="str">
        <f>IF(WarehouseData[[#This Row],[order_fulfillment_rate]]&gt;=0.9,"Strong",IF(WarehouseData[[#This Row],[order_fulfillment_rate]]&gt;=0.8,"Moderate","Needs Attention"))</f>
        <v>Strong</v>
      </c>
      <c r="AE537" t="str">
        <f>IF(WarehouseData[[#This Row],[picking_time_seconds]]&gt;120,"Slow",IF(WarehouseData[[#This Row],[picking_time_seconds]]&gt;=60,"Average","Fast"))</f>
        <v>Average</v>
      </c>
    </row>
    <row r="538" spans="1:31" x14ac:dyDescent="0.25">
      <c r="A538" t="s">
        <v>676</v>
      </c>
      <c r="B538" t="s">
        <v>40</v>
      </c>
      <c r="C538">
        <v>446</v>
      </c>
      <c r="D538">
        <v>16</v>
      </c>
      <c r="E538">
        <v>11</v>
      </c>
      <c r="F538">
        <v>6</v>
      </c>
      <c r="G538">
        <v>8.64</v>
      </c>
      <c r="H538">
        <v>5.96</v>
      </c>
      <c r="I538">
        <v>0.61</v>
      </c>
      <c r="J538" t="s">
        <v>166</v>
      </c>
      <c r="K538" t="s">
        <v>34</v>
      </c>
      <c r="L538">
        <v>44</v>
      </c>
      <c r="M538">
        <v>3.55</v>
      </c>
      <c r="N538">
        <v>135.03</v>
      </c>
      <c r="O538">
        <v>0.37</v>
      </c>
      <c r="P538">
        <v>1</v>
      </c>
      <c r="Q538">
        <v>0.83</v>
      </c>
      <c r="R538">
        <v>963</v>
      </c>
      <c r="S538">
        <v>8.33</v>
      </c>
      <c r="T538">
        <v>0.84</v>
      </c>
      <c r="U538" s="1">
        <v>45606</v>
      </c>
      <c r="V538">
        <v>16.48</v>
      </c>
      <c r="W538">
        <v>0.78800000000000003</v>
      </c>
      <c r="X538" t="str">
        <f>IF(WarehouseData[[#This Row],[stock_level]]&lt;=WarehouseData[[#This Row],[reorder_point]],"Low Stock","Sufficient Stock")</f>
        <v>Sufficient Stock</v>
      </c>
      <c r="Y538">
        <f>WarehouseData[[#This Row],[daily_demand]]*WarehouseData[[#This Row],[lead_time_days]]</f>
        <v>51.84</v>
      </c>
      <c r="Z538" t="str">
        <f>IF(WarehouseData[[#This Row],[stock_level]]&lt;=WarehouseData[[#This Row],[Demand During Lead Time]],"At Risk","Safe")</f>
        <v>Safe</v>
      </c>
      <c r="AA538">
        <f>WarehouseData[[#This Row],[stock_level]]/WarehouseData[[#This Row],[daily_demand]]</f>
        <v>51.620370370370367</v>
      </c>
      <c r="AB538">
        <f>WarehouseData[[#This Row],[stock_level]]*WarehouseData[[#This Row],[unit_price]]</f>
        <v>60223.38</v>
      </c>
      <c r="AC538">
        <f>WarehouseData[[#This Row],[stock_level]]*WarehouseData[[#This Row],[holding_cost_per_unit_day]]*30</f>
        <v>4950.6000000000004</v>
      </c>
      <c r="AD538" t="str">
        <f>IF(WarehouseData[[#This Row],[order_fulfillment_rate]]&gt;=0.9,"Strong",IF(WarehouseData[[#This Row],[order_fulfillment_rate]]&gt;=0.8,"Moderate","Needs Attention"))</f>
        <v>Moderate</v>
      </c>
      <c r="AE538" t="str">
        <f>IF(WarehouseData[[#This Row],[picking_time_seconds]]&gt;120,"Slow",IF(WarehouseData[[#This Row],[picking_time_seconds]]&gt;=60,"Average","Fast"))</f>
        <v>Fast</v>
      </c>
    </row>
    <row r="539" spans="1:31" x14ac:dyDescent="0.25">
      <c r="A539" t="s">
        <v>677</v>
      </c>
      <c r="B539" t="s">
        <v>40</v>
      </c>
      <c r="C539">
        <v>58</v>
      </c>
      <c r="D539">
        <v>36</v>
      </c>
      <c r="E539">
        <v>4</v>
      </c>
      <c r="F539">
        <v>8</v>
      </c>
      <c r="G539">
        <v>36.39</v>
      </c>
      <c r="H539">
        <v>2.1800000000000002</v>
      </c>
      <c r="I539">
        <v>0.17</v>
      </c>
      <c r="J539" t="s">
        <v>45</v>
      </c>
      <c r="K539" t="s">
        <v>34</v>
      </c>
      <c r="L539">
        <v>126</v>
      </c>
      <c r="M539">
        <v>4.5599999999999996</v>
      </c>
      <c r="N539">
        <v>52.54</v>
      </c>
      <c r="O539">
        <v>1.51</v>
      </c>
      <c r="P539">
        <v>9</v>
      </c>
      <c r="Q539">
        <v>0.74</v>
      </c>
      <c r="R539">
        <v>719</v>
      </c>
      <c r="S539">
        <v>2.46</v>
      </c>
      <c r="T539">
        <v>0.37</v>
      </c>
      <c r="U539" s="1">
        <v>45594</v>
      </c>
      <c r="V539">
        <v>224.2</v>
      </c>
      <c r="W539">
        <v>0.32400000000000001</v>
      </c>
      <c r="X539" t="str">
        <f>IF(WarehouseData[[#This Row],[stock_level]]&lt;=WarehouseData[[#This Row],[reorder_point]],"Low Stock","Sufficient Stock")</f>
        <v>Sufficient Stock</v>
      </c>
      <c r="Y539">
        <f>WarehouseData[[#This Row],[daily_demand]]*WarehouseData[[#This Row],[lead_time_days]]</f>
        <v>291.12</v>
      </c>
      <c r="Z539" t="str">
        <f>IF(WarehouseData[[#This Row],[stock_level]]&lt;=WarehouseData[[#This Row],[Demand During Lead Time]],"At Risk","Safe")</f>
        <v>At Risk</v>
      </c>
      <c r="AA539">
        <f>WarehouseData[[#This Row],[stock_level]]/WarehouseData[[#This Row],[daily_demand]]</f>
        <v>1.5938444627644957</v>
      </c>
      <c r="AB539">
        <f>WarehouseData[[#This Row],[stock_level]]*WarehouseData[[#This Row],[unit_price]]</f>
        <v>3047.32</v>
      </c>
      <c r="AC539">
        <f>WarehouseData[[#This Row],[stock_level]]*WarehouseData[[#This Row],[holding_cost_per_unit_day]]*30</f>
        <v>2627.4</v>
      </c>
      <c r="AD539" t="str">
        <f>IF(WarehouseData[[#This Row],[order_fulfillment_rate]]&gt;=0.9,"Strong",IF(WarehouseData[[#This Row],[order_fulfillment_rate]]&gt;=0.8,"Moderate","Needs Attention"))</f>
        <v>Needs Attention</v>
      </c>
      <c r="AE539" t="str">
        <f>IF(WarehouseData[[#This Row],[picking_time_seconds]]&gt;120,"Slow",IF(WarehouseData[[#This Row],[picking_time_seconds]]&gt;=60,"Average","Fast"))</f>
        <v>Slow</v>
      </c>
    </row>
    <row r="540" spans="1:31" x14ac:dyDescent="0.25">
      <c r="A540" t="s">
        <v>678</v>
      </c>
      <c r="B540" t="s">
        <v>48</v>
      </c>
      <c r="C540">
        <v>100</v>
      </c>
      <c r="D540">
        <v>19</v>
      </c>
      <c r="E540">
        <v>4</v>
      </c>
      <c r="F540">
        <v>6</v>
      </c>
      <c r="G540">
        <v>36.380000000000003</v>
      </c>
      <c r="H540">
        <v>6.12</v>
      </c>
      <c r="I540">
        <v>0.95</v>
      </c>
      <c r="J540" t="s">
        <v>126</v>
      </c>
      <c r="K540" t="s">
        <v>52</v>
      </c>
      <c r="L540">
        <v>176</v>
      </c>
      <c r="M540">
        <v>1.1100000000000001</v>
      </c>
      <c r="N540">
        <v>51.74</v>
      </c>
      <c r="O540">
        <v>0.3</v>
      </c>
      <c r="P540">
        <v>6</v>
      </c>
      <c r="Q540">
        <v>0.92</v>
      </c>
      <c r="R540">
        <v>777</v>
      </c>
      <c r="S540">
        <v>8.92</v>
      </c>
      <c r="T540">
        <v>0.67</v>
      </c>
      <c r="U540" s="1">
        <v>45335</v>
      </c>
      <c r="V540">
        <v>59.13</v>
      </c>
      <c r="W540">
        <v>0.68700000000000006</v>
      </c>
      <c r="X540" t="str">
        <f>IF(WarehouseData[[#This Row],[stock_level]]&lt;=WarehouseData[[#This Row],[reorder_point]],"Low Stock","Sufficient Stock")</f>
        <v>Sufficient Stock</v>
      </c>
      <c r="Y540">
        <f>WarehouseData[[#This Row],[daily_demand]]*WarehouseData[[#This Row],[lead_time_days]]</f>
        <v>218.28000000000003</v>
      </c>
      <c r="Z540" t="str">
        <f>IF(WarehouseData[[#This Row],[stock_level]]&lt;=WarehouseData[[#This Row],[Demand During Lead Time]],"At Risk","Safe")</f>
        <v>At Risk</v>
      </c>
      <c r="AA540">
        <f>WarehouseData[[#This Row],[stock_level]]/WarehouseData[[#This Row],[daily_demand]]</f>
        <v>2.7487630566245187</v>
      </c>
      <c r="AB540">
        <f>WarehouseData[[#This Row],[stock_level]]*WarehouseData[[#This Row],[unit_price]]</f>
        <v>5174</v>
      </c>
      <c r="AC540">
        <f>WarehouseData[[#This Row],[stock_level]]*WarehouseData[[#This Row],[holding_cost_per_unit_day]]*30</f>
        <v>900</v>
      </c>
      <c r="AD540" t="str">
        <f>IF(WarehouseData[[#This Row],[order_fulfillment_rate]]&gt;=0.9,"Strong",IF(WarehouseData[[#This Row],[order_fulfillment_rate]]&gt;=0.8,"Moderate","Needs Attention"))</f>
        <v>Strong</v>
      </c>
      <c r="AE540" t="str">
        <f>IF(WarehouseData[[#This Row],[picking_time_seconds]]&gt;120,"Slow",IF(WarehouseData[[#This Row],[picking_time_seconds]]&gt;=60,"Average","Fast"))</f>
        <v>Slow</v>
      </c>
    </row>
    <row r="541" spans="1:31" x14ac:dyDescent="0.25">
      <c r="A541" t="s">
        <v>679</v>
      </c>
      <c r="B541" t="s">
        <v>32</v>
      </c>
      <c r="C541">
        <v>206</v>
      </c>
      <c r="D541">
        <v>43</v>
      </c>
      <c r="E541">
        <v>11</v>
      </c>
      <c r="F541">
        <v>5</v>
      </c>
      <c r="G541">
        <v>33.659999999999997</v>
      </c>
      <c r="H541">
        <v>5.63</v>
      </c>
      <c r="I541">
        <v>0.64</v>
      </c>
      <c r="J541" t="s">
        <v>190</v>
      </c>
      <c r="K541" t="s">
        <v>52</v>
      </c>
      <c r="L541">
        <v>161</v>
      </c>
      <c r="M541">
        <v>4.2300000000000004</v>
      </c>
      <c r="N541">
        <v>43.41</v>
      </c>
      <c r="O541">
        <v>1.19</v>
      </c>
      <c r="P541">
        <v>0</v>
      </c>
      <c r="Q541">
        <v>0.78</v>
      </c>
      <c r="R541">
        <v>375</v>
      </c>
      <c r="S541">
        <v>10.92</v>
      </c>
      <c r="T541">
        <v>0.62</v>
      </c>
      <c r="U541" s="1">
        <v>45636</v>
      </c>
      <c r="V541">
        <v>92.96</v>
      </c>
      <c r="W541">
        <v>0.70699999999999996</v>
      </c>
      <c r="X541" t="str">
        <f>IF(WarehouseData[[#This Row],[stock_level]]&lt;=WarehouseData[[#This Row],[reorder_point]],"Low Stock","Sufficient Stock")</f>
        <v>Sufficient Stock</v>
      </c>
      <c r="Y541">
        <f>WarehouseData[[#This Row],[daily_demand]]*WarehouseData[[#This Row],[lead_time_days]]</f>
        <v>168.29999999999998</v>
      </c>
      <c r="Z541" t="str">
        <f>IF(WarehouseData[[#This Row],[stock_level]]&lt;=WarehouseData[[#This Row],[Demand During Lead Time]],"At Risk","Safe")</f>
        <v>Safe</v>
      </c>
      <c r="AA541">
        <f>WarehouseData[[#This Row],[stock_level]]/WarehouseData[[#This Row],[daily_demand]]</f>
        <v>6.120023767082591</v>
      </c>
      <c r="AB541">
        <f>WarehouseData[[#This Row],[stock_level]]*WarehouseData[[#This Row],[unit_price]]</f>
        <v>8942.4599999999991</v>
      </c>
      <c r="AC541">
        <f>WarehouseData[[#This Row],[stock_level]]*WarehouseData[[#This Row],[holding_cost_per_unit_day]]*30</f>
        <v>7354.2</v>
      </c>
      <c r="AD541" t="str">
        <f>IF(WarehouseData[[#This Row],[order_fulfillment_rate]]&gt;=0.9,"Strong",IF(WarehouseData[[#This Row],[order_fulfillment_rate]]&gt;=0.8,"Moderate","Needs Attention"))</f>
        <v>Needs Attention</v>
      </c>
      <c r="AE541" t="str">
        <f>IF(WarehouseData[[#This Row],[picking_time_seconds]]&gt;120,"Slow",IF(WarehouseData[[#This Row],[picking_time_seconds]]&gt;=60,"Average","Fast"))</f>
        <v>Slow</v>
      </c>
    </row>
    <row r="542" spans="1:31" x14ac:dyDescent="0.25">
      <c r="A542" t="s">
        <v>680</v>
      </c>
      <c r="B542" t="s">
        <v>73</v>
      </c>
      <c r="C542">
        <v>103</v>
      </c>
      <c r="D542">
        <v>45</v>
      </c>
      <c r="E542">
        <v>14</v>
      </c>
      <c r="F542">
        <v>3</v>
      </c>
      <c r="G542">
        <v>7.6</v>
      </c>
      <c r="H542">
        <v>5.19</v>
      </c>
      <c r="I542">
        <v>0.91</v>
      </c>
      <c r="J542" t="s">
        <v>259</v>
      </c>
      <c r="K542" t="s">
        <v>38</v>
      </c>
      <c r="L542">
        <v>29</v>
      </c>
      <c r="M542">
        <v>1.72</v>
      </c>
      <c r="N542">
        <v>92.61</v>
      </c>
      <c r="O542">
        <v>1.25</v>
      </c>
      <c r="P542">
        <v>9</v>
      </c>
      <c r="Q542">
        <v>0.75</v>
      </c>
      <c r="R542">
        <v>992</v>
      </c>
      <c r="S542">
        <v>9.3800000000000008</v>
      </c>
      <c r="T542">
        <v>0.61</v>
      </c>
      <c r="U542" s="1">
        <v>45360</v>
      </c>
      <c r="V542">
        <v>175.95</v>
      </c>
      <c r="W542">
        <v>0.49199999999999999</v>
      </c>
      <c r="X542" t="str">
        <f>IF(WarehouseData[[#This Row],[stock_level]]&lt;=WarehouseData[[#This Row],[reorder_point]],"Low Stock","Sufficient Stock")</f>
        <v>Sufficient Stock</v>
      </c>
      <c r="Y542">
        <f>WarehouseData[[#This Row],[daily_demand]]*WarehouseData[[#This Row],[lead_time_days]]</f>
        <v>22.799999999999997</v>
      </c>
      <c r="Z542" t="str">
        <f>IF(WarehouseData[[#This Row],[stock_level]]&lt;=WarehouseData[[#This Row],[Demand During Lead Time]],"At Risk","Safe")</f>
        <v>Safe</v>
      </c>
      <c r="AA542">
        <f>WarehouseData[[#This Row],[stock_level]]/WarehouseData[[#This Row],[daily_demand]]</f>
        <v>13.55263157894737</v>
      </c>
      <c r="AB542">
        <f>WarehouseData[[#This Row],[stock_level]]*WarehouseData[[#This Row],[unit_price]]</f>
        <v>9538.83</v>
      </c>
      <c r="AC542">
        <f>WarehouseData[[#This Row],[stock_level]]*WarehouseData[[#This Row],[holding_cost_per_unit_day]]*30</f>
        <v>3862.5</v>
      </c>
      <c r="AD542" t="str">
        <f>IF(WarehouseData[[#This Row],[order_fulfillment_rate]]&gt;=0.9,"Strong",IF(WarehouseData[[#This Row],[order_fulfillment_rate]]&gt;=0.8,"Moderate","Needs Attention"))</f>
        <v>Needs Attention</v>
      </c>
      <c r="AE542" t="str">
        <f>IF(WarehouseData[[#This Row],[picking_time_seconds]]&gt;120,"Slow",IF(WarehouseData[[#This Row],[picking_time_seconds]]&gt;=60,"Average","Fast"))</f>
        <v>Fast</v>
      </c>
    </row>
    <row r="543" spans="1:31" x14ac:dyDescent="0.25">
      <c r="A543" t="s">
        <v>681</v>
      </c>
      <c r="B543" t="s">
        <v>48</v>
      </c>
      <c r="C543">
        <v>107</v>
      </c>
      <c r="D543">
        <v>34</v>
      </c>
      <c r="E543">
        <v>5</v>
      </c>
      <c r="F543">
        <v>5</v>
      </c>
      <c r="G543">
        <v>20.99</v>
      </c>
      <c r="H543">
        <v>5.38</v>
      </c>
      <c r="I543">
        <v>0.46</v>
      </c>
      <c r="J543" t="s">
        <v>223</v>
      </c>
      <c r="K543" t="s">
        <v>52</v>
      </c>
      <c r="L543">
        <v>152</v>
      </c>
      <c r="M543">
        <v>2.63</v>
      </c>
      <c r="N543">
        <v>111.24</v>
      </c>
      <c r="O543">
        <v>1.87</v>
      </c>
      <c r="P543">
        <v>4</v>
      </c>
      <c r="Q543">
        <v>0.81</v>
      </c>
      <c r="R543">
        <v>595</v>
      </c>
      <c r="S543">
        <v>2.46</v>
      </c>
      <c r="T543">
        <v>0.44</v>
      </c>
      <c r="U543" s="1">
        <v>45452</v>
      </c>
      <c r="V543">
        <v>89.59</v>
      </c>
      <c r="W543">
        <v>0.41599999999999998</v>
      </c>
      <c r="X543" t="str">
        <f>IF(WarehouseData[[#This Row],[stock_level]]&lt;=WarehouseData[[#This Row],[reorder_point]],"Low Stock","Sufficient Stock")</f>
        <v>Sufficient Stock</v>
      </c>
      <c r="Y543">
        <f>WarehouseData[[#This Row],[daily_demand]]*WarehouseData[[#This Row],[lead_time_days]]</f>
        <v>104.94999999999999</v>
      </c>
      <c r="Z543" t="str">
        <f>IF(WarehouseData[[#This Row],[stock_level]]&lt;=WarehouseData[[#This Row],[Demand During Lead Time]],"At Risk","Safe")</f>
        <v>Safe</v>
      </c>
      <c r="AA543">
        <f>WarehouseData[[#This Row],[stock_level]]/WarehouseData[[#This Row],[daily_demand]]</f>
        <v>5.0976655550262038</v>
      </c>
      <c r="AB543">
        <f>WarehouseData[[#This Row],[stock_level]]*WarehouseData[[#This Row],[unit_price]]</f>
        <v>11902.68</v>
      </c>
      <c r="AC543">
        <f>WarehouseData[[#This Row],[stock_level]]*WarehouseData[[#This Row],[holding_cost_per_unit_day]]*30</f>
        <v>6002.7</v>
      </c>
      <c r="AD543" t="str">
        <f>IF(WarehouseData[[#This Row],[order_fulfillment_rate]]&gt;=0.9,"Strong",IF(WarehouseData[[#This Row],[order_fulfillment_rate]]&gt;=0.8,"Moderate","Needs Attention"))</f>
        <v>Moderate</v>
      </c>
      <c r="AE543" t="str">
        <f>IF(WarehouseData[[#This Row],[picking_time_seconds]]&gt;120,"Slow",IF(WarehouseData[[#This Row],[picking_time_seconds]]&gt;=60,"Average","Fast"))</f>
        <v>Slow</v>
      </c>
    </row>
    <row r="544" spans="1:31" x14ac:dyDescent="0.25">
      <c r="A544" t="s">
        <v>682</v>
      </c>
      <c r="B544" t="s">
        <v>48</v>
      </c>
      <c r="C544">
        <v>261</v>
      </c>
      <c r="D544">
        <v>15</v>
      </c>
      <c r="E544">
        <v>11</v>
      </c>
      <c r="F544">
        <v>2</v>
      </c>
      <c r="G544">
        <v>6.23</v>
      </c>
      <c r="H544">
        <v>2.06</v>
      </c>
      <c r="I544">
        <v>0.83</v>
      </c>
      <c r="J544" t="s">
        <v>59</v>
      </c>
      <c r="K544" t="s">
        <v>38</v>
      </c>
      <c r="L544">
        <v>94</v>
      </c>
      <c r="M544">
        <v>3.41</v>
      </c>
      <c r="N544">
        <v>12.04</v>
      </c>
      <c r="O544">
        <v>0.39</v>
      </c>
      <c r="P544">
        <v>0</v>
      </c>
      <c r="Q544">
        <v>0.86</v>
      </c>
      <c r="R544">
        <v>424</v>
      </c>
      <c r="S544">
        <v>12.96</v>
      </c>
      <c r="T544">
        <v>0.37</v>
      </c>
      <c r="U544" s="1">
        <v>45352</v>
      </c>
      <c r="V544">
        <v>58.76</v>
      </c>
      <c r="W544">
        <v>0.78</v>
      </c>
      <c r="X544" t="str">
        <f>IF(WarehouseData[[#This Row],[stock_level]]&lt;=WarehouseData[[#This Row],[reorder_point]],"Low Stock","Sufficient Stock")</f>
        <v>Sufficient Stock</v>
      </c>
      <c r="Y544">
        <f>WarehouseData[[#This Row],[daily_demand]]*WarehouseData[[#This Row],[lead_time_days]]</f>
        <v>12.46</v>
      </c>
      <c r="Z544" t="str">
        <f>IF(WarehouseData[[#This Row],[stock_level]]&lt;=WarehouseData[[#This Row],[Demand During Lead Time]],"At Risk","Safe")</f>
        <v>Safe</v>
      </c>
      <c r="AA544">
        <f>WarehouseData[[#This Row],[stock_level]]/WarehouseData[[#This Row],[daily_demand]]</f>
        <v>41.894060995184589</v>
      </c>
      <c r="AB544">
        <f>WarehouseData[[#This Row],[stock_level]]*WarehouseData[[#This Row],[unit_price]]</f>
        <v>3142.4399999999996</v>
      </c>
      <c r="AC544">
        <f>WarehouseData[[#This Row],[stock_level]]*WarehouseData[[#This Row],[holding_cost_per_unit_day]]*30</f>
        <v>3053.7000000000003</v>
      </c>
      <c r="AD544" t="str">
        <f>IF(WarehouseData[[#This Row],[order_fulfillment_rate]]&gt;=0.9,"Strong",IF(WarehouseData[[#This Row],[order_fulfillment_rate]]&gt;=0.8,"Moderate","Needs Attention"))</f>
        <v>Moderate</v>
      </c>
      <c r="AE544" t="str">
        <f>IF(WarehouseData[[#This Row],[picking_time_seconds]]&gt;120,"Slow",IF(WarehouseData[[#This Row],[picking_time_seconds]]&gt;=60,"Average","Fast"))</f>
        <v>Average</v>
      </c>
    </row>
    <row r="545" spans="1:31" x14ac:dyDescent="0.25">
      <c r="A545" t="s">
        <v>683</v>
      </c>
      <c r="B545" t="s">
        <v>32</v>
      </c>
      <c r="C545">
        <v>361</v>
      </c>
      <c r="D545">
        <v>33</v>
      </c>
      <c r="E545">
        <v>7</v>
      </c>
      <c r="F545">
        <v>9</v>
      </c>
      <c r="G545">
        <v>41.01</v>
      </c>
      <c r="H545">
        <v>4.9000000000000004</v>
      </c>
      <c r="I545">
        <v>0.87</v>
      </c>
      <c r="J545" t="s">
        <v>137</v>
      </c>
      <c r="K545" t="s">
        <v>38</v>
      </c>
      <c r="L545">
        <v>126</v>
      </c>
      <c r="M545">
        <v>4.57</v>
      </c>
      <c r="N545">
        <v>168.26</v>
      </c>
      <c r="O545">
        <v>1.34</v>
      </c>
      <c r="P545">
        <v>5</v>
      </c>
      <c r="Q545">
        <v>0.73</v>
      </c>
      <c r="R545">
        <v>893</v>
      </c>
      <c r="S545">
        <v>1.57</v>
      </c>
      <c r="T545">
        <v>0.77</v>
      </c>
      <c r="U545" s="1">
        <v>45414</v>
      </c>
      <c r="V545">
        <v>266.79000000000002</v>
      </c>
      <c r="W545">
        <v>0.48699999999999999</v>
      </c>
      <c r="X545" t="str">
        <f>IF(WarehouseData[[#This Row],[stock_level]]&lt;=WarehouseData[[#This Row],[reorder_point]],"Low Stock","Sufficient Stock")</f>
        <v>Sufficient Stock</v>
      </c>
      <c r="Y545">
        <f>WarehouseData[[#This Row],[daily_demand]]*WarehouseData[[#This Row],[lead_time_days]]</f>
        <v>369.09</v>
      </c>
      <c r="Z545" t="str">
        <f>IF(WarehouseData[[#This Row],[stock_level]]&lt;=WarehouseData[[#This Row],[Demand During Lead Time]],"At Risk","Safe")</f>
        <v>At Risk</v>
      </c>
      <c r="AA545">
        <f>WarehouseData[[#This Row],[stock_level]]/WarehouseData[[#This Row],[daily_demand]]</f>
        <v>8.8027310412094621</v>
      </c>
      <c r="AB545">
        <f>WarehouseData[[#This Row],[stock_level]]*WarehouseData[[#This Row],[unit_price]]</f>
        <v>60741.859999999993</v>
      </c>
      <c r="AC545">
        <f>WarehouseData[[#This Row],[stock_level]]*WarehouseData[[#This Row],[holding_cost_per_unit_day]]*30</f>
        <v>14512.2</v>
      </c>
      <c r="AD545" t="str">
        <f>IF(WarehouseData[[#This Row],[order_fulfillment_rate]]&gt;=0.9,"Strong",IF(WarehouseData[[#This Row],[order_fulfillment_rate]]&gt;=0.8,"Moderate","Needs Attention"))</f>
        <v>Needs Attention</v>
      </c>
      <c r="AE545" t="str">
        <f>IF(WarehouseData[[#This Row],[picking_time_seconds]]&gt;120,"Slow",IF(WarehouseData[[#This Row],[picking_time_seconds]]&gt;=60,"Average","Fast"))</f>
        <v>Slow</v>
      </c>
    </row>
    <row r="546" spans="1:31" x14ac:dyDescent="0.25">
      <c r="A546" t="s">
        <v>684</v>
      </c>
      <c r="B546" t="s">
        <v>73</v>
      </c>
      <c r="C546">
        <v>112</v>
      </c>
      <c r="D546">
        <v>27</v>
      </c>
      <c r="E546">
        <v>8</v>
      </c>
      <c r="F546">
        <v>7</v>
      </c>
      <c r="G546">
        <v>33.1</v>
      </c>
      <c r="H546">
        <v>6.25</v>
      </c>
      <c r="I546">
        <v>0.73</v>
      </c>
      <c r="J546" t="s">
        <v>401</v>
      </c>
      <c r="K546" t="s">
        <v>38</v>
      </c>
      <c r="L546">
        <v>115</v>
      </c>
      <c r="M546">
        <v>4.5999999999999996</v>
      </c>
      <c r="N546">
        <v>107.42</v>
      </c>
      <c r="O546">
        <v>0.82</v>
      </c>
      <c r="P546">
        <v>6</v>
      </c>
      <c r="Q546">
        <v>0.87</v>
      </c>
      <c r="R546">
        <v>347</v>
      </c>
      <c r="S546">
        <v>4.3</v>
      </c>
      <c r="T546">
        <v>0.28000000000000003</v>
      </c>
      <c r="U546" s="1">
        <v>45448</v>
      </c>
      <c r="V546">
        <v>272.95</v>
      </c>
      <c r="W546">
        <v>0.48499999999999999</v>
      </c>
      <c r="X546" t="str">
        <f>IF(WarehouseData[[#This Row],[stock_level]]&lt;=WarehouseData[[#This Row],[reorder_point]],"Low Stock","Sufficient Stock")</f>
        <v>Sufficient Stock</v>
      </c>
      <c r="Y546">
        <f>WarehouseData[[#This Row],[daily_demand]]*WarehouseData[[#This Row],[lead_time_days]]</f>
        <v>231.70000000000002</v>
      </c>
      <c r="Z546" t="str">
        <f>IF(WarehouseData[[#This Row],[stock_level]]&lt;=WarehouseData[[#This Row],[Demand During Lead Time]],"At Risk","Safe")</f>
        <v>At Risk</v>
      </c>
      <c r="AA546">
        <f>WarehouseData[[#This Row],[stock_level]]/WarehouseData[[#This Row],[daily_demand]]</f>
        <v>3.3836858006042294</v>
      </c>
      <c r="AB546">
        <f>WarehouseData[[#This Row],[stock_level]]*WarehouseData[[#This Row],[unit_price]]</f>
        <v>12031.04</v>
      </c>
      <c r="AC546">
        <f>WarehouseData[[#This Row],[stock_level]]*WarehouseData[[#This Row],[holding_cost_per_unit_day]]*30</f>
        <v>2755.2</v>
      </c>
      <c r="AD546" t="str">
        <f>IF(WarehouseData[[#This Row],[order_fulfillment_rate]]&gt;=0.9,"Strong",IF(WarehouseData[[#This Row],[order_fulfillment_rate]]&gt;=0.8,"Moderate","Needs Attention"))</f>
        <v>Moderate</v>
      </c>
      <c r="AE546" t="str">
        <f>IF(WarehouseData[[#This Row],[picking_time_seconds]]&gt;120,"Slow",IF(WarehouseData[[#This Row],[picking_time_seconds]]&gt;=60,"Average","Fast"))</f>
        <v>Average</v>
      </c>
    </row>
    <row r="547" spans="1:31" x14ac:dyDescent="0.25">
      <c r="A547" t="s">
        <v>685</v>
      </c>
      <c r="B547" t="s">
        <v>36</v>
      </c>
      <c r="C547">
        <v>105</v>
      </c>
      <c r="D547">
        <v>96</v>
      </c>
      <c r="E547">
        <v>4</v>
      </c>
      <c r="F547">
        <v>6</v>
      </c>
      <c r="G547">
        <v>25.85</v>
      </c>
      <c r="H547">
        <v>5.15</v>
      </c>
      <c r="I547">
        <v>0.18</v>
      </c>
      <c r="J547" t="s">
        <v>41</v>
      </c>
      <c r="K547" t="s">
        <v>46</v>
      </c>
      <c r="L547">
        <v>155</v>
      </c>
      <c r="M547">
        <v>0.91</v>
      </c>
      <c r="N547">
        <v>39.869999999999997</v>
      </c>
      <c r="O547">
        <v>0.86</v>
      </c>
      <c r="P547">
        <v>7</v>
      </c>
      <c r="Q547">
        <v>0.7</v>
      </c>
      <c r="R547">
        <v>328</v>
      </c>
      <c r="S547">
        <v>9.6199999999999992</v>
      </c>
      <c r="T547">
        <v>0.24</v>
      </c>
      <c r="U547" s="1">
        <v>45351</v>
      </c>
      <c r="V547">
        <v>20.55</v>
      </c>
      <c r="W547">
        <v>0.49</v>
      </c>
      <c r="X547" t="str">
        <f>IF(WarehouseData[[#This Row],[stock_level]]&lt;=WarehouseData[[#This Row],[reorder_point]],"Low Stock","Sufficient Stock")</f>
        <v>Sufficient Stock</v>
      </c>
      <c r="Y547">
        <f>WarehouseData[[#This Row],[daily_demand]]*WarehouseData[[#This Row],[lead_time_days]]</f>
        <v>155.10000000000002</v>
      </c>
      <c r="Z547" t="str">
        <f>IF(WarehouseData[[#This Row],[stock_level]]&lt;=WarehouseData[[#This Row],[Demand During Lead Time]],"At Risk","Safe")</f>
        <v>At Risk</v>
      </c>
      <c r="AA547">
        <f>WarehouseData[[#This Row],[stock_level]]/WarehouseData[[#This Row],[daily_demand]]</f>
        <v>4.061895551257253</v>
      </c>
      <c r="AB547">
        <f>WarehouseData[[#This Row],[stock_level]]*WarehouseData[[#This Row],[unit_price]]</f>
        <v>4186.3499999999995</v>
      </c>
      <c r="AC547">
        <f>WarehouseData[[#This Row],[stock_level]]*WarehouseData[[#This Row],[holding_cost_per_unit_day]]*30</f>
        <v>2709</v>
      </c>
      <c r="AD547" t="str">
        <f>IF(WarehouseData[[#This Row],[order_fulfillment_rate]]&gt;=0.9,"Strong",IF(WarehouseData[[#This Row],[order_fulfillment_rate]]&gt;=0.8,"Moderate","Needs Attention"))</f>
        <v>Needs Attention</v>
      </c>
      <c r="AE547" t="str">
        <f>IF(WarehouseData[[#This Row],[picking_time_seconds]]&gt;120,"Slow",IF(WarehouseData[[#This Row],[picking_time_seconds]]&gt;=60,"Average","Fast"))</f>
        <v>Slow</v>
      </c>
    </row>
    <row r="548" spans="1:31" x14ac:dyDescent="0.25">
      <c r="A548" t="s">
        <v>686</v>
      </c>
      <c r="B548" t="s">
        <v>36</v>
      </c>
      <c r="C548">
        <v>63</v>
      </c>
      <c r="D548">
        <v>15</v>
      </c>
      <c r="E548">
        <v>10</v>
      </c>
      <c r="F548">
        <v>8</v>
      </c>
      <c r="G548">
        <v>17.809999999999999</v>
      </c>
      <c r="H548">
        <v>5.14</v>
      </c>
      <c r="I548">
        <v>0.11</v>
      </c>
      <c r="J548" t="s">
        <v>37</v>
      </c>
      <c r="K548" t="s">
        <v>52</v>
      </c>
      <c r="L548">
        <v>114</v>
      </c>
      <c r="M548">
        <v>2.14</v>
      </c>
      <c r="N548">
        <v>22.79</v>
      </c>
      <c r="O548">
        <v>1.05</v>
      </c>
      <c r="P548">
        <v>2</v>
      </c>
      <c r="Q548">
        <v>0.97</v>
      </c>
      <c r="R548">
        <v>345</v>
      </c>
      <c r="S548">
        <v>4.05</v>
      </c>
      <c r="T548">
        <v>0.5</v>
      </c>
      <c r="U548" s="1">
        <v>45385</v>
      </c>
      <c r="V548">
        <v>155.04</v>
      </c>
      <c r="W548">
        <v>0.60299999999999998</v>
      </c>
      <c r="X548" t="str">
        <f>IF(WarehouseData[[#This Row],[stock_level]]&lt;=WarehouseData[[#This Row],[reorder_point]],"Low Stock","Sufficient Stock")</f>
        <v>Sufficient Stock</v>
      </c>
      <c r="Y548">
        <f>WarehouseData[[#This Row],[daily_demand]]*WarehouseData[[#This Row],[lead_time_days]]</f>
        <v>142.47999999999999</v>
      </c>
      <c r="Z548" t="str">
        <f>IF(WarehouseData[[#This Row],[stock_level]]&lt;=WarehouseData[[#This Row],[Demand During Lead Time]],"At Risk","Safe")</f>
        <v>At Risk</v>
      </c>
      <c r="AA548">
        <f>WarehouseData[[#This Row],[stock_level]]/WarehouseData[[#This Row],[daily_demand]]</f>
        <v>3.5373385738349246</v>
      </c>
      <c r="AB548">
        <f>WarehouseData[[#This Row],[stock_level]]*WarehouseData[[#This Row],[unit_price]]</f>
        <v>1435.77</v>
      </c>
      <c r="AC548">
        <f>WarehouseData[[#This Row],[stock_level]]*WarehouseData[[#This Row],[holding_cost_per_unit_day]]*30</f>
        <v>1984.5000000000002</v>
      </c>
      <c r="AD548" t="str">
        <f>IF(WarehouseData[[#This Row],[order_fulfillment_rate]]&gt;=0.9,"Strong",IF(WarehouseData[[#This Row],[order_fulfillment_rate]]&gt;=0.8,"Moderate","Needs Attention"))</f>
        <v>Strong</v>
      </c>
      <c r="AE548" t="str">
        <f>IF(WarehouseData[[#This Row],[picking_time_seconds]]&gt;120,"Slow",IF(WarehouseData[[#This Row],[picking_time_seconds]]&gt;=60,"Average","Fast"))</f>
        <v>Average</v>
      </c>
    </row>
    <row r="549" spans="1:31" x14ac:dyDescent="0.25">
      <c r="A549" t="s">
        <v>687</v>
      </c>
      <c r="B549" t="s">
        <v>48</v>
      </c>
      <c r="C549">
        <v>156</v>
      </c>
      <c r="D549">
        <v>38</v>
      </c>
      <c r="E549">
        <v>13</v>
      </c>
      <c r="F549">
        <v>9</v>
      </c>
      <c r="G549">
        <v>10.029999999999999</v>
      </c>
      <c r="H549">
        <v>1.24</v>
      </c>
      <c r="I549">
        <v>0.25</v>
      </c>
      <c r="J549" t="s">
        <v>129</v>
      </c>
      <c r="K549" t="s">
        <v>34</v>
      </c>
      <c r="L549">
        <v>102</v>
      </c>
      <c r="M549">
        <v>4.07</v>
      </c>
      <c r="N549">
        <v>22.01</v>
      </c>
      <c r="O549">
        <v>0.54</v>
      </c>
      <c r="P549">
        <v>2</v>
      </c>
      <c r="Q549">
        <v>0.98</v>
      </c>
      <c r="R549">
        <v>576</v>
      </c>
      <c r="S549">
        <v>2.4300000000000002</v>
      </c>
      <c r="T549">
        <v>0.8</v>
      </c>
      <c r="U549" s="1">
        <v>45483</v>
      </c>
      <c r="V549">
        <v>69.069999999999993</v>
      </c>
      <c r="W549">
        <v>0.69399999999999995</v>
      </c>
      <c r="X549" t="str">
        <f>IF(WarehouseData[[#This Row],[stock_level]]&lt;=WarehouseData[[#This Row],[reorder_point]],"Low Stock","Sufficient Stock")</f>
        <v>Sufficient Stock</v>
      </c>
      <c r="Y549">
        <f>WarehouseData[[#This Row],[daily_demand]]*WarehouseData[[#This Row],[lead_time_days]]</f>
        <v>90.27</v>
      </c>
      <c r="Z549" t="str">
        <f>IF(WarehouseData[[#This Row],[stock_level]]&lt;=WarehouseData[[#This Row],[Demand During Lead Time]],"At Risk","Safe")</f>
        <v>Safe</v>
      </c>
      <c r="AA549">
        <f>WarehouseData[[#This Row],[stock_level]]/WarehouseData[[#This Row],[daily_demand]]</f>
        <v>15.553339980059821</v>
      </c>
      <c r="AB549">
        <f>WarehouseData[[#This Row],[stock_level]]*WarehouseData[[#This Row],[unit_price]]</f>
        <v>3433.5600000000004</v>
      </c>
      <c r="AC549">
        <f>WarehouseData[[#This Row],[stock_level]]*WarehouseData[[#This Row],[holding_cost_per_unit_day]]*30</f>
        <v>2527.2000000000003</v>
      </c>
      <c r="AD549" t="str">
        <f>IF(WarehouseData[[#This Row],[order_fulfillment_rate]]&gt;=0.9,"Strong",IF(WarehouseData[[#This Row],[order_fulfillment_rate]]&gt;=0.8,"Moderate","Needs Attention"))</f>
        <v>Strong</v>
      </c>
      <c r="AE549" t="str">
        <f>IF(WarehouseData[[#This Row],[picking_time_seconds]]&gt;120,"Slow",IF(WarehouseData[[#This Row],[picking_time_seconds]]&gt;=60,"Average","Fast"))</f>
        <v>Average</v>
      </c>
    </row>
    <row r="550" spans="1:31" x14ac:dyDescent="0.25">
      <c r="A550" t="s">
        <v>688</v>
      </c>
      <c r="B550" t="s">
        <v>73</v>
      </c>
      <c r="C550">
        <v>440</v>
      </c>
      <c r="D550">
        <v>34</v>
      </c>
      <c r="E550">
        <v>11</v>
      </c>
      <c r="F550">
        <v>3</v>
      </c>
      <c r="G550">
        <v>6.22</v>
      </c>
      <c r="H550">
        <v>2.31</v>
      </c>
      <c r="I550">
        <v>0.21</v>
      </c>
      <c r="J550" t="s">
        <v>311</v>
      </c>
      <c r="K550" t="s">
        <v>38</v>
      </c>
      <c r="L550">
        <v>50</v>
      </c>
      <c r="M550">
        <v>3.66</v>
      </c>
      <c r="N550">
        <v>58.95</v>
      </c>
      <c r="O550">
        <v>0.98</v>
      </c>
      <c r="P550">
        <v>0</v>
      </c>
      <c r="Q550">
        <v>0.92</v>
      </c>
      <c r="R550">
        <v>164</v>
      </c>
      <c r="S550">
        <v>8.17</v>
      </c>
      <c r="T550">
        <v>0.89</v>
      </c>
      <c r="U550" s="1">
        <v>45647</v>
      </c>
      <c r="V550">
        <v>260.39</v>
      </c>
      <c r="W550">
        <v>0.77300000000000002</v>
      </c>
      <c r="X550" t="str">
        <f>IF(WarehouseData[[#This Row],[stock_level]]&lt;=WarehouseData[[#This Row],[reorder_point]],"Low Stock","Sufficient Stock")</f>
        <v>Sufficient Stock</v>
      </c>
      <c r="Y550">
        <f>WarehouseData[[#This Row],[daily_demand]]*WarehouseData[[#This Row],[lead_time_days]]</f>
        <v>18.66</v>
      </c>
      <c r="Z550" t="str">
        <f>IF(WarehouseData[[#This Row],[stock_level]]&lt;=WarehouseData[[#This Row],[Demand During Lead Time]],"At Risk","Safe")</f>
        <v>Safe</v>
      </c>
      <c r="AA550">
        <f>WarehouseData[[#This Row],[stock_level]]/WarehouseData[[#This Row],[daily_demand]]</f>
        <v>70.739549839228303</v>
      </c>
      <c r="AB550">
        <f>WarehouseData[[#This Row],[stock_level]]*WarehouseData[[#This Row],[unit_price]]</f>
        <v>25938</v>
      </c>
      <c r="AC550">
        <f>WarehouseData[[#This Row],[stock_level]]*WarehouseData[[#This Row],[holding_cost_per_unit_day]]*30</f>
        <v>12936</v>
      </c>
      <c r="AD550" t="str">
        <f>IF(WarehouseData[[#This Row],[order_fulfillment_rate]]&gt;=0.9,"Strong",IF(WarehouseData[[#This Row],[order_fulfillment_rate]]&gt;=0.8,"Moderate","Needs Attention"))</f>
        <v>Strong</v>
      </c>
      <c r="AE550" t="str">
        <f>IF(WarehouseData[[#This Row],[picking_time_seconds]]&gt;120,"Slow",IF(WarehouseData[[#This Row],[picking_time_seconds]]&gt;=60,"Average","Fast"))</f>
        <v>Fast</v>
      </c>
    </row>
    <row r="551" spans="1:31" x14ac:dyDescent="0.25">
      <c r="A551" t="s">
        <v>689</v>
      </c>
      <c r="B551" t="s">
        <v>48</v>
      </c>
      <c r="C551">
        <v>93</v>
      </c>
      <c r="D551">
        <v>64</v>
      </c>
      <c r="E551">
        <v>4</v>
      </c>
      <c r="F551">
        <v>8</v>
      </c>
      <c r="G551">
        <v>48.49</v>
      </c>
      <c r="H551">
        <v>3.55</v>
      </c>
      <c r="I551">
        <v>0.75</v>
      </c>
      <c r="J551" t="s">
        <v>251</v>
      </c>
      <c r="K551" t="s">
        <v>34</v>
      </c>
      <c r="L551">
        <v>109</v>
      </c>
      <c r="M551">
        <v>0.62</v>
      </c>
      <c r="N551">
        <v>104.87</v>
      </c>
      <c r="O551">
        <v>1.41</v>
      </c>
      <c r="P551">
        <v>2</v>
      </c>
      <c r="Q551">
        <v>0.84</v>
      </c>
      <c r="R551">
        <v>542</v>
      </c>
      <c r="S551">
        <v>11.11</v>
      </c>
      <c r="T551">
        <v>0.63</v>
      </c>
      <c r="U551" s="1">
        <v>45364</v>
      </c>
      <c r="V551">
        <v>144.13</v>
      </c>
      <c r="W551">
        <v>0.66100000000000003</v>
      </c>
      <c r="X551" t="str">
        <f>IF(WarehouseData[[#This Row],[stock_level]]&lt;=WarehouseData[[#This Row],[reorder_point]],"Low Stock","Sufficient Stock")</f>
        <v>Sufficient Stock</v>
      </c>
      <c r="Y551">
        <f>WarehouseData[[#This Row],[daily_demand]]*WarehouseData[[#This Row],[lead_time_days]]</f>
        <v>387.92</v>
      </c>
      <c r="Z551" t="str">
        <f>IF(WarehouseData[[#This Row],[stock_level]]&lt;=WarehouseData[[#This Row],[Demand During Lead Time]],"At Risk","Safe")</f>
        <v>At Risk</v>
      </c>
      <c r="AA551">
        <f>WarehouseData[[#This Row],[stock_level]]/WarehouseData[[#This Row],[daily_demand]]</f>
        <v>1.9179212208702825</v>
      </c>
      <c r="AB551">
        <f>WarehouseData[[#This Row],[stock_level]]*WarehouseData[[#This Row],[unit_price]]</f>
        <v>9752.91</v>
      </c>
      <c r="AC551">
        <f>WarehouseData[[#This Row],[stock_level]]*WarehouseData[[#This Row],[holding_cost_per_unit_day]]*30</f>
        <v>3933.8999999999996</v>
      </c>
      <c r="AD551" t="str">
        <f>IF(WarehouseData[[#This Row],[order_fulfillment_rate]]&gt;=0.9,"Strong",IF(WarehouseData[[#This Row],[order_fulfillment_rate]]&gt;=0.8,"Moderate","Needs Attention"))</f>
        <v>Moderate</v>
      </c>
      <c r="AE551" t="str">
        <f>IF(WarehouseData[[#This Row],[picking_time_seconds]]&gt;120,"Slow",IF(WarehouseData[[#This Row],[picking_time_seconds]]&gt;=60,"Average","Fast"))</f>
        <v>Average</v>
      </c>
    </row>
    <row r="552" spans="1:31" x14ac:dyDescent="0.25">
      <c r="A552" t="s">
        <v>690</v>
      </c>
      <c r="B552" t="s">
        <v>40</v>
      </c>
      <c r="C552">
        <v>55</v>
      </c>
      <c r="D552">
        <v>90</v>
      </c>
      <c r="E552">
        <v>8</v>
      </c>
      <c r="F552">
        <v>7</v>
      </c>
      <c r="G552">
        <v>10.78</v>
      </c>
      <c r="H552">
        <v>4.4800000000000004</v>
      </c>
      <c r="I552">
        <v>0.6</v>
      </c>
      <c r="J552" t="s">
        <v>129</v>
      </c>
      <c r="K552" t="s">
        <v>38</v>
      </c>
      <c r="L552">
        <v>78</v>
      </c>
      <c r="M552">
        <v>2.52</v>
      </c>
      <c r="N552">
        <v>173.45</v>
      </c>
      <c r="O552">
        <v>0.97</v>
      </c>
      <c r="P552">
        <v>4</v>
      </c>
      <c r="Q552">
        <v>0.78</v>
      </c>
      <c r="R552">
        <v>106</v>
      </c>
      <c r="S552">
        <v>6.75</v>
      </c>
      <c r="T552">
        <v>0.87</v>
      </c>
      <c r="U552" s="1">
        <v>45553</v>
      </c>
      <c r="V552">
        <v>148.75</v>
      </c>
      <c r="W552">
        <v>0.64300000000000002</v>
      </c>
      <c r="X552" t="str">
        <f>IF(WarehouseData[[#This Row],[stock_level]]&lt;=WarehouseData[[#This Row],[reorder_point]],"Low Stock","Sufficient Stock")</f>
        <v>Low Stock</v>
      </c>
      <c r="Y552">
        <f>WarehouseData[[#This Row],[daily_demand]]*WarehouseData[[#This Row],[lead_time_days]]</f>
        <v>75.459999999999994</v>
      </c>
      <c r="Z552" t="str">
        <f>IF(WarehouseData[[#This Row],[stock_level]]&lt;=WarehouseData[[#This Row],[Demand During Lead Time]],"At Risk","Safe")</f>
        <v>At Risk</v>
      </c>
      <c r="AA552">
        <f>WarehouseData[[#This Row],[stock_level]]/WarehouseData[[#This Row],[daily_demand]]</f>
        <v>5.1020408163265305</v>
      </c>
      <c r="AB552">
        <f>WarehouseData[[#This Row],[stock_level]]*WarehouseData[[#This Row],[unit_price]]</f>
        <v>9539.75</v>
      </c>
      <c r="AC552">
        <f>WarehouseData[[#This Row],[stock_level]]*WarehouseData[[#This Row],[holding_cost_per_unit_day]]*30</f>
        <v>1600.5</v>
      </c>
      <c r="AD552" t="str">
        <f>IF(WarehouseData[[#This Row],[order_fulfillment_rate]]&gt;=0.9,"Strong",IF(WarehouseData[[#This Row],[order_fulfillment_rate]]&gt;=0.8,"Moderate","Needs Attention"))</f>
        <v>Needs Attention</v>
      </c>
      <c r="AE552" t="str">
        <f>IF(WarehouseData[[#This Row],[picking_time_seconds]]&gt;120,"Slow",IF(WarehouseData[[#This Row],[picking_time_seconds]]&gt;=60,"Average","Fast"))</f>
        <v>Average</v>
      </c>
    </row>
    <row r="553" spans="1:31" x14ac:dyDescent="0.25">
      <c r="A553" t="s">
        <v>691</v>
      </c>
      <c r="B553" t="s">
        <v>48</v>
      </c>
      <c r="C553">
        <v>120</v>
      </c>
      <c r="D553">
        <v>55</v>
      </c>
      <c r="E553">
        <v>8</v>
      </c>
      <c r="F553">
        <v>6</v>
      </c>
      <c r="G553">
        <v>3.93</v>
      </c>
      <c r="H553">
        <v>6.14</v>
      </c>
      <c r="I553">
        <v>0.56999999999999995</v>
      </c>
      <c r="J553" t="s">
        <v>70</v>
      </c>
      <c r="K553" t="s">
        <v>52</v>
      </c>
      <c r="L553">
        <v>115</v>
      </c>
      <c r="M553">
        <v>4.2300000000000004</v>
      </c>
      <c r="N553">
        <v>181.56</v>
      </c>
      <c r="O553">
        <v>0.18</v>
      </c>
      <c r="P553">
        <v>5</v>
      </c>
      <c r="Q553">
        <v>0.92</v>
      </c>
      <c r="R553">
        <v>928</v>
      </c>
      <c r="S553">
        <v>10.78</v>
      </c>
      <c r="T553">
        <v>0.22</v>
      </c>
      <c r="U553" s="1">
        <v>45490</v>
      </c>
      <c r="V553">
        <v>191.97</v>
      </c>
      <c r="W553">
        <v>0.65400000000000003</v>
      </c>
      <c r="X553" t="str">
        <f>IF(WarehouseData[[#This Row],[stock_level]]&lt;=WarehouseData[[#This Row],[reorder_point]],"Low Stock","Sufficient Stock")</f>
        <v>Sufficient Stock</v>
      </c>
      <c r="Y553">
        <f>WarehouseData[[#This Row],[daily_demand]]*WarehouseData[[#This Row],[lead_time_days]]</f>
        <v>23.580000000000002</v>
      </c>
      <c r="Z553" t="str">
        <f>IF(WarehouseData[[#This Row],[stock_level]]&lt;=WarehouseData[[#This Row],[Demand During Lead Time]],"At Risk","Safe")</f>
        <v>Safe</v>
      </c>
      <c r="AA553">
        <f>WarehouseData[[#This Row],[stock_level]]/WarehouseData[[#This Row],[daily_demand]]</f>
        <v>30.534351145038165</v>
      </c>
      <c r="AB553">
        <f>WarehouseData[[#This Row],[stock_level]]*WarehouseData[[#This Row],[unit_price]]</f>
        <v>21787.200000000001</v>
      </c>
      <c r="AC553">
        <f>WarehouseData[[#This Row],[stock_level]]*WarehouseData[[#This Row],[holding_cost_per_unit_day]]*30</f>
        <v>647.99999999999989</v>
      </c>
      <c r="AD553" t="str">
        <f>IF(WarehouseData[[#This Row],[order_fulfillment_rate]]&gt;=0.9,"Strong",IF(WarehouseData[[#This Row],[order_fulfillment_rate]]&gt;=0.8,"Moderate","Needs Attention"))</f>
        <v>Strong</v>
      </c>
      <c r="AE553" t="str">
        <f>IF(WarehouseData[[#This Row],[picking_time_seconds]]&gt;120,"Slow",IF(WarehouseData[[#This Row],[picking_time_seconds]]&gt;=60,"Average","Fast"))</f>
        <v>Average</v>
      </c>
    </row>
    <row r="554" spans="1:31" x14ac:dyDescent="0.25">
      <c r="A554" t="s">
        <v>692</v>
      </c>
      <c r="B554" t="s">
        <v>48</v>
      </c>
      <c r="C554">
        <v>495</v>
      </c>
      <c r="D554">
        <v>33</v>
      </c>
      <c r="E554">
        <v>10</v>
      </c>
      <c r="F554">
        <v>6</v>
      </c>
      <c r="G554">
        <v>48.12</v>
      </c>
      <c r="H554">
        <v>8.6999999999999993</v>
      </c>
      <c r="I554">
        <v>0.33</v>
      </c>
      <c r="J554" t="s">
        <v>57</v>
      </c>
      <c r="K554" t="s">
        <v>38</v>
      </c>
      <c r="L554">
        <v>148</v>
      </c>
      <c r="M554">
        <v>3.82</v>
      </c>
      <c r="N554">
        <v>168.14</v>
      </c>
      <c r="O554">
        <v>0.59</v>
      </c>
      <c r="P554">
        <v>2</v>
      </c>
      <c r="Q554">
        <v>0.98</v>
      </c>
      <c r="R554">
        <v>191</v>
      </c>
      <c r="S554">
        <v>13.05</v>
      </c>
      <c r="T554">
        <v>0.56000000000000005</v>
      </c>
      <c r="U554" s="1">
        <v>45506</v>
      </c>
      <c r="V554">
        <v>26.13</v>
      </c>
      <c r="W554">
        <v>0.78300000000000003</v>
      </c>
      <c r="X554" t="str">
        <f>IF(WarehouseData[[#This Row],[stock_level]]&lt;=WarehouseData[[#This Row],[reorder_point]],"Low Stock","Sufficient Stock")</f>
        <v>Sufficient Stock</v>
      </c>
      <c r="Y554">
        <f>WarehouseData[[#This Row],[daily_demand]]*WarehouseData[[#This Row],[lead_time_days]]</f>
        <v>288.71999999999997</v>
      </c>
      <c r="Z554" t="str">
        <f>IF(WarehouseData[[#This Row],[stock_level]]&lt;=WarehouseData[[#This Row],[Demand During Lead Time]],"At Risk","Safe")</f>
        <v>Safe</v>
      </c>
      <c r="AA554">
        <f>WarehouseData[[#This Row],[stock_level]]/WarehouseData[[#This Row],[daily_demand]]</f>
        <v>10.286783042394015</v>
      </c>
      <c r="AB554">
        <f>WarehouseData[[#This Row],[stock_level]]*WarehouseData[[#This Row],[unit_price]]</f>
        <v>83229.299999999988</v>
      </c>
      <c r="AC554">
        <f>WarehouseData[[#This Row],[stock_level]]*WarehouseData[[#This Row],[holding_cost_per_unit_day]]*30</f>
        <v>8761.5</v>
      </c>
      <c r="AD554" t="str">
        <f>IF(WarehouseData[[#This Row],[order_fulfillment_rate]]&gt;=0.9,"Strong",IF(WarehouseData[[#This Row],[order_fulfillment_rate]]&gt;=0.8,"Moderate","Needs Attention"))</f>
        <v>Strong</v>
      </c>
      <c r="AE554" t="str">
        <f>IF(WarehouseData[[#This Row],[picking_time_seconds]]&gt;120,"Slow",IF(WarehouseData[[#This Row],[picking_time_seconds]]&gt;=60,"Average","Fast"))</f>
        <v>Slow</v>
      </c>
    </row>
    <row r="555" spans="1:31" x14ac:dyDescent="0.25">
      <c r="A555" t="s">
        <v>693</v>
      </c>
      <c r="B555" t="s">
        <v>36</v>
      </c>
      <c r="C555">
        <v>175</v>
      </c>
      <c r="D555">
        <v>84</v>
      </c>
      <c r="E555">
        <v>12</v>
      </c>
      <c r="F555">
        <v>5</v>
      </c>
      <c r="G555">
        <v>27.9</v>
      </c>
      <c r="H555">
        <v>2.0099999999999998</v>
      </c>
      <c r="I555">
        <v>0.24</v>
      </c>
      <c r="J555" t="s">
        <v>273</v>
      </c>
      <c r="K555" t="s">
        <v>52</v>
      </c>
      <c r="L555">
        <v>155</v>
      </c>
      <c r="M555">
        <v>2.35</v>
      </c>
      <c r="N555">
        <v>72.430000000000007</v>
      </c>
      <c r="O555">
        <v>0.77</v>
      </c>
      <c r="P555">
        <v>3</v>
      </c>
      <c r="Q555">
        <v>0.75</v>
      </c>
      <c r="R555">
        <v>768</v>
      </c>
      <c r="S555">
        <v>14.42</v>
      </c>
      <c r="T555">
        <v>0.31</v>
      </c>
      <c r="U555" s="1">
        <v>45597</v>
      </c>
      <c r="V555">
        <v>46.92</v>
      </c>
      <c r="W555">
        <v>0.66700000000000004</v>
      </c>
      <c r="X555" t="str">
        <f>IF(WarehouseData[[#This Row],[stock_level]]&lt;=WarehouseData[[#This Row],[reorder_point]],"Low Stock","Sufficient Stock")</f>
        <v>Sufficient Stock</v>
      </c>
      <c r="Y555">
        <f>WarehouseData[[#This Row],[daily_demand]]*WarehouseData[[#This Row],[lead_time_days]]</f>
        <v>139.5</v>
      </c>
      <c r="Z555" t="str">
        <f>IF(WarehouseData[[#This Row],[stock_level]]&lt;=WarehouseData[[#This Row],[Demand During Lead Time]],"At Risk","Safe")</f>
        <v>Safe</v>
      </c>
      <c r="AA555">
        <f>WarehouseData[[#This Row],[stock_level]]/WarehouseData[[#This Row],[daily_demand]]</f>
        <v>6.2724014336917566</v>
      </c>
      <c r="AB555">
        <f>WarehouseData[[#This Row],[stock_level]]*WarehouseData[[#This Row],[unit_price]]</f>
        <v>12675.250000000002</v>
      </c>
      <c r="AC555">
        <f>WarehouseData[[#This Row],[stock_level]]*WarehouseData[[#This Row],[holding_cost_per_unit_day]]*30</f>
        <v>4042.5</v>
      </c>
      <c r="AD555" t="str">
        <f>IF(WarehouseData[[#This Row],[order_fulfillment_rate]]&gt;=0.9,"Strong",IF(WarehouseData[[#This Row],[order_fulfillment_rate]]&gt;=0.8,"Moderate","Needs Attention"))</f>
        <v>Needs Attention</v>
      </c>
      <c r="AE555" t="str">
        <f>IF(WarehouseData[[#This Row],[picking_time_seconds]]&gt;120,"Slow",IF(WarehouseData[[#This Row],[picking_time_seconds]]&gt;=60,"Average","Fast"))</f>
        <v>Slow</v>
      </c>
    </row>
    <row r="556" spans="1:31" x14ac:dyDescent="0.25">
      <c r="A556" t="s">
        <v>694</v>
      </c>
      <c r="B556" t="s">
        <v>36</v>
      </c>
      <c r="C556">
        <v>445</v>
      </c>
      <c r="D556">
        <v>35</v>
      </c>
      <c r="E556">
        <v>14</v>
      </c>
      <c r="F556">
        <v>3</v>
      </c>
      <c r="G556">
        <v>40.04</v>
      </c>
      <c r="H556">
        <v>0.64</v>
      </c>
      <c r="I556">
        <v>0.28999999999999998</v>
      </c>
      <c r="J556" t="s">
        <v>301</v>
      </c>
      <c r="K556" t="s">
        <v>34</v>
      </c>
      <c r="L556">
        <v>149</v>
      </c>
      <c r="M556">
        <v>3.81</v>
      </c>
      <c r="N556">
        <v>68.25</v>
      </c>
      <c r="O556">
        <v>0.77</v>
      </c>
      <c r="P556">
        <v>4</v>
      </c>
      <c r="Q556">
        <v>0.84</v>
      </c>
      <c r="R556">
        <v>701</v>
      </c>
      <c r="S556">
        <v>4.2699999999999996</v>
      </c>
      <c r="T556">
        <v>0.67</v>
      </c>
      <c r="U556" s="1">
        <v>45362</v>
      </c>
      <c r="V556">
        <v>154.53</v>
      </c>
      <c r="W556">
        <v>0.60199999999999998</v>
      </c>
      <c r="X556" t="str">
        <f>IF(WarehouseData[[#This Row],[stock_level]]&lt;=WarehouseData[[#This Row],[reorder_point]],"Low Stock","Sufficient Stock")</f>
        <v>Sufficient Stock</v>
      </c>
      <c r="Y556">
        <f>WarehouseData[[#This Row],[daily_demand]]*WarehouseData[[#This Row],[lead_time_days]]</f>
        <v>120.12</v>
      </c>
      <c r="Z556" t="str">
        <f>IF(WarehouseData[[#This Row],[stock_level]]&lt;=WarehouseData[[#This Row],[Demand During Lead Time]],"At Risk","Safe")</f>
        <v>Safe</v>
      </c>
      <c r="AA556">
        <f>WarehouseData[[#This Row],[stock_level]]/WarehouseData[[#This Row],[daily_demand]]</f>
        <v>11.113886113886114</v>
      </c>
      <c r="AB556">
        <f>WarehouseData[[#This Row],[stock_level]]*WarehouseData[[#This Row],[unit_price]]</f>
        <v>30371.25</v>
      </c>
      <c r="AC556">
        <f>WarehouseData[[#This Row],[stock_level]]*WarehouseData[[#This Row],[holding_cost_per_unit_day]]*30</f>
        <v>10279.500000000002</v>
      </c>
      <c r="AD556" t="str">
        <f>IF(WarehouseData[[#This Row],[order_fulfillment_rate]]&gt;=0.9,"Strong",IF(WarehouseData[[#This Row],[order_fulfillment_rate]]&gt;=0.8,"Moderate","Needs Attention"))</f>
        <v>Moderate</v>
      </c>
      <c r="AE556" t="str">
        <f>IF(WarehouseData[[#This Row],[picking_time_seconds]]&gt;120,"Slow",IF(WarehouseData[[#This Row],[picking_time_seconds]]&gt;=60,"Average","Fast"))</f>
        <v>Slow</v>
      </c>
    </row>
    <row r="557" spans="1:31" x14ac:dyDescent="0.25">
      <c r="A557" t="s">
        <v>695</v>
      </c>
      <c r="B557" t="s">
        <v>36</v>
      </c>
      <c r="C557">
        <v>274</v>
      </c>
      <c r="D557">
        <v>37</v>
      </c>
      <c r="E557">
        <v>7</v>
      </c>
      <c r="F557">
        <v>3</v>
      </c>
      <c r="G557">
        <v>3.14</v>
      </c>
      <c r="H557">
        <v>4.7699999999999996</v>
      </c>
      <c r="I557">
        <v>0.46</v>
      </c>
      <c r="J557" t="s">
        <v>126</v>
      </c>
      <c r="K557" t="s">
        <v>52</v>
      </c>
      <c r="L557">
        <v>153</v>
      </c>
      <c r="M557">
        <v>2.98</v>
      </c>
      <c r="N557">
        <v>197.62</v>
      </c>
      <c r="O557">
        <v>0.25</v>
      </c>
      <c r="P557">
        <v>4</v>
      </c>
      <c r="Q557">
        <v>0.79</v>
      </c>
      <c r="R557">
        <v>668</v>
      </c>
      <c r="S557">
        <v>9.48</v>
      </c>
      <c r="T557">
        <v>0.94</v>
      </c>
      <c r="U557" s="1">
        <v>45586</v>
      </c>
      <c r="V557">
        <v>290.35000000000002</v>
      </c>
      <c r="W557">
        <v>0.76700000000000002</v>
      </c>
      <c r="X557" t="str">
        <f>IF(WarehouseData[[#This Row],[stock_level]]&lt;=WarehouseData[[#This Row],[reorder_point]],"Low Stock","Sufficient Stock")</f>
        <v>Sufficient Stock</v>
      </c>
      <c r="Y557">
        <f>WarehouseData[[#This Row],[daily_demand]]*WarehouseData[[#This Row],[lead_time_days]]</f>
        <v>9.42</v>
      </c>
      <c r="Z557" t="str">
        <f>IF(WarehouseData[[#This Row],[stock_level]]&lt;=WarehouseData[[#This Row],[Demand During Lead Time]],"At Risk","Safe")</f>
        <v>Safe</v>
      </c>
      <c r="AA557">
        <f>WarehouseData[[#This Row],[stock_level]]/WarehouseData[[#This Row],[daily_demand]]</f>
        <v>87.261146496815286</v>
      </c>
      <c r="AB557">
        <f>WarehouseData[[#This Row],[stock_level]]*WarehouseData[[#This Row],[unit_price]]</f>
        <v>54147.880000000005</v>
      </c>
      <c r="AC557">
        <f>WarehouseData[[#This Row],[stock_level]]*WarehouseData[[#This Row],[holding_cost_per_unit_day]]*30</f>
        <v>2055</v>
      </c>
      <c r="AD557" t="str">
        <f>IF(WarehouseData[[#This Row],[order_fulfillment_rate]]&gt;=0.9,"Strong",IF(WarehouseData[[#This Row],[order_fulfillment_rate]]&gt;=0.8,"Moderate","Needs Attention"))</f>
        <v>Needs Attention</v>
      </c>
      <c r="AE557" t="str">
        <f>IF(WarehouseData[[#This Row],[picking_time_seconds]]&gt;120,"Slow",IF(WarehouseData[[#This Row],[picking_time_seconds]]&gt;=60,"Average","Fast"))</f>
        <v>Slow</v>
      </c>
    </row>
    <row r="558" spans="1:31" x14ac:dyDescent="0.25">
      <c r="A558" t="s">
        <v>696</v>
      </c>
      <c r="B558" t="s">
        <v>40</v>
      </c>
      <c r="C558">
        <v>190</v>
      </c>
      <c r="D558">
        <v>12</v>
      </c>
      <c r="E558">
        <v>11</v>
      </c>
      <c r="F558">
        <v>7</v>
      </c>
      <c r="G558">
        <v>28.78</v>
      </c>
      <c r="H558">
        <v>4.5999999999999996</v>
      </c>
      <c r="I558">
        <v>0.77</v>
      </c>
      <c r="J558" t="s">
        <v>133</v>
      </c>
      <c r="K558" t="s">
        <v>34</v>
      </c>
      <c r="L558">
        <v>36</v>
      </c>
      <c r="M558">
        <v>4.6100000000000003</v>
      </c>
      <c r="N558">
        <v>139.44</v>
      </c>
      <c r="O558">
        <v>0.95</v>
      </c>
      <c r="P558">
        <v>8</v>
      </c>
      <c r="Q558">
        <v>0.81</v>
      </c>
      <c r="R558">
        <v>934</v>
      </c>
      <c r="S558">
        <v>4.74</v>
      </c>
      <c r="T558">
        <v>0.21</v>
      </c>
      <c r="U558" s="1">
        <v>45488</v>
      </c>
      <c r="V558">
        <v>254.65</v>
      </c>
      <c r="W558">
        <v>0.41199999999999998</v>
      </c>
      <c r="X558" t="str">
        <f>IF(WarehouseData[[#This Row],[stock_level]]&lt;=WarehouseData[[#This Row],[reorder_point]],"Low Stock","Sufficient Stock")</f>
        <v>Sufficient Stock</v>
      </c>
      <c r="Y558">
        <f>WarehouseData[[#This Row],[daily_demand]]*WarehouseData[[#This Row],[lead_time_days]]</f>
        <v>201.46</v>
      </c>
      <c r="Z558" t="str">
        <f>IF(WarehouseData[[#This Row],[stock_level]]&lt;=WarehouseData[[#This Row],[Demand During Lead Time]],"At Risk","Safe")</f>
        <v>At Risk</v>
      </c>
      <c r="AA558">
        <f>WarehouseData[[#This Row],[stock_level]]/WarehouseData[[#This Row],[daily_demand]]</f>
        <v>6.6018068102849199</v>
      </c>
      <c r="AB558">
        <f>WarehouseData[[#This Row],[stock_level]]*WarehouseData[[#This Row],[unit_price]]</f>
        <v>26493.599999999999</v>
      </c>
      <c r="AC558">
        <f>WarehouseData[[#This Row],[stock_level]]*WarehouseData[[#This Row],[holding_cost_per_unit_day]]*30</f>
        <v>5415</v>
      </c>
      <c r="AD558" t="str">
        <f>IF(WarehouseData[[#This Row],[order_fulfillment_rate]]&gt;=0.9,"Strong",IF(WarehouseData[[#This Row],[order_fulfillment_rate]]&gt;=0.8,"Moderate","Needs Attention"))</f>
        <v>Moderate</v>
      </c>
      <c r="AE558" t="str">
        <f>IF(WarehouseData[[#This Row],[picking_time_seconds]]&gt;120,"Slow",IF(WarehouseData[[#This Row],[picking_time_seconds]]&gt;=60,"Average","Fast"))</f>
        <v>Fast</v>
      </c>
    </row>
    <row r="559" spans="1:31" x14ac:dyDescent="0.25">
      <c r="A559" t="s">
        <v>697</v>
      </c>
      <c r="B559" t="s">
        <v>36</v>
      </c>
      <c r="C559">
        <v>488</v>
      </c>
      <c r="D559">
        <v>84</v>
      </c>
      <c r="E559">
        <v>3</v>
      </c>
      <c r="F559">
        <v>6</v>
      </c>
      <c r="G559">
        <v>20.51</v>
      </c>
      <c r="H559">
        <v>5.74</v>
      </c>
      <c r="I559">
        <v>0.33</v>
      </c>
      <c r="J559" t="s">
        <v>221</v>
      </c>
      <c r="K559" t="s">
        <v>52</v>
      </c>
      <c r="L559">
        <v>109</v>
      </c>
      <c r="M559">
        <v>3.14</v>
      </c>
      <c r="N559">
        <v>67.94</v>
      </c>
      <c r="O559">
        <v>1.41</v>
      </c>
      <c r="P559">
        <v>7</v>
      </c>
      <c r="Q559">
        <v>0.82</v>
      </c>
      <c r="R559">
        <v>852</v>
      </c>
      <c r="S559">
        <v>13.19</v>
      </c>
      <c r="T559">
        <v>0.73</v>
      </c>
      <c r="U559" s="1">
        <v>45508</v>
      </c>
      <c r="V559">
        <v>267.91000000000003</v>
      </c>
      <c r="W559">
        <v>0.60499999999999998</v>
      </c>
      <c r="X559" t="str">
        <f>IF(WarehouseData[[#This Row],[stock_level]]&lt;=WarehouseData[[#This Row],[reorder_point]],"Low Stock","Sufficient Stock")</f>
        <v>Sufficient Stock</v>
      </c>
      <c r="Y559">
        <f>WarehouseData[[#This Row],[daily_demand]]*WarehouseData[[#This Row],[lead_time_days]]</f>
        <v>123.06</v>
      </c>
      <c r="Z559" t="str">
        <f>IF(WarehouseData[[#This Row],[stock_level]]&lt;=WarehouseData[[#This Row],[Demand During Lead Time]],"At Risk","Safe")</f>
        <v>Safe</v>
      </c>
      <c r="AA559">
        <f>WarehouseData[[#This Row],[stock_level]]/WarehouseData[[#This Row],[daily_demand]]</f>
        <v>23.79327157484154</v>
      </c>
      <c r="AB559">
        <f>WarehouseData[[#This Row],[stock_level]]*WarehouseData[[#This Row],[unit_price]]</f>
        <v>33154.720000000001</v>
      </c>
      <c r="AC559">
        <f>WarehouseData[[#This Row],[stock_level]]*WarehouseData[[#This Row],[holding_cost_per_unit_day]]*30</f>
        <v>20642.399999999998</v>
      </c>
      <c r="AD559" t="str">
        <f>IF(WarehouseData[[#This Row],[order_fulfillment_rate]]&gt;=0.9,"Strong",IF(WarehouseData[[#This Row],[order_fulfillment_rate]]&gt;=0.8,"Moderate","Needs Attention"))</f>
        <v>Moderate</v>
      </c>
      <c r="AE559" t="str">
        <f>IF(WarehouseData[[#This Row],[picking_time_seconds]]&gt;120,"Slow",IF(WarehouseData[[#This Row],[picking_time_seconds]]&gt;=60,"Average","Fast"))</f>
        <v>Average</v>
      </c>
    </row>
    <row r="560" spans="1:31" x14ac:dyDescent="0.25">
      <c r="A560" t="s">
        <v>698</v>
      </c>
      <c r="B560" t="s">
        <v>73</v>
      </c>
      <c r="C560">
        <v>235</v>
      </c>
      <c r="D560">
        <v>47</v>
      </c>
      <c r="E560">
        <v>11</v>
      </c>
      <c r="F560">
        <v>9</v>
      </c>
      <c r="G560">
        <v>38.83</v>
      </c>
      <c r="H560">
        <v>8.42</v>
      </c>
      <c r="I560">
        <v>0.73</v>
      </c>
      <c r="J560" t="s">
        <v>301</v>
      </c>
      <c r="K560" t="s">
        <v>38</v>
      </c>
      <c r="L560">
        <v>154</v>
      </c>
      <c r="M560">
        <v>2.2999999999999998</v>
      </c>
      <c r="N560">
        <v>72.53</v>
      </c>
      <c r="O560">
        <v>0.19</v>
      </c>
      <c r="P560">
        <v>0</v>
      </c>
      <c r="Q560">
        <v>0.99</v>
      </c>
      <c r="R560">
        <v>458</v>
      </c>
      <c r="S560">
        <v>13.46</v>
      </c>
      <c r="T560">
        <v>0.83</v>
      </c>
      <c r="U560" s="1">
        <v>45387</v>
      </c>
      <c r="V560">
        <v>49.77</v>
      </c>
      <c r="W560">
        <v>0.92400000000000004</v>
      </c>
      <c r="X560" t="str">
        <f>IF(WarehouseData[[#This Row],[stock_level]]&lt;=WarehouseData[[#This Row],[reorder_point]],"Low Stock","Sufficient Stock")</f>
        <v>Sufficient Stock</v>
      </c>
      <c r="Y560">
        <f>WarehouseData[[#This Row],[daily_demand]]*WarehouseData[[#This Row],[lead_time_days]]</f>
        <v>349.46999999999997</v>
      </c>
      <c r="Z560" t="str">
        <f>IF(WarehouseData[[#This Row],[stock_level]]&lt;=WarehouseData[[#This Row],[Demand During Lead Time]],"At Risk","Safe")</f>
        <v>At Risk</v>
      </c>
      <c r="AA560">
        <f>WarehouseData[[#This Row],[stock_level]]/WarehouseData[[#This Row],[daily_demand]]</f>
        <v>6.0520216327581773</v>
      </c>
      <c r="AB560">
        <f>WarehouseData[[#This Row],[stock_level]]*WarehouseData[[#This Row],[unit_price]]</f>
        <v>17044.55</v>
      </c>
      <c r="AC560">
        <f>WarehouseData[[#This Row],[stock_level]]*WarehouseData[[#This Row],[holding_cost_per_unit_day]]*30</f>
        <v>1339.5</v>
      </c>
      <c r="AD560" t="str">
        <f>IF(WarehouseData[[#This Row],[order_fulfillment_rate]]&gt;=0.9,"Strong",IF(WarehouseData[[#This Row],[order_fulfillment_rate]]&gt;=0.8,"Moderate","Needs Attention"))</f>
        <v>Strong</v>
      </c>
      <c r="AE560" t="str">
        <f>IF(WarehouseData[[#This Row],[picking_time_seconds]]&gt;120,"Slow",IF(WarehouseData[[#This Row],[picking_time_seconds]]&gt;=60,"Average","Fast"))</f>
        <v>Slow</v>
      </c>
    </row>
    <row r="561" spans="1:31" x14ac:dyDescent="0.25">
      <c r="A561" t="s">
        <v>699</v>
      </c>
      <c r="B561" t="s">
        <v>32</v>
      </c>
      <c r="C561">
        <v>189</v>
      </c>
      <c r="D561">
        <v>70</v>
      </c>
      <c r="E561">
        <v>12</v>
      </c>
      <c r="F561">
        <v>3</v>
      </c>
      <c r="G561">
        <v>2.88</v>
      </c>
      <c r="H561">
        <v>8.1199999999999992</v>
      </c>
      <c r="I561">
        <v>0.54</v>
      </c>
      <c r="J561" t="s">
        <v>81</v>
      </c>
      <c r="K561" t="s">
        <v>38</v>
      </c>
      <c r="L561">
        <v>94</v>
      </c>
      <c r="M561">
        <v>4.38</v>
      </c>
      <c r="N561">
        <v>92.58</v>
      </c>
      <c r="O561">
        <v>1.53</v>
      </c>
      <c r="P561">
        <v>1</v>
      </c>
      <c r="Q561">
        <v>0.78</v>
      </c>
      <c r="R561">
        <v>127</v>
      </c>
      <c r="S561">
        <v>5.51</v>
      </c>
      <c r="T561">
        <v>0.8</v>
      </c>
      <c r="U561" s="1">
        <v>45541</v>
      </c>
      <c r="V561">
        <v>288</v>
      </c>
      <c r="W561">
        <v>0.61599999999999999</v>
      </c>
      <c r="X561" t="str">
        <f>IF(WarehouseData[[#This Row],[stock_level]]&lt;=WarehouseData[[#This Row],[reorder_point]],"Low Stock","Sufficient Stock")</f>
        <v>Sufficient Stock</v>
      </c>
      <c r="Y561">
        <f>WarehouseData[[#This Row],[daily_demand]]*WarehouseData[[#This Row],[lead_time_days]]</f>
        <v>8.64</v>
      </c>
      <c r="Z561" t="str">
        <f>IF(WarehouseData[[#This Row],[stock_level]]&lt;=WarehouseData[[#This Row],[Demand During Lead Time]],"At Risk","Safe")</f>
        <v>Safe</v>
      </c>
      <c r="AA561">
        <f>WarehouseData[[#This Row],[stock_level]]/WarehouseData[[#This Row],[daily_demand]]</f>
        <v>65.625</v>
      </c>
      <c r="AB561">
        <f>WarehouseData[[#This Row],[stock_level]]*WarehouseData[[#This Row],[unit_price]]</f>
        <v>17497.62</v>
      </c>
      <c r="AC561">
        <f>WarehouseData[[#This Row],[stock_level]]*WarehouseData[[#This Row],[holding_cost_per_unit_day]]*30</f>
        <v>8675.1</v>
      </c>
      <c r="AD561" t="str">
        <f>IF(WarehouseData[[#This Row],[order_fulfillment_rate]]&gt;=0.9,"Strong",IF(WarehouseData[[#This Row],[order_fulfillment_rate]]&gt;=0.8,"Moderate","Needs Attention"))</f>
        <v>Needs Attention</v>
      </c>
      <c r="AE561" t="str">
        <f>IF(WarehouseData[[#This Row],[picking_time_seconds]]&gt;120,"Slow",IF(WarehouseData[[#This Row],[picking_time_seconds]]&gt;=60,"Average","Fast"))</f>
        <v>Average</v>
      </c>
    </row>
    <row r="562" spans="1:31" x14ac:dyDescent="0.25">
      <c r="A562" t="s">
        <v>700</v>
      </c>
      <c r="B562" t="s">
        <v>73</v>
      </c>
      <c r="C562">
        <v>271</v>
      </c>
      <c r="D562">
        <v>87</v>
      </c>
      <c r="E562">
        <v>9</v>
      </c>
      <c r="F562">
        <v>3</v>
      </c>
      <c r="G562">
        <v>20.68</v>
      </c>
      <c r="H562">
        <v>1.45</v>
      </c>
      <c r="I562">
        <v>0.9</v>
      </c>
      <c r="J562" t="s">
        <v>259</v>
      </c>
      <c r="K562" t="s">
        <v>52</v>
      </c>
      <c r="L562">
        <v>128</v>
      </c>
      <c r="M562">
        <v>0.72</v>
      </c>
      <c r="N562">
        <v>128.13999999999999</v>
      </c>
      <c r="O562">
        <v>1.91</v>
      </c>
      <c r="P562">
        <v>4</v>
      </c>
      <c r="Q562">
        <v>0.85</v>
      </c>
      <c r="R562">
        <v>51</v>
      </c>
      <c r="S562">
        <v>10.029999999999999</v>
      </c>
      <c r="T562">
        <v>0.22</v>
      </c>
      <c r="U562" s="1">
        <v>45617</v>
      </c>
      <c r="V562">
        <v>221.7</v>
      </c>
      <c r="W562">
        <v>0.47699999999999998</v>
      </c>
      <c r="X562" t="str">
        <f>IF(WarehouseData[[#This Row],[stock_level]]&lt;=WarehouseData[[#This Row],[reorder_point]],"Low Stock","Sufficient Stock")</f>
        <v>Sufficient Stock</v>
      </c>
      <c r="Y562">
        <f>WarehouseData[[#This Row],[daily_demand]]*WarehouseData[[#This Row],[lead_time_days]]</f>
        <v>62.04</v>
      </c>
      <c r="Z562" t="str">
        <f>IF(WarehouseData[[#This Row],[stock_level]]&lt;=WarehouseData[[#This Row],[Demand During Lead Time]],"At Risk","Safe")</f>
        <v>Safe</v>
      </c>
      <c r="AA562">
        <f>WarehouseData[[#This Row],[stock_level]]/WarehouseData[[#This Row],[daily_demand]]</f>
        <v>13.104448742746616</v>
      </c>
      <c r="AB562">
        <f>WarehouseData[[#This Row],[stock_level]]*WarehouseData[[#This Row],[unit_price]]</f>
        <v>34725.939999999995</v>
      </c>
      <c r="AC562">
        <f>WarehouseData[[#This Row],[stock_level]]*WarehouseData[[#This Row],[holding_cost_per_unit_day]]*30</f>
        <v>15528.300000000001</v>
      </c>
      <c r="AD562" t="str">
        <f>IF(WarehouseData[[#This Row],[order_fulfillment_rate]]&gt;=0.9,"Strong",IF(WarehouseData[[#This Row],[order_fulfillment_rate]]&gt;=0.8,"Moderate","Needs Attention"))</f>
        <v>Moderate</v>
      </c>
      <c r="AE562" t="str">
        <f>IF(WarehouseData[[#This Row],[picking_time_seconds]]&gt;120,"Slow",IF(WarehouseData[[#This Row],[picking_time_seconds]]&gt;=60,"Average","Fast"))</f>
        <v>Slow</v>
      </c>
    </row>
    <row r="563" spans="1:31" x14ac:dyDescent="0.25">
      <c r="A563" t="s">
        <v>701</v>
      </c>
      <c r="B563" t="s">
        <v>73</v>
      </c>
      <c r="C563">
        <v>379</v>
      </c>
      <c r="D563">
        <v>60</v>
      </c>
      <c r="E563">
        <v>6</v>
      </c>
      <c r="F563">
        <v>8</v>
      </c>
      <c r="G563">
        <v>40.15</v>
      </c>
      <c r="H563">
        <v>9.3699999999999992</v>
      </c>
      <c r="I563">
        <v>0.31</v>
      </c>
      <c r="J563" t="s">
        <v>37</v>
      </c>
      <c r="K563" t="s">
        <v>34</v>
      </c>
      <c r="L563">
        <v>40</v>
      </c>
      <c r="M563">
        <v>4.55</v>
      </c>
      <c r="N563">
        <v>180.62</v>
      </c>
      <c r="O563">
        <v>0.12</v>
      </c>
      <c r="P563">
        <v>2</v>
      </c>
      <c r="Q563">
        <v>0.99</v>
      </c>
      <c r="R563">
        <v>835</v>
      </c>
      <c r="S563">
        <v>13.43</v>
      </c>
      <c r="T563">
        <v>0.34</v>
      </c>
      <c r="U563" s="1">
        <v>45567</v>
      </c>
      <c r="V563">
        <v>104.45</v>
      </c>
      <c r="W563">
        <v>0.79300000000000004</v>
      </c>
      <c r="X563" t="str">
        <f>IF(WarehouseData[[#This Row],[stock_level]]&lt;=WarehouseData[[#This Row],[reorder_point]],"Low Stock","Sufficient Stock")</f>
        <v>Sufficient Stock</v>
      </c>
      <c r="Y563">
        <f>WarehouseData[[#This Row],[daily_demand]]*WarehouseData[[#This Row],[lead_time_days]]</f>
        <v>321.2</v>
      </c>
      <c r="Z563" t="str">
        <f>IF(WarehouseData[[#This Row],[stock_level]]&lt;=WarehouseData[[#This Row],[Demand During Lead Time]],"At Risk","Safe")</f>
        <v>Safe</v>
      </c>
      <c r="AA563">
        <f>WarehouseData[[#This Row],[stock_level]]/WarehouseData[[#This Row],[daily_demand]]</f>
        <v>9.4396014943960154</v>
      </c>
      <c r="AB563">
        <f>WarehouseData[[#This Row],[stock_level]]*WarehouseData[[#This Row],[unit_price]]</f>
        <v>68454.98</v>
      </c>
      <c r="AC563">
        <f>WarehouseData[[#This Row],[stock_level]]*WarehouseData[[#This Row],[holding_cost_per_unit_day]]*30</f>
        <v>1364.3999999999999</v>
      </c>
      <c r="AD563" t="str">
        <f>IF(WarehouseData[[#This Row],[order_fulfillment_rate]]&gt;=0.9,"Strong",IF(WarehouseData[[#This Row],[order_fulfillment_rate]]&gt;=0.8,"Moderate","Needs Attention"))</f>
        <v>Strong</v>
      </c>
      <c r="AE563" t="str">
        <f>IF(WarehouseData[[#This Row],[picking_time_seconds]]&gt;120,"Slow",IF(WarehouseData[[#This Row],[picking_time_seconds]]&gt;=60,"Average","Fast"))</f>
        <v>Fast</v>
      </c>
    </row>
    <row r="564" spans="1:31" x14ac:dyDescent="0.25">
      <c r="A564" t="s">
        <v>702</v>
      </c>
      <c r="B564" t="s">
        <v>36</v>
      </c>
      <c r="C564">
        <v>341</v>
      </c>
      <c r="D564">
        <v>99</v>
      </c>
      <c r="E564">
        <v>5</v>
      </c>
      <c r="F564">
        <v>7</v>
      </c>
      <c r="G564">
        <v>26.61</v>
      </c>
      <c r="H564">
        <v>1.55</v>
      </c>
      <c r="I564">
        <v>0.51</v>
      </c>
      <c r="J564" t="s">
        <v>276</v>
      </c>
      <c r="K564" t="s">
        <v>34</v>
      </c>
      <c r="L564">
        <v>118</v>
      </c>
      <c r="M564">
        <v>3.63</v>
      </c>
      <c r="N564">
        <v>47.68</v>
      </c>
      <c r="O564">
        <v>0.47</v>
      </c>
      <c r="P564">
        <v>6</v>
      </c>
      <c r="Q564">
        <v>0.84</v>
      </c>
      <c r="R564">
        <v>84</v>
      </c>
      <c r="S564">
        <v>8.1199999999999992</v>
      </c>
      <c r="T564">
        <v>0.28000000000000003</v>
      </c>
      <c r="U564" s="1">
        <v>45647</v>
      </c>
      <c r="V564">
        <v>260.7</v>
      </c>
      <c r="W564">
        <v>0.56499999999999995</v>
      </c>
      <c r="X564" t="str">
        <f>IF(WarehouseData[[#This Row],[stock_level]]&lt;=WarehouseData[[#This Row],[reorder_point]],"Low Stock","Sufficient Stock")</f>
        <v>Sufficient Stock</v>
      </c>
      <c r="Y564">
        <f>WarehouseData[[#This Row],[daily_demand]]*WarehouseData[[#This Row],[lead_time_days]]</f>
        <v>186.26999999999998</v>
      </c>
      <c r="Z564" t="str">
        <f>IF(WarehouseData[[#This Row],[stock_level]]&lt;=WarehouseData[[#This Row],[Demand During Lead Time]],"At Risk","Safe")</f>
        <v>Safe</v>
      </c>
      <c r="AA564">
        <f>WarehouseData[[#This Row],[stock_level]]/WarehouseData[[#This Row],[daily_demand]]</f>
        <v>12.814731304021045</v>
      </c>
      <c r="AB564">
        <f>WarehouseData[[#This Row],[stock_level]]*WarehouseData[[#This Row],[unit_price]]</f>
        <v>16258.88</v>
      </c>
      <c r="AC564">
        <f>WarehouseData[[#This Row],[stock_level]]*WarehouseData[[#This Row],[holding_cost_per_unit_day]]*30</f>
        <v>4808.0999999999995</v>
      </c>
      <c r="AD564" t="str">
        <f>IF(WarehouseData[[#This Row],[order_fulfillment_rate]]&gt;=0.9,"Strong",IF(WarehouseData[[#This Row],[order_fulfillment_rate]]&gt;=0.8,"Moderate","Needs Attention"))</f>
        <v>Moderate</v>
      </c>
      <c r="AE564" t="str">
        <f>IF(WarehouseData[[#This Row],[picking_time_seconds]]&gt;120,"Slow",IF(WarehouseData[[#This Row],[picking_time_seconds]]&gt;=60,"Average","Fast"))</f>
        <v>Average</v>
      </c>
    </row>
    <row r="565" spans="1:31" x14ac:dyDescent="0.25">
      <c r="A565" t="s">
        <v>703</v>
      </c>
      <c r="B565" t="s">
        <v>32</v>
      </c>
      <c r="C565">
        <v>74</v>
      </c>
      <c r="D565">
        <v>57</v>
      </c>
      <c r="E565">
        <v>12</v>
      </c>
      <c r="F565">
        <v>5</v>
      </c>
      <c r="G565">
        <v>27.95</v>
      </c>
      <c r="H565">
        <v>6.53</v>
      </c>
      <c r="I565">
        <v>0.19</v>
      </c>
      <c r="J565" t="s">
        <v>154</v>
      </c>
      <c r="K565" t="s">
        <v>34</v>
      </c>
      <c r="L565">
        <v>172</v>
      </c>
      <c r="M565">
        <v>4.7300000000000004</v>
      </c>
      <c r="N565">
        <v>26.04</v>
      </c>
      <c r="O565">
        <v>1.1299999999999999</v>
      </c>
      <c r="P565">
        <v>5</v>
      </c>
      <c r="Q565">
        <v>0.96</v>
      </c>
      <c r="R565">
        <v>826</v>
      </c>
      <c r="S565">
        <v>11.09</v>
      </c>
      <c r="T565">
        <v>0.27</v>
      </c>
      <c r="U565" s="1">
        <v>45622</v>
      </c>
      <c r="V565">
        <v>226.72</v>
      </c>
      <c r="W565">
        <v>0.58099999999999996</v>
      </c>
      <c r="X565" t="str">
        <f>IF(WarehouseData[[#This Row],[stock_level]]&lt;=WarehouseData[[#This Row],[reorder_point]],"Low Stock","Sufficient Stock")</f>
        <v>Sufficient Stock</v>
      </c>
      <c r="Y565">
        <f>WarehouseData[[#This Row],[daily_demand]]*WarehouseData[[#This Row],[lead_time_days]]</f>
        <v>139.75</v>
      </c>
      <c r="Z565" t="str">
        <f>IF(WarehouseData[[#This Row],[stock_level]]&lt;=WarehouseData[[#This Row],[Demand During Lead Time]],"At Risk","Safe")</f>
        <v>At Risk</v>
      </c>
      <c r="AA565">
        <f>WarehouseData[[#This Row],[stock_level]]/WarehouseData[[#This Row],[daily_demand]]</f>
        <v>2.6475849731663685</v>
      </c>
      <c r="AB565">
        <f>WarehouseData[[#This Row],[stock_level]]*WarehouseData[[#This Row],[unit_price]]</f>
        <v>1926.96</v>
      </c>
      <c r="AC565">
        <f>WarehouseData[[#This Row],[stock_level]]*WarehouseData[[#This Row],[holding_cost_per_unit_day]]*30</f>
        <v>2508.6</v>
      </c>
      <c r="AD565" t="str">
        <f>IF(WarehouseData[[#This Row],[order_fulfillment_rate]]&gt;=0.9,"Strong",IF(WarehouseData[[#This Row],[order_fulfillment_rate]]&gt;=0.8,"Moderate","Needs Attention"))</f>
        <v>Strong</v>
      </c>
      <c r="AE565" t="str">
        <f>IF(WarehouseData[[#This Row],[picking_time_seconds]]&gt;120,"Slow",IF(WarehouseData[[#This Row],[picking_time_seconds]]&gt;=60,"Average","Fast"))</f>
        <v>Slow</v>
      </c>
    </row>
    <row r="566" spans="1:31" x14ac:dyDescent="0.25">
      <c r="A566" t="s">
        <v>704</v>
      </c>
      <c r="B566" t="s">
        <v>32</v>
      </c>
      <c r="C566">
        <v>475</v>
      </c>
      <c r="D566">
        <v>30</v>
      </c>
      <c r="E566">
        <v>13</v>
      </c>
      <c r="F566">
        <v>8</v>
      </c>
      <c r="G566">
        <v>5.76</v>
      </c>
      <c r="H566">
        <v>6.89</v>
      </c>
      <c r="I566">
        <v>0.4</v>
      </c>
      <c r="J566" t="s">
        <v>156</v>
      </c>
      <c r="K566" t="s">
        <v>52</v>
      </c>
      <c r="L566">
        <v>36</v>
      </c>
      <c r="M566">
        <v>1.63</v>
      </c>
      <c r="N566">
        <v>87.09</v>
      </c>
      <c r="O566">
        <v>0.51</v>
      </c>
      <c r="P566">
        <v>1</v>
      </c>
      <c r="Q566">
        <v>0.72</v>
      </c>
      <c r="R566">
        <v>444</v>
      </c>
      <c r="S566">
        <v>12.21</v>
      </c>
      <c r="T566">
        <v>0.78</v>
      </c>
      <c r="U566" s="1">
        <v>45380</v>
      </c>
      <c r="V566">
        <v>223.59</v>
      </c>
      <c r="W566">
        <v>0.79200000000000004</v>
      </c>
      <c r="X566" t="str">
        <f>IF(WarehouseData[[#This Row],[stock_level]]&lt;=WarehouseData[[#This Row],[reorder_point]],"Low Stock","Sufficient Stock")</f>
        <v>Sufficient Stock</v>
      </c>
      <c r="Y566">
        <f>WarehouseData[[#This Row],[daily_demand]]*WarehouseData[[#This Row],[lead_time_days]]</f>
        <v>46.08</v>
      </c>
      <c r="Z566" t="str">
        <f>IF(WarehouseData[[#This Row],[stock_level]]&lt;=WarehouseData[[#This Row],[Demand During Lead Time]],"At Risk","Safe")</f>
        <v>Safe</v>
      </c>
      <c r="AA566">
        <f>WarehouseData[[#This Row],[stock_level]]/WarehouseData[[#This Row],[daily_demand]]</f>
        <v>82.465277777777786</v>
      </c>
      <c r="AB566">
        <f>WarehouseData[[#This Row],[stock_level]]*WarehouseData[[#This Row],[unit_price]]</f>
        <v>41367.75</v>
      </c>
      <c r="AC566">
        <f>WarehouseData[[#This Row],[stock_level]]*WarehouseData[[#This Row],[holding_cost_per_unit_day]]*30</f>
        <v>7267.5</v>
      </c>
      <c r="AD566" t="str">
        <f>IF(WarehouseData[[#This Row],[order_fulfillment_rate]]&gt;=0.9,"Strong",IF(WarehouseData[[#This Row],[order_fulfillment_rate]]&gt;=0.8,"Moderate","Needs Attention"))</f>
        <v>Needs Attention</v>
      </c>
      <c r="AE566" t="str">
        <f>IF(WarehouseData[[#This Row],[picking_time_seconds]]&gt;120,"Slow",IF(WarehouseData[[#This Row],[picking_time_seconds]]&gt;=60,"Average","Fast"))</f>
        <v>Fast</v>
      </c>
    </row>
    <row r="567" spans="1:31" x14ac:dyDescent="0.25">
      <c r="A567" t="s">
        <v>705</v>
      </c>
      <c r="B567" t="s">
        <v>32</v>
      </c>
      <c r="C567">
        <v>451</v>
      </c>
      <c r="D567">
        <v>63</v>
      </c>
      <c r="E567">
        <v>8</v>
      </c>
      <c r="F567">
        <v>8</v>
      </c>
      <c r="G567">
        <v>7.48</v>
      </c>
      <c r="H567">
        <v>6.96</v>
      </c>
      <c r="I567">
        <v>0.56000000000000005</v>
      </c>
      <c r="J567" t="s">
        <v>283</v>
      </c>
      <c r="K567" t="s">
        <v>52</v>
      </c>
      <c r="L567">
        <v>96</v>
      </c>
      <c r="M567">
        <v>3.63</v>
      </c>
      <c r="N567">
        <v>56.64</v>
      </c>
      <c r="O567">
        <v>1.55</v>
      </c>
      <c r="P567">
        <v>7</v>
      </c>
      <c r="Q567">
        <v>0.99</v>
      </c>
      <c r="R567">
        <v>267</v>
      </c>
      <c r="S567">
        <v>13.21</v>
      </c>
      <c r="T567">
        <v>0.54</v>
      </c>
      <c r="U567" s="1">
        <v>45576</v>
      </c>
      <c r="V567">
        <v>223.04</v>
      </c>
      <c r="W567">
        <v>0.58699999999999997</v>
      </c>
      <c r="X567" t="str">
        <f>IF(WarehouseData[[#This Row],[stock_level]]&lt;=WarehouseData[[#This Row],[reorder_point]],"Low Stock","Sufficient Stock")</f>
        <v>Sufficient Stock</v>
      </c>
      <c r="Y567">
        <f>WarehouseData[[#This Row],[daily_demand]]*WarehouseData[[#This Row],[lead_time_days]]</f>
        <v>59.84</v>
      </c>
      <c r="Z567" t="str">
        <f>IF(WarehouseData[[#This Row],[stock_level]]&lt;=WarehouseData[[#This Row],[Demand During Lead Time]],"At Risk","Safe")</f>
        <v>Safe</v>
      </c>
      <c r="AA567">
        <f>WarehouseData[[#This Row],[stock_level]]/WarehouseData[[#This Row],[daily_demand]]</f>
        <v>60.294117647058819</v>
      </c>
      <c r="AB567">
        <f>WarehouseData[[#This Row],[stock_level]]*WarehouseData[[#This Row],[unit_price]]</f>
        <v>25544.639999999999</v>
      </c>
      <c r="AC567">
        <f>WarehouseData[[#This Row],[stock_level]]*WarehouseData[[#This Row],[holding_cost_per_unit_day]]*30</f>
        <v>20971.500000000004</v>
      </c>
      <c r="AD567" t="str">
        <f>IF(WarehouseData[[#This Row],[order_fulfillment_rate]]&gt;=0.9,"Strong",IF(WarehouseData[[#This Row],[order_fulfillment_rate]]&gt;=0.8,"Moderate","Needs Attention"))</f>
        <v>Strong</v>
      </c>
      <c r="AE567" t="str">
        <f>IF(WarehouseData[[#This Row],[picking_time_seconds]]&gt;120,"Slow",IF(WarehouseData[[#This Row],[picking_time_seconds]]&gt;=60,"Average","Fast"))</f>
        <v>Average</v>
      </c>
    </row>
    <row r="568" spans="1:31" x14ac:dyDescent="0.25">
      <c r="A568" t="s">
        <v>706</v>
      </c>
      <c r="B568" t="s">
        <v>40</v>
      </c>
      <c r="C568">
        <v>110</v>
      </c>
      <c r="D568">
        <v>65</v>
      </c>
      <c r="E568">
        <v>14</v>
      </c>
      <c r="F568">
        <v>4</v>
      </c>
      <c r="G568">
        <v>34.17</v>
      </c>
      <c r="H568">
        <v>3.02</v>
      </c>
      <c r="I568">
        <v>0.76</v>
      </c>
      <c r="J568" t="s">
        <v>131</v>
      </c>
      <c r="K568" t="s">
        <v>52</v>
      </c>
      <c r="L568">
        <v>169</v>
      </c>
      <c r="M568">
        <v>4.1399999999999997</v>
      </c>
      <c r="N568">
        <v>119.45</v>
      </c>
      <c r="O568">
        <v>0.69</v>
      </c>
      <c r="P568">
        <v>4</v>
      </c>
      <c r="Q568">
        <v>0.76</v>
      </c>
      <c r="R568">
        <v>116</v>
      </c>
      <c r="S568">
        <v>8.2100000000000009</v>
      </c>
      <c r="T568">
        <v>0.78</v>
      </c>
      <c r="U568" s="1">
        <v>45377</v>
      </c>
      <c r="V568">
        <v>242.25</v>
      </c>
      <c r="W568">
        <v>0.66800000000000004</v>
      </c>
      <c r="X568" t="str">
        <f>IF(WarehouseData[[#This Row],[stock_level]]&lt;=WarehouseData[[#This Row],[reorder_point]],"Low Stock","Sufficient Stock")</f>
        <v>Sufficient Stock</v>
      </c>
      <c r="Y568">
        <f>WarehouseData[[#This Row],[daily_demand]]*WarehouseData[[#This Row],[lead_time_days]]</f>
        <v>136.68</v>
      </c>
      <c r="Z568" t="str">
        <f>IF(WarehouseData[[#This Row],[stock_level]]&lt;=WarehouseData[[#This Row],[Demand During Lead Time]],"At Risk","Safe")</f>
        <v>At Risk</v>
      </c>
      <c r="AA568">
        <f>WarehouseData[[#This Row],[stock_level]]/WarehouseData[[#This Row],[daily_demand]]</f>
        <v>3.2191981270119987</v>
      </c>
      <c r="AB568">
        <f>WarehouseData[[#This Row],[stock_level]]*WarehouseData[[#This Row],[unit_price]]</f>
        <v>13139.5</v>
      </c>
      <c r="AC568">
        <f>WarehouseData[[#This Row],[stock_level]]*WarehouseData[[#This Row],[holding_cost_per_unit_day]]*30</f>
        <v>2276.9999999999995</v>
      </c>
      <c r="AD568" t="str">
        <f>IF(WarehouseData[[#This Row],[order_fulfillment_rate]]&gt;=0.9,"Strong",IF(WarehouseData[[#This Row],[order_fulfillment_rate]]&gt;=0.8,"Moderate","Needs Attention"))</f>
        <v>Needs Attention</v>
      </c>
      <c r="AE568" t="str">
        <f>IF(WarehouseData[[#This Row],[picking_time_seconds]]&gt;120,"Slow",IF(WarehouseData[[#This Row],[picking_time_seconds]]&gt;=60,"Average","Fast"))</f>
        <v>Slow</v>
      </c>
    </row>
    <row r="569" spans="1:31" x14ac:dyDescent="0.25">
      <c r="A569" t="s">
        <v>707</v>
      </c>
      <c r="B569" t="s">
        <v>36</v>
      </c>
      <c r="C569">
        <v>297</v>
      </c>
      <c r="D569">
        <v>68</v>
      </c>
      <c r="E569">
        <v>3</v>
      </c>
      <c r="F569">
        <v>2</v>
      </c>
      <c r="G569">
        <v>34.08</v>
      </c>
      <c r="H569">
        <v>3.64</v>
      </c>
      <c r="I569">
        <v>0.28000000000000003</v>
      </c>
      <c r="J569" t="s">
        <v>158</v>
      </c>
      <c r="K569" t="s">
        <v>52</v>
      </c>
      <c r="L569">
        <v>26</v>
      </c>
      <c r="M569">
        <v>3.66</v>
      </c>
      <c r="N569">
        <v>142.85</v>
      </c>
      <c r="O569">
        <v>0.66</v>
      </c>
      <c r="P569">
        <v>5</v>
      </c>
      <c r="Q569">
        <v>0.99</v>
      </c>
      <c r="R569">
        <v>118</v>
      </c>
      <c r="S569">
        <v>14.19</v>
      </c>
      <c r="T569">
        <v>0.49</v>
      </c>
      <c r="U569" s="1">
        <v>45542</v>
      </c>
      <c r="V569">
        <v>285.07</v>
      </c>
      <c r="W569">
        <v>0.71899999999999997</v>
      </c>
      <c r="X569" t="str">
        <f>IF(WarehouseData[[#This Row],[stock_level]]&lt;=WarehouseData[[#This Row],[reorder_point]],"Low Stock","Sufficient Stock")</f>
        <v>Sufficient Stock</v>
      </c>
      <c r="Y569">
        <f>WarehouseData[[#This Row],[daily_demand]]*WarehouseData[[#This Row],[lead_time_days]]</f>
        <v>68.16</v>
      </c>
      <c r="Z569" t="str">
        <f>IF(WarehouseData[[#This Row],[stock_level]]&lt;=WarehouseData[[#This Row],[Demand During Lead Time]],"At Risk","Safe")</f>
        <v>Safe</v>
      </c>
      <c r="AA569">
        <f>WarehouseData[[#This Row],[stock_level]]/WarehouseData[[#This Row],[daily_demand]]</f>
        <v>8.714788732394366</v>
      </c>
      <c r="AB569">
        <f>WarehouseData[[#This Row],[stock_level]]*WarehouseData[[#This Row],[unit_price]]</f>
        <v>42426.45</v>
      </c>
      <c r="AC569">
        <f>WarehouseData[[#This Row],[stock_level]]*WarehouseData[[#This Row],[holding_cost_per_unit_day]]*30</f>
        <v>5880.6</v>
      </c>
      <c r="AD569" t="str">
        <f>IF(WarehouseData[[#This Row],[order_fulfillment_rate]]&gt;=0.9,"Strong",IF(WarehouseData[[#This Row],[order_fulfillment_rate]]&gt;=0.8,"Moderate","Needs Attention"))</f>
        <v>Strong</v>
      </c>
      <c r="AE569" t="str">
        <f>IF(WarehouseData[[#This Row],[picking_time_seconds]]&gt;120,"Slow",IF(WarehouseData[[#This Row],[picking_time_seconds]]&gt;=60,"Average","Fast"))</f>
        <v>Fast</v>
      </c>
    </row>
    <row r="570" spans="1:31" x14ac:dyDescent="0.25">
      <c r="A570" t="s">
        <v>708</v>
      </c>
      <c r="B570" t="s">
        <v>32</v>
      </c>
      <c r="C570">
        <v>120</v>
      </c>
      <c r="D570">
        <v>81</v>
      </c>
      <c r="E570">
        <v>5</v>
      </c>
      <c r="F570">
        <v>4</v>
      </c>
      <c r="G570">
        <v>48.98</v>
      </c>
      <c r="H570">
        <v>5.71</v>
      </c>
      <c r="I570">
        <v>0.3</v>
      </c>
      <c r="J570" t="s">
        <v>301</v>
      </c>
      <c r="K570" t="s">
        <v>34</v>
      </c>
      <c r="L570">
        <v>20</v>
      </c>
      <c r="M570">
        <v>1.45</v>
      </c>
      <c r="N570">
        <v>69.040000000000006</v>
      </c>
      <c r="O570">
        <v>0.1</v>
      </c>
      <c r="P570">
        <v>7</v>
      </c>
      <c r="Q570">
        <v>0.75</v>
      </c>
      <c r="R570">
        <v>273</v>
      </c>
      <c r="S570">
        <v>9.81</v>
      </c>
      <c r="T570">
        <v>0.28999999999999998</v>
      </c>
      <c r="U570" s="1">
        <v>45439</v>
      </c>
      <c r="V570">
        <v>49.69</v>
      </c>
      <c r="W570">
        <v>0.58899999999999997</v>
      </c>
      <c r="X570" t="str">
        <f>IF(WarehouseData[[#This Row],[stock_level]]&lt;=WarehouseData[[#This Row],[reorder_point]],"Low Stock","Sufficient Stock")</f>
        <v>Sufficient Stock</v>
      </c>
      <c r="Y570">
        <f>WarehouseData[[#This Row],[daily_demand]]*WarehouseData[[#This Row],[lead_time_days]]</f>
        <v>195.92</v>
      </c>
      <c r="Z570" t="str">
        <f>IF(WarehouseData[[#This Row],[stock_level]]&lt;=WarehouseData[[#This Row],[Demand During Lead Time]],"At Risk","Safe")</f>
        <v>At Risk</v>
      </c>
      <c r="AA570">
        <f>WarehouseData[[#This Row],[stock_level]]/WarehouseData[[#This Row],[daily_demand]]</f>
        <v>2.4499795835034708</v>
      </c>
      <c r="AB570">
        <f>WarehouseData[[#This Row],[stock_level]]*WarehouseData[[#This Row],[unit_price]]</f>
        <v>8284.8000000000011</v>
      </c>
      <c r="AC570">
        <f>WarehouseData[[#This Row],[stock_level]]*WarehouseData[[#This Row],[holding_cost_per_unit_day]]*30</f>
        <v>360</v>
      </c>
      <c r="AD570" t="str">
        <f>IF(WarehouseData[[#This Row],[order_fulfillment_rate]]&gt;=0.9,"Strong",IF(WarehouseData[[#This Row],[order_fulfillment_rate]]&gt;=0.8,"Moderate","Needs Attention"))</f>
        <v>Needs Attention</v>
      </c>
      <c r="AE570" t="str">
        <f>IF(WarehouseData[[#This Row],[picking_time_seconds]]&gt;120,"Slow",IF(WarehouseData[[#This Row],[picking_time_seconds]]&gt;=60,"Average","Fast"))</f>
        <v>Fast</v>
      </c>
    </row>
    <row r="571" spans="1:31" x14ac:dyDescent="0.25">
      <c r="A571" t="s">
        <v>709</v>
      </c>
      <c r="B571" t="s">
        <v>40</v>
      </c>
      <c r="C571">
        <v>174</v>
      </c>
      <c r="D571">
        <v>60</v>
      </c>
      <c r="E571">
        <v>4</v>
      </c>
      <c r="F571">
        <v>3</v>
      </c>
      <c r="G571">
        <v>35.89</v>
      </c>
      <c r="H571">
        <v>2.4</v>
      </c>
      <c r="I571">
        <v>0.67</v>
      </c>
      <c r="J571" t="s">
        <v>102</v>
      </c>
      <c r="K571" t="s">
        <v>34</v>
      </c>
      <c r="L571">
        <v>138</v>
      </c>
      <c r="M571">
        <v>1.74</v>
      </c>
      <c r="N571">
        <v>140.24</v>
      </c>
      <c r="O571">
        <v>0.61</v>
      </c>
      <c r="P571">
        <v>5</v>
      </c>
      <c r="Q571">
        <v>0.83</v>
      </c>
      <c r="R571">
        <v>410</v>
      </c>
      <c r="S571">
        <v>3.12</v>
      </c>
      <c r="T571">
        <v>0.77</v>
      </c>
      <c r="U571" s="1">
        <v>45363</v>
      </c>
      <c r="V571">
        <v>299.86</v>
      </c>
      <c r="W571">
        <v>0.60099999999999998</v>
      </c>
      <c r="X571" t="str">
        <f>IF(WarehouseData[[#This Row],[stock_level]]&lt;=WarehouseData[[#This Row],[reorder_point]],"Low Stock","Sufficient Stock")</f>
        <v>Sufficient Stock</v>
      </c>
      <c r="Y571">
        <f>WarehouseData[[#This Row],[daily_demand]]*WarehouseData[[#This Row],[lead_time_days]]</f>
        <v>107.67</v>
      </c>
      <c r="Z571" t="str">
        <f>IF(WarehouseData[[#This Row],[stock_level]]&lt;=WarehouseData[[#This Row],[Demand During Lead Time]],"At Risk","Safe")</f>
        <v>Safe</v>
      </c>
      <c r="AA571">
        <f>WarehouseData[[#This Row],[stock_level]]/WarehouseData[[#This Row],[daily_demand]]</f>
        <v>4.8481471161883531</v>
      </c>
      <c r="AB571">
        <f>WarehouseData[[#This Row],[stock_level]]*WarehouseData[[#This Row],[unit_price]]</f>
        <v>24401.760000000002</v>
      </c>
      <c r="AC571">
        <f>WarehouseData[[#This Row],[stock_level]]*WarehouseData[[#This Row],[holding_cost_per_unit_day]]*30</f>
        <v>3184.2</v>
      </c>
      <c r="AD571" t="str">
        <f>IF(WarehouseData[[#This Row],[order_fulfillment_rate]]&gt;=0.9,"Strong",IF(WarehouseData[[#This Row],[order_fulfillment_rate]]&gt;=0.8,"Moderate","Needs Attention"))</f>
        <v>Moderate</v>
      </c>
      <c r="AE571" t="str">
        <f>IF(WarehouseData[[#This Row],[picking_time_seconds]]&gt;120,"Slow",IF(WarehouseData[[#This Row],[picking_time_seconds]]&gt;=60,"Average","Fast"))</f>
        <v>Slow</v>
      </c>
    </row>
    <row r="572" spans="1:31" x14ac:dyDescent="0.25">
      <c r="A572" t="s">
        <v>710</v>
      </c>
      <c r="B572" t="s">
        <v>48</v>
      </c>
      <c r="C572">
        <v>396</v>
      </c>
      <c r="D572">
        <v>29</v>
      </c>
      <c r="E572">
        <v>13</v>
      </c>
      <c r="F572">
        <v>6</v>
      </c>
      <c r="G572">
        <v>25.17</v>
      </c>
      <c r="H572">
        <v>0.69</v>
      </c>
      <c r="I572">
        <v>0.44</v>
      </c>
      <c r="J572" t="s">
        <v>379</v>
      </c>
      <c r="K572" t="s">
        <v>46</v>
      </c>
      <c r="L572">
        <v>91</v>
      </c>
      <c r="M572">
        <v>3.05</v>
      </c>
      <c r="N572">
        <v>75.2</v>
      </c>
      <c r="O572">
        <v>0.51</v>
      </c>
      <c r="P572">
        <v>9</v>
      </c>
      <c r="Q572">
        <v>0.79</v>
      </c>
      <c r="R572">
        <v>507</v>
      </c>
      <c r="S572">
        <v>9.57</v>
      </c>
      <c r="T572">
        <v>0.7</v>
      </c>
      <c r="U572" s="1">
        <v>45387</v>
      </c>
      <c r="V572">
        <v>262.98</v>
      </c>
      <c r="W572">
        <v>0.59499999999999997</v>
      </c>
      <c r="X572" t="str">
        <f>IF(WarehouseData[[#This Row],[stock_level]]&lt;=WarehouseData[[#This Row],[reorder_point]],"Low Stock","Sufficient Stock")</f>
        <v>Sufficient Stock</v>
      </c>
      <c r="Y572">
        <f>WarehouseData[[#This Row],[daily_demand]]*WarehouseData[[#This Row],[lead_time_days]]</f>
        <v>151.02000000000001</v>
      </c>
      <c r="Z572" t="str">
        <f>IF(WarehouseData[[#This Row],[stock_level]]&lt;=WarehouseData[[#This Row],[Demand During Lead Time]],"At Risk","Safe")</f>
        <v>Safe</v>
      </c>
      <c r="AA572">
        <f>WarehouseData[[#This Row],[stock_level]]/WarehouseData[[#This Row],[daily_demand]]</f>
        <v>15.73301549463647</v>
      </c>
      <c r="AB572">
        <f>WarehouseData[[#This Row],[stock_level]]*WarehouseData[[#This Row],[unit_price]]</f>
        <v>29779.200000000001</v>
      </c>
      <c r="AC572">
        <f>WarehouseData[[#This Row],[stock_level]]*WarehouseData[[#This Row],[holding_cost_per_unit_day]]*30</f>
        <v>6058.8</v>
      </c>
      <c r="AD572" t="str">
        <f>IF(WarehouseData[[#This Row],[order_fulfillment_rate]]&gt;=0.9,"Strong",IF(WarehouseData[[#This Row],[order_fulfillment_rate]]&gt;=0.8,"Moderate","Needs Attention"))</f>
        <v>Needs Attention</v>
      </c>
      <c r="AE572" t="str">
        <f>IF(WarehouseData[[#This Row],[picking_time_seconds]]&gt;120,"Slow",IF(WarehouseData[[#This Row],[picking_time_seconds]]&gt;=60,"Average","Fast"))</f>
        <v>Average</v>
      </c>
    </row>
    <row r="573" spans="1:31" x14ac:dyDescent="0.25">
      <c r="A573" t="s">
        <v>711</v>
      </c>
      <c r="B573" t="s">
        <v>48</v>
      </c>
      <c r="C573">
        <v>368</v>
      </c>
      <c r="D573">
        <v>95</v>
      </c>
      <c r="E573">
        <v>11</v>
      </c>
      <c r="F573">
        <v>2</v>
      </c>
      <c r="G573">
        <v>43.01</v>
      </c>
      <c r="H573">
        <v>5.84</v>
      </c>
      <c r="I573">
        <v>0.53</v>
      </c>
      <c r="J573" t="s">
        <v>137</v>
      </c>
      <c r="K573" t="s">
        <v>52</v>
      </c>
      <c r="L573">
        <v>58</v>
      </c>
      <c r="M573">
        <v>2.5099999999999998</v>
      </c>
      <c r="N573">
        <v>130.63999999999999</v>
      </c>
      <c r="O573">
        <v>0.75</v>
      </c>
      <c r="P573">
        <v>2</v>
      </c>
      <c r="Q573">
        <v>0.83</v>
      </c>
      <c r="R573">
        <v>343</v>
      </c>
      <c r="S573">
        <v>5.18</v>
      </c>
      <c r="T573">
        <v>0.28999999999999998</v>
      </c>
      <c r="U573" s="1">
        <v>45453</v>
      </c>
      <c r="V573">
        <v>138.07</v>
      </c>
      <c r="W573">
        <v>0.57799999999999996</v>
      </c>
      <c r="X573" t="str">
        <f>IF(WarehouseData[[#This Row],[stock_level]]&lt;=WarehouseData[[#This Row],[reorder_point]],"Low Stock","Sufficient Stock")</f>
        <v>Sufficient Stock</v>
      </c>
      <c r="Y573">
        <f>WarehouseData[[#This Row],[daily_demand]]*WarehouseData[[#This Row],[lead_time_days]]</f>
        <v>86.02</v>
      </c>
      <c r="Z573" t="str">
        <f>IF(WarehouseData[[#This Row],[stock_level]]&lt;=WarehouseData[[#This Row],[Demand During Lead Time]],"At Risk","Safe")</f>
        <v>Safe</v>
      </c>
      <c r="AA573">
        <f>WarehouseData[[#This Row],[stock_level]]/WarehouseData[[#This Row],[daily_demand]]</f>
        <v>8.5561497326203213</v>
      </c>
      <c r="AB573">
        <f>WarehouseData[[#This Row],[stock_level]]*WarehouseData[[#This Row],[unit_price]]</f>
        <v>48075.519999999997</v>
      </c>
      <c r="AC573">
        <f>WarehouseData[[#This Row],[stock_level]]*WarehouseData[[#This Row],[holding_cost_per_unit_day]]*30</f>
        <v>8280</v>
      </c>
      <c r="AD573" t="str">
        <f>IF(WarehouseData[[#This Row],[order_fulfillment_rate]]&gt;=0.9,"Strong",IF(WarehouseData[[#This Row],[order_fulfillment_rate]]&gt;=0.8,"Moderate","Needs Attention"))</f>
        <v>Moderate</v>
      </c>
      <c r="AE573" t="str">
        <f>IF(WarehouseData[[#This Row],[picking_time_seconds]]&gt;120,"Slow",IF(WarehouseData[[#This Row],[picking_time_seconds]]&gt;=60,"Average","Fast"))</f>
        <v>Fast</v>
      </c>
    </row>
    <row r="574" spans="1:31" x14ac:dyDescent="0.25">
      <c r="A574" t="s">
        <v>712</v>
      </c>
      <c r="B574" t="s">
        <v>40</v>
      </c>
      <c r="C574">
        <v>470</v>
      </c>
      <c r="D574">
        <v>68</v>
      </c>
      <c r="E574">
        <v>5</v>
      </c>
      <c r="F574">
        <v>2</v>
      </c>
      <c r="G574">
        <v>6.12</v>
      </c>
      <c r="H574">
        <v>4.92</v>
      </c>
      <c r="I574">
        <v>0.85</v>
      </c>
      <c r="J574" t="s">
        <v>188</v>
      </c>
      <c r="K574" t="s">
        <v>46</v>
      </c>
      <c r="L574">
        <v>50</v>
      </c>
      <c r="M574">
        <v>3.81</v>
      </c>
      <c r="N574">
        <v>130.28</v>
      </c>
      <c r="O574">
        <v>0.38</v>
      </c>
      <c r="P574">
        <v>6</v>
      </c>
      <c r="Q574">
        <v>0.78</v>
      </c>
      <c r="R574">
        <v>375</v>
      </c>
      <c r="S574">
        <v>6.21</v>
      </c>
      <c r="T574">
        <v>0.94</v>
      </c>
      <c r="U574" s="1">
        <v>45522</v>
      </c>
      <c r="V574">
        <v>55.66</v>
      </c>
      <c r="W574">
        <v>0.66900000000000004</v>
      </c>
      <c r="X574" t="str">
        <f>IF(WarehouseData[[#This Row],[stock_level]]&lt;=WarehouseData[[#This Row],[reorder_point]],"Low Stock","Sufficient Stock")</f>
        <v>Sufficient Stock</v>
      </c>
      <c r="Y574">
        <f>WarehouseData[[#This Row],[daily_demand]]*WarehouseData[[#This Row],[lead_time_days]]</f>
        <v>12.24</v>
      </c>
      <c r="Z574" t="str">
        <f>IF(WarehouseData[[#This Row],[stock_level]]&lt;=WarehouseData[[#This Row],[Demand During Lead Time]],"At Risk","Safe")</f>
        <v>Safe</v>
      </c>
      <c r="AA574">
        <f>WarehouseData[[#This Row],[stock_level]]/WarehouseData[[#This Row],[daily_demand]]</f>
        <v>76.797385620915037</v>
      </c>
      <c r="AB574">
        <f>WarehouseData[[#This Row],[stock_level]]*WarehouseData[[#This Row],[unit_price]]</f>
        <v>61231.6</v>
      </c>
      <c r="AC574">
        <f>WarehouseData[[#This Row],[stock_level]]*WarehouseData[[#This Row],[holding_cost_per_unit_day]]*30</f>
        <v>5358</v>
      </c>
      <c r="AD574" t="str">
        <f>IF(WarehouseData[[#This Row],[order_fulfillment_rate]]&gt;=0.9,"Strong",IF(WarehouseData[[#This Row],[order_fulfillment_rate]]&gt;=0.8,"Moderate","Needs Attention"))</f>
        <v>Needs Attention</v>
      </c>
      <c r="AE574" t="str">
        <f>IF(WarehouseData[[#This Row],[picking_time_seconds]]&gt;120,"Slow",IF(WarehouseData[[#This Row],[picking_time_seconds]]&gt;=60,"Average","Fast"))</f>
        <v>Fast</v>
      </c>
    </row>
    <row r="575" spans="1:31" x14ac:dyDescent="0.25">
      <c r="A575" t="s">
        <v>713</v>
      </c>
      <c r="B575" t="s">
        <v>40</v>
      </c>
      <c r="C575">
        <v>383</v>
      </c>
      <c r="D575">
        <v>80</v>
      </c>
      <c r="E575">
        <v>4</v>
      </c>
      <c r="F575">
        <v>6</v>
      </c>
      <c r="G575">
        <v>23.02</v>
      </c>
      <c r="H575">
        <v>6.74</v>
      </c>
      <c r="I575">
        <v>0.55000000000000004</v>
      </c>
      <c r="J575" t="s">
        <v>289</v>
      </c>
      <c r="K575" t="s">
        <v>52</v>
      </c>
      <c r="L575">
        <v>29</v>
      </c>
      <c r="M575">
        <v>2.2000000000000002</v>
      </c>
      <c r="N575">
        <v>62.85</v>
      </c>
      <c r="O575">
        <v>1.23</v>
      </c>
      <c r="P575">
        <v>3</v>
      </c>
      <c r="Q575">
        <v>0.99</v>
      </c>
      <c r="R575">
        <v>252</v>
      </c>
      <c r="S575">
        <v>12.32</v>
      </c>
      <c r="T575">
        <v>0.45</v>
      </c>
      <c r="U575" s="1">
        <v>45609</v>
      </c>
      <c r="V575">
        <v>141.6</v>
      </c>
      <c r="W575">
        <v>0.66900000000000004</v>
      </c>
      <c r="X575" t="str">
        <f>IF(WarehouseData[[#This Row],[stock_level]]&lt;=WarehouseData[[#This Row],[reorder_point]],"Low Stock","Sufficient Stock")</f>
        <v>Sufficient Stock</v>
      </c>
      <c r="Y575">
        <f>WarehouseData[[#This Row],[daily_demand]]*WarehouseData[[#This Row],[lead_time_days]]</f>
        <v>138.12</v>
      </c>
      <c r="Z575" t="str">
        <f>IF(WarehouseData[[#This Row],[stock_level]]&lt;=WarehouseData[[#This Row],[Demand During Lead Time]],"At Risk","Safe")</f>
        <v>Safe</v>
      </c>
      <c r="AA575">
        <f>WarehouseData[[#This Row],[stock_level]]/WarehouseData[[#This Row],[daily_demand]]</f>
        <v>16.637706342311034</v>
      </c>
      <c r="AB575">
        <f>WarehouseData[[#This Row],[stock_level]]*WarehouseData[[#This Row],[unit_price]]</f>
        <v>24071.55</v>
      </c>
      <c r="AC575">
        <f>WarehouseData[[#This Row],[stock_level]]*WarehouseData[[#This Row],[holding_cost_per_unit_day]]*30</f>
        <v>14132.699999999999</v>
      </c>
      <c r="AD575" t="str">
        <f>IF(WarehouseData[[#This Row],[order_fulfillment_rate]]&gt;=0.9,"Strong",IF(WarehouseData[[#This Row],[order_fulfillment_rate]]&gt;=0.8,"Moderate","Needs Attention"))</f>
        <v>Strong</v>
      </c>
      <c r="AE575" t="str">
        <f>IF(WarehouseData[[#This Row],[picking_time_seconds]]&gt;120,"Slow",IF(WarehouseData[[#This Row],[picking_time_seconds]]&gt;=60,"Average","Fast"))</f>
        <v>Fast</v>
      </c>
    </row>
    <row r="576" spans="1:31" x14ac:dyDescent="0.25">
      <c r="A576" t="s">
        <v>714</v>
      </c>
      <c r="B576" t="s">
        <v>36</v>
      </c>
      <c r="C576">
        <v>160</v>
      </c>
      <c r="D576">
        <v>18</v>
      </c>
      <c r="E576">
        <v>6</v>
      </c>
      <c r="F576">
        <v>2</v>
      </c>
      <c r="G576">
        <v>15.07</v>
      </c>
      <c r="H576">
        <v>1.89</v>
      </c>
      <c r="I576">
        <v>0.69</v>
      </c>
      <c r="J576" t="s">
        <v>43</v>
      </c>
      <c r="K576" t="s">
        <v>46</v>
      </c>
      <c r="L576">
        <v>80</v>
      </c>
      <c r="M576">
        <v>4.37</v>
      </c>
      <c r="N576">
        <v>130.79</v>
      </c>
      <c r="O576">
        <v>0.55000000000000004</v>
      </c>
      <c r="P576">
        <v>5</v>
      </c>
      <c r="Q576">
        <v>0.79</v>
      </c>
      <c r="R576">
        <v>642</v>
      </c>
      <c r="S576">
        <v>14.63</v>
      </c>
      <c r="T576">
        <v>0.72</v>
      </c>
      <c r="U576" s="1">
        <v>45319</v>
      </c>
      <c r="V576">
        <v>235.8</v>
      </c>
      <c r="W576">
        <v>0.74199999999999999</v>
      </c>
      <c r="X576" t="str">
        <f>IF(WarehouseData[[#This Row],[stock_level]]&lt;=WarehouseData[[#This Row],[reorder_point]],"Low Stock","Sufficient Stock")</f>
        <v>Sufficient Stock</v>
      </c>
      <c r="Y576">
        <f>WarehouseData[[#This Row],[daily_demand]]*WarehouseData[[#This Row],[lead_time_days]]</f>
        <v>30.14</v>
      </c>
      <c r="Z576" t="str">
        <f>IF(WarehouseData[[#This Row],[stock_level]]&lt;=WarehouseData[[#This Row],[Demand During Lead Time]],"At Risk","Safe")</f>
        <v>Safe</v>
      </c>
      <c r="AA576">
        <f>WarehouseData[[#This Row],[stock_level]]/WarehouseData[[#This Row],[daily_demand]]</f>
        <v>10.617120106171201</v>
      </c>
      <c r="AB576">
        <f>WarehouseData[[#This Row],[stock_level]]*WarehouseData[[#This Row],[unit_price]]</f>
        <v>20926.399999999998</v>
      </c>
      <c r="AC576">
        <f>WarehouseData[[#This Row],[stock_level]]*WarehouseData[[#This Row],[holding_cost_per_unit_day]]*30</f>
        <v>2640</v>
      </c>
      <c r="AD576" t="str">
        <f>IF(WarehouseData[[#This Row],[order_fulfillment_rate]]&gt;=0.9,"Strong",IF(WarehouseData[[#This Row],[order_fulfillment_rate]]&gt;=0.8,"Moderate","Needs Attention"))</f>
        <v>Needs Attention</v>
      </c>
      <c r="AE576" t="str">
        <f>IF(WarehouseData[[#This Row],[picking_time_seconds]]&gt;120,"Slow",IF(WarehouseData[[#This Row],[picking_time_seconds]]&gt;=60,"Average","Fast"))</f>
        <v>Average</v>
      </c>
    </row>
    <row r="577" spans="1:31" x14ac:dyDescent="0.25">
      <c r="A577" t="s">
        <v>715</v>
      </c>
      <c r="B577" t="s">
        <v>36</v>
      </c>
      <c r="C577">
        <v>192</v>
      </c>
      <c r="D577">
        <v>10</v>
      </c>
      <c r="E577">
        <v>4</v>
      </c>
      <c r="F577">
        <v>6</v>
      </c>
      <c r="G577">
        <v>6.13</v>
      </c>
      <c r="H577">
        <v>8.49</v>
      </c>
      <c r="I577">
        <v>0.69</v>
      </c>
      <c r="J577" t="s">
        <v>43</v>
      </c>
      <c r="K577" t="s">
        <v>34</v>
      </c>
      <c r="L577">
        <v>46</v>
      </c>
      <c r="M577">
        <v>2.44</v>
      </c>
      <c r="N577">
        <v>82.38</v>
      </c>
      <c r="O577">
        <v>1.68</v>
      </c>
      <c r="P577">
        <v>5</v>
      </c>
      <c r="Q577">
        <v>0.9</v>
      </c>
      <c r="R577">
        <v>627</v>
      </c>
      <c r="S577">
        <v>13.18</v>
      </c>
      <c r="T577">
        <v>0.23</v>
      </c>
      <c r="U577" s="1">
        <v>45475</v>
      </c>
      <c r="V577">
        <v>184.71</v>
      </c>
      <c r="W577">
        <v>0.53400000000000003</v>
      </c>
      <c r="X577" t="str">
        <f>IF(WarehouseData[[#This Row],[stock_level]]&lt;=WarehouseData[[#This Row],[reorder_point]],"Low Stock","Sufficient Stock")</f>
        <v>Sufficient Stock</v>
      </c>
      <c r="Y577">
        <f>WarehouseData[[#This Row],[daily_demand]]*WarehouseData[[#This Row],[lead_time_days]]</f>
        <v>36.78</v>
      </c>
      <c r="Z577" t="str">
        <f>IF(WarehouseData[[#This Row],[stock_level]]&lt;=WarehouseData[[#This Row],[Demand During Lead Time]],"At Risk","Safe")</f>
        <v>Safe</v>
      </c>
      <c r="AA577">
        <f>WarehouseData[[#This Row],[stock_level]]/WarehouseData[[#This Row],[daily_demand]]</f>
        <v>31.32137030995106</v>
      </c>
      <c r="AB577">
        <f>WarehouseData[[#This Row],[stock_level]]*WarehouseData[[#This Row],[unit_price]]</f>
        <v>15816.96</v>
      </c>
      <c r="AC577">
        <f>WarehouseData[[#This Row],[stock_level]]*WarehouseData[[#This Row],[holding_cost_per_unit_day]]*30</f>
        <v>9676.7999999999993</v>
      </c>
      <c r="AD577" t="str">
        <f>IF(WarehouseData[[#This Row],[order_fulfillment_rate]]&gt;=0.9,"Strong",IF(WarehouseData[[#This Row],[order_fulfillment_rate]]&gt;=0.8,"Moderate","Needs Attention"))</f>
        <v>Strong</v>
      </c>
      <c r="AE577" t="str">
        <f>IF(WarehouseData[[#This Row],[picking_time_seconds]]&gt;120,"Slow",IF(WarehouseData[[#This Row],[picking_time_seconds]]&gt;=60,"Average","Fast"))</f>
        <v>Fast</v>
      </c>
    </row>
    <row r="578" spans="1:31" x14ac:dyDescent="0.25">
      <c r="A578" t="s">
        <v>716</v>
      </c>
      <c r="B578" t="s">
        <v>48</v>
      </c>
      <c r="C578">
        <v>29</v>
      </c>
      <c r="D578">
        <v>38</v>
      </c>
      <c r="E578">
        <v>3</v>
      </c>
      <c r="F578">
        <v>2</v>
      </c>
      <c r="G578">
        <v>38.409999999999997</v>
      </c>
      <c r="H578">
        <v>1.89</v>
      </c>
      <c r="I578">
        <v>0.82</v>
      </c>
      <c r="J578" t="s">
        <v>183</v>
      </c>
      <c r="K578" t="s">
        <v>34</v>
      </c>
      <c r="L578">
        <v>135</v>
      </c>
      <c r="M578">
        <v>0.68</v>
      </c>
      <c r="N578">
        <v>73.930000000000007</v>
      </c>
      <c r="O578">
        <v>0.64</v>
      </c>
      <c r="P578">
        <v>4</v>
      </c>
      <c r="Q578">
        <v>0.74</v>
      </c>
      <c r="R578">
        <v>346</v>
      </c>
      <c r="S578">
        <v>5.56</v>
      </c>
      <c r="T578">
        <v>0.55000000000000004</v>
      </c>
      <c r="U578" s="1">
        <v>45296</v>
      </c>
      <c r="V578">
        <v>91.07</v>
      </c>
      <c r="W578">
        <v>0.58799999999999997</v>
      </c>
      <c r="X578" t="str">
        <f>IF(WarehouseData[[#This Row],[stock_level]]&lt;=WarehouseData[[#This Row],[reorder_point]],"Low Stock","Sufficient Stock")</f>
        <v>Low Stock</v>
      </c>
      <c r="Y578">
        <f>WarehouseData[[#This Row],[daily_demand]]*WarehouseData[[#This Row],[lead_time_days]]</f>
        <v>76.819999999999993</v>
      </c>
      <c r="Z578" t="str">
        <f>IF(WarehouseData[[#This Row],[stock_level]]&lt;=WarehouseData[[#This Row],[Demand During Lead Time]],"At Risk","Safe")</f>
        <v>At Risk</v>
      </c>
      <c r="AA578">
        <f>WarehouseData[[#This Row],[stock_level]]/WarehouseData[[#This Row],[daily_demand]]</f>
        <v>0.7550117156990368</v>
      </c>
      <c r="AB578">
        <f>WarehouseData[[#This Row],[stock_level]]*WarehouseData[[#This Row],[unit_price]]</f>
        <v>2143.9700000000003</v>
      </c>
      <c r="AC578">
        <f>WarehouseData[[#This Row],[stock_level]]*WarehouseData[[#This Row],[holding_cost_per_unit_day]]*30</f>
        <v>556.79999999999995</v>
      </c>
      <c r="AD578" t="str">
        <f>IF(WarehouseData[[#This Row],[order_fulfillment_rate]]&gt;=0.9,"Strong",IF(WarehouseData[[#This Row],[order_fulfillment_rate]]&gt;=0.8,"Moderate","Needs Attention"))</f>
        <v>Needs Attention</v>
      </c>
      <c r="AE578" t="str">
        <f>IF(WarehouseData[[#This Row],[picking_time_seconds]]&gt;120,"Slow",IF(WarehouseData[[#This Row],[picking_time_seconds]]&gt;=60,"Average","Fast"))</f>
        <v>Slow</v>
      </c>
    </row>
    <row r="579" spans="1:31" x14ac:dyDescent="0.25">
      <c r="A579" t="s">
        <v>717</v>
      </c>
      <c r="B579" t="s">
        <v>32</v>
      </c>
      <c r="C579">
        <v>247</v>
      </c>
      <c r="D579">
        <v>72</v>
      </c>
      <c r="E579">
        <v>8</v>
      </c>
      <c r="F579">
        <v>8</v>
      </c>
      <c r="G579">
        <v>26.03</v>
      </c>
      <c r="H579">
        <v>8.9700000000000006</v>
      </c>
      <c r="I579">
        <v>0.67</v>
      </c>
      <c r="J579" t="s">
        <v>86</v>
      </c>
      <c r="K579" t="s">
        <v>46</v>
      </c>
      <c r="L579">
        <v>153</v>
      </c>
      <c r="M579">
        <v>0.57999999999999996</v>
      </c>
      <c r="N579">
        <v>64.959999999999994</v>
      </c>
      <c r="O579">
        <v>0.5</v>
      </c>
      <c r="P579">
        <v>0</v>
      </c>
      <c r="Q579">
        <v>0.95</v>
      </c>
      <c r="R579">
        <v>841</v>
      </c>
      <c r="S579">
        <v>7.35</v>
      </c>
      <c r="T579">
        <v>0.97</v>
      </c>
      <c r="U579" s="1">
        <v>45540</v>
      </c>
      <c r="V579">
        <v>127.97</v>
      </c>
      <c r="W579">
        <v>0.83199999999999996</v>
      </c>
      <c r="X579" t="str">
        <f>IF(WarehouseData[[#This Row],[stock_level]]&lt;=WarehouseData[[#This Row],[reorder_point]],"Low Stock","Sufficient Stock")</f>
        <v>Sufficient Stock</v>
      </c>
      <c r="Y579">
        <f>WarehouseData[[#This Row],[daily_demand]]*WarehouseData[[#This Row],[lead_time_days]]</f>
        <v>208.24</v>
      </c>
      <c r="Z579" t="str">
        <f>IF(WarehouseData[[#This Row],[stock_level]]&lt;=WarehouseData[[#This Row],[Demand During Lead Time]],"At Risk","Safe")</f>
        <v>Safe</v>
      </c>
      <c r="AA579">
        <f>WarehouseData[[#This Row],[stock_level]]/WarehouseData[[#This Row],[daily_demand]]</f>
        <v>9.4890510948905114</v>
      </c>
      <c r="AB579">
        <f>WarehouseData[[#This Row],[stock_level]]*WarehouseData[[#This Row],[unit_price]]</f>
        <v>16045.119999999999</v>
      </c>
      <c r="AC579">
        <f>WarehouseData[[#This Row],[stock_level]]*WarehouseData[[#This Row],[holding_cost_per_unit_day]]*30</f>
        <v>3705</v>
      </c>
      <c r="AD579" t="str">
        <f>IF(WarehouseData[[#This Row],[order_fulfillment_rate]]&gt;=0.9,"Strong",IF(WarehouseData[[#This Row],[order_fulfillment_rate]]&gt;=0.8,"Moderate","Needs Attention"))</f>
        <v>Strong</v>
      </c>
      <c r="AE579" t="str">
        <f>IF(WarehouseData[[#This Row],[picking_time_seconds]]&gt;120,"Slow",IF(WarehouseData[[#This Row],[picking_time_seconds]]&gt;=60,"Average","Fast"))</f>
        <v>Slow</v>
      </c>
    </row>
    <row r="580" spans="1:31" x14ac:dyDescent="0.25">
      <c r="A580" t="s">
        <v>718</v>
      </c>
      <c r="B580" t="s">
        <v>48</v>
      </c>
      <c r="C580">
        <v>284</v>
      </c>
      <c r="D580">
        <v>81</v>
      </c>
      <c r="E580">
        <v>12</v>
      </c>
      <c r="F580">
        <v>9</v>
      </c>
      <c r="G580">
        <v>28.28</v>
      </c>
      <c r="H580">
        <v>4.7699999999999996</v>
      </c>
      <c r="I580">
        <v>0.16</v>
      </c>
      <c r="J580" t="s">
        <v>152</v>
      </c>
      <c r="K580" t="s">
        <v>38</v>
      </c>
      <c r="L580">
        <v>48</v>
      </c>
      <c r="M580">
        <v>3.41</v>
      </c>
      <c r="N580">
        <v>75.67</v>
      </c>
      <c r="O580">
        <v>0.21</v>
      </c>
      <c r="P580">
        <v>7</v>
      </c>
      <c r="Q580">
        <v>0.86</v>
      </c>
      <c r="R580">
        <v>995</v>
      </c>
      <c r="S580">
        <v>14.77</v>
      </c>
      <c r="T580">
        <v>0.91</v>
      </c>
      <c r="U580" s="1">
        <v>45361</v>
      </c>
      <c r="V580">
        <v>286.75</v>
      </c>
      <c r="W580">
        <v>0.79</v>
      </c>
      <c r="X580" t="str">
        <f>IF(WarehouseData[[#This Row],[stock_level]]&lt;=WarehouseData[[#This Row],[reorder_point]],"Low Stock","Sufficient Stock")</f>
        <v>Sufficient Stock</v>
      </c>
      <c r="Y580">
        <f>WarehouseData[[#This Row],[daily_demand]]*WarehouseData[[#This Row],[lead_time_days]]</f>
        <v>254.52</v>
      </c>
      <c r="Z580" t="str">
        <f>IF(WarehouseData[[#This Row],[stock_level]]&lt;=WarehouseData[[#This Row],[Demand During Lead Time]],"At Risk","Safe")</f>
        <v>Safe</v>
      </c>
      <c r="AA580">
        <f>WarehouseData[[#This Row],[stock_level]]/WarehouseData[[#This Row],[daily_demand]]</f>
        <v>10.042432814710041</v>
      </c>
      <c r="AB580">
        <f>WarehouseData[[#This Row],[stock_level]]*WarehouseData[[#This Row],[unit_price]]</f>
        <v>21490.28</v>
      </c>
      <c r="AC580">
        <f>WarehouseData[[#This Row],[stock_level]]*WarehouseData[[#This Row],[holding_cost_per_unit_day]]*30</f>
        <v>1789.2</v>
      </c>
      <c r="AD580" t="str">
        <f>IF(WarehouseData[[#This Row],[order_fulfillment_rate]]&gt;=0.9,"Strong",IF(WarehouseData[[#This Row],[order_fulfillment_rate]]&gt;=0.8,"Moderate","Needs Attention"))</f>
        <v>Moderate</v>
      </c>
      <c r="AE580" t="str">
        <f>IF(WarehouseData[[#This Row],[picking_time_seconds]]&gt;120,"Slow",IF(WarehouseData[[#This Row],[picking_time_seconds]]&gt;=60,"Average","Fast"))</f>
        <v>Fast</v>
      </c>
    </row>
    <row r="581" spans="1:31" x14ac:dyDescent="0.25">
      <c r="A581" t="s">
        <v>719</v>
      </c>
      <c r="B581" t="s">
        <v>32</v>
      </c>
      <c r="C581">
        <v>457</v>
      </c>
      <c r="D581">
        <v>65</v>
      </c>
      <c r="E581">
        <v>10</v>
      </c>
      <c r="F581">
        <v>7</v>
      </c>
      <c r="G581">
        <v>21.15</v>
      </c>
      <c r="H581">
        <v>5.72</v>
      </c>
      <c r="I581">
        <v>0.41</v>
      </c>
      <c r="J581" t="s">
        <v>301</v>
      </c>
      <c r="K581" t="s">
        <v>52</v>
      </c>
      <c r="L581">
        <v>118</v>
      </c>
      <c r="M581">
        <v>2.93</v>
      </c>
      <c r="N581">
        <v>159.47999999999999</v>
      </c>
      <c r="O581">
        <v>1.51</v>
      </c>
      <c r="P581">
        <v>9</v>
      </c>
      <c r="Q581">
        <v>0.99</v>
      </c>
      <c r="R581">
        <v>310</v>
      </c>
      <c r="S581">
        <v>13.93</v>
      </c>
      <c r="T581">
        <v>0.38</v>
      </c>
      <c r="U581" s="1">
        <v>45391</v>
      </c>
      <c r="V581">
        <v>243.11</v>
      </c>
      <c r="W581">
        <v>0.52900000000000003</v>
      </c>
      <c r="X581" t="str">
        <f>IF(WarehouseData[[#This Row],[stock_level]]&lt;=WarehouseData[[#This Row],[reorder_point]],"Low Stock","Sufficient Stock")</f>
        <v>Sufficient Stock</v>
      </c>
      <c r="Y581">
        <f>WarehouseData[[#This Row],[daily_demand]]*WarehouseData[[#This Row],[lead_time_days]]</f>
        <v>148.04999999999998</v>
      </c>
      <c r="Z581" t="str">
        <f>IF(WarehouseData[[#This Row],[stock_level]]&lt;=WarehouseData[[#This Row],[Demand During Lead Time]],"At Risk","Safe")</f>
        <v>Safe</v>
      </c>
      <c r="AA581">
        <f>WarehouseData[[#This Row],[stock_level]]/WarehouseData[[#This Row],[daily_demand]]</f>
        <v>21.607565011820334</v>
      </c>
      <c r="AB581">
        <f>WarehouseData[[#This Row],[stock_level]]*WarehouseData[[#This Row],[unit_price]]</f>
        <v>72882.36</v>
      </c>
      <c r="AC581">
        <f>WarehouseData[[#This Row],[stock_level]]*WarehouseData[[#This Row],[holding_cost_per_unit_day]]*30</f>
        <v>20702.100000000002</v>
      </c>
      <c r="AD581" t="str">
        <f>IF(WarehouseData[[#This Row],[order_fulfillment_rate]]&gt;=0.9,"Strong",IF(WarehouseData[[#This Row],[order_fulfillment_rate]]&gt;=0.8,"Moderate","Needs Attention"))</f>
        <v>Strong</v>
      </c>
      <c r="AE581" t="str">
        <f>IF(WarehouseData[[#This Row],[picking_time_seconds]]&gt;120,"Slow",IF(WarehouseData[[#This Row],[picking_time_seconds]]&gt;=60,"Average","Fast"))</f>
        <v>Average</v>
      </c>
    </row>
    <row r="582" spans="1:31" x14ac:dyDescent="0.25">
      <c r="A582" t="s">
        <v>720</v>
      </c>
      <c r="B582" t="s">
        <v>32</v>
      </c>
      <c r="C582">
        <v>267</v>
      </c>
      <c r="D582">
        <v>77</v>
      </c>
      <c r="E582">
        <v>12</v>
      </c>
      <c r="F582">
        <v>7</v>
      </c>
      <c r="G582">
        <v>23.56</v>
      </c>
      <c r="H582">
        <v>9.02</v>
      </c>
      <c r="I582">
        <v>0.99</v>
      </c>
      <c r="J582" t="s">
        <v>160</v>
      </c>
      <c r="K582" t="s">
        <v>46</v>
      </c>
      <c r="L582">
        <v>73</v>
      </c>
      <c r="M582">
        <v>2.94</v>
      </c>
      <c r="N582">
        <v>56.58</v>
      </c>
      <c r="O582">
        <v>1.07</v>
      </c>
      <c r="P582">
        <v>1</v>
      </c>
      <c r="Q582">
        <v>0.83</v>
      </c>
      <c r="R582">
        <v>838</v>
      </c>
      <c r="S582">
        <v>14.68</v>
      </c>
      <c r="T582">
        <v>0.9</v>
      </c>
      <c r="U582" s="1">
        <v>45488</v>
      </c>
      <c r="V582">
        <v>45.98</v>
      </c>
      <c r="W582">
        <v>0.81499999999999995</v>
      </c>
      <c r="X582" t="str">
        <f>IF(WarehouseData[[#This Row],[stock_level]]&lt;=WarehouseData[[#This Row],[reorder_point]],"Low Stock","Sufficient Stock")</f>
        <v>Sufficient Stock</v>
      </c>
      <c r="Y582">
        <f>WarehouseData[[#This Row],[daily_demand]]*WarehouseData[[#This Row],[lead_time_days]]</f>
        <v>164.92</v>
      </c>
      <c r="Z582" t="str">
        <f>IF(WarehouseData[[#This Row],[stock_level]]&lt;=WarehouseData[[#This Row],[Demand During Lead Time]],"At Risk","Safe")</f>
        <v>Safe</v>
      </c>
      <c r="AA582">
        <f>WarehouseData[[#This Row],[stock_level]]/WarehouseData[[#This Row],[daily_demand]]</f>
        <v>11.332767402376911</v>
      </c>
      <c r="AB582">
        <f>WarehouseData[[#This Row],[stock_level]]*WarehouseData[[#This Row],[unit_price]]</f>
        <v>15106.859999999999</v>
      </c>
      <c r="AC582">
        <f>WarehouseData[[#This Row],[stock_level]]*WarehouseData[[#This Row],[holding_cost_per_unit_day]]*30</f>
        <v>8570.7000000000007</v>
      </c>
      <c r="AD582" t="str">
        <f>IF(WarehouseData[[#This Row],[order_fulfillment_rate]]&gt;=0.9,"Strong",IF(WarehouseData[[#This Row],[order_fulfillment_rate]]&gt;=0.8,"Moderate","Needs Attention"))</f>
        <v>Moderate</v>
      </c>
      <c r="AE582" t="str">
        <f>IF(WarehouseData[[#This Row],[picking_time_seconds]]&gt;120,"Slow",IF(WarehouseData[[#This Row],[picking_time_seconds]]&gt;=60,"Average","Fast"))</f>
        <v>Average</v>
      </c>
    </row>
    <row r="583" spans="1:31" x14ac:dyDescent="0.25">
      <c r="A583" t="s">
        <v>721</v>
      </c>
      <c r="B583" t="s">
        <v>36</v>
      </c>
      <c r="C583">
        <v>266</v>
      </c>
      <c r="D583">
        <v>44</v>
      </c>
      <c r="E583">
        <v>12</v>
      </c>
      <c r="F583">
        <v>4</v>
      </c>
      <c r="G583">
        <v>6.68</v>
      </c>
      <c r="H583">
        <v>3.35</v>
      </c>
      <c r="I583">
        <v>0.28000000000000003</v>
      </c>
      <c r="J583" t="s">
        <v>183</v>
      </c>
      <c r="K583" t="s">
        <v>46</v>
      </c>
      <c r="L583">
        <v>32</v>
      </c>
      <c r="M583">
        <v>4.0599999999999996</v>
      </c>
      <c r="N583">
        <v>139.58000000000001</v>
      </c>
      <c r="O583">
        <v>0.32</v>
      </c>
      <c r="P583">
        <v>3</v>
      </c>
      <c r="Q583">
        <v>0.76</v>
      </c>
      <c r="R583">
        <v>567</v>
      </c>
      <c r="S583">
        <v>7.06</v>
      </c>
      <c r="T583">
        <v>0.43</v>
      </c>
      <c r="U583" s="1">
        <v>45579</v>
      </c>
      <c r="V583">
        <v>168.16</v>
      </c>
      <c r="W583">
        <v>0.64</v>
      </c>
      <c r="X583" t="str">
        <f>IF(WarehouseData[[#This Row],[stock_level]]&lt;=WarehouseData[[#This Row],[reorder_point]],"Low Stock","Sufficient Stock")</f>
        <v>Sufficient Stock</v>
      </c>
      <c r="Y583">
        <f>WarehouseData[[#This Row],[daily_demand]]*WarehouseData[[#This Row],[lead_time_days]]</f>
        <v>26.72</v>
      </c>
      <c r="Z583" t="str">
        <f>IF(WarehouseData[[#This Row],[stock_level]]&lt;=WarehouseData[[#This Row],[Demand During Lead Time]],"At Risk","Safe")</f>
        <v>Safe</v>
      </c>
      <c r="AA583">
        <f>WarehouseData[[#This Row],[stock_level]]/WarehouseData[[#This Row],[daily_demand]]</f>
        <v>39.820359281437128</v>
      </c>
      <c r="AB583">
        <f>WarehouseData[[#This Row],[stock_level]]*WarehouseData[[#This Row],[unit_price]]</f>
        <v>37128.280000000006</v>
      </c>
      <c r="AC583">
        <f>WarehouseData[[#This Row],[stock_level]]*WarehouseData[[#This Row],[holding_cost_per_unit_day]]*30</f>
        <v>2553.6000000000004</v>
      </c>
      <c r="AD583" t="str">
        <f>IF(WarehouseData[[#This Row],[order_fulfillment_rate]]&gt;=0.9,"Strong",IF(WarehouseData[[#This Row],[order_fulfillment_rate]]&gt;=0.8,"Moderate","Needs Attention"))</f>
        <v>Needs Attention</v>
      </c>
      <c r="AE583" t="str">
        <f>IF(WarehouseData[[#This Row],[picking_time_seconds]]&gt;120,"Slow",IF(WarehouseData[[#This Row],[picking_time_seconds]]&gt;=60,"Average","Fast"))</f>
        <v>Fast</v>
      </c>
    </row>
    <row r="584" spans="1:31" x14ac:dyDescent="0.25">
      <c r="A584" t="s">
        <v>722</v>
      </c>
      <c r="B584" t="s">
        <v>73</v>
      </c>
      <c r="C584">
        <v>174</v>
      </c>
      <c r="D584">
        <v>12</v>
      </c>
      <c r="E584">
        <v>4</v>
      </c>
      <c r="F584">
        <v>8</v>
      </c>
      <c r="G584">
        <v>33.97</v>
      </c>
      <c r="H584">
        <v>2.23</v>
      </c>
      <c r="I584">
        <v>0.63</v>
      </c>
      <c r="J584" t="s">
        <v>401</v>
      </c>
      <c r="K584" t="s">
        <v>38</v>
      </c>
      <c r="L584">
        <v>41</v>
      </c>
      <c r="M584">
        <v>2.19</v>
      </c>
      <c r="N584">
        <v>181.12</v>
      </c>
      <c r="O584">
        <v>0.52</v>
      </c>
      <c r="P584">
        <v>2</v>
      </c>
      <c r="Q584">
        <v>0.8</v>
      </c>
      <c r="R584">
        <v>181</v>
      </c>
      <c r="S584">
        <v>12.21</v>
      </c>
      <c r="T584">
        <v>0.88</v>
      </c>
      <c r="U584" s="1">
        <v>45550</v>
      </c>
      <c r="V584">
        <v>279.99</v>
      </c>
      <c r="W584">
        <v>0.80700000000000005</v>
      </c>
      <c r="X584" t="str">
        <f>IF(WarehouseData[[#This Row],[stock_level]]&lt;=WarehouseData[[#This Row],[reorder_point]],"Low Stock","Sufficient Stock")</f>
        <v>Sufficient Stock</v>
      </c>
      <c r="Y584">
        <f>WarehouseData[[#This Row],[daily_demand]]*WarehouseData[[#This Row],[lead_time_days]]</f>
        <v>271.76</v>
      </c>
      <c r="Z584" t="str">
        <f>IF(WarehouseData[[#This Row],[stock_level]]&lt;=WarehouseData[[#This Row],[Demand During Lead Time]],"At Risk","Safe")</f>
        <v>At Risk</v>
      </c>
      <c r="AA584">
        <f>WarehouseData[[#This Row],[stock_level]]/WarehouseData[[#This Row],[daily_demand]]</f>
        <v>5.1221666176037681</v>
      </c>
      <c r="AB584">
        <f>WarehouseData[[#This Row],[stock_level]]*WarehouseData[[#This Row],[unit_price]]</f>
        <v>31514.880000000001</v>
      </c>
      <c r="AC584">
        <f>WarehouseData[[#This Row],[stock_level]]*WarehouseData[[#This Row],[holding_cost_per_unit_day]]*30</f>
        <v>2714.4</v>
      </c>
      <c r="AD584" t="str">
        <f>IF(WarehouseData[[#This Row],[order_fulfillment_rate]]&gt;=0.9,"Strong",IF(WarehouseData[[#This Row],[order_fulfillment_rate]]&gt;=0.8,"Moderate","Needs Attention"))</f>
        <v>Moderate</v>
      </c>
      <c r="AE584" t="str">
        <f>IF(WarehouseData[[#This Row],[picking_time_seconds]]&gt;120,"Slow",IF(WarehouseData[[#This Row],[picking_time_seconds]]&gt;=60,"Average","Fast"))</f>
        <v>Fast</v>
      </c>
    </row>
    <row r="585" spans="1:31" x14ac:dyDescent="0.25">
      <c r="A585" t="s">
        <v>723</v>
      </c>
      <c r="B585" t="s">
        <v>73</v>
      </c>
      <c r="C585">
        <v>53</v>
      </c>
      <c r="D585">
        <v>16</v>
      </c>
      <c r="E585">
        <v>11</v>
      </c>
      <c r="F585">
        <v>2</v>
      </c>
      <c r="G585">
        <v>22.19</v>
      </c>
      <c r="H585">
        <v>4.7300000000000004</v>
      </c>
      <c r="I585">
        <v>0.86</v>
      </c>
      <c r="J585" t="s">
        <v>150</v>
      </c>
      <c r="K585" t="s">
        <v>34</v>
      </c>
      <c r="L585">
        <v>132</v>
      </c>
      <c r="M585">
        <v>4.9800000000000004</v>
      </c>
      <c r="N585">
        <v>76.58</v>
      </c>
      <c r="O585">
        <v>2</v>
      </c>
      <c r="P585">
        <v>5</v>
      </c>
      <c r="Q585">
        <v>0.92</v>
      </c>
      <c r="R585">
        <v>826</v>
      </c>
      <c r="S585">
        <v>13.2</v>
      </c>
      <c r="T585">
        <v>0.78</v>
      </c>
      <c r="U585" s="1">
        <v>45626</v>
      </c>
      <c r="V585">
        <v>19.95</v>
      </c>
      <c r="W585">
        <v>0.61599999999999999</v>
      </c>
      <c r="X585" t="str">
        <f>IF(WarehouseData[[#This Row],[stock_level]]&lt;=WarehouseData[[#This Row],[reorder_point]],"Low Stock","Sufficient Stock")</f>
        <v>Sufficient Stock</v>
      </c>
      <c r="Y585">
        <f>WarehouseData[[#This Row],[daily_demand]]*WarehouseData[[#This Row],[lead_time_days]]</f>
        <v>44.38</v>
      </c>
      <c r="Z585" t="str">
        <f>IF(WarehouseData[[#This Row],[stock_level]]&lt;=WarehouseData[[#This Row],[Demand During Lead Time]],"At Risk","Safe")</f>
        <v>Safe</v>
      </c>
      <c r="AA585">
        <f>WarehouseData[[#This Row],[stock_level]]/WarehouseData[[#This Row],[daily_demand]]</f>
        <v>2.3884632717440288</v>
      </c>
      <c r="AB585">
        <f>WarehouseData[[#This Row],[stock_level]]*WarehouseData[[#This Row],[unit_price]]</f>
        <v>4058.74</v>
      </c>
      <c r="AC585">
        <f>WarehouseData[[#This Row],[stock_level]]*WarehouseData[[#This Row],[holding_cost_per_unit_day]]*30</f>
        <v>3180</v>
      </c>
      <c r="AD585" t="str">
        <f>IF(WarehouseData[[#This Row],[order_fulfillment_rate]]&gt;=0.9,"Strong",IF(WarehouseData[[#This Row],[order_fulfillment_rate]]&gt;=0.8,"Moderate","Needs Attention"))</f>
        <v>Strong</v>
      </c>
      <c r="AE585" t="str">
        <f>IF(WarehouseData[[#This Row],[picking_time_seconds]]&gt;120,"Slow",IF(WarehouseData[[#This Row],[picking_time_seconds]]&gt;=60,"Average","Fast"))</f>
        <v>Slow</v>
      </c>
    </row>
    <row r="586" spans="1:31" x14ac:dyDescent="0.25">
      <c r="A586" t="s">
        <v>724</v>
      </c>
      <c r="B586" t="s">
        <v>40</v>
      </c>
      <c r="C586">
        <v>148</v>
      </c>
      <c r="D586">
        <v>36</v>
      </c>
      <c r="E586">
        <v>5</v>
      </c>
      <c r="F586">
        <v>5</v>
      </c>
      <c r="G586">
        <v>41.02</v>
      </c>
      <c r="H586">
        <v>2.82</v>
      </c>
      <c r="I586">
        <v>0.63</v>
      </c>
      <c r="J586" t="s">
        <v>221</v>
      </c>
      <c r="K586" t="s">
        <v>46</v>
      </c>
      <c r="L586">
        <v>28</v>
      </c>
      <c r="M586">
        <v>4.75</v>
      </c>
      <c r="N586">
        <v>15.61</v>
      </c>
      <c r="O586">
        <v>1.63</v>
      </c>
      <c r="P586">
        <v>0</v>
      </c>
      <c r="Q586">
        <v>0.9</v>
      </c>
      <c r="R586">
        <v>374</v>
      </c>
      <c r="S586">
        <v>1.62</v>
      </c>
      <c r="T586">
        <v>0.48</v>
      </c>
      <c r="U586" s="1">
        <v>45545</v>
      </c>
      <c r="V586">
        <v>22.34</v>
      </c>
      <c r="W586">
        <v>0.53500000000000003</v>
      </c>
      <c r="X586" t="str">
        <f>IF(WarehouseData[[#This Row],[stock_level]]&lt;=WarehouseData[[#This Row],[reorder_point]],"Low Stock","Sufficient Stock")</f>
        <v>Sufficient Stock</v>
      </c>
      <c r="Y586">
        <f>WarehouseData[[#This Row],[daily_demand]]*WarehouseData[[#This Row],[lead_time_days]]</f>
        <v>205.10000000000002</v>
      </c>
      <c r="Z586" t="str">
        <f>IF(WarehouseData[[#This Row],[stock_level]]&lt;=WarehouseData[[#This Row],[Demand During Lead Time]],"At Risk","Safe")</f>
        <v>At Risk</v>
      </c>
      <c r="AA586">
        <f>WarehouseData[[#This Row],[stock_level]]/WarehouseData[[#This Row],[daily_demand]]</f>
        <v>3.6079960994636759</v>
      </c>
      <c r="AB586">
        <f>WarehouseData[[#This Row],[stock_level]]*WarehouseData[[#This Row],[unit_price]]</f>
        <v>2310.2799999999997</v>
      </c>
      <c r="AC586">
        <f>WarehouseData[[#This Row],[stock_level]]*WarehouseData[[#This Row],[holding_cost_per_unit_day]]*30</f>
        <v>7237.2</v>
      </c>
      <c r="AD586" t="str">
        <f>IF(WarehouseData[[#This Row],[order_fulfillment_rate]]&gt;=0.9,"Strong",IF(WarehouseData[[#This Row],[order_fulfillment_rate]]&gt;=0.8,"Moderate","Needs Attention"))</f>
        <v>Strong</v>
      </c>
      <c r="AE586" t="str">
        <f>IF(WarehouseData[[#This Row],[picking_time_seconds]]&gt;120,"Slow",IF(WarehouseData[[#This Row],[picking_time_seconds]]&gt;=60,"Average","Fast"))</f>
        <v>Fast</v>
      </c>
    </row>
    <row r="587" spans="1:31" x14ac:dyDescent="0.25">
      <c r="A587" t="s">
        <v>725</v>
      </c>
      <c r="B587" t="s">
        <v>36</v>
      </c>
      <c r="C587">
        <v>179</v>
      </c>
      <c r="D587">
        <v>10</v>
      </c>
      <c r="E587">
        <v>10</v>
      </c>
      <c r="F587">
        <v>6</v>
      </c>
      <c r="G587">
        <v>10.62</v>
      </c>
      <c r="H587">
        <v>5.51</v>
      </c>
      <c r="I587">
        <v>0.44</v>
      </c>
      <c r="J587" t="s">
        <v>163</v>
      </c>
      <c r="K587" t="s">
        <v>34</v>
      </c>
      <c r="L587">
        <v>115</v>
      </c>
      <c r="M587">
        <v>0.56000000000000005</v>
      </c>
      <c r="N587">
        <v>14.68</v>
      </c>
      <c r="O587">
        <v>0.76</v>
      </c>
      <c r="P587">
        <v>8</v>
      </c>
      <c r="Q587">
        <v>0.93</v>
      </c>
      <c r="R587">
        <v>117</v>
      </c>
      <c r="S587">
        <v>4.7300000000000004</v>
      </c>
      <c r="T587">
        <v>0.93</v>
      </c>
      <c r="U587" s="1">
        <v>45501</v>
      </c>
      <c r="V587">
        <v>217.85</v>
      </c>
      <c r="W587">
        <v>0.59899999999999998</v>
      </c>
      <c r="X587" t="str">
        <f>IF(WarehouseData[[#This Row],[stock_level]]&lt;=WarehouseData[[#This Row],[reorder_point]],"Low Stock","Sufficient Stock")</f>
        <v>Sufficient Stock</v>
      </c>
      <c r="Y587">
        <f>WarehouseData[[#This Row],[daily_demand]]*WarehouseData[[#This Row],[lead_time_days]]</f>
        <v>63.72</v>
      </c>
      <c r="Z587" t="str">
        <f>IF(WarehouseData[[#This Row],[stock_level]]&lt;=WarehouseData[[#This Row],[Demand During Lead Time]],"At Risk","Safe")</f>
        <v>Safe</v>
      </c>
      <c r="AA587">
        <f>WarehouseData[[#This Row],[stock_level]]/WarehouseData[[#This Row],[daily_demand]]</f>
        <v>16.854990583804145</v>
      </c>
      <c r="AB587">
        <f>WarehouseData[[#This Row],[stock_level]]*WarehouseData[[#This Row],[unit_price]]</f>
        <v>2627.72</v>
      </c>
      <c r="AC587">
        <f>WarehouseData[[#This Row],[stock_level]]*WarehouseData[[#This Row],[holding_cost_per_unit_day]]*30</f>
        <v>4081.2</v>
      </c>
      <c r="AD587" t="str">
        <f>IF(WarehouseData[[#This Row],[order_fulfillment_rate]]&gt;=0.9,"Strong",IF(WarehouseData[[#This Row],[order_fulfillment_rate]]&gt;=0.8,"Moderate","Needs Attention"))</f>
        <v>Strong</v>
      </c>
      <c r="AE587" t="str">
        <f>IF(WarehouseData[[#This Row],[picking_time_seconds]]&gt;120,"Slow",IF(WarehouseData[[#This Row],[picking_time_seconds]]&gt;=60,"Average","Fast"))</f>
        <v>Average</v>
      </c>
    </row>
    <row r="588" spans="1:31" x14ac:dyDescent="0.25">
      <c r="A588" t="s">
        <v>726</v>
      </c>
      <c r="B588" t="s">
        <v>32</v>
      </c>
      <c r="C588">
        <v>108</v>
      </c>
      <c r="D588">
        <v>89</v>
      </c>
      <c r="E588">
        <v>14</v>
      </c>
      <c r="F588">
        <v>8</v>
      </c>
      <c r="G588">
        <v>11.05</v>
      </c>
      <c r="H588">
        <v>3.11</v>
      </c>
      <c r="I588">
        <v>0.17</v>
      </c>
      <c r="J588" t="s">
        <v>139</v>
      </c>
      <c r="K588" t="s">
        <v>52</v>
      </c>
      <c r="L588">
        <v>76</v>
      </c>
      <c r="M588">
        <v>4.53</v>
      </c>
      <c r="N588">
        <v>36.51</v>
      </c>
      <c r="O588">
        <v>1.1299999999999999</v>
      </c>
      <c r="P588">
        <v>4</v>
      </c>
      <c r="Q588">
        <v>0.72</v>
      </c>
      <c r="R588">
        <v>175</v>
      </c>
      <c r="S588">
        <v>13.37</v>
      </c>
      <c r="T588">
        <v>0.59</v>
      </c>
      <c r="U588" s="1">
        <v>45642</v>
      </c>
      <c r="V588">
        <v>176.91</v>
      </c>
      <c r="W588">
        <v>0.64700000000000002</v>
      </c>
      <c r="X588" t="str">
        <f>IF(WarehouseData[[#This Row],[stock_level]]&lt;=WarehouseData[[#This Row],[reorder_point]],"Low Stock","Sufficient Stock")</f>
        <v>Sufficient Stock</v>
      </c>
      <c r="Y588">
        <f>WarehouseData[[#This Row],[daily_demand]]*WarehouseData[[#This Row],[lead_time_days]]</f>
        <v>88.4</v>
      </c>
      <c r="Z588" t="str">
        <f>IF(WarehouseData[[#This Row],[stock_level]]&lt;=WarehouseData[[#This Row],[Demand During Lead Time]],"At Risk","Safe")</f>
        <v>Safe</v>
      </c>
      <c r="AA588">
        <f>WarehouseData[[#This Row],[stock_level]]/WarehouseData[[#This Row],[daily_demand]]</f>
        <v>9.7737556561085963</v>
      </c>
      <c r="AB588">
        <f>WarehouseData[[#This Row],[stock_level]]*WarehouseData[[#This Row],[unit_price]]</f>
        <v>3943.08</v>
      </c>
      <c r="AC588">
        <f>WarehouseData[[#This Row],[stock_level]]*WarehouseData[[#This Row],[holding_cost_per_unit_day]]*30</f>
        <v>3661.2</v>
      </c>
      <c r="AD588" t="str">
        <f>IF(WarehouseData[[#This Row],[order_fulfillment_rate]]&gt;=0.9,"Strong",IF(WarehouseData[[#This Row],[order_fulfillment_rate]]&gt;=0.8,"Moderate","Needs Attention"))</f>
        <v>Needs Attention</v>
      </c>
      <c r="AE588" t="str">
        <f>IF(WarehouseData[[#This Row],[picking_time_seconds]]&gt;120,"Slow",IF(WarehouseData[[#This Row],[picking_time_seconds]]&gt;=60,"Average","Fast"))</f>
        <v>Average</v>
      </c>
    </row>
    <row r="589" spans="1:31" x14ac:dyDescent="0.25">
      <c r="A589" t="s">
        <v>727</v>
      </c>
      <c r="B589" t="s">
        <v>73</v>
      </c>
      <c r="C589">
        <v>112</v>
      </c>
      <c r="D589">
        <v>80</v>
      </c>
      <c r="E589">
        <v>10</v>
      </c>
      <c r="F589">
        <v>2</v>
      </c>
      <c r="G589">
        <v>32.64</v>
      </c>
      <c r="H589">
        <v>8.7100000000000009</v>
      </c>
      <c r="I589">
        <v>0.43</v>
      </c>
      <c r="J589" t="s">
        <v>289</v>
      </c>
      <c r="K589" t="s">
        <v>38</v>
      </c>
      <c r="L589">
        <v>176</v>
      </c>
      <c r="M589">
        <v>3.56</v>
      </c>
      <c r="N589">
        <v>30.91</v>
      </c>
      <c r="O589">
        <v>0.89</v>
      </c>
      <c r="P589">
        <v>4</v>
      </c>
      <c r="Q589">
        <v>0.87</v>
      </c>
      <c r="R589">
        <v>442</v>
      </c>
      <c r="S589">
        <v>6.44</v>
      </c>
      <c r="T589">
        <v>0.45</v>
      </c>
      <c r="U589" s="1">
        <v>45543</v>
      </c>
      <c r="V589">
        <v>23.34</v>
      </c>
      <c r="W589">
        <v>0.58099999999999996</v>
      </c>
      <c r="X589" t="str">
        <f>IF(WarehouseData[[#This Row],[stock_level]]&lt;=WarehouseData[[#This Row],[reorder_point]],"Low Stock","Sufficient Stock")</f>
        <v>Sufficient Stock</v>
      </c>
      <c r="Y589">
        <f>WarehouseData[[#This Row],[daily_demand]]*WarehouseData[[#This Row],[lead_time_days]]</f>
        <v>65.28</v>
      </c>
      <c r="Z589" t="str">
        <f>IF(WarehouseData[[#This Row],[stock_level]]&lt;=WarehouseData[[#This Row],[Demand During Lead Time]],"At Risk","Safe")</f>
        <v>Safe</v>
      </c>
      <c r="AA589">
        <f>WarehouseData[[#This Row],[stock_level]]/WarehouseData[[#This Row],[daily_demand]]</f>
        <v>3.4313725490196076</v>
      </c>
      <c r="AB589">
        <f>WarehouseData[[#This Row],[stock_level]]*WarehouseData[[#This Row],[unit_price]]</f>
        <v>3461.92</v>
      </c>
      <c r="AC589">
        <f>WarehouseData[[#This Row],[stock_level]]*WarehouseData[[#This Row],[holding_cost_per_unit_day]]*30</f>
        <v>2990.4</v>
      </c>
      <c r="AD589" t="str">
        <f>IF(WarehouseData[[#This Row],[order_fulfillment_rate]]&gt;=0.9,"Strong",IF(WarehouseData[[#This Row],[order_fulfillment_rate]]&gt;=0.8,"Moderate","Needs Attention"))</f>
        <v>Moderate</v>
      </c>
      <c r="AE589" t="str">
        <f>IF(WarehouseData[[#This Row],[picking_time_seconds]]&gt;120,"Slow",IF(WarehouseData[[#This Row],[picking_time_seconds]]&gt;=60,"Average","Fast"))</f>
        <v>Slow</v>
      </c>
    </row>
    <row r="590" spans="1:31" x14ac:dyDescent="0.25">
      <c r="A590" t="s">
        <v>728</v>
      </c>
      <c r="B590" t="s">
        <v>32</v>
      </c>
      <c r="C590">
        <v>346</v>
      </c>
      <c r="D590">
        <v>53</v>
      </c>
      <c r="E590">
        <v>5</v>
      </c>
      <c r="F590">
        <v>7</v>
      </c>
      <c r="G590">
        <v>42.45</v>
      </c>
      <c r="H590">
        <v>6.27</v>
      </c>
      <c r="I590">
        <v>0.26</v>
      </c>
      <c r="J590" t="s">
        <v>316</v>
      </c>
      <c r="K590" t="s">
        <v>34</v>
      </c>
      <c r="L590">
        <v>98</v>
      </c>
      <c r="M590">
        <v>2.76</v>
      </c>
      <c r="N590">
        <v>152.13999999999999</v>
      </c>
      <c r="O590">
        <v>0.17</v>
      </c>
      <c r="P590">
        <v>3</v>
      </c>
      <c r="Q590">
        <v>0.98</v>
      </c>
      <c r="R590">
        <v>451</v>
      </c>
      <c r="S590">
        <v>4.9000000000000004</v>
      </c>
      <c r="T590">
        <v>0.42</v>
      </c>
      <c r="U590" s="1">
        <v>45504</v>
      </c>
      <c r="V590">
        <v>298.83999999999997</v>
      </c>
      <c r="W590">
        <v>0.66800000000000004</v>
      </c>
      <c r="X590" t="str">
        <f>IF(WarehouseData[[#This Row],[stock_level]]&lt;=WarehouseData[[#This Row],[reorder_point]],"Low Stock","Sufficient Stock")</f>
        <v>Sufficient Stock</v>
      </c>
      <c r="Y590">
        <f>WarehouseData[[#This Row],[daily_demand]]*WarehouseData[[#This Row],[lead_time_days]]</f>
        <v>297.15000000000003</v>
      </c>
      <c r="Z590" t="str">
        <f>IF(WarehouseData[[#This Row],[stock_level]]&lt;=WarehouseData[[#This Row],[Demand During Lead Time]],"At Risk","Safe")</f>
        <v>Safe</v>
      </c>
      <c r="AA590">
        <f>WarehouseData[[#This Row],[stock_level]]/WarehouseData[[#This Row],[daily_demand]]</f>
        <v>8.1507656065959946</v>
      </c>
      <c r="AB590">
        <f>WarehouseData[[#This Row],[stock_level]]*WarehouseData[[#This Row],[unit_price]]</f>
        <v>52640.439999999995</v>
      </c>
      <c r="AC590">
        <f>WarehouseData[[#This Row],[stock_level]]*WarehouseData[[#This Row],[holding_cost_per_unit_day]]*30</f>
        <v>1764.6000000000001</v>
      </c>
      <c r="AD590" t="str">
        <f>IF(WarehouseData[[#This Row],[order_fulfillment_rate]]&gt;=0.9,"Strong",IF(WarehouseData[[#This Row],[order_fulfillment_rate]]&gt;=0.8,"Moderate","Needs Attention"))</f>
        <v>Strong</v>
      </c>
      <c r="AE590" t="str">
        <f>IF(WarehouseData[[#This Row],[picking_time_seconds]]&gt;120,"Slow",IF(WarehouseData[[#This Row],[picking_time_seconds]]&gt;=60,"Average","Fast"))</f>
        <v>Average</v>
      </c>
    </row>
    <row r="591" spans="1:31" x14ac:dyDescent="0.25">
      <c r="A591" t="s">
        <v>729</v>
      </c>
      <c r="B591" t="s">
        <v>73</v>
      </c>
      <c r="C591">
        <v>260</v>
      </c>
      <c r="D591">
        <v>96</v>
      </c>
      <c r="E591">
        <v>5</v>
      </c>
      <c r="F591">
        <v>7</v>
      </c>
      <c r="G591">
        <v>24.14</v>
      </c>
      <c r="H591">
        <v>0.5</v>
      </c>
      <c r="I591">
        <v>0.96</v>
      </c>
      <c r="J591" t="s">
        <v>79</v>
      </c>
      <c r="K591" t="s">
        <v>46</v>
      </c>
      <c r="L591">
        <v>69</v>
      </c>
      <c r="M591">
        <v>3.12</v>
      </c>
      <c r="N591">
        <v>66.02</v>
      </c>
      <c r="O591">
        <v>1.58</v>
      </c>
      <c r="P591">
        <v>3</v>
      </c>
      <c r="Q591">
        <v>0.73</v>
      </c>
      <c r="R591">
        <v>876</v>
      </c>
      <c r="S591">
        <v>4.82</v>
      </c>
      <c r="T591">
        <v>0.95</v>
      </c>
      <c r="U591" s="1">
        <v>45655</v>
      </c>
      <c r="V591">
        <v>178.23</v>
      </c>
      <c r="W591">
        <v>0.58199999999999996</v>
      </c>
      <c r="X591" t="str">
        <f>IF(WarehouseData[[#This Row],[stock_level]]&lt;=WarehouseData[[#This Row],[reorder_point]],"Low Stock","Sufficient Stock")</f>
        <v>Sufficient Stock</v>
      </c>
      <c r="Y591">
        <f>WarehouseData[[#This Row],[daily_demand]]*WarehouseData[[#This Row],[lead_time_days]]</f>
        <v>168.98000000000002</v>
      </c>
      <c r="Z591" t="str">
        <f>IF(WarehouseData[[#This Row],[stock_level]]&lt;=WarehouseData[[#This Row],[Demand During Lead Time]],"At Risk","Safe")</f>
        <v>Safe</v>
      </c>
      <c r="AA591">
        <f>WarehouseData[[#This Row],[stock_level]]/WarehouseData[[#This Row],[daily_demand]]</f>
        <v>10.770505385252692</v>
      </c>
      <c r="AB591">
        <f>WarehouseData[[#This Row],[stock_level]]*WarehouseData[[#This Row],[unit_price]]</f>
        <v>17165.2</v>
      </c>
      <c r="AC591">
        <f>WarehouseData[[#This Row],[stock_level]]*WarehouseData[[#This Row],[holding_cost_per_unit_day]]*30</f>
        <v>12324</v>
      </c>
      <c r="AD591" t="str">
        <f>IF(WarehouseData[[#This Row],[order_fulfillment_rate]]&gt;=0.9,"Strong",IF(WarehouseData[[#This Row],[order_fulfillment_rate]]&gt;=0.8,"Moderate","Needs Attention"))</f>
        <v>Needs Attention</v>
      </c>
      <c r="AE591" t="str">
        <f>IF(WarehouseData[[#This Row],[picking_time_seconds]]&gt;120,"Slow",IF(WarehouseData[[#This Row],[picking_time_seconds]]&gt;=60,"Average","Fast"))</f>
        <v>Average</v>
      </c>
    </row>
    <row r="592" spans="1:31" x14ac:dyDescent="0.25">
      <c r="A592" t="s">
        <v>730</v>
      </c>
      <c r="B592" t="s">
        <v>73</v>
      </c>
      <c r="C592">
        <v>342</v>
      </c>
      <c r="D592">
        <v>50</v>
      </c>
      <c r="E592">
        <v>14</v>
      </c>
      <c r="F592">
        <v>6</v>
      </c>
      <c r="G592">
        <v>36.619999999999997</v>
      </c>
      <c r="H592">
        <v>8.15</v>
      </c>
      <c r="I592">
        <v>0.74</v>
      </c>
      <c r="J592" t="s">
        <v>338</v>
      </c>
      <c r="K592" t="s">
        <v>38</v>
      </c>
      <c r="L592">
        <v>20</v>
      </c>
      <c r="M592">
        <v>4.29</v>
      </c>
      <c r="N592">
        <v>133.97999999999999</v>
      </c>
      <c r="O592">
        <v>1.46</v>
      </c>
      <c r="P592">
        <v>0</v>
      </c>
      <c r="Q592">
        <v>0.73</v>
      </c>
      <c r="R592">
        <v>732</v>
      </c>
      <c r="S592">
        <v>6.26</v>
      </c>
      <c r="T592">
        <v>0.81</v>
      </c>
      <c r="U592" s="1">
        <v>45519</v>
      </c>
      <c r="V592">
        <v>152.66</v>
      </c>
      <c r="W592">
        <v>0.64500000000000002</v>
      </c>
      <c r="X592" t="str">
        <f>IF(WarehouseData[[#This Row],[stock_level]]&lt;=WarehouseData[[#This Row],[reorder_point]],"Low Stock","Sufficient Stock")</f>
        <v>Sufficient Stock</v>
      </c>
      <c r="Y592">
        <f>WarehouseData[[#This Row],[daily_demand]]*WarehouseData[[#This Row],[lead_time_days]]</f>
        <v>219.71999999999997</v>
      </c>
      <c r="Z592" t="str">
        <f>IF(WarehouseData[[#This Row],[stock_level]]&lt;=WarehouseData[[#This Row],[Demand During Lead Time]],"At Risk","Safe")</f>
        <v>Safe</v>
      </c>
      <c r="AA592">
        <f>WarehouseData[[#This Row],[stock_level]]/WarehouseData[[#This Row],[daily_demand]]</f>
        <v>9.3391589295466968</v>
      </c>
      <c r="AB592">
        <f>WarehouseData[[#This Row],[stock_level]]*WarehouseData[[#This Row],[unit_price]]</f>
        <v>45821.159999999996</v>
      </c>
      <c r="AC592">
        <f>WarehouseData[[#This Row],[stock_level]]*WarehouseData[[#This Row],[holding_cost_per_unit_day]]*30</f>
        <v>14979.6</v>
      </c>
      <c r="AD592" t="str">
        <f>IF(WarehouseData[[#This Row],[order_fulfillment_rate]]&gt;=0.9,"Strong",IF(WarehouseData[[#This Row],[order_fulfillment_rate]]&gt;=0.8,"Moderate","Needs Attention"))</f>
        <v>Needs Attention</v>
      </c>
      <c r="AE592" t="str">
        <f>IF(WarehouseData[[#This Row],[picking_time_seconds]]&gt;120,"Slow",IF(WarehouseData[[#This Row],[picking_time_seconds]]&gt;=60,"Average","Fast"))</f>
        <v>Fast</v>
      </c>
    </row>
    <row r="593" spans="1:31" x14ac:dyDescent="0.25">
      <c r="A593" t="s">
        <v>731</v>
      </c>
      <c r="B593" t="s">
        <v>73</v>
      </c>
      <c r="C593">
        <v>487</v>
      </c>
      <c r="D593">
        <v>84</v>
      </c>
      <c r="E593">
        <v>8</v>
      </c>
      <c r="F593">
        <v>5</v>
      </c>
      <c r="G593">
        <v>49.97</v>
      </c>
      <c r="H593">
        <v>3.64</v>
      </c>
      <c r="I593">
        <v>0.77</v>
      </c>
      <c r="J593" t="s">
        <v>183</v>
      </c>
      <c r="K593" t="s">
        <v>38</v>
      </c>
      <c r="L593">
        <v>58</v>
      </c>
      <c r="M593">
        <v>4.78</v>
      </c>
      <c r="N593">
        <v>18.07</v>
      </c>
      <c r="O593">
        <v>0.88</v>
      </c>
      <c r="P593">
        <v>8</v>
      </c>
      <c r="Q593">
        <v>0.91</v>
      </c>
      <c r="R593">
        <v>385</v>
      </c>
      <c r="S593">
        <v>4.42</v>
      </c>
      <c r="T593">
        <v>0.48</v>
      </c>
      <c r="U593" s="1">
        <v>45542</v>
      </c>
      <c r="V593">
        <v>139.83000000000001</v>
      </c>
      <c r="W593">
        <v>0.48899999999999999</v>
      </c>
      <c r="X593" t="str">
        <f>IF(WarehouseData[[#This Row],[stock_level]]&lt;=WarehouseData[[#This Row],[reorder_point]],"Low Stock","Sufficient Stock")</f>
        <v>Sufficient Stock</v>
      </c>
      <c r="Y593">
        <f>WarehouseData[[#This Row],[daily_demand]]*WarehouseData[[#This Row],[lead_time_days]]</f>
        <v>249.85</v>
      </c>
      <c r="Z593" t="str">
        <f>IF(WarehouseData[[#This Row],[stock_level]]&lt;=WarehouseData[[#This Row],[Demand During Lead Time]],"At Risk","Safe")</f>
        <v>Safe</v>
      </c>
      <c r="AA593">
        <f>WarehouseData[[#This Row],[stock_level]]/WarehouseData[[#This Row],[daily_demand]]</f>
        <v>9.7458475085051024</v>
      </c>
      <c r="AB593">
        <f>WarehouseData[[#This Row],[stock_level]]*WarehouseData[[#This Row],[unit_price]]</f>
        <v>8800.09</v>
      </c>
      <c r="AC593">
        <f>WarehouseData[[#This Row],[stock_level]]*WarehouseData[[#This Row],[holding_cost_per_unit_day]]*30</f>
        <v>12856.8</v>
      </c>
      <c r="AD593" t="str">
        <f>IF(WarehouseData[[#This Row],[order_fulfillment_rate]]&gt;=0.9,"Strong",IF(WarehouseData[[#This Row],[order_fulfillment_rate]]&gt;=0.8,"Moderate","Needs Attention"))</f>
        <v>Strong</v>
      </c>
      <c r="AE593" t="str">
        <f>IF(WarehouseData[[#This Row],[picking_time_seconds]]&gt;120,"Slow",IF(WarehouseData[[#This Row],[picking_time_seconds]]&gt;=60,"Average","Fast"))</f>
        <v>Fast</v>
      </c>
    </row>
    <row r="594" spans="1:31" x14ac:dyDescent="0.25">
      <c r="A594" t="s">
        <v>732</v>
      </c>
      <c r="B594" t="s">
        <v>36</v>
      </c>
      <c r="C594">
        <v>423</v>
      </c>
      <c r="D594">
        <v>51</v>
      </c>
      <c r="E594">
        <v>3</v>
      </c>
      <c r="F594">
        <v>2</v>
      </c>
      <c r="G594">
        <v>49.52</v>
      </c>
      <c r="H594">
        <v>3.54</v>
      </c>
      <c r="I594">
        <v>0.49</v>
      </c>
      <c r="J594" t="s">
        <v>418</v>
      </c>
      <c r="K594" t="s">
        <v>38</v>
      </c>
      <c r="L594">
        <v>152</v>
      </c>
      <c r="M594">
        <v>3.02</v>
      </c>
      <c r="N594">
        <v>66.19</v>
      </c>
      <c r="O594">
        <v>1.71</v>
      </c>
      <c r="P594">
        <v>8</v>
      </c>
      <c r="Q594">
        <v>0.79</v>
      </c>
      <c r="R594">
        <v>78</v>
      </c>
      <c r="S594">
        <v>1.05</v>
      </c>
      <c r="T594">
        <v>0.4</v>
      </c>
      <c r="U594" s="1">
        <v>45377</v>
      </c>
      <c r="V594">
        <v>213.2</v>
      </c>
      <c r="W594">
        <v>0.32100000000000001</v>
      </c>
      <c r="X594" t="str">
        <f>IF(WarehouseData[[#This Row],[stock_level]]&lt;=WarehouseData[[#This Row],[reorder_point]],"Low Stock","Sufficient Stock")</f>
        <v>Sufficient Stock</v>
      </c>
      <c r="Y594">
        <f>WarehouseData[[#This Row],[daily_demand]]*WarehouseData[[#This Row],[lead_time_days]]</f>
        <v>99.04</v>
      </c>
      <c r="Z594" t="str">
        <f>IF(WarehouseData[[#This Row],[stock_level]]&lt;=WarehouseData[[#This Row],[Demand During Lead Time]],"At Risk","Safe")</f>
        <v>Safe</v>
      </c>
      <c r="AA594">
        <f>WarehouseData[[#This Row],[stock_level]]/WarehouseData[[#This Row],[daily_demand]]</f>
        <v>8.5420032310177696</v>
      </c>
      <c r="AB594">
        <f>WarehouseData[[#This Row],[stock_level]]*WarehouseData[[#This Row],[unit_price]]</f>
        <v>27998.37</v>
      </c>
      <c r="AC594">
        <f>WarehouseData[[#This Row],[stock_level]]*WarehouseData[[#This Row],[holding_cost_per_unit_day]]*30</f>
        <v>21699.9</v>
      </c>
      <c r="AD594" t="str">
        <f>IF(WarehouseData[[#This Row],[order_fulfillment_rate]]&gt;=0.9,"Strong",IF(WarehouseData[[#This Row],[order_fulfillment_rate]]&gt;=0.8,"Moderate","Needs Attention"))</f>
        <v>Needs Attention</v>
      </c>
      <c r="AE594" t="str">
        <f>IF(WarehouseData[[#This Row],[picking_time_seconds]]&gt;120,"Slow",IF(WarehouseData[[#This Row],[picking_time_seconds]]&gt;=60,"Average","Fast"))</f>
        <v>Slow</v>
      </c>
    </row>
    <row r="595" spans="1:31" x14ac:dyDescent="0.25">
      <c r="A595" t="s">
        <v>733</v>
      </c>
      <c r="B595" t="s">
        <v>48</v>
      </c>
      <c r="C595">
        <v>136</v>
      </c>
      <c r="D595">
        <v>42</v>
      </c>
      <c r="E595">
        <v>6</v>
      </c>
      <c r="F595">
        <v>2</v>
      </c>
      <c r="G595">
        <v>37.47</v>
      </c>
      <c r="H595">
        <v>4.1399999999999997</v>
      </c>
      <c r="I595">
        <v>0.2</v>
      </c>
      <c r="J595" t="s">
        <v>212</v>
      </c>
      <c r="K595" t="s">
        <v>38</v>
      </c>
      <c r="L595">
        <v>137</v>
      </c>
      <c r="M595">
        <v>1.32</v>
      </c>
      <c r="N595">
        <v>54.49</v>
      </c>
      <c r="O595">
        <v>1.1200000000000001</v>
      </c>
      <c r="P595">
        <v>3</v>
      </c>
      <c r="Q595">
        <v>0.9</v>
      </c>
      <c r="R595">
        <v>737</v>
      </c>
      <c r="S595">
        <v>3.42</v>
      </c>
      <c r="T595">
        <v>0.37</v>
      </c>
      <c r="U595" s="1">
        <v>45334</v>
      </c>
      <c r="V595">
        <v>142.91999999999999</v>
      </c>
      <c r="W595">
        <v>0.52800000000000002</v>
      </c>
      <c r="X595" t="str">
        <f>IF(WarehouseData[[#This Row],[stock_level]]&lt;=WarehouseData[[#This Row],[reorder_point]],"Low Stock","Sufficient Stock")</f>
        <v>Sufficient Stock</v>
      </c>
      <c r="Y595">
        <f>WarehouseData[[#This Row],[daily_demand]]*WarehouseData[[#This Row],[lead_time_days]]</f>
        <v>74.94</v>
      </c>
      <c r="Z595" t="str">
        <f>IF(WarehouseData[[#This Row],[stock_level]]&lt;=WarehouseData[[#This Row],[Demand During Lead Time]],"At Risk","Safe")</f>
        <v>Safe</v>
      </c>
      <c r="AA595">
        <f>WarehouseData[[#This Row],[stock_level]]/WarehouseData[[#This Row],[daily_demand]]</f>
        <v>3.6295703229250069</v>
      </c>
      <c r="AB595">
        <f>WarehouseData[[#This Row],[stock_level]]*WarehouseData[[#This Row],[unit_price]]</f>
        <v>7410.64</v>
      </c>
      <c r="AC595">
        <f>WarehouseData[[#This Row],[stock_level]]*WarehouseData[[#This Row],[holding_cost_per_unit_day]]*30</f>
        <v>4569.6000000000004</v>
      </c>
      <c r="AD595" t="str">
        <f>IF(WarehouseData[[#This Row],[order_fulfillment_rate]]&gt;=0.9,"Strong",IF(WarehouseData[[#This Row],[order_fulfillment_rate]]&gt;=0.8,"Moderate","Needs Attention"))</f>
        <v>Strong</v>
      </c>
      <c r="AE595" t="str">
        <f>IF(WarehouseData[[#This Row],[picking_time_seconds]]&gt;120,"Slow",IF(WarehouseData[[#This Row],[picking_time_seconds]]&gt;=60,"Average","Fast"))</f>
        <v>Slow</v>
      </c>
    </row>
    <row r="596" spans="1:31" x14ac:dyDescent="0.25">
      <c r="A596" t="s">
        <v>734</v>
      </c>
      <c r="B596" t="s">
        <v>32</v>
      </c>
      <c r="C596">
        <v>113</v>
      </c>
      <c r="D596">
        <v>59</v>
      </c>
      <c r="E596">
        <v>3</v>
      </c>
      <c r="F596">
        <v>5</v>
      </c>
      <c r="G596">
        <v>37.24</v>
      </c>
      <c r="H596">
        <v>6.49</v>
      </c>
      <c r="I596">
        <v>0.34</v>
      </c>
      <c r="J596" t="s">
        <v>223</v>
      </c>
      <c r="K596" t="s">
        <v>38</v>
      </c>
      <c r="L596">
        <v>70</v>
      </c>
      <c r="M596">
        <v>3.38</v>
      </c>
      <c r="N596">
        <v>62.61</v>
      </c>
      <c r="O596">
        <v>0.22</v>
      </c>
      <c r="P596">
        <v>9</v>
      </c>
      <c r="Q596">
        <v>0.86</v>
      </c>
      <c r="R596">
        <v>868</v>
      </c>
      <c r="S596">
        <v>13.36</v>
      </c>
      <c r="T596">
        <v>0.4</v>
      </c>
      <c r="U596" s="1">
        <v>45581</v>
      </c>
      <c r="V596">
        <v>201.13</v>
      </c>
      <c r="W596">
        <v>0.628</v>
      </c>
      <c r="X596" t="str">
        <f>IF(WarehouseData[[#This Row],[stock_level]]&lt;=WarehouseData[[#This Row],[reorder_point]],"Low Stock","Sufficient Stock")</f>
        <v>Sufficient Stock</v>
      </c>
      <c r="Y596">
        <f>WarehouseData[[#This Row],[daily_demand]]*WarehouseData[[#This Row],[lead_time_days]]</f>
        <v>186.20000000000002</v>
      </c>
      <c r="Z596" t="str">
        <f>IF(WarehouseData[[#This Row],[stock_level]]&lt;=WarehouseData[[#This Row],[Demand During Lead Time]],"At Risk","Safe")</f>
        <v>At Risk</v>
      </c>
      <c r="AA596">
        <f>WarehouseData[[#This Row],[stock_level]]/WarehouseData[[#This Row],[daily_demand]]</f>
        <v>3.0343716433941994</v>
      </c>
      <c r="AB596">
        <f>WarehouseData[[#This Row],[stock_level]]*WarehouseData[[#This Row],[unit_price]]</f>
        <v>7074.93</v>
      </c>
      <c r="AC596">
        <f>WarehouseData[[#This Row],[stock_level]]*WarehouseData[[#This Row],[holding_cost_per_unit_day]]*30</f>
        <v>745.8</v>
      </c>
      <c r="AD596" t="str">
        <f>IF(WarehouseData[[#This Row],[order_fulfillment_rate]]&gt;=0.9,"Strong",IF(WarehouseData[[#This Row],[order_fulfillment_rate]]&gt;=0.8,"Moderate","Needs Attention"))</f>
        <v>Moderate</v>
      </c>
      <c r="AE596" t="str">
        <f>IF(WarehouseData[[#This Row],[picking_time_seconds]]&gt;120,"Slow",IF(WarehouseData[[#This Row],[picking_time_seconds]]&gt;=60,"Average","Fast"))</f>
        <v>Average</v>
      </c>
    </row>
    <row r="597" spans="1:31" x14ac:dyDescent="0.25">
      <c r="A597" t="s">
        <v>735</v>
      </c>
      <c r="B597" t="s">
        <v>36</v>
      </c>
      <c r="C597">
        <v>182</v>
      </c>
      <c r="D597">
        <v>72</v>
      </c>
      <c r="E597">
        <v>5</v>
      </c>
      <c r="F597">
        <v>5</v>
      </c>
      <c r="G597">
        <v>13.13</v>
      </c>
      <c r="H597">
        <v>4.7</v>
      </c>
      <c r="I597">
        <v>0.33</v>
      </c>
      <c r="J597" t="s">
        <v>92</v>
      </c>
      <c r="K597" t="s">
        <v>52</v>
      </c>
      <c r="L597">
        <v>152</v>
      </c>
      <c r="M597">
        <v>0.84</v>
      </c>
      <c r="N597">
        <v>46.24</v>
      </c>
      <c r="O597">
        <v>0.59</v>
      </c>
      <c r="P597">
        <v>9</v>
      </c>
      <c r="Q597">
        <v>1</v>
      </c>
      <c r="R597">
        <v>987</v>
      </c>
      <c r="S597">
        <v>2.06</v>
      </c>
      <c r="T597">
        <v>0.28999999999999998</v>
      </c>
      <c r="U597" s="1">
        <v>45307</v>
      </c>
      <c r="V597">
        <v>151.62</v>
      </c>
      <c r="W597">
        <v>0.44600000000000001</v>
      </c>
      <c r="X597" t="str">
        <f>IF(WarehouseData[[#This Row],[stock_level]]&lt;=WarehouseData[[#This Row],[reorder_point]],"Low Stock","Sufficient Stock")</f>
        <v>Sufficient Stock</v>
      </c>
      <c r="Y597">
        <f>WarehouseData[[#This Row],[daily_demand]]*WarehouseData[[#This Row],[lead_time_days]]</f>
        <v>65.650000000000006</v>
      </c>
      <c r="Z597" t="str">
        <f>IF(WarehouseData[[#This Row],[stock_level]]&lt;=WarehouseData[[#This Row],[Demand During Lead Time]],"At Risk","Safe")</f>
        <v>Safe</v>
      </c>
      <c r="AA597">
        <f>WarehouseData[[#This Row],[stock_level]]/WarehouseData[[#This Row],[daily_demand]]</f>
        <v>13.861386138613861</v>
      </c>
      <c r="AB597">
        <f>WarehouseData[[#This Row],[stock_level]]*WarehouseData[[#This Row],[unit_price]]</f>
        <v>8415.68</v>
      </c>
      <c r="AC597">
        <f>WarehouseData[[#This Row],[stock_level]]*WarehouseData[[#This Row],[holding_cost_per_unit_day]]*30</f>
        <v>3221.3999999999996</v>
      </c>
      <c r="AD597" t="str">
        <f>IF(WarehouseData[[#This Row],[order_fulfillment_rate]]&gt;=0.9,"Strong",IF(WarehouseData[[#This Row],[order_fulfillment_rate]]&gt;=0.8,"Moderate","Needs Attention"))</f>
        <v>Strong</v>
      </c>
      <c r="AE597" t="str">
        <f>IF(WarehouseData[[#This Row],[picking_time_seconds]]&gt;120,"Slow",IF(WarehouseData[[#This Row],[picking_time_seconds]]&gt;=60,"Average","Fast"))</f>
        <v>Slow</v>
      </c>
    </row>
    <row r="598" spans="1:31" x14ac:dyDescent="0.25">
      <c r="A598" t="s">
        <v>736</v>
      </c>
      <c r="B598" t="s">
        <v>36</v>
      </c>
      <c r="C598">
        <v>118</v>
      </c>
      <c r="D598">
        <v>46</v>
      </c>
      <c r="E598">
        <v>11</v>
      </c>
      <c r="F598">
        <v>5</v>
      </c>
      <c r="G598">
        <v>41.84</v>
      </c>
      <c r="H598">
        <v>6.47</v>
      </c>
      <c r="I598">
        <v>0.54</v>
      </c>
      <c r="J598" t="s">
        <v>146</v>
      </c>
      <c r="K598" t="s">
        <v>52</v>
      </c>
      <c r="L598">
        <v>14</v>
      </c>
      <c r="M598">
        <v>3.36</v>
      </c>
      <c r="N598">
        <v>127.4</v>
      </c>
      <c r="O598">
        <v>0.98</v>
      </c>
      <c r="P598">
        <v>3</v>
      </c>
      <c r="Q598">
        <v>0.97</v>
      </c>
      <c r="R598">
        <v>853</v>
      </c>
      <c r="S598">
        <v>6.78</v>
      </c>
      <c r="T598">
        <v>0.59</v>
      </c>
      <c r="U598" s="1">
        <v>45404</v>
      </c>
      <c r="V598">
        <v>187.11</v>
      </c>
      <c r="W598">
        <v>0.64400000000000002</v>
      </c>
      <c r="X598" t="str">
        <f>IF(WarehouseData[[#This Row],[stock_level]]&lt;=WarehouseData[[#This Row],[reorder_point]],"Low Stock","Sufficient Stock")</f>
        <v>Sufficient Stock</v>
      </c>
      <c r="Y598">
        <f>WarehouseData[[#This Row],[daily_demand]]*WarehouseData[[#This Row],[lead_time_days]]</f>
        <v>209.20000000000002</v>
      </c>
      <c r="Z598" t="str">
        <f>IF(WarehouseData[[#This Row],[stock_level]]&lt;=WarehouseData[[#This Row],[Demand During Lead Time]],"At Risk","Safe")</f>
        <v>At Risk</v>
      </c>
      <c r="AA598">
        <f>WarehouseData[[#This Row],[stock_level]]/WarehouseData[[#This Row],[daily_demand]]</f>
        <v>2.820267686424474</v>
      </c>
      <c r="AB598">
        <f>WarehouseData[[#This Row],[stock_level]]*WarehouseData[[#This Row],[unit_price]]</f>
        <v>15033.2</v>
      </c>
      <c r="AC598">
        <f>WarehouseData[[#This Row],[stock_level]]*WarehouseData[[#This Row],[holding_cost_per_unit_day]]*30</f>
        <v>3469.2</v>
      </c>
      <c r="AD598" t="str">
        <f>IF(WarehouseData[[#This Row],[order_fulfillment_rate]]&gt;=0.9,"Strong",IF(WarehouseData[[#This Row],[order_fulfillment_rate]]&gt;=0.8,"Moderate","Needs Attention"))</f>
        <v>Strong</v>
      </c>
      <c r="AE598" t="str">
        <f>IF(WarehouseData[[#This Row],[picking_time_seconds]]&gt;120,"Slow",IF(WarehouseData[[#This Row],[picking_time_seconds]]&gt;=60,"Average","Fast"))</f>
        <v>Fast</v>
      </c>
    </row>
    <row r="599" spans="1:31" x14ac:dyDescent="0.25">
      <c r="A599" t="s">
        <v>737</v>
      </c>
      <c r="B599" t="s">
        <v>36</v>
      </c>
      <c r="C599">
        <v>132</v>
      </c>
      <c r="D599">
        <v>68</v>
      </c>
      <c r="E599">
        <v>7</v>
      </c>
      <c r="F599">
        <v>7</v>
      </c>
      <c r="G599">
        <v>20.85</v>
      </c>
      <c r="H599">
        <v>1.89</v>
      </c>
      <c r="I599">
        <v>0.51</v>
      </c>
      <c r="J599" t="s">
        <v>144</v>
      </c>
      <c r="K599" t="s">
        <v>38</v>
      </c>
      <c r="L599">
        <v>38</v>
      </c>
      <c r="M599">
        <v>4.1399999999999997</v>
      </c>
      <c r="N599">
        <v>135.91</v>
      </c>
      <c r="O599">
        <v>0.3</v>
      </c>
      <c r="P599">
        <v>6</v>
      </c>
      <c r="Q599">
        <v>0.9</v>
      </c>
      <c r="R599">
        <v>893</v>
      </c>
      <c r="S599">
        <v>7.39</v>
      </c>
      <c r="T599">
        <v>0.23</v>
      </c>
      <c r="U599" s="1">
        <v>45441</v>
      </c>
      <c r="V599">
        <v>243.5</v>
      </c>
      <c r="W599">
        <v>0.57499999999999996</v>
      </c>
      <c r="X599" t="str">
        <f>IF(WarehouseData[[#This Row],[stock_level]]&lt;=WarehouseData[[#This Row],[reorder_point]],"Low Stock","Sufficient Stock")</f>
        <v>Sufficient Stock</v>
      </c>
      <c r="Y599">
        <f>WarehouseData[[#This Row],[daily_demand]]*WarehouseData[[#This Row],[lead_time_days]]</f>
        <v>145.95000000000002</v>
      </c>
      <c r="Z599" t="str">
        <f>IF(WarehouseData[[#This Row],[stock_level]]&lt;=WarehouseData[[#This Row],[Demand During Lead Time]],"At Risk","Safe")</f>
        <v>At Risk</v>
      </c>
      <c r="AA599">
        <f>WarehouseData[[#This Row],[stock_level]]/WarehouseData[[#This Row],[daily_demand]]</f>
        <v>6.3309352517985609</v>
      </c>
      <c r="AB599">
        <f>WarehouseData[[#This Row],[stock_level]]*WarehouseData[[#This Row],[unit_price]]</f>
        <v>17940.12</v>
      </c>
      <c r="AC599">
        <f>WarehouseData[[#This Row],[stock_level]]*WarehouseData[[#This Row],[holding_cost_per_unit_day]]*30</f>
        <v>1188</v>
      </c>
      <c r="AD599" t="str">
        <f>IF(WarehouseData[[#This Row],[order_fulfillment_rate]]&gt;=0.9,"Strong",IF(WarehouseData[[#This Row],[order_fulfillment_rate]]&gt;=0.8,"Moderate","Needs Attention"))</f>
        <v>Strong</v>
      </c>
      <c r="AE599" t="str">
        <f>IF(WarehouseData[[#This Row],[picking_time_seconds]]&gt;120,"Slow",IF(WarehouseData[[#This Row],[picking_time_seconds]]&gt;=60,"Average","Fast"))</f>
        <v>Fast</v>
      </c>
    </row>
    <row r="600" spans="1:31" x14ac:dyDescent="0.25">
      <c r="A600" t="s">
        <v>738</v>
      </c>
      <c r="B600" t="s">
        <v>36</v>
      </c>
      <c r="C600">
        <v>378</v>
      </c>
      <c r="D600">
        <v>90</v>
      </c>
      <c r="E600">
        <v>14</v>
      </c>
      <c r="F600">
        <v>6</v>
      </c>
      <c r="G600">
        <v>48.14</v>
      </c>
      <c r="H600">
        <v>9.7200000000000006</v>
      </c>
      <c r="I600">
        <v>0.49</v>
      </c>
      <c r="J600" t="s">
        <v>353</v>
      </c>
      <c r="K600" t="s">
        <v>46</v>
      </c>
      <c r="L600">
        <v>78</v>
      </c>
      <c r="M600">
        <v>2.09</v>
      </c>
      <c r="N600">
        <v>38.21</v>
      </c>
      <c r="O600">
        <v>1.19</v>
      </c>
      <c r="P600">
        <v>3</v>
      </c>
      <c r="Q600">
        <v>0.78</v>
      </c>
      <c r="R600">
        <v>666</v>
      </c>
      <c r="S600">
        <v>11.89</v>
      </c>
      <c r="T600">
        <v>0.21</v>
      </c>
      <c r="U600" s="1">
        <v>45308</v>
      </c>
      <c r="V600">
        <v>246.98</v>
      </c>
      <c r="W600">
        <v>0.57799999999999996</v>
      </c>
      <c r="X600" t="str">
        <f>IF(WarehouseData[[#This Row],[stock_level]]&lt;=WarehouseData[[#This Row],[reorder_point]],"Low Stock","Sufficient Stock")</f>
        <v>Sufficient Stock</v>
      </c>
      <c r="Y600">
        <f>WarehouseData[[#This Row],[daily_demand]]*WarehouseData[[#This Row],[lead_time_days]]</f>
        <v>288.84000000000003</v>
      </c>
      <c r="Z600" t="str">
        <f>IF(WarehouseData[[#This Row],[stock_level]]&lt;=WarehouseData[[#This Row],[Demand During Lead Time]],"At Risk","Safe")</f>
        <v>Safe</v>
      </c>
      <c r="AA600">
        <f>WarehouseData[[#This Row],[stock_level]]/WarehouseData[[#This Row],[daily_demand]]</f>
        <v>7.8520980473618609</v>
      </c>
      <c r="AB600">
        <f>WarehouseData[[#This Row],[stock_level]]*WarehouseData[[#This Row],[unit_price]]</f>
        <v>14443.380000000001</v>
      </c>
      <c r="AC600">
        <f>WarehouseData[[#This Row],[stock_level]]*WarehouseData[[#This Row],[holding_cost_per_unit_day]]*30</f>
        <v>13494.6</v>
      </c>
      <c r="AD600" t="str">
        <f>IF(WarehouseData[[#This Row],[order_fulfillment_rate]]&gt;=0.9,"Strong",IF(WarehouseData[[#This Row],[order_fulfillment_rate]]&gt;=0.8,"Moderate","Needs Attention"))</f>
        <v>Needs Attention</v>
      </c>
      <c r="AE600" t="str">
        <f>IF(WarehouseData[[#This Row],[picking_time_seconds]]&gt;120,"Slow",IF(WarehouseData[[#This Row],[picking_time_seconds]]&gt;=60,"Average","Fast"))</f>
        <v>Average</v>
      </c>
    </row>
    <row r="601" spans="1:31" x14ac:dyDescent="0.25">
      <c r="A601" t="s">
        <v>739</v>
      </c>
      <c r="B601" t="s">
        <v>36</v>
      </c>
      <c r="C601">
        <v>110</v>
      </c>
      <c r="D601">
        <v>57</v>
      </c>
      <c r="E601">
        <v>7</v>
      </c>
      <c r="F601">
        <v>8</v>
      </c>
      <c r="G601">
        <v>4.99</v>
      </c>
      <c r="H601">
        <v>7.43</v>
      </c>
      <c r="I601">
        <v>0.55000000000000004</v>
      </c>
      <c r="J601" t="s">
        <v>156</v>
      </c>
      <c r="K601" t="s">
        <v>46</v>
      </c>
      <c r="L601">
        <v>159</v>
      </c>
      <c r="M601">
        <v>0.82</v>
      </c>
      <c r="N601">
        <v>150.82</v>
      </c>
      <c r="O601">
        <v>0.33</v>
      </c>
      <c r="P601">
        <v>0</v>
      </c>
      <c r="Q601">
        <v>0.78</v>
      </c>
      <c r="R601">
        <v>94</v>
      </c>
      <c r="S601">
        <v>4.54</v>
      </c>
      <c r="T601">
        <v>0.69</v>
      </c>
      <c r="U601" s="1">
        <v>45432</v>
      </c>
      <c r="V601">
        <v>256.22000000000003</v>
      </c>
      <c r="W601">
        <v>0.72199999999999998</v>
      </c>
      <c r="X601" t="str">
        <f>IF(WarehouseData[[#This Row],[stock_level]]&lt;=WarehouseData[[#This Row],[reorder_point]],"Low Stock","Sufficient Stock")</f>
        <v>Sufficient Stock</v>
      </c>
      <c r="Y601">
        <f>WarehouseData[[#This Row],[daily_demand]]*WarehouseData[[#This Row],[lead_time_days]]</f>
        <v>39.92</v>
      </c>
      <c r="Z601" t="str">
        <f>IF(WarehouseData[[#This Row],[stock_level]]&lt;=WarehouseData[[#This Row],[Demand During Lead Time]],"At Risk","Safe")</f>
        <v>Safe</v>
      </c>
      <c r="AA601">
        <f>WarehouseData[[#This Row],[stock_level]]/WarehouseData[[#This Row],[daily_demand]]</f>
        <v>22.044088176352705</v>
      </c>
      <c r="AB601">
        <f>WarehouseData[[#This Row],[stock_level]]*WarehouseData[[#This Row],[unit_price]]</f>
        <v>16590.2</v>
      </c>
      <c r="AC601">
        <f>WarehouseData[[#This Row],[stock_level]]*WarehouseData[[#This Row],[holding_cost_per_unit_day]]*30</f>
        <v>1089.0000000000002</v>
      </c>
      <c r="AD601" t="str">
        <f>IF(WarehouseData[[#This Row],[order_fulfillment_rate]]&gt;=0.9,"Strong",IF(WarehouseData[[#This Row],[order_fulfillment_rate]]&gt;=0.8,"Moderate","Needs Attention"))</f>
        <v>Needs Attention</v>
      </c>
      <c r="AE601" t="str">
        <f>IF(WarehouseData[[#This Row],[picking_time_seconds]]&gt;120,"Slow",IF(WarehouseData[[#This Row],[picking_time_seconds]]&gt;=60,"Average","Fast"))</f>
        <v>Slow</v>
      </c>
    </row>
    <row r="602" spans="1:31" x14ac:dyDescent="0.25">
      <c r="A602" t="s">
        <v>740</v>
      </c>
      <c r="B602" t="s">
        <v>40</v>
      </c>
      <c r="C602">
        <v>365</v>
      </c>
      <c r="D602">
        <v>14</v>
      </c>
      <c r="E602">
        <v>13</v>
      </c>
      <c r="F602">
        <v>9</v>
      </c>
      <c r="G602">
        <v>22.36</v>
      </c>
      <c r="H602">
        <v>2.88</v>
      </c>
      <c r="I602">
        <v>0.99</v>
      </c>
      <c r="J602" t="s">
        <v>95</v>
      </c>
      <c r="K602" t="s">
        <v>52</v>
      </c>
      <c r="L602">
        <v>22</v>
      </c>
      <c r="M602">
        <v>3.62</v>
      </c>
      <c r="N602">
        <v>57.51</v>
      </c>
      <c r="O602">
        <v>0.48</v>
      </c>
      <c r="P602">
        <v>8</v>
      </c>
      <c r="Q602">
        <v>0.96</v>
      </c>
      <c r="R602">
        <v>150</v>
      </c>
      <c r="S602">
        <v>5.33</v>
      </c>
      <c r="T602">
        <v>0.27</v>
      </c>
      <c r="U602" s="1">
        <v>45407</v>
      </c>
      <c r="V602">
        <v>68.86</v>
      </c>
      <c r="W602">
        <v>0.50900000000000001</v>
      </c>
      <c r="X602" t="str">
        <f>IF(WarehouseData[[#This Row],[stock_level]]&lt;=WarehouseData[[#This Row],[reorder_point]],"Low Stock","Sufficient Stock")</f>
        <v>Sufficient Stock</v>
      </c>
      <c r="Y602">
        <f>WarehouseData[[#This Row],[daily_demand]]*WarehouseData[[#This Row],[lead_time_days]]</f>
        <v>201.24</v>
      </c>
      <c r="Z602" t="str">
        <f>IF(WarehouseData[[#This Row],[stock_level]]&lt;=WarehouseData[[#This Row],[Demand During Lead Time]],"At Risk","Safe")</f>
        <v>Safe</v>
      </c>
      <c r="AA602">
        <f>WarehouseData[[#This Row],[stock_level]]/WarehouseData[[#This Row],[daily_demand]]</f>
        <v>16.323792486583184</v>
      </c>
      <c r="AB602">
        <f>WarehouseData[[#This Row],[stock_level]]*WarehouseData[[#This Row],[unit_price]]</f>
        <v>20991.149999999998</v>
      </c>
      <c r="AC602">
        <f>WarehouseData[[#This Row],[stock_level]]*WarehouseData[[#This Row],[holding_cost_per_unit_day]]*30</f>
        <v>5256</v>
      </c>
      <c r="AD602" t="str">
        <f>IF(WarehouseData[[#This Row],[order_fulfillment_rate]]&gt;=0.9,"Strong",IF(WarehouseData[[#This Row],[order_fulfillment_rate]]&gt;=0.8,"Moderate","Needs Attention"))</f>
        <v>Strong</v>
      </c>
      <c r="AE602" t="str">
        <f>IF(WarehouseData[[#This Row],[picking_time_seconds]]&gt;120,"Slow",IF(WarehouseData[[#This Row],[picking_time_seconds]]&gt;=60,"Average","Fast"))</f>
        <v>Fast</v>
      </c>
    </row>
    <row r="603" spans="1:31" x14ac:dyDescent="0.25">
      <c r="A603" t="s">
        <v>741</v>
      </c>
      <c r="B603" t="s">
        <v>32</v>
      </c>
      <c r="C603">
        <v>225</v>
      </c>
      <c r="D603">
        <v>57</v>
      </c>
      <c r="E603">
        <v>6</v>
      </c>
      <c r="F603">
        <v>5</v>
      </c>
      <c r="G603">
        <v>28.24</v>
      </c>
      <c r="H603">
        <v>7.38</v>
      </c>
      <c r="I603">
        <v>0.37</v>
      </c>
      <c r="J603" t="s">
        <v>183</v>
      </c>
      <c r="K603" t="s">
        <v>34</v>
      </c>
      <c r="L603">
        <v>125</v>
      </c>
      <c r="M603">
        <v>2.0299999999999998</v>
      </c>
      <c r="N603">
        <v>63.76</v>
      </c>
      <c r="O603">
        <v>1.8</v>
      </c>
      <c r="P603">
        <v>1</v>
      </c>
      <c r="Q603">
        <v>0.88</v>
      </c>
      <c r="R603">
        <v>275</v>
      </c>
      <c r="S603">
        <v>1.2</v>
      </c>
      <c r="T603">
        <v>0.88</v>
      </c>
      <c r="U603" s="1">
        <v>45567</v>
      </c>
      <c r="V603">
        <v>27.72</v>
      </c>
      <c r="W603">
        <v>0.56799999999999995</v>
      </c>
      <c r="X603" t="str">
        <f>IF(WarehouseData[[#This Row],[stock_level]]&lt;=WarehouseData[[#This Row],[reorder_point]],"Low Stock","Sufficient Stock")</f>
        <v>Sufficient Stock</v>
      </c>
      <c r="Y603">
        <f>WarehouseData[[#This Row],[daily_demand]]*WarehouseData[[#This Row],[lead_time_days]]</f>
        <v>141.19999999999999</v>
      </c>
      <c r="Z603" t="str">
        <f>IF(WarehouseData[[#This Row],[stock_level]]&lt;=WarehouseData[[#This Row],[Demand During Lead Time]],"At Risk","Safe")</f>
        <v>Safe</v>
      </c>
      <c r="AA603">
        <f>WarehouseData[[#This Row],[stock_level]]/WarehouseData[[#This Row],[daily_demand]]</f>
        <v>7.9674220963172813</v>
      </c>
      <c r="AB603">
        <f>WarehouseData[[#This Row],[stock_level]]*WarehouseData[[#This Row],[unit_price]]</f>
        <v>14346</v>
      </c>
      <c r="AC603">
        <f>WarehouseData[[#This Row],[stock_level]]*WarehouseData[[#This Row],[holding_cost_per_unit_day]]*30</f>
        <v>12150</v>
      </c>
      <c r="AD603" t="str">
        <f>IF(WarehouseData[[#This Row],[order_fulfillment_rate]]&gt;=0.9,"Strong",IF(WarehouseData[[#This Row],[order_fulfillment_rate]]&gt;=0.8,"Moderate","Needs Attention"))</f>
        <v>Moderate</v>
      </c>
      <c r="AE603" t="str">
        <f>IF(WarehouseData[[#This Row],[picking_time_seconds]]&gt;120,"Slow",IF(WarehouseData[[#This Row],[picking_time_seconds]]&gt;=60,"Average","Fast"))</f>
        <v>Slow</v>
      </c>
    </row>
    <row r="604" spans="1:31" x14ac:dyDescent="0.25">
      <c r="A604" t="s">
        <v>742</v>
      </c>
      <c r="B604" t="s">
        <v>36</v>
      </c>
      <c r="C604">
        <v>36</v>
      </c>
      <c r="D604">
        <v>12</v>
      </c>
      <c r="E604">
        <v>5</v>
      </c>
      <c r="F604">
        <v>6</v>
      </c>
      <c r="G604">
        <v>20.85</v>
      </c>
      <c r="H604">
        <v>5.96</v>
      </c>
      <c r="I604">
        <v>0.65</v>
      </c>
      <c r="J604" t="s">
        <v>120</v>
      </c>
      <c r="K604" t="s">
        <v>38</v>
      </c>
      <c r="L604">
        <v>119</v>
      </c>
      <c r="M604">
        <v>1.62</v>
      </c>
      <c r="N604">
        <v>167.47</v>
      </c>
      <c r="O604">
        <v>2</v>
      </c>
      <c r="P604">
        <v>4</v>
      </c>
      <c r="Q604">
        <v>0.94</v>
      </c>
      <c r="R604">
        <v>468</v>
      </c>
      <c r="S604">
        <v>13.64</v>
      </c>
      <c r="T604">
        <v>0.28999999999999998</v>
      </c>
      <c r="U604" s="1">
        <v>45439</v>
      </c>
      <c r="V604">
        <v>252.48</v>
      </c>
      <c r="W604">
        <v>0.54800000000000004</v>
      </c>
      <c r="X604" t="str">
        <f>IF(WarehouseData[[#This Row],[stock_level]]&lt;=WarehouseData[[#This Row],[reorder_point]],"Low Stock","Sufficient Stock")</f>
        <v>Sufficient Stock</v>
      </c>
      <c r="Y604">
        <f>WarehouseData[[#This Row],[daily_demand]]*WarehouseData[[#This Row],[lead_time_days]]</f>
        <v>125.10000000000001</v>
      </c>
      <c r="Z604" t="str">
        <f>IF(WarehouseData[[#This Row],[stock_level]]&lt;=WarehouseData[[#This Row],[Demand During Lead Time]],"At Risk","Safe")</f>
        <v>At Risk</v>
      </c>
      <c r="AA604">
        <f>WarehouseData[[#This Row],[stock_level]]/WarehouseData[[#This Row],[daily_demand]]</f>
        <v>1.7266187050359711</v>
      </c>
      <c r="AB604">
        <f>WarehouseData[[#This Row],[stock_level]]*WarehouseData[[#This Row],[unit_price]]</f>
        <v>6028.92</v>
      </c>
      <c r="AC604">
        <f>WarehouseData[[#This Row],[stock_level]]*WarehouseData[[#This Row],[holding_cost_per_unit_day]]*30</f>
        <v>2160</v>
      </c>
      <c r="AD604" t="str">
        <f>IF(WarehouseData[[#This Row],[order_fulfillment_rate]]&gt;=0.9,"Strong",IF(WarehouseData[[#This Row],[order_fulfillment_rate]]&gt;=0.8,"Moderate","Needs Attention"))</f>
        <v>Strong</v>
      </c>
      <c r="AE604" t="str">
        <f>IF(WarehouseData[[#This Row],[picking_time_seconds]]&gt;120,"Slow",IF(WarehouseData[[#This Row],[picking_time_seconds]]&gt;=60,"Average","Fast"))</f>
        <v>Average</v>
      </c>
    </row>
    <row r="605" spans="1:31" x14ac:dyDescent="0.25">
      <c r="A605" t="s">
        <v>743</v>
      </c>
      <c r="B605" t="s">
        <v>32</v>
      </c>
      <c r="C605">
        <v>293</v>
      </c>
      <c r="D605">
        <v>56</v>
      </c>
      <c r="E605">
        <v>7</v>
      </c>
      <c r="F605">
        <v>4</v>
      </c>
      <c r="G605">
        <v>11.32</v>
      </c>
      <c r="H605">
        <v>1.54</v>
      </c>
      <c r="I605">
        <v>0.32</v>
      </c>
      <c r="J605" t="s">
        <v>59</v>
      </c>
      <c r="K605" t="s">
        <v>46</v>
      </c>
      <c r="L605">
        <v>166</v>
      </c>
      <c r="M605">
        <v>3.6</v>
      </c>
      <c r="N605">
        <v>181.22</v>
      </c>
      <c r="O605">
        <v>1.1499999999999999</v>
      </c>
      <c r="P605">
        <v>3</v>
      </c>
      <c r="Q605">
        <v>0.83</v>
      </c>
      <c r="R605">
        <v>665</v>
      </c>
      <c r="S605">
        <v>10.6</v>
      </c>
      <c r="T605">
        <v>0.63</v>
      </c>
      <c r="U605" s="1">
        <v>45378</v>
      </c>
      <c r="V605">
        <v>22.27</v>
      </c>
      <c r="W605">
        <v>0.65800000000000003</v>
      </c>
      <c r="X605" t="str">
        <f>IF(WarehouseData[[#This Row],[stock_level]]&lt;=WarehouseData[[#This Row],[reorder_point]],"Low Stock","Sufficient Stock")</f>
        <v>Sufficient Stock</v>
      </c>
      <c r="Y605">
        <f>WarehouseData[[#This Row],[daily_demand]]*WarehouseData[[#This Row],[lead_time_days]]</f>
        <v>45.28</v>
      </c>
      <c r="Z605" t="str">
        <f>IF(WarehouseData[[#This Row],[stock_level]]&lt;=WarehouseData[[#This Row],[Demand During Lead Time]],"At Risk","Safe")</f>
        <v>Safe</v>
      </c>
      <c r="AA605">
        <f>WarehouseData[[#This Row],[stock_level]]/WarehouseData[[#This Row],[daily_demand]]</f>
        <v>25.883392226148409</v>
      </c>
      <c r="AB605">
        <f>WarehouseData[[#This Row],[stock_level]]*WarehouseData[[#This Row],[unit_price]]</f>
        <v>53097.46</v>
      </c>
      <c r="AC605">
        <f>WarehouseData[[#This Row],[stock_level]]*WarehouseData[[#This Row],[holding_cost_per_unit_day]]*30</f>
        <v>10108.5</v>
      </c>
      <c r="AD605" t="str">
        <f>IF(WarehouseData[[#This Row],[order_fulfillment_rate]]&gt;=0.9,"Strong",IF(WarehouseData[[#This Row],[order_fulfillment_rate]]&gt;=0.8,"Moderate","Needs Attention"))</f>
        <v>Moderate</v>
      </c>
      <c r="AE605" t="str">
        <f>IF(WarehouseData[[#This Row],[picking_time_seconds]]&gt;120,"Slow",IF(WarehouseData[[#This Row],[picking_time_seconds]]&gt;=60,"Average","Fast"))</f>
        <v>Slow</v>
      </c>
    </row>
    <row r="606" spans="1:31" x14ac:dyDescent="0.25">
      <c r="A606" t="s">
        <v>744</v>
      </c>
      <c r="B606" t="s">
        <v>40</v>
      </c>
      <c r="C606">
        <v>192</v>
      </c>
      <c r="D606">
        <v>71</v>
      </c>
      <c r="E606">
        <v>13</v>
      </c>
      <c r="F606">
        <v>2</v>
      </c>
      <c r="G606">
        <v>30.06</v>
      </c>
      <c r="H606">
        <v>2.19</v>
      </c>
      <c r="I606">
        <v>0.52</v>
      </c>
      <c r="J606" t="s">
        <v>245</v>
      </c>
      <c r="K606" t="s">
        <v>52</v>
      </c>
      <c r="L606">
        <v>89</v>
      </c>
      <c r="M606">
        <v>4.8600000000000003</v>
      </c>
      <c r="N606">
        <v>166.7</v>
      </c>
      <c r="O606">
        <v>1.28</v>
      </c>
      <c r="P606">
        <v>7</v>
      </c>
      <c r="Q606">
        <v>0.73</v>
      </c>
      <c r="R606">
        <v>311</v>
      </c>
      <c r="S606">
        <v>4.68</v>
      </c>
      <c r="T606">
        <v>0.74</v>
      </c>
      <c r="U606" s="1">
        <v>45526</v>
      </c>
      <c r="V606">
        <v>71.91</v>
      </c>
      <c r="W606">
        <v>0.48799999999999999</v>
      </c>
      <c r="X606" t="str">
        <f>IF(WarehouseData[[#This Row],[stock_level]]&lt;=WarehouseData[[#This Row],[reorder_point]],"Low Stock","Sufficient Stock")</f>
        <v>Sufficient Stock</v>
      </c>
      <c r="Y606">
        <f>WarehouseData[[#This Row],[daily_demand]]*WarehouseData[[#This Row],[lead_time_days]]</f>
        <v>60.12</v>
      </c>
      <c r="Z606" t="str">
        <f>IF(WarehouseData[[#This Row],[stock_level]]&lt;=WarehouseData[[#This Row],[Demand During Lead Time]],"At Risk","Safe")</f>
        <v>Safe</v>
      </c>
      <c r="AA606">
        <f>WarehouseData[[#This Row],[stock_level]]/WarehouseData[[#This Row],[daily_demand]]</f>
        <v>6.3872255489021956</v>
      </c>
      <c r="AB606">
        <f>WarehouseData[[#This Row],[stock_level]]*WarehouseData[[#This Row],[unit_price]]</f>
        <v>32006.399999999998</v>
      </c>
      <c r="AC606">
        <f>WarehouseData[[#This Row],[stock_level]]*WarehouseData[[#This Row],[holding_cost_per_unit_day]]*30</f>
        <v>7372.7999999999993</v>
      </c>
      <c r="AD606" t="str">
        <f>IF(WarehouseData[[#This Row],[order_fulfillment_rate]]&gt;=0.9,"Strong",IF(WarehouseData[[#This Row],[order_fulfillment_rate]]&gt;=0.8,"Moderate","Needs Attention"))</f>
        <v>Needs Attention</v>
      </c>
      <c r="AE606" t="str">
        <f>IF(WarehouseData[[#This Row],[picking_time_seconds]]&gt;120,"Slow",IF(WarehouseData[[#This Row],[picking_time_seconds]]&gt;=60,"Average","Fast"))</f>
        <v>Average</v>
      </c>
    </row>
    <row r="607" spans="1:31" x14ac:dyDescent="0.25">
      <c r="A607" t="s">
        <v>745</v>
      </c>
      <c r="B607" t="s">
        <v>40</v>
      </c>
      <c r="C607">
        <v>135</v>
      </c>
      <c r="D607">
        <v>23</v>
      </c>
      <c r="E607">
        <v>6</v>
      </c>
      <c r="F607">
        <v>2</v>
      </c>
      <c r="G607">
        <v>38.04</v>
      </c>
      <c r="H607">
        <v>0.89</v>
      </c>
      <c r="I607">
        <v>0.28000000000000003</v>
      </c>
      <c r="J607" t="s">
        <v>311</v>
      </c>
      <c r="K607" t="s">
        <v>52</v>
      </c>
      <c r="L607">
        <v>109</v>
      </c>
      <c r="M607">
        <v>3.85</v>
      </c>
      <c r="N607">
        <v>38.07</v>
      </c>
      <c r="O607">
        <v>1.62</v>
      </c>
      <c r="P607">
        <v>5</v>
      </c>
      <c r="Q607">
        <v>0.8</v>
      </c>
      <c r="R607">
        <v>814</v>
      </c>
      <c r="S607">
        <v>13.43</v>
      </c>
      <c r="T607">
        <v>0.38</v>
      </c>
      <c r="U607" s="1">
        <v>45581</v>
      </c>
      <c r="V607">
        <v>162.6</v>
      </c>
      <c r="W607">
        <v>0.55300000000000005</v>
      </c>
      <c r="X607" t="str">
        <f>IF(WarehouseData[[#This Row],[stock_level]]&lt;=WarehouseData[[#This Row],[reorder_point]],"Low Stock","Sufficient Stock")</f>
        <v>Sufficient Stock</v>
      </c>
      <c r="Y607">
        <f>WarehouseData[[#This Row],[daily_demand]]*WarehouseData[[#This Row],[lead_time_days]]</f>
        <v>76.08</v>
      </c>
      <c r="Z607" t="str">
        <f>IF(WarehouseData[[#This Row],[stock_level]]&lt;=WarehouseData[[#This Row],[Demand During Lead Time]],"At Risk","Safe")</f>
        <v>Safe</v>
      </c>
      <c r="AA607">
        <f>WarehouseData[[#This Row],[stock_level]]/WarehouseData[[#This Row],[daily_demand]]</f>
        <v>3.5488958990536279</v>
      </c>
      <c r="AB607">
        <f>WarehouseData[[#This Row],[stock_level]]*WarehouseData[[#This Row],[unit_price]]</f>
        <v>5139.45</v>
      </c>
      <c r="AC607">
        <f>WarehouseData[[#This Row],[stock_level]]*WarehouseData[[#This Row],[holding_cost_per_unit_day]]*30</f>
        <v>6561.0000000000009</v>
      </c>
      <c r="AD607" t="str">
        <f>IF(WarehouseData[[#This Row],[order_fulfillment_rate]]&gt;=0.9,"Strong",IF(WarehouseData[[#This Row],[order_fulfillment_rate]]&gt;=0.8,"Moderate","Needs Attention"))</f>
        <v>Moderate</v>
      </c>
      <c r="AE607" t="str">
        <f>IF(WarehouseData[[#This Row],[picking_time_seconds]]&gt;120,"Slow",IF(WarehouseData[[#This Row],[picking_time_seconds]]&gt;=60,"Average","Fast"))</f>
        <v>Average</v>
      </c>
    </row>
    <row r="608" spans="1:31" x14ac:dyDescent="0.25">
      <c r="A608" t="s">
        <v>746</v>
      </c>
      <c r="B608" t="s">
        <v>32</v>
      </c>
      <c r="C608">
        <v>368</v>
      </c>
      <c r="D608">
        <v>72</v>
      </c>
      <c r="E608">
        <v>10</v>
      </c>
      <c r="F608">
        <v>9</v>
      </c>
      <c r="G608">
        <v>32.6</v>
      </c>
      <c r="H608">
        <v>8.19</v>
      </c>
      <c r="I608">
        <v>0.6</v>
      </c>
      <c r="J608" t="s">
        <v>565</v>
      </c>
      <c r="K608" t="s">
        <v>34</v>
      </c>
      <c r="L608">
        <v>26</v>
      </c>
      <c r="M608">
        <v>2.71</v>
      </c>
      <c r="N608">
        <v>199.86</v>
      </c>
      <c r="O608">
        <v>1.42</v>
      </c>
      <c r="P608">
        <v>6</v>
      </c>
      <c r="Q608">
        <v>0.75</v>
      </c>
      <c r="R608">
        <v>726</v>
      </c>
      <c r="S608">
        <v>2.21</v>
      </c>
      <c r="T608">
        <v>0.91</v>
      </c>
      <c r="U608" s="1">
        <v>45545</v>
      </c>
      <c r="V608">
        <v>258.08</v>
      </c>
      <c r="W608">
        <v>0.499</v>
      </c>
      <c r="X608" t="str">
        <f>IF(WarehouseData[[#This Row],[stock_level]]&lt;=WarehouseData[[#This Row],[reorder_point]],"Low Stock","Sufficient Stock")</f>
        <v>Sufficient Stock</v>
      </c>
      <c r="Y608">
        <f>WarehouseData[[#This Row],[daily_demand]]*WarehouseData[[#This Row],[lead_time_days]]</f>
        <v>293.40000000000003</v>
      </c>
      <c r="Z608" t="str">
        <f>IF(WarehouseData[[#This Row],[stock_level]]&lt;=WarehouseData[[#This Row],[Demand During Lead Time]],"At Risk","Safe")</f>
        <v>Safe</v>
      </c>
      <c r="AA608">
        <f>WarehouseData[[#This Row],[stock_level]]/WarehouseData[[#This Row],[daily_demand]]</f>
        <v>11.288343558282207</v>
      </c>
      <c r="AB608">
        <f>WarehouseData[[#This Row],[stock_level]]*WarehouseData[[#This Row],[unit_price]]</f>
        <v>73548.48000000001</v>
      </c>
      <c r="AC608">
        <f>WarehouseData[[#This Row],[stock_level]]*WarehouseData[[#This Row],[holding_cost_per_unit_day]]*30</f>
        <v>15676.8</v>
      </c>
      <c r="AD608" t="str">
        <f>IF(WarehouseData[[#This Row],[order_fulfillment_rate]]&gt;=0.9,"Strong",IF(WarehouseData[[#This Row],[order_fulfillment_rate]]&gt;=0.8,"Moderate","Needs Attention"))</f>
        <v>Needs Attention</v>
      </c>
      <c r="AE608" t="str">
        <f>IF(WarehouseData[[#This Row],[picking_time_seconds]]&gt;120,"Slow",IF(WarehouseData[[#This Row],[picking_time_seconds]]&gt;=60,"Average","Fast"))</f>
        <v>Fast</v>
      </c>
    </row>
    <row r="609" spans="1:31" x14ac:dyDescent="0.25">
      <c r="A609" t="s">
        <v>747</v>
      </c>
      <c r="B609" t="s">
        <v>73</v>
      </c>
      <c r="C609">
        <v>487</v>
      </c>
      <c r="D609">
        <v>70</v>
      </c>
      <c r="E609">
        <v>6</v>
      </c>
      <c r="F609">
        <v>9</v>
      </c>
      <c r="G609">
        <v>12.49</v>
      </c>
      <c r="H609">
        <v>5.74</v>
      </c>
      <c r="I609">
        <v>0.34</v>
      </c>
      <c r="J609" t="s">
        <v>228</v>
      </c>
      <c r="K609" t="s">
        <v>34</v>
      </c>
      <c r="L609">
        <v>157</v>
      </c>
      <c r="M609">
        <v>3.2</v>
      </c>
      <c r="N609">
        <v>137.71</v>
      </c>
      <c r="O609">
        <v>0.45</v>
      </c>
      <c r="P609">
        <v>1</v>
      </c>
      <c r="Q609">
        <v>0.93</v>
      </c>
      <c r="R609">
        <v>341</v>
      </c>
      <c r="S609">
        <v>6.16</v>
      </c>
      <c r="T609">
        <v>0.59</v>
      </c>
      <c r="U609" s="1">
        <v>45573</v>
      </c>
      <c r="V609">
        <v>270.07</v>
      </c>
      <c r="W609">
        <v>0.72099999999999997</v>
      </c>
      <c r="X609" t="str">
        <f>IF(WarehouseData[[#This Row],[stock_level]]&lt;=WarehouseData[[#This Row],[reorder_point]],"Low Stock","Sufficient Stock")</f>
        <v>Sufficient Stock</v>
      </c>
      <c r="Y609">
        <f>WarehouseData[[#This Row],[daily_demand]]*WarehouseData[[#This Row],[lead_time_days]]</f>
        <v>112.41</v>
      </c>
      <c r="Z609" t="str">
        <f>IF(WarehouseData[[#This Row],[stock_level]]&lt;=WarehouseData[[#This Row],[Demand During Lead Time]],"At Risk","Safe")</f>
        <v>Safe</v>
      </c>
      <c r="AA609">
        <f>WarehouseData[[#This Row],[stock_level]]/WarehouseData[[#This Row],[daily_demand]]</f>
        <v>38.991192954363491</v>
      </c>
      <c r="AB609">
        <f>WarehouseData[[#This Row],[stock_level]]*WarehouseData[[#This Row],[unit_price]]</f>
        <v>67064.77</v>
      </c>
      <c r="AC609">
        <f>WarehouseData[[#This Row],[stock_level]]*WarehouseData[[#This Row],[holding_cost_per_unit_day]]*30</f>
        <v>6574.5</v>
      </c>
      <c r="AD609" t="str">
        <f>IF(WarehouseData[[#This Row],[order_fulfillment_rate]]&gt;=0.9,"Strong",IF(WarehouseData[[#This Row],[order_fulfillment_rate]]&gt;=0.8,"Moderate","Needs Attention"))</f>
        <v>Strong</v>
      </c>
      <c r="AE609" t="str">
        <f>IF(WarehouseData[[#This Row],[picking_time_seconds]]&gt;120,"Slow",IF(WarehouseData[[#This Row],[picking_time_seconds]]&gt;=60,"Average","Fast"))</f>
        <v>Slow</v>
      </c>
    </row>
    <row r="610" spans="1:31" x14ac:dyDescent="0.25">
      <c r="A610" t="s">
        <v>748</v>
      </c>
      <c r="B610" t="s">
        <v>48</v>
      </c>
      <c r="C610">
        <v>200</v>
      </c>
      <c r="D610">
        <v>40</v>
      </c>
      <c r="E610">
        <v>13</v>
      </c>
      <c r="F610">
        <v>3</v>
      </c>
      <c r="G610">
        <v>36.85</v>
      </c>
      <c r="H610">
        <v>3.51</v>
      </c>
      <c r="I610">
        <v>0.13</v>
      </c>
      <c r="J610" t="s">
        <v>316</v>
      </c>
      <c r="K610" t="s">
        <v>46</v>
      </c>
      <c r="L610">
        <v>123</v>
      </c>
      <c r="M610">
        <v>1.1399999999999999</v>
      </c>
      <c r="N610">
        <v>107.03</v>
      </c>
      <c r="O610">
        <v>0.88</v>
      </c>
      <c r="P610">
        <v>3</v>
      </c>
      <c r="Q610">
        <v>0.91</v>
      </c>
      <c r="R610">
        <v>261</v>
      </c>
      <c r="S610">
        <v>8.89</v>
      </c>
      <c r="T610">
        <v>0.45</v>
      </c>
      <c r="U610" s="1">
        <v>45553</v>
      </c>
      <c r="V610">
        <v>192.13</v>
      </c>
      <c r="W610">
        <v>0.64300000000000002</v>
      </c>
      <c r="X610" t="str">
        <f>IF(WarehouseData[[#This Row],[stock_level]]&lt;=WarehouseData[[#This Row],[reorder_point]],"Low Stock","Sufficient Stock")</f>
        <v>Sufficient Stock</v>
      </c>
      <c r="Y610">
        <f>WarehouseData[[#This Row],[daily_demand]]*WarehouseData[[#This Row],[lead_time_days]]</f>
        <v>110.55000000000001</v>
      </c>
      <c r="Z610" t="str">
        <f>IF(WarehouseData[[#This Row],[stock_level]]&lt;=WarehouseData[[#This Row],[Demand During Lead Time]],"At Risk","Safe")</f>
        <v>Safe</v>
      </c>
      <c r="AA610">
        <f>WarehouseData[[#This Row],[stock_level]]/WarehouseData[[#This Row],[daily_demand]]</f>
        <v>5.4274084124830395</v>
      </c>
      <c r="AB610">
        <f>WarehouseData[[#This Row],[stock_level]]*WarehouseData[[#This Row],[unit_price]]</f>
        <v>21406</v>
      </c>
      <c r="AC610">
        <f>WarehouseData[[#This Row],[stock_level]]*WarehouseData[[#This Row],[holding_cost_per_unit_day]]*30</f>
        <v>5280</v>
      </c>
      <c r="AD610" t="str">
        <f>IF(WarehouseData[[#This Row],[order_fulfillment_rate]]&gt;=0.9,"Strong",IF(WarehouseData[[#This Row],[order_fulfillment_rate]]&gt;=0.8,"Moderate","Needs Attention"))</f>
        <v>Strong</v>
      </c>
      <c r="AE610" t="str">
        <f>IF(WarehouseData[[#This Row],[picking_time_seconds]]&gt;120,"Slow",IF(WarehouseData[[#This Row],[picking_time_seconds]]&gt;=60,"Average","Fast"))</f>
        <v>Slow</v>
      </c>
    </row>
    <row r="611" spans="1:31" x14ac:dyDescent="0.25">
      <c r="A611" t="s">
        <v>749</v>
      </c>
      <c r="B611" t="s">
        <v>73</v>
      </c>
      <c r="C611">
        <v>110</v>
      </c>
      <c r="D611">
        <v>26</v>
      </c>
      <c r="E611">
        <v>14</v>
      </c>
      <c r="F611">
        <v>4</v>
      </c>
      <c r="G611">
        <v>13.59</v>
      </c>
      <c r="H611">
        <v>1.7</v>
      </c>
      <c r="I611">
        <v>0.83</v>
      </c>
      <c r="J611" t="s">
        <v>223</v>
      </c>
      <c r="K611" t="s">
        <v>34</v>
      </c>
      <c r="L611">
        <v>15</v>
      </c>
      <c r="M611">
        <v>4.16</v>
      </c>
      <c r="N611">
        <v>191.42</v>
      </c>
      <c r="O611">
        <v>1.1200000000000001</v>
      </c>
      <c r="P611">
        <v>3</v>
      </c>
      <c r="Q611">
        <v>0.73</v>
      </c>
      <c r="R611">
        <v>705</v>
      </c>
      <c r="S611">
        <v>8.08</v>
      </c>
      <c r="T611">
        <v>0.92</v>
      </c>
      <c r="U611" s="1">
        <v>45349</v>
      </c>
      <c r="V611">
        <v>290.36</v>
      </c>
      <c r="W611">
        <v>0.66600000000000004</v>
      </c>
      <c r="X611" t="str">
        <f>IF(WarehouseData[[#This Row],[stock_level]]&lt;=WarehouseData[[#This Row],[reorder_point]],"Low Stock","Sufficient Stock")</f>
        <v>Sufficient Stock</v>
      </c>
      <c r="Y611">
        <f>WarehouseData[[#This Row],[daily_demand]]*WarehouseData[[#This Row],[lead_time_days]]</f>
        <v>54.36</v>
      </c>
      <c r="Z611" t="str">
        <f>IF(WarehouseData[[#This Row],[stock_level]]&lt;=WarehouseData[[#This Row],[Demand During Lead Time]],"At Risk","Safe")</f>
        <v>Safe</v>
      </c>
      <c r="AA611">
        <f>WarehouseData[[#This Row],[stock_level]]/WarehouseData[[#This Row],[daily_demand]]</f>
        <v>8.0941869021339219</v>
      </c>
      <c r="AB611">
        <f>WarehouseData[[#This Row],[stock_level]]*WarehouseData[[#This Row],[unit_price]]</f>
        <v>21056.199999999997</v>
      </c>
      <c r="AC611">
        <f>WarehouseData[[#This Row],[stock_level]]*WarehouseData[[#This Row],[holding_cost_per_unit_day]]*30</f>
        <v>3696.0000000000005</v>
      </c>
      <c r="AD611" t="str">
        <f>IF(WarehouseData[[#This Row],[order_fulfillment_rate]]&gt;=0.9,"Strong",IF(WarehouseData[[#This Row],[order_fulfillment_rate]]&gt;=0.8,"Moderate","Needs Attention"))</f>
        <v>Needs Attention</v>
      </c>
      <c r="AE611" t="str">
        <f>IF(WarehouseData[[#This Row],[picking_time_seconds]]&gt;120,"Slow",IF(WarehouseData[[#This Row],[picking_time_seconds]]&gt;=60,"Average","Fast"))</f>
        <v>Fast</v>
      </c>
    </row>
    <row r="612" spans="1:31" x14ac:dyDescent="0.25">
      <c r="A612" t="s">
        <v>750</v>
      </c>
      <c r="B612" t="s">
        <v>73</v>
      </c>
      <c r="C612">
        <v>101</v>
      </c>
      <c r="D612">
        <v>33</v>
      </c>
      <c r="E612">
        <v>10</v>
      </c>
      <c r="F612">
        <v>8</v>
      </c>
      <c r="G612">
        <v>9.58</v>
      </c>
      <c r="H612">
        <v>5.0999999999999996</v>
      </c>
      <c r="I612">
        <v>0.22</v>
      </c>
      <c r="J612" t="s">
        <v>144</v>
      </c>
      <c r="K612" t="s">
        <v>34</v>
      </c>
      <c r="L612">
        <v>31</v>
      </c>
      <c r="M612">
        <v>3.22</v>
      </c>
      <c r="N612">
        <v>165.3</v>
      </c>
      <c r="O612">
        <v>0.78</v>
      </c>
      <c r="P612">
        <v>1</v>
      </c>
      <c r="Q612">
        <v>0.89</v>
      </c>
      <c r="R612">
        <v>505</v>
      </c>
      <c r="S612">
        <v>10.17</v>
      </c>
      <c r="T612">
        <v>0.89</v>
      </c>
      <c r="U612" s="1">
        <v>45585</v>
      </c>
      <c r="V612">
        <v>221.68</v>
      </c>
      <c r="W612">
        <v>0.79400000000000004</v>
      </c>
      <c r="X612" t="str">
        <f>IF(WarehouseData[[#This Row],[stock_level]]&lt;=WarehouseData[[#This Row],[reorder_point]],"Low Stock","Sufficient Stock")</f>
        <v>Sufficient Stock</v>
      </c>
      <c r="Y612">
        <f>WarehouseData[[#This Row],[daily_demand]]*WarehouseData[[#This Row],[lead_time_days]]</f>
        <v>76.64</v>
      </c>
      <c r="Z612" t="str">
        <f>IF(WarehouseData[[#This Row],[stock_level]]&lt;=WarehouseData[[#This Row],[Demand During Lead Time]],"At Risk","Safe")</f>
        <v>Safe</v>
      </c>
      <c r="AA612">
        <f>WarehouseData[[#This Row],[stock_level]]/WarehouseData[[#This Row],[daily_demand]]</f>
        <v>10.542797494780793</v>
      </c>
      <c r="AB612">
        <f>WarehouseData[[#This Row],[stock_level]]*WarehouseData[[#This Row],[unit_price]]</f>
        <v>16695.300000000003</v>
      </c>
      <c r="AC612">
        <f>WarehouseData[[#This Row],[stock_level]]*WarehouseData[[#This Row],[holding_cost_per_unit_day]]*30</f>
        <v>2363.4</v>
      </c>
      <c r="AD612" t="str">
        <f>IF(WarehouseData[[#This Row],[order_fulfillment_rate]]&gt;=0.9,"Strong",IF(WarehouseData[[#This Row],[order_fulfillment_rate]]&gt;=0.8,"Moderate","Needs Attention"))</f>
        <v>Moderate</v>
      </c>
      <c r="AE612" t="str">
        <f>IF(WarehouseData[[#This Row],[picking_time_seconds]]&gt;120,"Slow",IF(WarehouseData[[#This Row],[picking_time_seconds]]&gt;=60,"Average","Fast"))</f>
        <v>Fast</v>
      </c>
    </row>
    <row r="613" spans="1:31" x14ac:dyDescent="0.25">
      <c r="A613" t="s">
        <v>751</v>
      </c>
      <c r="B613" t="s">
        <v>73</v>
      </c>
      <c r="C613">
        <v>343</v>
      </c>
      <c r="D613">
        <v>32</v>
      </c>
      <c r="E613">
        <v>8</v>
      </c>
      <c r="F613">
        <v>9</v>
      </c>
      <c r="G613">
        <v>34.840000000000003</v>
      </c>
      <c r="H613">
        <v>5.49</v>
      </c>
      <c r="I613">
        <v>0.43</v>
      </c>
      <c r="J613" t="s">
        <v>102</v>
      </c>
      <c r="K613" t="s">
        <v>38</v>
      </c>
      <c r="L613">
        <v>146</v>
      </c>
      <c r="M613">
        <v>4.8499999999999996</v>
      </c>
      <c r="N613">
        <v>141.43</v>
      </c>
      <c r="O613">
        <v>0.43</v>
      </c>
      <c r="P613">
        <v>9</v>
      </c>
      <c r="Q613">
        <v>0.96</v>
      </c>
      <c r="R613">
        <v>285</v>
      </c>
      <c r="S613">
        <v>5.17</v>
      </c>
      <c r="T613">
        <v>0.77</v>
      </c>
      <c r="U613" s="1">
        <v>45350</v>
      </c>
      <c r="V613">
        <v>163.04</v>
      </c>
      <c r="W613">
        <v>0.59199999999999997</v>
      </c>
      <c r="X613" t="str">
        <f>IF(WarehouseData[[#This Row],[stock_level]]&lt;=WarehouseData[[#This Row],[reorder_point]],"Low Stock","Sufficient Stock")</f>
        <v>Sufficient Stock</v>
      </c>
      <c r="Y613">
        <f>WarehouseData[[#This Row],[daily_demand]]*WarehouseData[[#This Row],[lead_time_days]]</f>
        <v>313.56000000000006</v>
      </c>
      <c r="Z613" t="str">
        <f>IF(WarehouseData[[#This Row],[stock_level]]&lt;=WarehouseData[[#This Row],[Demand During Lead Time]],"At Risk","Safe")</f>
        <v>Safe</v>
      </c>
      <c r="AA613">
        <f>WarehouseData[[#This Row],[stock_level]]/WarehouseData[[#This Row],[daily_demand]]</f>
        <v>9.8450057405281282</v>
      </c>
      <c r="AB613">
        <f>WarehouseData[[#This Row],[stock_level]]*WarehouseData[[#This Row],[unit_price]]</f>
        <v>48510.490000000005</v>
      </c>
      <c r="AC613">
        <f>WarehouseData[[#This Row],[stock_level]]*WarehouseData[[#This Row],[holding_cost_per_unit_day]]*30</f>
        <v>4424.7000000000007</v>
      </c>
      <c r="AD613" t="str">
        <f>IF(WarehouseData[[#This Row],[order_fulfillment_rate]]&gt;=0.9,"Strong",IF(WarehouseData[[#This Row],[order_fulfillment_rate]]&gt;=0.8,"Moderate","Needs Attention"))</f>
        <v>Strong</v>
      </c>
      <c r="AE613" t="str">
        <f>IF(WarehouseData[[#This Row],[picking_time_seconds]]&gt;120,"Slow",IF(WarehouseData[[#This Row],[picking_time_seconds]]&gt;=60,"Average","Fast"))</f>
        <v>Slow</v>
      </c>
    </row>
    <row r="614" spans="1:31" x14ac:dyDescent="0.25">
      <c r="A614" t="s">
        <v>752</v>
      </c>
      <c r="B614" t="s">
        <v>36</v>
      </c>
      <c r="C614">
        <v>468</v>
      </c>
      <c r="D614">
        <v>91</v>
      </c>
      <c r="E614">
        <v>14</v>
      </c>
      <c r="F614">
        <v>5</v>
      </c>
      <c r="G614">
        <v>42.3</v>
      </c>
      <c r="H614">
        <v>7.17</v>
      </c>
      <c r="I614">
        <v>0.53</v>
      </c>
      <c r="J614" t="s">
        <v>316</v>
      </c>
      <c r="K614" t="s">
        <v>52</v>
      </c>
      <c r="L614">
        <v>169</v>
      </c>
      <c r="M614">
        <v>4.91</v>
      </c>
      <c r="N614">
        <v>169.3</v>
      </c>
      <c r="O614">
        <v>1.5</v>
      </c>
      <c r="P614">
        <v>3</v>
      </c>
      <c r="Q614">
        <v>0.91</v>
      </c>
      <c r="R614">
        <v>583</v>
      </c>
      <c r="S614">
        <v>11.61</v>
      </c>
      <c r="T614">
        <v>0.43</v>
      </c>
      <c r="U614" s="1">
        <v>45429</v>
      </c>
      <c r="V614">
        <v>48.97</v>
      </c>
      <c r="W614">
        <v>0.61299999999999999</v>
      </c>
      <c r="X614" t="str">
        <f>IF(WarehouseData[[#This Row],[stock_level]]&lt;=WarehouseData[[#This Row],[reorder_point]],"Low Stock","Sufficient Stock")</f>
        <v>Sufficient Stock</v>
      </c>
      <c r="Y614">
        <f>WarehouseData[[#This Row],[daily_demand]]*WarehouseData[[#This Row],[lead_time_days]]</f>
        <v>211.5</v>
      </c>
      <c r="Z614" t="str">
        <f>IF(WarehouseData[[#This Row],[stock_level]]&lt;=WarehouseData[[#This Row],[Demand During Lead Time]],"At Risk","Safe")</f>
        <v>Safe</v>
      </c>
      <c r="AA614">
        <f>WarehouseData[[#This Row],[stock_level]]/WarehouseData[[#This Row],[daily_demand]]</f>
        <v>11.063829787234043</v>
      </c>
      <c r="AB614">
        <f>WarehouseData[[#This Row],[stock_level]]*WarehouseData[[#This Row],[unit_price]]</f>
        <v>79232.400000000009</v>
      </c>
      <c r="AC614">
        <f>WarehouseData[[#This Row],[stock_level]]*WarehouseData[[#This Row],[holding_cost_per_unit_day]]*30</f>
        <v>21060</v>
      </c>
      <c r="AD614" t="str">
        <f>IF(WarehouseData[[#This Row],[order_fulfillment_rate]]&gt;=0.9,"Strong",IF(WarehouseData[[#This Row],[order_fulfillment_rate]]&gt;=0.8,"Moderate","Needs Attention"))</f>
        <v>Strong</v>
      </c>
      <c r="AE614" t="str">
        <f>IF(WarehouseData[[#This Row],[picking_time_seconds]]&gt;120,"Slow",IF(WarehouseData[[#This Row],[picking_time_seconds]]&gt;=60,"Average","Fast"))</f>
        <v>Slow</v>
      </c>
    </row>
    <row r="615" spans="1:31" x14ac:dyDescent="0.25">
      <c r="A615" t="s">
        <v>753</v>
      </c>
      <c r="B615" t="s">
        <v>40</v>
      </c>
      <c r="C615">
        <v>133</v>
      </c>
      <c r="D615">
        <v>59</v>
      </c>
      <c r="E615">
        <v>13</v>
      </c>
      <c r="F615">
        <v>5</v>
      </c>
      <c r="G615">
        <v>24.6</v>
      </c>
      <c r="H615">
        <v>9.7100000000000009</v>
      </c>
      <c r="I615">
        <v>0.49</v>
      </c>
      <c r="J615" t="s">
        <v>477</v>
      </c>
      <c r="K615" t="s">
        <v>52</v>
      </c>
      <c r="L615">
        <v>97</v>
      </c>
      <c r="M615">
        <v>2.1</v>
      </c>
      <c r="N615">
        <v>83.24</v>
      </c>
      <c r="O615">
        <v>0.48</v>
      </c>
      <c r="P615">
        <v>8</v>
      </c>
      <c r="Q615">
        <v>0.85</v>
      </c>
      <c r="R615">
        <v>118</v>
      </c>
      <c r="S615">
        <v>6.68</v>
      </c>
      <c r="T615">
        <v>0.51</v>
      </c>
      <c r="U615" s="1">
        <v>45570</v>
      </c>
      <c r="V615">
        <v>134.35</v>
      </c>
      <c r="W615">
        <v>0.55300000000000005</v>
      </c>
      <c r="X615" t="str">
        <f>IF(WarehouseData[[#This Row],[stock_level]]&lt;=WarehouseData[[#This Row],[reorder_point]],"Low Stock","Sufficient Stock")</f>
        <v>Sufficient Stock</v>
      </c>
      <c r="Y615">
        <f>WarehouseData[[#This Row],[daily_demand]]*WarehouseData[[#This Row],[lead_time_days]]</f>
        <v>123</v>
      </c>
      <c r="Z615" t="str">
        <f>IF(WarehouseData[[#This Row],[stock_level]]&lt;=WarehouseData[[#This Row],[Demand During Lead Time]],"At Risk","Safe")</f>
        <v>Safe</v>
      </c>
      <c r="AA615">
        <f>WarehouseData[[#This Row],[stock_level]]/WarehouseData[[#This Row],[daily_demand]]</f>
        <v>5.4065040650406502</v>
      </c>
      <c r="AB615">
        <f>WarehouseData[[#This Row],[stock_level]]*WarehouseData[[#This Row],[unit_price]]</f>
        <v>11070.92</v>
      </c>
      <c r="AC615">
        <f>WarehouseData[[#This Row],[stock_level]]*WarehouseData[[#This Row],[holding_cost_per_unit_day]]*30</f>
        <v>1915.1999999999998</v>
      </c>
      <c r="AD615" t="str">
        <f>IF(WarehouseData[[#This Row],[order_fulfillment_rate]]&gt;=0.9,"Strong",IF(WarehouseData[[#This Row],[order_fulfillment_rate]]&gt;=0.8,"Moderate","Needs Attention"))</f>
        <v>Moderate</v>
      </c>
      <c r="AE615" t="str">
        <f>IF(WarehouseData[[#This Row],[picking_time_seconds]]&gt;120,"Slow",IF(WarehouseData[[#This Row],[picking_time_seconds]]&gt;=60,"Average","Fast"))</f>
        <v>Average</v>
      </c>
    </row>
    <row r="616" spans="1:31" x14ac:dyDescent="0.25">
      <c r="A616" t="s">
        <v>754</v>
      </c>
      <c r="B616" t="s">
        <v>73</v>
      </c>
      <c r="C616">
        <v>276</v>
      </c>
      <c r="D616">
        <v>87</v>
      </c>
      <c r="E616">
        <v>7</v>
      </c>
      <c r="F616">
        <v>8</v>
      </c>
      <c r="G616">
        <v>27.04</v>
      </c>
      <c r="H616">
        <v>4.63</v>
      </c>
      <c r="I616">
        <v>0.75</v>
      </c>
      <c r="J616" t="s">
        <v>181</v>
      </c>
      <c r="K616" t="s">
        <v>34</v>
      </c>
      <c r="L616">
        <v>42</v>
      </c>
      <c r="M616">
        <v>4.95</v>
      </c>
      <c r="N616">
        <v>140.04</v>
      </c>
      <c r="O616">
        <v>0.59</v>
      </c>
      <c r="P616">
        <v>7</v>
      </c>
      <c r="Q616">
        <v>0.79</v>
      </c>
      <c r="R616">
        <v>630</v>
      </c>
      <c r="S616">
        <v>2.75</v>
      </c>
      <c r="T616">
        <v>0.75</v>
      </c>
      <c r="U616" s="1">
        <v>45479</v>
      </c>
      <c r="V616">
        <v>248.48</v>
      </c>
      <c r="W616">
        <v>0.54600000000000004</v>
      </c>
      <c r="X616" t="str">
        <f>IF(WarehouseData[[#This Row],[stock_level]]&lt;=WarehouseData[[#This Row],[reorder_point]],"Low Stock","Sufficient Stock")</f>
        <v>Sufficient Stock</v>
      </c>
      <c r="Y616">
        <f>WarehouseData[[#This Row],[daily_demand]]*WarehouseData[[#This Row],[lead_time_days]]</f>
        <v>216.32</v>
      </c>
      <c r="Z616" t="str">
        <f>IF(WarehouseData[[#This Row],[stock_level]]&lt;=WarehouseData[[#This Row],[Demand During Lead Time]],"At Risk","Safe")</f>
        <v>Safe</v>
      </c>
      <c r="AA616">
        <f>WarehouseData[[#This Row],[stock_level]]/WarehouseData[[#This Row],[daily_demand]]</f>
        <v>10.207100591715976</v>
      </c>
      <c r="AB616">
        <f>WarehouseData[[#This Row],[stock_level]]*WarehouseData[[#This Row],[unit_price]]</f>
        <v>38651.040000000001</v>
      </c>
      <c r="AC616">
        <f>WarehouseData[[#This Row],[stock_level]]*WarehouseData[[#This Row],[holding_cost_per_unit_day]]*30</f>
        <v>4885.2</v>
      </c>
      <c r="AD616" t="str">
        <f>IF(WarehouseData[[#This Row],[order_fulfillment_rate]]&gt;=0.9,"Strong",IF(WarehouseData[[#This Row],[order_fulfillment_rate]]&gt;=0.8,"Moderate","Needs Attention"))</f>
        <v>Needs Attention</v>
      </c>
      <c r="AE616" t="str">
        <f>IF(WarehouseData[[#This Row],[picking_time_seconds]]&gt;120,"Slow",IF(WarehouseData[[#This Row],[picking_time_seconds]]&gt;=60,"Average","Fast"))</f>
        <v>Fast</v>
      </c>
    </row>
    <row r="617" spans="1:31" x14ac:dyDescent="0.25">
      <c r="A617" t="s">
        <v>755</v>
      </c>
      <c r="B617" t="s">
        <v>40</v>
      </c>
      <c r="C617">
        <v>77</v>
      </c>
      <c r="D617">
        <v>88</v>
      </c>
      <c r="E617">
        <v>6</v>
      </c>
      <c r="F617">
        <v>7</v>
      </c>
      <c r="G617">
        <v>15.83</v>
      </c>
      <c r="H617">
        <v>4.3600000000000003</v>
      </c>
      <c r="I617">
        <v>0.64</v>
      </c>
      <c r="J617" t="s">
        <v>301</v>
      </c>
      <c r="K617" t="s">
        <v>52</v>
      </c>
      <c r="L617">
        <v>79</v>
      </c>
      <c r="M617">
        <v>4.8099999999999996</v>
      </c>
      <c r="N617">
        <v>46.21</v>
      </c>
      <c r="O617">
        <v>0.64</v>
      </c>
      <c r="P617">
        <v>0</v>
      </c>
      <c r="Q617">
        <v>0.97</v>
      </c>
      <c r="R617">
        <v>295</v>
      </c>
      <c r="S617">
        <v>11.37</v>
      </c>
      <c r="T617">
        <v>0.35</v>
      </c>
      <c r="U617" s="1">
        <v>45569</v>
      </c>
      <c r="V617">
        <v>92.26</v>
      </c>
      <c r="W617">
        <v>0.752</v>
      </c>
      <c r="X617" t="str">
        <f>IF(WarehouseData[[#This Row],[stock_level]]&lt;=WarehouseData[[#This Row],[reorder_point]],"Low Stock","Sufficient Stock")</f>
        <v>Low Stock</v>
      </c>
      <c r="Y617">
        <f>WarehouseData[[#This Row],[daily_demand]]*WarehouseData[[#This Row],[lead_time_days]]</f>
        <v>110.81</v>
      </c>
      <c r="Z617" t="str">
        <f>IF(WarehouseData[[#This Row],[stock_level]]&lt;=WarehouseData[[#This Row],[Demand During Lead Time]],"At Risk","Safe")</f>
        <v>At Risk</v>
      </c>
      <c r="AA617">
        <f>WarehouseData[[#This Row],[stock_level]]/WarehouseData[[#This Row],[daily_demand]]</f>
        <v>4.8641819330385347</v>
      </c>
      <c r="AB617">
        <f>WarehouseData[[#This Row],[stock_level]]*WarehouseData[[#This Row],[unit_price]]</f>
        <v>3558.17</v>
      </c>
      <c r="AC617">
        <f>WarehouseData[[#This Row],[stock_level]]*WarehouseData[[#This Row],[holding_cost_per_unit_day]]*30</f>
        <v>1478.4</v>
      </c>
      <c r="AD617" t="str">
        <f>IF(WarehouseData[[#This Row],[order_fulfillment_rate]]&gt;=0.9,"Strong",IF(WarehouseData[[#This Row],[order_fulfillment_rate]]&gt;=0.8,"Moderate","Needs Attention"))</f>
        <v>Strong</v>
      </c>
      <c r="AE617" t="str">
        <f>IF(WarehouseData[[#This Row],[picking_time_seconds]]&gt;120,"Slow",IF(WarehouseData[[#This Row],[picking_time_seconds]]&gt;=60,"Average","Fast"))</f>
        <v>Average</v>
      </c>
    </row>
    <row r="618" spans="1:31" x14ac:dyDescent="0.25">
      <c r="A618" t="s">
        <v>756</v>
      </c>
      <c r="B618" t="s">
        <v>32</v>
      </c>
      <c r="C618">
        <v>173</v>
      </c>
      <c r="D618">
        <v>88</v>
      </c>
      <c r="E618">
        <v>6</v>
      </c>
      <c r="F618">
        <v>4</v>
      </c>
      <c r="G618">
        <v>25.24</v>
      </c>
      <c r="H618">
        <v>4.01</v>
      </c>
      <c r="I618">
        <v>0.37</v>
      </c>
      <c r="J618" t="s">
        <v>251</v>
      </c>
      <c r="K618" t="s">
        <v>52</v>
      </c>
      <c r="L618">
        <v>58</v>
      </c>
      <c r="M618">
        <v>3.38</v>
      </c>
      <c r="N618">
        <v>197.72</v>
      </c>
      <c r="O618">
        <v>0.41</v>
      </c>
      <c r="P618">
        <v>7</v>
      </c>
      <c r="Q618">
        <v>0.83</v>
      </c>
      <c r="R618">
        <v>624</v>
      </c>
      <c r="S618">
        <v>13.77</v>
      </c>
      <c r="T618">
        <v>0.6</v>
      </c>
      <c r="U618" s="1">
        <v>45313</v>
      </c>
      <c r="V618">
        <v>177.7</v>
      </c>
      <c r="W618">
        <v>0.68899999999999995</v>
      </c>
      <c r="X618" t="str">
        <f>IF(WarehouseData[[#This Row],[stock_level]]&lt;=WarehouseData[[#This Row],[reorder_point]],"Low Stock","Sufficient Stock")</f>
        <v>Sufficient Stock</v>
      </c>
      <c r="Y618">
        <f>WarehouseData[[#This Row],[daily_demand]]*WarehouseData[[#This Row],[lead_time_days]]</f>
        <v>100.96</v>
      </c>
      <c r="Z618" t="str">
        <f>IF(WarehouseData[[#This Row],[stock_level]]&lt;=WarehouseData[[#This Row],[Demand During Lead Time]],"At Risk","Safe")</f>
        <v>Safe</v>
      </c>
      <c r="AA618">
        <f>WarehouseData[[#This Row],[stock_level]]/WarehouseData[[#This Row],[daily_demand]]</f>
        <v>6.8541996830427898</v>
      </c>
      <c r="AB618">
        <f>WarehouseData[[#This Row],[stock_level]]*WarehouseData[[#This Row],[unit_price]]</f>
        <v>34205.56</v>
      </c>
      <c r="AC618">
        <f>WarehouseData[[#This Row],[stock_level]]*WarehouseData[[#This Row],[holding_cost_per_unit_day]]*30</f>
        <v>2127.8999999999996</v>
      </c>
      <c r="AD618" t="str">
        <f>IF(WarehouseData[[#This Row],[order_fulfillment_rate]]&gt;=0.9,"Strong",IF(WarehouseData[[#This Row],[order_fulfillment_rate]]&gt;=0.8,"Moderate","Needs Attention"))</f>
        <v>Moderate</v>
      </c>
      <c r="AE618" t="str">
        <f>IF(WarehouseData[[#This Row],[picking_time_seconds]]&gt;120,"Slow",IF(WarehouseData[[#This Row],[picking_time_seconds]]&gt;=60,"Average","Fast"))</f>
        <v>Fast</v>
      </c>
    </row>
    <row r="619" spans="1:31" x14ac:dyDescent="0.25">
      <c r="A619" t="s">
        <v>757</v>
      </c>
      <c r="B619" t="s">
        <v>48</v>
      </c>
      <c r="C619">
        <v>384</v>
      </c>
      <c r="D619">
        <v>79</v>
      </c>
      <c r="E619">
        <v>14</v>
      </c>
      <c r="F619">
        <v>5</v>
      </c>
      <c r="G619">
        <v>7.47</v>
      </c>
      <c r="H619">
        <v>8.36</v>
      </c>
      <c r="I619">
        <v>0.15</v>
      </c>
      <c r="J619" t="s">
        <v>81</v>
      </c>
      <c r="K619" t="s">
        <v>46</v>
      </c>
      <c r="L619">
        <v>113</v>
      </c>
      <c r="M619">
        <v>2</v>
      </c>
      <c r="N619">
        <v>121.91</v>
      </c>
      <c r="O619">
        <v>1.71</v>
      </c>
      <c r="P619">
        <v>8</v>
      </c>
      <c r="Q619">
        <v>0.96</v>
      </c>
      <c r="R619">
        <v>286</v>
      </c>
      <c r="S619">
        <v>6.1</v>
      </c>
      <c r="T619">
        <v>0.79</v>
      </c>
      <c r="U619" s="1">
        <v>45517</v>
      </c>
      <c r="V619">
        <v>295.2</v>
      </c>
      <c r="W619">
        <v>0.5</v>
      </c>
      <c r="X619" t="str">
        <f>IF(WarehouseData[[#This Row],[stock_level]]&lt;=WarehouseData[[#This Row],[reorder_point]],"Low Stock","Sufficient Stock")</f>
        <v>Sufficient Stock</v>
      </c>
      <c r="Y619">
        <f>WarehouseData[[#This Row],[daily_demand]]*WarehouseData[[#This Row],[lead_time_days]]</f>
        <v>37.35</v>
      </c>
      <c r="Z619" t="str">
        <f>IF(WarehouseData[[#This Row],[stock_level]]&lt;=WarehouseData[[#This Row],[Demand During Lead Time]],"At Risk","Safe")</f>
        <v>Safe</v>
      </c>
      <c r="AA619">
        <f>WarehouseData[[#This Row],[stock_level]]/WarehouseData[[#This Row],[daily_demand]]</f>
        <v>51.405622489959839</v>
      </c>
      <c r="AB619">
        <f>WarehouseData[[#This Row],[stock_level]]*WarehouseData[[#This Row],[unit_price]]</f>
        <v>46813.440000000002</v>
      </c>
      <c r="AC619">
        <f>WarehouseData[[#This Row],[stock_level]]*WarehouseData[[#This Row],[holding_cost_per_unit_day]]*30</f>
        <v>19699.2</v>
      </c>
      <c r="AD619" t="str">
        <f>IF(WarehouseData[[#This Row],[order_fulfillment_rate]]&gt;=0.9,"Strong",IF(WarehouseData[[#This Row],[order_fulfillment_rate]]&gt;=0.8,"Moderate","Needs Attention"))</f>
        <v>Strong</v>
      </c>
      <c r="AE619" t="str">
        <f>IF(WarehouseData[[#This Row],[picking_time_seconds]]&gt;120,"Slow",IF(WarehouseData[[#This Row],[picking_time_seconds]]&gt;=60,"Average","Fast"))</f>
        <v>Average</v>
      </c>
    </row>
    <row r="620" spans="1:31" x14ac:dyDescent="0.25">
      <c r="A620" t="s">
        <v>758</v>
      </c>
      <c r="B620" t="s">
        <v>32</v>
      </c>
      <c r="C620">
        <v>423</v>
      </c>
      <c r="D620">
        <v>36</v>
      </c>
      <c r="E620">
        <v>6</v>
      </c>
      <c r="F620">
        <v>9</v>
      </c>
      <c r="G620">
        <v>47.84</v>
      </c>
      <c r="H620">
        <v>1.99</v>
      </c>
      <c r="I620">
        <v>0.79</v>
      </c>
      <c r="J620" t="s">
        <v>90</v>
      </c>
      <c r="K620" t="s">
        <v>52</v>
      </c>
      <c r="L620">
        <v>167</v>
      </c>
      <c r="M620">
        <v>3.89</v>
      </c>
      <c r="N620">
        <v>164.71</v>
      </c>
      <c r="O620">
        <v>1.26</v>
      </c>
      <c r="P620">
        <v>7</v>
      </c>
      <c r="Q620">
        <v>0.93</v>
      </c>
      <c r="R620">
        <v>380</v>
      </c>
      <c r="S620">
        <v>9.26</v>
      </c>
      <c r="T620">
        <v>0.73</v>
      </c>
      <c r="U620" s="1">
        <v>45571</v>
      </c>
      <c r="V620">
        <v>60.58</v>
      </c>
      <c r="W620">
        <v>0.58899999999999997</v>
      </c>
      <c r="X620" t="str">
        <f>IF(WarehouseData[[#This Row],[stock_level]]&lt;=WarehouseData[[#This Row],[reorder_point]],"Low Stock","Sufficient Stock")</f>
        <v>Sufficient Stock</v>
      </c>
      <c r="Y620">
        <f>WarehouseData[[#This Row],[daily_demand]]*WarehouseData[[#This Row],[lead_time_days]]</f>
        <v>430.56000000000006</v>
      </c>
      <c r="Z620" t="str">
        <f>IF(WarehouseData[[#This Row],[stock_level]]&lt;=WarehouseData[[#This Row],[Demand During Lead Time]],"At Risk","Safe")</f>
        <v>At Risk</v>
      </c>
      <c r="AA620">
        <f>WarehouseData[[#This Row],[stock_level]]/WarehouseData[[#This Row],[daily_demand]]</f>
        <v>8.841973244147157</v>
      </c>
      <c r="AB620">
        <f>WarehouseData[[#This Row],[stock_level]]*WarehouseData[[#This Row],[unit_price]]</f>
        <v>69672.33</v>
      </c>
      <c r="AC620">
        <f>WarehouseData[[#This Row],[stock_level]]*WarehouseData[[#This Row],[holding_cost_per_unit_day]]*30</f>
        <v>15989.400000000001</v>
      </c>
      <c r="AD620" t="str">
        <f>IF(WarehouseData[[#This Row],[order_fulfillment_rate]]&gt;=0.9,"Strong",IF(WarehouseData[[#This Row],[order_fulfillment_rate]]&gt;=0.8,"Moderate","Needs Attention"))</f>
        <v>Strong</v>
      </c>
      <c r="AE620" t="str">
        <f>IF(WarehouseData[[#This Row],[picking_time_seconds]]&gt;120,"Slow",IF(WarehouseData[[#This Row],[picking_time_seconds]]&gt;=60,"Average","Fast"))</f>
        <v>Slow</v>
      </c>
    </row>
    <row r="621" spans="1:31" x14ac:dyDescent="0.25">
      <c r="A621" t="s">
        <v>759</v>
      </c>
      <c r="B621" t="s">
        <v>32</v>
      </c>
      <c r="C621">
        <v>135</v>
      </c>
      <c r="D621">
        <v>24</v>
      </c>
      <c r="E621">
        <v>13</v>
      </c>
      <c r="F621">
        <v>3</v>
      </c>
      <c r="G621">
        <v>40.22</v>
      </c>
      <c r="H621">
        <v>3.77</v>
      </c>
      <c r="I621">
        <v>0.42</v>
      </c>
      <c r="J621" t="s">
        <v>212</v>
      </c>
      <c r="K621" t="s">
        <v>34</v>
      </c>
      <c r="L621">
        <v>111</v>
      </c>
      <c r="M621">
        <v>1.72</v>
      </c>
      <c r="N621">
        <v>87.39</v>
      </c>
      <c r="O621">
        <v>1.69</v>
      </c>
      <c r="P621">
        <v>9</v>
      </c>
      <c r="Q621">
        <v>0.94</v>
      </c>
      <c r="R621">
        <v>412</v>
      </c>
      <c r="S621">
        <v>10.63</v>
      </c>
      <c r="T621">
        <v>0.78</v>
      </c>
      <c r="U621" s="1">
        <v>45403</v>
      </c>
      <c r="V621">
        <v>39.42</v>
      </c>
      <c r="W621">
        <v>0.53700000000000003</v>
      </c>
      <c r="X621" t="str">
        <f>IF(WarehouseData[[#This Row],[stock_level]]&lt;=WarehouseData[[#This Row],[reorder_point]],"Low Stock","Sufficient Stock")</f>
        <v>Sufficient Stock</v>
      </c>
      <c r="Y621">
        <f>WarehouseData[[#This Row],[daily_demand]]*WarehouseData[[#This Row],[lead_time_days]]</f>
        <v>120.66</v>
      </c>
      <c r="Z621" t="str">
        <f>IF(WarehouseData[[#This Row],[stock_level]]&lt;=WarehouseData[[#This Row],[Demand During Lead Time]],"At Risk","Safe")</f>
        <v>Safe</v>
      </c>
      <c r="AA621">
        <f>WarehouseData[[#This Row],[stock_level]]/WarehouseData[[#This Row],[daily_demand]]</f>
        <v>3.356539035305818</v>
      </c>
      <c r="AB621">
        <f>WarehouseData[[#This Row],[stock_level]]*WarehouseData[[#This Row],[unit_price]]</f>
        <v>11797.65</v>
      </c>
      <c r="AC621">
        <f>WarehouseData[[#This Row],[stock_level]]*WarehouseData[[#This Row],[holding_cost_per_unit_day]]*30</f>
        <v>6844.5</v>
      </c>
      <c r="AD621" t="str">
        <f>IF(WarehouseData[[#This Row],[order_fulfillment_rate]]&gt;=0.9,"Strong",IF(WarehouseData[[#This Row],[order_fulfillment_rate]]&gt;=0.8,"Moderate","Needs Attention"))</f>
        <v>Strong</v>
      </c>
      <c r="AE621" t="str">
        <f>IF(WarehouseData[[#This Row],[picking_time_seconds]]&gt;120,"Slow",IF(WarehouseData[[#This Row],[picking_time_seconds]]&gt;=60,"Average","Fast"))</f>
        <v>Average</v>
      </c>
    </row>
    <row r="622" spans="1:31" x14ac:dyDescent="0.25">
      <c r="A622" t="s">
        <v>760</v>
      </c>
      <c r="B622" t="s">
        <v>36</v>
      </c>
      <c r="C622">
        <v>362</v>
      </c>
      <c r="D622">
        <v>59</v>
      </c>
      <c r="E622">
        <v>11</v>
      </c>
      <c r="F622">
        <v>6</v>
      </c>
      <c r="G622">
        <v>33.729999999999997</v>
      </c>
      <c r="H622">
        <v>7.39</v>
      </c>
      <c r="I622">
        <v>0.9</v>
      </c>
      <c r="J622" t="s">
        <v>202</v>
      </c>
      <c r="K622" t="s">
        <v>46</v>
      </c>
      <c r="L622">
        <v>153</v>
      </c>
      <c r="M622">
        <v>3.33</v>
      </c>
      <c r="N622">
        <v>154.13</v>
      </c>
      <c r="O622">
        <v>1.04</v>
      </c>
      <c r="P622">
        <v>0</v>
      </c>
      <c r="Q622">
        <v>1</v>
      </c>
      <c r="R622">
        <v>580</v>
      </c>
      <c r="S622">
        <v>12.64</v>
      </c>
      <c r="T622">
        <v>0.91</v>
      </c>
      <c r="U622" s="1">
        <v>45509</v>
      </c>
      <c r="V622">
        <v>240.72</v>
      </c>
      <c r="W622">
        <v>0.84699999999999998</v>
      </c>
      <c r="X622" t="str">
        <f>IF(WarehouseData[[#This Row],[stock_level]]&lt;=WarehouseData[[#This Row],[reorder_point]],"Low Stock","Sufficient Stock")</f>
        <v>Sufficient Stock</v>
      </c>
      <c r="Y622">
        <f>WarehouseData[[#This Row],[daily_demand]]*WarehouseData[[#This Row],[lead_time_days]]</f>
        <v>202.38</v>
      </c>
      <c r="Z622" t="str">
        <f>IF(WarehouseData[[#This Row],[stock_level]]&lt;=WarehouseData[[#This Row],[Demand During Lead Time]],"At Risk","Safe")</f>
        <v>Safe</v>
      </c>
      <c r="AA622">
        <f>WarehouseData[[#This Row],[stock_level]]/WarehouseData[[#This Row],[daily_demand]]</f>
        <v>10.732285798991997</v>
      </c>
      <c r="AB622">
        <f>WarehouseData[[#This Row],[stock_level]]*WarehouseData[[#This Row],[unit_price]]</f>
        <v>55795.06</v>
      </c>
      <c r="AC622">
        <f>WarehouseData[[#This Row],[stock_level]]*WarehouseData[[#This Row],[holding_cost_per_unit_day]]*30</f>
        <v>11294.400000000001</v>
      </c>
      <c r="AD622" t="str">
        <f>IF(WarehouseData[[#This Row],[order_fulfillment_rate]]&gt;=0.9,"Strong",IF(WarehouseData[[#This Row],[order_fulfillment_rate]]&gt;=0.8,"Moderate","Needs Attention"))</f>
        <v>Strong</v>
      </c>
      <c r="AE622" t="str">
        <f>IF(WarehouseData[[#This Row],[picking_time_seconds]]&gt;120,"Slow",IF(WarehouseData[[#This Row],[picking_time_seconds]]&gt;=60,"Average","Fast"))</f>
        <v>Slow</v>
      </c>
    </row>
    <row r="623" spans="1:31" x14ac:dyDescent="0.25">
      <c r="A623" t="s">
        <v>761</v>
      </c>
      <c r="B623" t="s">
        <v>48</v>
      </c>
      <c r="C623">
        <v>285</v>
      </c>
      <c r="D623">
        <v>45</v>
      </c>
      <c r="E623">
        <v>6</v>
      </c>
      <c r="F623">
        <v>2</v>
      </c>
      <c r="G623">
        <v>27.37</v>
      </c>
      <c r="H623">
        <v>0.65</v>
      </c>
      <c r="I623">
        <v>0.46</v>
      </c>
      <c r="J623" t="s">
        <v>377</v>
      </c>
      <c r="K623" t="s">
        <v>52</v>
      </c>
      <c r="L623">
        <v>115</v>
      </c>
      <c r="M623">
        <v>0.61</v>
      </c>
      <c r="N623">
        <v>83.6</v>
      </c>
      <c r="O623">
        <v>1.0900000000000001</v>
      </c>
      <c r="P623">
        <v>7</v>
      </c>
      <c r="Q623">
        <v>0.92</v>
      </c>
      <c r="R623">
        <v>792</v>
      </c>
      <c r="S623">
        <v>3.77</v>
      </c>
      <c r="T623">
        <v>0.97</v>
      </c>
      <c r="U623" s="1">
        <v>45344</v>
      </c>
      <c r="V623">
        <v>17.23</v>
      </c>
      <c r="W623">
        <v>0.57899999999999996</v>
      </c>
      <c r="X623" t="str">
        <f>IF(WarehouseData[[#This Row],[stock_level]]&lt;=WarehouseData[[#This Row],[reorder_point]],"Low Stock","Sufficient Stock")</f>
        <v>Sufficient Stock</v>
      </c>
      <c r="Y623">
        <f>WarehouseData[[#This Row],[daily_demand]]*WarehouseData[[#This Row],[lead_time_days]]</f>
        <v>54.74</v>
      </c>
      <c r="Z623" t="str">
        <f>IF(WarehouseData[[#This Row],[stock_level]]&lt;=WarehouseData[[#This Row],[Demand During Lead Time]],"At Risk","Safe")</f>
        <v>Safe</v>
      </c>
      <c r="AA623">
        <f>WarehouseData[[#This Row],[stock_level]]/WarehouseData[[#This Row],[daily_demand]]</f>
        <v>10.41286079649251</v>
      </c>
      <c r="AB623">
        <f>WarehouseData[[#This Row],[stock_level]]*WarehouseData[[#This Row],[unit_price]]</f>
        <v>23826</v>
      </c>
      <c r="AC623">
        <f>WarehouseData[[#This Row],[stock_level]]*WarehouseData[[#This Row],[holding_cost_per_unit_day]]*30</f>
        <v>9319.5000000000018</v>
      </c>
      <c r="AD623" t="str">
        <f>IF(WarehouseData[[#This Row],[order_fulfillment_rate]]&gt;=0.9,"Strong",IF(WarehouseData[[#This Row],[order_fulfillment_rate]]&gt;=0.8,"Moderate","Needs Attention"))</f>
        <v>Strong</v>
      </c>
      <c r="AE623" t="str">
        <f>IF(WarehouseData[[#This Row],[picking_time_seconds]]&gt;120,"Slow",IF(WarehouseData[[#This Row],[picking_time_seconds]]&gt;=60,"Average","Fast"))</f>
        <v>Average</v>
      </c>
    </row>
    <row r="624" spans="1:31" x14ac:dyDescent="0.25">
      <c r="A624" t="s">
        <v>762</v>
      </c>
      <c r="B624" t="s">
        <v>32</v>
      </c>
      <c r="C624">
        <v>334</v>
      </c>
      <c r="D624">
        <v>17</v>
      </c>
      <c r="E624">
        <v>14</v>
      </c>
      <c r="F624">
        <v>4</v>
      </c>
      <c r="G624">
        <v>39.82</v>
      </c>
      <c r="H624">
        <v>3.25</v>
      </c>
      <c r="I624">
        <v>0.75</v>
      </c>
      <c r="J624" t="s">
        <v>377</v>
      </c>
      <c r="K624" t="s">
        <v>52</v>
      </c>
      <c r="L624">
        <v>91</v>
      </c>
      <c r="M624">
        <v>3.33</v>
      </c>
      <c r="N624">
        <v>122.1</v>
      </c>
      <c r="O624">
        <v>1.27</v>
      </c>
      <c r="P624">
        <v>4</v>
      </c>
      <c r="Q624">
        <v>0.71</v>
      </c>
      <c r="R624">
        <v>514</v>
      </c>
      <c r="S624">
        <v>8.98</v>
      </c>
      <c r="T624">
        <v>0.56999999999999995</v>
      </c>
      <c r="U624" s="1">
        <v>45626</v>
      </c>
      <c r="V624">
        <v>196.54</v>
      </c>
      <c r="W624">
        <v>0.56899999999999995</v>
      </c>
      <c r="X624" t="str">
        <f>IF(WarehouseData[[#This Row],[stock_level]]&lt;=WarehouseData[[#This Row],[reorder_point]],"Low Stock","Sufficient Stock")</f>
        <v>Sufficient Stock</v>
      </c>
      <c r="Y624">
        <f>WarehouseData[[#This Row],[daily_demand]]*WarehouseData[[#This Row],[lead_time_days]]</f>
        <v>159.28</v>
      </c>
      <c r="Z624" t="str">
        <f>IF(WarehouseData[[#This Row],[stock_level]]&lt;=WarehouseData[[#This Row],[Demand During Lead Time]],"At Risk","Safe")</f>
        <v>Safe</v>
      </c>
      <c r="AA624">
        <f>WarehouseData[[#This Row],[stock_level]]/WarehouseData[[#This Row],[daily_demand]]</f>
        <v>8.3877448518332489</v>
      </c>
      <c r="AB624">
        <f>WarehouseData[[#This Row],[stock_level]]*WarehouseData[[#This Row],[unit_price]]</f>
        <v>40781.4</v>
      </c>
      <c r="AC624">
        <f>WarehouseData[[#This Row],[stock_level]]*WarehouseData[[#This Row],[holding_cost_per_unit_day]]*30</f>
        <v>12725.4</v>
      </c>
      <c r="AD624" t="str">
        <f>IF(WarehouseData[[#This Row],[order_fulfillment_rate]]&gt;=0.9,"Strong",IF(WarehouseData[[#This Row],[order_fulfillment_rate]]&gt;=0.8,"Moderate","Needs Attention"))</f>
        <v>Needs Attention</v>
      </c>
      <c r="AE624" t="str">
        <f>IF(WarehouseData[[#This Row],[picking_time_seconds]]&gt;120,"Slow",IF(WarehouseData[[#This Row],[picking_time_seconds]]&gt;=60,"Average","Fast"))</f>
        <v>Average</v>
      </c>
    </row>
    <row r="625" spans="1:31" x14ac:dyDescent="0.25">
      <c r="A625" t="s">
        <v>763</v>
      </c>
      <c r="B625" t="s">
        <v>32</v>
      </c>
      <c r="C625">
        <v>222</v>
      </c>
      <c r="D625">
        <v>88</v>
      </c>
      <c r="E625">
        <v>11</v>
      </c>
      <c r="F625">
        <v>2</v>
      </c>
      <c r="G625">
        <v>25.24</v>
      </c>
      <c r="H625">
        <v>6.59</v>
      </c>
      <c r="I625">
        <v>0.95</v>
      </c>
      <c r="J625" t="s">
        <v>59</v>
      </c>
      <c r="K625" t="s">
        <v>46</v>
      </c>
      <c r="L625">
        <v>95</v>
      </c>
      <c r="M625">
        <v>4.78</v>
      </c>
      <c r="N625">
        <v>157.85</v>
      </c>
      <c r="O625">
        <v>0.8</v>
      </c>
      <c r="P625">
        <v>8</v>
      </c>
      <c r="Q625">
        <v>0.76</v>
      </c>
      <c r="R625">
        <v>278</v>
      </c>
      <c r="S625">
        <v>11.37</v>
      </c>
      <c r="T625">
        <v>0.25</v>
      </c>
      <c r="U625" s="1">
        <v>45418</v>
      </c>
      <c r="V625">
        <v>107.37</v>
      </c>
      <c r="W625">
        <v>0.51400000000000001</v>
      </c>
      <c r="X625" t="str">
        <f>IF(WarehouseData[[#This Row],[stock_level]]&lt;=WarehouseData[[#This Row],[reorder_point]],"Low Stock","Sufficient Stock")</f>
        <v>Sufficient Stock</v>
      </c>
      <c r="Y625">
        <f>WarehouseData[[#This Row],[daily_demand]]*WarehouseData[[#This Row],[lead_time_days]]</f>
        <v>50.48</v>
      </c>
      <c r="Z625" t="str">
        <f>IF(WarehouseData[[#This Row],[stock_level]]&lt;=WarehouseData[[#This Row],[Demand During Lead Time]],"At Risk","Safe")</f>
        <v>Safe</v>
      </c>
      <c r="AA625">
        <f>WarehouseData[[#This Row],[stock_level]]/WarehouseData[[#This Row],[daily_demand]]</f>
        <v>8.7955625990491288</v>
      </c>
      <c r="AB625">
        <f>WarehouseData[[#This Row],[stock_level]]*WarehouseData[[#This Row],[unit_price]]</f>
        <v>35042.699999999997</v>
      </c>
      <c r="AC625">
        <f>WarehouseData[[#This Row],[stock_level]]*WarehouseData[[#This Row],[holding_cost_per_unit_day]]*30</f>
        <v>5328.0000000000009</v>
      </c>
      <c r="AD625" t="str">
        <f>IF(WarehouseData[[#This Row],[order_fulfillment_rate]]&gt;=0.9,"Strong",IF(WarehouseData[[#This Row],[order_fulfillment_rate]]&gt;=0.8,"Moderate","Needs Attention"))</f>
        <v>Needs Attention</v>
      </c>
      <c r="AE625" t="str">
        <f>IF(WarehouseData[[#This Row],[picking_time_seconds]]&gt;120,"Slow",IF(WarehouseData[[#This Row],[picking_time_seconds]]&gt;=60,"Average","Fast"))</f>
        <v>Average</v>
      </c>
    </row>
    <row r="626" spans="1:31" x14ac:dyDescent="0.25">
      <c r="A626" t="s">
        <v>764</v>
      </c>
      <c r="B626" t="s">
        <v>48</v>
      </c>
      <c r="C626">
        <v>60</v>
      </c>
      <c r="D626">
        <v>12</v>
      </c>
      <c r="E626">
        <v>12</v>
      </c>
      <c r="F626">
        <v>6</v>
      </c>
      <c r="G626">
        <v>15.7</v>
      </c>
      <c r="H626">
        <v>2.27</v>
      </c>
      <c r="I626">
        <v>0.69</v>
      </c>
      <c r="J626" t="s">
        <v>75</v>
      </c>
      <c r="K626" t="s">
        <v>46</v>
      </c>
      <c r="L626">
        <v>23</v>
      </c>
      <c r="M626">
        <v>1.56</v>
      </c>
      <c r="N626">
        <v>32.130000000000003</v>
      </c>
      <c r="O626">
        <v>1.04</v>
      </c>
      <c r="P626">
        <v>8</v>
      </c>
      <c r="Q626">
        <v>0.71</v>
      </c>
      <c r="R626">
        <v>919</v>
      </c>
      <c r="S626">
        <v>3.79</v>
      </c>
      <c r="T626">
        <v>0.87</v>
      </c>
      <c r="U626" s="1">
        <v>45444</v>
      </c>
      <c r="V626">
        <v>219.91</v>
      </c>
      <c r="W626">
        <v>0.503</v>
      </c>
      <c r="X626" t="str">
        <f>IF(WarehouseData[[#This Row],[stock_level]]&lt;=WarehouseData[[#This Row],[reorder_point]],"Low Stock","Sufficient Stock")</f>
        <v>Sufficient Stock</v>
      </c>
      <c r="Y626">
        <f>WarehouseData[[#This Row],[daily_demand]]*WarehouseData[[#This Row],[lead_time_days]]</f>
        <v>94.199999999999989</v>
      </c>
      <c r="Z626" t="str">
        <f>IF(WarehouseData[[#This Row],[stock_level]]&lt;=WarehouseData[[#This Row],[Demand During Lead Time]],"At Risk","Safe")</f>
        <v>At Risk</v>
      </c>
      <c r="AA626">
        <f>WarehouseData[[#This Row],[stock_level]]/WarehouseData[[#This Row],[daily_demand]]</f>
        <v>3.8216560509554141</v>
      </c>
      <c r="AB626">
        <f>WarehouseData[[#This Row],[stock_level]]*WarehouseData[[#This Row],[unit_price]]</f>
        <v>1927.8000000000002</v>
      </c>
      <c r="AC626">
        <f>WarehouseData[[#This Row],[stock_level]]*WarehouseData[[#This Row],[holding_cost_per_unit_day]]*30</f>
        <v>1872.0000000000002</v>
      </c>
      <c r="AD626" t="str">
        <f>IF(WarehouseData[[#This Row],[order_fulfillment_rate]]&gt;=0.9,"Strong",IF(WarehouseData[[#This Row],[order_fulfillment_rate]]&gt;=0.8,"Moderate","Needs Attention"))</f>
        <v>Needs Attention</v>
      </c>
      <c r="AE626" t="str">
        <f>IF(WarehouseData[[#This Row],[picking_time_seconds]]&gt;120,"Slow",IF(WarehouseData[[#This Row],[picking_time_seconds]]&gt;=60,"Average","Fast"))</f>
        <v>Fast</v>
      </c>
    </row>
    <row r="627" spans="1:31" x14ac:dyDescent="0.25">
      <c r="A627" t="s">
        <v>765</v>
      </c>
      <c r="B627" t="s">
        <v>48</v>
      </c>
      <c r="C627">
        <v>124</v>
      </c>
      <c r="D627">
        <v>71</v>
      </c>
      <c r="E627">
        <v>8</v>
      </c>
      <c r="F627">
        <v>4</v>
      </c>
      <c r="G627">
        <v>8.86</v>
      </c>
      <c r="H627">
        <v>3.38</v>
      </c>
      <c r="I627">
        <v>0.47</v>
      </c>
      <c r="J627" t="s">
        <v>259</v>
      </c>
      <c r="K627" t="s">
        <v>52</v>
      </c>
      <c r="L627">
        <v>174</v>
      </c>
      <c r="M627">
        <v>4</v>
      </c>
      <c r="N627">
        <v>77.790000000000006</v>
      </c>
      <c r="O627">
        <v>1.1399999999999999</v>
      </c>
      <c r="P627">
        <v>5</v>
      </c>
      <c r="Q627">
        <v>0.76</v>
      </c>
      <c r="R627">
        <v>558</v>
      </c>
      <c r="S627">
        <v>7.61</v>
      </c>
      <c r="T627">
        <v>0.28999999999999998</v>
      </c>
      <c r="U627" s="1">
        <v>45308</v>
      </c>
      <c r="V627">
        <v>44.87</v>
      </c>
      <c r="W627">
        <v>0.497</v>
      </c>
      <c r="X627" t="str">
        <f>IF(WarehouseData[[#This Row],[stock_level]]&lt;=WarehouseData[[#This Row],[reorder_point]],"Low Stock","Sufficient Stock")</f>
        <v>Sufficient Stock</v>
      </c>
      <c r="Y627">
        <f>WarehouseData[[#This Row],[daily_demand]]*WarehouseData[[#This Row],[lead_time_days]]</f>
        <v>35.44</v>
      </c>
      <c r="Z627" t="str">
        <f>IF(WarehouseData[[#This Row],[stock_level]]&lt;=WarehouseData[[#This Row],[Demand During Lead Time]],"At Risk","Safe")</f>
        <v>Safe</v>
      </c>
      <c r="AA627">
        <f>WarehouseData[[#This Row],[stock_level]]/WarehouseData[[#This Row],[daily_demand]]</f>
        <v>13.995485327313771</v>
      </c>
      <c r="AB627">
        <f>WarehouseData[[#This Row],[stock_level]]*WarehouseData[[#This Row],[unit_price]]</f>
        <v>9645.9600000000009</v>
      </c>
      <c r="AC627">
        <f>WarehouseData[[#This Row],[stock_level]]*WarehouseData[[#This Row],[holding_cost_per_unit_day]]*30</f>
        <v>4240.7999999999993</v>
      </c>
      <c r="AD627" t="str">
        <f>IF(WarehouseData[[#This Row],[order_fulfillment_rate]]&gt;=0.9,"Strong",IF(WarehouseData[[#This Row],[order_fulfillment_rate]]&gt;=0.8,"Moderate","Needs Attention"))</f>
        <v>Needs Attention</v>
      </c>
      <c r="AE627" t="str">
        <f>IF(WarehouseData[[#This Row],[picking_time_seconds]]&gt;120,"Slow",IF(WarehouseData[[#This Row],[picking_time_seconds]]&gt;=60,"Average","Fast"))</f>
        <v>Slow</v>
      </c>
    </row>
    <row r="628" spans="1:31" x14ac:dyDescent="0.25">
      <c r="A628" t="s">
        <v>766</v>
      </c>
      <c r="B628" t="s">
        <v>32</v>
      </c>
      <c r="C628">
        <v>408</v>
      </c>
      <c r="D628">
        <v>56</v>
      </c>
      <c r="E628">
        <v>12</v>
      </c>
      <c r="F628">
        <v>9</v>
      </c>
      <c r="G628">
        <v>32.729999999999997</v>
      </c>
      <c r="H628">
        <v>5.12</v>
      </c>
      <c r="I628">
        <v>0.61</v>
      </c>
      <c r="J628" t="s">
        <v>357</v>
      </c>
      <c r="K628" t="s">
        <v>38</v>
      </c>
      <c r="L628">
        <v>58</v>
      </c>
      <c r="M628">
        <v>1.82</v>
      </c>
      <c r="N628">
        <v>113.54</v>
      </c>
      <c r="O628">
        <v>1.91</v>
      </c>
      <c r="P628">
        <v>2</v>
      </c>
      <c r="Q628">
        <v>0.72</v>
      </c>
      <c r="R628">
        <v>431</v>
      </c>
      <c r="S628">
        <v>7.5</v>
      </c>
      <c r="T628">
        <v>0.38</v>
      </c>
      <c r="U628" s="1">
        <v>45522</v>
      </c>
      <c r="V628">
        <v>105.71</v>
      </c>
      <c r="W628">
        <v>0.48899999999999999</v>
      </c>
      <c r="X628" t="str">
        <f>IF(WarehouseData[[#This Row],[stock_level]]&lt;=WarehouseData[[#This Row],[reorder_point]],"Low Stock","Sufficient Stock")</f>
        <v>Sufficient Stock</v>
      </c>
      <c r="Y628">
        <f>WarehouseData[[#This Row],[daily_demand]]*WarehouseData[[#This Row],[lead_time_days]]</f>
        <v>294.57</v>
      </c>
      <c r="Z628" t="str">
        <f>IF(WarehouseData[[#This Row],[stock_level]]&lt;=WarehouseData[[#This Row],[Demand During Lead Time]],"At Risk","Safe")</f>
        <v>Safe</v>
      </c>
      <c r="AA628">
        <f>WarehouseData[[#This Row],[stock_level]]/WarehouseData[[#This Row],[daily_demand]]</f>
        <v>12.46562786434464</v>
      </c>
      <c r="AB628">
        <f>WarehouseData[[#This Row],[stock_level]]*WarehouseData[[#This Row],[unit_price]]</f>
        <v>46324.32</v>
      </c>
      <c r="AC628">
        <f>WarehouseData[[#This Row],[stock_level]]*WarehouseData[[#This Row],[holding_cost_per_unit_day]]*30</f>
        <v>23378.399999999998</v>
      </c>
      <c r="AD628" t="str">
        <f>IF(WarehouseData[[#This Row],[order_fulfillment_rate]]&gt;=0.9,"Strong",IF(WarehouseData[[#This Row],[order_fulfillment_rate]]&gt;=0.8,"Moderate","Needs Attention"))</f>
        <v>Needs Attention</v>
      </c>
      <c r="AE628" t="str">
        <f>IF(WarehouseData[[#This Row],[picking_time_seconds]]&gt;120,"Slow",IF(WarehouseData[[#This Row],[picking_time_seconds]]&gt;=60,"Average","Fast"))</f>
        <v>Fast</v>
      </c>
    </row>
    <row r="629" spans="1:31" x14ac:dyDescent="0.25">
      <c r="A629" t="s">
        <v>767</v>
      </c>
      <c r="B629" t="s">
        <v>48</v>
      </c>
      <c r="C629">
        <v>397</v>
      </c>
      <c r="D629">
        <v>86</v>
      </c>
      <c r="E629">
        <v>9</v>
      </c>
      <c r="F629">
        <v>6</v>
      </c>
      <c r="G629">
        <v>46.54</v>
      </c>
      <c r="H629">
        <v>4.51</v>
      </c>
      <c r="I629">
        <v>0.59</v>
      </c>
      <c r="J629" t="s">
        <v>43</v>
      </c>
      <c r="K629" t="s">
        <v>38</v>
      </c>
      <c r="L629">
        <v>59</v>
      </c>
      <c r="M629">
        <v>3.69</v>
      </c>
      <c r="N629">
        <v>73.459999999999994</v>
      </c>
      <c r="O629">
        <v>1.78</v>
      </c>
      <c r="P629">
        <v>6</v>
      </c>
      <c r="Q629">
        <v>0.85</v>
      </c>
      <c r="R629">
        <v>176</v>
      </c>
      <c r="S629">
        <v>12.75</v>
      </c>
      <c r="T629">
        <v>0.72</v>
      </c>
      <c r="U629" s="1">
        <v>45426</v>
      </c>
      <c r="V629">
        <v>14.94</v>
      </c>
      <c r="W629">
        <v>0.58599999999999997</v>
      </c>
      <c r="X629" t="str">
        <f>IF(WarehouseData[[#This Row],[stock_level]]&lt;=WarehouseData[[#This Row],[reorder_point]],"Low Stock","Sufficient Stock")</f>
        <v>Sufficient Stock</v>
      </c>
      <c r="Y629">
        <f>WarehouseData[[#This Row],[daily_demand]]*WarehouseData[[#This Row],[lead_time_days]]</f>
        <v>279.24</v>
      </c>
      <c r="Z629" t="str">
        <f>IF(WarehouseData[[#This Row],[stock_level]]&lt;=WarehouseData[[#This Row],[Demand During Lead Time]],"At Risk","Safe")</f>
        <v>Safe</v>
      </c>
      <c r="AA629">
        <f>WarehouseData[[#This Row],[stock_level]]/WarehouseData[[#This Row],[daily_demand]]</f>
        <v>8.5302965191233344</v>
      </c>
      <c r="AB629">
        <f>WarehouseData[[#This Row],[stock_level]]*WarehouseData[[#This Row],[unit_price]]</f>
        <v>29163.62</v>
      </c>
      <c r="AC629">
        <f>WarehouseData[[#This Row],[stock_level]]*WarehouseData[[#This Row],[holding_cost_per_unit_day]]*30</f>
        <v>21199.8</v>
      </c>
      <c r="AD629" t="str">
        <f>IF(WarehouseData[[#This Row],[order_fulfillment_rate]]&gt;=0.9,"Strong",IF(WarehouseData[[#This Row],[order_fulfillment_rate]]&gt;=0.8,"Moderate","Needs Attention"))</f>
        <v>Moderate</v>
      </c>
      <c r="AE629" t="str">
        <f>IF(WarehouseData[[#This Row],[picking_time_seconds]]&gt;120,"Slow",IF(WarehouseData[[#This Row],[picking_time_seconds]]&gt;=60,"Average","Fast"))</f>
        <v>Fast</v>
      </c>
    </row>
    <row r="630" spans="1:31" x14ac:dyDescent="0.25">
      <c r="A630" t="s">
        <v>768</v>
      </c>
      <c r="B630" t="s">
        <v>32</v>
      </c>
      <c r="C630">
        <v>212</v>
      </c>
      <c r="D630">
        <v>97</v>
      </c>
      <c r="E630">
        <v>14</v>
      </c>
      <c r="F630">
        <v>5</v>
      </c>
      <c r="G630">
        <v>8.5299999999999994</v>
      </c>
      <c r="H630">
        <v>1.51</v>
      </c>
      <c r="I630">
        <v>0.63</v>
      </c>
      <c r="J630" t="s">
        <v>196</v>
      </c>
      <c r="K630" t="s">
        <v>52</v>
      </c>
      <c r="L630">
        <v>173</v>
      </c>
      <c r="M630">
        <v>3.65</v>
      </c>
      <c r="N630">
        <v>68.739999999999995</v>
      </c>
      <c r="O630">
        <v>0.35</v>
      </c>
      <c r="P630">
        <v>2</v>
      </c>
      <c r="Q630">
        <v>0.71</v>
      </c>
      <c r="R630">
        <v>707</v>
      </c>
      <c r="S630">
        <v>11.88</v>
      </c>
      <c r="T630">
        <v>0.8</v>
      </c>
      <c r="U630" s="1">
        <v>45470</v>
      </c>
      <c r="V630">
        <v>78.180000000000007</v>
      </c>
      <c r="W630">
        <v>0.78500000000000003</v>
      </c>
      <c r="X630" t="str">
        <f>IF(WarehouseData[[#This Row],[stock_level]]&lt;=WarehouseData[[#This Row],[reorder_point]],"Low Stock","Sufficient Stock")</f>
        <v>Sufficient Stock</v>
      </c>
      <c r="Y630">
        <f>WarehouseData[[#This Row],[daily_demand]]*WarehouseData[[#This Row],[lead_time_days]]</f>
        <v>42.65</v>
      </c>
      <c r="Z630" t="str">
        <f>IF(WarehouseData[[#This Row],[stock_level]]&lt;=WarehouseData[[#This Row],[Demand During Lead Time]],"At Risk","Safe")</f>
        <v>Safe</v>
      </c>
      <c r="AA630">
        <f>WarehouseData[[#This Row],[stock_level]]/WarehouseData[[#This Row],[daily_demand]]</f>
        <v>24.853458382180541</v>
      </c>
      <c r="AB630">
        <f>WarehouseData[[#This Row],[stock_level]]*WarehouseData[[#This Row],[unit_price]]</f>
        <v>14572.88</v>
      </c>
      <c r="AC630">
        <f>WarehouseData[[#This Row],[stock_level]]*WarehouseData[[#This Row],[holding_cost_per_unit_day]]*30</f>
        <v>2225.9999999999995</v>
      </c>
      <c r="AD630" t="str">
        <f>IF(WarehouseData[[#This Row],[order_fulfillment_rate]]&gt;=0.9,"Strong",IF(WarehouseData[[#This Row],[order_fulfillment_rate]]&gt;=0.8,"Moderate","Needs Attention"))</f>
        <v>Needs Attention</v>
      </c>
      <c r="AE630" t="str">
        <f>IF(WarehouseData[[#This Row],[picking_time_seconds]]&gt;120,"Slow",IF(WarehouseData[[#This Row],[picking_time_seconds]]&gt;=60,"Average","Fast"))</f>
        <v>Slow</v>
      </c>
    </row>
    <row r="631" spans="1:31" x14ac:dyDescent="0.25">
      <c r="A631" t="s">
        <v>769</v>
      </c>
      <c r="B631" t="s">
        <v>32</v>
      </c>
      <c r="C631">
        <v>420</v>
      </c>
      <c r="D631">
        <v>70</v>
      </c>
      <c r="E631">
        <v>12</v>
      </c>
      <c r="F631">
        <v>8</v>
      </c>
      <c r="G631">
        <v>9.82</v>
      </c>
      <c r="H631">
        <v>9.41</v>
      </c>
      <c r="I631">
        <v>0.23</v>
      </c>
      <c r="J631" t="s">
        <v>163</v>
      </c>
      <c r="K631" t="s">
        <v>52</v>
      </c>
      <c r="L631">
        <v>32</v>
      </c>
      <c r="M631">
        <v>1.33</v>
      </c>
      <c r="N631">
        <v>63.52</v>
      </c>
      <c r="O631">
        <v>0.18</v>
      </c>
      <c r="P631">
        <v>6</v>
      </c>
      <c r="Q631">
        <v>0.84</v>
      </c>
      <c r="R631">
        <v>931</v>
      </c>
      <c r="S631">
        <v>4.25</v>
      </c>
      <c r="T631">
        <v>0.76</v>
      </c>
      <c r="U631" s="1">
        <v>45336</v>
      </c>
      <c r="V631">
        <v>150.15</v>
      </c>
      <c r="W631">
        <v>0.63900000000000001</v>
      </c>
      <c r="X631" t="str">
        <f>IF(WarehouseData[[#This Row],[stock_level]]&lt;=WarehouseData[[#This Row],[reorder_point]],"Low Stock","Sufficient Stock")</f>
        <v>Sufficient Stock</v>
      </c>
      <c r="Y631">
        <f>WarehouseData[[#This Row],[daily_demand]]*WarehouseData[[#This Row],[lead_time_days]]</f>
        <v>78.56</v>
      </c>
      <c r="Z631" t="str">
        <f>IF(WarehouseData[[#This Row],[stock_level]]&lt;=WarehouseData[[#This Row],[Demand During Lead Time]],"At Risk","Safe")</f>
        <v>Safe</v>
      </c>
      <c r="AA631">
        <f>WarehouseData[[#This Row],[stock_level]]/WarehouseData[[#This Row],[daily_demand]]</f>
        <v>42.769857433808554</v>
      </c>
      <c r="AB631">
        <f>WarehouseData[[#This Row],[stock_level]]*WarehouseData[[#This Row],[unit_price]]</f>
        <v>26678.400000000001</v>
      </c>
      <c r="AC631">
        <f>WarehouseData[[#This Row],[stock_level]]*WarehouseData[[#This Row],[holding_cost_per_unit_day]]*30</f>
        <v>2268</v>
      </c>
      <c r="AD631" t="str">
        <f>IF(WarehouseData[[#This Row],[order_fulfillment_rate]]&gt;=0.9,"Strong",IF(WarehouseData[[#This Row],[order_fulfillment_rate]]&gt;=0.8,"Moderate","Needs Attention"))</f>
        <v>Moderate</v>
      </c>
      <c r="AE631" t="str">
        <f>IF(WarehouseData[[#This Row],[picking_time_seconds]]&gt;120,"Slow",IF(WarehouseData[[#This Row],[picking_time_seconds]]&gt;=60,"Average","Fast"))</f>
        <v>Fast</v>
      </c>
    </row>
    <row r="632" spans="1:31" x14ac:dyDescent="0.25">
      <c r="A632" t="s">
        <v>770</v>
      </c>
      <c r="B632" t="s">
        <v>36</v>
      </c>
      <c r="C632">
        <v>297</v>
      </c>
      <c r="D632">
        <v>41</v>
      </c>
      <c r="E632">
        <v>5</v>
      </c>
      <c r="F632">
        <v>5</v>
      </c>
      <c r="G632">
        <v>22.25</v>
      </c>
      <c r="H632">
        <v>0.92</v>
      </c>
      <c r="I632">
        <v>0.73</v>
      </c>
      <c r="J632" t="s">
        <v>142</v>
      </c>
      <c r="K632" t="s">
        <v>46</v>
      </c>
      <c r="L632">
        <v>75</v>
      </c>
      <c r="M632">
        <v>3.19</v>
      </c>
      <c r="N632">
        <v>53.28</v>
      </c>
      <c r="O632">
        <v>1.39</v>
      </c>
      <c r="P632">
        <v>7</v>
      </c>
      <c r="Q632">
        <v>0.97</v>
      </c>
      <c r="R632">
        <v>890</v>
      </c>
      <c r="S632">
        <v>4.26</v>
      </c>
      <c r="T632">
        <v>0.55000000000000004</v>
      </c>
      <c r="U632" s="1">
        <v>45516</v>
      </c>
      <c r="V632">
        <v>61.51</v>
      </c>
      <c r="W632">
        <v>0.48199999999999998</v>
      </c>
      <c r="X632" t="str">
        <f>IF(WarehouseData[[#This Row],[stock_level]]&lt;=WarehouseData[[#This Row],[reorder_point]],"Low Stock","Sufficient Stock")</f>
        <v>Sufficient Stock</v>
      </c>
      <c r="Y632">
        <f>WarehouseData[[#This Row],[daily_demand]]*WarehouseData[[#This Row],[lead_time_days]]</f>
        <v>111.25</v>
      </c>
      <c r="Z632" t="str">
        <f>IF(WarehouseData[[#This Row],[stock_level]]&lt;=WarehouseData[[#This Row],[Demand During Lead Time]],"At Risk","Safe")</f>
        <v>Safe</v>
      </c>
      <c r="AA632">
        <f>WarehouseData[[#This Row],[stock_level]]/WarehouseData[[#This Row],[daily_demand]]</f>
        <v>13.348314606741573</v>
      </c>
      <c r="AB632">
        <f>WarehouseData[[#This Row],[stock_level]]*WarehouseData[[#This Row],[unit_price]]</f>
        <v>15824.16</v>
      </c>
      <c r="AC632">
        <f>WarehouseData[[#This Row],[stock_level]]*WarehouseData[[#This Row],[holding_cost_per_unit_day]]*30</f>
        <v>12384.9</v>
      </c>
      <c r="AD632" t="str">
        <f>IF(WarehouseData[[#This Row],[order_fulfillment_rate]]&gt;=0.9,"Strong",IF(WarehouseData[[#This Row],[order_fulfillment_rate]]&gt;=0.8,"Moderate","Needs Attention"))</f>
        <v>Strong</v>
      </c>
      <c r="AE632" t="str">
        <f>IF(WarehouseData[[#This Row],[picking_time_seconds]]&gt;120,"Slow",IF(WarehouseData[[#This Row],[picking_time_seconds]]&gt;=60,"Average","Fast"))</f>
        <v>Average</v>
      </c>
    </row>
    <row r="633" spans="1:31" x14ac:dyDescent="0.25">
      <c r="A633" t="s">
        <v>771</v>
      </c>
      <c r="B633" t="s">
        <v>73</v>
      </c>
      <c r="C633">
        <v>373</v>
      </c>
      <c r="D633">
        <v>22</v>
      </c>
      <c r="E633">
        <v>10</v>
      </c>
      <c r="F633">
        <v>9</v>
      </c>
      <c r="G633">
        <v>40.54</v>
      </c>
      <c r="H633">
        <v>7.62</v>
      </c>
      <c r="I633">
        <v>0.23</v>
      </c>
      <c r="J633" t="s">
        <v>477</v>
      </c>
      <c r="K633" t="s">
        <v>46</v>
      </c>
      <c r="L633">
        <v>124</v>
      </c>
      <c r="M633">
        <v>4.37</v>
      </c>
      <c r="N633">
        <v>171.29</v>
      </c>
      <c r="O633">
        <v>0.19</v>
      </c>
      <c r="P633">
        <v>4</v>
      </c>
      <c r="Q633">
        <v>0.92</v>
      </c>
      <c r="R633">
        <v>163</v>
      </c>
      <c r="S633">
        <v>11.13</v>
      </c>
      <c r="T633">
        <v>0.93</v>
      </c>
      <c r="U633" s="1">
        <v>45352</v>
      </c>
      <c r="V633">
        <v>183.9</v>
      </c>
      <c r="W633">
        <v>0.81899999999999995</v>
      </c>
      <c r="X633" t="str">
        <f>IF(WarehouseData[[#This Row],[stock_level]]&lt;=WarehouseData[[#This Row],[reorder_point]],"Low Stock","Sufficient Stock")</f>
        <v>Sufficient Stock</v>
      </c>
      <c r="Y633">
        <f>WarehouseData[[#This Row],[daily_demand]]*WarehouseData[[#This Row],[lead_time_days]]</f>
        <v>364.86</v>
      </c>
      <c r="Z633" t="str">
        <f>IF(WarehouseData[[#This Row],[stock_level]]&lt;=WarehouseData[[#This Row],[Demand During Lead Time]],"At Risk","Safe")</f>
        <v>Safe</v>
      </c>
      <c r="AA633">
        <f>WarehouseData[[#This Row],[stock_level]]/WarehouseData[[#This Row],[daily_demand]]</f>
        <v>9.2007893438579185</v>
      </c>
      <c r="AB633">
        <f>WarehouseData[[#This Row],[stock_level]]*WarehouseData[[#This Row],[unit_price]]</f>
        <v>63891.17</v>
      </c>
      <c r="AC633">
        <f>WarehouseData[[#This Row],[stock_level]]*WarehouseData[[#This Row],[holding_cost_per_unit_day]]*30</f>
        <v>2126.1000000000004</v>
      </c>
      <c r="AD633" t="str">
        <f>IF(WarehouseData[[#This Row],[order_fulfillment_rate]]&gt;=0.9,"Strong",IF(WarehouseData[[#This Row],[order_fulfillment_rate]]&gt;=0.8,"Moderate","Needs Attention"))</f>
        <v>Strong</v>
      </c>
      <c r="AE633" t="str">
        <f>IF(WarehouseData[[#This Row],[picking_time_seconds]]&gt;120,"Slow",IF(WarehouseData[[#This Row],[picking_time_seconds]]&gt;=60,"Average","Fast"))</f>
        <v>Slow</v>
      </c>
    </row>
    <row r="634" spans="1:31" x14ac:dyDescent="0.25">
      <c r="A634" t="s">
        <v>772</v>
      </c>
      <c r="B634" t="s">
        <v>32</v>
      </c>
      <c r="C634">
        <v>256</v>
      </c>
      <c r="D634">
        <v>10</v>
      </c>
      <c r="E634">
        <v>5</v>
      </c>
      <c r="F634">
        <v>8</v>
      </c>
      <c r="G634">
        <v>15.4</v>
      </c>
      <c r="H634">
        <v>1.18</v>
      </c>
      <c r="I634">
        <v>0.11</v>
      </c>
      <c r="J634" t="s">
        <v>259</v>
      </c>
      <c r="K634" t="s">
        <v>52</v>
      </c>
      <c r="L634">
        <v>37</v>
      </c>
      <c r="M634">
        <v>2.2200000000000002</v>
      </c>
      <c r="N634">
        <v>185.5</v>
      </c>
      <c r="O634">
        <v>0.21</v>
      </c>
      <c r="P634">
        <v>4</v>
      </c>
      <c r="Q634">
        <v>0.98</v>
      </c>
      <c r="R634">
        <v>292</v>
      </c>
      <c r="S634">
        <v>11.35</v>
      </c>
      <c r="T634">
        <v>0.87</v>
      </c>
      <c r="U634" s="1">
        <v>45413</v>
      </c>
      <c r="V634">
        <v>44.26</v>
      </c>
      <c r="W634">
        <v>0.82</v>
      </c>
      <c r="X634" t="str">
        <f>IF(WarehouseData[[#This Row],[stock_level]]&lt;=WarehouseData[[#This Row],[reorder_point]],"Low Stock","Sufficient Stock")</f>
        <v>Sufficient Stock</v>
      </c>
      <c r="Y634">
        <f>WarehouseData[[#This Row],[daily_demand]]*WarehouseData[[#This Row],[lead_time_days]]</f>
        <v>123.2</v>
      </c>
      <c r="Z634" t="str">
        <f>IF(WarehouseData[[#This Row],[stock_level]]&lt;=WarehouseData[[#This Row],[Demand During Lead Time]],"At Risk","Safe")</f>
        <v>Safe</v>
      </c>
      <c r="AA634">
        <f>WarehouseData[[#This Row],[stock_level]]/WarehouseData[[#This Row],[daily_demand]]</f>
        <v>16.623376623376622</v>
      </c>
      <c r="AB634">
        <f>WarehouseData[[#This Row],[stock_level]]*WarehouseData[[#This Row],[unit_price]]</f>
        <v>47488</v>
      </c>
      <c r="AC634">
        <f>WarehouseData[[#This Row],[stock_level]]*WarehouseData[[#This Row],[holding_cost_per_unit_day]]*30</f>
        <v>1612.8</v>
      </c>
      <c r="AD634" t="str">
        <f>IF(WarehouseData[[#This Row],[order_fulfillment_rate]]&gt;=0.9,"Strong",IF(WarehouseData[[#This Row],[order_fulfillment_rate]]&gt;=0.8,"Moderate","Needs Attention"))</f>
        <v>Strong</v>
      </c>
      <c r="AE634" t="str">
        <f>IF(WarehouseData[[#This Row],[picking_time_seconds]]&gt;120,"Slow",IF(WarehouseData[[#This Row],[picking_time_seconds]]&gt;=60,"Average","Fast"))</f>
        <v>Fast</v>
      </c>
    </row>
    <row r="635" spans="1:31" x14ac:dyDescent="0.25">
      <c r="A635" t="s">
        <v>773</v>
      </c>
      <c r="B635" t="s">
        <v>40</v>
      </c>
      <c r="C635">
        <v>444</v>
      </c>
      <c r="D635">
        <v>43</v>
      </c>
      <c r="E635">
        <v>3</v>
      </c>
      <c r="F635">
        <v>5</v>
      </c>
      <c r="G635">
        <v>13.44</v>
      </c>
      <c r="H635">
        <v>4.9400000000000004</v>
      </c>
      <c r="I635">
        <v>0.66</v>
      </c>
      <c r="J635" t="s">
        <v>163</v>
      </c>
      <c r="K635" t="s">
        <v>52</v>
      </c>
      <c r="L635">
        <v>29</v>
      </c>
      <c r="M635">
        <v>3.7</v>
      </c>
      <c r="N635">
        <v>143.03</v>
      </c>
      <c r="O635">
        <v>0.4</v>
      </c>
      <c r="P635">
        <v>3</v>
      </c>
      <c r="Q635">
        <v>0.77</v>
      </c>
      <c r="R635">
        <v>194</v>
      </c>
      <c r="S635">
        <v>3.5</v>
      </c>
      <c r="T635">
        <v>0.73</v>
      </c>
      <c r="U635" s="1">
        <v>45399</v>
      </c>
      <c r="V635">
        <v>226.11</v>
      </c>
      <c r="W635">
        <v>0.64700000000000002</v>
      </c>
      <c r="X635" t="str">
        <f>IF(WarehouseData[[#This Row],[stock_level]]&lt;=WarehouseData[[#This Row],[reorder_point]],"Low Stock","Sufficient Stock")</f>
        <v>Sufficient Stock</v>
      </c>
      <c r="Y635">
        <f>WarehouseData[[#This Row],[daily_demand]]*WarehouseData[[#This Row],[lead_time_days]]</f>
        <v>67.2</v>
      </c>
      <c r="Z635" t="str">
        <f>IF(WarehouseData[[#This Row],[stock_level]]&lt;=WarehouseData[[#This Row],[Demand During Lead Time]],"At Risk","Safe")</f>
        <v>Safe</v>
      </c>
      <c r="AA635">
        <f>WarehouseData[[#This Row],[stock_level]]/WarehouseData[[#This Row],[daily_demand]]</f>
        <v>33.035714285714285</v>
      </c>
      <c r="AB635">
        <f>WarehouseData[[#This Row],[stock_level]]*WarehouseData[[#This Row],[unit_price]]</f>
        <v>63505.32</v>
      </c>
      <c r="AC635">
        <f>WarehouseData[[#This Row],[stock_level]]*WarehouseData[[#This Row],[holding_cost_per_unit_day]]*30</f>
        <v>5328.0000000000009</v>
      </c>
      <c r="AD635" t="str">
        <f>IF(WarehouseData[[#This Row],[order_fulfillment_rate]]&gt;=0.9,"Strong",IF(WarehouseData[[#This Row],[order_fulfillment_rate]]&gt;=0.8,"Moderate","Needs Attention"))</f>
        <v>Needs Attention</v>
      </c>
      <c r="AE635" t="str">
        <f>IF(WarehouseData[[#This Row],[picking_time_seconds]]&gt;120,"Slow",IF(WarehouseData[[#This Row],[picking_time_seconds]]&gt;=60,"Average","Fast"))</f>
        <v>Fast</v>
      </c>
    </row>
    <row r="636" spans="1:31" x14ac:dyDescent="0.25">
      <c r="A636" t="s">
        <v>774</v>
      </c>
      <c r="B636" t="s">
        <v>73</v>
      </c>
      <c r="C636">
        <v>240</v>
      </c>
      <c r="D636">
        <v>71</v>
      </c>
      <c r="E636">
        <v>12</v>
      </c>
      <c r="F636">
        <v>6</v>
      </c>
      <c r="G636">
        <v>31.38</v>
      </c>
      <c r="H636">
        <v>2.17</v>
      </c>
      <c r="I636">
        <v>0.21</v>
      </c>
      <c r="J636" t="s">
        <v>33</v>
      </c>
      <c r="K636" t="s">
        <v>52</v>
      </c>
      <c r="L636">
        <v>130</v>
      </c>
      <c r="M636">
        <v>3.53</v>
      </c>
      <c r="N636">
        <v>15.7</v>
      </c>
      <c r="O636">
        <v>0.77</v>
      </c>
      <c r="P636">
        <v>2</v>
      </c>
      <c r="Q636">
        <v>0.86</v>
      </c>
      <c r="R636">
        <v>602</v>
      </c>
      <c r="S636">
        <v>6.76</v>
      </c>
      <c r="T636">
        <v>0.55000000000000004</v>
      </c>
      <c r="U636" s="1">
        <v>45593</v>
      </c>
      <c r="V636">
        <v>277.27999999999997</v>
      </c>
      <c r="W636">
        <v>0.65500000000000003</v>
      </c>
      <c r="X636" t="str">
        <f>IF(WarehouseData[[#This Row],[stock_level]]&lt;=WarehouseData[[#This Row],[reorder_point]],"Low Stock","Sufficient Stock")</f>
        <v>Sufficient Stock</v>
      </c>
      <c r="Y636">
        <f>WarehouseData[[#This Row],[daily_demand]]*WarehouseData[[#This Row],[lead_time_days]]</f>
        <v>188.28</v>
      </c>
      <c r="Z636" t="str">
        <f>IF(WarehouseData[[#This Row],[stock_level]]&lt;=WarehouseData[[#This Row],[Demand During Lead Time]],"At Risk","Safe")</f>
        <v>Safe</v>
      </c>
      <c r="AA636">
        <f>WarehouseData[[#This Row],[stock_level]]/WarehouseData[[#This Row],[daily_demand]]</f>
        <v>7.6481835564053542</v>
      </c>
      <c r="AB636">
        <f>WarehouseData[[#This Row],[stock_level]]*WarehouseData[[#This Row],[unit_price]]</f>
        <v>3768</v>
      </c>
      <c r="AC636">
        <f>WarehouseData[[#This Row],[stock_level]]*WarehouseData[[#This Row],[holding_cost_per_unit_day]]*30</f>
        <v>5544</v>
      </c>
      <c r="AD636" t="str">
        <f>IF(WarehouseData[[#This Row],[order_fulfillment_rate]]&gt;=0.9,"Strong",IF(WarehouseData[[#This Row],[order_fulfillment_rate]]&gt;=0.8,"Moderate","Needs Attention"))</f>
        <v>Moderate</v>
      </c>
      <c r="AE636" t="str">
        <f>IF(WarehouseData[[#This Row],[picking_time_seconds]]&gt;120,"Slow",IF(WarehouseData[[#This Row],[picking_time_seconds]]&gt;=60,"Average","Fast"))</f>
        <v>Slow</v>
      </c>
    </row>
    <row r="637" spans="1:31" x14ac:dyDescent="0.25">
      <c r="A637" t="s">
        <v>775</v>
      </c>
      <c r="B637" t="s">
        <v>73</v>
      </c>
      <c r="C637">
        <v>87</v>
      </c>
      <c r="D637">
        <v>88</v>
      </c>
      <c r="E637">
        <v>14</v>
      </c>
      <c r="F637">
        <v>6</v>
      </c>
      <c r="G637">
        <v>27.25</v>
      </c>
      <c r="H637">
        <v>1.84</v>
      </c>
      <c r="I637">
        <v>0.79</v>
      </c>
      <c r="J637" t="s">
        <v>150</v>
      </c>
      <c r="K637" t="s">
        <v>52</v>
      </c>
      <c r="L637">
        <v>106</v>
      </c>
      <c r="M637">
        <v>1.66</v>
      </c>
      <c r="N637">
        <v>159.38</v>
      </c>
      <c r="O637">
        <v>0.93</v>
      </c>
      <c r="P637">
        <v>7</v>
      </c>
      <c r="Q637">
        <v>0.8</v>
      </c>
      <c r="R637">
        <v>722</v>
      </c>
      <c r="S637">
        <v>12.56</v>
      </c>
      <c r="T637">
        <v>0.56999999999999995</v>
      </c>
      <c r="U637" s="1">
        <v>45644</v>
      </c>
      <c r="V637">
        <v>121.92</v>
      </c>
      <c r="W637">
        <v>0.60799999999999998</v>
      </c>
      <c r="X637" t="str">
        <f>IF(WarehouseData[[#This Row],[stock_level]]&lt;=WarehouseData[[#This Row],[reorder_point]],"Low Stock","Sufficient Stock")</f>
        <v>Low Stock</v>
      </c>
      <c r="Y637">
        <f>WarehouseData[[#This Row],[daily_demand]]*WarehouseData[[#This Row],[lead_time_days]]</f>
        <v>163.5</v>
      </c>
      <c r="Z637" t="str">
        <f>IF(WarehouseData[[#This Row],[stock_level]]&lt;=WarehouseData[[#This Row],[Demand During Lead Time]],"At Risk","Safe")</f>
        <v>At Risk</v>
      </c>
      <c r="AA637">
        <f>WarehouseData[[#This Row],[stock_level]]/WarehouseData[[#This Row],[daily_demand]]</f>
        <v>3.1926605504587156</v>
      </c>
      <c r="AB637">
        <f>WarehouseData[[#This Row],[stock_level]]*WarehouseData[[#This Row],[unit_price]]</f>
        <v>13866.06</v>
      </c>
      <c r="AC637">
        <f>WarehouseData[[#This Row],[stock_level]]*WarehouseData[[#This Row],[holding_cost_per_unit_day]]*30</f>
        <v>2427.3000000000002</v>
      </c>
      <c r="AD637" t="str">
        <f>IF(WarehouseData[[#This Row],[order_fulfillment_rate]]&gt;=0.9,"Strong",IF(WarehouseData[[#This Row],[order_fulfillment_rate]]&gt;=0.8,"Moderate","Needs Attention"))</f>
        <v>Moderate</v>
      </c>
      <c r="AE637" t="str">
        <f>IF(WarehouseData[[#This Row],[picking_time_seconds]]&gt;120,"Slow",IF(WarehouseData[[#This Row],[picking_time_seconds]]&gt;=60,"Average","Fast"))</f>
        <v>Average</v>
      </c>
    </row>
    <row r="638" spans="1:31" x14ac:dyDescent="0.25">
      <c r="A638" t="s">
        <v>776</v>
      </c>
      <c r="B638" t="s">
        <v>73</v>
      </c>
      <c r="C638">
        <v>216</v>
      </c>
      <c r="D638">
        <v>87</v>
      </c>
      <c r="E638">
        <v>7</v>
      </c>
      <c r="F638">
        <v>6</v>
      </c>
      <c r="G638">
        <v>3.95</v>
      </c>
      <c r="H638">
        <v>1.7</v>
      </c>
      <c r="I638">
        <v>0.88</v>
      </c>
      <c r="J638" t="s">
        <v>401</v>
      </c>
      <c r="K638" t="s">
        <v>38</v>
      </c>
      <c r="L638">
        <v>128</v>
      </c>
      <c r="M638">
        <v>4.63</v>
      </c>
      <c r="N638">
        <v>111.07</v>
      </c>
      <c r="O638">
        <v>1.0900000000000001</v>
      </c>
      <c r="P638">
        <v>5</v>
      </c>
      <c r="Q638">
        <v>0.85</v>
      </c>
      <c r="R638">
        <v>488</v>
      </c>
      <c r="S638">
        <v>2.11</v>
      </c>
      <c r="T638">
        <v>0.34</v>
      </c>
      <c r="U638" s="1">
        <v>45471</v>
      </c>
      <c r="V638">
        <v>163.18</v>
      </c>
      <c r="W638">
        <v>0.45700000000000002</v>
      </c>
      <c r="X638" t="str">
        <f>IF(WarehouseData[[#This Row],[stock_level]]&lt;=WarehouseData[[#This Row],[reorder_point]],"Low Stock","Sufficient Stock")</f>
        <v>Sufficient Stock</v>
      </c>
      <c r="Y638">
        <f>WarehouseData[[#This Row],[daily_demand]]*WarehouseData[[#This Row],[lead_time_days]]</f>
        <v>23.700000000000003</v>
      </c>
      <c r="Z638" t="str">
        <f>IF(WarehouseData[[#This Row],[stock_level]]&lt;=WarehouseData[[#This Row],[Demand During Lead Time]],"At Risk","Safe")</f>
        <v>Safe</v>
      </c>
      <c r="AA638">
        <f>WarehouseData[[#This Row],[stock_level]]/WarehouseData[[#This Row],[daily_demand]]</f>
        <v>54.683544303797468</v>
      </c>
      <c r="AB638">
        <f>WarehouseData[[#This Row],[stock_level]]*WarehouseData[[#This Row],[unit_price]]</f>
        <v>23991.119999999999</v>
      </c>
      <c r="AC638">
        <f>WarehouseData[[#This Row],[stock_level]]*WarehouseData[[#This Row],[holding_cost_per_unit_day]]*30</f>
        <v>7063.2000000000007</v>
      </c>
      <c r="AD638" t="str">
        <f>IF(WarehouseData[[#This Row],[order_fulfillment_rate]]&gt;=0.9,"Strong",IF(WarehouseData[[#This Row],[order_fulfillment_rate]]&gt;=0.8,"Moderate","Needs Attention"))</f>
        <v>Moderate</v>
      </c>
      <c r="AE638" t="str">
        <f>IF(WarehouseData[[#This Row],[picking_time_seconds]]&gt;120,"Slow",IF(WarehouseData[[#This Row],[picking_time_seconds]]&gt;=60,"Average","Fast"))</f>
        <v>Slow</v>
      </c>
    </row>
    <row r="639" spans="1:31" x14ac:dyDescent="0.25">
      <c r="A639" t="s">
        <v>777</v>
      </c>
      <c r="B639" t="s">
        <v>36</v>
      </c>
      <c r="C639">
        <v>275</v>
      </c>
      <c r="D639">
        <v>91</v>
      </c>
      <c r="E639">
        <v>4</v>
      </c>
      <c r="F639">
        <v>2</v>
      </c>
      <c r="G639">
        <v>4.99</v>
      </c>
      <c r="H639">
        <v>4.8</v>
      </c>
      <c r="I639">
        <v>0.95</v>
      </c>
      <c r="J639" t="s">
        <v>64</v>
      </c>
      <c r="K639" t="s">
        <v>46</v>
      </c>
      <c r="L639">
        <v>118</v>
      </c>
      <c r="M639">
        <v>3.04</v>
      </c>
      <c r="N639">
        <v>154.04</v>
      </c>
      <c r="O639">
        <v>1.99</v>
      </c>
      <c r="P639">
        <v>5</v>
      </c>
      <c r="Q639">
        <v>0.87</v>
      </c>
      <c r="R639">
        <v>387</v>
      </c>
      <c r="S639">
        <v>6.23</v>
      </c>
      <c r="T639">
        <v>0.82</v>
      </c>
      <c r="U639" s="1">
        <v>45655</v>
      </c>
      <c r="V639">
        <v>151.66999999999999</v>
      </c>
      <c r="W639">
        <v>0.52200000000000002</v>
      </c>
      <c r="X639" t="str">
        <f>IF(WarehouseData[[#This Row],[stock_level]]&lt;=WarehouseData[[#This Row],[reorder_point]],"Low Stock","Sufficient Stock")</f>
        <v>Sufficient Stock</v>
      </c>
      <c r="Y639">
        <f>WarehouseData[[#This Row],[daily_demand]]*WarehouseData[[#This Row],[lead_time_days]]</f>
        <v>9.98</v>
      </c>
      <c r="Z639" t="str">
        <f>IF(WarehouseData[[#This Row],[stock_level]]&lt;=WarehouseData[[#This Row],[Demand During Lead Time]],"At Risk","Safe")</f>
        <v>Safe</v>
      </c>
      <c r="AA639">
        <f>WarehouseData[[#This Row],[stock_level]]/WarehouseData[[#This Row],[daily_demand]]</f>
        <v>55.110220440881761</v>
      </c>
      <c r="AB639">
        <f>WarehouseData[[#This Row],[stock_level]]*WarehouseData[[#This Row],[unit_price]]</f>
        <v>42361</v>
      </c>
      <c r="AC639">
        <f>WarehouseData[[#This Row],[stock_level]]*WarehouseData[[#This Row],[holding_cost_per_unit_day]]*30</f>
        <v>16417.5</v>
      </c>
      <c r="AD639" t="str">
        <f>IF(WarehouseData[[#This Row],[order_fulfillment_rate]]&gt;=0.9,"Strong",IF(WarehouseData[[#This Row],[order_fulfillment_rate]]&gt;=0.8,"Moderate","Needs Attention"))</f>
        <v>Moderate</v>
      </c>
      <c r="AE639" t="str">
        <f>IF(WarehouseData[[#This Row],[picking_time_seconds]]&gt;120,"Slow",IF(WarehouseData[[#This Row],[picking_time_seconds]]&gt;=60,"Average","Fast"))</f>
        <v>Average</v>
      </c>
    </row>
    <row r="640" spans="1:31" x14ac:dyDescent="0.25">
      <c r="A640" t="s">
        <v>778</v>
      </c>
      <c r="B640" t="s">
        <v>32</v>
      </c>
      <c r="C640">
        <v>158</v>
      </c>
      <c r="D640">
        <v>80</v>
      </c>
      <c r="E640">
        <v>12</v>
      </c>
      <c r="F640">
        <v>9</v>
      </c>
      <c r="G640">
        <v>32.51</v>
      </c>
      <c r="H640">
        <v>5.4</v>
      </c>
      <c r="I640">
        <v>0.7</v>
      </c>
      <c r="J640" t="s">
        <v>263</v>
      </c>
      <c r="K640" t="s">
        <v>34</v>
      </c>
      <c r="L640">
        <v>35</v>
      </c>
      <c r="M640">
        <v>2.1</v>
      </c>
      <c r="N640">
        <v>93.09</v>
      </c>
      <c r="O640">
        <v>0.83</v>
      </c>
      <c r="P640">
        <v>1</v>
      </c>
      <c r="Q640">
        <v>0.71</v>
      </c>
      <c r="R640">
        <v>457</v>
      </c>
      <c r="S640">
        <v>10.02</v>
      </c>
      <c r="T640">
        <v>0.89</v>
      </c>
      <c r="U640" s="1">
        <v>45604</v>
      </c>
      <c r="V640">
        <v>237.76</v>
      </c>
      <c r="W640">
        <v>0.751</v>
      </c>
      <c r="X640" t="str">
        <f>IF(WarehouseData[[#This Row],[stock_level]]&lt;=WarehouseData[[#This Row],[reorder_point]],"Low Stock","Sufficient Stock")</f>
        <v>Sufficient Stock</v>
      </c>
      <c r="Y640">
        <f>WarehouseData[[#This Row],[daily_demand]]*WarehouseData[[#This Row],[lead_time_days]]</f>
        <v>292.58999999999997</v>
      </c>
      <c r="Z640" t="str">
        <f>IF(WarehouseData[[#This Row],[stock_level]]&lt;=WarehouseData[[#This Row],[Demand During Lead Time]],"At Risk","Safe")</f>
        <v>At Risk</v>
      </c>
      <c r="AA640">
        <f>WarehouseData[[#This Row],[stock_level]]/WarehouseData[[#This Row],[daily_demand]]</f>
        <v>4.8600430636727161</v>
      </c>
      <c r="AB640">
        <f>WarehouseData[[#This Row],[stock_level]]*WarehouseData[[#This Row],[unit_price]]</f>
        <v>14708.220000000001</v>
      </c>
      <c r="AC640">
        <f>WarehouseData[[#This Row],[stock_level]]*WarehouseData[[#This Row],[holding_cost_per_unit_day]]*30</f>
        <v>3934.2</v>
      </c>
      <c r="AD640" t="str">
        <f>IF(WarehouseData[[#This Row],[order_fulfillment_rate]]&gt;=0.9,"Strong",IF(WarehouseData[[#This Row],[order_fulfillment_rate]]&gt;=0.8,"Moderate","Needs Attention"))</f>
        <v>Needs Attention</v>
      </c>
      <c r="AE640" t="str">
        <f>IF(WarehouseData[[#This Row],[picking_time_seconds]]&gt;120,"Slow",IF(WarehouseData[[#This Row],[picking_time_seconds]]&gt;=60,"Average","Fast"))</f>
        <v>Fast</v>
      </c>
    </row>
    <row r="641" spans="1:31" x14ac:dyDescent="0.25">
      <c r="A641" t="s">
        <v>779</v>
      </c>
      <c r="B641" t="s">
        <v>36</v>
      </c>
      <c r="C641">
        <v>331</v>
      </c>
      <c r="D641">
        <v>40</v>
      </c>
      <c r="E641">
        <v>8</v>
      </c>
      <c r="F641">
        <v>6</v>
      </c>
      <c r="G641">
        <v>23.79</v>
      </c>
      <c r="H641">
        <v>1.77</v>
      </c>
      <c r="I641">
        <v>0.53</v>
      </c>
      <c r="J641" t="s">
        <v>340</v>
      </c>
      <c r="K641" t="s">
        <v>52</v>
      </c>
      <c r="L641">
        <v>156</v>
      </c>
      <c r="M641">
        <v>1.24</v>
      </c>
      <c r="N641">
        <v>17.84</v>
      </c>
      <c r="O641">
        <v>0.56000000000000005</v>
      </c>
      <c r="P641">
        <v>3</v>
      </c>
      <c r="Q641">
        <v>0.77</v>
      </c>
      <c r="R641">
        <v>638</v>
      </c>
      <c r="S641">
        <v>11.8</v>
      </c>
      <c r="T641">
        <v>0.86</v>
      </c>
      <c r="U641" s="1">
        <v>45615</v>
      </c>
      <c r="V641">
        <v>298.32</v>
      </c>
      <c r="W641">
        <v>0.76700000000000002</v>
      </c>
      <c r="X641" t="str">
        <f>IF(WarehouseData[[#This Row],[stock_level]]&lt;=WarehouseData[[#This Row],[reorder_point]],"Low Stock","Sufficient Stock")</f>
        <v>Sufficient Stock</v>
      </c>
      <c r="Y641">
        <f>WarehouseData[[#This Row],[daily_demand]]*WarehouseData[[#This Row],[lead_time_days]]</f>
        <v>142.74</v>
      </c>
      <c r="Z641" t="str">
        <f>IF(WarehouseData[[#This Row],[stock_level]]&lt;=WarehouseData[[#This Row],[Demand During Lead Time]],"At Risk","Safe")</f>
        <v>Safe</v>
      </c>
      <c r="AA641">
        <f>WarehouseData[[#This Row],[stock_level]]/WarehouseData[[#This Row],[daily_demand]]</f>
        <v>13.913408995376209</v>
      </c>
      <c r="AB641">
        <f>WarehouseData[[#This Row],[stock_level]]*WarehouseData[[#This Row],[unit_price]]</f>
        <v>5905.04</v>
      </c>
      <c r="AC641">
        <f>WarehouseData[[#This Row],[stock_level]]*WarehouseData[[#This Row],[holding_cost_per_unit_day]]*30</f>
        <v>5560.8</v>
      </c>
      <c r="AD641" t="str">
        <f>IF(WarehouseData[[#This Row],[order_fulfillment_rate]]&gt;=0.9,"Strong",IF(WarehouseData[[#This Row],[order_fulfillment_rate]]&gt;=0.8,"Moderate","Needs Attention"))</f>
        <v>Needs Attention</v>
      </c>
      <c r="AE641" t="str">
        <f>IF(WarehouseData[[#This Row],[picking_time_seconds]]&gt;120,"Slow",IF(WarehouseData[[#This Row],[picking_time_seconds]]&gt;=60,"Average","Fast"))</f>
        <v>Slow</v>
      </c>
    </row>
    <row r="642" spans="1:31" x14ac:dyDescent="0.25">
      <c r="A642" t="s">
        <v>780</v>
      </c>
      <c r="B642" t="s">
        <v>32</v>
      </c>
      <c r="C642">
        <v>454</v>
      </c>
      <c r="D642">
        <v>73</v>
      </c>
      <c r="E642">
        <v>12</v>
      </c>
      <c r="F642">
        <v>5</v>
      </c>
      <c r="G642">
        <v>48.58</v>
      </c>
      <c r="H642">
        <v>9.8000000000000007</v>
      </c>
      <c r="I642">
        <v>0.42</v>
      </c>
      <c r="J642" t="s">
        <v>59</v>
      </c>
      <c r="K642" t="s">
        <v>52</v>
      </c>
      <c r="L642">
        <v>115</v>
      </c>
      <c r="M642">
        <v>2.63</v>
      </c>
      <c r="N642">
        <v>139.53</v>
      </c>
      <c r="O642">
        <v>1.19</v>
      </c>
      <c r="P642">
        <v>4</v>
      </c>
      <c r="Q642">
        <v>0.91</v>
      </c>
      <c r="R642">
        <v>217</v>
      </c>
      <c r="S642">
        <v>10.14</v>
      </c>
      <c r="T642">
        <v>0.64</v>
      </c>
      <c r="U642" s="1">
        <v>45511</v>
      </c>
      <c r="V642">
        <v>223.35</v>
      </c>
      <c r="W642">
        <v>0.64600000000000002</v>
      </c>
      <c r="X642" t="str">
        <f>IF(WarehouseData[[#This Row],[stock_level]]&lt;=WarehouseData[[#This Row],[reorder_point]],"Low Stock","Sufficient Stock")</f>
        <v>Sufficient Stock</v>
      </c>
      <c r="Y642">
        <f>WarehouseData[[#This Row],[daily_demand]]*WarehouseData[[#This Row],[lead_time_days]]</f>
        <v>242.89999999999998</v>
      </c>
      <c r="Z642" t="str">
        <f>IF(WarehouseData[[#This Row],[stock_level]]&lt;=WarehouseData[[#This Row],[Demand During Lead Time]],"At Risk","Safe")</f>
        <v>Safe</v>
      </c>
      <c r="AA642">
        <f>WarehouseData[[#This Row],[stock_level]]/WarehouseData[[#This Row],[daily_demand]]</f>
        <v>9.3454096335940715</v>
      </c>
      <c r="AB642">
        <f>WarehouseData[[#This Row],[stock_level]]*WarehouseData[[#This Row],[unit_price]]</f>
        <v>63346.62</v>
      </c>
      <c r="AC642">
        <f>WarehouseData[[#This Row],[stock_level]]*WarehouseData[[#This Row],[holding_cost_per_unit_day]]*30</f>
        <v>16207.8</v>
      </c>
      <c r="AD642" t="str">
        <f>IF(WarehouseData[[#This Row],[order_fulfillment_rate]]&gt;=0.9,"Strong",IF(WarehouseData[[#This Row],[order_fulfillment_rate]]&gt;=0.8,"Moderate","Needs Attention"))</f>
        <v>Strong</v>
      </c>
      <c r="AE642" t="str">
        <f>IF(WarehouseData[[#This Row],[picking_time_seconds]]&gt;120,"Slow",IF(WarehouseData[[#This Row],[picking_time_seconds]]&gt;=60,"Average","Fast"))</f>
        <v>Average</v>
      </c>
    </row>
    <row r="643" spans="1:31" x14ac:dyDescent="0.25">
      <c r="A643" t="s">
        <v>781</v>
      </c>
      <c r="B643" t="s">
        <v>36</v>
      </c>
      <c r="C643">
        <v>168</v>
      </c>
      <c r="D643">
        <v>34</v>
      </c>
      <c r="E643">
        <v>11</v>
      </c>
      <c r="F643">
        <v>3</v>
      </c>
      <c r="G643">
        <v>34.25</v>
      </c>
      <c r="H643">
        <v>2.95</v>
      </c>
      <c r="I643">
        <v>0.54</v>
      </c>
      <c r="J643" t="s">
        <v>338</v>
      </c>
      <c r="K643" t="s">
        <v>52</v>
      </c>
      <c r="L643">
        <v>150</v>
      </c>
      <c r="M643">
        <v>3.79</v>
      </c>
      <c r="N643">
        <v>94.38</v>
      </c>
      <c r="O643">
        <v>0.51</v>
      </c>
      <c r="P643">
        <v>9</v>
      </c>
      <c r="Q643">
        <v>0.93</v>
      </c>
      <c r="R643">
        <v>845</v>
      </c>
      <c r="S643">
        <v>6.57</v>
      </c>
      <c r="T643">
        <v>0.87</v>
      </c>
      <c r="U643" s="1">
        <v>45376</v>
      </c>
      <c r="V643">
        <v>72.209999999999994</v>
      </c>
      <c r="W643">
        <v>0.61699999999999999</v>
      </c>
      <c r="X643" t="str">
        <f>IF(WarehouseData[[#This Row],[stock_level]]&lt;=WarehouseData[[#This Row],[reorder_point]],"Low Stock","Sufficient Stock")</f>
        <v>Sufficient Stock</v>
      </c>
      <c r="Y643">
        <f>WarehouseData[[#This Row],[daily_demand]]*WarehouseData[[#This Row],[lead_time_days]]</f>
        <v>102.75</v>
      </c>
      <c r="Z643" t="str">
        <f>IF(WarehouseData[[#This Row],[stock_level]]&lt;=WarehouseData[[#This Row],[Demand During Lead Time]],"At Risk","Safe")</f>
        <v>Safe</v>
      </c>
      <c r="AA643">
        <f>WarehouseData[[#This Row],[stock_level]]/WarehouseData[[#This Row],[daily_demand]]</f>
        <v>4.9051094890510951</v>
      </c>
      <c r="AB643">
        <f>WarehouseData[[#This Row],[stock_level]]*WarehouseData[[#This Row],[unit_price]]</f>
        <v>15855.84</v>
      </c>
      <c r="AC643">
        <f>WarehouseData[[#This Row],[stock_level]]*WarehouseData[[#This Row],[holding_cost_per_unit_day]]*30</f>
        <v>2570.4</v>
      </c>
      <c r="AD643" t="str">
        <f>IF(WarehouseData[[#This Row],[order_fulfillment_rate]]&gt;=0.9,"Strong",IF(WarehouseData[[#This Row],[order_fulfillment_rate]]&gt;=0.8,"Moderate","Needs Attention"))</f>
        <v>Strong</v>
      </c>
      <c r="AE643" t="str">
        <f>IF(WarehouseData[[#This Row],[picking_time_seconds]]&gt;120,"Slow",IF(WarehouseData[[#This Row],[picking_time_seconds]]&gt;=60,"Average","Fast"))</f>
        <v>Slow</v>
      </c>
    </row>
    <row r="644" spans="1:31" x14ac:dyDescent="0.25">
      <c r="A644" t="s">
        <v>782</v>
      </c>
      <c r="B644" t="s">
        <v>36</v>
      </c>
      <c r="C644">
        <v>118</v>
      </c>
      <c r="D644">
        <v>47</v>
      </c>
      <c r="E644">
        <v>3</v>
      </c>
      <c r="F644">
        <v>9</v>
      </c>
      <c r="G644">
        <v>1.49</v>
      </c>
      <c r="H644">
        <v>4.8600000000000003</v>
      </c>
      <c r="I644">
        <v>0.27</v>
      </c>
      <c r="J644" t="s">
        <v>51</v>
      </c>
      <c r="K644" t="s">
        <v>34</v>
      </c>
      <c r="L644">
        <v>71</v>
      </c>
      <c r="M644">
        <v>3.31</v>
      </c>
      <c r="N644">
        <v>176.07</v>
      </c>
      <c r="O644">
        <v>1.89</v>
      </c>
      <c r="P644">
        <v>4</v>
      </c>
      <c r="Q644">
        <v>0.87</v>
      </c>
      <c r="R644">
        <v>671</v>
      </c>
      <c r="S644">
        <v>14.89</v>
      </c>
      <c r="T644">
        <v>0.83</v>
      </c>
      <c r="U644" s="1">
        <v>45607</v>
      </c>
      <c r="V644">
        <v>211.86</v>
      </c>
      <c r="W644">
        <v>0.67</v>
      </c>
      <c r="X644" t="str">
        <f>IF(WarehouseData[[#This Row],[stock_level]]&lt;=WarehouseData[[#This Row],[reorder_point]],"Low Stock","Sufficient Stock")</f>
        <v>Sufficient Stock</v>
      </c>
      <c r="Y644">
        <f>WarehouseData[[#This Row],[daily_demand]]*WarehouseData[[#This Row],[lead_time_days]]</f>
        <v>13.41</v>
      </c>
      <c r="Z644" t="str">
        <f>IF(WarehouseData[[#This Row],[stock_level]]&lt;=WarehouseData[[#This Row],[Demand During Lead Time]],"At Risk","Safe")</f>
        <v>Safe</v>
      </c>
      <c r="AA644">
        <f>WarehouseData[[#This Row],[stock_level]]/WarehouseData[[#This Row],[daily_demand]]</f>
        <v>79.194630872483216</v>
      </c>
      <c r="AB644">
        <f>WarehouseData[[#This Row],[stock_level]]*WarehouseData[[#This Row],[unit_price]]</f>
        <v>20776.259999999998</v>
      </c>
      <c r="AC644">
        <f>WarehouseData[[#This Row],[stock_level]]*WarehouseData[[#This Row],[holding_cost_per_unit_day]]*30</f>
        <v>6690.5999999999995</v>
      </c>
      <c r="AD644" t="str">
        <f>IF(WarehouseData[[#This Row],[order_fulfillment_rate]]&gt;=0.9,"Strong",IF(WarehouseData[[#This Row],[order_fulfillment_rate]]&gt;=0.8,"Moderate","Needs Attention"))</f>
        <v>Moderate</v>
      </c>
      <c r="AE644" t="str">
        <f>IF(WarehouseData[[#This Row],[picking_time_seconds]]&gt;120,"Slow",IF(WarehouseData[[#This Row],[picking_time_seconds]]&gt;=60,"Average","Fast"))</f>
        <v>Average</v>
      </c>
    </row>
    <row r="645" spans="1:31" x14ac:dyDescent="0.25">
      <c r="A645" t="s">
        <v>783</v>
      </c>
      <c r="B645" t="s">
        <v>40</v>
      </c>
      <c r="C645">
        <v>95</v>
      </c>
      <c r="D645">
        <v>23</v>
      </c>
      <c r="E645">
        <v>6</v>
      </c>
      <c r="F645">
        <v>6</v>
      </c>
      <c r="G645">
        <v>24.57</v>
      </c>
      <c r="H645">
        <v>2.5499999999999998</v>
      </c>
      <c r="I645">
        <v>0.41</v>
      </c>
      <c r="J645" t="s">
        <v>86</v>
      </c>
      <c r="K645" t="s">
        <v>46</v>
      </c>
      <c r="L645">
        <v>135</v>
      </c>
      <c r="M645">
        <v>3.77</v>
      </c>
      <c r="N645">
        <v>150.25</v>
      </c>
      <c r="O645">
        <v>0.59</v>
      </c>
      <c r="P645">
        <v>2</v>
      </c>
      <c r="Q645">
        <v>0.78</v>
      </c>
      <c r="R645">
        <v>756</v>
      </c>
      <c r="S645">
        <v>1.58</v>
      </c>
      <c r="T645">
        <v>0.87</v>
      </c>
      <c r="U645" s="1">
        <v>45363</v>
      </c>
      <c r="V645">
        <v>188.57</v>
      </c>
      <c r="W645">
        <v>0.65200000000000002</v>
      </c>
      <c r="X645" t="str">
        <f>IF(WarehouseData[[#This Row],[stock_level]]&lt;=WarehouseData[[#This Row],[reorder_point]],"Low Stock","Sufficient Stock")</f>
        <v>Sufficient Stock</v>
      </c>
      <c r="Y645">
        <f>WarehouseData[[#This Row],[daily_demand]]*WarehouseData[[#This Row],[lead_time_days]]</f>
        <v>147.42000000000002</v>
      </c>
      <c r="Z645" t="str">
        <f>IF(WarehouseData[[#This Row],[stock_level]]&lt;=WarehouseData[[#This Row],[Demand During Lead Time]],"At Risk","Safe")</f>
        <v>At Risk</v>
      </c>
      <c r="AA645">
        <f>WarehouseData[[#This Row],[stock_level]]/WarehouseData[[#This Row],[daily_demand]]</f>
        <v>3.8665038665038662</v>
      </c>
      <c r="AB645">
        <f>WarehouseData[[#This Row],[stock_level]]*WarehouseData[[#This Row],[unit_price]]</f>
        <v>14273.75</v>
      </c>
      <c r="AC645">
        <f>WarehouseData[[#This Row],[stock_level]]*WarehouseData[[#This Row],[holding_cost_per_unit_day]]*30</f>
        <v>1681.5</v>
      </c>
      <c r="AD645" t="str">
        <f>IF(WarehouseData[[#This Row],[order_fulfillment_rate]]&gt;=0.9,"Strong",IF(WarehouseData[[#This Row],[order_fulfillment_rate]]&gt;=0.8,"Moderate","Needs Attention"))</f>
        <v>Needs Attention</v>
      </c>
      <c r="AE645" t="str">
        <f>IF(WarehouseData[[#This Row],[picking_time_seconds]]&gt;120,"Slow",IF(WarehouseData[[#This Row],[picking_time_seconds]]&gt;=60,"Average","Fast"))</f>
        <v>Slow</v>
      </c>
    </row>
    <row r="646" spans="1:31" x14ac:dyDescent="0.25">
      <c r="A646" t="s">
        <v>784</v>
      </c>
      <c r="B646" t="s">
        <v>36</v>
      </c>
      <c r="C646">
        <v>301</v>
      </c>
      <c r="D646">
        <v>17</v>
      </c>
      <c r="E646">
        <v>3</v>
      </c>
      <c r="F646">
        <v>3</v>
      </c>
      <c r="G646">
        <v>21.31</v>
      </c>
      <c r="H646">
        <v>5.19</v>
      </c>
      <c r="I646">
        <v>0.75</v>
      </c>
      <c r="J646" t="s">
        <v>240</v>
      </c>
      <c r="K646" t="s">
        <v>46</v>
      </c>
      <c r="L646">
        <v>151</v>
      </c>
      <c r="M646">
        <v>4.0599999999999996</v>
      </c>
      <c r="N646">
        <v>78.319999999999993</v>
      </c>
      <c r="O646">
        <v>1.98</v>
      </c>
      <c r="P646">
        <v>9</v>
      </c>
      <c r="Q646">
        <v>0.82</v>
      </c>
      <c r="R646">
        <v>789</v>
      </c>
      <c r="S646">
        <v>7.93</v>
      </c>
      <c r="T646">
        <v>0.99</v>
      </c>
      <c r="U646" s="1">
        <v>45397</v>
      </c>
      <c r="V646">
        <v>70.930000000000007</v>
      </c>
      <c r="W646">
        <v>0.49</v>
      </c>
      <c r="X646" t="str">
        <f>IF(WarehouseData[[#This Row],[stock_level]]&lt;=WarehouseData[[#This Row],[reorder_point]],"Low Stock","Sufficient Stock")</f>
        <v>Sufficient Stock</v>
      </c>
      <c r="Y646">
        <f>WarehouseData[[#This Row],[daily_demand]]*WarehouseData[[#This Row],[lead_time_days]]</f>
        <v>63.929999999999993</v>
      </c>
      <c r="Z646" t="str">
        <f>IF(WarehouseData[[#This Row],[stock_level]]&lt;=WarehouseData[[#This Row],[Demand During Lead Time]],"At Risk","Safe")</f>
        <v>Safe</v>
      </c>
      <c r="AA646">
        <f>WarehouseData[[#This Row],[stock_level]]/WarehouseData[[#This Row],[daily_demand]]</f>
        <v>14.124824026278743</v>
      </c>
      <c r="AB646">
        <f>WarehouseData[[#This Row],[stock_level]]*WarehouseData[[#This Row],[unit_price]]</f>
        <v>23574.32</v>
      </c>
      <c r="AC646">
        <f>WarehouseData[[#This Row],[stock_level]]*WarehouseData[[#This Row],[holding_cost_per_unit_day]]*30</f>
        <v>17879.400000000001</v>
      </c>
      <c r="AD646" t="str">
        <f>IF(WarehouseData[[#This Row],[order_fulfillment_rate]]&gt;=0.9,"Strong",IF(WarehouseData[[#This Row],[order_fulfillment_rate]]&gt;=0.8,"Moderate","Needs Attention"))</f>
        <v>Moderate</v>
      </c>
      <c r="AE646" t="str">
        <f>IF(WarehouseData[[#This Row],[picking_time_seconds]]&gt;120,"Slow",IF(WarehouseData[[#This Row],[picking_time_seconds]]&gt;=60,"Average","Fast"))</f>
        <v>Slow</v>
      </c>
    </row>
    <row r="647" spans="1:31" x14ac:dyDescent="0.25">
      <c r="A647" t="s">
        <v>785</v>
      </c>
      <c r="B647" t="s">
        <v>48</v>
      </c>
      <c r="C647">
        <v>390</v>
      </c>
      <c r="D647">
        <v>63</v>
      </c>
      <c r="E647">
        <v>3</v>
      </c>
      <c r="F647">
        <v>8</v>
      </c>
      <c r="G647">
        <v>6.23</v>
      </c>
      <c r="H647">
        <v>7.68</v>
      </c>
      <c r="I647">
        <v>0.3</v>
      </c>
      <c r="J647" t="s">
        <v>41</v>
      </c>
      <c r="K647" t="s">
        <v>52</v>
      </c>
      <c r="L647">
        <v>148</v>
      </c>
      <c r="M647">
        <v>2.48</v>
      </c>
      <c r="N647">
        <v>147.58000000000001</v>
      </c>
      <c r="O647">
        <v>0.9</v>
      </c>
      <c r="P647">
        <v>4</v>
      </c>
      <c r="Q647">
        <v>0.73</v>
      </c>
      <c r="R647">
        <v>216</v>
      </c>
      <c r="S647">
        <v>8.14</v>
      </c>
      <c r="T647">
        <v>0.85</v>
      </c>
      <c r="U647" s="1">
        <v>45397</v>
      </c>
      <c r="V647">
        <v>79.88</v>
      </c>
      <c r="W647">
        <v>0.65500000000000003</v>
      </c>
      <c r="X647" t="str">
        <f>IF(WarehouseData[[#This Row],[stock_level]]&lt;=WarehouseData[[#This Row],[reorder_point]],"Low Stock","Sufficient Stock")</f>
        <v>Sufficient Stock</v>
      </c>
      <c r="Y647">
        <f>WarehouseData[[#This Row],[daily_demand]]*WarehouseData[[#This Row],[lead_time_days]]</f>
        <v>49.84</v>
      </c>
      <c r="Z647" t="str">
        <f>IF(WarehouseData[[#This Row],[stock_level]]&lt;=WarehouseData[[#This Row],[Demand During Lead Time]],"At Risk","Safe")</f>
        <v>Safe</v>
      </c>
      <c r="AA647">
        <f>WarehouseData[[#This Row],[stock_level]]/WarehouseData[[#This Row],[daily_demand]]</f>
        <v>62.600321027287315</v>
      </c>
      <c r="AB647">
        <f>WarehouseData[[#This Row],[stock_level]]*WarehouseData[[#This Row],[unit_price]]</f>
        <v>57556.200000000004</v>
      </c>
      <c r="AC647">
        <f>WarehouseData[[#This Row],[stock_level]]*WarehouseData[[#This Row],[holding_cost_per_unit_day]]*30</f>
        <v>10530</v>
      </c>
      <c r="AD647" t="str">
        <f>IF(WarehouseData[[#This Row],[order_fulfillment_rate]]&gt;=0.9,"Strong",IF(WarehouseData[[#This Row],[order_fulfillment_rate]]&gt;=0.8,"Moderate","Needs Attention"))</f>
        <v>Needs Attention</v>
      </c>
      <c r="AE647" t="str">
        <f>IF(WarehouseData[[#This Row],[picking_time_seconds]]&gt;120,"Slow",IF(WarehouseData[[#This Row],[picking_time_seconds]]&gt;=60,"Average","Fast"))</f>
        <v>Slow</v>
      </c>
    </row>
    <row r="648" spans="1:31" x14ac:dyDescent="0.25">
      <c r="A648" t="s">
        <v>786</v>
      </c>
      <c r="B648" t="s">
        <v>40</v>
      </c>
      <c r="C648">
        <v>422</v>
      </c>
      <c r="D648">
        <v>11</v>
      </c>
      <c r="E648">
        <v>10</v>
      </c>
      <c r="F648">
        <v>5</v>
      </c>
      <c r="G648">
        <v>46.24</v>
      </c>
      <c r="H648">
        <v>5.45</v>
      </c>
      <c r="I648">
        <v>0.34</v>
      </c>
      <c r="J648" t="s">
        <v>131</v>
      </c>
      <c r="K648" t="s">
        <v>52</v>
      </c>
      <c r="L648">
        <v>76</v>
      </c>
      <c r="M648">
        <v>2.84</v>
      </c>
      <c r="N648">
        <v>104.09</v>
      </c>
      <c r="O648">
        <v>1.64</v>
      </c>
      <c r="P648">
        <v>4</v>
      </c>
      <c r="Q648">
        <v>0.99</v>
      </c>
      <c r="R648">
        <v>582</v>
      </c>
      <c r="S648">
        <v>4.3600000000000003</v>
      </c>
      <c r="T648">
        <v>0.42</v>
      </c>
      <c r="U648" s="1">
        <v>45322</v>
      </c>
      <c r="V648">
        <v>199.31</v>
      </c>
      <c r="W648">
        <v>0.496</v>
      </c>
      <c r="X648" t="str">
        <f>IF(WarehouseData[[#This Row],[stock_level]]&lt;=WarehouseData[[#This Row],[reorder_point]],"Low Stock","Sufficient Stock")</f>
        <v>Sufficient Stock</v>
      </c>
      <c r="Y648">
        <f>WarehouseData[[#This Row],[daily_demand]]*WarehouseData[[#This Row],[lead_time_days]]</f>
        <v>231.20000000000002</v>
      </c>
      <c r="Z648" t="str">
        <f>IF(WarehouseData[[#This Row],[stock_level]]&lt;=WarehouseData[[#This Row],[Demand During Lead Time]],"At Risk","Safe")</f>
        <v>Safe</v>
      </c>
      <c r="AA648">
        <f>WarehouseData[[#This Row],[stock_level]]/WarehouseData[[#This Row],[daily_demand]]</f>
        <v>9.1262975778546718</v>
      </c>
      <c r="AB648">
        <f>WarehouseData[[#This Row],[stock_level]]*WarehouseData[[#This Row],[unit_price]]</f>
        <v>43925.98</v>
      </c>
      <c r="AC648">
        <f>WarehouseData[[#This Row],[stock_level]]*WarehouseData[[#This Row],[holding_cost_per_unit_day]]*30</f>
        <v>20762.399999999998</v>
      </c>
      <c r="AD648" t="str">
        <f>IF(WarehouseData[[#This Row],[order_fulfillment_rate]]&gt;=0.9,"Strong",IF(WarehouseData[[#This Row],[order_fulfillment_rate]]&gt;=0.8,"Moderate","Needs Attention"))</f>
        <v>Strong</v>
      </c>
      <c r="AE648" t="str">
        <f>IF(WarehouseData[[#This Row],[picking_time_seconds]]&gt;120,"Slow",IF(WarehouseData[[#This Row],[picking_time_seconds]]&gt;=60,"Average","Fast"))</f>
        <v>Average</v>
      </c>
    </row>
    <row r="649" spans="1:31" x14ac:dyDescent="0.25">
      <c r="A649" t="s">
        <v>787</v>
      </c>
      <c r="B649" t="s">
        <v>36</v>
      </c>
      <c r="C649">
        <v>128</v>
      </c>
      <c r="D649">
        <v>90</v>
      </c>
      <c r="E649">
        <v>13</v>
      </c>
      <c r="F649">
        <v>6</v>
      </c>
      <c r="G649">
        <v>40.450000000000003</v>
      </c>
      <c r="H649">
        <v>3.21</v>
      </c>
      <c r="I649">
        <v>0.77</v>
      </c>
      <c r="J649" t="s">
        <v>49</v>
      </c>
      <c r="K649" t="s">
        <v>46</v>
      </c>
      <c r="L649">
        <v>21</v>
      </c>
      <c r="M649">
        <v>4.9400000000000004</v>
      </c>
      <c r="N649">
        <v>47.89</v>
      </c>
      <c r="O649">
        <v>1.33</v>
      </c>
      <c r="P649">
        <v>1</v>
      </c>
      <c r="Q649">
        <v>0.96</v>
      </c>
      <c r="R649">
        <v>214</v>
      </c>
      <c r="S649">
        <v>8.82</v>
      </c>
      <c r="T649">
        <v>0.86</v>
      </c>
      <c r="U649" s="1">
        <v>45583</v>
      </c>
      <c r="V649">
        <v>244.27</v>
      </c>
      <c r="W649">
        <v>0.72899999999999998</v>
      </c>
      <c r="X649" t="str">
        <f>IF(WarehouseData[[#This Row],[stock_level]]&lt;=WarehouseData[[#This Row],[reorder_point]],"Low Stock","Sufficient Stock")</f>
        <v>Sufficient Stock</v>
      </c>
      <c r="Y649">
        <f>WarehouseData[[#This Row],[daily_demand]]*WarehouseData[[#This Row],[lead_time_days]]</f>
        <v>242.70000000000002</v>
      </c>
      <c r="Z649" t="str">
        <f>IF(WarehouseData[[#This Row],[stock_level]]&lt;=WarehouseData[[#This Row],[Demand During Lead Time]],"At Risk","Safe")</f>
        <v>At Risk</v>
      </c>
      <c r="AA649">
        <f>WarehouseData[[#This Row],[stock_level]]/WarehouseData[[#This Row],[daily_demand]]</f>
        <v>3.1644004944375772</v>
      </c>
      <c r="AB649">
        <f>WarehouseData[[#This Row],[stock_level]]*WarehouseData[[#This Row],[unit_price]]</f>
        <v>6129.92</v>
      </c>
      <c r="AC649">
        <f>WarehouseData[[#This Row],[stock_level]]*WarehouseData[[#This Row],[holding_cost_per_unit_day]]*30</f>
        <v>5107.2000000000007</v>
      </c>
      <c r="AD649" t="str">
        <f>IF(WarehouseData[[#This Row],[order_fulfillment_rate]]&gt;=0.9,"Strong",IF(WarehouseData[[#This Row],[order_fulfillment_rate]]&gt;=0.8,"Moderate","Needs Attention"))</f>
        <v>Strong</v>
      </c>
      <c r="AE649" t="str">
        <f>IF(WarehouseData[[#This Row],[picking_time_seconds]]&gt;120,"Slow",IF(WarehouseData[[#This Row],[picking_time_seconds]]&gt;=60,"Average","Fast"))</f>
        <v>Fast</v>
      </c>
    </row>
    <row r="650" spans="1:31" x14ac:dyDescent="0.25">
      <c r="A650" t="s">
        <v>788</v>
      </c>
      <c r="B650" t="s">
        <v>73</v>
      </c>
      <c r="C650">
        <v>207</v>
      </c>
      <c r="D650">
        <v>87</v>
      </c>
      <c r="E650">
        <v>4</v>
      </c>
      <c r="F650">
        <v>2</v>
      </c>
      <c r="G650">
        <v>12.27</v>
      </c>
      <c r="H650">
        <v>2.86</v>
      </c>
      <c r="I650">
        <v>0.26</v>
      </c>
      <c r="J650" t="s">
        <v>357</v>
      </c>
      <c r="K650" t="s">
        <v>34</v>
      </c>
      <c r="L650">
        <v>44</v>
      </c>
      <c r="M650">
        <v>4.8600000000000003</v>
      </c>
      <c r="N650">
        <v>89.78</v>
      </c>
      <c r="O650">
        <v>1.87</v>
      </c>
      <c r="P650">
        <v>4</v>
      </c>
      <c r="Q650">
        <v>0.72</v>
      </c>
      <c r="R650">
        <v>691</v>
      </c>
      <c r="S650">
        <v>4.08</v>
      </c>
      <c r="T650">
        <v>0.5</v>
      </c>
      <c r="U650" s="1">
        <v>45471</v>
      </c>
      <c r="V650">
        <v>231.1</v>
      </c>
      <c r="W650">
        <v>0.43099999999999999</v>
      </c>
      <c r="X650" t="str">
        <f>IF(WarehouseData[[#This Row],[stock_level]]&lt;=WarehouseData[[#This Row],[reorder_point]],"Low Stock","Sufficient Stock")</f>
        <v>Sufficient Stock</v>
      </c>
      <c r="Y650">
        <f>WarehouseData[[#This Row],[daily_demand]]*WarehouseData[[#This Row],[lead_time_days]]</f>
        <v>24.54</v>
      </c>
      <c r="Z650" t="str">
        <f>IF(WarehouseData[[#This Row],[stock_level]]&lt;=WarehouseData[[#This Row],[Demand During Lead Time]],"At Risk","Safe")</f>
        <v>Safe</v>
      </c>
      <c r="AA650">
        <f>WarehouseData[[#This Row],[stock_level]]/WarehouseData[[#This Row],[daily_demand]]</f>
        <v>16.87041564792176</v>
      </c>
      <c r="AB650">
        <f>WarehouseData[[#This Row],[stock_level]]*WarehouseData[[#This Row],[unit_price]]</f>
        <v>18584.46</v>
      </c>
      <c r="AC650">
        <f>WarehouseData[[#This Row],[stock_level]]*WarehouseData[[#This Row],[holding_cost_per_unit_day]]*30</f>
        <v>11612.7</v>
      </c>
      <c r="AD650" t="str">
        <f>IF(WarehouseData[[#This Row],[order_fulfillment_rate]]&gt;=0.9,"Strong",IF(WarehouseData[[#This Row],[order_fulfillment_rate]]&gt;=0.8,"Moderate","Needs Attention"))</f>
        <v>Needs Attention</v>
      </c>
      <c r="AE650" t="str">
        <f>IF(WarehouseData[[#This Row],[picking_time_seconds]]&gt;120,"Slow",IF(WarehouseData[[#This Row],[picking_time_seconds]]&gt;=60,"Average","Fast"))</f>
        <v>Fast</v>
      </c>
    </row>
    <row r="651" spans="1:31" x14ac:dyDescent="0.25">
      <c r="A651" t="s">
        <v>789</v>
      </c>
      <c r="B651" t="s">
        <v>48</v>
      </c>
      <c r="C651">
        <v>218</v>
      </c>
      <c r="D651">
        <v>98</v>
      </c>
      <c r="E651">
        <v>3</v>
      </c>
      <c r="F651">
        <v>2</v>
      </c>
      <c r="G651">
        <v>13.54</v>
      </c>
      <c r="H651">
        <v>7.71</v>
      </c>
      <c r="I651">
        <v>0.32</v>
      </c>
      <c r="J651" t="s">
        <v>565</v>
      </c>
      <c r="K651" t="s">
        <v>52</v>
      </c>
      <c r="L651">
        <v>119</v>
      </c>
      <c r="M651">
        <v>2.37</v>
      </c>
      <c r="N651">
        <v>52.29</v>
      </c>
      <c r="O651">
        <v>1.29</v>
      </c>
      <c r="P651">
        <v>2</v>
      </c>
      <c r="Q651">
        <v>0.75</v>
      </c>
      <c r="R651">
        <v>311</v>
      </c>
      <c r="S651">
        <v>7.21</v>
      </c>
      <c r="T651">
        <v>0.61</v>
      </c>
      <c r="U651" s="1">
        <v>45564</v>
      </c>
      <c r="V651">
        <v>185.86</v>
      </c>
      <c r="W651">
        <v>0.59899999999999998</v>
      </c>
      <c r="X651" t="str">
        <f>IF(WarehouseData[[#This Row],[stock_level]]&lt;=WarehouseData[[#This Row],[reorder_point]],"Low Stock","Sufficient Stock")</f>
        <v>Sufficient Stock</v>
      </c>
      <c r="Y651">
        <f>WarehouseData[[#This Row],[daily_demand]]*WarehouseData[[#This Row],[lead_time_days]]</f>
        <v>27.08</v>
      </c>
      <c r="Z651" t="str">
        <f>IF(WarehouseData[[#This Row],[stock_level]]&lt;=WarehouseData[[#This Row],[Demand During Lead Time]],"At Risk","Safe")</f>
        <v>Safe</v>
      </c>
      <c r="AA651">
        <f>WarehouseData[[#This Row],[stock_level]]/WarehouseData[[#This Row],[daily_demand]]</f>
        <v>16.100443131462335</v>
      </c>
      <c r="AB651">
        <f>WarehouseData[[#This Row],[stock_level]]*WarehouseData[[#This Row],[unit_price]]</f>
        <v>11399.22</v>
      </c>
      <c r="AC651">
        <f>WarehouseData[[#This Row],[stock_level]]*WarehouseData[[#This Row],[holding_cost_per_unit_day]]*30</f>
        <v>8436.6</v>
      </c>
      <c r="AD651" t="str">
        <f>IF(WarehouseData[[#This Row],[order_fulfillment_rate]]&gt;=0.9,"Strong",IF(WarehouseData[[#This Row],[order_fulfillment_rate]]&gt;=0.8,"Moderate","Needs Attention"))</f>
        <v>Needs Attention</v>
      </c>
      <c r="AE651" t="str">
        <f>IF(WarehouseData[[#This Row],[picking_time_seconds]]&gt;120,"Slow",IF(WarehouseData[[#This Row],[picking_time_seconds]]&gt;=60,"Average","Fast"))</f>
        <v>Average</v>
      </c>
    </row>
    <row r="652" spans="1:31" x14ac:dyDescent="0.25">
      <c r="A652" t="s">
        <v>790</v>
      </c>
      <c r="B652" t="s">
        <v>48</v>
      </c>
      <c r="C652">
        <v>322</v>
      </c>
      <c r="D652">
        <v>65</v>
      </c>
      <c r="E652">
        <v>13</v>
      </c>
      <c r="F652">
        <v>8</v>
      </c>
      <c r="G652">
        <v>2.57</v>
      </c>
      <c r="H652">
        <v>1.62</v>
      </c>
      <c r="I652">
        <v>0.12</v>
      </c>
      <c r="J652" t="s">
        <v>166</v>
      </c>
      <c r="K652" t="s">
        <v>34</v>
      </c>
      <c r="L652">
        <v>176</v>
      </c>
      <c r="M652">
        <v>3.58</v>
      </c>
      <c r="N652">
        <v>10.95</v>
      </c>
      <c r="O652">
        <v>1.2</v>
      </c>
      <c r="P652">
        <v>2</v>
      </c>
      <c r="Q652">
        <v>0.87</v>
      </c>
      <c r="R652">
        <v>613</v>
      </c>
      <c r="S652">
        <v>7.04</v>
      </c>
      <c r="T652">
        <v>0.84</v>
      </c>
      <c r="U652" s="1">
        <v>45435</v>
      </c>
      <c r="V652">
        <v>281.89</v>
      </c>
      <c r="W652">
        <v>0.67600000000000005</v>
      </c>
      <c r="X652" t="str">
        <f>IF(WarehouseData[[#This Row],[stock_level]]&lt;=WarehouseData[[#This Row],[reorder_point]],"Low Stock","Sufficient Stock")</f>
        <v>Sufficient Stock</v>
      </c>
      <c r="Y652">
        <f>WarehouseData[[#This Row],[daily_demand]]*WarehouseData[[#This Row],[lead_time_days]]</f>
        <v>20.56</v>
      </c>
      <c r="Z652" t="str">
        <f>IF(WarehouseData[[#This Row],[stock_level]]&lt;=WarehouseData[[#This Row],[Demand During Lead Time]],"At Risk","Safe")</f>
        <v>Safe</v>
      </c>
      <c r="AA652">
        <f>WarehouseData[[#This Row],[stock_level]]/WarehouseData[[#This Row],[daily_demand]]</f>
        <v>125.29182879377433</v>
      </c>
      <c r="AB652">
        <f>WarehouseData[[#This Row],[stock_level]]*WarehouseData[[#This Row],[unit_price]]</f>
        <v>3525.8999999999996</v>
      </c>
      <c r="AC652">
        <f>WarehouseData[[#This Row],[stock_level]]*WarehouseData[[#This Row],[holding_cost_per_unit_day]]*30</f>
        <v>11592</v>
      </c>
      <c r="AD652" t="str">
        <f>IF(WarehouseData[[#This Row],[order_fulfillment_rate]]&gt;=0.9,"Strong",IF(WarehouseData[[#This Row],[order_fulfillment_rate]]&gt;=0.8,"Moderate","Needs Attention"))</f>
        <v>Moderate</v>
      </c>
      <c r="AE652" t="str">
        <f>IF(WarehouseData[[#This Row],[picking_time_seconds]]&gt;120,"Slow",IF(WarehouseData[[#This Row],[picking_time_seconds]]&gt;=60,"Average","Fast"))</f>
        <v>Slow</v>
      </c>
    </row>
    <row r="653" spans="1:31" x14ac:dyDescent="0.25">
      <c r="A653" t="s">
        <v>791</v>
      </c>
      <c r="B653" t="s">
        <v>48</v>
      </c>
      <c r="C653">
        <v>346</v>
      </c>
      <c r="D653">
        <v>93</v>
      </c>
      <c r="E653">
        <v>10</v>
      </c>
      <c r="F653">
        <v>3</v>
      </c>
      <c r="G653">
        <v>15.54</v>
      </c>
      <c r="H653">
        <v>4.01</v>
      </c>
      <c r="I653">
        <v>0.75</v>
      </c>
      <c r="J653" t="s">
        <v>192</v>
      </c>
      <c r="K653" t="s">
        <v>34</v>
      </c>
      <c r="L653">
        <v>169</v>
      </c>
      <c r="M653">
        <v>1.7</v>
      </c>
      <c r="N653">
        <v>56.89</v>
      </c>
      <c r="O653">
        <v>1.34</v>
      </c>
      <c r="P653">
        <v>4</v>
      </c>
      <c r="Q653">
        <v>0.77</v>
      </c>
      <c r="R653">
        <v>310</v>
      </c>
      <c r="S653">
        <v>11.82</v>
      </c>
      <c r="T653">
        <v>0.45</v>
      </c>
      <c r="U653" s="1">
        <v>45597</v>
      </c>
      <c r="V653">
        <v>222</v>
      </c>
      <c r="W653">
        <v>0.58799999999999997</v>
      </c>
      <c r="X653" t="str">
        <f>IF(WarehouseData[[#This Row],[stock_level]]&lt;=WarehouseData[[#This Row],[reorder_point]],"Low Stock","Sufficient Stock")</f>
        <v>Sufficient Stock</v>
      </c>
      <c r="Y653">
        <f>WarehouseData[[#This Row],[daily_demand]]*WarehouseData[[#This Row],[lead_time_days]]</f>
        <v>46.62</v>
      </c>
      <c r="Z653" t="str">
        <f>IF(WarehouseData[[#This Row],[stock_level]]&lt;=WarehouseData[[#This Row],[Demand During Lead Time]],"At Risk","Safe")</f>
        <v>Safe</v>
      </c>
      <c r="AA653">
        <f>WarehouseData[[#This Row],[stock_level]]/WarehouseData[[#This Row],[daily_demand]]</f>
        <v>22.265122265122265</v>
      </c>
      <c r="AB653">
        <f>WarehouseData[[#This Row],[stock_level]]*WarehouseData[[#This Row],[unit_price]]</f>
        <v>19683.939999999999</v>
      </c>
      <c r="AC653">
        <f>WarehouseData[[#This Row],[stock_level]]*WarehouseData[[#This Row],[holding_cost_per_unit_day]]*30</f>
        <v>13909.2</v>
      </c>
      <c r="AD653" t="str">
        <f>IF(WarehouseData[[#This Row],[order_fulfillment_rate]]&gt;=0.9,"Strong",IF(WarehouseData[[#This Row],[order_fulfillment_rate]]&gt;=0.8,"Moderate","Needs Attention"))</f>
        <v>Needs Attention</v>
      </c>
      <c r="AE653" t="str">
        <f>IF(WarehouseData[[#This Row],[picking_time_seconds]]&gt;120,"Slow",IF(WarehouseData[[#This Row],[picking_time_seconds]]&gt;=60,"Average","Fast"))</f>
        <v>Slow</v>
      </c>
    </row>
    <row r="654" spans="1:31" x14ac:dyDescent="0.25">
      <c r="A654" t="s">
        <v>792</v>
      </c>
      <c r="B654" t="s">
        <v>40</v>
      </c>
      <c r="C654">
        <v>173</v>
      </c>
      <c r="D654">
        <v>94</v>
      </c>
      <c r="E654">
        <v>6</v>
      </c>
      <c r="F654">
        <v>7</v>
      </c>
      <c r="G654">
        <v>29.65</v>
      </c>
      <c r="H654">
        <v>1.94</v>
      </c>
      <c r="I654">
        <v>0.66</v>
      </c>
      <c r="J654" t="s">
        <v>135</v>
      </c>
      <c r="K654" t="s">
        <v>46</v>
      </c>
      <c r="L654">
        <v>23</v>
      </c>
      <c r="M654">
        <v>1.19</v>
      </c>
      <c r="N654">
        <v>49.81</v>
      </c>
      <c r="O654">
        <v>1.59</v>
      </c>
      <c r="P654">
        <v>8</v>
      </c>
      <c r="Q654">
        <v>0.98</v>
      </c>
      <c r="R654">
        <v>224</v>
      </c>
      <c r="S654">
        <v>14.2</v>
      </c>
      <c r="T654">
        <v>0.22</v>
      </c>
      <c r="U654" s="1">
        <v>45567</v>
      </c>
      <c r="V654">
        <v>167.16</v>
      </c>
      <c r="W654">
        <v>0.51</v>
      </c>
      <c r="X654" t="str">
        <f>IF(WarehouseData[[#This Row],[stock_level]]&lt;=WarehouseData[[#This Row],[reorder_point]],"Low Stock","Sufficient Stock")</f>
        <v>Sufficient Stock</v>
      </c>
      <c r="Y654">
        <f>WarehouseData[[#This Row],[daily_demand]]*WarehouseData[[#This Row],[lead_time_days]]</f>
        <v>207.54999999999998</v>
      </c>
      <c r="Z654" t="str">
        <f>IF(WarehouseData[[#This Row],[stock_level]]&lt;=WarehouseData[[#This Row],[Demand During Lead Time]],"At Risk","Safe")</f>
        <v>At Risk</v>
      </c>
      <c r="AA654">
        <f>WarehouseData[[#This Row],[stock_level]]/WarehouseData[[#This Row],[daily_demand]]</f>
        <v>5.8347386172006752</v>
      </c>
      <c r="AB654">
        <f>WarehouseData[[#This Row],[stock_level]]*WarehouseData[[#This Row],[unit_price]]</f>
        <v>8617.130000000001</v>
      </c>
      <c r="AC654">
        <f>WarehouseData[[#This Row],[stock_level]]*WarehouseData[[#This Row],[holding_cost_per_unit_day]]*30</f>
        <v>8252.1</v>
      </c>
      <c r="AD654" t="str">
        <f>IF(WarehouseData[[#This Row],[order_fulfillment_rate]]&gt;=0.9,"Strong",IF(WarehouseData[[#This Row],[order_fulfillment_rate]]&gt;=0.8,"Moderate","Needs Attention"))</f>
        <v>Strong</v>
      </c>
      <c r="AE654" t="str">
        <f>IF(WarehouseData[[#This Row],[picking_time_seconds]]&gt;120,"Slow",IF(WarehouseData[[#This Row],[picking_time_seconds]]&gt;=60,"Average","Fast"))</f>
        <v>Fast</v>
      </c>
    </row>
    <row r="655" spans="1:31" x14ac:dyDescent="0.25">
      <c r="A655" t="s">
        <v>793</v>
      </c>
      <c r="B655" t="s">
        <v>36</v>
      </c>
      <c r="C655">
        <v>59</v>
      </c>
      <c r="D655">
        <v>70</v>
      </c>
      <c r="E655">
        <v>5</v>
      </c>
      <c r="F655">
        <v>2</v>
      </c>
      <c r="G655">
        <v>21.62</v>
      </c>
      <c r="H655">
        <v>2.95</v>
      </c>
      <c r="I655">
        <v>0.72</v>
      </c>
      <c r="J655" t="s">
        <v>95</v>
      </c>
      <c r="K655" t="s">
        <v>52</v>
      </c>
      <c r="L655">
        <v>164</v>
      </c>
      <c r="M655">
        <v>3.96</v>
      </c>
      <c r="N655">
        <v>10.82</v>
      </c>
      <c r="O655">
        <v>1.81</v>
      </c>
      <c r="P655">
        <v>1</v>
      </c>
      <c r="Q655">
        <v>0.93</v>
      </c>
      <c r="R655">
        <v>860</v>
      </c>
      <c r="S655">
        <v>3.84</v>
      </c>
      <c r="T655">
        <v>0.77</v>
      </c>
      <c r="U655" s="1">
        <v>45378</v>
      </c>
      <c r="V655">
        <v>246.7</v>
      </c>
      <c r="W655">
        <v>0.59</v>
      </c>
      <c r="X655" t="str">
        <f>IF(WarehouseData[[#This Row],[stock_level]]&lt;=WarehouseData[[#This Row],[reorder_point]],"Low Stock","Sufficient Stock")</f>
        <v>Low Stock</v>
      </c>
      <c r="Y655">
        <f>WarehouseData[[#This Row],[daily_demand]]*WarehouseData[[#This Row],[lead_time_days]]</f>
        <v>43.24</v>
      </c>
      <c r="Z655" t="str">
        <f>IF(WarehouseData[[#This Row],[stock_level]]&lt;=WarehouseData[[#This Row],[Demand During Lead Time]],"At Risk","Safe")</f>
        <v>Safe</v>
      </c>
      <c r="AA655">
        <f>WarehouseData[[#This Row],[stock_level]]/WarehouseData[[#This Row],[daily_demand]]</f>
        <v>2.7289546716003699</v>
      </c>
      <c r="AB655">
        <f>WarehouseData[[#This Row],[stock_level]]*WarehouseData[[#This Row],[unit_price]]</f>
        <v>638.38</v>
      </c>
      <c r="AC655">
        <f>WarehouseData[[#This Row],[stock_level]]*WarehouseData[[#This Row],[holding_cost_per_unit_day]]*30</f>
        <v>3203.7000000000003</v>
      </c>
      <c r="AD655" t="str">
        <f>IF(WarehouseData[[#This Row],[order_fulfillment_rate]]&gt;=0.9,"Strong",IF(WarehouseData[[#This Row],[order_fulfillment_rate]]&gt;=0.8,"Moderate","Needs Attention"))</f>
        <v>Strong</v>
      </c>
      <c r="AE655" t="str">
        <f>IF(WarehouseData[[#This Row],[picking_time_seconds]]&gt;120,"Slow",IF(WarehouseData[[#This Row],[picking_time_seconds]]&gt;=60,"Average","Fast"))</f>
        <v>Slow</v>
      </c>
    </row>
    <row r="656" spans="1:31" x14ac:dyDescent="0.25">
      <c r="A656" t="s">
        <v>794</v>
      </c>
      <c r="B656" t="s">
        <v>36</v>
      </c>
      <c r="C656">
        <v>152</v>
      </c>
      <c r="D656">
        <v>31</v>
      </c>
      <c r="E656">
        <v>14</v>
      </c>
      <c r="F656">
        <v>9</v>
      </c>
      <c r="G656">
        <v>48.49</v>
      </c>
      <c r="H656">
        <v>1.95</v>
      </c>
      <c r="I656">
        <v>0.28999999999999998</v>
      </c>
      <c r="J656" t="s">
        <v>148</v>
      </c>
      <c r="K656" t="s">
        <v>38</v>
      </c>
      <c r="L656">
        <v>110</v>
      </c>
      <c r="M656">
        <v>2.46</v>
      </c>
      <c r="N656">
        <v>158.94999999999999</v>
      </c>
      <c r="O656">
        <v>0.61</v>
      </c>
      <c r="P656">
        <v>8</v>
      </c>
      <c r="Q656">
        <v>0.78</v>
      </c>
      <c r="R656">
        <v>145</v>
      </c>
      <c r="S656">
        <v>14.88</v>
      </c>
      <c r="T656">
        <v>0.92</v>
      </c>
      <c r="U656" s="1">
        <v>45457</v>
      </c>
      <c r="V656">
        <v>94.24</v>
      </c>
      <c r="W656">
        <v>0.71699999999999997</v>
      </c>
      <c r="X656" t="str">
        <f>IF(WarehouseData[[#This Row],[stock_level]]&lt;=WarehouseData[[#This Row],[reorder_point]],"Low Stock","Sufficient Stock")</f>
        <v>Sufficient Stock</v>
      </c>
      <c r="Y656">
        <f>WarehouseData[[#This Row],[daily_demand]]*WarehouseData[[#This Row],[lead_time_days]]</f>
        <v>436.41</v>
      </c>
      <c r="Z656" t="str">
        <f>IF(WarehouseData[[#This Row],[stock_level]]&lt;=WarehouseData[[#This Row],[Demand During Lead Time]],"At Risk","Safe")</f>
        <v>At Risk</v>
      </c>
      <c r="AA656">
        <f>WarehouseData[[#This Row],[stock_level]]/WarehouseData[[#This Row],[daily_demand]]</f>
        <v>3.1346669416374509</v>
      </c>
      <c r="AB656">
        <f>WarehouseData[[#This Row],[stock_level]]*WarehouseData[[#This Row],[unit_price]]</f>
        <v>24160.399999999998</v>
      </c>
      <c r="AC656">
        <f>WarehouseData[[#This Row],[stock_level]]*WarehouseData[[#This Row],[holding_cost_per_unit_day]]*30</f>
        <v>2781.6</v>
      </c>
      <c r="AD656" t="str">
        <f>IF(WarehouseData[[#This Row],[order_fulfillment_rate]]&gt;=0.9,"Strong",IF(WarehouseData[[#This Row],[order_fulfillment_rate]]&gt;=0.8,"Moderate","Needs Attention"))</f>
        <v>Needs Attention</v>
      </c>
      <c r="AE656" t="str">
        <f>IF(WarehouseData[[#This Row],[picking_time_seconds]]&gt;120,"Slow",IF(WarehouseData[[#This Row],[picking_time_seconds]]&gt;=60,"Average","Fast"))</f>
        <v>Average</v>
      </c>
    </row>
    <row r="657" spans="1:31" x14ac:dyDescent="0.25">
      <c r="A657" t="s">
        <v>795</v>
      </c>
      <c r="B657" t="s">
        <v>73</v>
      </c>
      <c r="C657">
        <v>424</v>
      </c>
      <c r="D657">
        <v>44</v>
      </c>
      <c r="E657">
        <v>6</v>
      </c>
      <c r="F657">
        <v>2</v>
      </c>
      <c r="G657">
        <v>3.75</v>
      </c>
      <c r="H657">
        <v>8.92</v>
      </c>
      <c r="I657">
        <v>0.72</v>
      </c>
      <c r="J657" t="s">
        <v>154</v>
      </c>
      <c r="K657" t="s">
        <v>46</v>
      </c>
      <c r="L657">
        <v>69</v>
      </c>
      <c r="M657">
        <v>1.3</v>
      </c>
      <c r="N657">
        <v>24.63</v>
      </c>
      <c r="O657">
        <v>0.48</v>
      </c>
      <c r="P657">
        <v>2</v>
      </c>
      <c r="Q657">
        <v>0.7</v>
      </c>
      <c r="R657">
        <v>406</v>
      </c>
      <c r="S657">
        <v>14.16</v>
      </c>
      <c r="T657">
        <v>0.94</v>
      </c>
      <c r="U657" s="1">
        <v>45652</v>
      </c>
      <c r="V657">
        <v>86.41</v>
      </c>
      <c r="W657">
        <v>0.82899999999999996</v>
      </c>
      <c r="X657" t="str">
        <f>IF(WarehouseData[[#This Row],[stock_level]]&lt;=WarehouseData[[#This Row],[reorder_point]],"Low Stock","Sufficient Stock")</f>
        <v>Sufficient Stock</v>
      </c>
      <c r="Y657">
        <f>WarehouseData[[#This Row],[daily_demand]]*WarehouseData[[#This Row],[lead_time_days]]</f>
        <v>7.5</v>
      </c>
      <c r="Z657" t="str">
        <f>IF(WarehouseData[[#This Row],[stock_level]]&lt;=WarehouseData[[#This Row],[Demand During Lead Time]],"At Risk","Safe")</f>
        <v>Safe</v>
      </c>
      <c r="AA657">
        <f>WarehouseData[[#This Row],[stock_level]]/WarehouseData[[#This Row],[daily_demand]]</f>
        <v>113.06666666666666</v>
      </c>
      <c r="AB657">
        <f>WarehouseData[[#This Row],[stock_level]]*WarehouseData[[#This Row],[unit_price]]</f>
        <v>10443.119999999999</v>
      </c>
      <c r="AC657">
        <f>WarehouseData[[#This Row],[stock_level]]*WarehouseData[[#This Row],[holding_cost_per_unit_day]]*30</f>
        <v>6105.5999999999995</v>
      </c>
      <c r="AD657" t="str">
        <f>IF(WarehouseData[[#This Row],[order_fulfillment_rate]]&gt;=0.9,"Strong",IF(WarehouseData[[#This Row],[order_fulfillment_rate]]&gt;=0.8,"Moderate","Needs Attention"))</f>
        <v>Needs Attention</v>
      </c>
      <c r="AE657" t="str">
        <f>IF(WarehouseData[[#This Row],[picking_time_seconds]]&gt;120,"Slow",IF(WarehouseData[[#This Row],[picking_time_seconds]]&gt;=60,"Average","Fast"))</f>
        <v>Average</v>
      </c>
    </row>
    <row r="658" spans="1:31" x14ac:dyDescent="0.25">
      <c r="A658" t="s">
        <v>796</v>
      </c>
      <c r="B658" t="s">
        <v>73</v>
      </c>
      <c r="C658">
        <v>481</v>
      </c>
      <c r="D658">
        <v>25</v>
      </c>
      <c r="E658">
        <v>13</v>
      </c>
      <c r="F658">
        <v>2</v>
      </c>
      <c r="G658">
        <v>29.98</v>
      </c>
      <c r="H658">
        <v>7.45</v>
      </c>
      <c r="I658">
        <v>0.64</v>
      </c>
      <c r="J658" t="s">
        <v>156</v>
      </c>
      <c r="K658" t="s">
        <v>46</v>
      </c>
      <c r="L658">
        <v>52</v>
      </c>
      <c r="M658">
        <v>3.91</v>
      </c>
      <c r="N658">
        <v>95.32</v>
      </c>
      <c r="O658">
        <v>0.17</v>
      </c>
      <c r="P658">
        <v>6</v>
      </c>
      <c r="Q658">
        <v>0.94</v>
      </c>
      <c r="R658">
        <v>419</v>
      </c>
      <c r="S658">
        <v>2.58</v>
      </c>
      <c r="T658">
        <v>0.84</v>
      </c>
      <c r="U658" s="1">
        <v>45441</v>
      </c>
      <c r="V658">
        <v>291.72000000000003</v>
      </c>
      <c r="W658">
        <v>0.65300000000000002</v>
      </c>
      <c r="X658" t="str">
        <f>IF(WarehouseData[[#This Row],[stock_level]]&lt;=WarehouseData[[#This Row],[reorder_point]],"Low Stock","Sufficient Stock")</f>
        <v>Sufficient Stock</v>
      </c>
      <c r="Y658">
        <f>WarehouseData[[#This Row],[daily_demand]]*WarehouseData[[#This Row],[lead_time_days]]</f>
        <v>59.96</v>
      </c>
      <c r="Z658" t="str">
        <f>IF(WarehouseData[[#This Row],[stock_level]]&lt;=WarehouseData[[#This Row],[Demand During Lead Time]],"At Risk","Safe")</f>
        <v>Safe</v>
      </c>
      <c r="AA658">
        <f>WarehouseData[[#This Row],[stock_level]]/WarehouseData[[#This Row],[daily_demand]]</f>
        <v>16.044029352901934</v>
      </c>
      <c r="AB658">
        <f>WarehouseData[[#This Row],[stock_level]]*WarehouseData[[#This Row],[unit_price]]</f>
        <v>45848.92</v>
      </c>
      <c r="AC658">
        <f>WarehouseData[[#This Row],[stock_level]]*WarehouseData[[#This Row],[holding_cost_per_unit_day]]*30</f>
        <v>2453.1000000000004</v>
      </c>
      <c r="AD658" t="str">
        <f>IF(WarehouseData[[#This Row],[order_fulfillment_rate]]&gt;=0.9,"Strong",IF(WarehouseData[[#This Row],[order_fulfillment_rate]]&gt;=0.8,"Moderate","Needs Attention"))</f>
        <v>Strong</v>
      </c>
      <c r="AE658" t="str">
        <f>IF(WarehouseData[[#This Row],[picking_time_seconds]]&gt;120,"Slow",IF(WarehouseData[[#This Row],[picking_time_seconds]]&gt;=60,"Average","Fast"))</f>
        <v>Fast</v>
      </c>
    </row>
    <row r="659" spans="1:31" x14ac:dyDescent="0.25">
      <c r="A659" t="s">
        <v>797</v>
      </c>
      <c r="B659" t="s">
        <v>48</v>
      </c>
      <c r="C659">
        <v>151</v>
      </c>
      <c r="D659">
        <v>59</v>
      </c>
      <c r="E659">
        <v>7</v>
      </c>
      <c r="F659">
        <v>5</v>
      </c>
      <c r="G659">
        <v>43.06</v>
      </c>
      <c r="H659">
        <v>5.83</v>
      </c>
      <c r="I659">
        <v>0.43</v>
      </c>
      <c r="J659" t="s">
        <v>88</v>
      </c>
      <c r="K659" t="s">
        <v>38</v>
      </c>
      <c r="L659">
        <v>64</v>
      </c>
      <c r="M659">
        <v>4.62</v>
      </c>
      <c r="N659">
        <v>89.4</v>
      </c>
      <c r="O659">
        <v>0.8</v>
      </c>
      <c r="P659">
        <v>0</v>
      </c>
      <c r="Q659">
        <v>0.83</v>
      </c>
      <c r="R659">
        <v>601</v>
      </c>
      <c r="S659">
        <v>13.77</v>
      </c>
      <c r="T659">
        <v>0.95</v>
      </c>
      <c r="U659" s="1">
        <v>45440</v>
      </c>
      <c r="V659">
        <v>285.45</v>
      </c>
      <c r="W659">
        <v>0.86</v>
      </c>
      <c r="X659" t="str">
        <f>IF(WarehouseData[[#This Row],[stock_level]]&lt;=WarehouseData[[#This Row],[reorder_point]],"Low Stock","Sufficient Stock")</f>
        <v>Sufficient Stock</v>
      </c>
      <c r="Y659">
        <f>WarehouseData[[#This Row],[daily_demand]]*WarehouseData[[#This Row],[lead_time_days]]</f>
        <v>215.3</v>
      </c>
      <c r="Z659" t="str">
        <f>IF(WarehouseData[[#This Row],[stock_level]]&lt;=WarehouseData[[#This Row],[Demand During Lead Time]],"At Risk","Safe")</f>
        <v>At Risk</v>
      </c>
      <c r="AA659">
        <f>WarehouseData[[#This Row],[stock_level]]/WarehouseData[[#This Row],[daily_demand]]</f>
        <v>3.506734788666976</v>
      </c>
      <c r="AB659">
        <f>WarehouseData[[#This Row],[stock_level]]*WarehouseData[[#This Row],[unit_price]]</f>
        <v>13499.400000000001</v>
      </c>
      <c r="AC659">
        <f>WarehouseData[[#This Row],[stock_level]]*WarehouseData[[#This Row],[holding_cost_per_unit_day]]*30</f>
        <v>3624.0000000000005</v>
      </c>
      <c r="AD659" t="str">
        <f>IF(WarehouseData[[#This Row],[order_fulfillment_rate]]&gt;=0.9,"Strong",IF(WarehouseData[[#This Row],[order_fulfillment_rate]]&gt;=0.8,"Moderate","Needs Attention"))</f>
        <v>Moderate</v>
      </c>
      <c r="AE659" t="str">
        <f>IF(WarehouseData[[#This Row],[picking_time_seconds]]&gt;120,"Slow",IF(WarehouseData[[#This Row],[picking_time_seconds]]&gt;=60,"Average","Fast"))</f>
        <v>Average</v>
      </c>
    </row>
    <row r="660" spans="1:31" x14ac:dyDescent="0.25">
      <c r="A660" t="s">
        <v>798</v>
      </c>
      <c r="B660" t="s">
        <v>73</v>
      </c>
      <c r="C660">
        <v>298</v>
      </c>
      <c r="D660">
        <v>52</v>
      </c>
      <c r="E660">
        <v>3</v>
      </c>
      <c r="F660">
        <v>2</v>
      </c>
      <c r="G660">
        <v>24.56</v>
      </c>
      <c r="H660">
        <v>2.63</v>
      </c>
      <c r="I660">
        <v>0.49</v>
      </c>
      <c r="J660" t="s">
        <v>92</v>
      </c>
      <c r="K660" t="s">
        <v>52</v>
      </c>
      <c r="L660">
        <v>118</v>
      </c>
      <c r="M660">
        <v>4.7</v>
      </c>
      <c r="N660">
        <v>44.47</v>
      </c>
      <c r="O660">
        <v>1.71</v>
      </c>
      <c r="P660">
        <v>0</v>
      </c>
      <c r="Q660">
        <v>0.89</v>
      </c>
      <c r="R660">
        <v>956</v>
      </c>
      <c r="S660">
        <v>8.9</v>
      </c>
      <c r="T660">
        <v>0.86</v>
      </c>
      <c r="U660" s="1">
        <v>45585</v>
      </c>
      <c r="V660">
        <v>265.35000000000002</v>
      </c>
      <c r="W660">
        <v>0.69799999999999995</v>
      </c>
      <c r="X660" t="str">
        <f>IF(WarehouseData[[#This Row],[stock_level]]&lt;=WarehouseData[[#This Row],[reorder_point]],"Low Stock","Sufficient Stock")</f>
        <v>Sufficient Stock</v>
      </c>
      <c r="Y660">
        <f>WarehouseData[[#This Row],[daily_demand]]*WarehouseData[[#This Row],[lead_time_days]]</f>
        <v>49.12</v>
      </c>
      <c r="Z660" t="str">
        <f>IF(WarehouseData[[#This Row],[stock_level]]&lt;=WarehouseData[[#This Row],[Demand During Lead Time]],"At Risk","Safe")</f>
        <v>Safe</v>
      </c>
      <c r="AA660">
        <f>WarehouseData[[#This Row],[stock_level]]/WarehouseData[[#This Row],[daily_demand]]</f>
        <v>12.133550488599349</v>
      </c>
      <c r="AB660">
        <f>WarehouseData[[#This Row],[stock_level]]*WarehouseData[[#This Row],[unit_price]]</f>
        <v>13252.06</v>
      </c>
      <c r="AC660">
        <f>WarehouseData[[#This Row],[stock_level]]*WarehouseData[[#This Row],[holding_cost_per_unit_day]]*30</f>
        <v>15287.4</v>
      </c>
      <c r="AD660" t="str">
        <f>IF(WarehouseData[[#This Row],[order_fulfillment_rate]]&gt;=0.9,"Strong",IF(WarehouseData[[#This Row],[order_fulfillment_rate]]&gt;=0.8,"Moderate","Needs Attention"))</f>
        <v>Moderate</v>
      </c>
      <c r="AE660" t="str">
        <f>IF(WarehouseData[[#This Row],[picking_time_seconds]]&gt;120,"Slow",IF(WarehouseData[[#This Row],[picking_time_seconds]]&gt;=60,"Average","Fast"))</f>
        <v>Average</v>
      </c>
    </row>
    <row r="661" spans="1:31" x14ac:dyDescent="0.25">
      <c r="A661" t="s">
        <v>799</v>
      </c>
      <c r="B661" t="s">
        <v>40</v>
      </c>
      <c r="C661">
        <v>381</v>
      </c>
      <c r="D661">
        <v>26</v>
      </c>
      <c r="E661">
        <v>13</v>
      </c>
      <c r="F661">
        <v>4</v>
      </c>
      <c r="G661">
        <v>1.1499999999999999</v>
      </c>
      <c r="H661">
        <v>5.35</v>
      </c>
      <c r="I661">
        <v>0.61</v>
      </c>
      <c r="J661" t="s">
        <v>276</v>
      </c>
      <c r="K661" t="s">
        <v>34</v>
      </c>
      <c r="L661">
        <v>102</v>
      </c>
      <c r="M661">
        <v>3.18</v>
      </c>
      <c r="N661">
        <v>193.71</v>
      </c>
      <c r="O661">
        <v>0.23</v>
      </c>
      <c r="P661">
        <v>7</v>
      </c>
      <c r="Q661">
        <v>0.79</v>
      </c>
      <c r="R661">
        <v>770</v>
      </c>
      <c r="S661">
        <v>13.31</v>
      </c>
      <c r="T661">
        <v>0.22</v>
      </c>
      <c r="U661" s="1">
        <v>45428</v>
      </c>
      <c r="V661">
        <v>72.17</v>
      </c>
      <c r="W661">
        <v>0.61599999999999999</v>
      </c>
      <c r="X661" t="str">
        <f>IF(WarehouseData[[#This Row],[stock_level]]&lt;=WarehouseData[[#This Row],[reorder_point]],"Low Stock","Sufficient Stock")</f>
        <v>Sufficient Stock</v>
      </c>
      <c r="Y661">
        <f>WarehouseData[[#This Row],[daily_demand]]*WarehouseData[[#This Row],[lead_time_days]]</f>
        <v>4.5999999999999996</v>
      </c>
      <c r="Z661" t="str">
        <f>IF(WarehouseData[[#This Row],[stock_level]]&lt;=WarehouseData[[#This Row],[Demand During Lead Time]],"At Risk","Safe")</f>
        <v>Safe</v>
      </c>
      <c r="AA661">
        <f>WarehouseData[[#This Row],[stock_level]]/WarehouseData[[#This Row],[daily_demand]]</f>
        <v>331.304347826087</v>
      </c>
      <c r="AB661">
        <f>WarehouseData[[#This Row],[stock_level]]*WarehouseData[[#This Row],[unit_price]]</f>
        <v>73803.510000000009</v>
      </c>
      <c r="AC661">
        <f>WarehouseData[[#This Row],[stock_level]]*WarehouseData[[#This Row],[holding_cost_per_unit_day]]*30</f>
        <v>2628.9</v>
      </c>
      <c r="AD661" t="str">
        <f>IF(WarehouseData[[#This Row],[order_fulfillment_rate]]&gt;=0.9,"Strong",IF(WarehouseData[[#This Row],[order_fulfillment_rate]]&gt;=0.8,"Moderate","Needs Attention"))</f>
        <v>Needs Attention</v>
      </c>
      <c r="AE661" t="str">
        <f>IF(WarehouseData[[#This Row],[picking_time_seconds]]&gt;120,"Slow",IF(WarehouseData[[#This Row],[picking_time_seconds]]&gt;=60,"Average","Fast"))</f>
        <v>Average</v>
      </c>
    </row>
    <row r="662" spans="1:31" x14ac:dyDescent="0.25">
      <c r="A662" t="s">
        <v>800</v>
      </c>
      <c r="B662" t="s">
        <v>36</v>
      </c>
      <c r="C662">
        <v>103</v>
      </c>
      <c r="D662">
        <v>89</v>
      </c>
      <c r="E662">
        <v>3</v>
      </c>
      <c r="F662">
        <v>6</v>
      </c>
      <c r="G662">
        <v>12.9</v>
      </c>
      <c r="H662">
        <v>5.45</v>
      </c>
      <c r="I662">
        <v>0.54</v>
      </c>
      <c r="J662" t="s">
        <v>234</v>
      </c>
      <c r="K662" t="s">
        <v>34</v>
      </c>
      <c r="L662">
        <v>172</v>
      </c>
      <c r="M662">
        <v>2.66</v>
      </c>
      <c r="N662">
        <v>124.71</v>
      </c>
      <c r="O662">
        <v>1.1200000000000001</v>
      </c>
      <c r="P662">
        <v>8</v>
      </c>
      <c r="Q662">
        <v>0.74</v>
      </c>
      <c r="R662">
        <v>191</v>
      </c>
      <c r="S662">
        <v>14.24</v>
      </c>
      <c r="T662">
        <v>0.48</v>
      </c>
      <c r="U662" s="1">
        <v>45555</v>
      </c>
      <c r="V662">
        <v>180.43</v>
      </c>
      <c r="W662">
        <v>0.56200000000000006</v>
      </c>
      <c r="X662" t="str">
        <f>IF(WarehouseData[[#This Row],[stock_level]]&lt;=WarehouseData[[#This Row],[reorder_point]],"Low Stock","Sufficient Stock")</f>
        <v>Sufficient Stock</v>
      </c>
      <c r="Y662">
        <f>WarehouseData[[#This Row],[daily_demand]]*WarehouseData[[#This Row],[lead_time_days]]</f>
        <v>77.400000000000006</v>
      </c>
      <c r="Z662" t="str">
        <f>IF(WarehouseData[[#This Row],[stock_level]]&lt;=WarehouseData[[#This Row],[Demand During Lead Time]],"At Risk","Safe")</f>
        <v>Safe</v>
      </c>
      <c r="AA662">
        <f>WarehouseData[[#This Row],[stock_level]]/WarehouseData[[#This Row],[daily_demand]]</f>
        <v>7.9844961240310077</v>
      </c>
      <c r="AB662">
        <f>WarehouseData[[#This Row],[stock_level]]*WarehouseData[[#This Row],[unit_price]]</f>
        <v>12845.13</v>
      </c>
      <c r="AC662">
        <f>WarehouseData[[#This Row],[stock_level]]*WarehouseData[[#This Row],[holding_cost_per_unit_day]]*30</f>
        <v>3460.8</v>
      </c>
      <c r="AD662" t="str">
        <f>IF(WarehouseData[[#This Row],[order_fulfillment_rate]]&gt;=0.9,"Strong",IF(WarehouseData[[#This Row],[order_fulfillment_rate]]&gt;=0.8,"Moderate","Needs Attention"))</f>
        <v>Needs Attention</v>
      </c>
      <c r="AE662" t="str">
        <f>IF(WarehouseData[[#This Row],[picking_time_seconds]]&gt;120,"Slow",IF(WarehouseData[[#This Row],[picking_time_seconds]]&gt;=60,"Average","Fast"))</f>
        <v>Slow</v>
      </c>
    </row>
    <row r="663" spans="1:31" x14ac:dyDescent="0.25">
      <c r="A663" t="s">
        <v>801</v>
      </c>
      <c r="B663" t="s">
        <v>48</v>
      </c>
      <c r="C663">
        <v>418</v>
      </c>
      <c r="D663">
        <v>67</v>
      </c>
      <c r="E663">
        <v>5</v>
      </c>
      <c r="F663">
        <v>8</v>
      </c>
      <c r="G663">
        <v>16.86</v>
      </c>
      <c r="H663">
        <v>6.11</v>
      </c>
      <c r="I663">
        <v>0.68</v>
      </c>
      <c r="J663" t="s">
        <v>223</v>
      </c>
      <c r="K663" t="s">
        <v>34</v>
      </c>
      <c r="L663">
        <v>104</v>
      </c>
      <c r="M663">
        <v>1.1399999999999999</v>
      </c>
      <c r="N663">
        <v>164.57</v>
      </c>
      <c r="O663">
        <v>1.42</v>
      </c>
      <c r="P663">
        <v>2</v>
      </c>
      <c r="Q663">
        <v>0.9</v>
      </c>
      <c r="R663">
        <v>819</v>
      </c>
      <c r="S663">
        <v>13.02</v>
      </c>
      <c r="T663">
        <v>0.47</v>
      </c>
      <c r="U663" s="1">
        <v>45639</v>
      </c>
      <c r="V663">
        <v>165.16</v>
      </c>
      <c r="W663">
        <v>0.66600000000000004</v>
      </c>
      <c r="X663" t="str">
        <f>IF(WarehouseData[[#This Row],[stock_level]]&lt;=WarehouseData[[#This Row],[reorder_point]],"Low Stock","Sufficient Stock")</f>
        <v>Sufficient Stock</v>
      </c>
      <c r="Y663">
        <f>WarehouseData[[#This Row],[daily_demand]]*WarehouseData[[#This Row],[lead_time_days]]</f>
        <v>134.88</v>
      </c>
      <c r="Z663" t="str">
        <f>IF(WarehouseData[[#This Row],[stock_level]]&lt;=WarehouseData[[#This Row],[Demand During Lead Time]],"At Risk","Safe")</f>
        <v>Safe</v>
      </c>
      <c r="AA663">
        <f>WarehouseData[[#This Row],[stock_level]]/WarehouseData[[#This Row],[daily_demand]]</f>
        <v>24.79240806642942</v>
      </c>
      <c r="AB663">
        <f>WarehouseData[[#This Row],[stock_level]]*WarehouseData[[#This Row],[unit_price]]</f>
        <v>68790.259999999995</v>
      </c>
      <c r="AC663">
        <f>WarehouseData[[#This Row],[stock_level]]*WarehouseData[[#This Row],[holding_cost_per_unit_day]]*30</f>
        <v>17806.8</v>
      </c>
      <c r="AD663" t="str">
        <f>IF(WarehouseData[[#This Row],[order_fulfillment_rate]]&gt;=0.9,"Strong",IF(WarehouseData[[#This Row],[order_fulfillment_rate]]&gt;=0.8,"Moderate","Needs Attention"))</f>
        <v>Strong</v>
      </c>
      <c r="AE663" t="str">
        <f>IF(WarehouseData[[#This Row],[picking_time_seconds]]&gt;120,"Slow",IF(WarehouseData[[#This Row],[picking_time_seconds]]&gt;=60,"Average","Fast"))</f>
        <v>Average</v>
      </c>
    </row>
    <row r="664" spans="1:31" x14ac:dyDescent="0.25">
      <c r="A664" t="s">
        <v>802</v>
      </c>
      <c r="B664" t="s">
        <v>73</v>
      </c>
      <c r="C664">
        <v>261</v>
      </c>
      <c r="D664">
        <v>11</v>
      </c>
      <c r="E664">
        <v>8</v>
      </c>
      <c r="F664">
        <v>2</v>
      </c>
      <c r="G664">
        <v>48.33</v>
      </c>
      <c r="H664">
        <v>1.07</v>
      </c>
      <c r="I664">
        <v>0.26</v>
      </c>
      <c r="J664" t="s">
        <v>49</v>
      </c>
      <c r="K664" t="s">
        <v>52</v>
      </c>
      <c r="L664">
        <v>169</v>
      </c>
      <c r="M664">
        <v>4.07</v>
      </c>
      <c r="N664">
        <v>104.27</v>
      </c>
      <c r="O664">
        <v>1.69</v>
      </c>
      <c r="P664">
        <v>5</v>
      </c>
      <c r="Q664">
        <v>0.84</v>
      </c>
      <c r="R664">
        <v>216</v>
      </c>
      <c r="S664">
        <v>6.64</v>
      </c>
      <c r="T664">
        <v>0.38</v>
      </c>
      <c r="U664" s="1">
        <v>45340</v>
      </c>
      <c r="V664">
        <v>68.900000000000006</v>
      </c>
      <c r="W664">
        <v>0.46400000000000002</v>
      </c>
      <c r="X664" t="str">
        <f>IF(WarehouseData[[#This Row],[stock_level]]&lt;=WarehouseData[[#This Row],[reorder_point]],"Low Stock","Sufficient Stock")</f>
        <v>Sufficient Stock</v>
      </c>
      <c r="Y664">
        <f>WarehouseData[[#This Row],[daily_demand]]*WarehouseData[[#This Row],[lead_time_days]]</f>
        <v>96.66</v>
      </c>
      <c r="Z664" t="str">
        <f>IF(WarehouseData[[#This Row],[stock_level]]&lt;=WarehouseData[[#This Row],[Demand During Lead Time]],"At Risk","Safe")</f>
        <v>Safe</v>
      </c>
      <c r="AA664">
        <f>WarehouseData[[#This Row],[stock_level]]/WarehouseData[[#This Row],[daily_demand]]</f>
        <v>5.400372439478585</v>
      </c>
      <c r="AB664">
        <f>WarehouseData[[#This Row],[stock_level]]*WarehouseData[[#This Row],[unit_price]]</f>
        <v>27214.469999999998</v>
      </c>
      <c r="AC664">
        <f>WarehouseData[[#This Row],[stock_level]]*WarehouseData[[#This Row],[holding_cost_per_unit_day]]*30</f>
        <v>13232.699999999999</v>
      </c>
      <c r="AD664" t="str">
        <f>IF(WarehouseData[[#This Row],[order_fulfillment_rate]]&gt;=0.9,"Strong",IF(WarehouseData[[#This Row],[order_fulfillment_rate]]&gt;=0.8,"Moderate","Needs Attention"))</f>
        <v>Moderate</v>
      </c>
      <c r="AE664" t="str">
        <f>IF(WarehouseData[[#This Row],[picking_time_seconds]]&gt;120,"Slow",IF(WarehouseData[[#This Row],[picking_time_seconds]]&gt;=60,"Average","Fast"))</f>
        <v>Slow</v>
      </c>
    </row>
    <row r="665" spans="1:31" x14ac:dyDescent="0.25">
      <c r="A665" t="s">
        <v>803</v>
      </c>
      <c r="B665" t="s">
        <v>40</v>
      </c>
      <c r="C665">
        <v>135</v>
      </c>
      <c r="D665">
        <v>13</v>
      </c>
      <c r="E665">
        <v>3</v>
      </c>
      <c r="F665">
        <v>7</v>
      </c>
      <c r="G665">
        <v>45.68</v>
      </c>
      <c r="H665">
        <v>9.74</v>
      </c>
      <c r="I665">
        <v>0.59</v>
      </c>
      <c r="J665" t="s">
        <v>240</v>
      </c>
      <c r="K665" t="s">
        <v>46</v>
      </c>
      <c r="L665">
        <v>156</v>
      </c>
      <c r="M665">
        <v>4.75</v>
      </c>
      <c r="N665">
        <v>147.33000000000001</v>
      </c>
      <c r="O665">
        <v>1.21</v>
      </c>
      <c r="P665">
        <v>2</v>
      </c>
      <c r="Q665">
        <v>0.77</v>
      </c>
      <c r="R665">
        <v>752</v>
      </c>
      <c r="S665">
        <v>9.91</v>
      </c>
      <c r="T665">
        <v>0.84</v>
      </c>
      <c r="U665" s="1">
        <v>45361</v>
      </c>
      <c r="V665">
        <v>139.86000000000001</v>
      </c>
      <c r="W665">
        <v>0.69299999999999995</v>
      </c>
      <c r="X665" t="str">
        <f>IF(WarehouseData[[#This Row],[stock_level]]&lt;=WarehouseData[[#This Row],[reorder_point]],"Low Stock","Sufficient Stock")</f>
        <v>Sufficient Stock</v>
      </c>
      <c r="Y665">
        <f>WarehouseData[[#This Row],[daily_demand]]*WarehouseData[[#This Row],[lead_time_days]]</f>
        <v>319.76</v>
      </c>
      <c r="Z665" t="str">
        <f>IF(WarehouseData[[#This Row],[stock_level]]&lt;=WarehouseData[[#This Row],[Demand During Lead Time]],"At Risk","Safe")</f>
        <v>At Risk</v>
      </c>
      <c r="AA665">
        <f>WarehouseData[[#This Row],[stock_level]]/WarehouseData[[#This Row],[daily_demand]]</f>
        <v>2.9553415061295971</v>
      </c>
      <c r="AB665">
        <f>WarehouseData[[#This Row],[stock_level]]*WarehouseData[[#This Row],[unit_price]]</f>
        <v>19889.550000000003</v>
      </c>
      <c r="AC665">
        <f>WarehouseData[[#This Row],[stock_level]]*WarehouseData[[#This Row],[holding_cost_per_unit_day]]*30</f>
        <v>4900.5</v>
      </c>
      <c r="AD665" t="str">
        <f>IF(WarehouseData[[#This Row],[order_fulfillment_rate]]&gt;=0.9,"Strong",IF(WarehouseData[[#This Row],[order_fulfillment_rate]]&gt;=0.8,"Moderate","Needs Attention"))</f>
        <v>Needs Attention</v>
      </c>
      <c r="AE665" t="str">
        <f>IF(WarehouseData[[#This Row],[picking_time_seconds]]&gt;120,"Slow",IF(WarehouseData[[#This Row],[picking_time_seconds]]&gt;=60,"Average","Fast"))</f>
        <v>Slow</v>
      </c>
    </row>
    <row r="666" spans="1:31" x14ac:dyDescent="0.25">
      <c r="A666" t="s">
        <v>804</v>
      </c>
      <c r="B666" t="s">
        <v>40</v>
      </c>
      <c r="C666">
        <v>128</v>
      </c>
      <c r="D666">
        <v>94</v>
      </c>
      <c r="E666">
        <v>13</v>
      </c>
      <c r="F666">
        <v>9</v>
      </c>
      <c r="G666">
        <v>47.51</v>
      </c>
      <c r="H666">
        <v>4.92</v>
      </c>
      <c r="I666">
        <v>0.51</v>
      </c>
      <c r="J666" t="s">
        <v>90</v>
      </c>
      <c r="K666" t="s">
        <v>46</v>
      </c>
      <c r="L666">
        <v>104</v>
      </c>
      <c r="M666">
        <v>4.5</v>
      </c>
      <c r="N666">
        <v>194.26</v>
      </c>
      <c r="O666">
        <v>0.45</v>
      </c>
      <c r="P666">
        <v>5</v>
      </c>
      <c r="Q666">
        <v>0.74</v>
      </c>
      <c r="R666">
        <v>368</v>
      </c>
      <c r="S666">
        <v>7.51</v>
      </c>
      <c r="T666">
        <v>0.62</v>
      </c>
      <c r="U666" s="1">
        <v>45502</v>
      </c>
      <c r="V666">
        <v>144.88999999999999</v>
      </c>
      <c r="W666">
        <v>0.627</v>
      </c>
      <c r="X666" t="str">
        <f>IF(WarehouseData[[#This Row],[stock_level]]&lt;=WarehouseData[[#This Row],[reorder_point]],"Low Stock","Sufficient Stock")</f>
        <v>Sufficient Stock</v>
      </c>
      <c r="Y666">
        <f>WarehouseData[[#This Row],[daily_demand]]*WarehouseData[[#This Row],[lead_time_days]]</f>
        <v>427.59</v>
      </c>
      <c r="Z666" t="str">
        <f>IF(WarehouseData[[#This Row],[stock_level]]&lt;=WarehouseData[[#This Row],[Demand During Lead Time]],"At Risk","Safe")</f>
        <v>At Risk</v>
      </c>
      <c r="AA666">
        <f>WarehouseData[[#This Row],[stock_level]]/WarehouseData[[#This Row],[daily_demand]]</f>
        <v>2.6941696484950537</v>
      </c>
      <c r="AB666">
        <f>WarehouseData[[#This Row],[stock_level]]*WarehouseData[[#This Row],[unit_price]]</f>
        <v>24865.279999999999</v>
      </c>
      <c r="AC666">
        <f>WarehouseData[[#This Row],[stock_level]]*WarehouseData[[#This Row],[holding_cost_per_unit_day]]*30</f>
        <v>1728</v>
      </c>
      <c r="AD666" t="str">
        <f>IF(WarehouseData[[#This Row],[order_fulfillment_rate]]&gt;=0.9,"Strong",IF(WarehouseData[[#This Row],[order_fulfillment_rate]]&gt;=0.8,"Moderate","Needs Attention"))</f>
        <v>Needs Attention</v>
      </c>
      <c r="AE666" t="str">
        <f>IF(WarehouseData[[#This Row],[picking_time_seconds]]&gt;120,"Slow",IF(WarehouseData[[#This Row],[picking_time_seconds]]&gt;=60,"Average","Fast"))</f>
        <v>Average</v>
      </c>
    </row>
    <row r="667" spans="1:31" x14ac:dyDescent="0.25">
      <c r="A667" t="s">
        <v>805</v>
      </c>
      <c r="B667" t="s">
        <v>73</v>
      </c>
      <c r="C667">
        <v>240</v>
      </c>
      <c r="D667">
        <v>48</v>
      </c>
      <c r="E667">
        <v>14</v>
      </c>
      <c r="F667">
        <v>7</v>
      </c>
      <c r="G667">
        <v>41.46</v>
      </c>
      <c r="H667">
        <v>9.3000000000000007</v>
      </c>
      <c r="I667">
        <v>0.51</v>
      </c>
      <c r="J667" t="s">
        <v>207</v>
      </c>
      <c r="K667" t="s">
        <v>46</v>
      </c>
      <c r="L667">
        <v>176</v>
      </c>
      <c r="M667">
        <v>3.88</v>
      </c>
      <c r="N667">
        <v>76.2</v>
      </c>
      <c r="O667">
        <v>1.93</v>
      </c>
      <c r="P667">
        <v>6</v>
      </c>
      <c r="Q667">
        <v>0.87</v>
      </c>
      <c r="R667">
        <v>680</v>
      </c>
      <c r="S667">
        <v>6.13</v>
      </c>
      <c r="T667">
        <v>0.87</v>
      </c>
      <c r="U667" s="1">
        <v>45322</v>
      </c>
      <c r="V667">
        <v>79.78</v>
      </c>
      <c r="W667">
        <v>0.51700000000000002</v>
      </c>
      <c r="X667" t="str">
        <f>IF(WarehouseData[[#This Row],[stock_level]]&lt;=WarehouseData[[#This Row],[reorder_point]],"Low Stock","Sufficient Stock")</f>
        <v>Sufficient Stock</v>
      </c>
      <c r="Y667">
        <f>WarehouseData[[#This Row],[daily_demand]]*WarehouseData[[#This Row],[lead_time_days]]</f>
        <v>290.22000000000003</v>
      </c>
      <c r="Z667" t="str">
        <f>IF(WarehouseData[[#This Row],[stock_level]]&lt;=WarehouseData[[#This Row],[Demand During Lead Time]],"At Risk","Safe")</f>
        <v>At Risk</v>
      </c>
      <c r="AA667">
        <f>WarehouseData[[#This Row],[stock_level]]/WarehouseData[[#This Row],[daily_demand]]</f>
        <v>5.7887120115774238</v>
      </c>
      <c r="AB667">
        <f>WarehouseData[[#This Row],[stock_level]]*WarehouseData[[#This Row],[unit_price]]</f>
        <v>18288</v>
      </c>
      <c r="AC667">
        <f>WarehouseData[[#This Row],[stock_level]]*WarehouseData[[#This Row],[holding_cost_per_unit_day]]*30</f>
        <v>13896</v>
      </c>
      <c r="AD667" t="str">
        <f>IF(WarehouseData[[#This Row],[order_fulfillment_rate]]&gt;=0.9,"Strong",IF(WarehouseData[[#This Row],[order_fulfillment_rate]]&gt;=0.8,"Moderate","Needs Attention"))</f>
        <v>Moderate</v>
      </c>
      <c r="AE667" t="str">
        <f>IF(WarehouseData[[#This Row],[picking_time_seconds]]&gt;120,"Slow",IF(WarehouseData[[#This Row],[picking_time_seconds]]&gt;=60,"Average","Fast"))</f>
        <v>Slow</v>
      </c>
    </row>
    <row r="668" spans="1:31" x14ac:dyDescent="0.25">
      <c r="A668" t="s">
        <v>806</v>
      </c>
      <c r="B668" t="s">
        <v>36</v>
      </c>
      <c r="C668">
        <v>411</v>
      </c>
      <c r="D668">
        <v>15</v>
      </c>
      <c r="E668">
        <v>4</v>
      </c>
      <c r="F668">
        <v>2</v>
      </c>
      <c r="G668">
        <v>18.23</v>
      </c>
      <c r="H668">
        <v>0.59</v>
      </c>
      <c r="I668">
        <v>0.52</v>
      </c>
      <c r="J668" t="s">
        <v>102</v>
      </c>
      <c r="K668" t="s">
        <v>46</v>
      </c>
      <c r="L668">
        <v>157</v>
      </c>
      <c r="M668">
        <v>0.52</v>
      </c>
      <c r="N668">
        <v>105.81</v>
      </c>
      <c r="O668">
        <v>0.28000000000000003</v>
      </c>
      <c r="P668">
        <v>4</v>
      </c>
      <c r="Q668">
        <v>0.92</v>
      </c>
      <c r="R668">
        <v>707</v>
      </c>
      <c r="S668">
        <v>4.51</v>
      </c>
      <c r="T668">
        <v>0.68</v>
      </c>
      <c r="U668" s="1">
        <v>45433</v>
      </c>
      <c r="V668">
        <v>286.92</v>
      </c>
      <c r="W668">
        <v>0.67200000000000004</v>
      </c>
      <c r="X668" t="str">
        <f>IF(WarehouseData[[#This Row],[stock_level]]&lt;=WarehouseData[[#This Row],[reorder_point]],"Low Stock","Sufficient Stock")</f>
        <v>Sufficient Stock</v>
      </c>
      <c r="Y668">
        <f>WarehouseData[[#This Row],[daily_demand]]*WarehouseData[[#This Row],[lead_time_days]]</f>
        <v>36.46</v>
      </c>
      <c r="Z668" t="str">
        <f>IF(WarehouseData[[#This Row],[stock_level]]&lt;=WarehouseData[[#This Row],[Demand During Lead Time]],"At Risk","Safe")</f>
        <v>Safe</v>
      </c>
      <c r="AA668">
        <f>WarehouseData[[#This Row],[stock_level]]/WarehouseData[[#This Row],[daily_demand]]</f>
        <v>22.545255074053756</v>
      </c>
      <c r="AB668">
        <f>WarehouseData[[#This Row],[stock_level]]*WarehouseData[[#This Row],[unit_price]]</f>
        <v>43487.91</v>
      </c>
      <c r="AC668">
        <f>WarehouseData[[#This Row],[stock_level]]*WarehouseData[[#This Row],[holding_cost_per_unit_day]]*30</f>
        <v>3452.4000000000005</v>
      </c>
      <c r="AD668" t="str">
        <f>IF(WarehouseData[[#This Row],[order_fulfillment_rate]]&gt;=0.9,"Strong",IF(WarehouseData[[#This Row],[order_fulfillment_rate]]&gt;=0.8,"Moderate","Needs Attention"))</f>
        <v>Strong</v>
      </c>
      <c r="AE668" t="str">
        <f>IF(WarehouseData[[#This Row],[picking_time_seconds]]&gt;120,"Slow",IF(WarehouseData[[#This Row],[picking_time_seconds]]&gt;=60,"Average","Fast"))</f>
        <v>Slow</v>
      </c>
    </row>
    <row r="669" spans="1:31" x14ac:dyDescent="0.25">
      <c r="A669" t="s">
        <v>807</v>
      </c>
      <c r="B669" t="s">
        <v>73</v>
      </c>
      <c r="C669">
        <v>60</v>
      </c>
      <c r="D669">
        <v>90</v>
      </c>
      <c r="E669">
        <v>14</v>
      </c>
      <c r="F669">
        <v>2</v>
      </c>
      <c r="G669">
        <v>45.39</v>
      </c>
      <c r="H669">
        <v>2.85</v>
      </c>
      <c r="I669">
        <v>0.89</v>
      </c>
      <c r="J669" t="s">
        <v>263</v>
      </c>
      <c r="K669" t="s">
        <v>46</v>
      </c>
      <c r="L669">
        <v>37</v>
      </c>
      <c r="M669">
        <v>2.33</v>
      </c>
      <c r="N669">
        <v>107.76</v>
      </c>
      <c r="O669">
        <v>1.56</v>
      </c>
      <c r="P669">
        <v>2</v>
      </c>
      <c r="Q669">
        <v>0.79</v>
      </c>
      <c r="R669">
        <v>911</v>
      </c>
      <c r="S669">
        <v>7.18</v>
      </c>
      <c r="T669">
        <v>0.67</v>
      </c>
      <c r="U669" s="1">
        <v>45627</v>
      </c>
      <c r="V669">
        <v>152.88999999999999</v>
      </c>
      <c r="W669">
        <v>0.59199999999999997</v>
      </c>
      <c r="X669" t="str">
        <f>IF(WarehouseData[[#This Row],[stock_level]]&lt;=WarehouseData[[#This Row],[reorder_point]],"Low Stock","Sufficient Stock")</f>
        <v>Low Stock</v>
      </c>
      <c r="Y669">
        <f>WarehouseData[[#This Row],[daily_demand]]*WarehouseData[[#This Row],[lead_time_days]]</f>
        <v>90.78</v>
      </c>
      <c r="Z669" t="str">
        <f>IF(WarehouseData[[#This Row],[stock_level]]&lt;=WarehouseData[[#This Row],[Demand During Lead Time]],"At Risk","Safe")</f>
        <v>At Risk</v>
      </c>
      <c r="AA669">
        <f>WarehouseData[[#This Row],[stock_level]]/WarehouseData[[#This Row],[daily_demand]]</f>
        <v>1.3218770654329148</v>
      </c>
      <c r="AB669">
        <f>WarehouseData[[#This Row],[stock_level]]*WarehouseData[[#This Row],[unit_price]]</f>
        <v>6465.6</v>
      </c>
      <c r="AC669">
        <f>WarehouseData[[#This Row],[stock_level]]*WarehouseData[[#This Row],[holding_cost_per_unit_day]]*30</f>
        <v>2808.0000000000005</v>
      </c>
      <c r="AD669" t="str">
        <f>IF(WarehouseData[[#This Row],[order_fulfillment_rate]]&gt;=0.9,"Strong",IF(WarehouseData[[#This Row],[order_fulfillment_rate]]&gt;=0.8,"Moderate","Needs Attention"))</f>
        <v>Needs Attention</v>
      </c>
      <c r="AE669" t="str">
        <f>IF(WarehouseData[[#This Row],[picking_time_seconds]]&gt;120,"Slow",IF(WarehouseData[[#This Row],[picking_time_seconds]]&gt;=60,"Average","Fast"))</f>
        <v>Fast</v>
      </c>
    </row>
    <row r="670" spans="1:31" x14ac:dyDescent="0.25">
      <c r="A670" t="s">
        <v>808</v>
      </c>
      <c r="B670" t="s">
        <v>48</v>
      </c>
      <c r="C670">
        <v>387</v>
      </c>
      <c r="D670">
        <v>98</v>
      </c>
      <c r="E670">
        <v>9</v>
      </c>
      <c r="F670">
        <v>4</v>
      </c>
      <c r="G670">
        <v>49.1</v>
      </c>
      <c r="H670">
        <v>1.49</v>
      </c>
      <c r="I670">
        <v>0.84</v>
      </c>
      <c r="J670" t="s">
        <v>166</v>
      </c>
      <c r="K670" t="s">
        <v>38</v>
      </c>
      <c r="L670">
        <v>12</v>
      </c>
      <c r="M670">
        <v>2.35</v>
      </c>
      <c r="N670">
        <v>198.48</v>
      </c>
      <c r="O670">
        <v>0.26</v>
      </c>
      <c r="P670">
        <v>7</v>
      </c>
      <c r="Q670">
        <v>0.92</v>
      </c>
      <c r="R670">
        <v>384</v>
      </c>
      <c r="S670">
        <v>12.28</v>
      </c>
      <c r="T670">
        <v>0.51</v>
      </c>
      <c r="U670" s="1">
        <v>45356</v>
      </c>
      <c r="V670">
        <v>162.22</v>
      </c>
      <c r="W670">
        <v>0.68400000000000005</v>
      </c>
      <c r="X670" t="str">
        <f>IF(WarehouseData[[#This Row],[stock_level]]&lt;=WarehouseData[[#This Row],[reorder_point]],"Low Stock","Sufficient Stock")</f>
        <v>Sufficient Stock</v>
      </c>
      <c r="Y670">
        <f>WarehouseData[[#This Row],[daily_demand]]*WarehouseData[[#This Row],[lead_time_days]]</f>
        <v>196.4</v>
      </c>
      <c r="Z670" t="str">
        <f>IF(WarehouseData[[#This Row],[stock_level]]&lt;=WarehouseData[[#This Row],[Demand During Lead Time]],"At Risk","Safe")</f>
        <v>Safe</v>
      </c>
      <c r="AA670">
        <f>WarehouseData[[#This Row],[stock_level]]/WarehouseData[[#This Row],[daily_demand]]</f>
        <v>7.8818737270875765</v>
      </c>
      <c r="AB670">
        <f>WarehouseData[[#This Row],[stock_level]]*WarehouseData[[#This Row],[unit_price]]</f>
        <v>76811.759999999995</v>
      </c>
      <c r="AC670">
        <f>WarehouseData[[#This Row],[stock_level]]*WarehouseData[[#This Row],[holding_cost_per_unit_day]]*30</f>
        <v>3018.6000000000004</v>
      </c>
      <c r="AD670" t="str">
        <f>IF(WarehouseData[[#This Row],[order_fulfillment_rate]]&gt;=0.9,"Strong",IF(WarehouseData[[#This Row],[order_fulfillment_rate]]&gt;=0.8,"Moderate","Needs Attention"))</f>
        <v>Strong</v>
      </c>
      <c r="AE670" t="str">
        <f>IF(WarehouseData[[#This Row],[picking_time_seconds]]&gt;120,"Slow",IF(WarehouseData[[#This Row],[picking_time_seconds]]&gt;=60,"Average","Fast"))</f>
        <v>Fast</v>
      </c>
    </row>
    <row r="671" spans="1:31" x14ac:dyDescent="0.25">
      <c r="A671" t="s">
        <v>809</v>
      </c>
      <c r="B671" t="s">
        <v>73</v>
      </c>
      <c r="C671">
        <v>166</v>
      </c>
      <c r="D671">
        <v>78</v>
      </c>
      <c r="E671">
        <v>3</v>
      </c>
      <c r="F671">
        <v>2</v>
      </c>
      <c r="G671">
        <v>18.149999999999999</v>
      </c>
      <c r="H671">
        <v>7.81</v>
      </c>
      <c r="I671">
        <v>0.67</v>
      </c>
      <c r="J671" t="s">
        <v>57</v>
      </c>
      <c r="K671" t="s">
        <v>34</v>
      </c>
      <c r="L671">
        <v>169</v>
      </c>
      <c r="M671">
        <v>4.5199999999999996</v>
      </c>
      <c r="N671">
        <v>54.29</v>
      </c>
      <c r="O671">
        <v>0.37</v>
      </c>
      <c r="P671">
        <v>4</v>
      </c>
      <c r="Q671">
        <v>0.75</v>
      </c>
      <c r="R671">
        <v>523</v>
      </c>
      <c r="S671">
        <v>12.82</v>
      </c>
      <c r="T671">
        <v>0.83</v>
      </c>
      <c r="U671" s="1">
        <v>45651</v>
      </c>
      <c r="V671">
        <v>183.59</v>
      </c>
      <c r="W671">
        <v>0.77</v>
      </c>
      <c r="X671" t="str">
        <f>IF(WarehouseData[[#This Row],[stock_level]]&lt;=WarehouseData[[#This Row],[reorder_point]],"Low Stock","Sufficient Stock")</f>
        <v>Sufficient Stock</v>
      </c>
      <c r="Y671">
        <f>WarehouseData[[#This Row],[daily_demand]]*WarehouseData[[#This Row],[lead_time_days]]</f>
        <v>36.299999999999997</v>
      </c>
      <c r="Z671" t="str">
        <f>IF(WarehouseData[[#This Row],[stock_level]]&lt;=WarehouseData[[#This Row],[Demand During Lead Time]],"At Risk","Safe")</f>
        <v>Safe</v>
      </c>
      <c r="AA671">
        <f>WarehouseData[[#This Row],[stock_level]]/WarehouseData[[#This Row],[daily_demand]]</f>
        <v>9.1460055096418742</v>
      </c>
      <c r="AB671">
        <f>WarehouseData[[#This Row],[stock_level]]*WarehouseData[[#This Row],[unit_price]]</f>
        <v>9012.14</v>
      </c>
      <c r="AC671">
        <f>WarehouseData[[#This Row],[stock_level]]*WarehouseData[[#This Row],[holding_cost_per_unit_day]]*30</f>
        <v>1842.6000000000001</v>
      </c>
      <c r="AD671" t="str">
        <f>IF(WarehouseData[[#This Row],[order_fulfillment_rate]]&gt;=0.9,"Strong",IF(WarehouseData[[#This Row],[order_fulfillment_rate]]&gt;=0.8,"Moderate","Needs Attention"))</f>
        <v>Needs Attention</v>
      </c>
      <c r="AE671" t="str">
        <f>IF(WarehouseData[[#This Row],[picking_time_seconds]]&gt;120,"Slow",IF(WarehouseData[[#This Row],[picking_time_seconds]]&gt;=60,"Average","Fast"))</f>
        <v>Slow</v>
      </c>
    </row>
    <row r="672" spans="1:31" x14ac:dyDescent="0.25">
      <c r="A672" t="s">
        <v>810</v>
      </c>
      <c r="B672" t="s">
        <v>40</v>
      </c>
      <c r="C672">
        <v>131</v>
      </c>
      <c r="D672">
        <v>78</v>
      </c>
      <c r="E672">
        <v>9</v>
      </c>
      <c r="F672">
        <v>2</v>
      </c>
      <c r="G672">
        <v>13.77</v>
      </c>
      <c r="H672">
        <v>3.54</v>
      </c>
      <c r="I672">
        <v>0.74</v>
      </c>
      <c r="J672" t="s">
        <v>215</v>
      </c>
      <c r="K672" t="s">
        <v>34</v>
      </c>
      <c r="L672">
        <v>95</v>
      </c>
      <c r="M672">
        <v>0.8</v>
      </c>
      <c r="N672">
        <v>138.31</v>
      </c>
      <c r="O672">
        <v>1.81</v>
      </c>
      <c r="P672">
        <v>0</v>
      </c>
      <c r="Q672">
        <v>0.8</v>
      </c>
      <c r="R672">
        <v>690</v>
      </c>
      <c r="S672">
        <v>14.41</v>
      </c>
      <c r="T672">
        <v>0.75</v>
      </c>
      <c r="U672" s="1">
        <v>45359</v>
      </c>
      <c r="V672">
        <v>267.22000000000003</v>
      </c>
      <c r="W672">
        <v>0.72099999999999997</v>
      </c>
      <c r="X672" t="str">
        <f>IF(WarehouseData[[#This Row],[stock_level]]&lt;=WarehouseData[[#This Row],[reorder_point]],"Low Stock","Sufficient Stock")</f>
        <v>Sufficient Stock</v>
      </c>
      <c r="Y672">
        <f>WarehouseData[[#This Row],[daily_demand]]*WarehouseData[[#This Row],[lead_time_days]]</f>
        <v>27.54</v>
      </c>
      <c r="Z672" t="str">
        <f>IF(WarehouseData[[#This Row],[stock_level]]&lt;=WarehouseData[[#This Row],[Demand During Lead Time]],"At Risk","Safe")</f>
        <v>Safe</v>
      </c>
      <c r="AA672">
        <f>WarehouseData[[#This Row],[stock_level]]/WarehouseData[[#This Row],[daily_demand]]</f>
        <v>9.5134350036310824</v>
      </c>
      <c r="AB672">
        <f>WarehouseData[[#This Row],[stock_level]]*WarehouseData[[#This Row],[unit_price]]</f>
        <v>18118.61</v>
      </c>
      <c r="AC672">
        <f>WarehouseData[[#This Row],[stock_level]]*WarehouseData[[#This Row],[holding_cost_per_unit_day]]*30</f>
        <v>7113.3</v>
      </c>
      <c r="AD672" t="str">
        <f>IF(WarehouseData[[#This Row],[order_fulfillment_rate]]&gt;=0.9,"Strong",IF(WarehouseData[[#This Row],[order_fulfillment_rate]]&gt;=0.8,"Moderate","Needs Attention"))</f>
        <v>Moderate</v>
      </c>
      <c r="AE672" t="str">
        <f>IF(WarehouseData[[#This Row],[picking_time_seconds]]&gt;120,"Slow",IF(WarehouseData[[#This Row],[picking_time_seconds]]&gt;=60,"Average","Fast"))</f>
        <v>Average</v>
      </c>
    </row>
    <row r="673" spans="1:31" x14ac:dyDescent="0.25">
      <c r="A673" t="s">
        <v>811</v>
      </c>
      <c r="B673" t="s">
        <v>73</v>
      </c>
      <c r="C673">
        <v>122</v>
      </c>
      <c r="D673">
        <v>29</v>
      </c>
      <c r="E673">
        <v>6</v>
      </c>
      <c r="F673">
        <v>6</v>
      </c>
      <c r="G673">
        <v>27.8</v>
      </c>
      <c r="H673">
        <v>8.48</v>
      </c>
      <c r="I673">
        <v>0.14000000000000001</v>
      </c>
      <c r="J673" t="s">
        <v>68</v>
      </c>
      <c r="K673" t="s">
        <v>52</v>
      </c>
      <c r="L673">
        <v>117</v>
      </c>
      <c r="M673">
        <v>2.89</v>
      </c>
      <c r="N673">
        <v>36.26</v>
      </c>
      <c r="O673">
        <v>1.53</v>
      </c>
      <c r="P673">
        <v>8</v>
      </c>
      <c r="Q673">
        <v>0.92</v>
      </c>
      <c r="R673">
        <v>194</v>
      </c>
      <c r="S673">
        <v>5.07</v>
      </c>
      <c r="T673">
        <v>0.47</v>
      </c>
      <c r="U673" s="1">
        <v>45419</v>
      </c>
      <c r="V673">
        <v>164.66</v>
      </c>
      <c r="W673">
        <v>0.433</v>
      </c>
      <c r="X673" t="str">
        <f>IF(WarehouseData[[#This Row],[stock_level]]&lt;=WarehouseData[[#This Row],[reorder_point]],"Low Stock","Sufficient Stock")</f>
        <v>Sufficient Stock</v>
      </c>
      <c r="Y673">
        <f>WarehouseData[[#This Row],[daily_demand]]*WarehouseData[[#This Row],[lead_time_days]]</f>
        <v>166.8</v>
      </c>
      <c r="Z673" t="str">
        <f>IF(WarehouseData[[#This Row],[stock_level]]&lt;=WarehouseData[[#This Row],[Demand During Lead Time]],"At Risk","Safe")</f>
        <v>At Risk</v>
      </c>
      <c r="AA673">
        <f>WarehouseData[[#This Row],[stock_level]]/WarehouseData[[#This Row],[daily_demand]]</f>
        <v>4.3884892086330938</v>
      </c>
      <c r="AB673">
        <f>WarehouseData[[#This Row],[stock_level]]*WarehouseData[[#This Row],[unit_price]]</f>
        <v>4423.7199999999993</v>
      </c>
      <c r="AC673">
        <f>WarehouseData[[#This Row],[stock_level]]*WarehouseData[[#This Row],[holding_cost_per_unit_day]]*30</f>
        <v>5599.8</v>
      </c>
      <c r="AD673" t="str">
        <f>IF(WarehouseData[[#This Row],[order_fulfillment_rate]]&gt;=0.9,"Strong",IF(WarehouseData[[#This Row],[order_fulfillment_rate]]&gt;=0.8,"Moderate","Needs Attention"))</f>
        <v>Strong</v>
      </c>
      <c r="AE673" t="str">
        <f>IF(WarehouseData[[#This Row],[picking_time_seconds]]&gt;120,"Slow",IF(WarehouseData[[#This Row],[picking_time_seconds]]&gt;=60,"Average","Fast"))</f>
        <v>Average</v>
      </c>
    </row>
    <row r="674" spans="1:31" x14ac:dyDescent="0.25">
      <c r="A674" t="s">
        <v>812</v>
      </c>
      <c r="B674" t="s">
        <v>36</v>
      </c>
      <c r="C674">
        <v>65</v>
      </c>
      <c r="D674">
        <v>73</v>
      </c>
      <c r="E674">
        <v>12</v>
      </c>
      <c r="F674">
        <v>7</v>
      </c>
      <c r="G674">
        <v>10.17</v>
      </c>
      <c r="H674">
        <v>8.41</v>
      </c>
      <c r="I674">
        <v>0.77</v>
      </c>
      <c r="J674" t="s">
        <v>51</v>
      </c>
      <c r="K674" t="s">
        <v>38</v>
      </c>
      <c r="L674">
        <v>179</v>
      </c>
      <c r="M674">
        <v>1.1100000000000001</v>
      </c>
      <c r="N674">
        <v>186.14</v>
      </c>
      <c r="O674">
        <v>0.79</v>
      </c>
      <c r="P674">
        <v>2</v>
      </c>
      <c r="Q674">
        <v>0.9</v>
      </c>
      <c r="R674">
        <v>103</v>
      </c>
      <c r="S674">
        <v>10.11</v>
      </c>
      <c r="T674">
        <v>0.99</v>
      </c>
      <c r="U674" s="1">
        <v>45366</v>
      </c>
      <c r="V674">
        <v>166.88</v>
      </c>
      <c r="W674">
        <v>0.79400000000000004</v>
      </c>
      <c r="X674" t="str">
        <f>IF(WarehouseData[[#This Row],[stock_level]]&lt;=WarehouseData[[#This Row],[reorder_point]],"Low Stock","Sufficient Stock")</f>
        <v>Low Stock</v>
      </c>
      <c r="Y674">
        <f>WarehouseData[[#This Row],[daily_demand]]*WarehouseData[[#This Row],[lead_time_days]]</f>
        <v>71.19</v>
      </c>
      <c r="Z674" t="str">
        <f>IF(WarehouseData[[#This Row],[stock_level]]&lt;=WarehouseData[[#This Row],[Demand During Lead Time]],"At Risk","Safe")</f>
        <v>At Risk</v>
      </c>
      <c r="AA674">
        <f>WarehouseData[[#This Row],[stock_level]]/WarehouseData[[#This Row],[daily_demand]]</f>
        <v>6.3913470993117008</v>
      </c>
      <c r="AB674">
        <f>WarehouseData[[#This Row],[stock_level]]*WarehouseData[[#This Row],[unit_price]]</f>
        <v>12099.099999999999</v>
      </c>
      <c r="AC674">
        <f>WarehouseData[[#This Row],[stock_level]]*WarehouseData[[#This Row],[holding_cost_per_unit_day]]*30</f>
        <v>1540.5</v>
      </c>
      <c r="AD674" t="str">
        <f>IF(WarehouseData[[#This Row],[order_fulfillment_rate]]&gt;=0.9,"Strong",IF(WarehouseData[[#This Row],[order_fulfillment_rate]]&gt;=0.8,"Moderate","Needs Attention"))</f>
        <v>Strong</v>
      </c>
      <c r="AE674" t="str">
        <f>IF(WarehouseData[[#This Row],[picking_time_seconds]]&gt;120,"Slow",IF(WarehouseData[[#This Row],[picking_time_seconds]]&gt;=60,"Average","Fast"))</f>
        <v>Slow</v>
      </c>
    </row>
    <row r="675" spans="1:31" x14ac:dyDescent="0.25">
      <c r="A675" t="s">
        <v>813</v>
      </c>
      <c r="B675" t="s">
        <v>32</v>
      </c>
      <c r="C675">
        <v>431</v>
      </c>
      <c r="D675">
        <v>25</v>
      </c>
      <c r="E675">
        <v>8</v>
      </c>
      <c r="F675">
        <v>4</v>
      </c>
      <c r="G675">
        <v>2.6</v>
      </c>
      <c r="H675">
        <v>6.84</v>
      </c>
      <c r="I675">
        <v>0.54</v>
      </c>
      <c r="J675" t="s">
        <v>311</v>
      </c>
      <c r="K675" t="s">
        <v>46</v>
      </c>
      <c r="L675">
        <v>126</v>
      </c>
      <c r="M675">
        <v>3.48</v>
      </c>
      <c r="N675">
        <v>122.17</v>
      </c>
      <c r="O675">
        <v>1.31</v>
      </c>
      <c r="P675">
        <v>1</v>
      </c>
      <c r="Q675">
        <v>0.78</v>
      </c>
      <c r="R675">
        <v>171</v>
      </c>
      <c r="S675">
        <v>10.71</v>
      </c>
      <c r="T675">
        <v>0.56999999999999995</v>
      </c>
      <c r="U675" s="1">
        <v>45656</v>
      </c>
      <c r="V675">
        <v>79.66</v>
      </c>
      <c r="W675">
        <v>0.66200000000000003</v>
      </c>
      <c r="X675" t="str">
        <f>IF(WarehouseData[[#This Row],[stock_level]]&lt;=WarehouseData[[#This Row],[reorder_point]],"Low Stock","Sufficient Stock")</f>
        <v>Sufficient Stock</v>
      </c>
      <c r="Y675">
        <f>WarehouseData[[#This Row],[daily_demand]]*WarehouseData[[#This Row],[lead_time_days]]</f>
        <v>10.4</v>
      </c>
      <c r="Z675" t="str">
        <f>IF(WarehouseData[[#This Row],[stock_level]]&lt;=WarehouseData[[#This Row],[Demand During Lead Time]],"At Risk","Safe")</f>
        <v>Safe</v>
      </c>
      <c r="AA675">
        <f>WarehouseData[[#This Row],[stock_level]]/WarehouseData[[#This Row],[daily_demand]]</f>
        <v>165.76923076923077</v>
      </c>
      <c r="AB675">
        <f>WarehouseData[[#This Row],[stock_level]]*WarehouseData[[#This Row],[unit_price]]</f>
        <v>52655.270000000004</v>
      </c>
      <c r="AC675">
        <f>WarehouseData[[#This Row],[stock_level]]*WarehouseData[[#This Row],[holding_cost_per_unit_day]]*30</f>
        <v>16938.3</v>
      </c>
      <c r="AD675" t="str">
        <f>IF(WarehouseData[[#This Row],[order_fulfillment_rate]]&gt;=0.9,"Strong",IF(WarehouseData[[#This Row],[order_fulfillment_rate]]&gt;=0.8,"Moderate","Needs Attention"))</f>
        <v>Needs Attention</v>
      </c>
      <c r="AE675" t="str">
        <f>IF(WarehouseData[[#This Row],[picking_time_seconds]]&gt;120,"Slow",IF(WarehouseData[[#This Row],[picking_time_seconds]]&gt;=60,"Average","Fast"))</f>
        <v>Slow</v>
      </c>
    </row>
    <row r="676" spans="1:31" x14ac:dyDescent="0.25">
      <c r="A676" t="s">
        <v>814</v>
      </c>
      <c r="B676" t="s">
        <v>73</v>
      </c>
      <c r="C676">
        <v>494</v>
      </c>
      <c r="D676">
        <v>60</v>
      </c>
      <c r="E676">
        <v>10</v>
      </c>
      <c r="F676">
        <v>7</v>
      </c>
      <c r="G676">
        <v>47.35</v>
      </c>
      <c r="H676">
        <v>6.82</v>
      </c>
      <c r="I676">
        <v>0.39</v>
      </c>
      <c r="J676" t="s">
        <v>92</v>
      </c>
      <c r="K676" t="s">
        <v>46</v>
      </c>
      <c r="L676">
        <v>117</v>
      </c>
      <c r="M676">
        <v>4.07</v>
      </c>
      <c r="N676">
        <v>173.29</v>
      </c>
      <c r="O676">
        <v>0.97</v>
      </c>
      <c r="P676">
        <v>2</v>
      </c>
      <c r="Q676">
        <v>0.74</v>
      </c>
      <c r="R676">
        <v>173</v>
      </c>
      <c r="S676">
        <v>3.68</v>
      </c>
      <c r="T676">
        <v>0.45</v>
      </c>
      <c r="U676" s="1">
        <v>45456</v>
      </c>
      <c r="V676">
        <v>184.82</v>
      </c>
      <c r="W676">
        <v>0.55000000000000004</v>
      </c>
      <c r="X676" t="str">
        <f>IF(WarehouseData[[#This Row],[stock_level]]&lt;=WarehouseData[[#This Row],[reorder_point]],"Low Stock","Sufficient Stock")</f>
        <v>Sufficient Stock</v>
      </c>
      <c r="Y676">
        <f>WarehouseData[[#This Row],[daily_demand]]*WarehouseData[[#This Row],[lead_time_days]]</f>
        <v>331.45</v>
      </c>
      <c r="Z676" t="str">
        <f>IF(WarehouseData[[#This Row],[stock_level]]&lt;=WarehouseData[[#This Row],[Demand During Lead Time]],"At Risk","Safe")</f>
        <v>Safe</v>
      </c>
      <c r="AA676">
        <f>WarehouseData[[#This Row],[stock_level]]/WarehouseData[[#This Row],[daily_demand]]</f>
        <v>10.432946145723337</v>
      </c>
      <c r="AB676">
        <f>WarehouseData[[#This Row],[stock_level]]*WarehouseData[[#This Row],[unit_price]]</f>
        <v>85605.26</v>
      </c>
      <c r="AC676">
        <f>WarehouseData[[#This Row],[stock_level]]*WarehouseData[[#This Row],[holding_cost_per_unit_day]]*30</f>
        <v>14375.4</v>
      </c>
      <c r="AD676" t="str">
        <f>IF(WarehouseData[[#This Row],[order_fulfillment_rate]]&gt;=0.9,"Strong",IF(WarehouseData[[#This Row],[order_fulfillment_rate]]&gt;=0.8,"Moderate","Needs Attention"))</f>
        <v>Needs Attention</v>
      </c>
      <c r="AE676" t="str">
        <f>IF(WarehouseData[[#This Row],[picking_time_seconds]]&gt;120,"Slow",IF(WarehouseData[[#This Row],[picking_time_seconds]]&gt;=60,"Average","Fast"))</f>
        <v>Average</v>
      </c>
    </row>
    <row r="677" spans="1:31" x14ac:dyDescent="0.25">
      <c r="A677" t="s">
        <v>815</v>
      </c>
      <c r="B677" t="s">
        <v>36</v>
      </c>
      <c r="C677">
        <v>343</v>
      </c>
      <c r="D677">
        <v>46</v>
      </c>
      <c r="E677">
        <v>11</v>
      </c>
      <c r="F677">
        <v>4</v>
      </c>
      <c r="G677">
        <v>46.36</v>
      </c>
      <c r="H677">
        <v>7.15</v>
      </c>
      <c r="I677">
        <v>0.23</v>
      </c>
      <c r="J677" t="s">
        <v>379</v>
      </c>
      <c r="K677" t="s">
        <v>46</v>
      </c>
      <c r="L677">
        <v>24</v>
      </c>
      <c r="M677">
        <v>3.39</v>
      </c>
      <c r="N677">
        <v>180.1</v>
      </c>
      <c r="O677">
        <v>0.23</v>
      </c>
      <c r="P677">
        <v>6</v>
      </c>
      <c r="Q677">
        <v>0.71</v>
      </c>
      <c r="R677">
        <v>216</v>
      </c>
      <c r="S677">
        <v>6.14</v>
      </c>
      <c r="T677">
        <v>0.75</v>
      </c>
      <c r="U677" s="1">
        <v>45418</v>
      </c>
      <c r="V677">
        <v>120.53</v>
      </c>
      <c r="W677">
        <v>0.63100000000000001</v>
      </c>
      <c r="X677" t="str">
        <f>IF(WarehouseData[[#This Row],[stock_level]]&lt;=WarehouseData[[#This Row],[reorder_point]],"Low Stock","Sufficient Stock")</f>
        <v>Sufficient Stock</v>
      </c>
      <c r="Y677">
        <f>WarehouseData[[#This Row],[daily_demand]]*WarehouseData[[#This Row],[lead_time_days]]</f>
        <v>185.44</v>
      </c>
      <c r="Z677" t="str">
        <f>IF(WarehouseData[[#This Row],[stock_level]]&lt;=WarehouseData[[#This Row],[Demand During Lead Time]],"At Risk","Safe")</f>
        <v>Safe</v>
      </c>
      <c r="AA677">
        <f>WarehouseData[[#This Row],[stock_level]]/WarehouseData[[#This Row],[daily_demand]]</f>
        <v>7.3986194995685937</v>
      </c>
      <c r="AB677">
        <f>WarehouseData[[#This Row],[stock_level]]*WarehouseData[[#This Row],[unit_price]]</f>
        <v>61774.299999999996</v>
      </c>
      <c r="AC677">
        <f>WarehouseData[[#This Row],[stock_level]]*WarehouseData[[#This Row],[holding_cost_per_unit_day]]*30</f>
        <v>2366.6999999999998</v>
      </c>
      <c r="AD677" t="str">
        <f>IF(WarehouseData[[#This Row],[order_fulfillment_rate]]&gt;=0.9,"Strong",IF(WarehouseData[[#This Row],[order_fulfillment_rate]]&gt;=0.8,"Moderate","Needs Attention"))</f>
        <v>Needs Attention</v>
      </c>
      <c r="AE677" t="str">
        <f>IF(WarehouseData[[#This Row],[picking_time_seconds]]&gt;120,"Slow",IF(WarehouseData[[#This Row],[picking_time_seconds]]&gt;=60,"Average","Fast"))</f>
        <v>Fast</v>
      </c>
    </row>
    <row r="678" spans="1:31" x14ac:dyDescent="0.25">
      <c r="A678" t="s">
        <v>816</v>
      </c>
      <c r="B678" t="s">
        <v>36</v>
      </c>
      <c r="C678">
        <v>397</v>
      </c>
      <c r="D678">
        <v>82</v>
      </c>
      <c r="E678">
        <v>8</v>
      </c>
      <c r="F678">
        <v>7</v>
      </c>
      <c r="G678">
        <v>8.9700000000000006</v>
      </c>
      <c r="H678">
        <v>6.9</v>
      </c>
      <c r="I678">
        <v>0.17</v>
      </c>
      <c r="J678" t="s">
        <v>202</v>
      </c>
      <c r="K678" t="s">
        <v>38</v>
      </c>
      <c r="L678">
        <v>71</v>
      </c>
      <c r="M678">
        <v>4.08</v>
      </c>
      <c r="N678">
        <v>115.85</v>
      </c>
      <c r="O678">
        <v>1.47</v>
      </c>
      <c r="P678">
        <v>9</v>
      </c>
      <c r="Q678">
        <v>0.95</v>
      </c>
      <c r="R678">
        <v>993</v>
      </c>
      <c r="S678">
        <v>5.79</v>
      </c>
      <c r="T678">
        <v>0.38</v>
      </c>
      <c r="U678" s="1">
        <v>45638</v>
      </c>
      <c r="V678">
        <v>197.57</v>
      </c>
      <c r="W678">
        <v>0.41599999999999998</v>
      </c>
      <c r="X678" t="str">
        <f>IF(WarehouseData[[#This Row],[stock_level]]&lt;=WarehouseData[[#This Row],[reorder_point]],"Low Stock","Sufficient Stock")</f>
        <v>Sufficient Stock</v>
      </c>
      <c r="Y678">
        <f>WarehouseData[[#This Row],[daily_demand]]*WarehouseData[[#This Row],[lead_time_days]]</f>
        <v>62.790000000000006</v>
      </c>
      <c r="Z678" t="str">
        <f>IF(WarehouseData[[#This Row],[stock_level]]&lt;=WarehouseData[[#This Row],[Demand During Lead Time]],"At Risk","Safe")</f>
        <v>Safe</v>
      </c>
      <c r="AA678">
        <f>WarehouseData[[#This Row],[stock_level]]/WarehouseData[[#This Row],[daily_demand]]</f>
        <v>44.25863991081382</v>
      </c>
      <c r="AB678">
        <f>WarehouseData[[#This Row],[stock_level]]*WarehouseData[[#This Row],[unit_price]]</f>
        <v>45992.45</v>
      </c>
      <c r="AC678">
        <f>WarehouseData[[#This Row],[stock_level]]*WarehouseData[[#This Row],[holding_cost_per_unit_day]]*30</f>
        <v>17507.7</v>
      </c>
      <c r="AD678" t="str">
        <f>IF(WarehouseData[[#This Row],[order_fulfillment_rate]]&gt;=0.9,"Strong",IF(WarehouseData[[#This Row],[order_fulfillment_rate]]&gt;=0.8,"Moderate","Needs Attention"))</f>
        <v>Strong</v>
      </c>
      <c r="AE678" t="str">
        <f>IF(WarehouseData[[#This Row],[picking_time_seconds]]&gt;120,"Slow",IF(WarehouseData[[#This Row],[picking_time_seconds]]&gt;=60,"Average","Fast"))</f>
        <v>Average</v>
      </c>
    </row>
    <row r="679" spans="1:31" x14ac:dyDescent="0.25">
      <c r="A679" t="s">
        <v>817</v>
      </c>
      <c r="B679" t="s">
        <v>40</v>
      </c>
      <c r="C679">
        <v>290</v>
      </c>
      <c r="D679">
        <v>78</v>
      </c>
      <c r="E679">
        <v>14</v>
      </c>
      <c r="F679">
        <v>2</v>
      </c>
      <c r="G679">
        <v>20.98</v>
      </c>
      <c r="H679">
        <v>4.18</v>
      </c>
      <c r="I679">
        <v>0.14000000000000001</v>
      </c>
      <c r="J679" t="s">
        <v>265</v>
      </c>
      <c r="K679" t="s">
        <v>52</v>
      </c>
      <c r="L679">
        <v>40</v>
      </c>
      <c r="M679">
        <v>3.23</v>
      </c>
      <c r="N679">
        <v>139.58000000000001</v>
      </c>
      <c r="O679">
        <v>1.55</v>
      </c>
      <c r="P679">
        <v>7</v>
      </c>
      <c r="Q679">
        <v>0.72</v>
      </c>
      <c r="R679">
        <v>883</v>
      </c>
      <c r="S679">
        <v>14.8</v>
      </c>
      <c r="T679">
        <v>0.86</v>
      </c>
      <c r="U679" s="1">
        <v>45493</v>
      </c>
      <c r="V679">
        <v>97.22</v>
      </c>
      <c r="W679">
        <v>0.61799999999999999</v>
      </c>
      <c r="X679" t="str">
        <f>IF(WarehouseData[[#This Row],[stock_level]]&lt;=WarehouseData[[#This Row],[reorder_point]],"Low Stock","Sufficient Stock")</f>
        <v>Sufficient Stock</v>
      </c>
      <c r="Y679">
        <f>WarehouseData[[#This Row],[daily_demand]]*WarehouseData[[#This Row],[lead_time_days]]</f>
        <v>41.96</v>
      </c>
      <c r="Z679" t="str">
        <f>IF(WarehouseData[[#This Row],[stock_level]]&lt;=WarehouseData[[#This Row],[Demand During Lead Time]],"At Risk","Safe")</f>
        <v>Safe</v>
      </c>
      <c r="AA679">
        <f>WarehouseData[[#This Row],[stock_level]]/WarehouseData[[#This Row],[daily_demand]]</f>
        <v>13.822688274547188</v>
      </c>
      <c r="AB679">
        <f>WarehouseData[[#This Row],[stock_level]]*WarehouseData[[#This Row],[unit_price]]</f>
        <v>40478.200000000004</v>
      </c>
      <c r="AC679">
        <f>WarehouseData[[#This Row],[stock_level]]*WarehouseData[[#This Row],[holding_cost_per_unit_day]]*30</f>
        <v>13485</v>
      </c>
      <c r="AD679" t="str">
        <f>IF(WarehouseData[[#This Row],[order_fulfillment_rate]]&gt;=0.9,"Strong",IF(WarehouseData[[#This Row],[order_fulfillment_rate]]&gt;=0.8,"Moderate","Needs Attention"))</f>
        <v>Needs Attention</v>
      </c>
      <c r="AE679" t="str">
        <f>IF(WarehouseData[[#This Row],[picking_time_seconds]]&gt;120,"Slow",IF(WarehouseData[[#This Row],[picking_time_seconds]]&gt;=60,"Average","Fast"))</f>
        <v>Fast</v>
      </c>
    </row>
    <row r="680" spans="1:31" x14ac:dyDescent="0.25">
      <c r="A680" t="s">
        <v>818</v>
      </c>
      <c r="B680" t="s">
        <v>36</v>
      </c>
      <c r="C680">
        <v>440</v>
      </c>
      <c r="D680">
        <v>51</v>
      </c>
      <c r="E680">
        <v>13</v>
      </c>
      <c r="F680">
        <v>7</v>
      </c>
      <c r="G680">
        <v>41.72</v>
      </c>
      <c r="H680">
        <v>6.99</v>
      </c>
      <c r="I680">
        <v>0.25</v>
      </c>
      <c r="J680" t="s">
        <v>84</v>
      </c>
      <c r="K680" t="s">
        <v>38</v>
      </c>
      <c r="L680">
        <v>35</v>
      </c>
      <c r="M680">
        <v>1.35</v>
      </c>
      <c r="N680">
        <v>142.76</v>
      </c>
      <c r="O680">
        <v>1.78</v>
      </c>
      <c r="P680">
        <v>1</v>
      </c>
      <c r="Q680">
        <v>0.73</v>
      </c>
      <c r="R680">
        <v>704</v>
      </c>
      <c r="S680">
        <v>14.42</v>
      </c>
      <c r="T680">
        <v>0.74</v>
      </c>
      <c r="U680" s="1">
        <v>45542</v>
      </c>
      <c r="V680">
        <v>217.56</v>
      </c>
      <c r="W680">
        <v>0.68799999999999994</v>
      </c>
      <c r="X680" t="str">
        <f>IF(WarehouseData[[#This Row],[stock_level]]&lt;=WarehouseData[[#This Row],[reorder_point]],"Low Stock","Sufficient Stock")</f>
        <v>Sufficient Stock</v>
      </c>
      <c r="Y680">
        <f>WarehouseData[[#This Row],[daily_demand]]*WarehouseData[[#This Row],[lead_time_days]]</f>
        <v>292.03999999999996</v>
      </c>
      <c r="Z680" t="str">
        <f>IF(WarehouseData[[#This Row],[stock_level]]&lt;=WarehouseData[[#This Row],[Demand During Lead Time]],"At Risk","Safe")</f>
        <v>Safe</v>
      </c>
      <c r="AA680">
        <f>WarehouseData[[#This Row],[stock_level]]/WarehouseData[[#This Row],[daily_demand]]</f>
        <v>10.546500479386387</v>
      </c>
      <c r="AB680">
        <f>WarehouseData[[#This Row],[stock_level]]*WarehouseData[[#This Row],[unit_price]]</f>
        <v>62814.399999999994</v>
      </c>
      <c r="AC680">
        <f>WarehouseData[[#This Row],[stock_level]]*WarehouseData[[#This Row],[holding_cost_per_unit_day]]*30</f>
        <v>23496</v>
      </c>
      <c r="AD680" t="str">
        <f>IF(WarehouseData[[#This Row],[order_fulfillment_rate]]&gt;=0.9,"Strong",IF(WarehouseData[[#This Row],[order_fulfillment_rate]]&gt;=0.8,"Moderate","Needs Attention"))</f>
        <v>Needs Attention</v>
      </c>
      <c r="AE680" t="str">
        <f>IF(WarehouseData[[#This Row],[picking_time_seconds]]&gt;120,"Slow",IF(WarehouseData[[#This Row],[picking_time_seconds]]&gt;=60,"Average","Fast"))</f>
        <v>Fast</v>
      </c>
    </row>
    <row r="681" spans="1:31" x14ac:dyDescent="0.25">
      <c r="A681" t="s">
        <v>819</v>
      </c>
      <c r="B681" t="s">
        <v>36</v>
      </c>
      <c r="C681">
        <v>404</v>
      </c>
      <c r="D681">
        <v>66</v>
      </c>
      <c r="E681">
        <v>11</v>
      </c>
      <c r="F681">
        <v>7</v>
      </c>
      <c r="G681">
        <v>33.39</v>
      </c>
      <c r="H681">
        <v>9.0299999999999994</v>
      </c>
      <c r="I681">
        <v>0.13</v>
      </c>
      <c r="J681" t="s">
        <v>49</v>
      </c>
      <c r="K681" t="s">
        <v>52</v>
      </c>
      <c r="L681">
        <v>157</v>
      </c>
      <c r="M681">
        <v>2.2200000000000002</v>
      </c>
      <c r="N681">
        <v>97.49</v>
      </c>
      <c r="O681">
        <v>1.1299999999999999</v>
      </c>
      <c r="P681">
        <v>6</v>
      </c>
      <c r="Q681">
        <v>0.77</v>
      </c>
      <c r="R681">
        <v>71</v>
      </c>
      <c r="S681">
        <v>12.5</v>
      </c>
      <c r="T681">
        <v>0.9</v>
      </c>
      <c r="U681" s="1">
        <v>45364</v>
      </c>
      <c r="V681">
        <v>189.48</v>
      </c>
      <c r="W681">
        <v>0.66800000000000004</v>
      </c>
      <c r="X681" t="str">
        <f>IF(WarehouseData[[#This Row],[stock_level]]&lt;=WarehouseData[[#This Row],[reorder_point]],"Low Stock","Sufficient Stock")</f>
        <v>Sufficient Stock</v>
      </c>
      <c r="Y681">
        <f>WarehouseData[[#This Row],[daily_demand]]*WarehouseData[[#This Row],[lead_time_days]]</f>
        <v>233.73000000000002</v>
      </c>
      <c r="Z681" t="str">
        <f>IF(WarehouseData[[#This Row],[stock_level]]&lt;=WarehouseData[[#This Row],[Demand During Lead Time]],"At Risk","Safe")</f>
        <v>Safe</v>
      </c>
      <c r="AA681">
        <f>WarehouseData[[#This Row],[stock_level]]/WarehouseData[[#This Row],[daily_demand]]</f>
        <v>12.099430967355495</v>
      </c>
      <c r="AB681">
        <f>WarehouseData[[#This Row],[stock_level]]*WarehouseData[[#This Row],[unit_price]]</f>
        <v>39385.96</v>
      </c>
      <c r="AC681">
        <f>WarehouseData[[#This Row],[stock_level]]*WarehouseData[[#This Row],[holding_cost_per_unit_day]]*30</f>
        <v>13695.599999999999</v>
      </c>
      <c r="AD681" t="str">
        <f>IF(WarehouseData[[#This Row],[order_fulfillment_rate]]&gt;=0.9,"Strong",IF(WarehouseData[[#This Row],[order_fulfillment_rate]]&gt;=0.8,"Moderate","Needs Attention"))</f>
        <v>Needs Attention</v>
      </c>
      <c r="AE681" t="str">
        <f>IF(WarehouseData[[#This Row],[picking_time_seconds]]&gt;120,"Slow",IF(WarehouseData[[#This Row],[picking_time_seconds]]&gt;=60,"Average","Fast"))</f>
        <v>Slow</v>
      </c>
    </row>
    <row r="682" spans="1:31" x14ac:dyDescent="0.25">
      <c r="A682" t="s">
        <v>820</v>
      </c>
      <c r="B682" t="s">
        <v>36</v>
      </c>
      <c r="C682">
        <v>214</v>
      </c>
      <c r="D682">
        <v>75</v>
      </c>
      <c r="E682">
        <v>6</v>
      </c>
      <c r="F682">
        <v>4</v>
      </c>
      <c r="G682">
        <v>20.34</v>
      </c>
      <c r="H682">
        <v>3.66</v>
      </c>
      <c r="I682">
        <v>0.76</v>
      </c>
      <c r="J682" t="s">
        <v>139</v>
      </c>
      <c r="K682" t="s">
        <v>34</v>
      </c>
      <c r="L682">
        <v>75</v>
      </c>
      <c r="M682">
        <v>4.8099999999999996</v>
      </c>
      <c r="N682">
        <v>92.62</v>
      </c>
      <c r="O682">
        <v>1.38</v>
      </c>
      <c r="P682">
        <v>4</v>
      </c>
      <c r="Q682">
        <v>0.83</v>
      </c>
      <c r="R682">
        <v>325</v>
      </c>
      <c r="S682">
        <v>7.62</v>
      </c>
      <c r="T682">
        <v>0.46</v>
      </c>
      <c r="U682" s="1">
        <v>45587</v>
      </c>
      <c r="V682">
        <v>147.6</v>
      </c>
      <c r="W682">
        <v>0.54200000000000004</v>
      </c>
      <c r="X682" t="str">
        <f>IF(WarehouseData[[#This Row],[stock_level]]&lt;=WarehouseData[[#This Row],[reorder_point]],"Low Stock","Sufficient Stock")</f>
        <v>Sufficient Stock</v>
      </c>
      <c r="Y682">
        <f>WarehouseData[[#This Row],[daily_demand]]*WarehouseData[[#This Row],[lead_time_days]]</f>
        <v>81.36</v>
      </c>
      <c r="Z682" t="str">
        <f>IF(WarehouseData[[#This Row],[stock_level]]&lt;=WarehouseData[[#This Row],[Demand During Lead Time]],"At Risk","Safe")</f>
        <v>Safe</v>
      </c>
      <c r="AA682">
        <f>WarehouseData[[#This Row],[stock_level]]/WarehouseData[[#This Row],[daily_demand]]</f>
        <v>10.521140609636184</v>
      </c>
      <c r="AB682">
        <f>WarehouseData[[#This Row],[stock_level]]*WarehouseData[[#This Row],[unit_price]]</f>
        <v>19820.68</v>
      </c>
      <c r="AC682">
        <f>WarehouseData[[#This Row],[stock_level]]*WarehouseData[[#This Row],[holding_cost_per_unit_day]]*30</f>
        <v>8859.6</v>
      </c>
      <c r="AD682" t="str">
        <f>IF(WarehouseData[[#This Row],[order_fulfillment_rate]]&gt;=0.9,"Strong",IF(WarehouseData[[#This Row],[order_fulfillment_rate]]&gt;=0.8,"Moderate","Needs Attention"))</f>
        <v>Moderate</v>
      </c>
      <c r="AE682" t="str">
        <f>IF(WarehouseData[[#This Row],[picking_time_seconds]]&gt;120,"Slow",IF(WarehouseData[[#This Row],[picking_time_seconds]]&gt;=60,"Average","Fast"))</f>
        <v>Average</v>
      </c>
    </row>
    <row r="683" spans="1:31" x14ac:dyDescent="0.25">
      <c r="A683" t="s">
        <v>821</v>
      </c>
      <c r="B683" t="s">
        <v>36</v>
      </c>
      <c r="C683">
        <v>386</v>
      </c>
      <c r="D683">
        <v>18</v>
      </c>
      <c r="E683">
        <v>8</v>
      </c>
      <c r="F683">
        <v>8</v>
      </c>
      <c r="G683">
        <v>37.46</v>
      </c>
      <c r="H683">
        <v>9.48</v>
      </c>
      <c r="I683">
        <v>0.32</v>
      </c>
      <c r="J683" t="s">
        <v>135</v>
      </c>
      <c r="K683" t="s">
        <v>52</v>
      </c>
      <c r="L683">
        <v>158</v>
      </c>
      <c r="M683">
        <v>1.8</v>
      </c>
      <c r="N683">
        <v>45.38</v>
      </c>
      <c r="O683">
        <v>0.93</v>
      </c>
      <c r="P683">
        <v>8</v>
      </c>
      <c r="Q683">
        <v>0.94</v>
      </c>
      <c r="R683">
        <v>910</v>
      </c>
      <c r="S683">
        <v>4.7</v>
      </c>
      <c r="T683">
        <v>0.88</v>
      </c>
      <c r="U683" s="1">
        <v>45615</v>
      </c>
      <c r="V683">
        <v>38.04</v>
      </c>
      <c r="W683">
        <v>0.57399999999999995</v>
      </c>
      <c r="X683" t="str">
        <f>IF(WarehouseData[[#This Row],[stock_level]]&lt;=WarehouseData[[#This Row],[reorder_point]],"Low Stock","Sufficient Stock")</f>
        <v>Sufficient Stock</v>
      </c>
      <c r="Y683">
        <f>WarehouseData[[#This Row],[daily_demand]]*WarehouseData[[#This Row],[lead_time_days]]</f>
        <v>299.68</v>
      </c>
      <c r="Z683" t="str">
        <f>IF(WarehouseData[[#This Row],[stock_level]]&lt;=WarehouseData[[#This Row],[Demand During Lead Time]],"At Risk","Safe")</f>
        <v>Safe</v>
      </c>
      <c r="AA683">
        <f>WarehouseData[[#This Row],[stock_level]]/WarehouseData[[#This Row],[daily_demand]]</f>
        <v>10.304324612920448</v>
      </c>
      <c r="AB683">
        <f>WarehouseData[[#This Row],[stock_level]]*WarehouseData[[#This Row],[unit_price]]</f>
        <v>17516.68</v>
      </c>
      <c r="AC683">
        <f>WarehouseData[[#This Row],[stock_level]]*WarehouseData[[#This Row],[holding_cost_per_unit_day]]*30</f>
        <v>10769.400000000001</v>
      </c>
      <c r="AD683" t="str">
        <f>IF(WarehouseData[[#This Row],[order_fulfillment_rate]]&gt;=0.9,"Strong",IF(WarehouseData[[#This Row],[order_fulfillment_rate]]&gt;=0.8,"Moderate","Needs Attention"))</f>
        <v>Strong</v>
      </c>
      <c r="AE683" t="str">
        <f>IF(WarehouseData[[#This Row],[picking_time_seconds]]&gt;120,"Slow",IF(WarehouseData[[#This Row],[picking_time_seconds]]&gt;=60,"Average","Fast"))</f>
        <v>Slow</v>
      </c>
    </row>
    <row r="684" spans="1:31" x14ac:dyDescent="0.25">
      <c r="A684" t="s">
        <v>822</v>
      </c>
      <c r="B684" t="s">
        <v>48</v>
      </c>
      <c r="C684">
        <v>299</v>
      </c>
      <c r="D684">
        <v>95</v>
      </c>
      <c r="E684">
        <v>10</v>
      </c>
      <c r="F684">
        <v>3</v>
      </c>
      <c r="G684">
        <v>44.96</v>
      </c>
      <c r="H684">
        <v>0.63</v>
      </c>
      <c r="I684">
        <v>0.43</v>
      </c>
      <c r="J684" t="s">
        <v>54</v>
      </c>
      <c r="K684" t="s">
        <v>34</v>
      </c>
      <c r="L684">
        <v>124</v>
      </c>
      <c r="M684">
        <v>0.78</v>
      </c>
      <c r="N684">
        <v>82.94</v>
      </c>
      <c r="O684">
        <v>0.71</v>
      </c>
      <c r="P684">
        <v>6</v>
      </c>
      <c r="Q684">
        <v>0.77</v>
      </c>
      <c r="R684">
        <v>988</v>
      </c>
      <c r="S684">
        <v>13.82</v>
      </c>
      <c r="T684">
        <v>0.6</v>
      </c>
      <c r="U684" s="1">
        <v>45429</v>
      </c>
      <c r="V684">
        <v>191.82</v>
      </c>
      <c r="W684">
        <v>0.66700000000000004</v>
      </c>
      <c r="X684" t="str">
        <f>IF(WarehouseData[[#This Row],[stock_level]]&lt;=WarehouseData[[#This Row],[reorder_point]],"Low Stock","Sufficient Stock")</f>
        <v>Sufficient Stock</v>
      </c>
      <c r="Y684">
        <f>WarehouseData[[#This Row],[daily_demand]]*WarehouseData[[#This Row],[lead_time_days]]</f>
        <v>134.88</v>
      </c>
      <c r="Z684" t="str">
        <f>IF(WarehouseData[[#This Row],[stock_level]]&lt;=WarehouseData[[#This Row],[Demand During Lead Time]],"At Risk","Safe")</f>
        <v>Safe</v>
      </c>
      <c r="AA684">
        <f>WarehouseData[[#This Row],[stock_level]]/WarehouseData[[#This Row],[daily_demand]]</f>
        <v>6.6503558718861209</v>
      </c>
      <c r="AB684">
        <f>WarehouseData[[#This Row],[stock_level]]*WarehouseData[[#This Row],[unit_price]]</f>
        <v>24799.059999999998</v>
      </c>
      <c r="AC684">
        <f>WarehouseData[[#This Row],[stock_level]]*WarehouseData[[#This Row],[holding_cost_per_unit_day]]*30</f>
        <v>6368.7</v>
      </c>
      <c r="AD684" t="str">
        <f>IF(WarehouseData[[#This Row],[order_fulfillment_rate]]&gt;=0.9,"Strong",IF(WarehouseData[[#This Row],[order_fulfillment_rate]]&gt;=0.8,"Moderate","Needs Attention"))</f>
        <v>Needs Attention</v>
      </c>
      <c r="AE684" t="str">
        <f>IF(WarehouseData[[#This Row],[picking_time_seconds]]&gt;120,"Slow",IF(WarehouseData[[#This Row],[picking_time_seconds]]&gt;=60,"Average","Fast"))</f>
        <v>Slow</v>
      </c>
    </row>
    <row r="685" spans="1:31" x14ac:dyDescent="0.25">
      <c r="A685" t="s">
        <v>823</v>
      </c>
      <c r="B685" t="s">
        <v>48</v>
      </c>
      <c r="C685">
        <v>302</v>
      </c>
      <c r="D685">
        <v>73</v>
      </c>
      <c r="E685">
        <v>11</v>
      </c>
      <c r="F685">
        <v>4</v>
      </c>
      <c r="G685">
        <v>46.38</v>
      </c>
      <c r="H685">
        <v>3.82</v>
      </c>
      <c r="I685">
        <v>0.84</v>
      </c>
      <c r="J685" t="s">
        <v>202</v>
      </c>
      <c r="K685" t="s">
        <v>52</v>
      </c>
      <c r="L685">
        <v>69</v>
      </c>
      <c r="M685">
        <v>2.23</v>
      </c>
      <c r="N685">
        <v>198.24</v>
      </c>
      <c r="O685">
        <v>0.88</v>
      </c>
      <c r="P685">
        <v>0</v>
      </c>
      <c r="Q685">
        <v>0.86</v>
      </c>
      <c r="R685">
        <v>457</v>
      </c>
      <c r="S685">
        <v>4.75</v>
      </c>
      <c r="T685">
        <v>0.25</v>
      </c>
      <c r="U685" s="1">
        <v>45613</v>
      </c>
      <c r="V685">
        <v>259.19</v>
      </c>
      <c r="W685">
        <v>0.59699999999999998</v>
      </c>
      <c r="X685" t="str">
        <f>IF(WarehouseData[[#This Row],[stock_level]]&lt;=WarehouseData[[#This Row],[reorder_point]],"Low Stock","Sufficient Stock")</f>
        <v>Sufficient Stock</v>
      </c>
      <c r="Y685">
        <f>WarehouseData[[#This Row],[daily_demand]]*WarehouseData[[#This Row],[lead_time_days]]</f>
        <v>185.52</v>
      </c>
      <c r="Z685" t="str">
        <f>IF(WarehouseData[[#This Row],[stock_level]]&lt;=WarehouseData[[#This Row],[Demand During Lead Time]],"At Risk","Safe")</f>
        <v>Safe</v>
      </c>
      <c r="AA685">
        <f>WarehouseData[[#This Row],[stock_level]]/WarehouseData[[#This Row],[daily_demand]]</f>
        <v>6.5114273393704183</v>
      </c>
      <c r="AB685">
        <f>WarehouseData[[#This Row],[stock_level]]*WarehouseData[[#This Row],[unit_price]]</f>
        <v>59868.480000000003</v>
      </c>
      <c r="AC685">
        <f>WarehouseData[[#This Row],[stock_level]]*WarehouseData[[#This Row],[holding_cost_per_unit_day]]*30</f>
        <v>7972.7999999999993</v>
      </c>
      <c r="AD685" t="str">
        <f>IF(WarehouseData[[#This Row],[order_fulfillment_rate]]&gt;=0.9,"Strong",IF(WarehouseData[[#This Row],[order_fulfillment_rate]]&gt;=0.8,"Moderate","Needs Attention"))</f>
        <v>Moderate</v>
      </c>
      <c r="AE685" t="str">
        <f>IF(WarehouseData[[#This Row],[picking_time_seconds]]&gt;120,"Slow",IF(WarehouseData[[#This Row],[picking_time_seconds]]&gt;=60,"Average","Fast"))</f>
        <v>Average</v>
      </c>
    </row>
    <row r="686" spans="1:31" x14ac:dyDescent="0.25">
      <c r="A686" t="s">
        <v>824</v>
      </c>
      <c r="B686" t="s">
        <v>40</v>
      </c>
      <c r="C686">
        <v>59</v>
      </c>
      <c r="D686">
        <v>95</v>
      </c>
      <c r="E686">
        <v>5</v>
      </c>
      <c r="F686">
        <v>4</v>
      </c>
      <c r="G686">
        <v>19.559999999999999</v>
      </c>
      <c r="H686">
        <v>1.75</v>
      </c>
      <c r="I686">
        <v>0.2</v>
      </c>
      <c r="J686" t="s">
        <v>183</v>
      </c>
      <c r="K686" t="s">
        <v>34</v>
      </c>
      <c r="L686">
        <v>72</v>
      </c>
      <c r="M686">
        <v>2.15</v>
      </c>
      <c r="N686">
        <v>61.27</v>
      </c>
      <c r="O686">
        <v>1.83</v>
      </c>
      <c r="P686">
        <v>0</v>
      </c>
      <c r="Q686">
        <v>0.73</v>
      </c>
      <c r="R686">
        <v>531</v>
      </c>
      <c r="S686">
        <v>8.31</v>
      </c>
      <c r="T686">
        <v>0.36</v>
      </c>
      <c r="U686" s="1">
        <v>45504</v>
      </c>
      <c r="V686">
        <v>59.61</v>
      </c>
      <c r="W686">
        <v>0.54600000000000004</v>
      </c>
      <c r="X686" t="str">
        <f>IF(WarehouseData[[#This Row],[stock_level]]&lt;=WarehouseData[[#This Row],[reorder_point]],"Low Stock","Sufficient Stock")</f>
        <v>Low Stock</v>
      </c>
      <c r="Y686">
        <f>WarehouseData[[#This Row],[daily_demand]]*WarehouseData[[#This Row],[lead_time_days]]</f>
        <v>78.239999999999995</v>
      </c>
      <c r="Z686" t="str">
        <f>IF(WarehouseData[[#This Row],[stock_level]]&lt;=WarehouseData[[#This Row],[Demand During Lead Time]],"At Risk","Safe")</f>
        <v>At Risk</v>
      </c>
      <c r="AA686">
        <f>WarehouseData[[#This Row],[stock_level]]/WarehouseData[[#This Row],[daily_demand]]</f>
        <v>3.0163599182004091</v>
      </c>
      <c r="AB686">
        <f>WarehouseData[[#This Row],[stock_level]]*WarehouseData[[#This Row],[unit_price]]</f>
        <v>3614.9300000000003</v>
      </c>
      <c r="AC686">
        <f>WarehouseData[[#This Row],[stock_level]]*WarehouseData[[#This Row],[holding_cost_per_unit_day]]*30</f>
        <v>3239.1</v>
      </c>
      <c r="AD686" t="str">
        <f>IF(WarehouseData[[#This Row],[order_fulfillment_rate]]&gt;=0.9,"Strong",IF(WarehouseData[[#This Row],[order_fulfillment_rate]]&gt;=0.8,"Moderate","Needs Attention"))</f>
        <v>Needs Attention</v>
      </c>
      <c r="AE686" t="str">
        <f>IF(WarehouseData[[#This Row],[picking_time_seconds]]&gt;120,"Slow",IF(WarehouseData[[#This Row],[picking_time_seconds]]&gt;=60,"Average","Fast"))</f>
        <v>Average</v>
      </c>
    </row>
    <row r="687" spans="1:31" x14ac:dyDescent="0.25">
      <c r="A687" t="s">
        <v>825</v>
      </c>
      <c r="B687" t="s">
        <v>73</v>
      </c>
      <c r="C687">
        <v>466</v>
      </c>
      <c r="D687">
        <v>31</v>
      </c>
      <c r="E687">
        <v>4</v>
      </c>
      <c r="F687">
        <v>4</v>
      </c>
      <c r="G687">
        <v>9.5</v>
      </c>
      <c r="H687">
        <v>1.7</v>
      </c>
      <c r="I687">
        <v>0.85</v>
      </c>
      <c r="J687" t="s">
        <v>281</v>
      </c>
      <c r="K687" t="s">
        <v>34</v>
      </c>
      <c r="L687">
        <v>110</v>
      </c>
      <c r="M687">
        <v>2.62</v>
      </c>
      <c r="N687">
        <v>154.86000000000001</v>
      </c>
      <c r="O687">
        <v>0.41</v>
      </c>
      <c r="P687">
        <v>5</v>
      </c>
      <c r="Q687">
        <v>0.84</v>
      </c>
      <c r="R687">
        <v>348</v>
      </c>
      <c r="S687">
        <v>4.43</v>
      </c>
      <c r="T687">
        <v>0.37</v>
      </c>
      <c r="U687" s="1">
        <v>45484</v>
      </c>
      <c r="V687">
        <v>34.57</v>
      </c>
      <c r="W687">
        <v>0.56000000000000005</v>
      </c>
      <c r="X687" t="str">
        <f>IF(WarehouseData[[#This Row],[stock_level]]&lt;=WarehouseData[[#This Row],[reorder_point]],"Low Stock","Sufficient Stock")</f>
        <v>Sufficient Stock</v>
      </c>
      <c r="Y687">
        <f>WarehouseData[[#This Row],[daily_demand]]*WarehouseData[[#This Row],[lead_time_days]]</f>
        <v>38</v>
      </c>
      <c r="Z687" t="str">
        <f>IF(WarehouseData[[#This Row],[stock_level]]&lt;=WarehouseData[[#This Row],[Demand During Lead Time]],"At Risk","Safe")</f>
        <v>Safe</v>
      </c>
      <c r="AA687">
        <f>WarehouseData[[#This Row],[stock_level]]/WarehouseData[[#This Row],[daily_demand]]</f>
        <v>49.05263157894737</v>
      </c>
      <c r="AB687">
        <f>WarehouseData[[#This Row],[stock_level]]*WarehouseData[[#This Row],[unit_price]]</f>
        <v>72164.760000000009</v>
      </c>
      <c r="AC687">
        <f>WarehouseData[[#This Row],[stock_level]]*WarehouseData[[#This Row],[holding_cost_per_unit_day]]*30</f>
        <v>5731.8</v>
      </c>
      <c r="AD687" t="str">
        <f>IF(WarehouseData[[#This Row],[order_fulfillment_rate]]&gt;=0.9,"Strong",IF(WarehouseData[[#This Row],[order_fulfillment_rate]]&gt;=0.8,"Moderate","Needs Attention"))</f>
        <v>Moderate</v>
      </c>
      <c r="AE687" t="str">
        <f>IF(WarehouseData[[#This Row],[picking_time_seconds]]&gt;120,"Slow",IF(WarehouseData[[#This Row],[picking_time_seconds]]&gt;=60,"Average","Fast"))</f>
        <v>Average</v>
      </c>
    </row>
    <row r="688" spans="1:31" x14ac:dyDescent="0.25">
      <c r="A688" t="s">
        <v>826</v>
      </c>
      <c r="B688" t="s">
        <v>36</v>
      </c>
      <c r="C688">
        <v>208</v>
      </c>
      <c r="D688">
        <v>43</v>
      </c>
      <c r="E688">
        <v>8</v>
      </c>
      <c r="F688">
        <v>5</v>
      </c>
      <c r="G688">
        <v>45.73</v>
      </c>
      <c r="H688">
        <v>8.25</v>
      </c>
      <c r="I688">
        <v>0.68</v>
      </c>
      <c r="J688" t="s">
        <v>84</v>
      </c>
      <c r="K688" t="s">
        <v>46</v>
      </c>
      <c r="L688">
        <v>176</v>
      </c>
      <c r="M688">
        <v>3.02</v>
      </c>
      <c r="N688">
        <v>21.28</v>
      </c>
      <c r="O688">
        <v>0.56999999999999995</v>
      </c>
      <c r="P688">
        <v>8</v>
      </c>
      <c r="Q688">
        <v>0.75</v>
      </c>
      <c r="R688">
        <v>326</v>
      </c>
      <c r="S688">
        <v>14.6</v>
      </c>
      <c r="T688">
        <v>0.81</v>
      </c>
      <c r="U688" s="1">
        <v>45523</v>
      </c>
      <c r="V688">
        <v>21.47</v>
      </c>
      <c r="W688">
        <v>0.69</v>
      </c>
      <c r="X688" t="str">
        <f>IF(WarehouseData[[#This Row],[stock_level]]&lt;=WarehouseData[[#This Row],[reorder_point]],"Low Stock","Sufficient Stock")</f>
        <v>Sufficient Stock</v>
      </c>
      <c r="Y688">
        <f>WarehouseData[[#This Row],[daily_demand]]*WarehouseData[[#This Row],[lead_time_days]]</f>
        <v>228.64999999999998</v>
      </c>
      <c r="Z688" t="str">
        <f>IF(WarehouseData[[#This Row],[stock_level]]&lt;=WarehouseData[[#This Row],[Demand During Lead Time]],"At Risk","Safe")</f>
        <v>At Risk</v>
      </c>
      <c r="AA688">
        <f>WarehouseData[[#This Row],[stock_level]]/WarehouseData[[#This Row],[daily_demand]]</f>
        <v>4.5484364749617319</v>
      </c>
      <c r="AB688">
        <f>WarehouseData[[#This Row],[stock_level]]*WarehouseData[[#This Row],[unit_price]]</f>
        <v>4426.24</v>
      </c>
      <c r="AC688">
        <f>WarehouseData[[#This Row],[stock_level]]*WarehouseData[[#This Row],[holding_cost_per_unit_day]]*30</f>
        <v>3556.7999999999997</v>
      </c>
      <c r="AD688" t="str">
        <f>IF(WarehouseData[[#This Row],[order_fulfillment_rate]]&gt;=0.9,"Strong",IF(WarehouseData[[#This Row],[order_fulfillment_rate]]&gt;=0.8,"Moderate","Needs Attention"))</f>
        <v>Needs Attention</v>
      </c>
      <c r="AE688" t="str">
        <f>IF(WarehouseData[[#This Row],[picking_time_seconds]]&gt;120,"Slow",IF(WarehouseData[[#This Row],[picking_time_seconds]]&gt;=60,"Average","Fast"))</f>
        <v>Slow</v>
      </c>
    </row>
    <row r="689" spans="1:31" x14ac:dyDescent="0.25">
      <c r="A689" t="s">
        <v>827</v>
      </c>
      <c r="B689" t="s">
        <v>73</v>
      </c>
      <c r="C689">
        <v>183</v>
      </c>
      <c r="D689">
        <v>64</v>
      </c>
      <c r="E689">
        <v>6</v>
      </c>
      <c r="F689">
        <v>8</v>
      </c>
      <c r="G689">
        <v>5.54</v>
      </c>
      <c r="H689">
        <v>9.2200000000000006</v>
      </c>
      <c r="I689">
        <v>0.41</v>
      </c>
      <c r="J689" t="s">
        <v>273</v>
      </c>
      <c r="K689" t="s">
        <v>52</v>
      </c>
      <c r="L689">
        <v>109</v>
      </c>
      <c r="M689">
        <v>4.97</v>
      </c>
      <c r="N689">
        <v>98.82</v>
      </c>
      <c r="O689">
        <v>1.25</v>
      </c>
      <c r="P689">
        <v>0</v>
      </c>
      <c r="Q689">
        <v>0.76</v>
      </c>
      <c r="R689">
        <v>865</v>
      </c>
      <c r="S689">
        <v>1.58</v>
      </c>
      <c r="T689">
        <v>0.36</v>
      </c>
      <c r="U689" s="1">
        <v>45330</v>
      </c>
      <c r="V689">
        <v>19.23</v>
      </c>
      <c r="W689">
        <v>0.52</v>
      </c>
      <c r="X689" t="str">
        <f>IF(WarehouseData[[#This Row],[stock_level]]&lt;=WarehouseData[[#This Row],[reorder_point]],"Low Stock","Sufficient Stock")</f>
        <v>Sufficient Stock</v>
      </c>
      <c r="Y689">
        <f>WarehouseData[[#This Row],[daily_demand]]*WarehouseData[[#This Row],[lead_time_days]]</f>
        <v>44.32</v>
      </c>
      <c r="Z689" t="str">
        <f>IF(WarehouseData[[#This Row],[stock_level]]&lt;=WarehouseData[[#This Row],[Demand During Lead Time]],"At Risk","Safe")</f>
        <v>Safe</v>
      </c>
      <c r="AA689">
        <f>WarehouseData[[#This Row],[stock_level]]/WarehouseData[[#This Row],[daily_demand]]</f>
        <v>33.032490974729242</v>
      </c>
      <c r="AB689">
        <f>WarehouseData[[#This Row],[stock_level]]*WarehouseData[[#This Row],[unit_price]]</f>
        <v>18084.059999999998</v>
      </c>
      <c r="AC689">
        <f>WarehouseData[[#This Row],[stock_level]]*WarehouseData[[#This Row],[holding_cost_per_unit_day]]*30</f>
        <v>6862.5</v>
      </c>
      <c r="AD689" t="str">
        <f>IF(WarehouseData[[#This Row],[order_fulfillment_rate]]&gt;=0.9,"Strong",IF(WarehouseData[[#This Row],[order_fulfillment_rate]]&gt;=0.8,"Moderate","Needs Attention"))</f>
        <v>Needs Attention</v>
      </c>
      <c r="AE689" t="str">
        <f>IF(WarehouseData[[#This Row],[picking_time_seconds]]&gt;120,"Slow",IF(WarehouseData[[#This Row],[picking_time_seconds]]&gt;=60,"Average","Fast"))</f>
        <v>Average</v>
      </c>
    </row>
    <row r="690" spans="1:31" x14ac:dyDescent="0.25">
      <c r="A690" t="s">
        <v>828</v>
      </c>
      <c r="B690" t="s">
        <v>73</v>
      </c>
      <c r="C690">
        <v>496</v>
      </c>
      <c r="D690">
        <v>38</v>
      </c>
      <c r="E690">
        <v>3</v>
      </c>
      <c r="F690">
        <v>5</v>
      </c>
      <c r="G690">
        <v>36.36</v>
      </c>
      <c r="H690">
        <v>7.89</v>
      </c>
      <c r="I690">
        <v>0.21</v>
      </c>
      <c r="J690" t="s">
        <v>221</v>
      </c>
      <c r="K690" t="s">
        <v>46</v>
      </c>
      <c r="L690">
        <v>148</v>
      </c>
      <c r="M690">
        <v>3.9</v>
      </c>
      <c r="N690">
        <v>21.1</v>
      </c>
      <c r="O690">
        <v>0.32</v>
      </c>
      <c r="P690">
        <v>2</v>
      </c>
      <c r="Q690">
        <v>0.81</v>
      </c>
      <c r="R690">
        <v>371</v>
      </c>
      <c r="S690">
        <v>3.44</v>
      </c>
      <c r="T690">
        <v>0.65</v>
      </c>
      <c r="U690" s="1">
        <v>45616</v>
      </c>
      <c r="V690">
        <v>254.2</v>
      </c>
      <c r="W690">
        <v>0.66600000000000004</v>
      </c>
      <c r="X690" t="str">
        <f>IF(WarehouseData[[#This Row],[stock_level]]&lt;=WarehouseData[[#This Row],[reorder_point]],"Low Stock","Sufficient Stock")</f>
        <v>Sufficient Stock</v>
      </c>
      <c r="Y690">
        <f>WarehouseData[[#This Row],[daily_demand]]*WarehouseData[[#This Row],[lead_time_days]]</f>
        <v>181.8</v>
      </c>
      <c r="Z690" t="str">
        <f>IF(WarehouseData[[#This Row],[stock_level]]&lt;=WarehouseData[[#This Row],[Demand During Lead Time]],"At Risk","Safe")</f>
        <v>Safe</v>
      </c>
      <c r="AA690">
        <f>WarehouseData[[#This Row],[stock_level]]/WarehouseData[[#This Row],[daily_demand]]</f>
        <v>13.641364136413642</v>
      </c>
      <c r="AB690">
        <f>WarehouseData[[#This Row],[stock_level]]*WarehouseData[[#This Row],[unit_price]]</f>
        <v>10465.6</v>
      </c>
      <c r="AC690">
        <f>WarehouseData[[#This Row],[stock_level]]*WarehouseData[[#This Row],[holding_cost_per_unit_day]]*30</f>
        <v>4761.6000000000004</v>
      </c>
      <c r="AD690" t="str">
        <f>IF(WarehouseData[[#This Row],[order_fulfillment_rate]]&gt;=0.9,"Strong",IF(WarehouseData[[#This Row],[order_fulfillment_rate]]&gt;=0.8,"Moderate","Needs Attention"))</f>
        <v>Moderate</v>
      </c>
      <c r="AE690" t="str">
        <f>IF(WarehouseData[[#This Row],[picking_time_seconds]]&gt;120,"Slow",IF(WarehouseData[[#This Row],[picking_time_seconds]]&gt;=60,"Average","Fast"))</f>
        <v>Slow</v>
      </c>
    </row>
    <row r="691" spans="1:31" x14ac:dyDescent="0.25">
      <c r="A691" t="s">
        <v>829</v>
      </c>
      <c r="B691" t="s">
        <v>40</v>
      </c>
      <c r="C691">
        <v>43</v>
      </c>
      <c r="D691">
        <v>47</v>
      </c>
      <c r="E691">
        <v>10</v>
      </c>
      <c r="F691">
        <v>5</v>
      </c>
      <c r="G691">
        <v>7.88</v>
      </c>
      <c r="H691">
        <v>9.7799999999999994</v>
      </c>
      <c r="I691">
        <v>0.18</v>
      </c>
      <c r="J691" t="s">
        <v>263</v>
      </c>
      <c r="K691" t="s">
        <v>34</v>
      </c>
      <c r="L691">
        <v>128</v>
      </c>
      <c r="M691">
        <v>0.66</v>
      </c>
      <c r="N691">
        <v>100.4</v>
      </c>
      <c r="O691">
        <v>1.79</v>
      </c>
      <c r="P691">
        <v>4</v>
      </c>
      <c r="Q691">
        <v>0.93</v>
      </c>
      <c r="R691">
        <v>164</v>
      </c>
      <c r="S691">
        <v>11.71</v>
      </c>
      <c r="T691">
        <v>0.72</v>
      </c>
      <c r="U691" s="1">
        <v>45339</v>
      </c>
      <c r="V691">
        <v>221.01</v>
      </c>
      <c r="W691">
        <v>0.627</v>
      </c>
      <c r="X691" t="str">
        <f>IF(WarehouseData[[#This Row],[stock_level]]&lt;=WarehouseData[[#This Row],[reorder_point]],"Low Stock","Sufficient Stock")</f>
        <v>Low Stock</v>
      </c>
      <c r="Y691">
        <f>WarehouseData[[#This Row],[daily_demand]]*WarehouseData[[#This Row],[lead_time_days]]</f>
        <v>39.4</v>
      </c>
      <c r="Z691" t="str">
        <f>IF(WarehouseData[[#This Row],[stock_level]]&lt;=WarehouseData[[#This Row],[Demand During Lead Time]],"At Risk","Safe")</f>
        <v>Safe</v>
      </c>
      <c r="AA691">
        <f>WarehouseData[[#This Row],[stock_level]]/WarehouseData[[#This Row],[daily_demand]]</f>
        <v>5.4568527918781724</v>
      </c>
      <c r="AB691">
        <f>WarehouseData[[#This Row],[stock_level]]*WarehouseData[[#This Row],[unit_price]]</f>
        <v>4317.2</v>
      </c>
      <c r="AC691">
        <f>WarehouseData[[#This Row],[stock_level]]*WarehouseData[[#This Row],[holding_cost_per_unit_day]]*30</f>
        <v>2309.1</v>
      </c>
      <c r="AD691" t="str">
        <f>IF(WarehouseData[[#This Row],[order_fulfillment_rate]]&gt;=0.9,"Strong",IF(WarehouseData[[#This Row],[order_fulfillment_rate]]&gt;=0.8,"Moderate","Needs Attention"))</f>
        <v>Strong</v>
      </c>
      <c r="AE691" t="str">
        <f>IF(WarehouseData[[#This Row],[picking_time_seconds]]&gt;120,"Slow",IF(WarehouseData[[#This Row],[picking_time_seconds]]&gt;=60,"Average","Fast"))</f>
        <v>Slow</v>
      </c>
    </row>
    <row r="692" spans="1:31" x14ac:dyDescent="0.25">
      <c r="A692" t="s">
        <v>830</v>
      </c>
      <c r="B692" t="s">
        <v>36</v>
      </c>
      <c r="C692">
        <v>43</v>
      </c>
      <c r="D692">
        <v>27</v>
      </c>
      <c r="E692">
        <v>11</v>
      </c>
      <c r="F692">
        <v>4</v>
      </c>
      <c r="G692">
        <v>20.079999999999998</v>
      </c>
      <c r="H692">
        <v>2.56</v>
      </c>
      <c r="I692">
        <v>0.4</v>
      </c>
      <c r="J692" t="s">
        <v>377</v>
      </c>
      <c r="K692" t="s">
        <v>46</v>
      </c>
      <c r="L692">
        <v>66</v>
      </c>
      <c r="M692">
        <v>3.71</v>
      </c>
      <c r="N692">
        <v>15.23</v>
      </c>
      <c r="O692">
        <v>0.19</v>
      </c>
      <c r="P692">
        <v>3</v>
      </c>
      <c r="Q692">
        <v>0.92</v>
      </c>
      <c r="R692">
        <v>321</v>
      </c>
      <c r="S692">
        <v>3.12</v>
      </c>
      <c r="T692">
        <v>0.82</v>
      </c>
      <c r="U692" s="1">
        <v>45498</v>
      </c>
      <c r="V692">
        <v>68.67</v>
      </c>
      <c r="W692">
        <v>0.71099999999999997</v>
      </c>
      <c r="X692" t="str">
        <f>IF(WarehouseData[[#This Row],[stock_level]]&lt;=WarehouseData[[#This Row],[reorder_point]],"Low Stock","Sufficient Stock")</f>
        <v>Sufficient Stock</v>
      </c>
      <c r="Y692">
        <f>WarehouseData[[#This Row],[daily_demand]]*WarehouseData[[#This Row],[lead_time_days]]</f>
        <v>80.319999999999993</v>
      </c>
      <c r="Z692" t="str">
        <f>IF(WarehouseData[[#This Row],[stock_level]]&lt;=WarehouseData[[#This Row],[Demand During Lead Time]],"At Risk","Safe")</f>
        <v>At Risk</v>
      </c>
      <c r="AA692">
        <f>WarehouseData[[#This Row],[stock_level]]/WarehouseData[[#This Row],[daily_demand]]</f>
        <v>2.1414342629482075</v>
      </c>
      <c r="AB692">
        <f>WarehouseData[[#This Row],[stock_level]]*WarehouseData[[#This Row],[unit_price]]</f>
        <v>654.89</v>
      </c>
      <c r="AC692">
        <f>WarehouseData[[#This Row],[stock_level]]*WarehouseData[[#This Row],[holding_cost_per_unit_day]]*30</f>
        <v>245.1</v>
      </c>
      <c r="AD692" t="str">
        <f>IF(WarehouseData[[#This Row],[order_fulfillment_rate]]&gt;=0.9,"Strong",IF(WarehouseData[[#This Row],[order_fulfillment_rate]]&gt;=0.8,"Moderate","Needs Attention"))</f>
        <v>Strong</v>
      </c>
      <c r="AE692" t="str">
        <f>IF(WarehouseData[[#This Row],[picking_time_seconds]]&gt;120,"Slow",IF(WarehouseData[[#This Row],[picking_time_seconds]]&gt;=60,"Average","Fast"))</f>
        <v>Average</v>
      </c>
    </row>
    <row r="693" spans="1:31" x14ac:dyDescent="0.25">
      <c r="A693" t="s">
        <v>831</v>
      </c>
      <c r="B693" t="s">
        <v>36</v>
      </c>
      <c r="C693">
        <v>23</v>
      </c>
      <c r="D693">
        <v>80</v>
      </c>
      <c r="E693">
        <v>11</v>
      </c>
      <c r="F693">
        <v>3</v>
      </c>
      <c r="G693">
        <v>21.17</v>
      </c>
      <c r="H693">
        <v>1.84</v>
      </c>
      <c r="I693">
        <v>0.23</v>
      </c>
      <c r="J693" t="s">
        <v>565</v>
      </c>
      <c r="K693" t="s">
        <v>38</v>
      </c>
      <c r="L693">
        <v>140</v>
      </c>
      <c r="M693">
        <v>4.21</v>
      </c>
      <c r="N693">
        <v>126.53</v>
      </c>
      <c r="O693">
        <v>1.54</v>
      </c>
      <c r="P693">
        <v>0</v>
      </c>
      <c r="Q693">
        <v>0.82</v>
      </c>
      <c r="R693">
        <v>217</v>
      </c>
      <c r="S693">
        <v>14.71</v>
      </c>
      <c r="T693">
        <v>0.83</v>
      </c>
      <c r="U693" s="1">
        <v>45555</v>
      </c>
      <c r="V693">
        <v>275.95999999999998</v>
      </c>
      <c r="W693">
        <v>0.77200000000000002</v>
      </c>
      <c r="X693" t="str">
        <f>IF(WarehouseData[[#This Row],[stock_level]]&lt;=WarehouseData[[#This Row],[reorder_point]],"Low Stock","Sufficient Stock")</f>
        <v>Low Stock</v>
      </c>
      <c r="Y693">
        <f>WarehouseData[[#This Row],[daily_demand]]*WarehouseData[[#This Row],[lead_time_days]]</f>
        <v>63.510000000000005</v>
      </c>
      <c r="Z693" t="str">
        <f>IF(WarehouseData[[#This Row],[stock_level]]&lt;=WarehouseData[[#This Row],[Demand During Lead Time]],"At Risk","Safe")</f>
        <v>At Risk</v>
      </c>
      <c r="AA693">
        <f>WarehouseData[[#This Row],[stock_level]]/WarehouseData[[#This Row],[daily_demand]]</f>
        <v>1.086443079829948</v>
      </c>
      <c r="AB693">
        <f>WarehouseData[[#This Row],[stock_level]]*WarehouseData[[#This Row],[unit_price]]</f>
        <v>2910.19</v>
      </c>
      <c r="AC693">
        <f>WarehouseData[[#This Row],[stock_level]]*WarehouseData[[#This Row],[holding_cost_per_unit_day]]*30</f>
        <v>1062.6000000000001</v>
      </c>
      <c r="AD693" t="str">
        <f>IF(WarehouseData[[#This Row],[order_fulfillment_rate]]&gt;=0.9,"Strong",IF(WarehouseData[[#This Row],[order_fulfillment_rate]]&gt;=0.8,"Moderate","Needs Attention"))</f>
        <v>Moderate</v>
      </c>
      <c r="AE693" t="str">
        <f>IF(WarehouseData[[#This Row],[picking_time_seconds]]&gt;120,"Slow",IF(WarehouseData[[#This Row],[picking_time_seconds]]&gt;=60,"Average","Fast"))</f>
        <v>Slow</v>
      </c>
    </row>
    <row r="694" spans="1:31" x14ac:dyDescent="0.25">
      <c r="A694" t="s">
        <v>832</v>
      </c>
      <c r="B694" t="s">
        <v>32</v>
      </c>
      <c r="C694">
        <v>342</v>
      </c>
      <c r="D694">
        <v>74</v>
      </c>
      <c r="E694">
        <v>4</v>
      </c>
      <c r="F694">
        <v>4</v>
      </c>
      <c r="G694">
        <v>8.7799999999999994</v>
      </c>
      <c r="H694">
        <v>5.45</v>
      </c>
      <c r="I694">
        <v>0.34</v>
      </c>
      <c r="J694" t="s">
        <v>289</v>
      </c>
      <c r="K694" t="s">
        <v>46</v>
      </c>
      <c r="L694">
        <v>46</v>
      </c>
      <c r="M694">
        <v>4.53</v>
      </c>
      <c r="N694">
        <v>121.44</v>
      </c>
      <c r="O694">
        <v>0.81</v>
      </c>
      <c r="P694">
        <v>9</v>
      </c>
      <c r="Q694">
        <v>0.74</v>
      </c>
      <c r="R694">
        <v>838</v>
      </c>
      <c r="S694">
        <v>5.5</v>
      </c>
      <c r="T694">
        <v>0.77</v>
      </c>
      <c r="U694" s="1">
        <v>45434</v>
      </c>
      <c r="V694">
        <v>49.25</v>
      </c>
      <c r="W694">
        <v>0.51400000000000001</v>
      </c>
      <c r="X694" t="str">
        <f>IF(WarehouseData[[#This Row],[stock_level]]&lt;=WarehouseData[[#This Row],[reorder_point]],"Low Stock","Sufficient Stock")</f>
        <v>Sufficient Stock</v>
      </c>
      <c r="Y694">
        <f>WarehouseData[[#This Row],[daily_demand]]*WarehouseData[[#This Row],[lead_time_days]]</f>
        <v>35.119999999999997</v>
      </c>
      <c r="Z694" t="str">
        <f>IF(WarehouseData[[#This Row],[stock_level]]&lt;=WarehouseData[[#This Row],[Demand During Lead Time]],"At Risk","Safe")</f>
        <v>Safe</v>
      </c>
      <c r="AA694">
        <f>WarehouseData[[#This Row],[stock_level]]/WarehouseData[[#This Row],[daily_demand]]</f>
        <v>38.95216400911162</v>
      </c>
      <c r="AB694">
        <f>WarehouseData[[#This Row],[stock_level]]*WarehouseData[[#This Row],[unit_price]]</f>
        <v>41532.479999999996</v>
      </c>
      <c r="AC694">
        <f>WarehouseData[[#This Row],[stock_level]]*WarehouseData[[#This Row],[holding_cost_per_unit_day]]*30</f>
        <v>8310.6</v>
      </c>
      <c r="AD694" t="str">
        <f>IF(WarehouseData[[#This Row],[order_fulfillment_rate]]&gt;=0.9,"Strong",IF(WarehouseData[[#This Row],[order_fulfillment_rate]]&gt;=0.8,"Moderate","Needs Attention"))</f>
        <v>Needs Attention</v>
      </c>
      <c r="AE694" t="str">
        <f>IF(WarehouseData[[#This Row],[picking_time_seconds]]&gt;120,"Slow",IF(WarehouseData[[#This Row],[picking_time_seconds]]&gt;=60,"Average","Fast"))</f>
        <v>Fast</v>
      </c>
    </row>
    <row r="695" spans="1:31" x14ac:dyDescent="0.25">
      <c r="A695" t="s">
        <v>833</v>
      </c>
      <c r="B695" t="s">
        <v>73</v>
      </c>
      <c r="C695">
        <v>309</v>
      </c>
      <c r="D695">
        <v>10</v>
      </c>
      <c r="E695">
        <v>11</v>
      </c>
      <c r="F695">
        <v>2</v>
      </c>
      <c r="G695">
        <v>46.21</v>
      </c>
      <c r="H695">
        <v>8.3800000000000008</v>
      </c>
      <c r="I695">
        <v>0.15</v>
      </c>
      <c r="J695" t="s">
        <v>79</v>
      </c>
      <c r="K695" t="s">
        <v>52</v>
      </c>
      <c r="L695">
        <v>120</v>
      </c>
      <c r="M695">
        <v>2.41</v>
      </c>
      <c r="N695">
        <v>161.59</v>
      </c>
      <c r="O695">
        <v>0.2</v>
      </c>
      <c r="P695">
        <v>3</v>
      </c>
      <c r="Q695">
        <v>0.78</v>
      </c>
      <c r="R695">
        <v>485</v>
      </c>
      <c r="S695">
        <v>13.86</v>
      </c>
      <c r="T695">
        <v>0.37</v>
      </c>
      <c r="U695" s="1">
        <v>45647</v>
      </c>
      <c r="V695">
        <v>118.51</v>
      </c>
      <c r="W695">
        <v>0.73499999999999999</v>
      </c>
      <c r="X695" t="str">
        <f>IF(WarehouseData[[#This Row],[stock_level]]&lt;=WarehouseData[[#This Row],[reorder_point]],"Low Stock","Sufficient Stock")</f>
        <v>Sufficient Stock</v>
      </c>
      <c r="Y695">
        <f>WarehouseData[[#This Row],[daily_demand]]*WarehouseData[[#This Row],[lead_time_days]]</f>
        <v>92.42</v>
      </c>
      <c r="Z695" t="str">
        <f>IF(WarehouseData[[#This Row],[stock_level]]&lt;=WarehouseData[[#This Row],[Demand During Lead Time]],"At Risk","Safe")</f>
        <v>Safe</v>
      </c>
      <c r="AA695">
        <f>WarehouseData[[#This Row],[stock_level]]/WarehouseData[[#This Row],[daily_demand]]</f>
        <v>6.6868643150833149</v>
      </c>
      <c r="AB695">
        <f>WarehouseData[[#This Row],[stock_level]]*WarehouseData[[#This Row],[unit_price]]</f>
        <v>49931.31</v>
      </c>
      <c r="AC695">
        <f>WarehouseData[[#This Row],[stock_level]]*WarehouseData[[#This Row],[holding_cost_per_unit_day]]*30</f>
        <v>1854.0000000000002</v>
      </c>
      <c r="AD695" t="str">
        <f>IF(WarehouseData[[#This Row],[order_fulfillment_rate]]&gt;=0.9,"Strong",IF(WarehouseData[[#This Row],[order_fulfillment_rate]]&gt;=0.8,"Moderate","Needs Attention"))</f>
        <v>Needs Attention</v>
      </c>
      <c r="AE695" t="str">
        <f>IF(WarehouseData[[#This Row],[picking_time_seconds]]&gt;120,"Slow",IF(WarehouseData[[#This Row],[picking_time_seconds]]&gt;=60,"Average","Fast"))</f>
        <v>Average</v>
      </c>
    </row>
    <row r="696" spans="1:31" x14ac:dyDescent="0.25">
      <c r="A696" t="s">
        <v>834</v>
      </c>
      <c r="B696" t="s">
        <v>73</v>
      </c>
      <c r="C696">
        <v>460</v>
      </c>
      <c r="D696">
        <v>97</v>
      </c>
      <c r="E696">
        <v>9</v>
      </c>
      <c r="F696">
        <v>3</v>
      </c>
      <c r="G696">
        <v>1.1299999999999999</v>
      </c>
      <c r="H696">
        <v>0.88</v>
      </c>
      <c r="I696">
        <v>0.64</v>
      </c>
      <c r="J696" t="s">
        <v>68</v>
      </c>
      <c r="K696" t="s">
        <v>46</v>
      </c>
      <c r="L696">
        <v>162</v>
      </c>
      <c r="M696">
        <v>1.91</v>
      </c>
      <c r="N696">
        <v>120.82</v>
      </c>
      <c r="O696">
        <v>1.7</v>
      </c>
      <c r="P696">
        <v>3</v>
      </c>
      <c r="Q696">
        <v>0.85</v>
      </c>
      <c r="R696">
        <v>918</v>
      </c>
      <c r="S696">
        <v>10.27</v>
      </c>
      <c r="T696">
        <v>0.63</v>
      </c>
      <c r="U696" s="1">
        <v>45480</v>
      </c>
      <c r="V696">
        <v>141.11000000000001</v>
      </c>
      <c r="W696">
        <v>0.60299999999999998</v>
      </c>
      <c r="X696" t="str">
        <f>IF(WarehouseData[[#This Row],[stock_level]]&lt;=WarehouseData[[#This Row],[reorder_point]],"Low Stock","Sufficient Stock")</f>
        <v>Sufficient Stock</v>
      </c>
      <c r="Y696">
        <f>WarehouseData[[#This Row],[daily_demand]]*WarehouseData[[#This Row],[lead_time_days]]</f>
        <v>3.3899999999999997</v>
      </c>
      <c r="Z696" t="str">
        <f>IF(WarehouseData[[#This Row],[stock_level]]&lt;=WarehouseData[[#This Row],[Demand During Lead Time]],"At Risk","Safe")</f>
        <v>Safe</v>
      </c>
      <c r="AA696">
        <f>WarehouseData[[#This Row],[stock_level]]/WarehouseData[[#This Row],[daily_demand]]</f>
        <v>407.07964601769913</v>
      </c>
      <c r="AB696">
        <f>WarehouseData[[#This Row],[stock_level]]*WarehouseData[[#This Row],[unit_price]]</f>
        <v>55577.2</v>
      </c>
      <c r="AC696">
        <f>WarehouseData[[#This Row],[stock_level]]*WarehouseData[[#This Row],[holding_cost_per_unit_day]]*30</f>
        <v>23460</v>
      </c>
      <c r="AD696" t="str">
        <f>IF(WarehouseData[[#This Row],[order_fulfillment_rate]]&gt;=0.9,"Strong",IF(WarehouseData[[#This Row],[order_fulfillment_rate]]&gt;=0.8,"Moderate","Needs Attention"))</f>
        <v>Moderate</v>
      </c>
      <c r="AE696" t="str">
        <f>IF(WarehouseData[[#This Row],[picking_time_seconds]]&gt;120,"Slow",IF(WarehouseData[[#This Row],[picking_time_seconds]]&gt;=60,"Average","Fast"))</f>
        <v>Slow</v>
      </c>
    </row>
    <row r="697" spans="1:31" x14ac:dyDescent="0.25">
      <c r="A697" t="s">
        <v>835</v>
      </c>
      <c r="B697" t="s">
        <v>48</v>
      </c>
      <c r="C697">
        <v>452</v>
      </c>
      <c r="D697">
        <v>13</v>
      </c>
      <c r="E697">
        <v>7</v>
      </c>
      <c r="F697">
        <v>5</v>
      </c>
      <c r="G697">
        <v>44.8</v>
      </c>
      <c r="H697">
        <v>9.9600000000000009</v>
      </c>
      <c r="I697">
        <v>0.23</v>
      </c>
      <c r="J697" t="s">
        <v>144</v>
      </c>
      <c r="K697" t="s">
        <v>38</v>
      </c>
      <c r="L697">
        <v>158</v>
      </c>
      <c r="M697">
        <v>4.28</v>
      </c>
      <c r="N697">
        <v>185.94</v>
      </c>
      <c r="O697">
        <v>1.32</v>
      </c>
      <c r="P697">
        <v>9</v>
      </c>
      <c r="Q697">
        <v>0.96</v>
      </c>
      <c r="R697">
        <v>313</v>
      </c>
      <c r="S697">
        <v>9.8800000000000008</v>
      </c>
      <c r="T697">
        <v>0.43</v>
      </c>
      <c r="U697" s="1">
        <v>45524</v>
      </c>
      <c r="V697">
        <v>32.01</v>
      </c>
      <c r="W697">
        <v>0.498</v>
      </c>
      <c r="X697" t="str">
        <f>IF(WarehouseData[[#This Row],[stock_level]]&lt;=WarehouseData[[#This Row],[reorder_point]],"Low Stock","Sufficient Stock")</f>
        <v>Sufficient Stock</v>
      </c>
      <c r="Y697">
        <f>WarehouseData[[#This Row],[daily_demand]]*WarehouseData[[#This Row],[lead_time_days]]</f>
        <v>224</v>
      </c>
      <c r="Z697" t="str">
        <f>IF(WarehouseData[[#This Row],[stock_level]]&lt;=WarehouseData[[#This Row],[Demand During Lead Time]],"At Risk","Safe")</f>
        <v>Safe</v>
      </c>
      <c r="AA697">
        <f>WarehouseData[[#This Row],[stock_level]]/WarehouseData[[#This Row],[daily_demand]]</f>
        <v>10.089285714285715</v>
      </c>
      <c r="AB697">
        <f>WarehouseData[[#This Row],[stock_level]]*WarehouseData[[#This Row],[unit_price]]</f>
        <v>84044.88</v>
      </c>
      <c r="AC697">
        <f>WarehouseData[[#This Row],[stock_level]]*WarehouseData[[#This Row],[holding_cost_per_unit_day]]*30</f>
        <v>17899.2</v>
      </c>
      <c r="AD697" t="str">
        <f>IF(WarehouseData[[#This Row],[order_fulfillment_rate]]&gt;=0.9,"Strong",IF(WarehouseData[[#This Row],[order_fulfillment_rate]]&gt;=0.8,"Moderate","Needs Attention"))</f>
        <v>Strong</v>
      </c>
      <c r="AE697" t="str">
        <f>IF(WarehouseData[[#This Row],[picking_time_seconds]]&gt;120,"Slow",IF(WarehouseData[[#This Row],[picking_time_seconds]]&gt;=60,"Average","Fast"))</f>
        <v>Slow</v>
      </c>
    </row>
    <row r="698" spans="1:31" x14ac:dyDescent="0.25">
      <c r="A698" t="s">
        <v>836</v>
      </c>
      <c r="B698" t="s">
        <v>32</v>
      </c>
      <c r="C698">
        <v>490</v>
      </c>
      <c r="D698">
        <v>13</v>
      </c>
      <c r="E698">
        <v>9</v>
      </c>
      <c r="F698">
        <v>9</v>
      </c>
      <c r="G698">
        <v>44.31</v>
      </c>
      <c r="H698">
        <v>6.22</v>
      </c>
      <c r="I698">
        <v>0.78</v>
      </c>
      <c r="J698" t="s">
        <v>98</v>
      </c>
      <c r="K698" t="s">
        <v>46</v>
      </c>
      <c r="L698">
        <v>121</v>
      </c>
      <c r="M698">
        <v>4</v>
      </c>
      <c r="N698">
        <v>158.79</v>
      </c>
      <c r="O698">
        <v>0.12</v>
      </c>
      <c r="P698">
        <v>3</v>
      </c>
      <c r="Q698">
        <v>0.99</v>
      </c>
      <c r="R698">
        <v>299</v>
      </c>
      <c r="S698">
        <v>13.82</v>
      </c>
      <c r="T698">
        <v>0.82</v>
      </c>
      <c r="U698" s="1">
        <v>45541</v>
      </c>
      <c r="V698">
        <v>110.77</v>
      </c>
      <c r="W698">
        <v>0.874</v>
      </c>
      <c r="X698" t="str">
        <f>IF(WarehouseData[[#This Row],[stock_level]]&lt;=WarehouseData[[#This Row],[reorder_point]],"Low Stock","Sufficient Stock")</f>
        <v>Sufficient Stock</v>
      </c>
      <c r="Y698">
        <f>WarehouseData[[#This Row],[daily_demand]]*WarehouseData[[#This Row],[lead_time_days]]</f>
        <v>398.79</v>
      </c>
      <c r="Z698" t="str">
        <f>IF(WarehouseData[[#This Row],[stock_level]]&lt;=WarehouseData[[#This Row],[Demand During Lead Time]],"At Risk","Safe")</f>
        <v>Safe</v>
      </c>
      <c r="AA698">
        <f>WarehouseData[[#This Row],[stock_level]]/WarehouseData[[#This Row],[daily_demand]]</f>
        <v>11.058451816745656</v>
      </c>
      <c r="AB698">
        <f>WarehouseData[[#This Row],[stock_level]]*WarehouseData[[#This Row],[unit_price]]</f>
        <v>77807.099999999991</v>
      </c>
      <c r="AC698">
        <f>WarehouseData[[#This Row],[stock_level]]*WarehouseData[[#This Row],[holding_cost_per_unit_day]]*30</f>
        <v>1764</v>
      </c>
      <c r="AD698" t="str">
        <f>IF(WarehouseData[[#This Row],[order_fulfillment_rate]]&gt;=0.9,"Strong",IF(WarehouseData[[#This Row],[order_fulfillment_rate]]&gt;=0.8,"Moderate","Needs Attention"))</f>
        <v>Strong</v>
      </c>
      <c r="AE698" t="str">
        <f>IF(WarehouseData[[#This Row],[picking_time_seconds]]&gt;120,"Slow",IF(WarehouseData[[#This Row],[picking_time_seconds]]&gt;=60,"Average","Fast"))</f>
        <v>Slow</v>
      </c>
    </row>
    <row r="699" spans="1:31" x14ac:dyDescent="0.25">
      <c r="A699" t="s">
        <v>837</v>
      </c>
      <c r="B699" t="s">
        <v>48</v>
      </c>
      <c r="C699">
        <v>200</v>
      </c>
      <c r="D699">
        <v>91</v>
      </c>
      <c r="E699">
        <v>11</v>
      </c>
      <c r="F699">
        <v>7</v>
      </c>
      <c r="G699">
        <v>16.53</v>
      </c>
      <c r="H699">
        <v>9.8000000000000007</v>
      </c>
      <c r="I699">
        <v>0.3</v>
      </c>
      <c r="J699" t="s">
        <v>106</v>
      </c>
      <c r="K699" t="s">
        <v>34</v>
      </c>
      <c r="L699">
        <v>179</v>
      </c>
      <c r="M699">
        <v>2.91</v>
      </c>
      <c r="N699">
        <v>35.200000000000003</v>
      </c>
      <c r="O699">
        <v>0.61</v>
      </c>
      <c r="P699">
        <v>2</v>
      </c>
      <c r="Q699">
        <v>0.89</v>
      </c>
      <c r="R699">
        <v>511</v>
      </c>
      <c r="S699">
        <v>8.19</v>
      </c>
      <c r="T699">
        <v>0.8</v>
      </c>
      <c r="U699" s="1">
        <v>45459</v>
      </c>
      <c r="V699">
        <v>39.549999999999997</v>
      </c>
      <c r="W699">
        <v>0.746</v>
      </c>
      <c r="X699" t="str">
        <f>IF(WarehouseData[[#This Row],[stock_level]]&lt;=WarehouseData[[#This Row],[reorder_point]],"Low Stock","Sufficient Stock")</f>
        <v>Sufficient Stock</v>
      </c>
      <c r="Y699">
        <f>WarehouseData[[#This Row],[daily_demand]]*WarehouseData[[#This Row],[lead_time_days]]</f>
        <v>115.71000000000001</v>
      </c>
      <c r="Z699" t="str">
        <f>IF(WarehouseData[[#This Row],[stock_level]]&lt;=WarehouseData[[#This Row],[Demand During Lead Time]],"At Risk","Safe")</f>
        <v>Safe</v>
      </c>
      <c r="AA699">
        <f>WarehouseData[[#This Row],[stock_level]]/WarehouseData[[#This Row],[daily_demand]]</f>
        <v>12.099213551119176</v>
      </c>
      <c r="AB699">
        <f>WarehouseData[[#This Row],[stock_level]]*WarehouseData[[#This Row],[unit_price]]</f>
        <v>7040.0000000000009</v>
      </c>
      <c r="AC699">
        <f>WarehouseData[[#This Row],[stock_level]]*WarehouseData[[#This Row],[holding_cost_per_unit_day]]*30</f>
        <v>3660</v>
      </c>
      <c r="AD699" t="str">
        <f>IF(WarehouseData[[#This Row],[order_fulfillment_rate]]&gt;=0.9,"Strong",IF(WarehouseData[[#This Row],[order_fulfillment_rate]]&gt;=0.8,"Moderate","Needs Attention"))</f>
        <v>Moderate</v>
      </c>
      <c r="AE699" t="str">
        <f>IF(WarehouseData[[#This Row],[picking_time_seconds]]&gt;120,"Slow",IF(WarehouseData[[#This Row],[picking_time_seconds]]&gt;=60,"Average","Fast"))</f>
        <v>Slow</v>
      </c>
    </row>
    <row r="700" spans="1:31" x14ac:dyDescent="0.25">
      <c r="A700" t="s">
        <v>838</v>
      </c>
      <c r="B700" t="s">
        <v>48</v>
      </c>
      <c r="C700">
        <v>267</v>
      </c>
      <c r="D700">
        <v>36</v>
      </c>
      <c r="E700">
        <v>10</v>
      </c>
      <c r="F700">
        <v>7</v>
      </c>
      <c r="G700">
        <v>35.51</v>
      </c>
      <c r="H700">
        <v>3.97</v>
      </c>
      <c r="I700">
        <v>0.82</v>
      </c>
      <c r="J700" t="s">
        <v>245</v>
      </c>
      <c r="K700" t="s">
        <v>34</v>
      </c>
      <c r="L700">
        <v>10</v>
      </c>
      <c r="M700">
        <v>1.03</v>
      </c>
      <c r="N700">
        <v>60.44</v>
      </c>
      <c r="O700">
        <v>0.77</v>
      </c>
      <c r="P700">
        <v>6</v>
      </c>
      <c r="Q700">
        <v>0.81</v>
      </c>
      <c r="R700">
        <v>927</v>
      </c>
      <c r="S700">
        <v>6.61</v>
      </c>
      <c r="T700">
        <v>0.38</v>
      </c>
      <c r="U700" s="1">
        <v>45589</v>
      </c>
      <c r="V700">
        <v>239.03</v>
      </c>
      <c r="W700">
        <v>0.52900000000000003</v>
      </c>
      <c r="X700" t="str">
        <f>IF(WarehouseData[[#This Row],[stock_level]]&lt;=WarehouseData[[#This Row],[reorder_point]],"Low Stock","Sufficient Stock")</f>
        <v>Sufficient Stock</v>
      </c>
      <c r="Y700">
        <f>WarehouseData[[#This Row],[daily_demand]]*WarehouseData[[#This Row],[lead_time_days]]</f>
        <v>248.57</v>
      </c>
      <c r="Z700" t="str">
        <f>IF(WarehouseData[[#This Row],[stock_level]]&lt;=WarehouseData[[#This Row],[Demand During Lead Time]],"At Risk","Safe")</f>
        <v>Safe</v>
      </c>
      <c r="AA700">
        <f>WarehouseData[[#This Row],[stock_level]]/WarehouseData[[#This Row],[daily_demand]]</f>
        <v>7.51900872993523</v>
      </c>
      <c r="AB700">
        <f>WarehouseData[[#This Row],[stock_level]]*WarehouseData[[#This Row],[unit_price]]</f>
        <v>16137.48</v>
      </c>
      <c r="AC700">
        <f>WarehouseData[[#This Row],[stock_level]]*WarehouseData[[#This Row],[holding_cost_per_unit_day]]*30</f>
        <v>6167.7</v>
      </c>
      <c r="AD700" t="str">
        <f>IF(WarehouseData[[#This Row],[order_fulfillment_rate]]&gt;=0.9,"Strong",IF(WarehouseData[[#This Row],[order_fulfillment_rate]]&gt;=0.8,"Moderate","Needs Attention"))</f>
        <v>Moderate</v>
      </c>
      <c r="AE700" t="str">
        <f>IF(WarehouseData[[#This Row],[picking_time_seconds]]&gt;120,"Slow",IF(WarehouseData[[#This Row],[picking_time_seconds]]&gt;=60,"Average","Fast"))</f>
        <v>Fast</v>
      </c>
    </row>
    <row r="701" spans="1:31" x14ac:dyDescent="0.25">
      <c r="A701" t="s">
        <v>839</v>
      </c>
      <c r="B701" t="s">
        <v>48</v>
      </c>
      <c r="C701">
        <v>135</v>
      </c>
      <c r="D701">
        <v>52</v>
      </c>
      <c r="E701">
        <v>8</v>
      </c>
      <c r="F701">
        <v>8</v>
      </c>
      <c r="G701">
        <v>13.39</v>
      </c>
      <c r="H701">
        <v>4.8499999999999996</v>
      </c>
      <c r="I701">
        <v>0.27</v>
      </c>
      <c r="J701" t="s">
        <v>357</v>
      </c>
      <c r="K701" t="s">
        <v>34</v>
      </c>
      <c r="L701">
        <v>32</v>
      </c>
      <c r="M701">
        <v>3.43</v>
      </c>
      <c r="N701">
        <v>14.98</v>
      </c>
      <c r="O701">
        <v>0.71</v>
      </c>
      <c r="P701">
        <v>0</v>
      </c>
      <c r="Q701">
        <v>0.91</v>
      </c>
      <c r="R701">
        <v>488</v>
      </c>
      <c r="S701">
        <v>4.05</v>
      </c>
      <c r="T701">
        <v>0.71</v>
      </c>
      <c r="U701" s="1">
        <v>45293</v>
      </c>
      <c r="V701">
        <v>23.58</v>
      </c>
      <c r="W701">
        <v>0.70699999999999996</v>
      </c>
      <c r="X701" t="str">
        <f>IF(WarehouseData[[#This Row],[stock_level]]&lt;=WarehouseData[[#This Row],[reorder_point]],"Low Stock","Sufficient Stock")</f>
        <v>Sufficient Stock</v>
      </c>
      <c r="Y701">
        <f>WarehouseData[[#This Row],[daily_demand]]*WarehouseData[[#This Row],[lead_time_days]]</f>
        <v>107.12</v>
      </c>
      <c r="Z701" t="str">
        <f>IF(WarehouseData[[#This Row],[stock_level]]&lt;=WarehouseData[[#This Row],[Demand During Lead Time]],"At Risk","Safe")</f>
        <v>Safe</v>
      </c>
      <c r="AA701">
        <f>WarehouseData[[#This Row],[stock_level]]/WarehouseData[[#This Row],[daily_demand]]</f>
        <v>10.082150858849888</v>
      </c>
      <c r="AB701">
        <f>WarehouseData[[#This Row],[stock_level]]*WarehouseData[[#This Row],[unit_price]]</f>
        <v>2022.3</v>
      </c>
      <c r="AC701">
        <f>WarehouseData[[#This Row],[stock_level]]*WarehouseData[[#This Row],[holding_cost_per_unit_day]]*30</f>
        <v>2875.5</v>
      </c>
      <c r="AD701" t="str">
        <f>IF(WarehouseData[[#This Row],[order_fulfillment_rate]]&gt;=0.9,"Strong",IF(WarehouseData[[#This Row],[order_fulfillment_rate]]&gt;=0.8,"Moderate","Needs Attention"))</f>
        <v>Strong</v>
      </c>
      <c r="AE701" t="str">
        <f>IF(WarehouseData[[#This Row],[picking_time_seconds]]&gt;120,"Slow",IF(WarehouseData[[#This Row],[picking_time_seconds]]&gt;=60,"Average","Fast"))</f>
        <v>Fast</v>
      </c>
    </row>
    <row r="702" spans="1:31" x14ac:dyDescent="0.25">
      <c r="A702" t="s">
        <v>840</v>
      </c>
      <c r="B702" t="s">
        <v>40</v>
      </c>
      <c r="C702">
        <v>298</v>
      </c>
      <c r="D702">
        <v>68</v>
      </c>
      <c r="E702">
        <v>6</v>
      </c>
      <c r="F702">
        <v>9</v>
      </c>
      <c r="G702">
        <v>38.18</v>
      </c>
      <c r="H702">
        <v>7.65</v>
      </c>
      <c r="I702">
        <v>0.75</v>
      </c>
      <c r="J702" t="s">
        <v>98</v>
      </c>
      <c r="K702" t="s">
        <v>52</v>
      </c>
      <c r="L702">
        <v>116</v>
      </c>
      <c r="M702">
        <v>0.8</v>
      </c>
      <c r="N702">
        <v>83.37</v>
      </c>
      <c r="O702">
        <v>1.05</v>
      </c>
      <c r="P702">
        <v>1</v>
      </c>
      <c r="Q702">
        <v>0.8</v>
      </c>
      <c r="R702">
        <v>816</v>
      </c>
      <c r="S702">
        <v>3.02</v>
      </c>
      <c r="T702">
        <v>0.25</v>
      </c>
      <c r="U702" s="1">
        <v>45339</v>
      </c>
      <c r="V702">
        <v>14.97</v>
      </c>
      <c r="W702">
        <v>0.52500000000000002</v>
      </c>
      <c r="X702" t="str">
        <f>IF(WarehouseData[[#This Row],[stock_level]]&lt;=WarehouseData[[#This Row],[reorder_point]],"Low Stock","Sufficient Stock")</f>
        <v>Sufficient Stock</v>
      </c>
      <c r="Y702">
        <f>WarehouseData[[#This Row],[daily_demand]]*WarehouseData[[#This Row],[lead_time_days]]</f>
        <v>343.62</v>
      </c>
      <c r="Z702" t="str">
        <f>IF(WarehouseData[[#This Row],[stock_level]]&lt;=WarehouseData[[#This Row],[Demand During Lead Time]],"At Risk","Safe")</f>
        <v>At Risk</v>
      </c>
      <c r="AA702">
        <f>WarehouseData[[#This Row],[stock_level]]/WarehouseData[[#This Row],[daily_demand]]</f>
        <v>7.8051335777894186</v>
      </c>
      <c r="AB702">
        <f>WarehouseData[[#This Row],[stock_level]]*WarehouseData[[#This Row],[unit_price]]</f>
        <v>24844.260000000002</v>
      </c>
      <c r="AC702">
        <f>WarehouseData[[#This Row],[stock_level]]*WarehouseData[[#This Row],[holding_cost_per_unit_day]]*30</f>
        <v>9387.0000000000018</v>
      </c>
      <c r="AD702" t="str">
        <f>IF(WarehouseData[[#This Row],[order_fulfillment_rate]]&gt;=0.9,"Strong",IF(WarehouseData[[#This Row],[order_fulfillment_rate]]&gt;=0.8,"Moderate","Needs Attention"))</f>
        <v>Moderate</v>
      </c>
      <c r="AE702" t="str">
        <f>IF(WarehouseData[[#This Row],[picking_time_seconds]]&gt;120,"Slow",IF(WarehouseData[[#This Row],[picking_time_seconds]]&gt;=60,"Average","Fast"))</f>
        <v>Average</v>
      </c>
    </row>
    <row r="703" spans="1:31" x14ac:dyDescent="0.25">
      <c r="A703" t="s">
        <v>841</v>
      </c>
      <c r="B703" t="s">
        <v>40</v>
      </c>
      <c r="C703">
        <v>384</v>
      </c>
      <c r="D703">
        <v>41</v>
      </c>
      <c r="E703">
        <v>3</v>
      </c>
      <c r="F703">
        <v>6</v>
      </c>
      <c r="G703">
        <v>28.49</v>
      </c>
      <c r="H703">
        <v>8.0299999999999994</v>
      </c>
      <c r="I703">
        <v>0.4</v>
      </c>
      <c r="J703" t="s">
        <v>129</v>
      </c>
      <c r="K703" t="s">
        <v>46</v>
      </c>
      <c r="L703">
        <v>122</v>
      </c>
      <c r="M703">
        <v>0.95</v>
      </c>
      <c r="N703">
        <v>106.81</v>
      </c>
      <c r="O703">
        <v>1.1000000000000001</v>
      </c>
      <c r="P703">
        <v>0</v>
      </c>
      <c r="Q703">
        <v>0.89</v>
      </c>
      <c r="R703">
        <v>391</v>
      </c>
      <c r="S703">
        <v>12.08</v>
      </c>
      <c r="T703">
        <v>0.81</v>
      </c>
      <c r="U703" s="1">
        <v>45526</v>
      </c>
      <c r="V703">
        <v>222.42</v>
      </c>
      <c r="W703">
        <v>0.79100000000000004</v>
      </c>
      <c r="X703" t="str">
        <f>IF(WarehouseData[[#This Row],[stock_level]]&lt;=WarehouseData[[#This Row],[reorder_point]],"Low Stock","Sufficient Stock")</f>
        <v>Sufficient Stock</v>
      </c>
      <c r="Y703">
        <f>WarehouseData[[#This Row],[daily_demand]]*WarehouseData[[#This Row],[lead_time_days]]</f>
        <v>170.94</v>
      </c>
      <c r="Z703" t="str">
        <f>IF(WarehouseData[[#This Row],[stock_level]]&lt;=WarehouseData[[#This Row],[Demand During Lead Time]],"At Risk","Safe")</f>
        <v>Safe</v>
      </c>
      <c r="AA703">
        <f>WarehouseData[[#This Row],[stock_level]]/WarehouseData[[#This Row],[daily_demand]]</f>
        <v>13.478413478413479</v>
      </c>
      <c r="AB703">
        <f>WarehouseData[[#This Row],[stock_level]]*WarehouseData[[#This Row],[unit_price]]</f>
        <v>41015.040000000001</v>
      </c>
      <c r="AC703">
        <f>WarehouseData[[#This Row],[stock_level]]*WarehouseData[[#This Row],[holding_cost_per_unit_day]]*30</f>
        <v>12672.000000000002</v>
      </c>
      <c r="AD703" t="str">
        <f>IF(WarehouseData[[#This Row],[order_fulfillment_rate]]&gt;=0.9,"Strong",IF(WarehouseData[[#This Row],[order_fulfillment_rate]]&gt;=0.8,"Moderate","Needs Attention"))</f>
        <v>Moderate</v>
      </c>
      <c r="AE703" t="str">
        <f>IF(WarehouseData[[#This Row],[picking_time_seconds]]&gt;120,"Slow",IF(WarehouseData[[#This Row],[picking_time_seconds]]&gt;=60,"Average","Fast"))</f>
        <v>Slow</v>
      </c>
    </row>
    <row r="704" spans="1:31" x14ac:dyDescent="0.25">
      <c r="A704" t="s">
        <v>842</v>
      </c>
      <c r="B704" t="s">
        <v>48</v>
      </c>
      <c r="C704">
        <v>88</v>
      </c>
      <c r="D704">
        <v>42</v>
      </c>
      <c r="E704">
        <v>8</v>
      </c>
      <c r="F704">
        <v>8</v>
      </c>
      <c r="G704">
        <v>15.71</v>
      </c>
      <c r="H704">
        <v>2.71</v>
      </c>
      <c r="I704">
        <v>0.62</v>
      </c>
      <c r="J704" t="s">
        <v>263</v>
      </c>
      <c r="K704" t="s">
        <v>34</v>
      </c>
      <c r="L704">
        <v>161</v>
      </c>
      <c r="M704">
        <v>1.99</v>
      </c>
      <c r="N704">
        <v>189.73</v>
      </c>
      <c r="O704">
        <v>0.85</v>
      </c>
      <c r="P704">
        <v>3</v>
      </c>
      <c r="Q704">
        <v>0.77</v>
      </c>
      <c r="R704">
        <v>515</v>
      </c>
      <c r="S704">
        <v>2.79</v>
      </c>
      <c r="T704">
        <v>0.82</v>
      </c>
      <c r="U704" s="1">
        <v>45617</v>
      </c>
      <c r="V704">
        <v>236.45</v>
      </c>
      <c r="W704">
        <v>0.61</v>
      </c>
      <c r="X704" t="str">
        <f>IF(WarehouseData[[#This Row],[stock_level]]&lt;=WarehouseData[[#This Row],[reorder_point]],"Low Stock","Sufficient Stock")</f>
        <v>Sufficient Stock</v>
      </c>
      <c r="Y704">
        <f>WarehouseData[[#This Row],[daily_demand]]*WarehouseData[[#This Row],[lead_time_days]]</f>
        <v>125.68</v>
      </c>
      <c r="Z704" t="str">
        <f>IF(WarehouseData[[#This Row],[stock_level]]&lt;=WarehouseData[[#This Row],[Demand During Lead Time]],"At Risk","Safe")</f>
        <v>At Risk</v>
      </c>
      <c r="AA704">
        <f>WarehouseData[[#This Row],[stock_level]]/WarehouseData[[#This Row],[daily_demand]]</f>
        <v>5.6015276893698278</v>
      </c>
      <c r="AB704">
        <f>WarehouseData[[#This Row],[stock_level]]*WarehouseData[[#This Row],[unit_price]]</f>
        <v>16696.239999999998</v>
      </c>
      <c r="AC704">
        <f>WarehouseData[[#This Row],[stock_level]]*WarehouseData[[#This Row],[holding_cost_per_unit_day]]*30</f>
        <v>2244</v>
      </c>
      <c r="AD704" t="str">
        <f>IF(WarehouseData[[#This Row],[order_fulfillment_rate]]&gt;=0.9,"Strong",IF(WarehouseData[[#This Row],[order_fulfillment_rate]]&gt;=0.8,"Moderate","Needs Attention"))</f>
        <v>Needs Attention</v>
      </c>
      <c r="AE704" t="str">
        <f>IF(WarehouseData[[#This Row],[picking_time_seconds]]&gt;120,"Slow",IF(WarehouseData[[#This Row],[picking_time_seconds]]&gt;=60,"Average","Fast"))</f>
        <v>Slow</v>
      </c>
    </row>
    <row r="705" spans="1:31" x14ac:dyDescent="0.25">
      <c r="A705" t="s">
        <v>843</v>
      </c>
      <c r="B705" t="s">
        <v>32</v>
      </c>
      <c r="C705">
        <v>370</v>
      </c>
      <c r="D705">
        <v>37</v>
      </c>
      <c r="E705">
        <v>5</v>
      </c>
      <c r="F705">
        <v>3</v>
      </c>
      <c r="G705">
        <v>20.61</v>
      </c>
      <c r="H705">
        <v>9.33</v>
      </c>
      <c r="I705">
        <v>0.13</v>
      </c>
      <c r="J705" t="s">
        <v>49</v>
      </c>
      <c r="K705" t="s">
        <v>46</v>
      </c>
      <c r="L705">
        <v>98</v>
      </c>
      <c r="M705">
        <v>2.17</v>
      </c>
      <c r="N705">
        <v>109.23</v>
      </c>
      <c r="O705">
        <v>0.73</v>
      </c>
      <c r="P705">
        <v>4</v>
      </c>
      <c r="Q705">
        <v>0.78</v>
      </c>
      <c r="R705">
        <v>107</v>
      </c>
      <c r="S705">
        <v>6.52</v>
      </c>
      <c r="T705">
        <v>0.48</v>
      </c>
      <c r="U705" s="1">
        <v>45632</v>
      </c>
      <c r="V705">
        <v>153.72999999999999</v>
      </c>
      <c r="W705">
        <v>0.58599999999999997</v>
      </c>
      <c r="X705" t="str">
        <f>IF(WarehouseData[[#This Row],[stock_level]]&lt;=WarehouseData[[#This Row],[reorder_point]],"Low Stock","Sufficient Stock")</f>
        <v>Sufficient Stock</v>
      </c>
      <c r="Y705">
        <f>WarehouseData[[#This Row],[daily_demand]]*WarehouseData[[#This Row],[lead_time_days]]</f>
        <v>61.83</v>
      </c>
      <c r="Z705" t="str">
        <f>IF(WarehouseData[[#This Row],[stock_level]]&lt;=WarehouseData[[#This Row],[Demand During Lead Time]],"At Risk","Safe")</f>
        <v>Safe</v>
      </c>
      <c r="AA705">
        <f>WarehouseData[[#This Row],[stock_level]]/WarehouseData[[#This Row],[daily_demand]]</f>
        <v>17.952450266860748</v>
      </c>
      <c r="AB705">
        <f>WarehouseData[[#This Row],[stock_level]]*WarehouseData[[#This Row],[unit_price]]</f>
        <v>40415.1</v>
      </c>
      <c r="AC705">
        <f>WarehouseData[[#This Row],[stock_level]]*WarehouseData[[#This Row],[holding_cost_per_unit_day]]*30</f>
        <v>8102.9999999999991</v>
      </c>
      <c r="AD705" t="str">
        <f>IF(WarehouseData[[#This Row],[order_fulfillment_rate]]&gt;=0.9,"Strong",IF(WarehouseData[[#This Row],[order_fulfillment_rate]]&gt;=0.8,"Moderate","Needs Attention"))</f>
        <v>Needs Attention</v>
      </c>
      <c r="AE705" t="str">
        <f>IF(WarehouseData[[#This Row],[picking_time_seconds]]&gt;120,"Slow",IF(WarehouseData[[#This Row],[picking_time_seconds]]&gt;=60,"Average","Fast"))</f>
        <v>Average</v>
      </c>
    </row>
    <row r="706" spans="1:31" x14ac:dyDescent="0.25">
      <c r="A706" t="s">
        <v>844</v>
      </c>
      <c r="B706" t="s">
        <v>73</v>
      </c>
      <c r="C706">
        <v>273</v>
      </c>
      <c r="D706">
        <v>64</v>
      </c>
      <c r="E706">
        <v>8</v>
      </c>
      <c r="F706">
        <v>5</v>
      </c>
      <c r="G706">
        <v>34.799999999999997</v>
      </c>
      <c r="H706">
        <v>8.74</v>
      </c>
      <c r="I706">
        <v>0.55000000000000004</v>
      </c>
      <c r="J706" t="s">
        <v>33</v>
      </c>
      <c r="K706" t="s">
        <v>38</v>
      </c>
      <c r="L706">
        <v>144</v>
      </c>
      <c r="M706">
        <v>2.58</v>
      </c>
      <c r="N706">
        <v>158.4</v>
      </c>
      <c r="O706">
        <v>1.06</v>
      </c>
      <c r="P706">
        <v>9</v>
      </c>
      <c r="Q706">
        <v>0.72</v>
      </c>
      <c r="R706">
        <v>54</v>
      </c>
      <c r="S706">
        <v>6.73</v>
      </c>
      <c r="T706">
        <v>0.85</v>
      </c>
      <c r="U706" s="1">
        <v>45649</v>
      </c>
      <c r="V706">
        <v>102.18</v>
      </c>
      <c r="W706">
        <v>0.51800000000000002</v>
      </c>
      <c r="X706" t="str">
        <f>IF(WarehouseData[[#This Row],[stock_level]]&lt;=WarehouseData[[#This Row],[reorder_point]],"Low Stock","Sufficient Stock")</f>
        <v>Sufficient Stock</v>
      </c>
      <c r="Y706">
        <f>WarehouseData[[#This Row],[daily_demand]]*WarehouseData[[#This Row],[lead_time_days]]</f>
        <v>174</v>
      </c>
      <c r="Z706" t="str">
        <f>IF(WarehouseData[[#This Row],[stock_level]]&lt;=WarehouseData[[#This Row],[Demand During Lead Time]],"At Risk","Safe")</f>
        <v>Safe</v>
      </c>
      <c r="AA706">
        <f>WarehouseData[[#This Row],[stock_level]]/WarehouseData[[#This Row],[daily_demand]]</f>
        <v>7.8448275862068968</v>
      </c>
      <c r="AB706">
        <f>WarehouseData[[#This Row],[stock_level]]*WarehouseData[[#This Row],[unit_price]]</f>
        <v>43243.200000000004</v>
      </c>
      <c r="AC706">
        <f>WarehouseData[[#This Row],[stock_level]]*WarehouseData[[#This Row],[holding_cost_per_unit_day]]*30</f>
        <v>8681.4</v>
      </c>
      <c r="AD706" t="str">
        <f>IF(WarehouseData[[#This Row],[order_fulfillment_rate]]&gt;=0.9,"Strong",IF(WarehouseData[[#This Row],[order_fulfillment_rate]]&gt;=0.8,"Moderate","Needs Attention"))</f>
        <v>Needs Attention</v>
      </c>
      <c r="AE706" t="str">
        <f>IF(WarehouseData[[#This Row],[picking_time_seconds]]&gt;120,"Slow",IF(WarehouseData[[#This Row],[picking_time_seconds]]&gt;=60,"Average","Fast"))</f>
        <v>Slow</v>
      </c>
    </row>
    <row r="707" spans="1:31" x14ac:dyDescent="0.25">
      <c r="A707" t="s">
        <v>845</v>
      </c>
      <c r="B707" t="s">
        <v>32</v>
      </c>
      <c r="C707">
        <v>200</v>
      </c>
      <c r="D707">
        <v>69</v>
      </c>
      <c r="E707">
        <v>8</v>
      </c>
      <c r="F707">
        <v>3</v>
      </c>
      <c r="G707">
        <v>45.4</v>
      </c>
      <c r="H707">
        <v>0.67</v>
      </c>
      <c r="I707">
        <v>0.23</v>
      </c>
      <c r="J707" t="s">
        <v>45</v>
      </c>
      <c r="K707" t="s">
        <v>38</v>
      </c>
      <c r="L707">
        <v>47</v>
      </c>
      <c r="M707">
        <v>2.0299999999999998</v>
      </c>
      <c r="N707">
        <v>60.92</v>
      </c>
      <c r="O707">
        <v>0.16</v>
      </c>
      <c r="P707">
        <v>4</v>
      </c>
      <c r="Q707">
        <v>0.83</v>
      </c>
      <c r="R707">
        <v>987</v>
      </c>
      <c r="S707">
        <v>10.3</v>
      </c>
      <c r="T707">
        <v>0.89</v>
      </c>
      <c r="U707" s="1">
        <v>45475</v>
      </c>
      <c r="V707">
        <v>78.569999999999993</v>
      </c>
      <c r="W707">
        <v>0.78500000000000003</v>
      </c>
      <c r="X707" t="str">
        <f>IF(WarehouseData[[#This Row],[stock_level]]&lt;=WarehouseData[[#This Row],[reorder_point]],"Low Stock","Sufficient Stock")</f>
        <v>Sufficient Stock</v>
      </c>
      <c r="Y707">
        <f>WarehouseData[[#This Row],[daily_demand]]*WarehouseData[[#This Row],[lead_time_days]]</f>
        <v>136.19999999999999</v>
      </c>
      <c r="Z707" t="str">
        <f>IF(WarehouseData[[#This Row],[stock_level]]&lt;=WarehouseData[[#This Row],[Demand During Lead Time]],"At Risk","Safe")</f>
        <v>Safe</v>
      </c>
      <c r="AA707">
        <f>WarehouseData[[#This Row],[stock_level]]/WarehouseData[[#This Row],[daily_demand]]</f>
        <v>4.4052863436123353</v>
      </c>
      <c r="AB707">
        <f>WarehouseData[[#This Row],[stock_level]]*WarehouseData[[#This Row],[unit_price]]</f>
        <v>12184</v>
      </c>
      <c r="AC707">
        <f>WarehouseData[[#This Row],[stock_level]]*WarehouseData[[#This Row],[holding_cost_per_unit_day]]*30</f>
        <v>960</v>
      </c>
      <c r="AD707" t="str">
        <f>IF(WarehouseData[[#This Row],[order_fulfillment_rate]]&gt;=0.9,"Strong",IF(WarehouseData[[#This Row],[order_fulfillment_rate]]&gt;=0.8,"Moderate","Needs Attention"))</f>
        <v>Moderate</v>
      </c>
      <c r="AE707" t="str">
        <f>IF(WarehouseData[[#This Row],[picking_time_seconds]]&gt;120,"Slow",IF(WarehouseData[[#This Row],[picking_time_seconds]]&gt;=60,"Average","Fast"))</f>
        <v>Fast</v>
      </c>
    </row>
    <row r="708" spans="1:31" x14ac:dyDescent="0.25">
      <c r="A708" t="s">
        <v>846</v>
      </c>
      <c r="B708" t="s">
        <v>36</v>
      </c>
      <c r="C708">
        <v>337</v>
      </c>
      <c r="D708">
        <v>79</v>
      </c>
      <c r="E708">
        <v>6</v>
      </c>
      <c r="F708">
        <v>3</v>
      </c>
      <c r="G708">
        <v>7.41</v>
      </c>
      <c r="H708">
        <v>1.72</v>
      </c>
      <c r="I708">
        <v>0.54</v>
      </c>
      <c r="J708" t="s">
        <v>166</v>
      </c>
      <c r="K708" t="s">
        <v>52</v>
      </c>
      <c r="L708">
        <v>56</v>
      </c>
      <c r="M708">
        <v>0.65</v>
      </c>
      <c r="N708">
        <v>39.1</v>
      </c>
      <c r="O708">
        <v>1.33</v>
      </c>
      <c r="P708">
        <v>1</v>
      </c>
      <c r="Q708">
        <v>0.89</v>
      </c>
      <c r="R708">
        <v>672</v>
      </c>
      <c r="S708">
        <v>4.9000000000000004</v>
      </c>
      <c r="T708">
        <v>0.35</v>
      </c>
      <c r="U708" s="1">
        <v>45324</v>
      </c>
      <c r="V708">
        <v>43.94</v>
      </c>
      <c r="W708">
        <v>0.56000000000000005</v>
      </c>
      <c r="X708" t="str">
        <f>IF(WarehouseData[[#This Row],[stock_level]]&lt;=WarehouseData[[#This Row],[reorder_point]],"Low Stock","Sufficient Stock")</f>
        <v>Sufficient Stock</v>
      </c>
      <c r="Y708">
        <f>WarehouseData[[#This Row],[daily_demand]]*WarehouseData[[#This Row],[lead_time_days]]</f>
        <v>22.23</v>
      </c>
      <c r="Z708" t="str">
        <f>IF(WarehouseData[[#This Row],[stock_level]]&lt;=WarehouseData[[#This Row],[Demand During Lead Time]],"At Risk","Safe")</f>
        <v>Safe</v>
      </c>
      <c r="AA708">
        <f>WarehouseData[[#This Row],[stock_level]]/WarehouseData[[#This Row],[daily_demand]]</f>
        <v>45.479082321187583</v>
      </c>
      <c r="AB708">
        <f>WarehouseData[[#This Row],[stock_level]]*WarehouseData[[#This Row],[unit_price]]</f>
        <v>13176.7</v>
      </c>
      <c r="AC708">
        <f>WarehouseData[[#This Row],[stock_level]]*WarehouseData[[#This Row],[holding_cost_per_unit_day]]*30</f>
        <v>13446.300000000001</v>
      </c>
      <c r="AD708" t="str">
        <f>IF(WarehouseData[[#This Row],[order_fulfillment_rate]]&gt;=0.9,"Strong",IF(WarehouseData[[#This Row],[order_fulfillment_rate]]&gt;=0.8,"Moderate","Needs Attention"))</f>
        <v>Moderate</v>
      </c>
      <c r="AE708" t="str">
        <f>IF(WarehouseData[[#This Row],[picking_time_seconds]]&gt;120,"Slow",IF(WarehouseData[[#This Row],[picking_time_seconds]]&gt;=60,"Average","Fast"))</f>
        <v>Fast</v>
      </c>
    </row>
    <row r="709" spans="1:31" x14ac:dyDescent="0.25">
      <c r="A709" t="s">
        <v>847</v>
      </c>
      <c r="B709" t="s">
        <v>40</v>
      </c>
      <c r="C709">
        <v>188</v>
      </c>
      <c r="D709">
        <v>71</v>
      </c>
      <c r="E709">
        <v>4</v>
      </c>
      <c r="F709">
        <v>7</v>
      </c>
      <c r="G709">
        <v>29</v>
      </c>
      <c r="H709">
        <v>5.21</v>
      </c>
      <c r="I709">
        <v>0.23</v>
      </c>
      <c r="J709" t="s">
        <v>215</v>
      </c>
      <c r="K709" t="s">
        <v>46</v>
      </c>
      <c r="L709">
        <v>112</v>
      </c>
      <c r="M709">
        <v>1.21</v>
      </c>
      <c r="N709">
        <v>164.06</v>
      </c>
      <c r="O709">
        <v>1.25</v>
      </c>
      <c r="P709">
        <v>2</v>
      </c>
      <c r="Q709">
        <v>0.94</v>
      </c>
      <c r="R709">
        <v>926</v>
      </c>
      <c r="S709">
        <v>12.74</v>
      </c>
      <c r="T709">
        <v>0.48</v>
      </c>
      <c r="U709" s="1">
        <v>45565</v>
      </c>
      <c r="V709">
        <v>150.43</v>
      </c>
      <c r="W709">
        <v>0.68899999999999995</v>
      </c>
      <c r="X709" t="str">
        <f>IF(WarehouseData[[#This Row],[stock_level]]&lt;=WarehouseData[[#This Row],[reorder_point]],"Low Stock","Sufficient Stock")</f>
        <v>Sufficient Stock</v>
      </c>
      <c r="Y709">
        <f>WarehouseData[[#This Row],[daily_demand]]*WarehouseData[[#This Row],[lead_time_days]]</f>
        <v>203</v>
      </c>
      <c r="Z709" t="str">
        <f>IF(WarehouseData[[#This Row],[stock_level]]&lt;=WarehouseData[[#This Row],[Demand During Lead Time]],"At Risk","Safe")</f>
        <v>At Risk</v>
      </c>
      <c r="AA709">
        <f>WarehouseData[[#This Row],[stock_level]]/WarehouseData[[#This Row],[daily_demand]]</f>
        <v>6.4827586206896548</v>
      </c>
      <c r="AB709">
        <f>WarehouseData[[#This Row],[stock_level]]*WarehouseData[[#This Row],[unit_price]]</f>
        <v>30843.279999999999</v>
      </c>
      <c r="AC709">
        <f>WarehouseData[[#This Row],[stock_level]]*WarehouseData[[#This Row],[holding_cost_per_unit_day]]*30</f>
        <v>7050</v>
      </c>
      <c r="AD709" t="str">
        <f>IF(WarehouseData[[#This Row],[order_fulfillment_rate]]&gt;=0.9,"Strong",IF(WarehouseData[[#This Row],[order_fulfillment_rate]]&gt;=0.8,"Moderate","Needs Attention"))</f>
        <v>Strong</v>
      </c>
      <c r="AE709" t="str">
        <f>IF(WarehouseData[[#This Row],[picking_time_seconds]]&gt;120,"Slow",IF(WarehouseData[[#This Row],[picking_time_seconds]]&gt;=60,"Average","Fast"))</f>
        <v>Average</v>
      </c>
    </row>
    <row r="710" spans="1:31" x14ac:dyDescent="0.25">
      <c r="A710" t="s">
        <v>848</v>
      </c>
      <c r="B710" t="s">
        <v>73</v>
      </c>
      <c r="C710">
        <v>332</v>
      </c>
      <c r="D710">
        <v>89</v>
      </c>
      <c r="E710">
        <v>11</v>
      </c>
      <c r="F710">
        <v>4</v>
      </c>
      <c r="G710">
        <v>13.43</v>
      </c>
      <c r="H710">
        <v>4.88</v>
      </c>
      <c r="I710">
        <v>0.49</v>
      </c>
      <c r="J710" t="s">
        <v>379</v>
      </c>
      <c r="K710" t="s">
        <v>38</v>
      </c>
      <c r="L710">
        <v>172</v>
      </c>
      <c r="M710">
        <v>1.02</v>
      </c>
      <c r="N710">
        <v>57.01</v>
      </c>
      <c r="O710">
        <v>0.63</v>
      </c>
      <c r="P710">
        <v>3</v>
      </c>
      <c r="Q710">
        <v>0.94</v>
      </c>
      <c r="R710">
        <v>847</v>
      </c>
      <c r="S710">
        <v>3.9</v>
      </c>
      <c r="T710">
        <v>0.41</v>
      </c>
      <c r="U710" s="1">
        <v>45495</v>
      </c>
      <c r="V710">
        <v>152.41999999999999</v>
      </c>
      <c r="W710">
        <v>0.59899999999999998</v>
      </c>
      <c r="X710" t="str">
        <f>IF(WarehouseData[[#This Row],[stock_level]]&lt;=WarehouseData[[#This Row],[reorder_point]],"Low Stock","Sufficient Stock")</f>
        <v>Sufficient Stock</v>
      </c>
      <c r="Y710">
        <f>WarehouseData[[#This Row],[daily_demand]]*WarehouseData[[#This Row],[lead_time_days]]</f>
        <v>53.72</v>
      </c>
      <c r="Z710" t="str">
        <f>IF(WarehouseData[[#This Row],[stock_level]]&lt;=WarehouseData[[#This Row],[Demand During Lead Time]],"At Risk","Safe")</f>
        <v>Safe</v>
      </c>
      <c r="AA710">
        <f>WarehouseData[[#This Row],[stock_level]]/WarehouseData[[#This Row],[daily_demand]]</f>
        <v>24.720774385703649</v>
      </c>
      <c r="AB710">
        <f>WarehouseData[[#This Row],[stock_level]]*WarehouseData[[#This Row],[unit_price]]</f>
        <v>18927.32</v>
      </c>
      <c r="AC710">
        <f>WarehouseData[[#This Row],[stock_level]]*WarehouseData[[#This Row],[holding_cost_per_unit_day]]*30</f>
        <v>6274.8</v>
      </c>
      <c r="AD710" t="str">
        <f>IF(WarehouseData[[#This Row],[order_fulfillment_rate]]&gt;=0.9,"Strong",IF(WarehouseData[[#This Row],[order_fulfillment_rate]]&gt;=0.8,"Moderate","Needs Attention"))</f>
        <v>Strong</v>
      </c>
      <c r="AE710" t="str">
        <f>IF(WarehouseData[[#This Row],[picking_time_seconds]]&gt;120,"Slow",IF(WarehouseData[[#This Row],[picking_time_seconds]]&gt;=60,"Average","Fast"))</f>
        <v>Slow</v>
      </c>
    </row>
    <row r="711" spans="1:31" x14ac:dyDescent="0.25">
      <c r="A711" t="s">
        <v>849</v>
      </c>
      <c r="B711" t="s">
        <v>73</v>
      </c>
      <c r="C711">
        <v>268</v>
      </c>
      <c r="D711">
        <v>43</v>
      </c>
      <c r="E711">
        <v>4</v>
      </c>
      <c r="F711">
        <v>2</v>
      </c>
      <c r="G711">
        <v>40.270000000000003</v>
      </c>
      <c r="H711">
        <v>7.23</v>
      </c>
      <c r="I711">
        <v>0.2</v>
      </c>
      <c r="J711" t="s">
        <v>332</v>
      </c>
      <c r="K711" t="s">
        <v>52</v>
      </c>
      <c r="L711">
        <v>71</v>
      </c>
      <c r="M711">
        <v>2.44</v>
      </c>
      <c r="N711">
        <v>175.55</v>
      </c>
      <c r="O711">
        <v>0.44</v>
      </c>
      <c r="P711">
        <v>9</v>
      </c>
      <c r="Q711">
        <v>1</v>
      </c>
      <c r="R711">
        <v>912</v>
      </c>
      <c r="S711">
        <v>12.05</v>
      </c>
      <c r="T711">
        <v>0.5</v>
      </c>
      <c r="U711" s="1">
        <v>45403</v>
      </c>
      <c r="V711">
        <v>142.22999999999999</v>
      </c>
      <c r="W711">
        <v>0.63700000000000001</v>
      </c>
      <c r="X711" t="str">
        <f>IF(WarehouseData[[#This Row],[stock_level]]&lt;=WarehouseData[[#This Row],[reorder_point]],"Low Stock","Sufficient Stock")</f>
        <v>Sufficient Stock</v>
      </c>
      <c r="Y711">
        <f>WarehouseData[[#This Row],[daily_demand]]*WarehouseData[[#This Row],[lead_time_days]]</f>
        <v>80.540000000000006</v>
      </c>
      <c r="Z711" t="str">
        <f>IF(WarehouseData[[#This Row],[stock_level]]&lt;=WarehouseData[[#This Row],[Demand During Lead Time]],"At Risk","Safe")</f>
        <v>Safe</v>
      </c>
      <c r="AA711">
        <f>WarehouseData[[#This Row],[stock_level]]/WarehouseData[[#This Row],[daily_demand]]</f>
        <v>6.6550782220014897</v>
      </c>
      <c r="AB711">
        <f>WarehouseData[[#This Row],[stock_level]]*WarehouseData[[#This Row],[unit_price]]</f>
        <v>47047.4</v>
      </c>
      <c r="AC711">
        <f>WarehouseData[[#This Row],[stock_level]]*WarehouseData[[#This Row],[holding_cost_per_unit_day]]*30</f>
        <v>3537.6</v>
      </c>
      <c r="AD711" t="str">
        <f>IF(WarehouseData[[#This Row],[order_fulfillment_rate]]&gt;=0.9,"Strong",IF(WarehouseData[[#This Row],[order_fulfillment_rate]]&gt;=0.8,"Moderate","Needs Attention"))</f>
        <v>Strong</v>
      </c>
      <c r="AE711" t="str">
        <f>IF(WarehouseData[[#This Row],[picking_time_seconds]]&gt;120,"Slow",IF(WarehouseData[[#This Row],[picking_time_seconds]]&gt;=60,"Average","Fast"))</f>
        <v>Average</v>
      </c>
    </row>
    <row r="712" spans="1:31" x14ac:dyDescent="0.25">
      <c r="A712" t="s">
        <v>850</v>
      </c>
      <c r="B712" t="s">
        <v>36</v>
      </c>
      <c r="C712">
        <v>207</v>
      </c>
      <c r="D712">
        <v>96</v>
      </c>
      <c r="E712">
        <v>5</v>
      </c>
      <c r="F712">
        <v>6</v>
      </c>
      <c r="G712">
        <v>4.4400000000000004</v>
      </c>
      <c r="H712">
        <v>1.35</v>
      </c>
      <c r="I712">
        <v>0.3</v>
      </c>
      <c r="J712" t="s">
        <v>148</v>
      </c>
      <c r="K712" t="s">
        <v>52</v>
      </c>
      <c r="L712">
        <v>82</v>
      </c>
      <c r="M712">
        <v>1.45</v>
      </c>
      <c r="N712">
        <v>42.27</v>
      </c>
      <c r="O712">
        <v>0.24</v>
      </c>
      <c r="P712">
        <v>5</v>
      </c>
      <c r="Q712">
        <v>0.73</v>
      </c>
      <c r="R712">
        <v>314</v>
      </c>
      <c r="S712">
        <v>12.9</v>
      </c>
      <c r="T712">
        <v>0.56000000000000005</v>
      </c>
      <c r="U712" s="1">
        <v>45511</v>
      </c>
      <c r="V712">
        <v>235.7</v>
      </c>
      <c r="W712">
        <v>0.70599999999999996</v>
      </c>
      <c r="X712" t="str">
        <f>IF(WarehouseData[[#This Row],[stock_level]]&lt;=WarehouseData[[#This Row],[reorder_point]],"Low Stock","Sufficient Stock")</f>
        <v>Sufficient Stock</v>
      </c>
      <c r="Y712">
        <f>WarehouseData[[#This Row],[daily_demand]]*WarehouseData[[#This Row],[lead_time_days]]</f>
        <v>26.64</v>
      </c>
      <c r="Z712" t="str">
        <f>IF(WarehouseData[[#This Row],[stock_level]]&lt;=WarehouseData[[#This Row],[Demand During Lead Time]],"At Risk","Safe")</f>
        <v>Safe</v>
      </c>
      <c r="AA712">
        <f>WarehouseData[[#This Row],[stock_level]]/WarehouseData[[#This Row],[daily_demand]]</f>
        <v>46.621621621621621</v>
      </c>
      <c r="AB712">
        <f>WarehouseData[[#This Row],[stock_level]]*WarehouseData[[#This Row],[unit_price]]</f>
        <v>8749.8900000000012</v>
      </c>
      <c r="AC712">
        <f>WarehouseData[[#This Row],[stock_level]]*WarehouseData[[#This Row],[holding_cost_per_unit_day]]*30</f>
        <v>1490.4</v>
      </c>
      <c r="AD712" t="str">
        <f>IF(WarehouseData[[#This Row],[order_fulfillment_rate]]&gt;=0.9,"Strong",IF(WarehouseData[[#This Row],[order_fulfillment_rate]]&gt;=0.8,"Moderate","Needs Attention"))</f>
        <v>Needs Attention</v>
      </c>
      <c r="AE712" t="str">
        <f>IF(WarehouseData[[#This Row],[picking_time_seconds]]&gt;120,"Slow",IF(WarehouseData[[#This Row],[picking_time_seconds]]&gt;=60,"Average","Fast"))</f>
        <v>Average</v>
      </c>
    </row>
    <row r="713" spans="1:31" x14ac:dyDescent="0.25">
      <c r="A713" t="s">
        <v>851</v>
      </c>
      <c r="B713" t="s">
        <v>36</v>
      </c>
      <c r="C713">
        <v>73</v>
      </c>
      <c r="D713">
        <v>97</v>
      </c>
      <c r="E713">
        <v>12</v>
      </c>
      <c r="F713">
        <v>5</v>
      </c>
      <c r="G713">
        <v>34.76</v>
      </c>
      <c r="H713">
        <v>6.63</v>
      </c>
      <c r="I713">
        <v>0.64</v>
      </c>
      <c r="J713" t="s">
        <v>340</v>
      </c>
      <c r="K713" t="s">
        <v>34</v>
      </c>
      <c r="L713">
        <v>12</v>
      </c>
      <c r="M713">
        <v>1.82</v>
      </c>
      <c r="N713">
        <v>171.8</v>
      </c>
      <c r="O713">
        <v>1.22</v>
      </c>
      <c r="P713">
        <v>5</v>
      </c>
      <c r="Q713">
        <v>0.85</v>
      </c>
      <c r="R713">
        <v>298</v>
      </c>
      <c r="S713">
        <v>3.7</v>
      </c>
      <c r="T713">
        <v>0.61</v>
      </c>
      <c r="U713" s="1">
        <v>45400</v>
      </c>
      <c r="V713">
        <v>38.94</v>
      </c>
      <c r="W713">
        <v>0.51900000000000002</v>
      </c>
      <c r="X713" t="str">
        <f>IF(WarehouseData[[#This Row],[stock_level]]&lt;=WarehouseData[[#This Row],[reorder_point]],"Low Stock","Sufficient Stock")</f>
        <v>Low Stock</v>
      </c>
      <c r="Y713">
        <f>WarehouseData[[#This Row],[daily_demand]]*WarehouseData[[#This Row],[lead_time_days]]</f>
        <v>173.79999999999998</v>
      </c>
      <c r="Z713" t="str">
        <f>IF(WarehouseData[[#This Row],[stock_level]]&lt;=WarehouseData[[#This Row],[Demand During Lead Time]],"At Risk","Safe")</f>
        <v>At Risk</v>
      </c>
      <c r="AA713">
        <f>WarehouseData[[#This Row],[stock_level]]/WarehouseData[[#This Row],[daily_demand]]</f>
        <v>2.100115074798619</v>
      </c>
      <c r="AB713">
        <f>WarehouseData[[#This Row],[stock_level]]*WarehouseData[[#This Row],[unit_price]]</f>
        <v>12541.400000000001</v>
      </c>
      <c r="AC713">
        <f>WarehouseData[[#This Row],[stock_level]]*WarehouseData[[#This Row],[holding_cost_per_unit_day]]*30</f>
        <v>2671.8</v>
      </c>
      <c r="AD713" t="str">
        <f>IF(WarehouseData[[#This Row],[order_fulfillment_rate]]&gt;=0.9,"Strong",IF(WarehouseData[[#This Row],[order_fulfillment_rate]]&gt;=0.8,"Moderate","Needs Attention"))</f>
        <v>Moderate</v>
      </c>
      <c r="AE713" t="str">
        <f>IF(WarehouseData[[#This Row],[picking_time_seconds]]&gt;120,"Slow",IF(WarehouseData[[#This Row],[picking_time_seconds]]&gt;=60,"Average","Fast"))</f>
        <v>Fast</v>
      </c>
    </row>
    <row r="714" spans="1:31" x14ac:dyDescent="0.25">
      <c r="A714" t="s">
        <v>852</v>
      </c>
      <c r="B714" t="s">
        <v>48</v>
      </c>
      <c r="C714">
        <v>345</v>
      </c>
      <c r="D714">
        <v>65</v>
      </c>
      <c r="E714">
        <v>3</v>
      </c>
      <c r="F714">
        <v>3</v>
      </c>
      <c r="G714">
        <v>9.57</v>
      </c>
      <c r="H714">
        <v>6.36</v>
      </c>
      <c r="I714">
        <v>0.98</v>
      </c>
      <c r="J714" t="s">
        <v>45</v>
      </c>
      <c r="K714" t="s">
        <v>38</v>
      </c>
      <c r="L714">
        <v>111</v>
      </c>
      <c r="M714">
        <v>2.62</v>
      </c>
      <c r="N714">
        <v>156.84</v>
      </c>
      <c r="O714">
        <v>1.18</v>
      </c>
      <c r="P714">
        <v>1</v>
      </c>
      <c r="Q714">
        <v>0.86</v>
      </c>
      <c r="R714">
        <v>144</v>
      </c>
      <c r="S714">
        <v>12.33</v>
      </c>
      <c r="T714">
        <v>0.23</v>
      </c>
      <c r="U714" s="1">
        <v>45545</v>
      </c>
      <c r="V714">
        <v>204.3</v>
      </c>
      <c r="W714">
        <v>0.64400000000000002</v>
      </c>
      <c r="X714" t="str">
        <f>IF(WarehouseData[[#This Row],[stock_level]]&lt;=WarehouseData[[#This Row],[reorder_point]],"Low Stock","Sufficient Stock")</f>
        <v>Sufficient Stock</v>
      </c>
      <c r="Y714">
        <f>WarehouseData[[#This Row],[daily_demand]]*WarehouseData[[#This Row],[lead_time_days]]</f>
        <v>28.71</v>
      </c>
      <c r="Z714" t="str">
        <f>IF(WarehouseData[[#This Row],[stock_level]]&lt;=WarehouseData[[#This Row],[Demand During Lead Time]],"At Risk","Safe")</f>
        <v>Safe</v>
      </c>
      <c r="AA714">
        <f>WarehouseData[[#This Row],[stock_level]]/WarehouseData[[#This Row],[daily_demand]]</f>
        <v>36.050156739811911</v>
      </c>
      <c r="AB714">
        <f>WarehouseData[[#This Row],[stock_level]]*WarehouseData[[#This Row],[unit_price]]</f>
        <v>54109.8</v>
      </c>
      <c r="AC714">
        <f>WarehouseData[[#This Row],[stock_level]]*WarehouseData[[#This Row],[holding_cost_per_unit_day]]*30</f>
        <v>12212.999999999998</v>
      </c>
      <c r="AD714" t="str">
        <f>IF(WarehouseData[[#This Row],[order_fulfillment_rate]]&gt;=0.9,"Strong",IF(WarehouseData[[#This Row],[order_fulfillment_rate]]&gt;=0.8,"Moderate","Needs Attention"))</f>
        <v>Moderate</v>
      </c>
      <c r="AE714" t="str">
        <f>IF(WarehouseData[[#This Row],[picking_time_seconds]]&gt;120,"Slow",IF(WarehouseData[[#This Row],[picking_time_seconds]]&gt;=60,"Average","Fast"))</f>
        <v>Average</v>
      </c>
    </row>
    <row r="715" spans="1:31" x14ac:dyDescent="0.25">
      <c r="A715" t="s">
        <v>853</v>
      </c>
      <c r="B715" t="s">
        <v>40</v>
      </c>
      <c r="C715">
        <v>376</v>
      </c>
      <c r="D715">
        <v>22</v>
      </c>
      <c r="E715">
        <v>9</v>
      </c>
      <c r="F715">
        <v>6</v>
      </c>
      <c r="G715">
        <v>30.22</v>
      </c>
      <c r="H715">
        <v>2.72</v>
      </c>
      <c r="I715">
        <v>0.5</v>
      </c>
      <c r="J715" t="s">
        <v>377</v>
      </c>
      <c r="K715" t="s">
        <v>46</v>
      </c>
      <c r="L715">
        <v>157</v>
      </c>
      <c r="M715">
        <v>1.56</v>
      </c>
      <c r="N715">
        <v>126.13</v>
      </c>
      <c r="O715">
        <v>1.1100000000000001</v>
      </c>
      <c r="P715">
        <v>1</v>
      </c>
      <c r="Q715">
        <v>0.94</v>
      </c>
      <c r="R715">
        <v>912</v>
      </c>
      <c r="S715">
        <v>10.99</v>
      </c>
      <c r="T715">
        <v>0.24</v>
      </c>
      <c r="U715" s="1">
        <v>45429</v>
      </c>
      <c r="V715">
        <v>126.45</v>
      </c>
      <c r="W715">
        <v>0.65200000000000002</v>
      </c>
      <c r="X715" t="str">
        <f>IF(WarehouseData[[#This Row],[stock_level]]&lt;=WarehouseData[[#This Row],[reorder_point]],"Low Stock","Sufficient Stock")</f>
        <v>Sufficient Stock</v>
      </c>
      <c r="Y715">
        <f>WarehouseData[[#This Row],[daily_demand]]*WarehouseData[[#This Row],[lead_time_days]]</f>
        <v>181.32</v>
      </c>
      <c r="Z715" t="str">
        <f>IF(WarehouseData[[#This Row],[stock_level]]&lt;=WarehouseData[[#This Row],[Demand During Lead Time]],"At Risk","Safe")</f>
        <v>Safe</v>
      </c>
      <c r="AA715">
        <f>WarehouseData[[#This Row],[stock_level]]/WarehouseData[[#This Row],[daily_demand]]</f>
        <v>12.442091330244871</v>
      </c>
      <c r="AB715">
        <f>WarehouseData[[#This Row],[stock_level]]*WarehouseData[[#This Row],[unit_price]]</f>
        <v>47424.88</v>
      </c>
      <c r="AC715">
        <f>WarehouseData[[#This Row],[stock_level]]*WarehouseData[[#This Row],[holding_cost_per_unit_day]]*30</f>
        <v>12520.800000000001</v>
      </c>
      <c r="AD715" t="str">
        <f>IF(WarehouseData[[#This Row],[order_fulfillment_rate]]&gt;=0.9,"Strong",IF(WarehouseData[[#This Row],[order_fulfillment_rate]]&gt;=0.8,"Moderate","Needs Attention"))</f>
        <v>Strong</v>
      </c>
      <c r="AE715" t="str">
        <f>IF(WarehouseData[[#This Row],[picking_time_seconds]]&gt;120,"Slow",IF(WarehouseData[[#This Row],[picking_time_seconds]]&gt;=60,"Average","Fast"))</f>
        <v>Slow</v>
      </c>
    </row>
    <row r="716" spans="1:31" x14ac:dyDescent="0.25">
      <c r="A716" t="s">
        <v>854</v>
      </c>
      <c r="B716" t="s">
        <v>40</v>
      </c>
      <c r="C716">
        <v>332</v>
      </c>
      <c r="D716">
        <v>65</v>
      </c>
      <c r="E716">
        <v>3</v>
      </c>
      <c r="F716">
        <v>3</v>
      </c>
      <c r="G716">
        <v>41.95</v>
      </c>
      <c r="H716">
        <v>5.65</v>
      </c>
      <c r="I716">
        <v>0.72</v>
      </c>
      <c r="J716" t="s">
        <v>192</v>
      </c>
      <c r="K716" t="s">
        <v>38</v>
      </c>
      <c r="L716">
        <v>114</v>
      </c>
      <c r="M716">
        <v>1.61</v>
      </c>
      <c r="N716">
        <v>171.54</v>
      </c>
      <c r="O716">
        <v>1.97</v>
      </c>
      <c r="P716">
        <v>8</v>
      </c>
      <c r="Q716">
        <v>0.78</v>
      </c>
      <c r="R716">
        <v>858</v>
      </c>
      <c r="S716">
        <v>13.24</v>
      </c>
      <c r="T716">
        <v>0.72</v>
      </c>
      <c r="U716" s="1">
        <v>45457</v>
      </c>
      <c r="V716">
        <v>79.88</v>
      </c>
      <c r="W716">
        <v>0.52</v>
      </c>
      <c r="X716" t="str">
        <f>IF(WarehouseData[[#This Row],[stock_level]]&lt;=WarehouseData[[#This Row],[reorder_point]],"Low Stock","Sufficient Stock")</f>
        <v>Sufficient Stock</v>
      </c>
      <c r="Y716">
        <f>WarehouseData[[#This Row],[daily_demand]]*WarehouseData[[#This Row],[lead_time_days]]</f>
        <v>125.85000000000001</v>
      </c>
      <c r="Z716" t="str">
        <f>IF(WarehouseData[[#This Row],[stock_level]]&lt;=WarehouseData[[#This Row],[Demand During Lead Time]],"At Risk","Safe")</f>
        <v>Safe</v>
      </c>
      <c r="AA716">
        <f>WarehouseData[[#This Row],[stock_level]]/WarehouseData[[#This Row],[daily_demand]]</f>
        <v>7.9141835518474366</v>
      </c>
      <c r="AB716">
        <f>WarehouseData[[#This Row],[stock_level]]*WarehouseData[[#This Row],[unit_price]]</f>
        <v>56951.28</v>
      </c>
      <c r="AC716">
        <f>WarehouseData[[#This Row],[stock_level]]*WarehouseData[[#This Row],[holding_cost_per_unit_day]]*30</f>
        <v>19621.199999999997</v>
      </c>
      <c r="AD716" t="str">
        <f>IF(WarehouseData[[#This Row],[order_fulfillment_rate]]&gt;=0.9,"Strong",IF(WarehouseData[[#This Row],[order_fulfillment_rate]]&gt;=0.8,"Moderate","Needs Attention"))</f>
        <v>Needs Attention</v>
      </c>
      <c r="AE716" t="str">
        <f>IF(WarehouseData[[#This Row],[picking_time_seconds]]&gt;120,"Slow",IF(WarehouseData[[#This Row],[picking_time_seconds]]&gt;=60,"Average","Fast"))</f>
        <v>Average</v>
      </c>
    </row>
    <row r="717" spans="1:31" x14ac:dyDescent="0.25">
      <c r="A717" t="s">
        <v>855</v>
      </c>
      <c r="B717" t="s">
        <v>32</v>
      </c>
      <c r="C717">
        <v>157</v>
      </c>
      <c r="D717">
        <v>27</v>
      </c>
      <c r="E717">
        <v>13</v>
      </c>
      <c r="F717">
        <v>9</v>
      </c>
      <c r="G717">
        <v>38</v>
      </c>
      <c r="H717">
        <v>2.61</v>
      </c>
      <c r="I717">
        <v>0.59</v>
      </c>
      <c r="J717" t="s">
        <v>88</v>
      </c>
      <c r="K717" t="s">
        <v>38</v>
      </c>
      <c r="L717">
        <v>53</v>
      </c>
      <c r="M717">
        <v>4.25</v>
      </c>
      <c r="N717">
        <v>72.83</v>
      </c>
      <c r="O717">
        <v>1.1100000000000001</v>
      </c>
      <c r="P717">
        <v>1</v>
      </c>
      <c r="Q717">
        <v>0.72</v>
      </c>
      <c r="R717">
        <v>868</v>
      </c>
      <c r="S717">
        <v>8.14</v>
      </c>
      <c r="T717">
        <v>0.55000000000000004</v>
      </c>
      <c r="U717" s="1">
        <v>45437</v>
      </c>
      <c r="V717">
        <v>207.66</v>
      </c>
      <c r="W717">
        <v>0.63200000000000001</v>
      </c>
      <c r="X717" t="str">
        <f>IF(WarehouseData[[#This Row],[stock_level]]&lt;=WarehouseData[[#This Row],[reorder_point]],"Low Stock","Sufficient Stock")</f>
        <v>Sufficient Stock</v>
      </c>
      <c r="Y717">
        <f>WarehouseData[[#This Row],[daily_demand]]*WarehouseData[[#This Row],[lead_time_days]]</f>
        <v>342</v>
      </c>
      <c r="Z717" t="str">
        <f>IF(WarehouseData[[#This Row],[stock_level]]&lt;=WarehouseData[[#This Row],[Demand During Lead Time]],"At Risk","Safe")</f>
        <v>At Risk</v>
      </c>
      <c r="AA717">
        <f>WarehouseData[[#This Row],[stock_level]]/WarehouseData[[#This Row],[daily_demand]]</f>
        <v>4.1315789473684212</v>
      </c>
      <c r="AB717">
        <f>WarehouseData[[#This Row],[stock_level]]*WarehouseData[[#This Row],[unit_price]]</f>
        <v>11434.31</v>
      </c>
      <c r="AC717">
        <f>WarehouseData[[#This Row],[stock_level]]*WarehouseData[[#This Row],[holding_cost_per_unit_day]]*30</f>
        <v>5228.1000000000004</v>
      </c>
      <c r="AD717" t="str">
        <f>IF(WarehouseData[[#This Row],[order_fulfillment_rate]]&gt;=0.9,"Strong",IF(WarehouseData[[#This Row],[order_fulfillment_rate]]&gt;=0.8,"Moderate","Needs Attention"))</f>
        <v>Needs Attention</v>
      </c>
      <c r="AE717" t="str">
        <f>IF(WarehouseData[[#This Row],[picking_time_seconds]]&gt;120,"Slow",IF(WarehouseData[[#This Row],[picking_time_seconds]]&gt;=60,"Average","Fast"))</f>
        <v>Fast</v>
      </c>
    </row>
    <row r="718" spans="1:31" x14ac:dyDescent="0.25">
      <c r="A718" t="s">
        <v>856</v>
      </c>
      <c r="B718" t="s">
        <v>48</v>
      </c>
      <c r="C718">
        <v>187</v>
      </c>
      <c r="D718">
        <v>63</v>
      </c>
      <c r="E718">
        <v>11</v>
      </c>
      <c r="F718">
        <v>7</v>
      </c>
      <c r="G718">
        <v>37.89</v>
      </c>
      <c r="H718">
        <v>1.9</v>
      </c>
      <c r="I718">
        <v>0.55000000000000004</v>
      </c>
      <c r="J718" t="s">
        <v>477</v>
      </c>
      <c r="K718" t="s">
        <v>46</v>
      </c>
      <c r="L718">
        <v>169</v>
      </c>
      <c r="M718">
        <v>2.97</v>
      </c>
      <c r="N718">
        <v>41.55</v>
      </c>
      <c r="O718">
        <v>1.47</v>
      </c>
      <c r="P718">
        <v>1</v>
      </c>
      <c r="Q718">
        <v>0.79</v>
      </c>
      <c r="R718">
        <v>746</v>
      </c>
      <c r="S718">
        <v>4.2699999999999996</v>
      </c>
      <c r="T718">
        <v>0.27</v>
      </c>
      <c r="U718" s="1">
        <v>45464</v>
      </c>
      <c r="V718">
        <v>67.33</v>
      </c>
      <c r="W718">
        <v>0.502</v>
      </c>
      <c r="X718" t="str">
        <f>IF(WarehouseData[[#This Row],[stock_level]]&lt;=WarehouseData[[#This Row],[reorder_point]],"Low Stock","Sufficient Stock")</f>
        <v>Sufficient Stock</v>
      </c>
      <c r="Y718">
        <f>WarehouseData[[#This Row],[daily_demand]]*WarehouseData[[#This Row],[lead_time_days]]</f>
        <v>265.23</v>
      </c>
      <c r="Z718" t="str">
        <f>IF(WarehouseData[[#This Row],[stock_level]]&lt;=WarehouseData[[#This Row],[Demand During Lead Time]],"At Risk","Safe")</f>
        <v>At Risk</v>
      </c>
      <c r="AA718">
        <f>WarehouseData[[#This Row],[stock_level]]/WarehouseData[[#This Row],[daily_demand]]</f>
        <v>4.9353391396146744</v>
      </c>
      <c r="AB718">
        <f>WarehouseData[[#This Row],[stock_level]]*WarehouseData[[#This Row],[unit_price]]</f>
        <v>7769.8499999999995</v>
      </c>
      <c r="AC718">
        <f>WarehouseData[[#This Row],[stock_level]]*WarehouseData[[#This Row],[holding_cost_per_unit_day]]*30</f>
        <v>8246.6999999999989</v>
      </c>
      <c r="AD718" t="str">
        <f>IF(WarehouseData[[#This Row],[order_fulfillment_rate]]&gt;=0.9,"Strong",IF(WarehouseData[[#This Row],[order_fulfillment_rate]]&gt;=0.8,"Moderate","Needs Attention"))</f>
        <v>Needs Attention</v>
      </c>
      <c r="AE718" t="str">
        <f>IF(WarehouseData[[#This Row],[picking_time_seconds]]&gt;120,"Slow",IF(WarehouseData[[#This Row],[picking_time_seconds]]&gt;=60,"Average","Fast"))</f>
        <v>Slow</v>
      </c>
    </row>
    <row r="719" spans="1:31" x14ac:dyDescent="0.25">
      <c r="A719" t="s">
        <v>857</v>
      </c>
      <c r="B719" t="s">
        <v>48</v>
      </c>
      <c r="C719">
        <v>410</v>
      </c>
      <c r="D719">
        <v>86</v>
      </c>
      <c r="E719">
        <v>13</v>
      </c>
      <c r="F719">
        <v>2</v>
      </c>
      <c r="G719">
        <v>26.37</v>
      </c>
      <c r="H719">
        <v>5.94</v>
      </c>
      <c r="I719">
        <v>0.16</v>
      </c>
      <c r="J719" t="s">
        <v>340</v>
      </c>
      <c r="K719" t="s">
        <v>46</v>
      </c>
      <c r="L719">
        <v>109</v>
      </c>
      <c r="M719">
        <v>4.3600000000000003</v>
      </c>
      <c r="N719">
        <v>39.840000000000003</v>
      </c>
      <c r="O719">
        <v>0.31</v>
      </c>
      <c r="P719">
        <v>2</v>
      </c>
      <c r="Q719">
        <v>1</v>
      </c>
      <c r="R719">
        <v>506</v>
      </c>
      <c r="S719">
        <v>13.77</v>
      </c>
      <c r="T719">
        <v>0.51</v>
      </c>
      <c r="U719" s="1">
        <v>45572</v>
      </c>
      <c r="V719">
        <v>76.97</v>
      </c>
      <c r="W719">
        <v>0.81499999999999995</v>
      </c>
      <c r="X719" t="str">
        <f>IF(WarehouseData[[#This Row],[stock_level]]&lt;=WarehouseData[[#This Row],[reorder_point]],"Low Stock","Sufficient Stock")</f>
        <v>Sufficient Stock</v>
      </c>
      <c r="Y719">
        <f>WarehouseData[[#This Row],[daily_demand]]*WarehouseData[[#This Row],[lead_time_days]]</f>
        <v>52.74</v>
      </c>
      <c r="Z719" t="str">
        <f>IF(WarehouseData[[#This Row],[stock_level]]&lt;=WarehouseData[[#This Row],[Demand During Lead Time]],"At Risk","Safe")</f>
        <v>Safe</v>
      </c>
      <c r="AA719">
        <f>WarehouseData[[#This Row],[stock_level]]/WarehouseData[[#This Row],[daily_demand]]</f>
        <v>15.547971179370496</v>
      </c>
      <c r="AB719">
        <f>WarehouseData[[#This Row],[stock_level]]*WarehouseData[[#This Row],[unit_price]]</f>
        <v>16334.400000000001</v>
      </c>
      <c r="AC719">
        <f>WarehouseData[[#This Row],[stock_level]]*WarehouseData[[#This Row],[holding_cost_per_unit_day]]*30</f>
        <v>3813</v>
      </c>
      <c r="AD719" t="str">
        <f>IF(WarehouseData[[#This Row],[order_fulfillment_rate]]&gt;=0.9,"Strong",IF(WarehouseData[[#This Row],[order_fulfillment_rate]]&gt;=0.8,"Moderate","Needs Attention"))</f>
        <v>Strong</v>
      </c>
      <c r="AE719" t="str">
        <f>IF(WarehouseData[[#This Row],[picking_time_seconds]]&gt;120,"Slow",IF(WarehouseData[[#This Row],[picking_time_seconds]]&gt;=60,"Average","Fast"))</f>
        <v>Average</v>
      </c>
    </row>
    <row r="720" spans="1:31" x14ac:dyDescent="0.25">
      <c r="A720" t="s">
        <v>858</v>
      </c>
      <c r="B720" t="s">
        <v>48</v>
      </c>
      <c r="C720">
        <v>122</v>
      </c>
      <c r="D720">
        <v>52</v>
      </c>
      <c r="E720">
        <v>13</v>
      </c>
      <c r="F720">
        <v>7</v>
      </c>
      <c r="G720">
        <v>44.65</v>
      </c>
      <c r="H720">
        <v>9.7899999999999991</v>
      </c>
      <c r="I720">
        <v>0.23</v>
      </c>
      <c r="J720" t="s">
        <v>185</v>
      </c>
      <c r="K720" t="s">
        <v>34</v>
      </c>
      <c r="L720">
        <v>35</v>
      </c>
      <c r="M720">
        <v>2.82</v>
      </c>
      <c r="N720">
        <v>61.37</v>
      </c>
      <c r="O720">
        <v>0.67</v>
      </c>
      <c r="P720">
        <v>8</v>
      </c>
      <c r="Q720">
        <v>0.97</v>
      </c>
      <c r="R720">
        <v>790</v>
      </c>
      <c r="S720">
        <v>12.06</v>
      </c>
      <c r="T720">
        <v>0.57999999999999996</v>
      </c>
      <c r="U720" s="1">
        <v>45587</v>
      </c>
      <c r="V720">
        <v>299.58</v>
      </c>
      <c r="W720">
        <v>0.64400000000000002</v>
      </c>
      <c r="X720" t="str">
        <f>IF(WarehouseData[[#This Row],[stock_level]]&lt;=WarehouseData[[#This Row],[reorder_point]],"Low Stock","Sufficient Stock")</f>
        <v>Sufficient Stock</v>
      </c>
      <c r="Y720">
        <f>WarehouseData[[#This Row],[daily_demand]]*WarehouseData[[#This Row],[lead_time_days]]</f>
        <v>312.55</v>
      </c>
      <c r="Z720" t="str">
        <f>IF(WarehouseData[[#This Row],[stock_level]]&lt;=WarehouseData[[#This Row],[Demand During Lead Time]],"At Risk","Safe")</f>
        <v>At Risk</v>
      </c>
      <c r="AA720">
        <f>WarehouseData[[#This Row],[stock_level]]/WarehouseData[[#This Row],[daily_demand]]</f>
        <v>2.7323628219484881</v>
      </c>
      <c r="AB720">
        <f>WarehouseData[[#This Row],[stock_level]]*WarehouseData[[#This Row],[unit_price]]</f>
        <v>7487.1399999999994</v>
      </c>
      <c r="AC720">
        <f>WarehouseData[[#This Row],[stock_level]]*WarehouseData[[#This Row],[holding_cost_per_unit_day]]*30</f>
        <v>2452.2000000000003</v>
      </c>
      <c r="AD720" t="str">
        <f>IF(WarehouseData[[#This Row],[order_fulfillment_rate]]&gt;=0.9,"Strong",IF(WarehouseData[[#This Row],[order_fulfillment_rate]]&gt;=0.8,"Moderate","Needs Attention"))</f>
        <v>Strong</v>
      </c>
      <c r="AE720" t="str">
        <f>IF(WarehouseData[[#This Row],[picking_time_seconds]]&gt;120,"Slow",IF(WarehouseData[[#This Row],[picking_time_seconds]]&gt;=60,"Average","Fast"))</f>
        <v>Fast</v>
      </c>
    </row>
    <row r="721" spans="1:31" x14ac:dyDescent="0.25">
      <c r="A721" t="s">
        <v>859</v>
      </c>
      <c r="B721" t="s">
        <v>48</v>
      </c>
      <c r="C721">
        <v>441</v>
      </c>
      <c r="D721">
        <v>48</v>
      </c>
      <c r="E721">
        <v>3</v>
      </c>
      <c r="F721">
        <v>6</v>
      </c>
      <c r="G721">
        <v>29.82</v>
      </c>
      <c r="H721">
        <v>2.75</v>
      </c>
      <c r="I721">
        <v>0.89</v>
      </c>
      <c r="J721" t="s">
        <v>401</v>
      </c>
      <c r="K721" t="s">
        <v>52</v>
      </c>
      <c r="L721">
        <v>57</v>
      </c>
      <c r="M721">
        <v>4.59</v>
      </c>
      <c r="N721">
        <v>94.78</v>
      </c>
      <c r="O721">
        <v>0.62</v>
      </c>
      <c r="P721">
        <v>5</v>
      </c>
      <c r="Q721">
        <v>0.82</v>
      </c>
      <c r="R721">
        <v>366</v>
      </c>
      <c r="S721">
        <v>1.29</v>
      </c>
      <c r="T721">
        <v>0.71</v>
      </c>
      <c r="U721" s="1">
        <v>45358</v>
      </c>
      <c r="V721">
        <v>267.70999999999998</v>
      </c>
      <c r="W721">
        <v>0.56100000000000005</v>
      </c>
      <c r="X721" t="str">
        <f>IF(WarehouseData[[#This Row],[stock_level]]&lt;=WarehouseData[[#This Row],[reorder_point]],"Low Stock","Sufficient Stock")</f>
        <v>Sufficient Stock</v>
      </c>
      <c r="Y721">
        <f>WarehouseData[[#This Row],[daily_demand]]*WarehouseData[[#This Row],[lead_time_days]]</f>
        <v>178.92000000000002</v>
      </c>
      <c r="Z721" t="str">
        <f>IF(WarehouseData[[#This Row],[stock_level]]&lt;=WarehouseData[[#This Row],[Demand During Lead Time]],"At Risk","Safe")</f>
        <v>Safe</v>
      </c>
      <c r="AA721">
        <f>WarehouseData[[#This Row],[stock_level]]/WarehouseData[[#This Row],[daily_demand]]</f>
        <v>14.788732394366198</v>
      </c>
      <c r="AB721">
        <f>WarehouseData[[#This Row],[stock_level]]*WarehouseData[[#This Row],[unit_price]]</f>
        <v>41797.980000000003</v>
      </c>
      <c r="AC721">
        <f>WarehouseData[[#This Row],[stock_level]]*WarehouseData[[#This Row],[holding_cost_per_unit_day]]*30</f>
        <v>8202.6</v>
      </c>
      <c r="AD721" t="str">
        <f>IF(WarehouseData[[#This Row],[order_fulfillment_rate]]&gt;=0.9,"Strong",IF(WarehouseData[[#This Row],[order_fulfillment_rate]]&gt;=0.8,"Moderate","Needs Attention"))</f>
        <v>Moderate</v>
      </c>
      <c r="AE721" t="str">
        <f>IF(WarehouseData[[#This Row],[picking_time_seconds]]&gt;120,"Slow",IF(WarehouseData[[#This Row],[picking_time_seconds]]&gt;=60,"Average","Fast"))</f>
        <v>Fast</v>
      </c>
    </row>
    <row r="722" spans="1:31" x14ac:dyDescent="0.25">
      <c r="A722" t="s">
        <v>860</v>
      </c>
      <c r="B722" t="s">
        <v>40</v>
      </c>
      <c r="C722">
        <v>104</v>
      </c>
      <c r="D722">
        <v>70</v>
      </c>
      <c r="E722">
        <v>7</v>
      </c>
      <c r="F722">
        <v>5</v>
      </c>
      <c r="G722">
        <v>45.96</v>
      </c>
      <c r="H722">
        <v>3.88</v>
      </c>
      <c r="I722">
        <v>0.47</v>
      </c>
      <c r="J722" t="s">
        <v>221</v>
      </c>
      <c r="K722" t="s">
        <v>46</v>
      </c>
      <c r="L722">
        <v>14</v>
      </c>
      <c r="M722">
        <v>1.65</v>
      </c>
      <c r="N722">
        <v>176.44</v>
      </c>
      <c r="O722">
        <v>1.19</v>
      </c>
      <c r="P722">
        <v>5</v>
      </c>
      <c r="Q722">
        <v>0.96</v>
      </c>
      <c r="R722">
        <v>823</v>
      </c>
      <c r="S722">
        <v>14.15</v>
      </c>
      <c r="T722">
        <v>0.28999999999999998</v>
      </c>
      <c r="U722" s="1">
        <v>45581</v>
      </c>
      <c r="V722">
        <v>212.17</v>
      </c>
      <c r="W722">
        <v>0.62</v>
      </c>
      <c r="X722" t="str">
        <f>IF(WarehouseData[[#This Row],[stock_level]]&lt;=WarehouseData[[#This Row],[reorder_point]],"Low Stock","Sufficient Stock")</f>
        <v>Sufficient Stock</v>
      </c>
      <c r="Y722">
        <f>WarehouseData[[#This Row],[daily_demand]]*WarehouseData[[#This Row],[lead_time_days]]</f>
        <v>229.8</v>
      </c>
      <c r="Z722" t="str">
        <f>IF(WarehouseData[[#This Row],[stock_level]]&lt;=WarehouseData[[#This Row],[Demand During Lead Time]],"At Risk","Safe")</f>
        <v>At Risk</v>
      </c>
      <c r="AA722">
        <f>WarehouseData[[#This Row],[stock_level]]/WarehouseData[[#This Row],[daily_demand]]</f>
        <v>2.2628372497824194</v>
      </c>
      <c r="AB722">
        <f>WarehouseData[[#This Row],[stock_level]]*WarehouseData[[#This Row],[unit_price]]</f>
        <v>18349.759999999998</v>
      </c>
      <c r="AC722">
        <f>WarehouseData[[#This Row],[stock_level]]*WarehouseData[[#This Row],[holding_cost_per_unit_day]]*30</f>
        <v>3712.7999999999997</v>
      </c>
      <c r="AD722" t="str">
        <f>IF(WarehouseData[[#This Row],[order_fulfillment_rate]]&gt;=0.9,"Strong",IF(WarehouseData[[#This Row],[order_fulfillment_rate]]&gt;=0.8,"Moderate","Needs Attention"))</f>
        <v>Strong</v>
      </c>
      <c r="AE722" t="str">
        <f>IF(WarehouseData[[#This Row],[picking_time_seconds]]&gt;120,"Slow",IF(WarehouseData[[#This Row],[picking_time_seconds]]&gt;=60,"Average","Fast"))</f>
        <v>Fast</v>
      </c>
    </row>
    <row r="723" spans="1:31" x14ac:dyDescent="0.25">
      <c r="A723" t="s">
        <v>861</v>
      </c>
      <c r="B723" t="s">
        <v>40</v>
      </c>
      <c r="C723">
        <v>336</v>
      </c>
      <c r="D723">
        <v>51</v>
      </c>
      <c r="E723">
        <v>9</v>
      </c>
      <c r="F723">
        <v>3</v>
      </c>
      <c r="G723">
        <v>27.78</v>
      </c>
      <c r="H723">
        <v>2.94</v>
      </c>
      <c r="I723">
        <v>0.65</v>
      </c>
      <c r="J723" t="s">
        <v>62</v>
      </c>
      <c r="K723" t="s">
        <v>46</v>
      </c>
      <c r="L723">
        <v>68</v>
      </c>
      <c r="M723">
        <v>3.28</v>
      </c>
      <c r="N723">
        <v>27.01</v>
      </c>
      <c r="O723">
        <v>0.73</v>
      </c>
      <c r="P723">
        <v>9</v>
      </c>
      <c r="Q723">
        <v>0.71</v>
      </c>
      <c r="R723">
        <v>168</v>
      </c>
      <c r="S723">
        <v>14.28</v>
      </c>
      <c r="T723">
        <v>1</v>
      </c>
      <c r="U723" s="1">
        <v>45540</v>
      </c>
      <c r="V723">
        <v>101.57</v>
      </c>
      <c r="W723">
        <v>0.67900000000000005</v>
      </c>
      <c r="X723" t="str">
        <f>IF(WarehouseData[[#This Row],[stock_level]]&lt;=WarehouseData[[#This Row],[reorder_point]],"Low Stock","Sufficient Stock")</f>
        <v>Sufficient Stock</v>
      </c>
      <c r="Y723">
        <f>WarehouseData[[#This Row],[daily_demand]]*WarehouseData[[#This Row],[lead_time_days]]</f>
        <v>83.34</v>
      </c>
      <c r="Z723" t="str">
        <f>IF(WarehouseData[[#This Row],[stock_level]]&lt;=WarehouseData[[#This Row],[Demand During Lead Time]],"At Risk","Safe")</f>
        <v>Safe</v>
      </c>
      <c r="AA723">
        <f>WarehouseData[[#This Row],[stock_level]]/WarehouseData[[#This Row],[daily_demand]]</f>
        <v>12.095032397408207</v>
      </c>
      <c r="AB723">
        <f>WarehouseData[[#This Row],[stock_level]]*WarehouseData[[#This Row],[unit_price]]</f>
        <v>9075.36</v>
      </c>
      <c r="AC723">
        <f>WarehouseData[[#This Row],[stock_level]]*WarehouseData[[#This Row],[holding_cost_per_unit_day]]*30</f>
        <v>7358.4</v>
      </c>
      <c r="AD723" t="str">
        <f>IF(WarehouseData[[#This Row],[order_fulfillment_rate]]&gt;=0.9,"Strong",IF(WarehouseData[[#This Row],[order_fulfillment_rate]]&gt;=0.8,"Moderate","Needs Attention"))</f>
        <v>Needs Attention</v>
      </c>
      <c r="AE723" t="str">
        <f>IF(WarehouseData[[#This Row],[picking_time_seconds]]&gt;120,"Slow",IF(WarehouseData[[#This Row],[picking_time_seconds]]&gt;=60,"Average","Fast"))</f>
        <v>Average</v>
      </c>
    </row>
    <row r="724" spans="1:31" x14ac:dyDescent="0.25">
      <c r="A724" t="s">
        <v>862</v>
      </c>
      <c r="B724" t="s">
        <v>48</v>
      </c>
      <c r="C724">
        <v>231</v>
      </c>
      <c r="D724">
        <v>90</v>
      </c>
      <c r="E724">
        <v>5</v>
      </c>
      <c r="F724">
        <v>2</v>
      </c>
      <c r="G724">
        <v>25.79</v>
      </c>
      <c r="H724">
        <v>3.03</v>
      </c>
      <c r="I724">
        <v>0.57999999999999996</v>
      </c>
      <c r="J724" t="s">
        <v>142</v>
      </c>
      <c r="K724" t="s">
        <v>38</v>
      </c>
      <c r="L724">
        <v>70</v>
      </c>
      <c r="M724">
        <v>2.76</v>
      </c>
      <c r="N724">
        <v>183.9</v>
      </c>
      <c r="O724">
        <v>1.32</v>
      </c>
      <c r="P724">
        <v>4</v>
      </c>
      <c r="Q724">
        <v>0.79</v>
      </c>
      <c r="R724">
        <v>795</v>
      </c>
      <c r="S724">
        <v>5.97</v>
      </c>
      <c r="T724">
        <v>0.57999999999999996</v>
      </c>
      <c r="U724" s="1">
        <v>45467</v>
      </c>
      <c r="V724">
        <v>165.65</v>
      </c>
      <c r="W724">
        <v>0.54200000000000004</v>
      </c>
      <c r="X724" t="str">
        <f>IF(WarehouseData[[#This Row],[stock_level]]&lt;=WarehouseData[[#This Row],[reorder_point]],"Low Stock","Sufficient Stock")</f>
        <v>Sufficient Stock</v>
      </c>
      <c r="Y724">
        <f>WarehouseData[[#This Row],[daily_demand]]*WarehouseData[[#This Row],[lead_time_days]]</f>
        <v>51.58</v>
      </c>
      <c r="Z724" t="str">
        <f>IF(WarehouseData[[#This Row],[stock_level]]&lt;=WarehouseData[[#This Row],[Demand During Lead Time]],"At Risk","Safe")</f>
        <v>Safe</v>
      </c>
      <c r="AA724">
        <f>WarehouseData[[#This Row],[stock_level]]/WarehouseData[[#This Row],[daily_demand]]</f>
        <v>8.9569600620395509</v>
      </c>
      <c r="AB724">
        <f>WarehouseData[[#This Row],[stock_level]]*WarehouseData[[#This Row],[unit_price]]</f>
        <v>42480.9</v>
      </c>
      <c r="AC724">
        <f>WarehouseData[[#This Row],[stock_level]]*WarehouseData[[#This Row],[holding_cost_per_unit_day]]*30</f>
        <v>9147.6</v>
      </c>
      <c r="AD724" t="str">
        <f>IF(WarehouseData[[#This Row],[order_fulfillment_rate]]&gt;=0.9,"Strong",IF(WarehouseData[[#This Row],[order_fulfillment_rate]]&gt;=0.8,"Moderate","Needs Attention"))</f>
        <v>Needs Attention</v>
      </c>
      <c r="AE724" t="str">
        <f>IF(WarehouseData[[#This Row],[picking_time_seconds]]&gt;120,"Slow",IF(WarehouseData[[#This Row],[picking_time_seconds]]&gt;=60,"Average","Fast"))</f>
        <v>Average</v>
      </c>
    </row>
    <row r="725" spans="1:31" x14ac:dyDescent="0.25">
      <c r="A725" t="s">
        <v>863</v>
      </c>
      <c r="B725" t="s">
        <v>32</v>
      </c>
      <c r="C725">
        <v>22</v>
      </c>
      <c r="D725">
        <v>88</v>
      </c>
      <c r="E725">
        <v>11</v>
      </c>
      <c r="F725">
        <v>9</v>
      </c>
      <c r="G725">
        <v>11.9</v>
      </c>
      <c r="H725">
        <v>4.34</v>
      </c>
      <c r="I725">
        <v>0.44</v>
      </c>
      <c r="J725" t="s">
        <v>54</v>
      </c>
      <c r="K725" t="s">
        <v>46</v>
      </c>
      <c r="L725">
        <v>58</v>
      </c>
      <c r="M725">
        <v>4.63</v>
      </c>
      <c r="N725">
        <v>185.84</v>
      </c>
      <c r="O725">
        <v>1.41</v>
      </c>
      <c r="P725">
        <v>6</v>
      </c>
      <c r="Q725">
        <v>0.92</v>
      </c>
      <c r="R725">
        <v>843</v>
      </c>
      <c r="S725">
        <v>1.1399999999999999</v>
      </c>
      <c r="T725">
        <v>0.74</v>
      </c>
      <c r="U725" s="1">
        <v>45641</v>
      </c>
      <c r="V725">
        <v>46.72</v>
      </c>
      <c r="W725">
        <v>0.48599999999999999</v>
      </c>
      <c r="X725" t="str">
        <f>IF(WarehouseData[[#This Row],[stock_level]]&lt;=WarehouseData[[#This Row],[reorder_point]],"Low Stock","Sufficient Stock")</f>
        <v>Low Stock</v>
      </c>
      <c r="Y725">
        <f>WarehouseData[[#This Row],[daily_demand]]*WarehouseData[[#This Row],[lead_time_days]]</f>
        <v>107.10000000000001</v>
      </c>
      <c r="Z725" t="str">
        <f>IF(WarehouseData[[#This Row],[stock_level]]&lt;=WarehouseData[[#This Row],[Demand During Lead Time]],"At Risk","Safe")</f>
        <v>At Risk</v>
      </c>
      <c r="AA725">
        <f>WarehouseData[[#This Row],[stock_level]]/WarehouseData[[#This Row],[daily_demand]]</f>
        <v>1.8487394957983192</v>
      </c>
      <c r="AB725">
        <f>WarehouseData[[#This Row],[stock_level]]*WarehouseData[[#This Row],[unit_price]]</f>
        <v>4088.48</v>
      </c>
      <c r="AC725">
        <f>WarehouseData[[#This Row],[stock_level]]*WarehouseData[[#This Row],[holding_cost_per_unit_day]]*30</f>
        <v>930.6</v>
      </c>
      <c r="AD725" t="str">
        <f>IF(WarehouseData[[#This Row],[order_fulfillment_rate]]&gt;=0.9,"Strong",IF(WarehouseData[[#This Row],[order_fulfillment_rate]]&gt;=0.8,"Moderate","Needs Attention"))</f>
        <v>Strong</v>
      </c>
      <c r="AE725" t="str">
        <f>IF(WarehouseData[[#This Row],[picking_time_seconds]]&gt;120,"Slow",IF(WarehouseData[[#This Row],[picking_time_seconds]]&gt;=60,"Average","Fast"))</f>
        <v>Fast</v>
      </c>
    </row>
    <row r="726" spans="1:31" x14ac:dyDescent="0.25">
      <c r="A726" t="s">
        <v>864</v>
      </c>
      <c r="B726" t="s">
        <v>73</v>
      </c>
      <c r="C726">
        <v>403</v>
      </c>
      <c r="D726">
        <v>27</v>
      </c>
      <c r="E726">
        <v>10</v>
      </c>
      <c r="F726">
        <v>7</v>
      </c>
      <c r="G726">
        <v>27.69</v>
      </c>
      <c r="H726">
        <v>7.17</v>
      </c>
      <c r="I726">
        <v>0.45</v>
      </c>
      <c r="J726" t="s">
        <v>113</v>
      </c>
      <c r="K726" t="s">
        <v>46</v>
      </c>
      <c r="L726">
        <v>167</v>
      </c>
      <c r="M726">
        <v>2.38</v>
      </c>
      <c r="N726">
        <v>148.16999999999999</v>
      </c>
      <c r="O726">
        <v>0.16</v>
      </c>
      <c r="P726">
        <v>3</v>
      </c>
      <c r="Q726">
        <v>0.77</v>
      </c>
      <c r="R726">
        <v>251</v>
      </c>
      <c r="S726">
        <v>8.74</v>
      </c>
      <c r="T726">
        <v>0.93</v>
      </c>
      <c r="U726" s="1">
        <v>45316</v>
      </c>
      <c r="V726">
        <v>106.85</v>
      </c>
      <c r="W726">
        <v>0.78100000000000003</v>
      </c>
      <c r="X726" t="str">
        <f>IF(WarehouseData[[#This Row],[stock_level]]&lt;=WarehouseData[[#This Row],[reorder_point]],"Low Stock","Sufficient Stock")</f>
        <v>Sufficient Stock</v>
      </c>
      <c r="Y726">
        <f>WarehouseData[[#This Row],[daily_demand]]*WarehouseData[[#This Row],[lead_time_days]]</f>
        <v>193.83</v>
      </c>
      <c r="Z726" t="str">
        <f>IF(WarehouseData[[#This Row],[stock_level]]&lt;=WarehouseData[[#This Row],[Demand During Lead Time]],"At Risk","Safe")</f>
        <v>Safe</v>
      </c>
      <c r="AA726">
        <f>WarehouseData[[#This Row],[stock_level]]/WarehouseData[[#This Row],[daily_demand]]</f>
        <v>14.553990610328638</v>
      </c>
      <c r="AB726">
        <f>WarehouseData[[#This Row],[stock_level]]*WarehouseData[[#This Row],[unit_price]]</f>
        <v>59712.509999999995</v>
      </c>
      <c r="AC726">
        <f>WarehouseData[[#This Row],[stock_level]]*WarehouseData[[#This Row],[holding_cost_per_unit_day]]*30</f>
        <v>1934.4</v>
      </c>
      <c r="AD726" t="str">
        <f>IF(WarehouseData[[#This Row],[order_fulfillment_rate]]&gt;=0.9,"Strong",IF(WarehouseData[[#This Row],[order_fulfillment_rate]]&gt;=0.8,"Moderate","Needs Attention"))</f>
        <v>Needs Attention</v>
      </c>
      <c r="AE726" t="str">
        <f>IF(WarehouseData[[#This Row],[picking_time_seconds]]&gt;120,"Slow",IF(WarehouseData[[#This Row],[picking_time_seconds]]&gt;=60,"Average","Fast"))</f>
        <v>Slow</v>
      </c>
    </row>
    <row r="727" spans="1:31" x14ac:dyDescent="0.25">
      <c r="A727" t="s">
        <v>865</v>
      </c>
      <c r="B727" t="s">
        <v>73</v>
      </c>
      <c r="C727">
        <v>198</v>
      </c>
      <c r="D727">
        <v>32</v>
      </c>
      <c r="E727">
        <v>5</v>
      </c>
      <c r="F727">
        <v>9</v>
      </c>
      <c r="G727">
        <v>7.89</v>
      </c>
      <c r="H727">
        <v>0.87</v>
      </c>
      <c r="I727">
        <v>0.6</v>
      </c>
      <c r="J727" t="s">
        <v>77</v>
      </c>
      <c r="K727" t="s">
        <v>38</v>
      </c>
      <c r="L727">
        <v>154</v>
      </c>
      <c r="M727">
        <v>4.3499999999999996</v>
      </c>
      <c r="N727">
        <v>181.05</v>
      </c>
      <c r="O727">
        <v>1.32</v>
      </c>
      <c r="P727">
        <v>9</v>
      </c>
      <c r="Q727">
        <v>0.76</v>
      </c>
      <c r="R727">
        <v>823</v>
      </c>
      <c r="S727">
        <v>13.79</v>
      </c>
      <c r="T727">
        <v>0.23</v>
      </c>
      <c r="U727" s="1">
        <v>45315</v>
      </c>
      <c r="V727">
        <v>29.71</v>
      </c>
      <c r="W727">
        <v>0.47</v>
      </c>
      <c r="X727" t="str">
        <f>IF(WarehouseData[[#This Row],[stock_level]]&lt;=WarehouseData[[#This Row],[reorder_point]],"Low Stock","Sufficient Stock")</f>
        <v>Sufficient Stock</v>
      </c>
      <c r="Y727">
        <f>WarehouseData[[#This Row],[daily_demand]]*WarehouseData[[#This Row],[lead_time_days]]</f>
        <v>71.009999999999991</v>
      </c>
      <c r="Z727" t="str">
        <f>IF(WarehouseData[[#This Row],[stock_level]]&lt;=WarehouseData[[#This Row],[Demand During Lead Time]],"At Risk","Safe")</f>
        <v>Safe</v>
      </c>
      <c r="AA727">
        <f>WarehouseData[[#This Row],[stock_level]]/WarehouseData[[#This Row],[daily_demand]]</f>
        <v>25.095057034220535</v>
      </c>
      <c r="AB727">
        <f>WarehouseData[[#This Row],[stock_level]]*WarehouseData[[#This Row],[unit_price]]</f>
        <v>35847.9</v>
      </c>
      <c r="AC727">
        <f>WarehouseData[[#This Row],[stock_level]]*WarehouseData[[#This Row],[holding_cost_per_unit_day]]*30</f>
        <v>7840.8</v>
      </c>
      <c r="AD727" t="str">
        <f>IF(WarehouseData[[#This Row],[order_fulfillment_rate]]&gt;=0.9,"Strong",IF(WarehouseData[[#This Row],[order_fulfillment_rate]]&gt;=0.8,"Moderate","Needs Attention"))</f>
        <v>Needs Attention</v>
      </c>
      <c r="AE727" t="str">
        <f>IF(WarehouseData[[#This Row],[picking_time_seconds]]&gt;120,"Slow",IF(WarehouseData[[#This Row],[picking_time_seconds]]&gt;=60,"Average","Fast"))</f>
        <v>Slow</v>
      </c>
    </row>
    <row r="728" spans="1:31" x14ac:dyDescent="0.25">
      <c r="A728" t="s">
        <v>866</v>
      </c>
      <c r="B728" t="s">
        <v>32</v>
      </c>
      <c r="C728">
        <v>361</v>
      </c>
      <c r="D728">
        <v>63</v>
      </c>
      <c r="E728">
        <v>7</v>
      </c>
      <c r="F728">
        <v>6</v>
      </c>
      <c r="G728">
        <v>43.61</v>
      </c>
      <c r="H728">
        <v>9.59</v>
      </c>
      <c r="I728">
        <v>0.23</v>
      </c>
      <c r="J728" t="s">
        <v>276</v>
      </c>
      <c r="K728" t="s">
        <v>38</v>
      </c>
      <c r="L728">
        <v>79</v>
      </c>
      <c r="M728">
        <v>3.04</v>
      </c>
      <c r="N728">
        <v>156.30000000000001</v>
      </c>
      <c r="O728">
        <v>0.32</v>
      </c>
      <c r="P728">
        <v>9</v>
      </c>
      <c r="Q728">
        <v>0.96</v>
      </c>
      <c r="R728">
        <v>102</v>
      </c>
      <c r="S728">
        <v>2.74</v>
      </c>
      <c r="T728">
        <v>0.68</v>
      </c>
      <c r="U728" s="1">
        <v>45342</v>
      </c>
      <c r="V728">
        <v>186.99</v>
      </c>
      <c r="W728">
        <v>0.55300000000000005</v>
      </c>
      <c r="X728" t="str">
        <f>IF(WarehouseData[[#This Row],[stock_level]]&lt;=WarehouseData[[#This Row],[reorder_point]],"Low Stock","Sufficient Stock")</f>
        <v>Sufficient Stock</v>
      </c>
      <c r="Y728">
        <f>WarehouseData[[#This Row],[daily_demand]]*WarehouseData[[#This Row],[lead_time_days]]</f>
        <v>261.65999999999997</v>
      </c>
      <c r="Z728" t="str">
        <f>IF(WarehouseData[[#This Row],[stock_level]]&lt;=WarehouseData[[#This Row],[Demand During Lead Time]],"At Risk","Safe")</f>
        <v>Safe</v>
      </c>
      <c r="AA728">
        <f>WarehouseData[[#This Row],[stock_level]]/WarehouseData[[#This Row],[daily_demand]]</f>
        <v>8.2779179087365282</v>
      </c>
      <c r="AB728">
        <f>WarehouseData[[#This Row],[stock_level]]*WarehouseData[[#This Row],[unit_price]]</f>
        <v>56424.3</v>
      </c>
      <c r="AC728">
        <f>WarehouseData[[#This Row],[stock_level]]*WarehouseData[[#This Row],[holding_cost_per_unit_day]]*30</f>
        <v>3465.6</v>
      </c>
      <c r="AD728" t="str">
        <f>IF(WarehouseData[[#This Row],[order_fulfillment_rate]]&gt;=0.9,"Strong",IF(WarehouseData[[#This Row],[order_fulfillment_rate]]&gt;=0.8,"Moderate","Needs Attention"))</f>
        <v>Strong</v>
      </c>
      <c r="AE728" t="str">
        <f>IF(WarehouseData[[#This Row],[picking_time_seconds]]&gt;120,"Slow",IF(WarehouseData[[#This Row],[picking_time_seconds]]&gt;=60,"Average","Fast"))</f>
        <v>Average</v>
      </c>
    </row>
    <row r="729" spans="1:31" x14ac:dyDescent="0.25">
      <c r="A729" t="s">
        <v>867</v>
      </c>
      <c r="B729" t="s">
        <v>48</v>
      </c>
      <c r="C729">
        <v>322</v>
      </c>
      <c r="D729">
        <v>39</v>
      </c>
      <c r="E729">
        <v>9</v>
      </c>
      <c r="F729">
        <v>7</v>
      </c>
      <c r="G729">
        <v>34.119999999999997</v>
      </c>
      <c r="H729">
        <v>0.94</v>
      </c>
      <c r="I729">
        <v>0.45</v>
      </c>
      <c r="J729" t="s">
        <v>207</v>
      </c>
      <c r="K729" t="s">
        <v>38</v>
      </c>
      <c r="L729">
        <v>24</v>
      </c>
      <c r="M729">
        <v>3.69</v>
      </c>
      <c r="N729">
        <v>110.38</v>
      </c>
      <c r="O729">
        <v>0.98</v>
      </c>
      <c r="P729">
        <v>2</v>
      </c>
      <c r="Q729">
        <v>0.88</v>
      </c>
      <c r="R729">
        <v>366</v>
      </c>
      <c r="S729">
        <v>9.27</v>
      </c>
      <c r="T729">
        <v>0.63</v>
      </c>
      <c r="U729" s="1">
        <v>45612</v>
      </c>
      <c r="V729">
        <v>258.67</v>
      </c>
      <c r="W729">
        <v>0.68799999999999994</v>
      </c>
      <c r="X729" t="str">
        <f>IF(WarehouseData[[#This Row],[stock_level]]&lt;=WarehouseData[[#This Row],[reorder_point]],"Low Stock","Sufficient Stock")</f>
        <v>Sufficient Stock</v>
      </c>
      <c r="Y729">
        <f>WarehouseData[[#This Row],[daily_demand]]*WarehouseData[[#This Row],[lead_time_days]]</f>
        <v>238.83999999999997</v>
      </c>
      <c r="Z729" t="str">
        <f>IF(WarehouseData[[#This Row],[stock_level]]&lt;=WarehouseData[[#This Row],[Demand During Lead Time]],"At Risk","Safe")</f>
        <v>Safe</v>
      </c>
      <c r="AA729">
        <f>WarehouseData[[#This Row],[stock_level]]/WarehouseData[[#This Row],[daily_demand]]</f>
        <v>9.4372801875732719</v>
      </c>
      <c r="AB729">
        <f>WarehouseData[[#This Row],[stock_level]]*WarehouseData[[#This Row],[unit_price]]</f>
        <v>35542.36</v>
      </c>
      <c r="AC729">
        <f>WarehouseData[[#This Row],[stock_level]]*WarehouseData[[#This Row],[holding_cost_per_unit_day]]*30</f>
        <v>9466.7999999999993</v>
      </c>
      <c r="AD729" t="str">
        <f>IF(WarehouseData[[#This Row],[order_fulfillment_rate]]&gt;=0.9,"Strong",IF(WarehouseData[[#This Row],[order_fulfillment_rate]]&gt;=0.8,"Moderate","Needs Attention"))</f>
        <v>Moderate</v>
      </c>
      <c r="AE729" t="str">
        <f>IF(WarehouseData[[#This Row],[picking_time_seconds]]&gt;120,"Slow",IF(WarehouseData[[#This Row],[picking_time_seconds]]&gt;=60,"Average","Fast"))</f>
        <v>Fast</v>
      </c>
    </row>
    <row r="730" spans="1:31" x14ac:dyDescent="0.25">
      <c r="A730" t="s">
        <v>868</v>
      </c>
      <c r="B730" t="s">
        <v>40</v>
      </c>
      <c r="C730">
        <v>471</v>
      </c>
      <c r="D730">
        <v>67</v>
      </c>
      <c r="E730">
        <v>14</v>
      </c>
      <c r="F730">
        <v>3</v>
      </c>
      <c r="G730">
        <v>49.69</v>
      </c>
      <c r="H730">
        <v>8.8699999999999992</v>
      </c>
      <c r="I730">
        <v>0.5</v>
      </c>
      <c r="J730" t="s">
        <v>113</v>
      </c>
      <c r="K730" t="s">
        <v>34</v>
      </c>
      <c r="L730">
        <v>10</v>
      </c>
      <c r="M730">
        <v>4.49</v>
      </c>
      <c r="N730">
        <v>124.14</v>
      </c>
      <c r="O730">
        <v>1.48</v>
      </c>
      <c r="P730">
        <v>6</v>
      </c>
      <c r="Q730">
        <v>1</v>
      </c>
      <c r="R730">
        <v>722</v>
      </c>
      <c r="S730">
        <v>11.24</v>
      </c>
      <c r="T730">
        <v>0.25</v>
      </c>
      <c r="U730" s="1">
        <v>45527</v>
      </c>
      <c r="V730">
        <v>244.77</v>
      </c>
      <c r="W730">
        <v>0.53200000000000003</v>
      </c>
      <c r="X730" t="str">
        <f>IF(WarehouseData[[#This Row],[stock_level]]&lt;=WarehouseData[[#This Row],[reorder_point]],"Low Stock","Sufficient Stock")</f>
        <v>Sufficient Stock</v>
      </c>
      <c r="Y730">
        <f>WarehouseData[[#This Row],[daily_demand]]*WarehouseData[[#This Row],[lead_time_days]]</f>
        <v>149.07</v>
      </c>
      <c r="Z730" t="str">
        <f>IF(WarehouseData[[#This Row],[stock_level]]&lt;=WarehouseData[[#This Row],[Demand During Lead Time]],"At Risk","Safe")</f>
        <v>Safe</v>
      </c>
      <c r="AA730">
        <f>WarehouseData[[#This Row],[stock_level]]/WarehouseData[[#This Row],[daily_demand]]</f>
        <v>9.4787683638559077</v>
      </c>
      <c r="AB730">
        <f>WarehouseData[[#This Row],[stock_level]]*WarehouseData[[#This Row],[unit_price]]</f>
        <v>58469.94</v>
      </c>
      <c r="AC730">
        <f>WarehouseData[[#This Row],[stock_level]]*WarehouseData[[#This Row],[holding_cost_per_unit_day]]*30</f>
        <v>20912.400000000001</v>
      </c>
      <c r="AD730" t="str">
        <f>IF(WarehouseData[[#This Row],[order_fulfillment_rate]]&gt;=0.9,"Strong",IF(WarehouseData[[#This Row],[order_fulfillment_rate]]&gt;=0.8,"Moderate","Needs Attention"))</f>
        <v>Strong</v>
      </c>
      <c r="AE730" t="str">
        <f>IF(WarehouseData[[#This Row],[picking_time_seconds]]&gt;120,"Slow",IF(WarehouseData[[#This Row],[picking_time_seconds]]&gt;=60,"Average","Fast"))</f>
        <v>Fast</v>
      </c>
    </row>
    <row r="731" spans="1:31" x14ac:dyDescent="0.25">
      <c r="A731" t="s">
        <v>869</v>
      </c>
      <c r="B731" t="s">
        <v>73</v>
      </c>
      <c r="C731">
        <v>495</v>
      </c>
      <c r="D731">
        <v>77</v>
      </c>
      <c r="E731">
        <v>6</v>
      </c>
      <c r="F731">
        <v>3</v>
      </c>
      <c r="G731">
        <v>5.51</v>
      </c>
      <c r="H731">
        <v>9</v>
      </c>
      <c r="I731">
        <v>0.99</v>
      </c>
      <c r="J731" t="s">
        <v>158</v>
      </c>
      <c r="K731" t="s">
        <v>52</v>
      </c>
      <c r="L731">
        <v>150</v>
      </c>
      <c r="M731">
        <v>4.99</v>
      </c>
      <c r="N731">
        <v>129.36000000000001</v>
      </c>
      <c r="O731">
        <v>1.44</v>
      </c>
      <c r="P731">
        <v>9</v>
      </c>
      <c r="Q731">
        <v>0.74</v>
      </c>
      <c r="R731">
        <v>293</v>
      </c>
      <c r="S731">
        <v>2.89</v>
      </c>
      <c r="T731">
        <v>0.75</v>
      </c>
      <c r="U731" s="1">
        <v>45300</v>
      </c>
      <c r="V731">
        <v>258.26</v>
      </c>
      <c r="W731">
        <v>0.41299999999999998</v>
      </c>
      <c r="X731" t="str">
        <f>IF(WarehouseData[[#This Row],[stock_level]]&lt;=WarehouseData[[#This Row],[reorder_point]],"Low Stock","Sufficient Stock")</f>
        <v>Sufficient Stock</v>
      </c>
      <c r="Y731">
        <f>WarehouseData[[#This Row],[daily_demand]]*WarehouseData[[#This Row],[lead_time_days]]</f>
        <v>16.53</v>
      </c>
      <c r="Z731" t="str">
        <f>IF(WarehouseData[[#This Row],[stock_level]]&lt;=WarehouseData[[#This Row],[Demand During Lead Time]],"At Risk","Safe")</f>
        <v>Safe</v>
      </c>
      <c r="AA731">
        <f>WarehouseData[[#This Row],[stock_level]]/WarehouseData[[#This Row],[daily_demand]]</f>
        <v>89.836660617059891</v>
      </c>
      <c r="AB731">
        <f>WarehouseData[[#This Row],[stock_level]]*WarehouseData[[#This Row],[unit_price]]</f>
        <v>64033.200000000004</v>
      </c>
      <c r="AC731">
        <f>WarehouseData[[#This Row],[stock_level]]*WarehouseData[[#This Row],[holding_cost_per_unit_day]]*30</f>
        <v>21384</v>
      </c>
      <c r="AD731" t="str">
        <f>IF(WarehouseData[[#This Row],[order_fulfillment_rate]]&gt;=0.9,"Strong",IF(WarehouseData[[#This Row],[order_fulfillment_rate]]&gt;=0.8,"Moderate","Needs Attention"))</f>
        <v>Needs Attention</v>
      </c>
      <c r="AE731" t="str">
        <f>IF(WarehouseData[[#This Row],[picking_time_seconds]]&gt;120,"Slow",IF(WarehouseData[[#This Row],[picking_time_seconds]]&gt;=60,"Average","Fast"))</f>
        <v>Slow</v>
      </c>
    </row>
    <row r="732" spans="1:31" x14ac:dyDescent="0.25">
      <c r="A732" t="s">
        <v>870</v>
      </c>
      <c r="B732" t="s">
        <v>36</v>
      </c>
      <c r="C732">
        <v>351</v>
      </c>
      <c r="D732">
        <v>76</v>
      </c>
      <c r="E732">
        <v>7</v>
      </c>
      <c r="F732">
        <v>9</v>
      </c>
      <c r="G732">
        <v>12.79</v>
      </c>
      <c r="H732">
        <v>5.48</v>
      </c>
      <c r="I732">
        <v>0.42</v>
      </c>
      <c r="J732" t="s">
        <v>75</v>
      </c>
      <c r="K732" t="s">
        <v>46</v>
      </c>
      <c r="L732">
        <v>137</v>
      </c>
      <c r="M732">
        <v>3.79</v>
      </c>
      <c r="N732">
        <v>34.11</v>
      </c>
      <c r="O732">
        <v>0.67</v>
      </c>
      <c r="P732">
        <v>0</v>
      </c>
      <c r="Q732">
        <v>0.81</v>
      </c>
      <c r="R732">
        <v>990</v>
      </c>
      <c r="S732">
        <v>8.19</v>
      </c>
      <c r="T732">
        <v>0.38</v>
      </c>
      <c r="U732" s="1">
        <v>45355</v>
      </c>
      <c r="V732">
        <v>60.63</v>
      </c>
      <c r="W732">
        <v>0.68</v>
      </c>
      <c r="X732" t="str">
        <f>IF(WarehouseData[[#This Row],[stock_level]]&lt;=WarehouseData[[#This Row],[reorder_point]],"Low Stock","Sufficient Stock")</f>
        <v>Sufficient Stock</v>
      </c>
      <c r="Y732">
        <f>WarehouseData[[#This Row],[daily_demand]]*WarehouseData[[#This Row],[lead_time_days]]</f>
        <v>115.10999999999999</v>
      </c>
      <c r="Z732" t="str">
        <f>IF(WarehouseData[[#This Row],[stock_level]]&lt;=WarehouseData[[#This Row],[Demand During Lead Time]],"At Risk","Safe")</f>
        <v>Safe</v>
      </c>
      <c r="AA732">
        <f>WarehouseData[[#This Row],[stock_level]]/WarehouseData[[#This Row],[daily_demand]]</f>
        <v>27.443315089913998</v>
      </c>
      <c r="AB732">
        <f>WarehouseData[[#This Row],[stock_level]]*WarehouseData[[#This Row],[unit_price]]</f>
        <v>11972.61</v>
      </c>
      <c r="AC732">
        <f>WarehouseData[[#This Row],[stock_level]]*WarehouseData[[#This Row],[holding_cost_per_unit_day]]*30</f>
        <v>7055.1</v>
      </c>
      <c r="AD732" t="str">
        <f>IF(WarehouseData[[#This Row],[order_fulfillment_rate]]&gt;=0.9,"Strong",IF(WarehouseData[[#This Row],[order_fulfillment_rate]]&gt;=0.8,"Moderate","Needs Attention"))</f>
        <v>Moderate</v>
      </c>
      <c r="AE732" t="str">
        <f>IF(WarehouseData[[#This Row],[picking_time_seconds]]&gt;120,"Slow",IF(WarehouseData[[#This Row],[picking_time_seconds]]&gt;=60,"Average","Fast"))</f>
        <v>Slow</v>
      </c>
    </row>
    <row r="733" spans="1:31" x14ac:dyDescent="0.25">
      <c r="A733" t="s">
        <v>871</v>
      </c>
      <c r="B733" t="s">
        <v>36</v>
      </c>
      <c r="C733">
        <v>57</v>
      </c>
      <c r="D733">
        <v>80</v>
      </c>
      <c r="E733">
        <v>5</v>
      </c>
      <c r="F733">
        <v>5</v>
      </c>
      <c r="G733">
        <v>43.98</v>
      </c>
      <c r="H733">
        <v>1.8</v>
      </c>
      <c r="I733">
        <v>0.68</v>
      </c>
      <c r="J733" t="s">
        <v>160</v>
      </c>
      <c r="K733" t="s">
        <v>38</v>
      </c>
      <c r="L733">
        <v>171</v>
      </c>
      <c r="M733">
        <v>1.92</v>
      </c>
      <c r="N733">
        <v>46.68</v>
      </c>
      <c r="O733">
        <v>0.62</v>
      </c>
      <c r="P733">
        <v>5</v>
      </c>
      <c r="Q733">
        <v>0.79</v>
      </c>
      <c r="R733">
        <v>143</v>
      </c>
      <c r="S733">
        <v>2.2400000000000002</v>
      </c>
      <c r="T733">
        <v>0.76</v>
      </c>
      <c r="U733" s="1">
        <v>45372</v>
      </c>
      <c r="V733">
        <v>198.52</v>
      </c>
      <c r="W733">
        <v>0.57799999999999996</v>
      </c>
      <c r="X733" t="str">
        <f>IF(WarehouseData[[#This Row],[stock_level]]&lt;=WarehouseData[[#This Row],[reorder_point]],"Low Stock","Sufficient Stock")</f>
        <v>Low Stock</v>
      </c>
      <c r="Y733">
        <f>WarehouseData[[#This Row],[daily_demand]]*WarehouseData[[#This Row],[lead_time_days]]</f>
        <v>219.89999999999998</v>
      </c>
      <c r="Z733" t="str">
        <f>IF(WarehouseData[[#This Row],[stock_level]]&lt;=WarehouseData[[#This Row],[Demand During Lead Time]],"At Risk","Safe")</f>
        <v>At Risk</v>
      </c>
      <c r="AA733">
        <f>WarehouseData[[#This Row],[stock_level]]/WarehouseData[[#This Row],[daily_demand]]</f>
        <v>1.2960436562073672</v>
      </c>
      <c r="AB733">
        <f>WarehouseData[[#This Row],[stock_level]]*WarehouseData[[#This Row],[unit_price]]</f>
        <v>2660.7599999999998</v>
      </c>
      <c r="AC733">
        <f>WarehouseData[[#This Row],[stock_level]]*WarehouseData[[#This Row],[holding_cost_per_unit_day]]*30</f>
        <v>1060.1999999999998</v>
      </c>
      <c r="AD733" t="str">
        <f>IF(WarehouseData[[#This Row],[order_fulfillment_rate]]&gt;=0.9,"Strong",IF(WarehouseData[[#This Row],[order_fulfillment_rate]]&gt;=0.8,"Moderate","Needs Attention"))</f>
        <v>Needs Attention</v>
      </c>
      <c r="AE733" t="str">
        <f>IF(WarehouseData[[#This Row],[picking_time_seconds]]&gt;120,"Slow",IF(WarehouseData[[#This Row],[picking_time_seconds]]&gt;=60,"Average","Fast"))</f>
        <v>Slow</v>
      </c>
    </row>
    <row r="734" spans="1:31" x14ac:dyDescent="0.25">
      <c r="A734" t="s">
        <v>872</v>
      </c>
      <c r="B734" t="s">
        <v>32</v>
      </c>
      <c r="C734">
        <v>439</v>
      </c>
      <c r="D734">
        <v>27</v>
      </c>
      <c r="E734">
        <v>11</v>
      </c>
      <c r="F734">
        <v>2</v>
      </c>
      <c r="G734">
        <v>20.37</v>
      </c>
      <c r="H734">
        <v>5.87</v>
      </c>
      <c r="I734">
        <v>0.22</v>
      </c>
      <c r="J734" t="s">
        <v>95</v>
      </c>
      <c r="K734" t="s">
        <v>38</v>
      </c>
      <c r="L734">
        <v>134</v>
      </c>
      <c r="M734">
        <v>1.85</v>
      </c>
      <c r="N734">
        <v>109.44</v>
      </c>
      <c r="O734">
        <v>0.94</v>
      </c>
      <c r="P734">
        <v>1</v>
      </c>
      <c r="Q734">
        <v>0.96</v>
      </c>
      <c r="R734">
        <v>601</v>
      </c>
      <c r="S734">
        <v>8.81</v>
      </c>
      <c r="T734">
        <v>0.49</v>
      </c>
      <c r="U734" s="1">
        <v>45517</v>
      </c>
      <c r="V734">
        <v>287.45999999999998</v>
      </c>
      <c r="W734">
        <v>0.69299999999999995</v>
      </c>
      <c r="X734" t="str">
        <f>IF(WarehouseData[[#This Row],[stock_level]]&lt;=WarehouseData[[#This Row],[reorder_point]],"Low Stock","Sufficient Stock")</f>
        <v>Sufficient Stock</v>
      </c>
      <c r="Y734">
        <f>WarehouseData[[#This Row],[daily_demand]]*WarehouseData[[#This Row],[lead_time_days]]</f>
        <v>40.74</v>
      </c>
      <c r="Z734" t="str">
        <f>IF(WarehouseData[[#This Row],[stock_level]]&lt;=WarehouseData[[#This Row],[Demand During Lead Time]],"At Risk","Safe")</f>
        <v>Safe</v>
      </c>
      <c r="AA734">
        <f>WarehouseData[[#This Row],[stock_level]]/WarehouseData[[#This Row],[daily_demand]]</f>
        <v>21.55130093274423</v>
      </c>
      <c r="AB734">
        <f>WarehouseData[[#This Row],[stock_level]]*WarehouseData[[#This Row],[unit_price]]</f>
        <v>48044.159999999996</v>
      </c>
      <c r="AC734">
        <f>WarehouseData[[#This Row],[stock_level]]*WarehouseData[[#This Row],[holding_cost_per_unit_day]]*30</f>
        <v>12379.8</v>
      </c>
      <c r="AD734" t="str">
        <f>IF(WarehouseData[[#This Row],[order_fulfillment_rate]]&gt;=0.9,"Strong",IF(WarehouseData[[#This Row],[order_fulfillment_rate]]&gt;=0.8,"Moderate","Needs Attention"))</f>
        <v>Strong</v>
      </c>
      <c r="AE734" t="str">
        <f>IF(WarehouseData[[#This Row],[picking_time_seconds]]&gt;120,"Slow",IF(WarehouseData[[#This Row],[picking_time_seconds]]&gt;=60,"Average","Fast"))</f>
        <v>Slow</v>
      </c>
    </row>
    <row r="735" spans="1:31" x14ac:dyDescent="0.25">
      <c r="A735" t="s">
        <v>873</v>
      </c>
      <c r="B735" t="s">
        <v>48</v>
      </c>
      <c r="C735">
        <v>258</v>
      </c>
      <c r="D735">
        <v>16</v>
      </c>
      <c r="E735">
        <v>12</v>
      </c>
      <c r="F735">
        <v>4</v>
      </c>
      <c r="G735">
        <v>23.85</v>
      </c>
      <c r="H735">
        <v>6.47</v>
      </c>
      <c r="I735">
        <v>0.16</v>
      </c>
      <c r="J735" t="s">
        <v>418</v>
      </c>
      <c r="K735" t="s">
        <v>52</v>
      </c>
      <c r="L735">
        <v>167</v>
      </c>
      <c r="M735">
        <v>1.89</v>
      </c>
      <c r="N735">
        <v>31.89</v>
      </c>
      <c r="O735">
        <v>0.46</v>
      </c>
      <c r="P735">
        <v>1</v>
      </c>
      <c r="Q735">
        <v>0.78</v>
      </c>
      <c r="R735">
        <v>329</v>
      </c>
      <c r="S735">
        <v>7.19</v>
      </c>
      <c r="T735">
        <v>0.82</v>
      </c>
      <c r="U735" s="1">
        <v>45525</v>
      </c>
      <c r="V735">
        <v>237.14</v>
      </c>
      <c r="W735">
        <v>0.75</v>
      </c>
      <c r="X735" t="str">
        <f>IF(WarehouseData[[#This Row],[stock_level]]&lt;=WarehouseData[[#This Row],[reorder_point]],"Low Stock","Sufficient Stock")</f>
        <v>Sufficient Stock</v>
      </c>
      <c r="Y735">
        <f>WarehouseData[[#This Row],[daily_demand]]*WarehouseData[[#This Row],[lead_time_days]]</f>
        <v>95.4</v>
      </c>
      <c r="Z735" t="str">
        <f>IF(WarehouseData[[#This Row],[stock_level]]&lt;=WarehouseData[[#This Row],[Demand During Lead Time]],"At Risk","Safe")</f>
        <v>Safe</v>
      </c>
      <c r="AA735">
        <f>WarehouseData[[#This Row],[stock_level]]/WarehouseData[[#This Row],[daily_demand]]</f>
        <v>10.817610062893081</v>
      </c>
      <c r="AB735">
        <f>WarehouseData[[#This Row],[stock_level]]*WarehouseData[[#This Row],[unit_price]]</f>
        <v>8227.6200000000008</v>
      </c>
      <c r="AC735">
        <f>WarehouseData[[#This Row],[stock_level]]*WarehouseData[[#This Row],[holding_cost_per_unit_day]]*30</f>
        <v>3560.4</v>
      </c>
      <c r="AD735" t="str">
        <f>IF(WarehouseData[[#This Row],[order_fulfillment_rate]]&gt;=0.9,"Strong",IF(WarehouseData[[#This Row],[order_fulfillment_rate]]&gt;=0.8,"Moderate","Needs Attention"))</f>
        <v>Needs Attention</v>
      </c>
      <c r="AE735" t="str">
        <f>IF(WarehouseData[[#This Row],[picking_time_seconds]]&gt;120,"Slow",IF(WarehouseData[[#This Row],[picking_time_seconds]]&gt;=60,"Average","Fast"))</f>
        <v>Slow</v>
      </c>
    </row>
    <row r="736" spans="1:31" x14ac:dyDescent="0.25">
      <c r="A736" t="s">
        <v>874</v>
      </c>
      <c r="B736" t="s">
        <v>73</v>
      </c>
      <c r="C736">
        <v>188</v>
      </c>
      <c r="D736">
        <v>49</v>
      </c>
      <c r="E736">
        <v>11</v>
      </c>
      <c r="F736">
        <v>7</v>
      </c>
      <c r="G736">
        <v>43.17</v>
      </c>
      <c r="H736">
        <v>8.65</v>
      </c>
      <c r="I736">
        <v>0.88</v>
      </c>
      <c r="J736" t="s">
        <v>401</v>
      </c>
      <c r="K736" t="s">
        <v>34</v>
      </c>
      <c r="L736">
        <v>28</v>
      </c>
      <c r="M736">
        <v>0.94</v>
      </c>
      <c r="N736">
        <v>193.35</v>
      </c>
      <c r="O736">
        <v>1.95</v>
      </c>
      <c r="P736">
        <v>7</v>
      </c>
      <c r="Q736">
        <v>0.81</v>
      </c>
      <c r="R736">
        <v>141</v>
      </c>
      <c r="S736">
        <v>4.71</v>
      </c>
      <c r="T736">
        <v>0.95</v>
      </c>
      <c r="U736" s="1">
        <v>45292</v>
      </c>
      <c r="V736">
        <v>10.98</v>
      </c>
      <c r="W736">
        <v>0.48</v>
      </c>
      <c r="X736" t="str">
        <f>IF(WarehouseData[[#This Row],[stock_level]]&lt;=WarehouseData[[#This Row],[reorder_point]],"Low Stock","Sufficient Stock")</f>
        <v>Sufficient Stock</v>
      </c>
      <c r="Y736">
        <f>WarehouseData[[#This Row],[daily_demand]]*WarehouseData[[#This Row],[lead_time_days]]</f>
        <v>302.19</v>
      </c>
      <c r="Z736" t="str">
        <f>IF(WarehouseData[[#This Row],[stock_level]]&lt;=WarehouseData[[#This Row],[Demand During Lead Time]],"At Risk","Safe")</f>
        <v>At Risk</v>
      </c>
      <c r="AA736">
        <f>WarehouseData[[#This Row],[stock_level]]/WarehouseData[[#This Row],[daily_demand]]</f>
        <v>4.3548760713458421</v>
      </c>
      <c r="AB736">
        <f>WarehouseData[[#This Row],[stock_level]]*WarehouseData[[#This Row],[unit_price]]</f>
        <v>36349.799999999996</v>
      </c>
      <c r="AC736">
        <f>WarehouseData[[#This Row],[stock_level]]*WarehouseData[[#This Row],[holding_cost_per_unit_day]]*30</f>
        <v>10997.999999999998</v>
      </c>
      <c r="AD736" t="str">
        <f>IF(WarehouseData[[#This Row],[order_fulfillment_rate]]&gt;=0.9,"Strong",IF(WarehouseData[[#This Row],[order_fulfillment_rate]]&gt;=0.8,"Moderate","Needs Attention"))</f>
        <v>Moderate</v>
      </c>
      <c r="AE736" t="str">
        <f>IF(WarehouseData[[#This Row],[picking_time_seconds]]&gt;120,"Slow",IF(WarehouseData[[#This Row],[picking_time_seconds]]&gt;=60,"Average","Fast"))</f>
        <v>Fast</v>
      </c>
    </row>
    <row r="737" spans="1:31" x14ac:dyDescent="0.25">
      <c r="A737" t="s">
        <v>875</v>
      </c>
      <c r="B737" t="s">
        <v>48</v>
      </c>
      <c r="C737">
        <v>472</v>
      </c>
      <c r="D737">
        <v>79</v>
      </c>
      <c r="E737">
        <v>9</v>
      </c>
      <c r="F737">
        <v>3</v>
      </c>
      <c r="G737">
        <v>26.57</v>
      </c>
      <c r="H737">
        <v>5.73</v>
      </c>
      <c r="I737">
        <v>0.76</v>
      </c>
      <c r="J737" t="s">
        <v>62</v>
      </c>
      <c r="K737" t="s">
        <v>46</v>
      </c>
      <c r="L737">
        <v>128</v>
      </c>
      <c r="M737">
        <v>0.74</v>
      </c>
      <c r="N737">
        <v>106.35</v>
      </c>
      <c r="O737">
        <v>0.76</v>
      </c>
      <c r="P737">
        <v>2</v>
      </c>
      <c r="Q737">
        <v>0.74</v>
      </c>
      <c r="R737">
        <v>862</v>
      </c>
      <c r="S737">
        <v>12.94</v>
      </c>
      <c r="T737">
        <v>0.89</v>
      </c>
      <c r="U737" s="1">
        <v>45511</v>
      </c>
      <c r="V737">
        <v>265.87</v>
      </c>
      <c r="W737">
        <v>0.78300000000000003</v>
      </c>
      <c r="X737" t="str">
        <f>IF(WarehouseData[[#This Row],[stock_level]]&lt;=WarehouseData[[#This Row],[reorder_point]],"Low Stock","Sufficient Stock")</f>
        <v>Sufficient Stock</v>
      </c>
      <c r="Y737">
        <f>WarehouseData[[#This Row],[daily_demand]]*WarehouseData[[#This Row],[lead_time_days]]</f>
        <v>79.710000000000008</v>
      </c>
      <c r="Z737" t="str">
        <f>IF(WarehouseData[[#This Row],[stock_level]]&lt;=WarehouseData[[#This Row],[Demand During Lead Time]],"At Risk","Safe")</f>
        <v>Safe</v>
      </c>
      <c r="AA737">
        <f>WarehouseData[[#This Row],[stock_level]]/WarehouseData[[#This Row],[daily_demand]]</f>
        <v>17.764395935265338</v>
      </c>
      <c r="AB737">
        <f>WarehouseData[[#This Row],[stock_level]]*WarehouseData[[#This Row],[unit_price]]</f>
        <v>50197.2</v>
      </c>
      <c r="AC737">
        <f>WarehouseData[[#This Row],[stock_level]]*WarehouseData[[#This Row],[holding_cost_per_unit_day]]*30</f>
        <v>10761.6</v>
      </c>
      <c r="AD737" t="str">
        <f>IF(WarehouseData[[#This Row],[order_fulfillment_rate]]&gt;=0.9,"Strong",IF(WarehouseData[[#This Row],[order_fulfillment_rate]]&gt;=0.8,"Moderate","Needs Attention"))</f>
        <v>Needs Attention</v>
      </c>
      <c r="AE737" t="str">
        <f>IF(WarehouseData[[#This Row],[picking_time_seconds]]&gt;120,"Slow",IF(WarehouseData[[#This Row],[picking_time_seconds]]&gt;=60,"Average","Fast"))</f>
        <v>Slow</v>
      </c>
    </row>
    <row r="738" spans="1:31" x14ac:dyDescent="0.25">
      <c r="A738" t="s">
        <v>876</v>
      </c>
      <c r="B738" t="s">
        <v>73</v>
      </c>
      <c r="C738">
        <v>416</v>
      </c>
      <c r="D738">
        <v>95</v>
      </c>
      <c r="E738">
        <v>12</v>
      </c>
      <c r="F738">
        <v>6</v>
      </c>
      <c r="G738">
        <v>10.48</v>
      </c>
      <c r="H738">
        <v>4.4000000000000004</v>
      </c>
      <c r="I738">
        <v>0.39</v>
      </c>
      <c r="J738" t="s">
        <v>202</v>
      </c>
      <c r="K738" t="s">
        <v>34</v>
      </c>
      <c r="L738">
        <v>73</v>
      </c>
      <c r="M738">
        <v>3.11</v>
      </c>
      <c r="N738">
        <v>82.22</v>
      </c>
      <c r="O738">
        <v>1.85</v>
      </c>
      <c r="P738">
        <v>8</v>
      </c>
      <c r="Q738">
        <v>0.93</v>
      </c>
      <c r="R738">
        <v>87</v>
      </c>
      <c r="S738">
        <v>6.35</v>
      </c>
      <c r="T738">
        <v>0.59</v>
      </c>
      <c r="U738" s="1">
        <v>45395</v>
      </c>
      <c r="V738">
        <v>214.68</v>
      </c>
      <c r="W738">
        <v>0.44400000000000001</v>
      </c>
      <c r="X738" t="str">
        <f>IF(WarehouseData[[#This Row],[stock_level]]&lt;=WarehouseData[[#This Row],[reorder_point]],"Low Stock","Sufficient Stock")</f>
        <v>Sufficient Stock</v>
      </c>
      <c r="Y738">
        <f>WarehouseData[[#This Row],[daily_demand]]*WarehouseData[[#This Row],[lead_time_days]]</f>
        <v>62.88</v>
      </c>
      <c r="Z738" t="str">
        <f>IF(WarehouseData[[#This Row],[stock_level]]&lt;=WarehouseData[[#This Row],[Demand During Lead Time]],"At Risk","Safe")</f>
        <v>Safe</v>
      </c>
      <c r="AA738">
        <f>WarehouseData[[#This Row],[stock_level]]/WarehouseData[[#This Row],[daily_demand]]</f>
        <v>39.694656488549619</v>
      </c>
      <c r="AB738">
        <f>WarehouseData[[#This Row],[stock_level]]*WarehouseData[[#This Row],[unit_price]]</f>
        <v>34203.519999999997</v>
      </c>
      <c r="AC738">
        <f>WarehouseData[[#This Row],[stock_level]]*WarehouseData[[#This Row],[holding_cost_per_unit_day]]*30</f>
        <v>23088</v>
      </c>
      <c r="AD738" t="str">
        <f>IF(WarehouseData[[#This Row],[order_fulfillment_rate]]&gt;=0.9,"Strong",IF(WarehouseData[[#This Row],[order_fulfillment_rate]]&gt;=0.8,"Moderate","Needs Attention"))</f>
        <v>Strong</v>
      </c>
      <c r="AE738" t="str">
        <f>IF(WarehouseData[[#This Row],[picking_time_seconds]]&gt;120,"Slow",IF(WarehouseData[[#This Row],[picking_time_seconds]]&gt;=60,"Average","Fast"))</f>
        <v>Average</v>
      </c>
    </row>
    <row r="739" spans="1:31" x14ac:dyDescent="0.25">
      <c r="A739" t="s">
        <v>877</v>
      </c>
      <c r="B739" t="s">
        <v>32</v>
      </c>
      <c r="C739">
        <v>362</v>
      </c>
      <c r="D739">
        <v>74</v>
      </c>
      <c r="E739">
        <v>4</v>
      </c>
      <c r="F739">
        <v>7</v>
      </c>
      <c r="G739">
        <v>44.71</v>
      </c>
      <c r="H739">
        <v>8.4600000000000009</v>
      </c>
      <c r="I739">
        <v>0.55000000000000004</v>
      </c>
      <c r="J739" t="s">
        <v>95</v>
      </c>
      <c r="K739" t="s">
        <v>34</v>
      </c>
      <c r="L739">
        <v>75</v>
      </c>
      <c r="M739">
        <v>4.1500000000000004</v>
      </c>
      <c r="N739">
        <v>39.93</v>
      </c>
      <c r="O739">
        <v>1.83</v>
      </c>
      <c r="P739">
        <v>3</v>
      </c>
      <c r="Q739">
        <v>0.77</v>
      </c>
      <c r="R739">
        <v>462</v>
      </c>
      <c r="S739">
        <v>10.8</v>
      </c>
      <c r="T739">
        <v>0.38</v>
      </c>
      <c r="U739" s="1">
        <v>45644</v>
      </c>
      <c r="V739">
        <v>45.4</v>
      </c>
      <c r="W739">
        <v>0.53100000000000003</v>
      </c>
      <c r="X739" t="str">
        <f>IF(WarehouseData[[#This Row],[stock_level]]&lt;=WarehouseData[[#This Row],[reorder_point]],"Low Stock","Sufficient Stock")</f>
        <v>Sufficient Stock</v>
      </c>
      <c r="Y739">
        <f>WarehouseData[[#This Row],[daily_demand]]*WarehouseData[[#This Row],[lead_time_days]]</f>
        <v>312.97000000000003</v>
      </c>
      <c r="Z739" t="str">
        <f>IF(WarehouseData[[#This Row],[stock_level]]&lt;=WarehouseData[[#This Row],[Demand During Lead Time]],"At Risk","Safe")</f>
        <v>Safe</v>
      </c>
      <c r="AA739">
        <f>WarehouseData[[#This Row],[stock_level]]/WarehouseData[[#This Row],[daily_demand]]</f>
        <v>8.0966226794900464</v>
      </c>
      <c r="AB739">
        <f>WarehouseData[[#This Row],[stock_level]]*WarehouseData[[#This Row],[unit_price]]</f>
        <v>14454.66</v>
      </c>
      <c r="AC739">
        <f>WarehouseData[[#This Row],[stock_level]]*WarehouseData[[#This Row],[holding_cost_per_unit_day]]*30</f>
        <v>19873.800000000003</v>
      </c>
      <c r="AD739" t="str">
        <f>IF(WarehouseData[[#This Row],[order_fulfillment_rate]]&gt;=0.9,"Strong",IF(WarehouseData[[#This Row],[order_fulfillment_rate]]&gt;=0.8,"Moderate","Needs Attention"))</f>
        <v>Needs Attention</v>
      </c>
      <c r="AE739" t="str">
        <f>IF(WarehouseData[[#This Row],[picking_time_seconds]]&gt;120,"Slow",IF(WarehouseData[[#This Row],[picking_time_seconds]]&gt;=60,"Average","Fast"))</f>
        <v>Average</v>
      </c>
    </row>
    <row r="740" spans="1:31" x14ac:dyDescent="0.25">
      <c r="A740" t="s">
        <v>878</v>
      </c>
      <c r="B740" t="s">
        <v>32</v>
      </c>
      <c r="C740">
        <v>333</v>
      </c>
      <c r="D740">
        <v>77</v>
      </c>
      <c r="E740">
        <v>9</v>
      </c>
      <c r="F740">
        <v>5</v>
      </c>
      <c r="G740">
        <v>2.52</v>
      </c>
      <c r="H740">
        <v>9.82</v>
      </c>
      <c r="I740">
        <v>0.22</v>
      </c>
      <c r="J740" t="s">
        <v>217</v>
      </c>
      <c r="K740" t="s">
        <v>34</v>
      </c>
      <c r="L740">
        <v>66</v>
      </c>
      <c r="M740">
        <v>0.66</v>
      </c>
      <c r="N740">
        <v>89.14</v>
      </c>
      <c r="O740">
        <v>0.79</v>
      </c>
      <c r="P740">
        <v>5</v>
      </c>
      <c r="Q740">
        <v>0.72</v>
      </c>
      <c r="R740">
        <v>292</v>
      </c>
      <c r="S740">
        <v>12.07</v>
      </c>
      <c r="T740">
        <v>0.99</v>
      </c>
      <c r="U740" s="1">
        <v>45359</v>
      </c>
      <c r="V740">
        <v>101.01</v>
      </c>
      <c r="W740">
        <v>0.72399999999999998</v>
      </c>
      <c r="X740" t="str">
        <f>IF(WarehouseData[[#This Row],[stock_level]]&lt;=WarehouseData[[#This Row],[reorder_point]],"Low Stock","Sufficient Stock")</f>
        <v>Sufficient Stock</v>
      </c>
      <c r="Y740">
        <f>WarehouseData[[#This Row],[daily_demand]]*WarehouseData[[#This Row],[lead_time_days]]</f>
        <v>12.6</v>
      </c>
      <c r="Z740" t="str">
        <f>IF(WarehouseData[[#This Row],[stock_level]]&lt;=WarehouseData[[#This Row],[Demand During Lead Time]],"At Risk","Safe")</f>
        <v>Safe</v>
      </c>
      <c r="AA740">
        <f>WarehouseData[[#This Row],[stock_level]]/WarehouseData[[#This Row],[daily_demand]]</f>
        <v>132.14285714285714</v>
      </c>
      <c r="AB740">
        <f>WarehouseData[[#This Row],[stock_level]]*WarehouseData[[#This Row],[unit_price]]</f>
        <v>29683.62</v>
      </c>
      <c r="AC740">
        <f>WarehouseData[[#This Row],[stock_level]]*WarehouseData[[#This Row],[holding_cost_per_unit_day]]*30</f>
        <v>7892.0999999999995</v>
      </c>
      <c r="AD740" t="str">
        <f>IF(WarehouseData[[#This Row],[order_fulfillment_rate]]&gt;=0.9,"Strong",IF(WarehouseData[[#This Row],[order_fulfillment_rate]]&gt;=0.8,"Moderate","Needs Attention"))</f>
        <v>Needs Attention</v>
      </c>
      <c r="AE740" t="str">
        <f>IF(WarehouseData[[#This Row],[picking_time_seconds]]&gt;120,"Slow",IF(WarehouseData[[#This Row],[picking_time_seconds]]&gt;=60,"Average","Fast"))</f>
        <v>Average</v>
      </c>
    </row>
    <row r="741" spans="1:31" x14ac:dyDescent="0.25">
      <c r="A741" t="s">
        <v>879</v>
      </c>
      <c r="B741" t="s">
        <v>36</v>
      </c>
      <c r="C741">
        <v>325</v>
      </c>
      <c r="D741">
        <v>58</v>
      </c>
      <c r="E741">
        <v>9</v>
      </c>
      <c r="F741">
        <v>5</v>
      </c>
      <c r="G741">
        <v>44.87</v>
      </c>
      <c r="H741">
        <v>6.63</v>
      </c>
      <c r="I741">
        <v>0.74</v>
      </c>
      <c r="J741" t="s">
        <v>181</v>
      </c>
      <c r="K741" t="s">
        <v>38</v>
      </c>
      <c r="L741">
        <v>53</v>
      </c>
      <c r="M741">
        <v>3.05</v>
      </c>
      <c r="N741">
        <v>67.459999999999994</v>
      </c>
      <c r="O741">
        <v>0.57999999999999996</v>
      </c>
      <c r="P741">
        <v>0</v>
      </c>
      <c r="Q741">
        <v>0.83</v>
      </c>
      <c r="R741">
        <v>413</v>
      </c>
      <c r="S741">
        <v>3.5</v>
      </c>
      <c r="T741">
        <v>0.73</v>
      </c>
      <c r="U741" s="1">
        <v>45624</v>
      </c>
      <c r="V741">
        <v>44.08</v>
      </c>
      <c r="W741">
        <v>0.70099999999999996</v>
      </c>
      <c r="X741" t="str">
        <f>IF(WarehouseData[[#This Row],[stock_level]]&lt;=WarehouseData[[#This Row],[reorder_point]],"Low Stock","Sufficient Stock")</f>
        <v>Sufficient Stock</v>
      </c>
      <c r="Y741">
        <f>WarehouseData[[#This Row],[daily_demand]]*WarehouseData[[#This Row],[lead_time_days]]</f>
        <v>224.35</v>
      </c>
      <c r="Z741" t="str">
        <f>IF(WarehouseData[[#This Row],[stock_level]]&lt;=WarehouseData[[#This Row],[Demand During Lead Time]],"At Risk","Safe")</f>
        <v>Safe</v>
      </c>
      <c r="AA741">
        <f>WarehouseData[[#This Row],[stock_level]]/WarehouseData[[#This Row],[daily_demand]]</f>
        <v>7.243146868731893</v>
      </c>
      <c r="AB741">
        <f>WarehouseData[[#This Row],[stock_level]]*WarehouseData[[#This Row],[unit_price]]</f>
        <v>21924.499999999996</v>
      </c>
      <c r="AC741">
        <f>WarehouseData[[#This Row],[stock_level]]*WarehouseData[[#This Row],[holding_cost_per_unit_day]]*30</f>
        <v>5655</v>
      </c>
      <c r="AD741" t="str">
        <f>IF(WarehouseData[[#This Row],[order_fulfillment_rate]]&gt;=0.9,"Strong",IF(WarehouseData[[#This Row],[order_fulfillment_rate]]&gt;=0.8,"Moderate","Needs Attention"))</f>
        <v>Moderate</v>
      </c>
      <c r="AE741" t="str">
        <f>IF(WarehouseData[[#This Row],[picking_time_seconds]]&gt;120,"Slow",IF(WarehouseData[[#This Row],[picking_time_seconds]]&gt;=60,"Average","Fast"))</f>
        <v>Fast</v>
      </c>
    </row>
    <row r="742" spans="1:31" x14ac:dyDescent="0.25">
      <c r="A742" t="s">
        <v>880</v>
      </c>
      <c r="B742" t="s">
        <v>48</v>
      </c>
      <c r="C742">
        <v>49</v>
      </c>
      <c r="D742">
        <v>61</v>
      </c>
      <c r="E742">
        <v>13</v>
      </c>
      <c r="F742">
        <v>3</v>
      </c>
      <c r="G742">
        <v>3.48</v>
      </c>
      <c r="H742">
        <v>8.81</v>
      </c>
      <c r="I742">
        <v>0.16</v>
      </c>
      <c r="J742" t="s">
        <v>95</v>
      </c>
      <c r="K742" t="s">
        <v>52</v>
      </c>
      <c r="L742">
        <v>21</v>
      </c>
      <c r="M742">
        <v>2.17</v>
      </c>
      <c r="N742">
        <v>26.71</v>
      </c>
      <c r="O742">
        <v>1.56</v>
      </c>
      <c r="P742">
        <v>9</v>
      </c>
      <c r="Q742">
        <v>0.82</v>
      </c>
      <c r="R742">
        <v>697</v>
      </c>
      <c r="S742">
        <v>2.67</v>
      </c>
      <c r="T742">
        <v>0.52</v>
      </c>
      <c r="U742" s="1">
        <v>45446</v>
      </c>
      <c r="V742">
        <v>221.65</v>
      </c>
      <c r="W742">
        <v>0.36799999999999999</v>
      </c>
      <c r="X742" t="str">
        <f>IF(WarehouseData[[#This Row],[stock_level]]&lt;=WarehouseData[[#This Row],[reorder_point]],"Low Stock","Sufficient Stock")</f>
        <v>Low Stock</v>
      </c>
      <c r="Y742">
        <f>WarehouseData[[#This Row],[daily_demand]]*WarehouseData[[#This Row],[lead_time_days]]</f>
        <v>10.44</v>
      </c>
      <c r="Z742" t="str">
        <f>IF(WarehouseData[[#This Row],[stock_level]]&lt;=WarehouseData[[#This Row],[Demand During Lead Time]],"At Risk","Safe")</f>
        <v>Safe</v>
      </c>
      <c r="AA742">
        <f>WarehouseData[[#This Row],[stock_level]]/WarehouseData[[#This Row],[daily_demand]]</f>
        <v>14.080459770114942</v>
      </c>
      <c r="AB742">
        <f>WarehouseData[[#This Row],[stock_level]]*WarehouseData[[#This Row],[unit_price]]</f>
        <v>1308.79</v>
      </c>
      <c r="AC742">
        <f>WarehouseData[[#This Row],[stock_level]]*WarehouseData[[#This Row],[holding_cost_per_unit_day]]*30</f>
        <v>2293.1999999999998</v>
      </c>
      <c r="AD742" t="str">
        <f>IF(WarehouseData[[#This Row],[order_fulfillment_rate]]&gt;=0.9,"Strong",IF(WarehouseData[[#This Row],[order_fulfillment_rate]]&gt;=0.8,"Moderate","Needs Attention"))</f>
        <v>Moderate</v>
      </c>
      <c r="AE742" t="str">
        <f>IF(WarehouseData[[#This Row],[picking_time_seconds]]&gt;120,"Slow",IF(WarehouseData[[#This Row],[picking_time_seconds]]&gt;=60,"Average","Fast"))</f>
        <v>Fast</v>
      </c>
    </row>
    <row r="743" spans="1:31" x14ac:dyDescent="0.25">
      <c r="A743" t="s">
        <v>881</v>
      </c>
      <c r="B743" t="s">
        <v>36</v>
      </c>
      <c r="C743">
        <v>209</v>
      </c>
      <c r="D743">
        <v>38</v>
      </c>
      <c r="E743">
        <v>7</v>
      </c>
      <c r="F743">
        <v>3</v>
      </c>
      <c r="G743">
        <v>33.630000000000003</v>
      </c>
      <c r="H743">
        <v>6.19</v>
      </c>
      <c r="I743">
        <v>0.78</v>
      </c>
      <c r="J743" t="s">
        <v>276</v>
      </c>
      <c r="K743" t="s">
        <v>52</v>
      </c>
      <c r="L743">
        <v>131</v>
      </c>
      <c r="M743">
        <v>4.5199999999999996</v>
      </c>
      <c r="N743">
        <v>193.73</v>
      </c>
      <c r="O743">
        <v>0.54</v>
      </c>
      <c r="P743">
        <v>9</v>
      </c>
      <c r="Q743">
        <v>0.75</v>
      </c>
      <c r="R743">
        <v>113</v>
      </c>
      <c r="S743">
        <v>1.1100000000000001</v>
      </c>
      <c r="T743">
        <v>0.59</v>
      </c>
      <c r="U743" s="1">
        <v>45373</v>
      </c>
      <c r="V743">
        <v>11.02</v>
      </c>
      <c r="W743">
        <v>0.44900000000000001</v>
      </c>
      <c r="X743" t="str">
        <f>IF(WarehouseData[[#This Row],[stock_level]]&lt;=WarehouseData[[#This Row],[reorder_point]],"Low Stock","Sufficient Stock")</f>
        <v>Sufficient Stock</v>
      </c>
      <c r="Y743">
        <f>WarehouseData[[#This Row],[daily_demand]]*WarehouseData[[#This Row],[lead_time_days]]</f>
        <v>100.89000000000001</v>
      </c>
      <c r="Z743" t="str">
        <f>IF(WarehouseData[[#This Row],[stock_level]]&lt;=WarehouseData[[#This Row],[Demand During Lead Time]],"At Risk","Safe")</f>
        <v>Safe</v>
      </c>
      <c r="AA743">
        <f>WarehouseData[[#This Row],[stock_level]]/WarehouseData[[#This Row],[daily_demand]]</f>
        <v>6.2146892655367223</v>
      </c>
      <c r="AB743">
        <f>WarehouseData[[#This Row],[stock_level]]*WarehouseData[[#This Row],[unit_price]]</f>
        <v>40489.57</v>
      </c>
      <c r="AC743">
        <f>WarehouseData[[#This Row],[stock_level]]*WarehouseData[[#This Row],[holding_cost_per_unit_day]]*30</f>
        <v>3385.8</v>
      </c>
      <c r="AD743" t="str">
        <f>IF(WarehouseData[[#This Row],[order_fulfillment_rate]]&gt;=0.9,"Strong",IF(WarehouseData[[#This Row],[order_fulfillment_rate]]&gt;=0.8,"Moderate","Needs Attention"))</f>
        <v>Needs Attention</v>
      </c>
      <c r="AE743" t="str">
        <f>IF(WarehouseData[[#This Row],[picking_time_seconds]]&gt;120,"Slow",IF(WarehouseData[[#This Row],[picking_time_seconds]]&gt;=60,"Average","Fast"))</f>
        <v>Slow</v>
      </c>
    </row>
    <row r="744" spans="1:31" x14ac:dyDescent="0.25">
      <c r="A744" t="s">
        <v>882</v>
      </c>
      <c r="B744" t="s">
        <v>48</v>
      </c>
      <c r="C744">
        <v>376</v>
      </c>
      <c r="D744">
        <v>30</v>
      </c>
      <c r="E744">
        <v>11</v>
      </c>
      <c r="F744">
        <v>9</v>
      </c>
      <c r="G744">
        <v>4.51</v>
      </c>
      <c r="H744">
        <v>7.05</v>
      </c>
      <c r="I744">
        <v>0.59</v>
      </c>
      <c r="J744" t="s">
        <v>166</v>
      </c>
      <c r="K744" t="s">
        <v>52</v>
      </c>
      <c r="L744">
        <v>177</v>
      </c>
      <c r="M744">
        <v>1.1499999999999999</v>
      </c>
      <c r="N744">
        <v>60.35</v>
      </c>
      <c r="O744">
        <v>1.0900000000000001</v>
      </c>
      <c r="P744">
        <v>2</v>
      </c>
      <c r="Q744">
        <v>0.74</v>
      </c>
      <c r="R744">
        <v>904</v>
      </c>
      <c r="S744">
        <v>5.28</v>
      </c>
      <c r="T744">
        <v>0.3</v>
      </c>
      <c r="U744" s="1">
        <v>45432</v>
      </c>
      <c r="V744">
        <v>144.71</v>
      </c>
      <c r="W744">
        <v>0.52900000000000003</v>
      </c>
      <c r="X744" t="str">
        <f>IF(WarehouseData[[#This Row],[stock_level]]&lt;=WarehouseData[[#This Row],[reorder_point]],"Low Stock","Sufficient Stock")</f>
        <v>Sufficient Stock</v>
      </c>
      <c r="Y744">
        <f>WarehouseData[[#This Row],[daily_demand]]*WarehouseData[[#This Row],[lead_time_days]]</f>
        <v>40.589999999999996</v>
      </c>
      <c r="Z744" t="str">
        <f>IF(WarehouseData[[#This Row],[stock_level]]&lt;=WarehouseData[[#This Row],[Demand During Lead Time]],"At Risk","Safe")</f>
        <v>Safe</v>
      </c>
      <c r="AA744">
        <f>WarehouseData[[#This Row],[stock_level]]/WarehouseData[[#This Row],[daily_demand]]</f>
        <v>83.370288248337033</v>
      </c>
      <c r="AB744">
        <f>WarehouseData[[#This Row],[stock_level]]*WarehouseData[[#This Row],[unit_price]]</f>
        <v>22691.600000000002</v>
      </c>
      <c r="AC744">
        <f>WarehouseData[[#This Row],[stock_level]]*WarehouseData[[#This Row],[holding_cost_per_unit_day]]*30</f>
        <v>12295.2</v>
      </c>
      <c r="AD744" t="str">
        <f>IF(WarehouseData[[#This Row],[order_fulfillment_rate]]&gt;=0.9,"Strong",IF(WarehouseData[[#This Row],[order_fulfillment_rate]]&gt;=0.8,"Moderate","Needs Attention"))</f>
        <v>Needs Attention</v>
      </c>
      <c r="AE744" t="str">
        <f>IF(WarehouseData[[#This Row],[picking_time_seconds]]&gt;120,"Slow",IF(WarehouseData[[#This Row],[picking_time_seconds]]&gt;=60,"Average","Fast"))</f>
        <v>Slow</v>
      </c>
    </row>
    <row r="745" spans="1:31" x14ac:dyDescent="0.25">
      <c r="A745" t="s">
        <v>883</v>
      </c>
      <c r="B745" t="s">
        <v>36</v>
      </c>
      <c r="C745">
        <v>44</v>
      </c>
      <c r="D745">
        <v>99</v>
      </c>
      <c r="E745">
        <v>14</v>
      </c>
      <c r="F745">
        <v>3</v>
      </c>
      <c r="G745">
        <v>35.6</v>
      </c>
      <c r="H745">
        <v>7.04</v>
      </c>
      <c r="I745">
        <v>0.35</v>
      </c>
      <c r="J745" t="s">
        <v>251</v>
      </c>
      <c r="K745" t="s">
        <v>34</v>
      </c>
      <c r="L745">
        <v>33</v>
      </c>
      <c r="M745">
        <v>3.04</v>
      </c>
      <c r="N745">
        <v>141.19</v>
      </c>
      <c r="O745">
        <v>0.31</v>
      </c>
      <c r="P745">
        <v>3</v>
      </c>
      <c r="Q745">
        <v>0.97</v>
      </c>
      <c r="R745">
        <v>924</v>
      </c>
      <c r="S745">
        <v>12.42</v>
      </c>
      <c r="T745">
        <v>0.6</v>
      </c>
      <c r="U745" s="1">
        <v>45339</v>
      </c>
      <c r="V745">
        <v>299.94</v>
      </c>
      <c r="W745">
        <v>0.78900000000000003</v>
      </c>
      <c r="X745" t="str">
        <f>IF(WarehouseData[[#This Row],[stock_level]]&lt;=WarehouseData[[#This Row],[reorder_point]],"Low Stock","Sufficient Stock")</f>
        <v>Low Stock</v>
      </c>
      <c r="Y745">
        <f>WarehouseData[[#This Row],[daily_demand]]*WarehouseData[[#This Row],[lead_time_days]]</f>
        <v>106.80000000000001</v>
      </c>
      <c r="Z745" t="str">
        <f>IF(WarehouseData[[#This Row],[stock_level]]&lt;=WarehouseData[[#This Row],[Demand During Lead Time]],"At Risk","Safe")</f>
        <v>At Risk</v>
      </c>
      <c r="AA745">
        <f>WarehouseData[[#This Row],[stock_level]]/WarehouseData[[#This Row],[daily_demand]]</f>
        <v>1.2359550561797752</v>
      </c>
      <c r="AB745">
        <f>WarehouseData[[#This Row],[stock_level]]*WarehouseData[[#This Row],[unit_price]]</f>
        <v>6212.36</v>
      </c>
      <c r="AC745">
        <f>WarehouseData[[#This Row],[stock_level]]*WarehouseData[[#This Row],[holding_cost_per_unit_day]]*30</f>
        <v>409.20000000000005</v>
      </c>
      <c r="AD745" t="str">
        <f>IF(WarehouseData[[#This Row],[order_fulfillment_rate]]&gt;=0.9,"Strong",IF(WarehouseData[[#This Row],[order_fulfillment_rate]]&gt;=0.8,"Moderate","Needs Attention"))</f>
        <v>Strong</v>
      </c>
      <c r="AE745" t="str">
        <f>IF(WarehouseData[[#This Row],[picking_time_seconds]]&gt;120,"Slow",IF(WarehouseData[[#This Row],[picking_time_seconds]]&gt;=60,"Average","Fast"))</f>
        <v>Fast</v>
      </c>
    </row>
    <row r="746" spans="1:31" x14ac:dyDescent="0.25">
      <c r="A746" t="s">
        <v>884</v>
      </c>
      <c r="B746" t="s">
        <v>40</v>
      </c>
      <c r="C746">
        <v>131</v>
      </c>
      <c r="D746">
        <v>87</v>
      </c>
      <c r="E746">
        <v>13</v>
      </c>
      <c r="F746">
        <v>9</v>
      </c>
      <c r="G746">
        <v>2.66</v>
      </c>
      <c r="H746">
        <v>7.2</v>
      </c>
      <c r="I746">
        <v>0.88</v>
      </c>
      <c r="J746" t="s">
        <v>92</v>
      </c>
      <c r="K746" t="s">
        <v>46</v>
      </c>
      <c r="L746">
        <v>148</v>
      </c>
      <c r="M746">
        <v>4.87</v>
      </c>
      <c r="N746">
        <v>27.35</v>
      </c>
      <c r="O746">
        <v>0.83</v>
      </c>
      <c r="P746">
        <v>4</v>
      </c>
      <c r="Q746">
        <v>0.72</v>
      </c>
      <c r="R746">
        <v>250</v>
      </c>
      <c r="S746">
        <v>11.82</v>
      </c>
      <c r="T746">
        <v>0.34</v>
      </c>
      <c r="U746" s="1">
        <v>45627</v>
      </c>
      <c r="V746">
        <v>256.83</v>
      </c>
      <c r="W746">
        <v>0.60699999999999998</v>
      </c>
      <c r="X746" t="str">
        <f>IF(WarehouseData[[#This Row],[stock_level]]&lt;=WarehouseData[[#This Row],[reorder_point]],"Low Stock","Sufficient Stock")</f>
        <v>Sufficient Stock</v>
      </c>
      <c r="Y746">
        <f>WarehouseData[[#This Row],[daily_demand]]*WarehouseData[[#This Row],[lead_time_days]]</f>
        <v>23.94</v>
      </c>
      <c r="Z746" t="str">
        <f>IF(WarehouseData[[#This Row],[stock_level]]&lt;=WarehouseData[[#This Row],[Demand During Lead Time]],"At Risk","Safe")</f>
        <v>Safe</v>
      </c>
      <c r="AA746">
        <f>WarehouseData[[#This Row],[stock_level]]/WarehouseData[[#This Row],[daily_demand]]</f>
        <v>49.248120300751879</v>
      </c>
      <c r="AB746">
        <f>WarehouseData[[#This Row],[stock_level]]*WarehouseData[[#This Row],[unit_price]]</f>
        <v>3582.8500000000004</v>
      </c>
      <c r="AC746">
        <f>WarehouseData[[#This Row],[stock_level]]*WarehouseData[[#This Row],[holding_cost_per_unit_day]]*30</f>
        <v>3261.8999999999996</v>
      </c>
      <c r="AD746" t="str">
        <f>IF(WarehouseData[[#This Row],[order_fulfillment_rate]]&gt;=0.9,"Strong",IF(WarehouseData[[#This Row],[order_fulfillment_rate]]&gt;=0.8,"Moderate","Needs Attention"))</f>
        <v>Needs Attention</v>
      </c>
      <c r="AE746" t="str">
        <f>IF(WarehouseData[[#This Row],[picking_time_seconds]]&gt;120,"Slow",IF(WarehouseData[[#This Row],[picking_time_seconds]]&gt;=60,"Average","Fast"))</f>
        <v>Slow</v>
      </c>
    </row>
    <row r="747" spans="1:31" x14ac:dyDescent="0.25">
      <c r="A747" t="s">
        <v>885</v>
      </c>
      <c r="B747" t="s">
        <v>40</v>
      </c>
      <c r="C747">
        <v>430</v>
      </c>
      <c r="D747">
        <v>18</v>
      </c>
      <c r="E747">
        <v>5</v>
      </c>
      <c r="F747">
        <v>8</v>
      </c>
      <c r="G747">
        <v>42.28</v>
      </c>
      <c r="H747">
        <v>3.55</v>
      </c>
      <c r="I747">
        <v>0.99</v>
      </c>
      <c r="J747" t="s">
        <v>334</v>
      </c>
      <c r="K747" t="s">
        <v>34</v>
      </c>
      <c r="L747">
        <v>10</v>
      </c>
      <c r="M747">
        <v>2.0499999999999998</v>
      </c>
      <c r="N747">
        <v>183.5</v>
      </c>
      <c r="O747">
        <v>0.25</v>
      </c>
      <c r="P747">
        <v>0</v>
      </c>
      <c r="Q747">
        <v>0.73</v>
      </c>
      <c r="R747">
        <v>356</v>
      </c>
      <c r="S747">
        <v>13.21</v>
      </c>
      <c r="T747">
        <v>0.49</v>
      </c>
      <c r="U747" s="1">
        <v>45476</v>
      </c>
      <c r="V747">
        <v>180.29</v>
      </c>
      <c r="W747">
        <v>0.79500000000000004</v>
      </c>
      <c r="X747" t="str">
        <f>IF(WarehouseData[[#This Row],[stock_level]]&lt;=WarehouseData[[#This Row],[reorder_point]],"Low Stock","Sufficient Stock")</f>
        <v>Sufficient Stock</v>
      </c>
      <c r="Y747">
        <f>WarehouseData[[#This Row],[daily_demand]]*WarehouseData[[#This Row],[lead_time_days]]</f>
        <v>338.24</v>
      </c>
      <c r="Z747" t="str">
        <f>IF(WarehouseData[[#This Row],[stock_level]]&lt;=WarehouseData[[#This Row],[Demand During Lead Time]],"At Risk","Safe")</f>
        <v>Safe</v>
      </c>
      <c r="AA747">
        <f>WarehouseData[[#This Row],[stock_level]]/WarehouseData[[#This Row],[daily_demand]]</f>
        <v>10.170293282876065</v>
      </c>
      <c r="AB747">
        <f>WarehouseData[[#This Row],[stock_level]]*WarehouseData[[#This Row],[unit_price]]</f>
        <v>78905</v>
      </c>
      <c r="AC747">
        <f>WarehouseData[[#This Row],[stock_level]]*WarehouseData[[#This Row],[holding_cost_per_unit_day]]*30</f>
        <v>3225</v>
      </c>
      <c r="AD747" t="str">
        <f>IF(WarehouseData[[#This Row],[order_fulfillment_rate]]&gt;=0.9,"Strong",IF(WarehouseData[[#This Row],[order_fulfillment_rate]]&gt;=0.8,"Moderate","Needs Attention"))</f>
        <v>Needs Attention</v>
      </c>
      <c r="AE747" t="str">
        <f>IF(WarehouseData[[#This Row],[picking_time_seconds]]&gt;120,"Slow",IF(WarehouseData[[#This Row],[picking_time_seconds]]&gt;=60,"Average","Fast"))</f>
        <v>Fast</v>
      </c>
    </row>
    <row r="748" spans="1:31" x14ac:dyDescent="0.25">
      <c r="A748" t="s">
        <v>886</v>
      </c>
      <c r="B748" t="s">
        <v>40</v>
      </c>
      <c r="C748">
        <v>454</v>
      </c>
      <c r="D748">
        <v>56</v>
      </c>
      <c r="E748">
        <v>6</v>
      </c>
      <c r="F748">
        <v>4</v>
      </c>
      <c r="G748">
        <v>23.83</v>
      </c>
      <c r="H748">
        <v>5.97</v>
      </c>
      <c r="I748">
        <v>0.33</v>
      </c>
      <c r="J748" t="s">
        <v>104</v>
      </c>
      <c r="K748" t="s">
        <v>52</v>
      </c>
      <c r="L748">
        <v>37</v>
      </c>
      <c r="M748">
        <v>3.84</v>
      </c>
      <c r="N748">
        <v>122.24</v>
      </c>
      <c r="O748">
        <v>0.64</v>
      </c>
      <c r="P748">
        <v>3</v>
      </c>
      <c r="Q748">
        <v>0.77</v>
      </c>
      <c r="R748">
        <v>823</v>
      </c>
      <c r="S748">
        <v>11.65</v>
      </c>
      <c r="T748">
        <v>0.59</v>
      </c>
      <c r="U748" s="1">
        <v>45420</v>
      </c>
      <c r="V748">
        <v>211.24</v>
      </c>
      <c r="W748">
        <v>0.70299999999999996</v>
      </c>
      <c r="X748" t="str">
        <f>IF(WarehouseData[[#This Row],[stock_level]]&lt;=WarehouseData[[#This Row],[reorder_point]],"Low Stock","Sufficient Stock")</f>
        <v>Sufficient Stock</v>
      </c>
      <c r="Y748">
        <f>WarehouseData[[#This Row],[daily_demand]]*WarehouseData[[#This Row],[lead_time_days]]</f>
        <v>95.32</v>
      </c>
      <c r="Z748" t="str">
        <f>IF(WarehouseData[[#This Row],[stock_level]]&lt;=WarehouseData[[#This Row],[Demand During Lead Time]],"At Risk","Safe")</f>
        <v>Safe</v>
      </c>
      <c r="AA748">
        <f>WarehouseData[[#This Row],[stock_level]]/WarehouseData[[#This Row],[daily_demand]]</f>
        <v>19.051615610574906</v>
      </c>
      <c r="AB748">
        <f>WarehouseData[[#This Row],[stock_level]]*WarehouseData[[#This Row],[unit_price]]</f>
        <v>55496.959999999999</v>
      </c>
      <c r="AC748">
        <f>WarehouseData[[#This Row],[stock_level]]*WarehouseData[[#This Row],[holding_cost_per_unit_day]]*30</f>
        <v>8716.7999999999993</v>
      </c>
      <c r="AD748" t="str">
        <f>IF(WarehouseData[[#This Row],[order_fulfillment_rate]]&gt;=0.9,"Strong",IF(WarehouseData[[#This Row],[order_fulfillment_rate]]&gt;=0.8,"Moderate","Needs Attention"))</f>
        <v>Needs Attention</v>
      </c>
      <c r="AE748" t="str">
        <f>IF(WarehouseData[[#This Row],[picking_time_seconds]]&gt;120,"Slow",IF(WarehouseData[[#This Row],[picking_time_seconds]]&gt;=60,"Average","Fast"))</f>
        <v>Fast</v>
      </c>
    </row>
    <row r="749" spans="1:31" x14ac:dyDescent="0.25">
      <c r="A749" t="s">
        <v>887</v>
      </c>
      <c r="B749" t="s">
        <v>40</v>
      </c>
      <c r="C749">
        <v>225</v>
      </c>
      <c r="D749">
        <v>85</v>
      </c>
      <c r="E749">
        <v>3</v>
      </c>
      <c r="F749">
        <v>3</v>
      </c>
      <c r="G749">
        <v>5.58</v>
      </c>
      <c r="H749">
        <v>6.14</v>
      </c>
      <c r="I749">
        <v>0.83</v>
      </c>
      <c r="J749" t="s">
        <v>154</v>
      </c>
      <c r="K749" t="s">
        <v>38</v>
      </c>
      <c r="L749">
        <v>77</v>
      </c>
      <c r="M749">
        <v>4.47</v>
      </c>
      <c r="N749">
        <v>134.81</v>
      </c>
      <c r="O749">
        <v>1.36</v>
      </c>
      <c r="P749">
        <v>4</v>
      </c>
      <c r="Q749">
        <v>0.99</v>
      </c>
      <c r="R749">
        <v>224</v>
      </c>
      <c r="S749">
        <v>1.34</v>
      </c>
      <c r="T749">
        <v>0.96</v>
      </c>
      <c r="U749" s="1">
        <v>45334</v>
      </c>
      <c r="V749">
        <v>185.06</v>
      </c>
      <c r="W749">
        <v>0.59199999999999997</v>
      </c>
      <c r="X749" t="str">
        <f>IF(WarehouseData[[#This Row],[stock_level]]&lt;=WarehouseData[[#This Row],[reorder_point]],"Low Stock","Sufficient Stock")</f>
        <v>Sufficient Stock</v>
      </c>
      <c r="Y749">
        <f>WarehouseData[[#This Row],[daily_demand]]*WarehouseData[[#This Row],[lead_time_days]]</f>
        <v>16.740000000000002</v>
      </c>
      <c r="Z749" t="str">
        <f>IF(WarehouseData[[#This Row],[stock_level]]&lt;=WarehouseData[[#This Row],[Demand During Lead Time]],"At Risk","Safe")</f>
        <v>Safe</v>
      </c>
      <c r="AA749">
        <f>WarehouseData[[#This Row],[stock_level]]/WarehouseData[[#This Row],[daily_demand]]</f>
        <v>40.322580645161288</v>
      </c>
      <c r="AB749">
        <f>WarehouseData[[#This Row],[stock_level]]*WarehouseData[[#This Row],[unit_price]]</f>
        <v>30332.25</v>
      </c>
      <c r="AC749">
        <f>WarehouseData[[#This Row],[stock_level]]*WarehouseData[[#This Row],[holding_cost_per_unit_day]]*30</f>
        <v>9180</v>
      </c>
      <c r="AD749" t="str">
        <f>IF(WarehouseData[[#This Row],[order_fulfillment_rate]]&gt;=0.9,"Strong",IF(WarehouseData[[#This Row],[order_fulfillment_rate]]&gt;=0.8,"Moderate","Needs Attention"))</f>
        <v>Strong</v>
      </c>
      <c r="AE749" t="str">
        <f>IF(WarehouseData[[#This Row],[picking_time_seconds]]&gt;120,"Slow",IF(WarehouseData[[#This Row],[picking_time_seconds]]&gt;=60,"Average","Fast"))</f>
        <v>Average</v>
      </c>
    </row>
    <row r="750" spans="1:31" x14ac:dyDescent="0.25">
      <c r="A750" t="s">
        <v>888</v>
      </c>
      <c r="B750" t="s">
        <v>73</v>
      </c>
      <c r="C750">
        <v>204</v>
      </c>
      <c r="D750">
        <v>51</v>
      </c>
      <c r="E750">
        <v>8</v>
      </c>
      <c r="F750">
        <v>7</v>
      </c>
      <c r="G750">
        <v>35.630000000000003</v>
      </c>
      <c r="H750">
        <v>3.49</v>
      </c>
      <c r="I750">
        <v>0.78</v>
      </c>
      <c r="J750" t="s">
        <v>120</v>
      </c>
      <c r="K750" t="s">
        <v>34</v>
      </c>
      <c r="L750">
        <v>114</v>
      </c>
      <c r="M750">
        <v>1.34</v>
      </c>
      <c r="N750">
        <v>158.54</v>
      </c>
      <c r="O750">
        <v>1.98</v>
      </c>
      <c r="P750">
        <v>3</v>
      </c>
      <c r="Q750">
        <v>0.73</v>
      </c>
      <c r="R750">
        <v>738</v>
      </c>
      <c r="S750">
        <v>6.4</v>
      </c>
      <c r="T750">
        <v>0.7</v>
      </c>
      <c r="U750" s="1">
        <v>45482</v>
      </c>
      <c r="V750">
        <v>245.15</v>
      </c>
      <c r="W750">
        <v>0.51300000000000001</v>
      </c>
      <c r="X750" t="str">
        <f>IF(WarehouseData[[#This Row],[stock_level]]&lt;=WarehouseData[[#This Row],[reorder_point]],"Low Stock","Sufficient Stock")</f>
        <v>Sufficient Stock</v>
      </c>
      <c r="Y750">
        <f>WarehouseData[[#This Row],[daily_demand]]*WarehouseData[[#This Row],[lead_time_days]]</f>
        <v>249.41000000000003</v>
      </c>
      <c r="Z750" t="str">
        <f>IF(WarehouseData[[#This Row],[stock_level]]&lt;=WarehouseData[[#This Row],[Demand During Lead Time]],"At Risk","Safe")</f>
        <v>At Risk</v>
      </c>
      <c r="AA750">
        <f>WarehouseData[[#This Row],[stock_level]]/WarehouseData[[#This Row],[daily_demand]]</f>
        <v>5.7255122088127974</v>
      </c>
      <c r="AB750">
        <f>WarehouseData[[#This Row],[stock_level]]*WarehouseData[[#This Row],[unit_price]]</f>
        <v>32342.16</v>
      </c>
      <c r="AC750">
        <f>WarehouseData[[#This Row],[stock_level]]*WarehouseData[[#This Row],[holding_cost_per_unit_day]]*30</f>
        <v>12117.6</v>
      </c>
      <c r="AD750" t="str">
        <f>IF(WarehouseData[[#This Row],[order_fulfillment_rate]]&gt;=0.9,"Strong",IF(WarehouseData[[#This Row],[order_fulfillment_rate]]&gt;=0.8,"Moderate","Needs Attention"))</f>
        <v>Needs Attention</v>
      </c>
      <c r="AE750" t="str">
        <f>IF(WarehouseData[[#This Row],[picking_time_seconds]]&gt;120,"Slow",IF(WarehouseData[[#This Row],[picking_time_seconds]]&gt;=60,"Average","Fast"))</f>
        <v>Average</v>
      </c>
    </row>
    <row r="751" spans="1:31" x14ac:dyDescent="0.25">
      <c r="A751" t="s">
        <v>889</v>
      </c>
      <c r="B751" t="s">
        <v>40</v>
      </c>
      <c r="C751">
        <v>401</v>
      </c>
      <c r="D751">
        <v>60</v>
      </c>
      <c r="E751">
        <v>6</v>
      </c>
      <c r="F751">
        <v>7</v>
      </c>
      <c r="G751">
        <v>24.98</v>
      </c>
      <c r="H751">
        <v>3.82</v>
      </c>
      <c r="I751">
        <v>0.77</v>
      </c>
      <c r="J751" t="s">
        <v>466</v>
      </c>
      <c r="K751" t="s">
        <v>38</v>
      </c>
      <c r="L751">
        <v>103</v>
      </c>
      <c r="M751">
        <v>4.97</v>
      </c>
      <c r="N751">
        <v>125.12</v>
      </c>
      <c r="O751">
        <v>0.57999999999999996</v>
      </c>
      <c r="P751">
        <v>9</v>
      </c>
      <c r="Q751">
        <v>0.94</v>
      </c>
      <c r="R751">
        <v>646</v>
      </c>
      <c r="S751">
        <v>1.08</v>
      </c>
      <c r="T751">
        <v>0.5</v>
      </c>
      <c r="U751" s="1">
        <v>45632</v>
      </c>
      <c r="V751">
        <v>266.94</v>
      </c>
      <c r="W751">
        <v>0.46400000000000002</v>
      </c>
      <c r="X751" t="str">
        <f>IF(WarehouseData[[#This Row],[stock_level]]&lt;=WarehouseData[[#This Row],[reorder_point]],"Low Stock","Sufficient Stock")</f>
        <v>Sufficient Stock</v>
      </c>
      <c r="Y751">
        <f>WarehouseData[[#This Row],[daily_demand]]*WarehouseData[[#This Row],[lead_time_days]]</f>
        <v>174.86</v>
      </c>
      <c r="Z751" t="str">
        <f>IF(WarehouseData[[#This Row],[stock_level]]&lt;=WarehouseData[[#This Row],[Demand During Lead Time]],"At Risk","Safe")</f>
        <v>Safe</v>
      </c>
      <c r="AA751">
        <f>WarehouseData[[#This Row],[stock_level]]/WarehouseData[[#This Row],[daily_demand]]</f>
        <v>16.052842273819056</v>
      </c>
      <c r="AB751">
        <f>WarehouseData[[#This Row],[stock_level]]*WarehouseData[[#This Row],[unit_price]]</f>
        <v>50173.120000000003</v>
      </c>
      <c r="AC751">
        <f>WarehouseData[[#This Row],[stock_level]]*WarehouseData[[#This Row],[holding_cost_per_unit_day]]*30</f>
        <v>6977.4</v>
      </c>
      <c r="AD751" t="str">
        <f>IF(WarehouseData[[#This Row],[order_fulfillment_rate]]&gt;=0.9,"Strong",IF(WarehouseData[[#This Row],[order_fulfillment_rate]]&gt;=0.8,"Moderate","Needs Attention"))</f>
        <v>Strong</v>
      </c>
      <c r="AE751" t="str">
        <f>IF(WarehouseData[[#This Row],[picking_time_seconds]]&gt;120,"Slow",IF(WarehouseData[[#This Row],[picking_time_seconds]]&gt;=60,"Average","Fast"))</f>
        <v>Average</v>
      </c>
    </row>
    <row r="752" spans="1:31" x14ac:dyDescent="0.25">
      <c r="A752" t="s">
        <v>890</v>
      </c>
      <c r="B752" t="s">
        <v>32</v>
      </c>
      <c r="C752">
        <v>398</v>
      </c>
      <c r="D752">
        <v>65</v>
      </c>
      <c r="E752">
        <v>3</v>
      </c>
      <c r="F752">
        <v>9</v>
      </c>
      <c r="G752">
        <v>10.36</v>
      </c>
      <c r="H752">
        <v>7.74</v>
      </c>
      <c r="I752">
        <v>0.96</v>
      </c>
      <c r="J752" t="s">
        <v>102</v>
      </c>
      <c r="K752" t="s">
        <v>52</v>
      </c>
      <c r="L752">
        <v>133</v>
      </c>
      <c r="M752">
        <v>4.1399999999999997</v>
      </c>
      <c r="N752">
        <v>23.47</v>
      </c>
      <c r="O752">
        <v>1</v>
      </c>
      <c r="P752">
        <v>9</v>
      </c>
      <c r="Q752">
        <v>0.97</v>
      </c>
      <c r="R752">
        <v>721</v>
      </c>
      <c r="S752">
        <v>1.5</v>
      </c>
      <c r="T752">
        <v>0.28999999999999998</v>
      </c>
      <c r="U752" s="1">
        <v>45624</v>
      </c>
      <c r="V752">
        <v>232.31</v>
      </c>
      <c r="W752">
        <v>0.39200000000000002</v>
      </c>
      <c r="X752" t="str">
        <f>IF(WarehouseData[[#This Row],[stock_level]]&lt;=WarehouseData[[#This Row],[reorder_point]],"Low Stock","Sufficient Stock")</f>
        <v>Sufficient Stock</v>
      </c>
      <c r="Y752">
        <f>WarehouseData[[#This Row],[daily_demand]]*WarehouseData[[#This Row],[lead_time_days]]</f>
        <v>93.24</v>
      </c>
      <c r="Z752" t="str">
        <f>IF(WarehouseData[[#This Row],[stock_level]]&lt;=WarehouseData[[#This Row],[Demand During Lead Time]],"At Risk","Safe")</f>
        <v>Safe</v>
      </c>
      <c r="AA752">
        <f>WarehouseData[[#This Row],[stock_level]]/WarehouseData[[#This Row],[daily_demand]]</f>
        <v>38.416988416988417</v>
      </c>
      <c r="AB752">
        <f>WarehouseData[[#This Row],[stock_level]]*WarehouseData[[#This Row],[unit_price]]</f>
        <v>9341.06</v>
      </c>
      <c r="AC752">
        <f>WarehouseData[[#This Row],[stock_level]]*WarehouseData[[#This Row],[holding_cost_per_unit_day]]*30</f>
        <v>11940</v>
      </c>
      <c r="AD752" t="str">
        <f>IF(WarehouseData[[#This Row],[order_fulfillment_rate]]&gt;=0.9,"Strong",IF(WarehouseData[[#This Row],[order_fulfillment_rate]]&gt;=0.8,"Moderate","Needs Attention"))</f>
        <v>Strong</v>
      </c>
      <c r="AE752" t="str">
        <f>IF(WarehouseData[[#This Row],[picking_time_seconds]]&gt;120,"Slow",IF(WarehouseData[[#This Row],[picking_time_seconds]]&gt;=60,"Average","Fast"))</f>
        <v>Slow</v>
      </c>
    </row>
    <row r="753" spans="1:31" x14ac:dyDescent="0.25">
      <c r="A753" t="s">
        <v>891</v>
      </c>
      <c r="B753" t="s">
        <v>32</v>
      </c>
      <c r="C753">
        <v>66</v>
      </c>
      <c r="D753">
        <v>60</v>
      </c>
      <c r="E753">
        <v>4</v>
      </c>
      <c r="F753">
        <v>8</v>
      </c>
      <c r="G753">
        <v>1.77</v>
      </c>
      <c r="H753">
        <v>6.04</v>
      </c>
      <c r="I753">
        <v>0.54</v>
      </c>
      <c r="J753" t="s">
        <v>124</v>
      </c>
      <c r="K753" t="s">
        <v>34</v>
      </c>
      <c r="L753">
        <v>133</v>
      </c>
      <c r="M753">
        <v>1.1200000000000001</v>
      </c>
      <c r="N753">
        <v>91.62</v>
      </c>
      <c r="O753">
        <v>0.95</v>
      </c>
      <c r="P753">
        <v>6</v>
      </c>
      <c r="Q753">
        <v>0.81</v>
      </c>
      <c r="R753">
        <v>743</v>
      </c>
      <c r="S753">
        <v>7.7</v>
      </c>
      <c r="T753">
        <v>0.8</v>
      </c>
      <c r="U753" s="1">
        <v>45376</v>
      </c>
      <c r="V753">
        <v>62.77</v>
      </c>
      <c r="W753">
        <v>0.61</v>
      </c>
      <c r="X753" t="str">
        <f>IF(WarehouseData[[#This Row],[stock_level]]&lt;=WarehouseData[[#This Row],[reorder_point]],"Low Stock","Sufficient Stock")</f>
        <v>Sufficient Stock</v>
      </c>
      <c r="Y753">
        <f>WarehouseData[[#This Row],[daily_demand]]*WarehouseData[[#This Row],[lead_time_days]]</f>
        <v>14.16</v>
      </c>
      <c r="Z753" t="str">
        <f>IF(WarehouseData[[#This Row],[stock_level]]&lt;=WarehouseData[[#This Row],[Demand During Lead Time]],"At Risk","Safe")</f>
        <v>Safe</v>
      </c>
      <c r="AA753">
        <f>WarehouseData[[#This Row],[stock_level]]/WarehouseData[[#This Row],[daily_demand]]</f>
        <v>37.288135593220339</v>
      </c>
      <c r="AB753">
        <f>WarehouseData[[#This Row],[stock_level]]*WarehouseData[[#This Row],[unit_price]]</f>
        <v>6046.92</v>
      </c>
      <c r="AC753">
        <f>WarehouseData[[#This Row],[stock_level]]*WarehouseData[[#This Row],[holding_cost_per_unit_day]]*30</f>
        <v>1880.9999999999998</v>
      </c>
      <c r="AD753" t="str">
        <f>IF(WarehouseData[[#This Row],[order_fulfillment_rate]]&gt;=0.9,"Strong",IF(WarehouseData[[#This Row],[order_fulfillment_rate]]&gt;=0.8,"Moderate","Needs Attention"))</f>
        <v>Moderate</v>
      </c>
      <c r="AE753" t="str">
        <f>IF(WarehouseData[[#This Row],[picking_time_seconds]]&gt;120,"Slow",IF(WarehouseData[[#This Row],[picking_time_seconds]]&gt;=60,"Average","Fast"))</f>
        <v>Slow</v>
      </c>
    </row>
    <row r="754" spans="1:31" x14ac:dyDescent="0.25">
      <c r="A754" t="s">
        <v>892</v>
      </c>
      <c r="B754" t="s">
        <v>73</v>
      </c>
      <c r="C754">
        <v>393</v>
      </c>
      <c r="D754">
        <v>79</v>
      </c>
      <c r="E754">
        <v>5</v>
      </c>
      <c r="F754">
        <v>8</v>
      </c>
      <c r="G754">
        <v>21.48</v>
      </c>
      <c r="H754">
        <v>1.92</v>
      </c>
      <c r="I754">
        <v>0.71</v>
      </c>
      <c r="J754" t="s">
        <v>316</v>
      </c>
      <c r="K754" t="s">
        <v>38</v>
      </c>
      <c r="L754">
        <v>31</v>
      </c>
      <c r="M754">
        <v>1.9</v>
      </c>
      <c r="N754">
        <v>59.79</v>
      </c>
      <c r="O754">
        <v>0.45</v>
      </c>
      <c r="P754">
        <v>7</v>
      </c>
      <c r="Q754">
        <v>0.79</v>
      </c>
      <c r="R754">
        <v>597</v>
      </c>
      <c r="S754">
        <v>6.04</v>
      </c>
      <c r="T754">
        <v>0.56999999999999995</v>
      </c>
      <c r="U754" s="1">
        <v>45318</v>
      </c>
      <c r="V754">
        <v>118.03</v>
      </c>
      <c r="W754">
        <v>0.56799999999999995</v>
      </c>
      <c r="X754" t="str">
        <f>IF(WarehouseData[[#This Row],[stock_level]]&lt;=WarehouseData[[#This Row],[reorder_point]],"Low Stock","Sufficient Stock")</f>
        <v>Sufficient Stock</v>
      </c>
      <c r="Y754">
        <f>WarehouseData[[#This Row],[daily_demand]]*WarehouseData[[#This Row],[lead_time_days]]</f>
        <v>171.84</v>
      </c>
      <c r="Z754" t="str">
        <f>IF(WarehouseData[[#This Row],[stock_level]]&lt;=WarehouseData[[#This Row],[Demand During Lead Time]],"At Risk","Safe")</f>
        <v>Safe</v>
      </c>
      <c r="AA754">
        <f>WarehouseData[[#This Row],[stock_level]]/WarehouseData[[#This Row],[daily_demand]]</f>
        <v>18.296089385474861</v>
      </c>
      <c r="AB754">
        <f>WarehouseData[[#This Row],[stock_level]]*WarehouseData[[#This Row],[unit_price]]</f>
        <v>23497.47</v>
      </c>
      <c r="AC754">
        <f>WarehouseData[[#This Row],[stock_level]]*WarehouseData[[#This Row],[holding_cost_per_unit_day]]*30</f>
        <v>5305.5</v>
      </c>
      <c r="AD754" t="str">
        <f>IF(WarehouseData[[#This Row],[order_fulfillment_rate]]&gt;=0.9,"Strong",IF(WarehouseData[[#This Row],[order_fulfillment_rate]]&gt;=0.8,"Moderate","Needs Attention"))</f>
        <v>Needs Attention</v>
      </c>
      <c r="AE754" t="str">
        <f>IF(WarehouseData[[#This Row],[picking_time_seconds]]&gt;120,"Slow",IF(WarehouseData[[#This Row],[picking_time_seconds]]&gt;=60,"Average","Fast"))</f>
        <v>Fast</v>
      </c>
    </row>
    <row r="755" spans="1:31" x14ac:dyDescent="0.25">
      <c r="A755" t="s">
        <v>893</v>
      </c>
      <c r="B755" t="s">
        <v>40</v>
      </c>
      <c r="C755">
        <v>247</v>
      </c>
      <c r="D755">
        <v>29</v>
      </c>
      <c r="E755">
        <v>11</v>
      </c>
      <c r="F755">
        <v>2</v>
      </c>
      <c r="G755">
        <v>5.2</v>
      </c>
      <c r="H755">
        <v>8.4600000000000009</v>
      </c>
      <c r="I755">
        <v>0.84</v>
      </c>
      <c r="J755" t="s">
        <v>263</v>
      </c>
      <c r="K755" t="s">
        <v>34</v>
      </c>
      <c r="L755">
        <v>166</v>
      </c>
      <c r="M755">
        <v>3.31</v>
      </c>
      <c r="N755">
        <v>102.48</v>
      </c>
      <c r="O755">
        <v>1.26</v>
      </c>
      <c r="P755">
        <v>7</v>
      </c>
      <c r="Q755">
        <v>0.9</v>
      </c>
      <c r="R755">
        <v>906</v>
      </c>
      <c r="S755">
        <v>8.82</v>
      </c>
      <c r="T755">
        <v>0.25</v>
      </c>
      <c r="U755" s="1">
        <v>45494</v>
      </c>
      <c r="V755">
        <v>237.48</v>
      </c>
      <c r="W755">
        <v>0.48199999999999998</v>
      </c>
      <c r="X755" t="str">
        <f>IF(WarehouseData[[#This Row],[stock_level]]&lt;=WarehouseData[[#This Row],[reorder_point]],"Low Stock","Sufficient Stock")</f>
        <v>Sufficient Stock</v>
      </c>
      <c r="Y755">
        <f>WarehouseData[[#This Row],[daily_demand]]*WarehouseData[[#This Row],[lead_time_days]]</f>
        <v>10.4</v>
      </c>
      <c r="Z755" t="str">
        <f>IF(WarehouseData[[#This Row],[stock_level]]&lt;=WarehouseData[[#This Row],[Demand During Lead Time]],"At Risk","Safe")</f>
        <v>Safe</v>
      </c>
      <c r="AA755">
        <f>WarehouseData[[#This Row],[stock_level]]/WarehouseData[[#This Row],[daily_demand]]</f>
        <v>47.5</v>
      </c>
      <c r="AB755">
        <f>WarehouseData[[#This Row],[stock_level]]*WarehouseData[[#This Row],[unit_price]]</f>
        <v>25312.560000000001</v>
      </c>
      <c r="AC755">
        <f>WarehouseData[[#This Row],[stock_level]]*WarehouseData[[#This Row],[holding_cost_per_unit_day]]*30</f>
        <v>9336.6</v>
      </c>
      <c r="AD755" t="str">
        <f>IF(WarehouseData[[#This Row],[order_fulfillment_rate]]&gt;=0.9,"Strong",IF(WarehouseData[[#This Row],[order_fulfillment_rate]]&gt;=0.8,"Moderate","Needs Attention"))</f>
        <v>Strong</v>
      </c>
      <c r="AE755" t="str">
        <f>IF(WarehouseData[[#This Row],[picking_time_seconds]]&gt;120,"Slow",IF(WarehouseData[[#This Row],[picking_time_seconds]]&gt;=60,"Average","Fast"))</f>
        <v>Slow</v>
      </c>
    </row>
    <row r="756" spans="1:31" x14ac:dyDescent="0.25">
      <c r="A756" t="s">
        <v>894</v>
      </c>
      <c r="B756" t="s">
        <v>40</v>
      </c>
      <c r="C756">
        <v>58</v>
      </c>
      <c r="D756">
        <v>97</v>
      </c>
      <c r="E756">
        <v>10</v>
      </c>
      <c r="F756">
        <v>6</v>
      </c>
      <c r="G756">
        <v>5.61</v>
      </c>
      <c r="H756">
        <v>8.89</v>
      </c>
      <c r="I756">
        <v>0.53</v>
      </c>
      <c r="J756" t="s">
        <v>276</v>
      </c>
      <c r="K756" t="s">
        <v>52</v>
      </c>
      <c r="L756">
        <v>98</v>
      </c>
      <c r="M756">
        <v>4.4800000000000004</v>
      </c>
      <c r="N756">
        <v>86.82</v>
      </c>
      <c r="O756">
        <v>1.48</v>
      </c>
      <c r="P756">
        <v>2</v>
      </c>
      <c r="Q756">
        <v>0.91</v>
      </c>
      <c r="R756">
        <v>148</v>
      </c>
      <c r="S756">
        <v>1.93</v>
      </c>
      <c r="T756">
        <v>0.73</v>
      </c>
      <c r="U756" s="1">
        <v>45612</v>
      </c>
      <c r="V756">
        <v>248.72</v>
      </c>
      <c r="W756">
        <v>0.56599999999999995</v>
      </c>
      <c r="X756" t="str">
        <f>IF(WarehouseData[[#This Row],[stock_level]]&lt;=WarehouseData[[#This Row],[reorder_point]],"Low Stock","Sufficient Stock")</f>
        <v>Low Stock</v>
      </c>
      <c r="Y756">
        <f>WarehouseData[[#This Row],[daily_demand]]*WarehouseData[[#This Row],[lead_time_days]]</f>
        <v>33.660000000000004</v>
      </c>
      <c r="Z756" t="str">
        <f>IF(WarehouseData[[#This Row],[stock_level]]&lt;=WarehouseData[[#This Row],[Demand During Lead Time]],"At Risk","Safe")</f>
        <v>Safe</v>
      </c>
      <c r="AA756">
        <f>WarehouseData[[#This Row],[stock_level]]/WarehouseData[[#This Row],[daily_demand]]</f>
        <v>10.33868092691622</v>
      </c>
      <c r="AB756">
        <f>WarehouseData[[#This Row],[stock_level]]*WarehouseData[[#This Row],[unit_price]]</f>
        <v>5035.5599999999995</v>
      </c>
      <c r="AC756">
        <f>WarehouseData[[#This Row],[stock_level]]*WarehouseData[[#This Row],[holding_cost_per_unit_day]]*30</f>
        <v>2575.2000000000003</v>
      </c>
      <c r="AD756" t="str">
        <f>IF(WarehouseData[[#This Row],[order_fulfillment_rate]]&gt;=0.9,"Strong",IF(WarehouseData[[#This Row],[order_fulfillment_rate]]&gt;=0.8,"Moderate","Needs Attention"))</f>
        <v>Strong</v>
      </c>
      <c r="AE756" t="str">
        <f>IF(WarehouseData[[#This Row],[picking_time_seconds]]&gt;120,"Slow",IF(WarehouseData[[#This Row],[picking_time_seconds]]&gt;=60,"Average","Fast"))</f>
        <v>Average</v>
      </c>
    </row>
    <row r="757" spans="1:31" x14ac:dyDescent="0.25">
      <c r="A757" t="s">
        <v>895</v>
      </c>
      <c r="B757" t="s">
        <v>40</v>
      </c>
      <c r="C757">
        <v>35</v>
      </c>
      <c r="D757">
        <v>36</v>
      </c>
      <c r="E757">
        <v>9</v>
      </c>
      <c r="F757">
        <v>3</v>
      </c>
      <c r="G757">
        <v>14.1</v>
      </c>
      <c r="H757">
        <v>4.93</v>
      </c>
      <c r="I757">
        <v>0.53</v>
      </c>
      <c r="J757" t="s">
        <v>95</v>
      </c>
      <c r="K757" t="s">
        <v>46</v>
      </c>
      <c r="L757">
        <v>54</v>
      </c>
      <c r="M757">
        <v>1.38</v>
      </c>
      <c r="N757">
        <v>167.04</v>
      </c>
      <c r="O757">
        <v>0.38</v>
      </c>
      <c r="P757">
        <v>4</v>
      </c>
      <c r="Q757">
        <v>0.93</v>
      </c>
      <c r="R757">
        <v>275</v>
      </c>
      <c r="S757">
        <v>9.24</v>
      </c>
      <c r="T757">
        <v>0.48</v>
      </c>
      <c r="U757" s="1">
        <v>45448</v>
      </c>
      <c r="V757">
        <v>192.35</v>
      </c>
      <c r="W757">
        <v>0.68700000000000006</v>
      </c>
      <c r="X757" t="str">
        <f>IF(WarehouseData[[#This Row],[stock_level]]&lt;=WarehouseData[[#This Row],[reorder_point]],"Low Stock","Sufficient Stock")</f>
        <v>Low Stock</v>
      </c>
      <c r="Y757">
        <f>WarehouseData[[#This Row],[daily_demand]]*WarehouseData[[#This Row],[lead_time_days]]</f>
        <v>42.3</v>
      </c>
      <c r="Z757" t="str">
        <f>IF(WarehouseData[[#This Row],[stock_level]]&lt;=WarehouseData[[#This Row],[Demand During Lead Time]],"At Risk","Safe")</f>
        <v>At Risk</v>
      </c>
      <c r="AA757">
        <f>WarehouseData[[#This Row],[stock_level]]/WarehouseData[[#This Row],[daily_demand]]</f>
        <v>2.4822695035460995</v>
      </c>
      <c r="AB757">
        <f>WarehouseData[[#This Row],[stock_level]]*WarehouseData[[#This Row],[unit_price]]</f>
        <v>5846.4</v>
      </c>
      <c r="AC757">
        <f>WarehouseData[[#This Row],[stock_level]]*WarehouseData[[#This Row],[holding_cost_per_unit_day]]*30</f>
        <v>399</v>
      </c>
      <c r="AD757" t="str">
        <f>IF(WarehouseData[[#This Row],[order_fulfillment_rate]]&gt;=0.9,"Strong",IF(WarehouseData[[#This Row],[order_fulfillment_rate]]&gt;=0.8,"Moderate","Needs Attention"))</f>
        <v>Strong</v>
      </c>
      <c r="AE757" t="str">
        <f>IF(WarehouseData[[#This Row],[picking_time_seconds]]&gt;120,"Slow",IF(WarehouseData[[#This Row],[picking_time_seconds]]&gt;=60,"Average","Fast"))</f>
        <v>Fast</v>
      </c>
    </row>
    <row r="758" spans="1:31" x14ac:dyDescent="0.25">
      <c r="A758" t="s">
        <v>896</v>
      </c>
      <c r="B758" t="s">
        <v>36</v>
      </c>
      <c r="C758">
        <v>41</v>
      </c>
      <c r="D758">
        <v>47</v>
      </c>
      <c r="E758">
        <v>13</v>
      </c>
      <c r="F758">
        <v>9</v>
      </c>
      <c r="G758">
        <v>31.89</v>
      </c>
      <c r="H758">
        <v>2.48</v>
      </c>
      <c r="I758">
        <v>0.39</v>
      </c>
      <c r="J758" t="s">
        <v>137</v>
      </c>
      <c r="K758" t="s">
        <v>52</v>
      </c>
      <c r="L758">
        <v>133</v>
      </c>
      <c r="M758">
        <v>3.79</v>
      </c>
      <c r="N758">
        <v>56.94</v>
      </c>
      <c r="O758">
        <v>1.54</v>
      </c>
      <c r="P758">
        <v>9</v>
      </c>
      <c r="Q758">
        <v>0.95</v>
      </c>
      <c r="R758">
        <v>964</v>
      </c>
      <c r="S758">
        <v>1.91</v>
      </c>
      <c r="T758">
        <v>0.52</v>
      </c>
      <c r="U758" s="1">
        <v>45650</v>
      </c>
      <c r="V758">
        <v>217.1</v>
      </c>
      <c r="W758">
        <v>0.38500000000000001</v>
      </c>
      <c r="X758" t="str">
        <f>IF(WarehouseData[[#This Row],[stock_level]]&lt;=WarehouseData[[#This Row],[reorder_point]],"Low Stock","Sufficient Stock")</f>
        <v>Low Stock</v>
      </c>
      <c r="Y758">
        <f>WarehouseData[[#This Row],[daily_demand]]*WarehouseData[[#This Row],[lead_time_days]]</f>
        <v>287.01</v>
      </c>
      <c r="Z758" t="str">
        <f>IF(WarehouseData[[#This Row],[stock_level]]&lt;=WarehouseData[[#This Row],[Demand During Lead Time]],"At Risk","Safe")</f>
        <v>At Risk</v>
      </c>
      <c r="AA758">
        <f>WarehouseData[[#This Row],[stock_level]]/WarehouseData[[#This Row],[daily_demand]]</f>
        <v>1.2856694888679836</v>
      </c>
      <c r="AB758">
        <f>WarehouseData[[#This Row],[stock_level]]*WarehouseData[[#This Row],[unit_price]]</f>
        <v>2334.54</v>
      </c>
      <c r="AC758">
        <f>WarehouseData[[#This Row],[stock_level]]*WarehouseData[[#This Row],[holding_cost_per_unit_day]]*30</f>
        <v>1894.2</v>
      </c>
      <c r="AD758" t="str">
        <f>IF(WarehouseData[[#This Row],[order_fulfillment_rate]]&gt;=0.9,"Strong",IF(WarehouseData[[#This Row],[order_fulfillment_rate]]&gt;=0.8,"Moderate","Needs Attention"))</f>
        <v>Strong</v>
      </c>
      <c r="AE758" t="str">
        <f>IF(WarehouseData[[#This Row],[picking_time_seconds]]&gt;120,"Slow",IF(WarehouseData[[#This Row],[picking_time_seconds]]&gt;=60,"Average","Fast"))</f>
        <v>Slow</v>
      </c>
    </row>
    <row r="759" spans="1:31" x14ac:dyDescent="0.25">
      <c r="A759" t="s">
        <v>897</v>
      </c>
      <c r="B759" t="s">
        <v>48</v>
      </c>
      <c r="C759">
        <v>232</v>
      </c>
      <c r="D759">
        <v>81</v>
      </c>
      <c r="E759">
        <v>14</v>
      </c>
      <c r="F759">
        <v>7</v>
      </c>
      <c r="G759">
        <v>26.97</v>
      </c>
      <c r="H759">
        <v>9.5</v>
      </c>
      <c r="I759">
        <v>0.8</v>
      </c>
      <c r="J759" t="s">
        <v>245</v>
      </c>
      <c r="K759" t="s">
        <v>46</v>
      </c>
      <c r="L759">
        <v>154</v>
      </c>
      <c r="M759">
        <v>1.72</v>
      </c>
      <c r="N759">
        <v>48.25</v>
      </c>
      <c r="O759">
        <v>1.43</v>
      </c>
      <c r="P759">
        <v>7</v>
      </c>
      <c r="Q759">
        <v>0.78</v>
      </c>
      <c r="R759">
        <v>598</v>
      </c>
      <c r="S759">
        <v>6.93</v>
      </c>
      <c r="T759">
        <v>0.87</v>
      </c>
      <c r="U759" s="1">
        <v>45411</v>
      </c>
      <c r="V759">
        <v>60.6</v>
      </c>
      <c r="W759">
        <v>0.53900000000000003</v>
      </c>
      <c r="X759" t="str">
        <f>IF(WarehouseData[[#This Row],[stock_level]]&lt;=WarehouseData[[#This Row],[reorder_point]],"Low Stock","Sufficient Stock")</f>
        <v>Sufficient Stock</v>
      </c>
      <c r="Y759">
        <f>WarehouseData[[#This Row],[daily_demand]]*WarehouseData[[#This Row],[lead_time_days]]</f>
        <v>188.79</v>
      </c>
      <c r="Z759" t="str">
        <f>IF(WarehouseData[[#This Row],[stock_level]]&lt;=WarehouseData[[#This Row],[Demand During Lead Time]],"At Risk","Safe")</f>
        <v>Safe</v>
      </c>
      <c r="AA759">
        <f>WarehouseData[[#This Row],[stock_level]]/WarehouseData[[#This Row],[daily_demand]]</f>
        <v>8.6021505376344098</v>
      </c>
      <c r="AB759">
        <f>WarehouseData[[#This Row],[stock_level]]*WarehouseData[[#This Row],[unit_price]]</f>
        <v>11194</v>
      </c>
      <c r="AC759">
        <f>WarehouseData[[#This Row],[stock_level]]*WarehouseData[[#This Row],[holding_cost_per_unit_day]]*30</f>
        <v>9952.7999999999993</v>
      </c>
      <c r="AD759" t="str">
        <f>IF(WarehouseData[[#This Row],[order_fulfillment_rate]]&gt;=0.9,"Strong",IF(WarehouseData[[#This Row],[order_fulfillment_rate]]&gt;=0.8,"Moderate","Needs Attention"))</f>
        <v>Needs Attention</v>
      </c>
      <c r="AE759" t="str">
        <f>IF(WarehouseData[[#This Row],[picking_time_seconds]]&gt;120,"Slow",IF(WarehouseData[[#This Row],[picking_time_seconds]]&gt;=60,"Average","Fast"))</f>
        <v>Slow</v>
      </c>
    </row>
    <row r="760" spans="1:31" x14ac:dyDescent="0.25">
      <c r="A760" t="s">
        <v>898</v>
      </c>
      <c r="B760" t="s">
        <v>36</v>
      </c>
      <c r="C760">
        <v>329</v>
      </c>
      <c r="D760">
        <v>74</v>
      </c>
      <c r="E760">
        <v>6</v>
      </c>
      <c r="F760">
        <v>8</v>
      </c>
      <c r="G760">
        <v>4.38</v>
      </c>
      <c r="H760">
        <v>8.8800000000000008</v>
      </c>
      <c r="I760">
        <v>0.72</v>
      </c>
      <c r="J760" t="s">
        <v>43</v>
      </c>
      <c r="K760" t="s">
        <v>46</v>
      </c>
      <c r="L760">
        <v>88</v>
      </c>
      <c r="M760">
        <v>4.12</v>
      </c>
      <c r="N760">
        <v>192.04</v>
      </c>
      <c r="O760">
        <v>0.47</v>
      </c>
      <c r="P760">
        <v>6</v>
      </c>
      <c r="Q760">
        <v>0.91</v>
      </c>
      <c r="R760">
        <v>322</v>
      </c>
      <c r="S760">
        <v>5.93</v>
      </c>
      <c r="T760">
        <v>0.31</v>
      </c>
      <c r="U760" s="1">
        <v>45511</v>
      </c>
      <c r="V760">
        <v>118.07</v>
      </c>
      <c r="W760">
        <v>0.55600000000000005</v>
      </c>
      <c r="X760" t="str">
        <f>IF(WarehouseData[[#This Row],[stock_level]]&lt;=WarehouseData[[#This Row],[reorder_point]],"Low Stock","Sufficient Stock")</f>
        <v>Sufficient Stock</v>
      </c>
      <c r="Y760">
        <f>WarehouseData[[#This Row],[daily_demand]]*WarehouseData[[#This Row],[lead_time_days]]</f>
        <v>35.04</v>
      </c>
      <c r="Z760" t="str">
        <f>IF(WarehouseData[[#This Row],[stock_level]]&lt;=WarehouseData[[#This Row],[Demand During Lead Time]],"At Risk","Safe")</f>
        <v>Safe</v>
      </c>
      <c r="AA760">
        <f>WarehouseData[[#This Row],[stock_level]]/WarehouseData[[#This Row],[daily_demand]]</f>
        <v>75.114155251141554</v>
      </c>
      <c r="AB760">
        <f>WarehouseData[[#This Row],[stock_level]]*WarehouseData[[#This Row],[unit_price]]</f>
        <v>63181.159999999996</v>
      </c>
      <c r="AC760">
        <f>WarehouseData[[#This Row],[stock_level]]*WarehouseData[[#This Row],[holding_cost_per_unit_day]]*30</f>
        <v>4638.8999999999996</v>
      </c>
      <c r="AD760" t="str">
        <f>IF(WarehouseData[[#This Row],[order_fulfillment_rate]]&gt;=0.9,"Strong",IF(WarehouseData[[#This Row],[order_fulfillment_rate]]&gt;=0.8,"Moderate","Needs Attention"))</f>
        <v>Strong</v>
      </c>
      <c r="AE760" t="str">
        <f>IF(WarehouseData[[#This Row],[picking_time_seconds]]&gt;120,"Slow",IF(WarehouseData[[#This Row],[picking_time_seconds]]&gt;=60,"Average","Fast"))</f>
        <v>Average</v>
      </c>
    </row>
    <row r="761" spans="1:31" x14ac:dyDescent="0.25">
      <c r="A761" t="s">
        <v>899</v>
      </c>
      <c r="B761" t="s">
        <v>48</v>
      </c>
      <c r="C761">
        <v>168</v>
      </c>
      <c r="D761">
        <v>63</v>
      </c>
      <c r="E761">
        <v>3</v>
      </c>
      <c r="F761">
        <v>7</v>
      </c>
      <c r="G761">
        <v>48.45</v>
      </c>
      <c r="H761">
        <v>2.82</v>
      </c>
      <c r="I761">
        <v>0.51</v>
      </c>
      <c r="J761" t="s">
        <v>62</v>
      </c>
      <c r="K761" t="s">
        <v>52</v>
      </c>
      <c r="L761">
        <v>48</v>
      </c>
      <c r="M761">
        <v>3.58</v>
      </c>
      <c r="N761">
        <v>190.41</v>
      </c>
      <c r="O761">
        <v>1.33</v>
      </c>
      <c r="P761">
        <v>8</v>
      </c>
      <c r="Q761">
        <v>0.74</v>
      </c>
      <c r="R761">
        <v>833</v>
      </c>
      <c r="S761">
        <v>4.1399999999999997</v>
      </c>
      <c r="T761">
        <v>0.47</v>
      </c>
      <c r="U761" s="1">
        <v>45627</v>
      </c>
      <c r="V761">
        <v>165.04</v>
      </c>
      <c r="W761">
        <v>0.40400000000000003</v>
      </c>
      <c r="X761" t="str">
        <f>IF(WarehouseData[[#This Row],[stock_level]]&lt;=WarehouseData[[#This Row],[reorder_point]],"Low Stock","Sufficient Stock")</f>
        <v>Sufficient Stock</v>
      </c>
      <c r="Y761">
        <f>WarehouseData[[#This Row],[daily_demand]]*WarehouseData[[#This Row],[lead_time_days]]</f>
        <v>339.15000000000003</v>
      </c>
      <c r="Z761" t="str">
        <f>IF(WarehouseData[[#This Row],[stock_level]]&lt;=WarehouseData[[#This Row],[Demand During Lead Time]],"At Risk","Safe")</f>
        <v>At Risk</v>
      </c>
      <c r="AA761">
        <f>WarehouseData[[#This Row],[stock_level]]/WarehouseData[[#This Row],[daily_demand]]</f>
        <v>3.4674922600619191</v>
      </c>
      <c r="AB761">
        <f>WarehouseData[[#This Row],[stock_level]]*WarehouseData[[#This Row],[unit_price]]</f>
        <v>31988.880000000001</v>
      </c>
      <c r="AC761">
        <f>WarehouseData[[#This Row],[stock_level]]*WarehouseData[[#This Row],[holding_cost_per_unit_day]]*30</f>
        <v>6703.2</v>
      </c>
      <c r="AD761" t="str">
        <f>IF(WarehouseData[[#This Row],[order_fulfillment_rate]]&gt;=0.9,"Strong",IF(WarehouseData[[#This Row],[order_fulfillment_rate]]&gt;=0.8,"Moderate","Needs Attention"))</f>
        <v>Needs Attention</v>
      </c>
      <c r="AE761" t="str">
        <f>IF(WarehouseData[[#This Row],[picking_time_seconds]]&gt;120,"Slow",IF(WarehouseData[[#This Row],[picking_time_seconds]]&gt;=60,"Average","Fast"))</f>
        <v>Fast</v>
      </c>
    </row>
    <row r="762" spans="1:31" x14ac:dyDescent="0.25">
      <c r="A762" t="s">
        <v>900</v>
      </c>
      <c r="B762" t="s">
        <v>40</v>
      </c>
      <c r="C762">
        <v>475</v>
      </c>
      <c r="D762">
        <v>33</v>
      </c>
      <c r="E762">
        <v>10</v>
      </c>
      <c r="F762">
        <v>7</v>
      </c>
      <c r="G762">
        <v>44.47</v>
      </c>
      <c r="H762">
        <v>1.41</v>
      </c>
      <c r="I762">
        <v>0.48</v>
      </c>
      <c r="J762" t="s">
        <v>81</v>
      </c>
      <c r="K762" t="s">
        <v>38</v>
      </c>
      <c r="L762">
        <v>177</v>
      </c>
      <c r="M762">
        <v>2.85</v>
      </c>
      <c r="N762">
        <v>198.76</v>
      </c>
      <c r="O762">
        <v>0.85</v>
      </c>
      <c r="P762">
        <v>9</v>
      </c>
      <c r="Q762">
        <v>0.85</v>
      </c>
      <c r="R762">
        <v>235</v>
      </c>
      <c r="S762">
        <v>5.37</v>
      </c>
      <c r="T762">
        <v>0.49</v>
      </c>
      <c r="U762" s="1">
        <v>45338</v>
      </c>
      <c r="V762">
        <v>295.27999999999997</v>
      </c>
      <c r="W762">
        <v>0.47499999999999998</v>
      </c>
      <c r="X762" t="str">
        <f>IF(WarehouseData[[#This Row],[stock_level]]&lt;=WarehouseData[[#This Row],[reorder_point]],"Low Stock","Sufficient Stock")</f>
        <v>Sufficient Stock</v>
      </c>
      <c r="Y762">
        <f>WarehouseData[[#This Row],[daily_demand]]*WarehouseData[[#This Row],[lead_time_days]]</f>
        <v>311.28999999999996</v>
      </c>
      <c r="Z762" t="str">
        <f>IF(WarehouseData[[#This Row],[stock_level]]&lt;=WarehouseData[[#This Row],[Demand During Lead Time]],"At Risk","Safe")</f>
        <v>Safe</v>
      </c>
      <c r="AA762">
        <f>WarehouseData[[#This Row],[stock_level]]/WarehouseData[[#This Row],[daily_demand]]</f>
        <v>10.681358219024061</v>
      </c>
      <c r="AB762">
        <f>WarehouseData[[#This Row],[stock_level]]*WarehouseData[[#This Row],[unit_price]]</f>
        <v>94411</v>
      </c>
      <c r="AC762">
        <f>WarehouseData[[#This Row],[stock_level]]*WarehouseData[[#This Row],[holding_cost_per_unit_day]]*30</f>
        <v>12112.5</v>
      </c>
      <c r="AD762" t="str">
        <f>IF(WarehouseData[[#This Row],[order_fulfillment_rate]]&gt;=0.9,"Strong",IF(WarehouseData[[#This Row],[order_fulfillment_rate]]&gt;=0.8,"Moderate","Needs Attention"))</f>
        <v>Moderate</v>
      </c>
      <c r="AE762" t="str">
        <f>IF(WarehouseData[[#This Row],[picking_time_seconds]]&gt;120,"Slow",IF(WarehouseData[[#This Row],[picking_time_seconds]]&gt;=60,"Average","Fast"))</f>
        <v>Slow</v>
      </c>
    </row>
    <row r="763" spans="1:31" x14ac:dyDescent="0.25">
      <c r="A763" t="s">
        <v>901</v>
      </c>
      <c r="B763" t="s">
        <v>40</v>
      </c>
      <c r="C763">
        <v>260</v>
      </c>
      <c r="D763">
        <v>56</v>
      </c>
      <c r="E763">
        <v>6</v>
      </c>
      <c r="F763">
        <v>8</v>
      </c>
      <c r="G763">
        <v>13.7</v>
      </c>
      <c r="H763">
        <v>4.6900000000000004</v>
      </c>
      <c r="I763">
        <v>0.17</v>
      </c>
      <c r="J763" t="s">
        <v>51</v>
      </c>
      <c r="K763" t="s">
        <v>34</v>
      </c>
      <c r="L763">
        <v>37</v>
      </c>
      <c r="M763">
        <v>3.42</v>
      </c>
      <c r="N763">
        <v>117.99</v>
      </c>
      <c r="O763">
        <v>1.39</v>
      </c>
      <c r="P763">
        <v>6</v>
      </c>
      <c r="Q763">
        <v>0.88</v>
      </c>
      <c r="R763">
        <v>989</v>
      </c>
      <c r="S763">
        <v>1.01</v>
      </c>
      <c r="T763">
        <v>0.2</v>
      </c>
      <c r="U763" s="1">
        <v>45652</v>
      </c>
      <c r="V763">
        <v>241.77</v>
      </c>
      <c r="W763">
        <v>0.37</v>
      </c>
      <c r="X763" t="str">
        <f>IF(WarehouseData[[#This Row],[stock_level]]&lt;=WarehouseData[[#This Row],[reorder_point]],"Low Stock","Sufficient Stock")</f>
        <v>Sufficient Stock</v>
      </c>
      <c r="Y763">
        <f>WarehouseData[[#This Row],[daily_demand]]*WarehouseData[[#This Row],[lead_time_days]]</f>
        <v>109.6</v>
      </c>
      <c r="Z763" t="str">
        <f>IF(WarehouseData[[#This Row],[stock_level]]&lt;=WarehouseData[[#This Row],[Demand During Lead Time]],"At Risk","Safe")</f>
        <v>Safe</v>
      </c>
      <c r="AA763">
        <f>WarehouseData[[#This Row],[stock_level]]/WarehouseData[[#This Row],[daily_demand]]</f>
        <v>18.978102189781023</v>
      </c>
      <c r="AB763">
        <f>WarehouseData[[#This Row],[stock_level]]*WarehouseData[[#This Row],[unit_price]]</f>
        <v>30677.399999999998</v>
      </c>
      <c r="AC763">
        <f>WarehouseData[[#This Row],[stock_level]]*WarehouseData[[#This Row],[holding_cost_per_unit_day]]*30</f>
        <v>10842</v>
      </c>
      <c r="AD763" t="str">
        <f>IF(WarehouseData[[#This Row],[order_fulfillment_rate]]&gt;=0.9,"Strong",IF(WarehouseData[[#This Row],[order_fulfillment_rate]]&gt;=0.8,"Moderate","Needs Attention"))</f>
        <v>Moderate</v>
      </c>
      <c r="AE763" t="str">
        <f>IF(WarehouseData[[#This Row],[picking_time_seconds]]&gt;120,"Slow",IF(WarehouseData[[#This Row],[picking_time_seconds]]&gt;=60,"Average","Fast"))</f>
        <v>Fast</v>
      </c>
    </row>
    <row r="764" spans="1:31" x14ac:dyDescent="0.25">
      <c r="A764" t="s">
        <v>902</v>
      </c>
      <c r="B764" t="s">
        <v>36</v>
      </c>
      <c r="C764">
        <v>291</v>
      </c>
      <c r="D764">
        <v>80</v>
      </c>
      <c r="E764">
        <v>5</v>
      </c>
      <c r="F764">
        <v>4</v>
      </c>
      <c r="G764">
        <v>6.99</v>
      </c>
      <c r="H764">
        <v>6.93</v>
      </c>
      <c r="I764">
        <v>0.11</v>
      </c>
      <c r="J764" t="s">
        <v>332</v>
      </c>
      <c r="K764" t="s">
        <v>34</v>
      </c>
      <c r="L764">
        <v>139</v>
      </c>
      <c r="M764">
        <v>4.4400000000000004</v>
      </c>
      <c r="N764">
        <v>31.5</v>
      </c>
      <c r="O764">
        <v>1.04</v>
      </c>
      <c r="P764">
        <v>1</v>
      </c>
      <c r="Q764">
        <v>0.75</v>
      </c>
      <c r="R764">
        <v>501</v>
      </c>
      <c r="S764">
        <v>5.54</v>
      </c>
      <c r="T764">
        <v>0.88</v>
      </c>
      <c r="U764" s="1">
        <v>45340</v>
      </c>
      <c r="V764">
        <v>65.86</v>
      </c>
      <c r="W764">
        <v>0.67600000000000005</v>
      </c>
      <c r="X764" t="str">
        <f>IF(WarehouseData[[#This Row],[stock_level]]&lt;=WarehouseData[[#This Row],[reorder_point]],"Low Stock","Sufficient Stock")</f>
        <v>Sufficient Stock</v>
      </c>
      <c r="Y764">
        <f>WarehouseData[[#This Row],[daily_demand]]*WarehouseData[[#This Row],[lead_time_days]]</f>
        <v>27.96</v>
      </c>
      <c r="Z764" t="str">
        <f>IF(WarehouseData[[#This Row],[stock_level]]&lt;=WarehouseData[[#This Row],[Demand During Lead Time]],"At Risk","Safe")</f>
        <v>Safe</v>
      </c>
      <c r="AA764">
        <f>WarehouseData[[#This Row],[stock_level]]/WarehouseData[[#This Row],[daily_demand]]</f>
        <v>41.630901287553648</v>
      </c>
      <c r="AB764">
        <f>WarehouseData[[#This Row],[stock_level]]*WarehouseData[[#This Row],[unit_price]]</f>
        <v>9166.5</v>
      </c>
      <c r="AC764">
        <f>WarehouseData[[#This Row],[stock_level]]*WarehouseData[[#This Row],[holding_cost_per_unit_day]]*30</f>
        <v>9079.1999999999989</v>
      </c>
      <c r="AD764" t="str">
        <f>IF(WarehouseData[[#This Row],[order_fulfillment_rate]]&gt;=0.9,"Strong",IF(WarehouseData[[#This Row],[order_fulfillment_rate]]&gt;=0.8,"Moderate","Needs Attention"))</f>
        <v>Needs Attention</v>
      </c>
      <c r="AE764" t="str">
        <f>IF(WarehouseData[[#This Row],[picking_time_seconds]]&gt;120,"Slow",IF(WarehouseData[[#This Row],[picking_time_seconds]]&gt;=60,"Average","Fast"))</f>
        <v>Slow</v>
      </c>
    </row>
    <row r="765" spans="1:31" x14ac:dyDescent="0.25">
      <c r="A765" t="s">
        <v>903</v>
      </c>
      <c r="B765" t="s">
        <v>36</v>
      </c>
      <c r="C765">
        <v>78</v>
      </c>
      <c r="D765">
        <v>92</v>
      </c>
      <c r="E765">
        <v>11</v>
      </c>
      <c r="F765">
        <v>8</v>
      </c>
      <c r="G765">
        <v>47.18</v>
      </c>
      <c r="H765">
        <v>2.17</v>
      </c>
      <c r="I765">
        <v>0.57999999999999996</v>
      </c>
      <c r="J765" t="s">
        <v>51</v>
      </c>
      <c r="K765" t="s">
        <v>34</v>
      </c>
      <c r="L765">
        <v>164</v>
      </c>
      <c r="M765">
        <v>2.2400000000000002</v>
      </c>
      <c r="N765">
        <v>177.23</v>
      </c>
      <c r="O765">
        <v>0.19</v>
      </c>
      <c r="P765">
        <v>3</v>
      </c>
      <c r="Q765">
        <v>0.72</v>
      </c>
      <c r="R765">
        <v>610</v>
      </c>
      <c r="S765">
        <v>2.1</v>
      </c>
      <c r="T765">
        <v>0.87</v>
      </c>
      <c r="U765" s="1">
        <v>45292</v>
      </c>
      <c r="V765">
        <v>112.2</v>
      </c>
      <c r="W765">
        <v>0.66700000000000004</v>
      </c>
      <c r="X765" t="str">
        <f>IF(WarehouseData[[#This Row],[stock_level]]&lt;=WarehouseData[[#This Row],[reorder_point]],"Low Stock","Sufficient Stock")</f>
        <v>Low Stock</v>
      </c>
      <c r="Y765">
        <f>WarehouseData[[#This Row],[daily_demand]]*WarehouseData[[#This Row],[lead_time_days]]</f>
        <v>377.44</v>
      </c>
      <c r="Z765" t="str">
        <f>IF(WarehouseData[[#This Row],[stock_level]]&lt;=WarehouseData[[#This Row],[Demand During Lead Time]],"At Risk","Safe")</f>
        <v>At Risk</v>
      </c>
      <c r="AA765">
        <f>WarehouseData[[#This Row],[stock_level]]/WarehouseData[[#This Row],[daily_demand]]</f>
        <v>1.6532428995337007</v>
      </c>
      <c r="AB765">
        <f>WarehouseData[[#This Row],[stock_level]]*WarehouseData[[#This Row],[unit_price]]</f>
        <v>13823.939999999999</v>
      </c>
      <c r="AC765">
        <f>WarehouseData[[#This Row],[stock_level]]*WarehouseData[[#This Row],[holding_cost_per_unit_day]]*30</f>
        <v>444.6</v>
      </c>
      <c r="AD765" t="str">
        <f>IF(WarehouseData[[#This Row],[order_fulfillment_rate]]&gt;=0.9,"Strong",IF(WarehouseData[[#This Row],[order_fulfillment_rate]]&gt;=0.8,"Moderate","Needs Attention"))</f>
        <v>Needs Attention</v>
      </c>
      <c r="AE765" t="str">
        <f>IF(WarehouseData[[#This Row],[picking_time_seconds]]&gt;120,"Slow",IF(WarehouseData[[#This Row],[picking_time_seconds]]&gt;=60,"Average","Fast"))</f>
        <v>Slow</v>
      </c>
    </row>
    <row r="766" spans="1:31" x14ac:dyDescent="0.25">
      <c r="A766" t="s">
        <v>904</v>
      </c>
      <c r="B766" t="s">
        <v>48</v>
      </c>
      <c r="C766">
        <v>306</v>
      </c>
      <c r="D766">
        <v>95</v>
      </c>
      <c r="E766">
        <v>12</v>
      </c>
      <c r="F766">
        <v>8</v>
      </c>
      <c r="G766">
        <v>23.6</v>
      </c>
      <c r="H766">
        <v>5.38</v>
      </c>
      <c r="I766">
        <v>0.48</v>
      </c>
      <c r="J766" t="s">
        <v>185</v>
      </c>
      <c r="K766" t="s">
        <v>46</v>
      </c>
      <c r="L766">
        <v>158</v>
      </c>
      <c r="M766">
        <v>3.96</v>
      </c>
      <c r="N766">
        <v>37.57</v>
      </c>
      <c r="O766">
        <v>1.6</v>
      </c>
      <c r="P766">
        <v>7</v>
      </c>
      <c r="Q766">
        <v>0.76</v>
      </c>
      <c r="R766">
        <v>554</v>
      </c>
      <c r="S766">
        <v>13.9</v>
      </c>
      <c r="T766">
        <v>0.73</v>
      </c>
      <c r="U766" s="1">
        <v>45401</v>
      </c>
      <c r="V766">
        <v>72.900000000000006</v>
      </c>
      <c r="W766">
        <v>0.58299999999999996</v>
      </c>
      <c r="X766" t="str">
        <f>IF(WarehouseData[[#This Row],[stock_level]]&lt;=WarehouseData[[#This Row],[reorder_point]],"Low Stock","Sufficient Stock")</f>
        <v>Sufficient Stock</v>
      </c>
      <c r="Y766">
        <f>WarehouseData[[#This Row],[daily_demand]]*WarehouseData[[#This Row],[lead_time_days]]</f>
        <v>188.8</v>
      </c>
      <c r="Z766" t="str">
        <f>IF(WarehouseData[[#This Row],[stock_level]]&lt;=WarehouseData[[#This Row],[Demand During Lead Time]],"At Risk","Safe")</f>
        <v>Safe</v>
      </c>
      <c r="AA766">
        <f>WarehouseData[[#This Row],[stock_level]]/WarehouseData[[#This Row],[daily_demand]]</f>
        <v>12.966101694915254</v>
      </c>
      <c r="AB766">
        <f>WarehouseData[[#This Row],[stock_level]]*WarehouseData[[#This Row],[unit_price]]</f>
        <v>11496.42</v>
      </c>
      <c r="AC766">
        <f>WarehouseData[[#This Row],[stock_level]]*WarehouseData[[#This Row],[holding_cost_per_unit_day]]*30</f>
        <v>14688</v>
      </c>
      <c r="AD766" t="str">
        <f>IF(WarehouseData[[#This Row],[order_fulfillment_rate]]&gt;=0.9,"Strong",IF(WarehouseData[[#This Row],[order_fulfillment_rate]]&gt;=0.8,"Moderate","Needs Attention"))</f>
        <v>Needs Attention</v>
      </c>
      <c r="AE766" t="str">
        <f>IF(WarehouseData[[#This Row],[picking_time_seconds]]&gt;120,"Slow",IF(WarehouseData[[#This Row],[picking_time_seconds]]&gt;=60,"Average","Fast"))</f>
        <v>Slow</v>
      </c>
    </row>
    <row r="767" spans="1:31" x14ac:dyDescent="0.25">
      <c r="A767" t="s">
        <v>905</v>
      </c>
      <c r="B767" t="s">
        <v>32</v>
      </c>
      <c r="C767">
        <v>445</v>
      </c>
      <c r="D767">
        <v>72</v>
      </c>
      <c r="E767">
        <v>6</v>
      </c>
      <c r="F767">
        <v>6</v>
      </c>
      <c r="G767">
        <v>16.25</v>
      </c>
      <c r="H767">
        <v>4.54</v>
      </c>
      <c r="I767">
        <v>0.82</v>
      </c>
      <c r="J767" t="s">
        <v>301</v>
      </c>
      <c r="K767" t="s">
        <v>46</v>
      </c>
      <c r="L767">
        <v>96</v>
      </c>
      <c r="M767">
        <v>1.22</v>
      </c>
      <c r="N767">
        <v>39.56</v>
      </c>
      <c r="O767">
        <v>1.1599999999999999</v>
      </c>
      <c r="P767">
        <v>8</v>
      </c>
      <c r="Q767">
        <v>0.83</v>
      </c>
      <c r="R767">
        <v>143</v>
      </c>
      <c r="S767">
        <v>2.04</v>
      </c>
      <c r="T767">
        <v>0.92</v>
      </c>
      <c r="U767" s="1">
        <v>45536</v>
      </c>
      <c r="V767">
        <v>54.16</v>
      </c>
      <c r="W767">
        <v>0.501</v>
      </c>
      <c r="X767" t="str">
        <f>IF(WarehouseData[[#This Row],[stock_level]]&lt;=WarehouseData[[#This Row],[reorder_point]],"Low Stock","Sufficient Stock")</f>
        <v>Sufficient Stock</v>
      </c>
      <c r="Y767">
        <f>WarehouseData[[#This Row],[daily_demand]]*WarehouseData[[#This Row],[lead_time_days]]</f>
        <v>97.5</v>
      </c>
      <c r="Z767" t="str">
        <f>IF(WarehouseData[[#This Row],[stock_level]]&lt;=WarehouseData[[#This Row],[Demand During Lead Time]],"At Risk","Safe")</f>
        <v>Safe</v>
      </c>
      <c r="AA767">
        <f>WarehouseData[[#This Row],[stock_level]]/WarehouseData[[#This Row],[daily_demand]]</f>
        <v>27.384615384615383</v>
      </c>
      <c r="AB767">
        <f>WarehouseData[[#This Row],[stock_level]]*WarehouseData[[#This Row],[unit_price]]</f>
        <v>17604.2</v>
      </c>
      <c r="AC767">
        <f>WarehouseData[[#This Row],[stock_level]]*WarehouseData[[#This Row],[holding_cost_per_unit_day]]*30</f>
        <v>15485.999999999998</v>
      </c>
      <c r="AD767" t="str">
        <f>IF(WarehouseData[[#This Row],[order_fulfillment_rate]]&gt;=0.9,"Strong",IF(WarehouseData[[#This Row],[order_fulfillment_rate]]&gt;=0.8,"Moderate","Needs Attention"))</f>
        <v>Moderate</v>
      </c>
      <c r="AE767" t="str">
        <f>IF(WarehouseData[[#This Row],[picking_time_seconds]]&gt;120,"Slow",IF(WarehouseData[[#This Row],[picking_time_seconds]]&gt;=60,"Average","Fast"))</f>
        <v>Average</v>
      </c>
    </row>
    <row r="768" spans="1:31" x14ac:dyDescent="0.25">
      <c r="A768" t="s">
        <v>906</v>
      </c>
      <c r="B768" t="s">
        <v>48</v>
      </c>
      <c r="C768">
        <v>221</v>
      </c>
      <c r="D768">
        <v>66</v>
      </c>
      <c r="E768">
        <v>6</v>
      </c>
      <c r="F768">
        <v>9</v>
      </c>
      <c r="G768">
        <v>25.03</v>
      </c>
      <c r="H768">
        <v>8.9600000000000009</v>
      </c>
      <c r="I768">
        <v>0.59</v>
      </c>
      <c r="J768" t="s">
        <v>332</v>
      </c>
      <c r="K768" t="s">
        <v>52</v>
      </c>
      <c r="L768">
        <v>144</v>
      </c>
      <c r="M768">
        <v>3.66</v>
      </c>
      <c r="N768">
        <v>46.75</v>
      </c>
      <c r="O768">
        <v>1.48</v>
      </c>
      <c r="P768">
        <v>6</v>
      </c>
      <c r="Q768">
        <v>0.97</v>
      </c>
      <c r="R768">
        <v>356</v>
      </c>
      <c r="S768">
        <v>14.34</v>
      </c>
      <c r="T768">
        <v>0.42</v>
      </c>
      <c r="U768" s="1">
        <v>45331</v>
      </c>
      <c r="V768">
        <v>44.79</v>
      </c>
      <c r="W768">
        <v>0.60099999999999998</v>
      </c>
      <c r="X768" t="str">
        <f>IF(WarehouseData[[#This Row],[stock_level]]&lt;=WarehouseData[[#This Row],[reorder_point]],"Low Stock","Sufficient Stock")</f>
        <v>Sufficient Stock</v>
      </c>
      <c r="Y768">
        <f>WarehouseData[[#This Row],[daily_demand]]*WarehouseData[[#This Row],[lead_time_days]]</f>
        <v>225.27</v>
      </c>
      <c r="Z768" t="str">
        <f>IF(WarehouseData[[#This Row],[stock_level]]&lt;=WarehouseData[[#This Row],[Demand During Lead Time]],"At Risk","Safe")</f>
        <v>At Risk</v>
      </c>
      <c r="AA768">
        <f>WarehouseData[[#This Row],[stock_level]]/WarehouseData[[#This Row],[daily_demand]]</f>
        <v>8.8294047143427878</v>
      </c>
      <c r="AB768">
        <f>WarehouseData[[#This Row],[stock_level]]*WarehouseData[[#This Row],[unit_price]]</f>
        <v>10331.75</v>
      </c>
      <c r="AC768">
        <f>WarehouseData[[#This Row],[stock_level]]*WarehouseData[[#This Row],[holding_cost_per_unit_day]]*30</f>
        <v>9812.4</v>
      </c>
      <c r="AD768" t="str">
        <f>IF(WarehouseData[[#This Row],[order_fulfillment_rate]]&gt;=0.9,"Strong",IF(WarehouseData[[#This Row],[order_fulfillment_rate]]&gt;=0.8,"Moderate","Needs Attention"))</f>
        <v>Strong</v>
      </c>
      <c r="AE768" t="str">
        <f>IF(WarehouseData[[#This Row],[picking_time_seconds]]&gt;120,"Slow",IF(WarehouseData[[#This Row],[picking_time_seconds]]&gt;=60,"Average","Fast"))</f>
        <v>Slow</v>
      </c>
    </row>
    <row r="769" spans="1:31" x14ac:dyDescent="0.25">
      <c r="A769" t="s">
        <v>907</v>
      </c>
      <c r="B769" t="s">
        <v>36</v>
      </c>
      <c r="C769">
        <v>51</v>
      </c>
      <c r="D769">
        <v>64</v>
      </c>
      <c r="E769">
        <v>11</v>
      </c>
      <c r="F769">
        <v>9</v>
      </c>
      <c r="G769">
        <v>38.86</v>
      </c>
      <c r="H769">
        <v>4.58</v>
      </c>
      <c r="I769">
        <v>0.94</v>
      </c>
      <c r="J769" t="s">
        <v>41</v>
      </c>
      <c r="K769" t="s">
        <v>38</v>
      </c>
      <c r="L769">
        <v>61</v>
      </c>
      <c r="M769">
        <v>3.88</v>
      </c>
      <c r="N769">
        <v>134.15</v>
      </c>
      <c r="O769">
        <v>0.34</v>
      </c>
      <c r="P769">
        <v>4</v>
      </c>
      <c r="Q769">
        <v>0.86</v>
      </c>
      <c r="R769">
        <v>787</v>
      </c>
      <c r="S769">
        <v>7.88</v>
      </c>
      <c r="T769">
        <v>0.38</v>
      </c>
      <c r="U769" s="1">
        <v>45359</v>
      </c>
      <c r="V769">
        <v>290.05</v>
      </c>
      <c r="W769">
        <v>0.63900000000000001</v>
      </c>
      <c r="X769" t="str">
        <f>IF(WarehouseData[[#This Row],[stock_level]]&lt;=WarehouseData[[#This Row],[reorder_point]],"Low Stock","Sufficient Stock")</f>
        <v>Low Stock</v>
      </c>
      <c r="Y769">
        <f>WarehouseData[[#This Row],[daily_demand]]*WarehouseData[[#This Row],[lead_time_days]]</f>
        <v>349.74</v>
      </c>
      <c r="Z769" t="str">
        <f>IF(WarehouseData[[#This Row],[stock_level]]&lt;=WarehouseData[[#This Row],[Demand During Lead Time]],"At Risk","Safe")</f>
        <v>At Risk</v>
      </c>
      <c r="AA769">
        <f>WarehouseData[[#This Row],[stock_level]]/WarehouseData[[#This Row],[daily_demand]]</f>
        <v>1.3124034997426659</v>
      </c>
      <c r="AB769">
        <f>WarehouseData[[#This Row],[stock_level]]*WarehouseData[[#This Row],[unit_price]]</f>
        <v>6841.6500000000005</v>
      </c>
      <c r="AC769">
        <f>WarehouseData[[#This Row],[stock_level]]*WarehouseData[[#This Row],[holding_cost_per_unit_day]]*30</f>
        <v>520.20000000000005</v>
      </c>
      <c r="AD769" t="str">
        <f>IF(WarehouseData[[#This Row],[order_fulfillment_rate]]&gt;=0.9,"Strong",IF(WarehouseData[[#This Row],[order_fulfillment_rate]]&gt;=0.8,"Moderate","Needs Attention"))</f>
        <v>Moderate</v>
      </c>
      <c r="AE769" t="str">
        <f>IF(WarehouseData[[#This Row],[picking_time_seconds]]&gt;120,"Slow",IF(WarehouseData[[#This Row],[picking_time_seconds]]&gt;=60,"Average","Fast"))</f>
        <v>Average</v>
      </c>
    </row>
    <row r="770" spans="1:31" x14ac:dyDescent="0.25">
      <c r="A770" t="s">
        <v>908</v>
      </c>
      <c r="B770" t="s">
        <v>36</v>
      </c>
      <c r="C770">
        <v>462</v>
      </c>
      <c r="D770">
        <v>69</v>
      </c>
      <c r="E770">
        <v>14</v>
      </c>
      <c r="F770">
        <v>8</v>
      </c>
      <c r="G770">
        <v>9.25</v>
      </c>
      <c r="H770">
        <v>5.57</v>
      </c>
      <c r="I770">
        <v>0.28000000000000003</v>
      </c>
      <c r="J770" t="s">
        <v>276</v>
      </c>
      <c r="K770" t="s">
        <v>52</v>
      </c>
      <c r="L770">
        <v>135</v>
      </c>
      <c r="M770">
        <v>2.4900000000000002</v>
      </c>
      <c r="N770">
        <v>30.37</v>
      </c>
      <c r="O770">
        <v>1.47</v>
      </c>
      <c r="P770">
        <v>0</v>
      </c>
      <c r="Q770">
        <v>0.92</v>
      </c>
      <c r="R770">
        <v>566</v>
      </c>
      <c r="S770">
        <v>8.18</v>
      </c>
      <c r="T770">
        <v>0.25</v>
      </c>
      <c r="U770" s="1">
        <v>45595</v>
      </c>
      <c r="V770">
        <v>272.92</v>
      </c>
      <c r="W770">
        <v>0.59599999999999997</v>
      </c>
      <c r="X770" t="str">
        <f>IF(WarehouseData[[#This Row],[stock_level]]&lt;=WarehouseData[[#This Row],[reorder_point]],"Low Stock","Sufficient Stock")</f>
        <v>Sufficient Stock</v>
      </c>
      <c r="Y770">
        <f>WarehouseData[[#This Row],[daily_demand]]*WarehouseData[[#This Row],[lead_time_days]]</f>
        <v>74</v>
      </c>
      <c r="Z770" t="str">
        <f>IF(WarehouseData[[#This Row],[stock_level]]&lt;=WarehouseData[[#This Row],[Demand During Lead Time]],"At Risk","Safe")</f>
        <v>Safe</v>
      </c>
      <c r="AA770">
        <f>WarehouseData[[#This Row],[stock_level]]/WarehouseData[[#This Row],[daily_demand]]</f>
        <v>49.945945945945944</v>
      </c>
      <c r="AB770">
        <f>WarehouseData[[#This Row],[stock_level]]*WarehouseData[[#This Row],[unit_price]]</f>
        <v>14030.94</v>
      </c>
      <c r="AC770">
        <f>WarehouseData[[#This Row],[stock_level]]*WarehouseData[[#This Row],[holding_cost_per_unit_day]]*30</f>
        <v>20374.2</v>
      </c>
      <c r="AD770" t="str">
        <f>IF(WarehouseData[[#This Row],[order_fulfillment_rate]]&gt;=0.9,"Strong",IF(WarehouseData[[#This Row],[order_fulfillment_rate]]&gt;=0.8,"Moderate","Needs Attention"))</f>
        <v>Strong</v>
      </c>
      <c r="AE770" t="str">
        <f>IF(WarehouseData[[#This Row],[picking_time_seconds]]&gt;120,"Slow",IF(WarehouseData[[#This Row],[picking_time_seconds]]&gt;=60,"Average","Fast"))</f>
        <v>Slow</v>
      </c>
    </row>
    <row r="771" spans="1:31" x14ac:dyDescent="0.25">
      <c r="A771" t="s">
        <v>909</v>
      </c>
      <c r="B771" t="s">
        <v>73</v>
      </c>
      <c r="C771">
        <v>181</v>
      </c>
      <c r="D771">
        <v>71</v>
      </c>
      <c r="E771">
        <v>13</v>
      </c>
      <c r="F771">
        <v>5</v>
      </c>
      <c r="G771">
        <v>38.61</v>
      </c>
      <c r="H771">
        <v>9.58</v>
      </c>
      <c r="I771">
        <v>0.99</v>
      </c>
      <c r="J771" t="s">
        <v>110</v>
      </c>
      <c r="K771" t="s">
        <v>52</v>
      </c>
      <c r="L771">
        <v>156</v>
      </c>
      <c r="M771">
        <v>4.07</v>
      </c>
      <c r="N771">
        <v>157.87</v>
      </c>
      <c r="O771">
        <v>0.89</v>
      </c>
      <c r="P771">
        <v>8</v>
      </c>
      <c r="Q771">
        <v>0.75</v>
      </c>
      <c r="R771">
        <v>914</v>
      </c>
      <c r="S771">
        <v>12.03</v>
      </c>
      <c r="T771">
        <v>0.67</v>
      </c>
      <c r="U771" s="1">
        <v>45407</v>
      </c>
      <c r="V771">
        <v>150.13999999999999</v>
      </c>
      <c r="W771">
        <v>0.59499999999999997</v>
      </c>
      <c r="X771" t="str">
        <f>IF(WarehouseData[[#This Row],[stock_level]]&lt;=WarehouseData[[#This Row],[reorder_point]],"Low Stock","Sufficient Stock")</f>
        <v>Sufficient Stock</v>
      </c>
      <c r="Y771">
        <f>WarehouseData[[#This Row],[daily_demand]]*WarehouseData[[#This Row],[lead_time_days]]</f>
        <v>193.05</v>
      </c>
      <c r="Z771" t="str">
        <f>IF(WarehouseData[[#This Row],[stock_level]]&lt;=WarehouseData[[#This Row],[Demand During Lead Time]],"At Risk","Safe")</f>
        <v>At Risk</v>
      </c>
      <c r="AA771">
        <f>WarehouseData[[#This Row],[stock_level]]/WarehouseData[[#This Row],[daily_demand]]</f>
        <v>4.6879046879046884</v>
      </c>
      <c r="AB771">
        <f>WarehouseData[[#This Row],[stock_level]]*WarehouseData[[#This Row],[unit_price]]</f>
        <v>28574.47</v>
      </c>
      <c r="AC771">
        <f>WarehouseData[[#This Row],[stock_level]]*WarehouseData[[#This Row],[holding_cost_per_unit_day]]*30</f>
        <v>4832.7</v>
      </c>
      <c r="AD771" t="str">
        <f>IF(WarehouseData[[#This Row],[order_fulfillment_rate]]&gt;=0.9,"Strong",IF(WarehouseData[[#This Row],[order_fulfillment_rate]]&gt;=0.8,"Moderate","Needs Attention"))</f>
        <v>Needs Attention</v>
      </c>
      <c r="AE771" t="str">
        <f>IF(WarehouseData[[#This Row],[picking_time_seconds]]&gt;120,"Slow",IF(WarehouseData[[#This Row],[picking_time_seconds]]&gt;=60,"Average","Fast"))</f>
        <v>Slow</v>
      </c>
    </row>
    <row r="772" spans="1:31" x14ac:dyDescent="0.25">
      <c r="A772" t="s">
        <v>910</v>
      </c>
      <c r="B772" t="s">
        <v>36</v>
      </c>
      <c r="C772">
        <v>274</v>
      </c>
      <c r="D772">
        <v>39</v>
      </c>
      <c r="E772">
        <v>14</v>
      </c>
      <c r="F772">
        <v>9</v>
      </c>
      <c r="G772">
        <v>37.72</v>
      </c>
      <c r="H772">
        <v>3.35</v>
      </c>
      <c r="I772">
        <v>0.37</v>
      </c>
      <c r="J772" t="s">
        <v>183</v>
      </c>
      <c r="K772" t="s">
        <v>38</v>
      </c>
      <c r="L772">
        <v>82</v>
      </c>
      <c r="M772">
        <v>3.01</v>
      </c>
      <c r="N772">
        <v>21.07</v>
      </c>
      <c r="O772">
        <v>1.62</v>
      </c>
      <c r="P772">
        <v>5</v>
      </c>
      <c r="Q772">
        <v>0.73</v>
      </c>
      <c r="R772">
        <v>223</v>
      </c>
      <c r="S772">
        <v>10.74</v>
      </c>
      <c r="T772">
        <v>0.6</v>
      </c>
      <c r="U772" s="1">
        <v>45557</v>
      </c>
      <c r="V772">
        <v>169.08</v>
      </c>
      <c r="W772">
        <v>0.54700000000000004</v>
      </c>
      <c r="X772" t="str">
        <f>IF(WarehouseData[[#This Row],[stock_level]]&lt;=WarehouseData[[#This Row],[reorder_point]],"Low Stock","Sufficient Stock")</f>
        <v>Sufficient Stock</v>
      </c>
      <c r="Y772">
        <f>WarehouseData[[#This Row],[daily_demand]]*WarehouseData[[#This Row],[lead_time_days]]</f>
        <v>339.48</v>
      </c>
      <c r="Z772" t="str">
        <f>IF(WarehouseData[[#This Row],[stock_level]]&lt;=WarehouseData[[#This Row],[Demand During Lead Time]],"At Risk","Safe")</f>
        <v>At Risk</v>
      </c>
      <c r="AA772">
        <f>WarehouseData[[#This Row],[stock_level]]/WarehouseData[[#This Row],[daily_demand]]</f>
        <v>7.264050901378579</v>
      </c>
      <c r="AB772">
        <f>WarehouseData[[#This Row],[stock_level]]*WarehouseData[[#This Row],[unit_price]]</f>
        <v>5773.18</v>
      </c>
      <c r="AC772">
        <f>WarehouseData[[#This Row],[stock_level]]*WarehouseData[[#This Row],[holding_cost_per_unit_day]]*30</f>
        <v>13316.400000000001</v>
      </c>
      <c r="AD772" t="str">
        <f>IF(WarehouseData[[#This Row],[order_fulfillment_rate]]&gt;=0.9,"Strong",IF(WarehouseData[[#This Row],[order_fulfillment_rate]]&gt;=0.8,"Moderate","Needs Attention"))</f>
        <v>Needs Attention</v>
      </c>
      <c r="AE772" t="str">
        <f>IF(WarehouseData[[#This Row],[picking_time_seconds]]&gt;120,"Slow",IF(WarehouseData[[#This Row],[picking_time_seconds]]&gt;=60,"Average","Fast"))</f>
        <v>Average</v>
      </c>
    </row>
    <row r="773" spans="1:31" x14ac:dyDescent="0.25">
      <c r="A773" t="s">
        <v>911</v>
      </c>
      <c r="B773" t="s">
        <v>73</v>
      </c>
      <c r="C773">
        <v>273</v>
      </c>
      <c r="D773">
        <v>31</v>
      </c>
      <c r="E773">
        <v>4</v>
      </c>
      <c r="F773">
        <v>9</v>
      </c>
      <c r="G773">
        <v>27.43</v>
      </c>
      <c r="H773">
        <v>3.25</v>
      </c>
      <c r="I773">
        <v>0.68</v>
      </c>
      <c r="J773" t="s">
        <v>59</v>
      </c>
      <c r="K773" t="s">
        <v>46</v>
      </c>
      <c r="L773">
        <v>149</v>
      </c>
      <c r="M773">
        <v>4.71</v>
      </c>
      <c r="N773">
        <v>30.98</v>
      </c>
      <c r="O773">
        <v>1.24</v>
      </c>
      <c r="P773">
        <v>1</v>
      </c>
      <c r="Q773">
        <v>0.77</v>
      </c>
      <c r="R773">
        <v>744</v>
      </c>
      <c r="S773">
        <v>4.32</v>
      </c>
      <c r="T773">
        <v>0.85</v>
      </c>
      <c r="U773" s="1">
        <v>45640</v>
      </c>
      <c r="V773">
        <v>253.2</v>
      </c>
      <c r="W773">
        <v>0.63800000000000001</v>
      </c>
      <c r="X773" t="str">
        <f>IF(WarehouseData[[#This Row],[stock_level]]&lt;=WarehouseData[[#This Row],[reorder_point]],"Low Stock","Sufficient Stock")</f>
        <v>Sufficient Stock</v>
      </c>
      <c r="Y773">
        <f>WarehouseData[[#This Row],[daily_demand]]*WarehouseData[[#This Row],[lead_time_days]]</f>
        <v>246.87</v>
      </c>
      <c r="Z773" t="str">
        <f>IF(WarehouseData[[#This Row],[stock_level]]&lt;=WarehouseData[[#This Row],[Demand During Lead Time]],"At Risk","Safe")</f>
        <v>Safe</v>
      </c>
      <c r="AA773">
        <f>WarehouseData[[#This Row],[stock_level]]/WarehouseData[[#This Row],[daily_demand]]</f>
        <v>9.9526066350710902</v>
      </c>
      <c r="AB773">
        <f>WarehouseData[[#This Row],[stock_level]]*WarehouseData[[#This Row],[unit_price]]</f>
        <v>8457.5400000000009</v>
      </c>
      <c r="AC773">
        <f>WarehouseData[[#This Row],[stock_level]]*WarehouseData[[#This Row],[holding_cost_per_unit_day]]*30</f>
        <v>10155.599999999999</v>
      </c>
      <c r="AD773" t="str">
        <f>IF(WarehouseData[[#This Row],[order_fulfillment_rate]]&gt;=0.9,"Strong",IF(WarehouseData[[#This Row],[order_fulfillment_rate]]&gt;=0.8,"Moderate","Needs Attention"))</f>
        <v>Needs Attention</v>
      </c>
      <c r="AE773" t="str">
        <f>IF(WarehouseData[[#This Row],[picking_time_seconds]]&gt;120,"Slow",IF(WarehouseData[[#This Row],[picking_time_seconds]]&gt;=60,"Average","Fast"))</f>
        <v>Slow</v>
      </c>
    </row>
    <row r="774" spans="1:31" x14ac:dyDescent="0.25">
      <c r="A774" t="s">
        <v>912</v>
      </c>
      <c r="B774" t="s">
        <v>32</v>
      </c>
      <c r="C774">
        <v>28</v>
      </c>
      <c r="D774">
        <v>84</v>
      </c>
      <c r="E774">
        <v>14</v>
      </c>
      <c r="F774">
        <v>9</v>
      </c>
      <c r="G774">
        <v>43.43</v>
      </c>
      <c r="H774">
        <v>8.1</v>
      </c>
      <c r="I774">
        <v>0.55000000000000004</v>
      </c>
      <c r="J774" t="s">
        <v>223</v>
      </c>
      <c r="K774" t="s">
        <v>52</v>
      </c>
      <c r="L774">
        <v>103</v>
      </c>
      <c r="M774">
        <v>1.01</v>
      </c>
      <c r="N774">
        <v>92.55</v>
      </c>
      <c r="O774">
        <v>0.77</v>
      </c>
      <c r="P774">
        <v>9</v>
      </c>
      <c r="Q774">
        <v>0.79</v>
      </c>
      <c r="R774">
        <v>122</v>
      </c>
      <c r="S774">
        <v>1.36</v>
      </c>
      <c r="T774">
        <v>0.59</v>
      </c>
      <c r="U774" s="1">
        <v>45519</v>
      </c>
      <c r="V774">
        <v>198.16</v>
      </c>
      <c r="W774">
        <v>0.437</v>
      </c>
      <c r="X774" t="str">
        <f>IF(WarehouseData[[#This Row],[stock_level]]&lt;=WarehouseData[[#This Row],[reorder_point]],"Low Stock","Sufficient Stock")</f>
        <v>Low Stock</v>
      </c>
      <c r="Y774">
        <f>WarehouseData[[#This Row],[daily_demand]]*WarehouseData[[#This Row],[lead_time_days]]</f>
        <v>390.87</v>
      </c>
      <c r="Z774" t="str">
        <f>IF(WarehouseData[[#This Row],[stock_level]]&lt;=WarehouseData[[#This Row],[Demand During Lead Time]],"At Risk","Safe")</f>
        <v>At Risk</v>
      </c>
      <c r="AA774">
        <f>WarehouseData[[#This Row],[stock_level]]/WarehouseData[[#This Row],[daily_demand]]</f>
        <v>0.64471563435413304</v>
      </c>
      <c r="AB774">
        <f>WarehouseData[[#This Row],[stock_level]]*WarehouseData[[#This Row],[unit_price]]</f>
        <v>2591.4</v>
      </c>
      <c r="AC774">
        <f>WarehouseData[[#This Row],[stock_level]]*WarehouseData[[#This Row],[holding_cost_per_unit_day]]*30</f>
        <v>646.80000000000007</v>
      </c>
      <c r="AD774" t="str">
        <f>IF(WarehouseData[[#This Row],[order_fulfillment_rate]]&gt;=0.9,"Strong",IF(WarehouseData[[#This Row],[order_fulfillment_rate]]&gt;=0.8,"Moderate","Needs Attention"))</f>
        <v>Needs Attention</v>
      </c>
      <c r="AE774" t="str">
        <f>IF(WarehouseData[[#This Row],[picking_time_seconds]]&gt;120,"Slow",IF(WarehouseData[[#This Row],[picking_time_seconds]]&gt;=60,"Average","Fast"))</f>
        <v>Average</v>
      </c>
    </row>
    <row r="775" spans="1:31" x14ac:dyDescent="0.25">
      <c r="A775" t="s">
        <v>913</v>
      </c>
      <c r="B775" t="s">
        <v>48</v>
      </c>
      <c r="C775">
        <v>484</v>
      </c>
      <c r="D775">
        <v>93</v>
      </c>
      <c r="E775">
        <v>7</v>
      </c>
      <c r="F775">
        <v>8</v>
      </c>
      <c r="G775">
        <v>7.48</v>
      </c>
      <c r="H775">
        <v>3.14</v>
      </c>
      <c r="I775">
        <v>0.42</v>
      </c>
      <c r="J775" t="s">
        <v>289</v>
      </c>
      <c r="K775" t="s">
        <v>52</v>
      </c>
      <c r="L775">
        <v>11</v>
      </c>
      <c r="M775">
        <v>1.0900000000000001</v>
      </c>
      <c r="N775">
        <v>82.04</v>
      </c>
      <c r="O775">
        <v>0.48</v>
      </c>
      <c r="P775">
        <v>9</v>
      </c>
      <c r="Q775">
        <v>0.86</v>
      </c>
      <c r="R775">
        <v>194</v>
      </c>
      <c r="S775">
        <v>11.9</v>
      </c>
      <c r="T775">
        <v>0.36</v>
      </c>
      <c r="U775" s="1">
        <v>45296</v>
      </c>
      <c r="V775">
        <v>222.47</v>
      </c>
      <c r="W775">
        <v>0.57499999999999996</v>
      </c>
      <c r="X775" t="str">
        <f>IF(WarehouseData[[#This Row],[stock_level]]&lt;=WarehouseData[[#This Row],[reorder_point]],"Low Stock","Sufficient Stock")</f>
        <v>Sufficient Stock</v>
      </c>
      <c r="Y775">
        <f>WarehouseData[[#This Row],[daily_demand]]*WarehouseData[[#This Row],[lead_time_days]]</f>
        <v>59.84</v>
      </c>
      <c r="Z775" t="str">
        <f>IF(WarehouseData[[#This Row],[stock_level]]&lt;=WarehouseData[[#This Row],[Demand During Lead Time]],"At Risk","Safe")</f>
        <v>Safe</v>
      </c>
      <c r="AA775">
        <f>WarehouseData[[#This Row],[stock_level]]/WarehouseData[[#This Row],[daily_demand]]</f>
        <v>64.705882352941174</v>
      </c>
      <c r="AB775">
        <f>WarehouseData[[#This Row],[stock_level]]*WarehouseData[[#This Row],[unit_price]]</f>
        <v>39707.360000000001</v>
      </c>
      <c r="AC775">
        <f>WarehouseData[[#This Row],[stock_level]]*WarehouseData[[#This Row],[holding_cost_per_unit_day]]*30</f>
        <v>6969.5999999999995</v>
      </c>
      <c r="AD775" t="str">
        <f>IF(WarehouseData[[#This Row],[order_fulfillment_rate]]&gt;=0.9,"Strong",IF(WarehouseData[[#This Row],[order_fulfillment_rate]]&gt;=0.8,"Moderate","Needs Attention"))</f>
        <v>Moderate</v>
      </c>
      <c r="AE775" t="str">
        <f>IF(WarehouseData[[#This Row],[picking_time_seconds]]&gt;120,"Slow",IF(WarehouseData[[#This Row],[picking_time_seconds]]&gt;=60,"Average","Fast"))</f>
        <v>Fast</v>
      </c>
    </row>
    <row r="776" spans="1:31" x14ac:dyDescent="0.25">
      <c r="A776" t="s">
        <v>914</v>
      </c>
      <c r="B776" t="s">
        <v>48</v>
      </c>
      <c r="C776">
        <v>158</v>
      </c>
      <c r="D776">
        <v>38</v>
      </c>
      <c r="E776">
        <v>6</v>
      </c>
      <c r="F776">
        <v>7</v>
      </c>
      <c r="G776">
        <v>30.18</v>
      </c>
      <c r="H776">
        <v>8.4</v>
      </c>
      <c r="I776">
        <v>0.23</v>
      </c>
      <c r="J776" t="s">
        <v>196</v>
      </c>
      <c r="K776" t="s">
        <v>46</v>
      </c>
      <c r="L776">
        <v>26</v>
      </c>
      <c r="M776">
        <v>4.29</v>
      </c>
      <c r="N776">
        <v>198.04</v>
      </c>
      <c r="O776">
        <v>1.65</v>
      </c>
      <c r="P776">
        <v>1</v>
      </c>
      <c r="Q776">
        <v>0.96</v>
      </c>
      <c r="R776">
        <v>957</v>
      </c>
      <c r="S776">
        <v>2.82</v>
      </c>
      <c r="T776">
        <v>0.85</v>
      </c>
      <c r="U776" s="1">
        <v>45296</v>
      </c>
      <c r="V776">
        <v>239.43</v>
      </c>
      <c r="W776">
        <v>0.61499999999999999</v>
      </c>
      <c r="X776" t="str">
        <f>IF(WarehouseData[[#This Row],[stock_level]]&lt;=WarehouseData[[#This Row],[reorder_point]],"Low Stock","Sufficient Stock")</f>
        <v>Sufficient Stock</v>
      </c>
      <c r="Y776">
        <f>WarehouseData[[#This Row],[daily_demand]]*WarehouseData[[#This Row],[lead_time_days]]</f>
        <v>211.26</v>
      </c>
      <c r="Z776" t="str">
        <f>IF(WarehouseData[[#This Row],[stock_level]]&lt;=WarehouseData[[#This Row],[Demand During Lead Time]],"At Risk","Safe")</f>
        <v>At Risk</v>
      </c>
      <c r="AA776">
        <f>WarehouseData[[#This Row],[stock_level]]/WarehouseData[[#This Row],[daily_demand]]</f>
        <v>5.2352551358515571</v>
      </c>
      <c r="AB776">
        <f>WarehouseData[[#This Row],[stock_level]]*WarehouseData[[#This Row],[unit_price]]</f>
        <v>31290.32</v>
      </c>
      <c r="AC776">
        <f>WarehouseData[[#This Row],[stock_level]]*WarehouseData[[#This Row],[holding_cost_per_unit_day]]*30</f>
        <v>7821</v>
      </c>
      <c r="AD776" t="str">
        <f>IF(WarehouseData[[#This Row],[order_fulfillment_rate]]&gt;=0.9,"Strong",IF(WarehouseData[[#This Row],[order_fulfillment_rate]]&gt;=0.8,"Moderate","Needs Attention"))</f>
        <v>Strong</v>
      </c>
      <c r="AE776" t="str">
        <f>IF(WarehouseData[[#This Row],[picking_time_seconds]]&gt;120,"Slow",IF(WarehouseData[[#This Row],[picking_time_seconds]]&gt;=60,"Average","Fast"))</f>
        <v>Fast</v>
      </c>
    </row>
    <row r="777" spans="1:31" x14ac:dyDescent="0.25">
      <c r="A777" t="s">
        <v>915</v>
      </c>
      <c r="B777" t="s">
        <v>73</v>
      </c>
      <c r="C777">
        <v>499</v>
      </c>
      <c r="D777">
        <v>50</v>
      </c>
      <c r="E777">
        <v>11</v>
      </c>
      <c r="F777">
        <v>3</v>
      </c>
      <c r="G777">
        <v>23.02</v>
      </c>
      <c r="H777">
        <v>1.41</v>
      </c>
      <c r="I777">
        <v>0.22</v>
      </c>
      <c r="J777" t="s">
        <v>202</v>
      </c>
      <c r="K777" t="s">
        <v>34</v>
      </c>
      <c r="L777">
        <v>134</v>
      </c>
      <c r="M777">
        <v>4.29</v>
      </c>
      <c r="N777">
        <v>193.7</v>
      </c>
      <c r="O777">
        <v>1.1599999999999999</v>
      </c>
      <c r="P777">
        <v>9</v>
      </c>
      <c r="Q777">
        <v>0.83</v>
      </c>
      <c r="R777">
        <v>713</v>
      </c>
      <c r="S777">
        <v>9.3800000000000008</v>
      </c>
      <c r="T777">
        <v>0.56000000000000005</v>
      </c>
      <c r="U777" s="1">
        <v>45648</v>
      </c>
      <c r="V777">
        <v>150.08000000000001</v>
      </c>
      <c r="W777">
        <v>0.50700000000000001</v>
      </c>
      <c r="X777" t="str">
        <f>IF(WarehouseData[[#This Row],[stock_level]]&lt;=WarehouseData[[#This Row],[reorder_point]],"Low Stock","Sufficient Stock")</f>
        <v>Sufficient Stock</v>
      </c>
      <c r="Y777">
        <f>WarehouseData[[#This Row],[daily_demand]]*WarehouseData[[#This Row],[lead_time_days]]</f>
        <v>69.06</v>
      </c>
      <c r="Z777" t="str">
        <f>IF(WarehouseData[[#This Row],[stock_level]]&lt;=WarehouseData[[#This Row],[Demand During Lead Time]],"At Risk","Safe")</f>
        <v>Safe</v>
      </c>
      <c r="AA777">
        <f>WarehouseData[[#This Row],[stock_level]]/WarehouseData[[#This Row],[daily_demand]]</f>
        <v>21.676802780191139</v>
      </c>
      <c r="AB777">
        <f>WarehouseData[[#This Row],[stock_level]]*WarehouseData[[#This Row],[unit_price]]</f>
        <v>96656.299999999988</v>
      </c>
      <c r="AC777">
        <f>WarehouseData[[#This Row],[stock_level]]*WarehouseData[[#This Row],[holding_cost_per_unit_day]]*30</f>
        <v>17365.199999999997</v>
      </c>
      <c r="AD777" t="str">
        <f>IF(WarehouseData[[#This Row],[order_fulfillment_rate]]&gt;=0.9,"Strong",IF(WarehouseData[[#This Row],[order_fulfillment_rate]]&gt;=0.8,"Moderate","Needs Attention"))</f>
        <v>Moderate</v>
      </c>
      <c r="AE777" t="str">
        <f>IF(WarehouseData[[#This Row],[picking_time_seconds]]&gt;120,"Slow",IF(WarehouseData[[#This Row],[picking_time_seconds]]&gt;=60,"Average","Fast"))</f>
        <v>Slow</v>
      </c>
    </row>
    <row r="778" spans="1:31" x14ac:dyDescent="0.25">
      <c r="A778" t="s">
        <v>916</v>
      </c>
      <c r="B778" t="s">
        <v>48</v>
      </c>
      <c r="C778">
        <v>29</v>
      </c>
      <c r="D778">
        <v>51</v>
      </c>
      <c r="E778">
        <v>14</v>
      </c>
      <c r="F778">
        <v>7</v>
      </c>
      <c r="G778">
        <v>21.69</v>
      </c>
      <c r="H778">
        <v>1.56</v>
      </c>
      <c r="I778">
        <v>0.74</v>
      </c>
      <c r="J778" t="s">
        <v>353</v>
      </c>
      <c r="K778" t="s">
        <v>38</v>
      </c>
      <c r="L778">
        <v>140</v>
      </c>
      <c r="M778">
        <v>2.62</v>
      </c>
      <c r="N778">
        <v>46.04</v>
      </c>
      <c r="O778">
        <v>1.98</v>
      </c>
      <c r="P778">
        <v>0</v>
      </c>
      <c r="Q778">
        <v>0.86</v>
      </c>
      <c r="R778">
        <v>105</v>
      </c>
      <c r="S778">
        <v>14.2</v>
      </c>
      <c r="T778">
        <v>0.96</v>
      </c>
      <c r="U778" s="1">
        <v>45467</v>
      </c>
      <c r="V778">
        <v>292.69</v>
      </c>
      <c r="W778">
        <v>0.755</v>
      </c>
      <c r="X778" t="str">
        <f>IF(WarehouseData[[#This Row],[stock_level]]&lt;=WarehouseData[[#This Row],[reorder_point]],"Low Stock","Sufficient Stock")</f>
        <v>Low Stock</v>
      </c>
      <c r="Y778">
        <f>WarehouseData[[#This Row],[daily_demand]]*WarehouseData[[#This Row],[lead_time_days]]</f>
        <v>151.83000000000001</v>
      </c>
      <c r="Z778" t="str">
        <f>IF(WarehouseData[[#This Row],[stock_level]]&lt;=WarehouseData[[#This Row],[Demand During Lead Time]],"At Risk","Safe")</f>
        <v>At Risk</v>
      </c>
      <c r="AA778">
        <f>WarehouseData[[#This Row],[stock_level]]/WarehouseData[[#This Row],[daily_demand]]</f>
        <v>1.3370216689718764</v>
      </c>
      <c r="AB778">
        <f>WarehouseData[[#This Row],[stock_level]]*WarehouseData[[#This Row],[unit_price]]</f>
        <v>1335.16</v>
      </c>
      <c r="AC778">
        <f>WarehouseData[[#This Row],[stock_level]]*WarehouseData[[#This Row],[holding_cost_per_unit_day]]*30</f>
        <v>1722.6000000000001</v>
      </c>
      <c r="AD778" t="str">
        <f>IF(WarehouseData[[#This Row],[order_fulfillment_rate]]&gt;=0.9,"Strong",IF(WarehouseData[[#This Row],[order_fulfillment_rate]]&gt;=0.8,"Moderate","Needs Attention"))</f>
        <v>Moderate</v>
      </c>
      <c r="AE778" t="str">
        <f>IF(WarehouseData[[#This Row],[picking_time_seconds]]&gt;120,"Slow",IF(WarehouseData[[#This Row],[picking_time_seconds]]&gt;=60,"Average","Fast"))</f>
        <v>Slow</v>
      </c>
    </row>
    <row r="779" spans="1:31" x14ac:dyDescent="0.25">
      <c r="A779" t="s">
        <v>917</v>
      </c>
      <c r="B779" t="s">
        <v>36</v>
      </c>
      <c r="C779">
        <v>233</v>
      </c>
      <c r="D779">
        <v>74</v>
      </c>
      <c r="E779">
        <v>7</v>
      </c>
      <c r="F779">
        <v>6</v>
      </c>
      <c r="G779">
        <v>13.38</v>
      </c>
      <c r="H779">
        <v>9.06</v>
      </c>
      <c r="I779">
        <v>0.44</v>
      </c>
      <c r="J779" t="s">
        <v>150</v>
      </c>
      <c r="K779" t="s">
        <v>38</v>
      </c>
      <c r="L779">
        <v>30</v>
      </c>
      <c r="M779">
        <v>4.84</v>
      </c>
      <c r="N779">
        <v>189.87</v>
      </c>
      <c r="O779">
        <v>0.81</v>
      </c>
      <c r="P779">
        <v>3</v>
      </c>
      <c r="Q779">
        <v>0.7</v>
      </c>
      <c r="R779">
        <v>744</v>
      </c>
      <c r="S779">
        <v>8.69</v>
      </c>
      <c r="T779">
        <v>0.63</v>
      </c>
      <c r="U779" s="1">
        <v>45353</v>
      </c>
      <c r="V779">
        <v>192.23</v>
      </c>
      <c r="W779">
        <v>0.64100000000000001</v>
      </c>
      <c r="X779" t="str">
        <f>IF(WarehouseData[[#This Row],[stock_level]]&lt;=WarehouseData[[#This Row],[reorder_point]],"Low Stock","Sufficient Stock")</f>
        <v>Sufficient Stock</v>
      </c>
      <c r="Y779">
        <f>WarehouseData[[#This Row],[daily_demand]]*WarehouseData[[#This Row],[lead_time_days]]</f>
        <v>80.28</v>
      </c>
      <c r="Z779" t="str">
        <f>IF(WarehouseData[[#This Row],[stock_level]]&lt;=WarehouseData[[#This Row],[Demand During Lead Time]],"At Risk","Safe")</f>
        <v>Safe</v>
      </c>
      <c r="AA779">
        <f>WarehouseData[[#This Row],[stock_level]]/WarehouseData[[#This Row],[daily_demand]]</f>
        <v>17.414050822122569</v>
      </c>
      <c r="AB779">
        <f>WarehouseData[[#This Row],[stock_level]]*WarehouseData[[#This Row],[unit_price]]</f>
        <v>44239.71</v>
      </c>
      <c r="AC779">
        <f>WarehouseData[[#This Row],[stock_level]]*WarehouseData[[#This Row],[holding_cost_per_unit_day]]*30</f>
        <v>5661.9000000000005</v>
      </c>
      <c r="AD779" t="str">
        <f>IF(WarehouseData[[#This Row],[order_fulfillment_rate]]&gt;=0.9,"Strong",IF(WarehouseData[[#This Row],[order_fulfillment_rate]]&gt;=0.8,"Moderate","Needs Attention"))</f>
        <v>Needs Attention</v>
      </c>
      <c r="AE779" t="str">
        <f>IF(WarehouseData[[#This Row],[picking_time_seconds]]&gt;120,"Slow",IF(WarehouseData[[#This Row],[picking_time_seconds]]&gt;=60,"Average","Fast"))</f>
        <v>Fast</v>
      </c>
    </row>
    <row r="780" spans="1:31" x14ac:dyDescent="0.25">
      <c r="A780" t="s">
        <v>918</v>
      </c>
      <c r="B780" t="s">
        <v>40</v>
      </c>
      <c r="C780">
        <v>292</v>
      </c>
      <c r="D780">
        <v>40</v>
      </c>
      <c r="E780">
        <v>11</v>
      </c>
      <c r="F780">
        <v>5</v>
      </c>
      <c r="G780">
        <v>19.239999999999998</v>
      </c>
      <c r="H780">
        <v>5.64</v>
      </c>
      <c r="I780">
        <v>0.97</v>
      </c>
      <c r="J780" t="s">
        <v>137</v>
      </c>
      <c r="K780" t="s">
        <v>34</v>
      </c>
      <c r="L780">
        <v>87</v>
      </c>
      <c r="M780">
        <v>3.56</v>
      </c>
      <c r="N780">
        <v>141.53</v>
      </c>
      <c r="O780">
        <v>1.4</v>
      </c>
      <c r="P780">
        <v>9</v>
      </c>
      <c r="Q780">
        <v>0.71</v>
      </c>
      <c r="R780">
        <v>683</v>
      </c>
      <c r="S780">
        <v>5</v>
      </c>
      <c r="T780">
        <v>0.28999999999999998</v>
      </c>
      <c r="U780" s="1">
        <v>45508</v>
      </c>
      <c r="V780">
        <v>193.71</v>
      </c>
      <c r="W780">
        <v>0.34699999999999998</v>
      </c>
      <c r="X780" t="str">
        <f>IF(WarehouseData[[#This Row],[stock_level]]&lt;=WarehouseData[[#This Row],[reorder_point]],"Low Stock","Sufficient Stock")</f>
        <v>Sufficient Stock</v>
      </c>
      <c r="Y780">
        <f>WarehouseData[[#This Row],[daily_demand]]*WarehouseData[[#This Row],[lead_time_days]]</f>
        <v>96.199999999999989</v>
      </c>
      <c r="Z780" t="str">
        <f>IF(WarehouseData[[#This Row],[stock_level]]&lt;=WarehouseData[[#This Row],[Demand During Lead Time]],"At Risk","Safe")</f>
        <v>Safe</v>
      </c>
      <c r="AA780">
        <f>WarehouseData[[#This Row],[stock_level]]/WarehouseData[[#This Row],[daily_demand]]</f>
        <v>15.176715176715177</v>
      </c>
      <c r="AB780">
        <f>WarehouseData[[#This Row],[stock_level]]*WarehouseData[[#This Row],[unit_price]]</f>
        <v>41326.76</v>
      </c>
      <c r="AC780">
        <f>WarehouseData[[#This Row],[stock_level]]*WarehouseData[[#This Row],[holding_cost_per_unit_day]]*30</f>
        <v>12263.999999999998</v>
      </c>
      <c r="AD780" t="str">
        <f>IF(WarehouseData[[#This Row],[order_fulfillment_rate]]&gt;=0.9,"Strong",IF(WarehouseData[[#This Row],[order_fulfillment_rate]]&gt;=0.8,"Moderate","Needs Attention"))</f>
        <v>Needs Attention</v>
      </c>
      <c r="AE780" t="str">
        <f>IF(WarehouseData[[#This Row],[picking_time_seconds]]&gt;120,"Slow",IF(WarehouseData[[#This Row],[picking_time_seconds]]&gt;=60,"Average","Fast"))</f>
        <v>Average</v>
      </c>
    </row>
    <row r="781" spans="1:31" x14ac:dyDescent="0.25">
      <c r="A781" t="s">
        <v>919</v>
      </c>
      <c r="B781" t="s">
        <v>73</v>
      </c>
      <c r="C781">
        <v>343</v>
      </c>
      <c r="D781">
        <v>39</v>
      </c>
      <c r="E781">
        <v>13</v>
      </c>
      <c r="F781">
        <v>8</v>
      </c>
      <c r="G781">
        <v>6.3</v>
      </c>
      <c r="H781">
        <v>7.33</v>
      </c>
      <c r="I781">
        <v>0.39</v>
      </c>
      <c r="J781" t="s">
        <v>41</v>
      </c>
      <c r="K781" t="s">
        <v>38</v>
      </c>
      <c r="L781">
        <v>88</v>
      </c>
      <c r="M781">
        <v>4.92</v>
      </c>
      <c r="N781">
        <v>87.68</v>
      </c>
      <c r="O781">
        <v>1.28</v>
      </c>
      <c r="P781">
        <v>1</v>
      </c>
      <c r="Q781">
        <v>0.73</v>
      </c>
      <c r="R781">
        <v>293</v>
      </c>
      <c r="S781">
        <v>3.5</v>
      </c>
      <c r="T781">
        <v>0.88</v>
      </c>
      <c r="U781" s="1">
        <v>45647</v>
      </c>
      <c r="V781">
        <v>50.9</v>
      </c>
      <c r="W781">
        <v>0.621</v>
      </c>
      <c r="X781" t="str">
        <f>IF(WarehouseData[[#This Row],[stock_level]]&lt;=WarehouseData[[#This Row],[reorder_point]],"Low Stock","Sufficient Stock")</f>
        <v>Sufficient Stock</v>
      </c>
      <c r="Y781">
        <f>WarehouseData[[#This Row],[daily_demand]]*WarehouseData[[#This Row],[lead_time_days]]</f>
        <v>50.4</v>
      </c>
      <c r="Z781" t="str">
        <f>IF(WarehouseData[[#This Row],[stock_level]]&lt;=WarehouseData[[#This Row],[Demand During Lead Time]],"At Risk","Safe")</f>
        <v>Safe</v>
      </c>
      <c r="AA781">
        <f>WarehouseData[[#This Row],[stock_level]]/WarehouseData[[#This Row],[daily_demand]]</f>
        <v>54.444444444444443</v>
      </c>
      <c r="AB781">
        <f>WarehouseData[[#This Row],[stock_level]]*WarehouseData[[#This Row],[unit_price]]</f>
        <v>30074.240000000002</v>
      </c>
      <c r="AC781">
        <f>WarehouseData[[#This Row],[stock_level]]*WarehouseData[[#This Row],[holding_cost_per_unit_day]]*30</f>
        <v>13171.2</v>
      </c>
      <c r="AD781" t="str">
        <f>IF(WarehouseData[[#This Row],[order_fulfillment_rate]]&gt;=0.9,"Strong",IF(WarehouseData[[#This Row],[order_fulfillment_rate]]&gt;=0.8,"Moderate","Needs Attention"))</f>
        <v>Needs Attention</v>
      </c>
      <c r="AE781" t="str">
        <f>IF(WarehouseData[[#This Row],[picking_time_seconds]]&gt;120,"Slow",IF(WarehouseData[[#This Row],[picking_time_seconds]]&gt;=60,"Average","Fast"))</f>
        <v>Average</v>
      </c>
    </row>
    <row r="782" spans="1:31" x14ac:dyDescent="0.25">
      <c r="A782" t="s">
        <v>920</v>
      </c>
      <c r="B782" t="s">
        <v>48</v>
      </c>
      <c r="C782">
        <v>67</v>
      </c>
      <c r="D782">
        <v>27</v>
      </c>
      <c r="E782">
        <v>11</v>
      </c>
      <c r="F782">
        <v>4</v>
      </c>
      <c r="G782">
        <v>13.33</v>
      </c>
      <c r="H782">
        <v>2.64</v>
      </c>
      <c r="I782">
        <v>0.99</v>
      </c>
      <c r="J782" t="s">
        <v>236</v>
      </c>
      <c r="K782" t="s">
        <v>34</v>
      </c>
      <c r="L782">
        <v>60</v>
      </c>
      <c r="M782">
        <v>2.9</v>
      </c>
      <c r="N782">
        <v>150.53</v>
      </c>
      <c r="O782">
        <v>1.31</v>
      </c>
      <c r="P782">
        <v>9</v>
      </c>
      <c r="Q782">
        <v>0.91</v>
      </c>
      <c r="R782">
        <v>943</v>
      </c>
      <c r="S782">
        <v>1.38</v>
      </c>
      <c r="T782">
        <v>0.9</v>
      </c>
      <c r="U782" s="1">
        <v>45359</v>
      </c>
      <c r="V782">
        <v>296.44</v>
      </c>
      <c r="W782">
        <v>0.46899999999999997</v>
      </c>
      <c r="X782" t="str">
        <f>IF(WarehouseData[[#This Row],[stock_level]]&lt;=WarehouseData[[#This Row],[reorder_point]],"Low Stock","Sufficient Stock")</f>
        <v>Sufficient Stock</v>
      </c>
      <c r="Y782">
        <f>WarehouseData[[#This Row],[daily_demand]]*WarehouseData[[#This Row],[lead_time_days]]</f>
        <v>53.32</v>
      </c>
      <c r="Z782" t="str">
        <f>IF(WarehouseData[[#This Row],[stock_level]]&lt;=WarehouseData[[#This Row],[Demand During Lead Time]],"At Risk","Safe")</f>
        <v>Safe</v>
      </c>
      <c r="AA782">
        <f>WarehouseData[[#This Row],[stock_level]]/WarehouseData[[#This Row],[daily_demand]]</f>
        <v>5.0262565641410353</v>
      </c>
      <c r="AB782">
        <f>WarehouseData[[#This Row],[stock_level]]*WarehouseData[[#This Row],[unit_price]]</f>
        <v>10085.51</v>
      </c>
      <c r="AC782">
        <f>WarehouseData[[#This Row],[stock_level]]*WarehouseData[[#This Row],[holding_cost_per_unit_day]]*30</f>
        <v>2633.1000000000004</v>
      </c>
      <c r="AD782" t="str">
        <f>IF(WarehouseData[[#This Row],[order_fulfillment_rate]]&gt;=0.9,"Strong",IF(WarehouseData[[#This Row],[order_fulfillment_rate]]&gt;=0.8,"Moderate","Needs Attention"))</f>
        <v>Strong</v>
      </c>
      <c r="AE782" t="str">
        <f>IF(WarehouseData[[#This Row],[picking_time_seconds]]&gt;120,"Slow",IF(WarehouseData[[#This Row],[picking_time_seconds]]&gt;=60,"Average","Fast"))</f>
        <v>Average</v>
      </c>
    </row>
    <row r="783" spans="1:31" x14ac:dyDescent="0.25">
      <c r="A783" t="s">
        <v>921</v>
      </c>
      <c r="B783" t="s">
        <v>73</v>
      </c>
      <c r="C783">
        <v>455</v>
      </c>
      <c r="D783">
        <v>26</v>
      </c>
      <c r="E783">
        <v>4</v>
      </c>
      <c r="F783">
        <v>2</v>
      </c>
      <c r="G783">
        <v>14.33</v>
      </c>
      <c r="H783">
        <v>2.08</v>
      </c>
      <c r="I783">
        <v>0.28000000000000003</v>
      </c>
      <c r="J783" t="s">
        <v>66</v>
      </c>
      <c r="K783" t="s">
        <v>52</v>
      </c>
      <c r="L783">
        <v>115</v>
      </c>
      <c r="M783">
        <v>1.41</v>
      </c>
      <c r="N783">
        <v>181.03</v>
      </c>
      <c r="O783">
        <v>1.5</v>
      </c>
      <c r="P783">
        <v>8</v>
      </c>
      <c r="Q783">
        <v>0.85</v>
      </c>
      <c r="R783">
        <v>253</v>
      </c>
      <c r="S783">
        <v>9.73</v>
      </c>
      <c r="T783">
        <v>0.56000000000000005</v>
      </c>
      <c r="U783" s="1">
        <v>45536</v>
      </c>
      <c r="V783">
        <v>30.52</v>
      </c>
      <c r="W783">
        <v>0.502</v>
      </c>
      <c r="X783" t="str">
        <f>IF(WarehouseData[[#This Row],[stock_level]]&lt;=WarehouseData[[#This Row],[reorder_point]],"Low Stock","Sufficient Stock")</f>
        <v>Sufficient Stock</v>
      </c>
      <c r="Y783">
        <f>WarehouseData[[#This Row],[daily_demand]]*WarehouseData[[#This Row],[lead_time_days]]</f>
        <v>28.66</v>
      </c>
      <c r="Z783" t="str">
        <f>IF(WarehouseData[[#This Row],[stock_level]]&lt;=WarehouseData[[#This Row],[Demand During Lead Time]],"At Risk","Safe")</f>
        <v>Safe</v>
      </c>
      <c r="AA783">
        <f>WarehouseData[[#This Row],[stock_level]]/WarehouseData[[#This Row],[daily_demand]]</f>
        <v>31.751570132588974</v>
      </c>
      <c r="AB783">
        <f>WarehouseData[[#This Row],[stock_level]]*WarehouseData[[#This Row],[unit_price]]</f>
        <v>82368.649999999994</v>
      </c>
      <c r="AC783">
        <f>WarehouseData[[#This Row],[stock_level]]*WarehouseData[[#This Row],[holding_cost_per_unit_day]]*30</f>
        <v>20475</v>
      </c>
      <c r="AD783" t="str">
        <f>IF(WarehouseData[[#This Row],[order_fulfillment_rate]]&gt;=0.9,"Strong",IF(WarehouseData[[#This Row],[order_fulfillment_rate]]&gt;=0.8,"Moderate","Needs Attention"))</f>
        <v>Moderate</v>
      </c>
      <c r="AE783" t="str">
        <f>IF(WarehouseData[[#This Row],[picking_time_seconds]]&gt;120,"Slow",IF(WarehouseData[[#This Row],[picking_time_seconds]]&gt;=60,"Average","Fast"))</f>
        <v>Average</v>
      </c>
    </row>
    <row r="784" spans="1:31" x14ac:dyDescent="0.25">
      <c r="A784" t="s">
        <v>922</v>
      </c>
      <c r="B784" t="s">
        <v>73</v>
      </c>
      <c r="C784">
        <v>130</v>
      </c>
      <c r="D784">
        <v>47</v>
      </c>
      <c r="E784">
        <v>11</v>
      </c>
      <c r="F784">
        <v>8</v>
      </c>
      <c r="G784">
        <v>36.31</v>
      </c>
      <c r="H784">
        <v>8.43</v>
      </c>
      <c r="I784">
        <v>0.19</v>
      </c>
      <c r="J784" t="s">
        <v>228</v>
      </c>
      <c r="K784" t="s">
        <v>38</v>
      </c>
      <c r="L784">
        <v>114</v>
      </c>
      <c r="M784">
        <v>2.5</v>
      </c>
      <c r="N784">
        <v>44.23</v>
      </c>
      <c r="O784">
        <v>0.36</v>
      </c>
      <c r="P784">
        <v>1</v>
      </c>
      <c r="Q784">
        <v>0.76</v>
      </c>
      <c r="R784">
        <v>640</v>
      </c>
      <c r="S784">
        <v>8.81</v>
      </c>
      <c r="T784">
        <v>0.22</v>
      </c>
      <c r="U784" s="1">
        <v>45328</v>
      </c>
      <c r="V784">
        <v>295.83</v>
      </c>
      <c r="W784">
        <v>0.65700000000000003</v>
      </c>
      <c r="X784" t="str">
        <f>IF(WarehouseData[[#This Row],[stock_level]]&lt;=WarehouseData[[#This Row],[reorder_point]],"Low Stock","Sufficient Stock")</f>
        <v>Sufficient Stock</v>
      </c>
      <c r="Y784">
        <f>WarehouseData[[#This Row],[daily_demand]]*WarehouseData[[#This Row],[lead_time_days]]</f>
        <v>290.48</v>
      </c>
      <c r="Z784" t="str">
        <f>IF(WarehouseData[[#This Row],[stock_level]]&lt;=WarehouseData[[#This Row],[Demand During Lead Time]],"At Risk","Safe")</f>
        <v>At Risk</v>
      </c>
      <c r="AA784">
        <f>WarehouseData[[#This Row],[stock_level]]/WarehouseData[[#This Row],[daily_demand]]</f>
        <v>3.580280914348664</v>
      </c>
      <c r="AB784">
        <f>WarehouseData[[#This Row],[stock_level]]*WarehouseData[[#This Row],[unit_price]]</f>
        <v>5749.9</v>
      </c>
      <c r="AC784">
        <f>WarehouseData[[#This Row],[stock_level]]*WarehouseData[[#This Row],[holding_cost_per_unit_day]]*30</f>
        <v>1404</v>
      </c>
      <c r="AD784" t="str">
        <f>IF(WarehouseData[[#This Row],[order_fulfillment_rate]]&gt;=0.9,"Strong",IF(WarehouseData[[#This Row],[order_fulfillment_rate]]&gt;=0.8,"Moderate","Needs Attention"))</f>
        <v>Needs Attention</v>
      </c>
      <c r="AE784" t="str">
        <f>IF(WarehouseData[[#This Row],[picking_time_seconds]]&gt;120,"Slow",IF(WarehouseData[[#This Row],[picking_time_seconds]]&gt;=60,"Average","Fast"))</f>
        <v>Average</v>
      </c>
    </row>
    <row r="785" spans="1:31" x14ac:dyDescent="0.25">
      <c r="A785" t="s">
        <v>923</v>
      </c>
      <c r="B785" t="s">
        <v>40</v>
      </c>
      <c r="C785">
        <v>172</v>
      </c>
      <c r="D785">
        <v>23</v>
      </c>
      <c r="E785">
        <v>5</v>
      </c>
      <c r="F785">
        <v>3</v>
      </c>
      <c r="G785">
        <v>3.38</v>
      </c>
      <c r="H785">
        <v>3.91</v>
      </c>
      <c r="I785">
        <v>0.38</v>
      </c>
      <c r="J785" t="s">
        <v>163</v>
      </c>
      <c r="K785" t="s">
        <v>38</v>
      </c>
      <c r="L785">
        <v>19</v>
      </c>
      <c r="M785">
        <v>4.91</v>
      </c>
      <c r="N785">
        <v>47.24</v>
      </c>
      <c r="O785">
        <v>1.1399999999999999</v>
      </c>
      <c r="P785">
        <v>8</v>
      </c>
      <c r="Q785">
        <v>0.88</v>
      </c>
      <c r="R785">
        <v>65</v>
      </c>
      <c r="S785">
        <v>7.46</v>
      </c>
      <c r="T785">
        <v>0.22</v>
      </c>
      <c r="U785" s="1">
        <v>45409</v>
      </c>
      <c r="V785">
        <v>274.06</v>
      </c>
      <c r="W785">
        <v>0.44500000000000001</v>
      </c>
      <c r="X785" t="str">
        <f>IF(WarehouseData[[#This Row],[stock_level]]&lt;=WarehouseData[[#This Row],[reorder_point]],"Low Stock","Sufficient Stock")</f>
        <v>Sufficient Stock</v>
      </c>
      <c r="Y785">
        <f>WarehouseData[[#This Row],[daily_demand]]*WarehouseData[[#This Row],[lead_time_days]]</f>
        <v>10.14</v>
      </c>
      <c r="Z785" t="str">
        <f>IF(WarehouseData[[#This Row],[stock_level]]&lt;=WarehouseData[[#This Row],[Demand During Lead Time]],"At Risk","Safe")</f>
        <v>Safe</v>
      </c>
      <c r="AA785">
        <f>WarehouseData[[#This Row],[stock_level]]/WarehouseData[[#This Row],[daily_demand]]</f>
        <v>50.887573964497044</v>
      </c>
      <c r="AB785">
        <f>WarehouseData[[#This Row],[stock_level]]*WarehouseData[[#This Row],[unit_price]]</f>
        <v>8125.2800000000007</v>
      </c>
      <c r="AC785">
        <f>WarehouseData[[#This Row],[stock_level]]*WarehouseData[[#This Row],[holding_cost_per_unit_day]]*30</f>
        <v>5882.4</v>
      </c>
      <c r="AD785" t="str">
        <f>IF(WarehouseData[[#This Row],[order_fulfillment_rate]]&gt;=0.9,"Strong",IF(WarehouseData[[#This Row],[order_fulfillment_rate]]&gt;=0.8,"Moderate","Needs Attention"))</f>
        <v>Moderate</v>
      </c>
      <c r="AE785" t="str">
        <f>IF(WarehouseData[[#This Row],[picking_time_seconds]]&gt;120,"Slow",IF(WarehouseData[[#This Row],[picking_time_seconds]]&gt;=60,"Average","Fast"))</f>
        <v>Fast</v>
      </c>
    </row>
    <row r="786" spans="1:31" x14ac:dyDescent="0.25">
      <c r="A786" t="s">
        <v>924</v>
      </c>
      <c r="B786" t="s">
        <v>36</v>
      </c>
      <c r="C786">
        <v>142</v>
      </c>
      <c r="D786">
        <v>96</v>
      </c>
      <c r="E786">
        <v>6</v>
      </c>
      <c r="F786">
        <v>2</v>
      </c>
      <c r="G786">
        <v>32.909999999999997</v>
      </c>
      <c r="H786">
        <v>4.82</v>
      </c>
      <c r="I786">
        <v>0.9</v>
      </c>
      <c r="J786" t="s">
        <v>41</v>
      </c>
      <c r="K786" t="s">
        <v>52</v>
      </c>
      <c r="L786">
        <v>125</v>
      </c>
      <c r="M786">
        <v>2.17</v>
      </c>
      <c r="N786">
        <v>87.66</v>
      </c>
      <c r="O786">
        <v>1.07</v>
      </c>
      <c r="P786">
        <v>0</v>
      </c>
      <c r="Q786">
        <v>0.86</v>
      </c>
      <c r="R786">
        <v>175</v>
      </c>
      <c r="S786">
        <v>3.71</v>
      </c>
      <c r="T786">
        <v>0.48</v>
      </c>
      <c r="U786" s="1">
        <v>45488</v>
      </c>
      <c r="V786">
        <v>258.36</v>
      </c>
      <c r="W786">
        <v>0.61</v>
      </c>
      <c r="X786" t="str">
        <f>IF(WarehouseData[[#This Row],[stock_level]]&lt;=WarehouseData[[#This Row],[reorder_point]],"Low Stock","Sufficient Stock")</f>
        <v>Sufficient Stock</v>
      </c>
      <c r="Y786">
        <f>WarehouseData[[#This Row],[daily_demand]]*WarehouseData[[#This Row],[lead_time_days]]</f>
        <v>65.819999999999993</v>
      </c>
      <c r="Z786" t="str">
        <f>IF(WarehouseData[[#This Row],[stock_level]]&lt;=WarehouseData[[#This Row],[Demand During Lead Time]],"At Risk","Safe")</f>
        <v>Safe</v>
      </c>
      <c r="AA786">
        <f>WarehouseData[[#This Row],[stock_level]]/WarehouseData[[#This Row],[daily_demand]]</f>
        <v>4.3147979337587365</v>
      </c>
      <c r="AB786">
        <f>WarehouseData[[#This Row],[stock_level]]*WarehouseData[[#This Row],[unit_price]]</f>
        <v>12447.72</v>
      </c>
      <c r="AC786">
        <f>WarehouseData[[#This Row],[stock_level]]*WarehouseData[[#This Row],[holding_cost_per_unit_day]]*30</f>
        <v>4558.2</v>
      </c>
      <c r="AD786" t="str">
        <f>IF(WarehouseData[[#This Row],[order_fulfillment_rate]]&gt;=0.9,"Strong",IF(WarehouseData[[#This Row],[order_fulfillment_rate]]&gt;=0.8,"Moderate","Needs Attention"))</f>
        <v>Moderate</v>
      </c>
      <c r="AE786" t="str">
        <f>IF(WarehouseData[[#This Row],[picking_time_seconds]]&gt;120,"Slow",IF(WarehouseData[[#This Row],[picking_time_seconds]]&gt;=60,"Average","Fast"))</f>
        <v>Slow</v>
      </c>
    </row>
    <row r="787" spans="1:31" x14ac:dyDescent="0.25">
      <c r="A787" t="s">
        <v>925</v>
      </c>
      <c r="B787" t="s">
        <v>73</v>
      </c>
      <c r="C787">
        <v>424</v>
      </c>
      <c r="D787">
        <v>98</v>
      </c>
      <c r="E787">
        <v>3</v>
      </c>
      <c r="F787">
        <v>4</v>
      </c>
      <c r="G787">
        <v>11.85</v>
      </c>
      <c r="H787">
        <v>0.77</v>
      </c>
      <c r="I787">
        <v>0.56999999999999995</v>
      </c>
      <c r="J787" t="s">
        <v>142</v>
      </c>
      <c r="K787" t="s">
        <v>46</v>
      </c>
      <c r="L787">
        <v>64</v>
      </c>
      <c r="M787">
        <v>4.8099999999999996</v>
      </c>
      <c r="N787">
        <v>42.15</v>
      </c>
      <c r="O787">
        <v>0.75</v>
      </c>
      <c r="P787">
        <v>6</v>
      </c>
      <c r="Q787">
        <v>0.73</v>
      </c>
      <c r="R787">
        <v>648</v>
      </c>
      <c r="S787">
        <v>4.3099999999999996</v>
      </c>
      <c r="T787">
        <v>0.77</v>
      </c>
      <c r="U787" s="1">
        <v>45337</v>
      </c>
      <c r="V787">
        <v>205.34</v>
      </c>
      <c r="W787">
        <v>0.56200000000000006</v>
      </c>
      <c r="X787" t="str">
        <f>IF(WarehouseData[[#This Row],[stock_level]]&lt;=WarehouseData[[#This Row],[reorder_point]],"Low Stock","Sufficient Stock")</f>
        <v>Sufficient Stock</v>
      </c>
      <c r="Y787">
        <f>WarehouseData[[#This Row],[daily_demand]]*WarehouseData[[#This Row],[lead_time_days]]</f>
        <v>47.4</v>
      </c>
      <c r="Z787" t="str">
        <f>IF(WarehouseData[[#This Row],[stock_level]]&lt;=WarehouseData[[#This Row],[Demand During Lead Time]],"At Risk","Safe")</f>
        <v>Safe</v>
      </c>
      <c r="AA787">
        <f>WarehouseData[[#This Row],[stock_level]]/WarehouseData[[#This Row],[daily_demand]]</f>
        <v>35.780590717299582</v>
      </c>
      <c r="AB787">
        <f>WarehouseData[[#This Row],[stock_level]]*WarehouseData[[#This Row],[unit_price]]</f>
        <v>17871.599999999999</v>
      </c>
      <c r="AC787">
        <f>WarehouseData[[#This Row],[stock_level]]*WarehouseData[[#This Row],[holding_cost_per_unit_day]]*30</f>
        <v>9540</v>
      </c>
      <c r="AD787" t="str">
        <f>IF(WarehouseData[[#This Row],[order_fulfillment_rate]]&gt;=0.9,"Strong",IF(WarehouseData[[#This Row],[order_fulfillment_rate]]&gt;=0.8,"Moderate","Needs Attention"))</f>
        <v>Needs Attention</v>
      </c>
      <c r="AE787" t="str">
        <f>IF(WarehouseData[[#This Row],[picking_time_seconds]]&gt;120,"Slow",IF(WarehouseData[[#This Row],[picking_time_seconds]]&gt;=60,"Average","Fast"))</f>
        <v>Average</v>
      </c>
    </row>
    <row r="788" spans="1:31" x14ac:dyDescent="0.25">
      <c r="A788" t="s">
        <v>926</v>
      </c>
      <c r="B788" t="s">
        <v>48</v>
      </c>
      <c r="C788">
        <v>376</v>
      </c>
      <c r="D788">
        <v>88</v>
      </c>
      <c r="E788">
        <v>3</v>
      </c>
      <c r="F788">
        <v>6</v>
      </c>
      <c r="G788">
        <v>5.01</v>
      </c>
      <c r="H788">
        <v>4.17</v>
      </c>
      <c r="I788">
        <v>0.22</v>
      </c>
      <c r="J788" t="s">
        <v>190</v>
      </c>
      <c r="K788" t="s">
        <v>46</v>
      </c>
      <c r="L788">
        <v>45</v>
      </c>
      <c r="M788">
        <v>4.09</v>
      </c>
      <c r="N788">
        <v>78.48</v>
      </c>
      <c r="O788">
        <v>0.93</v>
      </c>
      <c r="P788">
        <v>5</v>
      </c>
      <c r="Q788">
        <v>0.89</v>
      </c>
      <c r="R788">
        <v>515</v>
      </c>
      <c r="S788">
        <v>14.42</v>
      </c>
      <c r="T788">
        <v>0.46</v>
      </c>
      <c r="U788" s="1">
        <v>45344</v>
      </c>
      <c r="V788">
        <v>186.57</v>
      </c>
      <c r="W788">
        <v>0.66900000000000004</v>
      </c>
      <c r="X788" t="str">
        <f>IF(WarehouseData[[#This Row],[stock_level]]&lt;=WarehouseData[[#This Row],[reorder_point]],"Low Stock","Sufficient Stock")</f>
        <v>Sufficient Stock</v>
      </c>
      <c r="Y788">
        <f>WarehouseData[[#This Row],[daily_demand]]*WarehouseData[[#This Row],[lead_time_days]]</f>
        <v>30.06</v>
      </c>
      <c r="Z788" t="str">
        <f>IF(WarehouseData[[#This Row],[stock_level]]&lt;=WarehouseData[[#This Row],[Demand During Lead Time]],"At Risk","Safe")</f>
        <v>Safe</v>
      </c>
      <c r="AA788">
        <f>WarehouseData[[#This Row],[stock_level]]/WarehouseData[[#This Row],[daily_demand]]</f>
        <v>75.049900199600799</v>
      </c>
      <c r="AB788">
        <f>WarehouseData[[#This Row],[stock_level]]*WarehouseData[[#This Row],[unit_price]]</f>
        <v>29508.480000000003</v>
      </c>
      <c r="AC788">
        <f>WarehouseData[[#This Row],[stock_level]]*WarehouseData[[#This Row],[holding_cost_per_unit_day]]*30</f>
        <v>10490.4</v>
      </c>
      <c r="AD788" t="str">
        <f>IF(WarehouseData[[#This Row],[order_fulfillment_rate]]&gt;=0.9,"Strong",IF(WarehouseData[[#This Row],[order_fulfillment_rate]]&gt;=0.8,"Moderate","Needs Attention"))</f>
        <v>Moderate</v>
      </c>
      <c r="AE788" t="str">
        <f>IF(WarehouseData[[#This Row],[picking_time_seconds]]&gt;120,"Slow",IF(WarehouseData[[#This Row],[picking_time_seconds]]&gt;=60,"Average","Fast"))</f>
        <v>Fast</v>
      </c>
    </row>
    <row r="789" spans="1:31" x14ac:dyDescent="0.25">
      <c r="A789" t="s">
        <v>927</v>
      </c>
      <c r="B789" t="s">
        <v>32</v>
      </c>
      <c r="C789">
        <v>121</v>
      </c>
      <c r="D789">
        <v>65</v>
      </c>
      <c r="E789">
        <v>3</v>
      </c>
      <c r="F789">
        <v>6</v>
      </c>
      <c r="G789">
        <v>15.74</v>
      </c>
      <c r="H789">
        <v>7.82</v>
      </c>
      <c r="I789">
        <v>0.28000000000000003</v>
      </c>
      <c r="J789" t="s">
        <v>68</v>
      </c>
      <c r="K789" t="s">
        <v>52</v>
      </c>
      <c r="L789">
        <v>60</v>
      </c>
      <c r="M789">
        <v>2.4900000000000002</v>
      </c>
      <c r="N789">
        <v>132.68</v>
      </c>
      <c r="O789">
        <v>1.0900000000000001</v>
      </c>
      <c r="P789">
        <v>5</v>
      </c>
      <c r="Q789">
        <v>0.93</v>
      </c>
      <c r="R789">
        <v>839</v>
      </c>
      <c r="S789">
        <v>1.29</v>
      </c>
      <c r="T789">
        <v>0.21</v>
      </c>
      <c r="U789" s="1">
        <v>45344</v>
      </c>
      <c r="V789">
        <v>299.02</v>
      </c>
      <c r="W789">
        <v>0.436</v>
      </c>
      <c r="X789" t="str">
        <f>IF(WarehouseData[[#This Row],[stock_level]]&lt;=WarehouseData[[#This Row],[reorder_point]],"Low Stock","Sufficient Stock")</f>
        <v>Sufficient Stock</v>
      </c>
      <c r="Y789">
        <f>WarehouseData[[#This Row],[daily_demand]]*WarehouseData[[#This Row],[lead_time_days]]</f>
        <v>94.44</v>
      </c>
      <c r="Z789" t="str">
        <f>IF(WarehouseData[[#This Row],[stock_level]]&lt;=WarehouseData[[#This Row],[Demand During Lead Time]],"At Risk","Safe")</f>
        <v>Safe</v>
      </c>
      <c r="AA789">
        <f>WarehouseData[[#This Row],[stock_level]]/WarehouseData[[#This Row],[daily_demand]]</f>
        <v>7.6874205844980938</v>
      </c>
      <c r="AB789">
        <f>WarehouseData[[#This Row],[stock_level]]*WarehouseData[[#This Row],[unit_price]]</f>
        <v>16054.28</v>
      </c>
      <c r="AC789">
        <f>WarehouseData[[#This Row],[stock_level]]*WarehouseData[[#This Row],[holding_cost_per_unit_day]]*30</f>
        <v>3956.7000000000003</v>
      </c>
      <c r="AD789" t="str">
        <f>IF(WarehouseData[[#This Row],[order_fulfillment_rate]]&gt;=0.9,"Strong",IF(WarehouseData[[#This Row],[order_fulfillment_rate]]&gt;=0.8,"Moderate","Needs Attention"))</f>
        <v>Strong</v>
      </c>
      <c r="AE789" t="str">
        <f>IF(WarehouseData[[#This Row],[picking_time_seconds]]&gt;120,"Slow",IF(WarehouseData[[#This Row],[picking_time_seconds]]&gt;=60,"Average","Fast"))</f>
        <v>Average</v>
      </c>
    </row>
    <row r="790" spans="1:31" x14ac:dyDescent="0.25">
      <c r="A790" t="s">
        <v>928</v>
      </c>
      <c r="B790" t="s">
        <v>73</v>
      </c>
      <c r="C790">
        <v>260</v>
      </c>
      <c r="D790">
        <v>31</v>
      </c>
      <c r="E790">
        <v>11</v>
      </c>
      <c r="F790">
        <v>4</v>
      </c>
      <c r="G790">
        <v>12</v>
      </c>
      <c r="H790">
        <v>8.3000000000000007</v>
      </c>
      <c r="I790">
        <v>0.38</v>
      </c>
      <c r="J790" t="s">
        <v>54</v>
      </c>
      <c r="K790" t="s">
        <v>38</v>
      </c>
      <c r="L790">
        <v>83</v>
      </c>
      <c r="M790">
        <v>2.94</v>
      </c>
      <c r="N790">
        <v>164.44</v>
      </c>
      <c r="O790">
        <v>0.71</v>
      </c>
      <c r="P790">
        <v>1</v>
      </c>
      <c r="Q790">
        <v>0.79</v>
      </c>
      <c r="R790">
        <v>927</v>
      </c>
      <c r="S790">
        <v>6.09</v>
      </c>
      <c r="T790">
        <v>0.88</v>
      </c>
      <c r="U790" s="1">
        <v>45452</v>
      </c>
      <c r="V790">
        <v>292.45999999999998</v>
      </c>
      <c r="W790">
        <v>0.72399999999999998</v>
      </c>
      <c r="X790" t="str">
        <f>IF(WarehouseData[[#This Row],[stock_level]]&lt;=WarehouseData[[#This Row],[reorder_point]],"Low Stock","Sufficient Stock")</f>
        <v>Sufficient Stock</v>
      </c>
      <c r="Y790">
        <f>WarehouseData[[#This Row],[daily_demand]]*WarehouseData[[#This Row],[lead_time_days]]</f>
        <v>48</v>
      </c>
      <c r="Z790" t="str">
        <f>IF(WarehouseData[[#This Row],[stock_level]]&lt;=WarehouseData[[#This Row],[Demand During Lead Time]],"At Risk","Safe")</f>
        <v>Safe</v>
      </c>
      <c r="AA790">
        <f>WarehouseData[[#This Row],[stock_level]]/WarehouseData[[#This Row],[daily_demand]]</f>
        <v>21.666666666666668</v>
      </c>
      <c r="AB790">
        <f>WarehouseData[[#This Row],[stock_level]]*WarehouseData[[#This Row],[unit_price]]</f>
        <v>42754.400000000001</v>
      </c>
      <c r="AC790">
        <f>WarehouseData[[#This Row],[stock_level]]*WarehouseData[[#This Row],[holding_cost_per_unit_day]]*30</f>
        <v>5538</v>
      </c>
      <c r="AD790" t="str">
        <f>IF(WarehouseData[[#This Row],[order_fulfillment_rate]]&gt;=0.9,"Strong",IF(WarehouseData[[#This Row],[order_fulfillment_rate]]&gt;=0.8,"Moderate","Needs Attention"))</f>
        <v>Needs Attention</v>
      </c>
      <c r="AE790" t="str">
        <f>IF(WarehouseData[[#This Row],[picking_time_seconds]]&gt;120,"Slow",IF(WarehouseData[[#This Row],[picking_time_seconds]]&gt;=60,"Average","Fast"))</f>
        <v>Average</v>
      </c>
    </row>
    <row r="791" spans="1:31" x14ac:dyDescent="0.25">
      <c r="A791" t="s">
        <v>929</v>
      </c>
      <c r="B791" t="s">
        <v>73</v>
      </c>
      <c r="C791">
        <v>340</v>
      </c>
      <c r="D791">
        <v>76</v>
      </c>
      <c r="E791">
        <v>13</v>
      </c>
      <c r="F791">
        <v>7</v>
      </c>
      <c r="G791">
        <v>28.05</v>
      </c>
      <c r="H791">
        <v>7.14</v>
      </c>
      <c r="I791">
        <v>0.63</v>
      </c>
      <c r="J791" t="s">
        <v>202</v>
      </c>
      <c r="K791" t="s">
        <v>38</v>
      </c>
      <c r="L791">
        <v>26</v>
      </c>
      <c r="M791">
        <v>3.23</v>
      </c>
      <c r="N791">
        <v>67.37</v>
      </c>
      <c r="O791">
        <v>0.66</v>
      </c>
      <c r="P791">
        <v>0</v>
      </c>
      <c r="Q791">
        <v>0.91</v>
      </c>
      <c r="R791">
        <v>477</v>
      </c>
      <c r="S791">
        <v>1.54</v>
      </c>
      <c r="T791">
        <v>0.97</v>
      </c>
      <c r="U791" s="1">
        <v>45480</v>
      </c>
      <c r="V791">
        <v>245.43</v>
      </c>
      <c r="W791">
        <v>0.73099999999999998</v>
      </c>
      <c r="X791" t="str">
        <f>IF(WarehouseData[[#This Row],[stock_level]]&lt;=WarehouseData[[#This Row],[reorder_point]],"Low Stock","Sufficient Stock")</f>
        <v>Sufficient Stock</v>
      </c>
      <c r="Y791">
        <f>WarehouseData[[#This Row],[daily_demand]]*WarehouseData[[#This Row],[lead_time_days]]</f>
        <v>196.35</v>
      </c>
      <c r="Z791" t="str">
        <f>IF(WarehouseData[[#This Row],[stock_level]]&lt;=WarehouseData[[#This Row],[Demand During Lead Time]],"At Risk","Safe")</f>
        <v>Safe</v>
      </c>
      <c r="AA791">
        <f>WarehouseData[[#This Row],[stock_level]]/WarehouseData[[#This Row],[daily_demand]]</f>
        <v>12.121212121212121</v>
      </c>
      <c r="AB791">
        <f>WarehouseData[[#This Row],[stock_level]]*WarehouseData[[#This Row],[unit_price]]</f>
        <v>22905.800000000003</v>
      </c>
      <c r="AC791">
        <f>WarehouseData[[#This Row],[stock_level]]*WarehouseData[[#This Row],[holding_cost_per_unit_day]]*30</f>
        <v>6732</v>
      </c>
      <c r="AD791" t="str">
        <f>IF(WarehouseData[[#This Row],[order_fulfillment_rate]]&gt;=0.9,"Strong",IF(WarehouseData[[#This Row],[order_fulfillment_rate]]&gt;=0.8,"Moderate","Needs Attention"))</f>
        <v>Strong</v>
      </c>
      <c r="AE791" t="str">
        <f>IF(WarehouseData[[#This Row],[picking_time_seconds]]&gt;120,"Slow",IF(WarehouseData[[#This Row],[picking_time_seconds]]&gt;=60,"Average","Fast"))</f>
        <v>Fast</v>
      </c>
    </row>
    <row r="792" spans="1:31" x14ac:dyDescent="0.25">
      <c r="A792" t="s">
        <v>930</v>
      </c>
      <c r="B792" t="s">
        <v>40</v>
      </c>
      <c r="C792">
        <v>210</v>
      </c>
      <c r="D792">
        <v>65</v>
      </c>
      <c r="E792">
        <v>10</v>
      </c>
      <c r="F792">
        <v>4</v>
      </c>
      <c r="G792">
        <v>18.510000000000002</v>
      </c>
      <c r="H792">
        <v>7.08</v>
      </c>
      <c r="I792">
        <v>0.4</v>
      </c>
      <c r="J792" t="s">
        <v>447</v>
      </c>
      <c r="K792" t="s">
        <v>38</v>
      </c>
      <c r="L792">
        <v>70</v>
      </c>
      <c r="M792">
        <v>3.5</v>
      </c>
      <c r="N792">
        <v>63.53</v>
      </c>
      <c r="O792">
        <v>1.5</v>
      </c>
      <c r="P792">
        <v>9</v>
      </c>
      <c r="Q792">
        <v>0.76</v>
      </c>
      <c r="R792">
        <v>400</v>
      </c>
      <c r="S792">
        <v>3.68</v>
      </c>
      <c r="T792">
        <v>0.48</v>
      </c>
      <c r="U792" s="1">
        <v>45445</v>
      </c>
      <c r="V792">
        <v>35.19</v>
      </c>
      <c r="W792">
        <v>0.36699999999999999</v>
      </c>
      <c r="X792" t="str">
        <f>IF(WarehouseData[[#This Row],[stock_level]]&lt;=WarehouseData[[#This Row],[reorder_point]],"Low Stock","Sufficient Stock")</f>
        <v>Sufficient Stock</v>
      </c>
      <c r="Y792">
        <f>WarehouseData[[#This Row],[daily_demand]]*WarehouseData[[#This Row],[lead_time_days]]</f>
        <v>74.040000000000006</v>
      </c>
      <c r="Z792" t="str">
        <f>IF(WarehouseData[[#This Row],[stock_level]]&lt;=WarehouseData[[#This Row],[Demand During Lead Time]],"At Risk","Safe")</f>
        <v>Safe</v>
      </c>
      <c r="AA792">
        <f>WarehouseData[[#This Row],[stock_level]]/WarehouseData[[#This Row],[daily_demand]]</f>
        <v>11.345218800648297</v>
      </c>
      <c r="AB792">
        <f>WarehouseData[[#This Row],[stock_level]]*WarehouseData[[#This Row],[unit_price]]</f>
        <v>13341.300000000001</v>
      </c>
      <c r="AC792">
        <f>WarehouseData[[#This Row],[stock_level]]*WarehouseData[[#This Row],[holding_cost_per_unit_day]]*30</f>
        <v>9450</v>
      </c>
      <c r="AD792" t="str">
        <f>IF(WarehouseData[[#This Row],[order_fulfillment_rate]]&gt;=0.9,"Strong",IF(WarehouseData[[#This Row],[order_fulfillment_rate]]&gt;=0.8,"Moderate","Needs Attention"))</f>
        <v>Needs Attention</v>
      </c>
      <c r="AE792" t="str">
        <f>IF(WarehouseData[[#This Row],[picking_time_seconds]]&gt;120,"Slow",IF(WarehouseData[[#This Row],[picking_time_seconds]]&gt;=60,"Average","Fast"))</f>
        <v>Average</v>
      </c>
    </row>
    <row r="793" spans="1:31" x14ac:dyDescent="0.25">
      <c r="A793" t="s">
        <v>931</v>
      </c>
      <c r="B793" t="s">
        <v>36</v>
      </c>
      <c r="C793">
        <v>236</v>
      </c>
      <c r="D793">
        <v>28</v>
      </c>
      <c r="E793">
        <v>7</v>
      </c>
      <c r="F793">
        <v>9</v>
      </c>
      <c r="G793">
        <v>48.33</v>
      </c>
      <c r="H793">
        <v>5.31</v>
      </c>
      <c r="I793">
        <v>0.77</v>
      </c>
      <c r="J793" t="s">
        <v>265</v>
      </c>
      <c r="K793" t="s">
        <v>34</v>
      </c>
      <c r="L793">
        <v>100</v>
      </c>
      <c r="M793">
        <v>0.85</v>
      </c>
      <c r="N793">
        <v>158.15</v>
      </c>
      <c r="O793">
        <v>0.23</v>
      </c>
      <c r="P793">
        <v>7</v>
      </c>
      <c r="Q793">
        <v>0.93</v>
      </c>
      <c r="R793">
        <v>604</v>
      </c>
      <c r="S793">
        <v>14.06</v>
      </c>
      <c r="T793">
        <v>0.26</v>
      </c>
      <c r="U793" s="1">
        <v>45362</v>
      </c>
      <c r="V793">
        <v>117.93</v>
      </c>
      <c r="W793">
        <v>0.66200000000000003</v>
      </c>
      <c r="X793" t="str">
        <f>IF(WarehouseData[[#This Row],[stock_level]]&lt;=WarehouseData[[#This Row],[reorder_point]],"Low Stock","Sufficient Stock")</f>
        <v>Sufficient Stock</v>
      </c>
      <c r="Y793">
        <f>WarehouseData[[#This Row],[daily_demand]]*WarehouseData[[#This Row],[lead_time_days]]</f>
        <v>434.96999999999997</v>
      </c>
      <c r="Z793" t="str">
        <f>IF(WarehouseData[[#This Row],[stock_level]]&lt;=WarehouseData[[#This Row],[Demand During Lead Time]],"At Risk","Safe")</f>
        <v>At Risk</v>
      </c>
      <c r="AA793">
        <f>WarehouseData[[#This Row],[stock_level]]/WarehouseData[[#This Row],[daily_demand]]</f>
        <v>4.8830953858886819</v>
      </c>
      <c r="AB793">
        <f>WarehouseData[[#This Row],[stock_level]]*WarehouseData[[#This Row],[unit_price]]</f>
        <v>37323.4</v>
      </c>
      <c r="AC793">
        <f>WarehouseData[[#This Row],[stock_level]]*WarehouseData[[#This Row],[holding_cost_per_unit_day]]*30</f>
        <v>1628.4</v>
      </c>
      <c r="AD793" t="str">
        <f>IF(WarehouseData[[#This Row],[order_fulfillment_rate]]&gt;=0.9,"Strong",IF(WarehouseData[[#This Row],[order_fulfillment_rate]]&gt;=0.8,"Moderate","Needs Attention"))</f>
        <v>Strong</v>
      </c>
      <c r="AE793" t="str">
        <f>IF(WarehouseData[[#This Row],[picking_time_seconds]]&gt;120,"Slow",IF(WarehouseData[[#This Row],[picking_time_seconds]]&gt;=60,"Average","Fast"))</f>
        <v>Average</v>
      </c>
    </row>
    <row r="794" spans="1:31" x14ac:dyDescent="0.25">
      <c r="A794" t="s">
        <v>932</v>
      </c>
      <c r="B794" t="s">
        <v>32</v>
      </c>
      <c r="C794">
        <v>70</v>
      </c>
      <c r="D794">
        <v>66</v>
      </c>
      <c r="E794">
        <v>7</v>
      </c>
      <c r="F794">
        <v>9</v>
      </c>
      <c r="G794">
        <v>48.21</v>
      </c>
      <c r="H794">
        <v>5.61</v>
      </c>
      <c r="I794">
        <v>0.65</v>
      </c>
      <c r="J794" t="s">
        <v>129</v>
      </c>
      <c r="K794" t="s">
        <v>46</v>
      </c>
      <c r="L794">
        <v>150</v>
      </c>
      <c r="M794">
        <v>4.7</v>
      </c>
      <c r="N794">
        <v>82.39</v>
      </c>
      <c r="O794">
        <v>0.69</v>
      </c>
      <c r="P794">
        <v>7</v>
      </c>
      <c r="Q794">
        <v>0.97</v>
      </c>
      <c r="R794">
        <v>128</v>
      </c>
      <c r="S794">
        <v>3.09</v>
      </c>
      <c r="T794">
        <v>0.43</v>
      </c>
      <c r="U794" s="1">
        <v>45487</v>
      </c>
      <c r="V794">
        <v>261.12</v>
      </c>
      <c r="W794">
        <v>0.51200000000000001</v>
      </c>
      <c r="X794" t="str">
        <f>IF(WarehouseData[[#This Row],[stock_level]]&lt;=WarehouseData[[#This Row],[reorder_point]],"Low Stock","Sufficient Stock")</f>
        <v>Sufficient Stock</v>
      </c>
      <c r="Y794">
        <f>WarehouseData[[#This Row],[daily_demand]]*WarehouseData[[#This Row],[lead_time_days]]</f>
        <v>433.89</v>
      </c>
      <c r="Z794" t="str">
        <f>IF(WarehouseData[[#This Row],[stock_level]]&lt;=WarehouseData[[#This Row],[Demand During Lead Time]],"At Risk","Safe")</f>
        <v>At Risk</v>
      </c>
      <c r="AA794">
        <f>WarehouseData[[#This Row],[stock_level]]/WarehouseData[[#This Row],[daily_demand]]</f>
        <v>1.451980916822236</v>
      </c>
      <c r="AB794">
        <f>WarehouseData[[#This Row],[stock_level]]*WarehouseData[[#This Row],[unit_price]]</f>
        <v>5767.3</v>
      </c>
      <c r="AC794">
        <f>WarehouseData[[#This Row],[stock_level]]*WarehouseData[[#This Row],[holding_cost_per_unit_day]]*30</f>
        <v>1449</v>
      </c>
      <c r="AD794" t="str">
        <f>IF(WarehouseData[[#This Row],[order_fulfillment_rate]]&gt;=0.9,"Strong",IF(WarehouseData[[#This Row],[order_fulfillment_rate]]&gt;=0.8,"Moderate","Needs Attention"))</f>
        <v>Strong</v>
      </c>
      <c r="AE794" t="str">
        <f>IF(WarehouseData[[#This Row],[picking_time_seconds]]&gt;120,"Slow",IF(WarehouseData[[#This Row],[picking_time_seconds]]&gt;=60,"Average","Fast"))</f>
        <v>Slow</v>
      </c>
    </row>
    <row r="795" spans="1:31" x14ac:dyDescent="0.25">
      <c r="A795" t="s">
        <v>933</v>
      </c>
      <c r="B795" t="s">
        <v>48</v>
      </c>
      <c r="C795">
        <v>311</v>
      </c>
      <c r="D795">
        <v>53</v>
      </c>
      <c r="E795">
        <v>11</v>
      </c>
      <c r="F795">
        <v>8</v>
      </c>
      <c r="G795">
        <v>22.74</v>
      </c>
      <c r="H795">
        <v>7.56</v>
      </c>
      <c r="I795">
        <v>0.89</v>
      </c>
      <c r="J795" t="s">
        <v>120</v>
      </c>
      <c r="K795" t="s">
        <v>38</v>
      </c>
      <c r="L795">
        <v>104</v>
      </c>
      <c r="M795">
        <v>3.19</v>
      </c>
      <c r="N795">
        <v>165.51</v>
      </c>
      <c r="O795">
        <v>1.34</v>
      </c>
      <c r="P795">
        <v>1</v>
      </c>
      <c r="Q795">
        <v>0.83</v>
      </c>
      <c r="R795">
        <v>550</v>
      </c>
      <c r="S795">
        <v>9.41</v>
      </c>
      <c r="T795">
        <v>0.84</v>
      </c>
      <c r="U795" s="1">
        <v>45360</v>
      </c>
      <c r="V795">
        <v>213.73</v>
      </c>
      <c r="W795">
        <v>0.70499999999999996</v>
      </c>
      <c r="X795" t="str">
        <f>IF(WarehouseData[[#This Row],[stock_level]]&lt;=WarehouseData[[#This Row],[reorder_point]],"Low Stock","Sufficient Stock")</f>
        <v>Sufficient Stock</v>
      </c>
      <c r="Y795">
        <f>WarehouseData[[#This Row],[daily_demand]]*WarehouseData[[#This Row],[lead_time_days]]</f>
        <v>181.92</v>
      </c>
      <c r="Z795" t="str">
        <f>IF(WarehouseData[[#This Row],[stock_level]]&lt;=WarehouseData[[#This Row],[Demand During Lead Time]],"At Risk","Safe")</f>
        <v>Safe</v>
      </c>
      <c r="AA795">
        <f>WarehouseData[[#This Row],[stock_level]]/WarehouseData[[#This Row],[daily_demand]]</f>
        <v>13.676341248900616</v>
      </c>
      <c r="AB795">
        <f>WarehouseData[[#This Row],[stock_level]]*WarehouseData[[#This Row],[unit_price]]</f>
        <v>51473.61</v>
      </c>
      <c r="AC795">
        <f>WarehouseData[[#This Row],[stock_level]]*WarehouseData[[#This Row],[holding_cost_per_unit_day]]*30</f>
        <v>12502.2</v>
      </c>
      <c r="AD795" t="str">
        <f>IF(WarehouseData[[#This Row],[order_fulfillment_rate]]&gt;=0.9,"Strong",IF(WarehouseData[[#This Row],[order_fulfillment_rate]]&gt;=0.8,"Moderate","Needs Attention"))</f>
        <v>Moderate</v>
      </c>
      <c r="AE795" t="str">
        <f>IF(WarehouseData[[#This Row],[picking_time_seconds]]&gt;120,"Slow",IF(WarehouseData[[#This Row],[picking_time_seconds]]&gt;=60,"Average","Fast"))</f>
        <v>Average</v>
      </c>
    </row>
    <row r="796" spans="1:31" x14ac:dyDescent="0.25">
      <c r="A796" t="s">
        <v>934</v>
      </c>
      <c r="B796" t="s">
        <v>32</v>
      </c>
      <c r="C796">
        <v>100</v>
      </c>
      <c r="D796">
        <v>44</v>
      </c>
      <c r="E796">
        <v>5</v>
      </c>
      <c r="F796">
        <v>3</v>
      </c>
      <c r="G796">
        <v>39.96</v>
      </c>
      <c r="H796">
        <v>2.85</v>
      </c>
      <c r="I796">
        <v>0.55000000000000004</v>
      </c>
      <c r="J796" t="s">
        <v>212</v>
      </c>
      <c r="K796" t="s">
        <v>46</v>
      </c>
      <c r="L796">
        <v>89</v>
      </c>
      <c r="M796">
        <v>4.6900000000000004</v>
      </c>
      <c r="N796">
        <v>198.74</v>
      </c>
      <c r="O796">
        <v>0.5</v>
      </c>
      <c r="P796">
        <v>3</v>
      </c>
      <c r="Q796">
        <v>0.77</v>
      </c>
      <c r="R796">
        <v>838</v>
      </c>
      <c r="S796">
        <v>5.86</v>
      </c>
      <c r="T796">
        <v>0.63</v>
      </c>
      <c r="U796" s="1">
        <v>45620</v>
      </c>
      <c r="V796">
        <v>45.38</v>
      </c>
      <c r="W796">
        <v>0.64800000000000002</v>
      </c>
      <c r="X796" t="str">
        <f>IF(WarehouseData[[#This Row],[stock_level]]&lt;=WarehouseData[[#This Row],[reorder_point]],"Low Stock","Sufficient Stock")</f>
        <v>Sufficient Stock</v>
      </c>
      <c r="Y796">
        <f>WarehouseData[[#This Row],[daily_demand]]*WarehouseData[[#This Row],[lead_time_days]]</f>
        <v>119.88</v>
      </c>
      <c r="Z796" t="str">
        <f>IF(WarehouseData[[#This Row],[stock_level]]&lt;=WarehouseData[[#This Row],[Demand During Lead Time]],"At Risk","Safe")</f>
        <v>At Risk</v>
      </c>
      <c r="AA796">
        <f>WarehouseData[[#This Row],[stock_level]]/WarehouseData[[#This Row],[daily_demand]]</f>
        <v>2.5025025025025025</v>
      </c>
      <c r="AB796">
        <f>WarehouseData[[#This Row],[stock_level]]*WarehouseData[[#This Row],[unit_price]]</f>
        <v>19874</v>
      </c>
      <c r="AC796">
        <f>WarehouseData[[#This Row],[stock_level]]*WarehouseData[[#This Row],[holding_cost_per_unit_day]]*30</f>
        <v>1500</v>
      </c>
      <c r="AD796" t="str">
        <f>IF(WarehouseData[[#This Row],[order_fulfillment_rate]]&gt;=0.9,"Strong",IF(WarehouseData[[#This Row],[order_fulfillment_rate]]&gt;=0.8,"Moderate","Needs Attention"))</f>
        <v>Needs Attention</v>
      </c>
      <c r="AE796" t="str">
        <f>IF(WarehouseData[[#This Row],[picking_time_seconds]]&gt;120,"Slow",IF(WarehouseData[[#This Row],[picking_time_seconds]]&gt;=60,"Average","Fast"))</f>
        <v>Average</v>
      </c>
    </row>
    <row r="797" spans="1:31" x14ac:dyDescent="0.25">
      <c r="A797" t="s">
        <v>935</v>
      </c>
      <c r="B797" t="s">
        <v>48</v>
      </c>
      <c r="C797">
        <v>402</v>
      </c>
      <c r="D797">
        <v>10</v>
      </c>
      <c r="E797">
        <v>5</v>
      </c>
      <c r="F797">
        <v>9</v>
      </c>
      <c r="G797">
        <v>1.65</v>
      </c>
      <c r="H797">
        <v>2.7</v>
      </c>
      <c r="I797">
        <v>0.4</v>
      </c>
      <c r="J797" t="s">
        <v>75</v>
      </c>
      <c r="K797" t="s">
        <v>46</v>
      </c>
      <c r="L797">
        <v>112</v>
      </c>
      <c r="M797">
        <v>3.34</v>
      </c>
      <c r="N797">
        <v>196.14</v>
      </c>
      <c r="O797">
        <v>1.19</v>
      </c>
      <c r="P797">
        <v>3</v>
      </c>
      <c r="Q797">
        <v>0.82</v>
      </c>
      <c r="R797">
        <v>428</v>
      </c>
      <c r="S797">
        <v>9.86</v>
      </c>
      <c r="T797">
        <v>0.51</v>
      </c>
      <c r="U797" s="1">
        <v>45638</v>
      </c>
      <c r="V797">
        <v>110.99</v>
      </c>
      <c r="W797">
        <v>0.61799999999999999</v>
      </c>
      <c r="X797" t="str">
        <f>IF(WarehouseData[[#This Row],[stock_level]]&lt;=WarehouseData[[#This Row],[reorder_point]],"Low Stock","Sufficient Stock")</f>
        <v>Sufficient Stock</v>
      </c>
      <c r="Y797">
        <f>WarehouseData[[#This Row],[daily_demand]]*WarehouseData[[#This Row],[lead_time_days]]</f>
        <v>14.85</v>
      </c>
      <c r="Z797" t="str">
        <f>IF(WarehouseData[[#This Row],[stock_level]]&lt;=WarehouseData[[#This Row],[Demand During Lead Time]],"At Risk","Safe")</f>
        <v>Safe</v>
      </c>
      <c r="AA797">
        <f>WarehouseData[[#This Row],[stock_level]]/WarehouseData[[#This Row],[daily_demand]]</f>
        <v>243.63636363636365</v>
      </c>
      <c r="AB797">
        <f>WarehouseData[[#This Row],[stock_level]]*WarehouseData[[#This Row],[unit_price]]</f>
        <v>78848.28</v>
      </c>
      <c r="AC797">
        <f>WarehouseData[[#This Row],[stock_level]]*WarehouseData[[#This Row],[holding_cost_per_unit_day]]*30</f>
        <v>14351.4</v>
      </c>
      <c r="AD797" t="str">
        <f>IF(WarehouseData[[#This Row],[order_fulfillment_rate]]&gt;=0.9,"Strong",IF(WarehouseData[[#This Row],[order_fulfillment_rate]]&gt;=0.8,"Moderate","Needs Attention"))</f>
        <v>Moderate</v>
      </c>
      <c r="AE797" t="str">
        <f>IF(WarehouseData[[#This Row],[picking_time_seconds]]&gt;120,"Slow",IF(WarehouseData[[#This Row],[picking_time_seconds]]&gt;=60,"Average","Fast"))</f>
        <v>Average</v>
      </c>
    </row>
    <row r="798" spans="1:31" x14ac:dyDescent="0.25">
      <c r="A798" t="s">
        <v>936</v>
      </c>
      <c r="B798" t="s">
        <v>36</v>
      </c>
      <c r="C798">
        <v>107</v>
      </c>
      <c r="D798">
        <v>61</v>
      </c>
      <c r="E798">
        <v>9</v>
      </c>
      <c r="F798">
        <v>5</v>
      </c>
      <c r="G798">
        <v>27.84</v>
      </c>
      <c r="H798">
        <v>9.52</v>
      </c>
      <c r="I798">
        <v>1</v>
      </c>
      <c r="J798" t="s">
        <v>135</v>
      </c>
      <c r="K798" t="s">
        <v>38</v>
      </c>
      <c r="L798">
        <v>57</v>
      </c>
      <c r="M798">
        <v>2.44</v>
      </c>
      <c r="N798">
        <v>135.91</v>
      </c>
      <c r="O798">
        <v>0.67</v>
      </c>
      <c r="P798">
        <v>1</v>
      </c>
      <c r="Q798">
        <v>0.78</v>
      </c>
      <c r="R798">
        <v>313</v>
      </c>
      <c r="S798">
        <v>12.93</v>
      </c>
      <c r="T798">
        <v>0.47</v>
      </c>
      <c r="U798" s="1">
        <v>45365</v>
      </c>
      <c r="V798">
        <v>15.63</v>
      </c>
      <c r="W798">
        <v>0.73499999999999999</v>
      </c>
      <c r="X798" t="str">
        <f>IF(WarehouseData[[#This Row],[stock_level]]&lt;=WarehouseData[[#This Row],[reorder_point]],"Low Stock","Sufficient Stock")</f>
        <v>Sufficient Stock</v>
      </c>
      <c r="Y798">
        <f>WarehouseData[[#This Row],[daily_demand]]*WarehouseData[[#This Row],[lead_time_days]]</f>
        <v>139.19999999999999</v>
      </c>
      <c r="Z798" t="str">
        <f>IF(WarehouseData[[#This Row],[stock_level]]&lt;=WarehouseData[[#This Row],[Demand During Lead Time]],"At Risk","Safe")</f>
        <v>At Risk</v>
      </c>
      <c r="AA798">
        <f>WarehouseData[[#This Row],[stock_level]]/WarehouseData[[#This Row],[daily_demand]]</f>
        <v>3.8433908045977012</v>
      </c>
      <c r="AB798">
        <f>WarehouseData[[#This Row],[stock_level]]*WarehouseData[[#This Row],[unit_price]]</f>
        <v>14542.369999999999</v>
      </c>
      <c r="AC798">
        <f>WarehouseData[[#This Row],[stock_level]]*WarehouseData[[#This Row],[holding_cost_per_unit_day]]*30</f>
        <v>2150.6999999999998</v>
      </c>
      <c r="AD798" t="str">
        <f>IF(WarehouseData[[#This Row],[order_fulfillment_rate]]&gt;=0.9,"Strong",IF(WarehouseData[[#This Row],[order_fulfillment_rate]]&gt;=0.8,"Moderate","Needs Attention"))</f>
        <v>Needs Attention</v>
      </c>
      <c r="AE798" t="str">
        <f>IF(WarehouseData[[#This Row],[picking_time_seconds]]&gt;120,"Slow",IF(WarehouseData[[#This Row],[picking_time_seconds]]&gt;=60,"Average","Fast"))</f>
        <v>Fast</v>
      </c>
    </row>
    <row r="799" spans="1:31" x14ac:dyDescent="0.25">
      <c r="A799" t="s">
        <v>937</v>
      </c>
      <c r="B799" t="s">
        <v>48</v>
      </c>
      <c r="C799">
        <v>213</v>
      </c>
      <c r="D799">
        <v>94</v>
      </c>
      <c r="E799">
        <v>11</v>
      </c>
      <c r="F799">
        <v>8</v>
      </c>
      <c r="G799">
        <v>37.42</v>
      </c>
      <c r="H799">
        <v>0.76</v>
      </c>
      <c r="I799">
        <v>0.42</v>
      </c>
      <c r="J799" t="s">
        <v>212</v>
      </c>
      <c r="K799" t="s">
        <v>52</v>
      </c>
      <c r="L799">
        <v>95</v>
      </c>
      <c r="M799">
        <v>3.05</v>
      </c>
      <c r="N799">
        <v>81.290000000000006</v>
      </c>
      <c r="O799">
        <v>1.7</v>
      </c>
      <c r="P799">
        <v>8</v>
      </c>
      <c r="Q799">
        <v>0.7</v>
      </c>
      <c r="R799">
        <v>354</v>
      </c>
      <c r="S799">
        <v>5.01</v>
      </c>
      <c r="T799">
        <v>0.28999999999999998</v>
      </c>
      <c r="U799" s="1">
        <v>45327</v>
      </c>
      <c r="V799">
        <v>268.91000000000003</v>
      </c>
      <c r="W799">
        <v>0.33500000000000002</v>
      </c>
      <c r="X799" t="str">
        <f>IF(WarehouseData[[#This Row],[stock_level]]&lt;=WarehouseData[[#This Row],[reorder_point]],"Low Stock","Sufficient Stock")</f>
        <v>Sufficient Stock</v>
      </c>
      <c r="Y799">
        <f>WarehouseData[[#This Row],[daily_demand]]*WarehouseData[[#This Row],[lead_time_days]]</f>
        <v>299.36</v>
      </c>
      <c r="Z799" t="str">
        <f>IF(WarehouseData[[#This Row],[stock_level]]&lt;=WarehouseData[[#This Row],[Demand During Lead Time]],"At Risk","Safe")</f>
        <v>At Risk</v>
      </c>
      <c r="AA799">
        <f>WarehouseData[[#This Row],[stock_level]]/WarehouseData[[#This Row],[daily_demand]]</f>
        <v>5.692143238909674</v>
      </c>
      <c r="AB799">
        <f>WarehouseData[[#This Row],[stock_level]]*WarehouseData[[#This Row],[unit_price]]</f>
        <v>17314.77</v>
      </c>
      <c r="AC799">
        <f>WarehouseData[[#This Row],[stock_level]]*WarehouseData[[#This Row],[holding_cost_per_unit_day]]*30</f>
        <v>10862.999999999998</v>
      </c>
      <c r="AD799" t="str">
        <f>IF(WarehouseData[[#This Row],[order_fulfillment_rate]]&gt;=0.9,"Strong",IF(WarehouseData[[#This Row],[order_fulfillment_rate]]&gt;=0.8,"Moderate","Needs Attention"))</f>
        <v>Needs Attention</v>
      </c>
      <c r="AE799" t="str">
        <f>IF(WarehouseData[[#This Row],[picking_time_seconds]]&gt;120,"Slow",IF(WarehouseData[[#This Row],[picking_time_seconds]]&gt;=60,"Average","Fast"))</f>
        <v>Average</v>
      </c>
    </row>
    <row r="800" spans="1:31" x14ac:dyDescent="0.25">
      <c r="A800" t="s">
        <v>938</v>
      </c>
      <c r="B800" t="s">
        <v>40</v>
      </c>
      <c r="C800">
        <v>123</v>
      </c>
      <c r="D800">
        <v>79</v>
      </c>
      <c r="E800">
        <v>8</v>
      </c>
      <c r="F800">
        <v>8</v>
      </c>
      <c r="G800">
        <v>11.63</v>
      </c>
      <c r="H800">
        <v>1.82</v>
      </c>
      <c r="I800">
        <v>0.49</v>
      </c>
      <c r="J800" t="s">
        <v>110</v>
      </c>
      <c r="K800" t="s">
        <v>52</v>
      </c>
      <c r="L800">
        <v>79</v>
      </c>
      <c r="M800">
        <v>4.2300000000000004</v>
      </c>
      <c r="N800">
        <v>22.44</v>
      </c>
      <c r="O800">
        <v>0.76</v>
      </c>
      <c r="P800">
        <v>3</v>
      </c>
      <c r="Q800">
        <v>0.9</v>
      </c>
      <c r="R800">
        <v>537</v>
      </c>
      <c r="S800">
        <v>2.1</v>
      </c>
      <c r="T800">
        <v>0.47</v>
      </c>
      <c r="U800" s="1">
        <v>45563</v>
      </c>
      <c r="V800">
        <v>226.63</v>
      </c>
      <c r="W800">
        <v>0.56599999999999995</v>
      </c>
      <c r="X800" t="str">
        <f>IF(WarehouseData[[#This Row],[stock_level]]&lt;=WarehouseData[[#This Row],[reorder_point]],"Low Stock","Sufficient Stock")</f>
        <v>Sufficient Stock</v>
      </c>
      <c r="Y800">
        <f>WarehouseData[[#This Row],[daily_demand]]*WarehouseData[[#This Row],[lead_time_days]]</f>
        <v>93.04</v>
      </c>
      <c r="Z800" t="str">
        <f>IF(WarehouseData[[#This Row],[stock_level]]&lt;=WarehouseData[[#This Row],[Demand During Lead Time]],"At Risk","Safe")</f>
        <v>Safe</v>
      </c>
      <c r="AA800">
        <f>WarehouseData[[#This Row],[stock_level]]/WarehouseData[[#This Row],[daily_demand]]</f>
        <v>10.576096302665519</v>
      </c>
      <c r="AB800">
        <f>WarehouseData[[#This Row],[stock_level]]*WarehouseData[[#This Row],[unit_price]]</f>
        <v>2760.1200000000003</v>
      </c>
      <c r="AC800">
        <f>WarehouseData[[#This Row],[stock_level]]*WarehouseData[[#This Row],[holding_cost_per_unit_day]]*30</f>
        <v>2804.4</v>
      </c>
      <c r="AD800" t="str">
        <f>IF(WarehouseData[[#This Row],[order_fulfillment_rate]]&gt;=0.9,"Strong",IF(WarehouseData[[#This Row],[order_fulfillment_rate]]&gt;=0.8,"Moderate","Needs Attention"))</f>
        <v>Strong</v>
      </c>
      <c r="AE800" t="str">
        <f>IF(WarehouseData[[#This Row],[picking_time_seconds]]&gt;120,"Slow",IF(WarehouseData[[#This Row],[picking_time_seconds]]&gt;=60,"Average","Fast"))</f>
        <v>Average</v>
      </c>
    </row>
    <row r="801" spans="1:31" x14ac:dyDescent="0.25">
      <c r="A801" t="s">
        <v>939</v>
      </c>
      <c r="B801" t="s">
        <v>40</v>
      </c>
      <c r="C801">
        <v>290</v>
      </c>
      <c r="D801">
        <v>46</v>
      </c>
      <c r="E801">
        <v>4</v>
      </c>
      <c r="F801">
        <v>8</v>
      </c>
      <c r="G801">
        <v>4</v>
      </c>
      <c r="H801">
        <v>5.92</v>
      </c>
      <c r="I801">
        <v>0.83</v>
      </c>
      <c r="J801" t="s">
        <v>104</v>
      </c>
      <c r="K801" t="s">
        <v>46</v>
      </c>
      <c r="L801">
        <v>56</v>
      </c>
      <c r="M801">
        <v>1.97</v>
      </c>
      <c r="N801">
        <v>150.22999999999999</v>
      </c>
      <c r="O801">
        <v>0.54</v>
      </c>
      <c r="P801">
        <v>3</v>
      </c>
      <c r="Q801">
        <v>0.71</v>
      </c>
      <c r="R801">
        <v>789</v>
      </c>
      <c r="S801">
        <v>3.86</v>
      </c>
      <c r="T801">
        <v>0.57999999999999996</v>
      </c>
      <c r="U801" s="1">
        <v>45580</v>
      </c>
      <c r="V801">
        <v>136.4</v>
      </c>
      <c r="W801">
        <v>0.59499999999999997</v>
      </c>
      <c r="X801" t="str">
        <f>IF(WarehouseData[[#This Row],[stock_level]]&lt;=WarehouseData[[#This Row],[reorder_point]],"Low Stock","Sufficient Stock")</f>
        <v>Sufficient Stock</v>
      </c>
      <c r="Y801">
        <f>WarehouseData[[#This Row],[daily_demand]]*WarehouseData[[#This Row],[lead_time_days]]</f>
        <v>32</v>
      </c>
      <c r="Z801" t="str">
        <f>IF(WarehouseData[[#This Row],[stock_level]]&lt;=WarehouseData[[#This Row],[Demand During Lead Time]],"At Risk","Safe")</f>
        <v>Safe</v>
      </c>
      <c r="AA801">
        <f>WarehouseData[[#This Row],[stock_level]]/WarehouseData[[#This Row],[daily_demand]]</f>
        <v>72.5</v>
      </c>
      <c r="AB801">
        <f>WarehouseData[[#This Row],[stock_level]]*WarehouseData[[#This Row],[unit_price]]</f>
        <v>43566.7</v>
      </c>
      <c r="AC801">
        <f>WarehouseData[[#This Row],[stock_level]]*WarehouseData[[#This Row],[holding_cost_per_unit_day]]*30</f>
        <v>4698.0000000000009</v>
      </c>
      <c r="AD801" t="str">
        <f>IF(WarehouseData[[#This Row],[order_fulfillment_rate]]&gt;=0.9,"Strong",IF(WarehouseData[[#This Row],[order_fulfillment_rate]]&gt;=0.8,"Moderate","Needs Attention"))</f>
        <v>Needs Attention</v>
      </c>
      <c r="AE801" t="str">
        <f>IF(WarehouseData[[#This Row],[picking_time_seconds]]&gt;120,"Slow",IF(WarehouseData[[#This Row],[picking_time_seconds]]&gt;=60,"Average","Fast"))</f>
        <v>Fast</v>
      </c>
    </row>
    <row r="802" spans="1:31" x14ac:dyDescent="0.25">
      <c r="A802" t="s">
        <v>940</v>
      </c>
      <c r="B802" t="s">
        <v>40</v>
      </c>
      <c r="C802">
        <v>115</v>
      </c>
      <c r="D802">
        <v>74</v>
      </c>
      <c r="E802">
        <v>3</v>
      </c>
      <c r="F802">
        <v>2</v>
      </c>
      <c r="G802">
        <v>8.64</v>
      </c>
      <c r="H802">
        <v>7.51</v>
      </c>
      <c r="I802">
        <v>0.18</v>
      </c>
      <c r="J802" t="s">
        <v>120</v>
      </c>
      <c r="K802" t="s">
        <v>34</v>
      </c>
      <c r="L802">
        <v>19</v>
      </c>
      <c r="M802">
        <v>4.8</v>
      </c>
      <c r="N802">
        <v>195.81</v>
      </c>
      <c r="O802">
        <v>1.1100000000000001</v>
      </c>
      <c r="P802">
        <v>3</v>
      </c>
      <c r="Q802">
        <v>0.76</v>
      </c>
      <c r="R802">
        <v>174</v>
      </c>
      <c r="S802">
        <v>7.15</v>
      </c>
      <c r="T802">
        <v>0.74</v>
      </c>
      <c r="U802" s="1">
        <v>45296</v>
      </c>
      <c r="V802">
        <v>230.51</v>
      </c>
      <c r="W802">
        <v>0.624</v>
      </c>
      <c r="X802" t="str">
        <f>IF(WarehouseData[[#This Row],[stock_level]]&lt;=WarehouseData[[#This Row],[reorder_point]],"Low Stock","Sufficient Stock")</f>
        <v>Sufficient Stock</v>
      </c>
      <c r="Y802">
        <f>WarehouseData[[#This Row],[daily_demand]]*WarehouseData[[#This Row],[lead_time_days]]</f>
        <v>17.28</v>
      </c>
      <c r="Z802" t="str">
        <f>IF(WarehouseData[[#This Row],[stock_level]]&lt;=WarehouseData[[#This Row],[Demand During Lead Time]],"At Risk","Safe")</f>
        <v>Safe</v>
      </c>
      <c r="AA802">
        <f>WarehouseData[[#This Row],[stock_level]]/WarehouseData[[#This Row],[daily_demand]]</f>
        <v>13.310185185185185</v>
      </c>
      <c r="AB802">
        <f>WarehouseData[[#This Row],[stock_level]]*WarehouseData[[#This Row],[unit_price]]</f>
        <v>22518.15</v>
      </c>
      <c r="AC802">
        <f>WarehouseData[[#This Row],[stock_level]]*WarehouseData[[#This Row],[holding_cost_per_unit_day]]*30</f>
        <v>3829.5</v>
      </c>
      <c r="AD802" t="str">
        <f>IF(WarehouseData[[#This Row],[order_fulfillment_rate]]&gt;=0.9,"Strong",IF(WarehouseData[[#This Row],[order_fulfillment_rate]]&gt;=0.8,"Moderate","Needs Attention"))</f>
        <v>Needs Attention</v>
      </c>
      <c r="AE802" t="str">
        <f>IF(WarehouseData[[#This Row],[picking_time_seconds]]&gt;120,"Slow",IF(WarehouseData[[#This Row],[picking_time_seconds]]&gt;=60,"Average","Fast"))</f>
        <v>Fast</v>
      </c>
    </row>
    <row r="803" spans="1:31" x14ac:dyDescent="0.25">
      <c r="A803" t="s">
        <v>941</v>
      </c>
      <c r="B803" t="s">
        <v>40</v>
      </c>
      <c r="C803">
        <v>442</v>
      </c>
      <c r="D803">
        <v>60</v>
      </c>
      <c r="E803">
        <v>4</v>
      </c>
      <c r="F803">
        <v>2</v>
      </c>
      <c r="G803">
        <v>22.65</v>
      </c>
      <c r="H803">
        <v>5.61</v>
      </c>
      <c r="I803">
        <v>0.45</v>
      </c>
      <c r="J803" t="s">
        <v>45</v>
      </c>
      <c r="K803" t="s">
        <v>46</v>
      </c>
      <c r="L803">
        <v>89</v>
      </c>
      <c r="M803">
        <v>2.6</v>
      </c>
      <c r="N803">
        <v>22.92</v>
      </c>
      <c r="O803">
        <v>0.36</v>
      </c>
      <c r="P803">
        <v>4</v>
      </c>
      <c r="Q803">
        <v>0.92</v>
      </c>
      <c r="R803">
        <v>667</v>
      </c>
      <c r="S803">
        <v>8.2100000000000009</v>
      </c>
      <c r="T803">
        <v>0.41</v>
      </c>
      <c r="U803" s="1">
        <v>45604</v>
      </c>
      <c r="V803">
        <v>280.69</v>
      </c>
      <c r="W803">
        <v>0.65900000000000003</v>
      </c>
      <c r="X803" t="str">
        <f>IF(WarehouseData[[#This Row],[stock_level]]&lt;=WarehouseData[[#This Row],[reorder_point]],"Low Stock","Sufficient Stock")</f>
        <v>Sufficient Stock</v>
      </c>
      <c r="Y803">
        <f>WarehouseData[[#This Row],[daily_demand]]*WarehouseData[[#This Row],[lead_time_days]]</f>
        <v>45.3</v>
      </c>
      <c r="Z803" t="str">
        <f>IF(WarehouseData[[#This Row],[stock_level]]&lt;=WarehouseData[[#This Row],[Demand During Lead Time]],"At Risk","Safe")</f>
        <v>Safe</v>
      </c>
      <c r="AA803">
        <f>WarehouseData[[#This Row],[stock_level]]/WarehouseData[[#This Row],[daily_demand]]</f>
        <v>19.514348785871967</v>
      </c>
      <c r="AB803">
        <f>WarehouseData[[#This Row],[stock_level]]*WarehouseData[[#This Row],[unit_price]]</f>
        <v>10130.640000000001</v>
      </c>
      <c r="AC803">
        <f>WarehouseData[[#This Row],[stock_level]]*WarehouseData[[#This Row],[holding_cost_per_unit_day]]*30</f>
        <v>4773.6000000000004</v>
      </c>
      <c r="AD803" t="str">
        <f>IF(WarehouseData[[#This Row],[order_fulfillment_rate]]&gt;=0.9,"Strong",IF(WarehouseData[[#This Row],[order_fulfillment_rate]]&gt;=0.8,"Moderate","Needs Attention"))</f>
        <v>Strong</v>
      </c>
      <c r="AE803" t="str">
        <f>IF(WarehouseData[[#This Row],[picking_time_seconds]]&gt;120,"Slow",IF(WarehouseData[[#This Row],[picking_time_seconds]]&gt;=60,"Average","Fast"))</f>
        <v>Average</v>
      </c>
    </row>
    <row r="804" spans="1:31" x14ac:dyDescent="0.25">
      <c r="A804" t="s">
        <v>942</v>
      </c>
      <c r="B804" t="s">
        <v>32</v>
      </c>
      <c r="C804">
        <v>398</v>
      </c>
      <c r="D804">
        <v>10</v>
      </c>
      <c r="E804">
        <v>3</v>
      </c>
      <c r="F804">
        <v>6</v>
      </c>
      <c r="G804">
        <v>25.81</v>
      </c>
      <c r="H804">
        <v>3.87</v>
      </c>
      <c r="I804">
        <v>0.18</v>
      </c>
      <c r="J804" t="s">
        <v>263</v>
      </c>
      <c r="K804" t="s">
        <v>46</v>
      </c>
      <c r="L804">
        <v>22</v>
      </c>
      <c r="M804">
        <v>4.8</v>
      </c>
      <c r="N804">
        <v>11.17</v>
      </c>
      <c r="O804">
        <v>1.62</v>
      </c>
      <c r="P804">
        <v>9</v>
      </c>
      <c r="Q804">
        <v>0.9</v>
      </c>
      <c r="R804">
        <v>791</v>
      </c>
      <c r="S804">
        <v>14.19</v>
      </c>
      <c r="T804">
        <v>0.92</v>
      </c>
      <c r="U804" s="1">
        <v>45624</v>
      </c>
      <c r="V804">
        <v>91.17</v>
      </c>
      <c r="W804">
        <v>0.61099999999999999</v>
      </c>
      <c r="X804" t="str">
        <f>IF(WarehouseData[[#This Row],[stock_level]]&lt;=WarehouseData[[#This Row],[reorder_point]],"Low Stock","Sufficient Stock")</f>
        <v>Sufficient Stock</v>
      </c>
      <c r="Y804">
        <f>WarehouseData[[#This Row],[daily_demand]]*WarehouseData[[#This Row],[lead_time_days]]</f>
        <v>154.85999999999999</v>
      </c>
      <c r="Z804" t="str">
        <f>IF(WarehouseData[[#This Row],[stock_level]]&lt;=WarehouseData[[#This Row],[Demand During Lead Time]],"At Risk","Safe")</f>
        <v>Safe</v>
      </c>
      <c r="AA804">
        <f>WarehouseData[[#This Row],[stock_level]]/WarehouseData[[#This Row],[daily_demand]]</f>
        <v>15.420379697791555</v>
      </c>
      <c r="AB804">
        <f>WarehouseData[[#This Row],[stock_level]]*WarehouseData[[#This Row],[unit_price]]</f>
        <v>4445.66</v>
      </c>
      <c r="AC804">
        <f>WarehouseData[[#This Row],[stock_level]]*WarehouseData[[#This Row],[holding_cost_per_unit_day]]*30</f>
        <v>19342.8</v>
      </c>
      <c r="AD804" t="str">
        <f>IF(WarehouseData[[#This Row],[order_fulfillment_rate]]&gt;=0.9,"Strong",IF(WarehouseData[[#This Row],[order_fulfillment_rate]]&gt;=0.8,"Moderate","Needs Attention"))</f>
        <v>Strong</v>
      </c>
      <c r="AE804" t="str">
        <f>IF(WarehouseData[[#This Row],[picking_time_seconds]]&gt;120,"Slow",IF(WarehouseData[[#This Row],[picking_time_seconds]]&gt;=60,"Average","Fast"))</f>
        <v>Fast</v>
      </c>
    </row>
    <row r="805" spans="1:31" x14ac:dyDescent="0.25">
      <c r="A805" t="s">
        <v>943</v>
      </c>
      <c r="B805" t="s">
        <v>36</v>
      </c>
      <c r="C805">
        <v>217</v>
      </c>
      <c r="D805">
        <v>30</v>
      </c>
      <c r="E805">
        <v>12</v>
      </c>
      <c r="F805">
        <v>8</v>
      </c>
      <c r="G805">
        <v>19.66</v>
      </c>
      <c r="H805">
        <v>9.7899999999999991</v>
      </c>
      <c r="I805">
        <v>0.23</v>
      </c>
      <c r="J805" t="s">
        <v>95</v>
      </c>
      <c r="K805" t="s">
        <v>52</v>
      </c>
      <c r="L805">
        <v>67</v>
      </c>
      <c r="M805">
        <v>4.46</v>
      </c>
      <c r="N805">
        <v>168.04</v>
      </c>
      <c r="O805">
        <v>1.39</v>
      </c>
      <c r="P805">
        <v>7</v>
      </c>
      <c r="Q805">
        <v>0.72</v>
      </c>
      <c r="R805">
        <v>695</v>
      </c>
      <c r="S805">
        <v>1.23</v>
      </c>
      <c r="T805">
        <v>0.59</v>
      </c>
      <c r="U805" s="1">
        <v>45376</v>
      </c>
      <c r="V805">
        <v>92.89</v>
      </c>
      <c r="W805">
        <v>0.39900000000000002</v>
      </c>
      <c r="X805" t="str">
        <f>IF(WarehouseData[[#This Row],[stock_level]]&lt;=WarehouseData[[#This Row],[reorder_point]],"Low Stock","Sufficient Stock")</f>
        <v>Sufficient Stock</v>
      </c>
      <c r="Y805">
        <f>WarehouseData[[#This Row],[daily_demand]]*WarehouseData[[#This Row],[lead_time_days]]</f>
        <v>157.28</v>
      </c>
      <c r="Z805" t="str">
        <f>IF(WarehouseData[[#This Row],[stock_level]]&lt;=WarehouseData[[#This Row],[Demand During Lead Time]],"At Risk","Safe")</f>
        <v>Safe</v>
      </c>
      <c r="AA805">
        <f>WarehouseData[[#This Row],[stock_level]]/WarehouseData[[#This Row],[daily_demand]]</f>
        <v>11.03763987792472</v>
      </c>
      <c r="AB805">
        <f>WarehouseData[[#This Row],[stock_level]]*WarehouseData[[#This Row],[unit_price]]</f>
        <v>36464.68</v>
      </c>
      <c r="AC805">
        <f>WarehouseData[[#This Row],[stock_level]]*WarehouseData[[#This Row],[holding_cost_per_unit_day]]*30</f>
        <v>9048.9</v>
      </c>
      <c r="AD805" t="str">
        <f>IF(WarehouseData[[#This Row],[order_fulfillment_rate]]&gt;=0.9,"Strong",IF(WarehouseData[[#This Row],[order_fulfillment_rate]]&gt;=0.8,"Moderate","Needs Attention"))</f>
        <v>Needs Attention</v>
      </c>
      <c r="AE805" t="str">
        <f>IF(WarehouseData[[#This Row],[picking_time_seconds]]&gt;120,"Slow",IF(WarehouseData[[#This Row],[picking_time_seconds]]&gt;=60,"Average","Fast"))</f>
        <v>Average</v>
      </c>
    </row>
    <row r="806" spans="1:31" x14ac:dyDescent="0.25">
      <c r="A806" t="s">
        <v>944</v>
      </c>
      <c r="B806" t="s">
        <v>48</v>
      </c>
      <c r="C806">
        <v>20</v>
      </c>
      <c r="D806">
        <v>62</v>
      </c>
      <c r="E806">
        <v>12</v>
      </c>
      <c r="F806">
        <v>7</v>
      </c>
      <c r="G806">
        <v>22.56</v>
      </c>
      <c r="H806">
        <v>7.19</v>
      </c>
      <c r="I806">
        <v>0.1</v>
      </c>
      <c r="J806" t="s">
        <v>283</v>
      </c>
      <c r="K806" t="s">
        <v>38</v>
      </c>
      <c r="L806">
        <v>93</v>
      </c>
      <c r="M806">
        <v>3.95</v>
      </c>
      <c r="N806">
        <v>29.43</v>
      </c>
      <c r="O806">
        <v>1.56</v>
      </c>
      <c r="P806">
        <v>3</v>
      </c>
      <c r="Q806">
        <v>0.9</v>
      </c>
      <c r="R806">
        <v>130</v>
      </c>
      <c r="S806">
        <v>11.61</v>
      </c>
      <c r="T806">
        <v>0.52</v>
      </c>
      <c r="U806" s="1">
        <v>45517</v>
      </c>
      <c r="V806">
        <v>149.97</v>
      </c>
      <c r="W806">
        <v>0.623</v>
      </c>
      <c r="X806" t="str">
        <f>IF(WarehouseData[[#This Row],[stock_level]]&lt;=WarehouseData[[#This Row],[reorder_point]],"Low Stock","Sufficient Stock")</f>
        <v>Low Stock</v>
      </c>
      <c r="Y806">
        <f>WarehouseData[[#This Row],[daily_demand]]*WarehouseData[[#This Row],[lead_time_days]]</f>
        <v>157.91999999999999</v>
      </c>
      <c r="Z806" t="str">
        <f>IF(WarehouseData[[#This Row],[stock_level]]&lt;=WarehouseData[[#This Row],[Demand During Lead Time]],"At Risk","Safe")</f>
        <v>At Risk</v>
      </c>
      <c r="AA806">
        <f>WarehouseData[[#This Row],[stock_level]]/WarehouseData[[#This Row],[daily_demand]]</f>
        <v>0.88652482269503552</v>
      </c>
      <c r="AB806">
        <f>WarehouseData[[#This Row],[stock_level]]*WarehouseData[[#This Row],[unit_price]]</f>
        <v>588.6</v>
      </c>
      <c r="AC806">
        <f>WarehouseData[[#This Row],[stock_level]]*WarehouseData[[#This Row],[holding_cost_per_unit_day]]*30</f>
        <v>936.00000000000011</v>
      </c>
      <c r="AD806" t="str">
        <f>IF(WarehouseData[[#This Row],[order_fulfillment_rate]]&gt;=0.9,"Strong",IF(WarehouseData[[#This Row],[order_fulfillment_rate]]&gt;=0.8,"Moderate","Needs Attention"))</f>
        <v>Strong</v>
      </c>
      <c r="AE806" t="str">
        <f>IF(WarehouseData[[#This Row],[picking_time_seconds]]&gt;120,"Slow",IF(WarehouseData[[#This Row],[picking_time_seconds]]&gt;=60,"Average","Fast"))</f>
        <v>Average</v>
      </c>
    </row>
    <row r="807" spans="1:31" x14ac:dyDescent="0.25">
      <c r="A807" t="s">
        <v>945</v>
      </c>
      <c r="B807" t="s">
        <v>48</v>
      </c>
      <c r="C807">
        <v>426</v>
      </c>
      <c r="D807">
        <v>25</v>
      </c>
      <c r="E807">
        <v>11</v>
      </c>
      <c r="F807">
        <v>9</v>
      </c>
      <c r="G807">
        <v>24.04</v>
      </c>
      <c r="H807">
        <v>8.4</v>
      </c>
      <c r="I807">
        <v>0.11</v>
      </c>
      <c r="J807" t="s">
        <v>142</v>
      </c>
      <c r="K807" t="s">
        <v>38</v>
      </c>
      <c r="L807">
        <v>77</v>
      </c>
      <c r="M807">
        <v>2.6</v>
      </c>
      <c r="N807">
        <v>25.51</v>
      </c>
      <c r="O807">
        <v>0.86</v>
      </c>
      <c r="P807">
        <v>2</v>
      </c>
      <c r="Q807">
        <v>0.98</v>
      </c>
      <c r="R807">
        <v>921</v>
      </c>
      <c r="S807">
        <v>2.02</v>
      </c>
      <c r="T807">
        <v>0.68</v>
      </c>
      <c r="U807" s="1">
        <v>45471</v>
      </c>
      <c r="V807">
        <v>215</v>
      </c>
      <c r="W807">
        <v>0.63300000000000001</v>
      </c>
      <c r="X807" t="str">
        <f>IF(WarehouseData[[#This Row],[stock_level]]&lt;=WarehouseData[[#This Row],[reorder_point]],"Low Stock","Sufficient Stock")</f>
        <v>Sufficient Stock</v>
      </c>
      <c r="Y807">
        <f>WarehouseData[[#This Row],[daily_demand]]*WarehouseData[[#This Row],[lead_time_days]]</f>
        <v>216.35999999999999</v>
      </c>
      <c r="Z807" t="str">
        <f>IF(WarehouseData[[#This Row],[stock_level]]&lt;=WarehouseData[[#This Row],[Demand During Lead Time]],"At Risk","Safe")</f>
        <v>Safe</v>
      </c>
      <c r="AA807">
        <f>WarehouseData[[#This Row],[stock_level]]/WarehouseData[[#This Row],[daily_demand]]</f>
        <v>17.720465890183029</v>
      </c>
      <c r="AB807">
        <f>WarehouseData[[#This Row],[stock_level]]*WarehouseData[[#This Row],[unit_price]]</f>
        <v>10867.26</v>
      </c>
      <c r="AC807">
        <f>WarehouseData[[#This Row],[stock_level]]*WarehouseData[[#This Row],[holding_cost_per_unit_day]]*30</f>
        <v>10990.800000000001</v>
      </c>
      <c r="AD807" t="str">
        <f>IF(WarehouseData[[#This Row],[order_fulfillment_rate]]&gt;=0.9,"Strong",IF(WarehouseData[[#This Row],[order_fulfillment_rate]]&gt;=0.8,"Moderate","Needs Attention"))</f>
        <v>Strong</v>
      </c>
      <c r="AE807" t="str">
        <f>IF(WarehouseData[[#This Row],[picking_time_seconds]]&gt;120,"Slow",IF(WarehouseData[[#This Row],[picking_time_seconds]]&gt;=60,"Average","Fast"))</f>
        <v>Average</v>
      </c>
    </row>
    <row r="808" spans="1:31" x14ac:dyDescent="0.25">
      <c r="A808" t="s">
        <v>946</v>
      </c>
      <c r="B808" t="s">
        <v>40</v>
      </c>
      <c r="C808">
        <v>397</v>
      </c>
      <c r="D808">
        <v>70</v>
      </c>
      <c r="E808">
        <v>12</v>
      </c>
      <c r="F808">
        <v>6</v>
      </c>
      <c r="G808">
        <v>38.700000000000003</v>
      </c>
      <c r="H808">
        <v>0.88</v>
      </c>
      <c r="I808">
        <v>0.44</v>
      </c>
      <c r="J808" t="s">
        <v>357</v>
      </c>
      <c r="K808" t="s">
        <v>34</v>
      </c>
      <c r="L808">
        <v>93</v>
      </c>
      <c r="M808">
        <v>3.14</v>
      </c>
      <c r="N808">
        <v>182.96</v>
      </c>
      <c r="O808">
        <v>1.69</v>
      </c>
      <c r="P808">
        <v>0</v>
      </c>
      <c r="Q808">
        <v>0.72</v>
      </c>
      <c r="R808">
        <v>670</v>
      </c>
      <c r="S808">
        <v>2.09</v>
      </c>
      <c r="T808">
        <v>0.33</v>
      </c>
      <c r="U808" s="1">
        <v>45401</v>
      </c>
      <c r="V808">
        <v>297.98</v>
      </c>
      <c r="W808">
        <v>0.46899999999999997</v>
      </c>
      <c r="X808" t="str">
        <f>IF(WarehouseData[[#This Row],[stock_level]]&lt;=WarehouseData[[#This Row],[reorder_point]],"Low Stock","Sufficient Stock")</f>
        <v>Sufficient Stock</v>
      </c>
      <c r="Y808">
        <f>WarehouseData[[#This Row],[daily_demand]]*WarehouseData[[#This Row],[lead_time_days]]</f>
        <v>232.20000000000002</v>
      </c>
      <c r="Z808" t="str">
        <f>IF(WarehouseData[[#This Row],[stock_level]]&lt;=WarehouseData[[#This Row],[Demand During Lead Time]],"At Risk","Safe")</f>
        <v>Safe</v>
      </c>
      <c r="AA808">
        <f>WarehouseData[[#This Row],[stock_level]]/WarehouseData[[#This Row],[daily_demand]]</f>
        <v>10.258397932816537</v>
      </c>
      <c r="AB808">
        <f>WarehouseData[[#This Row],[stock_level]]*WarehouseData[[#This Row],[unit_price]]</f>
        <v>72635.12000000001</v>
      </c>
      <c r="AC808">
        <f>WarehouseData[[#This Row],[stock_level]]*WarehouseData[[#This Row],[holding_cost_per_unit_day]]*30</f>
        <v>20127.899999999998</v>
      </c>
      <c r="AD808" t="str">
        <f>IF(WarehouseData[[#This Row],[order_fulfillment_rate]]&gt;=0.9,"Strong",IF(WarehouseData[[#This Row],[order_fulfillment_rate]]&gt;=0.8,"Moderate","Needs Attention"))</f>
        <v>Needs Attention</v>
      </c>
      <c r="AE808" t="str">
        <f>IF(WarehouseData[[#This Row],[picking_time_seconds]]&gt;120,"Slow",IF(WarehouseData[[#This Row],[picking_time_seconds]]&gt;=60,"Average","Fast"))</f>
        <v>Average</v>
      </c>
    </row>
    <row r="809" spans="1:31" x14ac:dyDescent="0.25">
      <c r="A809" t="s">
        <v>947</v>
      </c>
      <c r="B809" t="s">
        <v>40</v>
      </c>
      <c r="C809">
        <v>186</v>
      </c>
      <c r="D809">
        <v>63</v>
      </c>
      <c r="E809">
        <v>14</v>
      </c>
      <c r="F809">
        <v>3</v>
      </c>
      <c r="G809">
        <v>6.16</v>
      </c>
      <c r="H809">
        <v>2.74</v>
      </c>
      <c r="I809">
        <v>0.83</v>
      </c>
      <c r="J809" t="s">
        <v>334</v>
      </c>
      <c r="K809" t="s">
        <v>52</v>
      </c>
      <c r="L809">
        <v>95</v>
      </c>
      <c r="M809">
        <v>4.2699999999999996</v>
      </c>
      <c r="N809">
        <v>25.12</v>
      </c>
      <c r="O809">
        <v>1.04</v>
      </c>
      <c r="P809">
        <v>1</v>
      </c>
      <c r="Q809">
        <v>0.82</v>
      </c>
      <c r="R809">
        <v>224</v>
      </c>
      <c r="S809">
        <v>10.16</v>
      </c>
      <c r="T809">
        <v>0.28999999999999998</v>
      </c>
      <c r="U809" s="1">
        <v>45613</v>
      </c>
      <c r="V809">
        <v>57.25</v>
      </c>
      <c r="W809">
        <v>0.63300000000000001</v>
      </c>
      <c r="X809" t="str">
        <f>IF(WarehouseData[[#This Row],[stock_level]]&lt;=WarehouseData[[#This Row],[reorder_point]],"Low Stock","Sufficient Stock")</f>
        <v>Sufficient Stock</v>
      </c>
      <c r="Y809">
        <f>WarehouseData[[#This Row],[daily_demand]]*WarehouseData[[#This Row],[lead_time_days]]</f>
        <v>18.48</v>
      </c>
      <c r="Z809" t="str">
        <f>IF(WarehouseData[[#This Row],[stock_level]]&lt;=WarehouseData[[#This Row],[Demand During Lead Time]],"At Risk","Safe")</f>
        <v>Safe</v>
      </c>
      <c r="AA809">
        <f>WarehouseData[[#This Row],[stock_level]]/WarehouseData[[#This Row],[daily_demand]]</f>
        <v>30.194805194805195</v>
      </c>
      <c r="AB809">
        <f>WarehouseData[[#This Row],[stock_level]]*WarehouseData[[#This Row],[unit_price]]</f>
        <v>4672.3200000000006</v>
      </c>
      <c r="AC809">
        <f>WarehouseData[[#This Row],[stock_level]]*WarehouseData[[#This Row],[holding_cost_per_unit_day]]*30</f>
        <v>5803.2</v>
      </c>
      <c r="AD809" t="str">
        <f>IF(WarehouseData[[#This Row],[order_fulfillment_rate]]&gt;=0.9,"Strong",IF(WarehouseData[[#This Row],[order_fulfillment_rate]]&gt;=0.8,"Moderate","Needs Attention"))</f>
        <v>Moderate</v>
      </c>
      <c r="AE809" t="str">
        <f>IF(WarehouseData[[#This Row],[picking_time_seconds]]&gt;120,"Slow",IF(WarehouseData[[#This Row],[picking_time_seconds]]&gt;=60,"Average","Fast"))</f>
        <v>Average</v>
      </c>
    </row>
    <row r="810" spans="1:31" x14ac:dyDescent="0.25">
      <c r="A810" t="s">
        <v>948</v>
      </c>
      <c r="B810" t="s">
        <v>73</v>
      </c>
      <c r="C810">
        <v>145</v>
      </c>
      <c r="D810">
        <v>49</v>
      </c>
      <c r="E810">
        <v>10</v>
      </c>
      <c r="F810">
        <v>4</v>
      </c>
      <c r="G810">
        <v>38.68</v>
      </c>
      <c r="H810">
        <v>4.05</v>
      </c>
      <c r="I810">
        <v>0.63</v>
      </c>
      <c r="J810" t="s">
        <v>245</v>
      </c>
      <c r="K810" t="s">
        <v>52</v>
      </c>
      <c r="L810">
        <v>166</v>
      </c>
      <c r="M810">
        <v>2.95</v>
      </c>
      <c r="N810">
        <v>31.66</v>
      </c>
      <c r="O810">
        <v>0.28000000000000003</v>
      </c>
      <c r="P810">
        <v>3</v>
      </c>
      <c r="Q810">
        <v>0.92</v>
      </c>
      <c r="R810">
        <v>725</v>
      </c>
      <c r="S810">
        <v>13.73</v>
      </c>
      <c r="T810">
        <v>0.48</v>
      </c>
      <c r="U810" s="1">
        <v>45369</v>
      </c>
      <c r="V810">
        <v>109.22</v>
      </c>
      <c r="W810">
        <v>0.77500000000000002</v>
      </c>
      <c r="X810" t="str">
        <f>IF(WarehouseData[[#This Row],[stock_level]]&lt;=WarehouseData[[#This Row],[reorder_point]],"Low Stock","Sufficient Stock")</f>
        <v>Sufficient Stock</v>
      </c>
      <c r="Y810">
        <f>WarehouseData[[#This Row],[daily_demand]]*WarehouseData[[#This Row],[lead_time_days]]</f>
        <v>154.72</v>
      </c>
      <c r="Z810" t="str">
        <f>IF(WarehouseData[[#This Row],[stock_level]]&lt;=WarehouseData[[#This Row],[Demand During Lead Time]],"At Risk","Safe")</f>
        <v>At Risk</v>
      </c>
      <c r="AA810">
        <f>WarehouseData[[#This Row],[stock_level]]/WarehouseData[[#This Row],[daily_demand]]</f>
        <v>3.7487073422957602</v>
      </c>
      <c r="AB810">
        <f>WarehouseData[[#This Row],[stock_level]]*WarehouseData[[#This Row],[unit_price]]</f>
        <v>4590.7</v>
      </c>
      <c r="AC810">
        <f>WarehouseData[[#This Row],[stock_level]]*WarehouseData[[#This Row],[holding_cost_per_unit_day]]*30</f>
        <v>1218</v>
      </c>
      <c r="AD810" t="str">
        <f>IF(WarehouseData[[#This Row],[order_fulfillment_rate]]&gt;=0.9,"Strong",IF(WarehouseData[[#This Row],[order_fulfillment_rate]]&gt;=0.8,"Moderate","Needs Attention"))</f>
        <v>Strong</v>
      </c>
      <c r="AE810" t="str">
        <f>IF(WarehouseData[[#This Row],[picking_time_seconds]]&gt;120,"Slow",IF(WarehouseData[[#This Row],[picking_time_seconds]]&gt;=60,"Average","Fast"))</f>
        <v>Slow</v>
      </c>
    </row>
    <row r="811" spans="1:31" x14ac:dyDescent="0.25">
      <c r="A811" t="s">
        <v>949</v>
      </c>
      <c r="B811" t="s">
        <v>36</v>
      </c>
      <c r="C811">
        <v>332</v>
      </c>
      <c r="D811">
        <v>35</v>
      </c>
      <c r="E811">
        <v>9</v>
      </c>
      <c r="F811">
        <v>2</v>
      </c>
      <c r="G811">
        <v>34.74</v>
      </c>
      <c r="H811">
        <v>2.23</v>
      </c>
      <c r="I811">
        <v>0.67</v>
      </c>
      <c r="J811" t="s">
        <v>62</v>
      </c>
      <c r="K811" t="s">
        <v>46</v>
      </c>
      <c r="L811">
        <v>153</v>
      </c>
      <c r="M811">
        <v>3.82</v>
      </c>
      <c r="N811">
        <v>118.22</v>
      </c>
      <c r="O811">
        <v>0.53</v>
      </c>
      <c r="P811">
        <v>8</v>
      </c>
      <c r="Q811">
        <v>0.9</v>
      </c>
      <c r="R811">
        <v>174</v>
      </c>
      <c r="S811">
        <v>5.03</v>
      </c>
      <c r="T811">
        <v>0.23</v>
      </c>
      <c r="U811" s="1">
        <v>45502</v>
      </c>
      <c r="V811">
        <v>115.4</v>
      </c>
      <c r="W811">
        <v>0.48</v>
      </c>
      <c r="X811" t="str">
        <f>IF(WarehouseData[[#This Row],[stock_level]]&lt;=WarehouseData[[#This Row],[reorder_point]],"Low Stock","Sufficient Stock")</f>
        <v>Sufficient Stock</v>
      </c>
      <c r="Y811">
        <f>WarehouseData[[#This Row],[daily_demand]]*WarehouseData[[#This Row],[lead_time_days]]</f>
        <v>69.48</v>
      </c>
      <c r="Z811" t="str">
        <f>IF(WarehouseData[[#This Row],[stock_level]]&lt;=WarehouseData[[#This Row],[Demand During Lead Time]],"At Risk","Safe")</f>
        <v>Safe</v>
      </c>
      <c r="AA811">
        <f>WarehouseData[[#This Row],[stock_level]]/WarehouseData[[#This Row],[daily_demand]]</f>
        <v>9.5567069660333903</v>
      </c>
      <c r="AB811">
        <f>WarehouseData[[#This Row],[stock_level]]*WarehouseData[[#This Row],[unit_price]]</f>
        <v>39249.040000000001</v>
      </c>
      <c r="AC811">
        <f>WarehouseData[[#This Row],[stock_level]]*WarehouseData[[#This Row],[holding_cost_per_unit_day]]*30</f>
        <v>5278.8</v>
      </c>
      <c r="AD811" t="str">
        <f>IF(WarehouseData[[#This Row],[order_fulfillment_rate]]&gt;=0.9,"Strong",IF(WarehouseData[[#This Row],[order_fulfillment_rate]]&gt;=0.8,"Moderate","Needs Attention"))</f>
        <v>Strong</v>
      </c>
      <c r="AE811" t="str">
        <f>IF(WarehouseData[[#This Row],[picking_time_seconds]]&gt;120,"Slow",IF(WarehouseData[[#This Row],[picking_time_seconds]]&gt;=60,"Average","Fast"))</f>
        <v>Slow</v>
      </c>
    </row>
    <row r="812" spans="1:31" x14ac:dyDescent="0.25">
      <c r="A812" t="s">
        <v>950</v>
      </c>
      <c r="B812" t="s">
        <v>32</v>
      </c>
      <c r="C812">
        <v>100</v>
      </c>
      <c r="D812">
        <v>89</v>
      </c>
      <c r="E812">
        <v>5</v>
      </c>
      <c r="F812">
        <v>8</v>
      </c>
      <c r="G812">
        <v>37.340000000000003</v>
      </c>
      <c r="H812">
        <v>1.19</v>
      </c>
      <c r="I812">
        <v>0.56999999999999995</v>
      </c>
      <c r="J812" t="s">
        <v>265</v>
      </c>
      <c r="K812" t="s">
        <v>52</v>
      </c>
      <c r="L812">
        <v>72</v>
      </c>
      <c r="M812">
        <v>4.0599999999999996</v>
      </c>
      <c r="N812">
        <v>153.79</v>
      </c>
      <c r="O812">
        <v>1.45</v>
      </c>
      <c r="P812">
        <v>0</v>
      </c>
      <c r="Q812">
        <v>0.77</v>
      </c>
      <c r="R812">
        <v>397</v>
      </c>
      <c r="S812">
        <v>4.7699999999999996</v>
      </c>
      <c r="T812">
        <v>0.5</v>
      </c>
      <c r="U812" s="1">
        <v>45607</v>
      </c>
      <c r="V812">
        <v>220.49</v>
      </c>
      <c r="W812">
        <v>0.57299999999999995</v>
      </c>
      <c r="X812" t="str">
        <f>IF(WarehouseData[[#This Row],[stock_level]]&lt;=WarehouseData[[#This Row],[reorder_point]],"Low Stock","Sufficient Stock")</f>
        <v>Sufficient Stock</v>
      </c>
      <c r="Y812">
        <f>WarehouseData[[#This Row],[daily_demand]]*WarehouseData[[#This Row],[lead_time_days]]</f>
        <v>298.72000000000003</v>
      </c>
      <c r="Z812" t="str">
        <f>IF(WarehouseData[[#This Row],[stock_level]]&lt;=WarehouseData[[#This Row],[Demand During Lead Time]],"At Risk","Safe")</f>
        <v>At Risk</v>
      </c>
      <c r="AA812">
        <f>WarehouseData[[#This Row],[stock_level]]/WarehouseData[[#This Row],[daily_demand]]</f>
        <v>2.6780931976432778</v>
      </c>
      <c r="AB812">
        <f>WarehouseData[[#This Row],[stock_level]]*WarehouseData[[#This Row],[unit_price]]</f>
        <v>15379</v>
      </c>
      <c r="AC812">
        <f>WarehouseData[[#This Row],[stock_level]]*WarehouseData[[#This Row],[holding_cost_per_unit_day]]*30</f>
        <v>4350</v>
      </c>
      <c r="AD812" t="str">
        <f>IF(WarehouseData[[#This Row],[order_fulfillment_rate]]&gt;=0.9,"Strong",IF(WarehouseData[[#This Row],[order_fulfillment_rate]]&gt;=0.8,"Moderate","Needs Attention"))</f>
        <v>Needs Attention</v>
      </c>
      <c r="AE812" t="str">
        <f>IF(WarehouseData[[#This Row],[picking_time_seconds]]&gt;120,"Slow",IF(WarehouseData[[#This Row],[picking_time_seconds]]&gt;=60,"Average","Fast"))</f>
        <v>Average</v>
      </c>
    </row>
    <row r="813" spans="1:31" x14ac:dyDescent="0.25">
      <c r="A813" t="s">
        <v>951</v>
      </c>
      <c r="B813" t="s">
        <v>48</v>
      </c>
      <c r="C813">
        <v>437</v>
      </c>
      <c r="D813">
        <v>74</v>
      </c>
      <c r="E813">
        <v>10</v>
      </c>
      <c r="F813">
        <v>3</v>
      </c>
      <c r="G813">
        <v>36.99</v>
      </c>
      <c r="H813">
        <v>2.64</v>
      </c>
      <c r="I813">
        <v>0.84</v>
      </c>
      <c r="J813" t="s">
        <v>126</v>
      </c>
      <c r="K813" t="s">
        <v>46</v>
      </c>
      <c r="L813">
        <v>52</v>
      </c>
      <c r="M813">
        <v>2.81</v>
      </c>
      <c r="N813">
        <v>85.92</v>
      </c>
      <c r="O813">
        <v>1.8</v>
      </c>
      <c r="P813">
        <v>5</v>
      </c>
      <c r="Q813">
        <v>0.75</v>
      </c>
      <c r="R813">
        <v>938</v>
      </c>
      <c r="S813">
        <v>9.65</v>
      </c>
      <c r="T813">
        <v>0.74</v>
      </c>
      <c r="U813" s="1">
        <v>45643</v>
      </c>
      <c r="V813">
        <v>267.11</v>
      </c>
      <c r="W813">
        <v>0.54700000000000004</v>
      </c>
      <c r="X813" t="str">
        <f>IF(WarehouseData[[#This Row],[stock_level]]&lt;=WarehouseData[[#This Row],[reorder_point]],"Low Stock","Sufficient Stock")</f>
        <v>Sufficient Stock</v>
      </c>
      <c r="Y813">
        <f>WarehouseData[[#This Row],[daily_demand]]*WarehouseData[[#This Row],[lead_time_days]]</f>
        <v>110.97</v>
      </c>
      <c r="Z813" t="str">
        <f>IF(WarehouseData[[#This Row],[stock_level]]&lt;=WarehouseData[[#This Row],[Demand During Lead Time]],"At Risk","Safe")</f>
        <v>Safe</v>
      </c>
      <c r="AA813">
        <f>WarehouseData[[#This Row],[stock_level]]/WarehouseData[[#This Row],[daily_demand]]</f>
        <v>11.814003784806705</v>
      </c>
      <c r="AB813">
        <f>WarehouseData[[#This Row],[stock_level]]*WarehouseData[[#This Row],[unit_price]]</f>
        <v>37547.040000000001</v>
      </c>
      <c r="AC813">
        <f>WarehouseData[[#This Row],[stock_level]]*WarehouseData[[#This Row],[holding_cost_per_unit_day]]*30</f>
        <v>23598</v>
      </c>
      <c r="AD813" t="str">
        <f>IF(WarehouseData[[#This Row],[order_fulfillment_rate]]&gt;=0.9,"Strong",IF(WarehouseData[[#This Row],[order_fulfillment_rate]]&gt;=0.8,"Moderate","Needs Attention"))</f>
        <v>Needs Attention</v>
      </c>
      <c r="AE813" t="str">
        <f>IF(WarehouseData[[#This Row],[picking_time_seconds]]&gt;120,"Slow",IF(WarehouseData[[#This Row],[picking_time_seconds]]&gt;=60,"Average","Fast"))</f>
        <v>Fast</v>
      </c>
    </row>
    <row r="814" spans="1:31" x14ac:dyDescent="0.25">
      <c r="A814" t="s">
        <v>952</v>
      </c>
      <c r="B814" t="s">
        <v>73</v>
      </c>
      <c r="C814">
        <v>270</v>
      </c>
      <c r="D814">
        <v>83</v>
      </c>
      <c r="E814">
        <v>4</v>
      </c>
      <c r="F814">
        <v>6</v>
      </c>
      <c r="G814">
        <v>24.06</v>
      </c>
      <c r="H814">
        <v>5.57</v>
      </c>
      <c r="I814">
        <v>0.89</v>
      </c>
      <c r="J814" t="s">
        <v>51</v>
      </c>
      <c r="K814" t="s">
        <v>34</v>
      </c>
      <c r="L814">
        <v>160</v>
      </c>
      <c r="M814">
        <v>2.91</v>
      </c>
      <c r="N814">
        <v>89.91</v>
      </c>
      <c r="O814">
        <v>0.28000000000000003</v>
      </c>
      <c r="P814">
        <v>5</v>
      </c>
      <c r="Q814">
        <v>0.94</v>
      </c>
      <c r="R814">
        <v>416</v>
      </c>
      <c r="S814">
        <v>11.87</v>
      </c>
      <c r="T814">
        <v>0.85</v>
      </c>
      <c r="U814" s="1">
        <v>45518</v>
      </c>
      <c r="V814">
        <v>63.3</v>
      </c>
      <c r="W814">
        <v>0.78800000000000003</v>
      </c>
      <c r="X814" t="str">
        <f>IF(WarehouseData[[#This Row],[stock_level]]&lt;=WarehouseData[[#This Row],[reorder_point]],"Low Stock","Sufficient Stock")</f>
        <v>Sufficient Stock</v>
      </c>
      <c r="Y814">
        <f>WarehouseData[[#This Row],[daily_demand]]*WarehouseData[[#This Row],[lead_time_days]]</f>
        <v>144.35999999999999</v>
      </c>
      <c r="Z814" t="str">
        <f>IF(WarehouseData[[#This Row],[stock_level]]&lt;=WarehouseData[[#This Row],[Demand During Lead Time]],"At Risk","Safe")</f>
        <v>Safe</v>
      </c>
      <c r="AA814">
        <f>WarehouseData[[#This Row],[stock_level]]/WarehouseData[[#This Row],[daily_demand]]</f>
        <v>11.221945137157109</v>
      </c>
      <c r="AB814">
        <f>WarehouseData[[#This Row],[stock_level]]*WarehouseData[[#This Row],[unit_price]]</f>
        <v>24275.7</v>
      </c>
      <c r="AC814">
        <f>WarehouseData[[#This Row],[stock_level]]*WarehouseData[[#This Row],[holding_cost_per_unit_day]]*30</f>
        <v>2268.0000000000005</v>
      </c>
      <c r="AD814" t="str">
        <f>IF(WarehouseData[[#This Row],[order_fulfillment_rate]]&gt;=0.9,"Strong",IF(WarehouseData[[#This Row],[order_fulfillment_rate]]&gt;=0.8,"Moderate","Needs Attention"))</f>
        <v>Strong</v>
      </c>
      <c r="AE814" t="str">
        <f>IF(WarehouseData[[#This Row],[picking_time_seconds]]&gt;120,"Slow",IF(WarehouseData[[#This Row],[picking_time_seconds]]&gt;=60,"Average","Fast"))</f>
        <v>Slow</v>
      </c>
    </row>
    <row r="815" spans="1:31" x14ac:dyDescent="0.25">
      <c r="A815" t="s">
        <v>953</v>
      </c>
      <c r="B815" t="s">
        <v>73</v>
      </c>
      <c r="C815">
        <v>188</v>
      </c>
      <c r="D815">
        <v>73</v>
      </c>
      <c r="E815">
        <v>4</v>
      </c>
      <c r="F815">
        <v>6</v>
      </c>
      <c r="G815">
        <v>11.36</v>
      </c>
      <c r="H815">
        <v>7.11</v>
      </c>
      <c r="I815">
        <v>0.86</v>
      </c>
      <c r="J815" t="s">
        <v>90</v>
      </c>
      <c r="K815" t="s">
        <v>52</v>
      </c>
      <c r="L815">
        <v>167</v>
      </c>
      <c r="M815">
        <v>1.39</v>
      </c>
      <c r="N815">
        <v>130.19999999999999</v>
      </c>
      <c r="O815">
        <v>1.74</v>
      </c>
      <c r="P815">
        <v>9</v>
      </c>
      <c r="Q815">
        <v>0.99</v>
      </c>
      <c r="R815">
        <v>584</v>
      </c>
      <c r="S815">
        <v>13.17</v>
      </c>
      <c r="T815">
        <v>0.66</v>
      </c>
      <c r="U815" s="1">
        <v>45403</v>
      </c>
      <c r="V815">
        <v>216.96</v>
      </c>
      <c r="W815">
        <v>0.55200000000000005</v>
      </c>
      <c r="X815" t="str">
        <f>IF(WarehouseData[[#This Row],[stock_level]]&lt;=WarehouseData[[#This Row],[reorder_point]],"Low Stock","Sufficient Stock")</f>
        <v>Sufficient Stock</v>
      </c>
      <c r="Y815">
        <f>WarehouseData[[#This Row],[daily_demand]]*WarehouseData[[#This Row],[lead_time_days]]</f>
        <v>68.16</v>
      </c>
      <c r="Z815" t="str">
        <f>IF(WarehouseData[[#This Row],[stock_level]]&lt;=WarehouseData[[#This Row],[Demand During Lead Time]],"At Risk","Safe")</f>
        <v>Safe</v>
      </c>
      <c r="AA815">
        <f>WarehouseData[[#This Row],[stock_level]]/WarehouseData[[#This Row],[daily_demand]]</f>
        <v>16.549295774647888</v>
      </c>
      <c r="AB815">
        <f>WarehouseData[[#This Row],[stock_level]]*WarehouseData[[#This Row],[unit_price]]</f>
        <v>24477.599999999999</v>
      </c>
      <c r="AC815">
        <f>WarehouseData[[#This Row],[stock_level]]*WarehouseData[[#This Row],[holding_cost_per_unit_day]]*30</f>
        <v>9813.6</v>
      </c>
      <c r="AD815" t="str">
        <f>IF(WarehouseData[[#This Row],[order_fulfillment_rate]]&gt;=0.9,"Strong",IF(WarehouseData[[#This Row],[order_fulfillment_rate]]&gt;=0.8,"Moderate","Needs Attention"))</f>
        <v>Strong</v>
      </c>
      <c r="AE815" t="str">
        <f>IF(WarehouseData[[#This Row],[picking_time_seconds]]&gt;120,"Slow",IF(WarehouseData[[#This Row],[picking_time_seconds]]&gt;=60,"Average","Fast"))</f>
        <v>Slow</v>
      </c>
    </row>
    <row r="816" spans="1:31" x14ac:dyDescent="0.25">
      <c r="A816" t="s">
        <v>954</v>
      </c>
      <c r="B816" t="s">
        <v>48</v>
      </c>
      <c r="C816">
        <v>496</v>
      </c>
      <c r="D816">
        <v>52</v>
      </c>
      <c r="E816">
        <v>13</v>
      </c>
      <c r="F816">
        <v>2</v>
      </c>
      <c r="G816">
        <v>27.29</v>
      </c>
      <c r="H816">
        <v>7.85</v>
      </c>
      <c r="I816">
        <v>0.83</v>
      </c>
      <c r="J816" t="s">
        <v>160</v>
      </c>
      <c r="K816" t="s">
        <v>52</v>
      </c>
      <c r="L816">
        <v>39</v>
      </c>
      <c r="M816">
        <v>1.6</v>
      </c>
      <c r="N816">
        <v>106.03</v>
      </c>
      <c r="O816">
        <v>1.62</v>
      </c>
      <c r="P816">
        <v>2</v>
      </c>
      <c r="Q816">
        <v>0.93</v>
      </c>
      <c r="R816">
        <v>464</v>
      </c>
      <c r="S816">
        <v>4.5</v>
      </c>
      <c r="T816">
        <v>0.75</v>
      </c>
      <c r="U816" s="1">
        <v>45336</v>
      </c>
      <c r="V816">
        <v>273.79000000000002</v>
      </c>
      <c r="W816">
        <v>0.59399999999999997</v>
      </c>
      <c r="X816" t="str">
        <f>IF(WarehouseData[[#This Row],[stock_level]]&lt;=WarehouseData[[#This Row],[reorder_point]],"Low Stock","Sufficient Stock")</f>
        <v>Sufficient Stock</v>
      </c>
      <c r="Y816">
        <f>WarehouseData[[#This Row],[daily_demand]]*WarehouseData[[#This Row],[lead_time_days]]</f>
        <v>54.58</v>
      </c>
      <c r="Z816" t="str">
        <f>IF(WarehouseData[[#This Row],[stock_level]]&lt;=WarehouseData[[#This Row],[Demand During Lead Time]],"At Risk","Safe")</f>
        <v>Safe</v>
      </c>
      <c r="AA816">
        <f>WarehouseData[[#This Row],[stock_level]]/WarehouseData[[#This Row],[daily_demand]]</f>
        <v>18.175155734701356</v>
      </c>
      <c r="AB816">
        <f>WarehouseData[[#This Row],[stock_level]]*WarehouseData[[#This Row],[unit_price]]</f>
        <v>52590.879999999997</v>
      </c>
      <c r="AC816">
        <f>WarehouseData[[#This Row],[stock_level]]*WarehouseData[[#This Row],[holding_cost_per_unit_day]]*30</f>
        <v>24105.600000000002</v>
      </c>
      <c r="AD816" t="str">
        <f>IF(WarehouseData[[#This Row],[order_fulfillment_rate]]&gt;=0.9,"Strong",IF(WarehouseData[[#This Row],[order_fulfillment_rate]]&gt;=0.8,"Moderate","Needs Attention"))</f>
        <v>Strong</v>
      </c>
      <c r="AE816" t="str">
        <f>IF(WarehouseData[[#This Row],[picking_time_seconds]]&gt;120,"Slow",IF(WarehouseData[[#This Row],[picking_time_seconds]]&gt;=60,"Average","Fast"))</f>
        <v>Fast</v>
      </c>
    </row>
    <row r="817" spans="1:31" x14ac:dyDescent="0.25">
      <c r="A817" t="s">
        <v>955</v>
      </c>
      <c r="B817" t="s">
        <v>32</v>
      </c>
      <c r="C817">
        <v>92</v>
      </c>
      <c r="D817">
        <v>26</v>
      </c>
      <c r="E817">
        <v>12</v>
      </c>
      <c r="F817">
        <v>6</v>
      </c>
      <c r="G817">
        <v>47.94</v>
      </c>
      <c r="H817">
        <v>0.91</v>
      </c>
      <c r="I817">
        <v>0.26</v>
      </c>
      <c r="J817" t="s">
        <v>215</v>
      </c>
      <c r="K817" t="s">
        <v>46</v>
      </c>
      <c r="L817">
        <v>76</v>
      </c>
      <c r="M817">
        <v>4.57</v>
      </c>
      <c r="N817">
        <v>13.54</v>
      </c>
      <c r="O817">
        <v>0.78</v>
      </c>
      <c r="P817">
        <v>9</v>
      </c>
      <c r="Q817">
        <v>0.99</v>
      </c>
      <c r="R817">
        <v>927</v>
      </c>
      <c r="S817">
        <v>11.36</v>
      </c>
      <c r="T817">
        <v>0.87</v>
      </c>
      <c r="U817" s="1">
        <v>45343</v>
      </c>
      <c r="V817">
        <v>45.18</v>
      </c>
      <c r="W817">
        <v>0.66500000000000004</v>
      </c>
      <c r="X817" t="str">
        <f>IF(WarehouseData[[#This Row],[stock_level]]&lt;=WarehouseData[[#This Row],[reorder_point]],"Low Stock","Sufficient Stock")</f>
        <v>Sufficient Stock</v>
      </c>
      <c r="Y817">
        <f>WarehouseData[[#This Row],[daily_demand]]*WarehouseData[[#This Row],[lead_time_days]]</f>
        <v>287.64</v>
      </c>
      <c r="Z817" t="str">
        <f>IF(WarehouseData[[#This Row],[stock_level]]&lt;=WarehouseData[[#This Row],[Demand During Lead Time]],"At Risk","Safe")</f>
        <v>At Risk</v>
      </c>
      <c r="AA817">
        <f>WarehouseData[[#This Row],[stock_level]]/WarehouseData[[#This Row],[daily_demand]]</f>
        <v>1.9190654985398417</v>
      </c>
      <c r="AB817">
        <f>WarehouseData[[#This Row],[stock_level]]*WarehouseData[[#This Row],[unit_price]]</f>
        <v>1245.6799999999998</v>
      </c>
      <c r="AC817">
        <f>WarehouseData[[#This Row],[stock_level]]*WarehouseData[[#This Row],[holding_cost_per_unit_day]]*30</f>
        <v>2152.8000000000002</v>
      </c>
      <c r="AD817" t="str">
        <f>IF(WarehouseData[[#This Row],[order_fulfillment_rate]]&gt;=0.9,"Strong",IF(WarehouseData[[#This Row],[order_fulfillment_rate]]&gt;=0.8,"Moderate","Needs Attention"))</f>
        <v>Strong</v>
      </c>
      <c r="AE817" t="str">
        <f>IF(WarehouseData[[#This Row],[picking_time_seconds]]&gt;120,"Slow",IF(WarehouseData[[#This Row],[picking_time_seconds]]&gt;=60,"Average","Fast"))</f>
        <v>Average</v>
      </c>
    </row>
    <row r="818" spans="1:31" x14ac:dyDescent="0.25">
      <c r="A818" t="s">
        <v>956</v>
      </c>
      <c r="B818" t="s">
        <v>73</v>
      </c>
      <c r="C818">
        <v>160</v>
      </c>
      <c r="D818">
        <v>68</v>
      </c>
      <c r="E818">
        <v>5</v>
      </c>
      <c r="F818">
        <v>7</v>
      </c>
      <c r="G818">
        <v>29.84</v>
      </c>
      <c r="H818">
        <v>4.57</v>
      </c>
      <c r="I818">
        <v>0.63</v>
      </c>
      <c r="J818" t="s">
        <v>90</v>
      </c>
      <c r="K818" t="s">
        <v>52</v>
      </c>
      <c r="L818">
        <v>33</v>
      </c>
      <c r="M818">
        <v>4.28</v>
      </c>
      <c r="N818">
        <v>31.58</v>
      </c>
      <c r="O818">
        <v>1.41</v>
      </c>
      <c r="P818">
        <v>8</v>
      </c>
      <c r="Q818">
        <v>0.88</v>
      </c>
      <c r="R818">
        <v>892</v>
      </c>
      <c r="S818">
        <v>5.3</v>
      </c>
      <c r="T818">
        <v>0.82</v>
      </c>
      <c r="U818" s="1">
        <v>45363</v>
      </c>
      <c r="V818">
        <v>194.17</v>
      </c>
      <c r="W818">
        <v>0.51</v>
      </c>
      <c r="X818" t="str">
        <f>IF(WarehouseData[[#This Row],[stock_level]]&lt;=WarehouseData[[#This Row],[reorder_point]],"Low Stock","Sufficient Stock")</f>
        <v>Sufficient Stock</v>
      </c>
      <c r="Y818">
        <f>WarehouseData[[#This Row],[daily_demand]]*WarehouseData[[#This Row],[lead_time_days]]</f>
        <v>208.88</v>
      </c>
      <c r="Z818" t="str">
        <f>IF(WarehouseData[[#This Row],[stock_level]]&lt;=WarehouseData[[#This Row],[Demand During Lead Time]],"At Risk","Safe")</f>
        <v>At Risk</v>
      </c>
      <c r="AA818">
        <f>WarehouseData[[#This Row],[stock_level]]/WarehouseData[[#This Row],[daily_demand]]</f>
        <v>5.3619302949061662</v>
      </c>
      <c r="AB818">
        <f>WarehouseData[[#This Row],[stock_level]]*WarehouseData[[#This Row],[unit_price]]</f>
        <v>5052.7999999999993</v>
      </c>
      <c r="AC818">
        <f>WarehouseData[[#This Row],[stock_level]]*WarehouseData[[#This Row],[holding_cost_per_unit_day]]*30</f>
        <v>6768</v>
      </c>
      <c r="AD818" t="str">
        <f>IF(WarehouseData[[#This Row],[order_fulfillment_rate]]&gt;=0.9,"Strong",IF(WarehouseData[[#This Row],[order_fulfillment_rate]]&gt;=0.8,"Moderate","Needs Attention"))</f>
        <v>Moderate</v>
      </c>
      <c r="AE818" t="str">
        <f>IF(WarehouseData[[#This Row],[picking_time_seconds]]&gt;120,"Slow",IF(WarehouseData[[#This Row],[picking_time_seconds]]&gt;=60,"Average","Fast"))</f>
        <v>Fast</v>
      </c>
    </row>
    <row r="819" spans="1:31" x14ac:dyDescent="0.25">
      <c r="A819" t="s">
        <v>957</v>
      </c>
      <c r="B819" t="s">
        <v>73</v>
      </c>
      <c r="C819">
        <v>89</v>
      </c>
      <c r="D819">
        <v>32</v>
      </c>
      <c r="E819">
        <v>9</v>
      </c>
      <c r="F819">
        <v>6</v>
      </c>
      <c r="G819">
        <v>1.54</v>
      </c>
      <c r="H819">
        <v>1.66</v>
      </c>
      <c r="I819">
        <v>0.62</v>
      </c>
      <c r="J819" t="s">
        <v>131</v>
      </c>
      <c r="K819" t="s">
        <v>38</v>
      </c>
      <c r="L819">
        <v>110</v>
      </c>
      <c r="M819">
        <v>0.55000000000000004</v>
      </c>
      <c r="N819">
        <v>120.5</v>
      </c>
      <c r="O819">
        <v>0.46</v>
      </c>
      <c r="P819">
        <v>9</v>
      </c>
      <c r="Q819">
        <v>0.98</v>
      </c>
      <c r="R819">
        <v>623</v>
      </c>
      <c r="S819">
        <v>8.6300000000000008</v>
      </c>
      <c r="T819">
        <v>0.46</v>
      </c>
      <c r="U819" s="1">
        <v>45355</v>
      </c>
      <c r="V819">
        <v>68.69</v>
      </c>
      <c r="W819">
        <v>0.57699999999999996</v>
      </c>
      <c r="X819" t="str">
        <f>IF(WarehouseData[[#This Row],[stock_level]]&lt;=WarehouseData[[#This Row],[reorder_point]],"Low Stock","Sufficient Stock")</f>
        <v>Sufficient Stock</v>
      </c>
      <c r="Y819">
        <f>WarehouseData[[#This Row],[daily_demand]]*WarehouseData[[#This Row],[lead_time_days]]</f>
        <v>9.24</v>
      </c>
      <c r="Z819" t="str">
        <f>IF(WarehouseData[[#This Row],[stock_level]]&lt;=WarehouseData[[#This Row],[Demand During Lead Time]],"At Risk","Safe")</f>
        <v>Safe</v>
      </c>
      <c r="AA819">
        <f>WarehouseData[[#This Row],[stock_level]]/WarehouseData[[#This Row],[daily_demand]]</f>
        <v>57.79220779220779</v>
      </c>
      <c r="AB819">
        <f>WarehouseData[[#This Row],[stock_level]]*WarehouseData[[#This Row],[unit_price]]</f>
        <v>10724.5</v>
      </c>
      <c r="AC819">
        <f>WarehouseData[[#This Row],[stock_level]]*WarehouseData[[#This Row],[holding_cost_per_unit_day]]*30</f>
        <v>1228.2</v>
      </c>
      <c r="AD819" t="str">
        <f>IF(WarehouseData[[#This Row],[order_fulfillment_rate]]&gt;=0.9,"Strong",IF(WarehouseData[[#This Row],[order_fulfillment_rate]]&gt;=0.8,"Moderate","Needs Attention"))</f>
        <v>Strong</v>
      </c>
      <c r="AE819" t="str">
        <f>IF(WarehouseData[[#This Row],[picking_time_seconds]]&gt;120,"Slow",IF(WarehouseData[[#This Row],[picking_time_seconds]]&gt;=60,"Average","Fast"))</f>
        <v>Average</v>
      </c>
    </row>
    <row r="820" spans="1:31" x14ac:dyDescent="0.25">
      <c r="A820" t="s">
        <v>958</v>
      </c>
      <c r="B820" t="s">
        <v>36</v>
      </c>
      <c r="C820">
        <v>281</v>
      </c>
      <c r="D820">
        <v>16</v>
      </c>
      <c r="E820">
        <v>3</v>
      </c>
      <c r="F820">
        <v>5</v>
      </c>
      <c r="G820">
        <v>3.93</v>
      </c>
      <c r="H820">
        <v>4.5999999999999996</v>
      </c>
      <c r="I820">
        <v>0.57999999999999996</v>
      </c>
      <c r="J820" t="s">
        <v>263</v>
      </c>
      <c r="K820" t="s">
        <v>34</v>
      </c>
      <c r="L820">
        <v>115</v>
      </c>
      <c r="M820">
        <v>4.41</v>
      </c>
      <c r="N820">
        <v>160.80000000000001</v>
      </c>
      <c r="O820">
        <v>1.65</v>
      </c>
      <c r="P820">
        <v>2</v>
      </c>
      <c r="Q820">
        <v>0.91</v>
      </c>
      <c r="R820">
        <v>773</v>
      </c>
      <c r="S820">
        <v>3.67</v>
      </c>
      <c r="T820">
        <v>0.66</v>
      </c>
      <c r="U820" s="1">
        <v>45593</v>
      </c>
      <c r="V820">
        <v>137.93</v>
      </c>
      <c r="W820">
        <v>0.55800000000000005</v>
      </c>
      <c r="X820" t="str">
        <f>IF(WarehouseData[[#This Row],[stock_level]]&lt;=WarehouseData[[#This Row],[reorder_point]],"Low Stock","Sufficient Stock")</f>
        <v>Sufficient Stock</v>
      </c>
      <c r="Y820">
        <f>WarehouseData[[#This Row],[daily_demand]]*WarehouseData[[#This Row],[lead_time_days]]</f>
        <v>19.650000000000002</v>
      </c>
      <c r="Z820" t="str">
        <f>IF(WarehouseData[[#This Row],[stock_level]]&lt;=WarehouseData[[#This Row],[Demand During Lead Time]],"At Risk","Safe")</f>
        <v>Safe</v>
      </c>
      <c r="AA820">
        <f>WarehouseData[[#This Row],[stock_level]]/WarehouseData[[#This Row],[daily_demand]]</f>
        <v>71.501272264631041</v>
      </c>
      <c r="AB820">
        <f>WarehouseData[[#This Row],[stock_level]]*WarehouseData[[#This Row],[unit_price]]</f>
        <v>45184.800000000003</v>
      </c>
      <c r="AC820">
        <f>WarehouseData[[#This Row],[stock_level]]*WarehouseData[[#This Row],[holding_cost_per_unit_day]]*30</f>
        <v>13909.5</v>
      </c>
      <c r="AD820" t="str">
        <f>IF(WarehouseData[[#This Row],[order_fulfillment_rate]]&gt;=0.9,"Strong",IF(WarehouseData[[#This Row],[order_fulfillment_rate]]&gt;=0.8,"Moderate","Needs Attention"))</f>
        <v>Strong</v>
      </c>
      <c r="AE820" t="str">
        <f>IF(WarehouseData[[#This Row],[picking_time_seconds]]&gt;120,"Slow",IF(WarehouseData[[#This Row],[picking_time_seconds]]&gt;=60,"Average","Fast"))</f>
        <v>Average</v>
      </c>
    </row>
    <row r="821" spans="1:31" x14ac:dyDescent="0.25">
      <c r="A821" t="s">
        <v>959</v>
      </c>
      <c r="B821" t="s">
        <v>32</v>
      </c>
      <c r="C821">
        <v>359</v>
      </c>
      <c r="D821">
        <v>53</v>
      </c>
      <c r="E821">
        <v>10</v>
      </c>
      <c r="F821">
        <v>9</v>
      </c>
      <c r="G821">
        <v>49.65</v>
      </c>
      <c r="H821">
        <v>4.62</v>
      </c>
      <c r="I821">
        <v>0.53</v>
      </c>
      <c r="J821" t="s">
        <v>41</v>
      </c>
      <c r="K821" t="s">
        <v>38</v>
      </c>
      <c r="L821">
        <v>110</v>
      </c>
      <c r="M821">
        <v>0.61</v>
      </c>
      <c r="N821">
        <v>154.99</v>
      </c>
      <c r="O821">
        <v>1.35</v>
      </c>
      <c r="P821">
        <v>0</v>
      </c>
      <c r="Q821">
        <v>0.97</v>
      </c>
      <c r="R821">
        <v>301</v>
      </c>
      <c r="S821">
        <v>3.04</v>
      </c>
      <c r="T821">
        <v>0.41</v>
      </c>
      <c r="U821" s="1">
        <v>45488</v>
      </c>
      <c r="V821">
        <v>46.77</v>
      </c>
      <c r="W821">
        <v>0.58199999999999996</v>
      </c>
      <c r="X821" t="str">
        <f>IF(WarehouseData[[#This Row],[stock_level]]&lt;=WarehouseData[[#This Row],[reorder_point]],"Low Stock","Sufficient Stock")</f>
        <v>Sufficient Stock</v>
      </c>
      <c r="Y821">
        <f>WarehouseData[[#This Row],[daily_demand]]*WarehouseData[[#This Row],[lead_time_days]]</f>
        <v>446.84999999999997</v>
      </c>
      <c r="Z821" t="str">
        <f>IF(WarehouseData[[#This Row],[stock_level]]&lt;=WarehouseData[[#This Row],[Demand During Lead Time]],"At Risk","Safe")</f>
        <v>At Risk</v>
      </c>
      <c r="AA821">
        <f>WarehouseData[[#This Row],[stock_level]]/WarehouseData[[#This Row],[daily_demand]]</f>
        <v>7.2306143001007053</v>
      </c>
      <c r="AB821">
        <f>WarehouseData[[#This Row],[stock_level]]*WarehouseData[[#This Row],[unit_price]]</f>
        <v>55641.41</v>
      </c>
      <c r="AC821">
        <f>WarehouseData[[#This Row],[stock_level]]*WarehouseData[[#This Row],[holding_cost_per_unit_day]]*30</f>
        <v>14539.500000000002</v>
      </c>
      <c r="AD821" t="str">
        <f>IF(WarehouseData[[#This Row],[order_fulfillment_rate]]&gt;=0.9,"Strong",IF(WarehouseData[[#This Row],[order_fulfillment_rate]]&gt;=0.8,"Moderate","Needs Attention"))</f>
        <v>Strong</v>
      </c>
      <c r="AE821" t="str">
        <f>IF(WarehouseData[[#This Row],[picking_time_seconds]]&gt;120,"Slow",IF(WarehouseData[[#This Row],[picking_time_seconds]]&gt;=60,"Average","Fast"))</f>
        <v>Average</v>
      </c>
    </row>
    <row r="822" spans="1:31" x14ac:dyDescent="0.25">
      <c r="A822" t="s">
        <v>960</v>
      </c>
      <c r="B822" t="s">
        <v>73</v>
      </c>
      <c r="C822">
        <v>327</v>
      </c>
      <c r="D822">
        <v>62</v>
      </c>
      <c r="E822">
        <v>14</v>
      </c>
      <c r="F822">
        <v>4</v>
      </c>
      <c r="G822">
        <v>4.53</v>
      </c>
      <c r="H822">
        <v>5.23</v>
      </c>
      <c r="I822">
        <v>0.18</v>
      </c>
      <c r="J822" t="s">
        <v>49</v>
      </c>
      <c r="K822" t="s">
        <v>46</v>
      </c>
      <c r="L822">
        <v>17</v>
      </c>
      <c r="M822">
        <v>2.56</v>
      </c>
      <c r="N822">
        <v>150.61000000000001</v>
      </c>
      <c r="O822">
        <v>0.93</v>
      </c>
      <c r="P822">
        <v>1</v>
      </c>
      <c r="Q822">
        <v>0.75</v>
      </c>
      <c r="R822">
        <v>657</v>
      </c>
      <c r="S822">
        <v>14.09</v>
      </c>
      <c r="T822">
        <v>0.66</v>
      </c>
      <c r="U822" s="1">
        <v>45471</v>
      </c>
      <c r="V822">
        <v>208.25</v>
      </c>
      <c r="W822">
        <v>0.75700000000000001</v>
      </c>
      <c r="X822" t="str">
        <f>IF(WarehouseData[[#This Row],[stock_level]]&lt;=WarehouseData[[#This Row],[reorder_point]],"Low Stock","Sufficient Stock")</f>
        <v>Sufficient Stock</v>
      </c>
      <c r="Y822">
        <f>WarehouseData[[#This Row],[daily_demand]]*WarehouseData[[#This Row],[lead_time_days]]</f>
        <v>18.12</v>
      </c>
      <c r="Z822" t="str">
        <f>IF(WarehouseData[[#This Row],[stock_level]]&lt;=WarehouseData[[#This Row],[Demand During Lead Time]],"At Risk","Safe")</f>
        <v>Safe</v>
      </c>
      <c r="AA822">
        <f>WarehouseData[[#This Row],[stock_level]]/WarehouseData[[#This Row],[daily_demand]]</f>
        <v>72.185430463576154</v>
      </c>
      <c r="AB822">
        <f>WarehouseData[[#This Row],[stock_level]]*WarehouseData[[#This Row],[unit_price]]</f>
        <v>49249.47</v>
      </c>
      <c r="AC822">
        <f>WarehouseData[[#This Row],[stock_level]]*WarehouseData[[#This Row],[holding_cost_per_unit_day]]*30</f>
        <v>9123.3000000000011</v>
      </c>
      <c r="AD822" t="str">
        <f>IF(WarehouseData[[#This Row],[order_fulfillment_rate]]&gt;=0.9,"Strong",IF(WarehouseData[[#This Row],[order_fulfillment_rate]]&gt;=0.8,"Moderate","Needs Attention"))</f>
        <v>Needs Attention</v>
      </c>
      <c r="AE822" t="str">
        <f>IF(WarehouseData[[#This Row],[picking_time_seconds]]&gt;120,"Slow",IF(WarehouseData[[#This Row],[picking_time_seconds]]&gt;=60,"Average","Fast"))</f>
        <v>Fast</v>
      </c>
    </row>
    <row r="823" spans="1:31" x14ac:dyDescent="0.25">
      <c r="A823" t="s">
        <v>961</v>
      </c>
      <c r="B823" t="s">
        <v>32</v>
      </c>
      <c r="C823">
        <v>264</v>
      </c>
      <c r="D823">
        <v>80</v>
      </c>
      <c r="E823">
        <v>9</v>
      </c>
      <c r="F823">
        <v>6</v>
      </c>
      <c r="G823">
        <v>3.26</v>
      </c>
      <c r="H823">
        <v>8.98</v>
      </c>
      <c r="I823">
        <v>0.19</v>
      </c>
      <c r="J823" t="s">
        <v>86</v>
      </c>
      <c r="K823" t="s">
        <v>46</v>
      </c>
      <c r="L823">
        <v>105</v>
      </c>
      <c r="M823">
        <v>0.8</v>
      </c>
      <c r="N823">
        <v>156.54</v>
      </c>
      <c r="O823">
        <v>1.74</v>
      </c>
      <c r="P823">
        <v>3</v>
      </c>
      <c r="Q823">
        <v>0.94</v>
      </c>
      <c r="R823">
        <v>770</v>
      </c>
      <c r="S823">
        <v>8.66</v>
      </c>
      <c r="T823">
        <v>0.54</v>
      </c>
      <c r="U823" s="1">
        <v>45511</v>
      </c>
      <c r="V823">
        <v>126.4</v>
      </c>
      <c r="W823">
        <v>0.57699999999999996</v>
      </c>
      <c r="X823" t="str">
        <f>IF(WarehouseData[[#This Row],[stock_level]]&lt;=WarehouseData[[#This Row],[reorder_point]],"Low Stock","Sufficient Stock")</f>
        <v>Sufficient Stock</v>
      </c>
      <c r="Y823">
        <f>WarehouseData[[#This Row],[daily_demand]]*WarehouseData[[#This Row],[lead_time_days]]</f>
        <v>19.559999999999999</v>
      </c>
      <c r="Z823" t="str">
        <f>IF(WarehouseData[[#This Row],[stock_level]]&lt;=WarehouseData[[#This Row],[Demand During Lead Time]],"At Risk","Safe")</f>
        <v>Safe</v>
      </c>
      <c r="AA823">
        <f>WarehouseData[[#This Row],[stock_level]]/WarehouseData[[#This Row],[daily_demand]]</f>
        <v>80.981595092024548</v>
      </c>
      <c r="AB823">
        <f>WarehouseData[[#This Row],[stock_level]]*WarehouseData[[#This Row],[unit_price]]</f>
        <v>41326.559999999998</v>
      </c>
      <c r="AC823">
        <f>WarehouseData[[#This Row],[stock_level]]*WarehouseData[[#This Row],[holding_cost_per_unit_day]]*30</f>
        <v>13780.800000000001</v>
      </c>
      <c r="AD823" t="str">
        <f>IF(WarehouseData[[#This Row],[order_fulfillment_rate]]&gt;=0.9,"Strong",IF(WarehouseData[[#This Row],[order_fulfillment_rate]]&gt;=0.8,"Moderate","Needs Attention"))</f>
        <v>Strong</v>
      </c>
      <c r="AE823" t="str">
        <f>IF(WarehouseData[[#This Row],[picking_time_seconds]]&gt;120,"Slow",IF(WarehouseData[[#This Row],[picking_time_seconds]]&gt;=60,"Average","Fast"))</f>
        <v>Average</v>
      </c>
    </row>
    <row r="824" spans="1:31" x14ac:dyDescent="0.25">
      <c r="A824" t="s">
        <v>962</v>
      </c>
      <c r="B824" t="s">
        <v>48</v>
      </c>
      <c r="C824">
        <v>22</v>
      </c>
      <c r="D824">
        <v>88</v>
      </c>
      <c r="E824">
        <v>6</v>
      </c>
      <c r="F824">
        <v>9</v>
      </c>
      <c r="G824">
        <v>18.3</v>
      </c>
      <c r="H824">
        <v>8.15</v>
      </c>
      <c r="I824">
        <v>0.91</v>
      </c>
      <c r="J824" t="s">
        <v>334</v>
      </c>
      <c r="K824" t="s">
        <v>46</v>
      </c>
      <c r="L824">
        <v>171</v>
      </c>
      <c r="M824">
        <v>4.8600000000000003</v>
      </c>
      <c r="N824">
        <v>18.440000000000001</v>
      </c>
      <c r="O824">
        <v>0.36</v>
      </c>
      <c r="P824">
        <v>3</v>
      </c>
      <c r="Q824">
        <v>0.76</v>
      </c>
      <c r="R824">
        <v>618</v>
      </c>
      <c r="S824">
        <v>1.06</v>
      </c>
      <c r="T824">
        <v>0.5</v>
      </c>
      <c r="U824" s="1">
        <v>45453</v>
      </c>
      <c r="V824">
        <v>174.5</v>
      </c>
      <c r="W824">
        <v>0.56999999999999995</v>
      </c>
      <c r="X824" t="str">
        <f>IF(WarehouseData[[#This Row],[stock_level]]&lt;=WarehouseData[[#This Row],[reorder_point]],"Low Stock","Sufficient Stock")</f>
        <v>Low Stock</v>
      </c>
      <c r="Y824">
        <f>WarehouseData[[#This Row],[daily_demand]]*WarehouseData[[#This Row],[lead_time_days]]</f>
        <v>164.70000000000002</v>
      </c>
      <c r="Z824" t="str">
        <f>IF(WarehouseData[[#This Row],[stock_level]]&lt;=WarehouseData[[#This Row],[Demand During Lead Time]],"At Risk","Safe")</f>
        <v>At Risk</v>
      </c>
      <c r="AA824">
        <f>WarehouseData[[#This Row],[stock_level]]/WarehouseData[[#This Row],[daily_demand]]</f>
        <v>1.2021857923497268</v>
      </c>
      <c r="AB824">
        <f>WarehouseData[[#This Row],[stock_level]]*WarehouseData[[#This Row],[unit_price]]</f>
        <v>405.68</v>
      </c>
      <c r="AC824">
        <f>WarehouseData[[#This Row],[stock_level]]*WarehouseData[[#This Row],[holding_cost_per_unit_day]]*30</f>
        <v>237.6</v>
      </c>
      <c r="AD824" t="str">
        <f>IF(WarehouseData[[#This Row],[order_fulfillment_rate]]&gt;=0.9,"Strong",IF(WarehouseData[[#This Row],[order_fulfillment_rate]]&gt;=0.8,"Moderate","Needs Attention"))</f>
        <v>Needs Attention</v>
      </c>
      <c r="AE824" t="str">
        <f>IF(WarehouseData[[#This Row],[picking_time_seconds]]&gt;120,"Slow",IF(WarehouseData[[#This Row],[picking_time_seconds]]&gt;=60,"Average","Fast"))</f>
        <v>Slow</v>
      </c>
    </row>
    <row r="825" spans="1:31" x14ac:dyDescent="0.25">
      <c r="A825" t="s">
        <v>963</v>
      </c>
      <c r="B825" t="s">
        <v>40</v>
      </c>
      <c r="C825">
        <v>356</v>
      </c>
      <c r="D825">
        <v>43</v>
      </c>
      <c r="E825">
        <v>7</v>
      </c>
      <c r="F825">
        <v>9</v>
      </c>
      <c r="G825">
        <v>48.5</v>
      </c>
      <c r="H825">
        <v>6.55</v>
      </c>
      <c r="I825">
        <v>0.67</v>
      </c>
      <c r="J825" t="s">
        <v>150</v>
      </c>
      <c r="K825" t="s">
        <v>34</v>
      </c>
      <c r="L825">
        <v>44</v>
      </c>
      <c r="M825">
        <v>4.88</v>
      </c>
      <c r="N825">
        <v>180.07</v>
      </c>
      <c r="O825">
        <v>1.71</v>
      </c>
      <c r="P825">
        <v>1</v>
      </c>
      <c r="Q825">
        <v>0.71</v>
      </c>
      <c r="R825">
        <v>283</v>
      </c>
      <c r="S825">
        <v>12.11</v>
      </c>
      <c r="T825">
        <v>0.35</v>
      </c>
      <c r="U825" s="1">
        <v>45363</v>
      </c>
      <c r="V825">
        <v>161.83000000000001</v>
      </c>
      <c r="W825">
        <v>0.58199999999999996</v>
      </c>
      <c r="X825" t="str">
        <f>IF(WarehouseData[[#This Row],[stock_level]]&lt;=WarehouseData[[#This Row],[reorder_point]],"Low Stock","Sufficient Stock")</f>
        <v>Sufficient Stock</v>
      </c>
      <c r="Y825">
        <f>WarehouseData[[#This Row],[daily_demand]]*WarehouseData[[#This Row],[lead_time_days]]</f>
        <v>436.5</v>
      </c>
      <c r="Z825" t="str">
        <f>IF(WarehouseData[[#This Row],[stock_level]]&lt;=WarehouseData[[#This Row],[Demand During Lead Time]],"At Risk","Safe")</f>
        <v>At Risk</v>
      </c>
      <c r="AA825">
        <f>WarehouseData[[#This Row],[stock_level]]/WarehouseData[[#This Row],[daily_demand]]</f>
        <v>7.34020618556701</v>
      </c>
      <c r="AB825">
        <f>WarehouseData[[#This Row],[stock_level]]*WarehouseData[[#This Row],[unit_price]]</f>
        <v>64104.92</v>
      </c>
      <c r="AC825">
        <f>WarehouseData[[#This Row],[stock_level]]*WarehouseData[[#This Row],[holding_cost_per_unit_day]]*30</f>
        <v>18262.8</v>
      </c>
      <c r="AD825" t="str">
        <f>IF(WarehouseData[[#This Row],[order_fulfillment_rate]]&gt;=0.9,"Strong",IF(WarehouseData[[#This Row],[order_fulfillment_rate]]&gt;=0.8,"Moderate","Needs Attention"))</f>
        <v>Needs Attention</v>
      </c>
      <c r="AE825" t="str">
        <f>IF(WarehouseData[[#This Row],[picking_time_seconds]]&gt;120,"Slow",IF(WarehouseData[[#This Row],[picking_time_seconds]]&gt;=60,"Average","Fast"))</f>
        <v>Fast</v>
      </c>
    </row>
    <row r="826" spans="1:31" x14ac:dyDescent="0.25">
      <c r="A826" t="s">
        <v>964</v>
      </c>
      <c r="B826" t="s">
        <v>73</v>
      </c>
      <c r="C826">
        <v>82</v>
      </c>
      <c r="D826">
        <v>55</v>
      </c>
      <c r="E826">
        <v>12</v>
      </c>
      <c r="F826">
        <v>5</v>
      </c>
      <c r="G826">
        <v>16.62</v>
      </c>
      <c r="H826">
        <v>8.91</v>
      </c>
      <c r="I826">
        <v>0.34</v>
      </c>
      <c r="J826" t="s">
        <v>113</v>
      </c>
      <c r="K826" t="s">
        <v>52</v>
      </c>
      <c r="L826">
        <v>105</v>
      </c>
      <c r="M826">
        <v>3.25</v>
      </c>
      <c r="N826">
        <v>178.96</v>
      </c>
      <c r="O826">
        <v>0.15</v>
      </c>
      <c r="P826">
        <v>9</v>
      </c>
      <c r="Q826">
        <v>0.86</v>
      </c>
      <c r="R826">
        <v>407</v>
      </c>
      <c r="S826">
        <v>10.67</v>
      </c>
      <c r="T826">
        <v>0.65</v>
      </c>
      <c r="U826" s="1">
        <v>45418</v>
      </c>
      <c r="V826">
        <v>211.26</v>
      </c>
      <c r="W826">
        <v>0.64900000000000002</v>
      </c>
      <c r="X826" t="str">
        <f>IF(WarehouseData[[#This Row],[stock_level]]&lt;=WarehouseData[[#This Row],[reorder_point]],"Low Stock","Sufficient Stock")</f>
        <v>Sufficient Stock</v>
      </c>
      <c r="Y826">
        <f>WarehouseData[[#This Row],[daily_demand]]*WarehouseData[[#This Row],[lead_time_days]]</f>
        <v>83.100000000000009</v>
      </c>
      <c r="Z826" t="str">
        <f>IF(WarehouseData[[#This Row],[stock_level]]&lt;=WarehouseData[[#This Row],[Demand During Lead Time]],"At Risk","Safe")</f>
        <v>At Risk</v>
      </c>
      <c r="AA826">
        <f>WarehouseData[[#This Row],[stock_level]]/WarehouseData[[#This Row],[daily_demand]]</f>
        <v>4.9338146811070995</v>
      </c>
      <c r="AB826">
        <f>WarehouseData[[#This Row],[stock_level]]*WarehouseData[[#This Row],[unit_price]]</f>
        <v>14674.720000000001</v>
      </c>
      <c r="AC826">
        <f>WarehouseData[[#This Row],[stock_level]]*WarehouseData[[#This Row],[holding_cost_per_unit_day]]*30</f>
        <v>368.99999999999994</v>
      </c>
      <c r="AD826" t="str">
        <f>IF(WarehouseData[[#This Row],[order_fulfillment_rate]]&gt;=0.9,"Strong",IF(WarehouseData[[#This Row],[order_fulfillment_rate]]&gt;=0.8,"Moderate","Needs Attention"))</f>
        <v>Moderate</v>
      </c>
      <c r="AE826" t="str">
        <f>IF(WarehouseData[[#This Row],[picking_time_seconds]]&gt;120,"Slow",IF(WarehouseData[[#This Row],[picking_time_seconds]]&gt;=60,"Average","Fast"))</f>
        <v>Average</v>
      </c>
    </row>
    <row r="827" spans="1:31" x14ac:dyDescent="0.25">
      <c r="A827" t="s">
        <v>965</v>
      </c>
      <c r="B827" t="s">
        <v>36</v>
      </c>
      <c r="C827">
        <v>68</v>
      </c>
      <c r="D827">
        <v>77</v>
      </c>
      <c r="E827">
        <v>3</v>
      </c>
      <c r="F827">
        <v>3</v>
      </c>
      <c r="G827">
        <v>21.08</v>
      </c>
      <c r="H827">
        <v>6.95</v>
      </c>
      <c r="I827">
        <v>0.35</v>
      </c>
      <c r="J827" t="s">
        <v>340</v>
      </c>
      <c r="K827" t="s">
        <v>38</v>
      </c>
      <c r="L827">
        <v>59</v>
      </c>
      <c r="M827">
        <v>2.2599999999999998</v>
      </c>
      <c r="N827">
        <v>111.07</v>
      </c>
      <c r="O827">
        <v>1.53</v>
      </c>
      <c r="P827">
        <v>5</v>
      </c>
      <c r="Q827">
        <v>0.8</v>
      </c>
      <c r="R827">
        <v>375</v>
      </c>
      <c r="S827">
        <v>5.56</v>
      </c>
      <c r="T827">
        <v>0.78</v>
      </c>
      <c r="U827" s="1">
        <v>45433</v>
      </c>
      <c r="V827">
        <v>269.72000000000003</v>
      </c>
      <c r="W827">
        <v>0.53700000000000003</v>
      </c>
      <c r="X827" t="str">
        <f>IF(WarehouseData[[#This Row],[stock_level]]&lt;=WarehouseData[[#This Row],[reorder_point]],"Low Stock","Sufficient Stock")</f>
        <v>Low Stock</v>
      </c>
      <c r="Y827">
        <f>WarehouseData[[#This Row],[daily_demand]]*WarehouseData[[#This Row],[lead_time_days]]</f>
        <v>63.239999999999995</v>
      </c>
      <c r="Z827" t="str">
        <f>IF(WarehouseData[[#This Row],[stock_level]]&lt;=WarehouseData[[#This Row],[Demand During Lead Time]],"At Risk","Safe")</f>
        <v>Safe</v>
      </c>
      <c r="AA827">
        <f>WarehouseData[[#This Row],[stock_level]]/WarehouseData[[#This Row],[daily_demand]]</f>
        <v>3.2258064516129035</v>
      </c>
      <c r="AB827">
        <f>WarehouseData[[#This Row],[stock_level]]*WarehouseData[[#This Row],[unit_price]]</f>
        <v>7552.7599999999993</v>
      </c>
      <c r="AC827">
        <f>WarehouseData[[#This Row],[stock_level]]*WarehouseData[[#This Row],[holding_cost_per_unit_day]]*30</f>
        <v>3121.2000000000003</v>
      </c>
      <c r="AD827" t="str">
        <f>IF(WarehouseData[[#This Row],[order_fulfillment_rate]]&gt;=0.9,"Strong",IF(WarehouseData[[#This Row],[order_fulfillment_rate]]&gt;=0.8,"Moderate","Needs Attention"))</f>
        <v>Moderate</v>
      </c>
      <c r="AE827" t="str">
        <f>IF(WarehouseData[[#This Row],[picking_time_seconds]]&gt;120,"Slow",IF(WarehouseData[[#This Row],[picking_time_seconds]]&gt;=60,"Average","Fast"))</f>
        <v>Fast</v>
      </c>
    </row>
    <row r="828" spans="1:31" x14ac:dyDescent="0.25">
      <c r="A828" t="s">
        <v>966</v>
      </c>
      <c r="B828" t="s">
        <v>48</v>
      </c>
      <c r="C828">
        <v>95</v>
      </c>
      <c r="D828">
        <v>87</v>
      </c>
      <c r="E828">
        <v>6</v>
      </c>
      <c r="F828">
        <v>6</v>
      </c>
      <c r="G828">
        <v>32.07</v>
      </c>
      <c r="H828">
        <v>8.2799999999999994</v>
      </c>
      <c r="I828">
        <v>0.65</v>
      </c>
      <c r="J828" t="s">
        <v>353</v>
      </c>
      <c r="K828" t="s">
        <v>52</v>
      </c>
      <c r="L828">
        <v>154</v>
      </c>
      <c r="M828">
        <v>2.8</v>
      </c>
      <c r="N828">
        <v>57.23</v>
      </c>
      <c r="O828">
        <v>1.19</v>
      </c>
      <c r="P828">
        <v>5</v>
      </c>
      <c r="Q828">
        <v>0.71</v>
      </c>
      <c r="R828">
        <v>114</v>
      </c>
      <c r="S828">
        <v>7.5</v>
      </c>
      <c r="T828">
        <v>0.66</v>
      </c>
      <c r="U828" s="1">
        <v>45622</v>
      </c>
      <c r="V828">
        <v>91.13</v>
      </c>
      <c r="W828">
        <v>0.55500000000000005</v>
      </c>
      <c r="X828" t="str">
        <f>IF(WarehouseData[[#This Row],[stock_level]]&lt;=WarehouseData[[#This Row],[reorder_point]],"Low Stock","Sufficient Stock")</f>
        <v>Sufficient Stock</v>
      </c>
      <c r="Y828">
        <f>WarehouseData[[#This Row],[daily_demand]]*WarehouseData[[#This Row],[lead_time_days]]</f>
        <v>192.42000000000002</v>
      </c>
      <c r="Z828" t="str">
        <f>IF(WarehouseData[[#This Row],[stock_level]]&lt;=WarehouseData[[#This Row],[Demand During Lead Time]],"At Risk","Safe")</f>
        <v>At Risk</v>
      </c>
      <c r="AA828">
        <f>WarehouseData[[#This Row],[stock_level]]/WarehouseData[[#This Row],[daily_demand]]</f>
        <v>2.9622700342999688</v>
      </c>
      <c r="AB828">
        <f>WarehouseData[[#This Row],[stock_level]]*WarehouseData[[#This Row],[unit_price]]</f>
        <v>5436.8499999999995</v>
      </c>
      <c r="AC828">
        <f>WarehouseData[[#This Row],[stock_level]]*WarehouseData[[#This Row],[holding_cost_per_unit_day]]*30</f>
        <v>3391.5</v>
      </c>
      <c r="AD828" t="str">
        <f>IF(WarehouseData[[#This Row],[order_fulfillment_rate]]&gt;=0.9,"Strong",IF(WarehouseData[[#This Row],[order_fulfillment_rate]]&gt;=0.8,"Moderate","Needs Attention"))</f>
        <v>Needs Attention</v>
      </c>
      <c r="AE828" t="str">
        <f>IF(WarehouseData[[#This Row],[picking_time_seconds]]&gt;120,"Slow",IF(WarehouseData[[#This Row],[picking_time_seconds]]&gt;=60,"Average","Fast"))</f>
        <v>Slow</v>
      </c>
    </row>
    <row r="829" spans="1:31" x14ac:dyDescent="0.25">
      <c r="A829" t="s">
        <v>967</v>
      </c>
      <c r="B829" t="s">
        <v>32</v>
      </c>
      <c r="C829">
        <v>387</v>
      </c>
      <c r="D829">
        <v>87</v>
      </c>
      <c r="E829">
        <v>3</v>
      </c>
      <c r="F829">
        <v>7</v>
      </c>
      <c r="G829">
        <v>2.1800000000000002</v>
      </c>
      <c r="H829">
        <v>5.86</v>
      </c>
      <c r="I829">
        <v>0.47</v>
      </c>
      <c r="J829" t="s">
        <v>357</v>
      </c>
      <c r="K829" t="s">
        <v>46</v>
      </c>
      <c r="L829">
        <v>11</v>
      </c>
      <c r="M829">
        <v>3.93</v>
      </c>
      <c r="N829">
        <v>122.51</v>
      </c>
      <c r="O829">
        <v>1.42</v>
      </c>
      <c r="P829">
        <v>2</v>
      </c>
      <c r="Q829">
        <v>0.99</v>
      </c>
      <c r="R829">
        <v>342</v>
      </c>
      <c r="S829">
        <v>7.3</v>
      </c>
      <c r="T829">
        <v>0.26</v>
      </c>
      <c r="U829" s="1">
        <v>45335</v>
      </c>
      <c r="V829">
        <v>182.6</v>
      </c>
      <c r="W829">
        <v>0.56499999999999995</v>
      </c>
      <c r="X829" t="str">
        <f>IF(WarehouseData[[#This Row],[stock_level]]&lt;=WarehouseData[[#This Row],[reorder_point]],"Low Stock","Sufficient Stock")</f>
        <v>Sufficient Stock</v>
      </c>
      <c r="Y829">
        <f>WarehouseData[[#This Row],[daily_demand]]*WarehouseData[[#This Row],[lead_time_days]]</f>
        <v>15.260000000000002</v>
      </c>
      <c r="Z829" t="str">
        <f>IF(WarehouseData[[#This Row],[stock_level]]&lt;=WarehouseData[[#This Row],[Demand During Lead Time]],"At Risk","Safe")</f>
        <v>Safe</v>
      </c>
      <c r="AA829">
        <f>WarehouseData[[#This Row],[stock_level]]/WarehouseData[[#This Row],[daily_demand]]</f>
        <v>177.52293577981649</v>
      </c>
      <c r="AB829">
        <f>WarehouseData[[#This Row],[stock_level]]*WarehouseData[[#This Row],[unit_price]]</f>
        <v>47411.37</v>
      </c>
      <c r="AC829">
        <f>WarehouseData[[#This Row],[stock_level]]*WarehouseData[[#This Row],[holding_cost_per_unit_day]]*30</f>
        <v>16486.199999999997</v>
      </c>
      <c r="AD829" t="str">
        <f>IF(WarehouseData[[#This Row],[order_fulfillment_rate]]&gt;=0.9,"Strong",IF(WarehouseData[[#This Row],[order_fulfillment_rate]]&gt;=0.8,"Moderate","Needs Attention"))</f>
        <v>Strong</v>
      </c>
      <c r="AE829" t="str">
        <f>IF(WarehouseData[[#This Row],[picking_time_seconds]]&gt;120,"Slow",IF(WarehouseData[[#This Row],[picking_time_seconds]]&gt;=60,"Average","Fast"))</f>
        <v>Fast</v>
      </c>
    </row>
    <row r="830" spans="1:31" x14ac:dyDescent="0.25">
      <c r="A830" t="s">
        <v>968</v>
      </c>
      <c r="B830" t="s">
        <v>48</v>
      </c>
      <c r="C830">
        <v>194</v>
      </c>
      <c r="D830">
        <v>25</v>
      </c>
      <c r="E830">
        <v>3</v>
      </c>
      <c r="F830">
        <v>3</v>
      </c>
      <c r="G830">
        <v>44.99</v>
      </c>
      <c r="H830">
        <v>5.49</v>
      </c>
      <c r="I830">
        <v>0.5</v>
      </c>
      <c r="J830" t="s">
        <v>183</v>
      </c>
      <c r="K830" t="s">
        <v>52</v>
      </c>
      <c r="L830">
        <v>53</v>
      </c>
      <c r="M830">
        <v>1.5</v>
      </c>
      <c r="N830">
        <v>116</v>
      </c>
      <c r="O830">
        <v>0.88</v>
      </c>
      <c r="P830">
        <v>0</v>
      </c>
      <c r="Q830">
        <v>0.9</v>
      </c>
      <c r="R830">
        <v>373</v>
      </c>
      <c r="S830">
        <v>4.8499999999999996</v>
      </c>
      <c r="T830">
        <v>0.94</v>
      </c>
      <c r="U830" s="1">
        <v>45419</v>
      </c>
      <c r="V830">
        <v>176.39</v>
      </c>
      <c r="W830">
        <v>0.745</v>
      </c>
      <c r="X830" t="str">
        <f>IF(WarehouseData[[#This Row],[stock_level]]&lt;=WarehouseData[[#This Row],[reorder_point]],"Low Stock","Sufficient Stock")</f>
        <v>Sufficient Stock</v>
      </c>
      <c r="Y830">
        <f>WarehouseData[[#This Row],[daily_demand]]*WarehouseData[[#This Row],[lead_time_days]]</f>
        <v>134.97</v>
      </c>
      <c r="Z830" t="str">
        <f>IF(WarehouseData[[#This Row],[stock_level]]&lt;=WarehouseData[[#This Row],[Demand During Lead Time]],"At Risk","Safe")</f>
        <v>Safe</v>
      </c>
      <c r="AA830">
        <f>WarehouseData[[#This Row],[stock_level]]/WarehouseData[[#This Row],[daily_demand]]</f>
        <v>4.3120693487441653</v>
      </c>
      <c r="AB830">
        <f>WarehouseData[[#This Row],[stock_level]]*WarehouseData[[#This Row],[unit_price]]</f>
        <v>22504</v>
      </c>
      <c r="AC830">
        <f>WarehouseData[[#This Row],[stock_level]]*WarehouseData[[#This Row],[holding_cost_per_unit_day]]*30</f>
        <v>5121.6000000000004</v>
      </c>
      <c r="AD830" t="str">
        <f>IF(WarehouseData[[#This Row],[order_fulfillment_rate]]&gt;=0.9,"Strong",IF(WarehouseData[[#This Row],[order_fulfillment_rate]]&gt;=0.8,"Moderate","Needs Attention"))</f>
        <v>Strong</v>
      </c>
      <c r="AE830" t="str">
        <f>IF(WarehouseData[[#This Row],[picking_time_seconds]]&gt;120,"Slow",IF(WarehouseData[[#This Row],[picking_time_seconds]]&gt;=60,"Average","Fast"))</f>
        <v>Fast</v>
      </c>
    </row>
    <row r="831" spans="1:31" x14ac:dyDescent="0.25">
      <c r="A831" t="s">
        <v>969</v>
      </c>
      <c r="B831" t="s">
        <v>73</v>
      </c>
      <c r="C831">
        <v>128</v>
      </c>
      <c r="D831">
        <v>80</v>
      </c>
      <c r="E831">
        <v>12</v>
      </c>
      <c r="F831">
        <v>9</v>
      </c>
      <c r="G831">
        <v>26.45</v>
      </c>
      <c r="H831">
        <v>7.38</v>
      </c>
      <c r="I831">
        <v>0.15</v>
      </c>
      <c r="J831" t="s">
        <v>37</v>
      </c>
      <c r="K831" t="s">
        <v>34</v>
      </c>
      <c r="L831">
        <v>111</v>
      </c>
      <c r="M831">
        <v>2.4900000000000002</v>
      </c>
      <c r="N831">
        <v>52.36</v>
      </c>
      <c r="O831">
        <v>1.74</v>
      </c>
      <c r="P831">
        <v>9</v>
      </c>
      <c r="Q831">
        <v>0.97</v>
      </c>
      <c r="R831">
        <v>380</v>
      </c>
      <c r="S831">
        <v>14.73</v>
      </c>
      <c r="T831">
        <v>0.2</v>
      </c>
      <c r="U831" s="1">
        <v>45575</v>
      </c>
      <c r="V831">
        <v>101.39</v>
      </c>
      <c r="W831">
        <v>0.47599999999999998</v>
      </c>
      <c r="X831" t="str">
        <f>IF(WarehouseData[[#This Row],[stock_level]]&lt;=WarehouseData[[#This Row],[reorder_point]],"Low Stock","Sufficient Stock")</f>
        <v>Sufficient Stock</v>
      </c>
      <c r="Y831">
        <f>WarehouseData[[#This Row],[daily_demand]]*WarehouseData[[#This Row],[lead_time_days]]</f>
        <v>238.04999999999998</v>
      </c>
      <c r="Z831" t="str">
        <f>IF(WarehouseData[[#This Row],[stock_level]]&lt;=WarehouseData[[#This Row],[Demand During Lead Time]],"At Risk","Safe")</f>
        <v>At Risk</v>
      </c>
      <c r="AA831">
        <f>WarehouseData[[#This Row],[stock_level]]/WarehouseData[[#This Row],[daily_demand]]</f>
        <v>4.8393194706994329</v>
      </c>
      <c r="AB831">
        <f>WarehouseData[[#This Row],[stock_level]]*WarehouseData[[#This Row],[unit_price]]</f>
        <v>6702.08</v>
      </c>
      <c r="AC831">
        <f>WarehouseData[[#This Row],[stock_level]]*WarehouseData[[#This Row],[holding_cost_per_unit_day]]*30</f>
        <v>6681.6</v>
      </c>
      <c r="AD831" t="str">
        <f>IF(WarehouseData[[#This Row],[order_fulfillment_rate]]&gt;=0.9,"Strong",IF(WarehouseData[[#This Row],[order_fulfillment_rate]]&gt;=0.8,"Moderate","Needs Attention"))</f>
        <v>Strong</v>
      </c>
      <c r="AE831" t="str">
        <f>IF(WarehouseData[[#This Row],[picking_time_seconds]]&gt;120,"Slow",IF(WarehouseData[[#This Row],[picking_time_seconds]]&gt;=60,"Average","Fast"))</f>
        <v>Average</v>
      </c>
    </row>
    <row r="832" spans="1:31" x14ac:dyDescent="0.25">
      <c r="A832" t="s">
        <v>970</v>
      </c>
      <c r="B832" t="s">
        <v>32</v>
      </c>
      <c r="C832">
        <v>202</v>
      </c>
      <c r="D832">
        <v>28</v>
      </c>
      <c r="E832">
        <v>3</v>
      </c>
      <c r="F832">
        <v>9</v>
      </c>
      <c r="G832">
        <v>23.87</v>
      </c>
      <c r="H832">
        <v>0.69</v>
      </c>
      <c r="I832">
        <v>0.22</v>
      </c>
      <c r="J832" t="s">
        <v>228</v>
      </c>
      <c r="K832" t="s">
        <v>46</v>
      </c>
      <c r="L832">
        <v>139</v>
      </c>
      <c r="M832">
        <v>3.82</v>
      </c>
      <c r="N832">
        <v>124.59</v>
      </c>
      <c r="O832">
        <v>0.69</v>
      </c>
      <c r="P832">
        <v>8</v>
      </c>
      <c r="Q832">
        <v>1</v>
      </c>
      <c r="R832">
        <v>578</v>
      </c>
      <c r="S832">
        <v>8.61</v>
      </c>
      <c r="T832">
        <v>0.91</v>
      </c>
      <c r="U832" s="1">
        <v>45599</v>
      </c>
      <c r="V832">
        <v>154.88</v>
      </c>
      <c r="W832">
        <v>0.66800000000000004</v>
      </c>
      <c r="X832" t="str">
        <f>IF(WarehouseData[[#This Row],[stock_level]]&lt;=WarehouseData[[#This Row],[reorder_point]],"Low Stock","Sufficient Stock")</f>
        <v>Sufficient Stock</v>
      </c>
      <c r="Y832">
        <f>WarehouseData[[#This Row],[daily_demand]]*WarehouseData[[#This Row],[lead_time_days]]</f>
        <v>214.83</v>
      </c>
      <c r="Z832" t="str">
        <f>IF(WarehouseData[[#This Row],[stock_level]]&lt;=WarehouseData[[#This Row],[Demand During Lead Time]],"At Risk","Safe")</f>
        <v>At Risk</v>
      </c>
      <c r="AA832">
        <f>WarehouseData[[#This Row],[stock_level]]/WarehouseData[[#This Row],[daily_demand]]</f>
        <v>8.4625052366987852</v>
      </c>
      <c r="AB832">
        <f>WarehouseData[[#This Row],[stock_level]]*WarehouseData[[#This Row],[unit_price]]</f>
        <v>25167.18</v>
      </c>
      <c r="AC832">
        <f>WarehouseData[[#This Row],[stock_level]]*WarehouseData[[#This Row],[holding_cost_per_unit_day]]*30</f>
        <v>4181.3999999999996</v>
      </c>
      <c r="AD832" t="str">
        <f>IF(WarehouseData[[#This Row],[order_fulfillment_rate]]&gt;=0.9,"Strong",IF(WarehouseData[[#This Row],[order_fulfillment_rate]]&gt;=0.8,"Moderate","Needs Attention"))</f>
        <v>Strong</v>
      </c>
      <c r="AE832" t="str">
        <f>IF(WarehouseData[[#This Row],[picking_time_seconds]]&gt;120,"Slow",IF(WarehouseData[[#This Row],[picking_time_seconds]]&gt;=60,"Average","Fast"))</f>
        <v>Slow</v>
      </c>
    </row>
    <row r="833" spans="1:31" x14ac:dyDescent="0.25">
      <c r="A833" t="s">
        <v>971</v>
      </c>
      <c r="B833" t="s">
        <v>40</v>
      </c>
      <c r="C833">
        <v>211</v>
      </c>
      <c r="D833">
        <v>11</v>
      </c>
      <c r="E833">
        <v>9</v>
      </c>
      <c r="F833">
        <v>8</v>
      </c>
      <c r="G833">
        <v>43.18</v>
      </c>
      <c r="H833">
        <v>7.06</v>
      </c>
      <c r="I833">
        <v>0.45</v>
      </c>
      <c r="J833" t="s">
        <v>75</v>
      </c>
      <c r="K833" t="s">
        <v>52</v>
      </c>
      <c r="L833">
        <v>81</v>
      </c>
      <c r="M833">
        <v>2.2799999999999998</v>
      </c>
      <c r="N833">
        <v>161.49</v>
      </c>
      <c r="O833">
        <v>0.62</v>
      </c>
      <c r="P833">
        <v>3</v>
      </c>
      <c r="Q833">
        <v>0.82</v>
      </c>
      <c r="R833">
        <v>184</v>
      </c>
      <c r="S833">
        <v>13.56</v>
      </c>
      <c r="T833">
        <v>0.81</v>
      </c>
      <c r="U833" s="1">
        <v>45599</v>
      </c>
      <c r="V833">
        <v>21.73</v>
      </c>
      <c r="W833">
        <v>0.78500000000000003</v>
      </c>
      <c r="X833" t="str">
        <f>IF(WarehouseData[[#This Row],[stock_level]]&lt;=WarehouseData[[#This Row],[reorder_point]],"Low Stock","Sufficient Stock")</f>
        <v>Sufficient Stock</v>
      </c>
      <c r="Y833">
        <f>WarehouseData[[#This Row],[daily_demand]]*WarehouseData[[#This Row],[lead_time_days]]</f>
        <v>345.44</v>
      </c>
      <c r="Z833" t="str">
        <f>IF(WarehouseData[[#This Row],[stock_level]]&lt;=WarehouseData[[#This Row],[Demand During Lead Time]],"At Risk","Safe")</f>
        <v>At Risk</v>
      </c>
      <c r="AA833">
        <f>WarehouseData[[#This Row],[stock_level]]/WarehouseData[[#This Row],[daily_demand]]</f>
        <v>4.8865215377489575</v>
      </c>
      <c r="AB833">
        <f>WarehouseData[[#This Row],[stock_level]]*WarehouseData[[#This Row],[unit_price]]</f>
        <v>34074.39</v>
      </c>
      <c r="AC833">
        <f>WarehouseData[[#This Row],[stock_level]]*WarehouseData[[#This Row],[holding_cost_per_unit_day]]*30</f>
        <v>3924.6</v>
      </c>
      <c r="AD833" t="str">
        <f>IF(WarehouseData[[#This Row],[order_fulfillment_rate]]&gt;=0.9,"Strong",IF(WarehouseData[[#This Row],[order_fulfillment_rate]]&gt;=0.8,"Moderate","Needs Attention"))</f>
        <v>Moderate</v>
      </c>
      <c r="AE833" t="str">
        <f>IF(WarehouseData[[#This Row],[picking_time_seconds]]&gt;120,"Slow",IF(WarehouseData[[#This Row],[picking_time_seconds]]&gt;=60,"Average","Fast"))</f>
        <v>Average</v>
      </c>
    </row>
    <row r="834" spans="1:31" x14ac:dyDescent="0.25">
      <c r="A834" t="s">
        <v>972</v>
      </c>
      <c r="B834" t="s">
        <v>48</v>
      </c>
      <c r="C834">
        <v>84</v>
      </c>
      <c r="D834">
        <v>19</v>
      </c>
      <c r="E834">
        <v>9</v>
      </c>
      <c r="F834">
        <v>6</v>
      </c>
      <c r="G834">
        <v>47.7</v>
      </c>
      <c r="H834">
        <v>9.3800000000000008</v>
      </c>
      <c r="I834">
        <v>0.73</v>
      </c>
      <c r="J834" t="s">
        <v>202</v>
      </c>
      <c r="K834" t="s">
        <v>38</v>
      </c>
      <c r="L834">
        <v>119</v>
      </c>
      <c r="M834">
        <v>0.64</v>
      </c>
      <c r="N834">
        <v>163.16</v>
      </c>
      <c r="O834">
        <v>0.67</v>
      </c>
      <c r="P834">
        <v>8</v>
      </c>
      <c r="Q834">
        <v>0.78</v>
      </c>
      <c r="R834">
        <v>869</v>
      </c>
      <c r="S834">
        <v>9.19</v>
      </c>
      <c r="T834">
        <v>0.28000000000000003</v>
      </c>
      <c r="U834" s="1">
        <v>45603</v>
      </c>
      <c r="V834">
        <v>133.81</v>
      </c>
      <c r="W834">
        <v>0.50800000000000001</v>
      </c>
      <c r="X834" t="str">
        <f>IF(WarehouseData[[#This Row],[stock_level]]&lt;=WarehouseData[[#This Row],[reorder_point]],"Low Stock","Sufficient Stock")</f>
        <v>Sufficient Stock</v>
      </c>
      <c r="Y834">
        <f>WarehouseData[[#This Row],[daily_demand]]*WarehouseData[[#This Row],[lead_time_days]]</f>
        <v>286.20000000000005</v>
      </c>
      <c r="Z834" t="str">
        <f>IF(WarehouseData[[#This Row],[stock_level]]&lt;=WarehouseData[[#This Row],[Demand During Lead Time]],"At Risk","Safe")</f>
        <v>At Risk</v>
      </c>
      <c r="AA834">
        <f>WarehouseData[[#This Row],[stock_level]]/WarehouseData[[#This Row],[daily_demand]]</f>
        <v>1.7610062893081759</v>
      </c>
      <c r="AB834">
        <f>WarehouseData[[#This Row],[stock_level]]*WarehouseData[[#This Row],[unit_price]]</f>
        <v>13705.44</v>
      </c>
      <c r="AC834">
        <f>WarehouseData[[#This Row],[stock_level]]*WarehouseData[[#This Row],[holding_cost_per_unit_day]]*30</f>
        <v>1688.4</v>
      </c>
      <c r="AD834" t="str">
        <f>IF(WarehouseData[[#This Row],[order_fulfillment_rate]]&gt;=0.9,"Strong",IF(WarehouseData[[#This Row],[order_fulfillment_rate]]&gt;=0.8,"Moderate","Needs Attention"))</f>
        <v>Needs Attention</v>
      </c>
      <c r="AE834" t="str">
        <f>IF(WarehouseData[[#This Row],[picking_time_seconds]]&gt;120,"Slow",IF(WarehouseData[[#This Row],[picking_time_seconds]]&gt;=60,"Average","Fast"))</f>
        <v>Average</v>
      </c>
    </row>
    <row r="835" spans="1:31" x14ac:dyDescent="0.25">
      <c r="A835" t="s">
        <v>973</v>
      </c>
      <c r="B835" t="s">
        <v>73</v>
      </c>
      <c r="C835">
        <v>356</v>
      </c>
      <c r="D835">
        <v>59</v>
      </c>
      <c r="E835">
        <v>6</v>
      </c>
      <c r="F835">
        <v>2</v>
      </c>
      <c r="G835">
        <v>21.75</v>
      </c>
      <c r="H835">
        <v>7.28</v>
      </c>
      <c r="I835">
        <v>0.14000000000000001</v>
      </c>
      <c r="J835" t="s">
        <v>92</v>
      </c>
      <c r="K835" t="s">
        <v>46</v>
      </c>
      <c r="L835">
        <v>146</v>
      </c>
      <c r="M835">
        <v>2.78</v>
      </c>
      <c r="N835">
        <v>21.34</v>
      </c>
      <c r="O835">
        <v>1.57</v>
      </c>
      <c r="P835">
        <v>4</v>
      </c>
      <c r="Q835">
        <v>0.76</v>
      </c>
      <c r="R835">
        <v>468</v>
      </c>
      <c r="S835">
        <v>10.66</v>
      </c>
      <c r="T835">
        <v>0.39</v>
      </c>
      <c r="U835" s="1">
        <v>45437</v>
      </c>
      <c r="V835">
        <v>88.45</v>
      </c>
      <c r="W835">
        <v>0.53500000000000003</v>
      </c>
      <c r="X835" t="str">
        <f>IF(WarehouseData[[#This Row],[stock_level]]&lt;=WarehouseData[[#This Row],[reorder_point]],"Low Stock","Sufficient Stock")</f>
        <v>Sufficient Stock</v>
      </c>
      <c r="Y835">
        <f>WarehouseData[[#This Row],[daily_demand]]*WarehouseData[[#This Row],[lead_time_days]]</f>
        <v>43.5</v>
      </c>
      <c r="Z835" t="str">
        <f>IF(WarehouseData[[#This Row],[stock_level]]&lt;=WarehouseData[[#This Row],[Demand During Lead Time]],"At Risk","Safe")</f>
        <v>Safe</v>
      </c>
      <c r="AA835">
        <f>WarehouseData[[#This Row],[stock_level]]/WarehouseData[[#This Row],[daily_demand]]</f>
        <v>16.367816091954023</v>
      </c>
      <c r="AB835">
        <f>WarehouseData[[#This Row],[stock_level]]*WarehouseData[[#This Row],[unit_price]]</f>
        <v>7597.04</v>
      </c>
      <c r="AC835">
        <f>WarehouseData[[#This Row],[stock_level]]*WarehouseData[[#This Row],[holding_cost_per_unit_day]]*30</f>
        <v>16767.600000000002</v>
      </c>
      <c r="AD835" t="str">
        <f>IF(WarehouseData[[#This Row],[order_fulfillment_rate]]&gt;=0.9,"Strong",IF(WarehouseData[[#This Row],[order_fulfillment_rate]]&gt;=0.8,"Moderate","Needs Attention"))</f>
        <v>Needs Attention</v>
      </c>
      <c r="AE835" t="str">
        <f>IF(WarehouseData[[#This Row],[picking_time_seconds]]&gt;120,"Slow",IF(WarehouseData[[#This Row],[picking_time_seconds]]&gt;=60,"Average","Fast"))</f>
        <v>Slow</v>
      </c>
    </row>
    <row r="836" spans="1:31" x14ac:dyDescent="0.25">
      <c r="A836" t="s">
        <v>974</v>
      </c>
      <c r="B836" t="s">
        <v>36</v>
      </c>
      <c r="C836">
        <v>470</v>
      </c>
      <c r="D836">
        <v>90</v>
      </c>
      <c r="E836">
        <v>14</v>
      </c>
      <c r="F836">
        <v>5</v>
      </c>
      <c r="G836">
        <v>9.4499999999999993</v>
      </c>
      <c r="H836">
        <v>0.85</v>
      </c>
      <c r="I836">
        <v>0.4</v>
      </c>
      <c r="J836" t="s">
        <v>283</v>
      </c>
      <c r="K836" t="s">
        <v>46</v>
      </c>
      <c r="L836">
        <v>138</v>
      </c>
      <c r="M836">
        <v>3.82</v>
      </c>
      <c r="N836">
        <v>47.46</v>
      </c>
      <c r="O836">
        <v>1.04</v>
      </c>
      <c r="P836">
        <v>6</v>
      </c>
      <c r="Q836">
        <v>0.85</v>
      </c>
      <c r="R836">
        <v>179</v>
      </c>
      <c r="S836">
        <v>1.41</v>
      </c>
      <c r="T836">
        <v>0.48</v>
      </c>
      <c r="U836" s="1">
        <v>45645</v>
      </c>
      <c r="V836">
        <v>260.55</v>
      </c>
      <c r="W836">
        <v>0.46100000000000002</v>
      </c>
      <c r="X836" t="str">
        <f>IF(WarehouseData[[#This Row],[stock_level]]&lt;=WarehouseData[[#This Row],[reorder_point]],"Low Stock","Sufficient Stock")</f>
        <v>Sufficient Stock</v>
      </c>
      <c r="Y836">
        <f>WarehouseData[[#This Row],[daily_demand]]*WarehouseData[[#This Row],[lead_time_days]]</f>
        <v>47.25</v>
      </c>
      <c r="Z836" t="str">
        <f>IF(WarehouseData[[#This Row],[stock_level]]&lt;=WarehouseData[[#This Row],[Demand During Lead Time]],"At Risk","Safe")</f>
        <v>Safe</v>
      </c>
      <c r="AA836">
        <f>WarehouseData[[#This Row],[stock_level]]/WarehouseData[[#This Row],[daily_demand]]</f>
        <v>49.735449735449741</v>
      </c>
      <c r="AB836">
        <f>WarehouseData[[#This Row],[stock_level]]*WarehouseData[[#This Row],[unit_price]]</f>
        <v>22306.2</v>
      </c>
      <c r="AC836">
        <f>WarehouseData[[#This Row],[stock_level]]*WarehouseData[[#This Row],[holding_cost_per_unit_day]]*30</f>
        <v>14664</v>
      </c>
      <c r="AD836" t="str">
        <f>IF(WarehouseData[[#This Row],[order_fulfillment_rate]]&gt;=0.9,"Strong",IF(WarehouseData[[#This Row],[order_fulfillment_rate]]&gt;=0.8,"Moderate","Needs Attention"))</f>
        <v>Moderate</v>
      </c>
      <c r="AE836" t="str">
        <f>IF(WarehouseData[[#This Row],[picking_time_seconds]]&gt;120,"Slow",IF(WarehouseData[[#This Row],[picking_time_seconds]]&gt;=60,"Average","Fast"))</f>
        <v>Slow</v>
      </c>
    </row>
    <row r="837" spans="1:31" x14ac:dyDescent="0.25">
      <c r="A837" t="s">
        <v>975</v>
      </c>
      <c r="B837" t="s">
        <v>32</v>
      </c>
      <c r="C837">
        <v>493</v>
      </c>
      <c r="D837">
        <v>21</v>
      </c>
      <c r="E837">
        <v>4</v>
      </c>
      <c r="F837">
        <v>5</v>
      </c>
      <c r="G837">
        <v>40.97</v>
      </c>
      <c r="H837">
        <v>4.09</v>
      </c>
      <c r="I837">
        <v>0.73</v>
      </c>
      <c r="J837" t="s">
        <v>166</v>
      </c>
      <c r="K837" t="s">
        <v>34</v>
      </c>
      <c r="L837">
        <v>112</v>
      </c>
      <c r="M837">
        <v>4.9000000000000004</v>
      </c>
      <c r="N837">
        <v>136.96</v>
      </c>
      <c r="O837">
        <v>1.1200000000000001</v>
      </c>
      <c r="P837">
        <v>2</v>
      </c>
      <c r="Q837">
        <v>0.88</v>
      </c>
      <c r="R837">
        <v>985</v>
      </c>
      <c r="S837">
        <v>8.17</v>
      </c>
      <c r="T837">
        <v>0.93</v>
      </c>
      <c r="U837" s="1">
        <v>45305</v>
      </c>
      <c r="V837">
        <v>113.76</v>
      </c>
      <c r="W837">
        <v>0.71899999999999997</v>
      </c>
      <c r="X837" t="str">
        <f>IF(WarehouseData[[#This Row],[stock_level]]&lt;=WarehouseData[[#This Row],[reorder_point]],"Low Stock","Sufficient Stock")</f>
        <v>Sufficient Stock</v>
      </c>
      <c r="Y837">
        <f>WarehouseData[[#This Row],[daily_demand]]*WarehouseData[[#This Row],[lead_time_days]]</f>
        <v>204.85</v>
      </c>
      <c r="Z837" t="str">
        <f>IF(WarehouseData[[#This Row],[stock_level]]&lt;=WarehouseData[[#This Row],[Demand During Lead Time]],"At Risk","Safe")</f>
        <v>Safe</v>
      </c>
      <c r="AA837">
        <f>WarehouseData[[#This Row],[stock_level]]/WarehouseData[[#This Row],[daily_demand]]</f>
        <v>12.033195020746888</v>
      </c>
      <c r="AB837">
        <f>WarehouseData[[#This Row],[stock_level]]*WarehouseData[[#This Row],[unit_price]]</f>
        <v>67521.279999999999</v>
      </c>
      <c r="AC837">
        <f>WarehouseData[[#This Row],[stock_level]]*WarehouseData[[#This Row],[holding_cost_per_unit_day]]*30</f>
        <v>16564.800000000003</v>
      </c>
      <c r="AD837" t="str">
        <f>IF(WarehouseData[[#This Row],[order_fulfillment_rate]]&gt;=0.9,"Strong",IF(WarehouseData[[#This Row],[order_fulfillment_rate]]&gt;=0.8,"Moderate","Needs Attention"))</f>
        <v>Moderate</v>
      </c>
      <c r="AE837" t="str">
        <f>IF(WarehouseData[[#This Row],[picking_time_seconds]]&gt;120,"Slow",IF(WarehouseData[[#This Row],[picking_time_seconds]]&gt;=60,"Average","Fast"))</f>
        <v>Average</v>
      </c>
    </row>
    <row r="838" spans="1:31" x14ac:dyDescent="0.25">
      <c r="A838" t="s">
        <v>976</v>
      </c>
      <c r="B838" t="s">
        <v>48</v>
      </c>
      <c r="C838">
        <v>290</v>
      </c>
      <c r="D838">
        <v>79</v>
      </c>
      <c r="E838">
        <v>14</v>
      </c>
      <c r="F838">
        <v>2</v>
      </c>
      <c r="G838">
        <v>20.76</v>
      </c>
      <c r="H838">
        <v>8.19</v>
      </c>
      <c r="I838">
        <v>0.81</v>
      </c>
      <c r="J838" t="s">
        <v>178</v>
      </c>
      <c r="K838" t="s">
        <v>34</v>
      </c>
      <c r="L838">
        <v>146</v>
      </c>
      <c r="M838">
        <v>0.67</v>
      </c>
      <c r="N838">
        <v>173.37</v>
      </c>
      <c r="O838">
        <v>1.68</v>
      </c>
      <c r="P838">
        <v>2</v>
      </c>
      <c r="Q838">
        <v>0.84</v>
      </c>
      <c r="R838">
        <v>598</v>
      </c>
      <c r="S838">
        <v>11.1</v>
      </c>
      <c r="T838">
        <v>0.98</v>
      </c>
      <c r="U838" s="1">
        <v>45629</v>
      </c>
      <c r="V838">
        <v>65.739999999999995</v>
      </c>
      <c r="W838">
        <v>0.70399999999999996</v>
      </c>
      <c r="X838" t="str">
        <f>IF(WarehouseData[[#This Row],[stock_level]]&lt;=WarehouseData[[#This Row],[reorder_point]],"Low Stock","Sufficient Stock")</f>
        <v>Sufficient Stock</v>
      </c>
      <c r="Y838">
        <f>WarehouseData[[#This Row],[daily_demand]]*WarehouseData[[#This Row],[lead_time_days]]</f>
        <v>41.52</v>
      </c>
      <c r="Z838" t="str">
        <f>IF(WarehouseData[[#This Row],[stock_level]]&lt;=WarehouseData[[#This Row],[Demand During Lead Time]],"At Risk","Safe")</f>
        <v>Safe</v>
      </c>
      <c r="AA838">
        <f>WarehouseData[[#This Row],[stock_level]]/WarehouseData[[#This Row],[daily_demand]]</f>
        <v>13.96917148362235</v>
      </c>
      <c r="AB838">
        <f>WarehouseData[[#This Row],[stock_level]]*WarehouseData[[#This Row],[unit_price]]</f>
        <v>50277.3</v>
      </c>
      <c r="AC838">
        <f>WarehouseData[[#This Row],[stock_level]]*WarehouseData[[#This Row],[holding_cost_per_unit_day]]*30</f>
        <v>14616</v>
      </c>
      <c r="AD838" t="str">
        <f>IF(WarehouseData[[#This Row],[order_fulfillment_rate]]&gt;=0.9,"Strong",IF(WarehouseData[[#This Row],[order_fulfillment_rate]]&gt;=0.8,"Moderate","Needs Attention"))</f>
        <v>Moderate</v>
      </c>
      <c r="AE838" t="str">
        <f>IF(WarehouseData[[#This Row],[picking_time_seconds]]&gt;120,"Slow",IF(WarehouseData[[#This Row],[picking_time_seconds]]&gt;=60,"Average","Fast"))</f>
        <v>Slow</v>
      </c>
    </row>
    <row r="839" spans="1:31" x14ac:dyDescent="0.25">
      <c r="A839" t="s">
        <v>977</v>
      </c>
      <c r="B839" t="s">
        <v>48</v>
      </c>
      <c r="C839">
        <v>119</v>
      </c>
      <c r="D839">
        <v>31</v>
      </c>
      <c r="E839">
        <v>5</v>
      </c>
      <c r="F839">
        <v>4</v>
      </c>
      <c r="G839">
        <v>46.84</v>
      </c>
      <c r="H839">
        <v>9.61</v>
      </c>
      <c r="I839">
        <v>0.27</v>
      </c>
      <c r="J839" t="s">
        <v>196</v>
      </c>
      <c r="K839" t="s">
        <v>38</v>
      </c>
      <c r="L839">
        <v>151</v>
      </c>
      <c r="M839">
        <v>2.93</v>
      </c>
      <c r="N839">
        <v>109.03</v>
      </c>
      <c r="O839">
        <v>1.68</v>
      </c>
      <c r="P839">
        <v>7</v>
      </c>
      <c r="Q839">
        <v>0.82</v>
      </c>
      <c r="R839">
        <v>811</v>
      </c>
      <c r="S839">
        <v>2.71</v>
      </c>
      <c r="T839">
        <v>0.27</v>
      </c>
      <c r="U839" s="1">
        <v>45446</v>
      </c>
      <c r="V839">
        <v>163.6</v>
      </c>
      <c r="W839">
        <v>0.34599999999999997</v>
      </c>
      <c r="X839" t="str">
        <f>IF(WarehouseData[[#This Row],[stock_level]]&lt;=WarehouseData[[#This Row],[reorder_point]],"Low Stock","Sufficient Stock")</f>
        <v>Sufficient Stock</v>
      </c>
      <c r="Y839">
        <f>WarehouseData[[#This Row],[daily_demand]]*WarehouseData[[#This Row],[lead_time_days]]</f>
        <v>187.36</v>
      </c>
      <c r="Z839" t="str">
        <f>IF(WarehouseData[[#This Row],[stock_level]]&lt;=WarehouseData[[#This Row],[Demand During Lead Time]],"At Risk","Safe")</f>
        <v>At Risk</v>
      </c>
      <c r="AA839">
        <f>WarehouseData[[#This Row],[stock_level]]/WarehouseData[[#This Row],[daily_demand]]</f>
        <v>2.5405636208368914</v>
      </c>
      <c r="AB839">
        <f>WarehouseData[[#This Row],[stock_level]]*WarehouseData[[#This Row],[unit_price]]</f>
        <v>12974.57</v>
      </c>
      <c r="AC839">
        <f>WarehouseData[[#This Row],[stock_level]]*WarehouseData[[#This Row],[holding_cost_per_unit_day]]*30</f>
        <v>5997.5999999999995</v>
      </c>
      <c r="AD839" t="str">
        <f>IF(WarehouseData[[#This Row],[order_fulfillment_rate]]&gt;=0.9,"Strong",IF(WarehouseData[[#This Row],[order_fulfillment_rate]]&gt;=0.8,"Moderate","Needs Attention"))</f>
        <v>Moderate</v>
      </c>
      <c r="AE839" t="str">
        <f>IF(WarehouseData[[#This Row],[picking_time_seconds]]&gt;120,"Slow",IF(WarehouseData[[#This Row],[picking_time_seconds]]&gt;=60,"Average","Fast"))</f>
        <v>Slow</v>
      </c>
    </row>
    <row r="840" spans="1:31" x14ac:dyDescent="0.25">
      <c r="A840" t="s">
        <v>978</v>
      </c>
      <c r="B840" t="s">
        <v>40</v>
      </c>
      <c r="C840">
        <v>51</v>
      </c>
      <c r="D840">
        <v>41</v>
      </c>
      <c r="E840">
        <v>10</v>
      </c>
      <c r="F840">
        <v>9</v>
      </c>
      <c r="G840">
        <v>47.55</v>
      </c>
      <c r="H840">
        <v>4.0199999999999996</v>
      </c>
      <c r="I840">
        <v>0.76</v>
      </c>
      <c r="J840" t="s">
        <v>81</v>
      </c>
      <c r="K840" t="s">
        <v>52</v>
      </c>
      <c r="L840">
        <v>36</v>
      </c>
      <c r="M840">
        <v>2.52</v>
      </c>
      <c r="N840">
        <v>144.43</v>
      </c>
      <c r="O840">
        <v>0.41</v>
      </c>
      <c r="P840">
        <v>0</v>
      </c>
      <c r="Q840">
        <v>0.75</v>
      </c>
      <c r="R840">
        <v>618</v>
      </c>
      <c r="S840">
        <v>10.5</v>
      </c>
      <c r="T840">
        <v>0.52</v>
      </c>
      <c r="U840" s="1">
        <v>45397</v>
      </c>
      <c r="V840">
        <v>245.18</v>
      </c>
      <c r="W840">
        <v>0.753</v>
      </c>
      <c r="X840" t="str">
        <f>IF(WarehouseData[[#This Row],[stock_level]]&lt;=WarehouseData[[#This Row],[reorder_point]],"Low Stock","Sufficient Stock")</f>
        <v>Sufficient Stock</v>
      </c>
      <c r="Y840">
        <f>WarehouseData[[#This Row],[daily_demand]]*WarehouseData[[#This Row],[lead_time_days]]</f>
        <v>427.95</v>
      </c>
      <c r="Z840" t="str">
        <f>IF(WarehouseData[[#This Row],[stock_level]]&lt;=WarehouseData[[#This Row],[Demand During Lead Time]],"At Risk","Safe")</f>
        <v>At Risk</v>
      </c>
      <c r="AA840">
        <f>WarehouseData[[#This Row],[stock_level]]/WarehouseData[[#This Row],[daily_demand]]</f>
        <v>1.0725552050473186</v>
      </c>
      <c r="AB840">
        <f>WarehouseData[[#This Row],[stock_level]]*WarehouseData[[#This Row],[unit_price]]</f>
        <v>7365.93</v>
      </c>
      <c r="AC840">
        <f>WarehouseData[[#This Row],[stock_level]]*WarehouseData[[#This Row],[holding_cost_per_unit_day]]*30</f>
        <v>627.29999999999995</v>
      </c>
      <c r="AD840" t="str">
        <f>IF(WarehouseData[[#This Row],[order_fulfillment_rate]]&gt;=0.9,"Strong",IF(WarehouseData[[#This Row],[order_fulfillment_rate]]&gt;=0.8,"Moderate","Needs Attention"))</f>
        <v>Needs Attention</v>
      </c>
      <c r="AE840" t="str">
        <f>IF(WarehouseData[[#This Row],[picking_time_seconds]]&gt;120,"Slow",IF(WarehouseData[[#This Row],[picking_time_seconds]]&gt;=60,"Average","Fast"))</f>
        <v>Fast</v>
      </c>
    </row>
    <row r="841" spans="1:31" x14ac:dyDescent="0.25">
      <c r="A841" t="s">
        <v>979</v>
      </c>
      <c r="B841" t="s">
        <v>40</v>
      </c>
      <c r="C841">
        <v>371</v>
      </c>
      <c r="D841">
        <v>93</v>
      </c>
      <c r="E841">
        <v>10</v>
      </c>
      <c r="F841">
        <v>8</v>
      </c>
      <c r="G841">
        <v>6.63</v>
      </c>
      <c r="H841">
        <v>8.49</v>
      </c>
      <c r="I841">
        <v>0.96</v>
      </c>
      <c r="J841" t="s">
        <v>81</v>
      </c>
      <c r="K841" t="s">
        <v>52</v>
      </c>
      <c r="L841">
        <v>146</v>
      </c>
      <c r="M841">
        <v>1.59</v>
      </c>
      <c r="N841">
        <v>14</v>
      </c>
      <c r="O841">
        <v>1.1399999999999999</v>
      </c>
      <c r="P841">
        <v>7</v>
      </c>
      <c r="Q841">
        <v>0.83</v>
      </c>
      <c r="R841">
        <v>406</v>
      </c>
      <c r="S841">
        <v>2.1800000000000002</v>
      </c>
      <c r="T841">
        <v>0.32</v>
      </c>
      <c r="U841" s="1">
        <v>45557</v>
      </c>
      <c r="V841">
        <v>112.67</v>
      </c>
      <c r="W841">
        <v>0.40500000000000003</v>
      </c>
      <c r="X841" t="str">
        <f>IF(WarehouseData[[#This Row],[stock_level]]&lt;=WarehouseData[[#This Row],[reorder_point]],"Low Stock","Sufficient Stock")</f>
        <v>Sufficient Stock</v>
      </c>
      <c r="Y841">
        <f>WarehouseData[[#This Row],[daily_demand]]*WarehouseData[[#This Row],[lead_time_days]]</f>
        <v>53.04</v>
      </c>
      <c r="Z841" t="str">
        <f>IF(WarehouseData[[#This Row],[stock_level]]&lt;=WarehouseData[[#This Row],[Demand During Lead Time]],"At Risk","Safe")</f>
        <v>Safe</v>
      </c>
      <c r="AA841">
        <f>WarehouseData[[#This Row],[stock_level]]/WarehouseData[[#This Row],[daily_demand]]</f>
        <v>55.957767722473605</v>
      </c>
      <c r="AB841">
        <f>WarehouseData[[#This Row],[stock_level]]*WarehouseData[[#This Row],[unit_price]]</f>
        <v>5194</v>
      </c>
      <c r="AC841">
        <f>WarehouseData[[#This Row],[stock_level]]*WarehouseData[[#This Row],[holding_cost_per_unit_day]]*30</f>
        <v>12688.199999999999</v>
      </c>
      <c r="AD841" t="str">
        <f>IF(WarehouseData[[#This Row],[order_fulfillment_rate]]&gt;=0.9,"Strong",IF(WarehouseData[[#This Row],[order_fulfillment_rate]]&gt;=0.8,"Moderate","Needs Attention"))</f>
        <v>Moderate</v>
      </c>
      <c r="AE841" t="str">
        <f>IF(WarehouseData[[#This Row],[picking_time_seconds]]&gt;120,"Slow",IF(WarehouseData[[#This Row],[picking_time_seconds]]&gt;=60,"Average","Fast"))</f>
        <v>Slow</v>
      </c>
    </row>
    <row r="842" spans="1:31" x14ac:dyDescent="0.25">
      <c r="A842" t="s">
        <v>980</v>
      </c>
      <c r="B842" t="s">
        <v>36</v>
      </c>
      <c r="C842">
        <v>147</v>
      </c>
      <c r="D842">
        <v>10</v>
      </c>
      <c r="E842">
        <v>13</v>
      </c>
      <c r="F842">
        <v>7</v>
      </c>
      <c r="G842">
        <v>47.87</v>
      </c>
      <c r="H842">
        <v>8.7100000000000009</v>
      </c>
      <c r="I842">
        <v>0.92</v>
      </c>
      <c r="J842" t="s">
        <v>245</v>
      </c>
      <c r="K842" t="s">
        <v>46</v>
      </c>
      <c r="L842">
        <v>173</v>
      </c>
      <c r="M842">
        <v>3.37</v>
      </c>
      <c r="N842">
        <v>125.6</v>
      </c>
      <c r="O842">
        <v>0.34</v>
      </c>
      <c r="P842">
        <v>7</v>
      </c>
      <c r="Q842">
        <v>0.73</v>
      </c>
      <c r="R842">
        <v>571</v>
      </c>
      <c r="S842">
        <v>12.3</v>
      </c>
      <c r="T842">
        <v>0.42</v>
      </c>
      <c r="U842" s="1">
        <v>45602</v>
      </c>
      <c r="V842">
        <v>255.58</v>
      </c>
      <c r="W842">
        <v>0.62</v>
      </c>
      <c r="X842" t="str">
        <f>IF(WarehouseData[[#This Row],[stock_level]]&lt;=WarehouseData[[#This Row],[reorder_point]],"Low Stock","Sufficient Stock")</f>
        <v>Sufficient Stock</v>
      </c>
      <c r="Y842">
        <f>WarehouseData[[#This Row],[daily_demand]]*WarehouseData[[#This Row],[lead_time_days]]</f>
        <v>335.09</v>
      </c>
      <c r="Z842" t="str">
        <f>IF(WarehouseData[[#This Row],[stock_level]]&lt;=WarehouseData[[#This Row],[Demand During Lead Time]],"At Risk","Safe")</f>
        <v>At Risk</v>
      </c>
      <c r="AA842">
        <f>WarehouseData[[#This Row],[stock_level]]/WarehouseData[[#This Row],[daily_demand]]</f>
        <v>3.0708167954877794</v>
      </c>
      <c r="AB842">
        <f>WarehouseData[[#This Row],[stock_level]]*WarehouseData[[#This Row],[unit_price]]</f>
        <v>18463.2</v>
      </c>
      <c r="AC842">
        <f>WarehouseData[[#This Row],[stock_level]]*WarehouseData[[#This Row],[holding_cost_per_unit_day]]*30</f>
        <v>1499.4</v>
      </c>
      <c r="AD842" t="str">
        <f>IF(WarehouseData[[#This Row],[order_fulfillment_rate]]&gt;=0.9,"Strong",IF(WarehouseData[[#This Row],[order_fulfillment_rate]]&gt;=0.8,"Moderate","Needs Attention"))</f>
        <v>Needs Attention</v>
      </c>
      <c r="AE842" t="str">
        <f>IF(WarehouseData[[#This Row],[picking_time_seconds]]&gt;120,"Slow",IF(WarehouseData[[#This Row],[picking_time_seconds]]&gt;=60,"Average","Fast"))</f>
        <v>Slow</v>
      </c>
    </row>
    <row r="843" spans="1:31" x14ac:dyDescent="0.25">
      <c r="A843" t="s">
        <v>981</v>
      </c>
      <c r="B843" t="s">
        <v>36</v>
      </c>
      <c r="C843">
        <v>471</v>
      </c>
      <c r="D843">
        <v>63</v>
      </c>
      <c r="E843">
        <v>13</v>
      </c>
      <c r="F843">
        <v>5</v>
      </c>
      <c r="G843">
        <v>19.05</v>
      </c>
      <c r="H843">
        <v>1.67</v>
      </c>
      <c r="I843">
        <v>0.81</v>
      </c>
      <c r="J843" t="s">
        <v>88</v>
      </c>
      <c r="K843" t="s">
        <v>46</v>
      </c>
      <c r="L843">
        <v>102</v>
      </c>
      <c r="M843">
        <v>1.24</v>
      </c>
      <c r="N843">
        <v>192.76</v>
      </c>
      <c r="O843">
        <v>1.75</v>
      </c>
      <c r="P843">
        <v>2</v>
      </c>
      <c r="Q843">
        <v>0.96</v>
      </c>
      <c r="R843">
        <v>509</v>
      </c>
      <c r="S843">
        <v>14.69</v>
      </c>
      <c r="T843">
        <v>0.98</v>
      </c>
      <c r="U843" s="1">
        <v>45552</v>
      </c>
      <c r="V843">
        <v>104.58</v>
      </c>
      <c r="W843">
        <v>0.76900000000000002</v>
      </c>
      <c r="X843" t="str">
        <f>IF(WarehouseData[[#This Row],[stock_level]]&lt;=WarehouseData[[#This Row],[reorder_point]],"Low Stock","Sufficient Stock")</f>
        <v>Sufficient Stock</v>
      </c>
      <c r="Y843">
        <f>WarehouseData[[#This Row],[daily_demand]]*WarehouseData[[#This Row],[lead_time_days]]</f>
        <v>95.25</v>
      </c>
      <c r="Z843" t="str">
        <f>IF(WarehouseData[[#This Row],[stock_level]]&lt;=WarehouseData[[#This Row],[Demand During Lead Time]],"At Risk","Safe")</f>
        <v>Safe</v>
      </c>
      <c r="AA843">
        <f>WarehouseData[[#This Row],[stock_level]]/WarehouseData[[#This Row],[daily_demand]]</f>
        <v>24.724409448818896</v>
      </c>
      <c r="AB843">
        <f>WarehouseData[[#This Row],[stock_level]]*WarehouseData[[#This Row],[unit_price]]</f>
        <v>90789.959999999992</v>
      </c>
      <c r="AC843">
        <f>WarehouseData[[#This Row],[stock_level]]*WarehouseData[[#This Row],[holding_cost_per_unit_day]]*30</f>
        <v>24727.5</v>
      </c>
      <c r="AD843" t="str">
        <f>IF(WarehouseData[[#This Row],[order_fulfillment_rate]]&gt;=0.9,"Strong",IF(WarehouseData[[#This Row],[order_fulfillment_rate]]&gt;=0.8,"Moderate","Needs Attention"))</f>
        <v>Strong</v>
      </c>
      <c r="AE843" t="str">
        <f>IF(WarehouseData[[#This Row],[picking_time_seconds]]&gt;120,"Slow",IF(WarehouseData[[#This Row],[picking_time_seconds]]&gt;=60,"Average","Fast"))</f>
        <v>Average</v>
      </c>
    </row>
    <row r="844" spans="1:31" x14ac:dyDescent="0.25">
      <c r="A844" t="s">
        <v>982</v>
      </c>
      <c r="B844" t="s">
        <v>73</v>
      </c>
      <c r="C844">
        <v>421</v>
      </c>
      <c r="D844">
        <v>67</v>
      </c>
      <c r="E844">
        <v>8</v>
      </c>
      <c r="F844">
        <v>3</v>
      </c>
      <c r="G844">
        <v>32.67</v>
      </c>
      <c r="H844">
        <v>8.5299999999999994</v>
      </c>
      <c r="I844">
        <v>0.74</v>
      </c>
      <c r="J844" t="s">
        <v>37</v>
      </c>
      <c r="K844" t="s">
        <v>52</v>
      </c>
      <c r="L844">
        <v>109</v>
      </c>
      <c r="M844">
        <v>1.78</v>
      </c>
      <c r="N844">
        <v>135.59</v>
      </c>
      <c r="O844">
        <v>1.69</v>
      </c>
      <c r="P844">
        <v>0</v>
      </c>
      <c r="Q844">
        <v>0.71</v>
      </c>
      <c r="R844">
        <v>642</v>
      </c>
      <c r="S844">
        <v>9.77</v>
      </c>
      <c r="T844">
        <v>0.99</v>
      </c>
      <c r="U844" s="1">
        <v>45388</v>
      </c>
      <c r="V844">
        <v>223.32</v>
      </c>
      <c r="W844">
        <v>0.70099999999999996</v>
      </c>
      <c r="X844" t="str">
        <f>IF(WarehouseData[[#This Row],[stock_level]]&lt;=WarehouseData[[#This Row],[reorder_point]],"Low Stock","Sufficient Stock")</f>
        <v>Sufficient Stock</v>
      </c>
      <c r="Y844">
        <f>WarehouseData[[#This Row],[daily_demand]]*WarehouseData[[#This Row],[lead_time_days]]</f>
        <v>98.01</v>
      </c>
      <c r="Z844" t="str">
        <f>IF(WarehouseData[[#This Row],[stock_level]]&lt;=WarehouseData[[#This Row],[Demand During Lead Time]],"At Risk","Safe")</f>
        <v>Safe</v>
      </c>
      <c r="AA844">
        <f>WarehouseData[[#This Row],[stock_level]]/WarehouseData[[#This Row],[daily_demand]]</f>
        <v>12.886440159167432</v>
      </c>
      <c r="AB844">
        <f>WarehouseData[[#This Row],[stock_level]]*WarehouseData[[#This Row],[unit_price]]</f>
        <v>57083.39</v>
      </c>
      <c r="AC844">
        <f>WarehouseData[[#This Row],[stock_level]]*WarehouseData[[#This Row],[holding_cost_per_unit_day]]*30</f>
        <v>21344.7</v>
      </c>
      <c r="AD844" t="str">
        <f>IF(WarehouseData[[#This Row],[order_fulfillment_rate]]&gt;=0.9,"Strong",IF(WarehouseData[[#This Row],[order_fulfillment_rate]]&gt;=0.8,"Moderate","Needs Attention"))</f>
        <v>Needs Attention</v>
      </c>
      <c r="AE844" t="str">
        <f>IF(WarehouseData[[#This Row],[picking_time_seconds]]&gt;120,"Slow",IF(WarehouseData[[#This Row],[picking_time_seconds]]&gt;=60,"Average","Fast"))</f>
        <v>Average</v>
      </c>
    </row>
    <row r="845" spans="1:31" x14ac:dyDescent="0.25">
      <c r="A845" t="s">
        <v>983</v>
      </c>
      <c r="B845" t="s">
        <v>73</v>
      </c>
      <c r="C845">
        <v>388</v>
      </c>
      <c r="D845">
        <v>79</v>
      </c>
      <c r="E845">
        <v>12</v>
      </c>
      <c r="F845">
        <v>9</v>
      </c>
      <c r="G845">
        <v>2.7</v>
      </c>
      <c r="H845">
        <v>3.58</v>
      </c>
      <c r="I845">
        <v>0.31</v>
      </c>
      <c r="J845" t="s">
        <v>215</v>
      </c>
      <c r="K845" t="s">
        <v>52</v>
      </c>
      <c r="L845">
        <v>140</v>
      </c>
      <c r="M845">
        <v>4.0199999999999996</v>
      </c>
      <c r="N845">
        <v>185.23</v>
      </c>
      <c r="O845">
        <v>1.71</v>
      </c>
      <c r="P845">
        <v>8</v>
      </c>
      <c r="Q845">
        <v>0.81</v>
      </c>
      <c r="R845">
        <v>991</v>
      </c>
      <c r="S845">
        <v>2.08</v>
      </c>
      <c r="T845">
        <v>0.57999999999999996</v>
      </c>
      <c r="U845" s="1">
        <v>45492</v>
      </c>
      <c r="V845">
        <v>43.42</v>
      </c>
      <c r="W845">
        <v>0.375</v>
      </c>
      <c r="X845" t="str">
        <f>IF(WarehouseData[[#This Row],[stock_level]]&lt;=WarehouseData[[#This Row],[reorder_point]],"Low Stock","Sufficient Stock")</f>
        <v>Sufficient Stock</v>
      </c>
      <c r="Y845">
        <f>WarehouseData[[#This Row],[daily_demand]]*WarehouseData[[#This Row],[lead_time_days]]</f>
        <v>24.3</v>
      </c>
      <c r="Z845" t="str">
        <f>IF(WarehouseData[[#This Row],[stock_level]]&lt;=WarehouseData[[#This Row],[Demand During Lead Time]],"At Risk","Safe")</f>
        <v>Safe</v>
      </c>
      <c r="AA845">
        <f>WarehouseData[[#This Row],[stock_level]]/WarehouseData[[#This Row],[daily_demand]]</f>
        <v>143.7037037037037</v>
      </c>
      <c r="AB845">
        <f>WarehouseData[[#This Row],[stock_level]]*WarehouseData[[#This Row],[unit_price]]</f>
        <v>71869.239999999991</v>
      </c>
      <c r="AC845">
        <f>WarehouseData[[#This Row],[stock_level]]*WarehouseData[[#This Row],[holding_cost_per_unit_day]]*30</f>
        <v>19904.400000000001</v>
      </c>
      <c r="AD845" t="str">
        <f>IF(WarehouseData[[#This Row],[order_fulfillment_rate]]&gt;=0.9,"Strong",IF(WarehouseData[[#This Row],[order_fulfillment_rate]]&gt;=0.8,"Moderate","Needs Attention"))</f>
        <v>Moderate</v>
      </c>
      <c r="AE845" t="str">
        <f>IF(WarehouseData[[#This Row],[picking_time_seconds]]&gt;120,"Slow",IF(WarehouseData[[#This Row],[picking_time_seconds]]&gt;=60,"Average","Fast"))</f>
        <v>Slow</v>
      </c>
    </row>
    <row r="846" spans="1:31" x14ac:dyDescent="0.25">
      <c r="A846" t="s">
        <v>984</v>
      </c>
      <c r="B846" t="s">
        <v>36</v>
      </c>
      <c r="C846">
        <v>358</v>
      </c>
      <c r="D846">
        <v>92</v>
      </c>
      <c r="E846">
        <v>11</v>
      </c>
      <c r="F846">
        <v>7</v>
      </c>
      <c r="G846">
        <v>44.56</v>
      </c>
      <c r="H846">
        <v>6.14</v>
      </c>
      <c r="I846">
        <v>0.67</v>
      </c>
      <c r="J846" t="s">
        <v>106</v>
      </c>
      <c r="K846" t="s">
        <v>52</v>
      </c>
      <c r="L846">
        <v>126</v>
      </c>
      <c r="M846">
        <v>2.57</v>
      </c>
      <c r="N846">
        <v>117.54</v>
      </c>
      <c r="O846">
        <v>1.44</v>
      </c>
      <c r="P846">
        <v>3</v>
      </c>
      <c r="Q846">
        <v>0.73</v>
      </c>
      <c r="R846">
        <v>651</v>
      </c>
      <c r="S846">
        <v>9.2100000000000009</v>
      </c>
      <c r="T846">
        <v>0.35</v>
      </c>
      <c r="U846" s="1">
        <v>45443</v>
      </c>
      <c r="V846">
        <v>28.04</v>
      </c>
      <c r="W846">
        <v>0.53500000000000003</v>
      </c>
      <c r="X846" t="str">
        <f>IF(WarehouseData[[#This Row],[stock_level]]&lt;=WarehouseData[[#This Row],[reorder_point]],"Low Stock","Sufficient Stock")</f>
        <v>Sufficient Stock</v>
      </c>
      <c r="Y846">
        <f>WarehouseData[[#This Row],[daily_demand]]*WarehouseData[[#This Row],[lead_time_days]]</f>
        <v>311.92</v>
      </c>
      <c r="Z846" t="str">
        <f>IF(WarehouseData[[#This Row],[stock_level]]&lt;=WarehouseData[[#This Row],[Demand During Lead Time]],"At Risk","Safe")</f>
        <v>Safe</v>
      </c>
      <c r="AA846">
        <f>WarehouseData[[#This Row],[stock_level]]/WarehouseData[[#This Row],[daily_demand]]</f>
        <v>8.0341113105924595</v>
      </c>
      <c r="AB846">
        <f>WarehouseData[[#This Row],[stock_level]]*WarehouseData[[#This Row],[unit_price]]</f>
        <v>42079.32</v>
      </c>
      <c r="AC846">
        <f>WarehouseData[[#This Row],[stock_level]]*WarehouseData[[#This Row],[holding_cost_per_unit_day]]*30</f>
        <v>15465.599999999999</v>
      </c>
      <c r="AD846" t="str">
        <f>IF(WarehouseData[[#This Row],[order_fulfillment_rate]]&gt;=0.9,"Strong",IF(WarehouseData[[#This Row],[order_fulfillment_rate]]&gt;=0.8,"Moderate","Needs Attention"))</f>
        <v>Needs Attention</v>
      </c>
      <c r="AE846" t="str">
        <f>IF(WarehouseData[[#This Row],[picking_time_seconds]]&gt;120,"Slow",IF(WarehouseData[[#This Row],[picking_time_seconds]]&gt;=60,"Average","Fast"))</f>
        <v>Slow</v>
      </c>
    </row>
    <row r="847" spans="1:31" x14ac:dyDescent="0.25">
      <c r="A847" t="s">
        <v>985</v>
      </c>
      <c r="B847" t="s">
        <v>36</v>
      </c>
      <c r="C847">
        <v>62</v>
      </c>
      <c r="D847">
        <v>27</v>
      </c>
      <c r="E847">
        <v>13</v>
      </c>
      <c r="F847">
        <v>5</v>
      </c>
      <c r="G847">
        <v>32.44</v>
      </c>
      <c r="H847">
        <v>5.62</v>
      </c>
      <c r="I847">
        <v>0.68</v>
      </c>
      <c r="J847" t="s">
        <v>338</v>
      </c>
      <c r="K847" t="s">
        <v>46</v>
      </c>
      <c r="L847">
        <v>160</v>
      </c>
      <c r="M847">
        <v>4.97</v>
      </c>
      <c r="N847">
        <v>170.24</v>
      </c>
      <c r="O847">
        <v>0.99</v>
      </c>
      <c r="P847">
        <v>6</v>
      </c>
      <c r="Q847">
        <v>0.93</v>
      </c>
      <c r="R847">
        <v>950</v>
      </c>
      <c r="S847">
        <v>11.37</v>
      </c>
      <c r="T847">
        <v>0.64</v>
      </c>
      <c r="U847" s="1">
        <v>45622</v>
      </c>
      <c r="V847">
        <v>223.9</v>
      </c>
      <c r="W847">
        <v>0.64700000000000002</v>
      </c>
      <c r="X847" t="str">
        <f>IF(WarehouseData[[#This Row],[stock_level]]&lt;=WarehouseData[[#This Row],[reorder_point]],"Low Stock","Sufficient Stock")</f>
        <v>Sufficient Stock</v>
      </c>
      <c r="Y847">
        <f>WarehouseData[[#This Row],[daily_demand]]*WarehouseData[[#This Row],[lead_time_days]]</f>
        <v>162.19999999999999</v>
      </c>
      <c r="Z847" t="str">
        <f>IF(WarehouseData[[#This Row],[stock_level]]&lt;=WarehouseData[[#This Row],[Demand During Lead Time]],"At Risk","Safe")</f>
        <v>At Risk</v>
      </c>
      <c r="AA847">
        <f>WarehouseData[[#This Row],[stock_level]]/WarehouseData[[#This Row],[daily_demand]]</f>
        <v>1.9112207151664613</v>
      </c>
      <c r="AB847">
        <f>WarehouseData[[#This Row],[stock_level]]*WarehouseData[[#This Row],[unit_price]]</f>
        <v>10554.880000000001</v>
      </c>
      <c r="AC847">
        <f>WarehouseData[[#This Row],[stock_level]]*WarehouseData[[#This Row],[holding_cost_per_unit_day]]*30</f>
        <v>1841.4</v>
      </c>
      <c r="AD847" t="str">
        <f>IF(WarehouseData[[#This Row],[order_fulfillment_rate]]&gt;=0.9,"Strong",IF(WarehouseData[[#This Row],[order_fulfillment_rate]]&gt;=0.8,"Moderate","Needs Attention"))</f>
        <v>Strong</v>
      </c>
      <c r="AE847" t="str">
        <f>IF(WarehouseData[[#This Row],[picking_time_seconds]]&gt;120,"Slow",IF(WarehouseData[[#This Row],[picking_time_seconds]]&gt;=60,"Average","Fast"))</f>
        <v>Slow</v>
      </c>
    </row>
    <row r="848" spans="1:31" x14ac:dyDescent="0.25">
      <c r="A848" t="s">
        <v>986</v>
      </c>
      <c r="B848" t="s">
        <v>32</v>
      </c>
      <c r="C848">
        <v>391</v>
      </c>
      <c r="D848">
        <v>15</v>
      </c>
      <c r="E848">
        <v>14</v>
      </c>
      <c r="F848">
        <v>8</v>
      </c>
      <c r="G848">
        <v>32.53</v>
      </c>
      <c r="H848">
        <v>6.8</v>
      </c>
      <c r="I848">
        <v>0.47</v>
      </c>
      <c r="J848" t="s">
        <v>57</v>
      </c>
      <c r="K848" t="s">
        <v>34</v>
      </c>
      <c r="L848">
        <v>131</v>
      </c>
      <c r="M848">
        <v>2.2400000000000002</v>
      </c>
      <c r="N848">
        <v>33.590000000000003</v>
      </c>
      <c r="O848">
        <v>0.87</v>
      </c>
      <c r="P848">
        <v>8</v>
      </c>
      <c r="Q848">
        <v>0.79</v>
      </c>
      <c r="R848">
        <v>950</v>
      </c>
      <c r="S848">
        <v>14.06</v>
      </c>
      <c r="T848">
        <v>0.46</v>
      </c>
      <c r="U848" s="1">
        <v>45319</v>
      </c>
      <c r="V848">
        <v>116.84</v>
      </c>
      <c r="W848">
        <v>0.59</v>
      </c>
      <c r="X848" t="str">
        <f>IF(WarehouseData[[#This Row],[stock_level]]&lt;=WarehouseData[[#This Row],[reorder_point]],"Low Stock","Sufficient Stock")</f>
        <v>Sufficient Stock</v>
      </c>
      <c r="Y848">
        <f>WarehouseData[[#This Row],[daily_demand]]*WarehouseData[[#This Row],[lead_time_days]]</f>
        <v>260.24</v>
      </c>
      <c r="Z848" t="str">
        <f>IF(WarehouseData[[#This Row],[stock_level]]&lt;=WarehouseData[[#This Row],[Demand During Lead Time]],"At Risk","Safe")</f>
        <v>Safe</v>
      </c>
      <c r="AA848">
        <f>WarehouseData[[#This Row],[stock_level]]/WarehouseData[[#This Row],[daily_demand]]</f>
        <v>12.019674146941284</v>
      </c>
      <c r="AB848">
        <f>WarehouseData[[#This Row],[stock_level]]*WarehouseData[[#This Row],[unit_price]]</f>
        <v>13133.69</v>
      </c>
      <c r="AC848">
        <f>WarehouseData[[#This Row],[stock_level]]*WarehouseData[[#This Row],[holding_cost_per_unit_day]]*30</f>
        <v>10205.1</v>
      </c>
      <c r="AD848" t="str">
        <f>IF(WarehouseData[[#This Row],[order_fulfillment_rate]]&gt;=0.9,"Strong",IF(WarehouseData[[#This Row],[order_fulfillment_rate]]&gt;=0.8,"Moderate","Needs Attention"))</f>
        <v>Needs Attention</v>
      </c>
      <c r="AE848" t="str">
        <f>IF(WarehouseData[[#This Row],[picking_time_seconds]]&gt;120,"Slow",IF(WarehouseData[[#This Row],[picking_time_seconds]]&gt;=60,"Average","Fast"))</f>
        <v>Slow</v>
      </c>
    </row>
    <row r="849" spans="1:31" x14ac:dyDescent="0.25">
      <c r="A849" t="s">
        <v>987</v>
      </c>
      <c r="B849" t="s">
        <v>40</v>
      </c>
      <c r="C849">
        <v>438</v>
      </c>
      <c r="D849">
        <v>54</v>
      </c>
      <c r="E849">
        <v>11</v>
      </c>
      <c r="F849">
        <v>4</v>
      </c>
      <c r="G849">
        <v>45.21</v>
      </c>
      <c r="H849">
        <v>7.53</v>
      </c>
      <c r="I849">
        <v>0.54</v>
      </c>
      <c r="J849" t="s">
        <v>251</v>
      </c>
      <c r="K849" t="s">
        <v>34</v>
      </c>
      <c r="L849">
        <v>119</v>
      </c>
      <c r="M849">
        <v>2.58</v>
      </c>
      <c r="N849">
        <v>33.47</v>
      </c>
      <c r="O849">
        <v>0.85</v>
      </c>
      <c r="P849">
        <v>2</v>
      </c>
      <c r="Q849">
        <v>0.73</v>
      </c>
      <c r="R849">
        <v>681</v>
      </c>
      <c r="S849">
        <v>1.64</v>
      </c>
      <c r="T849">
        <v>0.94</v>
      </c>
      <c r="U849" s="1">
        <v>45414</v>
      </c>
      <c r="V849">
        <v>123.97</v>
      </c>
      <c r="W849">
        <v>0.63100000000000001</v>
      </c>
      <c r="X849" t="str">
        <f>IF(WarehouseData[[#This Row],[stock_level]]&lt;=WarehouseData[[#This Row],[reorder_point]],"Low Stock","Sufficient Stock")</f>
        <v>Sufficient Stock</v>
      </c>
      <c r="Y849">
        <f>WarehouseData[[#This Row],[daily_demand]]*WarehouseData[[#This Row],[lead_time_days]]</f>
        <v>180.84</v>
      </c>
      <c r="Z849" t="str">
        <f>IF(WarehouseData[[#This Row],[stock_level]]&lt;=WarehouseData[[#This Row],[Demand During Lead Time]],"At Risk","Safe")</f>
        <v>Safe</v>
      </c>
      <c r="AA849">
        <f>WarehouseData[[#This Row],[stock_level]]/WarehouseData[[#This Row],[daily_demand]]</f>
        <v>9.6881220968812212</v>
      </c>
      <c r="AB849">
        <f>WarehouseData[[#This Row],[stock_level]]*WarehouseData[[#This Row],[unit_price]]</f>
        <v>14659.859999999999</v>
      </c>
      <c r="AC849">
        <f>WarehouseData[[#This Row],[stock_level]]*WarehouseData[[#This Row],[holding_cost_per_unit_day]]*30</f>
        <v>11169</v>
      </c>
      <c r="AD849" t="str">
        <f>IF(WarehouseData[[#This Row],[order_fulfillment_rate]]&gt;=0.9,"Strong",IF(WarehouseData[[#This Row],[order_fulfillment_rate]]&gt;=0.8,"Moderate","Needs Attention"))</f>
        <v>Needs Attention</v>
      </c>
      <c r="AE849" t="str">
        <f>IF(WarehouseData[[#This Row],[picking_time_seconds]]&gt;120,"Slow",IF(WarehouseData[[#This Row],[picking_time_seconds]]&gt;=60,"Average","Fast"))</f>
        <v>Average</v>
      </c>
    </row>
    <row r="850" spans="1:31" x14ac:dyDescent="0.25">
      <c r="A850" t="s">
        <v>988</v>
      </c>
      <c r="B850" t="s">
        <v>73</v>
      </c>
      <c r="C850">
        <v>97</v>
      </c>
      <c r="D850">
        <v>32</v>
      </c>
      <c r="E850">
        <v>6</v>
      </c>
      <c r="F850">
        <v>8</v>
      </c>
      <c r="G850">
        <v>25.91</v>
      </c>
      <c r="H850">
        <v>4.6900000000000004</v>
      </c>
      <c r="I850">
        <v>0.72</v>
      </c>
      <c r="J850" t="s">
        <v>41</v>
      </c>
      <c r="K850" t="s">
        <v>38</v>
      </c>
      <c r="L850">
        <v>82</v>
      </c>
      <c r="M850">
        <v>1.85</v>
      </c>
      <c r="N850">
        <v>32.83</v>
      </c>
      <c r="O850">
        <v>0.23</v>
      </c>
      <c r="P850">
        <v>4</v>
      </c>
      <c r="Q850">
        <v>0.86</v>
      </c>
      <c r="R850">
        <v>663</v>
      </c>
      <c r="S850">
        <v>11.85</v>
      </c>
      <c r="T850">
        <v>0.85</v>
      </c>
      <c r="U850" s="1">
        <v>45545</v>
      </c>
      <c r="V850">
        <v>176.5</v>
      </c>
      <c r="W850">
        <v>0.79700000000000004</v>
      </c>
      <c r="X850" t="str">
        <f>IF(WarehouseData[[#This Row],[stock_level]]&lt;=WarehouseData[[#This Row],[reorder_point]],"Low Stock","Sufficient Stock")</f>
        <v>Sufficient Stock</v>
      </c>
      <c r="Y850">
        <f>WarehouseData[[#This Row],[daily_demand]]*WarehouseData[[#This Row],[lead_time_days]]</f>
        <v>207.28</v>
      </c>
      <c r="Z850" t="str">
        <f>IF(WarehouseData[[#This Row],[stock_level]]&lt;=WarehouseData[[#This Row],[Demand During Lead Time]],"At Risk","Safe")</f>
        <v>At Risk</v>
      </c>
      <c r="AA850">
        <f>WarehouseData[[#This Row],[stock_level]]/WarehouseData[[#This Row],[daily_demand]]</f>
        <v>3.7437282902354303</v>
      </c>
      <c r="AB850">
        <f>WarehouseData[[#This Row],[stock_level]]*WarehouseData[[#This Row],[unit_price]]</f>
        <v>3184.5099999999998</v>
      </c>
      <c r="AC850">
        <f>WarehouseData[[#This Row],[stock_level]]*WarehouseData[[#This Row],[holding_cost_per_unit_day]]*30</f>
        <v>669.30000000000007</v>
      </c>
      <c r="AD850" t="str">
        <f>IF(WarehouseData[[#This Row],[order_fulfillment_rate]]&gt;=0.9,"Strong",IF(WarehouseData[[#This Row],[order_fulfillment_rate]]&gt;=0.8,"Moderate","Needs Attention"))</f>
        <v>Moderate</v>
      </c>
      <c r="AE850" t="str">
        <f>IF(WarehouseData[[#This Row],[picking_time_seconds]]&gt;120,"Slow",IF(WarehouseData[[#This Row],[picking_time_seconds]]&gt;=60,"Average","Fast"))</f>
        <v>Average</v>
      </c>
    </row>
    <row r="851" spans="1:31" x14ac:dyDescent="0.25">
      <c r="A851" t="s">
        <v>989</v>
      </c>
      <c r="B851" t="s">
        <v>40</v>
      </c>
      <c r="C851">
        <v>333</v>
      </c>
      <c r="D851">
        <v>32</v>
      </c>
      <c r="E851">
        <v>14</v>
      </c>
      <c r="F851">
        <v>3</v>
      </c>
      <c r="G851">
        <v>21.12</v>
      </c>
      <c r="H851">
        <v>8.94</v>
      </c>
      <c r="I851">
        <v>0.96</v>
      </c>
      <c r="J851" t="s">
        <v>338</v>
      </c>
      <c r="K851" t="s">
        <v>52</v>
      </c>
      <c r="L851">
        <v>39</v>
      </c>
      <c r="M851">
        <v>1.56</v>
      </c>
      <c r="N851">
        <v>102.88</v>
      </c>
      <c r="O851">
        <v>1.9</v>
      </c>
      <c r="P851">
        <v>9</v>
      </c>
      <c r="Q851">
        <v>0.97</v>
      </c>
      <c r="R851">
        <v>544</v>
      </c>
      <c r="S851">
        <v>2.86</v>
      </c>
      <c r="T851">
        <v>0.45</v>
      </c>
      <c r="U851" s="1">
        <v>45489</v>
      </c>
      <c r="V851">
        <v>296.19</v>
      </c>
      <c r="W851">
        <v>0.35199999999999998</v>
      </c>
      <c r="X851" t="str">
        <f>IF(WarehouseData[[#This Row],[stock_level]]&lt;=WarehouseData[[#This Row],[reorder_point]],"Low Stock","Sufficient Stock")</f>
        <v>Sufficient Stock</v>
      </c>
      <c r="Y851">
        <f>WarehouseData[[#This Row],[daily_demand]]*WarehouseData[[#This Row],[lead_time_days]]</f>
        <v>63.36</v>
      </c>
      <c r="Z851" t="str">
        <f>IF(WarehouseData[[#This Row],[stock_level]]&lt;=WarehouseData[[#This Row],[Demand During Lead Time]],"At Risk","Safe")</f>
        <v>Safe</v>
      </c>
      <c r="AA851">
        <f>WarehouseData[[#This Row],[stock_level]]/WarehouseData[[#This Row],[daily_demand]]</f>
        <v>15.767045454545453</v>
      </c>
      <c r="AB851">
        <f>WarehouseData[[#This Row],[stock_level]]*WarehouseData[[#This Row],[unit_price]]</f>
        <v>34259.040000000001</v>
      </c>
      <c r="AC851">
        <f>WarehouseData[[#This Row],[stock_level]]*WarehouseData[[#This Row],[holding_cost_per_unit_day]]*30</f>
        <v>18980.999999999996</v>
      </c>
      <c r="AD851" t="str">
        <f>IF(WarehouseData[[#This Row],[order_fulfillment_rate]]&gt;=0.9,"Strong",IF(WarehouseData[[#This Row],[order_fulfillment_rate]]&gt;=0.8,"Moderate","Needs Attention"))</f>
        <v>Strong</v>
      </c>
      <c r="AE851" t="str">
        <f>IF(WarehouseData[[#This Row],[picking_time_seconds]]&gt;120,"Slow",IF(WarehouseData[[#This Row],[picking_time_seconds]]&gt;=60,"Average","Fast"))</f>
        <v>Fast</v>
      </c>
    </row>
    <row r="852" spans="1:31" x14ac:dyDescent="0.25">
      <c r="A852" t="s">
        <v>990</v>
      </c>
      <c r="B852" t="s">
        <v>40</v>
      </c>
      <c r="C852">
        <v>308</v>
      </c>
      <c r="D852">
        <v>35</v>
      </c>
      <c r="E852">
        <v>3</v>
      </c>
      <c r="F852">
        <v>8</v>
      </c>
      <c r="G852">
        <v>43.44</v>
      </c>
      <c r="H852">
        <v>8.19</v>
      </c>
      <c r="I852">
        <v>0.37</v>
      </c>
      <c r="J852" t="s">
        <v>154</v>
      </c>
      <c r="K852" t="s">
        <v>52</v>
      </c>
      <c r="L852">
        <v>28</v>
      </c>
      <c r="M852">
        <v>4.6500000000000004</v>
      </c>
      <c r="N852">
        <v>72.75</v>
      </c>
      <c r="O852">
        <v>0.96</v>
      </c>
      <c r="P852">
        <v>2</v>
      </c>
      <c r="Q852">
        <v>0.97</v>
      </c>
      <c r="R852">
        <v>588</v>
      </c>
      <c r="S852">
        <v>12.07</v>
      </c>
      <c r="T852">
        <v>0.21</v>
      </c>
      <c r="U852" s="1">
        <v>45349</v>
      </c>
      <c r="V852">
        <v>59.74</v>
      </c>
      <c r="W852">
        <v>0.66100000000000003</v>
      </c>
      <c r="X852" t="str">
        <f>IF(WarehouseData[[#This Row],[stock_level]]&lt;=WarehouseData[[#This Row],[reorder_point]],"Low Stock","Sufficient Stock")</f>
        <v>Sufficient Stock</v>
      </c>
      <c r="Y852">
        <f>WarehouseData[[#This Row],[daily_demand]]*WarehouseData[[#This Row],[lead_time_days]]</f>
        <v>347.52</v>
      </c>
      <c r="Z852" t="str">
        <f>IF(WarehouseData[[#This Row],[stock_level]]&lt;=WarehouseData[[#This Row],[Demand During Lead Time]],"At Risk","Safe")</f>
        <v>At Risk</v>
      </c>
      <c r="AA852">
        <f>WarehouseData[[#This Row],[stock_level]]/WarehouseData[[#This Row],[daily_demand]]</f>
        <v>7.0902394106814004</v>
      </c>
      <c r="AB852">
        <f>WarehouseData[[#This Row],[stock_level]]*WarehouseData[[#This Row],[unit_price]]</f>
        <v>22407</v>
      </c>
      <c r="AC852">
        <f>WarehouseData[[#This Row],[stock_level]]*WarehouseData[[#This Row],[holding_cost_per_unit_day]]*30</f>
        <v>8870.4</v>
      </c>
      <c r="AD852" t="str">
        <f>IF(WarehouseData[[#This Row],[order_fulfillment_rate]]&gt;=0.9,"Strong",IF(WarehouseData[[#This Row],[order_fulfillment_rate]]&gt;=0.8,"Moderate","Needs Attention"))</f>
        <v>Strong</v>
      </c>
      <c r="AE852" t="str">
        <f>IF(WarehouseData[[#This Row],[picking_time_seconds]]&gt;120,"Slow",IF(WarehouseData[[#This Row],[picking_time_seconds]]&gt;=60,"Average","Fast"))</f>
        <v>Fast</v>
      </c>
    </row>
    <row r="853" spans="1:31" x14ac:dyDescent="0.25">
      <c r="A853" t="s">
        <v>991</v>
      </c>
      <c r="B853" t="s">
        <v>36</v>
      </c>
      <c r="C853">
        <v>289</v>
      </c>
      <c r="D853">
        <v>86</v>
      </c>
      <c r="E853">
        <v>3</v>
      </c>
      <c r="F853">
        <v>7</v>
      </c>
      <c r="G853">
        <v>37.380000000000003</v>
      </c>
      <c r="H853">
        <v>7.96</v>
      </c>
      <c r="I853">
        <v>0.32</v>
      </c>
      <c r="J853" t="s">
        <v>59</v>
      </c>
      <c r="K853" t="s">
        <v>52</v>
      </c>
      <c r="L853">
        <v>111</v>
      </c>
      <c r="M853">
        <v>3.87</v>
      </c>
      <c r="N853">
        <v>146.65</v>
      </c>
      <c r="O853">
        <v>1.87</v>
      </c>
      <c r="P853">
        <v>4</v>
      </c>
      <c r="Q853">
        <v>0.77</v>
      </c>
      <c r="R853">
        <v>310</v>
      </c>
      <c r="S853">
        <v>13.44</v>
      </c>
      <c r="T853">
        <v>1</v>
      </c>
      <c r="U853" s="1">
        <v>45415</v>
      </c>
      <c r="V853">
        <v>96.96</v>
      </c>
      <c r="W853">
        <v>0.66600000000000004</v>
      </c>
      <c r="X853" t="str">
        <f>IF(WarehouseData[[#This Row],[stock_level]]&lt;=WarehouseData[[#This Row],[reorder_point]],"Low Stock","Sufficient Stock")</f>
        <v>Sufficient Stock</v>
      </c>
      <c r="Y853">
        <f>WarehouseData[[#This Row],[daily_demand]]*WarehouseData[[#This Row],[lead_time_days]]</f>
        <v>261.66000000000003</v>
      </c>
      <c r="Z853" t="str">
        <f>IF(WarehouseData[[#This Row],[stock_level]]&lt;=WarehouseData[[#This Row],[Demand During Lead Time]],"At Risk","Safe")</f>
        <v>Safe</v>
      </c>
      <c r="AA853">
        <f>WarehouseData[[#This Row],[stock_level]]/WarehouseData[[#This Row],[daily_demand]]</f>
        <v>7.7314071696094162</v>
      </c>
      <c r="AB853">
        <f>WarehouseData[[#This Row],[stock_level]]*WarehouseData[[#This Row],[unit_price]]</f>
        <v>42381.85</v>
      </c>
      <c r="AC853">
        <f>WarehouseData[[#This Row],[stock_level]]*WarehouseData[[#This Row],[holding_cost_per_unit_day]]*30</f>
        <v>16212.900000000001</v>
      </c>
      <c r="AD853" t="str">
        <f>IF(WarehouseData[[#This Row],[order_fulfillment_rate]]&gt;=0.9,"Strong",IF(WarehouseData[[#This Row],[order_fulfillment_rate]]&gt;=0.8,"Moderate","Needs Attention"))</f>
        <v>Needs Attention</v>
      </c>
      <c r="AE853" t="str">
        <f>IF(WarehouseData[[#This Row],[picking_time_seconds]]&gt;120,"Slow",IF(WarehouseData[[#This Row],[picking_time_seconds]]&gt;=60,"Average","Fast"))</f>
        <v>Average</v>
      </c>
    </row>
    <row r="854" spans="1:31" x14ac:dyDescent="0.25">
      <c r="A854" t="s">
        <v>992</v>
      </c>
      <c r="B854" t="s">
        <v>32</v>
      </c>
      <c r="C854">
        <v>181</v>
      </c>
      <c r="D854">
        <v>16</v>
      </c>
      <c r="E854">
        <v>14</v>
      </c>
      <c r="F854">
        <v>9</v>
      </c>
      <c r="G854">
        <v>47.5</v>
      </c>
      <c r="H854">
        <v>4.8499999999999996</v>
      </c>
      <c r="I854">
        <v>0.64</v>
      </c>
      <c r="J854" t="s">
        <v>120</v>
      </c>
      <c r="K854" t="s">
        <v>38</v>
      </c>
      <c r="L854">
        <v>76</v>
      </c>
      <c r="M854">
        <v>2</v>
      </c>
      <c r="N854">
        <v>181.5</v>
      </c>
      <c r="O854">
        <v>1.77</v>
      </c>
      <c r="P854">
        <v>1</v>
      </c>
      <c r="Q854">
        <v>0.92</v>
      </c>
      <c r="R854">
        <v>622</v>
      </c>
      <c r="S854">
        <v>13.06</v>
      </c>
      <c r="T854">
        <v>0.75</v>
      </c>
      <c r="U854" s="1">
        <v>45547</v>
      </c>
      <c r="V854">
        <v>198.12</v>
      </c>
      <c r="W854">
        <v>0.71099999999999997</v>
      </c>
      <c r="X854" t="str">
        <f>IF(WarehouseData[[#This Row],[stock_level]]&lt;=WarehouseData[[#This Row],[reorder_point]],"Low Stock","Sufficient Stock")</f>
        <v>Sufficient Stock</v>
      </c>
      <c r="Y854">
        <f>WarehouseData[[#This Row],[daily_demand]]*WarehouseData[[#This Row],[lead_time_days]]</f>
        <v>427.5</v>
      </c>
      <c r="Z854" t="str">
        <f>IF(WarehouseData[[#This Row],[stock_level]]&lt;=WarehouseData[[#This Row],[Demand During Lead Time]],"At Risk","Safe")</f>
        <v>At Risk</v>
      </c>
      <c r="AA854">
        <f>WarehouseData[[#This Row],[stock_level]]/WarehouseData[[#This Row],[daily_demand]]</f>
        <v>3.8105263157894735</v>
      </c>
      <c r="AB854">
        <f>WarehouseData[[#This Row],[stock_level]]*WarehouseData[[#This Row],[unit_price]]</f>
        <v>32851.5</v>
      </c>
      <c r="AC854">
        <f>WarehouseData[[#This Row],[stock_level]]*WarehouseData[[#This Row],[holding_cost_per_unit_day]]*30</f>
        <v>9611.1</v>
      </c>
      <c r="AD854" t="str">
        <f>IF(WarehouseData[[#This Row],[order_fulfillment_rate]]&gt;=0.9,"Strong",IF(WarehouseData[[#This Row],[order_fulfillment_rate]]&gt;=0.8,"Moderate","Needs Attention"))</f>
        <v>Strong</v>
      </c>
      <c r="AE854" t="str">
        <f>IF(WarehouseData[[#This Row],[picking_time_seconds]]&gt;120,"Slow",IF(WarehouseData[[#This Row],[picking_time_seconds]]&gt;=60,"Average","Fast"))</f>
        <v>Average</v>
      </c>
    </row>
    <row r="855" spans="1:31" x14ac:dyDescent="0.25">
      <c r="A855" t="s">
        <v>993</v>
      </c>
      <c r="B855" t="s">
        <v>48</v>
      </c>
      <c r="C855">
        <v>208</v>
      </c>
      <c r="D855">
        <v>88</v>
      </c>
      <c r="E855">
        <v>12</v>
      </c>
      <c r="F855">
        <v>3</v>
      </c>
      <c r="G855">
        <v>47.07</v>
      </c>
      <c r="H855">
        <v>0.86</v>
      </c>
      <c r="I855">
        <v>0.22</v>
      </c>
      <c r="J855" t="s">
        <v>236</v>
      </c>
      <c r="K855" t="s">
        <v>52</v>
      </c>
      <c r="L855">
        <v>59</v>
      </c>
      <c r="M855">
        <v>3.65</v>
      </c>
      <c r="N855">
        <v>127.68</v>
      </c>
      <c r="O855">
        <v>1.67</v>
      </c>
      <c r="P855">
        <v>3</v>
      </c>
      <c r="Q855">
        <v>0.71</v>
      </c>
      <c r="R855">
        <v>185</v>
      </c>
      <c r="S855">
        <v>10.14</v>
      </c>
      <c r="T855">
        <v>0.54</v>
      </c>
      <c r="U855" s="1">
        <v>45618</v>
      </c>
      <c r="V855">
        <v>213.28</v>
      </c>
      <c r="W855">
        <v>0.55800000000000005</v>
      </c>
      <c r="X855" t="str">
        <f>IF(WarehouseData[[#This Row],[stock_level]]&lt;=WarehouseData[[#This Row],[reorder_point]],"Low Stock","Sufficient Stock")</f>
        <v>Sufficient Stock</v>
      </c>
      <c r="Y855">
        <f>WarehouseData[[#This Row],[daily_demand]]*WarehouseData[[#This Row],[lead_time_days]]</f>
        <v>141.21</v>
      </c>
      <c r="Z855" t="str">
        <f>IF(WarehouseData[[#This Row],[stock_level]]&lt;=WarehouseData[[#This Row],[Demand During Lead Time]],"At Risk","Safe")</f>
        <v>Safe</v>
      </c>
      <c r="AA855">
        <f>WarehouseData[[#This Row],[stock_level]]/WarehouseData[[#This Row],[daily_demand]]</f>
        <v>4.4189504992564261</v>
      </c>
      <c r="AB855">
        <f>WarehouseData[[#This Row],[stock_level]]*WarehouseData[[#This Row],[unit_price]]</f>
        <v>26557.440000000002</v>
      </c>
      <c r="AC855">
        <f>WarehouseData[[#This Row],[stock_level]]*WarehouseData[[#This Row],[holding_cost_per_unit_day]]*30</f>
        <v>10420.800000000001</v>
      </c>
      <c r="AD855" t="str">
        <f>IF(WarehouseData[[#This Row],[order_fulfillment_rate]]&gt;=0.9,"Strong",IF(WarehouseData[[#This Row],[order_fulfillment_rate]]&gt;=0.8,"Moderate","Needs Attention"))</f>
        <v>Needs Attention</v>
      </c>
      <c r="AE855" t="str">
        <f>IF(WarehouseData[[#This Row],[picking_time_seconds]]&gt;120,"Slow",IF(WarehouseData[[#This Row],[picking_time_seconds]]&gt;=60,"Average","Fast"))</f>
        <v>Fast</v>
      </c>
    </row>
    <row r="856" spans="1:31" x14ac:dyDescent="0.25">
      <c r="A856" t="s">
        <v>994</v>
      </c>
      <c r="B856" t="s">
        <v>32</v>
      </c>
      <c r="C856">
        <v>266</v>
      </c>
      <c r="D856">
        <v>53</v>
      </c>
      <c r="E856">
        <v>7</v>
      </c>
      <c r="F856">
        <v>9</v>
      </c>
      <c r="G856">
        <v>19.73</v>
      </c>
      <c r="H856">
        <v>5.18</v>
      </c>
      <c r="I856">
        <v>0.62</v>
      </c>
      <c r="J856" t="s">
        <v>88</v>
      </c>
      <c r="K856" t="s">
        <v>34</v>
      </c>
      <c r="L856">
        <v>57</v>
      </c>
      <c r="M856">
        <v>4.8499999999999996</v>
      </c>
      <c r="N856">
        <v>50.51</v>
      </c>
      <c r="O856">
        <v>1.22</v>
      </c>
      <c r="P856">
        <v>1</v>
      </c>
      <c r="Q856">
        <v>0.74</v>
      </c>
      <c r="R856">
        <v>976</v>
      </c>
      <c r="S856">
        <v>8.01</v>
      </c>
      <c r="T856">
        <v>0.43</v>
      </c>
      <c r="U856" s="1">
        <v>45596</v>
      </c>
      <c r="V856">
        <v>214.78</v>
      </c>
      <c r="W856">
        <v>0.59899999999999998</v>
      </c>
      <c r="X856" t="str">
        <f>IF(WarehouseData[[#This Row],[stock_level]]&lt;=WarehouseData[[#This Row],[reorder_point]],"Low Stock","Sufficient Stock")</f>
        <v>Sufficient Stock</v>
      </c>
      <c r="Y856">
        <f>WarehouseData[[#This Row],[daily_demand]]*WarehouseData[[#This Row],[lead_time_days]]</f>
        <v>177.57</v>
      </c>
      <c r="Z856" t="str">
        <f>IF(WarehouseData[[#This Row],[stock_level]]&lt;=WarehouseData[[#This Row],[Demand During Lead Time]],"At Risk","Safe")</f>
        <v>Safe</v>
      </c>
      <c r="AA856">
        <f>WarehouseData[[#This Row],[stock_level]]/WarehouseData[[#This Row],[daily_demand]]</f>
        <v>13.482007095793207</v>
      </c>
      <c r="AB856">
        <f>WarehouseData[[#This Row],[stock_level]]*WarehouseData[[#This Row],[unit_price]]</f>
        <v>13435.66</v>
      </c>
      <c r="AC856">
        <f>WarehouseData[[#This Row],[stock_level]]*WarehouseData[[#This Row],[holding_cost_per_unit_day]]*30</f>
        <v>9735.5999999999985</v>
      </c>
      <c r="AD856" t="str">
        <f>IF(WarehouseData[[#This Row],[order_fulfillment_rate]]&gt;=0.9,"Strong",IF(WarehouseData[[#This Row],[order_fulfillment_rate]]&gt;=0.8,"Moderate","Needs Attention"))</f>
        <v>Needs Attention</v>
      </c>
      <c r="AE856" t="str">
        <f>IF(WarehouseData[[#This Row],[picking_time_seconds]]&gt;120,"Slow",IF(WarehouseData[[#This Row],[picking_time_seconds]]&gt;=60,"Average","Fast"))</f>
        <v>Fast</v>
      </c>
    </row>
    <row r="857" spans="1:31" x14ac:dyDescent="0.25">
      <c r="A857" t="s">
        <v>995</v>
      </c>
      <c r="B857" t="s">
        <v>32</v>
      </c>
      <c r="C857">
        <v>407</v>
      </c>
      <c r="D857">
        <v>36</v>
      </c>
      <c r="E857">
        <v>4</v>
      </c>
      <c r="F857">
        <v>2</v>
      </c>
      <c r="G857">
        <v>22.9</v>
      </c>
      <c r="H857">
        <v>9.0399999999999991</v>
      </c>
      <c r="I857">
        <v>0.18</v>
      </c>
      <c r="J857" t="s">
        <v>86</v>
      </c>
      <c r="K857" t="s">
        <v>52</v>
      </c>
      <c r="L857">
        <v>12</v>
      </c>
      <c r="M857">
        <v>0.83</v>
      </c>
      <c r="N857">
        <v>186.87</v>
      </c>
      <c r="O857">
        <v>0.28999999999999998</v>
      </c>
      <c r="P857">
        <v>2</v>
      </c>
      <c r="Q857">
        <v>0.85</v>
      </c>
      <c r="R857">
        <v>658</v>
      </c>
      <c r="S857">
        <v>13.24</v>
      </c>
      <c r="T857">
        <v>0.2</v>
      </c>
      <c r="U857" s="1">
        <v>45328</v>
      </c>
      <c r="V857">
        <v>182.67</v>
      </c>
      <c r="W857">
        <v>0.71799999999999997</v>
      </c>
      <c r="X857" t="str">
        <f>IF(WarehouseData[[#This Row],[stock_level]]&lt;=WarehouseData[[#This Row],[reorder_point]],"Low Stock","Sufficient Stock")</f>
        <v>Sufficient Stock</v>
      </c>
      <c r="Y857">
        <f>WarehouseData[[#This Row],[daily_demand]]*WarehouseData[[#This Row],[lead_time_days]]</f>
        <v>45.8</v>
      </c>
      <c r="Z857" t="str">
        <f>IF(WarehouseData[[#This Row],[stock_level]]&lt;=WarehouseData[[#This Row],[Demand During Lead Time]],"At Risk","Safe")</f>
        <v>Safe</v>
      </c>
      <c r="AA857">
        <f>WarehouseData[[#This Row],[stock_level]]/WarehouseData[[#This Row],[daily_demand]]</f>
        <v>17.772925764192141</v>
      </c>
      <c r="AB857">
        <f>WarehouseData[[#This Row],[stock_level]]*WarehouseData[[#This Row],[unit_price]]</f>
        <v>76056.09</v>
      </c>
      <c r="AC857">
        <f>WarehouseData[[#This Row],[stock_level]]*WarehouseData[[#This Row],[holding_cost_per_unit_day]]*30</f>
        <v>3540.8999999999996</v>
      </c>
      <c r="AD857" t="str">
        <f>IF(WarehouseData[[#This Row],[order_fulfillment_rate]]&gt;=0.9,"Strong",IF(WarehouseData[[#This Row],[order_fulfillment_rate]]&gt;=0.8,"Moderate","Needs Attention"))</f>
        <v>Moderate</v>
      </c>
      <c r="AE857" t="str">
        <f>IF(WarehouseData[[#This Row],[picking_time_seconds]]&gt;120,"Slow",IF(WarehouseData[[#This Row],[picking_time_seconds]]&gt;=60,"Average","Fast"))</f>
        <v>Fast</v>
      </c>
    </row>
    <row r="858" spans="1:31" x14ac:dyDescent="0.25">
      <c r="A858" t="s">
        <v>996</v>
      </c>
      <c r="B858" t="s">
        <v>40</v>
      </c>
      <c r="C858">
        <v>235</v>
      </c>
      <c r="D858">
        <v>35</v>
      </c>
      <c r="E858">
        <v>8</v>
      </c>
      <c r="F858">
        <v>6</v>
      </c>
      <c r="G858">
        <v>13.54</v>
      </c>
      <c r="H858">
        <v>2.31</v>
      </c>
      <c r="I858">
        <v>0.54</v>
      </c>
      <c r="J858" t="s">
        <v>192</v>
      </c>
      <c r="K858" t="s">
        <v>38</v>
      </c>
      <c r="L858">
        <v>75</v>
      </c>
      <c r="M858">
        <v>1.69</v>
      </c>
      <c r="N858">
        <v>110.29</v>
      </c>
      <c r="O858">
        <v>0.72</v>
      </c>
      <c r="P858">
        <v>4</v>
      </c>
      <c r="Q858">
        <v>0.77</v>
      </c>
      <c r="R858">
        <v>710</v>
      </c>
      <c r="S858">
        <v>8.27</v>
      </c>
      <c r="T858">
        <v>0.32</v>
      </c>
      <c r="U858" s="1">
        <v>45562</v>
      </c>
      <c r="V858">
        <v>180.6</v>
      </c>
      <c r="W858">
        <v>0.57599999999999996</v>
      </c>
      <c r="X858" t="str">
        <f>IF(WarehouseData[[#This Row],[stock_level]]&lt;=WarehouseData[[#This Row],[reorder_point]],"Low Stock","Sufficient Stock")</f>
        <v>Sufficient Stock</v>
      </c>
      <c r="Y858">
        <f>WarehouseData[[#This Row],[daily_demand]]*WarehouseData[[#This Row],[lead_time_days]]</f>
        <v>81.239999999999995</v>
      </c>
      <c r="Z858" t="str">
        <f>IF(WarehouseData[[#This Row],[stock_level]]&lt;=WarehouseData[[#This Row],[Demand During Lead Time]],"At Risk","Safe")</f>
        <v>Safe</v>
      </c>
      <c r="AA858">
        <f>WarehouseData[[#This Row],[stock_level]]/WarehouseData[[#This Row],[daily_demand]]</f>
        <v>17.355982274741507</v>
      </c>
      <c r="AB858">
        <f>WarehouseData[[#This Row],[stock_level]]*WarehouseData[[#This Row],[unit_price]]</f>
        <v>25918.15</v>
      </c>
      <c r="AC858">
        <f>WarehouseData[[#This Row],[stock_level]]*WarehouseData[[#This Row],[holding_cost_per_unit_day]]*30</f>
        <v>5076</v>
      </c>
      <c r="AD858" t="str">
        <f>IF(WarehouseData[[#This Row],[order_fulfillment_rate]]&gt;=0.9,"Strong",IF(WarehouseData[[#This Row],[order_fulfillment_rate]]&gt;=0.8,"Moderate","Needs Attention"))</f>
        <v>Needs Attention</v>
      </c>
      <c r="AE858" t="str">
        <f>IF(WarehouseData[[#This Row],[picking_time_seconds]]&gt;120,"Slow",IF(WarehouseData[[#This Row],[picking_time_seconds]]&gt;=60,"Average","Fast"))</f>
        <v>Average</v>
      </c>
    </row>
    <row r="859" spans="1:31" x14ac:dyDescent="0.25">
      <c r="A859" t="s">
        <v>997</v>
      </c>
      <c r="B859" t="s">
        <v>32</v>
      </c>
      <c r="C859">
        <v>334</v>
      </c>
      <c r="D859">
        <v>88</v>
      </c>
      <c r="E859">
        <v>9</v>
      </c>
      <c r="F859">
        <v>2</v>
      </c>
      <c r="G859">
        <v>33.369999999999997</v>
      </c>
      <c r="H859">
        <v>9.83</v>
      </c>
      <c r="I859">
        <v>0.66</v>
      </c>
      <c r="J859" t="s">
        <v>66</v>
      </c>
      <c r="K859" t="s">
        <v>46</v>
      </c>
      <c r="L859">
        <v>164</v>
      </c>
      <c r="M859">
        <v>1.4</v>
      </c>
      <c r="N859">
        <v>146.79</v>
      </c>
      <c r="O859">
        <v>1.25</v>
      </c>
      <c r="P859">
        <v>8</v>
      </c>
      <c r="Q859">
        <v>0.94</v>
      </c>
      <c r="R859">
        <v>276</v>
      </c>
      <c r="S859">
        <v>3.66</v>
      </c>
      <c r="T859">
        <v>0.2</v>
      </c>
      <c r="U859" s="1">
        <v>45298</v>
      </c>
      <c r="V859">
        <v>52.95</v>
      </c>
      <c r="W859">
        <v>0.39200000000000002</v>
      </c>
      <c r="X859" t="str">
        <f>IF(WarehouseData[[#This Row],[stock_level]]&lt;=WarehouseData[[#This Row],[reorder_point]],"Low Stock","Sufficient Stock")</f>
        <v>Sufficient Stock</v>
      </c>
      <c r="Y859">
        <f>WarehouseData[[#This Row],[daily_demand]]*WarehouseData[[#This Row],[lead_time_days]]</f>
        <v>66.739999999999995</v>
      </c>
      <c r="Z859" t="str">
        <f>IF(WarehouseData[[#This Row],[stock_level]]&lt;=WarehouseData[[#This Row],[Demand During Lead Time]],"At Risk","Safe")</f>
        <v>Safe</v>
      </c>
      <c r="AA859">
        <f>WarehouseData[[#This Row],[stock_level]]/WarehouseData[[#This Row],[daily_demand]]</f>
        <v>10.008990110878035</v>
      </c>
      <c r="AB859">
        <f>WarehouseData[[#This Row],[stock_level]]*WarehouseData[[#This Row],[unit_price]]</f>
        <v>49027.86</v>
      </c>
      <c r="AC859">
        <f>WarehouseData[[#This Row],[stock_level]]*WarehouseData[[#This Row],[holding_cost_per_unit_day]]*30</f>
        <v>12525</v>
      </c>
      <c r="AD859" t="str">
        <f>IF(WarehouseData[[#This Row],[order_fulfillment_rate]]&gt;=0.9,"Strong",IF(WarehouseData[[#This Row],[order_fulfillment_rate]]&gt;=0.8,"Moderate","Needs Attention"))</f>
        <v>Strong</v>
      </c>
      <c r="AE859" t="str">
        <f>IF(WarehouseData[[#This Row],[picking_time_seconds]]&gt;120,"Slow",IF(WarehouseData[[#This Row],[picking_time_seconds]]&gt;=60,"Average","Fast"))</f>
        <v>Slow</v>
      </c>
    </row>
    <row r="860" spans="1:31" x14ac:dyDescent="0.25">
      <c r="A860" t="s">
        <v>998</v>
      </c>
      <c r="B860" t="s">
        <v>73</v>
      </c>
      <c r="C860">
        <v>432</v>
      </c>
      <c r="D860">
        <v>45</v>
      </c>
      <c r="E860">
        <v>3</v>
      </c>
      <c r="F860">
        <v>7</v>
      </c>
      <c r="G860">
        <v>18.86</v>
      </c>
      <c r="H860">
        <v>8.17</v>
      </c>
      <c r="I860">
        <v>0.16</v>
      </c>
      <c r="J860" t="s">
        <v>207</v>
      </c>
      <c r="K860" t="s">
        <v>46</v>
      </c>
      <c r="L860">
        <v>115</v>
      </c>
      <c r="M860">
        <v>4.41</v>
      </c>
      <c r="N860">
        <v>179.2</v>
      </c>
      <c r="O860">
        <v>0.13</v>
      </c>
      <c r="P860">
        <v>2</v>
      </c>
      <c r="Q860">
        <v>0.98</v>
      </c>
      <c r="R860">
        <v>838</v>
      </c>
      <c r="S860">
        <v>14.2</v>
      </c>
      <c r="T860">
        <v>0.68</v>
      </c>
      <c r="U860" s="1">
        <v>45476</v>
      </c>
      <c r="V860">
        <v>252.04</v>
      </c>
      <c r="W860">
        <v>0.86799999999999999</v>
      </c>
      <c r="X860" t="str">
        <f>IF(WarehouseData[[#This Row],[stock_level]]&lt;=WarehouseData[[#This Row],[reorder_point]],"Low Stock","Sufficient Stock")</f>
        <v>Sufficient Stock</v>
      </c>
      <c r="Y860">
        <f>WarehouseData[[#This Row],[daily_demand]]*WarehouseData[[#This Row],[lead_time_days]]</f>
        <v>132.01999999999998</v>
      </c>
      <c r="Z860" t="str">
        <f>IF(WarehouseData[[#This Row],[stock_level]]&lt;=WarehouseData[[#This Row],[Demand During Lead Time]],"At Risk","Safe")</f>
        <v>Safe</v>
      </c>
      <c r="AA860">
        <f>WarehouseData[[#This Row],[stock_level]]/WarehouseData[[#This Row],[daily_demand]]</f>
        <v>22.905620360551431</v>
      </c>
      <c r="AB860">
        <f>WarehouseData[[#This Row],[stock_level]]*WarehouseData[[#This Row],[unit_price]]</f>
        <v>77414.399999999994</v>
      </c>
      <c r="AC860">
        <f>WarehouseData[[#This Row],[stock_level]]*WarehouseData[[#This Row],[holding_cost_per_unit_day]]*30</f>
        <v>1684.8000000000002</v>
      </c>
      <c r="AD860" t="str">
        <f>IF(WarehouseData[[#This Row],[order_fulfillment_rate]]&gt;=0.9,"Strong",IF(WarehouseData[[#This Row],[order_fulfillment_rate]]&gt;=0.8,"Moderate","Needs Attention"))</f>
        <v>Strong</v>
      </c>
      <c r="AE860" t="str">
        <f>IF(WarehouseData[[#This Row],[picking_time_seconds]]&gt;120,"Slow",IF(WarehouseData[[#This Row],[picking_time_seconds]]&gt;=60,"Average","Fast"))</f>
        <v>Average</v>
      </c>
    </row>
    <row r="861" spans="1:31" x14ac:dyDescent="0.25">
      <c r="A861" t="s">
        <v>999</v>
      </c>
      <c r="B861" t="s">
        <v>40</v>
      </c>
      <c r="C861">
        <v>358</v>
      </c>
      <c r="D861">
        <v>64</v>
      </c>
      <c r="E861">
        <v>8</v>
      </c>
      <c r="F861">
        <v>6</v>
      </c>
      <c r="G861">
        <v>39.520000000000003</v>
      </c>
      <c r="H861">
        <v>7.24</v>
      </c>
      <c r="I861">
        <v>0.28999999999999998</v>
      </c>
      <c r="J861" t="s">
        <v>148</v>
      </c>
      <c r="K861" t="s">
        <v>34</v>
      </c>
      <c r="L861">
        <v>120</v>
      </c>
      <c r="M861">
        <v>1.31</v>
      </c>
      <c r="N861">
        <v>198.07</v>
      </c>
      <c r="O861">
        <v>0.18</v>
      </c>
      <c r="P861">
        <v>9</v>
      </c>
      <c r="Q861">
        <v>0.7</v>
      </c>
      <c r="R861">
        <v>868</v>
      </c>
      <c r="S861">
        <v>6.23</v>
      </c>
      <c r="T861">
        <v>0.73</v>
      </c>
      <c r="U861" s="1">
        <v>45454</v>
      </c>
      <c r="V861">
        <v>12.58</v>
      </c>
      <c r="W861">
        <v>0.57099999999999995</v>
      </c>
      <c r="X861" t="str">
        <f>IF(WarehouseData[[#This Row],[stock_level]]&lt;=WarehouseData[[#This Row],[reorder_point]],"Low Stock","Sufficient Stock")</f>
        <v>Sufficient Stock</v>
      </c>
      <c r="Y861">
        <f>WarehouseData[[#This Row],[daily_demand]]*WarehouseData[[#This Row],[lead_time_days]]</f>
        <v>237.12</v>
      </c>
      <c r="Z861" t="str">
        <f>IF(WarehouseData[[#This Row],[stock_level]]&lt;=WarehouseData[[#This Row],[Demand During Lead Time]],"At Risk","Safe")</f>
        <v>Safe</v>
      </c>
      <c r="AA861">
        <f>WarehouseData[[#This Row],[stock_level]]/WarehouseData[[#This Row],[daily_demand]]</f>
        <v>9.0587044534412957</v>
      </c>
      <c r="AB861">
        <f>WarehouseData[[#This Row],[stock_level]]*WarehouseData[[#This Row],[unit_price]]</f>
        <v>70909.06</v>
      </c>
      <c r="AC861">
        <f>WarehouseData[[#This Row],[stock_level]]*WarehouseData[[#This Row],[holding_cost_per_unit_day]]*30</f>
        <v>1933.1999999999998</v>
      </c>
      <c r="AD861" t="str">
        <f>IF(WarehouseData[[#This Row],[order_fulfillment_rate]]&gt;=0.9,"Strong",IF(WarehouseData[[#This Row],[order_fulfillment_rate]]&gt;=0.8,"Moderate","Needs Attention"))</f>
        <v>Needs Attention</v>
      </c>
      <c r="AE861" t="str">
        <f>IF(WarehouseData[[#This Row],[picking_time_seconds]]&gt;120,"Slow",IF(WarehouseData[[#This Row],[picking_time_seconds]]&gt;=60,"Average","Fast"))</f>
        <v>Average</v>
      </c>
    </row>
    <row r="862" spans="1:31" x14ac:dyDescent="0.25">
      <c r="A862" t="s">
        <v>1000</v>
      </c>
      <c r="B862" t="s">
        <v>73</v>
      </c>
      <c r="C862">
        <v>409</v>
      </c>
      <c r="D862">
        <v>73</v>
      </c>
      <c r="E862">
        <v>10</v>
      </c>
      <c r="F862">
        <v>2</v>
      </c>
      <c r="G862">
        <v>6.96</v>
      </c>
      <c r="H862">
        <v>6.93</v>
      </c>
      <c r="I862">
        <v>0.4</v>
      </c>
      <c r="J862" t="s">
        <v>49</v>
      </c>
      <c r="K862" t="s">
        <v>34</v>
      </c>
      <c r="L862">
        <v>49</v>
      </c>
      <c r="M862">
        <v>1.89</v>
      </c>
      <c r="N862">
        <v>106.15</v>
      </c>
      <c r="O862">
        <v>1.39</v>
      </c>
      <c r="P862">
        <v>5</v>
      </c>
      <c r="Q862">
        <v>0.77</v>
      </c>
      <c r="R862">
        <v>896</v>
      </c>
      <c r="S862">
        <v>9.74</v>
      </c>
      <c r="T862">
        <v>0.81</v>
      </c>
      <c r="U862" s="1">
        <v>45359</v>
      </c>
      <c r="V862">
        <v>131.1</v>
      </c>
      <c r="W862">
        <v>0.60699999999999998</v>
      </c>
      <c r="X862" t="str">
        <f>IF(WarehouseData[[#This Row],[stock_level]]&lt;=WarehouseData[[#This Row],[reorder_point]],"Low Stock","Sufficient Stock")</f>
        <v>Sufficient Stock</v>
      </c>
      <c r="Y862">
        <f>WarehouseData[[#This Row],[daily_demand]]*WarehouseData[[#This Row],[lead_time_days]]</f>
        <v>13.92</v>
      </c>
      <c r="Z862" t="str">
        <f>IF(WarehouseData[[#This Row],[stock_level]]&lt;=WarehouseData[[#This Row],[Demand During Lead Time]],"At Risk","Safe")</f>
        <v>Safe</v>
      </c>
      <c r="AA862">
        <f>WarehouseData[[#This Row],[stock_level]]/WarehouseData[[#This Row],[daily_demand]]</f>
        <v>58.764367816091955</v>
      </c>
      <c r="AB862">
        <f>WarehouseData[[#This Row],[stock_level]]*WarehouseData[[#This Row],[unit_price]]</f>
        <v>43415.350000000006</v>
      </c>
      <c r="AC862">
        <f>WarehouseData[[#This Row],[stock_level]]*WarehouseData[[#This Row],[holding_cost_per_unit_day]]*30</f>
        <v>17055.3</v>
      </c>
      <c r="AD862" t="str">
        <f>IF(WarehouseData[[#This Row],[order_fulfillment_rate]]&gt;=0.9,"Strong",IF(WarehouseData[[#This Row],[order_fulfillment_rate]]&gt;=0.8,"Moderate","Needs Attention"))</f>
        <v>Needs Attention</v>
      </c>
      <c r="AE862" t="str">
        <f>IF(WarehouseData[[#This Row],[picking_time_seconds]]&gt;120,"Slow",IF(WarehouseData[[#This Row],[picking_time_seconds]]&gt;=60,"Average","Fast"))</f>
        <v>Fast</v>
      </c>
    </row>
    <row r="863" spans="1:31" x14ac:dyDescent="0.25">
      <c r="A863" t="s">
        <v>1001</v>
      </c>
      <c r="B863" t="s">
        <v>48</v>
      </c>
      <c r="C863">
        <v>396</v>
      </c>
      <c r="D863">
        <v>66</v>
      </c>
      <c r="E863">
        <v>14</v>
      </c>
      <c r="F863">
        <v>6</v>
      </c>
      <c r="G863">
        <v>6.7</v>
      </c>
      <c r="H863">
        <v>6.08</v>
      </c>
      <c r="I863">
        <v>0.43</v>
      </c>
      <c r="J863" t="s">
        <v>57</v>
      </c>
      <c r="K863" t="s">
        <v>34</v>
      </c>
      <c r="L863">
        <v>134</v>
      </c>
      <c r="M863">
        <v>2.95</v>
      </c>
      <c r="N863">
        <v>163.53</v>
      </c>
      <c r="O863">
        <v>1.79</v>
      </c>
      <c r="P863">
        <v>3</v>
      </c>
      <c r="Q863">
        <v>0.83</v>
      </c>
      <c r="R863">
        <v>277</v>
      </c>
      <c r="S863">
        <v>3.79</v>
      </c>
      <c r="T863">
        <v>0.35</v>
      </c>
      <c r="U863" s="1">
        <v>45490</v>
      </c>
      <c r="V863">
        <v>72.47</v>
      </c>
      <c r="W863">
        <v>0.44800000000000001</v>
      </c>
      <c r="X863" t="str">
        <f>IF(WarehouseData[[#This Row],[stock_level]]&lt;=WarehouseData[[#This Row],[reorder_point]],"Low Stock","Sufficient Stock")</f>
        <v>Sufficient Stock</v>
      </c>
      <c r="Y863">
        <f>WarehouseData[[#This Row],[daily_demand]]*WarehouseData[[#This Row],[lead_time_days]]</f>
        <v>40.200000000000003</v>
      </c>
      <c r="Z863" t="str">
        <f>IF(WarehouseData[[#This Row],[stock_level]]&lt;=WarehouseData[[#This Row],[Demand During Lead Time]],"At Risk","Safe")</f>
        <v>Safe</v>
      </c>
      <c r="AA863">
        <f>WarehouseData[[#This Row],[stock_level]]/WarehouseData[[#This Row],[daily_demand]]</f>
        <v>59.104477611940297</v>
      </c>
      <c r="AB863">
        <f>WarehouseData[[#This Row],[stock_level]]*WarehouseData[[#This Row],[unit_price]]</f>
        <v>64757.88</v>
      </c>
      <c r="AC863">
        <f>WarehouseData[[#This Row],[stock_level]]*WarehouseData[[#This Row],[holding_cost_per_unit_day]]*30</f>
        <v>21265.200000000001</v>
      </c>
      <c r="AD863" t="str">
        <f>IF(WarehouseData[[#This Row],[order_fulfillment_rate]]&gt;=0.9,"Strong",IF(WarehouseData[[#This Row],[order_fulfillment_rate]]&gt;=0.8,"Moderate","Needs Attention"))</f>
        <v>Moderate</v>
      </c>
      <c r="AE863" t="str">
        <f>IF(WarehouseData[[#This Row],[picking_time_seconds]]&gt;120,"Slow",IF(WarehouseData[[#This Row],[picking_time_seconds]]&gt;=60,"Average","Fast"))</f>
        <v>Slow</v>
      </c>
    </row>
    <row r="864" spans="1:31" x14ac:dyDescent="0.25">
      <c r="A864" t="s">
        <v>1002</v>
      </c>
      <c r="B864" t="s">
        <v>40</v>
      </c>
      <c r="C864">
        <v>452</v>
      </c>
      <c r="D864">
        <v>78</v>
      </c>
      <c r="E864">
        <v>7</v>
      </c>
      <c r="F864">
        <v>5</v>
      </c>
      <c r="G864">
        <v>11.02</v>
      </c>
      <c r="H864">
        <v>7.35</v>
      </c>
      <c r="I864">
        <v>0.71</v>
      </c>
      <c r="J864" t="s">
        <v>92</v>
      </c>
      <c r="K864" t="s">
        <v>46</v>
      </c>
      <c r="L864">
        <v>27</v>
      </c>
      <c r="M864">
        <v>3.29</v>
      </c>
      <c r="N864">
        <v>117.7</v>
      </c>
      <c r="O864">
        <v>1.72</v>
      </c>
      <c r="P864">
        <v>3</v>
      </c>
      <c r="Q864">
        <v>0.87</v>
      </c>
      <c r="R864">
        <v>876</v>
      </c>
      <c r="S864">
        <v>2.5499999999999998</v>
      </c>
      <c r="T864">
        <v>0.28000000000000003</v>
      </c>
      <c r="U864" s="1">
        <v>45583</v>
      </c>
      <c r="V864">
        <v>40.26</v>
      </c>
      <c r="W864">
        <v>0.432</v>
      </c>
      <c r="X864" t="str">
        <f>IF(WarehouseData[[#This Row],[stock_level]]&lt;=WarehouseData[[#This Row],[reorder_point]],"Low Stock","Sufficient Stock")</f>
        <v>Sufficient Stock</v>
      </c>
      <c r="Y864">
        <f>WarehouseData[[#This Row],[daily_demand]]*WarehouseData[[#This Row],[lead_time_days]]</f>
        <v>55.099999999999994</v>
      </c>
      <c r="Z864" t="str">
        <f>IF(WarehouseData[[#This Row],[stock_level]]&lt;=WarehouseData[[#This Row],[Demand During Lead Time]],"At Risk","Safe")</f>
        <v>Safe</v>
      </c>
      <c r="AA864">
        <f>WarehouseData[[#This Row],[stock_level]]/WarehouseData[[#This Row],[daily_demand]]</f>
        <v>41.016333938294011</v>
      </c>
      <c r="AB864">
        <f>WarehouseData[[#This Row],[stock_level]]*WarehouseData[[#This Row],[unit_price]]</f>
        <v>53200.4</v>
      </c>
      <c r="AC864">
        <f>WarehouseData[[#This Row],[stock_level]]*WarehouseData[[#This Row],[holding_cost_per_unit_day]]*30</f>
        <v>23323.199999999997</v>
      </c>
      <c r="AD864" t="str">
        <f>IF(WarehouseData[[#This Row],[order_fulfillment_rate]]&gt;=0.9,"Strong",IF(WarehouseData[[#This Row],[order_fulfillment_rate]]&gt;=0.8,"Moderate","Needs Attention"))</f>
        <v>Moderate</v>
      </c>
      <c r="AE864" t="str">
        <f>IF(WarehouseData[[#This Row],[picking_time_seconds]]&gt;120,"Slow",IF(WarehouseData[[#This Row],[picking_time_seconds]]&gt;=60,"Average","Fast"))</f>
        <v>Fast</v>
      </c>
    </row>
    <row r="865" spans="1:31" x14ac:dyDescent="0.25">
      <c r="A865" t="s">
        <v>1003</v>
      </c>
      <c r="B865" t="s">
        <v>48</v>
      </c>
      <c r="C865">
        <v>187</v>
      </c>
      <c r="D865">
        <v>70</v>
      </c>
      <c r="E865">
        <v>14</v>
      </c>
      <c r="F865">
        <v>8</v>
      </c>
      <c r="G865">
        <v>5.13</v>
      </c>
      <c r="H865">
        <v>4.51</v>
      </c>
      <c r="I865">
        <v>0.57999999999999996</v>
      </c>
      <c r="J865" t="s">
        <v>166</v>
      </c>
      <c r="K865" t="s">
        <v>52</v>
      </c>
      <c r="L865">
        <v>164</v>
      </c>
      <c r="M865">
        <v>4.1399999999999997</v>
      </c>
      <c r="N865">
        <v>102.43</v>
      </c>
      <c r="O865">
        <v>0.42</v>
      </c>
      <c r="P865">
        <v>9</v>
      </c>
      <c r="Q865">
        <v>0.97</v>
      </c>
      <c r="R865">
        <v>810</v>
      </c>
      <c r="S865">
        <v>8.7100000000000009</v>
      </c>
      <c r="T865">
        <v>0.72</v>
      </c>
      <c r="U865" s="1">
        <v>45507</v>
      </c>
      <c r="V865">
        <v>102.65</v>
      </c>
      <c r="W865">
        <v>0.63200000000000001</v>
      </c>
      <c r="X865" t="str">
        <f>IF(WarehouseData[[#This Row],[stock_level]]&lt;=WarehouseData[[#This Row],[reorder_point]],"Low Stock","Sufficient Stock")</f>
        <v>Sufficient Stock</v>
      </c>
      <c r="Y865">
        <f>WarehouseData[[#This Row],[daily_demand]]*WarehouseData[[#This Row],[lead_time_days]]</f>
        <v>41.04</v>
      </c>
      <c r="Z865" t="str">
        <f>IF(WarehouseData[[#This Row],[stock_level]]&lt;=WarehouseData[[#This Row],[Demand During Lead Time]],"At Risk","Safe")</f>
        <v>Safe</v>
      </c>
      <c r="AA865">
        <f>WarehouseData[[#This Row],[stock_level]]/WarehouseData[[#This Row],[daily_demand]]</f>
        <v>36.452241715399609</v>
      </c>
      <c r="AB865">
        <f>WarehouseData[[#This Row],[stock_level]]*WarehouseData[[#This Row],[unit_price]]</f>
        <v>19154.41</v>
      </c>
      <c r="AC865">
        <f>WarehouseData[[#This Row],[stock_level]]*WarehouseData[[#This Row],[holding_cost_per_unit_day]]*30</f>
        <v>2356.1999999999998</v>
      </c>
      <c r="AD865" t="str">
        <f>IF(WarehouseData[[#This Row],[order_fulfillment_rate]]&gt;=0.9,"Strong",IF(WarehouseData[[#This Row],[order_fulfillment_rate]]&gt;=0.8,"Moderate","Needs Attention"))</f>
        <v>Strong</v>
      </c>
      <c r="AE865" t="str">
        <f>IF(WarehouseData[[#This Row],[picking_time_seconds]]&gt;120,"Slow",IF(WarehouseData[[#This Row],[picking_time_seconds]]&gt;=60,"Average","Fast"))</f>
        <v>Slow</v>
      </c>
    </row>
    <row r="866" spans="1:31" x14ac:dyDescent="0.25">
      <c r="A866" t="s">
        <v>1004</v>
      </c>
      <c r="B866" t="s">
        <v>40</v>
      </c>
      <c r="C866">
        <v>358</v>
      </c>
      <c r="D866">
        <v>11</v>
      </c>
      <c r="E866">
        <v>9</v>
      </c>
      <c r="F866">
        <v>3</v>
      </c>
      <c r="G866">
        <v>31.38</v>
      </c>
      <c r="H866">
        <v>8.5299999999999994</v>
      </c>
      <c r="I866">
        <v>0.44</v>
      </c>
      <c r="J866" t="s">
        <v>316</v>
      </c>
      <c r="K866" t="s">
        <v>38</v>
      </c>
      <c r="L866">
        <v>148</v>
      </c>
      <c r="M866">
        <v>2.33</v>
      </c>
      <c r="N866">
        <v>112.17</v>
      </c>
      <c r="O866">
        <v>1.83</v>
      </c>
      <c r="P866">
        <v>9</v>
      </c>
      <c r="Q866">
        <v>0.97</v>
      </c>
      <c r="R866">
        <v>307</v>
      </c>
      <c r="S866">
        <v>8.76</v>
      </c>
      <c r="T866">
        <v>0.6</v>
      </c>
      <c r="U866" s="1">
        <v>45479</v>
      </c>
      <c r="V866">
        <v>200.58</v>
      </c>
      <c r="W866">
        <v>0.46800000000000003</v>
      </c>
      <c r="X866" t="str">
        <f>IF(WarehouseData[[#This Row],[stock_level]]&lt;=WarehouseData[[#This Row],[reorder_point]],"Low Stock","Sufficient Stock")</f>
        <v>Sufficient Stock</v>
      </c>
      <c r="Y866">
        <f>WarehouseData[[#This Row],[daily_demand]]*WarehouseData[[#This Row],[lead_time_days]]</f>
        <v>94.14</v>
      </c>
      <c r="Z866" t="str">
        <f>IF(WarehouseData[[#This Row],[stock_level]]&lt;=WarehouseData[[#This Row],[Demand During Lead Time]],"At Risk","Safe")</f>
        <v>Safe</v>
      </c>
      <c r="AA866">
        <f>WarehouseData[[#This Row],[stock_level]]/WarehouseData[[#This Row],[daily_demand]]</f>
        <v>11.408540471637986</v>
      </c>
      <c r="AB866">
        <f>WarehouseData[[#This Row],[stock_level]]*WarehouseData[[#This Row],[unit_price]]</f>
        <v>40156.86</v>
      </c>
      <c r="AC866">
        <f>WarehouseData[[#This Row],[stock_level]]*WarehouseData[[#This Row],[holding_cost_per_unit_day]]*30</f>
        <v>19654.2</v>
      </c>
      <c r="AD866" t="str">
        <f>IF(WarehouseData[[#This Row],[order_fulfillment_rate]]&gt;=0.9,"Strong",IF(WarehouseData[[#This Row],[order_fulfillment_rate]]&gt;=0.8,"Moderate","Needs Attention"))</f>
        <v>Strong</v>
      </c>
      <c r="AE866" t="str">
        <f>IF(WarehouseData[[#This Row],[picking_time_seconds]]&gt;120,"Slow",IF(WarehouseData[[#This Row],[picking_time_seconds]]&gt;=60,"Average","Fast"))</f>
        <v>Slow</v>
      </c>
    </row>
    <row r="867" spans="1:31" x14ac:dyDescent="0.25">
      <c r="A867" t="s">
        <v>1005</v>
      </c>
      <c r="B867" t="s">
        <v>36</v>
      </c>
      <c r="C867">
        <v>212</v>
      </c>
      <c r="D867">
        <v>64</v>
      </c>
      <c r="E867">
        <v>12</v>
      </c>
      <c r="F867">
        <v>6</v>
      </c>
      <c r="G867">
        <v>8.2200000000000006</v>
      </c>
      <c r="H867">
        <v>7.12</v>
      </c>
      <c r="I867">
        <v>0.51</v>
      </c>
      <c r="J867" t="s">
        <v>188</v>
      </c>
      <c r="K867" t="s">
        <v>38</v>
      </c>
      <c r="L867">
        <v>176</v>
      </c>
      <c r="M867">
        <v>2.9</v>
      </c>
      <c r="N867">
        <v>102.01</v>
      </c>
      <c r="O867">
        <v>1.42</v>
      </c>
      <c r="P867">
        <v>4</v>
      </c>
      <c r="Q867">
        <v>0.89</v>
      </c>
      <c r="R867">
        <v>463</v>
      </c>
      <c r="S867">
        <v>6.18</v>
      </c>
      <c r="T867">
        <v>0.9</v>
      </c>
      <c r="U867" s="1">
        <v>45571</v>
      </c>
      <c r="V867">
        <v>154.15</v>
      </c>
      <c r="W867">
        <v>0.61799999999999999</v>
      </c>
      <c r="X867" t="str">
        <f>IF(WarehouseData[[#This Row],[stock_level]]&lt;=WarehouseData[[#This Row],[reorder_point]],"Low Stock","Sufficient Stock")</f>
        <v>Sufficient Stock</v>
      </c>
      <c r="Y867">
        <f>WarehouseData[[#This Row],[daily_demand]]*WarehouseData[[#This Row],[lead_time_days]]</f>
        <v>49.320000000000007</v>
      </c>
      <c r="Z867" t="str">
        <f>IF(WarehouseData[[#This Row],[stock_level]]&lt;=WarehouseData[[#This Row],[Demand During Lead Time]],"At Risk","Safe")</f>
        <v>Safe</v>
      </c>
      <c r="AA867">
        <f>WarehouseData[[#This Row],[stock_level]]/WarehouseData[[#This Row],[daily_demand]]</f>
        <v>25.79075425790754</v>
      </c>
      <c r="AB867">
        <f>WarehouseData[[#This Row],[stock_level]]*WarehouseData[[#This Row],[unit_price]]</f>
        <v>21626.120000000003</v>
      </c>
      <c r="AC867">
        <f>WarehouseData[[#This Row],[stock_level]]*WarehouseData[[#This Row],[holding_cost_per_unit_day]]*30</f>
        <v>9031.1999999999989</v>
      </c>
      <c r="AD867" t="str">
        <f>IF(WarehouseData[[#This Row],[order_fulfillment_rate]]&gt;=0.9,"Strong",IF(WarehouseData[[#This Row],[order_fulfillment_rate]]&gt;=0.8,"Moderate","Needs Attention"))</f>
        <v>Moderate</v>
      </c>
      <c r="AE867" t="str">
        <f>IF(WarehouseData[[#This Row],[picking_time_seconds]]&gt;120,"Slow",IF(WarehouseData[[#This Row],[picking_time_seconds]]&gt;=60,"Average","Fast"))</f>
        <v>Slow</v>
      </c>
    </row>
    <row r="868" spans="1:31" x14ac:dyDescent="0.25">
      <c r="A868" t="s">
        <v>1006</v>
      </c>
      <c r="B868" t="s">
        <v>32</v>
      </c>
      <c r="C868">
        <v>472</v>
      </c>
      <c r="D868">
        <v>89</v>
      </c>
      <c r="E868">
        <v>8</v>
      </c>
      <c r="F868">
        <v>5</v>
      </c>
      <c r="G868">
        <v>8.84</v>
      </c>
      <c r="H868">
        <v>7.83</v>
      </c>
      <c r="I868">
        <v>0.11</v>
      </c>
      <c r="J868" t="s">
        <v>273</v>
      </c>
      <c r="K868" t="s">
        <v>52</v>
      </c>
      <c r="L868">
        <v>28</v>
      </c>
      <c r="M868">
        <v>4.84</v>
      </c>
      <c r="N868">
        <v>90</v>
      </c>
      <c r="O868">
        <v>1.46</v>
      </c>
      <c r="P868">
        <v>6</v>
      </c>
      <c r="Q868">
        <v>0.78</v>
      </c>
      <c r="R868">
        <v>875</v>
      </c>
      <c r="S868">
        <v>5.36</v>
      </c>
      <c r="T868">
        <v>0.63</v>
      </c>
      <c r="U868" s="1">
        <v>45641</v>
      </c>
      <c r="V868">
        <v>263.32</v>
      </c>
      <c r="W868">
        <v>0.48699999999999999</v>
      </c>
      <c r="X868" t="str">
        <f>IF(WarehouseData[[#This Row],[stock_level]]&lt;=WarehouseData[[#This Row],[reorder_point]],"Low Stock","Sufficient Stock")</f>
        <v>Sufficient Stock</v>
      </c>
      <c r="Y868">
        <f>WarehouseData[[#This Row],[daily_demand]]*WarehouseData[[#This Row],[lead_time_days]]</f>
        <v>44.2</v>
      </c>
      <c r="Z868" t="str">
        <f>IF(WarehouseData[[#This Row],[stock_level]]&lt;=WarehouseData[[#This Row],[Demand During Lead Time]],"At Risk","Safe")</f>
        <v>Safe</v>
      </c>
      <c r="AA868">
        <f>WarehouseData[[#This Row],[stock_level]]/WarehouseData[[#This Row],[daily_demand]]</f>
        <v>53.393665158371043</v>
      </c>
      <c r="AB868">
        <f>WarehouseData[[#This Row],[stock_level]]*WarehouseData[[#This Row],[unit_price]]</f>
        <v>42480</v>
      </c>
      <c r="AC868">
        <f>WarehouseData[[#This Row],[stock_level]]*WarehouseData[[#This Row],[holding_cost_per_unit_day]]*30</f>
        <v>20673.599999999999</v>
      </c>
      <c r="AD868" t="str">
        <f>IF(WarehouseData[[#This Row],[order_fulfillment_rate]]&gt;=0.9,"Strong",IF(WarehouseData[[#This Row],[order_fulfillment_rate]]&gt;=0.8,"Moderate","Needs Attention"))</f>
        <v>Needs Attention</v>
      </c>
      <c r="AE868" t="str">
        <f>IF(WarehouseData[[#This Row],[picking_time_seconds]]&gt;120,"Slow",IF(WarehouseData[[#This Row],[picking_time_seconds]]&gt;=60,"Average","Fast"))</f>
        <v>Fast</v>
      </c>
    </row>
    <row r="869" spans="1:31" x14ac:dyDescent="0.25">
      <c r="A869" t="s">
        <v>1007</v>
      </c>
      <c r="B869" t="s">
        <v>36</v>
      </c>
      <c r="C869">
        <v>302</v>
      </c>
      <c r="D869">
        <v>96</v>
      </c>
      <c r="E869">
        <v>6</v>
      </c>
      <c r="F869">
        <v>8</v>
      </c>
      <c r="G869">
        <v>1.7</v>
      </c>
      <c r="H869">
        <v>8.0299999999999994</v>
      </c>
      <c r="I869">
        <v>0.79</v>
      </c>
      <c r="J869" t="s">
        <v>139</v>
      </c>
      <c r="K869" t="s">
        <v>46</v>
      </c>
      <c r="L869">
        <v>98</v>
      </c>
      <c r="M869">
        <v>1.84</v>
      </c>
      <c r="N869">
        <v>147.51</v>
      </c>
      <c r="O869">
        <v>0.68</v>
      </c>
      <c r="P869">
        <v>3</v>
      </c>
      <c r="Q869">
        <v>0.93</v>
      </c>
      <c r="R869">
        <v>269</v>
      </c>
      <c r="S869">
        <v>6.24</v>
      </c>
      <c r="T869">
        <v>0.56000000000000005</v>
      </c>
      <c r="U869" s="1">
        <v>45380</v>
      </c>
      <c r="V869">
        <v>183.91</v>
      </c>
      <c r="W869">
        <v>0.65300000000000002</v>
      </c>
      <c r="X869" t="str">
        <f>IF(WarehouseData[[#This Row],[stock_level]]&lt;=WarehouseData[[#This Row],[reorder_point]],"Low Stock","Sufficient Stock")</f>
        <v>Sufficient Stock</v>
      </c>
      <c r="Y869">
        <f>WarehouseData[[#This Row],[daily_demand]]*WarehouseData[[#This Row],[lead_time_days]]</f>
        <v>13.6</v>
      </c>
      <c r="Z869" t="str">
        <f>IF(WarehouseData[[#This Row],[stock_level]]&lt;=WarehouseData[[#This Row],[Demand During Lead Time]],"At Risk","Safe")</f>
        <v>Safe</v>
      </c>
      <c r="AA869">
        <f>WarehouseData[[#This Row],[stock_level]]/WarehouseData[[#This Row],[daily_demand]]</f>
        <v>177.64705882352942</v>
      </c>
      <c r="AB869">
        <f>WarehouseData[[#This Row],[stock_level]]*WarehouseData[[#This Row],[unit_price]]</f>
        <v>44548.02</v>
      </c>
      <c r="AC869">
        <f>WarehouseData[[#This Row],[stock_level]]*WarehouseData[[#This Row],[holding_cost_per_unit_day]]*30</f>
        <v>6160.8</v>
      </c>
      <c r="AD869" t="str">
        <f>IF(WarehouseData[[#This Row],[order_fulfillment_rate]]&gt;=0.9,"Strong",IF(WarehouseData[[#This Row],[order_fulfillment_rate]]&gt;=0.8,"Moderate","Needs Attention"))</f>
        <v>Strong</v>
      </c>
      <c r="AE869" t="str">
        <f>IF(WarehouseData[[#This Row],[picking_time_seconds]]&gt;120,"Slow",IF(WarehouseData[[#This Row],[picking_time_seconds]]&gt;=60,"Average","Fast"))</f>
        <v>Average</v>
      </c>
    </row>
    <row r="870" spans="1:31" x14ac:dyDescent="0.25">
      <c r="A870" t="s">
        <v>1008</v>
      </c>
      <c r="B870" t="s">
        <v>48</v>
      </c>
      <c r="C870">
        <v>355</v>
      </c>
      <c r="D870">
        <v>47</v>
      </c>
      <c r="E870">
        <v>9</v>
      </c>
      <c r="F870">
        <v>8</v>
      </c>
      <c r="G870">
        <v>39.32</v>
      </c>
      <c r="H870">
        <v>1.37</v>
      </c>
      <c r="I870">
        <v>0.14000000000000001</v>
      </c>
      <c r="J870" t="s">
        <v>228</v>
      </c>
      <c r="K870" t="s">
        <v>46</v>
      </c>
      <c r="L870">
        <v>144</v>
      </c>
      <c r="M870">
        <v>1.62</v>
      </c>
      <c r="N870">
        <v>57.44</v>
      </c>
      <c r="O870">
        <v>1.46</v>
      </c>
      <c r="P870">
        <v>7</v>
      </c>
      <c r="Q870">
        <v>0.76</v>
      </c>
      <c r="R870">
        <v>285</v>
      </c>
      <c r="S870">
        <v>12.13</v>
      </c>
      <c r="T870">
        <v>0.59</v>
      </c>
      <c r="U870" s="1">
        <v>45533</v>
      </c>
      <c r="V870">
        <v>83.41</v>
      </c>
      <c r="W870">
        <v>0.54600000000000004</v>
      </c>
      <c r="X870" t="str">
        <f>IF(WarehouseData[[#This Row],[stock_level]]&lt;=WarehouseData[[#This Row],[reorder_point]],"Low Stock","Sufficient Stock")</f>
        <v>Sufficient Stock</v>
      </c>
      <c r="Y870">
        <f>WarehouseData[[#This Row],[daily_demand]]*WarehouseData[[#This Row],[lead_time_days]]</f>
        <v>314.56</v>
      </c>
      <c r="Z870" t="str">
        <f>IF(WarehouseData[[#This Row],[stock_level]]&lt;=WarehouseData[[#This Row],[Demand During Lead Time]],"At Risk","Safe")</f>
        <v>Safe</v>
      </c>
      <c r="AA870">
        <f>WarehouseData[[#This Row],[stock_level]]/WarehouseData[[#This Row],[daily_demand]]</f>
        <v>9.0284842319430307</v>
      </c>
      <c r="AB870">
        <f>WarehouseData[[#This Row],[stock_level]]*WarehouseData[[#This Row],[unit_price]]</f>
        <v>20391.2</v>
      </c>
      <c r="AC870">
        <f>WarehouseData[[#This Row],[stock_level]]*WarehouseData[[#This Row],[holding_cost_per_unit_day]]*30</f>
        <v>15548.999999999998</v>
      </c>
      <c r="AD870" t="str">
        <f>IF(WarehouseData[[#This Row],[order_fulfillment_rate]]&gt;=0.9,"Strong",IF(WarehouseData[[#This Row],[order_fulfillment_rate]]&gt;=0.8,"Moderate","Needs Attention"))</f>
        <v>Needs Attention</v>
      </c>
      <c r="AE870" t="str">
        <f>IF(WarehouseData[[#This Row],[picking_time_seconds]]&gt;120,"Slow",IF(WarehouseData[[#This Row],[picking_time_seconds]]&gt;=60,"Average","Fast"))</f>
        <v>Slow</v>
      </c>
    </row>
    <row r="871" spans="1:31" x14ac:dyDescent="0.25">
      <c r="A871" t="s">
        <v>1009</v>
      </c>
      <c r="B871" t="s">
        <v>32</v>
      </c>
      <c r="C871">
        <v>409</v>
      </c>
      <c r="D871">
        <v>89</v>
      </c>
      <c r="E871">
        <v>12</v>
      </c>
      <c r="F871">
        <v>4</v>
      </c>
      <c r="G871">
        <v>40.799999999999997</v>
      </c>
      <c r="H871">
        <v>1.03</v>
      </c>
      <c r="I871">
        <v>0.85</v>
      </c>
      <c r="J871" t="s">
        <v>131</v>
      </c>
      <c r="K871" t="s">
        <v>38</v>
      </c>
      <c r="L871">
        <v>66</v>
      </c>
      <c r="M871">
        <v>3.7</v>
      </c>
      <c r="N871">
        <v>127.11</v>
      </c>
      <c r="O871">
        <v>1.45</v>
      </c>
      <c r="P871">
        <v>8</v>
      </c>
      <c r="Q871">
        <v>0.99</v>
      </c>
      <c r="R871">
        <v>69</v>
      </c>
      <c r="S871">
        <v>6.01</v>
      </c>
      <c r="T871">
        <v>0.83</v>
      </c>
      <c r="U871" s="1">
        <v>45329</v>
      </c>
      <c r="V871">
        <v>159.41</v>
      </c>
      <c r="W871">
        <v>0.53900000000000003</v>
      </c>
      <c r="X871" t="str">
        <f>IF(WarehouseData[[#This Row],[stock_level]]&lt;=WarehouseData[[#This Row],[reorder_point]],"Low Stock","Sufficient Stock")</f>
        <v>Sufficient Stock</v>
      </c>
      <c r="Y871">
        <f>WarehouseData[[#This Row],[daily_demand]]*WarehouseData[[#This Row],[lead_time_days]]</f>
        <v>163.19999999999999</v>
      </c>
      <c r="Z871" t="str">
        <f>IF(WarehouseData[[#This Row],[stock_level]]&lt;=WarehouseData[[#This Row],[Demand During Lead Time]],"At Risk","Safe")</f>
        <v>Safe</v>
      </c>
      <c r="AA871">
        <f>WarehouseData[[#This Row],[stock_level]]/WarehouseData[[#This Row],[daily_demand]]</f>
        <v>10.024509803921569</v>
      </c>
      <c r="AB871">
        <f>WarehouseData[[#This Row],[stock_level]]*WarehouseData[[#This Row],[unit_price]]</f>
        <v>51987.99</v>
      </c>
      <c r="AC871">
        <f>WarehouseData[[#This Row],[stock_level]]*WarehouseData[[#This Row],[holding_cost_per_unit_day]]*30</f>
        <v>17791.5</v>
      </c>
      <c r="AD871" t="str">
        <f>IF(WarehouseData[[#This Row],[order_fulfillment_rate]]&gt;=0.9,"Strong",IF(WarehouseData[[#This Row],[order_fulfillment_rate]]&gt;=0.8,"Moderate","Needs Attention"))</f>
        <v>Strong</v>
      </c>
      <c r="AE871" t="str">
        <f>IF(WarehouseData[[#This Row],[picking_time_seconds]]&gt;120,"Slow",IF(WarehouseData[[#This Row],[picking_time_seconds]]&gt;=60,"Average","Fast"))</f>
        <v>Average</v>
      </c>
    </row>
    <row r="872" spans="1:31" x14ac:dyDescent="0.25">
      <c r="A872" t="s">
        <v>1010</v>
      </c>
      <c r="B872" t="s">
        <v>40</v>
      </c>
      <c r="C872">
        <v>32</v>
      </c>
      <c r="D872">
        <v>87</v>
      </c>
      <c r="E872">
        <v>11</v>
      </c>
      <c r="F872">
        <v>9</v>
      </c>
      <c r="G872">
        <v>8.94</v>
      </c>
      <c r="H872">
        <v>8.11</v>
      </c>
      <c r="I872">
        <v>0.59</v>
      </c>
      <c r="J872" t="s">
        <v>126</v>
      </c>
      <c r="K872" t="s">
        <v>34</v>
      </c>
      <c r="L872">
        <v>139</v>
      </c>
      <c r="M872">
        <v>3.97</v>
      </c>
      <c r="N872">
        <v>145.46</v>
      </c>
      <c r="O872">
        <v>1.23</v>
      </c>
      <c r="P872">
        <v>8</v>
      </c>
      <c r="Q872">
        <v>0.7</v>
      </c>
      <c r="R872">
        <v>473</v>
      </c>
      <c r="S872">
        <v>13.9</v>
      </c>
      <c r="T872">
        <v>0.21</v>
      </c>
      <c r="U872" s="1">
        <v>45300</v>
      </c>
      <c r="V872">
        <v>75.94</v>
      </c>
      <c r="W872">
        <v>0.48399999999999999</v>
      </c>
      <c r="X872" t="str">
        <f>IF(WarehouseData[[#This Row],[stock_level]]&lt;=WarehouseData[[#This Row],[reorder_point]],"Low Stock","Sufficient Stock")</f>
        <v>Low Stock</v>
      </c>
      <c r="Y872">
        <f>WarehouseData[[#This Row],[daily_demand]]*WarehouseData[[#This Row],[lead_time_days]]</f>
        <v>80.459999999999994</v>
      </c>
      <c r="Z872" t="str">
        <f>IF(WarehouseData[[#This Row],[stock_level]]&lt;=WarehouseData[[#This Row],[Demand During Lead Time]],"At Risk","Safe")</f>
        <v>At Risk</v>
      </c>
      <c r="AA872">
        <f>WarehouseData[[#This Row],[stock_level]]/WarehouseData[[#This Row],[daily_demand]]</f>
        <v>3.579418344519016</v>
      </c>
      <c r="AB872">
        <f>WarehouseData[[#This Row],[stock_level]]*WarehouseData[[#This Row],[unit_price]]</f>
        <v>4654.72</v>
      </c>
      <c r="AC872">
        <f>WarehouseData[[#This Row],[stock_level]]*WarehouseData[[#This Row],[holding_cost_per_unit_day]]*30</f>
        <v>1180.8</v>
      </c>
      <c r="AD872" t="str">
        <f>IF(WarehouseData[[#This Row],[order_fulfillment_rate]]&gt;=0.9,"Strong",IF(WarehouseData[[#This Row],[order_fulfillment_rate]]&gt;=0.8,"Moderate","Needs Attention"))</f>
        <v>Needs Attention</v>
      </c>
      <c r="AE872" t="str">
        <f>IF(WarehouseData[[#This Row],[picking_time_seconds]]&gt;120,"Slow",IF(WarehouseData[[#This Row],[picking_time_seconds]]&gt;=60,"Average","Fast"))</f>
        <v>Slow</v>
      </c>
    </row>
    <row r="873" spans="1:31" x14ac:dyDescent="0.25">
      <c r="A873" t="s">
        <v>1011</v>
      </c>
      <c r="B873" t="s">
        <v>32</v>
      </c>
      <c r="C873">
        <v>259</v>
      </c>
      <c r="D873">
        <v>38</v>
      </c>
      <c r="E873">
        <v>12</v>
      </c>
      <c r="F873">
        <v>2</v>
      </c>
      <c r="G873">
        <v>37.24</v>
      </c>
      <c r="H873">
        <v>2.96</v>
      </c>
      <c r="I873">
        <v>0.57999999999999996</v>
      </c>
      <c r="J873" t="s">
        <v>137</v>
      </c>
      <c r="K873" t="s">
        <v>34</v>
      </c>
      <c r="L873">
        <v>47</v>
      </c>
      <c r="M873">
        <v>2.37</v>
      </c>
      <c r="N873">
        <v>179.5</v>
      </c>
      <c r="O873">
        <v>0.78</v>
      </c>
      <c r="P873">
        <v>8</v>
      </c>
      <c r="Q873">
        <v>0.87</v>
      </c>
      <c r="R873">
        <v>462</v>
      </c>
      <c r="S873">
        <v>2.58</v>
      </c>
      <c r="T873">
        <v>0.93</v>
      </c>
      <c r="U873" s="1">
        <v>45592</v>
      </c>
      <c r="V873">
        <v>61.81</v>
      </c>
      <c r="W873">
        <v>0.55600000000000005</v>
      </c>
      <c r="X873" t="str">
        <f>IF(WarehouseData[[#This Row],[stock_level]]&lt;=WarehouseData[[#This Row],[reorder_point]],"Low Stock","Sufficient Stock")</f>
        <v>Sufficient Stock</v>
      </c>
      <c r="Y873">
        <f>WarehouseData[[#This Row],[daily_demand]]*WarehouseData[[#This Row],[lead_time_days]]</f>
        <v>74.48</v>
      </c>
      <c r="Z873" t="str">
        <f>IF(WarehouseData[[#This Row],[stock_level]]&lt;=WarehouseData[[#This Row],[Demand During Lead Time]],"At Risk","Safe")</f>
        <v>Safe</v>
      </c>
      <c r="AA873">
        <f>WarehouseData[[#This Row],[stock_level]]/WarehouseData[[#This Row],[daily_demand]]</f>
        <v>6.954887218045112</v>
      </c>
      <c r="AB873">
        <f>WarehouseData[[#This Row],[stock_level]]*WarehouseData[[#This Row],[unit_price]]</f>
        <v>46490.5</v>
      </c>
      <c r="AC873">
        <f>WarehouseData[[#This Row],[stock_level]]*WarehouseData[[#This Row],[holding_cost_per_unit_day]]*30</f>
        <v>6060.6</v>
      </c>
      <c r="AD873" t="str">
        <f>IF(WarehouseData[[#This Row],[order_fulfillment_rate]]&gt;=0.9,"Strong",IF(WarehouseData[[#This Row],[order_fulfillment_rate]]&gt;=0.8,"Moderate","Needs Attention"))</f>
        <v>Moderate</v>
      </c>
      <c r="AE873" t="str">
        <f>IF(WarehouseData[[#This Row],[picking_time_seconds]]&gt;120,"Slow",IF(WarehouseData[[#This Row],[picking_time_seconds]]&gt;=60,"Average","Fast"))</f>
        <v>Fast</v>
      </c>
    </row>
    <row r="874" spans="1:31" x14ac:dyDescent="0.25">
      <c r="A874" t="s">
        <v>1012</v>
      </c>
      <c r="B874" t="s">
        <v>73</v>
      </c>
      <c r="C874">
        <v>339</v>
      </c>
      <c r="D874">
        <v>35</v>
      </c>
      <c r="E874">
        <v>12</v>
      </c>
      <c r="F874">
        <v>4</v>
      </c>
      <c r="G874">
        <v>22.24</v>
      </c>
      <c r="H874">
        <v>6.03</v>
      </c>
      <c r="I874">
        <v>0.73</v>
      </c>
      <c r="J874" t="s">
        <v>68</v>
      </c>
      <c r="K874" t="s">
        <v>38</v>
      </c>
      <c r="L874">
        <v>142</v>
      </c>
      <c r="M874">
        <v>1.46</v>
      </c>
      <c r="N874">
        <v>73.06</v>
      </c>
      <c r="O874">
        <v>1.64</v>
      </c>
      <c r="P874">
        <v>1</v>
      </c>
      <c r="Q874">
        <v>0.73</v>
      </c>
      <c r="R874">
        <v>438</v>
      </c>
      <c r="S874">
        <v>14.04</v>
      </c>
      <c r="T874">
        <v>0.77</v>
      </c>
      <c r="U874" s="1">
        <v>45326</v>
      </c>
      <c r="V874">
        <v>286.95999999999998</v>
      </c>
      <c r="W874">
        <v>0.70299999999999996</v>
      </c>
      <c r="X874" t="str">
        <f>IF(WarehouseData[[#This Row],[stock_level]]&lt;=WarehouseData[[#This Row],[reorder_point]],"Low Stock","Sufficient Stock")</f>
        <v>Sufficient Stock</v>
      </c>
      <c r="Y874">
        <f>WarehouseData[[#This Row],[daily_demand]]*WarehouseData[[#This Row],[lead_time_days]]</f>
        <v>88.96</v>
      </c>
      <c r="Z874" t="str">
        <f>IF(WarehouseData[[#This Row],[stock_level]]&lt;=WarehouseData[[#This Row],[Demand During Lead Time]],"At Risk","Safe")</f>
        <v>Safe</v>
      </c>
      <c r="AA874">
        <f>WarehouseData[[#This Row],[stock_level]]/WarehouseData[[#This Row],[daily_demand]]</f>
        <v>15.242805755395684</v>
      </c>
      <c r="AB874">
        <f>WarehouseData[[#This Row],[stock_level]]*WarehouseData[[#This Row],[unit_price]]</f>
        <v>24767.34</v>
      </c>
      <c r="AC874">
        <f>WarehouseData[[#This Row],[stock_level]]*WarehouseData[[#This Row],[holding_cost_per_unit_day]]*30</f>
        <v>16678.8</v>
      </c>
      <c r="AD874" t="str">
        <f>IF(WarehouseData[[#This Row],[order_fulfillment_rate]]&gt;=0.9,"Strong",IF(WarehouseData[[#This Row],[order_fulfillment_rate]]&gt;=0.8,"Moderate","Needs Attention"))</f>
        <v>Needs Attention</v>
      </c>
      <c r="AE874" t="str">
        <f>IF(WarehouseData[[#This Row],[picking_time_seconds]]&gt;120,"Slow",IF(WarehouseData[[#This Row],[picking_time_seconds]]&gt;=60,"Average","Fast"))</f>
        <v>Slow</v>
      </c>
    </row>
    <row r="875" spans="1:31" x14ac:dyDescent="0.25">
      <c r="A875" t="s">
        <v>1013</v>
      </c>
      <c r="B875" t="s">
        <v>32</v>
      </c>
      <c r="C875">
        <v>465</v>
      </c>
      <c r="D875">
        <v>44</v>
      </c>
      <c r="E875">
        <v>9</v>
      </c>
      <c r="F875">
        <v>9</v>
      </c>
      <c r="G875">
        <v>12.74</v>
      </c>
      <c r="H875">
        <v>4.72</v>
      </c>
      <c r="I875">
        <v>0.87</v>
      </c>
      <c r="J875" t="s">
        <v>163</v>
      </c>
      <c r="K875" t="s">
        <v>38</v>
      </c>
      <c r="L875">
        <v>91</v>
      </c>
      <c r="M875">
        <v>4.01</v>
      </c>
      <c r="N875">
        <v>173.51</v>
      </c>
      <c r="O875">
        <v>1.88</v>
      </c>
      <c r="P875">
        <v>2</v>
      </c>
      <c r="Q875">
        <v>0.82</v>
      </c>
      <c r="R875">
        <v>394</v>
      </c>
      <c r="S875">
        <v>10.65</v>
      </c>
      <c r="T875">
        <v>0.91</v>
      </c>
      <c r="U875" s="1">
        <v>45299</v>
      </c>
      <c r="V875">
        <v>145.72999999999999</v>
      </c>
      <c r="W875">
        <v>0.66</v>
      </c>
      <c r="X875" t="str">
        <f>IF(WarehouseData[[#This Row],[stock_level]]&lt;=WarehouseData[[#This Row],[reorder_point]],"Low Stock","Sufficient Stock")</f>
        <v>Sufficient Stock</v>
      </c>
      <c r="Y875">
        <f>WarehouseData[[#This Row],[daily_demand]]*WarehouseData[[#This Row],[lead_time_days]]</f>
        <v>114.66</v>
      </c>
      <c r="Z875" t="str">
        <f>IF(WarehouseData[[#This Row],[stock_level]]&lt;=WarehouseData[[#This Row],[Demand During Lead Time]],"At Risk","Safe")</f>
        <v>Safe</v>
      </c>
      <c r="AA875">
        <f>WarehouseData[[#This Row],[stock_level]]/WarehouseData[[#This Row],[daily_demand]]</f>
        <v>36.499215070643643</v>
      </c>
      <c r="AB875">
        <f>WarehouseData[[#This Row],[stock_level]]*WarehouseData[[#This Row],[unit_price]]</f>
        <v>80682.149999999994</v>
      </c>
      <c r="AC875">
        <f>WarehouseData[[#This Row],[stock_level]]*WarehouseData[[#This Row],[holding_cost_per_unit_day]]*30</f>
        <v>26225.999999999996</v>
      </c>
      <c r="AD875" t="str">
        <f>IF(WarehouseData[[#This Row],[order_fulfillment_rate]]&gt;=0.9,"Strong",IF(WarehouseData[[#This Row],[order_fulfillment_rate]]&gt;=0.8,"Moderate","Needs Attention"))</f>
        <v>Moderate</v>
      </c>
      <c r="AE875" t="str">
        <f>IF(WarehouseData[[#This Row],[picking_time_seconds]]&gt;120,"Slow",IF(WarehouseData[[#This Row],[picking_time_seconds]]&gt;=60,"Average","Fast"))</f>
        <v>Average</v>
      </c>
    </row>
    <row r="876" spans="1:31" x14ac:dyDescent="0.25">
      <c r="A876" t="s">
        <v>1014</v>
      </c>
      <c r="B876" t="s">
        <v>73</v>
      </c>
      <c r="C876">
        <v>166</v>
      </c>
      <c r="D876">
        <v>88</v>
      </c>
      <c r="E876">
        <v>14</v>
      </c>
      <c r="F876">
        <v>9</v>
      </c>
      <c r="G876">
        <v>31.45</v>
      </c>
      <c r="H876">
        <v>0.71</v>
      </c>
      <c r="I876">
        <v>0.95</v>
      </c>
      <c r="J876" t="s">
        <v>178</v>
      </c>
      <c r="K876" t="s">
        <v>52</v>
      </c>
      <c r="L876">
        <v>45</v>
      </c>
      <c r="M876">
        <v>3.52</v>
      </c>
      <c r="N876">
        <v>189.61</v>
      </c>
      <c r="O876">
        <v>1.75</v>
      </c>
      <c r="P876">
        <v>4</v>
      </c>
      <c r="Q876">
        <v>0.89</v>
      </c>
      <c r="R876">
        <v>699</v>
      </c>
      <c r="S876">
        <v>5.82</v>
      </c>
      <c r="T876">
        <v>0.97</v>
      </c>
      <c r="U876" s="1">
        <v>45426</v>
      </c>
      <c r="V876">
        <v>198.85</v>
      </c>
      <c r="W876">
        <v>0.59499999999999997</v>
      </c>
      <c r="X876" t="str">
        <f>IF(WarehouseData[[#This Row],[stock_level]]&lt;=WarehouseData[[#This Row],[reorder_point]],"Low Stock","Sufficient Stock")</f>
        <v>Sufficient Stock</v>
      </c>
      <c r="Y876">
        <f>WarehouseData[[#This Row],[daily_demand]]*WarehouseData[[#This Row],[lead_time_days]]</f>
        <v>283.05</v>
      </c>
      <c r="Z876" t="str">
        <f>IF(WarehouseData[[#This Row],[stock_level]]&lt;=WarehouseData[[#This Row],[Demand During Lead Time]],"At Risk","Safe")</f>
        <v>At Risk</v>
      </c>
      <c r="AA876">
        <f>WarehouseData[[#This Row],[stock_level]]/WarehouseData[[#This Row],[daily_demand]]</f>
        <v>5.2782193958664552</v>
      </c>
      <c r="AB876">
        <f>WarehouseData[[#This Row],[stock_level]]*WarehouseData[[#This Row],[unit_price]]</f>
        <v>31475.260000000002</v>
      </c>
      <c r="AC876">
        <f>WarehouseData[[#This Row],[stock_level]]*WarehouseData[[#This Row],[holding_cost_per_unit_day]]*30</f>
        <v>8715</v>
      </c>
      <c r="AD876" t="str">
        <f>IF(WarehouseData[[#This Row],[order_fulfillment_rate]]&gt;=0.9,"Strong",IF(WarehouseData[[#This Row],[order_fulfillment_rate]]&gt;=0.8,"Moderate","Needs Attention"))</f>
        <v>Moderate</v>
      </c>
      <c r="AE876" t="str">
        <f>IF(WarehouseData[[#This Row],[picking_time_seconds]]&gt;120,"Slow",IF(WarehouseData[[#This Row],[picking_time_seconds]]&gt;=60,"Average","Fast"))</f>
        <v>Fast</v>
      </c>
    </row>
    <row r="877" spans="1:31" x14ac:dyDescent="0.25">
      <c r="A877" t="s">
        <v>1015</v>
      </c>
      <c r="B877" t="s">
        <v>32</v>
      </c>
      <c r="C877">
        <v>223</v>
      </c>
      <c r="D877">
        <v>76</v>
      </c>
      <c r="E877">
        <v>7</v>
      </c>
      <c r="F877">
        <v>7</v>
      </c>
      <c r="G877">
        <v>9.75</v>
      </c>
      <c r="H877">
        <v>0.88</v>
      </c>
      <c r="I877">
        <v>0.59</v>
      </c>
      <c r="J877" t="s">
        <v>160</v>
      </c>
      <c r="K877" t="s">
        <v>52</v>
      </c>
      <c r="L877">
        <v>97</v>
      </c>
      <c r="M877">
        <v>4.4400000000000004</v>
      </c>
      <c r="N877">
        <v>133.25</v>
      </c>
      <c r="O877">
        <v>0.56000000000000005</v>
      </c>
      <c r="P877">
        <v>0</v>
      </c>
      <c r="Q877">
        <v>0.91</v>
      </c>
      <c r="R877">
        <v>516</v>
      </c>
      <c r="S877">
        <v>1.1000000000000001</v>
      </c>
      <c r="T877">
        <v>0.38</v>
      </c>
      <c r="U877" s="1">
        <v>45402</v>
      </c>
      <c r="V877">
        <v>263.3</v>
      </c>
      <c r="W877">
        <v>0.61699999999999999</v>
      </c>
      <c r="X877" t="str">
        <f>IF(WarehouseData[[#This Row],[stock_level]]&lt;=WarehouseData[[#This Row],[reorder_point]],"Low Stock","Sufficient Stock")</f>
        <v>Sufficient Stock</v>
      </c>
      <c r="Y877">
        <f>WarehouseData[[#This Row],[daily_demand]]*WarehouseData[[#This Row],[lead_time_days]]</f>
        <v>68.25</v>
      </c>
      <c r="Z877" t="str">
        <f>IF(WarehouseData[[#This Row],[stock_level]]&lt;=WarehouseData[[#This Row],[Demand During Lead Time]],"At Risk","Safe")</f>
        <v>Safe</v>
      </c>
      <c r="AA877">
        <f>WarehouseData[[#This Row],[stock_level]]/WarehouseData[[#This Row],[daily_demand]]</f>
        <v>22.871794871794872</v>
      </c>
      <c r="AB877">
        <f>WarehouseData[[#This Row],[stock_level]]*WarehouseData[[#This Row],[unit_price]]</f>
        <v>29714.75</v>
      </c>
      <c r="AC877">
        <f>WarehouseData[[#This Row],[stock_level]]*WarehouseData[[#This Row],[holding_cost_per_unit_day]]*30</f>
        <v>3746.4</v>
      </c>
      <c r="AD877" t="str">
        <f>IF(WarehouseData[[#This Row],[order_fulfillment_rate]]&gt;=0.9,"Strong",IF(WarehouseData[[#This Row],[order_fulfillment_rate]]&gt;=0.8,"Moderate","Needs Attention"))</f>
        <v>Strong</v>
      </c>
      <c r="AE877" t="str">
        <f>IF(WarehouseData[[#This Row],[picking_time_seconds]]&gt;120,"Slow",IF(WarehouseData[[#This Row],[picking_time_seconds]]&gt;=60,"Average","Fast"))</f>
        <v>Average</v>
      </c>
    </row>
    <row r="878" spans="1:31" x14ac:dyDescent="0.25">
      <c r="A878" t="s">
        <v>1016</v>
      </c>
      <c r="B878" t="s">
        <v>73</v>
      </c>
      <c r="C878">
        <v>99</v>
      </c>
      <c r="D878">
        <v>96</v>
      </c>
      <c r="E878">
        <v>9</v>
      </c>
      <c r="F878">
        <v>5</v>
      </c>
      <c r="G878">
        <v>38.090000000000003</v>
      </c>
      <c r="H878">
        <v>8.36</v>
      </c>
      <c r="I878">
        <v>0.24</v>
      </c>
      <c r="J878" t="s">
        <v>79</v>
      </c>
      <c r="K878" t="s">
        <v>52</v>
      </c>
      <c r="L878">
        <v>128</v>
      </c>
      <c r="M878">
        <v>4.3</v>
      </c>
      <c r="N878">
        <v>156.57</v>
      </c>
      <c r="O878">
        <v>0.95</v>
      </c>
      <c r="P878">
        <v>3</v>
      </c>
      <c r="Q878">
        <v>0.94</v>
      </c>
      <c r="R878">
        <v>238</v>
      </c>
      <c r="S878">
        <v>12.23</v>
      </c>
      <c r="T878">
        <v>0.66</v>
      </c>
      <c r="U878" s="1">
        <v>45312</v>
      </c>
      <c r="V878">
        <v>103.43</v>
      </c>
      <c r="W878">
        <v>0.72799999999999998</v>
      </c>
      <c r="X878" t="str">
        <f>IF(WarehouseData[[#This Row],[stock_level]]&lt;=WarehouseData[[#This Row],[reorder_point]],"Low Stock","Sufficient Stock")</f>
        <v>Sufficient Stock</v>
      </c>
      <c r="Y878">
        <f>WarehouseData[[#This Row],[daily_demand]]*WarehouseData[[#This Row],[lead_time_days]]</f>
        <v>190.45000000000002</v>
      </c>
      <c r="Z878" t="str">
        <f>IF(WarehouseData[[#This Row],[stock_level]]&lt;=WarehouseData[[#This Row],[Demand During Lead Time]],"At Risk","Safe")</f>
        <v>At Risk</v>
      </c>
      <c r="AA878">
        <f>WarehouseData[[#This Row],[stock_level]]/WarehouseData[[#This Row],[daily_demand]]</f>
        <v>2.5991073772643736</v>
      </c>
      <c r="AB878">
        <f>WarehouseData[[#This Row],[stock_level]]*WarehouseData[[#This Row],[unit_price]]</f>
        <v>15500.429999999998</v>
      </c>
      <c r="AC878">
        <f>WarehouseData[[#This Row],[stock_level]]*WarehouseData[[#This Row],[holding_cost_per_unit_day]]*30</f>
        <v>2821.5</v>
      </c>
      <c r="AD878" t="str">
        <f>IF(WarehouseData[[#This Row],[order_fulfillment_rate]]&gt;=0.9,"Strong",IF(WarehouseData[[#This Row],[order_fulfillment_rate]]&gt;=0.8,"Moderate","Needs Attention"))</f>
        <v>Strong</v>
      </c>
      <c r="AE878" t="str">
        <f>IF(WarehouseData[[#This Row],[picking_time_seconds]]&gt;120,"Slow",IF(WarehouseData[[#This Row],[picking_time_seconds]]&gt;=60,"Average","Fast"))</f>
        <v>Slow</v>
      </c>
    </row>
    <row r="879" spans="1:31" x14ac:dyDescent="0.25">
      <c r="A879" t="s">
        <v>1017</v>
      </c>
      <c r="B879" t="s">
        <v>48</v>
      </c>
      <c r="C879">
        <v>398</v>
      </c>
      <c r="D879">
        <v>38</v>
      </c>
      <c r="E879">
        <v>5</v>
      </c>
      <c r="F879">
        <v>4</v>
      </c>
      <c r="G879">
        <v>3.33</v>
      </c>
      <c r="H879">
        <v>6.27</v>
      </c>
      <c r="I879">
        <v>0.89</v>
      </c>
      <c r="J879" t="s">
        <v>190</v>
      </c>
      <c r="K879" t="s">
        <v>52</v>
      </c>
      <c r="L879">
        <v>94</v>
      </c>
      <c r="M879">
        <v>1.42</v>
      </c>
      <c r="N879">
        <v>87.08</v>
      </c>
      <c r="O879">
        <v>0.75</v>
      </c>
      <c r="P879">
        <v>4</v>
      </c>
      <c r="Q879">
        <v>0.88</v>
      </c>
      <c r="R879">
        <v>666</v>
      </c>
      <c r="S879">
        <v>14.57</v>
      </c>
      <c r="T879">
        <v>0.59</v>
      </c>
      <c r="U879" s="1">
        <v>45322</v>
      </c>
      <c r="V879">
        <v>238.82</v>
      </c>
      <c r="W879">
        <v>0.73299999999999998</v>
      </c>
      <c r="X879" t="str">
        <f>IF(WarehouseData[[#This Row],[stock_level]]&lt;=WarehouseData[[#This Row],[reorder_point]],"Low Stock","Sufficient Stock")</f>
        <v>Sufficient Stock</v>
      </c>
      <c r="Y879">
        <f>WarehouseData[[#This Row],[daily_demand]]*WarehouseData[[#This Row],[lead_time_days]]</f>
        <v>13.32</v>
      </c>
      <c r="Z879" t="str">
        <f>IF(WarehouseData[[#This Row],[stock_level]]&lt;=WarehouseData[[#This Row],[Demand During Lead Time]],"At Risk","Safe")</f>
        <v>Safe</v>
      </c>
      <c r="AA879">
        <f>WarehouseData[[#This Row],[stock_level]]/WarehouseData[[#This Row],[daily_demand]]</f>
        <v>119.51951951951952</v>
      </c>
      <c r="AB879">
        <f>WarehouseData[[#This Row],[stock_level]]*WarehouseData[[#This Row],[unit_price]]</f>
        <v>34657.839999999997</v>
      </c>
      <c r="AC879">
        <f>WarehouseData[[#This Row],[stock_level]]*WarehouseData[[#This Row],[holding_cost_per_unit_day]]*30</f>
        <v>8955</v>
      </c>
      <c r="AD879" t="str">
        <f>IF(WarehouseData[[#This Row],[order_fulfillment_rate]]&gt;=0.9,"Strong",IF(WarehouseData[[#This Row],[order_fulfillment_rate]]&gt;=0.8,"Moderate","Needs Attention"))</f>
        <v>Moderate</v>
      </c>
      <c r="AE879" t="str">
        <f>IF(WarehouseData[[#This Row],[picking_time_seconds]]&gt;120,"Slow",IF(WarehouseData[[#This Row],[picking_time_seconds]]&gt;=60,"Average","Fast"))</f>
        <v>Average</v>
      </c>
    </row>
    <row r="880" spans="1:31" x14ac:dyDescent="0.25">
      <c r="A880" t="s">
        <v>1018</v>
      </c>
      <c r="B880" t="s">
        <v>36</v>
      </c>
      <c r="C880">
        <v>62</v>
      </c>
      <c r="D880">
        <v>43</v>
      </c>
      <c r="E880">
        <v>4</v>
      </c>
      <c r="F880">
        <v>4</v>
      </c>
      <c r="G880">
        <v>48</v>
      </c>
      <c r="H880">
        <v>5.48</v>
      </c>
      <c r="I880">
        <v>0.14000000000000001</v>
      </c>
      <c r="J880" t="s">
        <v>110</v>
      </c>
      <c r="K880" t="s">
        <v>52</v>
      </c>
      <c r="L880">
        <v>157</v>
      </c>
      <c r="M880">
        <v>4.25</v>
      </c>
      <c r="N880">
        <v>190.91</v>
      </c>
      <c r="O880">
        <v>1.44</v>
      </c>
      <c r="P880">
        <v>8</v>
      </c>
      <c r="Q880">
        <v>0.78</v>
      </c>
      <c r="R880">
        <v>417</v>
      </c>
      <c r="S880">
        <v>14.75</v>
      </c>
      <c r="T880">
        <v>0.63</v>
      </c>
      <c r="U880" s="1">
        <v>45495</v>
      </c>
      <c r="V880">
        <v>238.76</v>
      </c>
      <c r="W880">
        <v>0.57499999999999996</v>
      </c>
      <c r="X880" t="str">
        <f>IF(WarehouseData[[#This Row],[stock_level]]&lt;=WarehouseData[[#This Row],[reorder_point]],"Low Stock","Sufficient Stock")</f>
        <v>Sufficient Stock</v>
      </c>
      <c r="Y880">
        <f>WarehouseData[[#This Row],[daily_demand]]*WarehouseData[[#This Row],[lead_time_days]]</f>
        <v>192</v>
      </c>
      <c r="Z880" t="str">
        <f>IF(WarehouseData[[#This Row],[stock_level]]&lt;=WarehouseData[[#This Row],[Demand During Lead Time]],"At Risk","Safe")</f>
        <v>At Risk</v>
      </c>
      <c r="AA880">
        <f>WarehouseData[[#This Row],[stock_level]]/WarehouseData[[#This Row],[daily_demand]]</f>
        <v>1.2916666666666667</v>
      </c>
      <c r="AB880">
        <f>WarehouseData[[#This Row],[stock_level]]*WarehouseData[[#This Row],[unit_price]]</f>
        <v>11836.42</v>
      </c>
      <c r="AC880">
        <f>WarehouseData[[#This Row],[stock_level]]*WarehouseData[[#This Row],[holding_cost_per_unit_day]]*30</f>
        <v>2678.4</v>
      </c>
      <c r="AD880" t="str">
        <f>IF(WarehouseData[[#This Row],[order_fulfillment_rate]]&gt;=0.9,"Strong",IF(WarehouseData[[#This Row],[order_fulfillment_rate]]&gt;=0.8,"Moderate","Needs Attention"))</f>
        <v>Needs Attention</v>
      </c>
      <c r="AE880" t="str">
        <f>IF(WarehouseData[[#This Row],[picking_time_seconds]]&gt;120,"Slow",IF(WarehouseData[[#This Row],[picking_time_seconds]]&gt;=60,"Average","Fast"))</f>
        <v>Slow</v>
      </c>
    </row>
    <row r="881" spans="1:31" x14ac:dyDescent="0.25">
      <c r="A881" t="s">
        <v>1019</v>
      </c>
      <c r="B881" t="s">
        <v>40</v>
      </c>
      <c r="C881">
        <v>477</v>
      </c>
      <c r="D881">
        <v>50</v>
      </c>
      <c r="E881">
        <v>13</v>
      </c>
      <c r="F881">
        <v>9</v>
      </c>
      <c r="G881">
        <v>4.5199999999999996</v>
      </c>
      <c r="H881">
        <v>9.4700000000000006</v>
      </c>
      <c r="I881">
        <v>0.83</v>
      </c>
      <c r="J881" t="s">
        <v>286</v>
      </c>
      <c r="K881" t="s">
        <v>52</v>
      </c>
      <c r="L881">
        <v>142</v>
      </c>
      <c r="M881">
        <v>1.29</v>
      </c>
      <c r="N881">
        <v>137.46</v>
      </c>
      <c r="O881">
        <v>1.68</v>
      </c>
      <c r="P881">
        <v>7</v>
      </c>
      <c r="Q881">
        <v>0.97</v>
      </c>
      <c r="R881">
        <v>434</v>
      </c>
      <c r="S881">
        <v>6.93</v>
      </c>
      <c r="T881">
        <v>0.24</v>
      </c>
      <c r="U881" s="1">
        <v>45551</v>
      </c>
      <c r="V881">
        <v>248.96</v>
      </c>
      <c r="W881">
        <v>0.42599999999999999</v>
      </c>
      <c r="X881" t="str">
        <f>IF(WarehouseData[[#This Row],[stock_level]]&lt;=WarehouseData[[#This Row],[reorder_point]],"Low Stock","Sufficient Stock")</f>
        <v>Sufficient Stock</v>
      </c>
      <c r="Y881">
        <f>WarehouseData[[#This Row],[daily_demand]]*WarehouseData[[#This Row],[lead_time_days]]</f>
        <v>40.679999999999993</v>
      </c>
      <c r="Z881" t="str">
        <f>IF(WarehouseData[[#This Row],[stock_level]]&lt;=WarehouseData[[#This Row],[Demand During Lead Time]],"At Risk","Safe")</f>
        <v>Safe</v>
      </c>
      <c r="AA881">
        <f>WarehouseData[[#This Row],[stock_level]]/WarehouseData[[#This Row],[daily_demand]]</f>
        <v>105.53097345132744</v>
      </c>
      <c r="AB881">
        <f>WarehouseData[[#This Row],[stock_level]]*WarehouseData[[#This Row],[unit_price]]</f>
        <v>65568.42</v>
      </c>
      <c r="AC881">
        <f>WarehouseData[[#This Row],[stock_level]]*WarehouseData[[#This Row],[holding_cost_per_unit_day]]*30</f>
        <v>24040.799999999999</v>
      </c>
      <c r="AD881" t="str">
        <f>IF(WarehouseData[[#This Row],[order_fulfillment_rate]]&gt;=0.9,"Strong",IF(WarehouseData[[#This Row],[order_fulfillment_rate]]&gt;=0.8,"Moderate","Needs Attention"))</f>
        <v>Strong</v>
      </c>
      <c r="AE881" t="str">
        <f>IF(WarehouseData[[#This Row],[picking_time_seconds]]&gt;120,"Slow",IF(WarehouseData[[#This Row],[picking_time_seconds]]&gt;=60,"Average","Fast"))</f>
        <v>Slow</v>
      </c>
    </row>
    <row r="882" spans="1:31" x14ac:dyDescent="0.25">
      <c r="A882" t="s">
        <v>1020</v>
      </c>
      <c r="B882" t="s">
        <v>32</v>
      </c>
      <c r="C882">
        <v>108</v>
      </c>
      <c r="D882">
        <v>50</v>
      </c>
      <c r="E882">
        <v>7</v>
      </c>
      <c r="F882">
        <v>8</v>
      </c>
      <c r="G882">
        <v>29.39</v>
      </c>
      <c r="H882">
        <v>2.14</v>
      </c>
      <c r="I882">
        <v>0.71</v>
      </c>
      <c r="J882" t="s">
        <v>95</v>
      </c>
      <c r="K882" t="s">
        <v>34</v>
      </c>
      <c r="L882">
        <v>33</v>
      </c>
      <c r="M882">
        <v>4.3899999999999997</v>
      </c>
      <c r="N882">
        <v>68.930000000000007</v>
      </c>
      <c r="O882">
        <v>0.51</v>
      </c>
      <c r="P882">
        <v>0</v>
      </c>
      <c r="Q882">
        <v>0.94</v>
      </c>
      <c r="R882">
        <v>992</v>
      </c>
      <c r="S882">
        <v>1.99</v>
      </c>
      <c r="T882">
        <v>0.93</v>
      </c>
      <c r="U882" s="1">
        <v>45438</v>
      </c>
      <c r="V882">
        <v>64.94</v>
      </c>
      <c r="W882">
        <v>0.75</v>
      </c>
      <c r="X882" t="str">
        <f>IF(WarehouseData[[#This Row],[stock_level]]&lt;=WarehouseData[[#This Row],[reorder_point]],"Low Stock","Sufficient Stock")</f>
        <v>Sufficient Stock</v>
      </c>
      <c r="Y882">
        <f>WarehouseData[[#This Row],[daily_demand]]*WarehouseData[[#This Row],[lead_time_days]]</f>
        <v>235.12</v>
      </c>
      <c r="Z882" t="str">
        <f>IF(WarehouseData[[#This Row],[stock_level]]&lt;=WarehouseData[[#This Row],[Demand During Lead Time]],"At Risk","Safe")</f>
        <v>At Risk</v>
      </c>
      <c r="AA882">
        <f>WarehouseData[[#This Row],[stock_level]]/WarehouseData[[#This Row],[daily_demand]]</f>
        <v>3.6747192922762846</v>
      </c>
      <c r="AB882">
        <f>WarehouseData[[#This Row],[stock_level]]*WarehouseData[[#This Row],[unit_price]]</f>
        <v>7444.4400000000005</v>
      </c>
      <c r="AC882">
        <f>WarehouseData[[#This Row],[stock_level]]*WarehouseData[[#This Row],[holding_cost_per_unit_day]]*30</f>
        <v>1652.3999999999999</v>
      </c>
      <c r="AD882" t="str">
        <f>IF(WarehouseData[[#This Row],[order_fulfillment_rate]]&gt;=0.9,"Strong",IF(WarehouseData[[#This Row],[order_fulfillment_rate]]&gt;=0.8,"Moderate","Needs Attention"))</f>
        <v>Strong</v>
      </c>
      <c r="AE882" t="str">
        <f>IF(WarehouseData[[#This Row],[picking_time_seconds]]&gt;120,"Slow",IF(WarehouseData[[#This Row],[picking_time_seconds]]&gt;=60,"Average","Fast"))</f>
        <v>Fast</v>
      </c>
    </row>
    <row r="883" spans="1:31" x14ac:dyDescent="0.25">
      <c r="A883" t="s">
        <v>1021</v>
      </c>
      <c r="B883" t="s">
        <v>36</v>
      </c>
      <c r="C883">
        <v>167</v>
      </c>
      <c r="D883">
        <v>32</v>
      </c>
      <c r="E883">
        <v>6</v>
      </c>
      <c r="F883">
        <v>5</v>
      </c>
      <c r="G883">
        <v>45.21</v>
      </c>
      <c r="H883">
        <v>2.95</v>
      </c>
      <c r="I883">
        <v>0.91</v>
      </c>
      <c r="J883" t="s">
        <v>332</v>
      </c>
      <c r="K883" t="s">
        <v>38</v>
      </c>
      <c r="L883">
        <v>39</v>
      </c>
      <c r="M883">
        <v>3.97</v>
      </c>
      <c r="N883">
        <v>86.81</v>
      </c>
      <c r="O883">
        <v>1.9</v>
      </c>
      <c r="P883">
        <v>2</v>
      </c>
      <c r="Q883">
        <v>0.75</v>
      </c>
      <c r="R883">
        <v>147</v>
      </c>
      <c r="S883">
        <v>5.39</v>
      </c>
      <c r="T883">
        <v>0.96</v>
      </c>
      <c r="U883" s="1">
        <v>45613</v>
      </c>
      <c r="V883">
        <v>289.22000000000003</v>
      </c>
      <c r="W883">
        <v>0.58399999999999996</v>
      </c>
      <c r="X883" t="str">
        <f>IF(WarehouseData[[#This Row],[stock_level]]&lt;=WarehouseData[[#This Row],[reorder_point]],"Low Stock","Sufficient Stock")</f>
        <v>Sufficient Stock</v>
      </c>
      <c r="Y883">
        <f>WarehouseData[[#This Row],[daily_demand]]*WarehouseData[[#This Row],[lead_time_days]]</f>
        <v>226.05</v>
      </c>
      <c r="Z883" t="str">
        <f>IF(WarehouseData[[#This Row],[stock_level]]&lt;=WarehouseData[[#This Row],[Demand During Lead Time]],"At Risk","Safe")</f>
        <v>At Risk</v>
      </c>
      <c r="AA883">
        <f>WarehouseData[[#This Row],[stock_level]]/WarehouseData[[#This Row],[daily_demand]]</f>
        <v>3.6938730369387303</v>
      </c>
      <c r="AB883">
        <f>WarehouseData[[#This Row],[stock_level]]*WarehouseData[[#This Row],[unit_price]]</f>
        <v>14497.27</v>
      </c>
      <c r="AC883">
        <f>WarehouseData[[#This Row],[stock_level]]*WarehouseData[[#This Row],[holding_cost_per_unit_day]]*30</f>
        <v>9519</v>
      </c>
      <c r="AD883" t="str">
        <f>IF(WarehouseData[[#This Row],[order_fulfillment_rate]]&gt;=0.9,"Strong",IF(WarehouseData[[#This Row],[order_fulfillment_rate]]&gt;=0.8,"Moderate","Needs Attention"))</f>
        <v>Needs Attention</v>
      </c>
      <c r="AE883" t="str">
        <f>IF(WarehouseData[[#This Row],[picking_time_seconds]]&gt;120,"Slow",IF(WarehouseData[[#This Row],[picking_time_seconds]]&gt;=60,"Average","Fast"))</f>
        <v>Fast</v>
      </c>
    </row>
    <row r="884" spans="1:31" x14ac:dyDescent="0.25">
      <c r="A884" t="s">
        <v>1022</v>
      </c>
      <c r="B884" t="s">
        <v>40</v>
      </c>
      <c r="C884">
        <v>114</v>
      </c>
      <c r="D884">
        <v>80</v>
      </c>
      <c r="E884">
        <v>7</v>
      </c>
      <c r="F884">
        <v>8</v>
      </c>
      <c r="G884">
        <v>1.58</v>
      </c>
      <c r="H884">
        <v>7.69</v>
      </c>
      <c r="I884">
        <v>0.91</v>
      </c>
      <c r="J884" t="s">
        <v>57</v>
      </c>
      <c r="K884" t="s">
        <v>46</v>
      </c>
      <c r="L884">
        <v>37</v>
      </c>
      <c r="M884">
        <v>3.06</v>
      </c>
      <c r="N884">
        <v>127.37</v>
      </c>
      <c r="O884">
        <v>1.39</v>
      </c>
      <c r="P884">
        <v>2</v>
      </c>
      <c r="Q884">
        <v>0.95</v>
      </c>
      <c r="R884">
        <v>319</v>
      </c>
      <c r="S884">
        <v>5.34</v>
      </c>
      <c r="T884">
        <v>0.75</v>
      </c>
      <c r="U884" s="1">
        <v>45656</v>
      </c>
      <c r="V884">
        <v>89.69</v>
      </c>
      <c r="W884">
        <v>0.63200000000000001</v>
      </c>
      <c r="X884" t="str">
        <f>IF(WarehouseData[[#This Row],[stock_level]]&lt;=WarehouseData[[#This Row],[reorder_point]],"Low Stock","Sufficient Stock")</f>
        <v>Sufficient Stock</v>
      </c>
      <c r="Y884">
        <f>WarehouseData[[#This Row],[daily_demand]]*WarehouseData[[#This Row],[lead_time_days]]</f>
        <v>12.64</v>
      </c>
      <c r="Z884" t="str">
        <f>IF(WarehouseData[[#This Row],[stock_level]]&lt;=WarehouseData[[#This Row],[Demand During Lead Time]],"At Risk","Safe")</f>
        <v>Safe</v>
      </c>
      <c r="AA884">
        <f>WarehouseData[[#This Row],[stock_level]]/WarehouseData[[#This Row],[daily_demand]]</f>
        <v>72.151898734177209</v>
      </c>
      <c r="AB884">
        <f>WarehouseData[[#This Row],[stock_level]]*WarehouseData[[#This Row],[unit_price]]</f>
        <v>14520.18</v>
      </c>
      <c r="AC884">
        <f>WarehouseData[[#This Row],[stock_level]]*WarehouseData[[#This Row],[holding_cost_per_unit_day]]*30</f>
        <v>4753.7999999999993</v>
      </c>
      <c r="AD884" t="str">
        <f>IF(WarehouseData[[#This Row],[order_fulfillment_rate]]&gt;=0.9,"Strong",IF(WarehouseData[[#This Row],[order_fulfillment_rate]]&gt;=0.8,"Moderate","Needs Attention"))</f>
        <v>Strong</v>
      </c>
      <c r="AE884" t="str">
        <f>IF(WarehouseData[[#This Row],[picking_time_seconds]]&gt;120,"Slow",IF(WarehouseData[[#This Row],[picking_time_seconds]]&gt;=60,"Average","Fast"))</f>
        <v>Fast</v>
      </c>
    </row>
    <row r="885" spans="1:31" x14ac:dyDescent="0.25">
      <c r="A885" t="s">
        <v>1023</v>
      </c>
      <c r="B885" t="s">
        <v>40</v>
      </c>
      <c r="C885">
        <v>471</v>
      </c>
      <c r="D885">
        <v>12</v>
      </c>
      <c r="E885">
        <v>10</v>
      </c>
      <c r="F885">
        <v>3</v>
      </c>
      <c r="G885">
        <v>25.43</v>
      </c>
      <c r="H885">
        <v>7.86</v>
      </c>
      <c r="I885">
        <v>0.15</v>
      </c>
      <c r="J885" t="s">
        <v>301</v>
      </c>
      <c r="K885" t="s">
        <v>52</v>
      </c>
      <c r="L885">
        <v>118</v>
      </c>
      <c r="M885">
        <v>3.39</v>
      </c>
      <c r="N885">
        <v>54.49</v>
      </c>
      <c r="O885">
        <v>0.52</v>
      </c>
      <c r="P885">
        <v>5</v>
      </c>
      <c r="Q885">
        <v>0.99</v>
      </c>
      <c r="R885">
        <v>714</v>
      </c>
      <c r="S885">
        <v>2.4300000000000002</v>
      </c>
      <c r="T885">
        <v>0.41</v>
      </c>
      <c r="U885" s="1">
        <v>45548</v>
      </c>
      <c r="V885">
        <v>235.28</v>
      </c>
      <c r="W885">
        <v>0.56000000000000005</v>
      </c>
      <c r="X885" t="str">
        <f>IF(WarehouseData[[#This Row],[stock_level]]&lt;=WarehouseData[[#This Row],[reorder_point]],"Low Stock","Sufficient Stock")</f>
        <v>Sufficient Stock</v>
      </c>
      <c r="Y885">
        <f>WarehouseData[[#This Row],[daily_demand]]*WarehouseData[[#This Row],[lead_time_days]]</f>
        <v>76.289999999999992</v>
      </c>
      <c r="Z885" t="str">
        <f>IF(WarehouseData[[#This Row],[stock_level]]&lt;=WarehouseData[[#This Row],[Demand During Lead Time]],"At Risk","Safe")</f>
        <v>Safe</v>
      </c>
      <c r="AA885">
        <f>WarehouseData[[#This Row],[stock_level]]/WarehouseData[[#This Row],[daily_demand]]</f>
        <v>18.521431380259536</v>
      </c>
      <c r="AB885">
        <f>WarehouseData[[#This Row],[stock_level]]*WarehouseData[[#This Row],[unit_price]]</f>
        <v>25664.79</v>
      </c>
      <c r="AC885">
        <f>WarehouseData[[#This Row],[stock_level]]*WarehouseData[[#This Row],[holding_cost_per_unit_day]]*30</f>
        <v>7347.6</v>
      </c>
      <c r="AD885" t="str">
        <f>IF(WarehouseData[[#This Row],[order_fulfillment_rate]]&gt;=0.9,"Strong",IF(WarehouseData[[#This Row],[order_fulfillment_rate]]&gt;=0.8,"Moderate","Needs Attention"))</f>
        <v>Strong</v>
      </c>
      <c r="AE885" t="str">
        <f>IF(WarehouseData[[#This Row],[picking_time_seconds]]&gt;120,"Slow",IF(WarehouseData[[#This Row],[picking_time_seconds]]&gt;=60,"Average","Fast"))</f>
        <v>Average</v>
      </c>
    </row>
    <row r="886" spans="1:31" x14ac:dyDescent="0.25">
      <c r="A886" t="s">
        <v>1024</v>
      </c>
      <c r="B886" t="s">
        <v>73</v>
      </c>
      <c r="C886">
        <v>447</v>
      </c>
      <c r="D886">
        <v>67</v>
      </c>
      <c r="E886">
        <v>14</v>
      </c>
      <c r="F886">
        <v>6</v>
      </c>
      <c r="G886">
        <v>18.149999999999999</v>
      </c>
      <c r="H886">
        <v>4.3499999999999996</v>
      </c>
      <c r="I886">
        <v>0.65</v>
      </c>
      <c r="J886" t="s">
        <v>152</v>
      </c>
      <c r="K886" t="s">
        <v>34</v>
      </c>
      <c r="L886">
        <v>144</v>
      </c>
      <c r="M886">
        <v>0.97</v>
      </c>
      <c r="N886">
        <v>153.24</v>
      </c>
      <c r="O886">
        <v>0.81</v>
      </c>
      <c r="P886">
        <v>3</v>
      </c>
      <c r="Q886">
        <v>0.89</v>
      </c>
      <c r="R886">
        <v>267</v>
      </c>
      <c r="S886">
        <v>8.35</v>
      </c>
      <c r="T886">
        <v>0.83</v>
      </c>
      <c r="U886" s="1">
        <v>45504</v>
      </c>
      <c r="V886">
        <v>57.07</v>
      </c>
      <c r="W886">
        <v>0.71399999999999997</v>
      </c>
      <c r="X886" t="str">
        <f>IF(WarehouseData[[#This Row],[stock_level]]&lt;=WarehouseData[[#This Row],[reorder_point]],"Low Stock","Sufficient Stock")</f>
        <v>Sufficient Stock</v>
      </c>
      <c r="Y886">
        <f>WarehouseData[[#This Row],[daily_demand]]*WarehouseData[[#This Row],[lead_time_days]]</f>
        <v>108.89999999999999</v>
      </c>
      <c r="Z886" t="str">
        <f>IF(WarehouseData[[#This Row],[stock_level]]&lt;=WarehouseData[[#This Row],[Demand During Lead Time]],"At Risk","Safe")</f>
        <v>Safe</v>
      </c>
      <c r="AA886">
        <f>WarehouseData[[#This Row],[stock_level]]/WarehouseData[[#This Row],[daily_demand]]</f>
        <v>24.628099173553721</v>
      </c>
      <c r="AB886">
        <f>WarehouseData[[#This Row],[stock_level]]*WarehouseData[[#This Row],[unit_price]]</f>
        <v>68498.28</v>
      </c>
      <c r="AC886">
        <f>WarehouseData[[#This Row],[stock_level]]*WarehouseData[[#This Row],[holding_cost_per_unit_day]]*30</f>
        <v>10862.100000000002</v>
      </c>
      <c r="AD886" t="str">
        <f>IF(WarehouseData[[#This Row],[order_fulfillment_rate]]&gt;=0.9,"Strong",IF(WarehouseData[[#This Row],[order_fulfillment_rate]]&gt;=0.8,"Moderate","Needs Attention"))</f>
        <v>Moderate</v>
      </c>
      <c r="AE886" t="str">
        <f>IF(WarehouseData[[#This Row],[picking_time_seconds]]&gt;120,"Slow",IF(WarehouseData[[#This Row],[picking_time_seconds]]&gt;=60,"Average","Fast"))</f>
        <v>Slow</v>
      </c>
    </row>
    <row r="887" spans="1:31" x14ac:dyDescent="0.25">
      <c r="A887" t="s">
        <v>1025</v>
      </c>
      <c r="B887" t="s">
        <v>48</v>
      </c>
      <c r="C887">
        <v>170</v>
      </c>
      <c r="D887">
        <v>41</v>
      </c>
      <c r="E887">
        <v>6</v>
      </c>
      <c r="F887">
        <v>7</v>
      </c>
      <c r="G887">
        <v>29.44</v>
      </c>
      <c r="H887">
        <v>9.5299999999999994</v>
      </c>
      <c r="I887">
        <v>0.21</v>
      </c>
      <c r="J887" t="s">
        <v>33</v>
      </c>
      <c r="K887" t="s">
        <v>38</v>
      </c>
      <c r="L887">
        <v>179</v>
      </c>
      <c r="M887">
        <v>0.68</v>
      </c>
      <c r="N887">
        <v>52.69</v>
      </c>
      <c r="O887">
        <v>0.3</v>
      </c>
      <c r="P887">
        <v>3</v>
      </c>
      <c r="Q887">
        <v>0.78</v>
      </c>
      <c r="R887">
        <v>70</v>
      </c>
      <c r="S887">
        <v>9.4600000000000009</v>
      </c>
      <c r="T887">
        <v>0.78</v>
      </c>
      <c r="U887" s="1">
        <v>45508</v>
      </c>
      <c r="V887">
        <v>278.02999999999997</v>
      </c>
      <c r="W887">
        <v>0.748</v>
      </c>
      <c r="X887" t="str">
        <f>IF(WarehouseData[[#This Row],[stock_level]]&lt;=WarehouseData[[#This Row],[reorder_point]],"Low Stock","Sufficient Stock")</f>
        <v>Sufficient Stock</v>
      </c>
      <c r="Y887">
        <f>WarehouseData[[#This Row],[daily_demand]]*WarehouseData[[#This Row],[lead_time_days]]</f>
        <v>206.08</v>
      </c>
      <c r="Z887" t="str">
        <f>IF(WarehouseData[[#This Row],[stock_level]]&lt;=WarehouseData[[#This Row],[Demand During Lead Time]],"At Risk","Safe")</f>
        <v>At Risk</v>
      </c>
      <c r="AA887">
        <f>WarehouseData[[#This Row],[stock_level]]/WarehouseData[[#This Row],[daily_demand]]</f>
        <v>5.7744565217391299</v>
      </c>
      <c r="AB887">
        <f>WarehouseData[[#This Row],[stock_level]]*WarehouseData[[#This Row],[unit_price]]</f>
        <v>8957.2999999999993</v>
      </c>
      <c r="AC887">
        <f>WarehouseData[[#This Row],[stock_level]]*WarehouseData[[#This Row],[holding_cost_per_unit_day]]*30</f>
        <v>1530</v>
      </c>
      <c r="AD887" t="str">
        <f>IF(WarehouseData[[#This Row],[order_fulfillment_rate]]&gt;=0.9,"Strong",IF(WarehouseData[[#This Row],[order_fulfillment_rate]]&gt;=0.8,"Moderate","Needs Attention"))</f>
        <v>Needs Attention</v>
      </c>
      <c r="AE887" t="str">
        <f>IF(WarehouseData[[#This Row],[picking_time_seconds]]&gt;120,"Slow",IF(WarehouseData[[#This Row],[picking_time_seconds]]&gt;=60,"Average","Fast"))</f>
        <v>Slow</v>
      </c>
    </row>
    <row r="888" spans="1:31" x14ac:dyDescent="0.25">
      <c r="A888" t="s">
        <v>1026</v>
      </c>
      <c r="B888" t="s">
        <v>48</v>
      </c>
      <c r="C888">
        <v>21</v>
      </c>
      <c r="D888">
        <v>40</v>
      </c>
      <c r="E888">
        <v>11</v>
      </c>
      <c r="F888">
        <v>7</v>
      </c>
      <c r="G888">
        <v>12.05</v>
      </c>
      <c r="H888">
        <v>9.41</v>
      </c>
      <c r="I888">
        <v>0.17</v>
      </c>
      <c r="J888" t="s">
        <v>135</v>
      </c>
      <c r="K888" t="s">
        <v>38</v>
      </c>
      <c r="L888">
        <v>44</v>
      </c>
      <c r="M888">
        <v>1.99</v>
      </c>
      <c r="N888">
        <v>122.44</v>
      </c>
      <c r="O888">
        <v>1.23</v>
      </c>
      <c r="P888">
        <v>0</v>
      </c>
      <c r="Q888">
        <v>0.88</v>
      </c>
      <c r="R888">
        <v>321</v>
      </c>
      <c r="S888">
        <v>11.2</v>
      </c>
      <c r="T888">
        <v>0.66</v>
      </c>
      <c r="U888" s="1">
        <v>45651</v>
      </c>
      <c r="V888">
        <v>134.08000000000001</v>
      </c>
      <c r="W888">
        <v>0.73399999999999999</v>
      </c>
      <c r="X888" t="str">
        <f>IF(WarehouseData[[#This Row],[stock_level]]&lt;=WarehouseData[[#This Row],[reorder_point]],"Low Stock","Sufficient Stock")</f>
        <v>Low Stock</v>
      </c>
      <c r="Y888">
        <f>WarehouseData[[#This Row],[daily_demand]]*WarehouseData[[#This Row],[lead_time_days]]</f>
        <v>84.350000000000009</v>
      </c>
      <c r="Z888" t="str">
        <f>IF(WarehouseData[[#This Row],[stock_level]]&lt;=WarehouseData[[#This Row],[Demand During Lead Time]],"At Risk","Safe")</f>
        <v>At Risk</v>
      </c>
      <c r="AA888">
        <f>WarehouseData[[#This Row],[stock_level]]/WarehouseData[[#This Row],[daily_demand]]</f>
        <v>1.7427385892116181</v>
      </c>
      <c r="AB888">
        <f>WarehouseData[[#This Row],[stock_level]]*WarehouseData[[#This Row],[unit_price]]</f>
        <v>2571.2399999999998</v>
      </c>
      <c r="AC888">
        <f>WarehouseData[[#This Row],[stock_level]]*WarehouseData[[#This Row],[holding_cost_per_unit_day]]*30</f>
        <v>774.9</v>
      </c>
      <c r="AD888" t="str">
        <f>IF(WarehouseData[[#This Row],[order_fulfillment_rate]]&gt;=0.9,"Strong",IF(WarehouseData[[#This Row],[order_fulfillment_rate]]&gt;=0.8,"Moderate","Needs Attention"))</f>
        <v>Moderate</v>
      </c>
      <c r="AE888" t="str">
        <f>IF(WarehouseData[[#This Row],[picking_time_seconds]]&gt;120,"Slow",IF(WarehouseData[[#This Row],[picking_time_seconds]]&gt;=60,"Average","Fast"))</f>
        <v>Fast</v>
      </c>
    </row>
    <row r="889" spans="1:31" x14ac:dyDescent="0.25">
      <c r="A889" t="s">
        <v>1027</v>
      </c>
      <c r="B889" t="s">
        <v>36</v>
      </c>
      <c r="C889">
        <v>395</v>
      </c>
      <c r="D889">
        <v>91</v>
      </c>
      <c r="E889">
        <v>9</v>
      </c>
      <c r="F889">
        <v>2</v>
      </c>
      <c r="G889">
        <v>4.18</v>
      </c>
      <c r="H889">
        <v>0.62</v>
      </c>
      <c r="I889">
        <v>0.5</v>
      </c>
      <c r="J889" t="s">
        <v>158</v>
      </c>
      <c r="K889" t="s">
        <v>38</v>
      </c>
      <c r="L889">
        <v>128</v>
      </c>
      <c r="M889">
        <v>4.2</v>
      </c>
      <c r="N889">
        <v>142.43</v>
      </c>
      <c r="O889">
        <v>0.42</v>
      </c>
      <c r="P889">
        <v>9</v>
      </c>
      <c r="Q889">
        <v>0.8</v>
      </c>
      <c r="R889">
        <v>763</v>
      </c>
      <c r="S889">
        <v>1.71</v>
      </c>
      <c r="T889">
        <v>0.34</v>
      </c>
      <c r="U889" s="1">
        <v>45497</v>
      </c>
      <c r="V889">
        <v>203.91</v>
      </c>
      <c r="W889">
        <v>0.42899999999999999</v>
      </c>
      <c r="X889" t="str">
        <f>IF(WarehouseData[[#This Row],[stock_level]]&lt;=WarehouseData[[#This Row],[reorder_point]],"Low Stock","Sufficient Stock")</f>
        <v>Sufficient Stock</v>
      </c>
      <c r="Y889">
        <f>WarehouseData[[#This Row],[daily_demand]]*WarehouseData[[#This Row],[lead_time_days]]</f>
        <v>8.36</v>
      </c>
      <c r="Z889" t="str">
        <f>IF(WarehouseData[[#This Row],[stock_level]]&lt;=WarehouseData[[#This Row],[Demand During Lead Time]],"At Risk","Safe")</f>
        <v>Safe</v>
      </c>
      <c r="AA889">
        <f>WarehouseData[[#This Row],[stock_level]]/WarehouseData[[#This Row],[daily_demand]]</f>
        <v>94.497607655502392</v>
      </c>
      <c r="AB889">
        <f>WarehouseData[[#This Row],[stock_level]]*WarehouseData[[#This Row],[unit_price]]</f>
        <v>56259.850000000006</v>
      </c>
      <c r="AC889">
        <f>WarehouseData[[#This Row],[stock_level]]*WarehouseData[[#This Row],[holding_cost_per_unit_day]]*30</f>
        <v>4977</v>
      </c>
      <c r="AD889" t="str">
        <f>IF(WarehouseData[[#This Row],[order_fulfillment_rate]]&gt;=0.9,"Strong",IF(WarehouseData[[#This Row],[order_fulfillment_rate]]&gt;=0.8,"Moderate","Needs Attention"))</f>
        <v>Moderate</v>
      </c>
      <c r="AE889" t="str">
        <f>IF(WarehouseData[[#This Row],[picking_time_seconds]]&gt;120,"Slow",IF(WarehouseData[[#This Row],[picking_time_seconds]]&gt;=60,"Average","Fast"))</f>
        <v>Slow</v>
      </c>
    </row>
    <row r="890" spans="1:31" x14ac:dyDescent="0.25">
      <c r="A890" t="s">
        <v>1028</v>
      </c>
      <c r="B890" t="s">
        <v>48</v>
      </c>
      <c r="C890">
        <v>41</v>
      </c>
      <c r="D890">
        <v>52</v>
      </c>
      <c r="E890">
        <v>12</v>
      </c>
      <c r="F890">
        <v>8</v>
      </c>
      <c r="G890">
        <v>31.67</v>
      </c>
      <c r="H890">
        <v>2.14</v>
      </c>
      <c r="I890">
        <v>0.19</v>
      </c>
      <c r="J890" t="s">
        <v>113</v>
      </c>
      <c r="K890" t="s">
        <v>52</v>
      </c>
      <c r="L890">
        <v>43</v>
      </c>
      <c r="M890">
        <v>2.6</v>
      </c>
      <c r="N890">
        <v>173.35</v>
      </c>
      <c r="O890">
        <v>1.42</v>
      </c>
      <c r="P890">
        <v>3</v>
      </c>
      <c r="Q890">
        <v>0.9</v>
      </c>
      <c r="R890">
        <v>209</v>
      </c>
      <c r="S890">
        <v>4.8600000000000003</v>
      </c>
      <c r="T890">
        <v>0.36</v>
      </c>
      <c r="U890" s="1">
        <v>45334</v>
      </c>
      <c r="V890">
        <v>256.56</v>
      </c>
      <c r="W890">
        <v>0.51500000000000001</v>
      </c>
      <c r="X890" t="str">
        <f>IF(WarehouseData[[#This Row],[stock_level]]&lt;=WarehouseData[[#This Row],[reorder_point]],"Low Stock","Sufficient Stock")</f>
        <v>Low Stock</v>
      </c>
      <c r="Y890">
        <f>WarehouseData[[#This Row],[daily_demand]]*WarehouseData[[#This Row],[lead_time_days]]</f>
        <v>253.36</v>
      </c>
      <c r="Z890" t="str">
        <f>IF(WarehouseData[[#This Row],[stock_level]]&lt;=WarehouseData[[#This Row],[Demand During Lead Time]],"At Risk","Safe")</f>
        <v>At Risk</v>
      </c>
      <c r="AA890">
        <f>WarehouseData[[#This Row],[stock_level]]/WarehouseData[[#This Row],[daily_demand]]</f>
        <v>1.2946005683612252</v>
      </c>
      <c r="AB890">
        <f>WarehouseData[[#This Row],[stock_level]]*WarehouseData[[#This Row],[unit_price]]</f>
        <v>7107.3499999999995</v>
      </c>
      <c r="AC890">
        <f>WarehouseData[[#This Row],[stock_level]]*WarehouseData[[#This Row],[holding_cost_per_unit_day]]*30</f>
        <v>1746.6</v>
      </c>
      <c r="AD890" t="str">
        <f>IF(WarehouseData[[#This Row],[order_fulfillment_rate]]&gt;=0.9,"Strong",IF(WarehouseData[[#This Row],[order_fulfillment_rate]]&gt;=0.8,"Moderate","Needs Attention"))</f>
        <v>Strong</v>
      </c>
      <c r="AE890" t="str">
        <f>IF(WarehouseData[[#This Row],[picking_time_seconds]]&gt;120,"Slow",IF(WarehouseData[[#This Row],[picking_time_seconds]]&gt;=60,"Average","Fast"))</f>
        <v>Fast</v>
      </c>
    </row>
    <row r="891" spans="1:31" x14ac:dyDescent="0.25">
      <c r="A891" t="s">
        <v>1029</v>
      </c>
      <c r="B891" t="s">
        <v>32</v>
      </c>
      <c r="C891">
        <v>390</v>
      </c>
      <c r="D891">
        <v>16</v>
      </c>
      <c r="E891">
        <v>14</v>
      </c>
      <c r="F891">
        <v>6</v>
      </c>
      <c r="G891">
        <v>21.43</v>
      </c>
      <c r="H891">
        <v>8.2899999999999991</v>
      </c>
      <c r="I891">
        <v>0.76</v>
      </c>
      <c r="J891" t="s">
        <v>301</v>
      </c>
      <c r="K891" t="s">
        <v>52</v>
      </c>
      <c r="L891">
        <v>112</v>
      </c>
      <c r="M891">
        <v>1.51</v>
      </c>
      <c r="N891">
        <v>149.44</v>
      </c>
      <c r="O891">
        <v>1.5</v>
      </c>
      <c r="P891">
        <v>0</v>
      </c>
      <c r="Q891">
        <v>0.86</v>
      </c>
      <c r="R891">
        <v>541</v>
      </c>
      <c r="S891">
        <v>5.97</v>
      </c>
      <c r="T891">
        <v>0.67</v>
      </c>
      <c r="U891" s="1">
        <v>45619</v>
      </c>
      <c r="V891">
        <v>91.89</v>
      </c>
      <c r="W891">
        <v>0.63600000000000001</v>
      </c>
      <c r="X891" t="str">
        <f>IF(WarehouseData[[#This Row],[stock_level]]&lt;=WarehouseData[[#This Row],[reorder_point]],"Low Stock","Sufficient Stock")</f>
        <v>Sufficient Stock</v>
      </c>
      <c r="Y891">
        <f>WarehouseData[[#This Row],[daily_demand]]*WarehouseData[[#This Row],[lead_time_days]]</f>
        <v>128.57999999999998</v>
      </c>
      <c r="Z891" t="str">
        <f>IF(WarehouseData[[#This Row],[stock_level]]&lt;=WarehouseData[[#This Row],[Demand During Lead Time]],"At Risk","Safe")</f>
        <v>Safe</v>
      </c>
      <c r="AA891">
        <f>WarehouseData[[#This Row],[stock_level]]/WarehouseData[[#This Row],[daily_demand]]</f>
        <v>18.198786747550162</v>
      </c>
      <c r="AB891">
        <f>WarehouseData[[#This Row],[stock_level]]*WarehouseData[[#This Row],[unit_price]]</f>
        <v>58281.599999999999</v>
      </c>
      <c r="AC891">
        <f>WarehouseData[[#This Row],[stock_level]]*WarehouseData[[#This Row],[holding_cost_per_unit_day]]*30</f>
        <v>17550</v>
      </c>
      <c r="AD891" t="str">
        <f>IF(WarehouseData[[#This Row],[order_fulfillment_rate]]&gt;=0.9,"Strong",IF(WarehouseData[[#This Row],[order_fulfillment_rate]]&gt;=0.8,"Moderate","Needs Attention"))</f>
        <v>Moderate</v>
      </c>
      <c r="AE891" t="str">
        <f>IF(WarehouseData[[#This Row],[picking_time_seconds]]&gt;120,"Slow",IF(WarehouseData[[#This Row],[picking_time_seconds]]&gt;=60,"Average","Fast"))</f>
        <v>Average</v>
      </c>
    </row>
    <row r="892" spans="1:31" x14ac:dyDescent="0.25">
      <c r="A892" t="s">
        <v>1030</v>
      </c>
      <c r="B892" t="s">
        <v>48</v>
      </c>
      <c r="C892">
        <v>332</v>
      </c>
      <c r="D892">
        <v>10</v>
      </c>
      <c r="E892">
        <v>9</v>
      </c>
      <c r="F892">
        <v>9</v>
      </c>
      <c r="G892">
        <v>31.5</v>
      </c>
      <c r="H892">
        <v>3.68</v>
      </c>
      <c r="I892">
        <v>0.97</v>
      </c>
      <c r="J892" t="s">
        <v>311</v>
      </c>
      <c r="K892" t="s">
        <v>46</v>
      </c>
      <c r="L892">
        <v>126</v>
      </c>
      <c r="M892">
        <v>4.26</v>
      </c>
      <c r="N892">
        <v>161.78</v>
      </c>
      <c r="O892">
        <v>1.01</v>
      </c>
      <c r="P892">
        <v>4</v>
      </c>
      <c r="Q892">
        <v>0.98</v>
      </c>
      <c r="R892">
        <v>478</v>
      </c>
      <c r="S892">
        <v>13.49</v>
      </c>
      <c r="T892">
        <v>0.3</v>
      </c>
      <c r="U892" s="1">
        <v>45566</v>
      </c>
      <c r="V892">
        <v>122.81</v>
      </c>
      <c r="W892">
        <v>0.65500000000000003</v>
      </c>
      <c r="X892" t="str">
        <f>IF(WarehouseData[[#This Row],[stock_level]]&lt;=WarehouseData[[#This Row],[reorder_point]],"Low Stock","Sufficient Stock")</f>
        <v>Sufficient Stock</v>
      </c>
      <c r="Y892">
        <f>WarehouseData[[#This Row],[daily_demand]]*WarehouseData[[#This Row],[lead_time_days]]</f>
        <v>283.5</v>
      </c>
      <c r="Z892" t="str">
        <f>IF(WarehouseData[[#This Row],[stock_level]]&lt;=WarehouseData[[#This Row],[Demand During Lead Time]],"At Risk","Safe")</f>
        <v>Safe</v>
      </c>
      <c r="AA892">
        <f>WarehouseData[[#This Row],[stock_level]]/WarehouseData[[#This Row],[daily_demand]]</f>
        <v>10.53968253968254</v>
      </c>
      <c r="AB892">
        <f>WarehouseData[[#This Row],[stock_level]]*WarehouseData[[#This Row],[unit_price]]</f>
        <v>53710.96</v>
      </c>
      <c r="AC892">
        <f>WarehouseData[[#This Row],[stock_level]]*WarehouseData[[#This Row],[holding_cost_per_unit_day]]*30</f>
        <v>10059.6</v>
      </c>
      <c r="AD892" t="str">
        <f>IF(WarehouseData[[#This Row],[order_fulfillment_rate]]&gt;=0.9,"Strong",IF(WarehouseData[[#This Row],[order_fulfillment_rate]]&gt;=0.8,"Moderate","Needs Attention"))</f>
        <v>Strong</v>
      </c>
      <c r="AE892" t="str">
        <f>IF(WarehouseData[[#This Row],[picking_time_seconds]]&gt;120,"Slow",IF(WarehouseData[[#This Row],[picking_time_seconds]]&gt;=60,"Average","Fast"))</f>
        <v>Slow</v>
      </c>
    </row>
    <row r="893" spans="1:31" x14ac:dyDescent="0.25">
      <c r="A893" t="s">
        <v>1031</v>
      </c>
      <c r="B893" t="s">
        <v>36</v>
      </c>
      <c r="C893">
        <v>347</v>
      </c>
      <c r="D893">
        <v>70</v>
      </c>
      <c r="E893">
        <v>10</v>
      </c>
      <c r="F893">
        <v>2</v>
      </c>
      <c r="G893">
        <v>11.32</v>
      </c>
      <c r="H893">
        <v>1.41</v>
      </c>
      <c r="I893">
        <v>0.61</v>
      </c>
      <c r="J893" t="s">
        <v>133</v>
      </c>
      <c r="K893" t="s">
        <v>52</v>
      </c>
      <c r="L893">
        <v>85</v>
      </c>
      <c r="M893">
        <v>1.53</v>
      </c>
      <c r="N893">
        <v>183.46</v>
      </c>
      <c r="O893">
        <v>0.28000000000000003</v>
      </c>
      <c r="P893">
        <v>2</v>
      </c>
      <c r="Q893">
        <v>0.89</v>
      </c>
      <c r="R893">
        <v>625</v>
      </c>
      <c r="S893">
        <v>13.62</v>
      </c>
      <c r="T893">
        <v>0.78</v>
      </c>
      <c r="U893" s="1">
        <v>45567</v>
      </c>
      <c r="V893">
        <v>100.88</v>
      </c>
      <c r="W893">
        <v>0.84799999999999998</v>
      </c>
      <c r="X893" t="str">
        <f>IF(WarehouseData[[#This Row],[stock_level]]&lt;=WarehouseData[[#This Row],[reorder_point]],"Low Stock","Sufficient Stock")</f>
        <v>Sufficient Stock</v>
      </c>
      <c r="Y893">
        <f>WarehouseData[[#This Row],[daily_demand]]*WarehouseData[[#This Row],[lead_time_days]]</f>
        <v>22.64</v>
      </c>
      <c r="Z893" t="str">
        <f>IF(WarehouseData[[#This Row],[stock_level]]&lt;=WarehouseData[[#This Row],[Demand During Lead Time]],"At Risk","Safe")</f>
        <v>Safe</v>
      </c>
      <c r="AA893">
        <f>WarehouseData[[#This Row],[stock_level]]/WarehouseData[[#This Row],[daily_demand]]</f>
        <v>30.653710247349821</v>
      </c>
      <c r="AB893">
        <f>WarehouseData[[#This Row],[stock_level]]*WarehouseData[[#This Row],[unit_price]]</f>
        <v>63660.62</v>
      </c>
      <c r="AC893">
        <f>WarehouseData[[#This Row],[stock_level]]*WarehouseData[[#This Row],[holding_cost_per_unit_day]]*30</f>
        <v>2914.8</v>
      </c>
      <c r="AD893" t="str">
        <f>IF(WarehouseData[[#This Row],[order_fulfillment_rate]]&gt;=0.9,"Strong",IF(WarehouseData[[#This Row],[order_fulfillment_rate]]&gt;=0.8,"Moderate","Needs Attention"))</f>
        <v>Moderate</v>
      </c>
      <c r="AE893" t="str">
        <f>IF(WarehouseData[[#This Row],[picking_time_seconds]]&gt;120,"Slow",IF(WarehouseData[[#This Row],[picking_time_seconds]]&gt;=60,"Average","Fast"))</f>
        <v>Average</v>
      </c>
    </row>
    <row r="894" spans="1:31" x14ac:dyDescent="0.25">
      <c r="A894" t="s">
        <v>1032</v>
      </c>
      <c r="B894" t="s">
        <v>48</v>
      </c>
      <c r="C894">
        <v>26</v>
      </c>
      <c r="D894">
        <v>23</v>
      </c>
      <c r="E894">
        <v>14</v>
      </c>
      <c r="F894">
        <v>7</v>
      </c>
      <c r="G894">
        <v>17.600000000000001</v>
      </c>
      <c r="H894">
        <v>7.96</v>
      </c>
      <c r="I894">
        <v>0.31</v>
      </c>
      <c r="J894" t="s">
        <v>379</v>
      </c>
      <c r="K894" t="s">
        <v>38</v>
      </c>
      <c r="L894">
        <v>63</v>
      </c>
      <c r="M894">
        <v>4.17</v>
      </c>
      <c r="N894">
        <v>123.58</v>
      </c>
      <c r="O894">
        <v>1.26</v>
      </c>
      <c r="P894">
        <v>9</v>
      </c>
      <c r="Q894">
        <v>0.76</v>
      </c>
      <c r="R894">
        <v>645</v>
      </c>
      <c r="S894">
        <v>4.6399999999999997</v>
      </c>
      <c r="T894">
        <v>0.37</v>
      </c>
      <c r="U894" s="1">
        <v>45607</v>
      </c>
      <c r="V894">
        <v>92.03</v>
      </c>
      <c r="W894">
        <v>0.38200000000000001</v>
      </c>
      <c r="X894" t="str">
        <f>IF(WarehouseData[[#This Row],[stock_level]]&lt;=WarehouseData[[#This Row],[reorder_point]],"Low Stock","Sufficient Stock")</f>
        <v>Sufficient Stock</v>
      </c>
      <c r="Y894">
        <f>WarehouseData[[#This Row],[daily_demand]]*WarehouseData[[#This Row],[lead_time_days]]</f>
        <v>123.20000000000002</v>
      </c>
      <c r="Z894" t="str">
        <f>IF(WarehouseData[[#This Row],[stock_level]]&lt;=WarehouseData[[#This Row],[Demand During Lead Time]],"At Risk","Safe")</f>
        <v>At Risk</v>
      </c>
      <c r="AA894">
        <f>WarehouseData[[#This Row],[stock_level]]/WarehouseData[[#This Row],[daily_demand]]</f>
        <v>1.4772727272727271</v>
      </c>
      <c r="AB894">
        <f>WarehouseData[[#This Row],[stock_level]]*WarehouseData[[#This Row],[unit_price]]</f>
        <v>3213.08</v>
      </c>
      <c r="AC894">
        <f>WarehouseData[[#This Row],[stock_level]]*WarehouseData[[#This Row],[holding_cost_per_unit_day]]*30</f>
        <v>982.8</v>
      </c>
      <c r="AD894" t="str">
        <f>IF(WarehouseData[[#This Row],[order_fulfillment_rate]]&gt;=0.9,"Strong",IF(WarehouseData[[#This Row],[order_fulfillment_rate]]&gt;=0.8,"Moderate","Needs Attention"))</f>
        <v>Needs Attention</v>
      </c>
      <c r="AE894" t="str">
        <f>IF(WarehouseData[[#This Row],[picking_time_seconds]]&gt;120,"Slow",IF(WarehouseData[[#This Row],[picking_time_seconds]]&gt;=60,"Average","Fast"))</f>
        <v>Average</v>
      </c>
    </row>
    <row r="895" spans="1:31" x14ac:dyDescent="0.25">
      <c r="A895" t="s">
        <v>1033</v>
      </c>
      <c r="B895" t="s">
        <v>32</v>
      </c>
      <c r="C895">
        <v>225</v>
      </c>
      <c r="D895">
        <v>61</v>
      </c>
      <c r="E895">
        <v>8</v>
      </c>
      <c r="F895">
        <v>6</v>
      </c>
      <c r="G895">
        <v>28.52</v>
      </c>
      <c r="H895">
        <v>4.82</v>
      </c>
      <c r="I895">
        <v>0.86</v>
      </c>
      <c r="J895" t="s">
        <v>90</v>
      </c>
      <c r="K895" t="s">
        <v>38</v>
      </c>
      <c r="L895">
        <v>38</v>
      </c>
      <c r="M895">
        <v>2.54</v>
      </c>
      <c r="N895">
        <v>170.79</v>
      </c>
      <c r="O895">
        <v>0.81</v>
      </c>
      <c r="P895">
        <v>4</v>
      </c>
      <c r="Q895">
        <v>0.92</v>
      </c>
      <c r="R895">
        <v>634</v>
      </c>
      <c r="S895">
        <v>7.82</v>
      </c>
      <c r="T895">
        <v>0.93</v>
      </c>
      <c r="U895" s="1">
        <v>45370</v>
      </c>
      <c r="V895">
        <v>157.99</v>
      </c>
      <c r="W895">
        <v>0.71299999999999997</v>
      </c>
      <c r="X895" t="str">
        <f>IF(WarehouseData[[#This Row],[stock_level]]&lt;=WarehouseData[[#This Row],[reorder_point]],"Low Stock","Sufficient Stock")</f>
        <v>Sufficient Stock</v>
      </c>
      <c r="Y895">
        <f>WarehouseData[[#This Row],[daily_demand]]*WarehouseData[[#This Row],[lead_time_days]]</f>
        <v>171.12</v>
      </c>
      <c r="Z895" t="str">
        <f>IF(WarehouseData[[#This Row],[stock_level]]&lt;=WarehouseData[[#This Row],[Demand During Lead Time]],"At Risk","Safe")</f>
        <v>Safe</v>
      </c>
      <c r="AA895">
        <f>WarehouseData[[#This Row],[stock_level]]/WarehouseData[[#This Row],[daily_demand]]</f>
        <v>7.8892005610098179</v>
      </c>
      <c r="AB895">
        <f>WarehouseData[[#This Row],[stock_level]]*WarehouseData[[#This Row],[unit_price]]</f>
        <v>38427.75</v>
      </c>
      <c r="AC895">
        <f>WarehouseData[[#This Row],[stock_level]]*WarehouseData[[#This Row],[holding_cost_per_unit_day]]*30</f>
        <v>5467.5</v>
      </c>
      <c r="AD895" t="str">
        <f>IF(WarehouseData[[#This Row],[order_fulfillment_rate]]&gt;=0.9,"Strong",IF(WarehouseData[[#This Row],[order_fulfillment_rate]]&gt;=0.8,"Moderate","Needs Attention"))</f>
        <v>Strong</v>
      </c>
      <c r="AE895" t="str">
        <f>IF(WarehouseData[[#This Row],[picking_time_seconds]]&gt;120,"Slow",IF(WarehouseData[[#This Row],[picking_time_seconds]]&gt;=60,"Average","Fast"))</f>
        <v>Fast</v>
      </c>
    </row>
    <row r="896" spans="1:31" x14ac:dyDescent="0.25">
      <c r="A896" t="s">
        <v>1034</v>
      </c>
      <c r="B896" t="s">
        <v>73</v>
      </c>
      <c r="C896">
        <v>459</v>
      </c>
      <c r="D896">
        <v>15</v>
      </c>
      <c r="E896">
        <v>10</v>
      </c>
      <c r="F896">
        <v>4</v>
      </c>
      <c r="G896">
        <v>30.06</v>
      </c>
      <c r="H896">
        <v>5.18</v>
      </c>
      <c r="I896">
        <v>0.87</v>
      </c>
      <c r="J896" t="s">
        <v>185</v>
      </c>
      <c r="K896" t="s">
        <v>34</v>
      </c>
      <c r="L896">
        <v>147</v>
      </c>
      <c r="M896">
        <v>2.59</v>
      </c>
      <c r="N896">
        <v>54.06</v>
      </c>
      <c r="O896">
        <v>1.9</v>
      </c>
      <c r="P896">
        <v>2</v>
      </c>
      <c r="Q896">
        <v>0.79</v>
      </c>
      <c r="R896">
        <v>621</v>
      </c>
      <c r="S896">
        <v>6.95</v>
      </c>
      <c r="T896">
        <v>0.92</v>
      </c>
      <c r="U896" s="1">
        <v>45434</v>
      </c>
      <c r="V896">
        <v>168.56</v>
      </c>
      <c r="W896">
        <v>0.60499999999999998</v>
      </c>
      <c r="X896" t="str">
        <f>IF(WarehouseData[[#This Row],[stock_level]]&lt;=WarehouseData[[#This Row],[reorder_point]],"Low Stock","Sufficient Stock")</f>
        <v>Sufficient Stock</v>
      </c>
      <c r="Y896">
        <f>WarehouseData[[#This Row],[daily_demand]]*WarehouseData[[#This Row],[lead_time_days]]</f>
        <v>120.24</v>
      </c>
      <c r="Z896" t="str">
        <f>IF(WarehouseData[[#This Row],[stock_level]]&lt;=WarehouseData[[#This Row],[Demand During Lead Time]],"At Risk","Safe")</f>
        <v>Safe</v>
      </c>
      <c r="AA896">
        <f>WarehouseData[[#This Row],[stock_level]]/WarehouseData[[#This Row],[daily_demand]]</f>
        <v>15.269461077844312</v>
      </c>
      <c r="AB896">
        <f>WarehouseData[[#This Row],[stock_level]]*WarehouseData[[#This Row],[unit_price]]</f>
        <v>24813.54</v>
      </c>
      <c r="AC896">
        <f>WarehouseData[[#This Row],[stock_level]]*WarehouseData[[#This Row],[holding_cost_per_unit_day]]*30</f>
        <v>26162.999999999996</v>
      </c>
      <c r="AD896" t="str">
        <f>IF(WarehouseData[[#This Row],[order_fulfillment_rate]]&gt;=0.9,"Strong",IF(WarehouseData[[#This Row],[order_fulfillment_rate]]&gt;=0.8,"Moderate","Needs Attention"))</f>
        <v>Needs Attention</v>
      </c>
      <c r="AE896" t="str">
        <f>IF(WarehouseData[[#This Row],[picking_time_seconds]]&gt;120,"Slow",IF(WarehouseData[[#This Row],[picking_time_seconds]]&gt;=60,"Average","Fast"))</f>
        <v>Slow</v>
      </c>
    </row>
    <row r="897" spans="1:31" x14ac:dyDescent="0.25">
      <c r="A897" t="s">
        <v>1035</v>
      </c>
      <c r="B897" t="s">
        <v>36</v>
      </c>
      <c r="C897">
        <v>394</v>
      </c>
      <c r="D897">
        <v>19</v>
      </c>
      <c r="E897">
        <v>5</v>
      </c>
      <c r="F897">
        <v>3</v>
      </c>
      <c r="G897">
        <v>19.239999999999998</v>
      </c>
      <c r="H897">
        <v>2.27</v>
      </c>
      <c r="I897">
        <v>0.76</v>
      </c>
      <c r="J897" t="s">
        <v>565</v>
      </c>
      <c r="K897" t="s">
        <v>34</v>
      </c>
      <c r="L897">
        <v>36</v>
      </c>
      <c r="M897">
        <v>1.73</v>
      </c>
      <c r="N897">
        <v>164.8</v>
      </c>
      <c r="O897">
        <v>1.08</v>
      </c>
      <c r="P897">
        <v>4</v>
      </c>
      <c r="Q897">
        <v>0.78</v>
      </c>
      <c r="R897">
        <v>915</v>
      </c>
      <c r="S897">
        <v>8.3699999999999992</v>
      </c>
      <c r="T897">
        <v>0.43</v>
      </c>
      <c r="U897" s="1">
        <v>45334</v>
      </c>
      <c r="V897">
        <v>32.28</v>
      </c>
      <c r="W897">
        <v>0.56599999999999995</v>
      </c>
      <c r="X897" t="str">
        <f>IF(WarehouseData[[#This Row],[stock_level]]&lt;=WarehouseData[[#This Row],[reorder_point]],"Low Stock","Sufficient Stock")</f>
        <v>Sufficient Stock</v>
      </c>
      <c r="Y897">
        <f>WarehouseData[[#This Row],[daily_demand]]*WarehouseData[[#This Row],[lead_time_days]]</f>
        <v>57.72</v>
      </c>
      <c r="Z897" t="str">
        <f>IF(WarehouseData[[#This Row],[stock_level]]&lt;=WarehouseData[[#This Row],[Demand During Lead Time]],"At Risk","Safe")</f>
        <v>Safe</v>
      </c>
      <c r="AA897">
        <f>WarehouseData[[#This Row],[stock_level]]/WarehouseData[[#This Row],[daily_demand]]</f>
        <v>20.47817047817048</v>
      </c>
      <c r="AB897">
        <f>WarehouseData[[#This Row],[stock_level]]*WarehouseData[[#This Row],[unit_price]]</f>
        <v>64931.200000000004</v>
      </c>
      <c r="AC897">
        <f>WarehouseData[[#This Row],[stock_level]]*WarehouseData[[#This Row],[holding_cost_per_unit_day]]*30</f>
        <v>12765.6</v>
      </c>
      <c r="AD897" t="str">
        <f>IF(WarehouseData[[#This Row],[order_fulfillment_rate]]&gt;=0.9,"Strong",IF(WarehouseData[[#This Row],[order_fulfillment_rate]]&gt;=0.8,"Moderate","Needs Attention"))</f>
        <v>Needs Attention</v>
      </c>
      <c r="AE897" t="str">
        <f>IF(WarehouseData[[#This Row],[picking_time_seconds]]&gt;120,"Slow",IF(WarehouseData[[#This Row],[picking_time_seconds]]&gt;=60,"Average","Fast"))</f>
        <v>Fast</v>
      </c>
    </row>
    <row r="898" spans="1:31" x14ac:dyDescent="0.25">
      <c r="A898" t="s">
        <v>1036</v>
      </c>
      <c r="B898" t="s">
        <v>73</v>
      </c>
      <c r="C898">
        <v>470</v>
      </c>
      <c r="D898">
        <v>80</v>
      </c>
      <c r="E898">
        <v>12</v>
      </c>
      <c r="F898">
        <v>9</v>
      </c>
      <c r="G898">
        <v>14.72</v>
      </c>
      <c r="H898">
        <v>6.78</v>
      </c>
      <c r="I898">
        <v>0.65</v>
      </c>
      <c r="J898" t="s">
        <v>137</v>
      </c>
      <c r="K898" t="s">
        <v>46</v>
      </c>
      <c r="L898">
        <v>22</v>
      </c>
      <c r="M898">
        <v>4.55</v>
      </c>
      <c r="N898">
        <v>52.12</v>
      </c>
      <c r="O898">
        <v>0.24</v>
      </c>
      <c r="P898">
        <v>3</v>
      </c>
      <c r="Q898">
        <v>0.82</v>
      </c>
      <c r="R898">
        <v>708</v>
      </c>
      <c r="S898">
        <v>5.01</v>
      </c>
      <c r="T898">
        <v>0.27</v>
      </c>
      <c r="U898" s="1">
        <v>45450</v>
      </c>
      <c r="V898">
        <v>205.25</v>
      </c>
      <c r="W898">
        <v>0.60099999999999998</v>
      </c>
      <c r="X898" t="str">
        <f>IF(WarehouseData[[#This Row],[stock_level]]&lt;=WarehouseData[[#This Row],[reorder_point]],"Low Stock","Sufficient Stock")</f>
        <v>Sufficient Stock</v>
      </c>
      <c r="Y898">
        <f>WarehouseData[[#This Row],[daily_demand]]*WarehouseData[[#This Row],[lead_time_days]]</f>
        <v>132.48000000000002</v>
      </c>
      <c r="Z898" t="str">
        <f>IF(WarehouseData[[#This Row],[stock_level]]&lt;=WarehouseData[[#This Row],[Demand During Lead Time]],"At Risk","Safe")</f>
        <v>Safe</v>
      </c>
      <c r="AA898">
        <f>WarehouseData[[#This Row],[stock_level]]/WarehouseData[[#This Row],[daily_demand]]</f>
        <v>31.929347826086953</v>
      </c>
      <c r="AB898">
        <f>WarehouseData[[#This Row],[stock_level]]*WarehouseData[[#This Row],[unit_price]]</f>
        <v>24496.399999999998</v>
      </c>
      <c r="AC898">
        <f>WarehouseData[[#This Row],[stock_level]]*WarehouseData[[#This Row],[holding_cost_per_unit_day]]*30</f>
        <v>3384</v>
      </c>
      <c r="AD898" t="str">
        <f>IF(WarehouseData[[#This Row],[order_fulfillment_rate]]&gt;=0.9,"Strong",IF(WarehouseData[[#This Row],[order_fulfillment_rate]]&gt;=0.8,"Moderate","Needs Attention"))</f>
        <v>Moderate</v>
      </c>
      <c r="AE898" t="str">
        <f>IF(WarehouseData[[#This Row],[picking_time_seconds]]&gt;120,"Slow",IF(WarehouseData[[#This Row],[picking_time_seconds]]&gt;=60,"Average","Fast"))</f>
        <v>Fast</v>
      </c>
    </row>
    <row r="899" spans="1:31" x14ac:dyDescent="0.25">
      <c r="A899" t="s">
        <v>1037</v>
      </c>
      <c r="B899" t="s">
        <v>73</v>
      </c>
      <c r="C899">
        <v>133</v>
      </c>
      <c r="D899">
        <v>99</v>
      </c>
      <c r="E899">
        <v>12</v>
      </c>
      <c r="F899">
        <v>4</v>
      </c>
      <c r="G899">
        <v>14.41</v>
      </c>
      <c r="H899">
        <v>5.74</v>
      </c>
      <c r="I899">
        <v>0.88</v>
      </c>
      <c r="J899" t="s">
        <v>215</v>
      </c>
      <c r="K899" t="s">
        <v>34</v>
      </c>
      <c r="L899">
        <v>51</v>
      </c>
      <c r="M899">
        <v>0.9</v>
      </c>
      <c r="N899">
        <v>187.58</v>
      </c>
      <c r="O899">
        <v>1.31</v>
      </c>
      <c r="P899">
        <v>8</v>
      </c>
      <c r="Q899">
        <v>0.7</v>
      </c>
      <c r="R899">
        <v>96</v>
      </c>
      <c r="S899">
        <v>7.48</v>
      </c>
      <c r="T899">
        <v>0.69</v>
      </c>
      <c r="U899" s="1">
        <v>45332</v>
      </c>
      <c r="V899">
        <v>131.80000000000001</v>
      </c>
      <c r="W899">
        <v>0.48699999999999999</v>
      </c>
      <c r="X899" t="str">
        <f>IF(WarehouseData[[#This Row],[stock_level]]&lt;=WarehouseData[[#This Row],[reorder_point]],"Low Stock","Sufficient Stock")</f>
        <v>Sufficient Stock</v>
      </c>
      <c r="Y899">
        <f>WarehouseData[[#This Row],[daily_demand]]*WarehouseData[[#This Row],[lead_time_days]]</f>
        <v>57.64</v>
      </c>
      <c r="Z899" t="str">
        <f>IF(WarehouseData[[#This Row],[stock_level]]&lt;=WarehouseData[[#This Row],[Demand During Lead Time]],"At Risk","Safe")</f>
        <v>Safe</v>
      </c>
      <c r="AA899">
        <f>WarehouseData[[#This Row],[stock_level]]/WarehouseData[[#This Row],[daily_demand]]</f>
        <v>9.2297015961138094</v>
      </c>
      <c r="AB899">
        <f>WarehouseData[[#This Row],[stock_level]]*WarehouseData[[#This Row],[unit_price]]</f>
        <v>24948.140000000003</v>
      </c>
      <c r="AC899">
        <f>WarehouseData[[#This Row],[stock_level]]*WarehouseData[[#This Row],[holding_cost_per_unit_day]]*30</f>
        <v>5226.9000000000005</v>
      </c>
      <c r="AD899" t="str">
        <f>IF(WarehouseData[[#This Row],[order_fulfillment_rate]]&gt;=0.9,"Strong",IF(WarehouseData[[#This Row],[order_fulfillment_rate]]&gt;=0.8,"Moderate","Needs Attention"))</f>
        <v>Needs Attention</v>
      </c>
      <c r="AE899" t="str">
        <f>IF(WarehouseData[[#This Row],[picking_time_seconds]]&gt;120,"Slow",IF(WarehouseData[[#This Row],[picking_time_seconds]]&gt;=60,"Average","Fast"))</f>
        <v>Fast</v>
      </c>
    </row>
    <row r="900" spans="1:31" x14ac:dyDescent="0.25">
      <c r="A900" t="s">
        <v>1038</v>
      </c>
      <c r="B900" t="s">
        <v>73</v>
      </c>
      <c r="C900">
        <v>291</v>
      </c>
      <c r="D900">
        <v>39</v>
      </c>
      <c r="E900">
        <v>3</v>
      </c>
      <c r="F900">
        <v>3</v>
      </c>
      <c r="G900">
        <v>9.56</v>
      </c>
      <c r="H900">
        <v>2.46</v>
      </c>
      <c r="I900">
        <v>0.25</v>
      </c>
      <c r="J900" t="s">
        <v>466</v>
      </c>
      <c r="K900" t="s">
        <v>46</v>
      </c>
      <c r="L900">
        <v>174</v>
      </c>
      <c r="M900">
        <v>1.1499999999999999</v>
      </c>
      <c r="N900">
        <v>72.69</v>
      </c>
      <c r="O900">
        <v>1.58</v>
      </c>
      <c r="P900">
        <v>5</v>
      </c>
      <c r="Q900">
        <v>0.99</v>
      </c>
      <c r="R900">
        <v>272</v>
      </c>
      <c r="S900">
        <v>3.04</v>
      </c>
      <c r="T900">
        <v>0.56000000000000005</v>
      </c>
      <c r="U900" s="1">
        <v>45553</v>
      </c>
      <c r="V900">
        <v>267.95999999999998</v>
      </c>
      <c r="W900">
        <v>0.49299999999999999</v>
      </c>
      <c r="X900" t="str">
        <f>IF(WarehouseData[[#This Row],[stock_level]]&lt;=WarehouseData[[#This Row],[reorder_point]],"Low Stock","Sufficient Stock")</f>
        <v>Sufficient Stock</v>
      </c>
      <c r="Y900">
        <f>WarehouseData[[#This Row],[daily_demand]]*WarehouseData[[#This Row],[lead_time_days]]</f>
        <v>28.68</v>
      </c>
      <c r="Z900" t="str">
        <f>IF(WarehouseData[[#This Row],[stock_level]]&lt;=WarehouseData[[#This Row],[Demand During Lead Time]],"At Risk","Safe")</f>
        <v>Safe</v>
      </c>
      <c r="AA900">
        <f>WarehouseData[[#This Row],[stock_level]]/WarehouseData[[#This Row],[daily_demand]]</f>
        <v>30.439330543933053</v>
      </c>
      <c r="AB900">
        <f>WarehouseData[[#This Row],[stock_level]]*WarehouseData[[#This Row],[unit_price]]</f>
        <v>21152.79</v>
      </c>
      <c r="AC900">
        <f>WarehouseData[[#This Row],[stock_level]]*WarehouseData[[#This Row],[holding_cost_per_unit_day]]*30</f>
        <v>13793.400000000001</v>
      </c>
      <c r="AD900" t="str">
        <f>IF(WarehouseData[[#This Row],[order_fulfillment_rate]]&gt;=0.9,"Strong",IF(WarehouseData[[#This Row],[order_fulfillment_rate]]&gt;=0.8,"Moderate","Needs Attention"))</f>
        <v>Strong</v>
      </c>
      <c r="AE900" t="str">
        <f>IF(WarehouseData[[#This Row],[picking_time_seconds]]&gt;120,"Slow",IF(WarehouseData[[#This Row],[picking_time_seconds]]&gt;=60,"Average","Fast"))</f>
        <v>Slow</v>
      </c>
    </row>
    <row r="901" spans="1:31" x14ac:dyDescent="0.25">
      <c r="A901" t="s">
        <v>1039</v>
      </c>
      <c r="B901" t="s">
        <v>40</v>
      </c>
      <c r="C901">
        <v>102</v>
      </c>
      <c r="D901">
        <v>30</v>
      </c>
      <c r="E901">
        <v>8</v>
      </c>
      <c r="F901">
        <v>9</v>
      </c>
      <c r="G901">
        <v>16.940000000000001</v>
      </c>
      <c r="H901">
        <v>3.73</v>
      </c>
      <c r="I901">
        <v>0.94</v>
      </c>
      <c r="J901" t="s">
        <v>202</v>
      </c>
      <c r="K901" t="s">
        <v>34</v>
      </c>
      <c r="L901">
        <v>30</v>
      </c>
      <c r="M901">
        <v>3.36</v>
      </c>
      <c r="N901">
        <v>42.65</v>
      </c>
      <c r="O901">
        <v>0.4</v>
      </c>
      <c r="P901">
        <v>9</v>
      </c>
      <c r="Q901">
        <v>0.86</v>
      </c>
      <c r="R901">
        <v>207</v>
      </c>
      <c r="S901">
        <v>10.93</v>
      </c>
      <c r="T901">
        <v>0.31</v>
      </c>
      <c r="U901" s="1">
        <v>45396</v>
      </c>
      <c r="V901">
        <v>266.8</v>
      </c>
      <c r="W901">
        <v>0.56000000000000005</v>
      </c>
      <c r="X901" t="str">
        <f>IF(WarehouseData[[#This Row],[stock_level]]&lt;=WarehouseData[[#This Row],[reorder_point]],"Low Stock","Sufficient Stock")</f>
        <v>Sufficient Stock</v>
      </c>
      <c r="Y901">
        <f>WarehouseData[[#This Row],[daily_demand]]*WarehouseData[[#This Row],[lead_time_days]]</f>
        <v>152.46</v>
      </c>
      <c r="Z901" t="str">
        <f>IF(WarehouseData[[#This Row],[stock_level]]&lt;=WarehouseData[[#This Row],[Demand During Lead Time]],"At Risk","Safe")</f>
        <v>At Risk</v>
      </c>
      <c r="AA901">
        <f>WarehouseData[[#This Row],[stock_level]]/WarehouseData[[#This Row],[daily_demand]]</f>
        <v>6.0212514757969302</v>
      </c>
      <c r="AB901">
        <f>WarehouseData[[#This Row],[stock_level]]*WarehouseData[[#This Row],[unit_price]]</f>
        <v>4350.3</v>
      </c>
      <c r="AC901">
        <f>WarehouseData[[#This Row],[stock_level]]*WarehouseData[[#This Row],[holding_cost_per_unit_day]]*30</f>
        <v>1224.0000000000002</v>
      </c>
      <c r="AD901" t="str">
        <f>IF(WarehouseData[[#This Row],[order_fulfillment_rate]]&gt;=0.9,"Strong",IF(WarehouseData[[#This Row],[order_fulfillment_rate]]&gt;=0.8,"Moderate","Needs Attention"))</f>
        <v>Moderate</v>
      </c>
      <c r="AE901" t="str">
        <f>IF(WarehouseData[[#This Row],[picking_time_seconds]]&gt;120,"Slow",IF(WarehouseData[[#This Row],[picking_time_seconds]]&gt;=60,"Average","Fast"))</f>
        <v>Fast</v>
      </c>
    </row>
    <row r="902" spans="1:31" x14ac:dyDescent="0.25">
      <c r="A902" t="s">
        <v>1040</v>
      </c>
      <c r="B902" t="s">
        <v>40</v>
      </c>
      <c r="C902">
        <v>198</v>
      </c>
      <c r="D902">
        <v>69</v>
      </c>
      <c r="E902">
        <v>3</v>
      </c>
      <c r="F902">
        <v>8</v>
      </c>
      <c r="G902">
        <v>10.77</v>
      </c>
      <c r="H902">
        <v>6.17</v>
      </c>
      <c r="I902">
        <v>0.95</v>
      </c>
      <c r="J902" t="s">
        <v>301</v>
      </c>
      <c r="K902" t="s">
        <v>38</v>
      </c>
      <c r="L902">
        <v>140</v>
      </c>
      <c r="M902">
        <v>4.33</v>
      </c>
      <c r="N902">
        <v>38.15</v>
      </c>
      <c r="O902">
        <v>0.95</v>
      </c>
      <c r="P902">
        <v>1</v>
      </c>
      <c r="Q902">
        <v>0.93</v>
      </c>
      <c r="R902">
        <v>96</v>
      </c>
      <c r="S902">
        <v>6.18</v>
      </c>
      <c r="T902">
        <v>0.63</v>
      </c>
      <c r="U902" s="1">
        <v>45371</v>
      </c>
      <c r="V902">
        <v>218.83</v>
      </c>
      <c r="W902">
        <v>0.67900000000000005</v>
      </c>
      <c r="X902" t="str">
        <f>IF(WarehouseData[[#This Row],[stock_level]]&lt;=WarehouseData[[#This Row],[reorder_point]],"Low Stock","Sufficient Stock")</f>
        <v>Sufficient Stock</v>
      </c>
      <c r="Y902">
        <f>WarehouseData[[#This Row],[daily_demand]]*WarehouseData[[#This Row],[lead_time_days]]</f>
        <v>86.16</v>
      </c>
      <c r="Z902" t="str">
        <f>IF(WarehouseData[[#This Row],[stock_level]]&lt;=WarehouseData[[#This Row],[Demand During Lead Time]],"At Risk","Safe")</f>
        <v>Safe</v>
      </c>
      <c r="AA902">
        <f>WarehouseData[[#This Row],[stock_level]]/WarehouseData[[#This Row],[daily_demand]]</f>
        <v>18.384401114206128</v>
      </c>
      <c r="AB902">
        <f>WarehouseData[[#This Row],[stock_level]]*WarehouseData[[#This Row],[unit_price]]</f>
        <v>7553.7</v>
      </c>
      <c r="AC902">
        <f>WarehouseData[[#This Row],[stock_level]]*WarehouseData[[#This Row],[holding_cost_per_unit_day]]*30</f>
        <v>5643</v>
      </c>
      <c r="AD902" t="str">
        <f>IF(WarehouseData[[#This Row],[order_fulfillment_rate]]&gt;=0.9,"Strong",IF(WarehouseData[[#This Row],[order_fulfillment_rate]]&gt;=0.8,"Moderate","Needs Attention"))</f>
        <v>Strong</v>
      </c>
      <c r="AE902" t="str">
        <f>IF(WarehouseData[[#This Row],[picking_time_seconds]]&gt;120,"Slow",IF(WarehouseData[[#This Row],[picking_time_seconds]]&gt;=60,"Average","Fast"))</f>
        <v>Slow</v>
      </c>
    </row>
    <row r="903" spans="1:31" x14ac:dyDescent="0.25">
      <c r="A903" t="s">
        <v>1041</v>
      </c>
      <c r="B903" t="s">
        <v>73</v>
      </c>
      <c r="C903">
        <v>229</v>
      </c>
      <c r="D903">
        <v>90</v>
      </c>
      <c r="E903">
        <v>11</v>
      </c>
      <c r="F903">
        <v>5</v>
      </c>
      <c r="G903">
        <v>32.06</v>
      </c>
      <c r="H903">
        <v>9.2899999999999991</v>
      </c>
      <c r="I903">
        <v>0.88</v>
      </c>
      <c r="J903" t="s">
        <v>133</v>
      </c>
      <c r="K903" t="s">
        <v>52</v>
      </c>
      <c r="L903">
        <v>145</v>
      </c>
      <c r="M903">
        <v>0.93</v>
      </c>
      <c r="N903">
        <v>45.58</v>
      </c>
      <c r="O903">
        <v>1.51</v>
      </c>
      <c r="P903">
        <v>0</v>
      </c>
      <c r="Q903">
        <v>0.78</v>
      </c>
      <c r="R903">
        <v>850</v>
      </c>
      <c r="S903">
        <v>8.59</v>
      </c>
      <c r="T903">
        <v>0.99</v>
      </c>
      <c r="U903" s="1">
        <v>45566</v>
      </c>
      <c r="V903">
        <v>257.60000000000002</v>
      </c>
      <c r="W903">
        <v>0.71799999999999997</v>
      </c>
      <c r="X903" t="str">
        <f>IF(WarehouseData[[#This Row],[stock_level]]&lt;=WarehouseData[[#This Row],[reorder_point]],"Low Stock","Sufficient Stock")</f>
        <v>Sufficient Stock</v>
      </c>
      <c r="Y903">
        <f>WarehouseData[[#This Row],[daily_demand]]*WarehouseData[[#This Row],[lead_time_days]]</f>
        <v>160.30000000000001</v>
      </c>
      <c r="Z903" t="str">
        <f>IF(WarehouseData[[#This Row],[stock_level]]&lt;=WarehouseData[[#This Row],[Demand During Lead Time]],"At Risk","Safe")</f>
        <v>Safe</v>
      </c>
      <c r="AA903">
        <f>WarehouseData[[#This Row],[stock_level]]/WarehouseData[[#This Row],[daily_demand]]</f>
        <v>7.1428571428571423</v>
      </c>
      <c r="AB903">
        <f>WarehouseData[[#This Row],[stock_level]]*WarehouseData[[#This Row],[unit_price]]</f>
        <v>10437.82</v>
      </c>
      <c r="AC903">
        <f>WarehouseData[[#This Row],[stock_level]]*WarehouseData[[#This Row],[holding_cost_per_unit_day]]*30</f>
        <v>10373.700000000001</v>
      </c>
      <c r="AD903" t="str">
        <f>IF(WarehouseData[[#This Row],[order_fulfillment_rate]]&gt;=0.9,"Strong",IF(WarehouseData[[#This Row],[order_fulfillment_rate]]&gt;=0.8,"Moderate","Needs Attention"))</f>
        <v>Needs Attention</v>
      </c>
      <c r="AE903" t="str">
        <f>IF(WarehouseData[[#This Row],[picking_time_seconds]]&gt;120,"Slow",IF(WarehouseData[[#This Row],[picking_time_seconds]]&gt;=60,"Average","Fast"))</f>
        <v>Slow</v>
      </c>
    </row>
    <row r="904" spans="1:31" x14ac:dyDescent="0.25">
      <c r="A904" t="s">
        <v>1042</v>
      </c>
      <c r="B904" t="s">
        <v>36</v>
      </c>
      <c r="C904">
        <v>483</v>
      </c>
      <c r="D904">
        <v>83</v>
      </c>
      <c r="E904">
        <v>4</v>
      </c>
      <c r="F904">
        <v>2</v>
      </c>
      <c r="G904">
        <v>28.88</v>
      </c>
      <c r="H904">
        <v>9.24</v>
      </c>
      <c r="I904">
        <v>0.33</v>
      </c>
      <c r="J904" t="s">
        <v>66</v>
      </c>
      <c r="K904" t="s">
        <v>52</v>
      </c>
      <c r="L904">
        <v>79</v>
      </c>
      <c r="M904">
        <v>3.8</v>
      </c>
      <c r="N904">
        <v>95.03</v>
      </c>
      <c r="O904">
        <v>0.14000000000000001</v>
      </c>
      <c r="P904">
        <v>0</v>
      </c>
      <c r="Q904">
        <v>0.92</v>
      </c>
      <c r="R904">
        <v>771</v>
      </c>
      <c r="S904">
        <v>9.4600000000000009</v>
      </c>
      <c r="T904">
        <v>0.26</v>
      </c>
      <c r="U904" s="1">
        <v>45459</v>
      </c>
      <c r="V904">
        <v>277.52999999999997</v>
      </c>
      <c r="W904">
        <v>0.748</v>
      </c>
      <c r="X904" t="str">
        <f>IF(WarehouseData[[#This Row],[stock_level]]&lt;=WarehouseData[[#This Row],[reorder_point]],"Low Stock","Sufficient Stock")</f>
        <v>Sufficient Stock</v>
      </c>
      <c r="Y904">
        <f>WarehouseData[[#This Row],[daily_demand]]*WarehouseData[[#This Row],[lead_time_days]]</f>
        <v>57.76</v>
      </c>
      <c r="Z904" t="str">
        <f>IF(WarehouseData[[#This Row],[stock_level]]&lt;=WarehouseData[[#This Row],[Demand During Lead Time]],"At Risk","Safe")</f>
        <v>Safe</v>
      </c>
      <c r="AA904">
        <f>WarehouseData[[#This Row],[stock_level]]/WarehouseData[[#This Row],[daily_demand]]</f>
        <v>16.724376731301941</v>
      </c>
      <c r="AB904">
        <f>WarehouseData[[#This Row],[stock_level]]*WarehouseData[[#This Row],[unit_price]]</f>
        <v>45899.49</v>
      </c>
      <c r="AC904">
        <f>WarehouseData[[#This Row],[stock_level]]*WarehouseData[[#This Row],[holding_cost_per_unit_day]]*30</f>
        <v>2028.6000000000001</v>
      </c>
      <c r="AD904" t="str">
        <f>IF(WarehouseData[[#This Row],[order_fulfillment_rate]]&gt;=0.9,"Strong",IF(WarehouseData[[#This Row],[order_fulfillment_rate]]&gt;=0.8,"Moderate","Needs Attention"))</f>
        <v>Strong</v>
      </c>
      <c r="AE904" t="str">
        <f>IF(WarehouseData[[#This Row],[picking_time_seconds]]&gt;120,"Slow",IF(WarehouseData[[#This Row],[picking_time_seconds]]&gt;=60,"Average","Fast"))</f>
        <v>Average</v>
      </c>
    </row>
    <row r="905" spans="1:31" x14ac:dyDescent="0.25">
      <c r="A905" t="s">
        <v>1043</v>
      </c>
      <c r="B905" t="s">
        <v>32</v>
      </c>
      <c r="C905">
        <v>347</v>
      </c>
      <c r="D905">
        <v>72</v>
      </c>
      <c r="E905">
        <v>13</v>
      </c>
      <c r="F905">
        <v>2</v>
      </c>
      <c r="G905">
        <v>19.75</v>
      </c>
      <c r="H905">
        <v>3.24</v>
      </c>
      <c r="I905">
        <v>0.87</v>
      </c>
      <c r="J905" t="s">
        <v>185</v>
      </c>
      <c r="K905" t="s">
        <v>46</v>
      </c>
      <c r="L905">
        <v>154</v>
      </c>
      <c r="M905">
        <v>3.84</v>
      </c>
      <c r="N905">
        <v>109.21</v>
      </c>
      <c r="O905">
        <v>0.16</v>
      </c>
      <c r="P905">
        <v>0</v>
      </c>
      <c r="Q905">
        <v>0.87</v>
      </c>
      <c r="R905">
        <v>582</v>
      </c>
      <c r="S905">
        <v>12.71</v>
      </c>
      <c r="T905">
        <v>0.41</v>
      </c>
      <c r="U905" s="1">
        <v>45492</v>
      </c>
      <c r="V905">
        <v>177.43</v>
      </c>
      <c r="W905">
        <v>0.80900000000000005</v>
      </c>
      <c r="X905" t="str">
        <f>IF(WarehouseData[[#This Row],[stock_level]]&lt;=WarehouseData[[#This Row],[reorder_point]],"Low Stock","Sufficient Stock")</f>
        <v>Sufficient Stock</v>
      </c>
      <c r="Y905">
        <f>WarehouseData[[#This Row],[daily_demand]]*WarehouseData[[#This Row],[lead_time_days]]</f>
        <v>39.5</v>
      </c>
      <c r="Z905" t="str">
        <f>IF(WarehouseData[[#This Row],[stock_level]]&lt;=WarehouseData[[#This Row],[Demand During Lead Time]],"At Risk","Safe")</f>
        <v>Safe</v>
      </c>
      <c r="AA905">
        <f>WarehouseData[[#This Row],[stock_level]]/WarehouseData[[#This Row],[daily_demand]]</f>
        <v>17.569620253164558</v>
      </c>
      <c r="AB905">
        <f>WarehouseData[[#This Row],[stock_level]]*WarehouseData[[#This Row],[unit_price]]</f>
        <v>37895.869999999995</v>
      </c>
      <c r="AC905">
        <f>WarehouseData[[#This Row],[stock_level]]*WarehouseData[[#This Row],[holding_cost_per_unit_day]]*30</f>
        <v>1665.6000000000001</v>
      </c>
      <c r="AD905" t="str">
        <f>IF(WarehouseData[[#This Row],[order_fulfillment_rate]]&gt;=0.9,"Strong",IF(WarehouseData[[#This Row],[order_fulfillment_rate]]&gt;=0.8,"Moderate","Needs Attention"))</f>
        <v>Moderate</v>
      </c>
      <c r="AE905" t="str">
        <f>IF(WarehouseData[[#This Row],[picking_time_seconds]]&gt;120,"Slow",IF(WarehouseData[[#This Row],[picking_time_seconds]]&gt;=60,"Average","Fast"))</f>
        <v>Slow</v>
      </c>
    </row>
    <row r="906" spans="1:31" x14ac:dyDescent="0.25">
      <c r="A906" t="s">
        <v>1044</v>
      </c>
      <c r="B906" t="s">
        <v>32</v>
      </c>
      <c r="C906">
        <v>143</v>
      </c>
      <c r="D906">
        <v>51</v>
      </c>
      <c r="E906">
        <v>4</v>
      </c>
      <c r="F906">
        <v>5</v>
      </c>
      <c r="G906">
        <v>16.97</v>
      </c>
      <c r="H906">
        <v>7.49</v>
      </c>
      <c r="I906">
        <v>0.55000000000000004</v>
      </c>
      <c r="J906" t="s">
        <v>212</v>
      </c>
      <c r="K906" t="s">
        <v>52</v>
      </c>
      <c r="L906">
        <v>19</v>
      </c>
      <c r="M906">
        <v>3.12</v>
      </c>
      <c r="N906">
        <v>183.62</v>
      </c>
      <c r="O906">
        <v>1.39</v>
      </c>
      <c r="P906">
        <v>8</v>
      </c>
      <c r="Q906">
        <v>0.83</v>
      </c>
      <c r="R906">
        <v>400</v>
      </c>
      <c r="S906">
        <v>2.14</v>
      </c>
      <c r="T906">
        <v>0.63</v>
      </c>
      <c r="U906" s="1">
        <v>45592</v>
      </c>
      <c r="V906">
        <v>291.85000000000002</v>
      </c>
      <c r="W906">
        <v>0.42199999999999999</v>
      </c>
      <c r="X906" t="str">
        <f>IF(WarehouseData[[#This Row],[stock_level]]&lt;=WarehouseData[[#This Row],[reorder_point]],"Low Stock","Sufficient Stock")</f>
        <v>Sufficient Stock</v>
      </c>
      <c r="Y906">
        <f>WarehouseData[[#This Row],[daily_demand]]*WarehouseData[[#This Row],[lead_time_days]]</f>
        <v>84.85</v>
      </c>
      <c r="Z906" t="str">
        <f>IF(WarehouseData[[#This Row],[stock_level]]&lt;=WarehouseData[[#This Row],[Demand During Lead Time]],"At Risk","Safe")</f>
        <v>Safe</v>
      </c>
      <c r="AA906">
        <f>WarehouseData[[#This Row],[stock_level]]/WarehouseData[[#This Row],[daily_demand]]</f>
        <v>8.4266352386564538</v>
      </c>
      <c r="AB906">
        <f>WarehouseData[[#This Row],[stock_level]]*WarehouseData[[#This Row],[unit_price]]</f>
        <v>26257.66</v>
      </c>
      <c r="AC906">
        <f>WarehouseData[[#This Row],[stock_level]]*WarehouseData[[#This Row],[holding_cost_per_unit_day]]*30</f>
        <v>5963.0999999999995</v>
      </c>
      <c r="AD906" t="str">
        <f>IF(WarehouseData[[#This Row],[order_fulfillment_rate]]&gt;=0.9,"Strong",IF(WarehouseData[[#This Row],[order_fulfillment_rate]]&gt;=0.8,"Moderate","Needs Attention"))</f>
        <v>Moderate</v>
      </c>
      <c r="AE906" t="str">
        <f>IF(WarehouseData[[#This Row],[picking_time_seconds]]&gt;120,"Slow",IF(WarehouseData[[#This Row],[picking_time_seconds]]&gt;=60,"Average","Fast"))</f>
        <v>Fast</v>
      </c>
    </row>
    <row r="907" spans="1:31" x14ac:dyDescent="0.25">
      <c r="A907" t="s">
        <v>1045</v>
      </c>
      <c r="B907" t="s">
        <v>48</v>
      </c>
      <c r="C907">
        <v>132</v>
      </c>
      <c r="D907">
        <v>60</v>
      </c>
      <c r="E907">
        <v>9</v>
      </c>
      <c r="F907">
        <v>6</v>
      </c>
      <c r="G907">
        <v>12.64</v>
      </c>
      <c r="H907">
        <v>7.87</v>
      </c>
      <c r="I907">
        <v>0.64</v>
      </c>
      <c r="J907" t="s">
        <v>49</v>
      </c>
      <c r="K907" t="s">
        <v>52</v>
      </c>
      <c r="L907">
        <v>150</v>
      </c>
      <c r="M907">
        <v>2.69</v>
      </c>
      <c r="N907">
        <v>82.39</v>
      </c>
      <c r="O907">
        <v>1.48</v>
      </c>
      <c r="P907">
        <v>4</v>
      </c>
      <c r="Q907">
        <v>0.99</v>
      </c>
      <c r="R907">
        <v>368</v>
      </c>
      <c r="S907">
        <v>7.76</v>
      </c>
      <c r="T907">
        <v>0.83</v>
      </c>
      <c r="U907" s="1">
        <v>45616</v>
      </c>
      <c r="V907">
        <v>287.07</v>
      </c>
      <c r="W907">
        <v>0.63900000000000001</v>
      </c>
      <c r="X907" t="str">
        <f>IF(WarehouseData[[#This Row],[stock_level]]&lt;=WarehouseData[[#This Row],[reorder_point]],"Low Stock","Sufficient Stock")</f>
        <v>Sufficient Stock</v>
      </c>
      <c r="Y907">
        <f>WarehouseData[[#This Row],[daily_demand]]*WarehouseData[[#This Row],[lead_time_days]]</f>
        <v>75.84</v>
      </c>
      <c r="Z907" t="str">
        <f>IF(WarehouseData[[#This Row],[stock_level]]&lt;=WarehouseData[[#This Row],[Demand During Lead Time]],"At Risk","Safe")</f>
        <v>Safe</v>
      </c>
      <c r="AA907">
        <f>WarehouseData[[#This Row],[stock_level]]/WarehouseData[[#This Row],[daily_demand]]</f>
        <v>10.443037974683543</v>
      </c>
      <c r="AB907">
        <f>WarehouseData[[#This Row],[stock_level]]*WarehouseData[[#This Row],[unit_price]]</f>
        <v>10875.48</v>
      </c>
      <c r="AC907">
        <f>WarehouseData[[#This Row],[stock_level]]*WarehouseData[[#This Row],[holding_cost_per_unit_day]]*30</f>
        <v>5860.7999999999993</v>
      </c>
      <c r="AD907" t="str">
        <f>IF(WarehouseData[[#This Row],[order_fulfillment_rate]]&gt;=0.9,"Strong",IF(WarehouseData[[#This Row],[order_fulfillment_rate]]&gt;=0.8,"Moderate","Needs Attention"))</f>
        <v>Strong</v>
      </c>
      <c r="AE907" t="str">
        <f>IF(WarehouseData[[#This Row],[picking_time_seconds]]&gt;120,"Slow",IF(WarehouseData[[#This Row],[picking_time_seconds]]&gt;=60,"Average","Fast"))</f>
        <v>Slow</v>
      </c>
    </row>
    <row r="908" spans="1:31" x14ac:dyDescent="0.25">
      <c r="A908" t="s">
        <v>1046</v>
      </c>
      <c r="B908" t="s">
        <v>36</v>
      </c>
      <c r="C908">
        <v>31</v>
      </c>
      <c r="D908">
        <v>73</v>
      </c>
      <c r="E908">
        <v>4</v>
      </c>
      <c r="F908">
        <v>5</v>
      </c>
      <c r="G908">
        <v>27.24</v>
      </c>
      <c r="H908">
        <v>8.18</v>
      </c>
      <c r="I908">
        <v>0.86</v>
      </c>
      <c r="J908" t="s">
        <v>64</v>
      </c>
      <c r="K908" t="s">
        <v>34</v>
      </c>
      <c r="L908">
        <v>115</v>
      </c>
      <c r="M908">
        <v>1.94</v>
      </c>
      <c r="N908">
        <v>51.32</v>
      </c>
      <c r="O908">
        <v>1.71</v>
      </c>
      <c r="P908">
        <v>3</v>
      </c>
      <c r="Q908">
        <v>0.85</v>
      </c>
      <c r="R908">
        <v>280</v>
      </c>
      <c r="S908">
        <v>13.52</v>
      </c>
      <c r="T908">
        <v>0.22</v>
      </c>
      <c r="U908" s="1">
        <v>45624</v>
      </c>
      <c r="V908">
        <v>41.87</v>
      </c>
      <c r="W908">
        <v>0.56299999999999994</v>
      </c>
      <c r="X908" t="str">
        <f>IF(WarehouseData[[#This Row],[stock_level]]&lt;=WarehouseData[[#This Row],[reorder_point]],"Low Stock","Sufficient Stock")</f>
        <v>Low Stock</v>
      </c>
      <c r="Y908">
        <f>WarehouseData[[#This Row],[daily_demand]]*WarehouseData[[#This Row],[lead_time_days]]</f>
        <v>136.19999999999999</v>
      </c>
      <c r="Z908" t="str">
        <f>IF(WarehouseData[[#This Row],[stock_level]]&lt;=WarehouseData[[#This Row],[Demand During Lead Time]],"At Risk","Safe")</f>
        <v>At Risk</v>
      </c>
      <c r="AA908">
        <f>WarehouseData[[#This Row],[stock_level]]/WarehouseData[[#This Row],[daily_demand]]</f>
        <v>1.1380323054331865</v>
      </c>
      <c r="AB908">
        <f>WarehouseData[[#This Row],[stock_level]]*WarehouseData[[#This Row],[unit_price]]</f>
        <v>1590.92</v>
      </c>
      <c r="AC908">
        <f>WarehouseData[[#This Row],[stock_level]]*WarehouseData[[#This Row],[holding_cost_per_unit_day]]*30</f>
        <v>1590.3</v>
      </c>
      <c r="AD908" t="str">
        <f>IF(WarehouseData[[#This Row],[order_fulfillment_rate]]&gt;=0.9,"Strong",IF(WarehouseData[[#This Row],[order_fulfillment_rate]]&gt;=0.8,"Moderate","Needs Attention"))</f>
        <v>Moderate</v>
      </c>
      <c r="AE908" t="str">
        <f>IF(WarehouseData[[#This Row],[picking_time_seconds]]&gt;120,"Slow",IF(WarehouseData[[#This Row],[picking_time_seconds]]&gt;=60,"Average","Fast"))</f>
        <v>Average</v>
      </c>
    </row>
    <row r="909" spans="1:31" x14ac:dyDescent="0.25">
      <c r="A909" t="s">
        <v>1047</v>
      </c>
      <c r="B909" t="s">
        <v>40</v>
      </c>
      <c r="C909">
        <v>145</v>
      </c>
      <c r="D909">
        <v>85</v>
      </c>
      <c r="E909">
        <v>12</v>
      </c>
      <c r="F909">
        <v>8</v>
      </c>
      <c r="G909">
        <v>46.03</v>
      </c>
      <c r="H909">
        <v>5.92</v>
      </c>
      <c r="I909">
        <v>0.13</v>
      </c>
      <c r="J909" t="s">
        <v>45</v>
      </c>
      <c r="K909" t="s">
        <v>38</v>
      </c>
      <c r="L909">
        <v>21</v>
      </c>
      <c r="M909">
        <v>2.08</v>
      </c>
      <c r="N909">
        <v>151.33000000000001</v>
      </c>
      <c r="O909">
        <v>0.86</v>
      </c>
      <c r="P909">
        <v>9</v>
      </c>
      <c r="Q909">
        <v>0.9</v>
      </c>
      <c r="R909">
        <v>347</v>
      </c>
      <c r="S909">
        <v>5.62</v>
      </c>
      <c r="T909">
        <v>0.79</v>
      </c>
      <c r="U909" s="1">
        <v>45640</v>
      </c>
      <c r="V909">
        <v>161.6</v>
      </c>
      <c r="W909">
        <v>0.54700000000000004</v>
      </c>
      <c r="X909" t="str">
        <f>IF(WarehouseData[[#This Row],[stock_level]]&lt;=WarehouseData[[#This Row],[reorder_point]],"Low Stock","Sufficient Stock")</f>
        <v>Sufficient Stock</v>
      </c>
      <c r="Y909">
        <f>WarehouseData[[#This Row],[daily_demand]]*WarehouseData[[#This Row],[lead_time_days]]</f>
        <v>368.24</v>
      </c>
      <c r="Z909" t="str">
        <f>IF(WarehouseData[[#This Row],[stock_level]]&lt;=WarehouseData[[#This Row],[Demand During Lead Time]],"At Risk","Safe")</f>
        <v>At Risk</v>
      </c>
      <c r="AA909">
        <f>WarehouseData[[#This Row],[stock_level]]/WarehouseData[[#This Row],[daily_demand]]</f>
        <v>3.1501194872908971</v>
      </c>
      <c r="AB909">
        <f>WarehouseData[[#This Row],[stock_level]]*WarehouseData[[#This Row],[unit_price]]</f>
        <v>21942.850000000002</v>
      </c>
      <c r="AC909">
        <f>WarehouseData[[#This Row],[stock_level]]*WarehouseData[[#This Row],[holding_cost_per_unit_day]]*30</f>
        <v>3741</v>
      </c>
      <c r="AD909" t="str">
        <f>IF(WarehouseData[[#This Row],[order_fulfillment_rate]]&gt;=0.9,"Strong",IF(WarehouseData[[#This Row],[order_fulfillment_rate]]&gt;=0.8,"Moderate","Needs Attention"))</f>
        <v>Strong</v>
      </c>
      <c r="AE909" t="str">
        <f>IF(WarehouseData[[#This Row],[picking_time_seconds]]&gt;120,"Slow",IF(WarehouseData[[#This Row],[picking_time_seconds]]&gt;=60,"Average","Fast"))</f>
        <v>Fast</v>
      </c>
    </row>
    <row r="910" spans="1:31" x14ac:dyDescent="0.25">
      <c r="A910" t="s">
        <v>1048</v>
      </c>
      <c r="B910" t="s">
        <v>73</v>
      </c>
      <c r="C910">
        <v>72</v>
      </c>
      <c r="D910">
        <v>65</v>
      </c>
      <c r="E910">
        <v>10</v>
      </c>
      <c r="F910">
        <v>7</v>
      </c>
      <c r="G910">
        <v>34.6</v>
      </c>
      <c r="H910">
        <v>0.6</v>
      </c>
      <c r="I910">
        <v>0.43</v>
      </c>
      <c r="J910" t="s">
        <v>98</v>
      </c>
      <c r="K910" t="s">
        <v>52</v>
      </c>
      <c r="L910">
        <v>137</v>
      </c>
      <c r="M910">
        <v>3.53</v>
      </c>
      <c r="N910">
        <v>35.58</v>
      </c>
      <c r="O910">
        <v>0.84</v>
      </c>
      <c r="P910">
        <v>4</v>
      </c>
      <c r="Q910">
        <v>0.7</v>
      </c>
      <c r="R910">
        <v>494</v>
      </c>
      <c r="S910">
        <v>7.22</v>
      </c>
      <c r="T910">
        <v>0.31</v>
      </c>
      <c r="U910" s="1">
        <v>45621</v>
      </c>
      <c r="V910">
        <v>43.2</v>
      </c>
      <c r="W910">
        <v>0.53400000000000003</v>
      </c>
      <c r="X910" t="str">
        <f>IF(WarehouseData[[#This Row],[stock_level]]&lt;=WarehouseData[[#This Row],[reorder_point]],"Low Stock","Sufficient Stock")</f>
        <v>Sufficient Stock</v>
      </c>
      <c r="Y910">
        <f>WarehouseData[[#This Row],[daily_demand]]*WarehouseData[[#This Row],[lead_time_days]]</f>
        <v>242.20000000000002</v>
      </c>
      <c r="Z910" t="str">
        <f>IF(WarehouseData[[#This Row],[stock_level]]&lt;=WarehouseData[[#This Row],[Demand During Lead Time]],"At Risk","Safe")</f>
        <v>At Risk</v>
      </c>
      <c r="AA910">
        <f>WarehouseData[[#This Row],[stock_level]]/WarehouseData[[#This Row],[daily_demand]]</f>
        <v>2.0809248554913293</v>
      </c>
      <c r="AB910">
        <f>WarehouseData[[#This Row],[stock_level]]*WarehouseData[[#This Row],[unit_price]]</f>
        <v>2561.7599999999998</v>
      </c>
      <c r="AC910">
        <f>WarehouseData[[#This Row],[stock_level]]*WarehouseData[[#This Row],[holding_cost_per_unit_day]]*30</f>
        <v>1814.3999999999999</v>
      </c>
      <c r="AD910" t="str">
        <f>IF(WarehouseData[[#This Row],[order_fulfillment_rate]]&gt;=0.9,"Strong",IF(WarehouseData[[#This Row],[order_fulfillment_rate]]&gt;=0.8,"Moderate","Needs Attention"))</f>
        <v>Needs Attention</v>
      </c>
      <c r="AE910" t="str">
        <f>IF(WarehouseData[[#This Row],[picking_time_seconds]]&gt;120,"Slow",IF(WarehouseData[[#This Row],[picking_time_seconds]]&gt;=60,"Average","Fast"))</f>
        <v>Slow</v>
      </c>
    </row>
    <row r="911" spans="1:31" x14ac:dyDescent="0.25">
      <c r="A911" t="s">
        <v>1049</v>
      </c>
      <c r="B911" t="s">
        <v>48</v>
      </c>
      <c r="C911">
        <v>350</v>
      </c>
      <c r="D911">
        <v>89</v>
      </c>
      <c r="E911">
        <v>8</v>
      </c>
      <c r="F911">
        <v>5</v>
      </c>
      <c r="G911">
        <v>37.479999999999997</v>
      </c>
      <c r="H911">
        <v>7.74</v>
      </c>
      <c r="I911">
        <v>0.83</v>
      </c>
      <c r="J911" t="s">
        <v>49</v>
      </c>
      <c r="K911" t="s">
        <v>38</v>
      </c>
      <c r="L911">
        <v>160</v>
      </c>
      <c r="M911">
        <v>0.79</v>
      </c>
      <c r="N911">
        <v>179.53</v>
      </c>
      <c r="O911">
        <v>1.1499999999999999</v>
      </c>
      <c r="P911">
        <v>8</v>
      </c>
      <c r="Q911">
        <v>0.79</v>
      </c>
      <c r="R911">
        <v>154</v>
      </c>
      <c r="S911">
        <v>2.19</v>
      </c>
      <c r="T911">
        <v>0.86</v>
      </c>
      <c r="U911" s="1">
        <v>45325</v>
      </c>
      <c r="V911">
        <v>208.4</v>
      </c>
      <c r="W911">
        <v>0.48399999999999999</v>
      </c>
      <c r="X911" t="str">
        <f>IF(WarehouseData[[#This Row],[stock_level]]&lt;=WarehouseData[[#This Row],[reorder_point]],"Low Stock","Sufficient Stock")</f>
        <v>Sufficient Stock</v>
      </c>
      <c r="Y911">
        <f>WarehouseData[[#This Row],[daily_demand]]*WarehouseData[[#This Row],[lead_time_days]]</f>
        <v>187.39999999999998</v>
      </c>
      <c r="Z911" t="str">
        <f>IF(WarehouseData[[#This Row],[stock_level]]&lt;=WarehouseData[[#This Row],[Demand During Lead Time]],"At Risk","Safe")</f>
        <v>Safe</v>
      </c>
      <c r="AA911">
        <f>WarehouseData[[#This Row],[stock_level]]/WarehouseData[[#This Row],[daily_demand]]</f>
        <v>9.3383137673425836</v>
      </c>
      <c r="AB911">
        <f>WarehouseData[[#This Row],[stock_level]]*WarehouseData[[#This Row],[unit_price]]</f>
        <v>62835.5</v>
      </c>
      <c r="AC911">
        <f>WarehouseData[[#This Row],[stock_level]]*WarehouseData[[#This Row],[holding_cost_per_unit_day]]*30</f>
        <v>12074.999999999998</v>
      </c>
      <c r="AD911" t="str">
        <f>IF(WarehouseData[[#This Row],[order_fulfillment_rate]]&gt;=0.9,"Strong",IF(WarehouseData[[#This Row],[order_fulfillment_rate]]&gt;=0.8,"Moderate","Needs Attention"))</f>
        <v>Needs Attention</v>
      </c>
      <c r="AE911" t="str">
        <f>IF(WarehouseData[[#This Row],[picking_time_seconds]]&gt;120,"Slow",IF(WarehouseData[[#This Row],[picking_time_seconds]]&gt;=60,"Average","Fast"))</f>
        <v>Slow</v>
      </c>
    </row>
    <row r="912" spans="1:31" x14ac:dyDescent="0.25">
      <c r="A912" t="s">
        <v>1050</v>
      </c>
      <c r="B912" t="s">
        <v>32</v>
      </c>
      <c r="C912">
        <v>408</v>
      </c>
      <c r="D912">
        <v>50</v>
      </c>
      <c r="E912">
        <v>9</v>
      </c>
      <c r="F912">
        <v>3</v>
      </c>
      <c r="G912">
        <v>41.88</v>
      </c>
      <c r="H912">
        <v>1.51</v>
      </c>
      <c r="I912">
        <v>0.83</v>
      </c>
      <c r="J912" t="s">
        <v>263</v>
      </c>
      <c r="K912" t="s">
        <v>34</v>
      </c>
      <c r="L912">
        <v>137</v>
      </c>
      <c r="M912">
        <v>3.13</v>
      </c>
      <c r="N912">
        <v>87.79</v>
      </c>
      <c r="O912">
        <v>1.54</v>
      </c>
      <c r="P912">
        <v>2</v>
      </c>
      <c r="Q912">
        <v>0.97</v>
      </c>
      <c r="R912">
        <v>687</v>
      </c>
      <c r="S912">
        <v>11.51</v>
      </c>
      <c r="T912">
        <v>0.75</v>
      </c>
      <c r="U912" s="1">
        <v>45450</v>
      </c>
      <c r="V912">
        <v>231.93</v>
      </c>
      <c r="W912">
        <v>0.70299999999999996</v>
      </c>
      <c r="X912" t="str">
        <f>IF(WarehouseData[[#This Row],[stock_level]]&lt;=WarehouseData[[#This Row],[reorder_point]],"Low Stock","Sufficient Stock")</f>
        <v>Sufficient Stock</v>
      </c>
      <c r="Y912">
        <f>WarehouseData[[#This Row],[daily_demand]]*WarehouseData[[#This Row],[lead_time_days]]</f>
        <v>125.64000000000001</v>
      </c>
      <c r="Z912" t="str">
        <f>IF(WarehouseData[[#This Row],[stock_level]]&lt;=WarehouseData[[#This Row],[Demand During Lead Time]],"At Risk","Safe")</f>
        <v>Safe</v>
      </c>
      <c r="AA912">
        <f>WarehouseData[[#This Row],[stock_level]]/WarehouseData[[#This Row],[daily_demand]]</f>
        <v>9.7421203438395416</v>
      </c>
      <c r="AB912">
        <f>WarehouseData[[#This Row],[stock_level]]*WarehouseData[[#This Row],[unit_price]]</f>
        <v>35818.32</v>
      </c>
      <c r="AC912">
        <f>WarehouseData[[#This Row],[stock_level]]*WarehouseData[[#This Row],[holding_cost_per_unit_day]]*30</f>
        <v>18849.600000000002</v>
      </c>
      <c r="AD912" t="str">
        <f>IF(WarehouseData[[#This Row],[order_fulfillment_rate]]&gt;=0.9,"Strong",IF(WarehouseData[[#This Row],[order_fulfillment_rate]]&gt;=0.8,"Moderate","Needs Attention"))</f>
        <v>Strong</v>
      </c>
      <c r="AE912" t="str">
        <f>IF(WarehouseData[[#This Row],[picking_time_seconds]]&gt;120,"Slow",IF(WarehouseData[[#This Row],[picking_time_seconds]]&gt;=60,"Average","Fast"))</f>
        <v>Slow</v>
      </c>
    </row>
    <row r="913" spans="1:31" x14ac:dyDescent="0.25">
      <c r="A913" t="s">
        <v>1051</v>
      </c>
      <c r="B913" t="s">
        <v>40</v>
      </c>
      <c r="C913">
        <v>302</v>
      </c>
      <c r="D913">
        <v>41</v>
      </c>
      <c r="E913">
        <v>9</v>
      </c>
      <c r="F913">
        <v>7</v>
      </c>
      <c r="G913">
        <v>18.23</v>
      </c>
      <c r="H913">
        <v>1.61</v>
      </c>
      <c r="I913">
        <v>0.86</v>
      </c>
      <c r="J913" t="s">
        <v>202</v>
      </c>
      <c r="K913" t="s">
        <v>34</v>
      </c>
      <c r="L913">
        <v>70</v>
      </c>
      <c r="M913">
        <v>1.75</v>
      </c>
      <c r="N913">
        <v>126.63</v>
      </c>
      <c r="O913">
        <v>1.32</v>
      </c>
      <c r="P913">
        <v>2</v>
      </c>
      <c r="Q913">
        <v>0.93</v>
      </c>
      <c r="R913">
        <v>932</v>
      </c>
      <c r="S913">
        <v>2.19</v>
      </c>
      <c r="T913">
        <v>0.56999999999999995</v>
      </c>
      <c r="U913" s="1">
        <v>45649</v>
      </c>
      <c r="V913">
        <v>266.56</v>
      </c>
      <c r="W913">
        <v>0.55700000000000005</v>
      </c>
      <c r="X913" t="str">
        <f>IF(WarehouseData[[#This Row],[stock_level]]&lt;=WarehouseData[[#This Row],[reorder_point]],"Low Stock","Sufficient Stock")</f>
        <v>Sufficient Stock</v>
      </c>
      <c r="Y913">
        <f>WarehouseData[[#This Row],[daily_demand]]*WarehouseData[[#This Row],[lead_time_days]]</f>
        <v>127.61</v>
      </c>
      <c r="Z913" t="str">
        <f>IF(WarehouseData[[#This Row],[stock_level]]&lt;=WarehouseData[[#This Row],[Demand During Lead Time]],"At Risk","Safe")</f>
        <v>Safe</v>
      </c>
      <c r="AA913">
        <f>WarehouseData[[#This Row],[stock_level]]/WarehouseData[[#This Row],[daily_demand]]</f>
        <v>16.566099835436095</v>
      </c>
      <c r="AB913">
        <f>WarehouseData[[#This Row],[stock_level]]*WarehouseData[[#This Row],[unit_price]]</f>
        <v>38242.26</v>
      </c>
      <c r="AC913">
        <f>WarehouseData[[#This Row],[stock_level]]*WarehouseData[[#This Row],[holding_cost_per_unit_day]]*30</f>
        <v>11959.2</v>
      </c>
      <c r="AD913" t="str">
        <f>IF(WarehouseData[[#This Row],[order_fulfillment_rate]]&gt;=0.9,"Strong",IF(WarehouseData[[#This Row],[order_fulfillment_rate]]&gt;=0.8,"Moderate","Needs Attention"))</f>
        <v>Strong</v>
      </c>
      <c r="AE913" t="str">
        <f>IF(WarehouseData[[#This Row],[picking_time_seconds]]&gt;120,"Slow",IF(WarehouseData[[#This Row],[picking_time_seconds]]&gt;=60,"Average","Fast"))</f>
        <v>Average</v>
      </c>
    </row>
    <row r="914" spans="1:31" x14ac:dyDescent="0.25">
      <c r="A914" t="s">
        <v>1052</v>
      </c>
      <c r="B914" t="s">
        <v>40</v>
      </c>
      <c r="C914">
        <v>159</v>
      </c>
      <c r="D914">
        <v>24</v>
      </c>
      <c r="E914">
        <v>8</v>
      </c>
      <c r="F914">
        <v>5</v>
      </c>
      <c r="G914">
        <v>4.08</v>
      </c>
      <c r="H914">
        <v>6.25</v>
      </c>
      <c r="I914">
        <v>0.25</v>
      </c>
      <c r="J914" t="s">
        <v>228</v>
      </c>
      <c r="K914" t="s">
        <v>52</v>
      </c>
      <c r="L914">
        <v>35</v>
      </c>
      <c r="M914">
        <v>2.6</v>
      </c>
      <c r="N914">
        <v>45.38</v>
      </c>
      <c r="O914">
        <v>0.72</v>
      </c>
      <c r="P914">
        <v>1</v>
      </c>
      <c r="Q914">
        <v>0.86</v>
      </c>
      <c r="R914">
        <v>348</v>
      </c>
      <c r="S914">
        <v>9.83</v>
      </c>
      <c r="T914">
        <v>0.86</v>
      </c>
      <c r="U914" s="1">
        <v>45515</v>
      </c>
      <c r="V914">
        <v>198.5</v>
      </c>
      <c r="W914">
        <v>0.78300000000000003</v>
      </c>
      <c r="X914" t="str">
        <f>IF(WarehouseData[[#This Row],[stock_level]]&lt;=WarehouseData[[#This Row],[reorder_point]],"Low Stock","Sufficient Stock")</f>
        <v>Sufficient Stock</v>
      </c>
      <c r="Y914">
        <f>WarehouseData[[#This Row],[daily_demand]]*WarehouseData[[#This Row],[lead_time_days]]</f>
        <v>20.399999999999999</v>
      </c>
      <c r="Z914" t="str">
        <f>IF(WarehouseData[[#This Row],[stock_level]]&lt;=WarehouseData[[#This Row],[Demand During Lead Time]],"At Risk","Safe")</f>
        <v>Safe</v>
      </c>
      <c r="AA914">
        <f>WarehouseData[[#This Row],[stock_level]]/WarehouseData[[#This Row],[daily_demand]]</f>
        <v>38.970588235294116</v>
      </c>
      <c r="AB914">
        <f>WarehouseData[[#This Row],[stock_level]]*WarehouseData[[#This Row],[unit_price]]</f>
        <v>7215.42</v>
      </c>
      <c r="AC914">
        <f>WarehouseData[[#This Row],[stock_level]]*WarehouseData[[#This Row],[holding_cost_per_unit_day]]*30</f>
        <v>3434.3999999999996</v>
      </c>
      <c r="AD914" t="str">
        <f>IF(WarehouseData[[#This Row],[order_fulfillment_rate]]&gt;=0.9,"Strong",IF(WarehouseData[[#This Row],[order_fulfillment_rate]]&gt;=0.8,"Moderate","Needs Attention"))</f>
        <v>Moderate</v>
      </c>
      <c r="AE914" t="str">
        <f>IF(WarehouseData[[#This Row],[picking_time_seconds]]&gt;120,"Slow",IF(WarehouseData[[#This Row],[picking_time_seconds]]&gt;=60,"Average","Fast"))</f>
        <v>Fast</v>
      </c>
    </row>
    <row r="915" spans="1:31" x14ac:dyDescent="0.25">
      <c r="A915" t="s">
        <v>1053</v>
      </c>
      <c r="B915" t="s">
        <v>73</v>
      </c>
      <c r="C915">
        <v>420</v>
      </c>
      <c r="D915">
        <v>71</v>
      </c>
      <c r="E915">
        <v>12</v>
      </c>
      <c r="F915">
        <v>2</v>
      </c>
      <c r="G915">
        <v>31.51</v>
      </c>
      <c r="H915">
        <v>9.84</v>
      </c>
      <c r="I915">
        <v>0.74</v>
      </c>
      <c r="J915" t="s">
        <v>565</v>
      </c>
      <c r="K915" t="s">
        <v>52</v>
      </c>
      <c r="L915">
        <v>24</v>
      </c>
      <c r="M915">
        <v>3.02</v>
      </c>
      <c r="N915">
        <v>37.65</v>
      </c>
      <c r="O915">
        <v>0.76</v>
      </c>
      <c r="P915">
        <v>7</v>
      </c>
      <c r="Q915">
        <v>0.97</v>
      </c>
      <c r="R915">
        <v>117</v>
      </c>
      <c r="S915">
        <v>6.24</v>
      </c>
      <c r="T915">
        <v>0.79</v>
      </c>
      <c r="U915" s="1">
        <v>45414</v>
      </c>
      <c r="V915">
        <v>141.66</v>
      </c>
      <c r="W915">
        <v>0.61899999999999999</v>
      </c>
      <c r="X915" t="str">
        <f>IF(WarehouseData[[#This Row],[stock_level]]&lt;=WarehouseData[[#This Row],[reorder_point]],"Low Stock","Sufficient Stock")</f>
        <v>Sufficient Stock</v>
      </c>
      <c r="Y915">
        <f>WarehouseData[[#This Row],[daily_demand]]*WarehouseData[[#This Row],[lead_time_days]]</f>
        <v>63.02</v>
      </c>
      <c r="Z915" t="str">
        <f>IF(WarehouseData[[#This Row],[stock_level]]&lt;=WarehouseData[[#This Row],[Demand During Lead Time]],"At Risk","Safe")</f>
        <v>Safe</v>
      </c>
      <c r="AA915">
        <f>WarehouseData[[#This Row],[stock_level]]/WarehouseData[[#This Row],[daily_demand]]</f>
        <v>13.329101872421452</v>
      </c>
      <c r="AB915">
        <f>WarehouseData[[#This Row],[stock_level]]*WarehouseData[[#This Row],[unit_price]]</f>
        <v>15813</v>
      </c>
      <c r="AC915">
        <f>WarehouseData[[#This Row],[stock_level]]*WarehouseData[[#This Row],[holding_cost_per_unit_day]]*30</f>
        <v>9576</v>
      </c>
      <c r="AD915" t="str">
        <f>IF(WarehouseData[[#This Row],[order_fulfillment_rate]]&gt;=0.9,"Strong",IF(WarehouseData[[#This Row],[order_fulfillment_rate]]&gt;=0.8,"Moderate","Needs Attention"))</f>
        <v>Strong</v>
      </c>
      <c r="AE915" t="str">
        <f>IF(WarehouseData[[#This Row],[picking_time_seconds]]&gt;120,"Slow",IF(WarehouseData[[#This Row],[picking_time_seconds]]&gt;=60,"Average","Fast"))</f>
        <v>Fast</v>
      </c>
    </row>
    <row r="916" spans="1:31" x14ac:dyDescent="0.25">
      <c r="A916" t="s">
        <v>1054</v>
      </c>
      <c r="B916" t="s">
        <v>32</v>
      </c>
      <c r="C916">
        <v>409</v>
      </c>
      <c r="D916">
        <v>36</v>
      </c>
      <c r="E916">
        <v>13</v>
      </c>
      <c r="F916">
        <v>4</v>
      </c>
      <c r="G916">
        <v>10.24</v>
      </c>
      <c r="H916">
        <v>2.8</v>
      </c>
      <c r="I916">
        <v>0.23</v>
      </c>
      <c r="J916" t="s">
        <v>183</v>
      </c>
      <c r="K916" t="s">
        <v>34</v>
      </c>
      <c r="L916">
        <v>31</v>
      </c>
      <c r="M916">
        <v>4.49</v>
      </c>
      <c r="N916">
        <v>161.78</v>
      </c>
      <c r="O916">
        <v>1.55</v>
      </c>
      <c r="P916">
        <v>6</v>
      </c>
      <c r="Q916">
        <v>0.85</v>
      </c>
      <c r="R916">
        <v>587</v>
      </c>
      <c r="S916">
        <v>5.73</v>
      </c>
      <c r="T916">
        <v>0.81</v>
      </c>
      <c r="U916" s="1">
        <v>45321</v>
      </c>
      <c r="V916">
        <v>55.22</v>
      </c>
      <c r="W916">
        <v>0.53300000000000003</v>
      </c>
      <c r="X916" t="str">
        <f>IF(WarehouseData[[#This Row],[stock_level]]&lt;=WarehouseData[[#This Row],[reorder_point]],"Low Stock","Sufficient Stock")</f>
        <v>Sufficient Stock</v>
      </c>
      <c r="Y916">
        <f>WarehouseData[[#This Row],[daily_demand]]*WarehouseData[[#This Row],[lead_time_days]]</f>
        <v>40.96</v>
      </c>
      <c r="Z916" t="str">
        <f>IF(WarehouseData[[#This Row],[stock_level]]&lt;=WarehouseData[[#This Row],[Demand During Lead Time]],"At Risk","Safe")</f>
        <v>Safe</v>
      </c>
      <c r="AA916">
        <f>WarehouseData[[#This Row],[stock_level]]/WarehouseData[[#This Row],[daily_demand]]</f>
        <v>39.94140625</v>
      </c>
      <c r="AB916">
        <f>WarehouseData[[#This Row],[stock_level]]*WarehouseData[[#This Row],[unit_price]]</f>
        <v>66168.02</v>
      </c>
      <c r="AC916">
        <f>WarehouseData[[#This Row],[stock_level]]*WarehouseData[[#This Row],[holding_cost_per_unit_day]]*30</f>
        <v>19018.5</v>
      </c>
      <c r="AD916" t="str">
        <f>IF(WarehouseData[[#This Row],[order_fulfillment_rate]]&gt;=0.9,"Strong",IF(WarehouseData[[#This Row],[order_fulfillment_rate]]&gt;=0.8,"Moderate","Needs Attention"))</f>
        <v>Moderate</v>
      </c>
      <c r="AE916" t="str">
        <f>IF(WarehouseData[[#This Row],[picking_time_seconds]]&gt;120,"Slow",IF(WarehouseData[[#This Row],[picking_time_seconds]]&gt;=60,"Average","Fast"))</f>
        <v>Fast</v>
      </c>
    </row>
    <row r="917" spans="1:31" x14ac:dyDescent="0.25">
      <c r="A917" t="s">
        <v>1055</v>
      </c>
      <c r="B917" t="s">
        <v>36</v>
      </c>
      <c r="C917">
        <v>116</v>
      </c>
      <c r="D917">
        <v>37</v>
      </c>
      <c r="E917">
        <v>11</v>
      </c>
      <c r="F917">
        <v>3</v>
      </c>
      <c r="G917">
        <v>28.88</v>
      </c>
      <c r="H917">
        <v>6.64</v>
      </c>
      <c r="I917">
        <v>0.81</v>
      </c>
      <c r="J917" t="s">
        <v>120</v>
      </c>
      <c r="K917" t="s">
        <v>34</v>
      </c>
      <c r="L917">
        <v>98</v>
      </c>
      <c r="M917">
        <v>3.11</v>
      </c>
      <c r="N917">
        <v>91.64</v>
      </c>
      <c r="O917">
        <v>1.1200000000000001</v>
      </c>
      <c r="P917">
        <v>1</v>
      </c>
      <c r="Q917">
        <v>0.87</v>
      </c>
      <c r="R917">
        <v>722</v>
      </c>
      <c r="S917">
        <v>9.1999999999999993</v>
      </c>
      <c r="T917">
        <v>0.43</v>
      </c>
      <c r="U917" s="1">
        <v>45417</v>
      </c>
      <c r="V917">
        <v>46.28</v>
      </c>
      <c r="W917">
        <v>0.65100000000000002</v>
      </c>
      <c r="X917" t="str">
        <f>IF(WarehouseData[[#This Row],[stock_level]]&lt;=WarehouseData[[#This Row],[reorder_point]],"Low Stock","Sufficient Stock")</f>
        <v>Sufficient Stock</v>
      </c>
      <c r="Y917">
        <f>WarehouseData[[#This Row],[daily_demand]]*WarehouseData[[#This Row],[lead_time_days]]</f>
        <v>86.64</v>
      </c>
      <c r="Z917" t="str">
        <f>IF(WarehouseData[[#This Row],[stock_level]]&lt;=WarehouseData[[#This Row],[Demand During Lead Time]],"At Risk","Safe")</f>
        <v>Safe</v>
      </c>
      <c r="AA917">
        <f>WarehouseData[[#This Row],[stock_level]]/WarehouseData[[#This Row],[daily_demand]]</f>
        <v>4.0166204986149587</v>
      </c>
      <c r="AB917">
        <f>WarehouseData[[#This Row],[stock_level]]*WarehouseData[[#This Row],[unit_price]]</f>
        <v>10630.24</v>
      </c>
      <c r="AC917">
        <f>WarehouseData[[#This Row],[stock_level]]*WarehouseData[[#This Row],[holding_cost_per_unit_day]]*30</f>
        <v>3897.6000000000004</v>
      </c>
      <c r="AD917" t="str">
        <f>IF(WarehouseData[[#This Row],[order_fulfillment_rate]]&gt;=0.9,"Strong",IF(WarehouseData[[#This Row],[order_fulfillment_rate]]&gt;=0.8,"Moderate","Needs Attention"))</f>
        <v>Moderate</v>
      </c>
      <c r="AE917" t="str">
        <f>IF(WarehouseData[[#This Row],[picking_time_seconds]]&gt;120,"Slow",IF(WarehouseData[[#This Row],[picking_time_seconds]]&gt;=60,"Average","Fast"))</f>
        <v>Average</v>
      </c>
    </row>
    <row r="918" spans="1:31" x14ac:dyDescent="0.25">
      <c r="A918" t="s">
        <v>1056</v>
      </c>
      <c r="B918" t="s">
        <v>40</v>
      </c>
      <c r="C918">
        <v>24</v>
      </c>
      <c r="D918">
        <v>90</v>
      </c>
      <c r="E918">
        <v>11</v>
      </c>
      <c r="F918">
        <v>8</v>
      </c>
      <c r="G918">
        <v>37.24</v>
      </c>
      <c r="H918">
        <v>3.38</v>
      </c>
      <c r="I918">
        <v>0.32</v>
      </c>
      <c r="J918" t="s">
        <v>110</v>
      </c>
      <c r="K918" t="s">
        <v>46</v>
      </c>
      <c r="L918">
        <v>74</v>
      </c>
      <c r="M918">
        <v>1.52</v>
      </c>
      <c r="N918">
        <v>197.48</v>
      </c>
      <c r="O918">
        <v>0.28999999999999998</v>
      </c>
      <c r="P918">
        <v>3</v>
      </c>
      <c r="Q918">
        <v>0.81</v>
      </c>
      <c r="R918">
        <v>669</v>
      </c>
      <c r="S918">
        <v>8.9499999999999993</v>
      </c>
      <c r="T918">
        <v>0.7</v>
      </c>
      <c r="U918" s="1">
        <v>45336</v>
      </c>
      <c r="V918">
        <v>150.84</v>
      </c>
      <c r="W918">
        <v>0.73199999999999998</v>
      </c>
      <c r="X918" t="str">
        <f>IF(WarehouseData[[#This Row],[stock_level]]&lt;=WarehouseData[[#This Row],[reorder_point]],"Low Stock","Sufficient Stock")</f>
        <v>Low Stock</v>
      </c>
      <c r="Y918">
        <f>WarehouseData[[#This Row],[daily_demand]]*WarehouseData[[#This Row],[lead_time_days]]</f>
        <v>297.92</v>
      </c>
      <c r="Z918" t="str">
        <f>IF(WarehouseData[[#This Row],[stock_level]]&lt;=WarehouseData[[#This Row],[Demand During Lead Time]],"At Risk","Safe")</f>
        <v>At Risk</v>
      </c>
      <c r="AA918">
        <f>WarehouseData[[#This Row],[stock_level]]/WarehouseData[[#This Row],[daily_demand]]</f>
        <v>0.6444683136412459</v>
      </c>
      <c r="AB918">
        <f>WarehouseData[[#This Row],[stock_level]]*WarehouseData[[#This Row],[unit_price]]</f>
        <v>4739.5199999999995</v>
      </c>
      <c r="AC918">
        <f>WarehouseData[[#This Row],[stock_level]]*WarehouseData[[#This Row],[holding_cost_per_unit_day]]*30</f>
        <v>208.79999999999998</v>
      </c>
      <c r="AD918" t="str">
        <f>IF(WarehouseData[[#This Row],[order_fulfillment_rate]]&gt;=0.9,"Strong",IF(WarehouseData[[#This Row],[order_fulfillment_rate]]&gt;=0.8,"Moderate","Needs Attention"))</f>
        <v>Moderate</v>
      </c>
      <c r="AE918" t="str">
        <f>IF(WarehouseData[[#This Row],[picking_time_seconds]]&gt;120,"Slow",IF(WarehouseData[[#This Row],[picking_time_seconds]]&gt;=60,"Average","Fast"))</f>
        <v>Average</v>
      </c>
    </row>
    <row r="919" spans="1:31" x14ac:dyDescent="0.25">
      <c r="A919" t="s">
        <v>1057</v>
      </c>
      <c r="B919" t="s">
        <v>73</v>
      </c>
      <c r="C919">
        <v>76</v>
      </c>
      <c r="D919">
        <v>73</v>
      </c>
      <c r="E919">
        <v>9</v>
      </c>
      <c r="F919">
        <v>3</v>
      </c>
      <c r="G919">
        <v>39.4</v>
      </c>
      <c r="H919">
        <v>9.0399999999999991</v>
      </c>
      <c r="I919">
        <v>0.76</v>
      </c>
      <c r="J919" t="s">
        <v>41</v>
      </c>
      <c r="K919" t="s">
        <v>46</v>
      </c>
      <c r="L919">
        <v>163</v>
      </c>
      <c r="M919">
        <v>0.86</v>
      </c>
      <c r="N919">
        <v>109.62</v>
      </c>
      <c r="O919">
        <v>0.39</v>
      </c>
      <c r="P919">
        <v>6</v>
      </c>
      <c r="Q919">
        <v>0.89</v>
      </c>
      <c r="R919">
        <v>850</v>
      </c>
      <c r="S919">
        <v>6.68</v>
      </c>
      <c r="T919">
        <v>0.31</v>
      </c>
      <c r="U919" s="1">
        <v>45514</v>
      </c>
      <c r="V919">
        <v>251.44</v>
      </c>
      <c r="W919">
        <v>0.56999999999999995</v>
      </c>
      <c r="X919" t="str">
        <f>IF(WarehouseData[[#This Row],[stock_level]]&lt;=WarehouseData[[#This Row],[reorder_point]],"Low Stock","Sufficient Stock")</f>
        <v>Sufficient Stock</v>
      </c>
      <c r="Y919">
        <f>WarehouseData[[#This Row],[daily_demand]]*WarehouseData[[#This Row],[lead_time_days]]</f>
        <v>118.19999999999999</v>
      </c>
      <c r="Z919" t="str">
        <f>IF(WarehouseData[[#This Row],[stock_level]]&lt;=WarehouseData[[#This Row],[Demand During Lead Time]],"At Risk","Safe")</f>
        <v>At Risk</v>
      </c>
      <c r="AA919">
        <f>WarehouseData[[#This Row],[stock_level]]/WarehouseData[[#This Row],[daily_demand]]</f>
        <v>1.9289340101522843</v>
      </c>
      <c r="AB919">
        <f>WarehouseData[[#This Row],[stock_level]]*WarehouseData[[#This Row],[unit_price]]</f>
        <v>8331.1200000000008</v>
      </c>
      <c r="AC919">
        <f>WarehouseData[[#This Row],[stock_level]]*WarehouseData[[#This Row],[holding_cost_per_unit_day]]*30</f>
        <v>889.2</v>
      </c>
      <c r="AD919" t="str">
        <f>IF(WarehouseData[[#This Row],[order_fulfillment_rate]]&gt;=0.9,"Strong",IF(WarehouseData[[#This Row],[order_fulfillment_rate]]&gt;=0.8,"Moderate","Needs Attention"))</f>
        <v>Moderate</v>
      </c>
      <c r="AE919" t="str">
        <f>IF(WarehouseData[[#This Row],[picking_time_seconds]]&gt;120,"Slow",IF(WarehouseData[[#This Row],[picking_time_seconds]]&gt;=60,"Average","Fast"))</f>
        <v>Slow</v>
      </c>
    </row>
    <row r="920" spans="1:31" x14ac:dyDescent="0.25">
      <c r="A920" t="s">
        <v>1058</v>
      </c>
      <c r="B920" t="s">
        <v>36</v>
      </c>
      <c r="C920">
        <v>431</v>
      </c>
      <c r="D920">
        <v>68</v>
      </c>
      <c r="E920">
        <v>11</v>
      </c>
      <c r="F920">
        <v>9</v>
      </c>
      <c r="G920">
        <v>15.79</v>
      </c>
      <c r="H920">
        <v>6.14</v>
      </c>
      <c r="I920">
        <v>0.51</v>
      </c>
      <c r="J920" t="s">
        <v>234</v>
      </c>
      <c r="K920" t="s">
        <v>38</v>
      </c>
      <c r="L920">
        <v>30</v>
      </c>
      <c r="M920">
        <v>3.32</v>
      </c>
      <c r="N920">
        <v>170.67</v>
      </c>
      <c r="O920">
        <v>1.72</v>
      </c>
      <c r="P920">
        <v>0</v>
      </c>
      <c r="Q920">
        <v>0.8</v>
      </c>
      <c r="R920">
        <v>866</v>
      </c>
      <c r="S920">
        <v>4.9000000000000004</v>
      </c>
      <c r="T920">
        <v>0.86</v>
      </c>
      <c r="U920" s="1">
        <v>45351</v>
      </c>
      <c r="V920">
        <v>227.71</v>
      </c>
      <c r="W920">
        <v>0.625</v>
      </c>
      <c r="X920" t="str">
        <f>IF(WarehouseData[[#This Row],[stock_level]]&lt;=WarehouseData[[#This Row],[reorder_point]],"Low Stock","Sufficient Stock")</f>
        <v>Sufficient Stock</v>
      </c>
      <c r="Y920">
        <f>WarehouseData[[#This Row],[daily_demand]]*WarehouseData[[#This Row],[lead_time_days]]</f>
        <v>142.10999999999999</v>
      </c>
      <c r="Z920" t="str">
        <f>IF(WarehouseData[[#This Row],[stock_level]]&lt;=WarehouseData[[#This Row],[Demand During Lead Time]],"At Risk","Safe")</f>
        <v>Safe</v>
      </c>
      <c r="AA920">
        <f>WarehouseData[[#This Row],[stock_level]]/WarehouseData[[#This Row],[daily_demand]]</f>
        <v>27.295756808106397</v>
      </c>
      <c r="AB920">
        <f>WarehouseData[[#This Row],[stock_level]]*WarehouseData[[#This Row],[unit_price]]</f>
        <v>73558.76999999999</v>
      </c>
      <c r="AC920">
        <f>WarehouseData[[#This Row],[stock_level]]*WarehouseData[[#This Row],[holding_cost_per_unit_day]]*30</f>
        <v>22239.599999999999</v>
      </c>
      <c r="AD920" t="str">
        <f>IF(WarehouseData[[#This Row],[order_fulfillment_rate]]&gt;=0.9,"Strong",IF(WarehouseData[[#This Row],[order_fulfillment_rate]]&gt;=0.8,"Moderate","Needs Attention"))</f>
        <v>Moderate</v>
      </c>
      <c r="AE920" t="str">
        <f>IF(WarehouseData[[#This Row],[picking_time_seconds]]&gt;120,"Slow",IF(WarehouseData[[#This Row],[picking_time_seconds]]&gt;=60,"Average","Fast"))</f>
        <v>Fast</v>
      </c>
    </row>
    <row r="921" spans="1:31" x14ac:dyDescent="0.25">
      <c r="A921" t="s">
        <v>1059</v>
      </c>
      <c r="B921" t="s">
        <v>32</v>
      </c>
      <c r="C921">
        <v>353</v>
      </c>
      <c r="D921">
        <v>67</v>
      </c>
      <c r="E921">
        <v>12</v>
      </c>
      <c r="F921">
        <v>6</v>
      </c>
      <c r="G921">
        <v>26.11</v>
      </c>
      <c r="H921">
        <v>2.4700000000000002</v>
      </c>
      <c r="I921">
        <v>0.99</v>
      </c>
      <c r="J921" t="s">
        <v>212</v>
      </c>
      <c r="K921" t="s">
        <v>34</v>
      </c>
      <c r="L921">
        <v>161</v>
      </c>
      <c r="M921">
        <v>2.95</v>
      </c>
      <c r="N921">
        <v>196.19</v>
      </c>
      <c r="O921">
        <v>2</v>
      </c>
      <c r="P921">
        <v>0</v>
      </c>
      <c r="Q921">
        <v>0.82</v>
      </c>
      <c r="R921">
        <v>645</v>
      </c>
      <c r="S921">
        <v>8.11</v>
      </c>
      <c r="T921">
        <v>0.62</v>
      </c>
      <c r="U921" s="1">
        <v>45524</v>
      </c>
      <c r="V921">
        <v>265.43</v>
      </c>
      <c r="W921">
        <v>0.59599999999999997</v>
      </c>
      <c r="X921" t="str">
        <f>IF(WarehouseData[[#This Row],[stock_level]]&lt;=WarehouseData[[#This Row],[reorder_point]],"Low Stock","Sufficient Stock")</f>
        <v>Sufficient Stock</v>
      </c>
      <c r="Y921">
        <f>WarehouseData[[#This Row],[daily_demand]]*WarehouseData[[#This Row],[lead_time_days]]</f>
        <v>156.66</v>
      </c>
      <c r="Z921" t="str">
        <f>IF(WarehouseData[[#This Row],[stock_level]]&lt;=WarehouseData[[#This Row],[Demand During Lead Time]],"At Risk","Safe")</f>
        <v>Safe</v>
      </c>
      <c r="AA921">
        <f>WarehouseData[[#This Row],[stock_level]]/WarehouseData[[#This Row],[daily_demand]]</f>
        <v>13.519724243584834</v>
      </c>
      <c r="AB921">
        <f>WarehouseData[[#This Row],[stock_level]]*WarehouseData[[#This Row],[unit_price]]</f>
        <v>69255.069999999992</v>
      </c>
      <c r="AC921">
        <f>WarehouseData[[#This Row],[stock_level]]*WarehouseData[[#This Row],[holding_cost_per_unit_day]]*30</f>
        <v>21180</v>
      </c>
      <c r="AD921" t="str">
        <f>IF(WarehouseData[[#This Row],[order_fulfillment_rate]]&gt;=0.9,"Strong",IF(WarehouseData[[#This Row],[order_fulfillment_rate]]&gt;=0.8,"Moderate","Needs Attention"))</f>
        <v>Moderate</v>
      </c>
      <c r="AE921" t="str">
        <f>IF(WarehouseData[[#This Row],[picking_time_seconds]]&gt;120,"Slow",IF(WarehouseData[[#This Row],[picking_time_seconds]]&gt;=60,"Average","Fast"))</f>
        <v>Slow</v>
      </c>
    </row>
    <row r="922" spans="1:31" x14ac:dyDescent="0.25">
      <c r="A922" t="s">
        <v>1060</v>
      </c>
      <c r="B922" t="s">
        <v>40</v>
      </c>
      <c r="C922">
        <v>88</v>
      </c>
      <c r="D922">
        <v>11</v>
      </c>
      <c r="E922">
        <v>5</v>
      </c>
      <c r="F922">
        <v>4</v>
      </c>
      <c r="G922">
        <v>31.43</v>
      </c>
      <c r="H922">
        <v>2.99</v>
      </c>
      <c r="I922">
        <v>0.62</v>
      </c>
      <c r="J922" t="s">
        <v>447</v>
      </c>
      <c r="K922" t="s">
        <v>38</v>
      </c>
      <c r="L922">
        <v>25</v>
      </c>
      <c r="M922">
        <v>3.52</v>
      </c>
      <c r="N922">
        <v>63.42</v>
      </c>
      <c r="O922">
        <v>0.74</v>
      </c>
      <c r="P922">
        <v>7</v>
      </c>
      <c r="Q922">
        <v>0.99</v>
      </c>
      <c r="R922">
        <v>90</v>
      </c>
      <c r="S922">
        <v>4.74</v>
      </c>
      <c r="T922">
        <v>0.86</v>
      </c>
      <c r="U922" s="1">
        <v>45605</v>
      </c>
      <c r="V922">
        <v>245.19</v>
      </c>
      <c r="W922">
        <v>0.61899999999999999</v>
      </c>
      <c r="X922" t="str">
        <f>IF(WarehouseData[[#This Row],[stock_level]]&lt;=WarehouseData[[#This Row],[reorder_point]],"Low Stock","Sufficient Stock")</f>
        <v>Sufficient Stock</v>
      </c>
      <c r="Y922">
        <f>WarehouseData[[#This Row],[daily_demand]]*WarehouseData[[#This Row],[lead_time_days]]</f>
        <v>125.72</v>
      </c>
      <c r="Z922" t="str">
        <f>IF(WarehouseData[[#This Row],[stock_level]]&lt;=WarehouseData[[#This Row],[Demand During Lead Time]],"At Risk","Safe")</f>
        <v>At Risk</v>
      </c>
      <c r="AA922">
        <f>WarehouseData[[#This Row],[stock_level]]/WarehouseData[[#This Row],[daily_demand]]</f>
        <v>2.7998727330575881</v>
      </c>
      <c r="AB922">
        <f>WarehouseData[[#This Row],[stock_level]]*WarehouseData[[#This Row],[unit_price]]</f>
        <v>5580.96</v>
      </c>
      <c r="AC922">
        <f>WarehouseData[[#This Row],[stock_level]]*WarehouseData[[#This Row],[holding_cost_per_unit_day]]*30</f>
        <v>1953.6000000000001</v>
      </c>
      <c r="AD922" t="str">
        <f>IF(WarehouseData[[#This Row],[order_fulfillment_rate]]&gt;=0.9,"Strong",IF(WarehouseData[[#This Row],[order_fulfillment_rate]]&gt;=0.8,"Moderate","Needs Attention"))</f>
        <v>Strong</v>
      </c>
      <c r="AE922" t="str">
        <f>IF(WarehouseData[[#This Row],[picking_time_seconds]]&gt;120,"Slow",IF(WarehouseData[[#This Row],[picking_time_seconds]]&gt;=60,"Average","Fast"))</f>
        <v>Fast</v>
      </c>
    </row>
    <row r="923" spans="1:31" x14ac:dyDescent="0.25">
      <c r="A923" t="s">
        <v>1061</v>
      </c>
      <c r="B923" t="s">
        <v>36</v>
      </c>
      <c r="C923">
        <v>137</v>
      </c>
      <c r="D923">
        <v>45</v>
      </c>
      <c r="E923">
        <v>5</v>
      </c>
      <c r="F923">
        <v>3</v>
      </c>
      <c r="G923">
        <v>41.15</v>
      </c>
      <c r="H923">
        <v>4.6100000000000003</v>
      </c>
      <c r="I923">
        <v>0.67</v>
      </c>
      <c r="J923" t="s">
        <v>332</v>
      </c>
      <c r="K923" t="s">
        <v>34</v>
      </c>
      <c r="L923">
        <v>169</v>
      </c>
      <c r="M923">
        <v>2.57</v>
      </c>
      <c r="N923">
        <v>162.16999999999999</v>
      </c>
      <c r="O923">
        <v>0.83</v>
      </c>
      <c r="P923">
        <v>5</v>
      </c>
      <c r="Q923">
        <v>0.73</v>
      </c>
      <c r="R923">
        <v>249</v>
      </c>
      <c r="S923">
        <v>2.44</v>
      </c>
      <c r="T923">
        <v>0.37</v>
      </c>
      <c r="U923" s="1">
        <v>45603</v>
      </c>
      <c r="V923">
        <v>69.59</v>
      </c>
      <c r="W923">
        <v>0.47</v>
      </c>
      <c r="X923" t="str">
        <f>IF(WarehouseData[[#This Row],[stock_level]]&lt;=WarehouseData[[#This Row],[reorder_point]],"Low Stock","Sufficient Stock")</f>
        <v>Sufficient Stock</v>
      </c>
      <c r="Y923">
        <f>WarehouseData[[#This Row],[daily_demand]]*WarehouseData[[#This Row],[lead_time_days]]</f>
        <v>123.44999999999999</v>
      </c>
      <c r="Z923" t="str">
        <f>IF(WarehouseData[[#This Row],[stock_level]]&lt;=WarehouseData[[#This Row],[Demand During Lead Time]],"At Risk","Safe")</f>
        <v>Safe</v>
      </c>
      <c r="AA923">
        <f>WarehouseData[[#This Row],[stock_level]]/WarehouseData[[#This Row],[daily_demand]]</f>
        <v>3.3292831105710814</v>
      </c>
      <c r="AB923">
        <f>WarehouseData[[#This Row],[stock_level]]*WarehouseData[[#This Row],[unit_price]]</f>
        <v>22217.289999999997</v>
      </c>
      <c r="AC923">
        <f>WarehouseData[[#This Row],[stock_level]]*WarehouseData[[#This Row],[holding_cost_per_unit_day]]*30</f>
        <v>3411.2999999999997</v>
      </c>
      <c r="AD923" t="str">
        <f>IF(WarehouseData[[#This Row],[order_fulfillment_rate]]&gt;=0.9,"Strong",IF(WarehouseData[[#This Row],[order_fulfillment_rate]]&gt;=0.8,"Moderate","Needs Attention"))</f>
        <v>Needs Attention</v>
      </c>
      <c r="AE923" t="str">
        <f>IF(WarehouseData[[#This Row],[picking_time_seconds]]&gt;120,"Slow",IF(WarehouseData[[#This Row],[picking_time_seconds]]&gt;=60,"Average","Fast"))</f>
        <v>Slow</v>
      </c>
    </row>
    <row r="924" spans="1:31" x14ac:dyDescent="0.25">
      <c r="A924" t="s">
        <v>1062</v>
      </c>
      <c r="B924" t="s">
        <v>36</v>
      </c>
      <c r="C924">
        <v>395</v>
      </c>
      <c r="D924">
        <v>80</v>
      </c>
      <c r="E924">
        <v>3</v>
      </c>
      <c r="F924">
        <v>9</v>
      </c>
      <c r="G924">
        <v>38.31</v>
      </c>
      <c r="H924">
        <v>1.66</v>
      </c>
      <c r="I924">
        <v>0.43</v>
      </c>
      <c r="J924" t="s">
        <v>75</v>
      </c>
      <c r="K924" t="s">
        <v>38</v>
      </c>
      <c r="L924">
        <v>25</v>
      </c>
      <c r="M924">
        <v>4.21</v>
      </c>
      <c r="N924">
        <v>14.18</v>
      </c>
      <c r="O924">
        <v>0.39</v>
      </c>
      <c r="P924">
        <v>1</v>
      </c>
      <c r="Q924">
        <v>0.73</v>
      </c>
      <c r="R924">
        <v>597</v>
      </c>
      <c r="S924">
        <v>12.19</v>
      </c>
      <c r="T924">
        <v>0.3</v>
      </c>
      <c r="U924" s="1">
        <v>45320</v>
      </c>
      <c r="V924">
        <v>68.09</v>
      </c>
      <c r="W924">
        <v>0.71</v>
      </c>
      <c r="X924" t="str">
        <f>IF(WarehouseData[[#This Row],[stock_level]]&lt;=WarehouseData[[#This Row],[reorder_point]],"Low Stock","Sufficient Stock")</f>
        <v>Sufficient Stock</v>
      </c>
      <c r="Y924">
        <f>WarehouseData[[#This Row],[daily_demand]]*WarehouseData[[#This Row],[lead_time_days]]</f>
        <v>344.79</v>
      </c>
      <c r="Z924" t="str">
        <f>IF(WarehouseData[[#This Row],[stock_level]]&lt;=WarehouseData[[#This Row],[Demand During Lead Time]],"At Risk","Safe")</f>
        <v>Safe</v>
      </c>
      <c r="AA924">
        <f>WarehouseData[[#This Row],[stock_level]]/WarehouseData[[#This Row],[daily_demand]]</f>
        <v>10.310623858000522</v>
      </c>
      <c r="AB924">
        <f>WarehouseData[[#This Row],[stock_level]]*WarehouseData[[#This Row],[unit_price]]</f>
        <v>5601.0999999999995</v>
      </c>
      <c r="AC924">
        <f>WarehouseData[[#This Row],[stock_level]]*WarehouseData[[#This Row],[holding_cost_per_unit_day]]*30</f>
        <v>4621.5</v>
      </c>
      <c r="AD924" t="str">
        <f>IF(WarehouseData[[#This Row],[order_fulfillment_rate]]&gt;=0.9,"Strong",IF(WarehouseData[[#This Row],[order_fulfillment_rate]]&gt;=0.8,"Moderate","Needs Attention"))</f>
        <v>Needs Attention</v>
      </c>
      <c r="AE924" t="str">
        <f>IF(WarehouseData[[#This Row],[picking_time_seconds]]&gt;120,"Slow",IF(WarehouseData[[#This Row],[picking_time_seconds]]&gt;=60,"Average","Fast"))</f>
        <v>Fast</v>
      </c>
    </row>
    <row r="925" spans="1:31" x14ac:dyDescent="0.25">
      <c r="A925" t="s">
        <v>1063</v>
      </c>
      <c r="B925" t="s">
        <v>36</v>
      </c>
      <c r="C925">
        <v>78</v>
      </c>
      <c r="D925">
        <v>22</v>
      </c>
      <c r="E925">
        <v>7</v>
      </c>
      <c r="F925">
        <v>5</v>
      </c>
      <c r="G925">
        <v>49.41</v>
      </c>
      <c r="H925">
        <v>1.25</v>
      </c>
      <c r="I925">
        <v>0.76</v>
      </c>
      <c r="J925" t="s">
        <v>124</v>
      </c>
      <c r="K925" t="s">
        <v>46</v>
      </c>
      <c r="L925">
        <v>51</v>
      </c>
      <c r="M925">
        <v>4.6399999999999997</v>
      </c>
      <c r="N925">
        <v>139.15</v>
      </c>
      <c r="O925">
        <v>0.55000000000000004</v>
      </c>
      <c r="P925">
        <v>9</v>
      </c>
      <c r="Q925">
        <v>0.71</v>
      </c>
      <c r="R925">
        <v>912</v>
      </c>
      <c r="S925">
        <v>10.83</v>
      </c>
      <c r="T925">
        <v>0.75</v>
      </c>
      <c r="U925" s="1">
        <v>45450</v>
      </c>
      <c r="V925">
        <v>142.82</v>
      </c>
      <c r="W925">
        <v>0.60099999999999998</v>
      </c>
      <c r="X925" t="str">
        <f>IF(WarehouseData[[#This Row],[stock_level]]&lt;=WarehouseData[[#This Row],[reorder_point]],"Low Stock","Sufficient Stock")</f>
        <v>Sufficient Stock</v>
      </c>
      <c r="Y925">
        <f>WarehouseData[[#This Row],[daily_demand]]*WarehouseData[[#This Row],[lead_time_days]]</f>
        <v>247.04999999999998</v>
      </c>
      <c r="Z925" t="str">
        <f>IF(WarehouseData[[#This Row],[stock_level]]&lt;=WarehouseData[[#This Row],[Demand During Lead Time]],"At Risk","Safe")</f>
        <v>At Risk</v>
      </c>
      <c r="AA925">
        <f>WarehouseData[[#This Row],[stock_level]]/WarehouseData[[#This Row],[daily_demand]]</f>
        <v>1.578627808136005</v>
      </c>
      <c r="AB925">
        <f>WarehouseData[[#This Row],[stock_level]]*WarehouseData[[#This Row],[unit_price]]</f>
        <v>10853.7</v>
      </c>
      <c r="AC925">
        <f>WarehouseData[[#This Row],[stock_level]]*WarehouseData[[#This Row],[holding_cost_per_unit_day]]*30</f>
        <v>1287.0000000000002</v>
      </c>
      <c r="AD925" t="str">
        <f>IF(WarehouseData[[#This Row],[order_fulfillment_rate]]&gt;=0.9,"Strong",IF(WarehouseData[[#This Row],[order_fulfillment_rate]]&gt;=0.8,"Moderate","Needs Attention"))</f>
        <v>Needs Attention</v>
      </c>
      <c r="AE925" t="str">
        <f>IF(WarehouseData[[#This Row],[picking_time_seconds]]&gt;120,"Slow",IF(WarehouseData[[#This Row],[picking_time_seconds]]&gt;=60,"Average","Fast"))</f>
        <v>Fast</v>
      </c>
    </row>
    <row r="926" spans="1:31" x14ac:dyDescent="0.25">
      <c r="A926" t="s">
        <v>1064</v>
      </c>
      <c r="B926" t="s">
        <v>40</v>
      </c>
      <c r="C926">
        <v>52</v>
      </c>
      <c r="D926">
        <v>24</v>
      </c>
      <c r="E926">
        <v>6</v>
      </c>
      <c r="F926">
        <v>3</v>
      </c>
      <c r="G926">
        <v>1.4</v>
      </c>
      <c r="H926">
        <v>6.96</v>
      </c>
      <c r="I926">
        <v>0.55000000000000004</v>
      </c>
      <c r="J926" t="s">
        <v>129</v>
      </c>
      <c r="K926" t="s">
        <v>34</v>
      </c>
      <c r="L926">
        <v>169</v>
      </c>
      <c r="M926">
        <v>0.68</v>
      </c>
      <c r="N926">
        <v>151.59</v>
      </c>
      <c r="O926">
        <v>0.91</v>
      </c>
      <c r="P926">
        <v>9</v>
      </c>
      <c r="Q926">
        <v>0.8</v>
      </c>
      <c r="R926">
        <v>424</v>
      </c>
      <c r="S926">
        <v>2.1800000000000002</v>
      </c>
      <c r="T926">
        <v>0.25</v>
      </c>
      <c r="U926" s="1">
        <v>45633</v>
      </c>
      <c r="V926">
        <v>65.44</v>
      </c>
      <c r="W926">
        <v>0.36799999999999999</v>
      </c>
      <c r="X926" t="str">
        <f>IF(WarehouseData[[#This Row],[stock_level]]&lt;=WarehouseData[[#This Row],[reorder_point]],"Low Stock","Sufficient Stock")</f>
        <v>Sufficient Stock</v>
      </c>
      <c r="Y926">
        <f>WarehouseData[[#This Row],[daily_demand]]*WarehouseData[[#This Row],[lead_time_days]]</f>
        <v>4.1999999999999993</v>
      </c>
      <c r="Z926" t="str">
        <f>IF(WarehouseData[[#This Row],[stock_level]]&lt;=WarehouseData[[#This Row],[Demand During Lead Time]],"At Risk","Safe")</f>
        <v>Safe</v>
      </c>
      <c r="AA926">
        <f>WarehouseData[[#This Row],[stock_level]]/WarehouseData[[#This Row],[daily_demand]]</f>
        <v>37.142857142857146</v>
      </c>
      <c r="AB926">
        <f>WarehouseData[[#This Row],[stock_level]]*WarehouseData[[#This Row],[unit_price]]</f>
        <v>7882.68</v>
      </c>
      <c r="AC926">
        <f>WarehouseData[[#This Row],[stock_level]]*WarehouseData[[#This Row],[holding_cost_per_unit_day]]*30</f>
        <v>1419.6</v>
      </c>
      <c r="AD926" t="str">
        <f>IF(WarehouseData[[#This Row],[order_fulfillment_rate]]&gt;=0.9,"Strong",IF(WarehouseData[[#This Row],[order_fulfillment_rate]]&gt;=0.8,"Moderate","Needs Attention"))</f>
        <v>Moderate</v>
      </c>
      <c r="AE926" t="str">
        <f>IF(WarehouseData[[#This Row],[picking_time_seconds]]&gt;120,"Slow",IF(WarehouseData[[#This Row],[picking_time_seconds]]&gt;=60,"Average","Fast"))</f>
        <v>Slow</v>
      </c>
    </row>
    <row r="927" spans="1:31" x14ac:dyDescent="0.25">
      <c r="A927" t="s">
        <v>1065</v>
      </c>
      <c r="B927" t="s">
        <v>40</v>
      </c>
      <c r="C927">
        <v>337</v>
      </c>
      <c r="D927">
        <v>98</v>
      </c>
      <c r="E927">
        <v>4</v>
      </c>
      <c r="F927">
        <v>3</v>
      </c>
      <c r="G927">
        <v>22.44</v>
      </c>
      <c r="H927">
        <v>4.37</v>
      </c>
      <c r="I927">
        <v>0.12</v>
      </c>
      <c r="J927" t="s">
        <v>110</v>
      </c>
      <c r="K927" t="s">
        <v>34</v>
      </c>
      <c r="L927">
        <v>50</v>
      </c>
      <c r="M927">
        <v>3.85</v>
      </c>
      <c r="N927">
        <v>100.7</v>
      </c>
      <c r="O927">
        <v>0.64</v>
      </c>
      <c r="P927">
        <v>0</v>
      </c>
      <c r="Q927">
        <v>0.82</v>
      </c>
      <c r="R927">
        <v>455</v>
      </c>
      <c r="S927">
        <v>3.28</v>
      </c>
      <c r="T927">
        <v>0.4</v>
      </c>
      <c r="U927" s="1">
        <v>45628</v>
      </c>
      <c r="V927">
        <v>64.37</v>
      </c>
      <c r="W927">
        <v>0.624</v>
      </c>
      <c r="X927" t="str">
        <f>IF(WarehouseData[[#This Row],[stock_level]]&lt;=WarehouseData[[#This Row],[reorder_point]],"Low Stock","Sufficient Stock")</f>
        <v>Sufficient Stock</v>
      </c>
      <c r="Y927">
        <f>WarehouseData[[#This Row],[daily_demand]]*WarehouseData[[#This Row],[lead_time_days]]</f>
        <v>67.320000000000007</v>
      </c>
      <c r="Z927" t="str">
        <f>IF(WarehouseData[[#This Row],[stock_level]]&lt;=WarehouseData[[#This Row],[Demand During Lead Time]],"At Risk","Safe")</f>
        <v>Safe</v>
      </c>
      <c r="AA927">
        <f>WarehouseData[[#This Row],[stock_level]]/WarehouseData[[#This Row],[daily_demand]]</f>
        <v>15.017825311942959</v>
      </c>
      <c r="AB927">
        <f>WarehouseData[[#This Row],[stock_level]]*WarehouseData[[#This Row],[unit_price]]</f>
        <v>33935.9</v>
      </c>
      <c r="AC927">
        <f>WarehouseData[[#This Row],[stock_level]]*WarehouseData[[#This Row],[holding_cost_per_unit_day]]*30</f>
        <v>6470.4000000000005</v>
      </c>
      <c r="AD927" t="str">
        <f>IF(WarehouseData[[#This Row],[order_fulfillment_rate]]&gt;=0.9,"Strong",IF(WarehouseData[[#This Row],[order_fulfillment_rate]]&gt;=0.8,"Moderate","Needs Attention"))</f>
        <v>Moderate</v>
      </c>
      <c r="AE927" t="str">
        <f>IF(WarehouseData[[#This Row],[picking_time_seconds]]&gt;120,"Slow",IF(WarehouseData[[#This Row],[picking_time_seconds]]&gt;=60,"Average","Fast"))</f>
        <v>Fast</v>
      </c>
    </row>
    <row r="928" spans="1:31" x14ac:dyDescent="0.25">
      <c r="A928" t="s">
        <v>1066</v>
      </c>
      <c r="B928" t="s">
        <v>48</v>
      </c>
      <c r="C928">
        <v>69</v>
      </c>
      <c r="D928">
        <v>96</v>
      </c>
      <c r="E928">
        <v>11</v>
      </c>
      <c r="F928">
        <v>3</v>
      </c>
      <c r="G928">
        <v>13.55</v>
      </c>
      <c r="H928">
        <v>7.4</v>
      </c>
      <c r="I928">
        <v>0.65</v>
      </c>
      <c r="J928" t="s">
        <v>45</v>
      </c>
      <c r="K928" t="s">
        <v>38</v>
      </c>
      <c r="L928">
        <v>117</v>
      </c>
      <c r="M928">
        <v>0.66</v>
      </c>
      <c r="N928">
        <v>40.799999999999997</v>
      </c>
      <c r="O928">
        <v>1.43</v>
      </c>
      <c r="P928">
        <v>2</v>
      </c>
      <c r="Q928">
        <v>0.73</v>
      </c>
      <c r="R928">
        <v>283</v>
      </c>
      <c r="S928">
        <v>2.4</v>
      </c>
      <c r="T928">
        <v>0.93</v>
      </c>
      <c r="U928" s="1">
        <v>45381</v>
      </c>
      <c r="V928">
        <v>87.66</v>
      </c>
      <c r="W928">
        <v>0.58099999999999996</v>
      </c>
      <c r="X928" t="str">
        <f>IF(WarehouseData[[#This Row],[stock_level]]&lt;=WarehouseData[[#This Row],[reorder_point]],"Low Stock","Sufficient Stock")</f>
        <v>Low Stock</v>
      </c>
      <c r="Y928">
        <f>WarehouseData[[#This Row],[daily_demand]]*WarehouseData[[#This Row],[lead_time_days]]</f>
        <v>40.650000000000006</v>
      </c>
      <c r="Z928" t="str">
        <f>IF(WarehouseData[[#This Row],[stock_level]]&lt;=WarehouseData[[#This Row],[Demand During Lead Time]],"At Risk","Safe")</f>
        <v>Safe</v>
      </c>
      <c r="AA928">
        <f>WarehouseData[[#This Row],[stock_level]]/WarehouseData[[#This Row],[daily_demand]]</f>
        <v>5.0922509225092245</v>
      </c>
      <c r="AB928">
        <f>WarehouseData[[#This Row],[stock_level]]*WarehouseData[[#This Row],[unit_price]]</f>
        <v>2815.2</v>
      </c>
      <c r="AC928">
        <f>WarehouseData[[#This Row],[stock_level]]*WarehouseData[[#This Row],[holding_cost_per_unit_day]]*30</f>
        <v>2960.1</v>
      </c>
      <c r="AD928" t="str">
        <f>IF(WarehouseData[[#This Row],[order_fulfillment_rate]]&gt;=0.9,"Strong",IF(WarehouseData[[#This Row],[order_fulfillment_rate]]&gt;=0.8,"Moderate","Needs Attention"))</f>
        <v>Needs Attention</v>
      </c>
      <c r="AE928" t="str">
        <f>IF(WarehouseData[[#This Row],[picking_time_seconds]]&gt;120,"Slow",IF(WarehouseData[[#This Row],[picking_time_seconds]]&gt;=60,"Average","Fast"))</f>
        <v>Average</v>
      </c>
    </row>
    <row r="929" spans="1:31" x14ac:dyDescent="0.25">
      <c r="A929" t="s">
        <v>1067</v>
      </c>
      <c r="B929" t="s">
        <v>32</v>
      </c>
      <c r="C929">
        <v>387</v>
      </c>
      <c r="D929">
        <v>69</v>
      </c>
      <c r="E929">
        <v>5</v>
      </c>
      <c r="F929">
        <v>6</v>
      </c>
      <c r="G929">
        <v>6.87</v>
      </c>
      <c r="H929">
        <v>1.55</v>
      </c>
      <c r="I929">
        <v>0.85</v>
      </c>
      <c r="J929" t="s">
        <v>273</v>
      </c>
      <c r="K929" t="s">
        <v>38</v>
      </c>
      <c r="L929">
        <v>134</v>
      </c>
      <c r="M929">
        <v>2.5</v>
      </c>
      <c r="N929">
        <v>127.18</v>
      </c>
      <c r="O929">
        <v>1.1200000000000001</v>
      </c>
      <c r="P929">
        <v>3</v>
      </c>
      <c r="Q929">
        <v>0.86</v>
      </c>
      <c r="R929">
        <v>557</v>
      </c>
      <c r="S929">
        <v>12.07</v>
      </c>
      <c r="T929">
        <v>0.31</v>
      </c>
      <c r="U929" s="1">
        <v>45353</v>
      </c>
      <c r="V929">
        <v>16.54</v>
      </c>
      <c r="W929">
        <v>0.623</v>
      </c>
      <c r="X929" t="str">
        <f>IF(WarehouseData[[#This Row],[stock_level]]&lt;=WarehouseData[[#This Row],[reorder_point]],"Low Stock","Sufficient Stock")</f>
        <v>Sufficient Stock</v>
      </c>
      <c r="Y929">
        <f>WarehouseData[[#This Row],[daily_demand]]*WarehouseData[[#This Row],[lead_time_days]]</f>
        <v>41.22</v>
      </c>
      <c r="Z929" t="str">
        <f>IF(WarehouseData[[#This Row],[stock_level]]&lt;=WarehouseData[[#This Row],[Demand During Lead Time]],"At Risk","Safe")</f>
        <v>Safe</v>
      </c>
      <c r="AA929">
        <f>WarehouseData[[#This Row],[stock_level]]/WarehouseData[[#This Row],[daily_demand]]</f>
        <v>56.331877729257641</v>
      </c>
      <c r="AB929">
        <f>WarehouseData[[#This Row],[stock_level]]*WarehouseData[[#This Row],[unit_price]]</f>
        <v>49218.66</v>
      </c>
      <c r="AC929">
        <f>WarehouseData[[#This Row],[stock_level]]*WarehouseData[[#This Row],[holding_cost_per_unit_day]]*30</f>
        <v>13003.2</v>
      </c>
      <c r="AD929" t="str">
        <f>IF(WarehouseData[[#This Row],[order_fulfillment_rate]]&gt;=0.9,"Strong",IF(WarehouseData[[#This Row],[order_fulfillment_rate]]&gt;=0.8,"Moderate","Needs Attention"))</f>
        <v>Moderate</v>
      </c>
      <c r="AE929" t="str">
        <f>IF(WarehouseData[[#This Row],[picking_time_seconds]]&gt;120,"Slow",IF(WarehouseData[[#This Row],[picking_time_seconds]]&gt;=60,"Average","Fast"))</f>
        <v>Slow</v>
      </c>
    </row>
    <row r="930" spans="1:31" x14ac:dyDescent="0.25">
      <c r="A930" t="s">
        <v>1068</v>
      </c>
      <c r="B930" t="s">
        <v>73</v>
      </c>
      <c r="C930">
        <v>38</v>
      </c>
      <c r="D930">
        <v>31</v>
      </c>
      <c r="E930">
        <v>10</v>
      </c>
      <c r="F930">
        <v>3</v>
      </c>
      <c r="G930">
        <v>45.66</v>
      </c>
      <c r="H930">
        <v>6.29</v>
      </c>
      <c r="I930">
        <v>0.31</v>
      </c>
      <c r="J930" t="s">
        <v>92</v>
      </c>
      <c r="K930" t="s">
        <v>52</v>
      </c>
      <c r="L930">
        <v>161</v>
      </c>
      <c r="M930">
        <v>2.58</v>
      </c>
      <c r="N930">
        <v>180.53</v>
      </c>
      <c r="O930">
        <v>1.66</v>
      </c>
      <c r="P930">
        <v>4</v>
      </c>
      <c r="Q930">
        <v>0.87</v>
      </c>
      <c r="R930">
        <v>291</v>
      </c>
      <c r="S930">
        <v>11.82</v>
      </c>
      <c r="T930">
        <v>0.5</v>
      </c>
      <c r="U930" s="1">
        <v>45298</v>
      </c>
      <c r="V930">
        <v>175.69</v>
      </c>
      <c r="W930">
        <v>0.58599999999999997</v>
      </c>
      <c r="X930" t="str">
        <f>IF(WarehouseData[[#This Row],[stock_level]]&lt;=WarehouseData[[#This Row],[reorder_point]],"Low Stock","Sufficient Stock")</f>
        <v>Sufficient Stock</v>
      </c>
      <c r="Y930">
        <f>WarehouseData[[#This Row],[daily_demand]]*WarehouseData[[#This Row],[lead_time_days]]</f>
        <v>136.97999999999999</v>
      </c>
      <c r="Z930" t="str">
        <f>IF(WarehouseData[[#This Row],[stock_level]]&lt;=WarehouseData[[#This Row],[Demand During Lead Time]],"At Risk","Safe")</f>
        <v>At Risk</v>
      </c>
      <c r="AA930">
        <f>WarehouseData[[#This Row],[stock_level]]/WarehouseData[[#This Row],[daily_demand]]</f>
        <v>0.83223828296101632</v>
      </c>
      <c r="AB930">
        <f>WarehouseData[[#This Row],[stock_level]]*WarehouseData[[#This Row],[unit_price]]</f>
        <v>6860.14</v>
      </c>
      <c r="AC930">
        <f>WarehouseData[[#This Row],[stock_level]]*WarehouseData[[#This Row],[holding_cost_per_unit_day]]*30</f>
        <v>1892.3999999999999</v>
      </c>
      <c r="AD930" t="str">
        <f>IF(WarehouseData[[#This Row],[order_fulfillment_rate]]&gt;=0.9,"Strong",IF(WarehouseData[[#This Row],[order_fulfillment_rate]]&gt;=0.8,"Moderate","Needs Attention"))</f>
        <v>Moderate</v>
      </c>
      <c r="AE930" t="str">
        <f>IF(WarehouseData[[#This Row],[picking_time_seconds]]&gt;120,"Slow",IF(WarehouseData[[#This Row],[picking_time_seconds]]&gt;=60,"Average","Fast"))</f>
        <v>Slow</v>
      </c>
    </row>
    <row r="931" spans="1:31" x14ac:dyDescent="0.25">
      <c r="A931" t="s">
        <v>1069</v>
      </c>
      <c r="B931" t="s">
        <v>36</v>
      </c>
      <c r="C931">
        <v>233</v>
      </c>
      <c r="D931">
        <v>72</v>
      </c>
      <c r="E931">
        <v>8</v>
      </c>
      <c r="F931">
        <v>3</v>
      </c>
      <c r="G931">
        <v>49.9</v>
      </c>
      <c r="H931">
        <v>4.71</v>
      </c>
      <c r="I931">
        <v>0.3</v>
      </c>
      <c r="J931" t="s">
        <v>45</v>
      </c>
      <c r="K931" t="s">
        <v>52</v>
      </c>
      <c r="L931">
        <v>22</v>
      </c>
      <c r="M931">
        <v>3.63</v>
      </c>
      <c r="N931">
        <v>186.95</v>
      </c>
      <c r="O931">
        <v>1.48</v>
      </c>
      <c r="P931">
        <v>9</v>
      </c>
      <c r="Q931">
        <v>0.93</v>
      </c>
      <c r="R931">
        <v>992</v>
      </c>
      <c r="S931">
        <v>6.71</v>
      </c>
      <c r="T931">
        <v>0.96</v>
      </c>
      <c r="U931" s="1">
        <v>45654</v>
      </c>
      <c r="V931">
        <v>125.02</v>
      </c>
      <c r="W931">
        <v>0.53900000000000003</v>
      </c>
      <c r="X931" t="str">
        <f>IF(WarehouseData[[#This Row],[stock_level]]&lt;=WarehouseData[[#This Row],[reorder_point]],"Low Stock","Sufficient Stock")</f>
        <v>Sufficient Stock</v>
      </c>
      <c r="Y931">
        <f>WarehouseData[[#This Row],[daily_demand]]*WarehouseData[[#This Row],[lead_time_days]]</f>
        <v>149.69999999999999</v>
      </c>
      <c r="Z931" t="str">
        <f>IF(WarehouseData[[#This Row],[stock_level]]&lt;=WarehouseData[[#This Row],[Demand During Lead Time]],"At Risk","Safe")</f>
        <v>Safe</v>
      </c>
      <c r="AA931">
        <f>WarehouseData[[#This Row],[stock_level]]/WarehouseData[[#This Row],[daily_demand]]</f>
        <v>4.6693386773547099</v>
      </c>
      <c r="AB931">
        <f>WarehouseData[[#This Row],[stock_level]]*WarehouseData[[#This Row],[unit_price]]</f>
        <v>43559.35</v>
      </c>
      <c r="AC931">
        <f>WarehouseData[[#This Row],[stock_level]]*WarehouseData[[#This Row],[holding_cost_per_unit_day]]*30</f>
        <v>10345.199999999999</v>
      </c>
      <c r="AD931" t="str">
        <f>IF(WarehouseData[[#This Row],[order_fulfillment_rate]]&gt;=0.9,"Strong",IF(WarehouseData[[#This Row],[order_fulfillment_rate]]&gt;=0.8,"Moderate","Needs Attention"))</f>
        <v>Strong</v>
      </c>
      <c r="AE931" t="str">
        <f>IF(WarehouseData[[#This Row],[picking_time_seconds]]&gt;120,"Slow",IF(WarehouseData[[#This Row],[picking_time_seconds]]&gt;=60,"Average","Fast"))</f>
        <v>Fast</v>
      </c>
    </row>
    <row r="932" spans="1:31" x14ac:dyDescent="0.25">
      <c r="A932" t="s">
        <v>1070</v>
      </c>
      <c r="B932" t="s">
        <v>48</v>
      </c>
      <c r="C932">
        <v>216</v>
      </c>
      <c r="D932">
        <v>99</v>
      </c>
      <c r="E932">
        <v>7</v>
      </c>
      <c r="F932">
        <v>6</v>
      </c>
      <c r="G932">
        <v>9.85</v>
      </c>
      <c r="H932">
        <v>1.05</v>
      </c>
      <c r="I932">
        <v>0.65</v>
      </c>
      <c r="J932" t="s">
        <v>84</v>
      </c>
      <c r="K932" t="s">
        <v>46</v>
      </c>
      <c r="L932">
        <v>88</v>
      </c>
      <c r="M932">
        <v>2.09</v>
      </c>
      <c r="N932">
        <v>151.76</v>
      </c>
      <c r="O932">
        <v>0.34</v>
      </c>
      <c r="P932">
        <v>2</v>
      </c>
      <c r="Q932">
        <v>0.99</v>
      </c>
      <c r="R932">
        <v>388</v>
      </c>
      <c r="S932">
        <v>12.5</v>
      </c>
      <c r="T932">
        <v>0.22</v>
      </c>
      <c r="U932" s="1">
        <v>45362</v>
      </c>
      <c r="V932">
        <v>78.84</v>
      </c>
      <c r="W932">
        <v>0.73499999999999999</v>
      </c>
      <c r="X932" t="str">
        <f>IF(WarehouseData[[#This Row],[stock_level]]&lt;=WarehouseData[[#This Row],[reorder_point]],"Low Stock","Sufficient Stock")</f>
        <v>Sufficient Stock</v>
      </c>
      <c r="Y932">
        <f>WarehouseData[[#This Row],[daily_demand]]*WarehouseData[[#This Row],[lead_time_days]]</f>
        <v>59.099999999999994</v>
      </c>
      <c r="Z932" t="str">
        <f>IF(WarehouseData[[#This Row],[stock_level]]&lt;=WarehouseData[[#This Row],[Demand During Lead Time]],"At Risk","Safe")</f>
        <v>Safe</v>
      </c>
      <c r="AA932">
        <f>WarehouseData[[#This Row],[stock_level]]/WarehouseData[[#This Row],[daily_demand]]</f>
        <v>21.928934010152286</v>
      </c>
      <c r="AB932">
        <f>WarehouseData[[#This Row],[stock_level]]*WarehouseData[[#This Row],[unit_price]]</f>
        <v>32780.159999999996</v>
      </c>
      <c r="AC932">
        <f>WarehouseData[[#This Row],[stock_level]]*WarehouseData[[#This Row],[holding_cost_per_unit_day]]*30</f>
        <v>2203.2000000000003</v>
      </c>
      <c r="AD932" t="str">
        <f>IF(WarehouseData[[#This Row],[order_fulfillment_rate]]&gt;=0.9,"Strong",IF(WarehouseData[[#This Row],[order_fulfillment_rate]]&gt;=0.8,"Moderate","Needs Attention"))</f>
        <v>Strong</v>
      </c>
      <c r="AE932" t="str">
        <f>IF(WarehouseData[[#This Row],[picking_time_seconds]]&gt;120,"Slow",IF(WarehouseData[[#This Row],[picking_time_seconds]]&gt;=60,"Average","Fast"))</f>
        <v>Average</v>
      </c>
    </row>
    <row r="933" spans="1:31" x14ac:dyDescent="0.25">
      <c r="A933" t="s">
        <v>1071</v>
      </c>
      <c r="B933" t="s">
        <v>73</v>
      </c>
      <c r="C933">
        <v>398</v>
      </c>
      <c r="D933">
        <v>84</v>
      </c>
      <c r="E933">
        <v>3</v>
      </c>
      <c r="F933">
        <v>9</v>
      </c>
      <c r="G933">
        <v>2.88</v>
      </c>
      <c r="H933">
        <v>5.68</v>
      </c>
      <c r="I933">
        <v>0.84</v>
      </c>
      <c r="J933" t="s">
        <v>286</v>
      </c>
      <c r="K933" t="s">
        <v>34</v>
      </c>
      <c r="L933">
        <v>147</v>
      </c>
      <c r="M933">
        <v>4.1900000000000004</v>
      </c>
      <c r="N933">
        <v>60.11</v>
      </c>
      <c r="O933">
        <v>0.33</v>
      </c>
      <c r="P933">
        <v>4</v>
      </c>
      <c r="Q933">
        <v>0.89</v>
      </c>
      <c r="R933">
        <v>69</v>
      </c>
      <c r="S933">
        <v>14.64</v>
      </c>
      <c r="T933">
        <v>0.56000000000000005</v>
      </c>
      <c r="U933" s="1">
        <v>45651</v>
      </c>
      <c r="V933">
        <v>48.92</v>
      </c>
      <c r="W933">
        <v>0.77200000000000002</v>
      </c>
      <c r="X933" t="str">
        <f>IF(WarehouseData[[#This Row],[stock_level]]&lt;=WarehouseData[[#This Row],[reorder_point]],"Low Stock","Sufficient Stock")</f>
        <v>Sufficient Stock</v>
      </c>
      <c r="Y933">
        <f>WarehouseData[[#This Row],[daily_demand]]*WarehouseData[[#This Row],[lead_time_days]]</f>
        <v>25.919999999999998</v>
      </c>
      <c r="Z933" t="str">
        <f>IF(WarehouseData[[#This Row],[stock_level]]&lt;=WarehouseData[[#This Row],[Demand During Lead Time]],"At Risk","Safe")</f>
        <v>Safe</v>
      </c>
      <c r="AA933">
        <f>WarehouseData[[#This Row],[stock_level]]/WarehouseData[[#This Row],[daily_demand]]</f>
        <v>138.19444444444446</v>
      </c>
      <c r="AB933">
        <f>WarehouseData[[#This Row],[stock_level]]*WarehouseData[[#This Row],[unit_price]]</f>
        <v>23923.78</v>
      </c>
      <c r="AC933">
        <f>WarehouseData[[#This Row],[stock_level]]*WarehouseData[[#This Row],[holding_cost_per_unit_day]]*30</f>
        <v>3940.2000000000003</v>
      </c>
      <c r="AD933" t="str">
        <f>IF(WarehouseData[[#This Row],[order_fulfillment_rate]]&gt;=0.9,"Strong",IF(WarehouseData[[#This Row],[order_fulfillment_rate]]&gt;=0.8,"Moderate","Needs Attention"))</f>
        <v>Moderate</v>
      </c>
      <c r="AE933" t="str">
        <f>IF(WarehouseData[[#This Row],[picking_time_seconds]]&gt;120,"Slow",IF(WarehouseData[[#This Row],[picking_time_seconds]]&gt;=60,"Average","Fast"))</f>
        <v>Slow</v>
      </c>
    </row>
    <row r="934" spans="1:31" x14ac:dyDescent="0.25">
      <c r="A934" t="s">
        <v>1072</v>
      </c>
      <c r="B934" t="s">
        <v>48</v>
      </c>
      <c r="C934">
        <v>469</v>
      </c>
      <c r="D934">
        <v>83</v>
      </c>
      <c r="E934">
        <v>6</v>
      </c>
      <c r="F934">
        <v>7</v>
      </c>
      <c r="G934">
        <v>14.48</v>
      </c>
      <c r="H934">
        <v>1.29</v>
      </c>
      <c r="I934">
        <v>0.32</v>
      </c>
      <c r="J934" t="s">
        <v>379</v>
      </c>
      <c r="K934" t="s">
        <v>34</v>
      </c>
      <c r="L934">
        <v>51</v>
      </c>
      <c r="M934">
        <v>2.04</v>
      </c>
      <c r="N934">
        <v>175.36</v>
      </c>
      <c r="O934">
        <v>1.8</v>
      </c>
      <c r="P934">
        <v>6</v>
      </c>
      <c r="Q934">
        <v>0.73</v>
      </c>
      <c r="R934">
        <v>904</v>
      </c>
      <c r="S934">
        <v>14.59</v>
      </c>
      <c r="T934">
        <v>0.83</v>
      </c>
      <c r="U934" s="1">
        <v>45297</v>
      </c>
      <c r="V934">
        <v>142.19999999999999</v>
      </c>
      <c r="W934">
        <v>0.60699999999999998</v>
      </c>
      <c r="X934" t="str">
        <f>IF(WarehouseData[[#This Row],[stock_level]]&lt;=WarehouseData[[#This Row],[reorder_point]],"Low Stock","Sufficient Stock")</f>
        <v>Sufficient Stock</v>
      </c>
      <c r="Y934">
        <f>WarehouseData[[#This Row],[daily_demand]]*WarehouseData[[#This Row],[lead_time_days]]</f>
        <v>101.36</v>
      </c>
      <c r="Z934" t="str">
        <f>IF(WarehouseData[[#This Row],[stock_level]]&lt;=WarehouseData[[#This Row],[Demand During Lead Time]],"At Risk","Safe")</f>
        <v>Safe</v>
      </c>
      <c r="AA934">
        <f>WarehouseData[[#This Row],[stock_level]]/WarehouseData[[#This Row],[daily_demand]]</f>
        <v>32.389502762430936</v>
      </c>
      <c r="AB934">
        <f>WarehouseData[[#This Row],[stock_level]]*WarehouseData[[#This Row],[unit_price]]</f>
        <v>82243.840000000011</v>
      </c>
      <c r="AC934">
        <f>WarehouseData[[#This Row],[stock_level]]*WarehouseData[[#This Row],[holding_cost_per_unit_day]]*30</f>
        <v>25326</v>
      </c>
      <c r="AD934" t="str">
        <f>IF(WarehouseData[[#This Row],[order_fulfillment_rate]]&gt;=0.9,"Strong",IF(WarehouseData[[#This Row],[order_fulfillment_rate]]&gt;=0.8,"Moderate","Needs Attention"))</f>
        <v>Needs Attention</v>
      </c>
      <c r="AE934" t="str">
        <f>IF(WarehouseData[[#This Row],[picking_time_seconds]]&gt;120,"Slow",IF(WarehouseData[[#This Row],[picking_time_seconds]]&gt;=60,"Average","Fast"))</f>
        <v>Fast</v>
      </c>
    </row>
    <row r="935" spans="1:31" x14ac:dyDescent="0.25">
      <c r="A935" t="s">
        <v>1073</v>
      </c>
      <c r="B935" t="s">
        <v>40</v>
      </c>
      <c r="C935">
        <v>497</v>
      </c>
      <c r="D935">
        <v>34</v>
      </c>
      <c r="E935">
        <v>5</v>
      </c>
      <c r="F935">
        <v>4</v>
      </c>
      <c r="G935">
        <v>41.91</v>
      </c>
      <c r="H935">
        <v>8.36</v>
      </c>
      <c r="I935">
        <v>0.94</v>
      </c>
      <c r="J935" t="s">
        <v>156</v>
      </c>
      <c r="K935" t="s">
        <v>38</v>
      </c>
      <c r="L935">
        <v>178</v>
      </c>
      <c r="M935">
        <v>2.04</v>
      </c>
      <c r="N935">
        <v>178.88</v>
      </c>
      <c r="O935">
        <v>1.66</v>
      </c>
      <c r="P935">
        <v>8</v>
      </c>
      <c r="Q935">
        <v>0.73</v>
      </c>
      <c r="R935">
        <v>713</v>
      </c>
      <c r="S935">
        <v>14.73</v>
      </c>
      <c r="T935">
        <v>0.93</v>
      </c>
      <c r="U935" s="1">
        <v>45375</v>
      </c>
      <c r="V935">
        <v>184.57</v>
      </c>
      <c r="W935">
        <v>0.60199999999999998</v>
      </c>
      <c r="X935" t="str">
        <f>IF(WarehouseData[[#This Row],[stock_level]]&lt;=WarehouseData[[#This Row],[reorder_point]],"Low Stock","Sufficient Stock")</f>
        <v>Sufficient Stock</v>
      </c>
      <c r="Y935">
        <f>WarehouseData[[#This Row],[daily_demand]]*WarehouseData[[#This Row],[lead_time_days]]</f>
        <v>167.64</v>
      </c>
      <c r="Z935" t="str">
        <f>IF(WarehouseData[[#This Row],[stock_level]]&lt;=WarehouseData[[#This Row],[Demand During Lead Time]],"At Risk","Safe")</f>
        <v>Safe</v>
      </c>
      <c r="AA935">
        <f>WarehouseData[[#This Row],[stock_level]]/WarehouseData[[#This Row],[daily_demand]]</f>
        <v>11.858744929611072</v>
      </c>
      <c r="AB935">
        <f>WarehouseData[[#This Row],[stock_level]]*WarehouseData[[#This Row],[unit_price]]</f>
        <v>88903.360000000001</v>
      </c>
      <c r="AC935">
        <f>WarehouseData[[#This Row],[stock_level]]*WarehouseData[[#This Row],[holding_cost_per_unit_day]]*30</f>
        <v>24750.6</v>
      </c>
      <c r="AD935" t="str">
        <f>IF(WarehouseData[[#This Row],[order_fulfillment_rate]]&gt;=0.9,"Strong",IF(WarehouseData[[#This Row],[order_fulfillment_rate]]&gt;=0.8,"Moderate","Needs Attention"))</f>
        <v>Needs Attention</v>
      </c>
      <c r="AE935" t="str">
        <f>IF(WarehouseData[[#This Row],[picking_time_seconds]]&gt;120,"Slow",IF(WarehouseData[[#This Row],[picking_time_seconds]]&gt;=60,"Average","Fast"))</f>
        <v>Slow</v>
      </c>
    </row>
    <row r="936" spans="1:31" x14ac:dyDescent="0.25">
      <c r="A936" t="s">
        <v>1074</v>
      </c>
      <c r="B936" t="s">
        <v>36</v>
      </c>
      <c r="C936">
        <v>66</v>
      </c>
      <c r="D936">
        <v>57</v>
      </c>
      <c r="E936">
        <v>3</v>
      </c>
      <c r="F936">
        <v>9</v>
      </c>
      <c r="G936">
        <v>15.4</v>
      </c>
      <c r="H936">
        <v>6.5</v>
      </c>
      <c r="I936">
        <v>0.93</v>
      </c>
      <c r="J936" t="s">
        <v>142</v>
      </c>
      <c r="K936" t="s">
        <v>46</v>
      </c>
      <c r="L936">
        <v>130</v>
      </c>
      <c r="M936">
        <v>1.5</v>
      </c>
      <c r="N936">
        <v>79.78</v>
      </c>
      <c r="O936">
        <v>0.99</v>
      </c>
      <c r="P936">
        <v>4</v>
      </c>
      <c r="Q936">
        <v>0.93</v>
      </c>
      <c r="R936">
        <v>943</v>
      </c>
      <c r="S936">
        <v>12.85</v>
      </c>
      <c r="T936">
        <v>0.79</v>
      </c>
      <c r="U936" s="1">
        <v>45546</v>
      </c>
      <c r="V936">
        <v>292.25</v>
      </c>
      <c r="W936">
        <v>0.73599999999999999</v>
      </c>
      <c r="X936" t="str">
        <f>IF(WarehouseData[[#This Row],[stock_level]]&lt;=WarehouseData[[#This Row],[reorder_point]],"Low Stock","Sufficient Stock")</f>
        <v>Sufficient Stock</v>
      </c>
      <c r="Y936">
        <f>WarehouseData[[#This Row],[daily_demand]]*WarehouseData[[#This Row],[lead_time_days]]</f>
        <v>138.6</v>
      </c>
      <c r="Z936" t="str">
        <f>IF(WarehouseData[[#This Row],[stock_level]]&lt;=WarehouseData[[#This Row],[Demand During Lead Time]],"At Risk","Safe")</f>
        <v>At Risk</v>
      </c>
      <c r="AA936">
        <f>WarehouseData[[#This Row],[stock_level]]/WarehouseData[[#This Row],[daily_demand]]</f>
        <v>4.2857142857142856</v>
      </c>
      <c r="AB936">
        <f>WarehouseData[[#This Row],[stock_level]]*WarehouseData[[#This Row],[unit_price]]</f>
        <v>5265.4800000000005</v>
      </c>
      <c r="AC936">
        <f>WarehouseData[[#This Row],[stock_level]]*WarehouseData[[#This Row],[holding_cost_per_unit_day]]*30</f>
        <v>1960.2</v>
      </c>
      <c r="AD936" t="str">
        <f>IF(WarehouseData[[#This Row],[order_fulfillment_rate]]&gt;=0.9,"Strong",IF(WarehouseData[[#This Row],[order_fulfillment_rate]]&gt;=0.8,"Moderate","Needs Attention"))</f>
        <v>Strong</v>
      </c>
      <c r="AE936" t="str">
        <f>IF(WarehouseData[[#This Row],[picking_time_seconds]]&gt;120,"Slow",IF(WarehouseData[[#This Row],[picking_time_seconds]]&gt;=60,"Average","Fast"))</f>
        <v>Slow</v>
      </c>
    </row>
    <row r="937" spans="1:31" x14ac:dyDescent="0.25">
      <c r="A937" t="s">
        <v>1075</v>
      </c>
      <c r="B937" t="s">
        <v>73</v>
      </c>
      <c r="C937">
        <v>186</v>
      </c>
      <c r="D937">
        <v>52</v>
      </c>
      <c r="E937">
        <v>14</v>
      </c>
      <c r="F937">
        <v>8</v>
      </c>
      <c r="G937">
        <v>3.79</v>
      </c>
      <c r="H937">
        <v>5.79</v>
      </c>
      <c r="I937">
        <v>0.28000000000000003</v>
      </c>
      <c r="J937" t="s">
        <v>340</v>
      </c>
      <c r="K937" t="s">
        <v>34</v>
      </c>
      <c r="L937">
        <v>140</v>
      </c>
      <c r="M937">
        <v>3.58</v>
      </c>
      <c r="N937">
        <v>44.77</v>
      </c>
      <c r="O937">
        <v>0.35</v>
      </c>
      <c r="P937">
        <v>3</v>
      </c>
      <c r="Q937">
        <v>0.9</v>
      </c>
      <c r="R937">
        <v>220</v>
      </c>
      <c r="S937">
        <v>4.04</v>
      </c>
      <c r="T937">
        <v>0.91</v>
      </c>
      <c r="U937" s="1">
        <v>45469</v>
      </c>
      <c r="V937">
        <v>83.61</v>
      </c>
      <c r="W937">
        <v>0.72099999999999997</v>
      </c>
      <c r="X937" t="str">
        <f>IF(WarehouseData[[#This Row],[stock_level]]&lt;=WarehouseData[[#This Row],[reorder_point]],"Low Stock","Sufficient Stock")</f>
        <v>Sufficient Stock</v>
      </c>
      <c r="Y937">
        <f>WarehouseData[[#This Row],[daily_demand]]*WarehouseData[[#This Row],[lead_time_days]]</f>
        <v>30.32</v>
      </c>
      <c r="Z937" t="str">
        <f>IF(WarehouseData[[#This Row],[stock_level]]&lt;=WarehouseData[[#This Row],[Demand During Lead Time]],"At Risk","Safe")</f>
        <v>Safe</v>
      </c>
      <c r="AA937">
        <f>WarehouseData[[#This Row],[stock_level]]/WarehouseData[[#This Row],[daily_demand]]</f>
        <v>49.07651715039578</v>
      </c>
      <c r="AB937">
        <f>WarehouseData[[#This Row],[stock_level]]*WarehouseData[[#This Row],[unit_price]]</f>
        <v>8327.2200000000012</v>
      </c>
      <c r="AC937">
        <f>WarehouseData[[#This Row],[stock_level]]*WarehouseData[[#This Row],[holding_cost_per_unit_day]]*30</f>
        <v>1952.9999999999998</v>
      </c>
      <c r="AD937" t="str">
        <f>IF(WarehouseData[[#This Row],[order_fulfillment_rate]]&gt;=0.9,"Strong",IF(WarehouseData[[#This Row],[order_fulfillment_rate]]&gt;=0.8,"Moderate","Needs Attention"))</f>
        <v>Strong</v>
      </c>
      <c r="AE937" t="str">
        <f>IF(WarehouseData[[#This Row],[picking_time_seconds]]&gt;120,"Slow",IF(WarehouseData[[#This Row],[picking_time_seconds]]&gt;=60,"Average","Fast"))</f>
        <v>Slow</v>
      </c>
    </row>
    <row r="938" spans="1:31" x14ac:dyDescent="0.25">
      <c r="A938" t="s">
        <v>1076</v>
      </c>
      <c r="B938" t="s">
        <v>73</v>
      </c>
      <c r="C938">
        <v>471</v>
      </c>
      <c r="D938">
        <v>47</v>
      </c>
      <c r="E938">
        <v>7</v>
      </c>
      <c r="F938">
        <v>7</v>
      </c>
      <c r="G938">
        <v>3.57</v>
      </c>
      <c r="H938">
        <v>1.77</v>
      </c>
      <c r="I938">
        <v>0.34</v>
      </c>
      <c r="J938" t="s">
        <v>289</v>
      </c>
      <c r="K938" t="s">
        <v>46</v>
      </c>
      <c r="L938">
        <v>25</v>
      </c>
      <c r="M938">
        <v>0.84</v>
      </c>
      <c r="N938">
        <v>176.19</v>
      </c>
      <c r="O938">
        <v>1.81</v>
      </c>
      <c r="P938">
        <v>9</v>
      </c>
      <c r="Q938">
        <v>0.75</v>
      </c>
      <c r="R938">
        <v>265</v>
      </c>
      <c r="S938">
        <v>1.8</v>
      </c>
      <c r="T938">
        <v>0.23</v>
      </c>
      <c r="U938" s="1">
        <v>45559</v>
      </c>
      <c r="V938">
        <v>17.64</v>
      </c>
      <c r="W938">
        <v>0.25900000000000001</v>
      </c>
      <c r="X938" t="str">
        <f>IF(WarehouseData[[#This Row],[stock_level]]&lt;=WarehouseData[[#This Row],[reorder_point]],"Low Stock","Sufficient Stock")</f>
        <v>Sufficient Stock</v>
      </c>
      <c r="Y938">
        <f>WarehouseData[[#This Row],[daily_demand]]*WarehouseData[[#This Row],[lead_time_days]]</f>
        <v>24.99</v>
      </c>
      <c r="Z938" t="str">
        <f>IF(WarehouseData[[#This Row],[stock_level]]&lt;=WarehouseData[[#This Row],[Demand During Lead Time]],"At Risk","Safe")</f>
        <v>Safe</v>
      </c>
      <c r="AA938">
        <f>WarehouseData[[#This Row],[stock_level]]/WarehouseData[[#This Row],[daily_demand]]</f>
        <v>131.9327731092437</v>
      </c>
      <c r="AB938">
        <f>WarehouseData[[#This Row],[stock_level]]*WarehouseData[[#This Row],[unit_price]]</f>
        <v>82985.490000000005</v>
      </c>
      <c r="AC938">
        <f>WarehouseData[[#This Row],[stock_level]]*WarehouseData[[#This Row],[holding_cost_per_unit_day]]*30</f>
        <v>25575.3</v>
      </c>
      <c r="AD938" t="str">
        <f>IF(WarehouseData[[#This Row],[order_fulfillment_rate]]&gt;=0.9,"Strong",IF(WarehouseData[[#This Row],[order_fulfillment_rate]]&gt;=0.8,"Moderate","Needs Attention"))</f>
        <v>Needs Attention</v>
      </c>
      <c r="AE938" t="str">
        <f>IF(WarehouseData[[#This Row],[picking_time_seconds]]&gt;120,"Slow",IF(WarehouseData[[#This Row],[picking_time_seconds]]&gt;=60,"Average","Fast"))</f>
        <v>Fast</v>
      </c>
    </row>
    <row r="939" spans="1:31" x14ac:dyDescent="0.25">
      <c r="A939" t="s">
        <v>1077</v>
      </c>
      <c r="B939" t="s">
        <v>73</v>
      </c>
      <c r="C939">
        <v>308</v>
      </c>
      <c r="D939">
        <v>50</v>
      </c>
      <c r="E939">
        <v>8</v>
      </c>
      <c r="F939">
        <v>2</v>
      </c>
      <c r="G939">
        <v>21.94</v>
      </c>
      <c r="H939">
        <v>3.23</v>
      </c>
      <c r="I939">
        <v>0.73</v>
      </c>
      <c r="J939" t="s">
        <v>418</v>
      </c>
      <c r="K939" t="s">
        <v>52</v>
      </c>
      <c r="L939">
        <v>53</v>
      </c>
      <c r="M939">
        <v>2.13</v>
      </c>
      <c r="N939">
        <v>178.17</v>
      </c>
      <c r="O939">
        <v>0.54</v>
      </c>
      <c r="P939">
        <v>8</v>
      </c>
      <c r="Q939">
        <v>0.78</v>
      </c>
      <c r="R939">
        <v>917</v>
      </c>
      <c r="S939">
        <v>12.36</v>
      </c>
      <c r="T939">
        <v>0.28000000000000003</v>
      </c>
      <c r="U939" s="1">
        <v>45556</v>
      </c>
      <c r="V939">
        <v>223.44</v>
      </c>
      <c r="W939">
        <v>0.56299999999999994</v>
      </c>
      <c r="X939" t="str">
        <f>IF(WarehouseData[[#This Row],[stock_level]]&lt;=WarehouseData[[#This Row],[reorder_point]],"Low Stock","Sufficient Stock")</f>
        <v>Sufficient Stock</v>
      </c>
      <c r="Y939">
        <f>WarehouseData[[#This Row],[daily_demand]]*WarehouseData[[#This Row],[lead_time_days]]</f>
        <v>43.88</v>
      </c>
      <c r="Z939" t="str">
        <f>IF(WarehouseData[[#This Row],[stock_level]]&lt;=WarehouseData[[#This Row],[Demand During Lead Time]],"At Risk","Safe")</f>
        <v>Safe</v>
      </c>
      <c r="AA939">
        <f>WarehouseData[[#This Row],[stock_level]]/WarehouseData[[#This Row],[daily_demand]]</f>
        <v>14.038286235186872</v>
      </c>
      <c r="AB939">
        <f>WarehouseData[[#This Row],[stock_level]]*WarehouseData[[#This Row],[unit_price]]</f>
        <v>54876.359999999993</v>
      </c>
      <c r="AC939">
        <f>WarehouseData[[#This Row],[stock_level]]*WarehouseData[[#This Row],[holding_cost_per_unit_day]]*30</f>
        <v>4989.6000000000004</v>
      </c>
      <c r="AD939" t="str">
        <f>IF(WarehouseData[[#This Row],[order_fulfillment_rate]]&gt;=0.9,"Strong",IF(WarehouseData[[#This Row],[order_fulfillment_rate]]&gt;=0.8,"Moderate","Needs Attention"))</f>
        <v>Needs Attention</v>
      </c>
      <c r="AE939" t="str">
        <f>IF(WarehouseData[[#This Row],[picking_time_seconds]]&gt;120,"Slow",IF(WarehouseData[[#This Row],[picking_time_seconds]]&gt;=60,"Average","Fast"))</f>
        <v>Fast</v>
      </c>
    </row>
    <row r="940" spans="1:31" x14ac:dyDescent="0.25">
      <c r="A940" t="s">
        <v>1078</v>
      </c>
      <c r="B940" t="s">
        <v>73</v>
      </c>
      <c r="C940">
        <v>160</v>
      </c>
      <c r="D940">
        <v>54</v>
      </c>
      <c r="E940">
        <v>4</v>
      </c>
      <c r="F940">
        <v>6</v>
      </c>
      <c r="G940">
        <v>46.66</v>
      </c>
      <c r="H940">
        <v>5.18</v>
      </c>
      <c r="I940">
        <v>0.96</v>
      </c>
      <c r="J940" t="s">
        <v>332</v>
      </c>
      <c r="K940" t="s">
        <v>38</v>
      </c>
      <c r="L940">
        <v>167</v>
      </c>
      <c r="M940">
        <v>1.7</v>
      </c>
      <c r="N940">
        <v>29.17</v>
      </c>
      <c r="O940">
        <v>0.17</v>
      </c>
      <c r="P940">
        <v>7</v>
      </c>
      <c r="Q940">
        <v>0.93</v>
      </c>
      <c r="R940">
        <v>890</v>
      </c>
      <c r="S940">
        <v>5.32</v>
      </c>
      <c r="T940">
        <v>0.79</v>
      </c>
      <c r="U940" s="1">
        <v>45424</v>
      </c>
      <c r="V940">
        <v>78.2</v>
      </c>
      <c r="W940">
        <v>0.65800000000000003</v>
      </c>
      <c r="X940" t="str">
        <f>IF(WarehouseData[[#This Row],[stock_level]]&lt;=WarehouseData[[#This Row],[reorder_point]],"Low Stock","Sufficient Stock")</f>
        <v>Sufficient Stock</v>
      </c>
      <c r="Y940">
        <f>WarehouseData[[#This Row],[daily_demand]]*WarehouseData[[#This Row],[lead_time_days]]</f>
        <v>279.95999999999998</v>
      </c>
      <c r="Z940" t="str">
        <f>IF(WarehouseData[[#This Row],[stock_level]]&lt;=WarehouseData[[#This Row],[Demand During Lead Time]],"At Risk","Safe")</f>
        <v>At Risk</v>
      </c>
      <c r="AA940">
        <f>WarehouseData[[#This Row],[stock_level]]/WarehouseData[[#This Row],[daily_demand]]</f>
        <v>3.4290612944706389</v>
      </c>
      <c r="AB940">
        <f>WarehouseData[[#This Row],[stock_level]]*WarehouseData[[#This Row],[unit_price]]</f>
        <v>4667.2000000000007</v>
      </c>
      <c r="AC940">
        <f>WarehouseData[[#This Row],[stock_level]]*WarehouseData[[#This Row],[holding_cost_per_unit_day]]*30</f>
        <v>816.00000000000011</v>
      </c>
      <c r="AD940" t="str">
        <f>IF(WarehouseData[[#This Row],[order_fulfillment_rate]]&gt;=0.9,"Strong",IF(WarehouseData[[#This Row],[order_fulfillment_rate]]&gt;=0.8,"Moderate","Needs Attention"))</f>
        <v>Strong</v>
      </c>
      <c r="AE940" t="str">
        <f>IF(WarehouseData[[#This Row],[picking_time_seconds]]&gt;120,"Slow",IF(WarehouseData[[#This Row],[picking_time_seconds]]&gt;=60,"Average","Fast"))</f>
        <v>Slow</v>
      </c>
    </row>
    <row r="941" spans="1:31" x14ac:dyDescent="0.25">
      <c r="A941" t="s">
        <v>1079</v>
      </c>
      <c r="B941" t="s">
        <v>73</v>
      </c>
      <c r="C941">
        <v>103</v>
      </c>
      <c r="D941">
        <v>97</v>
      </c>
      <c r="E941">
        <v>5</v>
      </c>
      <c r="F941">
        <v>6</v>
      </c>
      <c r="G941">
        <v>15.01</v>
      </c>
      <c r="H941">
        <v>6.52</v>
      </c>
      <c r="I941">
        <v>0.74</v>
      </c>
      <c r="J941" t="s">
        <v>84</v>
      </c>
      <c r="K941" t="s">
        <v>34</v>
      </c>
      <c r="L941">
        <v>130</v>
      </c>
      <c r="M941">
        <v>1.53</v>
      </c>
      <c r="N941">
        <v>193.73</v>
      </c>
      <c r="O941">
        <v>1.86</v>
      </c>
      <c r="P941">
        <v>4</v>
      </c>
      <c r="Q941">
        <v>0.87</v>
      </c>
      <c r="R941">
        <v>793</v>
      </c>
      <c r="S941">
        <v>5.73</v>
      </c>
      <c r="T941">
        <v>0.8</v>
      </c>
      <c r="U941" s="1">
        <v>45377</v>
      </c>
      <c r="V941">
        <v>150.44</v>
      </c>
      <c r="W941">
        <v>0.54400000000000004</v>
      </c>
      <c r="X941" t="str">
        <f>IF(WarehouseData[[#This Row],[stock_level]]&lt;=WarehouseData[[#This Row],[reorder_point]],"Low Stock","Sufficient Stock")</f>
        <v>Sufficient Stock</v>
      </c>
      <c r="Y941">
        <f>WarehouseData[[#This Row],[daily_demand]]*WarehouseData[[#This Row],[lead_time_days]]</f>
        <v>90.06</v>
      </c>
      <c r="Z941" t="str">
        <f>IF(WarehouseData[[#This Row],[stock_level]]&lt;=WarehouseData[[#This Row],[Demand During Lead Time]],"At Risk","Safe")</f>
        <v>Safe</v>
      </c>
      <c r="AA941">
        <f>WarehouseData[[#This Row],[stock_level]]/WarehouseData[[#This Row],[daily_demand]]</f>
        <v>6.8620919387075281</v>
      </c>
      <c r="AB941">
        <f>WarehouseData[[#This Row],[stock_level]]*WarehouseData[[#This Row],[unit_price]]</f>
        <v>19954.189999999999</v>
      </c>
      <c r="AC941">
        <f>WarehouseData[[#This Row],[stock_level]]*WarehouseData[[#This Row],[holding_cost_per_unit_day]]*30</f>
        <v>5747.4000000000005</v>
      </c>
      <c r="AD941" t="str">
        <f>IF(WarehouseData[[#This Row],[order_fulfillment_rate]]&gt;=0.9,"Strong",IF(WarehouseData[[#This Row],[order_fulfillment_rate]]&gt;=0.8,"Moderate","Needs Attention"))</f>
        <v>Moderate</v>
      </c>
      <c r="AE941" t="str">
        <f>IF(WarehouseData[[#This Row],[picking_time_seconds]]&gt;120,"Slow",IF(WarehouseData[[#This Row],[picking_time_seconds]]&gt;=60,"Average","Fast"))</f>
        <v>Slow</v>
      </c>
    </row>
    <row r="942" spans="1:31" x14ac:dyDescent="0.25">
      <c r="A942" t="s">
        <v>1080</v>
      </c>
      <c r="B942" t="s">
        <v>48</v>
      </c>
      <c r="C942">
        <v>201</v>
      </c>
      <c r="D942">
        <v>49</v>
      </c>
      <c r="E942">
        <v>13</v>
      </c>
      <c r="F942">
        <v>3</v>
      </c>
      <c r="G942">
        <v>21.93</v>
      </c>
      <c r="H942">
        <v>2.2400000000000002</v>
      </c>
      <c r="I942">
        <v>0.5</v>
      </c>
      <c r="J942" t="s">
        <v>104</v>
      </c>
      <c r="K942" t="s">
        <v>38</v>
      </c>
      <c r="L942">
        <v>174</v>
      </c>
      <c r="M942">
        <v>0.77</v>
      </c>
      <c r="N942">
        <v>111.29</v>
      </c>
      <c r="O942">
        <v>1.64</v>
      </c>
      <c r="P942">
        <v>8</v>
      </c>
      <c r="Q942">
        <v>0.88</v>
      </c>
      <c r="R942">
        <v>65</v>
      </c>
      <c r="S942">
        <v>2.02</v>
      </c>
      <c r="T942">
        <v>0.68</v>
      </c>
      <c r="U942" s="1">
        <v>45482</v>
      </c>
      <c r="V942">
        <v>244.39</v>
      </c>
      <c r="W942">
        <v>0.41499999999999998</v>
      </c>
      <c r="X942" t="str">
        <f>IF(WarehouseData[[#This Row],[stock_level]]&lt;=WarehouseData[[#This Row],[reorder_point]],"Low Stock","Sufficient Stock")</f>
        <v>Sufficient Stock</v>
      </c>
      <c r="Y942">
        <f>WarehouseData[[#This Row],[daily_demand]]*WarehouseData[[#This Row],[lead_time_days]]</f>
        <v>65.789999999999992</v>
      </c>
      <c r="Z942" t="str">
        <f>IF(WarehouseData[[#This Row],[stock_level]]&lt;=WarehouseData[[#This Row],[Demand During Lead Time]],"At Risk","Safe")</f>
        <v>Safe</v>
      </c>
      <c r="AA942">
        <f>WarehouseData[[#This Row],[stock_level]]/WarehouseData[[#This Row],[daily_demand]]</f>
        <v>9.1655266757865945</v>
      </c>
      <c r="AB942">
        <f>WarehouseData[[#This Row],[stock_level]]*WarehouseData[[#This Row],[unit_price]]</f>
        <v>22369.29</v>
      </c>
      <c r="AC942">
        <f>WarehouseData[[#This Row],[stock_level]]*WarehouseData[[#This Row],[holding_cost_per_unit_day]]*30</f>
        <v>9889.1999999999989</v>
      </c>
      <c r="AD942" t="str">
        <f>IF(WarehouseData[[#This Row],[order_fulfillment_rate]]&gt;=0.9,"Strong",IF(WarehouseData[[#This Row],[order_fulfillment_rate]]&gt;=0.8,"Moderate","Needs Attention"))</f>
        <v>Moderate</v>
      </c>
      <c r="AE942" t="str">
        <f>IF(WarehouseData[[#This Row],[picking_time_seconds]]&gt;120,"Slow",IF(WarehouseData[[#This Row],[picking_time_seconds]]&gt;=60,"Average","Fast"))</f>
        <v>Slow</v>
      </c>
    </row>
    <row r="943" spans="1:31" x14ac:dyDescent="0.25">
      <c r="A943" t="s">
        <v>1081</v>
      </c>
      <c r="B943" t="s">
        <v>36</v>
      </c>
      <c r="C943">
        <v>410</v>
      </c>
      <c r="D943">
        <v>26</v>
      </c>
      <c r="E943">
        <v>8</v>
      </c>
      <c r="F943">
        <v>3</v>
      </c>
      <c r="G943">
        <v>5.99</v>
      </c>
      <c r="H943">
        <v>0.57999999999999996</v>
      </c>
      <c r="I943">
        <v>0.25</v>
      </c>
      <c r="J943" t="s">
        <v>340</v>
      </c>
      <c r="K943" t="s">
        <v>52</v>
      </c>
      <c r="L943">
        <v>33</v>
      </c>
      <c r="M943">
        <v>1.36</v>
      </c>
      <c r="N943">
        <v>198.81</v>
      </c>
      <c r="O943">
        <v>1.42</v>
      </c>
      <c r="P943">
        <v>8</v>
      </c>
      <c r="Q943">
        <v>0.76</v>
      </c>
      <c r="R943">
        <v>332</v>
      </c>
      <c r="S943">
        <v>11.01</v>
      </c>
      <c r="T943">
        <v>0.78</v>
      </c>
      <c r="U943" s="1">
        <v>45356</v>
      </c>
      <c r="V943">
        <v>20.72</v>
      </c>
      <c r="W943">
        <v>0.55300000000000005</v>
      </c>
      <c r="X943" t="str">
        <f>IF(WarehouseData[[#This Row],[stock_level]]&lt;=WarehouseData[[#This Row],[reorder_point]],"Low Stock","Sufficient Stock")</f>
        <v>Sufficient Stock</v>
      </c>
      <c r="Y943">
        <f>WarehouseData[[#This Row],[daily_demand]]*WarehouseData[[#This Row],[lead_time_days]]</f>
        <v>17.97</v>
      </c>
      <c r="Z943" t="str">
        <f>IF(WarehouseData[[#This Row],[stock_level]]&lt;=WarehouseData[[#This Row],[Demand During Lead Time]],"At Risk","Safe")</f>
        <v>Safe</v>
      </c>
      <c r="AA943">
        <f>WarehouseData[[#This Row],[stock_level]]/WarehouseData[[#This Row],[daily_demand]]</f>
        <v>68.447412353923198</v>
      </c>
      <c r="AB943">
        <f>WarehouseData[[#This Row],[stock_level]]*WarehouseData[[#This Row],[unit_price]]</f>
        <v>81512.100000000006</v>
      </c>
      <c r="AC943">
        <f>WarehouseData[[#This Row],[stock_level]]*WarehouseData[[#This Row],[holding_cost_per_unit_day]]*30</f>
        <v>17465.999999999996</v>
      </c>
      <c r="AD943" t="str">
        <f>IF(WarehouseData[[#This Row],[order_fulfillment_rate]]&gt;=0.9,"Strong",IF(WarehouseData[[#This Row],[order_fulfillment_rate]]&gt;=0.8,"Moderate","Needs Attention"))</f>
        <v>Needs Attention</v>
      </c>
      <c r="AE943" t="str">
        <f>IF(WarehouseData[[#This Row],[picking_time_seconds]]&gt;120,"Slow",IF(WarehouseData[[#This Row],[picking_time_seconds]]&gt;=60,"Average","Fast"))</f>
        <v>Fast</v>
      </c>
    </row>
    <row r="944" spans="1:31" x14ac:dyDescent="0.25">
      <c r="A944" t="s">
        <v>1082</v>
      </c>
      <c r="B944" t="s">
        <v>40</v>
      </c>
      <c r="C944">
        <v>98</v>
      </c>
      <c r="D944">
        <v>97</v>
      </c>
      <c r="E944">
        <v>6</v>
      </c>
      <c r="F944">
        <v>8</v>
      </c>
      <c r="G944">
        <v>25.19</v>
      </c>
      <c r="H944">
        <v>3.78</v>
      </c>
      <c r="I944">
        <v>0.51</v>
      </c>
      <c r="J944" t="s">
        <v>207</v>
      </c>
      <c r="K944" t="s">
        <v>46</v>
      </c>
      <c r="L944">
        <v>35</v>
      </c>
      <c r="M944">
        <v>2.5099999999999998</v>
      </c>
      <c r="N944">
        <v>94.55</v>
      </c>
      <c r="O944">
        <v>0.16</v>
      </c>
      <c r="P944">
        <v>0</v>
      </c>
      <c r="Q944">
        <v>0.89</v>
      </c>
      <c r="R944">
        <v>350</v>
      </c>
      <c r="S944">
        <v>7.03</v>
      </c>
      <c r="T944">
        <v>0.89</v>
      </c>
      <c r="U944" s="1">
        <v>45429</v>
      </c>
      <c r="V944">
        <v>51.04</v>
      </c>
      <c r="W944">
        <v>0.83399999999999996</v>
      </c>
      <c r="X944" t="str">
        <f>IF(WarehouseData[[#This Row],[stock_level]]&lt;=WarehouseData[[#This Row],[reorder_point]],"Low Stock","Sufficient Stock")</f>
        <v>Sufficient Stock</v>
      </c>
      <c r="Y944">
        <f>WarehouseData[[#This Row],[daily_demand]]*WarehouseData[[#This Row],[lead_time_days]]</f>
        <v>201.52</v>
      </c>
      <c r="Z944" t="str">
        <f>IF(WarehouseData[[#This Row],[stock_level]]&lt;=WarehouseData[[#This Row],[Demand During Lead Time]],"At Risk","Safe")</f>
        <v>At Risk</v>
      </c>
      <c r="AA944">
        <f>WarehouseData[[#This Row],[stock_level]]/WarehouseData[[#This Row],[daily_demand]]</f>
        <v>3.8904327113934101</v>
      </c>
      <c r="AB944">
        <f>WarehouseData[[#This Row],[stock_level]]*WarehouseData[[#This Row],[unit_price]]</f>
        <v>9265.9</v>
      </c>
      <c r="AC944">
        <f>WarehouseData[[#This Row],[stock_level]]*WarehouseData[[#This Row],[holding_cost_per_unit_day]]*30</f>
        <v>470.4</v>
      </c>
      <c r="AD944" t="str">
        <f>IF(WarehouseData[[#This Row],[order_fulfillment_rate]]&gt;=0.9,"Strong",IF(WarehouseData[[#This Row],[order_fulfillment_rate]]&gt;=0.8,"Moderate","Needs Attention"))</f>
        <v>Moderate</v>
      </c>
      <c r="AE944" t="str">
        <f>IF(WarehouseData[[#This Row],[picking_time_seconds]]&gt;120,"Slow",IF(WarehouseData[[#This Row],[picking_time_seconds]]&gt;=60,"Average","Fast"))</f>
        <v>Fast</v>
      </c>
    </row>
    <row r="945" spans="1:31" x14ac:dyDescent="0.25">
      <c r="A945" t="s">
        <v>1083</v>
      </c>
      <c r="B945" t="s">
        <v>40</v>
      </c>
      <c r="C945">
        <v>234</v>
      </c>
      <c r="D945">
        <v>66</v>
      </c>
      <c r="E945">
        <v>11</v>
      </c>
      <c r="F945">
        <v>2</v>
      </c>
      <c r="G945">
        <v>35.130000000000003</v>
      </c>
      <c r="H945">
        <v>5.09</v>
      </c>
      <c r="I945">
        <v>0.65</v>
      </c>
      <c r="J945" t="s">
        <v>357</v>
      </c>
      <c r="K945" t="s">
        <v>46</v>
      </c>
      <c r="L945">
        <v>67</v>
      </c>
      <c r="M945">
        <v>2.77</v>
      </c>
      <c r="N945">
        <v>111.32</v>
      </c>
      <c r="O945">
        <v>1.1000000000000001</v>
      </c>
      <c r="P945">
        <v>5</v>
      </c>
      <c r="Q945">
        <v>0.93</v>
      </c>
      <c r="R945">
        <v>214</v>
      </c>
      <c r="S945">
        <v>3.86</v>
      </c>
      <c r="T945">
        <v>0.64</v>
      </c>
      <c r="U945" s="1">
        <v>45352</v>
      </c>
      <c r="V945">
        <v>38.47</v>
      </c>
      <c r="W945">
        <v>0.55500000000000005</v>
      </c>
      <c r="X945" t="str">
        <f>IF(WarehouseData[[#This Row],[stock_level]]&lt;=WarehouseData[[#This Row],[reorder_point]],"Low Stock","Sufficient Stock")</f>
        <v>Sufficient Stock</v>
      </c>
      <c r="Y945">
        <f>WarehouseData[[#This Row],[daily_demand]]*WarehouseData[[#This Row],[lead_time_days]]</f>
        <v>70.260000000000005</v>
      </c>
      <c r="Z945" t="str">
        <f>IF(WarehouseData[[#This Row],[stock_level]]&lt;=WarehouseData[[#This Row],[Demand During Lead Time]],"At Risk","Safe")</f>
        <v>Safe</v>
      </c>
      <c r="AA945">
        <f>WarehouseData[[#This Row],[stock_level]]/WarehouseData[[#This Row],[daily_demand]]</f>
        <v>6.6609735269000847</v>
      </c>
      <c r="AB945">
        <f>WarehouseData[[#This Row],[stock_level]]*WarehouseData[[#This Row],[unit_price]]</f>
        <v>26048.879999999997</v>
      </c>
      <c r="AC945">
        <f>WarehouseData[[#This Row],[stock_level]]*WarehouseData[[#This Row],[holding_cost_per_unit_day]]*30</f>
        <v>7722.0000000000009</v>
      </c>
      <c r="AD945" t="str">
        <f>IF(WarehouseData[[#This Row],[order_fulfillment_rate]]&gt;=0.9,"Strong",IF(WarehouseData[[#This Row],[order_fulfillment_rate]]&gt;=0.8,"Moderate","Needs Attention"))</f>
        <v>Strong</v>
      </c>
      <c r="AE945" t="str">
        <f>IF(WarehouseData[[#This Row],[picking_time_seconds]]&gt;120,"Slow",IF(WarehouseData[[#This Row],[picking_time_seconds]]&gt;=60,"Average","Fast"))</f>
        <v>Average</v>
      </c>
    </row>
    <row r="946" spans="1:31" x14ac:dyDescent="0.25">
      <c r="A946" t="s">
        <v>1084</v>
      </c>
      <c r="B946" t="s">
        <v>40</v>
      </c>
      <c r="C946">
        <v>33</v>
      </c>
      <c r="D946">
        <v>11</v>
      </c>
      <c r="E946">
        <v>7</v>
      </c>
      <c r="F946">
        <v>3</v>
      </c>
      <c r="G946">
        <v>14.29</v>
      </c>
      <c r="H946">
        <v>2.25</v>
      </c>
      <c r="I946">
        <v>0.4</v>
      </c>
      <c r="J946" t="s">
        <v>190</v>
      </c>
      <c r="K946" t="s">
        <v>52</v>
      </c>
      <c r="L946">
        <v>18</v>
      </c>
      <c r="M946">
        <v>1.71</v>
      </c>
      <c r="N946">
        <v>60.56</v>
      </c>
      <c r="O946">
        <v>1.34</v>
      </c>
      <c r="P946">
        <v>4</v>
      </c>
      <c r="Q946">
        <v>0.97</v>
      </c>
      <c r="R946">
        <v>830</v>
      </c>
      <c r="S946">
        <v>10.130000000000001</v>
      </c>
      <c r="T946">
        <v>0.96</v>
      </c>
      <c r="U946" s="1">
        <v>45307</v>
      </c>
      <c r="V946">
        <v>77.78</v>
      </c>
      <c r="W946">
        <v>0.70699999999999996</v>
      </c>
      <c r="X946" t="str">
        <f>IF(WarehouseData[[#This Row],[stock_level]]&lt;=WarehouseData[[#This Row],[reorder_point]],"Low Stock","Sufficient Stock")</f>
        <v>Sufficient Stock</v>
      </c>
      <c r="Y946">
        <f>WarehouseData[[#This Row],[daily_demand]]*WarehouseData[[#This Row],[lead_time_days]]</f>
        <v>42.87</v>
      </c>
      <c r="Z946" t="str">
        <f>IF(WarehouseData[[#This Row],[stock_level]]&lt;=WarehouseData[[#This Row],[Demand During Lead Time]],"At Risk","Safe")</f>
        <v>At Risk</v>
      </c>
      <c r="AA946">
        <f>WarehouseData[[#This Row],[stock_level]]/WarehouseData[[#This Row],[daily_demand]]</f>
        <v>2.3093072078376489</v>
      </c>
      <c r="AB946">
        <f>WarehouseData[[#This Row],[stock_level]]*WarehouseData[[#This Row],[unit_price]]</f>
        <v>1998.48</v>
      </c>
      <c r="AC946">
        <f>WarehouseData[[#This Row],[stock_level]]*WarehouseData[[#This Row],[holding_cost_per_unit_day]]*30</f>
        <v>1326.6000000000001</v>
      </c>
      <c r="AD946" t="str">
        <f>IF(WarehouseData[[#This Row],[order_fulfillment_rate]]&gt;=0.9,"Strong",IF(WarehouseData[[#This Row],[order_fulfillment_rate]]&gt;=0.8,"Moderate","Needs Attention"))</f>
        <v>Strong</v>
      </c>
      <c r="AE946" t="str">
        <f>IF(WarehouseData[[#This Row],[picking_time_seconds]]&gt;120,"Slow",IF(WarehouseData[[#This Row],[picking_time_seconds]]&gt;=60,"Average","Fast"))</f>
        <v>Fast</v>
      </c>
    </row>
    <row r="947" spans="1:31" x14ac:dyDescent="0.25">
      <c r="A947" t="s">
        <v>1085</v>
      </c>
      <c r="B947" t="s">
        <v>40</v>
      </c>
      <c r="C947">
        <v>234</v>
      </c>
      <c r="D947">
        <v>71</v>
      </c>
      <c r="E947">
        <v>6</v>
      </c>
      <c r="F947">
        <v>5</v>
      </c>
      <c r="G947">
        <v>15.54</v>
      </c>
      <c r="H947">
        <v>5.18</v>
      </c>
      <c r="I947">
        <v>0.56000000000000005</v>
      </c>
      <c r="J947" t="s">
        <v>88</v>
      </c>
      <c r="K947" t="s">
        <v>52</v>
      </c>
      <c r="L947">
        <v>135</v>
      </c>
      <c r="M947">
        <v>3.43</v>
      </c>
      <c r="N947">
        <v>180.8</v>
      </c>
      <c r="O947">
        <v>1.54</v>
      </c>
      <c r="P947">
        <v>5</v>
      </c>
      <c r="Q947">
        <v>0.92</v>
      </c>
      <c r="R947">
        <v>740</v>
      </c>
      <c r="S947">
        <v>14.72</v>
      </c>
      <c r="T947">
        <v>0.76</v>
      </c>
      <c r="U947" s="1">
        <v>45463</v>
      </c>
      <c r="V947">
        <v>60.18</v>
      </c>
      <c r="W947">
        <v>0.67800000000000005</v>
      </c>
      <c r="X947" t="str">
        <f>IF(WarehouseData[[#This Row],[stock_level]]&lt;=WarehouseData[[#This Row],[reorder_point]],"Low Stock","Sufficient Stock")</f>
        <v>Sufficient Stock</v>
      </c>
      <c r="Y947">
        <f>WarehouseData[[#This Row],[daily_demand]]*WarehouseData[[#This Row],[lead_time_days]]</f>
        <v>77.699999999999989</v>
      </c>
      <c r="Z947" t="str">
        <f>IF(WarehouseData[[#This Row],[stock_level]]&lt;=WarehouseData[[#This Row],[Demand During Lead Time]],"At Risk","Safe")</f>
        <v>Safe</v>
      </c>
      <c r="AA947">
        <f>WarehouseData[[#This Row],[stock_level]]/WarehouseData[[#This Row],[daily_demand]]</f>
        <v>15.057915057915059</v>
      </c>
      <c r="AB947">
        <f>WarehouseData[[#This Row],[stock_level]]*WarehouseData[[#This Row],[unit_price]]</f>
        <v>42307.200000000004</v>
      </c>
      <c r="AC947">
        <f>WarehouseData[[#This Row],[stock_level]]*WarehouseData[[#This Row],[holding_cost_per_unit_day]]*30</f>
        <v>10810.800000000001</v>
      </c>
      <c r="AD947" t="str">
        <f>IF(WarehouseData[[#This Row],[order_fulfillment_rate]]&gt;=0.9,"Strong",IF(WarehouseData[[#This Row],[order_fulfillment_rate]]&gt;=0.8,"Moderate","Needs Attention"))</f>
        <v>Strong</v>
      </c>
      <c r="AE947" t="str">
        <f>IF(WarehouseData[[#This Row],[picking_time_seconds]]&gt;120,"Slow",IF(WarehouseData[[#This Row],[picking_time_seconds]]&gt;=60,"Average","Fast"))</f>
        <v>Slow</v>
      </c>
    </row>
    <row r="948" spans="1:31" x14ac:dyDescent="0.25">
      <c r="A948" t="s">
        <v>1086</v>
      </c>
      <c r="B948" t="s">
        <v>48</v>
      </c>
      <c r="C948">
        <v>422</v>
      </c>
      <c r="D948">
        <v>97</v>
      </c>
      <c r="E948">
        <v>4</v>
      </c>
      <c r="F948">
        <v>3</v>
      </c>
      <c r="G948">
        <v>42.26</v>
      </c>
      <c r="H948">
        <v>3.72</v>
      </c>
      <c r="I948">
        <v>0.22</v>
      </c>
      <c r="J948" t="s">
        <v>332</v>
      </c>
      <c r="K948" t="s">
        <v>34</v>
      </c>
      <c r="L948">
        <v>28</v>
      </c>
      <c r="M948">
        <v>2.0099999999999998</v>
      </c>
      <c r="N948">
        <v>94.31</v>
      </c>
      <c r="O948">
        <v>1</v>
      </c>
      <c r="P948">
        <v>9</v>
      </c>
      <c r="Q948">
        <v>0.87</v>
      </c>
      <c r="R948">
        <v>307</v>
      </c>
      <c r="S948">
        <v>7.98</v>
      </c>
      <c r="T948">
        <v>0.57999999999999996</v>
      </c>
      <c r="U948" s="1">
        <v>45511</v>
      </c>
      <c r="V948">
        <v>101.81</v>
      </c>
      <c r="W948">
        <v>0.51600000000000001</v>
      </c>
      <c r="X948" t="str">
        <f>IF(WarehouseData[[#This Row],[stock_level]]&lt;=WarehouseData[[#This Row],[reorder_point]],"Low Stock","Sufficient Stock")</f>
        <v>Sufficient Stock</v>
      </c>
      <c r="Y948">
        <f>WarehouseData[[#This Row],[daily_demand]]*WarehouseData[[#This Row],[lead_time_days]]</f>
        <v>126.78</v>
      </c>
      <c r="Z948" t="str">
        <f>IF(WarehouseData[[#This Row],[stock_level]]&lt;=WarehouseData[[#This Row],[Demand During Lead Time]],"At Risk","Safe")</f>
        <v>Safe</v>
      </c>
      <c r="AA948">
        <f>WarehouseData[[#This Row],[stock_level]]/WarehouseData[[#This Row],[daily_demand]]</f>
        <v>9.9858021769995275</v>
      </c>
      <c r="AB948">
        <f>WarehouseData[[#This Row],[stock_level]]*WarehouseData[[#This Row],[unit_price]]</f>
        <v>39798.82</v>
      </c>
      <c r="AC948">
        <f>WarehouseData[[#This Row],[stock_level]]*WarehouseData[[#This Row],[holding_cost_per_unit_day]]*30</f>
        <v>12660</v>
      </c>
      <c r="AD948" t="str">
        <f>IF(WarehouseData[[#This Row],[order_fulfillment_rate]]&gt;=0.9,"Strong",IF(WarehouseData[[#This Row],[order_fulfillment_rate]]&gt;=0.8,"Moderate","Needs Attention"))</f>
        <v>Moderate</v>
      </c>
      <c r="AE948" t="str">
        <f>IF(WarehouseData[[#This Row],[picking_time_seconds]]&gt;120,"Slow",IF(WarehouseData[[#This Row],[picking_time_seconds]]&gt;=60,"Average","Fast"))</f>
        <v>Fast</v>
      </c>
    </row>
    <row r="949" spans="1:31" x14ac:dyDescent="0.25">
      <c r="A949" t="s">
        <v>1087</v>
      </c>
      <c r="B949" t="s">
        <v>32</v>
      </c>
      <c r="C949">
        <v>147</v>
      </c>
      <c r="D949">
        <v>18</v>
      </c>
      <c r="E949">
        <v>8</v>
      </c>
      <c r="F949">
        <v>3</v>
      </c>
      <c r="G949">
        <v>1.51</v>
      </c>
      <c r="H949">
        <v>4.82</v>
      </c>
      <c r="I949">
        <v>0.51</v>
      </c>
      <c r="J949" t="s">
        <v>98</v>
      </c>
      <c r="K949" t="s">
        <v>34</v>
      </c>
      <c r="L949">
        <v>37</v>
      </c>
      <c r="M949">
        <v>2.15</v>
      </c>
      <c r="N949">
        <v>164.78</v>
      </c>
      <c r="O949">
        <v>1.91</v>
      </c>
      <c r="P949">
        <v>2</v>
      </c>
      <c r="Q949">
        <v>0.9</v>
      </c>
      <c r="R949">
        <v>637</v>
      </c>
      <c r="S949">
        <v>9.49</v>
      </c>
      <c r="T949">
        <v>0.54</v>
      </c>
      <c r="U949" s="1">
        <v>45431</v>
      </c>
      <c r="V949">
        <v>226.43</v>
      </c>
      <c r="W949">
        <v>0.58399999999999996</v>
      </c>
      <c r="X949" t="str">
        <f>IF(WarehouseData[[#This Row],[stock_level]]&lt;=WarehouseData[[#This Row],[reorder_point]],"Low Stock","Sufficient Stock")</f>
        <v>Sufficient Stock</v>
      </c>
      <c r="Y949">
        <f>WarehouseData[[#This Row],[daily_demand]]*WarehouseData[[#This Row],[lead_time_days]]</f>
        <v>4.53</v>
      </c>
      <c r="Z949" t="str">
        <f>IF(WarehouseData[[#This Row],[stock_level]]&lt;=WarehouseData[[#This Row],[Demand During Lead Time]],"At Risk","Safe")</f>
        <v>Safe</v>
      </c>
      <c r="AA949">
        <f>WarehouseData[[#This Row],[stock_level]]/WarehouseData[[#This Row],[daily_demand]]</f>
        <v>97.350993377483448</v>
      </c>
      <c r="AB949">
        <f>WarehouseData[[#This Row],[stock_level]]*WarehouseData[[#This Row],[unit_price]]</f>
        <v>24222.66</v>
      </c>
      <c r="AC949">
        <f>WarehouseData[[#This Row],[stock_level]]*WarehouseData[[#This Row],[holding_cost_per_unit_day]]*30</f>
        <v>8423.0999999999985</v>
      </c>
      <c r="AD949" t="str">
        <f>IF(WarehouseData[[#This Row],[order_fulfillment_rate]]&gt;=0.9,"Strong",IF(WarehouseData[[#This Row],[order_fulfillment_rate]]&gt;=0.8,"Moderate","Needs Attention"))</f>
        <v>Strong</v>
      </c>
      <c r="AE949" t="str">
        <f>IF(WarehouseData[[#This Row],[picking_time_seconds]]&gt;120,"Slow",IF(WarehouseData[[#This Row],[picking_time_seconds]]&gt;=60,"Average","Fast"))</f>
        <v>Fast</v>
      </c>
    </row>
    <row r="950" spans="1:31" x14ac:dyDescent="0.25">
      <c r="A950" t="s">
        <v>1088</v>
      </c>
      <c r="B950" t="s">
        <v>36</v>
      </c>
      <c r="C950">
        <v>329</v>
      </c>
      <c r="D950">
        <v>77</v>
      </c>
      <c r="E950">
        <v>12</v>
      </c>
      <c r="F950">
        <v>5</v>
      </c>
      <c r="G950">
        <v>32.19</v>
      </c>
      <c r="H950">
        <v>3.8</v>
      </c>
      <c r="I950">
        <v>0.18</v>
      </c>
      <c r="J950" t="s">
        <v>334</v>
      </c>
      <c r="K950" t="s">
        <v>34</v>
      </c>
      <c r="L950">
        <v>144</v>
      </c>
      <c r="M950">
        <v>4.0199999999999996</v>
      </c>
      <c r="N950">
        <v>25.15</v>
      </c>
      <c r="O950">
        <v>0.56999999999999995</v>
      </c>
      <c r="P950">
        <v>2</v>
      </c>
      <c r="Q950">
        <v>0.85</v>
      </c>
      <c r="R950">
        <v>666</v>
      </c>
      <c r="S950">
        <v>3.28</v>
      </c>
      <c r="T950">
        <v>0.8</v>
      </c>
      <c r="U950" s="1">
        <v>45560</v>
      </c>
      <c r="V950">
        <v>22.28</v>
      </c>
      <c r="W950">
        <v>0.67700000000000005</v>
      </c>
      <c r="X950" t="str">
        <f>IF(WarehouseData[[#This Row],[stock_level]]&lt;=WarehouseData[[#This Row],[reorder_point]],"Low Stock","Sufficient Stock")</f>
        <v>Sufficient Stock</v>
      </c>
      <c r="Y950">
        <f>WarehouseData[[#This Row],[daily_demand]]*WarehouseData[[#This Row],[lead_time_days]]</f>
        <v>160.94999999999999</v>
      </c>
      <c r="Z950" t="str">
        <f>IF(WarehouseData[[#This Row],[stock_level]]&lt;=WarehouseData[[#This Row],[Demand During Lead Time]],"At Risk","Safe")</f>
        <v>Safe</v>
      </c>
      <c r="AA950">
        <f>WarehouseData[[#This Row],[stock_level]]/WarehouseData[[#This Row],[daily_demand]]</f>
        <v>10.220565392979188</v>
      </c>
      <c r="AB950">
        <f>WarehouseData[[#This Row],[stock_level]]*WarehouseData[[#This Row],[unit_price]]</f>
        <v>8274.35</v>
      </c>
      <c r="AC950">
        <f>WarehouseData[[#This Row],[stock_level]]*WarehouseData[[#This Row],[holding_cost_per_unit_day]]*30</f>
        <v>5625.9</v>
      </c>
      <c r="AD950" t="str">
        <f>IF(WarehouseData[[#This Row],[order_fulfillment_rate]]&gt;=0.9,"Strong",IF(WarehouseData[[#This Row],[order_fulfillment_rate]]&gt;=0.8,"Moderate","Needs Attention"))</f>
        <v>Moderate</v>
      </c>
      <c r="AE950" t="str">
        <f>IF(WarehouseData[[#This Row],[picking_time_seconds]]&gt;120,"Slow",IF(WarehouseData[[#This Row],[picking_time_seconds]]&gt;=60,"Average","Fast"))</f>
        <v>Slow</v>
      </c>
    </row>
    <row r="951" spans="1:31" x14ac:dyDescent="0.25">
      <c r="A951" t="s">
        <v>1089</v>
      </c>
      <c r="B951" t="s">
        <v>73</v>
      </c>
      <c r="C951">
        <v>496</v>
      </c>
      <c r="D951">
        <v>90</v>
      </c>
      <c r="E951">
        <v>4</v>
      </c>
      <c r="F951">
        <v>2</v>
      </c>
      <c r="G951">
        <v>20.3</v>
      </c>
      <c r="H951">
        <v>6.47</v>
      </c>
      <c r="I951">
        <v>0.14000000000000001</v>
      </c>
      <c r="J951" t="s">
        <v>64</v>
      </c>
      <c r="K951" t="s">
        <v>34</v>
      </c>
      <c r="L951">
        <v>54</v>
      </c>
      <c r="M951">
        <v>2.98</v>
      </c>
      <c r="N951">
        <v>159.77000000000001</v>
      </c>
      <c r="O951">
        <v>0.23</v>
      </c>
      <c r="P951">
        <v>9</v>
      </c>
      <c r="Q951">
        <v>0.77</v>
      </c>
      <c r="R951">
        <v>402</v>
      </c>
      <c r="S951">
        <v>3.25</v>
      </c>
      <c r="T951">
        <v>0.7</v>
      </c>
      <c r="U951" s="1">
        <v>45324</v>
      </c>
      <c r="V951">
        <v>31.39</v>
      </c>
      <c r="W951">
        <v>0.53400000000000003</v>
      </c>
      <c r="X951" t="str">
        <f>IF(WarehouseData[[#This Row],[stock_level]]&lt;=WarehouseData[[#This Row],[reorder_point]],"Low Stock","Sufficient Stock")</f>
        <v>Sufficient Stock</v>
      </c>
      <c r="Y951">
        <f>WarehouseData[[#This Row],[daily_demand]]*WarehouseData[[#This Row],[lead_time_days]]</f>
        <v>40.6</v>
      </c>
      <c r="Z951" t="str">
        <f>IF(WarehouseData[[#This Row],[stock_level]]&lt;=WarehouseData[[#This Row],[Demand During Lead Time]],"At Risk","Safe")</f>
        <v>Safe</v>
      </c>
      <c r="AA951">
        <f>WarehouseData[[#This Row],[stock_level]]/WarehouseData[[#This Row],[daily_demand]]</f>
        <v>24.433497536945811</v>
      </c>
      <c r="AB951">
        <f>WarehouseData[[#This Row],[stock_level]]*WarehouseData[[#This Row],[unit_price]]</f>
        <v>79245.919999999998</v>
      </c>
      <c r="AC951">
        <f>WarehouseData[[#This Row],[stock_level]]*WarehouseData[[#This Row],[holding_cost_per_unit_day]]*30</f>
        <v>3422.4</v>
      </c>
      <c r="AD951" t="str">
        <f>IF(WarehouseData[[#This Row],[order_fulfillment_rate]]&gt;=0.9,"Strong",IF(WarehouseData[[#This Row],[order_fulfillment_rate]]&gt;=0.8,"Moderate","Needs Attention"))</f>
        <v>Needs Attention</v>
      </c>
      <c r="AE951" t="str">
        <f>IF(WarehouseData[[#This Row],[picking_time_seconds]]&gt;120,"Slow",IF(WarehouseData[[#This Row],[picking_time_seconds]]&gt;=60,"Average","Fast"))</f>
        <v>Fast</v>
      </c>
    </row>
    <row r="952" spans="1:31" x14ac:dyDescent="0.25">
      <c r="A952" t="s">
        <v>1090</v>
      </c>
      <c r="B952" t="s">
        <v>32</v>
      </c>
      <c r="C952">
        <v>267</v>
      </c>
      <c r="D952">
        <v>26</v>
      </c>
      <c r="E952">
        <v>14</v>
      </c>
      <c r="F952">
        <v>5</v>
      </c>
      <c r="G952">
        <v>15.62</v>
      </c>
      <c r="H952">
        <v>0.91</v>
      </c>
      <c r="I952">
        <v>0.87</v>
      </c>
      <c r="J952" t="s">
        <v>146</v>
      </c>
      <c r="K952" t="s">
        <v>34</v>
      </c>
      <c r="L952">
        <v>137</v>
      </c>
      <c r="M952">
        <v>4.79</v>
      </c>
      <c r="N952">
        <v>103.15</v>
      </c>
      <c r="O952">
        <v>0.73</v>
      </c>
      <c r="P952">
        <v>4</v>
      </c>
      <c r="Q952">
        <v>0.96</v>
      </c>
      <c r="R952">
        <v>136</v>
      </c>
      <c r="S952">
        <v>7.42</v>
      </c>
      <c r="T952">
        <v>0.85</v>
      </c>
      <c r="U952" s="1">
        <v>45426</v>
      </c>
      <c r="V952">
        <v>173.65</v>
      </c>
      <c r="W952">
        <v>0.70799999999999996</v>
      </c>
      <c r="X952" t="str">
        <f>IF(WarehouseData[[#This Row],[stock_level]]&lt;=WarehouseData[[#This Row],[reorder_point]],"Low Stock","Sufficient Stock")</f>
        <v>Sufficient Stock</v>
      </c>
      <c r="Y952">
        <f>WarehouseData[[#This Row],[daily_demand]]*WarehouseData[[#This Row],[lead_time_days]]</f>
        <v>78.099999999999994</v>
      </c>
      <c r="Z952" t="str">
        <f>IF(WarehouseData[[#This Row],[stock_level]]&lt;=WarehouseData[[#This Row],[Demand During Lead Time]],"At Risk","Safe")</f>
        <v>Safe</v>
      </c>
      <c r="AA952">
        <f>WarehouseData[[#This Row],[stock_level]]/WarehouseData[[#This Row],[daily_demand]]</f>
        <v>17.093469910371319</v>
      </c>
      <c r="AB952">
        <f>WarehouseData[[#This Row],[stock_level]]*WarehouseData[[#This Row],[unit_price]]</f>
        <v>27541.050000000003</v>
      </c>
      <c r="AC952">
        <f>WarehouseData[[#This Row],[stock_level]]*WarehouseData[[#This Row],[holding_cost_per_unit_day]]*30</f>
        <v>5847.3</v>
      </c>
      <c r="AD952" t="str">
        <f>IF(WarehouseData[[#This Row],[order_fulfillment_rate]]&gt;=0.9,"Strong",IF(WarehouseData[[#This Row],[order_fulfillment_rate]]&gt;=0.8,"Moderate","Needs Attention"))</f>
        <v>Strong</v>
      </c>
      <c r="AE952" t="str">
        <f>IF(WarehouseData[[#This Row],[picking_time_seconds]]&gt;120,"Slow",IF(WarehouseData[[#This Row],[picking_time_seconds]]&gt;=60,"Average","Fast"))</f>
        <v>Slow</v>
      </c>
    </row>
    <row r="953" spans="1:31" x14ac:dyDescent="0.25">
      <c r="A953" t="s">
        <v>1091</v>
      </c>
      <c r="B953" t="s">
        <v>40</v>
      </c>
      <c r="C953">
        <v>423</v>
      </c>
      <c r="D953">
        <v>59</v>
      </c>
      <c r="E953">
        <v>9</v>
      </c>
      <c r="F953">
        <v>6</v>
      </c>
      <c r="G953">
        <v>33.22</v>
      </c>
      <c r="H953">
        <v>2.12</v>
      </c>
      <c r="I953">
        <v>0.28000000000000003</v>
      </c>
      <c r="J953" t="s">
        <v>51</v>
      </c>
      <c r="K953" t="s">
        <v>46</v>
      </c>
      <c r="L953">
        <v>103</v>
      </c>
      <c r="M953">
        <v>2.12</v>
      </c>
      <c r="N953">
        <v>11.03</v>
      </c>
      <c r="O953">
        <v>1.36</v>
      </c>
      <c r="P953">
        <v>6</v>
      </c>
      <c r="Q953">
        <v>0.86</v>
      </c>
      <c r="R953">
        <v>876</v>
      </c>
      <c r="S953">
        <v>12.83</v>
      </c>
      <c r="T953">
        <v>0.82</v>
      </c>
      <c r="U953" s="1">
        <v>45656</v>
      </c>
      <c r="V953">
        <v>160.88</v>
      </c>
      <c r="W953">
        <v>0.65100000000000002</v>
      </c>
      <c r="X953" t="str">
        <f>IF(WarehouseData[[#This Row],[stock_level]]&lt;=WarehouseData[[#This Row],[reorder_point]],"Low Stock","Sufficient Stock")</f>
        <v>Sufficient Stock</v>
      </c>
      <c r="Y953">
        <f>WarehouseData[[#This Row],[daily_demand]]*WarehouseData[[#This Row],[lead_time_days]]</f>
        <v>199.32</v>
      </c>
      <c r="Z953" t="str">
        <f>IF(WarehouseData[[#This Row],[stock_level]]&lt;=WarehouseData[[#This Row],[Demand During Lead Time]],"At Risk","Safe")</f>
        <v>Safe</v>
      </c>
      <c r="AA953">
        <f>WarehouseData[[#This Row],[stock_level]]/WarehouseData[[#This Row],[daily_demand]]</f>
        <v>12.733293196869356</v>
      </c>
      <c r="AB953">
        <f>WarehouseData[[#This Row],[stock_level]]*WarehouseData[[#This Row],[unit_price]]</f>
        <v>4665.6899999999996</v>
      </c>
      <c r="AC953">
        <f>WarehouseData[[#This Row],[stock_level]]*WarehouseData[[#This Row],[holding_cost_per_unit_day]]*30</f>
        <v>17258.400000000001</v>
      </c>
      <c r="AD953" t="str">
        <f>IF(WarehouseData[[#This Row],[order_fulfillment_rate]]&gt;=0.9,"Strong",IF(WarehouseData[[#This Row],[order_fulfillment_rate]]&gt;=0.8,"Moderate","Needs Attention"))</f>
        <v>Moderate</v>
      </c>
      <c r="AE953" t="str">
        <f>IF(WarehouseData[[#This Row],[picking_time_seconds]]&gt;120,"Slow",IF(WarehouseData[[#This Row],[picking_time_seconds]]&gt;=60,"Average","Fast"))</f>
        <v>Average</v>
      </c>
    </row>
    <row r="954" spans="1:31" x14ac:dyDescent="0.25">
      <c r="A954" t="s">
        <v>1092</v>
      </c>
      <c r="B954" t="s">
        <v>32</v>
      </c>
      <c r="C954">
        <v>48</v>
      </c>
      <c r="D954">
        <v>49</v>
      </c>
      <c r="E954">
        <v>5</v>
      </c>
      <c r="F954">
        <v>5</v>
      </c>
      <c r="G954">
        <v>41.9</v>
      </c>
      <c r="H954">
        <v>4.6100000000000003</v>
      </c>
      <c r="I954">
        <v>0.62</v>
      </c>
      <c r="J954" t="s">
        <v>223</v>
      </c>
      <c r="K954" t="s">
        <v>34</v>
      </c>
      <c r="L954">
        <v>174</v>
      </c>
      <c r="M954">
        <v>4.2300000000000004</v>
      </c>
      <c r="N954">
        <v>52.99</v>
      </c>
      <c r="O954">
        <v>1.5</v>
      </c>
      <c r="P954">
        <v>3</v>
      </c>
      <c r="Q954">
        <v>0.88</v>
      </c>
      <c r="R954">
        <v>575</v>
      </c>
      <c r="S954">
        <v>13.73</v>
      </c>
      <c r="T954">
        <v>0.62</v>
      </c>
      <c r="U954" s="1">
        <v>45587</v>
      </c>
      <c r="V954">
        <v>147.47999999999999</v>
      </c>
      <c r="W954">
        <v>0.67300000000000004</v>
      </c>
      <c r="X954" t="str">
        <f>IF(WarehouseData[[#This Row],[stock_level]]&lt;=WarehouseData[[#This Row],[reorder_point]],"Low Stock","Sufficient Stock")</f>
        <v>Low Stock</v>
      </c>
      <c r="Y954">
        <f>WarehouseData[[#This Row],[daily_demand]]*WarehouseData[[#This Row],[lead_time_days]]</f>
        <v>209.5</v>
      </c>
      <c r="Z954" t="str">
        <f>IF(WarehouseData[[#This Row],[stock_level]]&lt;=WarehouseData[[#This Row],[Demand During Lead Time]],"At Risk","Safe")</f>
        <v>At Risk</v>
      </c>
      <c r="AA954">
        <f>WarehouseData[[#This Row],[stock_level]]/WarehouseData[[#This Row],[daily_demand]]</f>
        <v>1.1455847255369929</v>
      </c>
      <c r="AB954">
        <f>WarehouseData[[#This Row],[stock_level]]*WarehouseData[[#This Row],[unit_price]]</f>
        <v>2543.52</v>
      </c>
      <c r="AC954">
        <f>WarehouseData[[#This Row],[stock_level]]*WarehouseData[[#This Row],[holding_cost_per_unit_day]]*30</f>
        <v>2160</v>
      </c>
      <c r="AD954" t="str">
        <f>IF(WarehouseData[[#This Row],[order_fulfillment_rate]]&gt;=0.9,"Strong",IF(WarehouseData[[#This Row],[order_fulfillment_rate]]&gt;=0.8,"Moderate","Needs Attention"))</f>
        <v>Moderate</v>
      </c>
      <c r="AE954" t="str">
        <f>IF(WarehouseData[[#This Row],[picking_time_seconds]]&gt;120,"Slow",IF(WarehouseData[[#This Row],[picking_time_seconds]]&gt;=60,"Average","Fast"))</f>
        <v>Slow</v>
      </c>
    </row>
    <row r="955" spans="1:31" x14ac:dyDescent="0.25">
      <c r="A955" t="s">
        <v>1093</v>
      </c>
      <c r="B955" t="s">
        <v>36</v>
      </c>
      <c r="C955">
        <v>299</v>
      </c>
      <c r="D955">
        <v>67</v>
      </c>
      <c r="E955">
        <v>11</v>
      </c>
      <c r="F955">
        <v>4</v>
      </c>
      <c r="G955">
        <v>28.36</v>
      </c>
      <c r="H955">
        <v>3.88</v>
      </c>
      <c r="I955">
        <v>0.23</v>
      </c>
      <c r="J955" t="s">
        <v>207</v>
      </c>
      <c r="K955" t="s">
        <v>52</v>
      </c>
      <c r="L955">
        <v>25</v>
      </c>
      <c r="M955">
        <v>3.82</v>
      </c>
      <c r="N955">
        <v>46.81</v>
      </c>
      <c r="O955">
        <v>1.5</v>
      </c>
      <c r="P955">
        <v>5</v>
      </c>
      <c r="Q955">
        <v>1</v>
      </c>
      <c r="R955">
        <v>920</v>
      </c>
      <c r="S955">
        <v>9.98</v>
      </c>
      <c r="T955">
        <v>0.96</v>
      </c>
      <c r="U955" s="1">
        <v>45613</v>
      </c>
      <c r="V955">
        <v>159.61000000000001</v>
      </c>
      <c r="W955">
        <v>0.67500000000000004</v>
      </c>
      <c r="X955" t="str">
        <f>IF(WarehouseData[[#This Row],[stock_level]]&lt;=WarehouseData[[#This Row],[reorder_point]],"Low Stock","Sufficient Stock")</f>
        <v>Sufficient Stock</v>
      </c>
      <c r="Y955">
        <f>WarehouseData[[#This Row],[daily_demand]]*WarehouseData[[#This Row],[lead_time_days]]</f>
        <v>113.44</v>
      </c>
      <c r="Z955" t="str">
        <f>IF(WarehouseData[[#This Row],[stock_level]]&lt;=WarehouseData[[#This Row],[Demand During Lead Time]],"At Risk","Safe")</f>
        <v>Safe</v>
      </c>
      <c r="AA955">
        <f>WarehouseData[[#This Row],[stock_level]]/WarehouseData[[#This Row],[daily_demand]]</f>
        <v>10.543018335684062</v>
      </c>
      <c r="AB955">
        <f>WarehouseData[[#This Row],[stock_level]]*WarehouseData[[#This Row],[unit_price]]</f>
        <v>13996.19</v>
      </c>
      <c r="AC955">
        <f>WarehouseData[[#This Row],[stock_level]]*WarehouseData[[#This Row],[holding_cost_per_unit_day]]*30</f>
        <v>13455</v>
      </c>
      <c r="AD955" t="str">
        <f>IF(WarehouseData[[#This Row],[order_fulfillment_rate]]&gt;=0.9,"Strong",IF(WarehouseData[[#This Row],[order_fulfillment_rate]]&gt;=0.8,"Moderate","Needs Attention"))</f>
        <v>Strong</v>
      </c>
      <c r="AE955" t="str">
        <f>IF(WarehouseData[[#This Row],[picking_time_seconds]]&gt;120,"Slow",IF(WarehouseData[[#This Row],[picking_time_seconds]]&gt;=60,"Average","Fast"))</f>
        <v>Fast</v>
      </c>
    </row>
    <row r="956" spans="1:31" x14ac:dyDescent="0.25">
      <c r="A956" t="s">
        <v>1094</v>
      </c>
      <c r="B956" t="s">
        <v>73</v>
      </c>
      <c r="C956">
        <v>357</v>
      </c>
      <c r="D956">
        <v>84</v>
      </c>
      <c r="E956">
        <v>13</v>
      </c>
      <c r="F956">
        <v>6</v>
      </c>
      <c r="G956">
        <v>2.52</v>
      </c>
      <c r="H956">
        <v>4.22</v>
      </c>
      <c r="I956">
        <v>0.34</v>
      </c>
      <c r="J956" t="s">
        <v>49</v>
      </c>
      <c r="K956" t="s">
        <v>52</v>
      </c>
      <c r="L956">
        <v>14</v>
      </c>
      <c r="M956">
        <v>4.51</v>
      </c>
      <c r="N956">
        <v>152.84</v>
      </c>
      <c r="O956">
        <v>0.31</v>
      </c>
      <c r="P956">
        <v>4</v>
      </c>
      <c r="Q956">
        <v>1</v>
      </c>
      <c r="R956">
        <v>994</v>
      </c>
      <c r="S956">
        <v>6.05</v>
      </c>
      <c r="T956">
        <v>0.76</v>
      </c>
      <c r="U956" s="1">
        <v>45331</v>
      </c>
      <c r="V956">
        <v>225.19</v>
      </c>
      <c r="W956">
        <v>0.72199999999999998</v>
      </c>
      <c r="X956" t="str">
        <f>IF(WarehouseData[[#This Row],[stock_level]]&lt;=WarehouseData[[#This Row],[reorder_point]],"Low Stock","Sufficient Stock")</f>
        <v>Sufficient Stock</v>
      </c>
      <c r="Y956">
        <f>WarehouseData[[#This Row],[daily_demand]]*WarehouseData[[#This Row],[lead_time_days]]</f>
        <v>15.120000000000001</v>
      </c>
      <c r="Z956" t="str">
        <f>IF(WarehouseData[[#This Row],[stock_level]]&lt;=WarehouseData[[#This Row],[Demand During Lead Time]],"At Risk","Safe")</f>
        <v>Safe</v>
      </c>
      <c r="AA956">
        <f>WarehouseData[[#This Row],[stock_level]]/WarehouseData[[#This Row],[daily_demand]]</f>
        <v>141.66666666666666</v>
      </c>
      <c r="AB956">
        <f>WarehouseData[[#This Row],[stock_level]]*WarehouseData[[#This Row],[unit_price]]</f>
        <v>54563.880000000005</v>
      </c>
      <c r="AC956">
        <f>WarehouseData[[#This Row],[stock_level]]*WarehouseData[[#This Row],[holding_cost_per_unit_day]]*30</f>
        <v>3320.1</v>
      </c>
      <c r="AD956" t="str">
        <f>IF(WarehouseData[[#This Row],[order_fulfillment_rate]]&gt;=0.9,"Strong",IF(WarehouseData[[#This Row],[order_fulfillment_rate]]&gt;=0.8,"Moderate","Needs Attention"))</f>
        <v>Strong</v>
      </c>
      <c r="AE956" t="str">
        <f>IF(WarehouseData[[#This Row],[picking_time_seconds]]&gt;120,"Slow",IF(WarehouseData[[#This Row],[picking_time_seconds]]&gt;=60,"Average","Fast"))</f>
        <v>Fast</v>
      </c>
    </row>
    <row r="957" spans="1:31" x14ac:dyDescent="0.25">
      <c r="A957" t="s">
        <v>1095</v>
      </c>
      <c r="B957" t="s">
        <v>73</v>
      </c>
      <c r="C957">
        <v>338</v>
      </c>
      <c r="D957">
        <v>94</v>
      </c>
      <c r="E957">
        <v>7</v>
      </c>
      <c r="F957">
        <v>3</v>
      </c>
      <c r="G957">
        <v>23.61</v>
      </c>
      <c r="H957">
        <v>8.14</v>
      </c>
      <c r="I957">
        <v>0.43</v>
      </c>
      <c r="J957" t="s">
        <v>338</v>
      </c>
      <c r="K957" t="s">
        <v>34</v>
      </c>
      <c r="L957">
        <v>166</v>
      </c>
      <c r="M957">
        <v>4.8099999999999996</v>
      </c>
      <c r="N957">
        <v>100.67</v>
      </c>
      <c r="O957">
        <v>1.78</v>
      </c>
      <c r="P957">
        <v>1</v>
      </c>
      <c r="Q957">
        <v>0.88</v>
      </c>
      <c r="R957">
        <v>847</v>
      </c>
      <c r="S957">
        <v>11.5</v>
      </c>
      <c r="T957">
        <v>0.36</v>
      </c>
      <c r="U957" s="1">
        <v>45546</v>
      </c>
      <c r="V957">
        <v>177.07</v>
      </c>
      <c r="W957">
        <v>0.60299999999999998</v>
      </c>
      <c r="X957" t="str">
        <f>IF(WarehouseData[[#This Row],[stock_level]]&lt;=WarehouseData[[#This Row],[reorder_point]],"Low Stock","Sufficient Stock")</f>
        <v>Sufficient Stock</v>
      </c>
      <c r="Y957">
        <f>WarehouseData[[#This Row],[daily_demand]]*WarehouseData[[#This Row],[lead_time_days]]</f>
        <v>70.83</v>
      </c>
      <c r="Z957" t="str">
        <f>IF(WarehouseData[[#This Row],[stock_level]]&lt;=WarehouseData[[#This Row],[Demand During Lead Time]],"At Risk","Safe")</f>
        <v>Safe</v>
      </c>
      <c r="AA957">
        <f>WarehouseData[[#This Row],[stock_level]]/WarehouseData[[#This Row],[daily_demand]]</f>
        <v>14.315967810249894</v>
      </c>
      <c r="AB957">
        <f>WarehouseData[[#This Row],[stock_level]]*WarehouseData[[#This Row],[unit_price]]</f>
        <v>34026.46</v>
      </c>
      <c r="AC957">
        <f>WarehouseData[[#This Row],[stock_level]]*WarehouseData[[#This Row],[holding_cost_per_unit_day]]*30</f>
        <v>18049.2</v>
      </c>
      <c r="AD957" t="str">
        <f>IF(WarehouseData[[#This Row],[order_fulfillment_rate]]&gt;=0.9,"Strong",IF(WarehouseData[[#This Row],[order_fulfillment_rate]]&gt;=0.8,"Moderate","Needs Attention"))</f>
        <v>Moderate</v>
      </c>
      <c r="AE957" t="str">
        <f>IF(WarehouseData[[#This Row],[picking_time_seconds]]&gt;120,"Slow",IF(WarehouseData[[#This Row],[picking_time_seconds]]&gt;=60,"Average","Fast"))</f>
        <v>Slow</v>
      </c>
    </row>
    <row r="958" spans="1:31" x14ac:dyDescent="0.25">
      <c r="A958" t="s">
        <v>1096</v>
      </c>
      <c r="B958" t="s">
        <v>36</v>
      </c>
      <c r="C958">
        <v>221</v>
      </c>
      <c r="D958">
        <v>30</v>
      </c>
      <c r="E958">
        <v>10</v>
      </c>
      <c r="F958">
        <v>8</v>
      </c>
      <c r="G958">
        <v>23.68</v>
      </c>
      <c r="H958">
        <v>8.92</v>
      </c>
      <c r="I958">
        <v>0.23</v>
      </c>
      <c r="J958" t="s">
        <v>163</v>
      </c>
      <c r="K958" t="s">
        <v>52</v>
      </c>
      <c r="L958">
        <v>61</v>
      </c>
      <c r="M958">
        <v>0.53</v>
      </c>
      <c r="N958">
        <v>40.35</v>
      </c>
      <c r="O958">
        <v>0.63</v>
      </c>
      <c r="P958">
        <v>0</v>
      </c>
      <c r="Q958">
        <v>0.71</v>
      </c>
      <c r="R958">
        <v>808</v>
      </c>
      <c r="S958">
        <v>5.09</v>
      </c>
      <c r="T958">
        <v>0.69</v>
      </c>
      <c r="U958" s="1">
        <v>45525</v>
      </c>
      <c r="V958">
        <v>142.52000000000001</v>
      </c>
      <c r="W958">
        <v>0.68500000000000005</v>
      </c>
      <c r="X958" t="str">
        <f>IF(WarehouseData[[#This Row],[stock_level]]&lt;=WarehouseData[[#This Row],[reorder_point]],"Low Stock","Sufficient Stock")</f>
        <v>Sufficient Stock</v>
      </c>
      <c r="Y958">
        <f>WarehouseData[[#This Row],[daily_demand]]*WarehouseData[[#This Row],[lead_time_days]]</f>
        <v>189.44</v>
      </c>
      <c r="Z958" t="str">
        <f>IF(WarehouseData[[#This Row],[stock_level]]&lt;=WarehouseData[[#This Row],[Demand During Lead Time]],"At Risk","Safe")</f>
        <v>Safe</v>
      </c>
      <c r="AA958">
        <f>WarehouseData[[#This Row],[stock_level]]/WarehouseData[[#This Row],[daily_demand]]</f>
        <v>9.3327702702702702</v>
      </c>
      <c r="AB958">
        <f>WarehouseData[[#This Row],[stock_level]]*WarehouseData[[#This Row],[unit_price]]</f>
        <v>8917.35</v>
      </c>
      <c r="AC958">
        <f>WarehouseData[[#This Row],[stock_level]]*WarehouseData[[#This Row],[holding_cost_per_unit_day]]*30</f>
        <v>4176.8999999999996</v>
      </c>
      <c r="AD958" t="str">
        <f>IF(WarehouseData[[#This Row],[order_fulfillment_rate]]&gt;=0.9,"Strong",IF(WarehouseData[[#This Row],[order_fulfillment_rate]]&gt;=0.8,"Moderate","Needs Attention"))</f>
        <v>Needs Attention</v>
      </c>
      <c r="AE958" t="str">
        <f>IF(WarehouseData[[#This Row],[picking_time_seconds]]&gt;120,"Slow",IF(WarehouseData[[#This Row],[picking_time_seconds]]&gt;=60,"Average","Fast"))</f>
        <v>Average</v>
      </c>
    </row>
    <row r="959" spans="1:31" x14ac:dyDescent="0.25">
      <c r="A959" t="s">
        <v>1097</v>
      </c>
      <c r="B959" t="s">
        <v>36</v>
      </c>
      <c r="C959">
        <v>380</v>
      </c>
      <c r="D959">
        <v>27</v>
      </c>
      <c r="E959">
        <v>13</v>
      </c>
      <c r="F959">
        <v>6</v>
      </c>
      <c r="G959">
        <v>27.65</v>
      </c>
      <c r="H959">
        <v>2.86</v>
      </c>
      <c r="I959">
        <v>0.14000000000000001</v>
      </c>
      <c r="J959" t="s">
        <v>251</v>
      </c>
      <c r="K959" t="s">
        <v>38</v>
      </c>
      <c r="L959">
        <v>160</v>
      </c>
      <c r="M959">
        <v>0.9</v>
      </c>
      <c r="N959">
        <v>58.79</v>
      </c>
      <c r="O959">
        <v>0.5</v>
      </c>
      <c r="P959">
        <v>5</v>
      </c>
      <c r="Q959">
        <v>0.82</v>
      </c>
      <c r="R959">
        <v>927</v>
      </c>
      <c r="S959">
        <v>4.07</v>
      </c>
      <c r="T959">
        <v>0.36</v>
      </c>
      <c r="U959" s="1">
        <v>45553</v>
      </c>
      <c r="V959">
        <v>33.71</v>
      </c>
      <c r="W959">
        <v>0.54</v>
      </c>
      <c r="X959" t="str">
        <f>IF(WarehouseData[[#This Row],[stock_level]]&lt;=WarehouseData[[#This Row],[reorder_point]],"Low Stock","Sufficient Stock")</f>
        <v>Sufficient Stock</v>
      </c>
      <c r="Y959">
        <f>WarehouseData[[#This Row],[daily_demand]]*WarehouseData[[#This Row],[lead_time_days]]</f>
        <v>165.89999999999998</v>
      </c>
      <c r="Z959" t="str">
        <f>IF(WarehouseData[[#This Row],[stock_level]]&lt;=WarehouseData[[#This Row],[Demand During Lead Time]],"At Risk","Safe")</f>
        <v>Safe</v>
      </c>
      <c r="AA959">
        <f>WarehouseData[[#This Row],[stock_level]]/WarehouseData[[#This Row],[daily_demand]]</f>
        <v>13.743218806509946</v>
      </c>
      <c r="AB959">
        <f>WarehouseData[[#This Row],[stock_level]]*WarehouseData[[#This Row],[unit_price]]</f>
        <v>22340.2</v>
      </c>
      <c r="AC959">
        <f>WarehouseData[[#This Row],[stock_level]]*WarehouseData[[#This Row],[holding_cost_per_unit_day]]*30</f>
        <v>5700</v>
      </c>
      <c r="AD959" t="str">
        <f>IF(WarehouseData[[#This Row],[order_fulfillment_rate]]&gt;=0.9,"Strong",IF(WarehouseData[[#This Row],[order_fulfillment_rate]]&gt;=0.8,"Moderate","Needs Attention"))</f>
        <v>Moderate</v>
      </c>
      <c r="AE959" t="str">
        <f>IF(WarehouseData[[#This Row],[picking_time_seconds]]&gt;120,"Slow",IF(WarehouseData[[#This Row],[picking_time_seconds]]&gt;=60,"Average","Fast"))</f>
        <v>Slow</v>
      </c>
    </row>
    <row r="960" spans="1:31" x14ac:dyDescent="0.25">
      <c r="A960" t="s">
        <v>1098</v>
      </c>
      <c r="B960" t="s">
        <v>40</v>
      </c>
      <c r="C960">
        <v>76</v>
      </c>
      <c r="D960">
        <v>64</v>
      </c>
      <c r="E960">
        <v>8</v>
      </c>
      <c r="F960">
        <v>2</v>
      </c>
      <c r="G960">
        <v>33.880000000000003</v>
      </c>
      <c r="H960">
        <v>8.4499999999999993</v>
      </c>
      <c r="I960">
        <v>0.89</v>
      </c>
      <c r="J960" t="s">
        <v>178</v>
      </c>
      <c r="K960" t="s">
        <v>46</v>
      </c>
      <c r="L960">
        <v>15</v>
      </c>
      <c r="M960">
        <v>3.53</v>
      </c>
      <c r="N960">
        <v>105.77</v>
      </c>
      <c r="O960">
        <v>1.27</v>
      </c>
      <c r="P960">
        <v>4</v>
      </c>
      <c r="Q960">
        <v>0.98</v>
      </c>
      <c r="R960">
        <v>802</v>
      </c>
      <c r="S960">
        <v>12.14</v>
      </c>
      <c r="T960">
        <v>0.65</v>
      </c>
      <c r="U960" s="1">
        <v>45476</v>
      </c>
      <c r="V960">
        <v>292.68</v>
      </c>
      <c r="W960">
        <v>0.68100000000000005</v>
      </c>
      <c r="X960" t="str">
        <f>IF(WarehouseData[[#This Row],[stock_level]]&lt;=WarehouseData[[#This Row],[reorder_point]],"Low Stock","Sufficient Stock")</f>
        <v>Sufficient Stock</v>
      </c>
      <c r="Y960">
        <f>WarehouseData[[#This Row],[daily_demand]]*WarehouseData[[#This Row],[lead_time_days]]</f>
        <v>67.760000000000005</v>
      </c>
      <c r="Z960" t="str">
        <f>IF(WarehouseData[[#This Row],[stock_level]]&lt;=WarehouseData[[#This Row],[Demand During Lead Time]],"At Risk","Safe")</f>
        <v>Safe</v>
      </c>
      <c r="AA960">
        <f>WarehouseData[[#This Row],[stock_level]]/WarehouseData[[#This Row],[daily_demand]]</f>
        <v>2.2432113341204247</v>
      </c>
      <c r="AB960">
        <f>WarehouseData[[#This Row],[stock_level]]*WarehouseData[[#This Row],[unit_price]]</f>
        <v>8038.5199999999995</v>
      </c>
      <c r="AC960">
        <f>WarehouseData[[#This Row],[stock_level]]*WarehouseData[[#This Row],[holding_cost_per_unit_day]]*30</f>
        <v>2895.6</v>
      </c>
      <c r="AD960" t="str">
        <f>IF(WarehouseData[[#This Row],[order_fulfillment_rate]]&gt;=0.9,"Strong",IF(WarehouseData[[#This Row],[order_fulfillment_rate]]&gt;=0.8,"Moderate","Needs Attention"))</f>
        <v>Strong</v>
      </c>
      <c r="AE960" t="str">
        <f>IF(WarehouseData[[#This Row],[picking_time_seconds]]&gt;120,"Slow",IF(WarehouseData[[#This Row],[picking_time_seconds]]&gt;=60,"Average","Fast"))</f>
        <v>Fast</v>
      </c>
    </row>
    <row r="961" spans="1:31" x14ac:dyDescent="0.25">
      <c r="A961" t="s">
        <v>1099</v>
      </c>
      <c r="B961" t="s">
        <v>73</v>
      </c>
      <c r="C961">
        <v>411</v>
      </c>
      <c r="D961">
        <v>38</v>
      </c>
      <c r="E961">
        <v>14</v>
      </c>
      <c r="F961">
        <v>2</v>
      </c>
      <c r="G961">
        <v>1.95</v>
      </c>
      <c r="H961">
        <v>4.8600000000000003</v>
      </c>
      <c r="I961">
        <v>0.11</v>
      </c>
      <c r="J961" t="s">
        <v>357</v>
      </c>
      <c r="K961" t="s">
        <v>46</v>
      </c>
      <c r="L961">
        <v>173</v>
      </c>
      <c r="M961">
        <v>2.2599999999999998</v>
      </c>
      <c r="N961">
        <v>13.73</v>
      </c>
      <c r="O961">
        <v>0.5</v>
      </c>
      <c r="P961">
        <v>8</v>
      </c>
      <c r="Q961">
        <v>0.79</v>
      </c>
      <c r="R961">
        <v>915</v>
      </c>
      <c r="S961">
        <v>11.52</v>
      </c>
      <c r="T961">
        <v>0.83</v>
      </c>
      <c r="U961" s="1">
        <v>45320</v>
      </c>
      <c r="V961">
        <v>79.41</v>
      </c>
      <c r="W961">
        <v>0.66800000000000004</v>
      </c>
      <c r="X961" t="str">
        <f>IF(WarehouseData[[#This Row],[stock_level]]&lt;=WarehouseData[[#This Row],[reorder_point]],"Low Stock","Sufficient Stock")</f>
        <v>Sufficient Stock</v>
      </c>
      <c r="Y961">
        <f>WarehouseData[[#This Row],[daily_demand]]*WarehouseData[[#This Row],[lead_time_days]]</f>
        <v>3.9</v>
      </c>
      <c r="Z961" t="str">
        <f>IF(WarehouseData[[#This Row],[stock_level]]&lt;=WarehouseData[[#This Row],[Demand During Lead Time]],"At Risk","Safe")</f>
        <v>Safe</v>
      </c>
      <c r="AA961">
        <f>WarehouseData[[#This Row],[stock_level]]/WarehouseData[[#This Row],[daily_demand]]</f>
        <v>210.76923076923077</v>
      </c>
      <c r="AB961">
        <f>WarehouseData[[#This Row],[stock_level]]*WarehouseData[[#This Row],[unit_price]]</f>
        <v>5643.03</v>
      </c>
      <c r="AC961">
        <f>WarehouseData[[#This Row],[stock_level]]*WarehouseData[[#This Row],[holding_cost_per_unit_day]]*30</f>
        <v>6165</v>
      </c>
      <c r="AD961" t="str">
        <f>IF(WarehouseData[[#This Row],[order_fulfillment_rate]]&gt;=0.9,"Strong",IF(WarehouseData[[#This Row],[order_fulfillment_rate]]&gt;=0.8,"Moderate","Needs Attention"))</f>
        <v>Needs Attention</v>
      </c>
      <c r="AE961" t="str">
        <f>IF(WarehouseData[[#This Row],[picking_time_seconds]]&gt;120,"Slow",IF(WarehouseData[[#This Row],[picking_time_seconds]]&gt;=60,"Average","Fast"))</f>
        <v>Slow</v>
      </c>
    </row>
    <row r="962" spans="1:31" x14ac:dyDescent="0.25">
      <c r="A962" t="s">
        <v>1100</v>
      </c>
      <c r="B962" t="s">
        <v>32</v>
      </c>
      <c r="C962">
        <v>237</v>
      </c>
      <c r="D962">
        <v>33</v>
      </c>
      <c r="E962">
        <v>12</v>
      </c>
      <c r="F962">
        <v>5</v>
      </c>
      <c r="G962">
        <v>25.6</v>
      </c>
      <c r="H962">
        <v>3.1</v>
      </c>
      <c r="I962">
        <v>0.16</v>
      </c>
      <c r="J962" t="s">
        <v>144</v>
      </c>
      <c r="K962" t="s">
        <v>34</v>
      </c>
      <c r="L962">
        <v>170</v>
      </c>
      <c r="M962">
        <v>4.1900000000000004</v>
      </c>
      <c r="N962">
        <v>90.58</v>
      </c>
      <c r="O962">
        <v>1.07</v>
      </c>
      <c r="P962">
        <v>6</v>
      </c>
      <c r="Q962">
        <v>1</v>
      </c>
      <c r="R962">
        <v>58</v>
      </c>
      <c r="S962">
        <v>13.35</v>
      </c>
      <c r="T962">
        <v>0.85</v>
      </c>
      <c r="U962" s="1">
        <v>45547</v>
      </c>
      <c r="V962">
        <v>262.06</v>
      </c>
      <c r="W962">
        <v>0.72099999999999997</v>
      </c>
      <c r="X962" t="str">
        <f>IF(WarehouseData[[#This Row],[stock_level]]&lt;=WarehouseData[[#This Row],[reorder_point]],"Low Stock","Sufficient Stock")</f>
        <v>Sufficient Stock</v>
      </c>
      <c r="Y962">
        <f>WarehouseData[[#This Row],[daily_demand]]*WarehouseData[[#This Row],[lead_time_days]]</f>
        <v>128</v>
      </c>
      <c r="Z962" t="str">
        <f>IF(WarehouseData[[#This Row],[stock_level]]&lt;=WarehouseData[[#This Row],[Demand During Lead Time]],"At Risk","Safe")</f>
        <v>Safe</v>
      </c>
      <c r="AA962">
        <f>WarehouseData[[#This Row],[stock_level]]/WarehouseData[[#This Row],[daily_demand]]</f>
        <v>9.2578125</v>
      </c>
      <c r="AB962">
        <f>WarehouseData[[#This Row],[stock_level]]*WarehouseData[[#This Row],[unit_price]]</f>
        <v>21467.46</v>
      </c>
      <c r="AC962">
        <f>WarehouseData[[#This Row],[stock_level]]*WarehouseData[[#This Row],[holding_cost_per_unit_day]]*30</f>
        <v>7607.7</v>
      </c>
      <c r="AD962" t="str">
        <f>IF(WarehouseData[[#This Row],[order_fulfillment_rate]]&gt;=0.9,"Strong",IF(WarehouseData[[#This Row],[order_fulfillment_rate]]&gt;=0.8,"Moderate","Needs Attention"))</f>
        <v>Strong</v>
      </c>
      <c r="AE962" t="str">
        <f>IF(WarehouseData[[#This Row],[picking_time_seconds]]&gt;120,"Slow",IF(WarehouseData[[#This Row],[picking_time_seconds]]&gt;=60,"Average","Fast"))</f>
        <v>Slow</v>
      </c>
    </row>
    <row r="963" spans="1:31" x14ac:dyDescent="0.25">
      <c r="A963" t="s">
        <v>1101</v>
      </c>
      <c r="B963" t="s">
        <v>48</v>
      </c>
      <c r="C963">
        <v>81</v>
      </c>
      <c r="D963">
        <v>83</v>
      </c>
      <c r="E963">
        <v>10</v>
      </c>
      <c r="F963">
        <v>6</v>
      </c>
      <c r="G963">
        <v>29.83</v>
      </c>
      <c r="H963">
        <v>9.86</v>
      </c>
      <c r="I963">
        <v>0.82</v>
      </c>
      <c r="J963" t="s">
        <v>281</v>
      </c>
      <c r="K963" t="s">
        <v>38</v>
      </c>
      <c r="L963">
        <v>58</v>
      </c>
      <c r="M963">
        <v>0.55000000000000004</v>
      </c>
      <c r="N963">
        <v>138.83000000000001</v>
      </c>
      <c r="O963">
        <v>0.87</v>
      </c>
      <c r="P963">
        <v>0</v>
      </c>
      <c r="Q963">
        <v>0.73</v>
      </c>
      <c r="R963">
        <v>512</v>
      </c>
      <c r="S963">
        <v>9.07</v>
      </c>
      <c r="T963">
        <v>0.72</v>
      </c>
      <c r="U963" s="1">
        <v>45582</v>
      </c>
      <c r="V963">
        <v>119.9</v>
      </c>
      <c r="W963">
        <v>0.72399999999999998</v>
      </c>
      <c r="X963" t="str">
        <f>IF(WarehouseData[[#This Row],[stock_level]]&lt;=WarehouseData[[#This Row],[reorder_point]],"Low Stock","Sufficient Stock")</f>
        <v>Low Stock</v>
      </c>
      <c r="Y963">
        <f>WarehouseData[[#This Row],[daily_demand]]*WarehouseData[[#This Row],[lead_time_days]]</f>
        <v>178.98</v>
      </c>
      <c r="Z963" t="str">
        <f>IF(WarehouseData[[#This Row],[stock_level]]&lt;=WarehouseData[[#This Row],[Demand During Lead Time]],"At Risk","Safe")</f>
        <v>At Risk</v>
      </c>
      <c r="AA963">
        <f>WarehouseData[[#This Row],[stock_level]]/WarehouseData[[#This Row],[daily_demand]]</f>
        <v>2.7153871940998995</v>
      </c>
      <c r="AB963">
        <f>WarehouseData[[#This Row],[stock_level]]*WarehouseData[[#This Row],[unit_price]]</f>
        <v>11245.230000000001</v>
      </c>
      <c r="AC963">
        <f>WarehouseData[[#This Row],[stock_level]]*WarehouseData[[#This Row],[holding_cost_per_unit_day]]*30</f>
        <v>2114.1</v>
      </c>
      <c r="AD963" t="str">
        <f>IF(WarehouseData[[#This Row],[order_fulfillment_rate]]&gt;=0.9,"Strong",IF(WarehouseData[[#This Row],[order_fulfillment_rate]]&gt;=0.8,"Moderate","Needs Attention"))</f>
        <v>Needs Attention</v>
      </c>
      <c r="AE963" t="str">
        <f>IF(WarehouseData[[#This Row],[picking_time_seconds]]&gt;120,"Slow",IF(WarehouseData[[#This Row],[picking_time_seconds]]&gt;=60,"Average","Fast"))</f>
        <v>Fast</v>
      </c>
    </row>
    <row r="964" spans="1:31" x14ac:dyDescent="0.25">
      <c r="A964" t="s">
        <v>1102</v>
      </c>
      <c r="B964" t="s">
        <v>48</v>
      </c>
      <c r="C964">
        <v>176</v>
      </c>
      <c r="D964">
        <v>26</v>
      </c>
      <c r="E964">
        <v>13</v>
      </c>
      <c r="F964">
        <v>3</v>
      </c>
      <c r="G964">
        <v>17.82</v>
      </c>
      <c r="H964">
        <v>8.34</v>
      </c>
      <c r="I964">
        <v>0.35</v>
      </c>
      <c r="J964" t="s">
        <v>126</v>
      </c>
      <c r="K964" t="s">
        <v>34</v>
      </c>
      <c r="L964">
        <v>178</v>
      </c>
      <c r="M964">
        <v>4.13</v>
      </c>
      <c r="N964">
        <v>108.37</v>
      </c>
      <c r="O964">
        <v>0.54</v>
      </c>
      <c r="P964">
        <v>9</v>
      </c>
      <c r="Q964">
        <v>0.87</v>
      </c>
      <c r="R964">
        <v>585</v>
      </c>
      <c r="S964">
        <v>13.55</v>
      </c>
      <c r="T964">
        <v>0.83</v>
      </c>
      <c r="U964" s="1">
        <v>45377</v>
      </c>
      <c r="V964">
        <v>208.34</v>
      </c>
      <c r="W964">
        <v>0.68700000000000006</v>
      </c>
      <c r="X964" t="str">
        <f>IF(WarehouseData[[#This Row],[stock_level]]&lt;=WarehouseData[[#This Row],[reorder_point]],"Low Stock","Sufficient Stock")</f>
        <v>Sufficient Stock</v>
      </c>
      <c r="Y964">
        <f>WarehouseData[[#This Row],[daily_demand]]*WarehouseData[[#This Row],[lead_time_days]]</f>
        <v>53.46</v>
      </c>
      <c r="Z964" t="str">
        <f>IF(WarehouseData[[#This Row],[stock_level]]&lt;=WarehouseData[[#This Row],[Demand During Lead Time]],"At Risk","Safe")</f>
        <v>Safe</v>
      </c>
      <c r="AA964">
        <f>WarehouseData[[#This Row],[stock_level]]/WarehouseData[[#This Row],[daily_demand]]</f>
        <v>9.8765432098765427</v>
      </c>
      <c r="AB964">
        <f>WarehouseData[[#This Row],[stock_level]]*WarehouseData[[#This Row],[unit_price]]</f>
        <v>19073.120000000003</v>
      </c>
      <c r="AC964">
        <f>WarehouseData[[#This Row],[stock_level]]*WarehouseData[[#This Row],[holding_cost_per_unit_day]]*30</f>
        <v>2851.2000000000003</v>
      </c>
      <c r="AD964" t="str">
        <f>IF(WarehouseData[[#This Row],[order_fulfillment_rate]]&gt;=0.9,"Strong",IF(WarehouseData[[#This Row],[order_fulfillment_rate]]&gt;=0.8,"Moderate","Needs Attention"))</f>
        <v>Moderate</v>
      </c>
      <c r="AE964" t="str">
        <f>IF(WarehouseData[[#This Row],[picking_time_seconds]]&gt;120,"Slow",IF(WarehouseData[[#This Row],[picking_time_seconds]]&gt;=60,"Average","Fast"))</f>
        <v>Slow</v>
      </c>
    </row>
    <row r="965" spans="1:31" x14ac:dyDescent="0.25">
      <c r="A965" t="s">
        <v>1103</v>
      </c>
      <c r="B965" t="s">
        <v>36</v>
      </c>
      <c r="C965">
        <v>221</v>
      </c>
      <c r="D965">
        <v>27</v>
      </c>
      <c r="E965">
        <v>14</v>
      </c>
      <c r="F965">
        <v>2</v>
      </c>
      <c r="G965">
        <v>33.75</v>
      </c>
      <c r="H965">
        <v>9.9499999999999993</v>
      </c>
      <c r="I965">
        <v>0.75</v>
      </c>
      <c r="J965" t="s">
        <v>68</v>
      </c>
      <c r="K965" t="s">
        <v>34</v>
      </c>
      <c r="L965">
        <v>89</v>
      </c>
      <c r="M965">
        <v>1.1100000000000001</v>
      </c>
      <c r="N965">
        <v>123.64</v>
      </c>
      <c r="O965">
        <v>0.65</v>
      </c>
      <c r="P965">
        <v>5</v>
      </c>
      <c r="Q965">
        <v>0.85</v>
      </c>
      <c r="R965">
        <v>673</v>
      </c>
      <c r="S965">
        <v>1.37</v>
      </c>
      <c r="T965">
        <v>0.57999999999999996</v>
      </c>
      <c r="U965" s="1">
        <v>45480</v>
      </c>
      <c r="V965">
        <v>141.69999999999999</v>
      </c>
      <c r="W965">
        <v>0.53900000000000003</v>
      </c>
      <c r="X965" t="str">
        <f>IF(WarehouseData[[#This Row],[stock_level]]&lt;=WarehouseData[[#This Row],[reorder_point]],"Low Stock","Sufficient Stock")</f>
        <v>Sufficient Stock</v>
      </c>
      <c r="Y965">
        <f>WarehouseData[[#This Row],[daily_demand]]*WarehouseData[[#This Row],[lead_time_days]]</f>
        <v>67.5</v>
      </c>
      <c r="Z965" t="str">
        <f>IF(WarehouseData[[#This Row],[stock_level]]&lt;=WarehouseData[[#This Row],[Demand During Lead Time]],"At Risk","Safe")</f>
        <v>Safe</v>
      </c>
      <c r="AA965">
        <f>WarehouseData[[#This Row],[stock_level]]/WarehouseData[[#This Row],[daily_demand]]</f>
        <v>6.5481481481481483</v>
      </c>
      <c r="AB965">
        <f>WarehouseData[[#This Row],[stock_level]]*WarehouseData[[#This Row],[unit_price]]</f>
        <v>27324.44</v>
      </c>
      <c r="AC965">
        <f>WarehouseData[[#This Row],[stock_level]]*WarehouseData[[#This Row],[holding_cost_per_unit_day]]*30</f>
        <v>4309.5</v>
      </c>
      <c r="AD965" t="str">
        <f>IF(WarehouseData[[#This Row],[order_fulfillment_rate]]&gt;=0.9,"Strong",IF(WarehouseData[[#This Row],[order_fulfillment_rate]]&gt;=0.8,"Moderate","Needs Attention"))</f>
        <v>Moderate</v>
      </c>
      <c r="AE965" t="str">
        <f>IF(WarehouseData[[#This Row],[picking_time_seconds]]&gt;120,"Slow",IF(WarehouseData[[#This Row],[picking_time_seconds]]&gt;=60,"Average","Fast"))</f>
        <v>Average</v>
      </c>
    </row>
    <row r="966" spans="1:31" x14ac:dyDescent="0.25">
      <c r="A966" t="s">
        <v>1104</v>
      </c>
      <c r="B966" t="s">
        <v>40</v>
      </c>
      <c r="C966">
        <v>36</v>
      </c>
      <c r="D966">
        <v>51</v>
      </c>
      <c r="E966">
        <v>5</v>
      </c>
      <c r="F966">
        <v>7</v>
      </c>
      <c r="G966">
        <v>12.18</v>
      </c>
      <c r="H966">
        <v>2.1</v>
      </c>
      <c r="I966">
        <v>0.23</v>
      </c>
      <c r="J966" t="s">
        <v>245</v>
      </c>
      <c r="K966" t="s">
        <v>52</v>
      </c>
      <c r="L966">
        <v>107</v>
      </c>
      <c r="M966">
        <v>1.81</v>
      </c>
      <c r="N966">
        <v>72.06</v>
      </c>
      <c r="O966">
        <v>0.91</v>
      </c>
      <c r="P966">
        <v>6</v>
      </c>
      <c r="Q966">
        <v>0.78</v>
      </c>
      <c r="R966">
        <v>346</v>
      </c>
      <c r="S966">
        <v>4.55</v>
      </c>
      <c r="T966">
        <v>0.64</v>
      </c>
      <c r="U966" s="1">
        <v>45372</v>
      </c>
      <c r="V966">
        <v>112.71</v>
      </c>
      <c r="W966">
        <v>0.53400000000000003</v>
      </c>
      <c r="X966" t="str">
        <f>IF(WarehouseData[[#This Row],[stock_level]]&lt;=WarehouseData[[#This Row],[reorder_point]],"Low Stock","Sufficient Stock")</f>
        <v>Low Stock</v>
      </c>
      <c r="Y966">
        <f>WarehouseData[[#This Row],[daily_demand]]*WarehouseData[[#This Row],[lead_time_days]]</f>
        <v>85.259999999999991</v>
      </c>
      <c r="Z966" t="str">
        <f>IF(WarehouseData[[#This Row],[stock_level]]&lt;=WarehouseData[[#This Row],[Demand During Lead Time]],"At Risk","Safe")</f>
        <v>At Risk</v>
      </c>
      <c r="AA966">
        <f>WarehouseData[[#This Row],[stock_level]]/WarehouseData[[#This Row],[daily_demand]]</f>
        <v>2.9556650246305418</v>
      </c>
      <c r="AB966">
        <f>WarehouseData[[#This Row],[stock_level]]*WarehouseData[[#This Row],[unit_price]]</f>
        <v>2594.16</v>
      </c>
      <c r="AC966">
        <f>WarehouseData[[#This Row],[stock_level]]*WarehouseData[[#This Row],[holding_cost_per_unit_day]]*30</f>
        <v>982.8</v>
      </c>
      <c r="AD966" t="str">
        <f>IF(WarehouseData[[#This Row],[order_fulfillment_rate]]&gt;=0.9,"Strong",IF(WarehouseData[[#This Row],[order_fulfillment_rate]]&gt;=0.8,"Moderate","Needs Attention"))</f>
        <v>Needs Attention</v>
      </c>
      <c r="AE966" t="str">
        <f>IF(WarehouseData[[#This Row],[picking_time_seconds]]&gt;120,"Slow",IF(WarehouseData[[#This Row],[picking_time_seconds]]&gt;=60,"Average","Fast"))</f>
        <v>Average</v>
      </c>
    </row>
    <row r="967" spans="1:31" x14ac:dyDescent="0.25">
      <c r="A967" t="s">
        <v>1105</v>
      </c>
      <c r="B967" t="s">
        <v>48</v>
      </c>
      <c r="C967">
        <v>341</v>
      </c>
      <c r="D967">
        <v>93</v>
      </c>
      <c r="E967">
        <v>5</v>
      </c>
      <c r="F967">
        <v>3</v>
      </c>
      <c r="G967">
        <v>16.55</v>
      </c>
      <c r="H967">
        <v>1.87</v>
      </c>
      <c r="I967">
        <v>0.31</v>
      </c>
      <c r="J967" t="s">
        <v>144</v>
      </c>
      <c r="K967" t="s">
        <v>46</v>
      </c>
      <c r="L967">
        <v>116</v>
      </c>
      <c r="M967">
        <v>4.8600000000000003</v>
      </c>
      <c r="N967">
        <v>44.78</v>
      </c>
      <c r="O967">
        <v>0.76</v>
      </c>
      <c r="P967">
        <v>2</v>
      </c>
      <c r="Q967">
        <v>0.98</v>
      </c>
      <c r="R967">
        <v>266</v>
      </c>
      <c r="S967">
        <v>12.26</v>
      </c>
      <c r="T967">
        <v>0.9</v>
      </c>
      <c r="U967" s="1">
        <v>45422</v>
      </c>
      <c r="V967">
        <v>188.15</v>
      </c>
      <c r="W967">
        <v>0.82299999999999995</v>
      </c>
      <c r="X967" t="str">
        <f>IF(WarehouseData[[#This Row],[stock_level]]&lt;=WarehouseData[[#This Row],[reorder_point]],"Low Stock","Sufficient Stock")</f>
        <v>Sufficient Stock</v>
      </c>
      <c r="Y967">
        <f>WarehouseData[[#This Row],[daily_demand]]*WarehouseData[[#This Row],[lead_time_days]]</f>
        <v>49.650000000000006</v>
      </c>
      <c r="Z967" t="str">
        <f>IF(WarehouseData[[#This Row],[stock_level]]&lt;=WarehouseData[[#This Row],[Demand During Lead Time]],"At Risk","Safe")</f>
        <v>Safe</v>
      </c>
      <c r="AA967">
        <f>WarehouseData[[#This Row],[stock_level]]/WarehouseData[[#This Row],[daily_demand]]</f>
        <v>20.604229607250755</v>
      </c>
      <c r="AB967">
        <f>WarehouseData[[#This Row],[stock_level]]*WarehouseData[[#This Row],[unit_price]]</f>
        <v>15269.98</v>
      </c>
      <c r="AC967">
        <f>WarehouseData[[#This Row],[stock_level]]*WarehouseData[[#This Row],[holding_cost_per_unit_day]]*30</f>
        <v>7774.8000000000011</v>
      </c>
      <c r="AD967" t="str">
        <f>IF(WarehouseData[[#This Row],[order_fulfillment_rate]]&gt;=0.9,"Strong",IF(WarehouseData[[#This Row],[order_fulfillment_rate]]&gt;=0.8,"Moderate","Needs Attention"))</f>
        <v>Strong</v>
      </c>
      <c r="AE967" t="str">
        <f>IF(WarehouseData[[#This Row],[picking_time_seconds]]&gt;120,"Slow",IF(WarehouseData[[#This Row],[picking_time_seconds]]&gt;=60,"Average","Fast"))</f>
        <v>Average</v>
      </c>
    </row>
    <row r="968" spans="1:31" x14ac:dyDescent="0.25">
      <c r="A968" t="s">
        <v>1106</v>
      </c>
      <c r="B968" t="s">
        <v>73</v>
      </c>
      <c r="C968">
        <v>25</v>
      </c>
      <c r="D968">
        <v>54</v>
      </c>
      <c r="E968">
        <v>7</v>
      </c>
      <c r="F968">
        <v>7</v>
      </c>
      <c r="G968">
        <v>48.18</v>
      </c>
      <c r="H968">
        <v>5.28</v>
      </c>
      <c r="I968">
        <v>0.62</v>
      </c>
      <c r="J968" t="s">
        <v>401</v>
      </c>
      <c r="K968" t="s">
        <v>38</v>
      </c>
      <c r="L968">
        <v>163</v>
      </c>
      <c r="M968">
        <v>0.73</v>
      </c>
      <c r="N968">
        <v>163.85</v>
      </c>
      <c r="O968">
        <v>0.82</v>
      </c>
      <c r="P968">
        <v>8</v>
      </c>
      <c r="Q968">
        <v>0.89</v>
      </c>
      <c r="R968">
        <v>277</v>
      </c>
      <c r="S968">
        <v>6.93</v>
      </c>
      <c r="T968">
        <v>0.59</v>
      </c>
      <c r="U968" s="1">
        <v>45344</v>
      </c>
      <c r="V968">
        <v>165.47</v>
      </c>
      <c r="W968">
        <v>0.54600000000000004</v>
      </c>
      <c r="X968" t="str">
        <f>IF(WarehouseData[[#This Row],[stock_level]]&lt;=WarehouseData[[#This Row],[reorder_point]],"Low Stock","Sufficient Stock")</f>
        <v>Low Stock</v>
      </c>
      <c r="Y968">
        <f>WarehouseData[[#This Row],[daily_demand]]*WarehouseData[[#This Row],[lead_time_days]]</f>
        <v>337.26</v>
      </c>
      <c r="Z968" t="str">
        <f>IF(WarehouseData[[#This Row],[stock_level]]&lt;=WarehouseData[[#This Row],[Demand During Lead Time]],"At Risk","Safe")</f>
        <v>At Risk</v>
      </c>
      <c r="AA968">
        <f>WarehouseData[[#This Row],[stock_level]]/WarehouseData[[#This Row],[daily_demand]]</f>
        <v>0.51888750518887505</v>
      </c>
      <c r="AB968">
        <f>WarehouseData[[#This Row],[stock_level]]*WarehouseData[[#This Row],[unit_price]]</f>
        <v>4096.25</v>
      </c>
      <c r="AC968">
        <f>WarehouseData[[#This Row],[stock_level]]*WarehouseData[[#This Row],[holding_cost_per_unit_day]]*30</f>
        <v>615</v>
      </c>
      <c r="AD968" t="str">
        <f>IF(WarehouseData[[#This Row],[order_fulfillment_rate]]&gt;=0.9,"Strong",IF(WarehouseData[[#This Row],[order_fulfillment_rate]]&gt;=0.8,"Moderate","Needs Attention"))</f>
        <v>Moderate</v>
      </c>
      <c r="AE968" t="str">
        <f>IF(WarehouseData[[#This Row],[picking_time_seconds]]&gt;120,"Slow",IF(WarehouseData[[#This Row],[picking_time_seconds]]&gt;=60,"Average","Fast"))</f>
        <v>Slow</v>
      </c>
    </row>
    <row r="969" spans="1:31" x14ac:dyDescent="0.25">
      <c r="A969" t="s">
        <v>1107</v>
      </c>
      <c r="B969" t="s">
        <v>36</v>
      </c>
      <c r="C969">
        <v>77</v>
      </c>
      <c r="D969">
        <v>91</v>
      </c>
      <c r="E969">
        <v>13</v>
      </c>
      <c r="F969">
        <v>4</v>
      </c>
      <c r="G969">
        <v>18.059999999999999</v>
      </c>
      <c r="H969">
        <v>6.57</v>
      </c>
      <c r="I969">
        <v>0.99</v>
      </c>
      <c r="J969" t="s">
        <v>124</v>
      </c>
      <c r="K969" t="s">
        <v>52</v>
      </c>
      <c r="L969">
        <v>46</v>
      </c>
      <c r="M969">
        <v>2.0699999999999998</v>
      </c>
      <c r="N969">
        <v>182.07</v>
      </c>
      <c r="O969">
        <v>1.5</v>
      </c>
      <c r="P969">
        <v>1</v>
      </c>
      <c r="Q969">
        <v>0.77</v>
      </c>
      <c r="R969">
        <v>81</v>
      </c>
      <c r="S969">
        <v>4.3499999999999996</v>
      </c>
      <c r="T969">
        <v>0.48</v>
      </c>
      <c r="U969" s="1">
        <v>45585</v>
      </c>
      <c r="V969">
        <v>77.41</v>
      </c>
      <c r="W969">
        <v>0.53800000000000003</v>
      </c>
      <c r="X969" t="str">
        <f>IF(WarehouseData[[#This Row],[stock_level]]&lt;=WarehouseData[[#This Row],[reorder_point]],"Low Stock","Sufficient Stock")</f>
        <v>Low Stock</v>
      </c>
      <c r="Y969">
        <f>WarehouseData[[#This Row],[daily_demand]]*WarehouseData[[#This Row],[lead_time_days]]</f>
        <v>72.239999999999995</v>
      </c>
      <c r="Z969" t="str">
        <f>IF(WarehouseData[[#This Row],[stock_level]]&lt;=WarehouseData[[#This Row],[Demand During Lead Time]],"At Risk","Safe")</f>
        <v>Safe</v>
      </c>
      <c r="AA969">
        <f>WarehouseData[[#This Row],[stock_level]]/WarehouseData[[#This Row],[daily_demand]]</f>
        <v>4.2635658914728687</v>
      </c>
      <c r="AB969">
        <f>WarehouseData[[#This Row],[stock_level]]*WarehouseData[[#This Row],[unit_price]]</f>
        <v>14019.39</v>
      </c>
      <c r="AC969">
        <f>WarehouseData[[#This Row],[stock_level]]*WarehouseData[[#This Row],[holding_cost_per_unit_day]]*30</f>
        <v>3465</v>
      </c>
      <c r="AD969" t="str">
        <f>IF(WarehouseData[[#This Row],[order_fulfillment_rate]]&gt;=0.9,"Strong",IF(WarehouseData[[#This Row],[order_fulfillment_rate]]&gt;=0.8,"Moderate","Needs Attention"))</f>
        <v>Needs Attention</v>
      </c>
      <c r="AE969" t="str">
        <f>IF(WarehouseData[[#This Row],[picking_time_seconds]]&gt;120,"Slow",IF(WarehouseData[[#This Row],[picking_time_seconds]]&gt;=60,"Average","Fast"))</f>
        <v>Fast</v>
      </c>
    </row>
    <row r="970" spans="1:31" x14ac:dyDescent="0.25">
      <c r="A970" t="s">
        <v>1108</v>
      </c>
      <c r="B970" t="s">
        <v>32</v>
      </c>
      <c r="C970">
        <v>344</v>
      </c>
      <c r="D970">
        <v>26</v>
      </c>
      <c r="E970">
        <v>12</v>
      </c>
      <c r="F970">
        <v>7</v>
      </c>
      <c r="G970">
        <v>17.98</v>
      </c>
      <c r="H970">
        <v>2.13</v>
      </c>
      <c r="I970">
        <v>0.17</v>
      </c>
      <c r="J970" t="s">
        <v>92</v>
      </c>
      <c r="K970" t="s">
        <v>46</v>
      </c>
      <c r="L970">
        <v>125</v>
      </c>
      <c r="M970">
        <v>0.88</v>
      </c>
      <c r="N970">
        <v>107.04</v>
      </c>
      <c r="O970">
        <v>0.42</v>
      </c>
      <c r="P970">
        <v>0</v>
      </c>
      <c r="Q970">
        <v>0.82</v>
      </c>
      <c r="R970">
        <v>480</v>
      </c>
      <c r="S970">
        <v>12.15</v>
      </c>
      <c r="T970">
        <v>0.84</v>
      </c>
      <c r="U970" s="1">
        <v>45637</v>
      </c>
      <c r="V970">
        <v>107.51</v>
      </c>
      <c r="W970">
        <v>0.85199999999999998</v>
      </c>
      <c r="X970" t="str">
        <f>IF(WarehouseData[[#This Row],[stock_level]]&lt;=WarehouseData[[#This Row],[reorder_point]],"Low Stock","Sufficient Stock")</f>
        <v>Sufficient Stock</v>
      </c>
      <c r="Y970">
        <f>WarehouseData[[#This Row],[daily_demand]]*WarehouseData[[#This Row],[lead_time_days]]</f>
        <v>125.86</v>
      </c>
      <c r="Z970" t="str">
        <f>IF(WarehouseData[[#This Row],[stock_level]]&lt;=WarehouseData[[#This Row],[Demand During Lead Time]],"At Risk","Safe")</f>
        <v>Safe</v>
      </c>
      <c r="AA970">
        <f>WarehouseData[[#This Row],[stock_level]]/WarehouseData[[#This Row],[daily_demand]]</f>
        <v>19.132369299221356</v>
      </c>
      <c r="AB970">
        <f>WarehouseData[[#This Row],[stock_level]]*WarehouseData[[#This Row],[unit_price]]</f>
        <v>36821.760000000002</v>
      </c>
      <c r="AC970">
        <f>WarehouseData[[#This Row],[stock_level]]*WarehouseData[[#This Row],[holding_cost_per_unit_day]]*30</f>
        <v>4334.3999999999996</v>
      </c>
      <c r="AD970" t="str">
        <f>IF(WarehouseData[[#This Row],[order_fulfillment_rate]]&gt;=0.9,"Strong",IF(WarehouseData[[#This Row],[order_fulfillment_rate]]&gt;=0.8,"Moderate","Needs Attention"))</f>
        <v>Moderate</v>
      </c>
      <c r="AE970" t="str">
        <f>IF(WarehouseData[[#This Row],[picking_time_seconds]]&gt;120,"Slow",IF(WarehouseData[[#This Row],[picking_time_seconds]]&gt;=60,"Average","Fast"))</f>
        <v>Slow</v>
      </c>
    </row>
    <row r="971" spans="1:31" x14ac:dyDescent="0.25">
      <c r="A971" t="s">
        <v>1109</v>
      </c>
      <c r="B971" t="s">
        <v>36</v>
      </c>
      <c r="C971">
        <v>431</v>
      </c>
      <c r="D971">
        <v>82</v>
      </c>
      <c r="E971">
        <v>5</v>
      </c>
      <c r="F971">
        <v>9</v>
      </c>
      <c r="G971">
        <v>30.19</v>
      </c>
      <c r="H971">
        <v>8.67</v>
      </c>
      <c r="I971">
        <v>0.46</v>
      </c>
      <c r="J971" t="s">
        <v>135</v>
      </c>
      <c r="K971" t="s">
        <v>46</v>
      </c>
      <c r="L971">
        <v>26</v>
      </c>
      <c r="M971">
        <v>4.34</v>
      </c>
      <c r="N971">
        <v>67.959999999999994</v>
      </c>
      <c r="O971">
        <v>1.29</v>
      </c>
      <c r="P971">
        <v>9</v>
      </c>
      <c r="Q971">
        <v>0.92</v>
      </c>
      <c r="R971">
        <v>838</v>
      </c>
      <c r="S971">
        <v>12.51</v>
      </c>
      <c r="T971">
        <v>0.24</v>
      </c>
      <c r="U971" s="1">
        <v>45351</v>
      </c>
      <c r="V971">
        <v>19.97</v>
      </c>
      <c r="W971">
        <v>0.49</v>
      </c>
      <c r="X971" t="str">
        <f>IF(WarehouseData[[#This Row],[stock_level]]&lt;=WarehouseData[[#This Row],[reorder_point]],"Low Stock","Sufficient Stock")</f>
        <v>Sufficient Stock</v>
      </c>
      <c r="Y971">
        <f>WarehouseData[[#This Row],[daily_demand]]*WarehouseData[[#This Row],[lead_time_days]]</f>
        <v>271.71000000000004</v>
      </c>
      <c r="Z971" t="str">
        <f>IF(WarehouseData[[#This Row],[stock_level]]&lt;=WarehouseData[[#This Row],[Demand During Lead Time]],"At Risk","Safe")</f>
        <v>Safe</v>
      </c>
      <c r="AA971">
        <f>WarehouseData[[#This Row],[stock_level]]/WarehouseData[[#This Row],[daily_demand]]</f>
        <v>14.276250414044386</v>
      </c>
      <c r="AB971">
        <f>WarehouseData[[#This Row],[stock_level]]*WarehouseData[[#This Row],[unit_price]]</f>
        <v>29290.76</v>
      </c>
      <c r="AC971">
        <f>WarehouseData[[#This Row],[stock_level]]*WarehouseData[[#This Row],[holding_cost_per_unit_day]]*30</f>
        <v>16679.7</v>
      </c>
      <c r="AD971" t="str">
        <f>IF(WarehouseData[[#This Row],[order_fulfillment_rate]]&gt;=0.9,"Strong",IF(WarehouseData[[#This Row],[order_fulfillment_rate]]&gt;=0.8,"Moderate","Needs Attention"))</f>
        <v>Strong</v>
      </c>
      <c r="AE971" t="str">
        <f>IF(WarehouseData[[#This Row],[picking_time_seconds]]&gt;120,"Slow",IF(WarehouseData[[#This Row],[picking_time_seconds]]&gt;=60,"Average","Fast"))</f>
        <v>Fast</v>
      </c>
    </row>
    <row r="972" spans="1:31" x14ac:dyDescent="0.25">
      <c r="A972" t="s">
        <v>1110</v>
      </c>
      <c r="B972" t="s">
        <v>32</v>
      </c>
      <c r="C972">
        <v>337</v>
      </c>
      <c r="D972">
        <v>23</v>
      </c>
      <c r="E972">
        <v>10</v>
      </c>
      <c r="F972">
        <v>2</v>
      </c>
      <c r="G972">
        <v>48.58</v>
      </c>
      <c r="H972">
        <v>5.55</v>
      </c>
      <c r="I972">
        <v>0.14000000000000001</v>
      </c>
      <c r="J972" t="s">
        <v>185</v>
      </c>
      <c r="K972" t="s">
        <v>34</v>
      </c>
      <c r="L972">
        <v>41</v>
      </c>
      <c r="M972">
        <v>3.66</v>
      </c>
      <c r="N972">
        <v>107.13</v>
      </c>
      <c r="O972">
        <v>1.39</v>
      </c>
      <c r="P972">
        <v>9</v>
      </c>
      <c r="Q972">
        <v>0.79</v>
      </c>
      <c r="R972">
        <v>219</v>
      </c>
      <c r="S972">
        <v>7.39</v>
      </c>
      <c r="T972">
        <v>0.97</v>
      </c>
      <c r="U972" s="1">
        <v>45408</v>
      </c>
      <c r="V972">
        <v>66.14</v>
      </c>
      <c r="W972">
        <v>0.53200000000000003</v>
      </c>
      <c r="X972" t="str">
        <f>IF(WarehouseData[[#This Row],[stock_level]]&lt;=WarehouseData[[#This Row],[reorder_point]],"Low Stock","Sufficient Stock")</f>
        <v>Sufficient Stock</v>
      </c>
      <c r="Y972">
        <f>WarehouseData[[#This Row],[daily_demand]]*WarehouseData[[#This Row],[lead_time_days]]</f>
        <v>97.16</v>
      </c>
      <c r="Z972" t="str">
        <f>IF(WarehouseData[[#This Row],[stock_level]]&lt;=WarehouseData[[#This Row],[Demand During Lead Time]],"At Risk","Safe")</f>
        <v>Safe</v>
      </c>
      <c r="AA972">
        <f>WarehouseData[[#This Row],[stock_level]]/WarehouseData[[#This Row],[daily_demand]]</f>
        <v>6.9370111156854675</v>
      </c>
      <c r="AB972">
        <f>WarehouseData[[#This Row],[stock_level]]*WarehouseData[[#This Row],[unit_price]]</f>
        <v>36102.81</v>
      </c>
      <c r="AC972">
        <f>WarehouseData[[#This Row],[stock_level]]*WarehouseData[[#This Row],[holding_cost_per_unit_day]]*30</f>
        <v>14052.899999999998</v>
      </c>
      <c r="AD972" t="str">
        <f>IF(WarehouseData[[#This Row],[order_fulfillment_rate]]&gt;=0.9,"Strong",IF(WarehouseData[[#This Row],[order_fulfillment_rate]]&gt;=0.8,"Moderate","Needs Attention"))</f>
        <v>Needs Attention</v>
      </c>
      <c r="AE972" t="str">
        <f>IF(WarehouseData[[#This Row],[picking_time_seconds]]&gt;120,"Slow",IF(WarehouseData[[#This Row],[picking_time_seconds]]&gt;=60,"Average","Fast"))</f>
        <v>Fast</v>
      </c>
    </row>
    <row r="973" spans="1:31" x14ac:dyDescent="0.25">
      <c r="A973" t="s">
        <v>1111</v>
      </c>
      <c r="B973" t="s">
        <v>36</v>
      </c>
      <c r="C973">
        <v>188</v>
      </c>
      <c r="D973">
        <v>58</v>
      </c>
      <c r="E973">
        <v>12</v>
      </c>
      <c r="F973">
        <v>5</v>
      </c>
      <c r="G973">
        <v>49.17</v>
      </c>
      <c r="H973">
        <v>4.4000000000000004</v>
      </c>
      <c r="I973">
        <v>0.28000000000000003</v>
      </c>
      <c r="J973" t="s">
        <v>338</v>
      </c>
      <c r="K973" t="s">
        <v>38</v>
      </c>
      <c r="L973">
        <v>165</v>
      </c>
      <c r="M973">
        <v>4.0999999999999996</v>
      </c>
      <c r="N973">
        <v>177.01</v>
      </c>
      <c r="O973">
        <v>1.62</v>
      </c>
      <c r="P973">
        <v>8</v>
      </c>
      <c r="Q973">
        <v>0.96</v>
      </c>
      <c r="R973">
        <v>280</v>
      </c>
      <c r="S973">
        <v>7.53</v>
      </c>
      <c r="T973">
        <v>0.47</v>
      </c>
      <c r="U973" s="1">
        <v>45552</v>
      </c>
      <c r="V973">
        <v>107.39</v>
      </c>
      <c r="W973">
        <v>0.46400000000000002</v>
      </c>
      <c r="X973" t="str">
        <f>IF(WarehouseData[[#This Row],[stock_level]]&lt;=WarehouseData[[#This Row],[reorder_point]],"Low Stock","Sufficient Stock")</f>
        <v>Sufficient Stock</v>
      </c>
      <c r="Y973">
        <f>WarehouseData[[#This Row],[daily_demand]]*WarehouseData[[#This Row],[lead_time_days]]</f>
        <v>245.85000000000002</v>
      </c>
      <c r="Z973" t="str">
        <f>IF(WarehouseData[[#This Row],[stock_level]]&lt;=WarehouseData[[#This Row],[Demand During Lead Time]],"At Risk","Safe")</f>
        <v>At Risk</v>
      </c>
      <c r="AA973">
        <f>WarehouseData[[#This Row],[stock_level]]/WarehouseData[[#This Row],[daily_demand]]</f>
        <v>3.8234695952816757</v>
      </c>
      <c r="AB973">
        <f>WarehouseData[[#This Row],[stock_level]]*WarehouseData[[#This Row],[unit_price]]</f>
        <v>33277.879999999997</v>
      </c>
      <c r="AC973">
        <f>WarehouseData[[#This Row],[stock_level]]*WarehouseData[[#This Row],[holding_cost_per_unit_day]]*30</f>
        <v>9136.7999999999993</v>
      </c>
      <c r="AD973" t="str">
        <f>IF(WarehouseData[[#This Row],[order_fulfillment_rate]]&gt;=0.9,"Strong",IF(WarehouseData[[#This Row],[order_fulfillment_rate]]&gt;=0.8,"Moderate","Needs Attention"))</f>
        <v>Strong</v>
      </c>
      <c r="AE973" t="str">
        <f>IF(WarehouseData[[#This Row],[picking_time_seconds]]&gt;120,"Slow",IF(WarehouseData[[#This Row],[picking_time_seconds]]&gt;=60,"Average","Fast"))</f>
        <v>Slow</v>
      </c>
    </row>
    <row r="974" spans="1:31" x14ac:dyDescent="0.25">
      <c r="A974" t="s">
        <v>1112</v>
      </c>
      <c r="B974" t="s">
        <v>36</v>
      </c>
      <c r="C974">
        <v>472</v>
      </c>
      <c r="D974">
        <v>38</v>
      </c>
      <c r="E974">
        <v>14</v>
      </c>
      <c r="F974">
        <v>4</v>
      </c>
      <c r="G974">
        <v>29.4</v>
      </c>
      <c r="H974">
        <v>6.22</v>
      </c>
      <c r="I974">
        <v>0.92</v>
      </c>
      <c r="J974" t="s">
        <v>283</v>
      </c>
      <c r="K974" t="s">
        <v>34</v>
      </c>
      <c r="L974">
        <v>34</v>
      </c>
      <c r="M974">
        <v>2.87</v>
      </c>
      <c r="N974">
        <v>141.37</v>
      </c>
      <c r="O974">
        <v>1.71</v>
      </c>
      <c r="P974">
        <v>6</v>
      </c>
      <c r="Q974">
        <v>0.75</v>
      </c>
      <c r="R974">
        <v>119</v>
      </c>
      <c r="S974">
        <v>11.93</v>
      </c>
      <c r="T974">
        <v>0.7</v>
      </c>
      <c r="U974" s="1">
        <v>45293</v>
      </c>
      <c r="V974">
        <v>291.92</v>
      </c>
      <c r="W974">
        <v>0.55800000000000005</v>
      </c>
      <c r="X974" t="str">
        <f>IF(WarehouseData[[#This Row],[stock_level]]&lt;=WarehouseData[[#This Row],[reorder_point]],"Low Stock","Sufficient Stock")</f>
        <v>Sufficient Stock</v>
      </c>
      <c r="Y974">
        <f>WarehouseData[[#This Row],[daily_demand]]*WarehouseData[[#This Row],[lead_time_days]]</f>
        <v>117.6</v>
      </c>
      <c r="Z974" t="str">
        <f>IF(WarehouseData[[#This Row],[stock_level]]&lt;=WarehouseData[[#This Row],[Demand During Lead Time]],"At Risk","Safe")</f>
        <v>Safe</v>
      </c>
      <c r="AA974">
        <f>WarehouseData[[#This Row],[stock_level]]/WarehouseData[[#This Row],[daily_demand]]</f>
        <v>16.054421768707485</v>
      </c>
      <c r="AB974">
        <f>WarehouseData[[#This Row],[stock_level]]*WarehouseData[[#This Row],[unit_price]]</f>
        <v>66726.64</v>
      </c>
      <c r="AC974">
        <f>WarehouseData[[#This Row],[stock_level]]*WarehouseData[[#This Row],[holding_cost_per_unit_day]]*30</f>
        <v>24213.599999999999</v>
      </c>
      <c r="AD974" t="str">
        <f>IF(WarehouseData[[#This Row],[order_fulfillment_rate]]&gt;=0.9,"Strong",IF(WarehouseData[[#This Row],[order_fulfillment_rate]]&gt;=0.8,"Moderate","Needs Attention"))</f>
        <v>Needs Attention</v>
      </c>
      <c r="AE974" t="str">
        <f>IF(WarehouseData[[#This Row],[picking_time_seconds]]&gt;120,"Slow",IF(WarehouseData[[#This Row],[picking_time_seconds]]&gt;=60,"Average","Fast"))</f>
        <v>Fast</v>
      </c>
    </row>
    <row r="975" spans="1:31" x14ac:dyDescent="0.25">
      <c r="A975" t="s">
        <v>1113</v>
      </c>
      <c r="B975" t="s">
        <v>36</v>
      </c>
      <c r="C975">
        <v>101</v>
      </c>
      <c r="D975">
        <v>13</v>
      </c>
      <c r="E975">
        <v>10</v>
      </c>
      <c r="F975">
        <v>6</v>
      </c>
      <c r="G975">
        <v>1.05</v>
      </c>
      <c r="H975">
        <v>6.53</v>
      </c>
      <c r="I975">
        <v>0.19</v>
      </c>
      <c r="J975" t="s">
        <v>77</v>
      </c>
      <c r="K975" t="s">
        <v>52</v>
      </c>
      <c r="L975">
        <v>31</v>
      </c>
      <c r="M975">
        <v>2.11</v>
      </c>
      <c r="N975">
        <v>173.14</v>
      </c>
      <c r="O975">
        <v>0.4</v>
      </c>
      <c r="P975">
        <v>9</v>
      </c>
      <c r="Q975">
        <v>0.78</v>
      </c>
      <c r="R975">
        <v>160</v>
      </c>
      <c r="S975">
        <v>11.8</v>
      </c>
      <c r="T975">
        <v>0.75</v>
      </c>
      <c r="U975" s="1">
        <v>45314</v>
      </c>
      <c r="V975">
        <v>162.86000000000001</v>
      </c>
      <c r="W975">
        <v>0.64300000000000002</v>
      </c>
      <c r="X975" t="str">
        <f>IF(WarehouseData[[#This Row],[stock_level]]&lt;=WarehouseData[[#This Row],[reorder_point]],"Low Stock","Sufficient Stock")</f>
        <v>Sufficient Stock</v>
      </c>
      <c r="Y975">
        <f>WarehouseData[[#This Row],[daily_demand]]*WarehouseData[[#This Row],[lead_time_days]]</f>
        <v>6.3000000000000007</v>
      </c>
      <c r="Z975" t="str">
        <f>IF(WarehouseData[[#This Row],[stock_level]]&lt;=WarehouseData[[#This Row],[Demand During Lead Time]],"At Risk","Safe")</f>
        <v>Safe</v>
      </c>
      <c r="AA975">
        <f>WarehouseData[[#This Row],[stock_level]]/WarehouseData[[#This Row],[daily_demand]]</f>
        <v>96.19047619047619</v>
      </c>
      <c r="AB975">
        <f>WarehouseData[[#This Row],[stock_level]]*WarehouseData[[#This Row],[unit_price]]</f>
        <v>17487.14</v>
      </c>
      <c r="AC975">
        <f>WarehouseData[[#This Row],[stock_level]]*WarehouseData[[#This Row],[holding_cost_per_unit_day]]*30</f>
        <v>1212.0000000000002</v>
      </c>
      <c r="AD975" t="str">
        <f>IF(WarehouseData[[#This Row],[order_fulfillment_rate]]&gt;=0.9,"Strong",IF(WarehouseData[[#This Row],[order_fulfillment_rate]]&gt;=0.8,"Moderate","Needs Attention"))</f>
        <v>Needs Attention</v>
      </c>
      <c r="AE975" t="str">
        <f>IF(WarehouseData[[#This Row],[picking_time_seconds]]&gt;120,"Slow",IF(WarehouseData[[#This Row],[picking_time_seconds]]&gt;=60,"Average","Fast"))</f>
        <v>Fast</v>
      </c>
    </row>
    <row r="976" spans="1:31" x14ac:dyDescent="0.25">
      <c r="A976" t="s">
        <v>1114</v>
      </c>
      <c r="B976" t="s">
        <v>32</v>
      </c>
      <c r="C976">
        <v>493</v>
      </c>
      <c r="D976">
        <v>91</v>
      </c>
      <c r="E976">
        <v>4</v>
      </c>
      <c r="F976">
        <v>3</v>
      </c>
      <c r="G976">
        <v>45.13</v>
      </c>
      <c r="H976">
        <v>0.91</v>
      </c>
      <c r="I976">
        <v>0.87</v>
      </c>
      <c r="J976" t="s">
        <v>139</v>
      </c>
      <c r="K976" t="s">
        <v>34</v>
      </c>
      <c r="L976">
        <v>70</v>
      </c>
      <c r="M976">
        <v>0.51</v>
      </c>
      <c r="N976">
        <v>72.39</v>
      </c>
      <c r="O976">
        <v>0.36</v>
      </c>
      <c r="P976">
        <v>0</v>
      </c>
      <c r="Q976">
        <v>0.74</v>
      </c>
      <c r="R976">
        <v>138</v>
      </c>
      <c r="S976">
        <v>13.13</v>
      </c>
      <c r="T976">
        <v>0.31</v>
      </c>
      <c r="U976" s="1">
        <v>45298</v>
      </c>
      <c r="V976">
        <v>213.23</v>
      </c>
      <c r="W976">
        <v>0.749</v>
      </c>
      <c r="X976" t="str">
        <f>IF(WarehouseData[[#This Row],[stock_level]]&lt;=WarehouseData[[#This Row],[reorder_point]],"Low Stock","Sufficient Stock")</f>
        <v>Sufficient Stock</v>
      </c>
      <c r="Y976">
        <f>WarehouseData[[#This Row],[daily_demand]]*WarehouseData[[#This Row],[lead_time_days]]</f>
        <v>135.39000000000001</v>
      </c>
      <c r="Z976" t="str">
        <f>IF(WarehouseData[[#This Row],[stock_level]]&lt;=WarehouseData[[#This Row],[Demand During Lead Time]],"At Risk","Safe")</f>
        <v>Safe</v>
      </c>
      <c r="AA976">
        <f>WarehouseData[[#This Row],[stock_level]]/WarehouseData[[#This Row],[daily_demand]]</f>
        <v>10.923997341014845</v>
      </c>
      <c r="AB976">
        <f>WarehouseData[[#This Row],[stock_level]]*WarehouseData[[#This Row],[unit_price]]</f>
        <v>35688.269999999997</v>
      </c>
      <c r="AC976">
        <f>WarehouseData[[#This Row],[stock_level]]*WarehouseData[[#This Row],[holding_cost_per_unit_day]]*30</f>
        <v>5324.4</v>
      </c>
      <c r="AD976" t="str">
        <f>IF(WarehouseData[[#This Row],[order_fulfillment_rate]]&gt;=0.9,"Strong",IF(WarehouseData[[#This Row],[order_fulfillment_rate]]&gt;=0.8,"Moderate","Needs Attention"))</f>
        <v>Needs Attention</v>
      </c>
      <c r="AE976" t="str">
        <f>IF(WarehouseData[[#This Row],[picking_time_seconds]]&gt;120,"Slow",IF(WarehouseData[[#This Row],[picking_time_seconds]]&gt;=60,"Average","Fast"))</f>
        <v>Average</v>
      </c>
    </row>
    <row r="977" spans="1:31" x14ac:dyDescent="0.25">
      <c r="A977" t="s">
        <v>1115</v>
      </c>
      <c r="B977" t="s">
        <v>32</v>
      </c>
      <c r="C977">
        <v>487</v>
      </c>
      <c r="D977">
        <v>29</v>
      </c>
      <c r="E977">
        <v>14</v>
      </c>
      <c r="F977">
        <v>2</v>
      </c>
      <c r="G977">
        <v>28.94</v>
      </c>
      <c r="H977">
        <v>10</v>
      </c>
      <c r="I977">
        <v>0.26</v>
      </c>
      <c r="J977" t="s">
        <v>289</v>
      </c>
      <c r="K977" t="s">
        <v>34</v>
      </c>
      <c r="L977">
        <v>135</v>
      </c>
      <c r="M977">
        <v>1.75</v>
      </c>
      <c r="N977">
        <v>145.28</v>
      </c>
      <c r="O977">
        <v>1.27</v>
      </c>
      <c r="P977">
        <v>3</v>
      </c>
      <c r="Q977">
        <v>0.73</v>
      </c>
      <c r="R977">
        <v>51</v>
      </c>
      <c r="S977">
        <v>10.039999999999999</v>
      </c>
      <c r="T977">
        <v>0.86</v>
      </c>
      <c r="U977" s="1">
        <v>45417</v>
      </c>
      <c r="V977">
        <v>205.34</v>
      </c>
      <c r="W977">
        <v>0.66500000000000004</v>
      </c>
      <c r="X977" t="str">
        <f>IF(WarehouseData[[#This Row],[stock_level]]&lt;=WarehouseData[[#This Row],[reorder_point]],"Low Stock","Sufficient Stock")</f>
        <v>Sufficient Stock</v>
      </c>
      <c r="Y977">
        <f>WarehouseData[[#This Row],[daily_demand]]*WarehouseData[[#This Row],[lead_time_days]]</f>
        <v>57.88</v>
      </c>
      <c r="Z977" t="str">
        <f>IF(WarehouseData[[#This Row],[stock_level]]&lt;=WarehouseData[[#This Row],[Demand During Lead Time]],"At Risk","Safe")</f>
        <v>Safe</v>
      </c>
      <c r="AA977">
        <f>WarehouseData[[#This Row],[stock_level]]/WarehouseData[[#This Row],[daily_demand]]</f>
        <v>16.8279198341396</v>
      </c>
      <c r="AB977">
        <f>WarehouseData[[#This Row],[stock_level]]*WarehouseData[[#This Row],[unit_price]]</f>
        <v>70751.360000000001</v>
      </c>
      <c r="AC977">
        <f>WarehouseData[[#This Row],[stock_level]]*WarehouseData[[#This Row],[holding_cost_per_unit_day]]*30</f>
        <v>18554.7</v>
      </c>
      <c r="AD977" t="str">
        <f>IF(WarehouseData[[#This Row],[order_fulfillment_rate]]&gt;=0.9,"Strong",IF(WarehouseData[[#This Row],[order_fulfillment_rate]]&gt;=0.8,"Moderate","Needs Attention"))</f>
        <v>Needs Attention</v>
      </c>
      <c r="AE977" t="str">
        <f>IF(WarehouseData[[#This Row],[picking_time_seconds]]&gt;120,"Slow",IF(WarehouseData[[#This Row],[picking_time_seconds]]&gt;=60,"Average","Fast"))</f>
        <v>Slow</v>
      </c>
    </row>
    <row r="978" spans="1:31" x14ac:dyDescent="0.25">
      <c r="A978" t="s">
        <v>1116</v>
      </c>
      <c r="B978" t="s">
        <v>36</v>
      </c>
      <c r="C978">
        <v>444</v>
      </c>
      <c r="D978">
        <v>56</v>
      </c>
      <c r="E978">
        <v>6</v>
      </c>
      <c r="F978">
        <v>4</v>
      </c>
      <c r="G978">
        <v>18.93</v>
      </c>
      <c r="H978">
        <v>3.96</v>
      </c>
      <c r="I978">
        <v>0.88</v>
      </c>
      <c r="J978" t="s">
        <v>156</v>
      </c>
      <c r="K978" t="s">
        <v>46</v>
      </c>
      <c r="L978">
        <v>53</v>
      </c>
      <c r="M978">
        <v>2.82</v>
      </c>
      <c r="N978">
        <v>134.08000000000001</v>
      </c>
      <c r="O978">
        <v>1.54</v>
      </c>
      <c r="P978">
        <v>9</v>
      </c>
      <c r="Q978">
        <v>0.79</v>
      </c>
      <c r="R978">
        <v>976</v>
      </c>
      <c r="S978">
        <v>3.6</v>
      </c>
      <c r="T978">
        <v>0.66</v>
      </c>
      <c r="U978" s="1">
        <v>45315</v>
      </c>
      <c r="V978">
        <v>294.45999999999998</v>
      </c>
      <c r="W978">
        <v>0.40400000000000003</v>
      </c>
      <c r="X978" t="str">
        <f>IF(WarehouseData[[#This Row],[stock_level]]&lt;=WarehouseData[[#This Row],[reorder_point]],"Low Stock","Sufficient Stock")</f>
        <v>Sufficient Stock</v>
      </c>
      <c r="Y978">
        <f>WarehouseData[[#This Row],[daily_demand]]*WarehouseData[[#This Row],[lead_time_days]]</f>
        <v>75.72</v>
      </c>
      <c r="Z978" t="str">
        <f>IF(WarehouseData[[#This Row],[stock_level]]&lt;=WarehouseData[[#This Row],[Demand During Lead Time]],"At Risk","Safe")</f>
        <v>Safe</v>
      </c>
      <c r="AA978">
        <f>WarehouseData[[#This Row],[stock_level]]/WarehouseData[[#This Row],[daily_demand]]</f>
        <v>23.454833597464344</v>
      </c>
      <c r="AB978">
        <f>WarehouseData[[#This Row],[stock_level]]*WarehouseData[[#This Row],[unit_price]]</f>
        <v>59531.520000000004</v>
      </c>
      <c r="AC978">
        <f>WarehouseData[[#This Row],[stock_level]]*WarehouseData[[#This Row],[holding_cost_per_unit_day]]*30</f>
        <v>20512.8</v>
      </c>
      <c r="AD978" t="str">
        <f>IF(WarehouseData[[#This Row],[order_fulfillment_rate]]&gt;=0.9,"Strong",IF(WarehouseData[[#This Row],[order_fulfillment_rate]]&gt;=0.8,"Moderate","Needs Attention"))</f>
        <v>Needs Attention</v>
      </c>
      <c r="AE978" t="str">
        <f>IF(WarehouseData[[#This Row],[picking_time_seconds]]&gt;120,"Slow",IF(WarehouseData[[#This Row],[picking_time_seconds]]&gt;=60,"Average","Fast"))</f>
        <v>Fast</v>
      </c>
    </row>
    <row r="979" spans="1:31" x14ac:dyDescent="0.25">
      <c r="A979" t="s">
        <v>1117</v>
      </c>
      <c r="B979" t="s">
        <v>48</v>
      </c>
      <c r="C979">
        <v>452</v>
      </c>
      <c r="D979">
        <v>18</v>
      </c>
      <c r="E979">
        <v>12</v>
      </c>
      <c r="F979">
        <v>4</v>
      </c>
      <c r="G979">
        <v>41.63</v>
      </c>
      <c r="H979">
        <v>1.08</v>
      </c>
      <c r="I979">
        <v>0.57999999999999996</v>
      </c>
      <c r="J979" t="s">
        <v>221</v>
      </c>
      <c r="K979" t="s">
        <v>46</v>
      </c>
      <c r="L979">
        <v>111</v>
      </c>
      <c r="M979">
        <v>3.49</v>
      </c>
      <c r="N979">
        <v>118.61</v>
      </c>
      <c r="O979">
        <v>0.62</v>
      </c>
      <c r="P979">
        <v>2</v>
      </c>
      <c r="Q979">
        <v>1</v>
      </c>
      <c r="R979">
        <v>105</v>
      </c>
      <c r="S979">
        <v>8.6999999999999993</v>
      </c>
      <c r="T979">
        <v>0.46</v>
      </c>
      <c r="U979" s="1">
        <v>45533</v>
      </c>
      <c r="V979">
        <v>171.14</v>
      </c>
      <c r="W979">
        <v>0.70599999999999996</v>
      </c>
      <c r="X979" t="str">
        <f>IF(WarehouseData[[#This Row],[stock_level]]&lt;=WarehouseData[[#This Row],[reorder_point]],"Low Stock","Sufficient Stock")</f>
        <v>Sufficient Stock</v>
      </c>
      <c r="Y979">
        <f>WarehouseData[[#This Row],[daily_demand]]*WarehouseData[[#This Row],[lead_time_days]]</f>
        <v>166.52</v>
      </c>
      <c r="Z979" t="str">
        <f>IF(WarehouseData[[#This Row],[stock_level]]&lt;=WarehouseData[[#This Row],[Demand During Lead Time]],"At Risk","Safe")</f>
        <v>Safe</v>
      </c>
      <c r="AA979">
        <f>WarehouseData[[#This Row],[stock_level]]/WarehouseData[[#This Row],[daily_demand]]</f>
        <v>10.85755464809032</v>
      </c>
      <c r="AB979">
        <f>WarehouseData[[#This Row],[stock_level]]*WarehouseData[[#This Row],[unit_price]]</f>
        <v>53611.72</v>
      </c>
      <c r="AC979">
        <f>WarehouseData[[#This Row],[stock_level]]*WarehouseData[[#This Row],[holding_cost_per_unit_day]]*30</f>
        <v>8407.2000000000007</v>
      </c>
      <c r="AD979" t="str">
        <f>IF(WarehouseData[[#This Row],[order_fulfillment_rate]]&gt;=0.9,"Strong",IF(WarehouseData[[#This Row],[order_fulfillment_rate]]&gt;=0.8,"Moderate","Needs Attention"))</f>
        <v>Strong</v>
      </c>
      <c r="AE979" t="str">
        <f>IF(WarehouseData[[#This Row],[picking_time_seconds]]&gt;120,"Slow",IF(WarehouseData[[#This Row],[picking_time_seconds]]&gt;=60,"Average","Fast"))</f>
        <v>Average</v>
      </c>
    </row>
    <row r="980" spans="1:31" x14ac:dyDescent="0.25">
      <c r="A980" t="s">
        <v>1118</v>
      </c>
      <c r="B980" t="s">
        <v>40</v>
      </c>
      <c r="C980">
        <v>238</v>
      </c>
      <c r="D980">
        <v>86</v>
      </c>
      <c r="E980">
        <v>3</v>
      </c>
      <c r="F980">
        <v>9</v>
      </c>
      <c r="G980">
        <v>20.59</v>
      </c>
      <c r="H980">
        <v>8.6</v>
      </c>
      <c r="I980">
        <v>0.89</v>
      </c>
      <c r="J980" t="s">
        <v>139</v>
      </c>
      <c r="K980" t="s">
        <v>52</v>
      </c>
      <c r="L980">
        <v>29</v>
      </c>
      <c r="M980">
        <v>1.53</v>
      </c>
      <c r="N980">
        <v>110.36</v>
      </c>
      <c r="O980">
        <v>1.1000000000000001</v>
      </c>
      <c r="P980">
        <v>6</v>
      </c>
      <c r="Q980">
        <v>0.73</v>
      </c>
      <c r="R980">
        <v>719</v>
      </c>
      <c r="S980">
        <v>6.35</v>
      </c>
      <c r="T980">
        <v>0.88</v>
      </c>
      <c r="U980" s="1">
        <v>45478</v>
      </c>
      <c r="V980">
        <v>179.79</v>
      </c>
      <c r="W980">
        <v>0.57699999999999996</v>
      </c>
      <c r="X980" t="str">
        <f>IF(WarehouseData[[#This Row],[stock_level]]&lt;=WarehouseData[[#This Row],[reorder_point]],"Low Stock","Sufficient Stock")</f>
        <v>Sufficient Stock</v>
      </c>
      <c r="Y980">
        <f>WarehouseData[[#This Row],[daily_demand]]*WarehouseData[[#This Row],[lead_time_days]]</f>
        <v>185.31</v>
      </c>
      <c r="Z980" t="str">
        <f>IF(WarehouseData[[#This Row],[stock_level]]&lt;=WarehouseData[[#This Row],[Demand During Lead Time]],"At Risk","Safe")</f>
        <v>Safe</v>
      </c>
      <c r="AA980">
        <f>WarehouseData[[#This Row],[stock_level]]/WarehouseData[[#This Row],[daily_demand]]</f>
        <v>11.559009227780477</v>
      </c>
      <c r="AB980">
        <f>WarehouseData[[#This Row],[stock_level]]*WarehouseData[[#This Row],[unit_price]]</f>
        <v>26265.68</v>
      </c>
      <c r="AC980">
        <f>WarehouseData[[#This Row],[stock_level]]*WarehouseData[[#This Row],[holding_cost_per_unit_day]]*30</f>
        <v>7854</v>
      </c>
      <c r="AD980" t="str">
        <f>IF(WarehouseData[[#This Row],[order_fulfillment_rate]]&gt;=0.9,"Strong",IF(WarehouseData[[#This Row],[order_fulfillment_rate]]&gt;=0.8,"Moderate","Needs Attention"))</f>
        <v>Needs Attention</v>
      </c>
      <c r="AE980" t="str">
        <f>IF(WarehouseData[[#This Row],[picking_time_seconds]]&gt;120,"Slow",IF(WarehouseData[[#This Row],[picking_time_seconds]]&gt;=60,"Average","Fast"))</f>
        <v>Fast</v>
      </c>
    </row>
    <row r="981" spans="1:31" x14ac:dyDescent="0.25">
      <c r="A981" t="s">
        <v>1119</v>
      </c>
      <c r="B981" t="s">
        <v>40</v>
      </c>
      <c r="C981">
        <v>196</v>
      </c>
      <c r="D981">
        <v>88</v>
      </c>
      <c r="E981">
        <v>6</v>
      </c>
      <c r="F981">
        <v>2</v>
      </c>
      <c r="G981">
        <v>2.67</v>
      </c>
      <c r="H981">
        <v>9.93</v>
      </c>
      <c r="I981">
        <v>0.24</v>
      </c>
      <c r="J981" t="s">
        <v>245</v>
      </c>
      <c r="K981" t="s">
        <v>46</v>
      </c>
      <c r="L981">
        <v>118</v>
      </c>
      <c r="M981">
        <v>1.1299999999999999</v>
      </c>
      <c r="N981">
        <v>114.69</v>
      </c>
      <c r="O981">
        <v>1.57</v>
      </c>
      <c r="P981">
        <v>4</v>
      </c>
      <c r="Q981">
        <v>0.76</v>
      </c>
      <c r="R981">
        <v>320</v>
      </c>
      <c r="S981">
        <v>1.38</v>
      </c>
      <c r="T981">
        <v>0.7</v>
      </c>
      <c r="U981" s="1">
        <v>45488</v>
      </c>
      <c r="V981">
        <v>97.02</v>
      </c>
      <c r="W981">
        <v>0.47299999999999998</v>
      </c>
      <c r="X981" t="str">
        <f>IF(WarehouseData[[#This Row],[stock_level]]&lt;=WarehouseData[[#This Row],[reorder_point]],"Low Stock","Sufficient Stock")</f>
        <v>Sufficient Stock</v>
      </c>
      <c r="Y981">
        <f>WarehouseData[[#This Row],[daily_demand]]*WarehouseData[[#This Row],[lead_time_days]]</f>
        <v>5.34</v>
      </c>
      <c r="Z981" t="str">
        <f>IF(WarehouseData[[#This Row],[stock_level]]&lt;=WarehouseData[[#This Row],[Demand During Lead Time]],"At Risk","Safe")</f>
        <v>Safe</v>
      </c>
      <c r="AA981">
        <f>WarehouseData[[#This Row],[stock_level]]/WarehouseData[[#This Row],[daily_demand]]</f>
        <v>73.408239700374537</v>
      </c>
      <c r="AB981">
        <f>WarehouseData[[#This Row],[stock_level]]*WarehouseData[[#This Row],[unit_price]]</f>
        <v>22479.239999999998</v>
      </c>
      <c r="AC981">
        <f>WarehouseData[[#This Row],[stock_level]]*WarehouseData[[#This Row],[holding_cost_per_unit_day]]*30</f>
        <v>9231.6</v>
      </c>
      <c r="AD981" t="str">
        <f>IF(WarehouseData[[#This Row],[order_fulfillment_rate]]&gt;=0.9,"Strong",IF(WarehouseData[[#This Row],[order_fulfillment_rate]]&gt;=0.8,"Moderate","Needs Attention"))</f>
        <v>Needs Attention</v>
      </c>
      <c r="AE981" t="str">
        <f>IF(WarehouseData[[#This Row],[picking_time_seconds]]&gt;120,"Slow",IF(WarehouseData[[#This Row],[picking_time_seconds]]&gt;=60,"Average","Fast"))</f>
        <v>Average</v>
      </c>
    </row>
    <row r="982" spans="1:31" x14ac:dyDescent="0.25">
      <c r="A982" t="s">
        <v>1120</v>
      </c>
      <c r="B982" t="s">
        <v>40</v>
      </c>
      <c r="C982">
        <v>223</v>
      </c>
      <c r="D982">
        <v>36</v>
      </c>
      <c r="E982">
        <v>14</v>
      </c>
      <c r="F982">
        <v>6</v>
      </c>
      <c r="G982">
        <v>41.23</v>
      </c>
      <c r="H982">
        <v>8.26</v>
      </c>
      <c r="I982">
        <v>0.79</v>
      </c>
      <c r="J982" t="s">
        <v>137</v>
      </c>
      <c r="K982" t="s">
        <v>46</v>
      </c>
      <c r="L982">
        <v>97</v>
      </c>
      <c r="M982">
        <v>1.41</v>
      </c>
      <c r="N982">
        <v>171.44</v>
      </c>
      <c r="O982">
        <v>1.56</v>
      </c>
      <c r="P982">
        <v>8</v>
      </c>
      <c r="Q982">
        <v>0.78</v>
      </c>
      <c r="R982">
        <v>323</v>
      </c>
      <c r="S982">
        <v>3.75</v>
      </c>
      <c r="T982">
        <v>0.83</v>
      </c>
      <c r="U982" s="1">
        <v>45368</v>
      </c>
      <c r="V982">
        <v>191.57</v>
      </c>
      <c r="W982">
        <v>0.45600000000000002</v>
      </c>
      <c r="X982" t="str">
        <f>IF(WarehouseData[[#This Row],[stock_level]]&lt;=WarehouseData[[#This Row],[reorder_point]],"Low Stock","Sufficient Stock")</f>
        <v>Sufficient Stock</v>
      </c>
      <c r="Y982">
        <f>WarehouseData[[#This Row],[daily_demand]]*WarehouseData[[#This Row],[lead_time_days]]</f>
        <v>247.38</v>
      </c>
      <c r="Z982" t="str">
        <f>IF(WarehouseData[[#This Row],[stock_level]]&lt;=WarehouseData[[#This Row],[Demand During Lead Time]],"At Risk","Safe")</f>
        <v>At Risk</v>
      </c>
      <c r="AA982">
        <f>WarehouseData[[#This Row],[stock_level]]/WarehouseData[[#This Row],[daily_demand]]</f>
        <v>5.4086829978171238</v>
      </c>
      <c r="AB982">
        <f>WarehouseData[[#This Row],[stock_level]]*WarehouseData[[#This Row],[unit_price]]</f>
        <v>38231.120000000003</v>
      </c>
      <c r="AC982">
        <f>WarehouseData[[#This Row],[stock_level]]*WarehouseData[[#This Row],[holding_cost_per_unit_day]]*30</f>
        <v>10436.4</v>
      </c>
      <c r="AD982" t="str">
        <f>IF(WarehouseData[[#This Row],[order_fulfillment_rate]]&gt;=0.9,"Strong",IF(WarehouseData[[#This Row],[order_fulfillment_rate]]&gt;=0.8,"Moderate","Needs Attention"))</f>
        <v>Needs Attention</v>
      </c>
      <c r="AE982" t="str">
        <f>IF(WarehouseData[[#This Row],[picking_time_seconds]]&gt;120,"Slow",IF(WarehouseData[[#This Row],[picking_time_seconds]]&gt;=60,"Average","Fast"))</f>
        <v>Average</v>
      </c>
    </row>
    <row r="983" spans="1:31" x14ac:dyDescent="0.25">
      <c r="A983" t="s">
        <v>1121</v>
      </c>
      <c r="B983" t="s">
        <v>32</v>
      </c>
      <c r="C983">
        <v>90</v>
      </c>
      <c r="D983">
        <v>24</v>
      </c>
      <c r="E983">
        <v>13</v>
      </c>
      <c r="F983">
        <v>6</v>
      </c>
      <c r="G983">
        <v>27.75</v>
      </c>
      <c r="H983">
        <v>8.59</v>
      </c>
      <c r="I983">
        <v>0.71</v>
      </c>
      <c r="J983" t="s">
        <v>104</v>
      </c>
      <c r="K983" t="s">
        <v>46</v>
      </c>
      <c r="L983">
        <v>56</v>
      </c>
      <c r="M983">
        <v>2.09</v>
      </c>
      <c r="N983">
        <v>184.04</v>
      </c>
      <c r="O983">
        <v>1.34</v>
      </c>
      <c r="P983">
        <v>2</v>
      </c>
      <c r="Q983">
        <v>0.89</v>
      </c>
      <c r="R983">
        <v>593</v>
      </c>
      <c r="S983">
        <v>3.88</v>
      </c>
      <c r="T983">
        <v>0.99</v>
      </c>
      <c r="U983" s="1">
        <v>45383</v>
      </c>
      <c r="V983">
        <v>229.74</v>
      </c>
      <c r="W983">
        <v>0.65400000000000003</v>
      </c>
      <c r="X983" t="str">
        <f>IF(WarehouseData[[#This Row],[stock_level]]&lt;=WarehouseData[[#This Row],[reorder_point]],"Low Stock","Sufficient Stock")</f>
        <v>Sufficient Stock</v>
      </c>
      <c r="Y983">
        <f>WarehouseData[[#This Row],[daily_demand]]*WarehouseData[[#This Row],[lead_time_days]]</f>
        <v>166.5</v>
      </c>
      <c r="Z983" t="str">
        <f>IF(WarehouseData[[#This Row],[stock_level]]&lt;=WarehouseData[[#This Row],[Demand During Lead Time]],"At Risk","Safe")</f>
        <v>At Risk</v>
      </c>
      <c r="AA983">
        <f>WarehouseData[[#This Row],[stock_level]]/WarehouseData[[#This Row],[daily_demand]]</f>
        <v>3.2432432432432434</v>
      </c>
      <c r="AB983">
        <f>WarehouseData[[#This Row],[stock_level]]*WarehouseData[[#This Row],[unit_price]]</f>
        <v>16563.599999999999</v>
      </c>
      <c r="AC983">
        <f>WarehouseData[[#This Row],[stock_level]]*WarehouseData[[#This Row],[holding_cost_per_unit_day]]*30</f>
        <v>3618.0000000000005</v>
      </c>
      <c r="AD983" t="str">
        <f>IF(WarehouseData[[#This Row],[order_fulfillment_rate]]&gt;=0.9,"Strong",IF(WarehouseData[[#This Row],[order_fulfillment_rate]]&gt;=0.8,"Moderate","Needs Attention"))</f>
        <v>Moderate</v>
      </c>
      <c r="AE983" t="str">
        <f>IF(WarehouseData[[#This Row],[picking_time_seconds]]&gt;120,"Slow",IF(WarehouseData[[#This Row],[picking_time_seconds]]&gt;=60,"Average","Fast"))</f>
        <v>Fast</v>
      </c>
    </row>
    <row r="984" spans="1:31" x14ac:dyDescent="0.25">
      <c r="A984" t="s">
        <v>1122</v>
      </c>
      <c r="B984" t="s">
        <v>32</v>
      </c>
      <c r="C984">
        <v>406</v>
      </c>
      <c r="D984">
        <v>28</v>
      </c>
      <c r="E984">
        <v>6</v>
      </c>
      <c r="F984">
        <v>5</v>
      </c>
      <c r="G984">
        <v>17.57</v>
      </c>
      <c r="H984">
        <v>6.45</v>
      </c>
      <c r="I984">
        <v>0.59</v>
      </c>
      <c r="J984" t="s">
        <v>207</v>
      </c>
      <c r="K984" t="s">
        <v>34</v>
      </c>
      <c r="L984">
        <v>60</v>
      </c>
      <c r="M984">
        <v>1.17</v>
      </c>
      <c r="N984">
        <v>31.44</v>
      </c>
      <c r="O984">
        <v>0.25</v>
      </c>
      <c r="P984">
        <v>5</v>
      </c>
      <c r="Q984">
        <v>0.92</v>
      </c>
      <c r="R984">
        <v>319</v>
      </c>
      <c r="S984">
        <v>2.15</v>
      </c>
      <c r="T984">
        <v>0.3</v>
      </c>
      <c r="U984" s="1">
        <v>45310</v>
      </c>
      <c r="V984">
        <v>39.94</v>
      </c>
      <c r="W984">
        <v>0.54800000000000004</v>
      </c>
      <c r="X984" t="str">
        <f>IF(WarehouseData[[#This Row],[stock_level]]&lt;=WarehouseData[[#This Row],[reorder_point]],"Low Stock","Sufficient Stock")</f>
        <v>Sufficient Stock</v>
      </c>
      <c r="Y984">
        <f>WarehouseData[[#This Row],[daily_demand]]*WarehouseData[[#This Row],[lead_time_days]]</f>
        <v>87.85</v>
      </c>
      <c r="Z984" t="str">
        <f>IF(WarehouseData[[#This Row],[stock_level]]&lt;=WarehouseData[[#This Row],[Demand During Lead Time]],"At Risk","Safe")</f>
        <v>Safe</v>
      </c>
      <c r="AA984">
        <f>WarehouseData[[#This Row],[stock_level]]/WarehouseData[[#This Row],[daily_demand]]</f>
        <v>23.107569721115539</v>
      </c>
      <c r="AB984">
        <f>WarehouseData[[#This Row],[stock_level]]*WarehouseData[[#This Row],[unit_price]]</f>
        <v>12764.640000000001</v>
      </c>
      <c r="AC984">
        <f>WarehouseData[[#This Row],[stock_level]]*WarehouseData[[#This Row],[holding_cost_per_unit_day]]*30</f>
        <v>3045</v>
      </c>
      <c r="AD984" t="str">
        <f>IF(WarehouseData[[#This Row],[order_fulfillment_rate]]&gt;=0.9,"Strong",IF(WarehouseData[[#This Row],[order_fulfillment_rate]]&gt;=0.8,"Moderate","Needs Attention"))</f>
        <v>Strong</v>
      </c>
      <c r="AE984" t="str">
        <f>IF(WarehouseData[[#This Row],[picking_time_seconds]]&gt;120,"Slow",IF(WarehouseData[[#This Row],[picking_time_seconds]]&gt;=60,"Average","Fast"))</f>
        <v>Average</v>
      </c>
    </row>
    <row r="985" spans="1:31" x14ac:dyDescent="0.25">
      <c r="A985" t="s">
        <v>1123</v>
      </c>
      <c r="B985" t="s">
        <v>48</v>
      </c>
      <c r="C985">
        <v>285</v>
      </c>
      <c r="D985">
        <v>99</v>
      </c>
      <c r="E985">
        <v>12</v>
      </c>
      <c r="F985">
        <v>8</v>
      </c>
      <c r="G985">
        <v>13.29</v>
      </c>
      <c r="H985">
        <v>9.26</v>
      </c>
      <c r="I985">
        <v>0.83</v>
      </c>
      <c r="J985" t="s">
        <v>447</v>
      </c>
      <c r="K985" t="s">
        <v>38</v>
      </c>
      <c r="L985">
        <v>48</v>
      </c>
      <c r="M985">
        <v>1.21</v>
      </c>
      <c r="N985">
        <v>118.07</v>
      </c>
      <c r="O985">
        <v>0.2</v>
      </c>
      <c r="P985">
        <v>9</v>
      </c>
      <c r="Q985">
        <v>0.93</v>
      </c>
      <c r="R985">
        <v>239</v>
      </c>
      <c r="S985">
        <v>7.35</v>
      </c>
      <c r="T985">
        <v>0.8</v>
      </c>
      <c r="U985" s="1">
        <v>45575</v>
      </c>
      <c r="V985">
        <v>149.24</v>
      </c>
      <c r="W985">
        <v>0.64400000000000002</v>
      </c>
      <c r="X985" t="str">
        <f>IF(WarehouseData[[#This Row],[stock_level]]&lt;=WarehouseData[[#This Row],[reorder_point]],"Low Stock","Sufficient Stock")</f>
        <v>Sufficient Stock</v>
      </c>
      <c r="Y985">
        <f>WarehouseData[[#This Row],[daily_demand]]*WarehouseData[[#This Row],[lead_time_days]]</f>
        <v>106.32</v>
      </c>
      <c r="Z985" t="str">
        <f>IF(WarehouseData[[#This Row],[stock_level]]&lt;=WarehouseData[[#This Row],[Demand During Lead Time]],"At Risk","Safe")</f>
        <v>Safe</v>
      </c>
      <c r="AA985">
        <f>WarehouseData[[#This Row],[stock_level]]/WarehouseData[[#This Row],[daily_demand]]</f>
        <v>21.444695259593679</v>
      </c>
      <c r="AB985">
        <f>WarehouseData[[#This Row],[stock_level]]*WarehouseData[[#This Row],[unit_price]]</f>
        <v>33649.949999999997</v>
      </c>
      <c r="AC985">
        <f>WarehouseData[[#This Row],[stock_level]]*WarehouseData[[#This Row],[holding_cost_per_unit_day]]*30</f>
        <v>1710</v>
      </c>
      <c r="AD985" t="str">
        <f>IF(WarehouseData[[#This Row],[order_fulfillment_rate]]&gt;=0.9,"Strong",IF(WarehouseData[[#This Row],[order_fulfillment_rate]]&gt;=0.8,"Moderate","Needs Attention"))</f>
        <v>Strong</v>
      </c>
      <c r="AE985" t="str">
        <f>IF(WarehouseData[[#This Row],[picking_time_seconds]]&gt;120,"Slow",IF(WarehouseData[[#This Row],[picking_time_seconds]]&gt;=60,"Average","Fast"))</f>
        <v>Fast</v>
      </c>
    </row>
    <row r="986" spans="1:31" x14ac:dyDescent="0.25">
      <c r="A986" t="s">
        <v>1124</v>
      </c>
      <c r="B986" t="s">
        <v>40</v>
      </c>
      <c r="C986">
        <v>117</v>
      </c>
      <c r="D986">
        <v>61</v>
      </c>
      <c r="E986">
        <v>11</v>
      </c>
      <c r="F986">
        <v>7</v>
      </c>
      <c r="G986">
        <v>30.1</v>
      </c>
      <c r="H986">
        <v>0.84</v>
      </c>
      <c r="I986">
        <v>0.68</v>
      </c>
      <c r="J986" t="s">
        <v>156</v>
      </c>
      <c r="K986" t="s">
        <v>52</v>
      </c>
      <c r="L986">
        <v>23</v>
      </c>
      <c r="M986">
        <v>0.7</v>
      </c>
      <c r="N986">
        <v>184.5</v>
      </c>
      <c r="O986">
        <v>0.84</v>
      </c>
      <c r="P986">
        <v>1</v>
      </c>
      <c r="Q986">
        <v>0.7</v>
      </c>
      <c r="R986">
        <v>771</v>
      </c>
      <c r="S986">
        <v>8.11</v>
      </c>
      <c r="T986">
        <v>0.81</v>
      </c>
      <c r="U986" s="1">
        <v>45627</v>
      </c>
      <c r="V986">
        <v>132.35</v>
      </c>
      <c r="W986">
        <v>0.70599999999999996</v>
      </c>
      <c r="X986" t="str">
        <f>IF(WarehouseData[[#This Row],[stock_level]]&lt;=WarehouseData[[#This Row],[reorder_point]],"Low Stock","Sufficient Stock")</f>
        <v>Sufficient Stock</v>
      </c>
      <c r="Y986">
        <f>WarehouseData[[#This Row],[daily_demand]]*WarehouseData[[#This Row],[lead_time_days]]</f>
        <v>210.70000000000002</v>
      </c>
      <c r="Z986" t="str">
        <f>IF(WarehouseData[[#This Row],[stock_level]]&lt;=WarehouseData[[#This Row],[Demand During Lead Time]],"At Risk","Safe")</f>
        <v>At Risk</v>
      </c>
      <c r="AA986">
        <f>WarehouseData[[#This Row],[stock_level]]/WarehouseData[[#This Row],[daily_demand]]</f>
        <v>3.8870431893687707</v>
      </c>
      <c r="AB986">
        <f>WarehouseData[[#This Row],[stock_level]]*WarehouseData[[#This Row],[unit_price]]</f>
        <v>21586.5</v>
      </c>
      <c r="AC986">
        <f>WarehouseData[[#This Row],[stock_level]]*WarehouseData[[#This Row],[holding_cost_per_unit_day]]*30</f>
        <v>2948.4</v>
      </c>
      <c r="AD986" t="str">
        <f>IF(WarehouseData[[#This Row],[order_fulfillment_rate]]&gt;=0.9,"Strong",IF(WarehouseData[[#This Row],[order_fulfillment_rate]]&gt;=0.8,"Moderate","Needs Attention"))</f>
        <v>Needs Attention</v>
      </c>
      <c r="AE986" t="str">
        <f>IF(WarehouseData[[#This Row],[picking_time_seconds]]&gt;120,"Slow",IF(WarehouseData[[#This Row],[picking_time_seconds]]&gt;=60,"Average","Fast"))</f>
        <v>Fast</v>
      </c>
    </row>
    <row r="987" spans="1:31" x14ac:dyDescent="0.25">
      <c r="A987" t="s">
        <v>1125</v>
      </c>
      <c r="B987" t="s">
        <v>40</v>
      </c>
      <c r="C987">
        <v>364</v>
      </c>
      <c r="D987">
        <v>35</v>
      </c>
      <c r="E987">
        <v>5</v>
      </c>
      <c r="F987">
        <v>6</v>
      </c>
      <c r="G987">
        <v>11.19</v>
      </c>
      <c r="H987">
        <v>7.78</v>
      </c>
      <c r="I987">
        <v>0.89</v>
      </c>
      <c r="J987" t="s">
        <v>75</v>
      </c>
      <c r="K987" t="s">
        <v>34</v>
      </c>
      <c r="L987">
        <v>30</v>
      </c>
      <c r="M987">
        <v>4.3600000000000003</v>
      </c>
      <c r="N987">
        <v>35.6</v>
      </c>
      <c r="O987">
        <v>0.15</v>
      </c>
      <c r="P987">
        <v>2</v>
      </c>
      <c r="Q987">
        <v>0.9</v>
      </c>
      <c r="R987">
        <v>532</v>
      </c>
      <c r="S987">
        <v>5.76</v>
      </c>
      <c r="T987">
        <v>0.9</v>
      </c>
      <c r="U987" s="1">
        <v>45506</v>
      </c>
      <c r="V987">
        <v>42.94</v>
      </c>
      <c r="W987">
        <v>0.78200000000000003</v>
      </c>
      <c r="X987" t="str">
        <f>IF(WarehouseData[[#This Row],[stock_level]]&lt;=WarehouseData[[#This Row],[reorder_point]],"Low Stock","Sufficient Stock")</f>
        <v>Sufficient Stock</v>
      </c>
      <c r="Y987">
        <f>WarehouseData[[#This Row],[daily_demand]]*WarehouseData[[#This Row],[lead_time_days]]</f>
        <v>67.14</v>
      </c>
      <c r="Z987" t="str">
        <f>IF(WarehouseData[[#This Row],[stock_level]]&lt;=WarehouseData[[#This Row],[Demand During Lead Time]],"At Risk","Safe")</f>
        <v>Safe</v>
      </c>
      <c r="AA987">
        <f>WarehouseData[[#This Row],[stock_level]]/WarehouseData[[#This Row],[daily_demand]]</f>
        <v>32.529043789097408</v>
      </c>
      <c r="AB987">
        <f>WarehouseData[[#This Row],[stock_level]]*WarehouseData[[#This Row],[unit_price]]</f>
        <v>12958.4</v>
      </c>
      <c r="AC987">
        <f>WarehouseData[[#This Row],[stock_level]]*WarehouseData[[#This Row],[holding_cost_per_unit_day]]*30</f>
        <v>1638</v>
      </c>
      <c r="AD987" t="str">
        <f>IF(WarehouseData[[#This Row],[order_fulfillment_rate]]&gt;=0.9,"Strong",IF(WarehouseData[[#This Row],[order_fulfillment_rate]]&gt;=0.8,"Moderate","Needs Attention"))</f>
        <v>Strong</v>
      </c>
      <c r="AE987" t="str">
        <f>IF(WarehouseData[[#This Row],[picking_time_seconds]]&gt;120,"Slow",IF(WarehouseData[[#This Row],[picking_time_seconds]]&gt;=60,"Average","Fast"))</f>
        <v>Fast</v>
      </c>
    </row>
    <row r="988" spans="1:31" x14ac:dyDescent="0.25">
      <c r="A988" t="s">
        <v>1126</v>
      </c>
      <c r="B988" t="s">
        <v>36</v>
      </c>
      <c r="C988">
        <v>310</v>
      </c>
      <c r="D988">
        <v>98</v>
      </c>
      <c r="E988">
        <v>4</v>
      </c>
      <c r="F988">
        <v>9</v>
      </c>
      <c r="G988">
        <v>16.87</v>
      </c>
      <c r="H988">
        <v>6.87</v>
      </c>
      <c r="I988">
        <v>0.44</v>
      </c>
      <c r="J988" t="s">
        <v>43</v>
      </c>
      <c r="K988" t="s">
        <v>52</v>
      </c>
      <c r="L988">
        <v>152</v>
      </c>
      <c r="M988">
        <v>1.49</v>
      </c>
      <c r="N988">
        <v>88.44</v>
      </c>
      <c r="O988">
        <v>1.82</v>
      </c>
      <c r="P988">
        <v>3</v>
      </c>
      <c r="Q988">
        <v>0.89</v>
      </c>
      <c r="R988">
        <v>357</v>
      </c>
      <c r="S988">
        <v>6.77</v>
      </c>
      <c r="T988">
        <v>0.53</v>
      </c>
      <c r="U988" s="1">
        <v>45406</v>
      </c>
      <c r="V988">
        <v>108.97</v>
      </c>
      <c r="W988">
        <v>0.53200000000000003</v>
      </c>
      <c r="X988" t="str">
        <f>IF(WarehouseData[[#This Row],[stock_level]]&lt;=WarehouseData[[#This Row],[reorder_point]],"Low Stock","Sufficient Stock")</f>
        <v>Sufficient Stock</v>
      </c>
      <c r="Y988">
        <f>WarehouseData[[#This Row],[daily_demand]]*WarehouseData[[#This Row],[lead_time_days]]</f>
        <v>151.83000000000001</v>
      </c>
      <c r="Z988" t="str">
        <f>IF(WarehouseData[[#This Row],[stock_level]]&lt;=WarehouseData[[#This Row],[Demand During Lead Time]],"At Risk","Safe")</f>
        <v>Safe</v>
      </c>
      <c r="AA988">
        <f>WarehouseData[[#This Row],[stock_level]]/WarehouseData[[#This Row],[daily_demand]]</f>
        <v>18.37581505631298</v>
      </c>
      <c r="AB988">
        <f>WarehouseData[[#This Row],[stock_level]]*WarehouseData[[#This Row],[unit_price]]</f>
        <v>27416.399999999998</v>
      </c>
      <c r="AC988">
        <f>WarehouseData[[#This Row],[stock_level]]*WarehouseData[[#This Row],[holding_cost_per_unit_day]]*30</f>
        <v>16926</v>
      </c>
      <c r="AD988" t="str">
        <f>IF(WarehouseData[[#This Row],[order_fulfillment_rate]]&gt;=0.9,"Strong",IF(WarehouseData[[#This Row],[order_fulfillment_rate]]&gt;=0.8,"Moderate","Needs Attention"))</f>
        <v>Moderate</v>
      </c>
      <c r="AE988" t="str">
        <f>IF(WarehouseData[[#This Row],[picking_time_seconds]]&gt;120,"Slow",IF(WarehouseData[[#This Row],[picking_time_seconds]]&gt;=60,"Average","Fast"))</f>
        <v>Slow</v>
      </c>
    </row>
    <row r="989" spans="1:31" x14ac:dyDescent="0.25">
      <c r="A989" t="s">
        <v>1127</v>
      </c>
      <c r="B989" t="s">
        <v>32</v>
      </c>
      <c r="C989">
        <v>227</v>
      </c>
      <c r="D989">
        <v>35</v>
      </c>
      <c r="E989">
        <v>11</v>
      </c>
      <c r="F989">
        <v>5</v>
      </c>
      <c r="G989">
        <v>32.19</v>
      </c>
      <c r="H989">
        <v>0.97</v>
      </c>
      <c r="I989">
        <v>0.63</v>
      </c>
      <c r="J989" t="s">
        <v>466</v>
      </c>
      <c r="K989" t="s">
        <v>34</v>
      </c>
      <c r="L989">
        <v>109</v>
      </c>
      <c r="M989">
        <v>4.2</v>
      </c>
      <c r="N989">
        <v>26.93</v>
      </c>
      <c r="O989">
        <v>0.14000000000000001</v>
      </c>
      <c r="P989">
        <v>5</v>
      </c>
      <c r="Q989">
        <v>0.86</v>
      </c>
      <c r="R989">
        <v>71</v>
      </c>
      <c r="S989">
        <v>8.69</v>
      </c>
      <c r="T989">
        <v>0.9</v>
      </c>
      <c r="U989" s="1">
        <v>45456</v>
      </c>
      <c r="V989">
        <v>165.2</v>
      </c>
      <c r="W989">
        <v>0.754</v>
      </c>
      <c r="X989" t="str">
        <f>IF(WarehouseData[[#This Row],[stock_level]]&lt;=WarehouseData[[#This Row],[reorder_point]],"Low Stock","Sufficient Stock")</f>
        <v>Sufficient Stock</v>
      </c>
      <c r="Y989">
        <f>WarehouseData[[#This Row],[daily_demand]]*WarehouseData[[#This Row],[lead_time_days]]</f>
        <v>160.94999999999999</v>
      </c>
      <c r="Z989" t="str">
        <f>IF(WarehouseData[[#This Row],[stock_level]]&lt;=WarehouseData[[#This Row],[Demand During Lead Time]],"At Risk","Safe")</f>
        <v>Safe</v>
      </c>
      <c r="AA989">
        <f>WarehouseData[[#This Row],[stock_level]]/WarehouseData[[#This Row],[daily_demand]]</f>
        <v>7.0518794656725694</v>
      </c>
      <c r="AB989">
        <f>WarehouseData[[#This Row],[stock_level]]*WarehouseData[[#This Row],[unit_price]]</f>
        <v>6113.11</v>
      </c>
      <c r="AC989">
        <f>WarehouseData[[#This Row],[stock_level]]*WarehouseData[[#This Row],[holding_cost_per_unit_day]]*30</f>
        <v>953.40000000000009</v>
      </c>
      <c r="AD989" t="str">
        <f>IF(WarehouseData[[#This Row],[order_fulfillment_rate]]&gt;=0.9,"Strong",IF(WarehouseData[[#This Row],[order_fulfillment_rate]]&gt;=0.8,"Moderate","Needs Attention"))</f>
        <v>Moderate</v>
      </c>
      <c r="AE989" t="str">
        <f>IF(WarehouseData[[#This Row],[picking_time_seconds]]&gt;120,"Slow",IF(WarehouseData[[#This Row],[picking_time_seconds]]&gt;=60,"Average","Fast"))</f>
        <v>Average</v>
      </c>
    </row>
    <row r="990" spans="1:31" x14ac:dyDescent="0.25">
      <c r="A990" t="s">
        <v>1128</v>
      </c>
      <c r="B990" t="s">
        <v>40</v>
      </c>
      <c r="C990">
        <v>21</v>
      </c>
      <c r="D990">
        <v>35</v>
      </c>
      <c r="E990">
        <v>11</v>
      </c>
      <c r="F990">
        <v>7</v>
      </c>
      <c r="G990">
        <v>44.2</v>
      </c>
      <c r="H990">
        <v>5.67</v>
      </c>
      <c r="I990">
        <v>0.88</v>
      </c>
      <c r="J990" t="s">
        <v>45</v>
      </c>
      <c r="K990" t="s">
        <v>52</v>
      </c>
      <c r="L990">
        <v>106</v>
      </c>
      <c r="M990">
        <v>2.4700000000000002</v>
      </c>
      <c r="N990">
        <v>31.56</v>
      </c>
      <c r="O990">
        <v>0.16</v>
      </c>
      <c r="P990">
        <v>0</v>
      </c>
      <c r="Q990">
        <v>0.81</v>
      </c>
      <c r="R990">
        <v>63</v>
      </c>
      <c r="S990">
        <v>2.69</v>
      </c>
      <c r="T990">
        <v>0.71</v>
      </c>
      <c r="U990" s="1">
        <v>45419</v>
      </c>
      <c r="V990">
        <v>198.46</v>
      </c>
      <c r="W990">
        <v>0.72399999999999998</v>
      </c>
      <c r="X990" t="str">
        <f>IF(WarehouseData[[#This Row],[stock_level]]&lt;=WarehouseData[[#This Row],[reorder_point]],"Low Stock","Sufficient Stock")</f>
        <v>Low Stock</v>
      </c>
      <c r="Y990">
        <f>WarehouseData[[#This Row],[daily_demand]]*WarehouseData[[#This Row],[lead_time_days]]</f>
        <v>309.40000000000003</v>
      </c>
      <c r="Z990" t="str">
        <f>IF(WarehouseData[[#This Row],[stock_level]]&lt;=WarehouseData[[#This Row],[Demand During Lead Time]],"At Risk","Safe")</f>
        <v>At Risk</v>
      </c>
      <c r="AA990">
        <f>WarehouseData[[#This Row],[stock_level]]/WarehouseData[[#This Row],[daily_demand]]</f>
        <v>0.47511312217194568</v>
      </c>
      <c r="AB990">
        <f>WarehouseData[[#This Row],[stock_level]]*WarehouseData[[#This Row],[unit_price]]</f>
        <v>662.76</v>
      </c>
      <c r="AC990">
        <f>WarehouseData[[#This Row],[stock_level]]*WarehouseData[[#This Row],[holding_cost_per_unit_day]]*30</f>
        <v>100.8</v>
      </c>
      <c r="AD990" t="str">
        <f>IF(WarehouseData[[#This Row],[order_fulfillment_rate]]&gt;=0.9,"Strong",IF(WarehouseData[[#This Row],[order_fulfillment_rate]]&gt;=0.8,"Moderate","Needs Attention"))</f>
        <v>Moderate</v>
      </c>
      <c r="AE990" t="str">
        <f>IF(WarehouseData[[#This Row],[picking_time_seconds]]&gt;120,"Slow",IF(WarehouseData[[#This Row],[picking_time_seconds]]&gt;=60,"Average","Fast"))</f>
        <v>Average</v>
      </c>
    </row>
    <row r="991" spans="1:31" x14ac:dyDescent="0.25">
      <c r="A991" t="s">
        <v>1129</v>
      </c>
      <c r="B991" t="s">
        <v>48</v>
      </c>
      <c r="C991">
        <v>143</v>
      </c>
      <c r="D991">
        <v>55</v>
      </c>
      <c r="E991">
        <v>3</v>
      </c>
      <c r="F991">
        <v>4</v>
      </c>
      <c r="G991">
        <v>27.11</v>
      </c>
      <c r="H991">
        <v>5.39</v>
      </c>
      <c r="I991">
        <v>0.28999999999999998</v>
      </c>
      <c r="J991" t="s">
        <v>289</v>
      </c>
      <c r="K991" t="s">
        <v>46</v>
      </c>
      <c r="L991">
        <v>10</v>
      </c>
      <c r="M991">
        <v>3.35</v>
      </c>
      <c r="N991">
        <v>181.78</v>
      </c>
      <c r="O991">
        <v>0.41</v>
      </c>
      <c r="P991">
        <v>5</v>
      </c>
      <c r="Q991">
        <v>0.94</v>
      </c>
      <c r="R991">
        <v>535</v>
      </c>
      <c r="S991">
        <v>8.8699999999999992</v>
      </c>
      <c r="T991">
        <v>0.26</v>
      </c>
      <c r="U991" s="1">
        <v>45505</v>
      </c>
      <c r="V991">
        <v>93.78</v>
      </c>
      <c r="W991">
        <v>0.61699999999999999</v>
      </c>
      <c r="X991" t="str">
        <f>IF(WarehouseData[[#This Row],[stock_level]]&lt;=WarehouseData[[#This Row],[reorder_point]],"Low Stock","Sufficient Stock")</f>
        <v>Sufficient Stock</v>
      </c>
      <c r="Y991">
        <f>WarehouseData[[#This Row],[daily_demand]]*WarehouseData[[#This Row],[lead_time_days]]</f>
        <v>108.44</v>
      </c>
      <c r="Z991" t="str">
        <f>IF(WarehouseData[[#This Row],[stock_level]]&lt;=WarehouseData[[#This Row],[Demand During Lead Time]],"At Risk","Safe")</f>
        <v>Safe</v>
      </c>
      <c r="AA991">
        <f>WarehouseData[[#This Row],[stock_level]]/WarehouseData[[#This Row],[daily_demand]]</f>
        <v>5.2748063445223163</v>
      </c>
      <c r="AB991">
        <f>WarehouseData[[#This Row],[stock_level]]*WarehouseData[[#This Row],[unit_price]]</f>
        <v>25994.54</v>
      </c>
      <c r="AC991">
        <f>WarehouseData[[#This Row],[stock_level]]*WarehouseData[[#This Row],[holding_cost_per_unit_day]]*30</f>
        <v>1758.8999999999999</v>
      </c>
      <c r="AD991" t="str">
        <f>IF(WarehouseData[[#This Row],[order_fulfillment_rate]]&gt;=0.9,"Strong",IF(WarehouseData[[#This Row],[order_fulfillment_rate]]&gt;=0.8,"Moderate","Needs Attention"))</f>
        <v>Strong</v>
      </c>
      <c r="AE991" t="str">
        <f>IF(WarehouseData[[#This Row],[picking_time_seconds]]&gt;120,"Slow",IF(WarehouseData[[#This Row],[picking_time_seconds]]&gt;=60,"Average","Fast"))</f>
        <v>Fast</v>
      </c>
    </row>
    <row r="992" spans="1:31" x14ac:dyDescent="0.25">
      <c r="A992" t="s">
        <v>1130</v>
      </c>
      <c r="B992" t="s">
        <v>48</v>
      </c>
      <c r="C992">
        <v>299</v>
      </c>
      <c r="D992">
        <v>58</v>
      </c>
      <c r="E992">
        <v>8</v>
      </c>
      <c r="F992">
        <v>2</v>
      </c>
      <c r="G992">
        <v>38.200000000000003</v>
      </c>
      <c r="H992">
        <v>7.07</v>
      </c>
      <c r="I992">
        <v>0.54</v>
      </c>
      <c r="J992" t="s">
        <v>66</v>
      </c>
      <c r="K992" t="s">
        <v>52</v>
      </c>
      <c r="L992">
        <v>118</v>
      </c>
      <c r="M992">
        <v>0.84</v>
      </c>
      <c r="N992">
        <v>94.77</v>
      </c>
      <c r="O992">
        <v>1.29</v>
      </c>
      <c r="P992">
        <v>3</v>
      </c>
      <c r="Q992">
        <v>0.8</v>
      </c>
      <c r="R992">
        <v>767</v>
      </c>
      <c r="S992">
        <v>10.94</v>
      </c>
      <c r="T992">
        <v>0.23</v>
      </c>
      <c r="U992" s="1">
        <v>45455</v>
      </c>
      <c r="V992">
        <v>148.13</v>
      </c>
      <c r="W992">
        <v>0.56299999999999994</v>
      </c>
      <c r="X992" t="str">
        <f>IF(WarehouseData[[#This Row],[stock_level]]&lt;=WarehouseData[[#This Row],[reorder_point]],"Low Stock","Sufficient Stock")</f>
        <v>Sufficient Stock</v>
      </c>
      <c r="Y992">
        <f>WarehouseData[[#This Row],[daily_demand]]*WarehouseData[[#This Row],[lead_time_days]]</f>
        <v>76.400000000000006</v>
      </c>
      <c r="Z992" t="str">
        <f>IF(WarehouseData[[#This Row],[stock_level]]&lt;=WarehouseData[[#This Row],[Demand During Lead Time]],"At Risk","Safe")</f>
        <v>Safe</v>
      </c>
      <c r="AA992">
        <f>WarehouseData[[#This Row],[stock_level]]/WarehouseData[[#This Row],[daily_demand]]</f>
        <v>7.827225130890052</v>
      </c>
      <c r="AB992">
        <f>WarehouseData[[#This Row],[stock_level]]*WarehouseData[[#This Row],[unit_price]]</f>
        <v>28336.23</v>
      </c>
      <c r="AC992">
        <f>WarehouseData[[#This Row],[stock_level]]*WarehouseData[[#This Row],[holding_cost_per_unit_day]]*30</f>
        <v>11571.300000000001</v>
      </c>
      <c r="AD992" t="str">
        <f>IF(WarehouseData[[#This Row],[order_fulfillment_rate]]&gt;=0.9,"Strong",IF(WarehouseData[[#This Row],[order_fulfillment_rate]]&gt;=0.8,"Moderate","Needs Attention"))</f>
        <v>Moderate</v>
      </c>
      <c r="AE992" t="str">
        <f>IF(WarehouseData[[#This Row],[picking_time_seconds]]&gt;120,"Slow",IF(WarehouseData[[#This Row],[picking_time_seconds]]&gt;=60,"Average","Fast"))</f>
        <v>Average</v>
      </c>
    </row>
    <row r="993" spans="1:31" x14ac:dyDescent="0.25">
      <c r="A993" t="s">
        <v>1131</v>
      </c>
      <c r="B993" t="s">
        <v>40</v>
      </c>
      <c r="C993">
        <v>93</v>
      </c>
      <c r="D993">
        <v>91</v>
      </c>
      <c r="E993">
        <v>12</v>
      </c>
      <c r="F993">
        <v>6</v>
      </c>
      <c r="G993">
        <v>38.39</v>
      </c>
      <c r="H993">
        <v>1.24</v>
      </c>
      <c r="I993">
        <v>0.96</v>
      </c>
      <c r="J993" t="s">
        <v>104</v>
      </c>
      <c r="K993" t="s">
        <v>38</v>
      </c>
      <c r="L993">
        <v>91</v>
      </c>
      <c r="M993">
        <v>3.13</v>
      </c>
      <c r="N993">
        <v>140.86000000000001</v>
      </c>
      <c r="O993">
        <v>1.1299999999999999</v>
      </c>
      <c r="P993">
        <v>7</v>
      </c>
      <c r="Q993">
        <v>0.77</v>
      </c>
      <c r="R993">
        <v>595</v>
      </c>
      <c r="S993">
        <v>13.25</v>
      </c>
      <c r="T993">
        <v>0.59</v>
      </c>
      <c r="U993" s="1">
        <v>45430</v>
      </c>
      <c r="V993">
        <v>222.88</v>
      </c>
      <c r="W993">
        <v>0.59599999999999997</v>
      </c>
      <c r="X993" t="str">
        <f>IF(WarehouseData[[#This Row],[stock_level]]&lt;=WarehouseData[[#This Row],[reorder_point]],"Low Stock","Sufficient Stock")</f>
        <v>Sufficient Stock</v>
      </c>
      <c r="Y993">
        <f>WarehouseData[[#This Row],[daily_demand]]*WarehouseData[[#This Row],[lead_time_days]]</f>
        <v>230.34</v>
      </c>
      <c r="Z993" t="str">
        <f>IF(WarehouseData[[#This Row],[stock_level]]&lt;=WarehouseData[[#This Row],[Demand During Lead Time]],"At Risk","Safe")</f>
        <v>At Risk</v>
      </c>
      <c r="AA993">
        <f>WarehouseData[[#This Row],[stock_level]]/WarehouseData[[#This Row],[daily_demand]]</f>
        <v>2.4225058609012762</v>
      </c>
      <c r="AB993">
        <f>WarehouseData[[#This Row],[stock_level]]*WarehouseData[[#This Row],[unit_price]]</f>
        <v>13099.980000000001</v>
      </c>
      <c r="AC993">
        <f>WarehouseData[[#This Row],[stock_level]]*WarehouseData[[#This Row],[holding_cost_per_unit_day]]*30</f>
        <v>3152.7</v>
      </c>
      <c r="AD993" t="str">
        <f>IF(WarehouseData[[#This Row],[order_fulfillment_rate]]&gt;=0.9,"Strong",IF(WarehouseData[[#This Row],[order_fulfillment_rate]]&gt;=0.8,"Moderate","Needs Attention"))</f>
        <v>Needs Attention</v>
      </c>
      <c r="AE993" t="str">
        <f>IF(WarehouseData[[#This Row],[picking_time_seconds]]&gt;120,"Slow",IF(WarehouseData[[#This Row],[picking_time_seconds]]&gt;=60,"Average","Fast"))</f>
        <v>Average</v>
      </c>
    </row>
    <row r="994" spans="1:31" x14ac:dyDescent="0.25">
      <c r="A994" t="s">
        <v>1132</v>
      </c>
      <c r="B994" t="s">
        <v>32</v>
      </c>
      <c r="C994">
        <v>185</v>
      </c>
      <c r="D994">
        <v>62</v>
      </c>
      <c r="E994">
        <v>10</v>
      </c>
      <c r="F994">
        <v>5</v>
      </c>
      <c r="G994">
        <v>33.549999999999997</v>
      </c>
      <c r="H994">
        <v>8.15</v>
      </c>
      <c r="I994">
        <v>0.53</v>
      </c>
      <c r="J994" t="s">
        <v>281</v>
      </c>
      <c r="K994" t="s">
        <v>52</v>
      </c>
      <c r="L994">
        <v>147</v>
      </c>
      <c r="M994">
        <v>1.8</v>
      </c>
      <c r="N994">
        <v>36.39</v>
      </c>
      <c r="O994">
        <v>1.35</v>
      </c>
      <c r="P994">
        <v>8</v>
      </c>
      <c r="Q994">
        <v>0.79</v>
      </c>
      <c r="R994">
        <v>903</v>
      </c>
      <c r="S994">
        <v>5.22</v>
      </c>
      <c r="T994">
        <v>0.83</v>
      </c>
      <c r="U994" s="1">
        <v>45331</v>
      </c>
      <c r="V994">
        <v>132.44999999999999</v>
      </c>
      <c r="W994">
        <v>0.499</v>
      </c>
      <c r="X994" t="str">
        <f>IF(WarehouseData[[#This Row],[stock_level]]&lt;=WarehouseData[[#This Row],[reorder_point]],"Low Stock","Sufficient Stock")</f>
        <v>Sufficient Stock</v>
      </c>
      <c r="Y994">
        <f>WarehouseData[[#This Row],[daily_demand]]*WarehouseData[[#This Row],[lead_time_days]]</f>
        <v>167.75</v>
      </c>
      <c r="Z994" t="str">
        <f>IF(WarehouseData[[#This Row],[stock_level]]&lt;=WarehouseData[[#This Row],[Demand During Lead Time]],"At Risk","Safe")</f>
        <v>Safe</v>
      </c>
      <c r="AA994">
        <f>WarehouseData[[#This Row],[stock_level]]/WarehouseData[[#This Row],[daily_demand]]</f>
        <v>5.5141579731743668</v>
      </c>
      <c r="AB994">
        <f>WarehouseData[[#This Row],[stock_level]]*WarehouseData[[#This Row],[unit_price]]</f>
        <v>6732.1500000000005</v>
      </c>
      <c r="AC994">
        <f>WarehouseData[[#This Row],[stock_level]]*WarehouseData[[#This Row],[holding_cost_per_unit_day]]*30</f>
        <v>7492.5000000000009</v>
      </c>
      <c r="AD994" t="str">
        <f>IF(WarehouseData[[#This Row],[order_fulfillment_rate]]&gt;=0.9,"Strong",IF(WarehouseData[[#This Row],[order_fulfillment_rate]]&gt;=0.8,"Moderate","Needs Attention"))</f>
        <v>Needs Attention</v>
      </c>
      <c r="AE994" t="str">
        <f>IF(WarehouseData[[#This Row],[picking_time_seconds]]&gt;120,"Slow",IF(WarehouseData[[#This Row],[picking_time_seconds]]&gt;=60,"Average","Fast"))</f>
        <v>Slow</v>
      </c>
    </row>
    <row r="995" spans="1:31" x14ac:dyDescent="0.25">
      <c r="A995" t="s">
        <v>1133</v>
      </c>
      <c r="B995" t="s">
        <v>48</v>
      </c>
      <c r="C995">
        <v>41</v>
      </c>
      <c r="D995">
        <v>12</v>
      </c>
      <c r="E995">
        <v>5</v>
      </c>
      <c r="F995">
        <v>4</v>
      </c>
      <c r="G995">
        <v>13.05</v>
      </c>
      <c r="H995">
        <v>1.82</v>
      </c>
      <c r="I995">
        <v>0.33</v>
      </c>
      <c r="J995" t="s">
        <v>273</v>
      </c>
      <c r="K995" t="s">
        <v>38</v>
      </c>
      <c r="L995">
        <v>160</v>
      </c>
      <c r="M995">
        <v>0.93</v>
      </c>
      <c r="N995">
        <v>14.17</v>
      </c>
      <c r="O995">
        <v>1.8</v>
      </c>
      <c r="P995">
        <v>7</v>
      </c>
      <c r="Q995">
        <v>0.83</v>
      </c>
      <c r="R995">
        <v>513</v>
      </c>
      <c r="S995">
        <v>11.46</v>
      </c>
      <c r="T995">
        <v>0.51</v>
      </c>
      <c r="U995" s="1">
        <v>45584</v>
      </c>
      <c r="V995">
        <v>282.82</v>
      </c>
      <c r="W995">
        <v>0.501</v>
      </c>
      <c r="X995" t="str">
        <f>IF(WarehouseData[[#This Row],[stock_level]]&lt;=WarehouseData[[#This Row],[reorder_point]],"Low Stock","Sufficient Stock")</f>
        <v>Sufficient Stock</v>
      </c>
      <c r="Y995">
        <f>WarehouseData[[#This Row],[daily_demand]]*WarehouseData[[#This Row],[lead_time_days]]</f>
        <v>52.2</v>
      </c>
      <c r="Z995" t="str">
        <f>IF(WarehouseData[[#This Row],[stock_level]]&lt;=WarehouseData[[#This Row],[Demand During Lead Time]],"At Risk","Safe")</f>
        <v>At Risk</v>
      </c>
      <c r="AA995">
        <f>WarehouseData[[#This Row],[stock_level]]/WarehouseData[[#This Row],[daily_demand]]</f>
        <v>3.1417624521072796</v>
      </c>
      <c r="AB995">
        <f>WarehouseData[[#This Row],[stock_level]]*WarehouseData[[#This Row],[unit_price]]</f>
        <v>580.97</v>
      </c>
      <c r="AC995">
        <f>WarehouseData[[#This Row],[stock_level]]*WarehouseData[[#This Row],[holding_cost_per_unit_day]]*30</f>
        <v>2214</v>
      </c>
      <c r="AD995" t="str">
        <f>IF(WarehouseData[[#This Row],[order_fulfillment_rate]]&gt;=0.9,"Strong",IF(WarehouseData[[#This Row],[order_fulfillment_rate]]&gt;=0.8,"Moderate","Needs Attention"))</f>
        <v>Moderate</v>
      </c>
      <c r="AE995" t="str">
        <f>IF(WarehouseData[[#This Row],[picking_time_seconds]]&gt;120,"Slow",IF(WarehouseData[[#This Row],[picking_time_seconds]]&gt;=60,"Average","Fast"))</f>
        <v>Slow</v>
      </c>
    </row>
    <row r="996" spans="1:31" x14ac:dyDescent="0.25">
      <c r="A996" t="s">
        <v>1134</v>
      </c>
      <c r="B996" t="s">
        <v>36</v>
      </c>
      <c r="C996">
        <v>173</v>
      </c>
      <c r="D996">
        <v>75</v>
      </c>
      <c r="E996">
        <v>13</v>
      </c>
      <c r="F996">
        <v>6</v>
      </c>
      <c r="G996">
        <v>43.47</v>
      </c>
      <c r="H996">
        <v>4.4800000000000004</v>
      </c>
      <c r="I996">
        <v>0.42</v>
      </c>
      <c r="J996" t="s">
        <v>477</v>
      </c>
      <c r="K996" t="s">
        <v>52</v>
      </c>
      <c r="L996">
        <v>27</v>
      </c>
      <c r="M996">
        <v>4.59</v>
      </c>
      <c r="N996">
        <v>179.19</v>
      </c>
      <c r="O996">
        <v>0.96</v>
      </c>
      <c r="P996">
        <v>7</v>
      </c>
      <c r="Q996">
        <v>0.76</v>
      </c>
      <c r="R996">
        <v>617</v>
      </c>
      <c r="S996">
        <v>9.48</v>
      </c>
      <c r="T996">
        <v>0.88</v>
      </c>
      <c r="U996" s="1">
        <v>45482</v>
      </c>
      <c r="V996">
        <v>18.899999999999999</v>
      </c>
      <c r="W996">
        <v>0.61799999999999999</v>
      </c>
      <c r="X996" t="str">
        <f>IF(WarehouseData[[#This Row],[stock_level]]&lt;=WarehouseData[[#This Row],[reorder_point]],"Low Stock","Sufficient Stock")</f>
        <v>Sufficient Stock</v>
      </c>
      <c r="Y996">
        <f>WarehouseData[[#This Row],[daily_demand]]*WarehouseData[[#This Row],[lead_time_days]]</f>
        <v>260.82</v>
      </c>
      <c r="Z996" t="str">
        <f>IF(WarehouseData[[#This Row],[stock_level]]&lt;=WarehouseData[[#This Row],[Demand During Lead Time]],"At Risk","Safe")</f>
        <v>At Risk</v>
      </c>
      <c r="AA996">
        <f>WarehouseData[[#This Row],[stock_level]]/WarehouseData[[#This Row],[daily_demand]]</f>
        <v>3.9797561536691974</v>
      </c>
      <c r="AB996">
        <f>WarehouseData[[#This Row],[stock_level]]*WarehouseData[[#This Row],[unit_price]]</f>
        <v>30999.87</v>
      </c>
      <c r="AC996">
        <f>WarehouseData[[#This Row],[stock_level]]*WarehouseData[[#This Row],[holding_cost_per_unit_day]]*30</f>
        <v>4982.3999999999996</v>
      </c>
      <c r="AD996" t="str">
        <f>IF(WarehouseData[[#This Row],[order_fulfillment_rate]]&gt;=0.9,"Strong",IF(WarehouseData[[#This Row],[order_fulfillment_rate]]&gt;=0.8,"Moderate","Needs Attention"))</f>
        <v>Needs Attention</v>
      </c>
      <c r="AE996" t="str">
        <f>IF(WarehouseData[[#This Row],[picking_time_seconds]]&gt;120,"Slow",IF(WarehouseData[[#This Row],[picking_time_seconds]]&gt;=60,"Average","Fast"))</f>
        <v>Fast</v>
      </c>
    </row>
    <row r="997" spans="1:31" x14ac:dyDescent="0.25">
      <c r="A997" t="s">
        <v>1135</v>
      </c>
      <c r="B997" t="s">
        <v>48</v>
      </c>
      <c r="C997">
        <v>446</v>
      </c>
      <c r="D997">
        <v>51</v>
      </c>
      <c r="E997">
        <v>11</v>
      </c>
      <c r="F997">
        <v>3</v>
      </c>
      <c r="G997">
        <v>22.38</v>
      </c>
      <c r="H997">
        <v>8.8699999999999992</v>
      </c>
      <c r="I997">
        <v>0.9</v>
      </c>
      <c r="J997" t="s">
        <v>122</v>
      </c>
      <c r="K997" t="s">
        <v>46</v>
      </c>
      <c r="L997">
        <v>67</v>
      </c>
      <c r="M997">
        <v>3.22</v>
      </c>
      <c r="N997">
        <v>119.16</v>
      </c>
      <c r="O997">
        <v>0.18</v>
      </c>
      <c r="P997">
        <v>1</v>
      </c>
      <c r="Q997">
        <v>0.88</v>
      </c>
      <c r="R997">
        <v>801</v>
      </c>
      <c r="S997">
        <v>8.0399999999999991</v>
      </c>
      <c r="T997">
        <v>0.59</v>
      </c>
      <c r="U997" s="1">
        <v>45353</v>
      </c>
      <c r="V997">
        <v>85.47</v>
      </c>
      <c r="W997">
        <v>0.76300000000000001</v>
      </c>
      <c r="X997" t="str">
        <f>IF(WarehouseData[[#This Row],[stock_level]]&lt;=WarehouseData[[#This Row],[reorder_point]],"Low Stock","Sufficient Stock")</f>
        <v>Sufficient Stock</v>
      </c>
      <c r="Y997">
        <f>WarehouseData[[#This Row],[daily_demand]]*WarehouseData[[#This Row],[lead_time_days]]</f>
        <v>67.14</v>
      </c>
      <c r="Z997" t="str">
        <f>IF(WarehouseData[[#This Row],[stock_level]]&lt;=WarehouseData[[#This Row],[Demand During Lead Time]],"At Risk","Safe")</f>
        <v>Safe</v>
      </c>
      <c r="AA997">
        <f>WarehouseData[[#This Row],[stock_level]]/WarehouseData[[#This Row],[daily_demand]]</f>
        <v>19.92850759606792</v>
      </c>
      <c r="AB997">
        <f>WarehouseData[[#This Row],[stock_level]]*WarehouseData[[#This Row],[unit_price]]</f>
        <v>53145.36</v>
      </c>
      <c r="AC997">
        <f>WarehouseData[[#This Row],[stock_level]]*WarehouseData[[#This Row],[holding_cost_per_unit_day]]*30</f>
        <v>2408.4</v>
      </c>
      <c r="AD997" t="str">
        <f>IF(WarehouseData[[#This Row],[order_fulfillment_rate]]&gt;=0.9,"Strong",IF(WarehouseData[[#This Row],[order_fulfillment_rate]]&gt;=0.8,"Moderate","Needs Attention"))</f>
        <v>Moderate</v>
      </c>
      <c r="AE997" t="str">
        <f>IF(WarehouseData[[#This Row],[picking_time_seconds]]&gt;120,"Slow",IF(WarehouseData[[#This Row],[picking_time_seconds]]&gt;=60,"Average","Fast"))</f>
        <v>Average</v>
      </c>
    </row>
    <row r="998" spans="1:31" x14ac:dyDescent="0.25">
      <c r="A998" t="s">
        <v>1136</v>
      </c>
      <c r="B998" t="s">
        <v>73</v>
      </c>
      <c r="C998">
        <v>458</v>
      </c>
      <c r="D998">
        <v>28</v>
      </c>
      <c r="E998">
        <v>4</v>
      </c>
      <c r="F998">
        <v>8</v>
      </c>
      <c r="G998">
        <v>3.17</v>
      </c>
      <c r="H998">
        <v>5.83</v>
      </c>
      <c r="I998">
        <v>0.96</v>
      </c>
      <c r="J998" t="s">
        <v>156</v>
      </c>
      <c r="K998" t="s">
        <v>52</v>
      </c>
      <c r="L998">
        <v>135</v>
      </c>
      <c r="M998">
        <v>1.59</v>
      </c>
      <c r="N998">
        <v>13.8</v>
      </c>
      <c r="O998">
        <v>1.55</v>
      </c>
      <c r="P998">
        <v>9</v>
      </c>
      <c r="Q998">
        <v>0.97</v>
      </c>
      <c r="R998">
        <v>998</v>
      </c>
      <c r="S998">
        <v>13.87</v>
      </c>
      <c r="T998">
        <v>0.22</v>
      </c>
      <c r="U998" s="1">
        <v>45549</v>
      </c>
      <c r="V998">
        <v>48.68</v>
      </c>
      <c r="W998">
        <v>0.48799999999999999</v>
      </c>
      <c r="X998" t="str">
        <f>IF(WarehouseData[[#This Row],[stock_level]]&lt;=WarehouseData[[#This Row],[reorder_point]],"Low Stock","Sufficient Stock")</f>
        <v>Sufficient Stock</v>
      </c>
      <c r="Y998">
        <f>WarehouseData[[#This Row],[daily_demand]]*WarehouseData[[#This Row],[lead_time_days]]</f>
        <v>25.36</v>
      </c>
      <c r="Z998" t="str">
        <f>IF(WarehouseData[[#This Row],[stock_level]]&lt;=WarehouseData[[#This Row],[Demand During Lead Time]],"At Risk","Safe")</f>
        <v>Safe</v>
      </c>
      <c r="AA998">
        <f>WarehouseData[[#This Row],[stock_level]]/WarehouseData[[#This Row],[daily_demand]]</f>
        <v>144.47949526813881</v>
      </c>
      <c r="AB998">
        <f>WarehouseData[[#This Row],[stock_level]]*WarehouseData[[#This Row],[unit_price]]</f>
        <v>6320.4000000000005</v>
      </c>
      <c r="AC998">
        <f>WarehouseData[[#This Row],[stock_level]]*WarehouseData[[#This Row],[holding_cost_per_unit_day]]*30</f>
        <v>21297</v>
      </c>
      <c r="AD998" t="str">
        <f>IF(WarehouseData[[#This Row],[order_fulfillment_rate]]&gt;=0.9,"Strong",IF(WarehouseData[[#This Row],[order_fulfillment_rate]]&gt;=0.8,"Moderate","Needs Attention"))</f>
        <v>Strong</v>
      </c>
      <c r="AE998" t="str">
        <f>IF(WarehouseData[[#This Row],[picking_time_seconds]]&gt;120,"Slow",IF(WarehouseData[[#This Row],[picking_time_seconds]]&gt;=60,"Average","Fast"))</f>
        <v>Slow</v>
      </c>
    </row>
    <row r="999" spans="1:31" x14ac:dyDescent="0.25">
      <c r="A999" t="s">
        <v>1137</v>
      </c>
      <c r="B999" t="s">
        <v>73</v>
      </c>
      <c r="C999">
        <v>314</v>
      </c>
      <c r="D999">
        <v>26</v>
      </c>
      <c r="E999">
        <v>8</v>
      </c>
      <c r="F999">
        <v>4</v>
      </c>
      <c r="G999">
        <v>12.99</v>
      </c>
      <c r="H999">
        <v>4.1100000000000003</v>
      </c>
      <c r="I999">
        <v>0.96</v>
      </c>
      <c r="J999" t="s">
        <v>146</v>
      </c>
      <c r="K999" t="s">
        <v>34</v>
      </c>
      <c r="L999">
        <v>82</v>
      </c>
      <c r="M999">
        <v>2.39</v>
      </c>
      <c r="N999">
        <v>198.54</v>
      </c>
      <c r="O999">
        <v>1.64</v>
      </c>
      <c r="P999">
        <v>1</v>
      </c>
      <c r="Q999">
        <v>0.88</v>
      </c>
      <c r="R999">
        <v>482</v>
      </c>
      <c r="S999">
        <v>9.68</v>
      </c>
      <c r="T999">
        <v>0.98</v>
      </c>
      <c r="U999" s="1">
        <v>45636</v>
      </c>
      <c r="V999">
        <v>166.97</v>
      </c>
      <c r="W999">
        <v>0.71699999999999997</v>
      </c>
      <c r="X999" t="str">
        <f>IF(WarehouseData[[#This Row],[stock_level]]&lt;=WarehouseData[[#This Row],[reorder_point]],"Low Stock","Sufficient Stock")</f>
        <v>Sufficient Stock</v>
      </c>
      <c r="Y999">
        <f>WarehouseData[[#This Row],[daily_demand]]*WarehouseData[[#This Row],[lead_time_days]]</f>
        <v>51.96</v>
      </c>
      <c r="Z999" t="str">
        <f>IF(WarehouseData[[#This Row],[stock_level]]&lt;=WarehouseData[[#This Row],[Demand During Lead Time]],"At Risk","Safe")</f>
        <v>Safe</v>
      </c>
      <c r="AA999">
        <f>WarehouseData[[#This Row],[stock_level]]/WarehouseData[[#This Row],[daily_demand]]</f>
        <v>24.172440338722094</v>
      </c>
      <c r="AB999">
        <f>WarehouseData[[#This Row],[stock_level]]*WarehouseData[[#This Row],[unit_price]]</f>
        <v>62341.56</v>
      </c>
      <c r="AC999">
        <f>WarehouseData[[#This Row],[stock_level]]*WarehouseData[[#This Row],[holding_cost_per_unit_day]]*30</f>
        <v>15448.799999999997</v>
      </c>
      <c r="AD999" t="str">
        <f>IF(WarehouseData[[#This Row],[order_fulfillment_rate]]&gt;=0.9,"Strong",IF(WarehouseData[[#This Row],[order_fulfillment_rate]]&gt;=0.8,"Moderate","Needs Attention"))</f>
        <v>Moderate</v>
      </c>
      <c r="AE999" t="str">
        <f>IF(WarehouseData[[#This Row],[picking_time_seconds]]&gt;120,"Slow",IF(WarehouseData[[#This Row],[picking_time_seconds]]&gt;=60,"Average","Fast"))</f>
        <v>Average</v>
      </c>
    </row>
    <row r="1000" spans="1:31" x14ac:dyDescent="0.25">
      <c r="A1000" t="s">
        <v>1138</v>
      </c>
      <c r="B1000" t="s">
        <v>32</v>
      </c>
      <c r="C1000">
        <v>238</v>
      </c>
      <c r="D1000">
        <v>42</v>
      </c>
      <c r="E1000">
        <v>3</v>
      </c>
      <c r="F1000">
        <v>9</v>
      </c>
      <c r="G1000">
        <v>38.51</v>
      </c>
      <c r="H1000">
        <v>0.96</v>
      </c>
      <c r="I1000">
        <v>0.73</v>
      </c>
      <c r="J1000" t="s">
        <v>77</v>
      </c>
      <c r="K1000" t="s">
        <v>46</v>
      </c>
      <c r="L1000">
        <v>119</v>
      </c>
      <c r="M1000">
        <v>2.11</v>
      </c>
      <c r="N1000">
        <v>103.52</v>
      </c>
      <c r="O1000">
        <v>0.19</v>
      </c>
      <c r="P1000">
        <v>5</v>
      </c>
      <c r="Q1000">
        <v>0.83</v>
      </c>
      <c r="R1000">
        <v>624</v>
      </c>
      <c r="S1000">
        <v>6.12</v>
      </c>
      <c r="T1000">
        <v>0.59</v>
      </c>
      <c r="U1000" s="1">
        <v>45318</v>
      </c>
      <c r="V1000">
        <v>61.44</v>
      </c>
      <c r="W1000">
        <v>0.64700000000000002</v>
      </c>
      <c r="X1000" t="str">
        <f>IF(WarehouseData[[#This Row],[stock_level]]&lt;=WarehouseData[[#This Row],[reorder_point]],"Low Stock","Sufficient Stock")</f>
        <v>Sufficient Stock</v>
      </c>
      <c r="Y1000">
        <f>WarehouseData[[#This Row],[daily_demand]]*WarehouseData[[#This Row],[lead_time_days]]</f>
        <v>346.59</v>
      </c>
      <c r="Z1000" t="str">
        <f>IF(WarehouseData[[#This Row],[stock_level]]&lt;=WarehouseData[[#This Row],[Demand During Lead Time]],"At Risk","Safe")</f>
        <v>At Risk</v>
      </c>
      <c r="AA1000">
        <f>WarehouseData[[#This Row],[stock_level]]/WarehouseData[[#This Row],[daily_demand]]</f>
        <v>6.180212931706051</v>
      </c>
      <c r="AB1000">
        <f>WarehouseData[[#This Row],[stock_level]]*WarehouseData[[#This Row],[unit_price]]</f>
        <v>24637.759999999998</v>
      </c>
      <c r="AC1000">
        <f>WarehouseData[[#This Row],[stock_level]]*WarehouseData[[#This Row],[holding_cost_per_unit_day]]*30</f>
        <v>1356.6</v>
      </c>
      <c r="AD1000" t="str">
        <f>IF(WarehouseData[[#This Row],[order_fulfillment_rate]]&gt;=0.9,"Strong",IF(WarehouseData[[#This Row],[order_fulfillment_rate]]&gt;=0.8,"Moderate","Needs Attention"))</f>
        <v>Moderate</v>
      </c>
      <c r="AE1000" t="str">
        <f>IF(WarehouseData[[#This Row],[picking_time_seconds]]&gt;120,"Slow",IF(WarehouseData[[#This Row],[picking_time_seconds]]&gt;=60,"Average","Fast"))</f>
        <v>Average</v>
      </c>
    </row>
    <row r="1001" spans="1:31" x14ac:dyDescent="0.25">
      <c r="A1001" t="s">
        <v>1139</v>
      </c>
      <c r="B1001" t="s">
        <v>40</v>
      </c>
      <c r="C1001">
        <v>176</v>
      </c>
      <c r="D1001">
        <v>85</v>
      </c>
      <c r="E1001">
        <v>9</v>
      </c>
      <c r="F1001">
        <v>9</v>
      </c>
      <c r="G1001">
        <v>4.3899999999999997</v>
      </c>
      <c r="H1001">
        <v>6.89</v>
      </c>
      <c r="I1001">
        <v>0.56000000000000005</v>
      </c>
      <c r="J1001" t="s">
        <v>152</v>
      </c>
      <c r="K1001" t="s">
        <v>46</v>
      </c>
      <c r="L1001">
        <v>61</v>
      </c>
      <c r="M1001">
        <v>3.65</v>
      </c>
      <c r="N1001">
        <v>100.42</v>
      </c>
      <c r="O1001">
        <v>0.56000000000000005</v>
      </c>
      <c r="P1001">
        <v>4</v>
      </c>
      <c r="Q1001">
        <v>0.94</v>
      </c>
      <c r="R1001">
        <v>449</v>
      </c>
      <c r="S1001">
        <v>10.98</v>
      </c>
      <c r="T1001">
        <v>0.72</v>
      </c>
      <c r="U1001" s="1">
        <v>45383</v>
      </c>
      <c r="V1001">
        <v>225.13</v>
      </c>
      <c r="W1001">
        <v>0.74199999999999999</v>
      </c>
      <c r="X1001" t="str">
        <f>IF(WarehouseData[[#This Row],[stock_level]]&lt;=WarehouseData[[#This Row],[reorder_point]],"Low Stock","Sufficient Stock")</f>
        <v>Sufficient Stock</v>
      </c>
      <c r="Y1001">
        <f>WarehouseData[[#This Row],[daily_demand]]*WarehouseData[[#This Row],[lead_time_days]]</f>
        <v>39.51</v>
      </c>
      <c r="Z1001" t="str">
        <f>IF(WarehouseData[[#This Row],[stock_level]]&lt;=WarehouseData[[#This Row],[Demand During Lead Time]],"At Risk","Safe")</f>
        <v>Safe</v>
      </c>
      <c r="AA1001">
        <f>WarehouseData[[#This Row],[stock_level]]/WarehouseData[[#This Row],[daily_demand]]</f>
        <v>40.091116173120732</v>
      </c>
      <c r="AB1001">
        <f>WarehouseData[[#This Row],[stock_level]]*WarehouseData[[#This Row],[unit_price]]</f>
        <v>17673.920000000002</v>
      </c>
      <c r="AC1001">
        <f>WarehouseData[[#This Row],[stock_level]]*WarehouseData[[#This Row],[holding_cost_per_unit_day]]*30</f>
        <v>2956.8</v>
      </c>
      <c r="AD1001" t="str">
        <f>IF(WarehouseData[[#This Row],[order_fulfillment_rate]]&gt;=0.9,"Strong",IF(WarehouseData[[#This Row],[order_fulfillment_rate]]&gt;=0.8,"Moderate","Needs Attention"))</f>
        <v>Strong</v>
      </c>
      <c r="AE1001" t="str">
        <f>IF(WarehouseData[[#This Row],[picking_time_seconds]]&gt;120,"Slow",IF(WarehouseData[[#This Row],[picking_time_seconds]]&gt;=60,"Average","Fast"))</f>
        <v>Average</v>
      </c>
    </row>
    <row r="1002" spans="1:31" x14ac:dyDescent="0.25">
      <c r="A1002" t="s">
        <v>1140</v>
      </c>
      <c r="B1002" t="s">
        <v>32</v>
      </c>
      <c r="C1002">
        <v>249</v>
      </c>
      <c r="D1002">
        <v>58</v>
      </c>
      <c r="E1002">
        <v>5</v>
      </c>
      <c r="F1002">
        <v>6</v>
      </c>
      <c r="G1002">
        <v>8.2200000000000006</v>
      </c>
      <c r="H1002">
        <v>9.8699999999999992</v>
      </c>
      <c r="I1002">
        <v>0.26</v>
      </c>
      <c r="J1002" t="s">
        <v>311</v>
      </c>
      <c r="K1002" t="s">
        <v>34</v>
      </c>
      <c r="L1002">
        <v>55</v>
      </c>
      <c r="M1002">
        <v>3.23</v>
      </c>
      <c r="N1002">
        <v>127.97</v>
      </c>
      <c r="O1002">
        <v>1.56</v>
      </c>
      <c r="P1002">
        <v>5</v>
      </c>
      <c r="Q1002">
        <v>0.92</v>
      </c>
      <c r="R1002">
        <v>641</v>
      </c>
      <c r="S1002">
        <v>14.44</v>
      </c>
      <c r="T1002">
        <v>0.36</v>
      </c>
      <c r="U1002" s="1">
        <v>45406</v>
      </c>
      <c r="V1002">
        <v>276.32</v>
      </c>
      <c r="W1002">
        <v>0.59299999999999997</v>
      </c>
      <c r="X1002" t="str">
        <f>IF(WarehouseData[[#This Row],[stock_level]]&lt;=WarehouseData[[#This Row],[reorder_point]],"Low Stock","Sufficient Stock")</f>
        <v>Sufficient Stock</v>
      </c>
      <c r="Y1002">
        <f>WarehouseData[[#This Row],[daily_demand]]*WarehouseData[[#This Row],[lead_time_days]]</f>
        <v>49.320000000000007</v>
      </c>
      <c r="Z1002" t="str">
        <f>IF(WarehouseData[[#This Row],[stock_level]]&lt;=WarehouseData[[#This Row],[Demand During Lead Time]],"At Risk","Safe")</f>
        <v>Safe</v>
      </c>
      <c r="AA1002">
        <f>WarehouseData[[#This Row],[stock_level]]/WarehouseData[[#This Row],[daily_demand]]</f>
        <v>30.291970802919707</v>
      </c>
      <c r="AB1002">
        <f>WarehouseData[[#This Row],[stock_level]]*WarehouseData[[#This Row],[unit_price]]</f>
        <v>31864.53</v>
      </c>
      <c r="AC1002">
        <f>WarehouseData[[#This Row],[stock_level]]*WarehouseData[[#This Row],[holding_cost_per_unit_day]]*30</f>
        <v>11653.2</v>
      </c>
      <c r="AD1002" t="str">
        <f>IF(WarehouseData[[#This Row],[order_fulfillment_rate]]&gt;=0.9,"Strong",IF(WarehouseData[[#This Row],[order_fulfillment_rate]]&gt;=0.8,"Moderate","Needs Attention"))</f>
        <v>Strong</v>
      </c>
      <c r="AE1002" t="str">
        <f>IF(WarehouseData[[#This Row],[picking_time_seconds]]&gt;120,"Slow",IF(WarehouseData[[#This Row],[picking_time_seconds]]&gt;=60,"Average","Fast"))</f>
        <v>Fast</v>
      </c>
    </row>
    <row r="1003" spans="1:31" x14ac:dyDescent="0.25">
      <c r="A1003" t="s">
        <v>1141</v>
      </c>
      <c r="B1003" t="s">
        <v>32</v>
      </c>
      <c r="C1003">
        <v>39</v>
      </c>
      <c r="D1003">
        <v>65</v>
      </c>
      <c r="E1003">
        <v>9</v>
      </c>
      <c r="F1003">
        <v>9</v>
      </c>
      <c r="G1003">
        <v>35.020000000000003</v>
      </c>
      <c r="H1003">
        <v>9.16</v>
      </c>
      <c r="I1003">
        <v>0.21</v>
      </c>
      <c r="J1003" t="s">
        <v>316</v>
      </c>
      <c r="K1003" t="s">
        <v>46</v>
      </c>
      <c r="L1003">
        <v>116</v>
      </c>
      <c r="M1003">
        <v>0.59</v>
      </c>
      <c r="N1003">
        <v>11.5</v>
      </c>
      <c r="O1003">
        <v>0.81</v>
      </c>
      <c r="P1003">
        <v>8</v>
      </c>
      <c r="Q1003">
        <v>0.81</v>
      </c>
      <c r="R1003">
        <v>601</v>
      </c>
      <c r="S1003">
        <v>13.85</v>
      </c>
      <c r="T1003">
        <v>0.44</v>
      </c>
      <c r="U1003" s="1">
        <v>45556</v>
      </c>
      <c r="V1003">
        <v>70.09</v>
      </c>
      <c r="W1003">
        <v>0.59399999999999997</v>
      </c>
      <c r="X1003" t="str">
        <f>IF(WarehouseData[[#This Row],[stock_level]]&lt;=WarehouseData[[#This Row],[reorder_point]],"Low Stock","Sufficient Stock")</f>
        <v>Low Stock</v>
      </c>
      <c r="Y1003">
        <f>WarehouseData[[#This Row],[daily_demand]]*WarehouseData[[#This Row],[lead_time_days]]</f>
        <v>315.18</v>
      </c>
      <c r="Z1003" t="str">
        <f>IF(WarehouseData[[#This Row],[stock_level]]&lt;=WarehouseData[[#This Row],[Demand During Lead Time]],"At Risk","Safe")</f>
        <v>At Risk</v>
      </c>
      <c r="AA1003">
        <f>WarehouseData[[#This Row],[stock_level]]/WarehouseData[[#This Row],[daily_demand]]</f>
        <v>1.1136493432324386</v>
      </c>
      <c r="AB1003">
        <f>WarehouseData[[#This Row],[stock_level]]*WarehouseData[[#This Row],[unit_price]]</f>
        <v>448.5</v>
      </c>
      <c r="AC1003">
        <f>WarehouseData[[#This Row],[stock_level]]*WarehouseData[[#This Row],[holding_cost_per_unit_day]]*30</f>
        <v>947.7</v>
      </c>
      <c r="AD1003" t="str">
        <f>IF(WarehouseData[[#This Row],[order_fulfillment_rate]]&gt;=0.9,"Strong",IF(WarehouseData[[#This Row],[order_fulfillment_rate]]&gt;=0.8,"Moderate","Needs Attention"))</f>
        <v>Moderate</v>
      </c>
      <c r="AE1003" t="str">
        <f>IF(WarehouseData[[#This Row],[picking_time_seconds]]&gt;120,"Slow",IF(WarehouseData[[#This Row],[picking_time_seconds]]&gt;=60,"Average","Fast"))</f>
        <v>Average</v>
      </c>
    </row>
    <row r="1004" spans="1:31" x14ac:dyDescent="0.25">
      <c r="A1004" t="s">
        <v>1142</v>
      </c>
      <c r="B1004" t="s">
        <v>32</v>
      </c>
      <c r="C1004">
        <v>494</v>
      </c>
      <c r="D1004">
        <v>72</v>
      </c>
      <c r="E1004">
        <v>6</v>
      </c>
      <c r="F1004">
        <v>4</v>
      </c>
      <c r="G1004">
        <v>44.74</v>
      </c>
      <c r="H1004">
        <v>7.31</v>
      </c>
      <c r="I1004">
        <v>0.15</v>
      </c>
      <c r="J1004" t="s">
        <v>286</v>
      </c>
      <c r="K1004" t="s">
        <v>46</v>
      </c>
      <c r="L1004">
        <v>22</v>
      </c>
      <c r="M1004">
        <v>1.39</v>
      </c>
      <c r="N1004">
        <v>118.14</v>
      </c>
      <c r="O1004">
        <v>1</v>
      </c>
      <c r="P1004">
        <v>9</v>
      </c>
      <c r="Q1004">
        <v>0.88</v>
      </c>
      <c r="R1004">
        <v>855</v>
      </c>
      <c r="S1004">
        <v>14.72</v>
      </c>
      <c r="T1004">
        <v>0.59</v>
      </c>
      <c r="U1004" s="1">
        <v>45315</v>
      </c>
      <c r="V1004">
        <v>272.95999999999998</v>
      </c>
      <c r="W1004">
        <v>0.61</v>
      </c>
      <c r="X1004" t="str">
        <f>IF(WarehouseData[[#This Row],[stock_level]]&lt;=WarehouseData[[#This Row],[reorder_point]],"Low Stock","Sufficient Stock")</f>
        <v>Sufficient Stock</v>
      </c>
      <c r="Y1004">
        <f>WarehouseData[[#This Row],[daily_demand]]*WarehouseData[[#This Row],[lead_time_days]]</f>
        <v>178.96</v>
      </c>
      <c r="Z1004" t="str">
        <f>IF(WarehouseData[[#This Row],[stock_level]]&lt;=WarehouseData[[#This Row],[Demand During Lead Time]],"At Risk","Safe")</f>
        <v>Safe</v>
      </c>
      <c r="AA1004">
        <f>WarehouseData[[#This Row],[stock_level]]/WarehouseData[[#This Row],[daily_demand]]</f>
        <v>11.041573535985695</v>
      </c>
      <c r="AB1004">
        <f>WarehouseData[[#This Row],[stock_level]]*WarehouseData[[#This Row],[unit_price]]</f>
        <v>58361.16</v>
      </c>
      <c r="AC1004">
        <f>WarehouseData[[#This Row],[stock_level]]*WarehouseData[[#This Row],[holding_cost_per_unit_day]]*30</f>
        <v>14820</v>
      </c>
      <c r="AD1004" t="str">
        <f>IF(WarehouseData[[#This Row],[order_fulfillment_rate]]&gt;=0.9,"Strong",IF(WarehouseData[[#This Row],[order_fulfillment_rate]]&gt;=0.8,"Moderate","Needs Attention"))</f>
        <v>Moderate</v>
      </c>
      <c r="AE1004" t="str">
        <f>IF(WarehouseData[[#This Row],[picking_time_seconds]]&gt;120,"Slow",IF(WarehouseData[[#This Row],[picking_time_seconds]]&gt;=60,"Average","Fast"))</f>
        <v>Fast</v>
      </c>
    </row>
    <row r="1005" spans="1:31" x14ac:dyDescent="0.25">
      <c r="A1005" t="s">
        <v>1143</v>
      </c>
      <c r="B1005" t="s">
        <v>32</v>
      </c>
      <c r="C1005">
        <v>60</v>
      </c>
      <c r="D1005">
        <v>12</v>
      </c>
      <c r="E1005">
        <v>11</v>
      </c>
      <c r="F1005">
        <v>2</v>
      </c>
      <c r="G1005">
        <v>32.049999999999997</v>
      </c>
      <c r="H1005">
        <v>1.5</v>
      </c>
      <c r="I1005">
        <v>0.12</v>
      </c>
      <c r="J1005" t="s">
        <v>158</v>
      </c>
      <c r="K1005" t="s">
        <v>34</v>
      </c>
      <c r="L1005">
        <v>105</v>
      </c>
      <c r="M1005">
        <v>2.65</v>
      </c>
      <c r="N1005">
        <v>129.6</v>
      </c>
      <c r="O1005">
        <v>1.66</v>
      </c>
      <c r="P1005">
        <v>6</v>
      </c>
      <c r="Q1005">
        <v>0.92</v>
      </c>
      <c r="R1005">
        <v>963</v>
      </c>
      <c r="S1005">
        <v>2.33</v>
      </c>
      <c r="T1005">
        <v>0.88</v>
      </c>
      <c r="U1005" s="1">
        <v>45497</v>
      </c>
      <c r="V1005">
        <v>193.21</v>
      </c>
      <c r="W1005">
        <v>0.505</v>
      </c>
      <c r="X1005" t="str">
        <f>IF(WarehouseData[[#This Row],[stock_level]]&lt;=WarehouseData[[#This Row],[reorder_point]],"Low Stock","Sufficient Stock")</f>
        <v>Sufficient Stock</v>
      </c>
      <c r="Y1005">
        <f>WarehouseData[[#This Row],[daily_demand]]*WarehouseData[[#This Row],[lead_time_days]]</f>
        <v>64.099999999999994</v>
      </c>
      <c r="Z1005" t="str">
        <f>IF(WarehouseData[[#This Row],[stock_level]]&lt;=WarehouseData[[#This Row],[Demand During Lead Time]],"At Risk","Safe")</f>
        <v>At Risk</v>
      </c>
      <c r="AA1005">
        <f>WarehouseData[[#This Row],[stock_level]]/WarehouseData[[#This Row],[daily_demand]]</f>
        <v>1.87207488299532</v>
      </c>
      <c r="AB1005">
        <f>WarehouseData[[#This Row],[stock_level]]*WarehouseData[[#This Row],[unit_price]]</f>
        <v>7776</v>
      </c>
      <c r="AC1005">
        <f>WarehouseData[[#This Row],[stock_level]]*WarehouseData[[#This Row],[holding_cost_per_unit_day]]*30</f>
        <v>2988</v>
      </c>
      <c r="AD1005" t="str">
        <f>IF(WarehouseData[[#This Row],[order_fulfillment_rate]]&gt;=0.9,"Strong",IF(WarehouseData[[#This Row],[order_fulfillment_rate]]&gt;=0.8,"Moderate","Needs Attention"))</f>
        <v>Strong</v>
      </c>
      <c r="AE1005" t="str">
        <f>IF(WarehouseData[[#This Row],[picking_time_seconds]]&gt;120,"Slow",IF(WarehouseData[[#This Row],[picking_time_seconds]]&gt;=60,"Average","Fast"))</f>
        <v>Average</v>
      </c>
    </row>
    <row r="1006" spans="1:31" x14ac:dyDescent="0.25">
      <c r="A1006" t="s">
        <v>1144</v>
      </c>
      <c r="B1006" t="s">
        <v>36</v>
      </c>
      <c r="C1006">
        <v>457</v>
      </c>
      <c r="D1006">
        <v>58</v>
      </c>
      <c r="E1006">
        <v>7</v>
      </c>
      <c r="F1006">
        <v>2</v>
      </c>
      <c r="G1006">
        <v>11.89</v>
      </c>
      <c r="H1006">
        <v>2.77</v>
      </c>
      <c r="I1006">
        <v>0.89</v>
      </c>
      <c r="J1006" t="s">
        <v>137</v>
      </c>
      <c r="K1006" t="s">
        <v>46</v>
      </c>
      <c r="L1006">
        <v>26</v>
      </c>
      <c r="M1006">
        <v>2.5</v>
      </c>
      <c r="N1006">
        <v>66.42</v>
      </c>
      <c r="O1006">
        <v>0.28000000000000003</v>
      </c>
      <c r="P1006">
        <v>4</v>
      </c>
      <c r="Q1006">
        <v>0.77</v>
      </c>
      <c r="R1006">
        <v>328</v>
      </c>
      <c r="S1006">
        <v>7.21</v>
      </c>
      <c r="T1006">
        <v>0.28000000000000003</v>
      </c>
      <c r="U1006" s="1">
        <v>45327</v>
      </c>
      <c r="V1006">
        <v>66.89</v>
      </c>
      <c r="W1006">
        <v>0.59799999999999998</v>
      </c>
      <c r="X1006" t="str">
        <f>IF(WarehouseData[[#This Row],[stock_level]]&lt;=WarehouseData[[#This Row],[reorder_point]],"Low Stock","Sufficient Stock")</f>
        <v>Sufficient Stock</v>
      </c>
      <c r="Y1006">
        <f>WarehouseData[[#This Row],[daily_demand]]*WarehouseData[[#This Row],[lead_time_days]]</f>
        <v>23.78</v>
      </c>
      <c r="Z1006" t="str">
        <f>IF(WarehouseData[[#This Row],[stock_level]]&lt;=WarehouseData[[#This Row],[Demand During Lead Time]],"At Risk","Safe")</f>
        <v>Safe</v>
      </c>
      <c r="AA1006">
        <f>WarehouseData[[#This Row],[stock_level]]/WarehouseData[[#This Row],[daily_demand]]</f>
        <v>38.435660218671153</v>
      </c>
      <c r="AB1006">
        <f>WarehouseData[[#This Row],[stock_level]]*WarehouseData[[#This Row],[unit_price]]</f>
        <v>30353.940000000002</v>
      </c>
      <c r="AC1006">
        <f>WarehouseData[[#This Row],[stock_level]]*WarehouseData[[#This Row],[holding_cost_per_unit_day]]*30</f>
        <v>3838.8</v>
      </c>
      <c r="AD1006" t="str">
        <f>IF(WarehouseData[[#This Row],[order_fulfillment_rate]]&gt;=0.9,"Strong",IF(WarehouseData[[#This Row],[order_fulfillment_rate]]&gt;=0.8,"Moderate","Needs Attention"))</f>
        <v>Needs Attention</v>
      </c>
      <c r="AE1006" t="str">
        <f>IF(WarehouseData[[#This Row],[picking_time_seconds]]&gt;120,"Slow",IF(WarehouseData[[#This Row],[picking_time_seconds]]&gt;=60,"Average","Fast"))</f>
        <v>Fast</v>
      </c>
    </row>
    <row r="1007" spans="1:31" x14ac:dyDescent="0.25">
      <c r="A1007" t="s">
        <v>1145</v>
      </c>
      <c r="B1007" t="s">
        <v>36</v>
      </c>
      <c r="C1007">
        <v>167</v>
      </c>
      <c r="D1007">
        <v>64</v>
      </c>
      <c r="E1007">
        <v>5</v>
      </c>
      <c r="F1007">
        <v>8</v>
      </c>
      <c r="G1007">
        <v>3.62</v>
      </c>
      <c r="H1007">
        <v>2.2799999999999998</v>
      </c>
      <c r="I1007">
        <v>0.83</v>
      </c>
      <c r="J1007" t="s">
        <v>353</v>
      </c>
      <c r="K1007" t="s">
        <v>46</v>
      </c>
      <c r="L1007">
        <v>76</v>
      </c>
      <c r="M1007">
        <v>2.83</v>
      </c>
      <c r="N1007">
        <v>148.1</v>
      </c>
      <c r="O1007">
        <v>1.39</v>
      </c>
      <c r="P1007">
        <v>9</v>
      </c>
      <c r="Q1007">
        <v>0.81</v>
      </c>
      <c r="R1007">
        <v>817</v>
      </c>
      <c r="S1007">
        <v>7.06</v>
      </c>
      <c r="T1007">
        <v>0.82</v>
      </c>
      <c r="U1007" s="1">
        <v>45530</v>
      </c>
      <c r="V1007">
        <v>223.6</v>
      </c>
      <c r="W1007">
        <v>0.501</v>
      </c>
      <c r="X1007" t="str">
        <f>IF(WarehouseData[[#This Row],[stock_level]]&lt;=WarehouseData[[#This Row],[reorder_point]],"Low Stock","Sufficient Stock")</f>
        <v>Sufficient Stock</v>
      </c>
      <c r="Y1007">
        <f>WarehouseData[[#This Row],[daily_demand]]*WarehouseData[[#This Row],[lead_time_days]]</f>
        <v>28.96</v>
      </c>
      <c r="Z1007" t="str">
        <f>IF(WarehouseData[[#This Row],[stock_level]]&lt;=WarehouseData[[#This Row],[Demand During Lead Time]],"At Risk","Safe")</f>
        <v>Safe</v>
      </c>
      <c r="AA1007">
        <f>WarehouseData[[#This Row],[stock_level]]/WarehouseData[[#This Row],[daily_demand]]</f>
        <v>46.132596685082873</v>
      </c>
      <c r="AB1007">
        <f>WarehouseData[[#This Row],[stock_level]]*WarehouseData[[#This Row],[unit_price]]</f>
        <v>24732.7</v>
      </c>
      <c r="AC1007">
        <f>WarehouseData[[#This Row],[stock_level]]*WarehouseData[[#This Row],[holding_cost_per_unit_day]]*30</f>
        <v>6963.9</v>
      </c>
      <c r="AD1007" t="str">
        <f>IF(WarehouseData[[#This Row],[order_fulfillment_rate]]&gt;=0.9,"Strong",IF(WarehouseData[[#This Row],[order_fulfillment_rate]]&gt;=0.8,"Moderate","Needs Attention"))</f>
        <v>Moderate</v>
      </c>
      <c r="AE1007" t="str">
        <f>IF(WarehouseData[[#This Row],[picking_time_seconds]]&gt;120,"Slow",IF(WarehouseData[[#This Row],[picking_time_seconds]]&gt;=60,"Average","Fast"))</f>
        <v>Average</v>
      </c>
    </row>
    <row r="1008" spans="1:31" x14ac:dyDescent="0.25">
      <c r="A1008" t="s">
        <v>1146</v>
      </c>
      <c r="B1008" t="s">
        <v>48</v>
      </c>
      <c r="C1008">
        <v>127</v>
      </c>
      <c r="D1008">
        <v>35</v>
      </c>
      <c r="E1008">
        <v>10</v>
      </c>
      <c r="F1008">
        <v>2</v>
      </c>
      <c r="G1008">
        <v>31.14</v>
      </c>
      <c r="H1008">
        <v>3.88</v>
      </c>
      <c r="I1008">
        <v>0.61</v>
      </c>
      <c r="J1008" t="s">
        <v>45</v>
      </c>
      <c r="K1008" t="s">
        <v>46</v>
      </c>
      <c r="L1008">
        <v>70</v>
      </c>
      <c r="M1008">
        <v>3.72</v>
      </c>
      <c r="N1008">
        <v>81.709999999999994</v>
      </c>
      <c r="O1008">
        <v>0.51</v>
      </c>
      <c r="P1008">
        <v>6</v>
      </c>
      <c r="Q1008">
        <v>0.73</v>
      </c>
      <c r="R1008">
        <v>159</v>
      </c>
      <c r="S1008">
        <v>6.37</v>
      </c>
      <c r="T1008">
        <v>0.66</v>
      </c>
      <c r="U1008" s="1">
        <v>45436</v>
      </c>
      <c r="V1008">
        <v>36.35</v>
      </c>
      <c r="W1008">
        <v>0.59199999999999997</v>
      </c>
      <c r="X1008" t="str">
        <f>IF(WarehouseData[[#This Row],[stock_level]]&lt;=WarehouseData[[#This Row],[reorder_point]],"Low Stock","Sufficient Stock")</f>
        <v>Sufficient Stock</v>
      </c>
      <c r="Y1008">
        <f>WarehouseData[[#This Row],[daily_demand]]*WarehouseData[[#This Row],[lead_time_days]]</f>
        <v>62.28</v>
      </c>
      <c r="Z1008" t="str">
        <f>IF(WarehouseData[[#This Row],[stock_level]]&lt;=WarehouseData[[#This Row],[Demand During Lead Time]],"At Risk","Safe")</f>
        <v>Safe</v>
      </c>
      <c r="AA1008">
        <f>WarehouseData[[#This Row],[stock_level]]/WarehouseData[[#This Row],[daily_demand]]</f>
        <v>4.0783558124598587</v>
      </c>
      <c r="AB1008">
        <f>WarehouseData[[#This Row],[stock_level]]*WarehouseData[[#This Row],[unit_price]]</f>
        <v>10377.17</v>
      </c>
      <c r="AC1008">
        <f>WarehouseData[[#This Row],[stock_level]]*WarehouseData[[#This Row],[holding_cost_per_unit_day]]*30</f>
        <v>1943.1</v>
      </c>
      <c r="AD1008" t="str">
        <f>IF(WarehouseData[[#This Row],[order_fulfillment_rate]]&gt;=0.9,"Strong",IF(WarehouseData[[#This Row],[order_fulfillment_rate]]&gt;=0.8,"Moderate","Needs Attention"))</f>
        <v>Needs Attention</v>
      </c>
      <c r="AE1008" t="str">
        <f>IF(WarehouseData[[#This Row],[picking_time_seconds]]&gt;120,"Slow",IF(WarehouseData[[#This Row],[picking_time_seconds]]&gt;=60,"Average","Fast"))</f>
        <v>Average</v>
      </c>
    </row>
    <row r="1009" spans="1:31" x14ac:dyDescent="0.25">
      <c r="A1009" t="s">
        <v>1147</v>
      </c>
      <c r="B1009" t="s">
        <v>73</v>
      </c>
      <c r="C1009">
        <v>422</v>
      </c>
      <c r="D1009">
        <v>81</v>
      </c>
      <c r="E1009">
        <v>8</v>
      </c>
      <c r="F1009">
        <v>7</v>
      </c>
      <c r="G1009">
        <v>3.32</v>
      </c>
      <c r="H1009">
        <v>2.74</v>
      </c>
      <c r="I1009">
        <v>1</v>
      </c>
      <c r="J1009" t="s">
        <v>131</v>
      </c>
      <c r="K1009" t="s">
        <v>46</v>
      </c>
      <c r="L1009">
        <v>74</v>
      </c>
      <c r="M1009">
        <v>3.57</v>
      </c>
      <c r="N1009">
        <v>146.38</v>
      </c>
      <c r="O1009">
        <v>0.22</v>
      </c>
      <c r="P1009">
        <v>7</v>
      </c>
      <c r="Q1009">
        <v>1</v>
      </c>
      <c r="R1009">
        <v>97</v>
      </c>
      <c r="S1009">
        <v>3.5</v>
      </c>
      <c r="T1009">
        <v>0.6</v>
      </c>
      <c r="U1009" s="1">
        <v>45451</v>
      </c>
      <c r="V1009">
        <v>210.72</v>
      </c>
      <c r="W1009">
        <v>0.60499999999999998</v>
      </c>
      <c r="X1009" t="str">
        <f>IF(WarehouseData[[#This Row],[stock_level]]&lt;=WarehouseData[[#This Row],[reorder_point]],"Low Stock","Sufficient Stock")</f>
        <v>Sufficient Stock</v>
      </c>
      <c r="Y1009">
        <f>WarehouseData[[#This Row],[daily_demand]]*WarehouseData[[#This Row],[lead_time_days]]</f>
        <v>23.24</v>
      </c>
      <c r="Z1009" t="str">
        <f>IF(WarehouseData[[#This Row],[stock_level]]&lt;=WarehouseData[[#This Row],[Demand During Lead Time]],"At Risk","Safe")</f>
        <v>Safe</v>
      </c>
      <c r="AA1009">
        <f>WarehouseData[[#This Row],[stock_level]]/WarehouseData[[#This Row],[daily_demand]]</f>
        <v>127.10843373493977</v>
      </c>
      <c r="AB1009">
        <f>WarehouseData[[#This Row],[stock_level]]*WarehouseData[[#This Row],[unit_price]]</f>
        <v>61772.36</v>
      </c>
      <c r="AC1009">
        <f>WarehouseData[[#This Row],[stock_level]]*WarehouseData[[#This Row],[holding_cost_per_unit_day]]*30</f>
        <v>2785.2000000000003</v>
      </c>
      <c r="AD1009" t="str">
        <f>IF(WarehouseData[[#This Row],[order_fulfillment_rate]]&gt;=0.9,"Strong",IF(WarehouseData[[#This Row],[order_fulfillment_rate]]&gt;=0.8,"Moderate","Needs Attention"))</f>
        <v>Strong</v>
      </c>
      <c r="AE1009" t="str">
        <f>IF(WarehouseData[[#This Row],[picking_time_seconds]]&gt;120,"Slow",IF(WarehouseData[[#This Row],[picking_time_seconds]]&gt;=60,"Average","Fast"))</f>
        <v>Average</v>
      </c>
    </row>
    <row r="1010" spans="1:31" x14ac:dyDescent="0.25">
      <c r="A1010" t="s">
        <v>1148</v>
      </c>
      <c r="B1010" t="s">
        <v>32</v>
      </c>
      <c r="C1010">
        <v>103</v>
      </c>
      <c r="D1010">
        <v>61</v>
      </c>
      <c r="E1010">
        <v>4</v>
      </c>
      <c r="F1010">
        <v>3</v>
      </c>
      <c r="G1010">
        <v>31.02</v>
      </c>
      <c r="H1010">
        <v>2.82</v>
      </c>
      <c r="I1010">
        <v>0.96</v>
      </c>
      <c r="J1010" t="s">
        <v>265</v>
      </c>
      <c r="K1010" t="s">
        <v>52</v>
      </c>
      <c r="L1010">
        <v>142</v>
      </c>
      <c r="M1010">
        <v>2.1800000000000002</v>
      </c>
      <c r="N1010">
        <v>37.33</v>
      </c>
      <c r="O1010">
        <v>1.36</v>
      </c>
      <c r="P1010">
        <v>0</v>
      </c>
      <c r="Q1010">
        <v>0.73</v>
      </c>
      <c r="R1010">
        <v>793</v>
      </c>
      <c r="S1010">
        <v>12.65</v>
      </c>
      <c r="T1010">
        <v>0.9</v>
      </c>
      <c r="U1010" s="1">
        <v>45459</v>
      </c>
      <c r="V1010">
        <v>259.77</v>
      </c>
      <c r="W1010">
        <v>0.75900000000000001</v>
      </c>
      <c r="X1010" t="str">
        <f>IF(WarehouseData[[#This Row],[stock_level]]&lt;=WarehouseData[[#This Row],[reorder_point]],"Low Stock","Sufficient Stock")</f>
        <v>Sufficient Stock</v>
      </c>
      <c r="Y1010">
        <f>WarehouseData[[#This Row],[daily_demand]]*WarehouseData[[#This Row],[lead_time_days]]</f>
        <v>93.06</v>
      </c>
      <c r="Z1010" t="str">
        <f>IF(WarehouseData[[#This Row],[stock_level]]&lt;=WarehouseData[[#This Row],[Demand During Lead Time]],"At Risk","Safe")</f>
        <v>Safe</v>
      </c>
      <c r="AA1010">
        <f>WarehouseData[[#This Row],[stock_level]]/WarehouseData[[#This Row],[daily_demand]]</f>
        <v>3.3204384268214056</v>
      </c>
      <c r="AB1010">
        <f>WarehouseData[[#This Row],[stock_level]]*WarehouseData[[#This Row],[unit_price]]</f>
        <v>3844.99</v>
      </c>
      <c r="AC1010">
        <f>WarehouseData[[#This Row],[stock_level]]*WarehouseData[[#This Row],[holding_cost_per_unit_day]]*30</f>
        <v>4202.4000000000005</v>
      </c>
      <c r="AD1010" t="str">
        <f>IF(WarehouseData[[#This Row],[order_fulfillment_rate]]&gt;=0.9,"Strong",IF(WarehouseData[[#This Row],[order_fulfillment_rate]]&gt;=0.8,"Moderate","Needs Attention"))</f>
        <v>Needs Attention</v>
      </c>
      <c r="AE1010" t="str">
        <f>IF(WarehouseData[[#This Row],[picking_time_seconds]]&gt;120,"Slow",IF(WarehouseData[[#This Row],[picking_time_seconds]]&gt;=60,"Average","Fast"))</f>
        <v>Slow</v>
      </c>
    </row>
    <row r="1011" spans="1:31" x14ac:dyDescent="0.25">
      <c r="A1011" t="s">
        <v>1149</v>
      </c>
      <c r="B1011" t="s">
        <v>48</v>
      </c>
      <c r="C1011">
        <v>386</v>
      </c>
      <c r="D1011">
        <v>16</v>
      </c>
      <c r="E1011">
        <v>5</v>
      </c>
      <c r="F1011">
        <v>2</v>
      </c>
      <c r="G1011">
        <v>12.05</v>
      </c>
      <c r="H1011">
        <v>6.36</v>
      </c>
      <c r="I1011">
        <v>0.69</v>
      </c>
      <c r="J1011" t="s">
        <v>144</v>
      </c>
      <c r="K1011" t="s">
        <v>46</v>
      </c>
      <c r="L1011">
        <v>169</v>
      </c>
      <c r="M1011">
        <v>4.45</v>
      </c>
      <c r="N1011">
        <v>183.6</v>
      </c>
      <c r="O1011">
        <v>0.33</v>
      </c>
      <c r="P1011">
        <v>9</v>
      </c>
      <c r="Q1011">
        <v>0.75</v>
      </c>
      <c r="R1011">
        <v>131</v>
      </c>
      <c r="S1011">
        <v>10.42</v>
      </c>
      <c r="T1011">
        <v>0.28999999999999998</v>
      </c>
      <c r="U1011" s="1">
        <v>45336</v>
      </c>
      <c r="V1011">
        <v>285.61</v>
      </c>
      <c r="W1011">
        <v>0.53400000000000003</v>
      </c>
      <c r="X1011" t="str">
        <f>IF(WarehouseData[[#This Row],[stock_level]]&lt;=WarehouseData[[#This Row],[reorder_point]],"Low Stock","Sufficient Stock")</f>
        <v>Sufficient Stock</v>
      </c>
      <c r="Y1011">
        <f>WarehouseData[[#This Row],[daily_demand]]*WarehouseData[[#This Row],[lead_time_days]]</f>
        <v>24.1</v>
      </c>
      <c r="Z1011" t="str">
        <f>IF(WarehouseData[[#This Row],[stock_level]]&lt;=WarehouseData[[#This Row],[Demand During Lead Time]],"At Risk","Safe")</f>
        <v>Safe</v>
      </c>
      <c r="AA1011">
        <f>WarehouseData[[#This Row],[stock_level]]/WarehouseData[[#This Row],[daily_demand]]</f>
        <v>32.033195020746888</v>
      </c>
      <c r="AB1011">
        <f>WarehouseData[[#This Row],[stock_level]]*WarehouseData[[#This Row],[unit_price]]</f>
        <v>70869.599999999991</v>
      </c>
      <c r="AC1011">
        <f>WarehouseData[[#This Row],[stock_level]]*WarehouseData[[#This Row],[holding_cost_per_unit_day]]*30</f>
        <v>3821.4</v>
      </c>
      <c r="AD1011" t="str">
        <f>IF(WarehouseData[[#This Row],[order_fulfillment_rate]]&gt;=0.9,"Strong",IF(WarehouseData[[#This Row],[order_fulfillment_rate]]&gt;=0.8,"Moderate","Needs Attention"))</f>
        <v>Needs Attention</v>
      </c>
      <c r="AE1011" t="str">
        <f>IF(WarehouseData[[#This Row],[picking_time_seconds]]&gt;120,"Slow",IF(WarehouseData[[#This Row],[picking_time_seconds]]&gt;=60,"Average","Fast"))</f>
        <v>Slow</v>
      </c>
    </row>
    <row r="1012" spans="1:31" x14ac:dyDescent="0.25">
      <c r="A1012" t="s">
        <v>1150</v>
      </c>
      <c r="B1012" t="s">
        <v>73</v>
      </c>
      <c r="C1012">
        <v>341</v>
      </c>
      <c r="D1012">
        <v>55</v>
      </c>
      <c r="E1012">
        <v>10</v>
      </c>
      <c r="F1012">
        <v>9</v>
      </c>
      <c r="G1012">
        <v>45.33</v>
      </c>
      <c r="H1012">
        <v>3.53</v>
      </c>
      <c r="I1012">
        <v>0.52</v>
      </c>
      <c r="J1012" t="s">
        <v>146</v>
      </c>
      <c r="K1012" t="s">
        <v>46</v>
      </c>
      <c r="L1012">
        <v>98</v>
      </c>
      <c r="M1012">
        <v>0.78</v>
      </c>
      <c r="N1012">
        <v>177.1</v>
      </c>
      <c r="O1012">
        <v>1.52</v>
      </c>
      <c r="P1012">
        <v>6</v>
      </c>
      <c r="Q1012">
        <v>0.84</v>
      </c>
      <c r="R1012">
        <v>735</v>
      </c>
      <c r="S1012">
        <v>9.48</v>
      </c>
      <c r="T1012">
        <v>0.99</v>
      </c>
      <c r="U1012" s="1">
        <v>45575</v>
      </c>
      <c r="V1012">
        <v>25.81</v>
      </c>
      <c r="W1012">
        <v>0.62</v>
      </c>
      <c r="X1012" t="str">
        <f>IF(WarehouseData[[#This Row],[stock_level]]&lt;=WarehouseData[[#This Row],[reorder_point]],"Low Stock","Sufficient Stock")</f>
        <v>Sufficient Stock</v>
      </c>
      <c r="Y1012">
        <f>WarehouseData[[#This Row],[daily_demand]]*WarehouseData[[#This Row],[lead_time_days]]</f>
        <v>407.96999999999997</v>
      </c>
      <c r="Z1012" t="str">
        <f>IF(WarehouseData[[#This Row],[stock_level]]&lt;=WarehouseData[[#This Row],[Demand During Lead Time]],"At Risk","Safe")</f>
        <v>At Risk</v>
      </c>
      <c r="AA1012">
        <f>WarehouseData[[#This Row],[stock_level]]/WarehouseData[[#This Row],[daily_demand]]</f>
        <v>7.5226119567615273</v>
      </c>
      <c r="AB1012">
        <f>WarehouseData[[#This Row],[stock_level]]*WarehouseData[[#This Row],[unit_price]]</f>
        <v>60391.1</v>
      </c>
      <c r="AC1012">
        <f>WarehouseData[[#This Row],[stock_level]]*WarehouseData[[#This Row],[holding_cost_per_unit_day]]*30</f>
        <v>15549.600000000002</v>
      </c>
      <c r="AD1012" t="str">
        <f>IF(WarehouseData[[#This Row],[order_fulfillment_rate]]&gt;=0.9,"Strong",IF(WarehouseData[[#This Row],[order_fulfillment_rate]]&gt;=0.8,"Moderate","Needs Attention"))</f>
        <v>Moderate</v>
      </c>
      <c r="AE1012" t="str">
        <f>IF(WarehouseData[[#This Row],[picking_time_seconds]]&gt;120,"Slow",IF(WarehouseData[[#This Row],[picking_time_seconds]]&gt;=60,"Average","Fast"))</f>
        <v>Average</v>
      </c>
    </row>
    <row r="1013" spans="1:31" x14ac:dyDescent="0.25">
      <c r="A1013" t="s">
        <v>1151</v>
      </c>
      <c r="B1013" t="s">
        <v>40</v>
      </c>
      <c r="C1013">
        <v>433</v>
      </c>
      <c r="D1013">
        <v>55</v>
      </c>
      <c r="E1013">
        <v>12</v>
      </c>
      <c r="F1013">
        <v>3</v>
      </c>
      <c r="G1013">
        <v>24.28</v>
      </c>
      <c r="H1013">
        <v>6.93</v>
      </c>
      <c r="I1013">
        <v>0.24</v>
      </c>
      <c r="J1013" t="s">
        <v>92</v>
      </c>
      <c r="K1013" t="s">
        <v>46</v>
      </c>
      <c r="L1013">
        <v>65</v>
      </c>
      <c r="M1013">
        <v>3.13</v>
      </c>
      <c r="N1013">
        <v>38.619999999999997</v>
      </c>
      <c r="O1013">
        <v>0.49</v>
      </c>
      <c r="P1013">
        <v>3</v>
      </c>
      <c r="Q1013">
        <v>0.96</v>
      </c>
      <c r="R1013">
        <v>674</v>
      </c>
      <c r="S1013">
        <v>7.26</v>
      </c>
      <c r="T1013">
        <v>0.88</v>
      </c>
      <c r="U1013" s="1">
        <v>45525</v>
      </c>
      <c r="V1013">
        <v>27.96</v>
      </c>
      <c r="W1013">
        <v>0.75600000000000001</v>
      </c>
      <c r="X1013" t="str">
        <f>IF(WarehouseData[[#This Row],[stock_level]]&lt;=WarehouseData[[#This Row],[reorder_point]],"Low Stock","Sufficient Stock")</f>
        <v>Sufficient Stock</v>
      </c>
      <c r="Y1013">
        <f>WarehouseData[[#This Row],[daily_demand]]*WarehouseData[[#This Row],[lead_time_days]]</f>
        <v>72.84</v>
      </c>
      <c r="Z1013" t="str">
        <f>IF(WarehouseData[[#This Row],[stock_level]]&lt;=WarehouseData[[#This Row],[Demand During Lead Time]],"At Risk","Safe")</f>
        <v>Safe</v>
      </c>
      <c r="AA1013">
        <f>WarehouseData[[#This Row],[stock_level]]/WarehouseData[[#This Row],[daily_demand]]</f>
        <v>17.833607907742998</v>
      </c>
      <c r="AB1013">
        <f>WarehouseData[[#This Row],[stock_level]]*WarehouseData[[#This Row],[unit_price]]</f>
        <v>16722.46</v>
      </c>
      <c r="AC1013">
        <f>WarehouseData[[#This Row],[stock_level]]*WarehouseData[[#This Row],[holding_cost_per_unit_day]]*30</f>
        <v>6365.0999999999995</v>
      </c>
      <c r="AD1013" t="str">
        <f>IF(WarehouseData[[#This Row],[order_fulfillment_rate]]&gt;=0.9,"Strong",IF(WarehouseData[[#This Row],[order_fulfillment_rate]]&gt;=0.8,"Moderate","Needs Attention"))</f>
        <v>Strong</v>
      </c>
      <c r="AE1013" t="str">
        <f>IF(WarehouseData[[#This Row],[picking_time_seconds]]&gt;120,"Slow",IF(WarehouseData[[#This Row],[picking_time_seconds]]&gt;=60,"Average","Fast"))</f>
        <v>Average</v>
      </c>
    </row>
    <row r="1014" spans="1:31" x14ac:dyDescent="0.25">
      <c r="A1014" t="s">
        <v>1152</v>
      </c>
      <c r="B1014" t="s">
        <v>36</v>
      </c>
      <c r="C1014">
        <v>328</v>
      </c>
      <c r="D1014">
        <v>25</v>
      </c>
      <c r="E1014">
        <v>9</v>
      </c>
      <c r="F1014">
        <v>2</v>
      </c>
      <c r="G1014">
        <v>11.97</v>
      </c>
      <c r="H1014">
        <v>9.5</v>
      </c>
      <c r="I1014">
        <v>0.56000000000000005</v>
      </c>
      <c r="J1014" t="s">
        <v>353</v>
      </c>
      <c r="K1014" t="s">
        <v>52</v>
      </c>
      <c r="L1014">
        <v>14</v>
      </c>
      <c r="M1014">
        <v>4.7699999999999996</v>
      </c>
      <c r="N1014">
        <v>188.31</v>
      </c>
      <c r="O1014">
        <v>0.19</v>
      </c>
      <c r="P1014">
        <v>4</v>
      </c>
      <c r="Q1014">
        <v>0.81</v>
      </c>
      <c r="R1014">
        <v>327</v>
      </c>
      <c r="S1014">
        <v>6.44</v>
      </c>
      <c r="T1014">
        <v>0.46</v>
      </c>
      <c r="U1014" s="1">
        <v>45296</v>
      </c>
      <c r="V1014">
        <v>279.82</v>
      </c>
      <c r="W1014">
        <v>0.64100000000000001</v>
      </c>
      <c r="X1014" t="str">
        <f>IF(WarehouseData[[#This Row],[stock_level]]&lt;=WarehouseData[[#This Row],[reorder_point]],"Low Stock","Sufficient Stock")</f>
        <v>Sufficient Stock</v>
      </c>
      <c r="Y1014">
        <f>WarehouseData[[#This Row],[daily_demand]]*WarehouseData[[#This Row],[lead_time_days]]</f>
        <v>23.94</v>
      </c>
      <c r="Z1014" t="str">
        <f>IF(WarehouseData[[#This Row],[stock_level]]&lt;=WarehouseData[[#This Row],[Demand During Lead Time]],"At Risk","Safe")</f>
        <v>Safe</v>
      </c>
      <c r="AA1014">
        <f>WarehouseData[[#This Row],[stock_level]]/WarehouseData[[#This Row],[daily_demand]]</f>
        <v>27.401837928153718</v>
      </c>
      <c r="AB1014">
        <f>WarehouseData[[#This Row],[stock_level]]*WarehouseData[[#This Row],[unit_price]]</f>
        <v>61765.68</v>
      </c>
      <c r="AC1014">
        <f>WarehouseData[[#This Row],[stock_level]]*WarehouseData[[#This Row],[holding_cost_per_unit_day]]*30</f>
        <v>1869.6</v>
      </c>
      <c r="AD1014" t="str">
        <f>IF(WarehouseData[[#This Row],[order_fulfillment_rate]]&gt;=0.9,"Strong",IF(WarehouseData[[#This Row],[order_fulfillment_rate]]&gt;=0.8,"Moderate","Needs Attention"))</f>
        <v>Moderate</v>
      </c>
      <c r="AE1014" t="str">
        <f>IF(WarehouseData[[#This Row],[picking_time_seconds]]&gt;120,"Slow",IF(WarehouseData[[#This Row],[picking_time_seconds]]&gt;=60,"Average","Fast"))</f>
        <v>Fast</v>
      </c>
    </row>
    <row r="1015" spans="1:31" x14ac:dyDescent="0.25">
      <c r="A1015" t="s">
        <v>1153</v>
      </c>
      <c r="B1015" t="s">
        <v>73</v>
      </c>
      <c r="C1015">
        <v>309</v>
      </c>
      <c r="D1015">
        <v>33</v>
      </c>
      <c r="E1015">
        <v>12</v>
      </c>
      <c r="F1015">
        <v>7</v>
      </c>
      <c r="G1015">
        <v>42.8</v>
      </c>
      <c r="H1015">
        <v>6.57</v>
      </c>
      <c r="I1015">
        <v>0.24</v>
      </c>
      <c r="J1015" t="s">
        <v>33</v>
      </c>
      <c r="K1015" t="s">
        <v>38</v>
      </c>
      <c r="L1015">
        <v>110</v>
      </c>
      <c r="M1015">
        <v>2.97</v>
      </c>
      <c r="N1015">
        <v>115.98</v>
      </c>
      <c r="O1015">
        <v>0.28999999999999998</v>
      </c>
      <c r="P1015">
        <v>1</v>
      </c>
      <c r="Q1015">
        <v>0.93</v>
      </c>
      <c r="R1015">
        <v>430</v>
      </c>
      <c r="S1015">
        <v>12.01</v>
      </c>
      <c r="T1015">
        <v>0.56000000000000005</v>
      </c>
      <c r="U1015" s="1">
        <v>45480</v>
      </c>
      <c r="V1015">
        <v>238.98</v>
      </c>
      <c r="W1015">
        <v>0.80900000000000005</v>
      </c>
      <c r="X1015" t="str">
        <f>IF(WarehouseData[[#This Row],[stock_level]]&lt;=WarehouseData[[#This Row],[reorder_point]],"Low Stock","Sufficient Stock")</f>
        <v>Sufficient Stock</v>
      </c>
      <c r="Y1015">
        <f>WarehouseData[[#This Row],[daily_demand]]*WarehouseData[[#This Row],[lead_time_days]]</f>
        <v>299.59999999999997</v>
      </c>
      <c r="Z1015" t="str">
        <f>IF(WarehouseData[[#This Row],[stock_level]]&lt;=WarehouseData[[#This Row],[Demand During Lead Time]],"At Risk","Safe")</f>
        <v>Safe</v>
      </c>
      <c r="AA1015">
        <f>WarehouseData[[#This Row],[stock_level]]/WarehouseData[[#This Row],[daily_demand]]</f>
        <v>7.2196261682242993</v>
      </c>
      <c r="AB1015">
        <f>WarehouseData[[#This Row],[stock_level]]*WarehouseData[[#This Row],[unit_price]]</f>
        <v>35837.82</v>
      </c>
      <c r="AC1015">
        <f>WarehouseData[[#This Row],[stock_level]]*WarehouseData[[#This Row],[holding_cost_per_unit_day]]*30</f>
        <v>2688.3</v>
      </c>
      <c r="AD1015" t="str">
        <f>IF(WarehouseData[[#This Row],[order_fulfillment_rate]]&gt;=0.9,"Strong",IF(WarehouseData[[#This Row],[order_fulfillment_rate]]&gt;=0.8,"Moderate","Needs Attention"))</f>
        <v>Strong</v>
      </c>
      <c r="AE1015" t="str">
        <f>IF(WarehouseData[[#This Row],[picking_time_seconds]]&gt;120,"Slow",IF(WarehouseData[[#This Row],[picking_time_seconds]]&gt;=60,"Average","Fast"))</f>
        <v>Average</v>
      </c>
    </row>
    <row r="1016" spans="1:31" x14ac:dyDescent="0.25">
      <c r="A1016" t="s">
        <v>1154</v>
      </c>
      <c r="B1016" t="s">
        <v>40</v>
      </c>
      <c r="C1016">
        <v>425</v>
      </c>
      <c r="D1016">
        <v>70</v>
      </c>
      <c r="E1016">
        <v>8</v>
      </c>
      <c r="F1016">
        <v>9</v>
      </c>
      <c r="G1016">
        <v>13.45</v>
      </c>
      <c r="H1016">
        <v>7.64</v>
      </c>
      <c r="I1016">
        <v>0.46</v>
      </c>
      <c r="J1016" t="s">
        <v>263</v>
      </c>
      <c r="K1016" t="s">
        <v>46</v>
      </c>
      <c r="L1016">
        <v>96</v>
      </c>
      <c r="M1016">
        <v>2.5499999999999998</v>
      </c>
      <c r="N1016">
        <v>143.31</v>
      </c>
      <c r="O1016">
        <v>1.7</v>
      </c>
      <c r="P1016">
        <v>9</v>
      </c>
      <c r="Q1016">
        <v>0.9</v>
      </c>
      <c r="R1016">
        <v>359</v>
      </c>
      <c r="S1016">
        <v>8.3800000000000008</v>
      </c>
      <c r="T1016">
        <v>0.22</v>
      </c>
      <c r="U1016" s="1">
        <v>45394</v>
      </c>
      <c r="V1016">
        <v>234.54</v>
      </c>
      <c r="W1016">
        <v>0.38600000000000001</v>
      </c>
      <c r="X1016" t="str">
        <f>IF(WarehouseData[[#This Row],[stock_level]]&lt;=WarehouseData[[#This Row],[reorder_point]],"Low Stock","Sufficient Stock")</f>
        <v>Sufficient Stock</v>
      </c>
      <c r="Y1016">
        <f>WarehouseData[[#This Row],[daily_demand]]*WarehouseData[[#This Row],[lead_time_days]]</f>
        <v>121.05</v>
      </c>
      <c r="Z1016" t="str">
        <f>IF(WarehouseData[[#This Row],[stock_level]]&lt;=WarehouseData[[#This Row],[Demand During Lead Time]],"At Risk","Safe")</f>
        <v>Safe</v>
      </c>
      <c r="AA1016">
        <f>WarehouseData[[#This Row],[stock_level]]/WarehouseData[[#This Row],[daily_demand]]</f>
        <v>31.598513011152416</v>
      </c>
      <c r="AB1016">
        <f>WarehouseData[[#This Row],[stock_level]]*WarehouseData[[#This Row],[unit_price]]</f>
        <v>60906.75</v>
      </c>
      <c r="AC1016">
        <f>WarehouseData[[#This Row],[stock_level]]*WarehouseData[[#This Row],[holding_cost_per_unit_day]]*30</f>
        <v>21675</v>
      </c>
      <c r="AD1016" t="str">
        <f>IF(WarehouseData[[#This Row],[order_fulfillment_rate]]&gt;=0.9,"Strong",IF(WarehouseData[[#This Row],[order_fulfillment_rate]]&gt;=0.8,"Moderate","Needs Attention"))</f>
        <v>Strong</v>
      </c>
      <c r="AE1016" t="str">
        <f>IF(WarehouseData[[#This Row],[picking_time_seconds]]&gt;120,"Slow",IF(WarehouseData[[#This Row],[picking_time_seconds]]&gt;=60,"Average","Fast"))</f>
        <v>Average</v>
      </c>
    </row>
    <row r="1017" spans="1:31" x14ac:dyDescent="0.25">
      <c r="A1017" t="s">
        <v>1155</v>
      </c>
      <c r="B1017" t="s">
        <v>73</v>
      </c>
      <c r="C1017">
        <v>342</v>
      </c>
      <c r="D1017">
        <v>63</v>
      </c>
      <c r="E1017">
        <v>3</v>
      </c>
      <c r="F1017">
        <v>4</v>
      </c>
      <c r="G1017">
        <v>16.02</v>
      </c>
      <c r="H1017">
        <v>7.64</v>
      </c>
      <c r="I1017">
        <v>0.95</v>
      </c>
      <c r="J1017" t="s">
        <v>332</v>
      </c>
      <c r="K1017" t="s">
        <v>38</v>
      </c>
      <c r="L1017">
        <v>171</v>
      </c>
      <c r="M1017">
        <v>1.1000000000000001</v>
      </c>
      <c r="N1017">
        <v>169.66</v>
      </c>
      <c r="O1017">
        <v>0.8</v>
      </c>
      <c r="P1017">
        <v>4</v>
      </c>
      <c r="Q1017">
        <v>0.89</v>
      </c>
      <c r="R1017">
        <v>601</v>
      </c>
      <c r="S1017">
        <v>9.51</v>
      </c>
      <c r="T1017">
        <v>0.62</v>
      </c>
      <c r="U1017" s="1">
        <v>45441</v>
      </c>
      <c r="V1017">
        <v>225.36</v>
      </c>
      <c r="W1017">
        <v>0.66900000000000004</v>
      </c>
      <c r="X1017" t="str">
        <f>IF(WarehouseData[[#This Row],[stock_level]]&lt;=WarehouseData[[#This Row],[reorder_point]],"Low Stock","Sufficient Stock")</f>
        <v>Sufficient Stock</v>
      </c>
      <c r="Y1017">
        <f>WarehouseData[[#This Row],[daily_demand]]*WarehouseData[[#This Row],[lead_time_days]]</f>
        <v>64.08</v>
      </c>
      <c r="Z1017" t="str">
        <f>IF(WarehouseData[[#This Row],[stock_level]]&lt;=WarehouseData[[#This Row],[Demand During Lead Time]],"At Risk","Safe")</f>
        <v>Safe</v>
      </c>
      <c r="AA1017">
        <f>WarehouseData[[#This Row],[stock_level]]/WarehouseData[[#This Row],[daily_demand]]</f>
        <v>21.348314606741575</v>
      </c>
      <c r="AB1017">
        <f>WarehouseData[[#This Row],[stock_level]]*WarehouseData[[#This Row],[unit_price]]</f>
        <v>58023.72</v>
      </c>
      <c r="AC1017">
        <f>WarehouseData[[#This Row],[stock_level]]*WarehouseData[[#This Row],[holding_cost_per_unit_day]]*30</f>
        <v>8208</v>
      </c>
      <c r="AD1017" t="str">
        <f>IF(WarehouseData[[#This Row],[order_fulfillment_rate]]&gt;=0.9,"Strong",IF(WarehouseData[[#This Row],[order_fulfillment_rate]]&gt;=0.8,"Moderate","Needs Attention"))</f>
        <v>Moderate</v>
      </c>
      <c r="AE1017" t="str">
        <f>IF(WarehouseData[[#This Row],[picking_time_seconds]]&gt;120,"Slow",IF(WarehouseData[[#This Row],[picking_time_seconds]]&gt;=60,"Average","Fast"))</f>
        <v>Slow</v>
      </c>
    </row>
    <row r="1018" spans="1:31" x14ac:dyDescent="0.25">
      <c r="A1018" t="s">
        <v>1156</v>
      </c>
      <c r="B1018" t="s">
        <v>36</v>
      </c>
      <c r="C1018">
        <v>153</v>
      </c>
      <c r="D1018">
        <v>71</v>
      </c>
      <c r="E1018">
        <v>11</v>
      </c>
      <c r="F1018">
        <v>6</v>
      </c>
      <c r="G1018">
        <v>41.88</v>
      </c>
      <c r="H1018">
        <v>3.64</v>
      </c>
      <c r="I1018">
        <v>0.41</v>
      </c>
      <c r="J1018" t="s">
        <v>57</v>
      </c>
      <c r="K1018" t="s">
        <v>38</v>
      </c>
      <c r="L1018">
        <v>70</v>
      </c>
      <c r="M1018">
        <v>4.1500000000000004</v>
      </c>
      <c r="N1018">
        <v>25.88</v>
      </c>
      <c r="O1018">
        <v>0.67</v>
      </c>
      <c r="P1018">
        <v>8</v>
      </c>
      <c r="Q1018">
        <v>0.95</v>
      </c>
      <c r="R1018">
        <v>591</v>
      </c>
      <c r="S1018">
        <v>2.4</v>
      </c>
      <c r="T1018">
        <v>0.64</v>
      </c>
      <c r="U1018" s="1">
        <v>45580</v>
      </c>
      <c r="V1018">
        <v>218.03</v>
      </c>
      <c r="W1018">
        <v>0.52300000000000002</v>
      </c>
      <c r="X1018" t="str">
        <f>IF(WarehouseData[[#This Row],[stock_level]]&lt;=WarehouseData[[#This Row],[reorder_point]],"Low Stock","Sufficient Stock")</f>
        <v>Sufficient Stock</v>
      </c>
      <c r="Y1018">
        <f>WarehouseData[[#This Row],[daily_demand]]*WarehouseData[[#This Row],[lead_time_days]]</f>
        <v>251.28000000000003</v>
      </c>
      <c r="Z1018" t="str">
        <f>IF(WarehouseData[[#This Row],[stock_level]]&lt;=WarehouseData[[#This Row],[Demand During Lead Time]],"At Risk","Safe")</f>
        <v>At Risk</v>
      </c>
      <c r="AA1018">
        <f>WarehouseData[[#This Row],[stock_level]]/WarehouseData[[#This Row],[daily_demand]]</f>
        <v>3.6532951289398277</v>
      </c>
      <c r="AB1018">
        <f>WarehouseData[[#This Row],[stock_level]]*WarehouseData[[#This Row],[unit_price]]</f>
        <v>3959.64</v>
      </c>
      <c r="AC1018">
        <f>WarehouseData[[#This Row],[stock_level]]*WarehouseData[[#This Row],[holding_cost_per_unit_day]]*30</f>
        <v>3075.3</v>
      </c>
      <c r="AD1018" t="str">
        <f>IF(WarehouseData[[#This Row],[order_fulfillment_rate]]&gt;=0.9,"Strong",IF(WarehouseData[[#This Row],[order_fulfillment_rate]]&gt;=0.8,"Moderate","Needs Attention"))</f>
        <v>Strong</v>
      </c>
      <c r="AE1018" t="str">
        <f>IF(WarehouseData[[#This Row],[picking_time_seconds]]&gt;120,"Slow",IF(WarehouseData[[#This Row],[picking_time_seconds]]&gt;=60,"Average","Fast"))</f>
        <v>Average</v>
      </c>
    </row>
    <row r="1019" spans="1:31" x14ac:dyDescent="0.25">
      <c r="A1019" t="s">
        <v>1157</v>
      </c>
      <c r="B1019" t="s">
        <v>36</v>
      </c>
      <c r="C1019">
        <v>226</v>
      </c>
      <c r="D1019">
        <v>10</v>
      </c>
      <c r="E1019">
        <v>5</v>
      </c>
      <c r="F1019">
        <v>6</v>
      </c>
      <c r="G1019">
        <v>16.13</v>
      </c>
      <c r="H1019">
        <v>0.64</v>
      </c>
      <c r="I1019">
        <v>0.24</v>
      </c>
      <c r="J1019" t="s">
        <v>286</v>
      </c>
      <c r="K1019" t="s">
        <v>34</v>
      </c>
      <c r="L1019">
        <v>78</v>
      </c>
      <c r="M1019">
        <v>2.1800000000000002</v>
      </c>
      <c r="N1019">
        <v>42.16</v>
      </c>
      <c r="O1019">
        <v>1.03</v>
      </c>
      <c r="P1019">
        <v>0</v>
      </c>
      <c r="Q1019">
        <v>0.7</v>
      </c>
      <c r="R1019">
        <v>816</v>
      </c>
      <c r="S1019">
        <v>7.6</v>
      </c>
      <c r="T1019">
        <v>0.94</v>
      </c>
      <c r="U1019" s="1">
        <v>45447</v>
      </c>
      <c r="V1019">
        <v>187.83</v>
      </c>
      <c r="W1019">
        <v>0.72599999999999998</v>
      </c>
      <c r="X1019" t="str">
        <f>IF(WarehouseData[[#This Row],[stock_level]]&lt;=WarehouseData[[#This Row],[reorder_point]],"Low Stock","Sufficient Stock")</f>
        <v>Sufficient Stock</v>
      </c>
      <c r="Y1019">
        <f>WarehouseData[[#This Row],[daily_demand]]*WarehouseData[[#This Row],[lead_time_days]]</f>
        <v>96.78</v>
      </c>
      <c r="Z1019" t="str">
        <f>IF(WarehouseData[[#This Row],[stock_level]]&lt;=WarehouseData[[#This Row],[Demand During Lead Time]],"At Risk","Safe")</f>
        <v>Safe</v>
      </c>
      <c r="AA1019">
        <f>WarehouseData[[#This Row],[stock_level]]/WarehouseData[[#This Row],[daily_demand]]</f>
        <v>14.011159330440174</v>
      </c>
      <c r="AB1019">
        <f>WarehouseData[[#This Row],[stock_level]]*WarehouseData[[#This Row],[unit_price]]</f>
        <v>9528.16</v>
      </c>
      <c r="AC1019">
        <f>WarehouseData[[#This Row],[stock_level]]*WarehouseData[[#This Row],[holding_cost_per_unit_day]]*30</f>
        <v>6983.4</v>
      </c>
      <c r="AD1019" t="str">
        <f>IF(WarehouseData[[#This Row],[order_fulfillment_rate]]&gt;=0.9,"Strong",IF(WarehouseData[[#This Row],[order_fulfillment_rate]]&gt;=0.8,"Moderate","Needs Attention"))</f>
        <v>Needs Attention</v>
      </c>
      <c r="AE1019" t="str">
        <f>IF(WarehouseData[[#This Row],[picking_time_seconds]]&gt;120,"Slow",IF(WarehouseData[[#This Row],[picking_time_seconds]]&gt;=60,"Average","Fast"))</f>
        <v>Average</v>
      </c>
    </row>
    <row r="1020" spans="1:31" x14ac:dyDescent="0.25">
      <c r="A1020" t="s">
        <v>1158</v>
      </c>
      <c r="B1020" t="s">
        <v>48</v>
      </c>
      <c r="C1020">
        <v>302</v>
      </c>
      <c r="D1020">
        <v>58</v>
      </c>
      <c r="E1020">
        <v>7</v>
      </c>
      <c r="F1020">
        <v>2</v>
      </c>
      <c r="G1020">
        <v>21.1</v>
      </c>
      <c r="H1020">
        <v>1.02</v>
      </c>
      <c r="I1020">
        <v>0.62</v>
      </c>
      <c r="J1020" t="s">
        <v>154</v>
      </c>
      <c r="K1020" t="s">
        <v>34</v>
      </c>
      <c r="L1020">
        <v>72</v>
      </c>
      <c r="M1020">
        <v>3.66</v>
      </c>
      <c r="N1020">
        <v>65.17</v>
      </c>
      <c r="O1020">
        <v>1.3</v>
      </c>
      <c r="P1020">
        <v>2</v>
      </c>
      <c r="Q1020">
        <v>0.98</v>
      </c>
      <c r="R1020">
        <v>289</v>
      </c>
      <c r="S1020">
        <v>2.82</v>
      </c>
      <c r="T1020">
        <v>0.51</v>
      </c>
      <c r="U1020" s="1">
        <v>45610</v>
      </c>
      <c r="V1020">
        <v>245.69</v>
      </c>
      <c r="W1020">
        <v>0.56599999999999995</v>
      </c>
      <c r="X1020" t="str">
        <f>IF(WarehouseData[[#This Row],[stock_level]]&lt;=WarehouseData[[#This Row],[reorder_point]],"Low Stock","Sufficient Stock")</f>
        <v>Sufficient Stock</v>
      </c>
      <c r="Y1020">
        <f>WarehouseData[[#This Row],[daily_demand]]*WarehouseData[[#This Row],[lead_time_days]]</f>
        <v>42.2</v>
      </c>
      <c r="Z1020" t="str">
        <f>IF(WarehouseData[[#This Row],[stock_level]]&lt;=WarehouseData[[#This Row],[Demand During Lead Time]],"At Risk","Safe")</f>
        <v>Safe</v>
      </c>
      <c r="AA1020">
        <f>WarehouseData[[#This Row],[stock_level]]/WarehouseData[[#This Row],[daily_demand]]</f>
        <v>14.312796208530806</v>
      </c>
      <c r="AB1020">
        <f>WarehouseData[[#This Row],[stock_level]]*WarehouseData[[#This Row],[unit_price]]</f>
        <v>19681.34</v>
      </c>
      <c r="AC1020">
        <f>WarehouseData[[#This Row],[stock_level]]*WarehouseData[[#This Row],[holding_cost_per_unit_day]]*30</f>
        <v>11778</v>
      </c>
      <c r="AD1020" t="str">
        <f>IF(WarehouseData[[#This Row],[order_fulfillment_rate]]&gt;=0.9,"Strong",IF(WarehouseData[[#This Row],[order_fulfillment_rate]]&gt;=0.8,"Moderate","Needs Attention"))</f>
        <v>Strong</v>
      </c>
      <c r="AE1020" t="str">
        <f>IF(WarehouseData[[#This Row],[picking_time_seconds]]&gt;120,"Slow",IF(WarehouseData[[#This Row],[picking_time_seconds]]&gt;=60,"Average","Fast"))</f>
        <v>Average</v>
      </c>
    </row>
    <row r="1021" spans="1:31" x14ac:dyDescent="0.25">
      <c r="A1021" t="s">
        <v>1159</v>
      </c>
      <c r="B1021" t="s">
        <v>32</v>
      </c>
      <c r="C1021">
        <v>285</v>
      </c>
      <c r="D1021">
        <v>34</v>
      </c>
      <c r="E1021">
        <v>9</v>
      </c>
      <c r="F1021">
        <v>6</v>
      </c>
      <c r="G1021">
        <v>18.04</v>
      </c>
      <c r="H1021">
        <v>3.18</v>
      </c>
      <c r="I1021">
        <v>0.64</v>
      </c>
      <c r="J1021" t="s">
        <v>477</v>
      </c>
      <c r="K1021" t="s">
        <v>38</v>
      </c>
      <c r="L1021">
        <v>53</v>
      </c>
      <c r="M1021">
        <v>1.39</v>
      </c>
      <c r="N1021">
        <v>100.67</v>
      </c>
      <c r="O1021">
        <v>0.17</v>
      </c>
      <c r="P1021">
        <v>3</v>
      </c>
      <c r="Q1021">
        <v>0.95</v>
      </c>
      <c r="R1021">
        <v>232</v>
      </c>
      <c r="S1021">
        <v>1.75</v>
      </c>
      <c r="T1021">
        <v>0.66</v>
      </c>
      <c r="U1021" s="1">
        <v>45416</v>
      </c>
      <c r="V1021">
        <v>19.91</v>
      </c>
      <c r="W1021">
        <v>0.66800000000000004</v>
      </c>
      <c r="X1021" t="str">
        <f>IF(WarehouseData[[#This Row],[stock_level]]&lt;=WarehouseData[[#This Row],[reorder_point]],"Low Stock","Sufficient Stock")</f>
        <v>Sufficient Stock</v>
      </c>
      <c r="Y1021">
        <f>WarehouseData[[#This Row],[daily_demand]]*WarehouseData[[#This Row],[lead_time_days]]</f>
        <v>108.24</v>
      </c>
      <c r="Z1021" t="str">
        <f>IF(WarehouseData[[#This Row],[stock_level]]&lt;=WarehouseData[[#This Row],[Demand During Lead Time]],"At Risk","Safe")</f>
        <v>Safe</v>
      </c>
      <c r="AA1021">
        <f>WarehouseData[[#This Row],[stock_level]]/WarehouseData[[#This Row],[daily_demand]]</f>
        <v>15.798226164079823</v>
      </c>
      <c r="AB1021">
        <f>WarehouseData[[#This Row],[stock_level]]*WarehouseData[[#This Row],[unit_price]]</f>
        <v>28690.95</v>
      </c>
      <c r="AC1021">
        <f>WarehouseData[[#This Row],[stock_level]]*WarehouseData[[#This Row],[holding_cost_per_unit_day]]*30</f>
        <v>1453.5</v>
      </c>
      <c r="AD1021" t="str">
        <f>IF(WarehouseData[[#This Row],[order_fulfillment_rate]]&gt;=0.9,"Strong",IF(WarehouseData[[#This Row],[order_fulfillment_rate]]&gt;=0.8,"Moderate","Needs Attention"))</f>
        <v>Strong</v>
      </c>
      <c r="AE1021" t="str">
        <f>IF(WarehouseData[[#This Row],[picking_time_seconds]]&gt;120,"Slow",IF(WarehouseData[[#This Row],[picking_time_seconds]]&gt;=60,"Average","Fast"))</f>
        <v>Fast</v>
      </c>
    </row>
    <row r="1022" spans="1:31" x14ac:dyDescent="0.25">
      <c r="A1022" t="s">
        <v>1160</v>
      </c>
      <c r="B1022" t="s">
        <v>73</v>
      </c>
      <c r="C1022">
        <v>92</v>
      </c>
      <c r="D1022">
        <v>19</v>
      </c>
      <c r="E1022">
        <v>9</v>
      </c>
      <c r="F1022">
        <v>2</v>
      </c>
      <c r="G1022">
        <v>6.7</v>
      </c>
      <c r="H1022">
        <v>7.05</v>
      </c>
      <c r="I1022">
        <v>0.27</v>
      </c>
      <c r="J1022" t="s">
        <v>357</v>
      </c>
      <c r="K1022" t="s">
        <v>52</v>
      </c>
      <c r="L1022">
        <v>37</v>
      </c>
      <c r="M1022">
        <v>0.69</v>
      </c>
      <c r="N1022">
        <v>75.75</v>
      </c>
      <c r="O1022">
        <v>1.81</v>
      </c>
      <c r="P1022">
        <v>8</v>
      </c>
      <c r="Q1022">
        <v>0.98</v>
      </c>
      <c r="R1022">
        <v>233</v>
      </c>
      <c r="S1022">
        <v>10.65</v>
      </c>
      <c r="T1022">
        <v>0.79</v>
      </c>
      <c r="U1022" s="1">
        <v>45529</v>
      </c>
      <c r="V1022">
        <v>224.69</v>
      </c>
      <c r="W1022">
        <v>0.55500000000000005</v>
      </c>
      <c r="X1022" t="str">
        <f>IF(WarehouseData[[#This Row],[stock_level]]&lt;=WarehouseData[[#This Row],[reorder_point]],"Low Stock","Sufficient Stock")</f>
        <v>Sufficient Stock</v>
      </c>
      <c r="Y1022">
        <f>WarehouseData[[#This Row],[daily_demand]]*WarehouseData[[#This Row],[lead_time_days]]</f>
        <v>13.4</v>
      </c>
      <c r="Z1022" t="str">
        <f>IF(WarehouseData[[#This Row],[stock_level]]&lt;=WarehouseData[[#This Row],[Demand During Lead Time]],"At Risk","Safe")</f>
        <v>Safe</v>
      </c>
      <c r="AA1022">
        <f>WarehouseData[[#This Row],[stock_level]]/WarehouseData[[#This Row],[daily_demand]]</f>
        <v>13.731343283582088</v>
      </c>
      <c r="AB1022">
        <f>WarehouseData[[#This Row],[stock_level]]*WarehouseData[[#This Row],[unit_price]]</f>
        <v>6969</v>
      </c>
      <c r="AC1022">
        <f>WarehouseData[[#This Row],[stock_level]]*WarehouseData[[#This Row],[holding_cost_per_unit_day]]*30</f>
        <v>4995.6000000000004</v>
      </c>
      <c r="AD1022" t="str">
        <f>IF(WarehouseData[[#This Row],[order_fulfillment_rate]]&gt;=0.9,"Strong",IF(WarehouseData[[#This Row],[order_fulfillment_rate]]&gt;=0.8,"Moderate","Needs Attention"))</f>
        <v>Strong</v>
      </c>
      <c r="AE1022" t="str">
        <f>IF(WarehouseData[[#This Row],[picking_time_seconds]]&gt;120,"Slow",IF(WarehouseData[[#This Row],[picking_time_seconds]]&gt;=60,"Average","Fast"))</f>
        <v>Fast</v>
      </c>
    </row>
    <row r="1023" spans="1:31" x14ac:dyDescent="0.25">
      <c r="A1023" t="s">
        <v>1161</v>
      </c>
      <c r="B1023" t="s">
        <v>73</v>
      </c>
      <c r="C1023">
        <v>371</v>
      </c>
      <c r="D1023">
        <v>89</v>
      </c>
      <c r="E1023">
        <v>5</v>
      </c>
      <c r="F1023">
        <v>2</v>
      </c>
      <c r="G1023">
        <v>2.91</v>
      </c>
      <c r="H1023">
        <v>9.11</v>
      </c>
      <c r="I1023">
        <v>0.28000000000000003</v>
      </c>
      <c r="J1023" t="s">
        <v>466</v>
      </c>
      <c r="K1023" t="s">
        <v>46</v>
      </c>
      <c r="L1023">
        <v>22</v>
      </c>
      <c r="M1023">
        <v>1.87</v>
      </c>
      <c r="N1023">
        <v>106.11</v>
      </c>
      <c r="O1023">
        <v>1.92</v>
      </c>
      <c r="P1023">
        <v>1</v>
      </c>
      <c r="Q1023">
        <v>0.94</v>
      </c>
      <c r="R1023">
        <v>603</v>
      </c>
      <c r="S1023">
        <v>4.8499999999999996</v>
      </c>
      <c r="T1023">
        <v>0.69</v>
      </c>
      <c r="U1023" s="1">
        <v>45480</v>
      </c>
      <c r="V1023">
        <v>179.05</v>
      </c>
      <c r="W1023">
        <v>0.57899999999999996</v>
      </c>
      <c r="X1023" t="str">
        <f>IF(WarehouseData[[#This Row],[stock_level]]&lt;=WarehouseData[[#This Row],[reorder_point]],"Low Stock","Sufficient Stock")</f>
        <v>Sufficient Stock</v>
      </c>
      <c r="Y1023">
        <f>WarehouseData[[#This Row],[daily_demand]]*WarehouseData[[#This Row],[lead_time_days]]</f>
        <v>5.82</v>
      </c>
      <c r="Z1023" t="str">
        <f>IF(WarehouseData[[#This Row],[stock_level]]&lt;=WarehouseData[[#This Row],[Demand During Lead Time]],"At Risk","Safe")</f>
        <v>Safe</v>
      </c>
      <c r="AA1023">
        <f>WarehouseData[[#This Row],[stock_level]]/WarehouseData[[#This Row],[daily_demand]]</f>
        <v>127.49140893470789</v>
      </c>
      <c r="AB1023">
        <f>WarehouseData[[#This Row],[stock_level]]*WarehouseData[[#This Row],[unit_price]]</f>
        <v>39366.81</v>
      </c>
      <c r="AC1023">
        <f>WarehouseData[[#This Row],[stock_level]]*WarehouseData[[#This Row],[holding_cost_per_unit_day]]*30</f>
        <v>21369.599999999999</v>
      </c>
      <c r="AD1023" t="str">
        <f>IF(WarehouseData[[#This Row],[order_fulfillment_rate]]&gt;=0.9,"Strong",IF(WarehouseData[[#This Row],[order_fulfillment_rate]]&gt;=0.8,"Moderate","Needs Attention"))</f>
        <v>Strong</v>
      </c>
      <c r="AE1023" t="str">
        <f>IF(WarehouseData[[#This Row],[picking_time_seconds]]&gt;120,"Slow",IF(WarehouseData[[#This Row],[picking_time_seconds]]&gt;=60,"Average","Fast"))</f>
        <v>Fast</v>
      </c>
    </row>
    <row r="1024" spans="1:31" x14ac:dyDescent="0.25">
      <c r="A1024" t="s">
        <v>1162</v>
      </c>
      <c r="B1024" t="s">
        <v>40</v>
      </c>
      <c r="C1024">
        <v>67</v>
      </c>
      <c r="D1024">
        <v>25</v>
      </c>
      <c r="E1024">
        <v>6</v>
      </c>
      <c r="F1024">
        <v>9</v>
      </c>
      <c r="G1024">
        <v>36.5</v>
      </c>
      <c r="H1024">
        <v>9.61</v>
      </c>
      <c r="I1024">
        <v>0.99</v>
      </c>
      <c r="J1024" t="s">
        <v>377</v>
      </c>
      <c r="K1024" t="s">
        <v>46</v>
      </c>
      <c r="L1024">
        <v>39</v>
      </c>
      <c r="M1024">
        <v>1.77</v>
      </c>
      <c r="N1024">
        <v>45.32</v>
      </c>
      <c r="O1024">
        <v>0.89</v>
      </c>
      <c r="P1024">
        <v>6</v>
      </c>
      <c r="Q1024">
        <v>0.96</v>
      </c>
      <c r="R1024">
        <v>987</v>
      </c>
      <c r="S1024">
        <v>14.51</v>
      </c>
      <c r="T1024">
        <v>0.32</v>
      </c>
      <c r="U1024" s="1">
        <v>45594</v>
      </c>
      <c r="V1024">
        <v>273.16000000000003</v>
      </c>
      <c r="W1024">
        <v>0.64</v>
      </c>
      <c r="X1024" t="str">
        <f>IF(WarehouseData[[#This Row],[stock_level]]&lt;=WarehouseData[[#This Row],[reorder_point]],"Low Stock","Sufficient Stock")</f>
        <v>Sufficient Stock</v>
      </c>
      <c r="Y1024">
        <f>WarehouseData[[#This Row],[daily_demand]]*WarehouseData[[#This Row],[lead_time_days]]</f>
        <v>328.5</v>
      </c>
      <c r="Z1024" t="str">
        <f>IF(WarehouseData[[#This Row],[stock_level]]&lt;=WarehouseData[[#This Row],[Demand During Lead Time]],"At Risk","Safe")</f>
        <v>At Risk</v>
      </c>
      <c r="AA1024">
        <f>WarehouseData[[#This Row],[stock_level]]/WarehouseData[[#This Row],[daily_demand]]</f>
        <v>1.8356164383561644</v>
      </c>
      <c r="AB1024">
        <f>WarehouseData[[#This Row],[stock_level]]*WarehouseData[[#This Row],[unit_price]]</f>
        <v>3036.44</v>
      </c>
      <c r="AC1024">
        <f>WarehouseData[[#This Row],[stock_level]]*WarehouseData[[#This Row],[holding_cost_per_unit_day]]*30</f>
        <v>1788.9</v>
      </c>
      <c r="AD1024" t="str">
        <f>IF(WarehouseData[[#This Row],[order_fulfillment_rate]]&gt;=0.9,"Strong",IF(WarehouseData[[#This Row],[order_fulfillment_rate]]&gt;=0.8,"Moderate","Needs Attention"))</f>
        <v>Strong</v>
      </c>
      <c r="AE1024" t="str">
        <f>IF(WarehouseData[[#This Row],[picking_time_seconds]]&gt;120,"Slow",IF(WarehouseData[[#This Row],[picking_time_seconds]]&gt;=60,"Average","Fast"))</f>
        <v>Fast</v>
      </c>
    </row>
    <row r="1025" spans="1:31" x14ac:dyDescent="0.25">
      <c r="A1025" t="s">
        <v>1163</v>
      </c>
      <c r="B1025" t="s">
        <v>36</v>
      </c>
      <c r="C1025">
        <v>345</v>
      </c>
      <c r="D1025">
        <v>67</v>
      </c>
      <c r="E1025">
        <v>12</v>
      </c>
      <c r="F1025">
        <v>8</v>
      </c>
      <c r="G1025">
        <v>32.61</v>
      </c>
      <c r="H1025">
        <v>0.75</v>
      </c>
      <c r="I1025">
        <v>0.32</v>
      </c>
      <c r="J1025" t="s">
        <v>110</v>
      </c>
      <c r="K1025" t="s">
        <v>46</v>
      </c>
      <c r="L1025">
        <v>163</v>
      </c>
      <c r="M1025">
        <v>4.43</v>
      </c>
      <c r="N1025">
        <v>139.61000000000001</v>
      </c>
      <c r="O1025">
        <v>0.88</v>
      </c>
      <c r="P1025">
        <v>8</v>
      </c>
      <c r="Q1025">
        <v>0.76</v>
      </c>
      <c r="R1025">
        <v>515</v>
      </c>
      <c r="S1025">
        <v>9.48</v>
      </c>
      <c r="T1025">
        <v>0.34</v>
      </c>
      <c r="U1025" s="1">
        <v>45544</v>
      </c>
      <c r="V1025">
        <v>281.55</v>
      </c>
      <c r="W1025">
        <v>0.498</v>
      </c>
      <c r="X1025" t="str">
        <f>IF(WarehouseData[[#This Row],[stock_level]]&lt;=WarehouseData[[#This Row],[reorder_point]],"Low Stock","Sufficient Stock")</f>
        <v>Sufficient Stock</v>
      </c>
      <c r="Y1025">
        <f>WarehouseData[[#This Row],[daily_demand]]*WarehouseData[[#This Row],[lead_time_days]]</f>
        <v>260.88</v>
      </c>
      <c r="Z1025" t="str">
        <f>IF(WarehouseData[[#This Row],[stock_level]]&lt;=WarehouseData[[#This Row],[Demand During Lead Time]],"At Risk","Safe")</f>
        <v>Safe</v>
      </c>
      <c r="AA1025">
        <f>WarehouseData[[#This Row],[stock_level]]/WarehouseData[[#This Row],[daily_demand]]</f>
        <v>10.579576816927323</v>
      </c>
      <c r="AB1025">
        <f>WarehouseData[[#This Row],[stock_level]]*WarehouseData[[#This Row],[unit_price]]</f>
        <v>48165.450000000004</v>
      </c>
      <c r="AC1025">
        <f>WarehouseData[[#This Row],[stock_level]]*WarehouseData[[#This Row],[holding_cost_per_unit_day]]*30</f>
        <v>9108</v>
      </c>
      <c r="AD1025" t="str">
        <f>IF(WarehouseData[[#This Row],[order_fulfillment_rate]]&gt;=0.9,"Strong",IF(WarehouseData[[#This Row],[order_fulfillment_rate]]&gt;=0.8,"Moderate","Needs Attention"))</f>
        <v>Needs Attention</v>
      </c>
      <c r="AE1025" t="str">
        <f>IF(WarehouseData[[#This Row],[picking_time_seconds]]&gt;120,"Slow",IF(WarehouseData[[#This Row],[picking_time_seconds]]&gt;=60,"Average","Fast"))</f>
        <v>Slow</v>
      </c>
    </row>
    <row r="1026" spans="1:31" x14ac:dyDescent="0.25">
      <c r="A1026" t="s">
        <v>1164</v>
      </c>
      <c r="B1026" t="s">
        <v>73</v>
      </c>
      <c r="C1026">
        <v>252</v>
      </c>
      <c r="D1026">
        <v>81</v>
      </c>
      <c r="E1026">
        <v>9</v>
      </c>
      <c r="F1026">
        <v>5</v>
      </c>
      <c r="G1026">
        <v>14.84</v>
      </c>
      <c r="H1026">
        <v>9.91</v>
      </c>
      <c r="I1026">
        <v>0.85</v>
      </c>
      <c r="J1026" t="s">
        <v>447</v>
      </c>
      <c r="K1026" t="s">
        <v>34</v>
      </c>
      <c r="L1026">
        <v>72</v>
      </c>
      <c r="M1026">
        <v>4.3899999999999997</v>
      </c>
      <c r="N1026">
        <v>20.59</v>
      </c>
      <c r="O1026">
        <v>1.77</v>
      </c>
      <c r="P1026">
        <v>9</v>
      </c>
      <c r="Q1026">
        <v>0.8</v>
      </c>
      <c r="R1026">
        <v>688</v>
      </c>
      <c r="S1026">
        <v>10.029999999999999</v>
      </c>
      <c r="T1026">
        <v>0.31</v>
      </c>
      <c r="U1026" s="1">
        <v>45392</v>
      </c>
      <c r="V1026">
        <v>79.989999999999995</v>
      </c>
      <c r="W1026">
        <v>0.39900000000000002</v>
      </c>
      <c r="X1026" t="str">
        <f>IF(WarehouseData[[#This Row],[stock_level]]&lt;=WarehouseData[[#This Row],[reorder_point]],"Low Stock","Sufficient Stock")</f>
        <v>Sufficient Stock</v>
      </c>
      <c r="Y1026">
        <f>WarehouseData[[#This Row],[daily_demand]]*WarehouseData[[#This Row],[lead_time_days]]</f>
        <v>74.2</v>
      </c>
      <c r="Z1026" t="str">
        <f>IF(WarehouseData[[#This Row],[stock_level]]&lt;=WarehouseData[[#This Row],[Demand During Lead Time]],"At Risk","Safe")</f>
        <v>Safe</v>
      </c>
      <c r="AA1026">
        <f>WarehouseData[[#This Row],[stock_level]]/WarehouseData[[#This Row],[daily_demand]]</f>
        <v>16.981132075471699</v>
      </c>
      <c r="AB1026">
        <f>WarehouseData[[#This Row],[stock_level]]*WarehouseData[[#This Row],[unit_price]]</f>
        <v>5188.68</v>
      </c>
      <c r="AC1026">
        <f>WarehouseData[[#This Row],[stock_level]]*WarehouseData[[#This Row],[holding_cost_per_unit_day]]*30</f>
        <v>13381.2</v>
      </c>
      <c r="AD1026" t="str">
        <f>IF(WarehouseData[[#This Row],[order_fulfillment_rate]]&gt;=0.9,"Strong",IF(WarehouseData[[#This Row],[order_fulfillment_rate]]&gt;=0.8,"Moderate","Needs Attention"))</f>
        <v>Moderate</v>
      </c>
      <c r="AE1026" t="str">
        <f>IF(WarehouseData[[#This Row],[picking_time_seconds]]&gt;120,"Slow",IF(WarehouseData[[#This Row],[picking_time_seconds]]&gt;=60,"Average","Fast"))</f>
        <v>Average</v>
      </c>
    </row>
    <row r="1027" spans="1:31" x14ac:dyDescent="0.25">
      <c r="A1027" t="s">
        <v>1165</v>
      </c>
      <c r="B1027" t="s">
        <v>36</v>
      </c>
      <c r="C1027">
        <v>462</v>
      </c>
      <c r="D1027">
        <v>38</v>
      </c>
      <c r="E1027">
        <v>10</v>
      </c>
      <c r="F1027">
        <v>5</v>
      </c>
      <c r="G1027">
        <v>15.48</v>
      </c>
      <c r="H1027">
        <v>3.56</v>
      </c>
      <c r="I1027">
        <v>0.52</v>
      </c>
      <c r="J1027" t="s">
        <v>265</v>
      </c>
      <c r="K1027" t="s">
        <v>34</v>
      </c>
      <c r="L1027">
        <v>82</v>
      </c>
      <c r="M1027">
        <v>2.9</v>
      </c>
      <c r="N1027">
        <v>78.680000000000007</v>
      </c>
      <c r="O1027">
        <v>0.92</v>
      </c>
      <c r="P1027">
        <v>3</v>
      </c>
      <c r="Q1027">
        <v>0.79</v>
      </c>
      <c r="R1027">
        <v>486</v>
      </c>
      <c r="S1027">
        <v>3.76</v>
      </c>
      <c r="T1027">
        <v>0.37</v>
      </c>
      <c r="U1027" s="1">
        <v>45571</v>
      </c>
      <c r="V1027">
        <v>238.94</v>
      </c>
      <c r="W1027">
        <v>0.53</v>
      </c>
      <c r="X1027" t="str">
        <f>IF(WarehouseData[[#This Row],[stock_level]]&lt;=WarehouseData[[#This Row],[reorder_point]],"Low Stock","Sufficient Stock")</f>
        <v>Sufficient Stock</v>
      </c>
      <c r="Y1027">
        <f>WarehouseData[[#This Row],[daily_demand]]*WarehouseData[[#This Row],[lead_time_days]]</f>
        <v>77.400000000000006</v>
      </c>
      <c r="Z1027" t="str">
        <f>IF(WarehouseData[[#This Row],[stock_level]]&lt;=WarehouseData[[#This Row],[Demand During Lead Time]],"At Risk","Safe")</f>
        <v>Safe</v>
      </c>
      <c r="AA1027">
        <f>WarehouseData[[#This Row],[stock_level]]/WarehouseData[[#This Row],[daily_demand]]</f>
        <v>29.844961240310077</v>
      </c>
      <c r="AB1027">
        <f>WarehouseData[[#This Row],[stock_level]]*WarehouseData[[#This Row],[unit_price]]</f>
        <v>36350.160000000003</v>
      </c>
      <c r="AC1027">
        <f>WarehouseData[[#This Row],[stock_level]]*WarehouseData[[#This Row],[holding_cost_per_unit_day]]*30</f>
        <v>12751.2</v>
      </c>
      <c r="AD1027" t="str">
        <f>IF(WarehouseData[[#This Row],[order_fulfillment_rate]]&gt;=0.9,"Strong",IF(WarehouseData[[#This Row],[order_fulfillment_rate]]&gt;=0.8,"Moderate","Needs Attention"))</f>
        <v>Needs Attention</v>
      </c>
      <c r="AE1027" t="str">
        <f>IF(WarehouseData[[#This Row],[picking_time_seconds]]&gt;120,"Slow",IF(WarehouseData[[#This Row],[picking_time_seconds]]&gt;=60,"Average","Fast"))</f>
        <v>Average</v>
      </c>
    </row>
    <row r="1028" spans="1:31" x14ac:dyDescent="0.25">
      <c r="A1028" t="s">
        <v>1166</v>
      </c>
      <c r="B1028" t="s">
        <v>73</v>
      </c>
      <c r="C1028">
        <v>119</v>
      </c>
      <c r="D1028">
        <v>15</v>
      </c>
      <c r="E1028">
        <v>4</v>
      </c>
      <c r="F1028">
        <v>8</v>
      </c>
      <c r="G1028">
        <v>47.31</v>
      </c>
      <c r="H1028">
        <v>8.51</v>
      </c>
      <c r="I1028">
        <v>0.49</v>
      </c>
      <c r="J1028" t="s">
        <v>283</v>
      </c>
      <c r="K1028" t="s">
        <v>46</v>
      </c>
      <c r="L1028">
        <v>66</v>
      </c>
      <c r="M1028">
        <v>0.59</v>
      </c>
      <c r="N1028">
        <v>44.02</v>
      </c>
      <c r="O1028">
        <v>1.73</v>
      </c>
      <c r="P1028">
        <v>4</v>
      </c>
      <c r="Q1028">
        <v>0.73</v>
      </c>
      <c r="R1028">
        <v>643</v>
      </c>
      <c r="S1028">
        <v>2.8</v>
      </c>
      <c r="T1028">
        <v>0.46</v>
      </c>
      <c r="U1028" s="1">
        <v>45417</v>
      </c>
      <c r="V1028">
        <v>287.52999999999997</v>
      </c>
      <c r="W1028">
        <v>0.42199999999999999</v>
      </c>
      <c r="X1028" t="str">
        <f>IF(WarehouseData[[#This Row],[stock_level]]&lt;=WarehouseData[[#This Row],[reorder_point]],"Low Stock","Sufficient Stock")</f>
        <v>Sufficient Stock</v>
      </c>
      <c r="Y1028">
        <f>WarehouseData[[#This Row],[daily_demand]]*WarehouseData[[#This Row],[lead_time_days]]</f>
        <v>378.48</v>
      </c>
      <c r="Z1028" t="str">
        <f>IF(WarehouseData[[#This Row],[stock_level]]&lt;=WarehouseData[[#This Row],[Demand During Lead Time]],"At Risk","Safe")</f>
        <v>At Risk</v>
      </c>
      <c r="AA1028">
        <f>WarehouseData[[#This Row],[stock_level]]/WarehouseData[[#This Row],[daily_demand]]</f>
        <v>2.5153244557176073</v>
      </c>
      <c r="AB1028">
        <f>WarehouseData[[#This Row],[stock_level]]*WarehouseData[[#This Row],[unit_price]]</f>
        <v>5238.38</v>
      </c>
      <c r="AC1028">
        <f>WarehouseData[[#This Row],[stock_level]]*WarehouseData[[#This Row],[holding_cost_per_unit_day]]*30</f>
        <v>6176.1</v>
      </c>
      <c r="AD1028" t="str">
        <f>IF(WarehouseData[[#This Row],[order_fulfillment_rate]]&gt;=0.9,"Strong",IF(WarehouseData[[#This Row],[order_fulfillment_rate]]&gt;=0.8,"Moderate","Needs Attention"))</f>
        <v>Needs Attention</v>
      </c>
      <c r="AE1028" t="str">
        <f>IF(WarehouseData[[#This Row],[picking_time_seconds]]&gt;120,"Slow",IF(WarehouseData[[#This Row],[picking_time_seconds]]&gt;=60,"Average","Fast"))</f>
        <v>Average</v>
      </c>
    </row>
    <row r="1029" spans="1:31" x14ac:dyDescent="0.25">
      <c r="A1029" t="s">
        <v>1167</v>
      </c>
      <c r="B1029" t="s">
        <v>48</v>
      </c>
      <c r="C1029">
        <v>78</v>
      </c>
      <c r="D1029">
        <v>25</v>
      </c>
      <c r="E1029">
        <v>11</v>
      </c>
      <c r="F1029">
        <v>5</v>
      </c>
      <c r="G1029">
        <v>49.4</v>
      </c>
      <c r="H1029">
        <v>2.21</v>
      </c>
      <c r="I1029">
        <v>0.37</v>
      </c>
      <c r="J1029" t="s">
        <v>466</v>
      </c>
      <c r="K1029" t="s">
        <v>38</v>
      </c>
      <c r="L1029">
        <v>73</v>
      </c>
      <c r="M1029">
        <v>1.53</v>
      </c>
      <c r="N1029">
        <v>148.69</v>
      </c>
      <c r="O1029">
        <v>0.15</v>
      </c>
      <c r="P1029">
        <v>9</v>
      </c>
      <c r="Q1029">
        <v>0.92</v>
      </c>
      <c r="R1029">
        <v>282</v>
      </c>
      <c r="S1029">
        <v>8.36</v>
      </c>
      <c r="T1029">
        <v>0.79</v>
      </c>
      <c r="U1029" s="1">
        <v>45369</v>
      </c>
      <c r="V1029">
        <v>87.33</v>
      </c>
      <c r="W1029">
        <v>0.65800000000000003</v>
      </c>
      <c r="X1029" t="str">
        <f>IF(WarehouseData[[#This Row],[stock_level]]&lt;=WarehouseData[[#This Row],[reorder_point]],"Low Stock","Sufficient Stock")</f>
        <v>Sufficient Stock</v>
      </c>
      <c r="Y1029">
        <f>WarehouseData[[#This Row],[daily_demand]]*WarehouseData[[#This Row],[lead_time_days]]</f>
        <v>247</v>
      </c>
      <c r="Z1029" t="str">
        <f>IF(WarehouseData[[#This Row],[stock_level]]&lt;=WarehouseData[[#This Row],[Demand During Lead Time]],"At Risk","Safe")</f>
        <v>At Risk</v>
      </c>
      <c r="AA1029">
        <f>WarehouseData[[#This Row],[stock_level]]/WarehouseData[[#This Row],[daily_demand]]</f>
        <v>1.5789473684210527</v>
      </c>
      <c r="AB1029">
        <f>WarehouseData[[#This Row],[stock_level]]*WarehouseData[[#This Row],[unit_price]]</f>
        <v>11597.82</v>
      </c>
      <c r="AC1029">
        <f>WarehouseData[[#This Row],[stock_level]]*WarehouseData[[#This Row],[holding_cost_per_unit_day]]*30</f>
        <v>351</v>
      </c>
      <c r="AD1029" t="str">
        <f>IF(WarehouseData[[#This Row],[order_fulfillment_rate]]&gt;=0.9,"Strong",IF(WarehouseData[[#This Row],[order_fulfillment_rate]]&gt;=0.8,"Moderate","Needs Attention"))</f>
        <v>Strong</v>
      </c>
      <c r="AE1029" t="str">
        <f>IF(WarehouseData[[#This Row],[picking_time_seconds]]&gt;120,"Slow",IF(WarehouseData[[#This Row],[picking_time_seconds]]&gt;=60,"Average","Fast"))</f>
        <v>Average</v>
      </c>
    </row>
    <row r="1030" spans="1:31" x14ac:dyDescent="0.25">
      <c r="A1030" t="s">
        <v>1168</v>
      </c>
      <c r="B1030" t="s">
        <v>32</v>
      </c>
      <c r="C1030">
        <v>277</v>
      </c>
      <c r="D1030">
        <v>29</v>
      </c>
      <c r="E1030">
        <v>9</v>
      </c>
      <c r="F1030">
        <v>3</v>
      </c>
      <c r="G1030">
        <v>24.2</v>
      </c>
      <c r="H1030">
        <v>1.1000000000000001</v>
      </c>
      <c r="I1030">
        <v>0.8</v>
      </c>
      <c r="J1030" t="s">
        <v>37</v>
      </c>
      <c r="K1030" t="s">
        <v>34</v>
      </c>
      <c r="L1030">
        <v>61</v>
      </c>
      <c r="M1030">
        <v>3.38</v>
      </c>
      <c r="N1030">
        <v>177.89</v>
      </c>
      <c r="O1030">
        <v>1.03</v>
      </c>
      <c r="P1030">
        <v>3</v>
      </c>
      <c r="Q1030">
        <v>0.74</v>
      </c>
      <c r="R1030">
        <v>870</v>
      </c>
      <c r="S1030">
        <v>13.96</v>
      </c>
      <c r="T1030">
        <v>0.25</v>
      </c>
      <c r="U1030" s="1">
        <v>45295</v>
      </c>
      <c r="V1030">
        <v>256.81</v>
      </c>
      <c r="W1030">
        <v>0.621</v>
      </c>
      <c r="X1030" t="str">
        <f>IF(WarehouseData[[#This Row],[stock_level]]&lt;=WarehouseData[[#This Row],[reorder_point]],"Low Stock","Sufficient Stock")</f>
        <v>Sufficient Stock</v>
      </c>
      <c r="Y1030">
        <f>WarehouseData[[#This Row],[daily_demand]]*WarehouseData[[#This Row],[lead_time_days]]</f>
        <v>72.599999999999994</v>
      </c>
      <c r="Z1030" t="str">
        <f>IF(WarehouseData[[#This Row],[stock_level]]&lt;=WarehouseData[[#This Row],[Demand During Lead Time]],"At Risk","Safe")</f>
        <v>Safe</v>
      </c>
      <c r="AA1030">
        <f>WarehouseData[[#This Row],[stock_level]]/WarehouseData[[#This Row],[daily_demand]]</f>
        <v>11.446280991735538</v>
      </c>
      <c r="AB1030">
        <f>WarehouseData[[#This Row],[stock_level]]*WarehouseData[[#This Row],[unit_price]]</f>
        <v>49275.53</v>
      </c>
      <c r="AC1030">
        <f>WarehouseData[[#This Row],[stock_level]]*WarehouseData[[#This Row],[holding_cost_per_unit_day]]*30</f>
        <v>8559.2999999999993</v>
      </c>
      <c r="AD1030" t="str">
        <f>IF(WarehouseData[[#This Row],[order_fulfillment_rate]]&gt;=0.9,"Strong",IF(WarehouseData[[#This Row],[order_fulfillment_rate]]&gt;=0.8,"Moderate","Needs Attention"))</f>
        <v>Needs Attention</v>
      </c>
      <c r="AE1030" t="str">
        <f>IF(WarehouseData[[#This Row],[picking_time_seconds]]&gt;120,"Slow",IF(WarehouseData[[#This Row],[picking_time_seconds]]&gt;=60,"Average","Fast"))</f>
        <v>Average</v>
      </c>
    </row>
    <row r="1031" spans="1:31" x14ac:dyDescent="0.25">
      <c r="A1031" t="s">
        <v>1169</v>
      </c>
      <c r="B1031" t="s">
        <v>73</v>
      </c>
      <c r="C1031">
        <v>432</v>
      </c>
      <c r="D1031">
        <v>89</v>
      </c>
      <c r="E1031">
        <v>10</v>
      </c>
      <c r="F1031">
        <v>5</v>
      </c>
      <c r="G1031">
        <v>40.32</v>
      </c>
      <c r="H1031">
        <v>4.09</v>
      </c>
      <c r="I1031">
        <v>0.89</v>
      </c>
      <c r="J1031" t="s">
        <v>160</v>
      </c>
      <c r="K1031" t="s">
        <v>46</v>
      </c>
      <c r="L1031">
        <v>72</v>
      </c>
      <c r="M1031">
        <v>0.96</v>
      </c>
      <c r="N1031">
        <v>24.97</v>
      </c>
      <c r="O1031">
        <v>1.91</v>
      </c>
      <c r="P1031">
        <v>6</v>
      </c>
      <c r="Q1031">
        <v>0.72</v>
      </c>
      <c r="R1031">
        <v>753</v>
      </c>
      <c r="S1031">
        <v>1.78</v>
      </c>
      <c r="T1031">
        <v>0.86</v>
      </c>
      <c r="U1031" s="1">
        <v>45501</v>
      </c>
      <c r="V1031">
        <v>180.09</v>
      </c>
      <c r="W1031">
        <v>0.42899999999999999</v>
      </c>
      <c r="X1031" t="str">
        <f>IF(WarehouseData[[#This Row],[stock_level]]&lt;=WarehouseData[[#This Row],[reorder_point]],"Low Stock","Sufficient Stock")</f>
        <v>Sufficient Stock</v>
      </c>
      <c r="Y1031">
        <f>WarehouseData[[#This Row],[daily_demand]]*WarehouseData[[#This Row],[lead_time_days]]</f>
        <v>201.6</v>
      </c>
      <c r="Z1031" t="str">
        <f>IF(WarehouseData[[#This Row],[stock_level]]&lt;=WarehouseData[[#This Row],[Demand During Lead Time]],"At Risk","Safe")</f>
        <v>Safe</v>
      </c>
      <c r="AA1031">
        <f>WarehouseData[[#This Row],[stock_level]]/WarehouseData[[#This Row],[daily_demand]]</f>
        <v>10.714285714285714</v>
      </c>
      <c r="AB1031">
        <f>WarehouseData[[#This Row],[stock_level]]*WarehouseData[[#This Row],[unit_price]]</f>
        <v>10787.039999999999</v>
      </c>
      <c r="AC1031">
        <f>WarehouseData[[#This Row],[stock_level]]*WarehouseData[[#This Row],[holding_cost_per_unit_day]]*30</f>
        <v>24753.599999999999</v>
      </c>
      <c r="AD1031" t="str">
        <f>IF(WarehouseData[[#This Row],[order_fulfillment_rate]]&gt;=0.9,"Strong",IF(WarehouseData[[#This Row],[order_fulfillment_rate]]&gt;=0.8,"Moderate","Needs Attention"))</f>
        <v>Needs Attention</v>
      </c>
      <c r="AE1031" t="str">
        <f>IF(WarehouseData[[#This Row],[picking_time_seconds]]&gt;120,"Slow",IF(WarehouseData[[#This Row],[picking_time_seconds]]&gt;=60,"Average","Fast"))</f>
        <v>Average</v>
      </c>
    </row>
    <row r="1032" spans="1:31" x14ac:dyDescent="0.25">
      <c r="A1032" t="s">
        <v>1170</v>
      </c>
      <c r="B1032" t="s">
        <v>36</v>
      </c>
      <c r="C1032">
        <v>471</v>
      </c>
      <c r="D1032">
        <v>80</v>
      </c>
      <c r="E1032">
        <v>8</v>
      </c>
      <c r="F1032">
        <v>2</v>
      </c>
      <c r="G1032">
        <v>37.1</v>
      </c>
      <c r="H1032">
        <v>8.66</v>
      </c>
      <c r="I1032">
        <v>0.34</v>
      </c>
      <c r="J1032" t="s">
        <v>223</v>
      </c>
      <c r="K1032" t="s">
        <v>38</v>
      </c>
      <c r="L1032">
        <v>150</v>
      </c>
      <c r="M1032">
        <v>3.65</v>
      </c>
      <c r="N1032">
        <v>159.16</v>
      </c>
      <c r="O1032">
        <v>0.57999999999999996</v>
      </c>
      <c r="P1032">
        <v>7</v>
      </c>
      <c r="Q1032">
        <v>0.93</v>
      </c>
      <c r="R1032">
        <v>50</v>
      </c>
      <c r="S1032">
        <v>8.11</v>
      </c>
      <c r="T1032">
        <v>0.41</v>
      </c>
      <c r="U1032" s="1">
        <v>45304</v>
      </c>
      <c r="V1032">
        <v>124.55</v>
      </c>
      <c r="W1032">
        <v>0.57799999999999996</v>
      </c>
      <c r="X1032" t="str">
        <f>IF(WarehouseData[[#This Row],[stock_level]]&lt;=WarehouseData[[#This Row],[reorder_point]],"Low Stock","Sufficient Stock")</f>
        <v>Sufficient Stock</v>
      </c>
      <c r="Y1032">
        <f>WarehouseData[[#This Row],[daily_demand]]*WarehouseData[[#This Row],[lead_time_days]]</f>
        <v>74.2</v>
      </c>
      <c r="Z1032" t="str">
        <f>IF(WarehouseData[[#This Row],[stock_level]]&lt;=WarehouseData[[#This Row],[Demand During Lead Time]],"At Risk","Safe")</f>
        <v>Safe</v>
      </c>
      <c r="AA1032">
        <f>WarehouseData[[#This Row],[stock_level]]/WarehouseData[[#This Row],[daily_demand]]</f>
        <v>12.695417789757412</v>
      </c>
      <c r="AB1032">
        <f>WarehouseData[[#This Row],[stock_level]]*WarehouseData[[#This Row],[unit_price]]</f>
        <v>74964.36</v>
      </c>
      <c r="AC1032">
        <f>WarehouseData[[#This Row],[stock_level]]*WarehouseData[[#This Row],[holding_cost_per_unit_day]]*30</f>
        <v>8195.4</v>
      </c>
      <c r="AD1032" t="str">
        <f>IF(WarehouseData[[#This Row],[order_fulfillment_rate]]&gt;=0.9,"Strong",IF(WarehouseData[[#This Row],[order_fulfillment_rate]]&gt;=0.8,"Moderate","Needs Attention"))</f>
        <v>Strong</v>
      </c>
      <c r="AE1032" t="str">
        <f>IF(WarehouseData[[#This Row],[picking_time_seconds]]&gt;120,"Slow",IF(WarehouseData[[#This Row],[picking_time_seconds]]&gt;=60,"Average","Fast"))</f>
        <v>Slow</v>
      </c>
    </row>
    <row r="1033" spans="1:31" x14ac:dyDescent="0.25">
      <c r="A1033" t="s">
        <v>1171</v>
      </c>
      <c r="B1033" t="s">
        <v>48</v>
      </c>
      <c r="C1033">
        <v>84</v>
      </c>
      <c r="D1033">
        <v>87</v>
      </c>
      <c r="E1033">
        <v>8</v>
      </c>
      <c r="F1033">
        <v>7</v>
      </c>
      <c r="G1033">
        <v>15.57</v>
      </c>
      <c r="H1033">
        <v>2.6</v>
      </c>
      <c r="I1033">
        <v>0.19</v>
      </c>
      <c r="J1033" t="s">
        <v>332</v>
      </c>
      <c r="K1033" t="s">
        <v>46</v>
      </c>
      <c r="L1033">
        <v>102</v>
      </c>
      <c r="M1033">
        <v>0.55000000000000004</v>
      </c>
      <c r="N1033">
        <v>180.19</v>
      </c>
      <c r="O1033">
        <v>0.61</v>
      </c>
      <c r="P1033">
        <v>7</v>
      </c>
      <c r="Q1033">
        <v>0.97</v>
      </c>
      <c r="R1033">
        <v>554</v>
      </c>
      <c r="S1033">
        <v>3.78</v>
      </c>
      <c r="T1033">
        <v>0.69</v>
      </c>
      <c r="U1033" s="1">
        <v>45411</v>
      </c>
      <c r="V1033">
        <v>248.85</v>
      </c>
      <c r="W1033">
        <v>0.58099999999999996</v>
      </c>
      <c r="X1033" t="str">
        <f>IF(WarehouseData[[#This Row],[stock_level]]&lt;=WarehouseData[[#This Row],[reorder_point]],"Low Stock","Sufficient Stock")</f>
        <v>Low Stock</v>
      </c>
      <c r="Y1033">
        <f>WarehouseData[[#This Row],[daily_demand]]*WarehouseData[[#This Row],[lead_time_days]]</f>
        <v>108.99000000000001</v>
      </c>
      <c r="Z1033" t="str">
        <f>IF(WarehouseData[[#This Row],[stock_level]]&lt;=WarehouseData[[#This Row],[Demand During Lead Time]],"At Risk","Safe")</f>
        <v>At Risk</v>
      </c>
      <c r="AA1033">
        <f>WarehouseData[[#This Row],[stock_level]]/WarehouseData[[#This Row],[daily_demand]]</f>
        <v>5.3949903660886322</v>
      </c>
      <c r="AB1033">
        <f>WarehouseData[[#This Row],[stock_level]]*WarehouseData[[#This Row],[unit_price]]</f>
        <v>15135.96</v>
      </c>
      <c r="AC1033">
        <f>WarehouseData[[#This Row],[stock_level]]*WarehouseData[[#This Row],[holding_cost_per_unit_day]]*30</f>
        <v>1537.2</v>
      </c>
      <c r="AD1033" t="str">
        <f>IF(WarehouseData[[#This Row],[order_fulfillment_rate]]&gt;=0.9,"Strong",IF(WarehouseData[[#This Row],[order_fulfillment_rate]]&gt;=0.8,"Moderate","Needs Attention"))</f>
        <v>Strong</v>
      </c>
      <c r="AE1033" t="str">
        <f>IF(WarehouseData[[#This Row],[picking_time_seconds]]&gt;120,"Slow",IF(WarehouseData[[#This Row],[picking_time_seconds]]&gt;=60,"Average","Fast"))</f>
        <v>Average</v>
      </c>
    </row>
    <row r="1034" spans="1:31" x14ac:dyDescent="0.25">
      <c r="A1034" t="s">
        <v>1172</v>
      </c>
      <c r="B1034" t="s">
        <v>73</v>
      </c>
      <c r="C1034">
        <v>102</v>
      </c>
      <c r="D1034">
        <v>52</v>
      </c>
      <c r="E1034">
        <v>11</v>
      </c>
      <c r="F1034">
        <v>7</v>
      </c>
      <c r="G1034">
        <v>3.87</v>
      </c>
      <c r="H1034">
        <v>1.96</v>
      </c>
      <c r="I1034">
        <v>0.22</v>
      </c>
      <c r="J1034" t="s">
        <v>192</v>
      </c>
      <c r="K1034" t="s">
        <v>34</v>
      </c>
      <c r="L1034">
        <v>116</v>
      </c>
      <c r="M1034">
        <v>3.57</v>
      </c>
      <c r="N1034">
        <v>195.05</v>
      </c>
      <c r="O1034">
        <v>1.3</v>
      </c>
      <c r="P1034">
        <v>2</v>
      </c>
      <c r="Q1034">
        <v>0.93</v>
      </c>
      <c r="R1034">
        <v>411</v>
      </c>
      <c r="S1034">
        <v>11.95</v>
      </c>
      <c r="T1034">
        <v>0.64</v>
      </c>
      <c r="U1034" s="1">
        <v>45569</v>
      </c>
      <c r="V1034">
        <v>262.39</v>
      </c>
      <c r="W1034">
        <v>0.70299999999999996</v>
      </c>
      <c r="X1034" t="str">
        <f>IF(WarehouseData[[#This Row],[stock_level]]&lt;=WarehouseData[[#This Row],[reorder_point]],"Low Stock","Sufficient Stock")</f>
        <v>Sufficient Stock</v>
      </c>
      <c r="Y1034">
        <f>WarehouseData[[#This Row],[daily_demand]]*WarehouseData[[#This Row],[lead_time_days]]</f>
        <v>27.09</v>
      </c>
      <c r="Z1034" t="str">
        <f>IF(WarehouseData[[#This Row],[stock_level]]&lt;=WarehouseData[[#This Row],[Demand During Lead Time]],"At Risk","Safe")</f>
        <v>Safe</v>
      </c>
      <c r="AA1034">
        <f>WarehouseData[[#This Row],[stock_level]]/WarehouseData[[#This Row],[daily_demand]]</f>
        <v>26.356589147286822</v>
      </c>
      <c r="AB1034">
        <f>WarehouseData[[#This Row],[stock_level]]*WarehouseData[[#This Row],[unit_price]]</f>
        <v>19895.100000000002</v>
      </c>
      <c r="AC1034">
        <f>WarehouseData[[#This Row],[stock_level]]*WarehouseData[[#This Row],[holding_cost_per_unit_day]]*30</f>
        <v>3978</v>
      </c>
      <c r="AD1034" t="str">
        <f>IF(WarehouseData[[#This Row],[order_fulfillment_rate]]&gt;=0.9,"Strong",IF(WarehouseData[[#This Row],[order_fulfillment_rate]]&gt;=0.8,"Moderate","Needs Attention"))</f>
        <v>Strong</v>
      </c>
      <c r="AE1034" t="str">
        <f>IF(WarehouseData[[#This Row],[picking_time_seconds]]&gt;120,"Slow",IF(WarehouseData[[#This Row],[picking_time_seconds]]&gt;=60,"Average","Fast"))</f>
        <v>Average</v>
      </c>
    </row>
    <row r="1035" spans="1:31" x14ac:dyDescent="0.25">
      <c r="A1035" t="s">
        <v>1173</v>
      </c>
      <c r="B1035" t="s">
        <v>40</v>
      </c>
      <c r="C1035">
        <v>173</v>
      </c>
      <c r="D1035">
        <v>35</v>
      </c>
      <c r="E1035">
        <v>6</v>
      </c>
      <c r="F1035">
        <v>4</v>
      </c>
      <c r="G1035">
        <v>7.99</v>
      </c>
      <c r="H1035">
        <v>9.14</v>
      </c>
      <c r="I1035">
        <v>0.81</v>
      </c>
      <c r="J1035" t="s">
        <v>154</v>
      </c>
      <c r="K1035" t="s">
        <v>52</v>
      </c>
      <c r="L1035">
        <v>118</v>
      </c>
      <c r="M1035">
        <v>4.3</v>
      </c>
      <c r="N1035">
        <v>120.08</v>
      </c>
      <c r="O1035">
        <v>1.86</v>
      </c>
      <c r="P1035">
        <v>1</v>
      </c>
      <c r="Q1035">
        <v>0.95</v>
      </c>
      <c r="R1035">
        <v>768</v>
      </c>
      <c r="S1035">
        <v>10.55</v>
      </c>
      <c r="T1035">
        <v>0.32</v>
      </c>
      <c r="U1035" s="1">
        <v>45469</v>
      </c>
      <c r="V1035">
        <v>91.97</v>
      </c>
      <c r="W1035">
        <v>0.58899999999999997</v>
      </c>
      <c r="X1035" t="str">
        <f>IF(WarehouseData[[#This Row],[stock_level]]&lt;=WarehouseData[[#This Row],[reorder_point]],"Low Stock","Sufficient Stock")</f>
        <v>Sufficient Stock</v>
      </c>
      <c r="Y1035">
        <f>WarehouseData[[#This Row],[daily_demand]]*WarehouseData[[#This Row],[lead_time_days]]</f>
        <v>31.96</v>
      </c>
      <c r="Z1035" t="str">
        <f>IF(WarehouseData[[#This Row],[stock_level]]&lt;=WarehouseData[[#This Row],[Demand During Lead Time]],"At Risk","Safe")</f>
        <v>Safe</v>
      </c>
      <c r="AA1035">
        <f>WarehouseData[[#This Row],[stock_level]]/WarehouseData[[#This Row],[daily_demand]]</f>
        <v>21.65206508135169</v>
      </c>
      <c r="AB1035">
        <f>WarehouseData[[#This Row],[stock_level]]*WarehouseData[[#This Row],[unit_price]]</f>
        <v>20773.84</v>
      </c>
      <c r="AC1035">
        <f>WarehouseData[[#This Row],[stock_level]]*WarehouseData[[#This Row],[holding_cost_per_unit_day]]*30</f>
        <v>9653.4000000000015</v>
      </c>
      <c r="AD1035" t="str">
        <f>IF(WarehouseData[[#This Row],[order_fulfillment_rate]]&gt;=0.9,"Strong",IF(WarehouseData[[#This Row],[order_fulfillment_rate]]&gt;=0.8,"Moderate","Needs Attention"))</f>
        <v>Strong</v>
      </c>
      <c r="AE1035" t="str">
        <f>IF(WarehouseData[[#This Row],[picking_time_seconds]]&gt;120,"Slow",IF(WarehouseData[[#This Row],[picking_time_seconds]]&gt;=60,"Average","Fast"))</f>
        <v>Average</v>
      </c>
    </row>
    <row r="1036" spans="1:31" x14ac:dyDescent="0.25">
      <c r="A1036" t="s">
        <v>1174</v>
      </c>
      <c r="B1036" t="s">
        <v>32</v>
      </c>
      <c r="C1036">
        <v>492</v>
      </c>
      <c r="D1036">
        <v>99</v>
      </c>
      <c r="E1036">
        <v>13</v>
      </c>
      <c r="F1036">
        <v>9</v>
      </c>
      <c r="G1036">
        <v>42.08</v>
      </c>
      <c r="H1036">
        <v>9.41</v>
      </c>
      <c r="I1036">
        <v>0.49</v>
      </c>
      <c r="J1036" t="s">
        <v>148</v>
      </c>
      <c r="K1036" t="s">
        <v>52</v>
      </c>
      <c r="L1036">
        <v>97</v>
      </c>
      <c r="M1036">
        <v>2.61</v>
      </c>
      <c r="N1036">
        <v>72.2</v>
      </c>
      <c r="O1036">
        <v>0.48</v>
      </c>
      <c r="P1036">
        <v>5</v>
      </c>
      <c r="Q1036">
        <v>0.88</v>
      </c>
      <c r="R1036">
        <v>758</v>
      </c>
      <c r="S1036">
        <v>2.36</v>
      </c>
      <c r="T1036">
        <v>0.43</v>
      </c>
      <c r="U1036" s="1">
        <v>45617</v>
      </c>
      <c r="V1036">
        <v>240.39</v>
      </c>
      <c r="W1036">
        <v>0.54500000000000004</v>
      </c>
      <c r="X1036" t="str">
        <f>IF(WarehouseData[[#This Row],[stock_level]]&lt;=WarehouseData[[#This Row],[reorder_point]],"Low Stock","Sufficient Stock")</f>
        <v>Sufficient Stock</v>
      </c>
      <c r="Y1036">
        <f>WarehouseData[[#This Row],[daily_demand]]*WarehouseData[[#This Row],[lead_time_days]]</f>
        <v>378.71999999999997</v>
      </c>
      <c r="Z1036" t="str">
        <f>IF(WarehouseData[[#This Row],[stock_level]]&lt;=WarehouseData[[#This Row],[Demand During Lead Time]],"At Risk","Safe")</f>
        <v>Safe</v>
      </c>
      <c r="AA1036">
        <f>WarehouseData[[#This Row],[stock_level]]/WarehouseData[[#This Row],[daily_demand]]</f>
        <v>11.692015209125476</v>
      </c>
      <c r="AB1036">
        <f>WarehouseData[[#This Row],[stock_level]]*WarehouseData[[#This Row],[unit_price]]</f>
        <v>35522.400000000001</v>
      </c>
      <c r="AC1036">
        <f>WarehouseData[[#This Row],[stock_level]]*WarehouseData[[#This Row],[holding_cost_per_unit_day]]*30</f>
        <v>7084.8</v>
      </c>
      <c r="AD1036" t="str">
        <f>IF(WarehouseData[[#This Row],[order_fulfillment_rate]]&gt;=0.9,"Strong",IF(WarehouseData[[#This Row],[order_fulfillment_rate]]&gt;=0.8,"Moderate","Needs Attention"))</f>
        <v>Moderate</v>
      </c>
      <c r="AE1036" t="str">
        <f>IF(WarehouseData[[#This Row],[picking_time_seconds]]&gt;120,"Slow",IF(WarehouseData[[#This Row],[picking_time_seconds]]&gt;=60,"Average","Fast"))</f>
        <v>Average</v>
      </c>
    </row>
    <row r="1037" spans="1:31" x14ac:dyDescent="0.25">
      <c r="A1037" t="s">
        <v>1175</v>
      </c>
      <c r="B1037" t="s">
        <v>73</v>
      </c>
      <c r="C1037">
        <v>285</v>
      </c>
      <c r="D1037">
        <v>87</v>
      </c>
      <c r="E1037">
        <v>13</v>
      </c>
      <c r="F1037">
        <v>5</v>
      </c>
      <c r="G1037">
        <v>36.83</v>
      </c>
      <c r="H1037">
        <v>0.62</v>
      </c>
      <c r="I1037">
        <v>0.22</v>
      </c>
      <c r="J1037" t="s">
        <v>188</v>
      </c>
      <c r="K1037" t="s">
        <v>34</v>
      </c>
      <c r="L1037">
        <v>54</v>
      </c>
      <c r="M1037">
        <v>4.2300000000000004</v>
      </c>
      <c r="N1037">
        <v>71.17</v>
      </c>
      <c r="O1037">
        <v>1.85</v>
      </c>
      <c r="P1037">
        <v>0</v>
      </c>
      <c r="Q1037">
        <v>0.97</v>
      </c>
      <c r="R1037">
        <v>332</v>
      </c>
      <c r="S1037">
        <v>9.6300000000000008</v>
      </c>
      <c r="T1037">
        <v>0.44</v>
      </c>
      <c r="U1037" s="1">
        <v>45647</v>
      </c>
      <c r="V1037">
        <v>24.4</v>
      </c>
      <c r="W1037">
        <v>0.625</v>
      </c>
      <c r="X1037" t="str">
        <f>IF(WarehouseData[[#This Row],[stock_level]]&lt;=WarehouseData[[#This Row],[reorder_point]],"Low Stock","Sufficient Stock")</f>
        <v>Sufficient Stock</v>
      </c>
      <c r="Y1037">
        <f>WarehouseData[[#This Row],[daily_demand]]*WarehouseData[[#This Row],[lead_time_days]]</f>
        <v>184.14999999999998</v>
      </c>
      <c r="Z1037" t="str">
        <f>IF(WarehouseData[[#This Row],[stock_level]]&lt;=WarehouseData[[#This Row],[Demand During Lead Time]],"At Risk","Safe")</f>
        <v>Safe</v>
      </c>
      <c r="AA1037">
        <f>WarehouseData[[#This Row],[stock_level]]/WarehouseData[[#This Row],[daily_demand]]</f>
        <v>7.7382568558240568</v>
      </c>
      <c r="AB1037">
        <f>WarehouseData[[#This Row],[stock_level]]*WarehouseData[[#This Row],[unit_price]]</f>
        <v>20283.45</v>
      </c>
      <c r="AC1037">
        <f>WarehouseData[[#This Row],[stock_level]]*WarehouseData[[#This Row],[holding_cost_per_unit_day]]*30</f>
        <v>15817.5</v>
      </c>
      <c r="AD1037" t="str">
        <f>IF(WarehouseData[[#This Row],[order_fulfillment_rate]]&gt;=0.9,"Strong",IF(WarehouseData[[#This Row],[order_fulfillment_rate]]&gt;=0.8,"Moderate","Needs Attention"))</f>
        <v>Strong</v>
      </c>
      <c r="AE1037" t="str">
        <f>IF(WarehouseData[[#This Row],[picking_time_seconds]]&gt;120,"Slow",IF(WarehouseData[[#This Row],[picking_time_seconds]]&gt;=60,"Average","Fast"))</f>
        <v>Fast</v>
      </c>
    </row>
    <row r="1038" spans="1:31" x14ac:dyDescent="0.25">
      <c r="A1038" t="s">
        <v>1176</v>
      </c>
      <c r="B1038" t="s">
        <v>48</v>
      </c>
      <c r="C1038">
        <v>328</v>
      </c>
      <c r="D1038">
        <v>80</v>
      </c>
      <c r="E1038">
        <v>7</v>
      </c>
      <c r="F1038">
        <v>7</v>
      </c>
      <c r="G1038">
        <v>33.549999999999997</v>
      </c>
      <c r="H1038">
        <v>7.41</v>
      </c>
      <c r="I1038">
        <v>0.41</v>
      </c>
      <c r="J1038" t="s">
        <v>265</v>
      </c>
      <c r="K1038" t="s">
        <v>38</v>
      </c>
      <c r="L1038">
        <v>117</v>
      </c>
      <c r="M1038">
        <v>4.0199999999999996</v>
      </c>
      <c r="N1038">
        <v>82</v>
      </c>
      <c r="O1038">
        <v>1.36</v>
      </c>
      <c r="P1038">
        <v>8</v>
      </c>
      <c r="Q1038">
        <v>0.85</v>
      </c>
      <c r="R1038">
        <v>578</v>
      </c>
      <c r="S1038">
        <v>14.77</v>
      </c>
      <c r="T1038">
        <v>0.7</v>
      </c>
      <c r="U1038" s="1">
        <v>45296</v>
      </c>
      <c r="V1038">
        <v>131.12</v>
      </c>
      <c r="W1038">
        <v>0.61099999999999999</v>
      </c>
      <c r="X1038" t="str">
        <f>IF(WarehouseData[[#This Row],[stock_level]]&lt;=WarehouseData[[#This Row],[reorder_point]],"Low Stock","Sufficient Stock")</f>
        <v>Sufficient Stock</v>
      </c>
      <c r="Y1038">
        <f>WarehouseData[[#This Row],[daily_demand]]*WarehouseData[[#This Row],[lead_time_days]]</f>
        <v>234.84999999999997</v>
      </c>
      <c r="Z1038" t="str">
        <f>IF(WarehouseData[[#This Row],[stock_level]]&lt;=WarehouseData[[#This Row],[Demand During Lead Time]],"At Risk","Safe")</f>
        <v>Safe</v>
      </c>
      <c r="AA1038">
        <f>WarehouseData[[#This Row],[stock_level]]/WarehouseData[[#This Row],[daily_demand]]</f>
        <v>9.7764530551415803</v>
      </c>
      <c r="AB1038">
        <f>WarehouseData[[#This Row],[stock_level]]*WarehouseData[[#This Row],[unit_price]]</f>
        <v>26896</v>
      </c>
      <c r="AC1038">
        <f>WarehouseData[[#This Row],[stock_level]]*WarehouseData[[#This Row],[holding_cost_per_unit_day]]*30</f>
        <v>13382.400000000001</v>
      </c>
      <c r="AD1038" t="str">
        <f>IF(WarehouseData[[#This Row],[order_fulfillment_rate]]&gt;=0.9,"Strong",IF(WarehouseData[[#This Row],[order_fulfillment_rate]]&gt;=0.8,"Moderate","Needs Attention"))</f>
        <v>Moderate</v>
      </c>
      <c r="AE1038" t="str">
        <f>IF(WarehouseData[[#This Row],[picking_time_seconds]]&gt;120,"Slow",IF(WarehouseData[[#This Row],[picking_time_seconds]]&gt;=60,"Average","Fast"))</f>
        <v>Average</v>
      </c>
    </row>
    <row r="1039" spans="1:31" x14ac:dyDescent="0.25">
      <c r="A1039" t="s">
        <v>1177</v>
      </c>
      <c r="B1039" t="s">
        <v>40</v>
      </c>
      <c r="C1039">
        <v>98</v>
      </c>
      <c r="D1039">
        <v>42</v>
      </c>
      <c r="E1039">
        <v>11</v>
      </c>
      <c r="F1039">
        <v>5</v>
      </c>
      <c r="G1039">
        <v>7.4</v>
      </c>
      <c r="H1039">
        <v>3.44</v>
      </c>
      <c r="I1039">
        <v>0.56000000000000005</v>
      </c>
      <c r="J1039" t="s">
        <v>113</v>
      </c>
      <c r="K1039" t="s">
        <v>46</v>
      </c>
      <c r="L1039">
        <v>55</v>
      </c>
      <c r="M1039">
        <v>3.52</v>
      </c>
      <c r="N1039">
        <v>126.41</v>
      </c>
      <c r="O1039">
        <v>1.99</v>
      </c>
      <c r="P1039">
        <v>6</v>
      </c>
      <c r="Q1039">
        <v>1</v>
      </c>
      <c r="R1039">
        <v>880</v>
      </c>
      <c r="S1039">
        <v>8.39</v>
      </c>
      <c r="T1039">
        <v>0.83</v>
      </c>
      <c r="U1039" s="1">
        <v>45463</v>
      </c>
      <c r="V1039">
        <v>30.24</v>
      </c>
      <c r="W1039">
        <v>0.55900000000000005</v>
      </c>
      <c r="X1039" t="str">
        <f>IF(WarehouseData[[#This Row],[stock_level]]&lt;=WarehouseData[[#This Row],[reorder_point]],"Low Stock","Sufficient Stock")</f>
        <v>Sufficient Stock</v>
      </c>
      <c r="Y1039">
        <f>WarehouseData[[#This Row],[daily_demand]]*WarehouseData[[#This Row],[lead_time_days]]</f>
        <v>37</v>
      </c>
      <c r="Z1039" t="str">
        <f>IF(WarehouseData[[#This Row],[stock_level]]&lt;=WarehouseData[[#This Row],[Demand During Lead Time]],"At Risk","Safe")</f>
        <v>Safe</v>
      </c>
      <c r="AA1039">
        <f>WarehouseData[[#This Row],[stock_level]]/WarehouseData[[#This Row],[daily_demand]]</f>
        <v>13.243243243243242</v>
      </c>
      <c r="AB1039">
        <f>WarehouseData[[#This Row],[stock_level]]*WarehouseData[[#This Row],[unit_price]]</f>
        <v>12388.18</v>
      </c>
      <c r="AC1039">
        <f>WarehouseData[[#This Row],[stock_level]]*WarehouseData[[#This Row],[holding_cost_per_unit_day]]*30</f>
        <v>5850.6</v>
      </c>
      <c r="AD1039" t="str">
        <f>IF(WarehouseData[[#This Row],[order_fulfillment_rate]]&gt;=0.9,"Strong",IF(WarehouseData[[#This Row],[order_fulfillment_rate]]&gt;=0.8,"Moderate","Needs Attention"))</f>
        <v>Strong</v>
      </c>
      <c r="AE1039" t="str">
        <f>IF(WarehouseData[[#This Row],[picking_time_seconds]]&gt;120,"Slow",IF(WarehouseData[[#This Row],[picking_time_seconds]]&gt;=60,"Average","Fast"))</f>
        <v>Fast</v>
      </c>
    </row>
    <row r="1040" spans="1:31" x14ac:dyDescent="0.25">
      <c r="A1040" t="s">
        <v>1178</v>
      </c>
      <c r="B1040" t="s">
        <v>48</v>
      </c>
      <c r="C1040">
        <v>334</v>
      </c>
      <c r="D1040">
        <v>35</v>
      </c>
      <c r="E1040">
        <v>3</v>
      </c>
      <c r="F1040">
        <v>9</v>
      </c>
      <c r="G1040">
        <v>32.36</v>
      </c>
      <c r="H1040">
        <v>4.0599999999999996</v>
      </c>
      <c r="I1040">
        <v>0.87</v>
      </c>
      <c r="J1040" t="s">
        <v>113</v>
      </c>
      <c r="K1040" t="s">
        <v>34</v>
      </c>
      <c r="L1040">
        <v>86</v>
      </c>
      <c r="M1040">
        <v>2.5</v>
      </c>
      <c r="N1040">
        <v>103.14</v>
      </c>
      <c r="O1040">
        <v>1.5</v>
      </c>
      <c r="P1040">
        <v>7</v>
      </c>
      <c r="Q1040">
        <v>0.73</v>
      </c>
      <c r="R1040">
        <v>945</v>
      </c>
      <c r="S1040">
        <v>5</v>
      </c>
      <c r="T1040">
        <v>1</v>
      </c>
      <c r="U1040" s="1">
        <v>45292</v>
      </c>
      <c r="V1040">
        <v>95.21</v>
      </c>
      <c r="W1040">
        <v>0.52300000000000002</v>
      </c>
      <c r="X1040" t="str">
        <f>IF(WarehouseData[[#This Row],[stock_level]]&lt;=WarehouseData[[#This Row],[reorder_point]],"Low Stock","Sufficient Stock")</f>
        <v>Sufficient Stock</v>
      </c>
      <c r="Y1040">
        <f>WarehouseData[[#This Row],[daily_demand]]*WarehouseData[[#This Row],[lead_time_days]]</f>
        <v>291.24</v>
      </c>
      <c r="Z1040" t="str">
        <f>IF(WarehouseData[[#This Row],[stock_level]]&lt;=WarehouseData[[#This Row],[Demand During Lead Time]],"At Risk","Safe")</f>
        <v>Safe</v>
      </c>
      <c r="AA1040">
        <f>WarehouseData[[#This Row],[stock_level]]/WarehouseData[[#This Row],[daily_demand]]</f>
        <v>10.321384425216317</v>
      </c>
      <c r="AB1040">
        <f>WarehouseData[[#This Row],[stock_level]]*WarehouseData[[#This Row],[unit_price]]</f>
        <v>34448.76</v>
      </c>
      <c r="AC1040">
        <f>WarehouseData[[#This Row],[stock_level]]*WarehouseData[[#This Row],[holding_cost_per_unit_day]]*30</f>
        <v>15030</v>
      </c>
      <c r="AD1040" t="str">
        <f>IF(WarehouseData[[#This Row],[order_fulfillment_rate]]&gt;=0.9,"Strong",IF(WarehouseData[[#This Row],[order_fulfillment_rate]]&gt;=0.8,"Moderate","Needs Attention"))</f>
        <v>Needs Attention</v>
      </c>
      <c r="AE1040" t="str">
        <f>IF(WarehouseData[[#This Row],[picking_time_seconds]]&gt;120,"Slow",IF(WarehouseData[[#This Row],[picking_time_seconds]]&gt;=60,"Average","Fast"))</f>
        <v>Average</v>
      </c>
    </row>
    <row r="1041" spans="1:31" x14ac:dyDescent="0.25">
      <c r="A1041" t="s">
        <v>1179</v>
      </c>
      <c r="B1041" t="s">
        <v>48</v>
      </c>
      <c r="C1041">
        <v>169</v>
      </c>
      <c r="D1041">
        <v>54</v>
      </c>
      <c r="E1041">
        <v>6</v>
      </c>
      <c r="F1041">
        <v>4</v>
      </c>
      <c r="G1041">
        <v>38.840000000000003</v>
      </c>
      <c r="H1041">
        <v>4.96</v>
      </c>
      <c r="I1041">
        <v>0.68</v>
      </c>
      <c r="J1041" t="s">
        <v>228</v>
      </c>
      <c r="K1041" t="s">
        <v>38</v>
      </c>
      <c r="L1041">
        <v>178</v>
      </c>
      <c r="M1041">
        <v>1.72</v>
      </c>
      <c r="N1041">
        <v>134.19</v>
      </c>
      <c r="O1041">
        <v>1.37</v>
      </c>
      <c r="P1041">
        <v>6</v>
      </c>
      <c r="Q1041">
        <v>0.94</v>
      </c>
      <c r="R1041">
        <v>218</v>
      </c>
      <c r="S1041">
        <v>3.13</v>
      </c>
      <c r="T1041">
        <v>0.28000000000000003</v>
      </c>
      <c r="U1041" s="1">
        <v>45628</v>
      </c>
      <c r="V1041">
        <v>285.61</v>
      </c>
      <c r="W1041">
        <v>0.42899999999999999</v>
      </c>
      <c r="X1041" t="str">
        <f>IF(WarehouseData[[#This Row],[stock_level]]&lt;=WarehouseData[[#This Row],[reorder_point]],"Low Stock","Sufficient Stock")</f>
        <v>Sufficient Stock</v>
      </c>
      <c r="Y1041">
        <f>WarehouseData[[#This Row],[daily_demand]]*WarehouseData[[#This Row],[lead_time_days]]</f>
        <v>155.36000000000001</v>
      </c>
      <c r="Z1041" t="str">
        <f>IF(WarehouseData[[#This Row],[stock_level]]&lt;=WarehouseData[[#This Row],[Demand During Lead Time]],"At Risk","Safe")</f>
        <v>Safe</v>
      </c>
      <c r="AA1041">
        <f>WarehouseData[[#This Row],[stock_level]]/WarehouseData[[#This Row],[daily_demand]]</f>
        <v>4.3511843460350148</v>
      </c>
      <c r="AB1041">
        <f>WarehouseData[[#This Row],[stock_level]]*WarehouseData[[#This Row],[unit_price]]</f>
        <v>22678.11</v>
      </c>
      <c r="AC1041">
        <f>WarehouseData[[#This Row],[stock_level]]*WarehouseData[[#This Row],[holding_cost_per_unit_day]]*30</f>
        <v>6945.9000000000005</v>
      </c>
      <c r="AD1041" t="str">
        <f>IF(WarehouseData[[#This Row],[order_fulfillment_rate]]&gt;=0.9,"Strong",IF(WarehouseData[[#This Row],[order_fulfillment_rate]]&gt;=0.8,"Moderate","Needs Attention"))</f>
        <v>Strong</v>
      </c>
      <c r="AE1041" t="str">
        <f>IF(WarehouseData[[#This Row],[picking_time_seconds]]&gt;120,"Slow",IF(WarehouseData[[#This Row],[picking_time_seconds]]&gt;=60,"Average","Fast"))</f>
        <v>Slow</v>
      </c>
    </row>
    <row r="1042" spans="1:31" x14ac:dyDescent="0.25">
      <c r="A1042" t="s">
        <v>1180</v>
      </c>
      <c r="B1042" t="s">
        <v>40</v>
      </c>
      <c r="C1042">
        <v>454</v>
      </c>
      <c r="D1042">
        <v>93</v>
      </c>
      <c r="E1042">
        <v>9</v>
      </c>
      <c r="F1042">
        <v>7</v>
      </c>
      <c r="G1042">
        <v>43.17</v>
      </c>
      <c r="H1042">
        <v>4.55</v>
      </c>
      <c r="I1042">
        <v>0.26</v>
      </c>
      <c r="J1042" t="s">
        <v>316</v>
      </c>
      <c r="K1042" t="s">
        <v>46</v>
      </c>
      <c r="L1042">
        <v>55</v>
      </c>
      <c r="M1042">
        <v>4.37</v>
      </c>
      <c r="N1042">
        <v>17.47</v>
      </c>
      <c r="O1042">
        <v>1.65</v>
      </c>
      <c r="P1042">
        <v>4</v>
      </c>
      <c r="Q1042">
        <v>0.89</v>
      </c>
      <c r="R1042">
        <v>938</v>
      </c>
      <c r="S1042">
        <v>14.85</v>
      </c>
      <c r="T1042">
        <v>0.95</v>
      </c>
      <c r="U1042" s="1">
        <v>45484</v>
      </c>
      <c r="V1042">
        <v>223.07</v>
      </c>
      <c r="W1042">
        <v>0.72099999999999997</v>
      </c>
      <c r="X1042" t="str">
        <f>IF(WarehouseData[[#This Row],[stock_level]]&lt;=WarehouseData[[#This Row],[reorder_point]],"Low Stock","Sufficient Stock")</f>
        <v>Sufficient Stock</v>
      </c>
      <c r="Y1042">
        <f>WarehouseData[[#This Row],[daily_demand]]*WarehouseData[[#This Row],[lead_time_days]]</f>
        <v>302.19</v>
      </c>
      <c r="Z1042" t="str">
        <f>IF(WarehouseData[[#This Row],[stock_level]]&lt;=WarehouseData[[#This Row],[Demand During Lead Time]],"At Risk","Safe")</f>
        <v>Safe</v>
      </c>
      <c r="AA1042">
        <f>WarehouseData[[#This Row],[stock_level]]/WarehouseData[[#This Row],[daily_demand]]</f>
        <v>10.516562427611767</v>
      </c>
      <c r="AB1042">
        <f>WarehouseData[[#This Row],[stock_level]]*WarehouseData[[#This Row],[unit_price]]</f>
        <v>7931.3799999999992</v>
      </c>
      <c r="AC1042">
        <f>WarehouseData[[#This Row],[stock_level]]*WarehouseData[[#This Row],[holding_cost_per_unit_day]]*30</f>
        <v>22472.999999999996</v>
      </c>
      <c r="AD1042" t="str">
        <f>IF(WarehouseData[[#This Row],[order_fulfillment_rate]]&gt;=0.9,"Strong",IF(WarehouseData[[#This Row],[order_fulfillment_rate]]&gt;=0.8,"Moderate","Needs Attention"))</f>
        <v>Moderate</v>
      </c>
      <c r="AE1042" t="str">
        <f>IF(WarehouseData[[#This Row],[picking_time_seconds]]&gt;120,"Slow",IF(WarehouseData[[#This Row],[picking_time_seconds]]&gt;=60,"Average","Fast"))</f>
        <v>Fast</v>
      </c>
    </row>
    <row r="1043" spans="1:31" x14ac:dyDescent="0.25">
      <c r="A1043" t="s">
        <v>1181</v>
      </c>
      <c r="B1043" t="s">
        <v>48</v>
      </c>
      <c r="C1043">
        <v>67</v>
      </c>
      <c r="D1043">
        <v>72</v>
      </c>
      <c r="E1043">
        <v>13</v>
      </c>
      <c r="F1043">
        <v>2</v>
      </c>
      <c r="G1043">
        <v>1.65</v>
      </c>
      <c r="H1043">
        <v>5.39</v>
      </c>
      <c r="I1043">
        <v>0.24</v>
      </c>
      <c r="J1043" t="s">
        <v>142</v>
      </c>
      <c r="K1043" t="s">
        <v>46</v>
      </c>
      <c r="L1043">
        <v>138</v>
      </c>
      <c r="M1043">
        <v>3.42</v>
      </c>
      <c r="N1043">
        <v>30.12</v>
      </c>
      <c r="O1043">
        <v>0.43</v>
      </c>
      <c r="P1043">
        <v>4</v>
      </c>
      <c r="Q1043">
        <v>0.87</v>
      </c>
      <c r="R1043">
        <v>235</v>
      </c>
      <c r="S1043">
        <v>8.89</v>
      </c>
      <c r="T1043">
        <v>0.65</v>
      </c>
      <c r="U1043" s="1">
        <v>45449</v>
      </c>
      <c r="V1043">
        <v>229.12</v>
      </c>
      <c r="W1043">
        <v>0.7</v>
      </c>
      <c r="X1043" t="str">
        <f>IF(WarehouseData[[#This Row],[stock_level]]&lt;=WarehouseData[[#This Row],[reorder_point]],"Low Stock","Sufficient Stock")</f>
        <v>Low Stock</v>
      </c>
      <c r="Y1043">
        <f>WarehouseData[[#This Row],[daily_demand]]*WarehouseData[[#This Row],[lead_time_days]]</f>
        <v>3.3</v>
      </c>
      <c r="Z1043" t="str">
        <f>IF(WarehouseData[[#This Row],[stock_level]]&lt;=WarehouseData[[#This Row],[Demand During Lead Time]],"At Risk","Safe")</f>
        <v>Safe</v>
      </c>
      <c r="AA1043">
        <f>WarehouseData[[#This Row],[stock_level]]/WarehouseData[[#This Row],[daily_demand]]</f>
        <v>40.606060606060609</v>
      </c>
      <c r="AB1043">
        <f>WarehouseData[[#This Row],[stock_level]]*WarehouseData[[#This Row],[unit_price]]</f>
        <v>2018.04</v>
      </c>
      <c r="AC1043">
        <f>WarehouseData[[#This Row],[stock_level]]*WarehouseData[[#This Row],[holding_cost_per_unit_day]]*30</f>
        <v>864.3</v>
      </c>
      <c r="AD1043" t="str">
        <f>IF(WarehouseData[[#This Row],[order_fulfillment_rate]]&gt;=0.9,"Strong",IF(WarehouseData[[#This Row],[order_fulfillment_rate]]&gt;=0.8,"Moderate","Needs Attention"))</f>
        <v>Moderate</v>
      </c>
      <c r="AE1043" t="str">
        <f>IF(WarehouseData[[#This Row],[picking_time_seconds]]&gt;120,"Slow",IF(WarehouseData[[#This Row],[picking_time_seconds]]&gt;=60,"Average","Fast"))</f>
        <v>Slow</v>
      </c>
    </row>
    <row r="1044" spans="1:31" x14ac:dyDescent="0.25">
      <c r="A1044" t="s">
        <v>1182</v>
      </c>
      <c r="B1044" t="s">
        <v>40</v>
      </c>
      <c r="C1044">
        <v>424</v>
      </c>
      <c r="D1044">
        <v>76</v>
      </c>
      <c r="E1044">
        <v>11</v>
      </c>
      <c r="F1044">
        <v>3</v>
      </c>
      <c r="G1044">
        <v>34.54</v>
      </c>
      <c r="H1044">
        <v>6.03</v>
      </c>
      <c r="I1044">
        <v>0.47</v>
      </c>
      <c r="J1044" t="s">
        <v>49</v>
      </c>
      <c r="K1044" t="s">
        <v>34</v>
      </c>
      <c r="L1044">
        <v>101</v>
      </c>
      <c r="M1044">
        <v>4.09</v>
      </c>
      <c r="N1044">
        <v>195.54</v>
      </c>
      <c r="O1044">
        <v>1.9</v>
      </c>
      <c r="P1044">
        <v>6</v>
      </c>
      <c r="Q1044">
        <v>0.92</v>
      </c>
      <c r="R1044">
        <v>171</v>
      </c>
      <c r="S1044">
        <v>6.25</v>
      </c>
      <c r="T1044">
        <v>0.49</v>
      </c>
      <c r="U1044" s="1">
        <v>45345</v>
      </c>
      <c r="V1044">
        <v>49</v>
      </c>
      <c r="W1044">
        <v>0.45500000000000002</v>
      </c>
      <c r="X1044" t="str">
        <f>IF(WarehouseData[[#This Row],[stock_level]]&lt;=WarehouseData[[#This Row],[reorder_point]],"Low Stock","Sufficient Stock")</f>
        <v>Sufficient Stock</v>
      </c>
      <c r="Y1044">
        <f>WarehouseData[[#This Row],[daily_demand]]*WarehouseData[[#This Row],[lead_time_days]]</f>
        <v>103.62</v>
      </c>
      <c r="Z1044" t="str">
        <f>IF(WarehouseData[[#This Row],[stock_level]]&lt;=WarehouseData[[#This Row],[Demand During Lead Time]],"At Risk","Safe")</f>
        <v>Safe</v>
      </c>
      <c r="AA1044">
        <f>WarehouseData[[#This Row],[stock_level]]/WarehouseData[[#This Row],[daily_demand]]</f>
        <v>12.27562246670527</v>
      </c>
      <c r="AB1044">
        <f>WarehouseData[[#This Row],[stock_level]]*WarehouseData[[#This Row],[unit_price]]</f>
        <v>82908.959999999992</v>
      </c>
      <c r="AC1044">
        <f>WarehouseData[[#This Row],[stock_level]]*WarehouseData[[#This Row],[holding_cost_per_unit_day]]*30</f>
        <v>24167.999999999996</v>
      </c>
      <c r="AD1044" t="str">
        <f>IF(WarehouseData[[#This Row],[order_fulfillment_rate]]&gt;=0.9,"Strong",IF(WarehouseData[[#This Row],[order_fulfillment_rate]]&gt;=0.8,"Moderate","Needs Attention"))</f>
        <v>Strong</v>
      </c>
      <c r="AE1044" t="str">
        <f>IF(WarehouseData[[#This Row],[picking_time_seconds]]&gt;120,"Slow",IF(WarehouseData[[#This Row],[picking_time_seconds]]&gt;=60,"Average","Fast"))</f>
        <v>Average</v>
      </c>
    </row>
    <row r="1045" spans="1:31" x14ac:dyDescent="0.25">
      <c r="A1045" t="s">
        <v>1183</v>
      </c>
      <c r="B1045" t="s">
        <v>73</v>
      </c>
      <c r="C1045">
        <v>398</v>
      </c>
      <c r="D1045">
        <v>61</v>
      </c>
      <c r="E1045">
        <v>13</v>
      </c>
      <c r="F1045">
        <v>8</v>
      </c>
      <c r="G1045">
        <v>1.94</v>
      </c>
      <c r="H1045">
        <v>4.92</v>
      </c>
      <c r="I1045">
        <v>0.17</v>
      </c>
      <c r="J1045" t="s">
        <v>139</v>
      </c>
      <c r="K1045" t="s">
        <v>46</v>
      </c>
      <c r="L1045">
        <v>21</v>
      </c>
      <c r="M1045">
        <v>2.98</v>
      </c>
      <c r="N1045">
        <v>199.12</v>
      </c>
      <c r="O1045">
        <v>0.41</v>
      </c>
      <c r="P1045">
        <v>6</v>
      </c>
      <c r="Q1045">
        <v>0.95</v>
      </c>
      <c r="R1045">
        <v>490</v>
      </c>
      <c r="S1045">
        <v>4</v>
      </c>
      <c r="T1045">
        <v>0.43</v>
      </c>
      <c r="U1045" s="1">
        <v>45397</v>
      </c>
      <c r="V1045">
        <v>177.82</v>
      </c>
      <c r="W1045">
        <v>0.56799999999999995</v>
      </c>
      <c r="X1045" t="str">
        <f>IF(WarehouseData[[#This Row],[stock_level]]&lt;=WarehouseData[[#This Row],[reorder_point]],"Low Stock","Sufficient Stock")</f>
        <v>Sufficient Stock</v>
      </c>
      <c r="Y1045">
        <f>WarehouseData[[#This Row],[daily_demand]]*WarehouseData[[#This Row],[lead_time_days]]</f>
        <v>15.52</v>
      </c>
      <c r="Z1045" t="str">
        <f>IF(WarehouseData[[#This Row],[stock_level]]&lt;=WarehouseData[[#This Row],[Demand During Lead Time]],"At Risk","Safe")</f>
        <v>Safe</v>
      </c>
      <c r="AA1045">
        <f>WarehouseData[[#This Row],[stock_level]]/WarehouseData[[#This Row],[daily_demand]]</f>
        <v>205.15463917525773</v>
      </c>
      <c r="AB1045">
        <f>WarehouseData[[#This Row],[stock_level]]*WarehouseData[[#This Row],[unit_price]]</f>
        <v>79249.759999999995</v>
      </c>
      <c r="AC1045">
        <f>WarehouseData[[#This Row],[stock_level]]*WarehouseData[[#This Row],[holding_cost_per_unit_day]]*30</f>
        <v>4895.3999999999996</v>
      </c>
      <c r="AD1045" t="str">
        <f>IF(WarehouseData[[#This Row],[order_fulfillment_rate]]&gt;=0.9,"Strong",IF(WarehouseData[[#This Row],[order_fulfillment_rate]]&gt;=0.8,"Moderate","Needs Attention"))</f>
        <v>Strong</v>
      </c>
      <c r="AE1045" t="str">
        <f>IF(WarehouseData[[#This Row],[picking_time_seconds]]&gt;120,"Slow",IF(WarehouseData[[#This Row],[picking_time_seconds]]&gt;=60,"Average","Fast"))</f>
        <v>Fast</v>
      </c>
    </row>
    <row r="1046" spans="1:31" x14ac:dyDescent="0.25">
      <c r="A1046" t="s">
        <v>1184</v>
      </c>
      <c r="B1046" t="s">
        <v>40</v>
      </c>
      <c r="C1046">
        <v>267</v>
      </c>
      <c r="D1046">
        <v>77</v>
      </c>
      <c r="E1046">
        <v>14</v>
      </c>
      <c r="F1046">
        <v>8</v>
      </c>
      <c r="G1046">
        <v>35.64</v>
      </c>
      <c r="H1046">
        <v>7.16</v>
      </c>
      <c r="I1046">
        <v>0.78</v>
      </c>
      <c r="J1046" t="s">
        <v>84</v>
      </c>
      <c r="K1046" t="s">
        <v>52</v>
      </c>
      <c r="L1046">
        <v>97</v>
      </c>
      <c r="M1046">
        <v>1.27</v>
      </c>
      <c r="N1046">
        <v>151.87</v>
      </c>
      <c r="O1046">
        <v>0.15</v>
      </c>
      <c r="P1046">
        <v>1</v>
      </c>
      <c r="Q1046">
        <v>0.96</v>
      </c>
      <c r="R1046">
        <v>785</v>
      </c>
      <c r="S1046">
        <v>14.3</v>
      </c>
      <c r="T1046">
        <v>0.37</v>
      </c>
      <c r="U1046" s="1">
        <v>45563</v>
      </c>
      <c r="V1046">
        <v>122.76</v>
      </c>
      <c r="W1046">
        <v>0.82199999999999995</v>
      </c>
      <c r="X1046" t="str">
        <f>IF(WarehouseData[[#This Row],[stock_level]]&lt;=WarehouseData[[#This Row],[reorder_point]],"Low Stock","Sufficient Stock")</f>
        <v>Sufficient Stock</v>
      </c>
      <c r="Y1046">
        <f>WarehouseData[[#This Row],[daily_demand]]*WarehouseData[[#This Row],[lead_time_days]]</f>
        <v>285.12</v>
      </c>
      <c r="Z1046" t="str">
        <f>IF(WarehouseData[[#This Row],[stock_level]]&lt;=WarehouseData[[#This Row],[Demand During Lead Time]],"At Risk","Safe")</f>
        <v>At Risk</v>
      </c>
      <c r="AA1046">
        <f>WarehouseData[[#This Row],[stock_level]]/WarehouseData[[#This Row],[daily_demand]]</f>
        <v>7.4915824915824913</v>
      </c>
      <c r="AB1046">
        <f>WarehouseData[[#This Row],[stock_level]]*WarehouseData[[#This Row],[unit_price]]</f>
        <v>40549.29</v>
      </c>
      <c r="AC1046">
        <f>WarehouseData[[#This Row],[stock_level]]*WarehouseData[[#This Row],[holding_cost_per_unit_day]]*30</f>
        <v>1201.5</v>
      </c>
      <c r="AD1046" t="str">
        <f>IF(WarehouseData[[#This Row],[order_fulfillment_rate]]&gt;=0.9,"Strong",IF(WarehouseData[[#This Row],[order_fulfillment_rate]]&gt;=0.8,"Moderate","Needs Attention"))</f>
        <v>Strong</v>
      </c>
      <c r="AE1046" t="str">
        <f>IF(WarehouseData[[#This Row],[picking_time_seconds]]&gt;120,"Slow",IF(WarehouseData[[#This Row],[picking_time_seconds]]&gt;=60,"Average","Fast"))</f>
        <v>Average</v>
      </c>
    </row>
    <row r="1047" spans="1:31" x14ac:dyDescent="0.25">
      <c r="A1047" t="s">
        <v>1185</v>
      </c>
      <c r="B1047" t="s">
        <v>40</v>
      </c>
      <c r="C1047">
        <v>297</v>
      </c>
      <c r="D1047">
        <v>35</v>
      </c>
      <c r="E1047">
        <v>12</v>
      </c>
      <c r="F1047">
        <v>8</v>
      </c>
      <c r="G1047">
        <v>32.15</v>
      </c>
      <c r="H1047">
        <v>7.33</v>
      </c>
      <c r="I1047">
        <v>0.46</v>
      </c>
      <c r="J1047" t="s">
        <v>104</v>
      </c>
      <c r="K1047" t="s">
        <v>52</v>
      </c>
      <c r="L1047">
        <v>82</v>
      </c>
      <c r="M1047">
        <v>4.91</v>
      </c>
      <c r="N1047">
        <v>58.72</v>
      </c>
      <c r="O1047">
        <v>1.43</v>
      </c>
      <c r="P1047">
        <v>1</v>
      </c>
      <c r="Q1047">
        <v>0.75</v>
      </c>
      <c r="R1047">
        <v>688</v>
      </c>
      <c r="S1047">
        <v>9.7799999999999994</v>
      </c>
      <c r="T1047">
        <v>0.65</v>
      </c>
      <c r="U1047" s="1">
        <v>45413</v>
      </c>
      <c r="V1047">
        <v>222.91</v>
      </c>
      <c r="W1047">
        <v>0.64700000000000002</v>
      </c>
      <c r="X1047" t="str">
        <f>IF(WarehouseData[[#This Row],[stock_level]]&lt;=WarehouseData[[#This Row],[reorder_point]],"Low Stock","Sufficient Stock")</f>
        <v>Sufficient Stock</v>
      </c>
      <c r="Y1047">
        <f>WarehouseData[[#This Row],[daily_demand]]*WarehouseData[[#This Row],[lead_time_days]]</f>
        <v>257.2</v>
      </c>
      <c r="Z1047" t="str">
        <f>IF(WarehouseData[[#This Row],[stock_level]]&lt;=WarehouseData[[#This Row],[Demand During Lead Time]],"At Risk","Safe")</f>
        <v>Safe</v>
      </c>
      <c r="AA1047">
        <f>WarehouseData[[#This Row],[stock_level]]/WarehouseData[[#This Row],[daily_demand]]</f>
        <v>9.2379471228615859</v>
      </c>
      <c r="AB1047">
        <f>WarehouseData[[#This Row],[stock_level]]*WarehouseData[[#This Row],[unit_price]]</f>
        <v>17439.84</v>
      </c>
      <c r="AC1047">
        <f>WarehouseData[[#This Row],[stock_level]]*WarehouseData[[#This Row],[holding_cost_per_unit_day]]*30</f>
        <v>12741.3</v>
      </c>
      <c r="AD1047" t="str">
        <f>IF(WarehouseData[[#This Row],[order_fulfillment_rate]]&gt;=0.9,"Strong",IF(WarehouseData[[#This Row],[order_fulfillment_rate]]&gt;=0.8,"Moderate","Needs Attention"))</f>
        <v>Needs Attention</v>
      </c>
      <c r="AE1047" t="str">
        <f>IF(WarehouseData[[#This Row],[picking_time_seconds]]&gt;120,"Slow",IF(WarehouseData[[#This Row],[picking_time_seconds]]&gt;=60,"Average","Fast"))</f>
        <v>Average</v>
      </c>
    </row>
    <row r="1048" spans="1:31" x14ac:dyDescent="0.25">
      <c r="A1048" t="s">
        <v>1186</v>
      </c>
      <c r="B1048" t="s">
        <v>32</v>
      </c>
      <c r="C1048">
        <v>375</v>
      </c>
      <c r="D1048">
        <v>84</v>
      </c>
      <c r="E1048">
        <v>8</v>
      </c>
      <c r="F1048">
        <v>5</v>
      </c>
      <c r="G1048">
        <v>8.27</v>
      </c>
      <c r="H1048">
        <v>4.68</v>
      </c>
      <c r="I1048">
        <v>0.41</v>
      </c>
      <c r="J1048" t="s">
        <v>95</v>
      </c>
      <c r="K1048" t="s">
        <v>46</v>
      </c>
      <c r="L1048">
        <v>172</v>
      </c>
      <c r="M1048">
        <v>1.32</v>
      </c>
      <c r="N1048">
        <v>191.14</v>
      </c>
      <c r="O1048">
        <v>0.45</v>
      </c>
      <c r="P1048">
        <v>6</v>
      </c>
      <c r="Q1048">
        <v>0.76</v>
      </c>
      <c r="R1048">
        <v>727</v>
      </c>
      <c r="S1048">
        <v>1.81</v>
      </c>
      <c r="T1048">
        <v>0.96</v>
      </c>
      <c r="U1048" s="1">
        <v>45506</v>
      </c>
      <c r="V1048">
        <v>55.55</v>
      </c>
      <c r="W1048">
        <v>0.60299999999999998</v>
      </c>
      <c r="X1048" t="str">
        <f>IF(WarehouseData[[#This Row],[stock_level]]&lt;=WarehouseData[[#This Row],[reorder_point]],"Low Stock","Sufficient Stock")</f>
        <v>Sufficient Stock</v>
      </c>
      <c r="Y1048">
        <f>WarehouseData[[#This Row],[daily_demand]]*WarehouseData[[#This Row],[lead_time_days]]</f>
        <v>41.349999999999994</v>
      </c>
      <c r="Z1048" t="str">
        <f>IF(WarehouseData[[#This Row],[stock_level]]&lt;=WarehouseData[[#This Row],[Demand During Lead Time]],"At Risk","Safe")</f>
        <v>Safe</v>
      </c>
      <c r="AA1048">
        <f>WarehouseData[[#This Row],[stock_level]]/WarehouseData[[#This Row],[daily_demand]]</f>
        <v>45.34461910519952</v>
      </c>
      <c r="AB1048">
        <f>WarehouseData[[#This Row],[stock_level]]*WarehouseData[[#This Row],[unit_price]]</f>
        <v>71677.5</v>
      </c>
      <c r="AC1048">
        <f>WarehouseData[[#This Row],[stock_level]]*WarehouseData[[#This Row],[holding_cost_per_unit_day]]*30</f>
        <v>5062.5</v>
      </c>
      <c r="AD1048" t="str">
        <f>IF(WarehouseData[[#This Row],[order_fulfillment_rate]]&gt;=0.9,"Strong",IF(WarehouseData[[#This Row],[order_fulfillment_rate]]&gt;=0.8,"Moderate","Needs Attention"))</f>
        <v>Needs Attention</v>
      </c>
      <c r="AE1048" t="str">
        <f>IF(WarehouseData[[#This Row],[picking_time_seconds]]&gt;120,"Slow",IF(WarehouseData[[#This Row],[picking_time_seconds]]&gt;=60,"Average","Fast"))</f>
        <v>Slow</v>
      </c>
    </row>
    <row r="1049" spans="1:31" x14ac:dyDescent="0.25">
      <c r="A1049" t="s">
        <v>1187</v>
      </c>
      <c r="B1049" t="s">
        <v>40</v>
      </c>
      <c r="C1049">
        <v>117</v>
      </c>
      <c r="D1049">
        <v>11</v>
      </c>
      <c r="E1049">
        <v>14</v>
      </c>
      <c r="F1049">
        <v>7</v>
      </c>
      <c r="G1049">
        <v>38.54</v>
      </c>
      <c r="H1049">
        <v>1.85</v>
      </c>
      <c r="I1049">
        <v>0.56000000000000005</v>
      </c>
      <c r="J1049" t="s">
        <v>81</v>
      </c>
      <c r="K1049" t="s">
        <v>34</v>
      </c>
      <c r="L1049">
        <v>111</v>
      </c>
      <c r="M1049">
        <v>4.5999999999999996</v>
      </c>
      <c r="N1049">
        <v>50.6</v>
      </c>
      <c r="O1049">
        <v>1.54</v>
      </c>
      <c r="P1049">
        <v>4</v>
      </c>
      <c r="Q1049">
        <v>0.7</v>
      </c>
      <c r="R1049">
        <v>523</v>
      </c>
      <c r="S1049">
        <v>1.83</v>
      </c>
      <c r="T1049">
        <v>0.35</v>
      </c>
      <c r="U1049" s="1">
        <v>45543</v>
      </c>
      <c r="V1049">
        <v>91.76</v>
      </c>
      <c r="W1049">
        <v>0.4</v>
      </c>
      <c r="X1049" t="str">
        <f>IF(WarehouseData[[#This Row],[stock_level]]&lt;=WarehouseData[[#This Row],[reorder_point]],"Low Stock","Sufficient Stock")</f>
        <v>Sufficient Stock</v>
      </c>
      <c r="Y1049">
        <f>WarehouseData[[#This Row],[daily_demand]]*WarehouseData[[#This Row],[lead_time_days]]</f>
        <v>269.77999999999997</v>
      </c>
      <c r="Z1049" t="str">
        <f>IF(WarehouseData[[#This Row],[stock_level]]&lt;=WarehouseData[[#This Row],[Demand During Lead Time]],"At Risk","Safe")</f>
        <v>At Risk</v>
      </c>
      <c r="AA1049">
        <f>WarehouseData[[#This Row],[stock_level]]/WarehouseData[[#This Row],[daily_demand]]</f>
        <v>3.0358069538142192</v>
      </c>
      <c r="AB1049">
        <f>WarehouseData[[#This Row],[stock_level]]*WarehouseData[[#This Row],[unit_price]]</f>
        <v>5920.2</v>
      </c>
      <c r="AC1049">
        <f>WarehouseData[[#This Row],[stock_level]]*WarehouseData[[#This Row],[holding_cost_per_unit_day]]*30</f>
        <v>5405.4000000000005</v>
      </c>
      <c r="AD1049" t="str">
        <f>IF(WarehouseData[[#This Row],[order_fulfillment_rate]]&gt;=0.9,"Strong",IF(WarehouseData[[#This Row],[order_fulfillment_rate]]&gt;=0.8,"Moderate","Needs Attention"))</f>
        <v>Needs Attention</v>
      </c>
      <c r="AE1049" t="str">
        <f>IF(WarehouseData[[#This Row],[picking_time_seconds]]&gt;120,"Slow",IF(WarehouseData[[#This Row],[picking_time_seconds]]&gt;=60,"Average","Fast"))</f>
        <v>Average</v>
      </c>
    </row>
    <row r="1050" spans="1:31" x14ac:dyDescent="0.25">
      <c r="A1050" t="s">
        <v>1188</v>
      </c>
      <c r="B1050" t="s">
        <v>40</v>
      </c>
      <c r="C1050">
        <v>433</v>
      </c>
      <c r="D1050">
        <v>23</v>
      </c>
      <c r="E1050">
        <v>10</v>
      </c>
      <c r="F1050">
        <v>9</v>
      </c>
      <c r="G1050">
        <v>4.3499999999999996</v>
      </c>
      <c r="H1050">
        <v>6.59</v>
      </c>
      <c r="I1050">
        <v>0.74</v>
      </c>
      <c r="J1050" t="s">
        <v>273</v>
      </c>
      <c r="K1050" t="s">
        <v>46</v>
      </c>
      <c r="L1050">
        <v>108</v>
      </c>
      <c r="M1050">
        <v>1.44</v>
      </c>
      <c r="N1050">
        <v>148.97</v>
      </c>
      <c r="O1050">
        <v>1.61</v>
      </c>
      <c r="P1050">
        <v>1</v>
      </c>
      <c r="Q1050">
        <v>0.74</v>
      </c>
      <c r="R1050">
        <v>171</v>
      </c>
      <c r="S1050">
        <v>14.15</v>
      </c>
      <c r="T1050">
        <v>0.55000000000000004</v>
      </c>
      <c r="U1050" s="1">
        <v>45322</v>
      </c>
      <c r="V1050">
        <v>270.58999999999997</v>
      </c>
      <c r="W1050">
        <v>0.66600000000000004</v>
      </c>
      <c r="X1050" t="str">
        <f>IF(WarehouseData[[#This Row],[stock_level]]&lt;=WarehouseData[[#This Row],[reorder_point]],"Low Stock","Sufficient Stock")</f>
        <v>Sufficient Stock</v>
      </c>
      <c r="Y1050">
        <f>WarehouseData[[#This Row],[daily_demand]]*WarehouseData[[#This Row],[lead_time_days]]</f>
        <v>39.15</v>
      </c>
      <c r="Z1050" t="str">
        <f>IF(WarehouseData[[#This Row],[stock_level]]&lt;=WarehouseData[[#This Row],[Demand During Lead Time]],"At Risk","Safe")</f>
        <v>Safe</v>
      </c>
      <c r="AA1050">
        <f>WarehouseData[[#This Row],[stock_level]]/WarehouseData[[#This Row],[daily_demand]]</f>
        <v>99.540229885057485</v>
      </c>
      <c r="AB1050">
        <f>WarehouseData[[#This Row],[stock_level]]*WarehouseData[[#This Row],[unit_price]]</f>
        <v>64504.01</v>
      </c>
      <c r="AC1050">
        <f>WarehouseData[[#This Row],[stock_level]]*WarehouseData[[#This Row],[holding_cost_per_unit_day]]*30</f>
        <v>20913.900000000001</v>
      </c>
      <c r="AD1050" t="str">
        <f>IF(WarehouseData[[#This Row],[order_fulfillment_rate]]&gt;=0.9,"Strong",IF(WarehouseData[[#This Row],[order_fulfillment_rate]]&gt;=0.8,"Moderate","Needs Attention"))</f>
        <v>Needs Attention</v>
      </c>
      <c r="AE1050" t="str">
        <f>IF(WarehouseData[[#This Row],[picking_time_seconds]]&gt;120,"Slow",IF(WarehouseData[[#This Row],[picking_time_seconds]]&gt;=60,"Average","Fast"))</f>
        <v>Average</v>
      </c>
    </row>
    <row r="1051" spans="1:31" x14ac:dyDescent="0.25">
      <c r="A1051" t="s">
        <v>1189</v>
      </c>
      <c r="B1051" t="s">
        <v>73</v>
      </c>
      <c r="C1051">
        <v>44</v>
      </c>
      <c r="D1051">
        <v>39</v>
      </c>
      <c r="E1051">
        <v>11</v>
      </c>
      <c r="F1051">
        <v>9</v>
      </c>
      <c r="G1051">
        <v>41.49</v>
      </c>
      <c r="H1051">
        <v>7.84</v>
      </c>
      <c r="I1051">
        <v>0.61</v>
      </c>
      <c r="J1051" t="s">
        <v>150</v>
      </c>
      <c r="K1051" t="s">
        <v>34</v>
      </c>
      <c r="L1051">
        <v>170</v>
      </c>
      <c r="M1051">
        <v>2.1800000000000002</v>
      </c>
      <c r="N1051">
        <v>31.9</v>
      </c>
      <c r="O1051">
        <v>0.55000000000000004</v>
      </c>
      <c r="P1051">
        <v>0</v>
      </c>
      <c r="Q1051">
        <v>0.78</v>
      </c>
      <c r="R1051">
        <v>883</v>
      </c>
      <c r="S1051">
        <v>10.94</v>
      </c>
      <c r="T1051">
        <v>0.36</v>
      </c>
      <c r="U1051" s="1">
        <v>45364</v>
      </c>
      <c r="V1051">
        <v>59.24</v>
      </c>
      <c r="W1051">
        <v>0.71899999999999997</v>
      </c>
      <c r="X1051" t="str">
        <f>IF(WarehouseData[[#This Row],[stock_level]]&lt;=WarehouseData[[#This Row],[reorder_point]],"Low Stock","Sufficient Stock")</f>
        <v>Sufficient Stock</v>
      </c>
      <c r="Y1051">
        <f>WarehouseData[[#This Row],[daily_demand]]*WarehouseData[[#This Row],[lead_time_days]]</f>
        <v>373.41</v>
      </c>
      <c r="Z1051" t="str">
        <f>IF(WarehouseData[[#This Row],[stock_level]]&lt;=WarehouseData[[#This Row],[Demand During Lead Time]],"At Risk","Safe")</f>
        <v>At Risk</v>
      </c>
      <c r="AA1051">
        <f>WarehouseData[[#This Row],[stock_level]]/WarehouseData[[#This Row],[daily_demand]]</f>
        <v>1.0604965051819715</v>
      </c>
      <c r="AB1051">
        <f>WarehouseData[[#This Row],[stock_level]]*WarehouseData[[#This Row],[unit_price]]</f>
        <v>1403.6</v>
      </c>
      <c r="AC1051">
        <f>WarehouseData[[#This Row],[stock_level]]*WarehouseData[[#This Row],[holding_cost_per_unit_day]]*30</f>
        <v>726.00000000000011</v>
      </c>
      <c r="AD1051" t="str">
        <f>IF(WarehouseData[[#This Row],[order_fulfillment_rate]]&gt;=0.9,"Strong",IF(WarehouseData[[#This Row],[order_fulfillment_rate]]&gt;=0.8,"Moderate","Needs Attention"))</f>
        <v>Needs Attention</v>
      </c>
      <c r="AE1051" t="str">
        <f>IF(WarehouseData[[#This Row],[picking_time_seconds]]&gt;120,"Slow",IF(WarehouseData[[#This Row],[picking_time_seconds]]&gt;=60,"Average","Fast"))</f>
        <v>Slow</v>
      </c>
    </row>
    <row r="1052" spans="1:31" x14ac:dyDescent="0.25">
      <c r="A1052" t="s">
        <v>1190</v>
      </c>
      <c r="B1052" t="s">
        <v>32</v>
      </c>
      <c r="C1052">
        <v>303</v>
      </c>
      <c r="D1052">
        <v>58</v>
      </c>
      <c r="E1052">
        <v>12</v>
      </c>
      <c r="F1052">
        <v>7</v>
      </c>
      <c r="G1052">
        <v>13.83</v>
      </c>
      <c r="H1052">
        <v>6.56</v>
      </c>
      <c r="I1052">
        <v>0.82</v>
      </c>
      <c r="J1052" t="s">
        <v>51</v>
      </c>
      <c r="K1052" t="s">
        <v>34</v>
      </c>
      <c r="L1052">
        <v>67</v>
      </c>
      <c r="M1052">
        <v>2.48</v>
      </c>
      <c r="N1052">
        <v>133.29</v>
      </c>
      <c r="O1052">
        <v>0.26</v>
      </c>
      <c r="P1052">
        <v>8</v>
      </c>
      <c r="Q1052">
        <v>0.92</v>
      </c>
      <c r="R1052">
        <v>781</v>
      </c>
      <c r="S1052">
        <v>2.4500000000000002</v>
      </c>
      <c r="T1052">
        <v>0.34</v>
      </c>
      <c r="U1052" s="1">
        <v>45656</v>
      </c>
      <c r="V1052">
        <v>193.4</v>
      </c>
      <c r="W1052">
        <v>0.499</v>
      </c>
      <c r="X1052" t="str">
        <f>IF(WarehouseData[[#This Row],[stock_level]]&lt;=WarehouseData[[#This Row],[reorder_point]],"Low Stock","Sufficient Stock")</f>
        <v>Sufficient Stock</v>
      </c>
      <c r="Y1052">
        <f>WarehouseData[[#This Row],[daily_demand]]*WarehouseData[[#This Row],[lead_time_days]]</f>
        <v>96.81</v>
      </c>
      <c r="Z1052" t="str">
        <f>IF(WarehouseData[[#This Row],[stock_level]]&lt;=WarehouseData[[#This Row],[Demand During Lead Time]],"At Risk","Safe")</f>
        <v>Safe</v>
      </c>
      <c r="AA1052">
        <f>WarehouseData[[#This Row],[stock_level]]/WarehouseData[[#This Row],[daily_demand]]</f>
        <v>21.90889370932755</v>
      </c>
      <c r="AB1052">
        <f>WarehouseData[[#This Row],[stock_level]]*WarehouseData[[#This Row],[unit_price]]</f>
        <v>40386.869999999995</v>
      </c>
      <c r="AC1052">
        <f>WarehouseData[[#This Row],[stock_level]]*WarehouseData[[#This Row],[holding_cost_per_unit_day]]*30</f>
        <v>2363.4</v>
      </c>
      <c r="AD1052" t="str">
        <f>IF(WarehouseData[[#This Row],[order_fulfillment_rate]]&gt;=0.9,"Strong",IF(WarehouseData[[#This Row],[order_fulfillment_rate]]&gt;=0.8,"Moderate","Needs Attention"))</f>
        <v>Strong</v>
      </c>
      <c r="AE1052" t="str">
        <f>IF(WarehouseData[[#This Row],[picking_time_seconds]]&gt;120,"Slow",IF(WarehouseData[[#This Row],[picking_time_seconds]]&gt;=60,"Average","Fast"))</f>
        <v>Average</v>
      </c>
    </row>
    <row r="1053" spans="1:31" x14ac:dyDescent="0.25">
      <c r="A1053" t="s">
        <v>1191</v>
      </c>
      <c r="B1053" t="s">
        <v>36</v>
      </c>
      <c r="C1053">
        <v>468</v>
      </c>
      <c r="D1053">
        <v>21</v>
      </c>
      <c r="E1053">
        <v>6</v>
      </c>
      <c r="F1053">
        <v>4</v>
      </c>
      <c r="G1053">
        <v>34.75</v>
      </c>
      <c r="H1053">
        <v>6.09</v>
      </c>
      <c r="I1053">
        <v>0.67</v>
      </c>
      <c r="J1053" t="s">
        <v>215</v>
      </c>
      <c r="K1053" t="s">
        <v>52</v>
      </c>
      <c r="L1053">
        <v>137</v>
      </c>
      <c r="M1053">
        <v>4.6500000000000004</v>
      </c>
      <c r="N1053">
        <v>154.31</v>
      </c>
      <c r="O1053">
        <v>1.05</v>
      </c>
      <c r="P1053">
        <v>7</v>
      </c>
      <c r="Q1053">
        <v>0.84</v>
      </c>
      <c r="R1053">
        <v>990</v>
      </c>
      <c r="S1053">
        <v>9.73</v>
      </c>
      <c r="T1053">
        <v>0.89</v>
      </c>
      <c r="U1053" s="1">
        <v>45435</v>
      </c>
      <c r="V1053">
        <v>101.39</v>
      </c>
      <c r="W1053">
        <v>0.63100000000000001</v>
      </c>
      <c r="X1053" t="str">
        <f>IF(WarehouseData[[#This Row],[stock_level]]&lt;=WarehouseData[[#This Row],[reorder_point]],"Low Stock","Sufficient Stock")</f>
        <v>Sufficient Stock</v>
      </c>
      <c r="Y1053">
        <f>WarehouseData[[#This Row],[daily_demand]]*WarehouseData[[#This Row],[lead_time_days]]</f>
        <v>139</v>
      </c>
      <c r="Z1053" t="str">
        <f>IF(WarehouseData[[#This Row],[stock_level]]&lt;=WarehouseData[[#This Row],[Demand During Lead Time]],"At Risk","Safe")</f>
        <v>Safe</v>
      </c>
      <c r="AA1053">
        <f>WarehouseData[[#This Row],[stock_level]]/WarehouseData[[#This Row],[daily_demand]]</f>
        <v>13.467625899280575</v>
      </c>
      <c r="AB1053">
        <f>WarehouseData[[#This Row],[stock_level]]*WarehouseData[[#This Row],[unit_price]]</f>
        <v>72217.08</v>
      </c>
      <c r="AC1053">
        <f>WarehouseData[[#This Row],[stock_level]]*WarehouseData[[#This Row],[holding_cost_per_unit_day]]*30</f>
        <v>14742.000000000002</v>
      </c>
      <c r="AD1053" t="str">
        <f>IF(WarehouseData[[#This Row],[order_fulfillment_rate]]&gt;=0.9,"Strong",IF(WarehouseData[[#This Row],[order_fulfillment_rate]]&gt;=0.8,"Moderate","Needs Attention"))</f>
        <v>Moderate</v>
      </c>
      <c r="AE1053" t="str">
        <f>IF(WarehouseData[[#This Row],[picking_time_seconds]]&gt;120,"Slow",IF(WarehouseData[[#This Row],[picking_time_seconds]]&gt;=60,"Average","Fast"))</f>
        <v>Slow</v>
      </c>
    </row>
    <row r="1054" spans="1:31" x14ac:dyDescent="0.25">
      <c r="A1054" t="s">
        <v>1192</v>
      </c>
      <c r="B1054" t="s">
        <v>73</v>
      </c>
      <c r="C1054">
        <v>388</v>
      </c>
      <c r="D1054">
        <v>99</v>
      </c>
      <c r="E1054">
        <v>3</v>
      </c>
      <c r="F1054">
        <v>2</v>
      </c>
      <c r="G1054">
        <v>46.26</v>
      </c>
      <c r="H1054">
        <v>2.68</v>
      </c>
      <c r="I1054">
        <v>0.81</v>
      </c>
      <c r="J1054" t="s">
        <v>379</v>
      </c>
      <c r="K1054" t="s">
        <v>52</v>
      </c>
      <c r="L1054">
        <v>126</v>
      </c>
      <c r="M1054">
        <v>4.5</v>
      </c>
      <c r="N1054">
        <v>173.33</v>
      </c>
      <c r="O1054">
        <v>1.79</v>
      </c>
      <c r="P1054">
        <v>1</v>
      </c>
      <c r="Q1054">
        <v>0.93</v>
      </c>
      <c r="R1054">
        <v>840</v>
      </c>
      <c r="S1054">
        <v>6.87</v>
      </c>
      <c r="T1054">
        <v>0.41</v>
      </c>
      <c r="U1054" s="1">
        <v>45339</v>
      </c>
      <c r="V1054">
        <v>33.75</v>
      </c>
      <c r="W1054">
        <v>0.56100000000000005</v>
      </c>
      <c r="X1054" t="str">
        <f>IF(WarehouseData[[#This Row],[stock_level]]&lt;=WarehouseData[[#This Row],[reorder_point]],"Low Stock","Sufficient Stock")</f>
        <v>Sufficient Stock</v>
      </c>
      <c r="Y1054">
        <f>WarehouseData[[#This Row],[daily_demand]]*WarehouseData[[#This Row],[lead_time_days]]</f>
        <v>92.52</v>
      </c>
      <c r="Z1054" t="str">
        <f>IF(WarehouseData[[#This Row],[stock_level]]&lt;=WarehouseData[[#This Row],[Demand During Lead Time]],"At Risk","Safe")</f>
        <v>Safe</v>
      </c>
      <c r="AA1054">
        <f>WarehouseData[[#This Row],[stock_level]]/WarehouseData[[#This Row],[daily_demand]]</f>
        <v>8.3873757025508002</v>
      </c>
      <c r="AB1054">
        <f>WarehouseData[[#This Row],[stock_level]]*WarehouseData[[#This Row],[unit_price]]</f>
        <v>67252.040000000008</v>
      </c>
      <c r="AC1054">
        <f>WarehouseData[[#This Row],[stock_level]]*WarehouseData[[#This Row],[holding_cost_per_unit_day]]*30</f>
        <v>20835.599999999999</v>
      </c>
      <c r="AD1054" t="str">
        <f>IF(WarehouseData[[#This Row],[order_fulfillment_rate]]&gt;=0.9,"Strong",IF(WarehouseData[[#This Row],[order_fulfillment_rate]]&gt;=0.8,"Moderate","Needs Attention"))</f>
        <v>Strong</v>
      </c>
      <c r="AE1054" t="str">
        <f>IF(WarehouseData[[#This Row],[picking_time_seconds]]&gt;120,"Slow",IF(WarehouseData[[#This Row],[picking_time_seconds]]&gt;=60,"Average","Fast"))</f>
        <v>Slow</v>
      </c>
    </row>
    <row r="1055" spans="1:31" x14ac:dyDescent="0.25">
      <c r="A1055" t="s">
        <v>1193</v>
      </c>
      <c r="B1055" t="s">
        <v>73</v>
      </c>
      <c r="C1055">
        <v>320</v>
      </c>
      <c r="D1055">
        <v>53</v>
      </c>
      <c r="E1055">
        <v>10</v>
      </c>
      <c r="F1055">
        <v>6</v>
      </c>
      <c r="G1055">
        <v>17.649999999999999</v>
      </c>
      <c r="H1055">
        <v>6.63</v>
      </c>
      <c r="I1055">
        <v>0.73</v>
      </c>
      <c r="J1055" t="s">
        <v>120</v>
      </c>
      <c r="K1055" t="s">
        <v>38</v>
      </c>
      <c r="L1055">
        <v>44</v>
      </c>
      <c r="M1055">
        <v>4.2</v>
      </c>
      <c r="N1055">
        <v>149.52000000000001</v>
      </c>
      <c r="O1055">
        <v>1.71</v>
      </c>
      <c r="P1055">
        <v>1</v>
      </c>
      <c r="Q1055">
        <v>0.85</v>
      </c>
      <c r="R1055">
        <v>709</v>
      </c>
      <c r="S1055">
        <v>12.04</v>
      </c>
      <c r="T1055">
        <v>0.4</v>
      </c>
      <c r="U1055" s="1">
        <v>45314</v>
      </c>
      <c r="V1055">
        <v>74.87</v>
      </c>
      <c r="W1055">
        <v>0.62</v>
      </c>
      <c r="X1055" t="str">
        <f>IF(WarehouseData[[#This Row],[stock_level]]&lt;=WarehouseData[[#This Row],[reorder_point]],"Low Stock","Sufficient Stock")</f>
        <v>Sufficient Stock</v>
      </c>
      <c r="Y1055">
        <f>WarehouseData[[#This Row],[daily_demand]]*WarehouseData[[#This Row],[lead_time_days]]</f>
        <v>105.89999999999999</v>
      </c>
      <c r="Z1055" t="str">
        <f>IF(WarehouseData[[#This Row],[stock_level]]&lt;=WarehouseData[[#This Row],[Demand During Lead Time]],"At Risk","Safe")</f>
        <v>Safe</v>
      </c>
      <c r="AA1055">
        <f>WarehouseData[[#This Row],[stock_level]]/WarehouseData[[#This Row],[daily_demand]]</f>
        <v>18.130311614730878</v>
      </c>
      <c r="AB1055">
        <f>WarehouseData[[#This Row],[stock_level]]*WarehouseData[[#This Row],[unit_price]]</f>
        <v>47846.400000000001</v>
      </c>
      <c r="AC1055">
        <f>WarehouseData[[#This Row],[stock_level]]*WarehouseData[[#This Row],[holding_cost_per_unit_day]]*30</f>
        <v>16416</v>
      </c>
      <c r="AD1055" t="str">
        <f>IF(WarehouseData[[#This Row],[order_fulfillment_rate]]&gt;=0.9,"Strong",IF(WarehouseData[[#This Row],[order_fulfillment_rate]]&gt;=0.8,"Moderate","Needs Attention"))</f>
        <v>Moderate</v>
      </c>
      <c r="AE1055" t="str">
        <f>IF(WarehouseData[[#This Row],[picking_time_seconds]]&gt;120,"Slow",IF(WarehouseData[[#This Row],[picking_time_seconds]]&gt;=60,"Average","Fast"))</f>
        <v>Fast</v>
      </c>
    </row>
    <row r="1056" spans="1:31" x14ac:dyDescent="0.25">
      <c r="A1056" t="s">
        <v>1194</v>
      </c>
      <c r="B1056" t="s">
        <v>36</v>
      </c>
      <c r="C1056">
        <v>87</v>
      </c>
      <c r="D1056">
        <v>42</v>
      </c>
      <c r="E1056">
        <v>4</v>
      </c>
      <c r="F1056">
        <v>7</v>
      </c>
      <c r="G1056">
        <v>25.64</v>
      </c>
      <c r="H1056">
        <v>3.68</v>
      </c>
      <c r="I1056">
        <v>0.27</v>
      </c>
      <c r="J1056" t="s">
        <v>98</v>
      </c>
      <c r="K1056" t="s">
        <v>34</v>
      </c>
      <c r="L1056">
        <v>93</v>
      </c>
      <c r="M1056">
        <v>2.2000000000000002</v>
      </c>
      <c r="N1056">
        <v>185.46</v>
      </c>
      <c r="O1056">
        <v>0.32</v>
      </c>
      <c r="P1056">
        <v>2</v>
      </c>
      <c r="Q1056">
        <v>0.87</v>
      </c>
      <c r="R1056">
        <v>341</v>
      </c>
      <c r="S1056">
        <v>4.83</v>
      </c>
      <c r="T1056">
        <v>0.93</v>
      </c>
      <c r="U1056" s="1">
        <v>45410</v>
      </c>
      <c r="V1056">
        <v>262.13</v>
      </c>
      <c r="W1056">
        <v>0.752</v>
      </c>
      <c r="X1056" t="str">
        <f>IF(WarehouseData[[#This Row],[stock_level]]&lt;=WarehouseData[[#This Row],[reorder_point]],"Low Stock","Sufficient Stock")</f>
        <v>Sufficient Stock</v>
      </c>
      <c r="Y1056">
        <f>WarehouseData[[#This Row],[daily_demand]]*WarehouseData[[#This Row],[lead_time_days]]</f>
        <v>179.48000000000002</v>
      </c>
      <c r="Z1056" t="str">
        <f>IF(WarehouseData[[#This Row],[stock_level]]&lt;=WarehouseData[[#This Row],[Demand During Lead Time]],"At Risk","Safe")</f>
        <v>At Risk</v>
      </c>
      <c r="AA1056">
        <f>WarehouseData[[#This Row],[stock_level]]/WarehouseData[[#This Row],[daily_demand]]</f>
        <v>3.3931357254290169</v>
      </c>
      <c r="AB1056">
        <f>WarehouseData[[#This Row],[stock_level]]*WarehouseData[[#This Row],[unit_price]]</f>
        <v>16135.02</v>
      </c>
      <c r="AC1056">
        <f>WarehouseData[[#This Row],[stock_level]]*WarehouseData[[#This Row],[holding_cost_per_unit_day]]*30</f>
        <v>835.2</v>
      </c>
      <c r="AD1056" t="str">
        <f>IF(WarehouseData[[#This Row],[order_fulfillment_rate]]&gt;=0.9,"Strong",IF(WarehouseData[[#This Row],[order_fulfillment_rate]]&gt;=0.8,"Moderate","Needs Attention"))</f>
        <v>Moderate</v>
      </c>
      <c r="AE1056" t="str">
        <f>IF(WarehouseData[[#This Row],[picking_time_seconds]]&gt;120,"Slow",IF(WarehouseData[[#This Row],[picking_time_seconds]]&gt;=60,"Average","Fast"))</f>
        <v>Average</v>
      </c>
    </row>
    <row r="1057" spans="1:31" x14ac:dyDescent="0.25">
      <c r="A1057" t="s">
        <v>1195</v>
      </c>
      <c r="B1057" t="s">
        <v>40</v>
      </c>
      <c r="C1057">
        <v>26</v>
      </c>
      <c r="D1057">
        <v>22</v>
      </c>
      <c r="E1057">
        <v>13</v>
      </c>
      <c r="F1057">
        <v>3</v>
      </c>
      <c r="G1057">
        <v>23.69</v>
      </c>
      <c r="H1057">
        <v>9.24</v>
      </c>
      <c r="I1057">
        <v>0.15</v>
      </c>
      <c r="J1057" t="s">
        <v>377</v>
      </c>
      <c r="K1057" t="s">
        <v>46</v>
      </c>
      <c r="L1057">
        <v>75</v>
      </c>
      <c r="M1057">
        <v>0.52</v>
      </c>
      <c r="N1057">
        <v>108.98</v>
      </c>
      <c r="O1057">
        <v>1.93</v>
      </c>
      <c r="P1057">
        <v>3</v>
      </c>
      <c r="Q1057">
        <v>0.73</v>
      </c>
      <c r="R1057">
        <v>987</v>
      </c>
      <c r="S1057">
        <v>6.36</v>
      </c>
      <c r="T1057">
        <v>0.51</v>
      </c>
      <c r="U1057" s="1">
        <v>45558</v>
      </c>
      <c r="V1057">
        <v>274.06</v>
      </c>
      <c r="W1057">
        <v>0.48</v>
      </c>
      <c r="X1057" t="str">
        <f>IF(WarehouseData[[#This Row],[stock_level]]&lt;=WarehouseData[[#This Row],[reorder_point]],"Low Stock","Sufficient Stock")</f>
        <v>Sufficient Stock</v>
      </c>
      <c r="Y1057">
        <f>WarehouseData[[#This Row],[daily_demand]]*WarehouseData[[#This Row],[lead_time_days]]</f>
        <v>71.070000000000007</v>
      </c>
      <c r="Z1057" t="str">
        <f>IF(WarehouseData[[#This Row],[stock_level]]&lt;=WarehouseData[[#This Row],[Demand During Lead Time]],"At Risk","Safe")</f>
        <v>At Risk</v>
      </c>
      <c r="AA1057">
        <f>WarehouseData[[#This Row],[stock_level]]/WarehouseData[[#This Row],[daily_demand]]</f>
        <v>1.0975094976783453</v>
      </c>
      <c r="AB1057">
        <f>WarehouseData[[#This Row],[stock_level]]*WarehouseData[[#This Row],[unit_price]]</f>
        <v>2833.48</v>
      </c>
      <c r="AC1057">
        <f>WarehouseData[[#This Row],[stock_level]]*WarehouseData[[#This Row],[holding_cost_per_unit_day]]*30</f>
        <v>1505.4</v>
      </c>
      <c r="AD1057" t="str">
        <f>IF(WarehouseData[[#This Row],[order_fulfillment_rate]]&gt;=0.9,"Strong",IF(WarehouseData[[#This Row],[order_fulfillment_rate]]&gt;=0.8,"Moderate","Needs Attention"))</f>
        <v>Needs Attention</v>
      </c>
      <c r="AE1057" t="str">
        <f>IF(WarehouseData[[#This Row],[picking_time_seconds]]&gt;120,"Slow",IF(WarehouseData[[#This Row],[picking_time_seconds]]&gt;=60,"Average","Fast"))</f>
        <v>Average</v>
      </c>
    </row>
    <row r="1058" spans="1:31" x14ac:dyDescent="0.25">
      <c r="A1058" t="s">
        <v>1196</v>
      </c>
      <c r="B1058" t="s">
        <v>48</v>
      </c>
      <c r="C1058">
        <v>324</v>
      </c>
      <c r="D1058">
        <v>87</v>
      </c>
      <c r="E1058">
        <v>3</v>
      </c>
      <c r="F1058">
        <v>4</v>
      </c>
      <c r="G1058">
        <v>8.7200000000000006</v>
      </c>
      <c r="H1058">
        <v>6.71</v>
      </c>
      <c r="I1058">
        <v>0.91</v>
      </c>
      <c r="J1058" t="s">
        <v>316</v>
      </c>
      <c r="K1058" t="s">
        <v>34</v>
      </c>
      <c r="L1058">
        <v>35</v>
      </c>
      <c r="M1058">
        <v>3.57</v>
      </c>
      <c r="N1058">
        <v>138.71</v>
      </c>
      <c r="O1058">
        <v>0.6</v>
      </c>
      <c r="P1058">
        <v>8</v>
      </c>
      <c r="Q1058">
        <v>0.93</v>
      </c>
      <c r="R1058">
        <v>296</v>
      </c>
      <c r="S1058">
        <v>3.34</v>
      </c>
      <c r="T1058">
        <v>0.21</v>
      </c>
      <c r="U1058" s="1">
        <v>45503</v>
      </c>
      <c r="V1058">
        <v>131.75</v>
      </c>
      <c r="W1058">
        <v>0.45300000000000001</v>
      </c>
      <c r="X1058" t="str">
        <f>IF(WarehouseData[[#This Row],[stock_level]]&lt;=WarehouseData[[#This Row],[reorder_point]],"Low Stock","Sufficient Stock")</f>
        <v>Sufficient Stock</v>
      </c>
      <c r="Y1058">
        <f>WarehouseData[[#This Row],[daily_demand]]*WarehouseData[[#This Row],[lead_time_days]]</f>
        <v>34.880000000000003</v>
      </c>
      <c r="Z1058" t="str">
        <f>IF(WarehouseData[[#This Row],[stock_level]]&lt;=WarehouseData[[#This Row],[Demand During Lead Time]],"At Risk","Safe")</f>
        <v>Safe</v>
      </c>
      <c r="AA1058">
        <f>WarehouseData[[#This Row],[stock_level]]/WarehouseData[[#This Row],[daily_demand]]</f>
        <v>37.155963302752291</v>
      </c>
      <c r="AB1058">
        <f>WarehouseData[[#This Row],[stock_level]]*WarehouseData[[#This Row],[unit_price]]</f>
        <v>44942.04</v>
      </c>
      <c r="AC1058">
        <f>WarehouseData[[#This Row],[stock_level]]*WarehouseData[[#This Row],[holding_cost_per_unit_day]]*30</f>
        <v>5832</v>
      </c>
      <c r="AD1058" t="str">
        <f>IF(WarehouseData[[#This Row],[order_fulfillment_rate]]&gt;=0.9,"Strong",IF(WarehouseData[[#This Row],[order_fulfillment_rate]]&gt;=0.8,"Moderate","Needs Attention"))</f>
        <v>Strong</v>
      </c>
      <c r="AE1058" t="str">
        <f>IF(WarehouseData[[#This Row],[picking_time_seconds]]&gt;120,"Slow",IF(WarehouseData[[#This Row],[picking_time_seconds]]&gt;=60,"Average","Fast"))</f>
        <v>Fast</v>
      </c>
    </row>
    <row r="1059" spans="1:31" x14ac:dyDescent="0.25">
      <c r="A1059" t="s">
        <v>1197</v>
      </c>
      <c r="B1059" t="s">
        <v>32</v>
      </c>
      <c r="C1059">
        <v>156</v>
      </c>
      <c r="D1059">
        <v>97</v>
      </c>
      <c r="E1059">
        <v>9</v>
      </c>
      <c r="F1059">
        <v>7</v>
      </c>
      <c r="G1059">
        <v>29.93</v>
      </c>
      <c r="H1059">
        <v>3.14</v>
      </c>
      <c r="I1059">
        <v>0.95</v>
      </c>
      <c r="J1059" t="s">
        <v>66</v>
      </c>
      <c r="K1059" t="s">
        <v>52</v>
      </c>
      <c r="L1059">
        <v>51</v>
      </c>
      <c r="M1059">
        <v>2.35</v>
      </c>
      <c r="N1059">
        <v>80.209999999999994</v>
      </c>
      <c r="O1059">
        <v>0.76</v>
      </c>
      <c r="P1059">
        <v>5</v>
      </c>
      <c r="Q1059">
        <v>0.93</v>
      </c>
      <c r="R1059">
        <v>967</v>
      </c>
      <c r="S1059">
        <v>4.53</v>
      </c>
      <c r="T1059">
        <v>0.78</v>
      </c>
      <c r="U1059" s="1">
        <v>45650</v>
      </c>
      <c r="V1059">
        <v>190.06</v>
      </c>
      <c r="W1059">
        <v>0.626</v>
      </c>
      <c r="X1059" t="str">
        <f>IF(WarehouseData[[#This Row],[stock_level]]&lt;=WarehouseData[[#This Row],[reorder_point]],"Low Stock","Sufficient Stock")</f>
        <v>Sufficient Stock</v>
      </c>
      <c r="Y1059">
        <f>WarehouseData[[#This Row],[daily_demand]]*WarehouseData[[#This Row],[lead_time_days]]</f>
        <v>209.51</v>
      </c>
      <c r="Z1059" t="str">
        <f>IF(WarehouseData[[#This Row],[stock_level]]&lt;=WarehouseData[[#This Row],[Demand During Lead Time]],"At Risk","Safe")</f>
        <v>At Risk</v>
      </c>
      <c r="AA1059">
        <f>WarehouseData[[#This Row],[stock_level]]/WarehouseData[[#This Row],[daily_demand]]</f>
        <v>5.2121617106582026</v>
      </c>
      <c r="AB1059">
        <f>WarehouseData[[#This Row],[stock_level]]*WarehouseData[[#This Row],[unit_price]]</f>
        <v>12512.759999999998</v>
      </c>
      <c r="AC1059">
        <f>WarehouseData[[#This Row],[stock_level]]*WarehouseData[[#This Row],[holding_cost_per_unit_day]]*30</f>
        <v>3556.8</v>
      </c>
      <c r="AD1059" t="str">
        <f>IF(WarehouseData[[#This Row],[order_fulfillment_rate]]&gt;=0.9,"Strong",IF(WarehouseData[[#This Row],[order_fulfillment_rate]]&gt;=0.8,"Moderate","Needs Attention"))</f>
        <v>Strong</v>
      </c>
      <c r="AE1059" t="str">
        <f>IF(WarehouseData[[#This Row],[picking_time_seconds]]&gt;120,"Slow",IF(WarehouseData[[#This Row],[picking_time_seconds]]&gt;=60,"Average","Fast"))</f>
        <v>Fast</v>
      </c>
    </row>
    <row r="1060" spans="1:31" x14ac:dyDescent="0.25">
      <c r="A1060" t="s">
        <v>1198</v>
      </c>
      <c r="B1060" t="s">
        <v>48</v>
      </c>
      <c r="C1060">
        <v>183</v>
      </c>
      <c r="D1060">
        <v>35</v>
      </c>
      <c r="E1060">
        <v>14</v>
      </c>
      <c r="F1060">
        <v>7</v>
      </c>
      <c r="G1060">
        <v>37.409999999999997</v>
      </c>
      <c r="H1060">
        <v>4.99</v>
      </c>
      <c r="I1060">
        <v>0.75</v>
      </c>
      <c r="J1060" t="s">
        <v>68</v>
      </c>
      <c r="K1060" t="s">
        <v>34</v>
      </c>
      <c r="L1060">
        <v>86</v>
      </c>
      <c r="M1060">
        <v>3.91</v>
      </c>
      <c r="N1060">
        <v>11.97</v>
      </c>
      <c r="O1060">
        <v>0.38</v>
      </c>
      <c r="P1060">
        <v>2</v>
      </c>
      <c r="Q1060">
        <v>0.79</v>
      </c>
      <c r="R1060">
        <v>237</v>
      </c>
      <c r="S1060">
        <v>3.65</v>
      </c>
      <c r="T1060">
        <v>0.61</v>
      </c>
      <c r="U1060" s="1">
        <v>45482</v>
      </c>
      <c r="V1060">
        <v>160.94</v>
      </c>
      <c r="W1060">
        <v>0.65100000000000002</v>
      </c>
      <c r="X1060" t="str">
        <f>IF(WarehouseData[[#This Row],[stock_level]]&lt;=WarehouseData[[#This Row],[reorder_point]],"Low Stock","Sufficient Stock")</f>
        <v>Sufficient Stock</v>
      </c>
      <c r="Y1060">
        <f>WarehouseData[[#This Row],[daily_demand]]*WarehouseData[[#This Row],[lead_time_days]]</f>
        <v>261.87</v>
      </c>
      <c r="Z1060" t="str">
        <f>IF(WarehouseData[[#This Row],[stock_level]]&lt;=WarehouseData[[#This Row],[Demand During Lead Time]],"At Risk","Safe")</f>
        <v>At Risk</v>
      </c>
      <c r="AA1060">
        <f>WarehouseData[[#This Row],[stock_level]]/WarehouseData[[#This Row],[daily_demand]]</f>
        <v>4.8917401764234167</v>
      </c>
      <c r="AB1060">
        <f>WarehouseData[[#This Row],[stock_level]]*WarehouseData[[#This Row],[unit_price]]</f>
        <v>2190.5100000000002</v>
      </c>
      <c r="AC1060">
        <f>WarehouseData[[#This Row],[stock_level]]*WarehouseData[[#This Row],[holding_cost_per_unit_day]]*30</f>
        <v>2086.2000000000003</v>
      </c>
      <c r="AD1060" t="str">
        <f>IF(WarehouseData[[#This Row],[order_fulfillment_rate]]&gt;=0.9,"Strong",IF(WarehouseData[[#This Row],[order_fulfillment_rate]]&gt;=0.8,"Moderate","Needs Attention"))</f>
        <v>Needs Attention</v>
      </c>
      <c r="AE1060" t="str">
        <f>IF(WarehouseData[[#This Row],[picking_time_seconds]]&gt;120,"Slow",IF(WarehouseData[[#This Row],[picking_time_seconds]]&gt;=60,"Average","Fast"))</f>
        <v>Average</v>
      </c>
    </row>
    <row r="1061" spans="1:31" x14ac:dyDescent="0.25">
      <c r="A1061" t="s">
        <v>1199</v>
      </c>
      <c r="B1061" t="s">
        <v>36</v>
      </c>
      <c r="C1061">
        <v>102</v>
      </c>
      <c r="D1061">
        <v>30</v>
      </c>
      <c r="E1061">
        <v>12</v>
      </c>
      <c r="F1061">
        <v>4</v>
      </c>
      <c r="G1061">
        <v>45.93</v>
      </c>
      <c r="H1061">
        <v>8.5399999999999991</v>
      </c>
      <c r="I1061">
        <v>0.75</v>
      </c>
      <c r="J1061" t="s">
        <v>338</v>
      </c>
      <c r="K1061" t="s">
        <v>38</v>
      </c>
      <c r="L1061">
        <v>39</v>
      </c>
      <c r="M1061">
        <v>4.08</v>
      </c>
      <c r="N1061">
        <v>153.77000000000001</v>
      </c>
      <c r="O1061">
        <v>0.82</v>
      </c>
      <c r="P1061">
        <v>7</v>
      </c>
      <c r="Q1061">
        <v>0.8</v>
      </c>
      <c r="R1061">
        <v>572</v>
      </c>
      <c r="S1061">
        <v>1.34</v>
      </c>
      <c r="T1061">
        <v>0.82</v>
      </c>
      <c r="U1061" s="1">
        <v>45526</v>
      </c>
      <c r="V1061">
        <v>91.11</v>
      </c>
      <c r="W1061">
        <v>0.52</v>
      </c>
      <c r="X1061" t="str">
        <f>IF(WarehouseData[[#This Row],[stock_level]]&lt;=WarehouseData[[#This Row],[reorder_point]],"Low Stock","Sufficient Stock")</f>
        <v>Sufficient Stock</v>
      </c>
      <c r="Y1061">
        <f>WarehouseData[[#This Row],[daily_demand]]*WarehouseData[[#This Row],[lead_time_days]]</f>
        <v>183.72</v>
      </c>
      <c r="Z1061" t="str">
        <f>IF(WarehouseData[[#This Row],[stock_level]]&lt;=WarehouseData[[#This Row],[Demand During Lead Time]],"At Risk","Safe")</f>
        <v>At Risk</v>
      </c>
      <c r="AA1061">
        <f>WarehouseData[[#This Row],[stock_level]]/WarehouseData[[#This Row],[daily_demand]]</f>
        <v>2.2207707380796866</v>
      </c>
      <c r="AB1061">
        <f>WarehouseData[[#This Row],[stock_level]]*WarehouseData[[#This Row],[unit_price]]</f>
        <v>15684.54</v>
      </c>
      <c r="AC1061">
        <f>WarehouseData[[#This Row],[stock_level]]*WarehouseData[[#This Row],[holding_cost_per_unit_day]]*30</f>
        <v>2509.1999999999998</v>
      </c>
      <c r="AD1061" t="str">
        <f>IF(WarehouseData[[#This Row],[order_fulfillment_rate]]&gt;=0.9,"Strong",IF(WarehouseData[[#This Row],[order_fulfillment_rate]]&gt;=0.8,"Moderate","Needs Attention"))</f>
        <v>Moderate</v>
      </c>
      <c r="AE1061" t="str">
        <f>IF(WarehouseData[[#This Row],[picking_time_seconds]]&gt;120,"Slow",IF(WarehouseData[[#This Row],[picking_time_seconds]]&gt;=60,"Average","Fast"))</f>
        <v>Fast</v>
      </c>
    </row>
    <row r="1062" spans="1:31" x14ac:dyDescent="0.25">
      <c r="A1062" t="s">
        <v>1200</v>
      </c>
      <c r="B1062" t="s">
        <v>73</v>
      </c>
      <c r="C1062">
        <v>404</v>
      </c>
      <c r="D1062">
        <v>37</v>
      </c>
      <c r="E1062">
        <v>11</v>
      </c>
      <c r="F1062">
        <v>4</v>
      </c>
      <c r="G1062">
        <v>42.69</v>
      </c>
      <c r="H1062">
        <v>3.69</v>
      </c>
      <c r="I1062">
        <v>0.34</v>
      </c>
      <c r="J1062" t="s">
        <v>228</v>
      </c>
      <c r="K1062" t="s">
        <v>46</v>
      </c>
      <c r="L1062">
        <v>125</v>
      </c>
      <c r="M1062">
        <v>2.48</v>
      </c>
      <c r="N1062">
        <v>175.27</v>
      </c>
      <c r="O1062">
        <v>1.31</v>
      </c>
      <c r="P1062">
        <v>5</v>
      </c>
      <c r="Q1062">
        <v>0.77</v>
      </c>
      <c r="R1062">
        <v>333</v>
      </c>
      <c r="S1062">
        <v>1.65</v>
      </c>
      <c r="T1062">
        <v>0.66</v>
      </c>
      <c r="U1062" s="1">
        <v>45335</v>
      </c>
      <c r="V1062">
        <v>109.99</v>
      </c>
      <c r="W1062">
        <v>0.47699999999999998</v>
      </c>
      <c r="X1062" t="str">
        <f>IF(WarehouseData[[#This Row],[stock_level]]&lt;=WarehouseData[[#This Row],[reorder_point]],"Low Stock","Sufficient Stock")</f>
        <v>Sufficient Stock</v>
      </c>
      <c r="Y1062">
        <f>WarehouseData[[#This Row],[daily_demand]]*WarehouseData[[#This Row],[lead_time_days]]</f>
        <v>170.76</v>
      </c>
      <c r="Z1062" t="str">
        <f>IF(WarehouseData[[#This Row],[stock_level]]&lt;=WarehouseData[[#This Row],[Demand During Lead Time]],"At Risk","Safe")</f>
        <v>Safe</v>
      </c>
      <c r="AA1062">
        <f>WarehouseData[[#This Row],[stock_level]]/WarehouseData[[#This Row],[daily_demand]]</f>
        <v>9.4635746076364491</v>
      </c>
      <c r="AB1062">
        <f>WarehouseData[[#This Row],[stock_level]]*WarehouseData[[#This Row],[unit_price]]</f>
        <v>70809.08</v>
      </c>
      <c r="AC1062">
        <f>WarehouseData[[#This Row],[stock_level]]*WarehouseData[[#This Row],[holding_cost_per_unit_day]]*30</f>
        <v>15877.2</v>
      </c>
      <c r="AD1062" t="str">
        <f>IF(WarehouseData[[#This Row],[order_fulfillment_rate]]&gt;=0.9,"Strong",IF(WarehouseData[[#This Row],[order_fulfillment_rate]]&gt;=0.8,"Moderate","Needs Attention"))</f>
        <v>Needs Attention</v>
      </c>
      <c r="AE1062" t="str">
        <f>IF(WarehouseData[[#This Row],[picking_time_seconds]]&gt;120,"Slow",IF(WarehouseData[[#This Row],[picking_time_seconds]]&gt;=60,"Average","Fast"))</f>
        <v>Slow</v>
      </c>
    </row>
    <row r="1063" spans="1:31" x14ac:dyDescent="0.25">
      <c r="A1063" t="s">
        <v>1201</v>
      </c>
      <c r="B1063" t="s">
        <v>73</v>
      </c>
      <c r="C1063">
        <v>157</v>
      </c>
      <c r="D1063">
        <v>57</v>
      </c>
      <c r="E1063">
        <v>13</v>
      </c>
      <c r="F1063">
        <v>5</v>
      </c>
      <c r="G1063">
        <v>25.99</v>
      </c>
      <c r="H1063">
        <v>5.49</v>
      </c>
      <c r="I1063">
        <v>0.59</v>
      </c>
      <c r="J1063" t="s">
        <v>150</v>
      </c>
      <c r="K1063" t="s">
        <v>34</v>
      </c>
      <c r="L1063">
        <v>169</v>
      </c>
      <c r="M1063">
        <v>3.87</v>
      </c>
      <c r="N1063">
        <v>43.05</v>
      </c>
      <c r="O1063">
        <v>1.06</v>
      </c>
      <c r="P1063">
        <v>7</v>
      </c>
      <c r="Q1063">
        <v>0.94</v>
      </c>
      <c r="R1063">
        <v>606</v>
      </c>
      <c r="S1063">
        <v>12.7</v>
      </c>
      <c r="T1063">
        <v>0.48</v>
      </c>
      <c r="U1063" s="1">
        <v>45589</v>
      </c>
      <c r="V1063">
        <v>162.78</v>
      </c>
      <c r="W1063">
        <v>0.60699999999999998</v>
      </c>
      <c r="X1063" t="str">
        <f>IF(WarehouseData[[#This Row],[stock_level]]&lt;=WarehouseData[[#This Row],[reorder_point]],"Low Stock","Sufficient Stock")</f>
        <v>Sufficient Stock</v>
      </c>
      <c r="Y1063">
        <f>WarehouseData[[#This Row],[daily_demand]]*WarehouseData[[#This Row],[lead_time_days]]</f>
        <v>129.94999999999999</v>
      </c>
      <c r="Z1063" t="str">
        <f>IF(WarehouseData[[#This Row],[stock_level]]&lt;=WarehouseData[[#This Row],[Demand During Lead Time]],"At Risk","Safe")</f>
        <v>Safe</v>
      </c>
      <c r="AA1063">
        <f>WarehouseData[[#This Row],[stock_level]]/WarehouseData[[#This Row],[daily_demand]]</f>
        <v>6.0407849172758761</v>
      </c>
      <c r="AB1063">
        <f>WarehouseData[[#This Row],[stock_level]]*WarehouseData[[#This Row],[unit_price]]</f>
        <v>6758.8499999999995</v>
      </c>
      <c r="AC1063">
        <f>WarehouseData[[#This Row],[stock_level]]*WarehouseData[[#This Row],[holding_cost_per_unit_day]]*30</f>
        <v>4992.6000000000004</v>
      </c>
      <c r="AD1063" t="str">
        <f>IF(WarehouseData[[#This Row],[order_fulfillment_rate]]&gt;=0.9,"Strong",IF(WarehouseData[[#This Row],[order_fulfillment_rate]]&gt;=0.8,"Moderate","Needs Attention"))</f>
        <v>Strong</v>
      </c>
      <c r="AE1063" t="str">
        <f>IF(WarehouseData[[#This Row],[picking_time_seconds]]&gt;120,"Slow",IF(WarehouseData[[#This Row],[picking_time_seconds]]&gt;=60,"Average","Fast"))</f>
        <v>Slow</v>
      </c>
    </row>
    <row r="1064" spans="1:31" x14ac:dyDescent="0.25">
      <c r="A1064" t="s">
        <v>1202</v>
      </c>
      <c r="B1064" t="s">
        <v>32</v>
      </c>
      <c r="C1064">
        <v>439</v>
      </c>
      <c r="D1064">
        <v>49</v>
      </c>
      <c r="E1064">
        <v>14</v>
      </c>
      <c r="F1064">
        <v>7</v>
      </c>
      <c r="G1064">
        <v>36.229999999999997</v>
      </c>
      <c r="H1064">
        <v>6.96</v>
      </c>
      <c r="I1064">
        <v>0.99</v>
      </c>
      <c r="J1064" t="s">
        <v>217</v>
      </c>
      <c r="K1064" t="s">
        <v>46</v>
      </c>
      <c r="L1064">
        <v>45</v>
      </c>
      <c r="M1064">
        <v>4.28</v>
      </c>
      <c r="N1064">
        <v>15.44</v>
      </c>
      <c r="O1064">
        <v>1.67</v>
      </c>
      <c r="P1064">
        <v>9</v>
      </c>
      <c r="Q1064">
        <v>0.92</v>
      </c>
      <c r="R1064">
        <v>173</v>
      </c>
      <c r="S1064">
        <v>12.25</v>
      </c>
      <c r="T1064">
        <v>0.25</v>
      </c>
      <c r="U1064" s="1">
        <v>45340</v>
      </c>
      <c r="V1064">
        <v>211.65</v>
      </c>
      <c r="W1064">
        <v>0.45</v>
      </c>
      <c r="X1064" t="str">
        <f>IF(WarehouseData[[#This Row],[stock_level]]&lt;=WarehouseData[[#This Row],[reorder_point]],"Low Stock","Sufficient Stock")</f>
        <v>Sufficient Stock</v>
      </c>
      <c r="Y1064">
        <f>WarehouseData[[#This Row],[daily_demand]]*WarehouseData[[#This Row],[lead_time_days]]</f>
        <v>253.60999999999999</v>
      </c>
      <c r="Z1064" t="str">
        <f>IF(WarehouseData[[#This Row],[stock_level]]&lt;=WarehouseData[[#This Row],[Demand During Lead Time]],"At Risk","Safe")</f>
        <v>Safe</v>
      </c>
      <c r="AA1064">
        <f>WarehouseData[[#This Row],[stock_level]]/WarehouseData[[#This Row],[daily_demand]]</f>
        <v>12.117030085564451</v>
      </c>
      <c r="AB1064">
        <f>WarehouseData[[#This Row],[stock_level]]*WarehouseData[[#This Row],[unit_price]]</f>
        <v>6778.16</v>
      </c>
      <c r="AC1064">
        <f>WarehouseData[[#This Row],[stock_level]]*WarehouseData[[#This Row],[holding_cost_per_unit_day]]*30</f>
        <v>21993.9</v>
      </c>
      <c r="AD1064" t="str">
        <f>IF(WarehouseData[[#This Row],[order_fulfillment_rate]]&gt;=0.9,"Strong",IF(WarehouseData[[#This Row],[order_fulfillment_rate]]&gt;=0.8,"Moderate","Needs Attention"))</f>
        <v>Strong</v>
      </c>
      <c r="AE1064" t="str">
        <f>IF(WarehouseData[[#This Row],[picking_time_seconds]]&gt;120,"Slow",IF(WarehouseData[[#This Row],[picking_time_seconds]]&gt;=60,"Average","Fast"))</f>
        <v>Fast</v>
      </c>
    </row>
    <row r="1065" spans="1:31" x14ac:dyDescent="0.25">
      <c r="A1065" t="s">
        <v>1203</v>
      </c>
      <c r="B1065" t="s">
        <v>73</v>
      </c>
      <c r="C1065">
        <v>92</v>
      </c>
      <c r="D1065">
        <v>75</v>
      </c>
      <c r="E1065">
        <v>14</v>
      </c>
      <c r="F1065">
        <v>6</v>
      </c>
      <c r="G1065">
        <v>40.24</v>
      </c>
      <c r="H1065">
        <v>7.67</v>
      </c>
      <c r="I1065">
        <v>0.87</v>
      </c>
      <c r="J1065" t="s">
        <v>565</v>
      </c>
      <c r="K1065" t="s">
        <v>46</v>
      </c>
      <c r="L1065">
        <v>28</v>
      </c>
      <c r="M1065">
        <v>4.68</v>
      </c>
      <c r="N1065">
        <v>41.26</v>
      </c>
      <c r="O1065">
        <v>1.32</v>
      </c>
      <c r="P1065">
        <v>1</v>
      </c>
      <c r="Q1065">
        <v>0.88</v>
      </c>
      <c r="R1065">
        <v>939</v>
      </c>
      <c r="S1065">
        <v>2.97</v>
      </c>
      <c r="T1065">
        <v>0.89</v>
      </c>
      <c r="U1065" s="1">
        <v>45550</v>
      </c>
      <c r="V1065">
        <v>111.46</v>
      </c>
      <c r="W1065">
        <v>0.64200000000000002</v>
      </c>
      <c r="X1065" t="str">
        <f>IF(WarehouseData[[#This Row],[stock_level]]&lt;=WarehouseData[[#This Row],[reorder_point]],"Low Stock","Sufficient Stock")</f>
        <v>Sufficient Stock</v>
      </c>
      <c r="Y1065">
        <f>WarehouseData[[#This Row],[daily_demand]]*WarehouseData[[#This Row],[lead_time_days]]</f>
        <v>241.44</v>
      </c>
      <c r="Z1065" t="str">
        <f>IF(WarehouseData[[#This Row],[stock_level]]&lt;=WarehouseData[[#This Row],[Demand During Lead Time]],"At Risk","Safe")</f>
        <v>At Risk</v>
      </c>
      <c r="AA1065">
        <f>WarehouseData[[#This Row],[stock_level]]/WarehouseData[[#This Row],[daily_demand]]</f>
        <v>2.286282306163022</v>
      </c>
      <c r="AB1065">
        <f>WarehouseData[[#This Row],[stock_level]]*WarehouseData[[#This Row],[unit_price]]</f>
        <v>3795.9199999999996</v>
      </c>
      <c r="AC1065">
        <f>WarehouseData[[#This Row],[stock_level]]*WarehouseData[[#This Row],[holding_cost_per_unit_day]]*30</f>
        <v>3643.2000000000003</v>
      </c>
      <c r="AD1065" t="str">
        <f>IF(WarehouseData[[#This Row],[order_fulfillment_rate]]&gt;=0.9,"Strong",IF(WarehouseData[[#This Row],[order_fulfillment_rate]]&gt;=0.8,"Moderate","Needs Attention"))</f>
        <v>Moderate</v>
      </c>
      <c r="AE1065" t="str">
        <f>IF(WarehouseData[[#This Row],[picking_time_seconds]]&gt;120,"Slow",IF(WarehouseData[[#This Row],[picking_time_seconds]]&gt;=60,"Average","Fast"))</f>
        <v>Fast</v>
      </c>
    </row>
    <row r="1066" spans="1:31" x14ac:dyDescent="0.25">
      <c r="A1066" t="s">
        <v>1204</v>
      </c>
      <c r="B1066" t="s">
        <v>73</v>
      </c>
      <c r="C1066">
        <v>256</v>
      </c>
      <c r="D1066">
        <v>82</v>
      </c>
      <c r="E1066">
        <v>11</v>
      </c>
      <c r="F1066">
        <v>3</v>
      </c>
      <c r="G1066">
        <v>25.18</v>
      </c>
      <c r="H1066">
        <v>2.15</v>
      </c>
      <c r="I1066">
        <v>0.37</v>
      </c>
      <c r="J1066" t="s">
        <v>43</v>
      </c>
      <c r="K1066" t="s">
        <v>52</v>
      </c>
      <c r="L1066">
        <v>31</v>
      </c>
      <c r="M1066">
        <v>3.12</v>
      </c>
      <c r="N1066">
        <v>180.1</v>
      </c>
      <c r="O1066">
        <v>0.6</v>
      </c>
      <c r="P1066">
        <v>7</v>
      </c>
      <c r="Q1066">
        <v>0.77</v>
      </c>
      <c r="R1066">
        <v>296</v>
      </c>
      <c r="S1066">
        <v>10.35</v>
      </c>
      <c r="T1066">
        <v>0.37</v>
      </c>
      <c r="U1066" s="1">
        <v>45360</v>
      </c>
      <c r="V1066">
        <v>212.69</v>
      </c>
      <c r="W1066">
        <v>0.56599999999999995</v>
      </c>
      <c r="X1066" t="str">
        <f>IF(WarehouseData[[#This Row],[stock_level]]&lt;=WarehouseData[[#This Row],[reorder_point]],"Low Stock","Sufficient Stock")</f>
        <v>Sufficient Stock</v>
      </c>
      <c r="Y1066">
        <f>WarehouseData[[#This Row],[daily_demand]]*WarehouseData[[#This Row],[lead_time_days]]</f>
        <v>75.539999999999992</v>
      </c>
      <c r="Z1066" t="str">
        <f>IF(WarehouseData[[#This Row],[stock_level]]&lt;=WarehouseData[[#This Row],[Demand During Lead Time]],"At Risk","Safe")</f>
        <v>Safe</v>
      </c>
      <c r="AA1066">
        <f>WarehouseData[[#This Row],[stock_level]]/WarehouseData[[#This Row],[daily_demand]]</f>
        <v>10.16679904686259</v>
      </c>
      <c r="AB1066">
        <f>WarehouseData[[#This Row],[stock_level]]*WarehouseData[[#This Row],[unit_price]]</f>
        <v>46105.599999999999</v>
      </c>
      <c r="AC1066">
        <f>WarehouseData[[#This Row],[stock_level]]*WarehouseData[[#This Row],[holding_cost_per_unit_day]]*30</f>
        <v>4608</v>
      </c>
      <c r="AD1066" t="str">
        <f>IF(WarehouseData[[#This Row],[order_fulfillment_rate]]&gt;=0.9,"Strong",IF(WarehouseData[[#This Row],[order_fulfillment_rate]]&gt;=0.8,"Moderate","Needs Attention"))</f>
        <v>Needs Attention</v>
      </c>
      <c r="AE1066" t="str">
        <f>IF(WarehouseData[[#This Row],[picking_time_seconds]]&gt;120,"Slow",IF(WarehouseData[[#This Row],[picking_time_seconds]]&gt;=60,"Average","Fast"))</f>
        <v>Fast</v>
      </c>
    </row>
    <row r="1067" spans="1:31" x14ac:dyDescent="0.25">
      <c r="A1067" t="s">
        <v>1205</v>
      </c>
      <c r="B1067" t="s">
        <v>32</v>
      </c>
      <c r="C1067">
        <v>65</v>
      </c>
      <c r="D1067">
        <v>96</v>
      </c>
      <c r="E1067">
        <v>5</v>
      </c>
      <c r="F1067">
        <v>2</v>
      </c>
      <c r="G1067">
        <v>6.66</v>
      </c>
      <c r="H1067">
        <v>5.87</v>
      </c>
      <c r="I1067">
        <v>0.37</v>
      </c>
      <c r="J1067" t="s">
        <v>122</v>
      </c>
      <c r="K1067" t="s">
        <v>34</v>
      </c>
      <c r="L1067">
        <v>74</v>
      </c>
      <c r="M1067">
        <v>4</v>
      </c>
      <c r="N1067">
        <v>66.150000000000006</v>
      </c>
      <c r="O1067">
        <v>1.1599999999999999</v>
      </c>
      <c r="P1067">
        <v>4</v>
      </c>
      <c r="Q1067">
        <v>0.75</v>
      </c>
      <c r="R1067">
        <v>455</v>
      </c>
      <c r="S1067">
        <v>11.44</v>
      </c>
      <c r="T1067">
        <v>0.98</v>
      </c>
      <c r="U1067" s="1">
        <v>45618</v>
      </c>
      <c r="V1067">
        <v>288.68</v>
      </c>
      <c r="W1067">
        <v>0.70299999999999996</v>
      </c>
      <c r="X1067" t="str">
        <f>IF(WarehouseData[[#This Row],[stock_level]]&lt;=WarehouseData[[#This Row],[reorder_point]],"Low Stock","Sufficient Stock")</f>
        <v>Low Stock</v>
      </c>
      <c r="Y1067">
        <f>WarehouseData[[#This Row],[daily_demand]]*WarehouseData[[#This Row],[lead_time_days]]</f>
        <v>13.32</v>
      </c>
      <c r="Z1067" t="str">
        <f>IF(WarehouseData[[#This Row],[stock_level]]&lt;=WarehouseData[[#This Row],[Demand During Lead Time]],"At Risk","Safe")</f>
        <v>Safe</v>
      </c>
      <c r="AA1067">
        <f>WarehouseData[[#This Row],[stock_level]]/WarehouseData[[#This Row],[daily_demand]]</f>
        <v>9.7597597597597598</v>
      </c>
      <c r="AB1067">
        <f>WarehouseData[[#This Row],[stock_level]]*WarehouseData[[#This Row],[unit_price]]</f>
        <v>4299.75</v>
      </c>
      <c r="AC1067">
        <f>WarehouseData[[#This Row],[stock_level]]*WarehouseData[[#This Row],[holding_cost_per_unit_day]]*30</f>
        <v>2261.9999999999995</v>
      </c>
      <c r="AD1067" t="str">
        <f>IF(WarehouseData[[#This Row],[order_fulfillment_rate]]&gt;=0.9,"Strong",IF(WarehouseData[[#This Row],[order_fulfillment_rate]]&gt;=0.8,"Moderate","Needs Attention"))</f>
        <v>Needs Attention</v>
      </c>
      <c r="AE1067" t="str">
        <f>IF(WarehouseData[[#This Row],[picking_time_seconds]]&gt;120,"Slow",IF(WarehouseData[[#This Row],[picking_time_seconds]]&gt;=60,"Average","Fast"))</f>
        <v>Average</v>
      </c>
    </row>
    <row r="1068" spans="1:31" x14ac:dyDescent="0.25">
      <c r="A1068" t="s">
        <v>1206</v>
      </c>
      <c r="B1068" t="s">
        <v>32</v>
      </c>
      <c r="C1068">
        <v>125</v>
      </c>
      <c r="D1068">
        <v>88</v>
      </c>
      <c r="E1068">
        <v>8</v>
      </c>
      <c r="F1068">
        <v>2</v>
      </c>
      <c r="G1068">
        <v>22.46</v>
      </c>
      <c r="H1068">
        <v>9.17</v>
      </c>
      <c r="I1068">
        <v>0.54</v>
      </c>
      <c r="J1068" t="s">
        <v>104</v>
      </c>
      <c r="K1068" t="s">
        <v>46</v>
      </c>
      <c r="L1068">
        <v>66</v>
      </c>
      <c r="M1068">
        <v>2.73</v>
      </c>
      <c r="N1068">
        <v>54.4</v>
      </c>
      <c r="O1068">
        <v>0.22</v>
      </c>
      <c r="P1068">
        <v>9</v>
      </c>
      <c r="Q1068">
        <v>0.72</v>
      </c>
      <c r="R1068">
        <v>386</v>
      </c>
      <c r="S1068">
        <v>1.72</v>
      </c>
      <c r="T1068">
        <v>0.4</v>
      </c>
      <c r="U1068" s="1">
        <v>45493</v>
      </c>
      <c r="V1068">
        <v>17.12</v>
      </c>
      <c r="W1068">
        <v>0.44500000000000001</v>
      </c>
      <c r="X1068" t="str">
        <f>IF(WarehouseData[[#This Row],[stock_level]]&lt;=WarehouseData[[#This Row],[reorder_point]],"Low Stock","Sufficient Stock")</f>
        <v>Sufficient Stock</v>
      </c>
      <c r="Y1068">
        <f>WarehouseData[[#This Row],[daily_demand]]*WarehouseData[[#This Row],[lead_time_days]]</f>
        <v>44.92</v>
      </c>
      <c r="Z1068" t="str">
        <f>IF(WarehouseData[[#This Row],[stock_level]]&lt;=WarehouseData[[#This Row],[Demand During Lead Time]],"At Risk","Safe")</f>
        <v>Safe</v>
      </c>
      <c r="AA1068">
        <f>WarehouseData[[#This Row],[stock_level]]/WarehouseData[[#This Row],[daily_demand]]</f>
        <v>5.5654496883348177</v>
      </c>
      <c r="AB1068">
        <f>WarehouseData[[#This Row],[stock_level]]*WarehouseData[[#This Row],[unit_price]]</f>
        <v>6800</v>
      </c>
      <c r="AC1068">
        <f>WarehouseData[[#This Row],[stock_level]]*WarehouseData[[#This Row],[holding_cost_per_unit_day]]*30</f>
        <v>825</v>
      </c>
      <c r="AD1068" t="str">
        <f>IF(WarehouseData[[#This Row],[order_fulfillment_rate]]&gt;=0.9,"Strong",IF(WarehouseData[[#This Row],[order_fulfillment_rate]]&gt;=0.8,"Moderate","Needs Attention"))</f>
        <v>Needs Attention</v>
      </c>
      <c r="AE1068" t="str">
        <f>IF(WarehouseData[[#This Row],[picking_time_seconds]]&gt;120,"Slow",IF(WarehouseData[[#This Row],[picking_time_seconds]]&gt;=60,"Average","Fast"))</f>
        <v>Average</v>
      </c>
    </row>
    <row r="1069" spans="1:31" x14ac:dyDescent="0.25">
      <c r="A1069" t="s">
        <v>1207</v>
      </c>
      <c r="B1069" t="s">
        <v>36</v>
      </c>
      <c r="C1069">
        <v>435</v>
      </c>
      <c r="D1069">
        <v>86</v>
      </c>
      <c r="E1069">
        <v>9</v>
      </c>
      <c r="F1069">
        <v>6</v>
      </c>
      <c r="G1069">
        <v>42.28</v>
      </c>
      <c r="H1069">
        <v>9.6999999999999993</v>
      </c>
      <c r="I1069">
        <v>0.46</v>
      </c>
      <c r="J1069" t="s">
        <v>181</v>
      </c>
      <c r="K1069" t="s">
        <v>52</v>
      </c>
      <c r="L1069">
        <v>20</v>
      </c>
      <c r="M1069">
        <v>0.69</v>
      </c>
      <c r="N1069">
        <v>12.77</v>
      </c>
      <c r="O1069">
        <v>1.2</v>
      </c>
      <c r="P1069">
        <v>3</v>
      </c>
      <c r="Q1069">
        <v>0.71</v>
      </c>
      <c r="R1069">
        <v>208</v>
      </c>
      <c r="S1069">
        <v>2.2400000000000002</v>
      </c>
      <c r="T1069">
        <v>0.86</v>
      </c>
      <c r="U1069" s="1">
        <v>45330</v>
      </c>
      <c r="V1069">
        <v>57.51</v>
      </c>
      <c r="W1069">
        <v>0.56399999999999995</v>
      </c>
      <c r="X1069" t="str">
        <f>IF(WarehouseData[[#This Row],[stock_level]]&lt;=WarehouseData[[#This Row],[reorder_point]],"Low Stock","Sufficient Stock")</f>
        <v>Sufficient Stock</v>
      </c>
      <c r="Y1069">
        <f>WarehouseData[[#This Row],[daily_demand]]*WarehouseData[[#This Row],[lead_time_days]]</f>
        <v>253.68</v>
      </c>
      <c r="Z1069" t="str">
        <f>IF(WarehouseData[[#This Row],[stock_level]]&lt;=WarehouseData[[#This Row],[Demand During Lead Time]],"At Risk","Safe")</f>
        <v>Safe</v>
      </c>
      <c r="AA1069">
        <f>WarehouseData[[#This Row],[stock_level]]/WarehouseData[[#This Row],[daily_demand]]</f>
        <v>10.288552507095552</v>
      </c>
      <c r="AB1069">
        <f>WarehouseData[[#This Row],[stock_level]]*WarehouseData[[#This Row],[unit_price]]</f>
        <v>5554.95</v>
      </c>
      <c r="AC1069">
        <f>WarehouseData[[#This Row],[stock_level]]*WarehouseData[[#This Row],[holding_cost_per_unit_day]]*30</f>
        <v>15660</v>
      </c>
      <c r="AD1069" t="str">
        <f>IF(WarehouseData[[#This Row],[order_fulfillment_rate]]&gt;=0.9,"Strong",IF(WarehouseData[[#This Row],[order_fulfillment_rate]]&gt;=0.8,"Moderate","Needs Attention"))</f>
        <v>Needs Attention</v>
      </c>
      <c r="AE1069" t="str">
        <f>IF(WarehouseData[[#This Row],[picking_time_seconds]]&gt;120,"Slow",IF(WarehouseData[[#This Row],[picking_time_seconds]]&gt;=60,"Average","Fast"))</f>
        <v>Fast</v>
      </c>
    </row>
    <row r="1070" spans="1:31" x14ac:dyDescent="0.25">
      <c r="A1070" t="s">
        <v>1208</v>
      </c>
      <c r="B1070" t="s">
        <v>73</v>
      </c>
      <c r="C1070">
        <v>307</v>
      </c>
      <c r="D1070">
        <v>32</v>
      </c>
      <c r="E1070">
        <v>12</v>
      </c>
      <c r="F1070">
        <v>9</v>
      </c>
      <c r="G1070">
        <v>30.24</v>
      </c>
      <c r="H1070">
        <v>6.73</v>
      </c>
      <c r="I1070">
        <v>0.43</v>
      </c>
      <c r="J1070" t="s">
        <v>148</v>
      </c>
      <c r="K1070" t="s">
        <v>38</v>
      </c>
      <c r="L1070">
        <v>35</v>
      </c>
      <c r="M1070">
        <v>1.2</v>
      </c>
      <c r="N1070">
        <v>66.44</v>
      </c>
      <c r="O1070">
        <v>0.84</v>
      </c>
      <c r="P1070">
        <v>2</v>
      </c>
      <c r="Q1070">
        <v>0.76</v>
      </c>
      <c r="R1070">
        <v>316</v>
      </c>
      <c r="S1070">
        <v>8.8800000000000008</v>
      </c>
      <c r="T1070">
        <v>0.83</v>
      </c>
      <c r="U1070" s="1">
        <v>45595</v>
      </c>
      <c r="V1070">
        <v>275.72000000000003</v>
      </c>
      <c r="W1070">
        <v>0.71199999999999997</v>
      </c>
      <c r="X1070" t="str">
        <f>IF(WarehouseData[[#This Row],[stock_level]]&lt;=WarehouseData[[#This Row],[reorder_point]],"Low Stock","Sufficient Stock")</f>
        <v>Sufficient Stock</v>
      </c>
      <c r="Y1070">
        <f>WarehouseData[[#This Row],[daily_demand]]*WarehouseData[[#This Row],[lead_time_days]]</f>
        <v>272.15999999999997</v>
      </c>
      <c r="Z1070" t="str">
        <f>IF(WarehouseData[[#This Row],[stock_level]]&lt;=WarehouseData[[#This Row],[Demand During Lead Time]],"At Risk","Safe")</f>
        <v>Safe</v>
      </c>
      <c r="AA1070">
        <f>WarehouseData[[#This Row],[stock_level]]/WarehouseData[[#This Row],[daily_demand]]</f>
        <v>10.152116402116402</v>
      </c>
      <c r="AB1070">
        <f>WarehouseData[[#This Row],[stock_level]]*WarehouseData[[#This Row],[unit_price]]</f>
        <v>20397.079999999998</v>
      </c>
      <c r="AC1070">
        <f>WarehouseData[[#This Row],[stock_level]]*WarehouseData[[#This Row],[holding_cost_per_unit_day]]*30</f>
        <v>7736.4</v>
      </c>
      <c r="AD1070" t="str">
        <f>IF(WarehouseData[[#This Row],[order_fulfillment_rate]]&gt;=0.9,"Strong",IF(WarehouseData[[#This Row],[order_fulfillment_rate]]&gt;=0.8,"Moderate","Needs Attention"))</f>
        <v>Needs Attention</v>
      </c>
      <c r="AE1070" t="str">
        <f>IF(WarehouseData[[#This Row],[picking_time_seconds]]&gt;120,"Slow",IF(WarehouseData[[#This Row],[picking_time_seconds]]&gt;=60,"Average","Fast"))</f>
        <v>Fast</v>
      </c>
    </row>
    <row r="1071" spans="1:31" x14ac:dyDescent="0.25">
      <c r="A1071" t="s">
        <v>1209</v>
      </c>
      <c r="B1071" t="s">
        <v>73</v>
      </c>
      <c r="C1071">
        <v>281</v>
      </c>
      <c r="D1071">
        <v>90</v>
      </c>
      <c r="E1071">
        <v>11</v>
      </c>
      <c r="F1071">
        <v>4</v>
      </c>
      <c r="G1071">
        <v>36.5</v>
      </c>
      <c r="H1071">
        <v>9.84</v>
      </c>
      <c r="I1071">
        <v>0.66</v>
      </c>
      <c r="J1071" t="s">
        <v>75</v>
      </c>
      <c r="K1071" t="s">
        <v>38</v>
      </c>
      <c r="L1071">
        <v>28</v>
      </c>
      <c r="M1071">
        <v>1.08</v>
      </c>
      <c r="N1071">
        <v>145.97</v>
      </c>
      <c r="O1071">
        <v>0.28999999999999998</v>
      </c>
      <c r="P1071">
        <v>8</v>
      </c>
      <c r="Q1071">
        <v>0.73</v>
      </c>
      <c r="R1071">
        <v>341</v>
      </c>
      <c r="S1071">
        <v>6.24</v>
      </c>
      <c r="T1071">
        <v>0.56999999999999995</v>
      </c>
      <c r="U1071" s="1">
        <v>45582</v>
      </c>
      <c r="V1071">
        <v>30.76</v>
      </c>
      <c r="W1071">
        <v>0.55400000000000005</v>
      </c>
      <c r="X1071" t="str">
        <f>IF(WarehouseData[[#This Row],[stock_level]]&lt;=WarehouseData[[#This Row],[reorder_point]],"Low Stock","Sufficient Stock")</f>
        <v>Sufficient Stock</v>
      </c>
      <c r="Y1071">
        <f>WarehouseData[[#This Row],[daily_demand]]*WarehouseData[[#This Row],[lead_time_days]]</f>
        <v>146</v>
      </c>
      <c r="Z1071" t="str">
        <f>IF(WarehouseData[[#This Row],[stock_level]]&lt;=WarehouseData[[#This Row],[Demand During Lead Time]],"At Risk","Safe")</f>
        <v>Safe</v>
      </c>
      <c r="AA1071">
        <f>WarehouseData[[#This Row],[stock_level]]/WarehouseData[[#This Row],[daily_demand]]</f>
        <v>7.6986301369863011</v>
      </c>
      <c r="AB1071">
        <f>WarehouseData[[#This Row],[stock_level]]*WarehouseData[[#This Row],[unit_price]]</f>
        <v>41017.57</v>
      </c>
      <c r="AC1071">
        <f>WarehouseData[[#This Row],[stock_level]]*WarehouseData[[#This Row],[holding_cost_per_unit_day]]*30</f>
        <v>2444.6999999999998</v>
      </c>
      <c r="AD1071" t="str">
        <f>IF(WarehouseData[[#This Row],[order_fulfillment_rate]]&gt;=0.9,"Strong",IF(WarehouseData[[#This Row],[order_fulfillment_rate]]&gt;=0.8,"Moderate","Needs Attention"))</f>
        <v>Needs Attention</v>
      </c>
      <c r="AE1071" t="str">
        <f>IF(WarehouseData[[#This Row],[picking_time_seconds]]&gt;120,"Slow",IF(WarehouseData[[#This Row],[picking_time_seconds]]&gt;=60,"Average","Fast"))</f>
        <v>Fast</v>
      </c>
    </row>
    <row r="1072" spans="1:31" x14ac:dyDescent="0.25">
      <c r="A1072" t="s">
        <v>1210</v>
      </c>
      <c r="B1072" t="s">
        <v>36</v>
      </c>
      <c r="C1072">
        <v>195</v>
      </c>
      <c r="D1072">
        <v>57</v>
      </c>
      <c r="E1072">
        <v>4</v>
      </c>
      <c r="F1072">
        <v>4</v>
      </c>
      <c r="G1072">
        <v>10.08</v>
      </c>
      <c r="H1072">
        <v>5.92</v>
      </c>
      <c r="I1072">
        <v>0.11</v>
      </c>
      <c r="J1072" t="s">
        <v>129</v>
      </c>
      <c r="K1072" t="s">
        <v>34</v>
      </c>
      <c r="L1072">
        <v>92</v>
      </c>
      <c r="M1072">
        <v>1.27</v>
      </c>
      <c r="N1072">
        <v>192.23</v>
      </c>
      <c r="O1072">
        <v>0.68</v>
      </c>
      <c r="P1072">
        <v>9</v>
      </c>
      <c r="Q1072">
        <v>0.87</v>
      </c>
      <c r="R1072">
        <v>639</v>
      </c>
      <c r="S1072">
        <v>10.79</v>
      </c>
      <c r="T1072">
        <v>0.52</v>
      </c>
      <c r="U1072" s="1">
        <v>45323</v>
      </c>
      <c r="V1072">
        <v>231.86</v>
      </c>
      <c r="W1072">
        <v>0.57399999999999995</v>
      </c>
      <c r="X1072" t="str">
        <f>IF(WarehouseData[[#This Row],[stock_level]]&lt;=WarehouseData[[#This Row],[reorder_point]],"Low Stock","Sufficient Stock")</f>
        <v>Sufficient Stock</v>
      </c>
      <c r="Y1072">
        <f>WarehouseData[[#This Row],[daily_demand]]*WarehouseData[[#This Row],[lead_time_days]]</f>
        <v>40.32</v>
      </c>
      <c r="Z1072" t="str">
        <f>IF(WarehouseData[[#This Row],[stock_level]]&lt;=WarehouseData[[#This Row],[Demand During Lead Time]],"At Risk","Safe")</f>
        <v>Safe</v>
      </c>
      <c r="AA1072">
        <f>WarehouseData[[#This Row],[stock_level]]/WarehouseData[[#This Row],[daily_demand]]</f>
        <v>19.345238095238095</v>
      </c>
      <c r="AB1072">
        <f>WarehouseData[[#This Row],[stock_level]]*WarehouseData[[#This Row],[unit_price]]</f>
        <v>37484.85</v>
      </c>
      <c r="AC1072">
        <f>WarehouseData[[#This Row],[stock_level]]*WarehouseData[[#This Row],[holding_cost_per_unit_day]]*30</f>
        <v>3978.0000000000009</v>
      </c>
      <c r="AD1072" t="str">
        <f>IF(WarehouseData[[#This Row],[order_fulfillment_rate]]&gt;=0.9,"Strong",IF(WarehouseData[[#This Row],[order_fulfillment_rate]]&gt;=0.8,"Moderate","Needs Attention"))</f>
        <v>Moderate</v>
      </c>
      <c r="AE1072" t="str">
        <f>IF(WarehouseData[[#This Row],[picking_time_seconds]]&gt;120,"Slow",IF(WarehouseData[[#This Row],[picking_time_seconds]]&gt;=60,"Average","Fast"))</f>
        <v>Average</v>
      </c>
    </row>
    <row r="1073" spans="1:31" x14ac:dyDescent="0.25">
      <c r="A1073" t="s">
        <v>1211</v>
      </c>
      <c r="B1073" t="s">
        <v>40</v>
      </c>
      <c r="C1073">
        <v>185</v>
      </c>
      <c r="D1073">
        <v>11</v>
      </c>
      <c r="E1073">
        <v>10</v>
      </c>
      <c r="F1073">
        <v>9</v>
      </c>
      <c r="G1073">
        <v>48.25</v>
      </c>
      <c r="H1073">
        <v>4.7</v>
      </c>
      <c r="I1073">
        <v>0.79</v>
      </c>
      <c r="J1073" t="s">
        <v>163</v>
      </c>
      <c r="K1073" t="s">
        <v>46</v>
      </c>
      <c r="L1073">
        <v>149</v>
      </c>
      <c r="M1073">
        <v>0.55000000000000004</v>
      </c>
      <c r="N1073">
        <v>69.42</v>
      </c>
      <c r="O1073">
        <v>1.81</v>
      </c>
      <c r="P1073">
        <v>6</v>
      </c>
      <c r="Q1073">
        <v>0.81</v>
      </c>
      <c r="R1073">
        <v>852</v>
      </c>
      <c r="S1073">
        <v>8.81</v>
      </c>
      <c r="T1073">
        <v>0.76</v>
      </c>
      <c r="U1073" s="1">
        <v>45514</v>
      </c>
      <c r="V1073">
        <v>190.95</v>
      </c>
      <c r="W1073">
        <v>0.53</v>
      </c>
      <c r="X1073" t="str">
        <f>IF(WarehouseData[[#This Row],[stock_level]]&lt;=WarehouseData[[#This Row],[reorder_point]],"Low Stock","Sufficient Stock")</f>
        <v>Sufficient Stock</v>
      </c>
      <c r="Y1073">
        <f>WarehouseData[[#This Row],[daily_demand]]*WarehouseData[[#This Row],[lead_time_days]]</f>
        <v>434.25</v>
      </c>
      <c r="Z1073" t="str">
        <f>IF(WarehouseData[[#This Row],[stock_level]]&lt;=WarehouseData[[#This Row],[Demand During Lead Time]],"At Risk","Safe")</f>
        <v>At Risk</v>
      </c>
      <c r="AA1073">
        <f>WarehouseData[[#This Row],[stock_level]]/WarehouseData[[#This Row],[daily_demand]]</f>
        <v>3.8341968911917097</v>
      </c>
      <c r="AB1073">
        <f>WarehouseData[[#This Row],[stock_level]]*WarehouseData[[#This Row],[unit_price]]</f>
        <v>12842.7</v>
      </c>
      <c r="AC1073">
        <f>WarehouseData[[#This Row],[stock_level]]*WarehouseData[[#This Row],[holding_cost_per_unit_day]]*30</f>
        <v>10045.5</v>
      </c>
      <c r="AD1073" t="str">
        <f>IF(WarehouseData[[#This Row],[order_fulfillment_rate]]&gt;=0.9,"Strong",IF(WarehouseData[[#This Row],[order_fulfillment_rate]]&gt;=0.8,"Moderate","Needs Attention"))</f>
        <v>Moderate</v>
      </c>
      <c r="AE1073" t="str">
        <f>IF(WarehouseData[[#This Row],[picking_time_seconds]]&gt;120,"Slow",IF(WarehouseData[[#This Row],[picking_time_seconds]]&gt;=60,"Average","Fast"))</f>
        <v>Slow</v>
      </c>
    </row>
    <row r="1074" spans="1:31" x14ac:dyDescent="0.25">
      <c r="A1074" t="s">
        <v>1212</v>
      </c>
      <c r="B1074" t="s">
        <v>40</v>
      </c>
      <c r="C1074">
        <v>164</v>
      </c>
      <c r="D1074">
        <v>93</v>
      </c>
      <c r="E1074">
        <v>9</v>
      </c>
      <c r="F1074">
        <v>4</v>
      </c>
      <c r="G1074">
        <v>20.8</v>
      </c>
      <c r="H1074">
        <v>5.74</v>
      </c>
      <c r="I1074">
        <v>0.77</v>
      </c>
      <c r="J1074" t="s">
        <v>142</v>
      </c>
      <c r="K1074" t="s">
        <v>34</v>
      </c>
      <c r="L1074">
        <v>76</v>
      </c>
      <c r="M1074">
        <v>4.3600000000000003</v>
      </c>
      <c r="N1074">
        <v>55.73</v>
      </c>
      <c r="O1074">
        <v>1.21</v>
      </c>
      <c r="P1074">
        <v>6</v>
      </c>
      <c r="Q1074">
        <v>0.83</v>
      </c>
      <c r="R1074">
        <v>944</v>
      </c>
      <c r="S1074">
        <v>1.43</v>
      </c>
      <c r="T1074">
        <v>0.62</v>
      </c>
      <c r="U1074" s="1">
        <v>45631</v>
      </c>
      <c r="V1074">
        <v>23.83</v>
      </c>
      <c r="W1074">
        <v>0.46800000000000003</v>
      </c>
      <c r="X1074" t="str">
        <f>IF(WarehouseData[[#This Row],[stock_level]]&lt;=WarehouseData[[#This Row],[reorder_point]],"Low Stock","Sufficient Stock")</f>
        <v>Sufficient Stock</v>
      </c>
      <c r="Y1074">
        <f>WarehouseData[[#This Row],[daily_demand]]*WarehouseData[[#This Row],[lead_time_days]]</f>
        <v>83.2</v>
      </c>
      <c r="Z1074" t="str">
        <f>IF(WarehouseData[[#This Row],[stock_level]]&lt;=WarehouseData[[#This Row],[Demand During Lead Time]],"At Risk","Safe")</f>
        <v>Safe</v>
      </c>
      <c r="AA1074">
        <f>WarehouseData[[#This Row],[stock_level]]/WarehouseData[[#This Row],[daily_demand]]</f>
        <v>7.8846153846153841</v>
      </c>
      <c r="AB1074">
        <f>WarehouseData[[#This Row],[stock_level]]*WarehouseData[[#This Row],[unit_price]]</f>
        <v>9139.7199999999993</v>
      </c>
      <c r="AC1074">
        <f>WarehouseData[[#This Row],[stock_level]]*WarehouseData[[#This Row],[holding_cost_per_unit_day]]*30</f>
        <v>5953.2</v>
      </c>
      <c r="AD1074" t="str">
        <f>IF(WarehouseData[[#This Row],[order_fulfillment_rate]]&gt;=0.9,"Strong",IF(WarehouseData[[#This Row],[order_fulfillment_rate]]&gt;=0.8,"Moderate","Needs Attention"))</f>
        <v>Moderate</v>
      </c>
      <c r="AE1074" t="str">
        <f>IF(WarehouseData[[#This Row],[picking_time_seconds]]&gt;120,"Slow",IF(WarehouseData[[#This Row],[picking_time_seconds]]&gt;=60,"Average","Fast"))</f>
        <v>Average</v>
      </c>
    </row>
    <row r="1075" spans="1:31" x14ac:dyDescent="0.25">
      <c r="A1075" t="s">
        <v>1213</v>
      </c>
      <c r="B1075" t="s">
        <v>40</v>
      </c>
      <c r="C1075">
        <v>349</v>
      </c>
      <c r="D1075">
        <v>29</v>
      </c>
      <c r="E1075">
        <v>6</v>
      </c>
      <c r="F1075">
        <v>9</v>
      </c>
      <c r="G1075">
        <v>33.03</v>
      </c>
      <c r="H1075">
        <v>1.6</v>
      </c>
      <c r="I1075">
        <v>0.85</v>
      </c>
      <c r="J1075" t="s">
        <v>106</v>
      </c>
      <c r="K1075" t="s">
        <v>46</v>
      </c>
      <c r="L1075">
        <v>65</v>
      </c>
      <c r="M1075">
        <v>3.02</v>
      </c>
      <c r="N1075">
        <v>178.73</v>
      </c>
      <c r="O1075">
        <v>1.82</v>
      </c>
      <c r="P1075">
        <v>5</v>
      </c>
      <c r="Q1075">
        <v>0.88</v>
      </c>
      <c r="R1075">
        <v>200</v>
      </c>
      <c r="S1075">
        <v>10.57</v>
      </c>
      <c r="T1075">
        <v>0.71</v>
      </c>
      <c r="U1075" s="1">
        <v>45358</v>
      </c>
      <c r="V1075">
        <v>10.210000000000001</v>
      </c>
      <c r="W1075">
        <v>0.57699999999999996</v>
      </c>
      <c r="X1075" t="str">
        <f>IF(WarehouseData[[#This Row],[stock_level]]&lt;=WarehouseData[[#This Row],[reorder_point]],"Low Stock","Sufficient Stock")</f>
        <v>Sufficient Stock</v>
      </c>
      <c r="Y1075">
        <f>WarehouseData[[#This Row],[daily_demand]]*WarehouseData[[#This Row],[lead_time_days]]</f>
        <v>297.27</v>
      </c>
      <c r="Z1075" t="str">
        <f>IF(WarehouseData[[#This Row],[stock_level]]&lt;=WarehouseData[[#This Row],[Demand During Lead Time]],"At Risk","Safe")</f>
        <v>Safe</v>
      </c>
      <c r="AA1075">
        <f>WarehouseData[[#This Row],[stock_level]]/WarehouseData[[#This Row],[daily_demand]]</f>
        <v>10.566151983045716</v>
      </c>
      <c r="AB1075">
        <f>WarehouseData[[#This Row],[stock_level]]*WarehouseData[[#This Row],[unit_price]]</f>
        <v>62376.77</v>
      </c>
      <c r="AC1075">
        <f>WarehouseData[[#This Row],[stock_level]]*WarehouseData[[#This Row],[holding_cost_per_unit_day]]*30</f>
        <v>19055.400000000001</v>
      </c>
      <c r="AD1075" t="str">
        <f>IF(WarehouseData[[#This Row],[order_fulfillment_rate]]&gt;=0.9,"Strong",IF(WarehouseData[[#This Row],[order_fulfillment_rate]]&gt;=0.8,"Moderate","Needs Attention"))</f>
        <v>Moderate</v>
      </c>
      <c r="AE1075" t="str">
        <f>IF(WarehouseData[[#This Row],[picking_time_seconds]]&gt;120,"Slow",IF(WarehouseData[[#This Row],[picking_time_seconds]]&gt;=60,"Average","Fast"))</f>
        <v>Average</v>
      </c>
    </row>
    <row r="1076" spans="1:31" x14ac:dyDescent="0.25">
      <c r="A1076" t="s">
        <v>1214</v>
      </c>
      <c r="B1076" t="s">
        <v>36</v>
      </c>
      <c r="C1076">
        <v>389</v>
      </c>
      <c r="D1076">
        <v>68</v>
      </c>
      <c r="E1076">
        <v>4</v>
      </c>
      <c r="F1076">
        <v>7</v>
      </c>
      <c r="G1076">
        <v>1.92</v>
      </c>
      <c r="H1076">
        <v>4.32</v>
      </c>
      <c r="I1076">
        <v>0.86</v>
      </c>
      <c r="J1076" t="s">
        <v>340</v>
      </c>
      <c r="K1076" t="s">
        <v>52</v>
      </c>
      <c r="L1076">
        <v>27</v>
      </c>
      <c r="M1076">
        <v>2.2200000000000002</v>
      </c>
      <c r="N1076">
        <v>171.98</v>
      </c>
      <c r="O1076">
        <v>0.88</v>
      </c>
      <c r="P1076">
        <v>8</v>
      </c>
      <c r="Q1076">
        <v>0.9</v>
      </c>
      <c r="R1076">
        <v>334</v>
      </c>
      <c r="S1076">
        <v>3.85</v>
      </c>
      <c r="T1076">
        <v>0.57999999999999996</v>
      </c>
      <c r="U1076" s="1">
        <v>45413</v>
      </c>
      <c r="V1076">
        <v>155.58000000000001</v>
      </c>
      <c r="W1076">
        <v>0.499</v>
      </c>
      <c r="X1076" t="str">
        <f>IF(WarehouseData[[#This Row],[stock_level]]&lt;=WarehouseData[[#This Row],[reorder_point]],"Low Stock","Sufficient Stock")</f>
        <v>Sufficient Stock</v>
      </c>
      <c r="Y1076">
        <f>WarehouseData[[#This Row],[daily_demand]]*WarehouseData[[#This Row],[lead_time_days]]</f>
        <v>13.44</v>
      </c>
      <c r="Z1076" t="str">
        <f>IF(WarehouseData[[#This Row],[stock_level]]&lt;=WarehouseData[[#This Row],[Demand During Lead Time]],"At Risk","Safe")</f>
        <v>Safe</v>
      </c>
      <c r="AA1076">
        <f>WarehouseData[[#This Row],[stock_level]]/WarehouseData[[#This Row],[daily_demand]]</f>
        <v>202.60416666666669</v>
      </c>
      <c r="AB1076">
        <f>WarehouseData[[#This Row],[stock_level]]*WarehouseData[[#This Row],[unit_price]]</f>
        <v>66900.22</v>
      </c>
      <c r="AC1076">
        <f>WarehouseData[[#This Row],[stock_level]]*WarehouseData[[#This Row],[holding_cost_per_unit_day]]*30</f>
        <v>10269.6</v>
      </c>
      <c r="AD1076" t="str">
        <f>IF(WarehouseData[[#This Row],[order_fulfillment_rate]]&gt;=0.9,"Strong",IF(WarehouseData[[#This Row],[order_fulfillment_rate]]&gt;=0.8,"Moderate","Needs Attention"))</f>
        <v>Strong</v>
      </c>
      <c r="AE1076" t="str">
        <f>IF(WarehouseData[[#This Row],[picking_time_seconds]]&gt;120,"Slow",IF(WarehouseData[[#This Row],[picking_time_seconds]]&gt;=60,"Average","Fast"))</f>
        <v>Fast</v>
      </c>
    </row>
    <row r="1077" spans="1:31" x14ac:dyDescent="0.25">
      <c r="A1077" t="s">
        <v>1215</v>
      </c>
      <c r="B1077" t="s">
        <v>73</v>
      </c>
      <c r="C1077">
        <v>302</v>
      </c>
      <c r="D1077">
        <v>55</v>
      </c>
      <c r="E1077">
        <v>10</v>
      </c>
      <c r="F1077">
        <v>9</v>
      </c>
      <c r="G1077">
        <v>7.24</v>
      </c>
      <c r="H1077">
        <v>4.8499999999999996</v>
      </c>
      <c r="I1077">
        <v>0.61</v>
      </c>
      <c r="J1077" t="s">
        <v>311</v>
      </c>
      <c r="K1077" t="s">
        <v>38</v>
      </c>
      <c r="L1077">
        <v>122</v>
      </c>
      <c r="M1077">
        <v>2.34</v>
      </c>
      <c r="N1077">
        <v>72.349999999999994</v>
      </c>
      <c r="O1077">
        <v>1.96</v>
      </c>
      <c r="P1077">
        <v>2</v>
      </c>
      <c r="Q1077">
        <v>0.89</v>
      </c>
      <c r="R1077">
        <v>200</v>
      </c>
      <c r="S1077">
        <v>5.38</v>
      </c>
      <c r="T1077">
        <v>0.65</v>
      </c>
      <c r="U1077" s="1">
        <v>45441</v>
      </c>
      <c r="V1077">
        <v>44.03</v>
      </c>
      <c r="W1077">
        <v>0.54400000000000004</v>
      </c>
      <c r="X1077" t="str">
        <f>IF(WarehouseData[[#This Row],[stock_level]]&lt;=WarehouseData[[#This Row],[reorder_point]],"Low Stock","Sufficient Stock")</f>
        <v>Sufficient Stock</v>
      </c>
      <c r="Y1077">
        <f>WarehouseData[[#This Row],[daily_demand]]*WarehouseData[[#This Row],[lead_time_days]]</f>
        <v>65.16</v>
      </c>
      <c r="Z1077" t="str">
        <f>IF(WarehouseData[[#This Row],[stock_level]]&lt;=WarehouseData[[#This Row],[Demand During Lead Time]],"At Risk","Safe")</f>
        <v>Safe</v>
      </c>
      <c r="AA1077">
        <f>WarehouseData[[#This Row],[stock_level]]/WarehouseData[[#This Row],[daily_demand]]</f>
        <v>41.712707182320443</v>
      </c>
      <c r="AB1077">
        <f>WarehouseData[[#This Row],[stock_level]]*WarehouseData[[#This Row],[unit_price]]</f>
        <v>21849.699999999997</v>
      </c>
      <c r="AC1077">
        <f>WarehouseData[[#This Row],[stock_level]]*WarehouseData[[#This Row],[holding_cost_per_unit_day]]*30</f>
        <v>17757.599999999999</v>
      </c>
      <c r="AD1077" t="str">
        <f>IF(WarehouseData[[#This Row],[order_fulfillment_rate]]&gt;=0.9,"Strong",IF(WarehouseData[[#This Row],[order_fulfillment_rate]]&gt;=0.8,"Moderate","Needs Attention"))</f>
        <v>Moderate</v>
      </c>
      <c r="AE1077" t="str">
        <f>IF(WarehouseData[[#This Row],[picking_time_seconds]]&gt;120,"Slow",IF(WarehouseData[[#This Row],[picking_time_seconds]]&gt;=60,"Average","Fast"))</f>
        <v>Slow</v>
      </c>
    </row>
    <row r="1078" spans="1:31" x14ac:dyDescent="0.25">
      <c r="A1078" t="s">
        <v>1216</v>
      </c>
      <c r="B1078" t="s">
        <v>36</v>
      </c>
      <c r="C1078">
        <v>73</v>
      </c>
      <c r="D1078">
        <v>12</v>
      </c>
      <c r="E1078">
        <v>13</v>
      </c>
      <c r="F1078">
        <v>4</v>
      </c>
      <c r="G1078">
        <v>39.32</v>
      </c>
      <c r="H1078">
        <v>8.56</v>
      </c>
      <c r="I1078">
        <v>0.8</v>
      </c>
      <c r="J1078" t="s">
        <v>144</v>
      </c>
      <c r="K1078" t="s">
        <v>38</v>
      </c>
      <c r="L1078">
        <v>14</v>
      </c>
      <c r="M1078">
        <v>2.59</v>
      </c>
      <c r="N1078">
        <v>23.07</v>
      </c>
      <c r="O1078">
        <v>0.78</v>
      </c>
      <c r="P1078">
        <v>0</v>
      </c>
      <c r="Q1078">
        <v>0.78</v>
      </c>
      <c r="R1078">
        <v>173</v>
      </c>
      <c r="S1078">
        <v>11.31</v>
      </c>
      <c r="T1078">
        <v>0.35</v>
      </c>
      <c r="U1078" s="1">
        <v>45425</v>
      </c>
      <c r="V1078">
        <v>262.94</v>
      </c>
      <c r="W1078">
        <v>0.69899999999999995</v>
      </c>
      <c r="X1078" t="str">
        <f>IF(WarehouseData[[#This Row],[stock_level]]&lt;=WarehouseData[[#This Row],[reorder_point]],"Low Stock","Sufficient Stock")</f>
        <v>Sufficient Stock</v>
      </c>
      <c r="Y1078">
        <f>WarehouseData[[#This Row],[daily_demand]]*WarehouseData[[#This Row],[lead_time_days]]</f>
        <v>157.28</v>
      </c>
      <c r="Z1078" t="str">
        <f>IF(WarehouseData[[#This Row],[stock_level]]&lt;=WarehouseData[[#This Row],[Demand During Lead Time]],"At Risk","Safe")</f>
        <v>At Risk</v>
      </c>
      <c r="AA1078">
        <f>WarehouseData[[#This Row],[stock_level]]/WarehouseData[[#This Row],[daily_demand]]</f>
        <v>1.856561546286877</v>
      </c>
      <c r="AB1078">
        <f>WarehouseData[[#This Row],[stock_level]]*WarehouseData[[#This Row],[unit_price]]</f>
        <v>1684.1100000000001</v>
      </c>
      <c r="AC1078">
        <f>WarehouseData[[#This Row],[stock_level]]*WarehouseData[[#This Row],[holding_cost_per_unit_day]]*30</f>
        <v>1708.2</v>
      </c>
      <c r="AD1078" t="str">
        <f>IF(WarehouseData[[#This Row],[order_fulfillment_rate]]&gt;=0.9,"Strong",IF(WarehouseData[[#This Row],[order_fulfillment_rate]]&gt;=0.8,"Moderate","Needs Attention"))</f>
        <v>Needs Attention</v>
      </c>
      <c r="AE1078" t="str">
        <f>IF(WarehouseData[[#This Row],[picking_time_seconds]]&gt;120,"Slow",IF(WarehouseData[[#This Row],[picking_time_seconds]]&gt;=60,"Average","Fast"))</f>
        <v>Fast</v>
      </c>
    </row>
    <row r="1079" spans="1:31" x14ac:dyDescent="0.25">
      <c r="A1079" t="s">
        <v>1217</v>
      </c>
      <c r="B1079" t="s">
        <v>36</v>
      </c>
      <c r="C1079">
        <v>197</v>
      </c>
      <c r="D1079">
        <v>64</v>
      </c>
      <c r="E1079">
        <v>7</v>
      </c>
      <c r="F1079">
        <v>4</v>
      </c>
      <c r="G1079">
        <v>48.43</v>
      </c>
      <c r="H1079">
        <v>7.71</v>
      </c>
      <c r="I1079">
        <v>0.54</v>
      </c>
      <c r="J1079" t="s">
        <v>192</v>
      </c>
      <c r="K1079" t="s">
        <v>38</v>
      </c>
      <c r="L1079">
        <v>121</v>
      </c>
      <c r="M1079">
        <v>0.83</v>
      </c>
      <c r="N1079">
        <v>198.48</v>
      </c>
      <c r="O1079">
        <v>1.54</v>
      </c>
      <c r="P1079">
        <v>6</v>
      </c>
      <c r="Q1079">
        <v>0.94</v>
      </c>
      <c r="R1079">
        <v>789</v>
      </c>
      <c r="S1079">
        <v>11.8</v>
      </c>
      <c r="T1079">
        <v>0.24</v>
      </c>
      <c r="U1079" s="1">
        <v>45453</v>
      </c>
      <c r="V1079">
        <v>149.41999999999999</v>
      </c>
      <c r="W1079">
        <v>0.51900000000000002</v>
      </c>
      <c r="X1079" t="str">
        <f>IF(WarehouseData[[#This Row],[stock_level]]&lt;=WarehouseData[[#This Row],[reorder_point]],"Low Stock","Sufficient Stock")</f>
        <v>Sufficient Stock</v>
      </c>
      <c r="Y1079">
        <f>WarehouseData[[#This Row],[daily_demand]]*WarehouseData[[#This Row],[lead_time_days]]</f>
        <v>193.72</v>
      </c>
      <c r="Z1079" t="str">
        <f>IF(WarehouseData[[#This Row],[stock_level]]&lt;=WarehouseData[[#This Row],[Demand During Lead Time]],"At Risk","Safe")</f>
        <v>Safe</v>
      </c>
      <c r="AA1079">
        <f>WarehouseData[[#This Row],[stock_level]]/WarehouseData[[#This Row],[daily_demand]]</f>
        <v>4.067726615734049</v>
      </c>
      <c r="AB1079">
        <f>WarehouseData[[#This Row],[stock_level]]*WarehouseData[[#This Row],[unit_price]]</f>
        <v>39100.559999999998</v>
      </c>
      <c r="AC1079">
        <f>WarehouseData[[#This Row],[stock_level]]*WarehouseData[[#This Row],[holding_cost_per_unit_day]]*30</f>
        <v>9101.4</v>
      </c>
      <c r="AD1079" t="str">
        <f>IF(WarehouseData[[#This Row],[order_fulfillment_rate]]&gt;=0.9,"Strong",IF(WarehouseData[[#This Row],[order_fulfillment_rate]]&gt;=0.8,"Moderate","Needs Attention"))</f>
        <v>Strong</v>
      </c>
      <c r="AE1079" t="str">
        <f>IF(WarehouseData[[#This Row],[picking_time_seconds]]&gt;120,"Slow",IF(WarehouseData[[#This Row],[picking_time_seconds]]&gt;=60,"Average","Fast"))</f>
        <v>Slow</v>
      </c>
    </row>
    <row r="1080" spans="1:31" x14ac:dyDescent="0.25">
      <c r="A1080" t="s">
        <v>1218</v>
      </c>
      <c r="B1080" t="s">
        <v>40</v>
      </c>
      <c r="C1080">
        <v>438</v>
      </c>
      <c r="D1080">
        <v>21</v>
      </c>
      <c r="E1080">
        <v>8</v>
      </c>
      <c r="F1080">
        <v>7</v>
      </c>
      <c r="G1080">
        <v>16.68</v>
      </c>
      <c r="H1080">
        <v>6.21</v>
      </c>
      <c r="I1080">
        <v>0.96</v>
      </c>
      <c r="J1080" t="s">
        <v>106</v>
      </c>
      <c r="K1080" t="s">
        <v>38</v>
      </c>
      <c r="L1080">
        <v>161</v>
      </c>
      <c r="M1080">
        <v>1.74</v>
      </c>
      <c r="N1080">
        <v>139.33000000000001</v>
      </c>
      <c r="O1080">
        <v>0.68</v>
      </c>
      <c r="P1080">
        <v>8</v>
      </c>
      <c r="Q1080">
        <v>0.98</v>
      </c>
      <c r="R1080">
        <v>321</v>
      </c>
      <c r="S1080">
        <v>5.84</v>
      </c>
      <c r="T1080">
        <v>0.48</v>
      </c>
      <c r="U1080" s="1">
        <v>45493</v>
      </c>
      <c r="V1080">
        <v>77.989999999999995</v>
      </c>
      <c r="W1080">
        <v>0.54200000000000004</v>
      </c>
      <c r="X1080" t="str">
        <f>IF(WarehouseData[[#This Row],[stock_level]]&lt;=WarehouseData[[#This Row],[reorder_point]],"Low Stock","Sufficient Stock")</f>
        <v>Sufficient Stock</v>
      </c>
      <c r="Y1080">
        <f>WarehouseData[[#This Row],[daily_demand]]*WarehouseData[[#This Row],[lead_time_days]]</f>
        <v>116.75999999999999</v>
      </c>
      <c r="Z1080" t="str">
        <f>IF(WarehouseData[[#This Row],[stock_level]]&lt;=WarehouseData[[#This Row],[Demand During Lead Time]],"At Risk","Safe")</f>
        <v>Safe</v>
      </c>
      <c r="AA1080">
        <f>WarehouseData[[#This Row],[stock_level]]/WarehouseData[[#This Row],[daily_demand]]</f>
        <v>26.258992805755398</v>
      </c>
      <c r="AB1080">
        <f>WarehouseData[[#This Row],[stock_level]]*WarehouseData[[#This Row],[unit_price]]</f>
        <v>61026.540000000008</v>
      </c>
      <c r="AC1080">
        <f>WarehouseData[[#This Row],[stock_level]]*WarehouseData[[#This Row],[holding_cost_per_unit_day]]*30</f>
        <v>8935.2000000000007</v>
      </c>
      <c r="AD1080" t="str">
        <f>IF(WarehouseData[[#This Row],[order_fulfillment_rate]]&gt;=0.9,"Strong",IF(WarehouseData[[#This Row],[order_fulfillment_rate]]&gt;=0.8,"Moderate","Needs Attention"))</f>
        <v>Strong</v>
      </c>
      <c r="AE1080" t="str">
        <f>IF(WarehouseData[[#This Row],[picking_time_seconds]]&gt;120,"Slow",IF(WarehouseData[[#This Row],[picking_time_seconds]]&gt;=60,"Average","Fast"))</f>
        <v>Slow</v>
      </c>
    </row>
    <row r="1081" spans="1:31" x14ac:dyDescent="0.25">
      <c r="A1081" t="s">
        <v>1219</v>
      </c>
      <c r="B1081" t="s">
        <v>48</v>
      </c>
      <c r="C1081">
        <v>263</v>
      </c>
      <c r="D1081">
        <v>49</v>
      </c>
      <c r="E1081">
        <v>13</v>
      </c>
      <c r="F1081">
        <v>9</v>
      </c>
      <c r="G1081">
        <v>2.82</v>
      </c>
      <c r="H1081">
        <v>3.8</v>
      </c>
      <c r="I1081">
        <v>0.27</v>
      </c>
      <c r="J1081" t="s">
        <v>102</v>
      </c>
      <c r="K1081" t="s">
        <v>34</v>
      </c>
      <c r="L1081">
        <v>124</v>
      </c>
      <c r="M1081">
        <v>4.33</v>
      </c>
      <c r="N1081">
        <v>186.05</v>
      </c>
      <c r="O1081">
        <v>0.3</v>
      </c>
      <c r="P1081">
        <v>5</v>
      </c>
      <c r="Q1081">
        <v>0.79</v>
      </c>
      <c r="R1081">
        <v>920</v>
      </c>
      <c r="S1081">
        <v>2.25</v>
      </c>
      <c r="T1081">
        <v>0.56999999999999995</v>
      </c>
      <c r="U1081" s="1">
        <v>45650</v>
      </c>
      <c r="V1081">
        <v>58.78</v>
      </c>
      <c r="W1081">
        <v>0.57199999999999995</v>
      </c>
      <c r="X1081" t="str">
        <f>IF(WarehouseData[[#This Row],[stock_level]]&lt;=WarehouseData[[#This Row],[reorder_point]],"Low Stock","Sufficient Stock")</f>
        <v>Sufficient Stock</v>
      </c>
      <c r="Y1081">
        <f>WarehouseData[[#This Row],[daily_demand]]*WarehouseData[[#This Row],[lead_time_days]]</f>
        <v>25.38</v>
      </c>
      <c r="Z1081" t="str">
        <f>IF(WarehouseData[[#This Row],[stock_level]]&lt;=WarehouseData[[#This Row],[Demand During Lead Time]],"At Risk","Safe")</f>
        <v>Safe</v>
      </c>
      <c r="AA1081">
        <f>WarehouseData[[#This Row],[stock_level]]/WarehouseData[[#This Row],[daily_demand]]</f>
        <v>93.262411347517741</v>
      </c>
      <c r="AB1081">
        <f>WarehouseData[[#This Row],[stock_level]]*WarehouseData[[#This Row],[unit_price]]</f>
        <v>48931.15</v>
      </c>
      <c r="AC1081">
        <f>WarehouseData[[#This Row],[stock_level]]*WarehouseData[[#This Row],[holding_cost_per_unit_day]]*30</f>
        <v>2366.9999999999995</v>
      </c>
      <c r="AD1081" t="str">
        <f>IF(WarehouseData[[#This Row],[order_fulfillment_rate]]&gt;=0.9,"Strong",IF(WarehouseData[[#This Row],[order_fulfillment_rate]]&gt;=0.8,"Moderate","Needs Attention"))</f>
        <v>Needs Attention</v>
      </c>
      <c r="AE1081" t="str">
        <f>IF(WarehouseData[[#This Row],[picking_time_seconds]]&gt;120,"Slow",IF(WarehouseData[[#This Row],[picking_time_seconds]]&gt;=60,"Average","Fast"))</f>
        <v>Slow</v>
      </c>
    </row>
    <row r="1082" spans="1:31" x14ac:dyDescent="0.25">
      <c r="A1082" t="s">
        <v>1220</v>
      </c>
      <c r="B1082" t="s">
        <v>73</v>
      </c>
      <c r="C1082">
        <v>360</v>
      </c>
      <c r="D1082">
        <v>75</v>
      </c>
      <c r="E1082">
        <v>9</v>
      </c>
      <c r="F1082">
        <v>7</v>
      </c>
      <c r="G1082">
        <v>18.68</v>
      </c>
      <c r="H1082">
        <v>2.2799999999999998</v>
      </c>
      <c r="I1082">
        <v>0.92</v>
      </c>
      <c r="J1082" t="s">
        <v>418</v>
      </c>
      <c r="K1082" t="s">
        <v>46</v>
      </c>
      <c r="L1082">
        <v>175</v>
      </c>
      <c r="M1082">
        <v>3.85</v>
      </c>
      <c r="N1082">
        <v>74.959999999999994</v>
      </c>
      <c r="O1082">
        <v>1.68</v>
      </c>
      <c r="P1082">
        <v>9</v>
      </c>
      <c r="Q1082">
        <v>0.71</v>
      </c>
      <c r="R1082">
        <v>389</v>
      </c>
      <c r="S1082">
        <v>11.78</v>
      </c>
      <c r="T1082">
        <v>0.92</v>
      </c>
      <c r="U1082" s="1">
        <v>45459</v>
      </c>
      <c r="V1082">
        <v>252.37</v>
      </c>
      <c r="W1082">
        <v>0.53500000000000003</v>
      </c>
      <c r="X1082" t="str">
        <f>IF(WarehouseData[[#This Row],[stock_level]]&lt;=WarehouseData[[#This Row],[reorder_point]],"Low Stock","Sufficient Stock")</f>
        <v>Sufficient Stock</v>
      </c>
      <c r="Y1082">
        <f>WarehouseData[[#This Row],[daily_demand]]*WarehouseData[[#This Row],[lead_time_days]]</f>
        <v>130.76</v>
      </c>
      <c r="Z1082" t="str">
        <f>IF(WarehouseData[[#This Row],[stock_level]]&lt;=WarehouseData[[#This Row],[Demand During Lead Time]],"At Risk","Safe")</f>
        <v>Safe</v>
      </c>
      <c r="AA1082">
        <f>WarehouseData[[#This Row],[stock_level]]/WarehouseData[[#This Row],[daily_demand]]</f>
        <v>19.271948608137045</v>
      </c>
      <c r="AB1082">
        <f>WarehouseData[[#This Row],[stock_level]]*WarehouseData[[#This Row],[unit_price]]</f>
        <v>26985.599999999999</v>
      </c>
      <c r="AC1082">
        <f>WarehouseData[[#This Row],[stock_level]]*WarehouseData[[#This Row],[holding_cost_per_unit_day]]*30</f>
        <v>18144</v>
      </c>
      <c r="AD1082" t="str">
        <f>IF(WarehouseData[[#This Row],[order_fulfillment_rate]]&gt;=0.9,"Strong",IF(WarehouseData[[#This Row],[order_fulfillment_rate]]&gt;=0.8,"Moderate","Needs Attention"))</f>
        <v>Needs Attention</v>
      </c>
      <c r="AE1082" t="str">
        <f>IF(WarehouseData[[#This Row],[picking_time_seconds]]&gt;120,"Slow",IF(WarehouseData[[#This Row],[picking_time_seconds]]&gt;=60,"Average","Fast"))</f>
        <v>Slow</v>
      </c>
    </row>
    <row r="1083" spans="1:31" x14ac:dyDescent="0.25">
      <c r="A1083" t="s">
        <v>1221</v>
      </c>
      <c r="B1083" t="s">
        <v>40</v>
      </c>
      <c r="C1083">
        <v>146</v>
      </c>
      <c r="D1083">
        <v>87</v>
      </c>
      <c r="E1083">
        <v>12</v>
      </c>
      <c r="F1083">
        <v>6</v>
      </c>
      <c r="G1083">
        <v>1.86</v>
      </c>
      <c r="H1083">
        <v>3.8</v>
      </c>
      <c r="I1083">
        <v>0.33</v>
      </c>
      <c r="J1083" t="s">
        <v>98</v>
      </c>
      <c r="K1083" t="s">
        <v>34</v>
      </c>
      <c r="L1083">
        <v>76</v>
      </c>
      <c r="M1083">
        <v>3.04</v>
      </c>
      <c r="N1083">
        <v>133.06</v>
      </c>
      <c r="O1083">
        <v>1.55</v>
      </c>
      <c r="P1083">
        <v>1</v>
      </c>
      <c r="Q1083">
        <v>0.97</v>
      </c>
      <c r="R1083">
        <v>778</v>
      </c>
      <c r="S1083">
        <v>13.18</v>
      </c>
      <c r="T1083">
        <v>0.53</v>
      </c>
      <c r="U1083" s="1">
        <v>45454</v>
      </c>
      <c r="V1083">
        <v>218.43</v>
      </c>
      <c r="W1083">
        <v>0.70099999999999996</v>
      </c>
      <c r="X1083" t="str">
        <f>IF(WarehouseData[[#This Row],[stock_level]]&lt;=WarehouseData[[#This Row],[reorder_point]],"Low Stock","Sufficient Stock")</f>
        <v>Sufficient Stock</v>
      </c>
      <c r="Y1083">
        <f>WarehouseData[[#This Row],[daily_demand]]*WarehouseData[[#This Row],[lead_time_days]]</f>
        <v>11.16</v>
      </c>
      <c r="Z1083" t="str">
        <f>IF(WarehouseData[[#This Row],[stock_level]]&lt;=WarehouseData[[#This Row],[Demand During Lead Time]],"At Risk","Safe")</f>
        <v>Safe</v>
      </c>
      <c r="AA1083">
        <f>WarehouseData[[#This Row],[stock_level]]/WarehouseData[[#This Row],[daily_demand]]</f>
        <v>78.494623655913969</v>
      </c>
      <c r="AB1083">
        <f>WarehouseData[[#This Row],[stock_level]]*WarehouseData[[#This Row],[unit_price]]</f>
        <v>19426.760000000002</v>
      </c>
      <c r="AC1083">
        <f>WarehouseData[[#This Row],[stock_level]]*WarehouseData[[#This Row],[holding_cost_per_unit_day]]*30</f>
        <v>6789</v>
      </c>
      <c r="AD1083" t="str">
        <f>IF(WarehouseData[[#This Row],[order_fulfillment_rate]]&gt;=0.9,"Strong",IF(WarehouseData[[#This Row],[order_fulfillment_rate]]&gt;=0.8,"Moderate","Needs Attention"))</f>
        <v>Strong</v>
      </c>
      <c r="AE1083" t="str">
        <f>IF(WarehouseData[[#This Row],[picking_time_seconds]]&gt;120,"Slow",IF(WarehouseData[[#This Row],[picking_time_seconds]]&gt;=60,"Average","Fast"))</f>
        <v>Average</v>
      </c>
    </row>
    <row r="1084" spans="1:31" x14ac:dyDescent="0.25">
      <c r="A1084" t="s">
        <v>1222</v>
      </c>
      <c r="B1084" t="s">
        <v>48</v>
      </c>
      <c r="C1084">
        <v>428</v>
      </c>
      <c r="D1084">
        <v>25</v>
      </c>
      <c r="E1084">
        <v>3</v>
      </c>
      <c r="F1084">
        <v>5</v>
      </c>
      <c r="G1084">
        <v>10.43</v>
      </c>
      <c r="H1084">
        <v>6.96</v>
      </c>
      <c r="I1084">
        <v>0.19</v>
      </c>
      <c r="J1084" t="s">
        <v>207</v>
      </c>
      <c r="K1084" t="s">
        <v>52</v>
      </c>
      <c r="L1084">
        <v>79</v>
      </c>
      <c r="M1084">
        <v>2.66</v>
      </c>
      <c r="N1084">
        <v>138.15</v>
      </c>
      <c r="O1084">
        <v>1.66</v>
      </c>
      <c r="P1084">
        <v>7</v>
      </c>
      <c r="Q1084">
        <v>0.98</v>
      </c>
      <c r="R1084">
        <v>708</v>
      </c>
      <c r="S1084">
        <v>14.5</v>
      </c>
      <c r="T1084">
        <v>0.55000000000000004</v>
      </c>
      <c r="U1084" s="1">
        <v>45523</v>
      </c>
      <c r="V1084">
        <v>218.21</v>
      </c>
      <c r="W1084">
        <v>0.59299999999999997</v>
      </c>
      <c r="X1084" t="str">
        <f>IF(WarehouseData[[#This Row],[stock_level]]&lt;=WarehouseData[[#This Row],[reorder_point]],"Low Stock","Sufficient Stock")</f>
        <v>Sufficient Stock</v>
      </c>
      <c r="Y1084">
        <f>WarehouseData[[#This Row],[daily_demand]]*WarehouseData[[#This Row],[lead_time_days]]</f>
        <v>52.15</v>
      </c>
      <c r="Z1084" t="str">
        <f>IF(WarehouseData[[#This Row],[stock_level]]&lt;=WarehouseData[[#This Row],[Demand During Lead Time]],"At Risk","Safe")</f>
        <v>Safe</v>
      </c>
      <c r="AA1084">
        <f>WarehouseData[[#This Row],[stock_level]]/WarehouseData[[#This Row],[daily_demand]]</f>
        <v>41.035474592521574</v>
      </c>
      <c r="AB1084">
        <f>WarehouseData[[#This Row],[stock_level]]*WarehouseData[[#This Row],[unit_price]]</f>
        <v>59128.200000000004</v>
      </c>
      <c r="AC1084">
        <f>WarehouseData[[#This Row],[stock_level]]*WarehouseData[[#This Row],[holding_cost_per_unit_day]]*30</f>
        <v>21314.400000000001</v>
      </c>
      <c r="AD1084" t="str">
        <f>IF(WarehouseData[[#This Row],[order_fulfillment_rate]]&gt;=0.9,"Strong",IF(WarehouseData[[#This Row],[order_fulfillment_rate]]&gt;=0.8,"Moderate","Needs Attention"))</f>
        <v>Strong</v>
      </c>
      <c r="AE1084" t="str">
        <f>IF(WarehouseData[[#This Row],[picking_time_seconds]]&gt;120,"Slow",IF(WarehouseData[[#This Row],[picking_time_seconds]]&gt;=60,"Average","Fast"))</f>
        <v>Average</v>
      </c>
    </row>
    <row r="1085" spans="1:31" x14ac:dyDescent="0.25">
      <c r="A1085" t="s">
        <v>1223</v>
      </c>
      <c r="B1085" t="s">
        <v>48</v>
      </c>
      <c r="C1085">
        <v>431</v>
      </c>
      <c r="D1085">
        <v>92</v>
      </c>
      <c r="E1085">
        <v>10</v>
      </c>
      <c r="F1085">
        <v>7</v>
      </c>
      <c r="G1085">
        <v>37.869999999999997</v>
      </c>
      <c r="H1085">
        <v>3</v>
      </c>
      <c r="I1085">
        <v>0.5</v>
      </c>
      <c r="J1085" t="s">
        <v>273</v>
      </c>
      <c r="K1085" t="s">
        <v>38</v>
      </c>
      <c r="L1085">
        <v>61</v>
      </c>
      <c r="M1085">
        <v>1.67</v>
      </c>
      <c r="N1085">
        <v>175.85</v>
      </c>
      <c r="O1085">
        <v>0.67</v>
      </c>
      <c r="P1085">
        <v>8</v>
      </c>
      <c r="Q1085">
        <v>0.72</v>
      </c>
      <c r="R1085">
        <v>779</v>
      </c>
      <c r="S1085">
        <v>5.45</v>
      </c>
      <c r="T1085">
        <v>0.74</v>
      </c>
      <c r="U1085" s="1">
        <v>45431</v>
      </c>
      <c r="V1085">
        <v>34.74</v>
      </c>
      <c r="W1085">
        <v>0.53800000000000003</v>
      </c>
      <c r="X1085" t="str">
        <f>IF(WarehouseData[[#This Row],[stock_level]]&lt;=WarehouseData[[#This Row],[reorder_point]],"Low Stock","Sufficient Stock")</f>
        <v>Sufficient Stock</v>
      </c>
      <c r="Y1085">
        <f>WarehouseData[[#This Row],[daily_demand]]*WarehouseData[[#This Row],[lead_time_days]]</f>
        <v>265.08999999999997</v>
      </c>
      <c r="Z1085" t="str">
        <f>IF(WarehouseData[[#This Row],[stock_level]]&lt;=WarehouseData[[#This Row],[Demand During Lead Time]],"At Risk","Safe")</f>
        <v>Safe</v>
      </c>
      <c r="AA1085">
        <f>WarehouseData[[#This Row],[stock_level]]/WarehouseData[[#This Row],[daily_demand]]</f>
        <v>11.38104040137312</v>
      </c>
      <c r="AB1085">
        <f>WarehouseData[[#This Row],[stock_level]]*WarehouseData[[#This Row],[unit_price]]</f>
        <v>75791.349999999991</v>
      </c>
      <c r="AC1085">
        <f>WarehouseData[[#This Row],[stock_level]]*WarehouseData[[#This Row],[holding_cost_per_unit_day]]*30</f>
        <v>8663.1</v>
      </c>
      <c r="AD1085" t="str">
        <f>IF(WarehouseData[[#This Row],[order_fulfillment_rate]]&gt;=0.9,"Strong",IF(WarehouseData[[#This Row],[order_fulfillment_rate]]&gt;=0.8,"Moderate","Needs Attention"))</f>
        <v>Needs Attention</v>
      </c>
      <c r="AE1085" t="str">
        <f>IF(WarehouseData[[#This Row],[picking_time_seconds]]&gt;120,"Slow",IF(WarehouseData[[#This Row],[picking_time_seconds]]&gt;=60,"Average","Fast"))</f>
        <v>Average</v>
      </c>
    </row>
    <row r="1086" spans="1:31" x14ac:dyDescent="0.25">
      <c r="A1086" t="s">
        <v>1224</v>
      </c>
      <c r="B1086" t="s">
        <v>32</v>
      </c>
      <c r="C1086">
        <v>386</v>
      </c>
      <c r="D1086">
        <v>43</v>
      </c>
      <c r="E1086">
        <v>6</v>
      </c>
      <c r="F1086">
        <v>3</v>
      </c>
      <c r="G1086">
        <v>46.92</v>
      </c>
      <c r="H1086">
        <v>4.5599999999999996</v>
      </c>
      <c r="I1086">
        <v>0.65</v>
      </c>
      <c r="J1086" t="s">
        <v>357</v>
      </c>
      <c r="K1086" t="s">
        <v>46</v>
      </c>
      <c r="L1086">
        <v>136</v>
      </c>
      <c r="M1086">
        <v>2.62</v>
      </c>
      <c r="N1086">
        <v>198.68</v>
      </c>
      <c r="O1086">
        <v>1.44</v>
      </c>
      <c r="P1086">
        <v>9</v>
      </c>
      <c r="Q1086">
        <v>0.7</v>
      </c>
      <c r="R1086">
        <v>657</v>
      </c>
      <c r="S1086">
        <v>2.73</v>
      </c>
      <c r="T1086">
        <v>0.37</v>
      </c>
      <c r="U1086" s="1">
        <v>45411</v>
      </c>
      <c r="V1086">
        <v>191.11</v>
      </c>
      <c r="W1086">
        <v>0.32600000000000001</v>
      </c>
      <c r="X1086" t="str">
        <f>IF(WarehouseData[[#This Row],[stock_level]]&lt;=WarehouseData[[#This Row],[reorder_point]],"Low Stock","Sufficient Stock")</f>
        <v>Sufficient Stock</v>
      </c>
      <c r="Y1086">
        <f>WarehouseData[[#This Row],[daily_demand]]*WarehouseData[[#This Row],[lead_time_days]]</f>
        <v>140.76</v>
      </c>
      <c r="Z1086" t="str">
        <f>IF(WarehouseData[[#This Row],[stock_level]]&lt;=WarehouseData[[#This Row],[Demand During Lead Time]],"At Risk","Safe")</f>
        <v>Safe</v>
      </c>
      <c r="AA1086">
        <f>WarehouseData[[#This Row],[stock_level]]/WarehouseData[[#This Row],[daily_demand]]</f>
        <v>8.2267689684569483</v>
      </c>
      <c r="AB1086">
        <f>WarehouseData[[#This Row],[stock_level]]*WarehouseData[[#This Row],[unit_price]]</f>
        <v>76690.48</v>
      </c>
      <c r="AC1086">
        <f>WarehouseData[[#This Row],[stock_level]]*WarehouseData[[#This Row],[holding_cost_per_unit_day]]*30</f>
        <v>16675.2</v>
      </c>
      <c r="AD1086" t="str">
        <f>IF(WarehouseData[[#This Row],[order_fulfillment_rate]]&gt;=0.9,"Strong",IF(WarehouseData[[#This Row],[order_fulfillment_rate]]&gt;=0.8,"Moderate","Needs Attention"))</f>
        <v>Needs Attention</v>
      </c>
      <c r="AE1086" t="str">
        <f>IF(WarehouseData[[#This Row],[picking_time_seconds]]&gt;120,"Slow",IF(WarehouseData[[#This Row],[picking_time_seconds]]&gt;=60,"Average","Fast"))</f>
        <v>Slow</v>
      </c>
    </row>
    <row r="1087" spans="1:31" x14ac:dyDescent="0.25">
      <c r="A1087" t="s">
        <v>1225</v>
      </c>
      <c r="B1087" t="s">
        <v>73</v>
      </c>
      <c r="C1087">
        <v>290</v>
      </c>
      <c r="D1087">
        <v>53</v>
      </c>
      <c r="E1087">
        <v>11</v>
      </c>
      <c r="F1087">
        <v>4</v>
      </c>
      <c r="G1087">
        <v>5.29</v>
      </c>
      <c r="H1087">
        <v>4.17</v>
      </c>
      <c r="I1087">
        <v>0.31</v>
      </c>
      <c r="J1087" t="s">
        <v>146</v>
      </c>
      <c r="K1087" t="s">
        <v>34</v>
      </c>
      <c r="L1087">
        <v>176</v>
      </c>
      <c r="M1087">
        <v>3.19</v>
      </c>
      <c r="N1087">
        <v>30.65</v>
      </c>
      <c r="O1087">
        <v>0.52</v>
      </c>
      <c r="P1087">
        <v>7</v>
      </c>
      <c r="Q1087">
        <v>0.94</v>
      </c>
      <c r="R1087">
        <v>496</v>
      </c>
      <c r="S1087">
        <v>14.13</v>
      </c>
      <c r="T1087">
        <v>0.9</v>
      </c>
      <c r="U1087" s="1">
        <v>45330</v>
      </c>
      <c r="V1087">
        <v>262.14999999999998</v>
      </c>
      <c r="W1087">
        <v>0.76400000000000001</v>
      </c>
      <c r="X1087" t="str">
        <f>IF(WarehouseData[[#This Row],[stock_level]]&lt;=WarehouseData[[#This Row],[reorder_point]],"Low Stock","Sufficient Stock")</f>
        <v>Sufficient Stock</v>
      </c>
      <c r="Y1087">
        <f>WarehouseData[[#This Row],[daily_demand]]*WarehouseData[[#This Row],[lead_time_days]]</f>
        <v>21.16</v>
      </c>
      <c r="Z1087" t="str">
        <f>IF(WarehouseData[[#This Row],[stock_level]]&lt;=WarehouseData[[#This Row],[Demand During Lead Time]],"At Risk","Safe")</f>
        <v>Safe</v>
      </c>
      <c r="AA1087">
        <f>WarehouseData[[#This Row],[stock_level]]/WarehouseData[[#This Row],[daily_demand]]</f>
        <v>54.820415879017013</v>
      </c>
      <c r="AB1087">
        <f>WarehouseData[[#This Row],[stock_level]]*WarehouseData[[#This Row],[unit_price]]</f>
        <v>8888.5</v>
      </c>
      <c r="AC1087">
        <f>WarehouseData[[#This Row],[stock_level]]*WarehouseData[[#This Row],[holding_cost_per_unit_day]]*30</f>
        <v>4524</v>
      </c>
      <c r="AD1087" t="str">
        <f>IF(WarehouseData[[#This Row],[order_fulfillment_rate]]&gt;=0.9,"Strong",IF(WarehouseData[[#This Row],[order_fulfillment_rate]]&gt;=0.8,"Moderate","Needs Attention"))</f>
        <v>Strong</v>
      </c>
      <c r="AE1087" t="str">
        <f>IF(WarehouseData[[#This Row],[picking_time_seconds]]&gt;120,"Slow",IF(WarehouseData[[#This Row],[picking_time_seconds]]&gt;=60,"Average","Fast"))</f>
        <v>Slow</v>
      </c>
    </row>
    <row r="1088" spans="1:31" x14ac:dyDescent="0.25">
      <c r="A1088" t="s">
        <v>1226</v>
      </c>
      <c r="B1088" t="s">
        <v>48</v>
      </c>
      <c r="C1088">
        <v>151</v>
      </c>
      <c r="D1088">
        <v>15</v>
      </c>
      <c r="E1088">
        <v>3</v>
      </c>
      <c r="F1088">
        <v>5</v>
      </c>
      <c r="G1088">
        <v>28.34</v>
      </c>
      <c r="H1088">
        <v>7.77</v>
      </c>
      <c r="I1088">
        <v>0.6</v>
      </c>
      <c r="J1088" t="s">
        <v>70</v>
      </c>
      <c r="K1088" t="s">
        <v>46</v>
      </c>
      <c r="L1088">
        <v>163</v>
      </c>
      <c r="M1088">
        <v>3.71</v>
      </c>
      <c r="N1088">
        <v>129.91</v>
      </c>
      <c r="O1088">
        <v>0.12</v>
      </c>
      <c r="P1088">
        <v>8</v>
      </c>
      <c r="Q1088">
        <v>0.79</v>
      </c>
      <c r="R1088">
        <v>611</v>
      </c>
      <c r="S1088">
        <v>6.6</v>
      </c>
      <c r="T1088">
        <v>0.54</v>
      </c>
      <c r="U1088" s="1">
        <v>45395</v>
      </c>
      <c r="V1088">
        <v>232.11</v>
      </c>
      <c r="W1088">
        <v>0.58199999999999996</v>
      </c>
      <c r="X1088" t="str">
        <f>IF(WarehouseData[[#This Row],[stock_level]]&lt;=WarehouseData[[#This Row],[reorder_point]],"Low Stock","Sufficient Stock")</f>
        <v>Sufficient Stock</v>
      </c>
      <c r="Y1088">
        <f>WarehouseData[[#This Row],[daily_demand]]*WarehouseData[[#This Row],[lead_time_days]]</f>
        <v>141.69999999999999</v>
      </c>
      <c r="Z1088" t="str">
        <f>IF(WarehouseData[[#This Row],[stock_level]]&lt;=WarehouseData[[#This Row],[Demand During Lead Time]],"At Risk","Safe")</f>
        <v>Safe</v>
      </c>
      <c r="AA1088">
        <f>WarehouseData[[#This Row],[stock_level]]/WarehouseData[[#This Row],[daily_demand]]</f>
        <v>5.3281580804516588</v>
      </c>
      <c r="AB1088">
        <f>WarehouseData[[#This Row],[stock_level]]*WarehouseData[[#This Row],[unit_price]]</f>
        <v>19616.41</v>
      </c>
      <c r="AC1088">
        <f>WarehouseData[[#This Row],[stock_level]]*WarehouseData[[#This Row],[holding_cost_per_unit_day]]*30</f>
        <v>543.6</v>
      </c>
      <c r="AD1088" t="str">
        <f>IF(WarehouseData[[#This Row],[order_fulfillment_rate]]&gt;=0.9,"Strong",IF(WarehouseData[[#This Row],[order_fulfillment_rate]]&gt;=0.8,"Moderate","Needs Attention"))</f>
        <v>Needs Attention</v>
      </c>
      <c r="AE1088" t="str">
        <f>IF(WarehouseData[[#This Row],[picking_time_seconds]]&gt;120,"Slow",IF(WarehouseData[[#This Row],[picking_time_seconds]]&gt;=60,"Average","Fast"))</f>
        <v>Slow</v>
      </c>
    </row>
    <row r="1089" spans="1:31" x14ac:dyDescent="0.25">
      <c r="A1089" t="s">
        <v>1227</v>
      </c>
      <c r="B1089" t="s">
        <v>40</v>
      </c>
      <c r="C1089">
        <v>112</v>
      </c>
      <c r="D1089">
        <v>86</v>
      </c>
      <c r="E1089">
        <v>13</v>
      </c>
      <c r="F1089">
        <v>2</v>
      </c>
      <c r="G1089">
        <v>13.44</v>
      </c>
      <c r="H1089">
        <v>8.9</v>
      </c>
      <c r="I1089">
        <v>0.83</v>
      </c>
      <c r="J1089" t="s">
        <v>77</v>
      </c>
      <c r="K1089" t="s">
        <v>34</v>
      </c>
      <c r="L1089">
        <v>74</v>
      </c>
      <c r="M1089">
        <v>1.25</v>
      </c>
      <c r="N1089">
        <v>73.92</v>
      </c>
      <c r="O1089">
        <v>1.75</v>
      </c>
      <c r="P1089">
        <v>0</v>
      </c>
      <c r="Q1089">
        <v>0.97</v>
      </c>
      <c r="R1089">
        <v>506</v>
      </c>
      <c r="S1089">
        <v>2.31</v>
      </c>
      <c r="T1089">
        <v>0.94</v>
      </c>
      <c r="U1089" s="1">
        <v>45361</v>
      </c>
      <c r="V1089">
        <v>44.27</v>
      </c>
      <c r="W1089">
        <v>0.63800000000000001</v>
      </c>
      <c r="X1089" t="str">
        <f>IF(WarehouseData[[#This Row],[stock_level]]&lt;=WarehouseData[[#This Row],[reorder_point]],"Low Stock","Sufficient Stock")</f>
        <v>Sufficient Stock</v>
      </c>
      <c r="Y1089">
        <f>WarehouseData[[#This Row],[daily_demand]]*WarehouseData[[#This Row],[lead_time_days]]</f>
        <v>26.88</v>
      </c>
      <c r="Z1089" t="str">
        <f>IF(WarehouseData[[#This Row],[stock_level]]&lt;=WarehouseData[[#This Row],[Demand During Lead Time]],"At Risk","Safe")</f>
        <v>Safe</v>
      </c>
      <c r="AA1089">
        <f>WarehouseData[[#This Row],[stock_level]]/WarehouseData[[#This Row],[daily_demand]]</f>
        <v>8.3333333333333339</v>
      </c>
      <c r="AB1089">
        <f>WarehouseData[[#This Row],[stock_level]]*WarehouseData[[#This Row],[unit_price]]</f>
        <v>8279.0400000000009</v>
      </c>
      <c r="AC1089">
        <f>WarehouseData[[#This Row],[stock_level]]*WarehouseData[[#This Row],[holding_cost_per_unit_day]]*30</f>
        <v>5880</v>
      </c>
      <c r="AD1089" t="str">
        <f>IF(WarehouseData[[#This Row],[order_fulfillment_rate]]&gt;=0.9,"Strong",IF(WarehouseData[[#This Row],[order_fulfillment_rate]]&gt;=0.8,"Moderate","Needs Attention"))</f>
        <v>Strong</v>
      </c>
      <c r="AE1089" t="str">
        <f>IF(WarehouseData[[#This Row],[picking_time_seconds]]&gt;120,"Slow",IF(WarehouseData[[#This Row],[picking_time_seconds]]&gt;=60,"Average","Fast"))</f>
        <v>Average</v>
      </c>
    </row>
    <row r="1090" spans="1:31" x14ac:dyDescent="0.25">
      <c r="A1090" t="s">
        <v>1228</v>
      </c>
      <c r="B1090" t="s">
        <v>32</v>
      </c>
      <c r="C1090">
        <v>398</v>
      </c>
      <c r="D1090">
        <v>73</v>
      </c>
      <c r="E1090">
        <v>4</v>
      </c>
      <c r="F1090">
        <v>6</v>
      </c>
      <c r="G1090">
        <v>7.81</v>
      </c>
      <c r="H1090">
        <v>7.14</v>
      </c>
      <c r="I1090">
        <v>0.33</v>
      </c>
      <c r="J1090" t="s">
        <v>477</v>
      </c>
      <c r="K1090" t="s">
        <v>46</v>
      </c>
      <c r="L1090">
        <v>89</v>
      </c>
      <c r="M1090">
        <v>4.16</v>
      </c>
      <c r="N1090">
        <v>164.22</v>
      </c>
      <c r="O1090">
        <v>1.0900000000000001</v>
      </c>
      <c r="P1090">
        <v>2</v>
      </c>
      <c r="Q1090">
        <v>0.77</v>
      </c>
      <c r="R1090">
        <v>604</v>
      </c>
      <c r="S1090">
        <v>7.98</v>
      </c>
      <c r="T1090">
        <v>0.42</v>
      </c>
      <c r="U1090" s="1">
        <v>45591</v>
      </c>
      <c r="V1090">
        <v>285.29000000000002</v>
      </c>
      <c r="W1090">
        <v>0.59499999999999997</v>
      </c>
      <c r="X1090" t="str">
        <f>IF(WarehouseData[[#This Row],[stock_level]]&lt;=WarehouseData[[#This Row],[reorder_point]],"Low Stock","Sufficient Stock")</f>
        <v>Sufficient Stock</v>
      </c>
      <c r="Y1090">
        <f>WarehouseData[[#This Row],[daily_demand]]*WarehouseData[[#This Row],[lead_time_days]]</f>
        <v>46.86</v>
      </c>
      <c r="Z1090" t="str">
        <f>IF(WarehouseData[[#This Row],[stock_level]]&lt;=WarehouseData[[#This Row],[Demand During Lead Time]],"At Risk","Safe")</f>
        <v>Safe</v>
      </c>
      <c r="AA1090">
        <f>WarehouseData[[#This Row],[stock_level]]/WarehouseData[[#This Row],[daily_demand]]</f>
        <v>50.960307298335472</v>
      </c>
      <c r="AB1090">
        <f>WarehouseData[[#This Row],[stock_level]]*WarehouseData[[#This Row],[unit_price]]</f>
        <v>65359.56</v>
      </c>
      <c r="AC1090">
        <f>WarehouseData[[#This Row],[stock_level]]*WarehouseData[[#This Row],[holding_cost_per_unit_day]]*30</f>
        <v>13014.600000000002</v>
      </c>
      <c r="AD1090" t="str">
        <f>IF(WarehouseData[[#This Row],[order_fulfillment_rate]]&gt;=0.9,"Strong",IF(WarehouseData[[#This Row],[order_fulfillment_rate]]&gt;=0.8,"Moderate","Needs Attention"))</f>
        <v>Needs Attention</v>
      </c>
      <c r="AE1090" t="str">
        <f>IF(WarehouseData[[#This Row],[picking_time_seconds]]&gt;120,"Slow",IF(WarehouseData[[#This Row],[picking_time_seconds]]&gt;=60,"Average","Fast"))</f>
        <v>Average</v>
      </c>
    </row>
    <row r="1091" spans="1:31" x14ac:dyDescent="0.25">
      <c r="A1091" t="s">
        <v>1229</v>
      </c>
      <c r="B1091" t="s">
        <v>73</v>
      </c>
      <c r="C1091">
        <v>92</v>
      </c>
      <c r="D1091">
        <v>31</v>
      </c>
      <c r="E1091">
        <v>8</v>
      </c>
      <c r="F1091">
        <v>9</v>
      </c>
      <c r="G1091">
        <v>11.73</v>
      </c>
      <c r="H1091">
        <v>3.75</v>
      </c>
      <c r="I1091">
        <v>0.62</v>
      </c>
      <c r="J1091" t="s">
        <v>158</v>
      </c>
      <c r="K1091" t="s">
        <v>46</v>
      </c>
      <c r="L1091">
        <v>122</v>
      </c>
      <c r="M1091">
        <v>2.06</v>
      </c>
      <c r="N1091">
        <v>153.29</v>
      </c>
      <c r="O1091">
        <v>1.97</v>
      </c>
      <c r="P1091">
        <v>2</v>
      </c>
      <c r="Q1091">
        <v>0.96</v>
      </c>
      <c r="R1091">
        <v>580</v>
      </c>
      <c r="S1091">
        <v>3.67</v>
      </c>
      <c r="T1091">
        <v>0.56999999999999995</v>
      </c>
      <c r="U1091" s="1">
        <v>45347</v>
      </c>
      <c r="V1091">
        <v>30.22</v>
      </c>
      <c r="W1091">
        <v>0.51800000000000002</v>
      </c>
      <c r="X1091" t="str">
        <f>IF(WarehouseData[[#This Row],[stock_level]]&lt;=WarehouseData[[#This Row],[reorder_point]],"Low Stock","Sufficient Stock")</f>
        <v>Sufficient Stock</v>
      </c>
      <c r="Y1091">
        <f>WarehouseData[[#This Row],[daily_demand]]*WarehouseData[[#This Row],[lead_time_days]]</f>
        <v>105.57000000000001</v>
      </c>
      <c r="Z1091" t="str">
        <f>IF(WarehouseData[[#This Row],[stock_level]]&lt;=WarehouseData[[#This Row],[Demand During Lead Time]],"At Risk","Safe")</f>
        <v>At Risk</v>
      </c>
      <c r="AA1091">
        <f>WarehouseData[[#This Row],[stock_level]]/WarehouseData[[#This Row],[daily_demand]]</f>
        <v>7.8431372549019605</v>
      </c>
      <c r="AB1091">
        <f>WarehouseData[[#This Row],[stock_level]]*WarehouseData[[#This Row],[unit_price]]</f>
        <v>14102.679999999998</v>
      </c>
      <c r="AC1091">
        <f>WarehouseData[[#This Row],[stock_level]]*WarehouseData[[#This Row],[holding_cost_per_unit_day]]*30</f>
        <v>5437.2000000000007</v>
      </c>
      <c r="AD1091" t="str">
        <f>IF(WarehouseData[[#This Row],[order_fulfillment_rate]]&gt;=0.9,"Strong",IF(WarehouseData[[#This Row],[order_fulfillment_rate]]&gt;=0.8,"Moderate","Needs Attention"))</f>
        <v>Strong</v>
      </c>
      <c r="AE1091" t="str">
        <f>IF(WarehouseData[[#This Row],[picking_time_seconds]]&gt;120,"Slow",IF(WarehouseData[[#This Row],[picking_time_seconds]]&gt;=60,"Average","Fast"))</f>
        <v>Slow</v>
      </c>
    </row>
    <row r="1092" spans="1:31" x14ac:dyDescent="0.25">
      <c r="A1092" t="s">
        <v>1230</v>
      </c>
      <c r="B1092" t="s">
        <v>36</v>
      </c>
      <c r="C1092">
        <v>430</v>
      </c>
      <c r="D1092">
        <v>27</v>
      </c>
      <c r="E1092">
        <v>13</v>
      </c>
      <c r="F1092">
        <v>5</v>
      </c>
      <c r="G1092">
        <v>29.31</v>
      </c>
      <c r="H1092">
        <v>4.62</v>
      </c>
      <c r="I1092">
        <v>0.41</v>
      </c>
      <c r="J1092" t="s">
        <v>477</v>
      </c>
      <c r="K1092" t="s">
        <v>38</v>
      </c>
      <c r="L1092">
        <v>120</v>
      </c>
      <c r="M1092">
        <v>2.76</v>
      </c>
      <c r="N1092">
        <v>179.58</v>
      </c>
      <c r="O1092">
        <v>0.83</v>
      </c>
      <c r="P1092">
        <v>8</v>
      </c>
      <c r="Q1092">
        <v>0.72</v>
      </c>
      <c r="R1092">
        <v>162</v>
      </c>
      <c r="S1092">
        <v>5.97</v>
      </c>
      <c r="T1092">
        <v>0.82</v>
      </c>
      <c r="U1092" s="1">
        <v>45371</v>
      </c>
      <c r="V1092">
        <v>171.5</v>
      </c>
      <c r="W1092">
        <v>0.54500000000000004</v>
      </c>
      <c r="X1092" t="str">
        <f>IF(WarehouseData[[#This Row],[stock_level]]&lt;=WarehouseData[[#This Row],[reorder_point]],"Low Stock","Sufficient Stock")</f>
        <v>Sufficient Stock</v>
      </c>
      <c r="Y1092">
        <f>WarehouseData[[#This Row],[daily_demand]]*WarehouseData[[#This Row],[lead_time_days]]</f>
        <v>146.54999999999998</v>
      </c>
      <c r="Z1092" t="str">
        <f>IF(WarehouseData[[#This Row],[stock_level]]&lt;=WarehouseData[[#This Row],[Demand During Lead Time]],"At Risk","Safe")</f>
        <v>Safe</v>
      </c>
      <c r="AA1092">
        <f>WarehouseData[[#This Row],[stock_level]]/WarehouseData[[#This Row],[daily_demand]]</f>
        <v>14.670760832480383</v>
      </c>
      <c r="AB1092">
        <f>WarehouseData[[#This Row],[stock_level]]*WarehouseData[[#This Row],[unit_price]]</f>
        <v>77219.400000000009</v>
      </c>
      <c r="AC1092">
        <f>WarehouseData[[#This Row],[stock_level]]*WarehouseData[[#This Row],[holding_cost_per_unit_day]]*30</f>
        <v>10707</v>
      </c>
      <c r="AD1092" t="str">
        <f>IF(WarehouseData[[#This Row],[order_fulfillment_rate]]&gt;=0.9,"Strong",IF(WarehouseData[[#This Row],[order_fulfillment_rate]]&gt;=0.8,"Moderate","Needs Attention"))</f>
        <v>Needs Attention</v>
      </c>
      <c r="AE1092" t="str">
        <f>IF(WarehouseData[[#This Row],[picking_time_seconds]]&gt;120,"Slow",IF(WarehouseData[[#This Row],[picking_time_seconds]]&gt;=60,"Average","Fast"))</f>
        <v>Average</v>
      </c>
    </row>
    <row r="1093" spans="1:31" x14ac:dyDescent="0.25">
      <c r="A1093" t="s">
        <v>1231</v>
      </c>
      <c r="B1093" t="s">
        <v>40</v>
      </c>
      <c r="C1093">
        <v>429</v>
      </c>
      <c r="D1093">
        <v>21</v>
      </c>
      <c r="E1093">
        <v>12</v>
      </c>
      <c r="F1093">
        <v>7</v>
      </c>
      <c r="G1093">
        <v>4.1900000000000004</v>
      </c>
      <c r="H1093">
        <v>1.86</v>
      </c>
      <c r="I1093">
        <v>0.57999999999999996</v>
      </c>
      <c r="J1093" t="s">
        <v>92</v>
      </c>
      <c r="K1093" t="s">
        <v>34</v>
      </c>
      <c r="L1093">
        <v>62</v>
      </c>
      <c r="M1093">
        <v>3.24</v>
      </c>
      <c r="N1093">
        <v>75.3</v>
      </c>
      <c r="O1093">
        <v>1.92</v>
      </c>
      <c r="P1093">
        <v>2</v>
      </c>
      <c r="Q1093">
        <v>0.78</v>
      </c>
      <c r="R1093">
        <v>938</v>
      </c>
      <c r="S1093">
        <v>5.48</v>
      </c>
      <c r="T1093">
        <v>0.64</v>
      </c>
      <c r="U1093" s="1">
        <v>45346</v>
      </c>
      <c r="V1093">
        <v>284.05</v>
      </c>
      <c r="W1093">
        <v>0.52500000000000002</v>
      </c>
      <c r="X1093" t="str">
        <f>IF(WarehouseData[[#This Row],[stock_level]]&lt;=WarehouseData[[#This Row],[reorder_point]],"Low Stock","Sufficient Stock")</f>
        <v>Sufficient Stock</v>
      </c>
      <c r="Y1093">
        <f>WarehouseData[[#This Row],[daily_demand]]*WarehouseData[[#This Row],[lead_time_days]]</f>
        <v>29.330000000000002</v>
      </c>
      <c r="Z1093" t="str">
        <f>IF(WarehouseData[[#This Row],[stock_level]]&lt;=WarehouseData[[#This Row],[Demand During Lead Time]],"At Risk","Safe")</f>
        <v>Safe</v>
      </c>
      <c r="AA1093">
        <f>WarehouseData[[#This Row],[stock_level]]/WarehouseData[[#This Row],[daily_demand]]</f>
        <v>102.38663484486872</v>
      </c>
      <c r="AB1093">
        <f>WarehouseData[[#This Row],[stock_level]]*WarehouseData[[#This Row],[unit_price]]</f>
        <v>32303.699999999997</v>
      </c>
      <c r="AC1093">
        <f>WarehouseData[[#This Row],[stock_level]]*WarehouseData[[#This Row],[holding_cost_per_unit_day]]*30</f>
        <v>24710.399999999998</v>
      </c>
      <c r="AD1093" t="str">
        <f>IF(WarehouseData[[#This Row],[order_fulfillment_rate]]&gt;=0.9,"Strong",IF(WarehouseData[[#This Row],[order_fulfillment_rate]]&gt;=0.8,"Moderate","Needs Attention"))</f>
        <v>Needs Attention</v>
      </c>
      <c r="AE1093" t="str">
        <f>IF(WarehouseData[[#This Row],[picking_time_seconds]]&gt;120,"Slow",IF(WarehouseData[[#This Row],[picking_time_seconds]]&gt;=60,"Average","Fast"))</f>
        <v>Average</v>
      </c>
    </row>
    <row r="1094" spans="1:31" x14ac:dyDescent="0.25">
      <c r="A1094" t="s">
        <v>1232</v>
      </c>
      <c r="B1094" t="s">
        <v>48</v>
      </c>
      <c r="C1094">
        <v>422</v>
      </c>
      <c r="D1094">
        <v>61</v>
      </c>
      <c r="E1094">
        <v>13</v>
      </c>
      <c r="F1094">
        <v>4</v>
      </c>
      <c r="G1094">
        <v>22.28</v>
      </c>
      <c r="H1094">
        <v>2.1</v>
      </c>
      <c r="I1094">
        <v>0.7</v>
      </c>
      <c r="J1094" t="s">
        <v>135</v>
      </c>
      <c r="K1094" t="s">
        <v>52</v>
      </c>
      <c r="L1094">
        <v>146</v>
      </c>
      <c r="M1094">
        <v>2.7</v>
      </c>
      <c r="N1094">
        <v>45.06</v>
      </c>
      <c r="O1094">
        <v>1.27</v>
      </c>
      <c r="P1094">
        <v>9</v>
      </c>
      <c r="Q1094">
        <v>0.99</v>
      </c>
      <c r="R1094">
        <v>774</v>
      </c>
      <c r="S1094">
        <v>14.82</v>
      </c>
      <c r="T1094">
        <v>0.73</v>
      </c>
      <c r="U1094" s="1">
        <v>45376</v>
      </c>
      <c r="V1094">
        <v>248.45</v>
      </c>
      <c r="W1094">
        <v>0.63500000000000001</v>
      </c>
      <c r="X1094" t="str">
        <f>IF(WarehouseData[[#This Row],[stock_level]]&lt;=WarehouseData[[#This Row],[reorder_point]],"Low Stock","Sufficient Stock")</f>
        <v>Sufficient Stock</v>
      </c>
      <c r="Y1094">
        <f>WarehouseData[[#This Row],[daily_demand]]*WarehouseData[[#This Row],[lead_time_days]]</f>
        <v>89.12</v>
      </c>
      <c r="Z1094" t="str">
        <f>IF(WarehouseData[[#This Row],[stock_level]]&lt;=WarehouseData[[#This Row],[Demand During Lead Time]],"At Risk","Safe")</f>
        <v>Safe</v>
      </c>
      <c r="AA1094">
        <f>WarehouseData[[#This Row],[stock_level]]/WarehouseData[[#This Row],[daily_demand]]</f>
        <v>18.940754039497307</v>
      </c>
      <c r="AB1094">
        <f>WarehouseData[[#This Row],[stock_level]]*WarehouseData[[#This Row],[unit_price]]</f>
        <v>19015.32</v>
      </c>
      <c r="AC1094">
        <f>WarehouseData[[#This Row],[stock_level]]*WarehouseData[[#This Row],[holding_cost_per_unit_day]]*30</f>
        <v>16078.2</v>
      </c>
      <c r="AD1094" t="str">
        <f>IF(WarehouseData[[#This Row],[order_fulfillment_rate]]&gt;=0.9,"Strong",IF(WarehouseData[[#This Row],[order_fulfillment_rate]]&gt;=0.8,"Moderate","Needs Attention"))</f>
        <v>Strong</v>
      </c>
      <c r="AE1094" t="str">
        <f>IF(WarehouseData[[#This Row],[picking_time_seconds]]&gt;120,"Slow",IF(WarehouseData[[#This Row],[picking_time_seconds]]&gt;=60,"Average","Fast"))</f>
        <v>Slow</v>
      </c>
    </row>
    <row r="1095" spans="1:31" x14ac:dyDescent="0.25">
      <c r="A1095" t="s">
        <v>1233</v>
      </c>
      <c r="B1095" t="s">
        <v>48</v>
      </c>
      <c r="C1095">
        <v>267</v>
      </c>
      <c r="D1095">
        <v>60</v>
      </c>
      <c r="E1095">
        <v>3</v>
      </c>
      <c r="F1095">
        <v>4</v>
      </c>
      <c r="G1095">
        <v>7.63</v>
      </c>
      <c r="H1095">
        <v>2.06</v>
      </c>
      <c r="I1095">
        <v>0.42</v>
      </c>
      <c r="J1095" t="s">
        <v>192</v>
      </c>
      <c r="K1095" t="s">
        <v>46</v>
      </c>
      <c r="L1095">
        <v>142</v>
      </c>
      <c r="M1095">
        <v>3.07</v>
      </c>
      <c r="N1095">
        <v>14.14</v>
      </c>
      <c r="O1095">
        <v>1.07</v>
      </c>
      <c r="P1095">
        <v>0</v>
      </c>
      <c r="Q1095">
        <v>0.77</v>
      </c>
      <c r="R1095">
        <v>579</v>
      </c>
      <c r="S1095">
        <v>9.9499999999999993</v>
      </c>
      <c r="T1095">
        <v>0.42</v>
      </c>
      <c r="U1095" s="1">
        <v>45522</v>
      </c>
      <c r="V1095">
        <v>207.44</v>
      </c>
      <c r="W1095">
        <v>0.66400000000000003</v>
      </c>
      <c r="X1095" t="str">
        <f>IF(WarehouseData[[#This Row],[stock_level]]&lt;=WarehouseData[[#This Row],[reorder_point]],"Low Stock","Sufficient Stock")</f>
        <v>Sufficient Stock</v>
      </c>
      <c r="Y1095">
        <f>WarehouseData[[#This Row],[daily_demand]]*WarehouseData[[#This Row],[lead_time_days]]</f>
        <v>30.52</v>
      </c>
      <c r="Z1095" t="str">
        <f>IF(WarehouseData[[#This Row],[stock_level]]&lt;=WarehouseData[[#This Row],[Demand During Lead Time]],"At Risk","Safe")</f>
        <v>Safe</v>
      </c>
      <c r="AA1095">
        <f>WarehouseData[[#This Row],[stock_level]]/WarehouseData[[#This Row],[daily_demand]]</f>
        <v>34.993446920052428</v>
      </c>
      <c r="AB1095">
        <f>WarehouseData[[#This Row],[stock_level]]*WarehouseData[[#This Row],[unit_price]]</f>
        <v>3775.38</v>
      </c>
      <c r="AC1095">
        <f>WarehouseData[[#This Row],[stock_level]]*WarehouseData[[#This Row],[holding_cost_per_unit_day]]*30</f>
        <v>8570.7000000000007</v>
      </c>
      <c r="AD1095" t="str">
        <f>IF(WarehouseData[[#This Row],[order_fulfillment_rate]]&gt;=0.9,"Strong",IF(WarehouseData[[#This Row],[order_fulfillment_rate]]&gt;=0.8,"Moderate","Needs Attention"))</f>
        <v>Needs Attention</v>
      </c>
      <c r="AE1095" t="str">
        <f>IF(WarehouseData[[#This Row],[picking_time_seconds]]&gt;120,"Slow",IF(WarehouseData[[#This Row],[picking_time_seconds]]&gt;=60,"Average","Fast"))</f>
        <v>Slow</v>
      </c>
    </row>
    <row r="1096" spans="1:31" x14ac:dyDescent="0.25">
      <c r="A1096" t="s">
        <v>1234</v>
      </c>
      <c r="B1096" t="s">
        <v>40</v>
      </c>
      <c r="C1096">
        <v>367</v>
      </c>
      <c r="D1096">
        <v>80</v>
      </c>
      <c r="E1096">
        <v>6</v>
      </c>
      <c r="F1096">
        <v>4</v>
      </c>
      <c r="G1096">
        <v>14.36</v>
      </c>
      <c r="H1096">
        <v>1.74</v>
      </c>
      <c r="I1096">
        <v>1</v>
      </c>
      <c r="J1096" t="s">
        <v>188</v>
      </c>
      <c r="K1096" t="s">
        <v>52</v>
      </c>
      <c r="L1096">
        <v>125</v>
      </c>
      <c r="M1096">
        <v>1</v>
      </c>
      <c r="N1096">
        <v>58.55</v>
      </c>
      <c r="O1096">
        <v>0.68</v>
      </c>
      <c r="P1096">
        <v>2</v>
      </c>
      <c r="Q1096">
        <v>0.74</v>
      </c>
      <c r="R1096">
        <v>695</v>
      </c>
      <c r="S1096">
        <v>7.89</v>
      </c>
      <c r="T1096">
        <v>0.46</v>
      </c>
      <c r="U1096" s="1">
        <v>45530</v>
      </c>
      <c r="V1096">
        <v>258.33999999999997</v>
      </c>
      <c r="W1096">
        <v>0.63700000000000001</v>
      </c>
      <c r="X1096" t="str">
        <f>IF(WarehouseData[[#This Row],[stock_level]]&lt;=WarehouseData[[#This Row],[reorder_point]],"Low Stock","Sufficient Stock")</f>
        <v>Sufficient Stock</v>
      </c>
      <c r="Y1096">
        <f>WarehouseData[[#This Row],[daily_demand]]*WarehouseData[[#This Row],[lead_time_days]]</f>
        <v>57.44</v>
      </c>
      <c r="Z1096" t="str">
        <f>IF(WarehouseData[[#This Row],[stock_level]]&lt;=WarehouseData[[#This Row],[Demand During Lead Time]],"At Risk","Safe")</f>
        <v>Safe</v>
      </c>
      <c r="AA1096">
        <f>WarehouseData[[#This Row],[stock_level]]/WarehouseData[[#This Row],[daily_demand]]</f>
        <v>25.557103064066855</v>
      </c>
      <c r="AB1096">
        <f>WarehouseData[[#This Row],[stock_level]]*WarehouseData[[#This Row],[unit_price]]</f>
        <v>21487.85</v>
      </c>
      <c r="AC1096">
        <f>WarehouseData[[#This Row],[stock_level]]*WarehouseData[[#This Row],[holding_cost_per_unit_day]]*30</f>
        <v>7486.8000000000011</v>
      </c>
      <c r="AD1096" t="str">
        <f>IF(WarehouseData[[#This Row],[order_fulfillment_rate]]&gt;=0.9,"Strong",IF(WarehouseData[[#This Row],[order_fulfillment_rate]]&gt;=0.8,"Moderate","Needs Attention"))</f>
        <v>Needs Attention</v>
      </c>
      <c r="AE1096" t="str">
        <f>IF(WarehouseData[[#This Row],[picking_time_seconds]]&gt;120,"Slow",IF(WarehouseData[[#This Row],[picking_time_seconds]]&gt;=60,"Average","Fast"))</f>
        <v>Slow</v>
      </c>
    </row>
    <row r="1097" spans="1:31" x14ac:dyDescent="0.25">
      <c r="A1097" t="s">
        <v>1235</v>
      </c>
      <c r="B1097" t="s">
        <v>48</v>
      </c>
      <c r="C1097">
        <v>292</v>
      </c>
      <c r="D1097">
        <v>57</v>
      </c>
      <c r="E1097">
        <v>10</v>
      </c>
      <c r="F1097">
        <v>5</v>
      </c>
      <c r="G1097">
        <v>10.35</v>
      </c>
      <c r="H1097">
        <v>2.21</v>
      </c>
      <c r="I1097">
        <v>0.61</v>
      </c>
      <c r="J1097" t="s">
        <v>77</v>
      </c>
      <c r="K1097" t="s">
        <v>38</v>
      </c>
      <c r="L1097">
        <v>81</v>
      </c>
      <c r="M1097">
        <v>2.44</v>
      </c>
      <c r="N1097">
        <v>79.760000000000005</v>
      </c>
      <c r="O1097">
        <v>1.67</v>
      </c>
      <c r="P1097">
        <v>1</v>
      </c>
      <c r="Q1097">
        <v>0.96</v>
      </c>
      <c r="R1097">
        <v>852</v>
      </c>
      <c r="S1097">
        <v>8.19</v>
      </c>
      <c r="T1097">
        <v>0.61</v>
      </c>
      <c r="U1097" s="1">
        <v>45452</v>
      </c>
      <c r="V1097">
        <v>205.25</v>
      </c>
      <c r="W1097">
        <v>0.63600000000000001</v>
      </c>
      <c r="X1097" t="str">
        <f>IF(WarehouseData[[#This Row],[stock_level]]&lt;=WarehouseData[[#This Row],[reorder_point]],"Low Stock","Sufficient Stock")</f>
        <v>Sufficient Stock</v>
      </c>
      <c r="Y1097">
        <f>WarehouseData[[#This Row],[daily_demand]]*WarehouseData[[#This Row],[lead_time_days]]</f>
        <v>51.75</v>
      </c>
      <c r="Z1097" t="str">
        <f>IF(WarehouseData[[#This Row],[stock_level]]&lt;=WarehouseData[[#This Row],[Demand During Lead Time]],"At Risk","Safe")</f>
        <v>Safe</v>
      </c>
      <c r="AA1097">
        <f>WarehouseData[[#This Row],[stock_level]]/WarehouseData[[#This Row],[daily_demand]]</f>
        <v>28.212560386473431</v>
      </c>
      <c r="AB1097">
        <f>WarehouseData[[#This Row],[stock_level]]*WarehouseData[[#This Row],[unit_price]]</f>
        <v>23289.920000000002</v>
      </c>
      <c r="AC1097">
        <f>WarehouseData[[#This Row],[stock_level]]*WarehouseData[[#This Row],[holding_cost_per_unit_day]]*30</f>
        <v>14629.199999999999</v>
      </c>
      <c r="AD1097" t="str">
        <f>IF(WarehouseData[[#This Row],[order_fulfillment_rate]]&gt;=0.9,"Strong",IF(WarehouseData[[#This Row],[order_fulfillment_rate]]&gt;=0.8,"Moderate","Needs Attention"))</f>
        <v>Strong</v>
      </c>
      <c r="AE1097" t="str">
        <f>IF(WarehouseData[[#This Row],[picking_time_seconds]]&gt;120,"Slow",IF(WarehouseData[[#This Row],[picking_time_seconds]]&gt;=60,"Average","Fast"))</f>
        <v>Average</v>
      </c>
    </row>
    <row r="1098" spans="1:31" x14ac:dyDescent="0.25">
      <c r="A1098" t="s">
        <v>1236</v>
      </c>
      <c r="B1098" t="s">
        <v>32</v>
      </c>
      <c r="C1098">
        <v>62</v>
      </c>
      <c r="D1098">
        <v>28</v>
      </c>
      <c r="E1098">
        <v>12</v>
      </c>
      <c r="F1098">
        <v>4</v>
      </c>
      <c r="G1098">
        <v>44.27</v>
      </c>
      <c r="H1098">
        <v>2.4300000000000002</v>
      </c>
      <c r="I1098">
        <v>0.84</v>
      </c>
      <c r="J1098" t="s">
        <v>129</v>
      </c>
      <c r="K1098" t="s">
        <v>52</v>
      </c>
      <c r="L1098">
        <v>30</v>
      </c>
      <c r="M1098">
        <v>1.76</v>
      </c>
      <c r="N1098">
        <v>189.75</v>
      </c>
      <c r="O1098">
        <v>1.67</v>
      </c>
      <c r="P1098">
        <v>8</v>
      </c>
      <c r="Q1098">
        <v>0.74</v>
      </c>
      <c r="R1098">
        <v>575</v>
      </c>
      <c r="S1098">
        <v>9.4600000000000009</v>
      </c>
      <c r="T1098">
        <v>0.36</v>
      </c>
      <c r="U1098" s="1">
        <v>45500</v>
      </c>
      <c r="V1098">
        <v>25.94</v>
      </c>
      <c r="W1098">
        <v>0.41899999999999998</v>
      </c>
      <c r="X1098" t="str">
        <f>IF(WarehouseData[[#This Row],[stock_level]]&lt;=WarehouseData[[#This Row],[reorder_point]],"Low Stock","Sufficient Stock")</f>
        <v>Sufficient Stock</v>
      </c>
      <c r="Y1098">
        <f>WarehouseData[[#This Row],[daily_demand]]*WarehouseData[[#This Row],[lead_time_days]]</f>
        <v>177.08</v>
      </c>
      <c r="Z1098" t="str">
        <f>IF(WarehouseData[[#This Row],[stock_level]]&lt;=WarehouseData[[#This Row],[Demand During Lead Time]],"At Risk","Safe")</f>
        <v>At Risk</v>
      </c>
      <c r="AA1098">
        <f>WarehouseData[[#This Row],[stock_level]]/WarehouseData[[#This Row],[daily_demand]]</f>
        <v>1.4004969505308333</v>
      </c>
      <c r="AB1098">
        <f>WarehouseData[[#This Row],[stock_level]]*WarehouseData[[#This Row],[unit_price]]</f>
        <v>11764.5</v>
      </c>
      <c r="AC1098">
        <f>WarehouseData[[#This Row],[stock_level]]*WarehouseData[[#This Row],[holding_cost_per_unit_day]]*30</f>
        <v>3106.2</v>
      </c>
      <c r="AD1098" t="str">
        <f>IF(WarehouseData[[#This Row],[order_fulfillment_rate]]&gt;=0.9,"Strong",IF(WarehouseData[[#This Row],[order_fulfillment_rate]]&gt;=0.8,"Moderate","Needs Attention"))</f>
        <v>Needs Attention</v>
      </c>
      <c r="AE1098" t="str">
        <f>IF(WarehouseData[[#This Row],[picking_time_seconds]]&gt;120,"Slow",IF(WarehouseData[[#This Row],[picking_time_seconds]]&gt;=60,"Average","Fast"))</f>
        <v>Fast</v>
      </c>
    </row>
    <row r="1099" spans="1:31" x14ac:dyDescent="0.25">
      <c r="A1099" t="s">
        <v>1237</v>
      </c>
      <c r="B1099" t="s">
        <v>73</v>
      </c>
      <c r="C1099">
        <v>396</v>
      </c>
      <c r="D1099">
        <v>15</v>
      </c>
      <c r="E1099">
        <v>7</v>
      </c>
      <c r="F1099">
        <v>7</v>
      </c>
      <c r="G1099">
        <v>35.69</v>
      </c>
      <c r="H1099">
        <v>1.56</v>
      </c>
      <c r="I1099">
        <v>0.75</v>
      </c>
      <c r="J1099" t="s">
        <v>148</v>
      </c>
      <c r="K1099" t="s">
        <v>46</v>
      </c>
      <c r="L1099">
        <v>112</v>
      </c>
      <c r="M1099">
        <v>0.89</v>
      </c>
      <c r="N1099">
        <v>103.36</v>
      </c>
      <c r="O1099">
        <v>0.89</v>
      </c>
      <c r="P1099">
        <v>0</v>
      </c>
      <c r="Q1099">
        <v>0.73</v>
      </c>
      <c r="R1099">
        <v>113</v>
      </c>
      <c r="S1099">
        <v>13.22</v>
      </c>
      <c r="T1099">
        <v>0.3</v>
      </c>
      <c r="U1099" s="1">
        <v>45353</v>
      </c>
      <c r="V1099">
        <v>111.75</v>
      </c>
      <c r="W1099">
        <v>0.69299999999999995</v>
      </c>
      <c r="X1099" t="str">
        <f>IF(WarehouseData[[#This Row],[stock_level]]&lt;=WarehouseData[[#This Row],[reorder_point]],"Low Stock","Sufficient Stock")</f>
        <v>Sufficient Stock</v>
      </c>
      <c r="Y1099">
        <f>WarehouseData[[#This Row],[daily_demand]]*WarehouseData[[#This Row],[lead_time_days]]</f>
        <v>249.82999999999998</v>
      </c>
      <c r="Z1099" t="str">
        <f>IF(WarehouseData[[#This Row],[stock_level]]&lt;=WarehouseData[[#This Row],[Demand During Lead Time]],"At Risk","Safe")</f>
        <v>Safe</v>
      </c>
      <c r="AA1099">
        <f>WarehouseData[[#This Row],[stock_level]]/WarehouseData[[#This Row],[daily_demand]]</f>
        <v>11.095544970579995</v>
      </c>
      <c r="AB1099">
        <f>WarehouseData[[#This Row],[stock_level]]*WarehouseData[[#This Row],[unit_price]]</f>
        <v>40930.559999999998</v>
      </c>
      <c r="AC1099">
        <f>WarehouseData[[#This Row],[stock_level]]*WarehouseData[[#This Row],[holding_cost_per_unit_day]]*30</f>
        <v>10573.2</v>
      </c>
      <c r="AD1099" t="str">
        <f>IF(WarehouseData[[#This Row],[order_fulfillment_rate]]&gt;=0.9,"Strong",IF(WarehouseData[[#This Row],[order_fulfillment_rate]]&gt;=0.8,"Moderate","Needs Attention"))</f>
        <v>Needs Attention</v>
      </c>
      <c r="AE1099" t="str">
        <f>IF(WarehouseData[[#This Row],[picking_time_seconds]]&gt;120,"Slow",IF(WarehouseData[[#This Row],[picking_time_seconds]]&gt;=60,"Average","Fast"))</f>
        <v>Average</v>
      </c>
    </row>
    <row r="1100" spans="1:31" x14ac:dyDescent="0.25">
      <c r="A1100" t="s">
        <v>1238</v>
      </c>
      <c r="B1100" t="s">
        <v>32</v>
      </c>
      <c r="C1100">
        <v>60</v>
      </c>
      <c r="D1100">
        <v>93</v>
      </c>
      <c r="E1100">
        <v>11</v>
      </c>
      <c r="F1100">
        <v>9</v>
      </c>
      <c r="G1100">
        <v>43.55</v>
      </c>
      <c r="H1100">
        <v>6.58</v>
      </c>
      <c r="I1100">
        <v>0.87</v>
      </c>
      <c r="J1100" t="s">
        <v>66</v>
      </c>
      <c r="K1100" t="s">
        <v>46</v>
      </c>
      <c r="L1100">
        <v>116</v>
      </c>
      <c r="M1100">
        <v>1.36</v>
      </c>
      <c r="N1100">
        <v>115.72</v>
      </c>
      <c r="O1100">
        <v>1.48</v>
      </c>
      <c r="P1100">
        <v>1</v>
      </c>
      <c r="Q1100">
        <v>0.8</v>
      </c>
      <c r="R1100">
        <v>442</v>
      </c>
      <c r="S1100">
        <v>3.04</v>
      </c>
      <c r="T1100">
        <v>0.88</v>
      </c>
      <c r="U1100" s="1">
        <v>45566</v>
      </c>
      <c r="V1100">
        <v>133.87</v>
      </c>
      <c r="W1100">
        <v>0.60899999999999999</v>
      </c>
      <c r="X1100" t="str">
        <f>IF(WarehouseData[[#This Row],[stock_level]]&lt;=WarehouseData[[#This Row],[reorder_point]],"Low Stock","Sufficient Stock")</f>
        <v>Low Stock</v>
      </c>
      <c r="Y1100">
        <f>WarehouseData[[#This Row],[daily_demand]]*WarehouseData[[#This Row],[lead_time_days]]</f>
        <v>391.95</v>
      </c>
      <c r="Z1100" t="str">
        <f>IF(WarehouseData[[#This Row],[stock_level]]&lt;=WarehouseData[[#This Row],[Demand During Lead Time]],"At Risk","Safe")</f>
        <v>At Risk</v>
      </c>
      <c r="AA1100">
        <f>WarehouseData[[#This Row],[stock_level]]/WarehouseData[[#This Row],[daily_demand]]</f>
        <v>1.3777267508610793</v>
      </c>
      <c r="AB1100">
        <f>WarehouseData[[#This Row],[stock_level]]*WarehouseData[[#This Row],[unit_price]]</f>
        <v>6943.2</v>
      </c>
      <c r="AC1100">
        <f>WarehouseData[[#This Row],[stock_level]]*WarehouseData[[#This Row],[holding_cost_per_unit_day]]*30</f>
        <v>2664</v>
      </c>
      <c r="AD1100" t="str">
        <f>IF(WarehouseData[[#This Row],[order_fulfillment_rate]]&gt;=0.9,"Strong",IF(WarehouseData[[#This Row],[order_fulfillment_rate]]&gt;=0.8,"Moderate","Needs Attention"))</f>
        <v>Moderate</v>
      </c>
      <c r="AE1100" t="str">
        <f>IF(WarehouseData[[#This Row],[picking_time_seconds]]&gt;120,"Slow",IF(WarehouseData[[#This Row],[picking_time_seconds]]&gt;=60,"Average","Fast"))</f>
        <v>Average</v>
      </c>
    </row>
    <row r="1101" spans="1:31" x14ac:dyDescent="0.25">
      <c r="A1101" t="s">
        <v>1239</v>
      </c>
      <c r="B1101" t="s">
        <v>48</v>
      </c>
      <c r="C1101">
        <v>189</v>
      </c>
      <c r="D1101">
        <v>36</v>
      </c>
      <c r="E1101">
        <v>13</v>
      </c>
      <c r="F1101">
        <v>5</v>
      </c>
      <c r="G1101">
        <v>19.79</v>
      </c>
      <c r="H1101">
        <v>9.91</v>
      </c>
      <c r="I1101">
        <v>0.26</v>
      </c>
      <c r="J1101" t="s">
        <v>163</v>
      </c>
      <c r="K1101" t="s">
        <v>46</v>
      </c>
      <c r="L1101">
        <v>72</v>
      </c>
      <c r="M1101">
        <v>3.21</v>
      </c>
      <c r="N1101">
        <v>177.22</v>
      </c>
      <c r="O1101">
        <v>0.95</v>
      </c>
      <c r="P1101">
        <v>0</v>
      </c>
      <c r="Q1101">
        <v>0.89</v>
      </c>
      <c r="R1101">
        <v>724</v>
      </c>
      <c r="S1101">
        <v>9.39</v>
      </c>
      <c r="T1101">
        <v>0.82</v>
      </c>
      <c r="U1101" s="1">
        <v>45475</v>
      </c>
      <c r="V1101">
        <v>168.45</v>
      </c>
      <c r="W1101">
        <v>0.77200000000000002</v>
      </c>
      <c r="X1101" t="str">
        <f>IF(WarehouseData[[#This Row],[stock_level]]&lt;=WarehouseData[[#This Row],[reorder_point]],"Low Stock","Sufficient Stock")</f>
        <v>Sufficient Stock</v>
      </c>
      <c r="Y1101">
        <f>WarehouseData[[#This Row],[daily_demand]]*WarehouseData[[#This Row],[lead_time_days]]</f>
        <v>98.949999999999989</v>
      </c>
      <c r="Z1101" t="str">
        <f>IF(WarehouseData[[#This Row],[stock_level]]&lt;=WarehouseData[[#This Row],[Demand During Lead Time]],"At Risk","Safe")</f>
        <v>Safe</v>
      </c>
      <c r="AA1101">
        <f>WarehouseData[[#This Row],[stock_level]]/WarehouseData[[#This Row],[daily_demand]]</f>
        <v>9.5502779181404751</v>
      </c>
      <c r="AB1101">
        <f>WarehouseData[[#This Row],[stock_level]]*WarehouseData[[#This Row],[unit_price]]</f>
        <v>33494.58</v>
      </c>
      <c r="AC1101">
        <f>WarehouseData[[#This Row],[stock_level]]*WarehouseData[[#This Row],[holding_cost_per_unit_day]]*30</f>
        <v>5386.4999999999991</v>
      </c>
      <c r="AD1101" t="str">
        <f>IF(WarehouseData[[#This Row],[order_fulfillment_rate]]&gt;=0.9,"Strong",IF(WarehouseData[[#This Row],[order_fulfillment_rate]]&gt;=0.8,"Moderate","Needs Attention"))</f>
        <v>Moderate</v>
      </c>
      <c r="AE1101" t="str">
        <f>IF(WarehouseData[[#This Row],[picking_time_seconds]]&gt;120,"Slow",IF(WarehouseData[[#This Row],[picking_time_seconds]]&gt;=60,"Average","Fast"))</f>
        <v>Average</v>
      </c>
    </row>
    <row r="1102" spans="1:31" x14ac:dyDescent="0.25">
      <c r="A1102" t="s">
        <v>1240</v>
      </c>
      <c r="B1102" t="s">
        <v>36</v>
      </c>
      <c r="C1102">
        <v>453</v>
      </c>
      <c r="D1102">
        <v>62</v>
      </c>
      <c r="E1102">
        <v>13</v>
      </c>
      <c r="F1102">
        <v>4</v>
      </c>
      <c r="G1102">
        <v>16.36</v>
      </c>
      <c r="H1102">
        <v>8.85</v>
      </c>
      <c r="I1102">
        <v>0.3</v>
      </c>
      <c r="J1102" t="s">
        <v>86</v>
      </c>
      <c r="K1102" t="s">
        <v>34</v>
      </c>
      <c r="L1102">
        <v>157</v>
      </c>
      <c r="M1102">
        <v>1.39</v>
      </c>
      <c r="N1102">
        <v>178.16</v>
      </c>
      <c r="O1102">
        <v>1.51</v>
      </c>
      <c r="P1102">
        <v>8</v>
      </c>
      <c r="Q1102">
        <v>0.91</v>
      </c>
      <c r="R1102">
        <v>819</v>
      </c>
      <c r="S1102">
        <v>5.51</v>
      </c>
      <c r="T1102">
        <v>0.95</v>
      </c>
      <c r="U1102" s="1">
        <v>45398</v>
      </c>
      <c r="V1102">
        <v>76.599999999999994</v>
      </c>
      <c r="W1102">
        <v>0.53400000000000003</v>
      </c>
      <c r="X1102" t="str">
        <f>IF(WarehouseData[[#This Row],[stock_level]]&lt;=WarehouseData[[#This Row],[reorder_point]],"Low Stock","Sufficient Stock")</f>
        <v>Sufficient Stock</v>
      </c>
      <c r="Y1102">
        <f>WarehouseData[[#This Row],[daily_demand]]*WarehouseData[[#This Row],[lead_time_days]]</f>
        <v>65.44</v>
      </c>
      <c r="Z1102" t="str">
        <f>IF(WarehouseData[[#This Row],[stock_level]]&lt;=WarehouseData[[#This Row],[Demand During Lead Time]],"At Risk","Safe")</f>
        <v>Safe</v>
      </c>
      <c r="AA1102">
        <f>WarehouseData[[#This Row],[stock_level]]/WarehouseData[[#This Row],[daily_demand]]</f>
        <v>27.689486552567239</v>
      </c>
      <c r="AB1102">
        <f>WarehouseData[[#This Row],[stock_level]]*WarehouseData[[#This Row],[unit_price]]</f>
        <v>80706.48</v>
      </c>
      <c r="AC1102">
        <f>WarehouseData[[#This Row],[stock_level]]*WarehouseData[[#This Row],[holding_cost_per_unit_day]]*30</f>
        <v>20520.899999999998</v>
      </c>
      <c r="AD1102" t="str">
        <f>IF(WarehouseData[[#This Row],[order_fulfillment_rate]]&gt;=0.9,"Strong",IF(WarehouseData[[#This Row],[order_fulfillment_rate]]&gt;=0.8,"Moderate","Needs Attention"))</f>
        <v>Strong</v>
      </c>
      <c r="AE1102" t="str">
        <f>IF(WarehouseData[[#This Row],[picking_time_seconds]]&gt;120,"Slow",IF(WarehouseData[[#This Row],[picking_time_seconds]]&gt;=60,"Average","Fast"))</f>
        <v>Slow</v>
      </c>
    </row>
    <row r="1103" spans="1:31" x14ac:dyDescent="0.25">
      <c r="A1103" t="s">
        <v>1241</v>
      </c>
      <c r="B1103" t="s">
        <v>73</v>
      </c>
      <c r="C1103">
        <v>231</v>
      </c>
      <c r="D1103">
        <v>57</v>
      </c>
      <c r="E1103">
        <v>8</v>
      </c>
      <c r="F1103">
        <v>2</v>
      </c>
      <c r="G1103">
        <v>19.649999999999999</v>
      </c>
      <c r="H1103">
        <v>0.93</v>
      </c>
      <c r="I1103">
        <v>0.54</v>
      </c>
      <c r="J1103" t="s">
        <v>68</v>
      </c>
      <c r="K1103" t="s">
        <v>52</v>
      </c>
      <c r="L1103">
        <v>159</v>
      </c>
      <c r="M1103">
        <v>1.31</v>
      </c>
      <c r="N1103">
        <v>110.3</v>
      </c>
      <c r="O1103">
        <v>1.99</v>
      </c>
      <c r="P1103">
        <v>6</v>
      </c>
      <c r="Q1103">
        <v>0.96</v>
      </c>
      <c r="R1103">
        <v>548</v>
      </c>
      <c r="S1103">
        <v>9</v>
      </c>
      <c r="T1103">
        <v>0.67</v>
      </c>
      <c r="U1103" s="1">
        <v>45523</v>
      </c>
      <c r="V1103">
        <v>265.54000000000002</v>
      </c>
      <c r="W1103">
        <v>0.52700000000000002</v>
      </c>
      <c r="X1103" t="str">
        <f>IF(WarehouseData[[#This Row],[stock_level]]&lt;=WarehouseData[[#This Row],[reorder_point]],"Low Stock","Sufficient Stock")</f>
        <v>Sufficient Stock</v>
      </c>
      <c r="Y1103">
        <f>WarehouseData[[#This Row],[daily_demand]]*WarehouseData[[#This Row],[lead_time_days]]</f>
        <v>39.299999999999997</v>
      </c>
      <c r="Z1103" t="str">
        <f>IF(WarehouseData[[#This Row],[stock_level]]&lt;=WarehouseData[[#This Row],[Demand During Lead Time]],"At Risk","Safe")</f>
        <v>Safe</v>
      </c>
      <c r="AA1103">
        <f>WarehouseData[[#This Row],[stock_level]]/WarehouseData[[#This Row],[daily_demand]]</f>
        <v>11.755725190839696</v>
      </c>
      <c r="AB1103">
        <f>WarehouseData[[#This Row],[stock_level]]*WarehouseData[[#This Row],[unit_price]]</f>
        <v>25479.3</v>
      </c>
      <c r="AC1103">
        <f>WarehouseData[[#This Row],[stock_level]]*WarehouseData[[#This Row],[holding_cost_per_unit_day]]*30</f>
        <v>13790.7</v>
      </c>
      <c r="AD1103" t="str">
        <f>IF(WarehouseData[[#This Row],[order_fulfillment_rate]]&gt;=0.9,"Strong",IF(WarehouseData[[#This Row],[order_fulfillment_rate]]&gt;=0.8,"Moderate","Needs Attention"))</f>
        <v>Strong</v>
      </c>
      <c r="AE1103" t="str">
        <f>IF(WarehouseData[[#This Row],[picking_time_seconds]]&gt;120,"Slow",IF(WarehouseData[[#This Row],[picking_time_seconds]]&gt;=60,"Average","Fast"))</f>
        <v>Slow</v>
      </c>
    </row>
    <row r="1104" spans="1:31" x14ac:dyDescent="0.25">
      <c r="A1104" t="s">
        <v>1242</v>
      </c>
      <c r="B1104" t="s">
        <v>73</v>
      </c>
      <c r="C1104">
        <v>187</v>
      </c>
      <c r="D1104">
        <v>16</v>
      </c>
      <c r="E1104">
        <v>3</v>
      </c>
      <c r="F1104">
        <v>2</v>
      </c>
      <c r="G1104">
        <v>1.91</v>
      </c>
      <c r="H1104">
        <v>4.5199999999999996</v>
      </c>
      <c r="I1104">
        <v>0.87</v>
      </c>
      <c r="J1104" t="s">
        <v>37</v>
      </c>
      <c r="K1104" t="s">
        <v>34</v>
      </c>
      <c r="L1104">
        <v>86</v>
      </c>
      <c r="M1104">
        <v>2.99</v>
      </c>
      <c r="N1104">
        <v>31.6</v>
      </c>
      <c r="O1104">
        <v>0.6</v>
      </c>
      <c r="P1104">
        <v>0</v>
      </c>
      <c r="Q1104">
        <v>0.86</v>
      </c>
      <c r="R1104">
        <v>567</v>
      </c>
      <c r="S1104">
        <v>8.25</v>
      </c>
      <c r="T1104">
        <v>0.54</v>
      </c>
      <c r="U1104" s="1">
        <v>45449</v>
      </c>
      <c r="V1104">
        <v>76.319999999999993</v>
      </c>
      <c r="W1104">
        <v>0.73</v>
      </c>
      <c r="X1104" t="str">
        <f>IF(WarehouseData[[#This Row],[stock_level]]&lt;=WarehouseData[[#This Row],[reorder_point]],"Low Stock","Sufficient Stock")</f>
        <v>Sufficient Stock</v>
      </c>
      <c r="Y1104">
        <f>WarehouseData[[#This Row],[daily_demand]]*WarehouseData[[#This Row],[lead_time_days]]</f>
        <v>3.82</v>
      </c>
      <c r="Z1104" t="str">
        <f>IF(WarehouseData[[#This Row],[stock_level]]&lt;=WarehouseData[[#This Row],[Demand During Lead Time]],"At Risk","Safe")</f>
        <v>Safe</v>
      </c>
      <c r="AA1104">
        <f>WarehouseData[[#This Row],[stock_level]]/WarehouseData[[#This Row],[daily_demand]]</f>
        <v>97.905759162303667</v>
      </c>
      <c r="AB1104">
        <f>WarehouseData[[#This Row],[stock_level]]*WarehouseData[[#This Row],[unit_price]]</f>
        <v>5909.2</v>
      </c>
      <c r="AC1104">
        <f>WarehouseData[[#This Row],[stock_level]]*WarehouseData[[#This Row],[holding_cost_per_unit_day]]*30</f>
        <v>3366</v>
      </c>
      <c r="AD1104" t="str">
        <f>IF(WarehouseData[[#This Row],[order_fulfillment_rate]]&gt;=0.9,"Strong",IF(WarehouseData[[#This Row],[order_fulfillment_rate]]&gt;=0.8,"Moderate","Needs Attention"))</f>
        <v>Moderate</v>
      </c>
      <c r="AE1104" t="str">
        <f>IF(WarehouseData[[#This Row],[picking_time_seconds]]&gt;120,"Slow",IF(WarehouseData[[#This Row],[picking_time_seconds]]&gt;=60,"Average","Fast"))</f>
        <v>Average</v>
      </c>
    </row>
    <row r="1105" spans="1:31" x14ac:dyDescent="0.25">
      <c r="A1105" t="s">
        <v>1243</v>
      </c>
      <c r="B1105" t="s">
        <v>40</v>
      </c>
      <c r="C1105">
        <v>58</v>
      </c>
      <c r="D1105">
        <v>68</v>
      </c>
      <c r="E1105">
        <v>8</v>
      </c>
      <c r="F1105">
        <v>3</v>
      </c>
      <c r="G1105">
        <v>36.51</v>
      </c>
      <c r="H1105">
        <v>8.66</v>
      </c>
      <c r="I1105">
        <v>0.28000000000000003</v>
      </c>
      <c r="J1105" t="s">
        <v>62</v>
      </c>
      <c r="K1105" t="s">
        <v>46</v>
      </c>
      <c r="L1105">
        <v>84</v>
      </c>
      <c r="M1105">
        <v>4.57</v>
      </c>
      <c r="N1105">
        <v>61.4</v>
      </c>
      <c r="O1105">
        <v>1.3</v>
      </c>
      <c r="P1105">
        <v>9</v>
      </c>
      <c r="Q1105">
        <v>0.82</v>
      </c>
      <c r="R1105">
        <v>404</v>
      </c>
      <c r="S1105">
        <v>1.42</v>
      </c>
      <c r="T1105">
        <v>0.28000000000000003</v>
      </c>
      <c r="U1105" s="1">
        <v>45529</v>
      </c>
      <c r="V1105">
        <v>200.7</v>
      </c>
      <c r="W1105">
        <v>0.32900000000000001</v>
      </c>
      <c r="X1105" t="str">
        <f>IF(WarehouseData[[#This Row],[stock_level]]&lt;=WarehouseData[[#This Row],[reorder_point]],"Low Stock","Sufficient Stock")</f>
        <v>Low Stock</v>
      </c>
      <c r="Y1105">
        <f>WarehouseData[[#This Row],[daily_demand]]*WarehouseData[[#This Row],[lead_time_days]]</f>
        <v>109.53</v>
      </c>
      <c r="Z1105" t="str">
        <f>IF(WarehouseData[[#This Row],[stock_level]]&lt;=WarehouseData[[#This Row],[Demand During Lead Time]],"At Risk","Safe")</f>
        <v>At Risk</v>
      </c>
      <c r="AA1105">
        <f>WarehouseData[[#This Row],[stock_level]]/WarehouseData[[#This Row],[daily_demand]]</f>
        <v>1.5886058614078336</v>
      </c>
      <c r="AB1105">
        <f>WarehouseData[[#This Row],[stock_level]]*WarehouseData[[#This Row],[unit_price]]</f>
        <v>3561.2</v>
      </c>
      <c r="AC1105">
        <f>WarehouseData[[#This Row],[stock_level]]*WarehouseData[[#This Row],[holding_cost_per_unit_day]]*30</f>
        <v>2262</v>
      </c>
      <c r="AD1105" t="str">
        <f>IF(WarehouseData[[#This Row],[order_fulfillment_rate]]&gt;=0.9,"Strong",IF(WarehouseData[[#This Row],[order_fulfillment_rate]]&gt;=0.8,"Moderate","Needs Attention"))</f>
        <v>Moderate</v>
      </c>
      <c r="AE1105" t="str">
        <f>IF(WarehouseData[[#This Row],[picking_time_seconds]]&gt;120,"Slow",IF(WarehouseData[[#This Row],[picking_time_seconds]]&gt;=60,"Average","Fast"))</f>
        <v>Average</v>
      </c>
    </row>
    <row r="1106" spans="1:31" x14ac:dyDescent="0.25">
      <c r="A1106" t="s">
        <v>1244</v>
      </c>
      <c r="B1106" t="s">
        <v>40</v>
      </c>
      <c r="C1106">
        <v>388</v>
      </c>
      <c r="D1106">
        <v>78</v>
      </c>
      <c r="E1106">
        <v>8</v>
      </c>
      <c r="F1106">
        <v>4</v>
      </c>
      <c r="G1106">
        <v>18.14</v>
      </c>
      <c r="H1106">
        <v>1.78</v>
      </c>
      <c r="I1106">
        <v>0.97</v>
      </c>
      <c r="J1106" t="s">
        <v>51</v>
      </c>
      <c r="K1106" t="s">
        <v>46</v>
      </c>
      <c r="L1106">
        <v>167</v>
      </c>
      <c r="M1106">
        <v>4.05</v>
      </c>
      <c r="N1106">
        <v>96.81</v>
      </c>
      <c r="O1106">
        <v>0.82</v>
      </c>
      <c r="P1106">
        <v>5</v>
      </c>
      <c r="Q1106">
        <v>0.81</v>
      </c>
      <c r="R1106">
        <v>682</v>
      </c>
      <c r="S1106">
        <v>9.15</v>
      </c>
      <c r="T1106">
        <v>0.88</v>
      </c>
      <c r="U1106" s="1">
        <v>45427</v>
      </c>
      <c r="V1106">
        <v>264.22000000000003</v>
      </c>
      <c r="W1106">
        <v>0.67800000000000005</v>
      </c>
      <c r="X1106" t="str">
        <f>IF(WarehouseData[[#This Row],[stock_level]]&lt;=WarehouseData[[#This Row],[reorder_point]],"Low Stock","Sufficient Stock")</f>
        <v>Sufficient Stock</v>
      </c>
      <c r="Y1106">
        <f>WarehouseData[[#This Row],[daily_demand]]*WarehouseData[[#This Row],[lead_time_days]]</f>
        <v>72.56</v>
      </c>
      <c r="Z1106" t="str">
        <f>IF(WarehouseData[[#This Row],[stock_level]]&lt;=WarehouseData[[#This Row],[Demand During Lead Time]],"At Risk","Safe")</f>
        <v>Safe</v>
      </c>
      <c r="AA1106">
        <f>WarehouseData[[#This Row],[stock_level]]/WarehouseData[[#This Row],[daily_demand]]</f>
        <v>21.389195148842337</v>
      </c>
      <c r="AB1106">
        <f>WarehouseData[[#This Row],[stock_level]]*WarehouseData[[#This Row],[unit_price]]</f>
        <v>37562.28</v>
      </c>
      <c r="AC1106">
        <f>WarehouseData[[#This Row],[stock_level]]*WarehouseData[[#This Row],[holding_cost_per_unit_day]]*30</f>
        <v>9544.7999999999993</v>
      </c>
      <c r="AD1106" t="str">
        <f>IF(WarehouseData[[#This Row],[order_fulfillment_rate]]&gt;=0.9,"Strong",IF(WarehouseData[[#This Row],[order_fulfillment_rate]]&gt;=0.8,"Moderate","Needs Attention"))</f>
        <v>Moderate</v>
      </c>
      <c r="AE1106" t="str">
        <f>IF(WarehouseData[[#This Row],[picking_time_seconds]]&gt;120,"Slow",IF(WarehouseData[[#This Row],[picking_time_seconds]]&gt;=60,"Average","Fast"))</f>
        <v>Slow</v>
      </c>
    </row>
    <row r="1107" spans="1:31" x14ac:dyDescent="0.25">
      <c r="A1107" t="s">
        <v>1245</v>
      </c>
      <c r="B1107" t="s">
        <v>36</v>
      </c>
      <c r="C1107">
        <v>264</v>
      </c>
      <c r="D1107">
        <v>20</v>
      </c>
      <c r="E1107">
        <v>8</v>
      </c>
      <c r="F1107">
        <v>4</v>
      </c>
      <c r="G1107">
        <v>16.350000000000001</v>
      </c>
      <c r="H1107">
        <v>8.5500000000000007</v>
      </c>
      <c r="I1107">
        <v>0.21</v>
      </c>
      <c r="J1107" t="s">
        <v>190</v>
      </c>
      <c r="K1107" t="s">
        <v>38</v>
      </c>
      <c r="L1107">
        <v>72</v>
      </c>
      <c r="M1107">
        <v>4.57</v>
      </c>
      <c r="N1107">
        <v>152.72</v>
      </c>
      <c r="O1107">
        <v>1.1399999999999999</v>
      </c>
      <c r="P1107">
        <v>4</v>
      </c>
      <c r="Q1107">
        <v>0.95</v>
      </c>
      <c r="R1107">
        <v>202</v>
      </c>
      <c r="S1107">
        <v>10.93</v>
      </c>
      <c r="T1107">
        <v>0.56999999999999995</v>
      </c>
      <c r="U1107" s="1">
        <v>45353</v>
      </c>
      <c r="V1107">
        <v>222.52</v>
      </c>
      <c r="W1107">
        <v>0.65600000000000003</v>
      </c>
      <c r="X1107" t="str">
        <f>IF(WarehouseData[[#This Row],[stock_level]]&lt;=WarehouseData[[#This Row],[reorder_point]],"Low Stock","Sufficient Stock")</f>
        <v>Sufficient Stock</v>
      </c>
      <c r="Y1107">
        <f>WarehouseData[[#This Row],[daily_demand]]*WarehouseData[[#This Row],[lead_time_days]]</f>
        <v>65.400000000000006</v>
      </c>
      <c r="Z1107" t="str">
        <f>IF(WarehouseData[[#This Row],[stock_level]]&lt;=WarehouseData[[#This Row],[Demand During Lead Time]],"At Risk","Safe")</f>
        <v>Safe</v>
      </c>
      <c r="AA1107">
        <f>WarehouseData[[#This Row],[stock_level]]/WarehouseData[[#This Row],[daily_demand]]</f>
        <v>16.146788990825687</v>
      </c>
      <c r="AB1107">
        <f>WarehouseData[[#This Row],[stock_level]]*WarehouseData[[#This Row],[unit_price]]</f>
        <v>40318.080000000002</v>
      </c>
      <c r="AC1107">
        <f>WarehouseData[[#This Row],[stock_level]]*WarehouseData[[#This Row],[holding_cost_per_unit_day]]*30</f>
        <v>9028.7999999999993</v>
      </c>
      <c r="AD1107" t="str">
        <f>IF(WarehouseData[[#This Row],[order_fulfillment_rate]]&gt;=0.9,"Strong",IF(WarehouseData[[#This Row],[order_fulfillment_rate]]&gt;=0.8,"Moderate","Needs Attention"))</f>
        <v>Strong</v>
      </c>
      <c r="AE1107" t="str">
        <f>IF(WarehouseData[[#This Row],[picking_time_seconds]]&gt;120,"Slow",IF(WarehouseData[[#This Row],[picking_time_seconds]]&gt;=60,"Average","Fast"))</f>
        <v>Average</v>
      </c>
    </row>
    <row r="1108" spans="1:31" x14ac:dyDescent="0.25">
      <c r="A1108" t="s">
        <v>1246</v>
      </c>
      <c r="B1108" t="s">
        <v>73</v>
      </c>
      <c r="C1108">
        <v>170</v>
      </c>
      <c r="D1108">
        <v>24</v>
      </c>
      <c r="E1108">
        <v>10</v>
      </c>
      <c r="F1108">
        <v>5</v>
      </c>
      <c r="G1108">
        <v>30.31</v>
      </c>
      <c r="H1108">
        <v>6.13</v>
      </c>
      <c r="I1108">
        <v>0.26</v>
      </c>
      <c r="J1108" t="s">
        <v>113</v>
      </c>
      <c r="K1108" t="s">
        <v>38</v>
      </c>
      <c r="L1108">
        <v>76</v>
      </c>
      <c r="M1108">
        <v>3.12</v>
      </c>
      <c r="N1108">
        <v>145.22</v>
      </c>
      <c r="O1108">
        <v>1.76</v>
      </c>
      <c r="P1108">
        <v>9</v>
      </c>
      <c r="Q1108">
        <v>0.92</v>
      </c>
      <c r="R1108">
        <v>378</v>
      </c>
      <c r="S1108">
        <v>4.4400000000000004</v>
      </c>
      <c r="T1108">
        <v>0.65</v>
      </c>
      <c r="U1108" s="1">
        <v>45338</v>
      </c>
      <c r="V1108">
        <v>49.44</v>
      </c>
      <c r="W1108">
        <v>0.41699999999999998</v>
      </c>
      <c r="X1108" t="str">
        <f>IF(WarehouseData[[#This Row],[stock_level]]&lt;=WarehouseData[[#This Row],[reorder_point]],"Low Stock","Sufficient Stock")</f>
        <v>Sufficient Stock</v>
      </c>
      <c r="Y1108">
        <f>WarehouseData[[#This Row],[daily_demand]]*WarehouseData[[#This Row],[lead_time_days]]</f>
        <v>151.54999999999998</v>
      </c>
      <c r="Z1108" t="str">
        <f>IF(WarehouseData[[#This Row],[stock_level]]&lt;=WarehouseData[[#This Row],[Demand During Lead Time]],"At Risk","Safe")</f>
        <v>Safe</v>
      </c>
      <c r="AA1108">
        <f>WarehouseData[[#This Row],[stock_level]]/WarehouseData[[#This Row],[daily_demand]]</f>
        <v>5.6087099967007594</v>
      </c>
      <c r="AB1108">
        <f>WarehouseData[[#This Row],[stock_level]]*WarehouseData[[#This Row],[unit_price]]</f>
        <v>24687.4</v>
      </c>
      <c r="AC1108">
        <f>WarehouseData[[#This Row],[stock_level]]*WarehouseData[[#This Row],[holding_cost_per_unit_day]]*30</f>
        <v>8976</v>
      </c>
      <c r="AD1108" t="str">
        <f>IF(WarehouseData[[#This Row],[order_fulfillment_rate]]&gt;=0.9,"Strong",IF(WarehouseData[[#This Row],[order_fulfillment_rate]]&gt;=0.8,"Moderate","Needs Attention"))</f>
        <v>Strong</v>
      </c>
      <c r="AE1108" t="str">
        <f>IF(WarehouseData[[#This Row],[picking_time_seconds]]&gt;120,"Slow",IF(WarehouseData[[#This Row],[picking_time_seconds]]&gt;=60,"Average","Fast"))</f>
        <v>Average</v>
      </c>
    </row>
    <row r="1109" spans="1:31" x14ac:dyDescent="0.25">
      <c r="A1109" t="s">
        <v>1247</v>
      </c>
      <c r="B1109" t="s">
        <v>36</v>
      </c>
      <c r="C1109">
        <v>130</v>
      </c>
      <c r="D1109">
        <v>73</v>
      </c>
      <c r="E1109">
        <v>8</v>
      </c>
      <c r="F1109">
        <v>5</v>
      </c>
      <c r="G1109">
        <v>22.38</v>
      </c>
      <c r="H1109">
        <v>9.35</v>
      </c>
      <c r="I1109">
        <v>0.25</v>
      </c>
      <c r="J1109" t="s">
        <v>185</v>
      </c>
      <c r="K1109" t="s">
        <v>46</v>
      </c>
      <c r="L1109">
        <v>45</v>
      </c>
      <c r="M1109">
        <v>2.34</v>
      </c>
      <c r="N1109">
        <v>132.11000000000001</v>
      </c>
      <c r="O1109">
        <v>0.76</v>
      </c>
      <c r="P1109">
        <v>4</v>
      </c>
      <c r="Q1109">
        <v>0.97</v>
      </c>
      <c r="R1109">
        <v>739</v>
      </c>
      <c r="S1109">
        <v>2.5</v>
      </c>
      <c r="T1109">
        <v>0.45</v>
      </c>
      <c r="U1109" s="1">
        <v>45372</v>
      </c>
      <c r="V1109">
        <v>285.89999999999998</v>
      </c>
      <c r="W1109">
        <v>0.56100000000000005</v>
      </c>
      <c r="X1109" t="str">
        <f>IF(WarehouseData[[#This Row],[stock_level]]&lt;=WarehouseData[[#This Row],[reorder_point]],"Low Stock","Sufficient Stock")</f>
        <v>Sufficient Stock</v>
      </c>
      <c r="Y1109">
        <f>WarehouseData[[#This Row],[daily_demand]]*WarehouseData[[#This Row],[lead_time_days]]</f>
        <v>111.89999999999999</v>
      </c>
      <c r="Z1109" t="str">
        <f>IF(WarehouseData[[#This Row],[stock_level]]&lt;=WarehouseData[[#This Row],[Demand During Lead Time]],"At Risk","Safe")</f>
        <v>Safe</v>
      </c>
      <c r="AA1109">
        <f>WarehouseData[[#This Row],[stock_level]]/WarehouseData[[#This Row],[daily_demand]]</f>
        <v>5.8087578194816807</v>
      </c>
      <c r="AB1109">
        <f>WarehouseData[[#This Row],[stock_level]]*WarehouseData[[#This Row],[unit_price]]</f>
        <v>17174.300000000003</v>
      </c>
      <c r="AC1109">
        <f>WarehouseData[[#This Row],[stock_level]]*WarehouseData[[#This Row],[holding_cost_per_unit_day]]*30</f>
        <v>2964</v>
      </c>
      <c r="AD1109" t="str">
        <f>IF(WarehouseData[[#This Row],[order_fulfillment_rate]]&gt;=0.9,"Strong",IF(WarehouseData[[#This Row],[order_fulfillment_rate]]&gt;=0.8,"Moderate","Needs Attention"))</f>
        <v>Strong</v>
      </c>
      <c r="AE1109" t="str">
        <f>IF(WarehouseData[[#This Row],[picking_time_seconds]]&gt;120,"Slow",IF(WarehouseData[[#This Row],[picking_time_seconds]]&gt;=60,"Average","Fast"))</f>
        <v>Fast</v>
      </c>
    </row>
    <row r="1110" spans="1:31" x14ac:dyDescent="0.25">
      <c r="A1110" t="s">
        <v>1248</v>
      </c>
      <c r="B1110" t="s">
        <v>40</v>
      </c>
      <c r="C1110">
        <v>499</v>
      </c>
      <c r="D1110">
        <v>12</v>
      </c>
      <c r="E1110">
        <v>7</v>
      </c>
      <c r="F1110">
        <v>8</v>
      </c>
      <c r="G1110">
        <v>49.06</v>
      </c>
      <c r="H1110">
        <v>8.82</v>
      </c>
      <c r="I1110">
        <v>0.63</v>
      </c>
      <c r="J1110" t="s">
        <v>240</v>
      </c>
      <c r="K1110" t="s">
        <v>34</v>
      </c>
      <c r="L1110">
        <v>143</v>
      </c>
      <c r="M1110">
        <v>3.78</v>
      </c>
      <c r="N1110">
        <v>177.25</v>
      </c>
      <c r="O1110">
        <v>0.24</v>
      </c>
      <c r="P1110">
        <v>3</v>
      </c>
      <c r="Q1110">
        <v>0.99</v>
      </c>
      <c r="R1110">
        <v>528</v>
      </c>
      <c r="S1110">
        <v>3.96</v>
      </c>
      <c r="T1110">
        <v>0.62</v>
      </c>
      <c r="U1110" s="1">
        <v>45643</v>
      </c>
      <c r="V1110">
        <v>36.659999999999997</v>
      </c>
      <c r="W1110">
        <v>0.69099999999999995</v>
      </c>
      <c r="X1110" t="str">
        <f>IF(WarehouseData[[#This Row],[stock_level]]&lt;=WarehouseData[[#This Row],[reorder_point]],"Low Stock","Sufficient Stock")</f>
        <v>Sufficient Stock</v>
      </c>
      <c r="Y1110">
        <f>WarehouseData[[#This Row],[daily_demand]]*WarehouseData[[#This Row],[lead_time_days]]</f>
        <v>392.48</v>
      </c>
      <c r="Z1110" t="str">
        <f>IF(WarehouseData[[#This Row],[stock_level]]&lt;=WarehouseData[[#This Row],[Demand During Lead Time]],"At Risk","Safe")</f>
        <v>Safe</v>
      </c>
      <c r="AA1110">
        <f>WarehouseData[[#This Row],[stock_level]]/WarehouseData[[#This Row],[daily_demand]]</f>
        <v>10.171218915613535</v>
      </c>
      <c r="AB1110">
        <f>WarehouseData[[#This Row],[stock_level]]*WarehouseData[[#This Row],[unit_price]]</f>
        <v>88447.75</v>
      </c>
      <c r="AC1110">
        <f>WarehouseData[[#This Row],[stock_level]]*WarehouseData[[#This Row],[holding_cost_per_unit_day]]*30</f>
        <v>3592.7999999999997</v>
      </c>
      <c r="AD1110" t="str">
        <f>IF(WarehouseData[[#This Row],[order_fulfillment_rate]]&gt;=0.9,"Strong",IF(WarehouseData[[#This Row],[order_fulfillment_rate]]&gt;=0.8,"Moderate","Needs Attention"))</f>
        <v>Strong</v>
      </c>
      <c r="AE1110" t="str">
        <f>IF(WarehouseData[[#This Row],[picking_time_seconds]]&gt;120,"Slow",IF(WarehouseData[[#This Row],[picking_time_seconds]]&gt;=60,"Average","Fast"))</f>
        <v>Slow</v>
      </c>
    </row>
    <row r="1111" spans="1:31" x14ac:dyDescent="0.25">
      <c r="A1111" t="s">
        <v>1249</v>
      </c>
      <c r="B1111" t="s">
        <v>40</v>
      </c>
      <c r="C1111">
        <v>455</v>
      </c>
      <c r="D1111">
        <v>78</v>
      </c>
      <c r="E1111">
        <v>13</v>
      </c>
      <c r="F1111">
        <v>9</v>
      </c>
      <c r="G1111">
        <v>18.46</v>
      </c>
      <c r="H1111">
        <v>6.93</v>
      </c>
      <c r="I1111">
        <v>0.93</v>
      </c>
      <c r="J1111" t="s">
        <v>192</v>
      </c>
      <c r="K1111" t="s">
        <v>34</v>
      </c>
      <c r="L1111">
        <v>46</v>
      </c>
      <c r="M1111">
        <v>1.68</v>
      </c>
      <c r="N1111">
        <v>162.5</v>
      </c>
      <c r="O1111">
        <v>1.62</v>
      </c>
      <c r="P1111">
        <v>2</v>
      </c>
      <c r="Q1111">
        <v>0.79</v>
      </c>
      <c r="R1111">
        <v>440</v>
      </c>
      <c r="S1111">
        <v>9.91</v>
      </c>
      <c r="T1111">
        <v>0.83</v>
      </c>
      <c r="U1111" s="1">
        <v>45447</v>
      </c>
      <c r="V1111">
        <v>68.02</v>
      </c>
      <c r="W1111">
        <v>0.65400000000000003</v>
      </c>
      <c r="X1111" t="str">
        <f>IF(WarehouseData[[#This Row],[stock_level]]&lt;=WarehouseData[[#This Row],[reorder_point]],"Low Stock","Sufficient Stock")</f>
        <v>Sufficient Stock</v>
      </c>
      <c r="Y1111">
        <f>WarehouseData[[#This Row],[daily_demand]]*WarehouseData[[#This Row],[lead_time_days]]</f>
        <v>166.14000000000001</v>
      </c>
      <c r="Z1111" t="str">
        <f>IF(WarehouseData[[#This Row],[stock_level]]&lt;=WarehouseData[[#This Row],[Demand During Lead Time]],"At Risk","Safe")</f>
        <v>Safe</v>
      </c>
      <c r="AA1111">
        <f>WarehouseData[[#This Row],[stock_level]]/WarehouseData[[#This Row],[daily_demand]]</f>
        <v>24.64788732394366</v>
      </c>
      <c r="AB1111">
        <f>WarehouseData[[#This Row],[stock_level]]*WarehouseData[[#This Row],[unit_price]]</f>
        <v>73937.5</v>
      </c>
      <c r="AC1111">
        <f>WarehouseData[[#This Row],[stock_level]]*WarehouseData[[#This Row],[holding_cost_per_unit_day]]*30</f>
        <v>22113</v>
      </c>
      <c r="AD1111" t="str">
        <f>IF(WarehouseData[[#This Row],[order_fulfillment_rate]]&gt;=0.9,"Strong",IF(WarehouseData[[#This Row],[order_fulfillment_rate]]&gt;=0.8,"Moderate","Needs Attention"))</f>
        <v>Needs Attention</v>
      </c>
      <c r="AE1111" t="str">
        <f>IF(WarehouseData[[#This Row],[picking_time_seconds]]&gt;120,"Slow",IF(WarehouseData[[#This Row],[picking_time_seconds]]&gt;=60,"Average","Fast"))</f>
        <v>Fast</v>
      </c>
    </row>
    <row r="1112" spans="1:31" x14ac:dyDescent="0.25">
      <c r="A1112" t="s">
        <v>1250</v>
      </c>
      <c r="B1112" t="s">
        <v>73</v>
      </c>
      <c r="C1112">
        <v>66</v>
      </c>
      <c r="D1112">
        <v>32</v>
      </c>
      <c r="E1112">
        <v>4</v>
      </c>
      <c r="F1112">
        <v>4</v>
      </c>
      <c r="G1112">
        <v>31.08</v>
      </c>
      <c r="H1112">
        <v>6.75</v>
      </c>
      <c r="I1112">
        <v>0.33</v>
      </c>
      <c r="J1112" t="s">
        <v>217</v>
      </c>
      <c r="K1112" t="s">
        <v>46</v>
      </c>
      <c r="L1112">
        <v>102</v>
      </c>
      <c r="M1112">
        <v>0.85</v>
      </c>
      <c r="N1112">
        <v>196.6</v>
      </c>
      <c r="O1112">
        <v>1.1499999999999999</v>
      </c>
      <c r="P1112">
        <v>7</v>
      </c>
      <c r="Q1112">
        <v>0.86</v>
      </c>
      <c r="R1112">
        <v>624</v>
      </c>
      <c r="S1112">
        <v>7.56</v>
      </c>
      <c r="T1112">
        <v>0.77</v>
      </c>
      <c r="U1112" s="1">
        <v>45652</v>
      </c>
      <c r="V1112">
        <v>50.38</v>
      </c>
      <c r="W1112">
        <v>0.57199999999999995</v>
      </c>
      <c r="X1112" t="str">
        <f>IF(WarehouseData[[#This Row],[stock_level]]&lt;=WarehouseData[[#This Row],[reorder_point]],"Low Stock","Sufficient Stock")</f>
        <v>Sufficient Stock</v>
      </c>
      <c r="Y1112">
        <f>WarehouseData[[#This Row],[daily_demand]]*WarehouseData[[#This Row],[lead_time_days]]</f>
        <v>124.32</v>
      </c>
      <c r="Z1112" t="str">
        <f>IF(WarehouseData[[#This Row],[stock_level]]&lt;=WarehouseData[[#This Row],[Demand During Lead Time]],"At Risk","Safe")</f>
        <v>At Risk</v>
      </c>
      <c r="AA1112">
        <f>WarehouseData[[#This Row],[stock_level]]/WarehouseData[[#This Row],[daily_demand]]</f>
        <v>2.1235521235521237</v>
      </c>
      <c r="AB1112">
        <f>WarehouseData[[#This Row],[stock_level]]*WarehouseData[[#This Row],[unit_price]]</f>
        <v>12975.6</v>
      </c>
      <c r="AC1112">
        <f>WarehouseData[[#This Row],[stock_level]]*WarehouseData[[#This Row],[holding_cost_per_unit_day]]*30</f>
        <v>2276.9999999999995</v>
      </c>
      <c r="AD1112" t="str">
        <f>IF(WarehouseData[[#This Row],[order_fulfillment_rate]]&gt;=0.9,"Strong",IF(WarehouseData[[#This Row],[order_fulfillment_rate]]&gt;=0.8,"Moderate","Needs Attention"))</f>
        <v>Moderate</v>
      </c>
      <c r="AE1112" t="str">
        <f>IF(WarehouseData[[#This Row],[picking_time_seconds]]&gt;120,"Slow",IF(WarehouseData[[#This Row],[picking_time_seconds]]&gt;=60,"Average","Fast"))</f>
        <v>Average</v>
      </c>
    </row>
    <row r="1113" spans="1:31" x14ac:dyDescent="0.25">
      <c r="A1113" t="s">
        <v>1251</v>
      </c>
      <c r="B1113" t="s">
        <v>32</v>
      </c>
      <c r="C1113">
        <v>82</v>
      </c>
      <c r="D1113">
        <v>62</v>
      </c>
      <c r="E1113">
        <v>6</v>
      </c>
      <c r="F1113">
        <v>3</v>
      </c>
      <c r="G1113">
        <v>16.27</v>
      </c>
      <c r="H1113">
        <v>2.5299999999999998</v>
      </c>
      <c r="I1113">
        <v>0.6</v>
      </c>
      <c r="J1113" t="s">
        <v>196</v>
      </c>
      <c r="K1113" t="s">
        <v>52</v>
      </c>
      <c r="L1113">
        <v>84</v>
      </c>
      <c r="M1113">
        <v>2.0499999999999998</v>
      </c>
      <c r="N1113">
        <v>178.94</v>
      </c>
      <c r="O1113">
        <v>0.95</v>
      </c>
      <c r="P1113">
        <v>6</v>
      </c>
      <c r="Q1113">
        <v>0.89</v>
      </c>
      <c r="R1113">
        <v>461</v>
      </c>
      <c r="S1113">
        <v>13.11</v>
      </c>
      <c r="T1113">
        <v>0.99</v>
      </c>
      <c r="U1113" s="1">
        <v>45648</v>
      </c>
      <c r="V1113">
        <v>203.41</v>
      </c>
      <c r="W1113">
        <v>0.73599999999999999</v>
      </c>
      <c r="X1113" t="str">
        <f>IF(WarehouseData[[#This Row],[stock_level]]&lt;=WarehouseData[[#This Row],[reorder_point]],"Low Stock","Sufficient Stock")</f>
        <v>Sufficient Stock</v>
      </c>
      <c r="Y1113">
        <f>WarehouseData[[#This Row],[daily_demand]]*WarehouseData[[#This Row],[lead_time_days]]</f>
        <v>48.81</v>
      </c>
      <c r="Z1113" t="str">
        <f>IF(WarehouseData[[#This Row],[stock_level]]&lt;=WarehouseData[[#This Row],[Demand During Lead Time]],"At Risk","Safe")</f>
        <v>Safe</v>
      </c>
      <c r="AA1113">
        <f>WarehouseData[[#This Row],[stock_level]]/WarehouseData[[#This Row],[daily_demand]]</f>
        <v>5.0399508297480029</v>
      </c>
      <c r="AB1113">
        <f>WarehouseData[[#This Row],[stock_level]]*WarehouseData[[#This Row],[unit_price]]</f>
        <v>14673.08</v>
      </c>
      <c r="AC1113">
        <f>WarehouseData[[#This Row],[stock_level]]*WarehouseData[[#This Row],[holding_cost_per_unit_day]]*30</f>
        <v>2336.9999999999995</v>
      </c>
      <c r="AD1113" t="str">
        <f>IF(WarehouseData[[#This Row],[order_fulfillment_rate]]&gt;=0.9,"Strong",IF(WarehouseData[[#This Row],[order_fulfillment_rate]]&gt;=0.8,"Moderate","Needs Attention"))</f>
        <v>Moderate</v>
      </c>
      <c r="AE1113" t="str">
        <f>IF(WarehouseData[[#This Row],[picking_time_seconds]]&gt;120,"Slow",IF(WarehouseData[[#This Row],[picking_time_seconds]]&gt;=60,"Average","Fast"))</f>
        <v>Average</v>
      </c>
    </row>
    <row r="1114" spans="1:31" x14ac:dyDescent="0.25">
      <c r="A1114" t="s">
        <v>1252</v>
      </c>
      <c r="B1114" t="s">
        <v>48</v>
      </c>
      <c r="C1114">
        <v>244</v>
      </c>
      <c r="D1114">
        <v>46</v>
      </c>
      <c r="E1114">
        <v>12</v>
      </c>
      <c r="F1114">
        <v>9</v>
      </c>
      <c r="G1114">
        <v>49.54</v>
      </c>
      <c r="H1114">
        <v>1.61</v>
      </c>
      <c r="I1114">
        <v>0.26</v>
      </c>
      <c r="J1114" t="s">
        <v>338</v>
      </c>
      <c r="K1114" t="s">
        <v>34</v>
      </c>
      <c r="L1114">
        <v>175</v>
      </c>
      <c r="M1114">
        <v>1.85</v>
      </c>
      <c r="N1114">
        <v>47.17</v>
      </c>
      <c r="O1114">
        <v>0.45</v>
      </c>
      <c r="P1114">
        <v>4</v>
      </c>
      <c r="Q1114">
        <v>0.75</v>
      </c>
      <c r="R1114">
        <v>307</v>
      </c>
      <c r="S1114">
        <v>4.99</v>
      </c>
      <c r="T1114">
        <v>0.6</v>
      </c>
      <c r="U1114" s="1">
        <v>45600</v>
      </c>
      <c r="V1114">
        <v>244.15</v>
      </c>
      <c r="W1114">
        <v>0.61199999999999999</v>
      </c>
      <c r="X1114" t="str">
        <f>IF(WarehouseData[[#This Row],[stock_level]]&lt;=WarehouseData[[#This Row],[reorder_point]],"Low Stock","Sufficient Stock")</f>
        <v>Sufficient Stock</v>
      </c>
      <c r="Y1114">
        <f>WarehouseData[[#This Row],[daily_demand]]*WarehouseData[[#This Row],[lead_time_days]]</f>
        <v>445.86</v>
      </c>
      <c r="Z1114" t="str">
        <f>IF(WarehouseData[[#This Row],[stock_level]]&lt;=WarehouseData[[#This Row],[Demand During Lead Time]],"At Risk","Safe")</f>
        <v>At Risk</v>
      </c>
      <c r="AA1114">
        <f>WarehouseData[[#This Row],[stock_level]]/WarehouseData[[#This Row],[daily_demand]]</f>
        <v>4.9253128784820346</v>
      </c>
      <c r="AB1114">
        <f>WarehouseData[[#This Row],[stock_level]]*WarehouseData[[#This Row],[unit_price]]</f>
        <v>11509.48</v>
      </c>
      <c r="AC1114">
        <f>WarehouseData[[#This Row],[stock_level]]*WarehouseData[[#This Row],[holding_cost_per_unit_day]]*30</f>
        <v>3294</v>
      </c>
      <c r="AD1114" t="str">
        <f>IF(WarehouseData[[#This Row],[order_fulfillment_rate]]&gt;=0.9,"Strong",IF(WarehouseData[[#This Row],[order_fulfillment_rate]]&gt;=0.8,"Moderate","Needs Attention"))</f>
        <v>Needs Attention</v>
      </c>
      <c r="AE1114" t="str">
        <f>IF(WarehouseData[[#This Row],[picking_time_seconds]]&gt;120,"Slow",IF(WarehouseData[[#This Row],[picking_time_seconds]]&gt;=60,"Average","Fast"))</f>
        <v>Slow</v>
      </c>
    </row>
    <row r="1115" spans="1:31" x14ac:dyDescent="0.25">
      <c r="A1115" t="s">
        <v>1253</v>
      </c>
      <c r="B1115" t="s">
        <v>40</v>
      </c>
      <c r="C1115">
        <v>385</v>
      </c>
      <c r="D1115">
        <v>18</v>
      </c>
      <c r="E1115">
        <v>7</v>
      </c>
      <c r="F1115">
        <v>4</v>
      </c>
      <c r="G1115">
        <v>22.81</v>
      </c>
      <c r="H1115">
        <v>4.45</v>
      </c>
      <c r="I1115">
        <v>0.67</v>
      </c>
      <c r="J1115" t="s">
        <v>273</v>
      </c>
      <c r="K1115" t="s">
        <v>46</v>
      </c>
      <c r="L1115">
        <v>124</v>
      </c>
      <c r="M1115">
        <v>3.54</v>
      </c>
      <c r="N1115">
        <v>20.95</v>
      </c>
      <c r="O1115">
        <v>0.28000000000000003</v>
      </c>
      <c r="P1115">
        <v>8</v>
      </c>
      <c r="Q1115">
        <v>0.72</v>
      </c>
      <c r="R1115">
        <v>626</v>
      </c>
      <c r="S1115">
        <v>6.11</v>
      </c>
      <c r="T1115">
        <v>0.62</v>
      </c>
      <c r="U1115" s="1">
        <v>45312</v>
      </c>
      <c r="V1115">
        <v>79.02</v>
      </c>
      <c r="W1115">
        <v>0.56100000000000005</v>
      </c>
      <c r="X1115" t="str">
        <f>IF(WarehouseData[[#This Row],[stock_level]]&lt;=WarehouseData[[#This Row],[reorder_point]],"Low Stock","Sufficient Stock")</f>
        <v>Sufficient Stock</v>
      </c>
      <c r="Y1115">
        <f>WarehouseData[[#This Row],[daily_demand]]*WarehouseData[[#This Row],[lead_time_days]]</f>
        <v>91.24</v>
      </c>
      <c r="Z1115" t="str">
        <f>IF(WarehouseData[[#This Row],[stock_level]]&lt;=WarehouseData[[#This Row],[Demand During Lead Time]],"At Risk","Safe")</f>
        <v>Safe</v>
      </c>
      <c r="AA1115">
        <f>WarehouseData[[#This Row],[stock_level]]/WarehouseData[[#This Row],[daily_demand]]</f>
        <v>16.878562034195529</v>
      </c>
      <c r="AB1115">
        <f>WarehouseData[[#This Row],[stock_level]]*WarehouseData[[#This Row],[unit_price]]</f>
        <v>8065.75</v>
      </c>
      <c r="AC1115">
        <f>WarehouseData[[#This Row],[stock_level]]*WarehouseData[[#This Row],[holding_cost_per_unit_day]]*30</f>
        <v>3234.0000000000005</v>
      </c>
      <c r="AD1115" t="str">
        <f>IF(WarehouseData[[#This Row],[order_fulfillment_rate]]&gt;=0.9,"Strong",IF(WarehouseData[[#This Row],[order_fulfillment_rate]]&gt;=0.8,"Moderate","Needs Attention"))</f>
        <v>Needs Attention</v>
      </c>
      <c r="AE1115" t="str">
        <f>IF(WarehouseData[[#This Row],[picking_time_seconds]]&gt;120,"Slow",IF(WarehouseData[[#This Row],[picking_time_seconds]]&gt;=60,"Average","Fast"))</f>
        <v>Slow</v>
      </c>
    </row>
    <row r="1116" spans="1:31" x14ac:dyDescent="0.25">
      <c r="A1116" t="s">
        <v>1254</v>
      </c>
      <c r="B1116" t="s">
        <v>40</v>
      </c>
      <c r="C1116">
        <v>88</v>
      </c>
      <c r="D1116">
        <v>24</v>
      </c>
      <c r="E1116">
        <v>12</v>
      </c>
      <c r="F1116">
        <v>9</v>
      </c>
      <c r="G1116">
        <v>32.07</v>
      </c>
      <c r="H1116">
        <v>2.27</v>
      </c>
      <c r="I1116">
        <v>0.21</v>
      </c>
      <c r="J1116" t="s">
        <v>245</v>
      </c>
      <c r="K1116" t="s">
        <v>38</v>
      </c>
      <c r="L1116">
        <v>162</v>
      </c>
      <c r="M1116">
        <v>2.98</v>
      </c>
      <c r="N1116">
        <v>88.76</v>
      </c>
      <c r="O1116">
        <v>0.63</v>
      </c>
      <c r="P1116">
        <v>6</v>
      </c>
      <c r="Q1116">
        <v>0.96</v>
      </c>
      <c r="R1116">
        <v>918</v>
      </c>
      <c r="S1116">
        <v>8.39</v>
      </c>
      <c r="T1116">
        <v>0.24</v>
      </c>
      <c r="U1116" s="1">
        <v>45402</v>
      </c>
      <c r="V1116">
        <v>293.98</v>
      </c>
      <c r="W1116">
        <v>0.56899999999999995</v>
      </c>
      <c r="X1116" t="str">
        <f>IF(WarehouseData[[#This Row],[stock_level]]&lt;=WarehouseData[[#This Row],[reorder_point]],"Low Stock","Sufficient Stock")</f>
        <v>Sufficient Stock</v>
      </c>
      <c r="Y1116">
        <f>WarehouseData[[#This Row],[daily_demand]]*WarehouseData[[#This Row],[lead_time_days]]</f>
        <v>288.63</v>
      </c>
      <c r="Z1116" t="str">
        <f>IF(WarehouseData[[#This Row],[stock_level]]&lt;=WarehouseData[[#This Row],[Demand During Lead Time]],"At Risk","Safe")</f>
        <v>At Risk</v>
      </c>
      <c r="AA1116">
        <f>WarehouseData[[#This Row],[stock_level]]/WarehouseData[[#This Row],[daily_demand]]</f>
        <v>2.7439975054568131</v>
      </c>
      <c r="AB1116">
        <f>WarehouseData[[#This Row],[stock_level]]*WarehouseData[[#This Row],[unit_price]]</f>
        <v>7810.88</v>
      </c>
      <c r="AC1116">
        <f>WarehouseData[[#This Row],[stock_level]]*WarehouseData[[#This Row],[holding_cost_per_unit_day]]*30</f>
        <v>1663.1999999999998</v>
      </c>
      <c r="AD1116" t="str">
        <f>IF(WarehouseData[[#This Row],[order_fulfillment_rate]]&gt;=0.9,"Strong",IF(WarehouseData[[#This Row],[order_fulfillment_rate]]&gt;=0.8,"Moderate","Needs Attention"))</f>
        <v>Strong</v>
      </c>
      <c r="AE1116" t="str">
        <f>IF(WarehouseData[[#This Row],[picking_time_seconds]]&gt;120,"Slow",IF(WarehouseData[[#This Row],[picking_time_seconds]]&gt;=60,"Average","Fast"))</f>
        <v>Slow</v>
      </c>
    </row>
    <row r="1117" spans="1:31" x14ac:dyDescent="0.25">
      <c r="A1117" t="s">
        <v>1255</v>
      </c>
      <c r="B1117" t="s">
        <v>32</v>
      </c>
      <c r="C1117">
        <v>318</v>
      </c>
      <c r="D1117">
        <v>12</v>
      </c>
      <c r="E1117">
        <v>6</v>
      </c>
      <c r="F1117">
        <v>7</v>
      </c>
      <c r="G1117">
        <v>7.21</v>
      </c>
      <c r="H1117">
        <v>1.47</v>
      </c>
      <c r="I1117">
        <v>0.54</v>
      </c>
      <c r="J1117" t="s">
        <v>228</v>
      </c>
      <c r="K1117" t="s">
        <v>46</v>
      </c>
      <c r="L1117">
        <v>86</v>
      </c>
      <c r="M1117">
        <v>1.1200000000000001</v>
      </c>
      <c r="N1117">
        <v>127.33</v>
      </c>
      <c r="O1117">
        <v>1.47</v>
      </c>
      <c r="P1117">
        <v>9</v>
      </c>
      <c r="Q1117">
        <v>0.86</v>
      </c>
      <c r="R1117">
        <v>556</v>
      </c>
      <c r="S1117">
        <v>7.44</v>
      </c>
      <c r="T1117">
        <v>0.51</v>
      </c>
      <c r="U1117" s="1">
        <v>45459</v>
      </c>
      <c r="V1117">
        <v>50.38</v>
      </c>
      <c r="W1117">
        <v>0.44600000000000001</v>
      </c>
      <c r="X1117" t="str">
        <f>IF(WarehouseData[[#This Row],[stock_level]]&lt;=WarehouseData[[#This Row],[reorder_point]],"Low Stock","Sufficient Stock")</f>
        <v>Sufficient Stock</v>
      </c>
      <c r="Y1117">
        <f>WarehouseData[[#This Row],[daily_demand]]*WarehouseData[[#This Row],[lead_time_days]]</f>
        <v>50.47</v>
      </c>
      <c r="Z1117" t="str">
        <f>IF(WarehouseData[[#This Row],[stock_level]]&lt;=WarehouseData[[#This Row],[Demand During Lead Time]],"At Risk","Safe")</f>
        <v>Safe</v>
      </c>
      <c r="AA1117">
        <f>WarehouseData[[#This Row],[stock_level]]/WarehouseData[[#This Row],[daily_demand]]</f>
        <v>44.105409153952841</v>
      </c>
      <c r="AB1117">
        <f>WarehouseData[[#This Row],[stock_level]]*WarehouseData[[#This Row],[unit_price]]</f>
        <v>40490.94</v>
      </c>
      <c r="AC1117">
        <f>WarehouseData[[#This Row],[stock_level]]*WarehouseData[[#This Row],[holding_cost_per_unit_day]]*30</f>
        <v>14023.8</v>
      </c>
      <c r="AD1117" t="str">
        <f>IF(WarehouseData[[#This Row],[order_fulfillment_rate]]&gt;=0.9,"Strong",IF(WarehouseData[[#This Row],[order_fulfillment_rate]]&gt;=0.8,"Moderate","Needs Attention"))</f>
        <v>Moderate</v>
      </c>
      <c r="AE1117" t="str">
        <f>IF(WarehouseData[[#This Row],[picking_time_seconds]]&gt;120,"Slow",IF(WarehouseData[[#This Row],[picking_time_seconds]]&gt;=60,"Average","Fast"))</f>
        <v>Average</v>
      </c>
    </row>
    <row r="1118" spans="1:31" x14ac:dyDescent="0.25">
      <c r="A1118" t="s">
        <v>1256</v>
      </c>
      <c r="B1118" t="s">
        <v>32</v>
      </c>
      <c r="C1118">
        <v>451</v>
      </c>
      <c r="D1118">
        <v>79</v>
      </c>
      <c r="E1118">
        <v>4</v>
      </c>
      <c r="F1118">
        <v>5</v>
      </c>
      <c r="G1118">
        <v>36.92</v>
      </c>
      <c r="H1118">
        <v>3.37</v>
      </c>
      <c r="I1118">
        <v>0.69</v>
      </c>
      <c r="J1118" t="s">
        <v>477</v>
      </c>
      <c r="K1118" t="s">
        <v>34</v>
      </c>
      <c r="L1118">
        <v>170</v>
      </c>
      <c r="M1118">
        <v>4.59</v>
      </c>
      <c r="N1118">
        <v>132.19</v>
      </c>
      <c r="O1118">
        <v>0.88</v>
      </c>
      <c r="P1118">
        <v>1</v>
      </c>
      <c r="Q1118">
        <v>0.87</v>
      </c>
      <c r="R1118">
        <v>748</v>
      </c>
      <c r="S1118">
        <v>8.67</v>
      </c>
      <c r="T1118">
        <v>0.94</v>
      </c>
      <c r="U1118" s="1">
        <v>45367</v>
      </c>
      <c r="V1118">
        <v>101.6</v>
      </c>
      <c r="W1118">
        <v>0.77</v>
      </c>
      <c r="X1118" t="str">
        <f>IF(WarehouseData[[#This Row],[stock_level]]&lt;=WarehouseData[[#This Row],[reorder_point]],"Low Stock","Sufficient Stock")</f>
        <v>Sufficient Stock</v>
      </c>
      <c r="Y1118">
        <f>WarehouseData[[#This Row],[daily_demand]]*WarehouseData[[#This Row],[lead_time_days]]</f>
        <v>184.60000000000002</v>
      </c>
      <c r="Z1118" t="str">
        <f>IF(WarehouseData[[#This Row],[stock_level]]&lt;=WarehouseData[[#This Row],[Demand During Lead Time]],"At Risk","Safe")</f>
        <v>Safe</v>
      </c>
      <c r="AA1118">
        <f>WarehouseData[[#This Row],[stock_level]]/WarehouseData[[#This Row],[daily_demand]]</f>
        <v>12.215601300108341</v>
      </c>
      <c r="AB1118">
        <f>WarehouseData[[#This Row],[stock_level]]*WarehouseData[[#This Row],[unit_price]]</f>
        <v>59617.69</v>
      </c>
      <c r="AC1118">
        <f>WarehouseData[[#This Row],[stock_level]]*WarehouseData[[#This Row],[holding_cost_per_unit_day]]*30</f>
        <v>11906.4</v>
      </c>
      <c r="AD1118" t="str">
        <f>IF(WarehouseData[[#This Row],[order_fulfillment_rate]]&gt;=0.9,"Strong",IF(WarehouseData[[#This Row],[order_fulfillment_rate]]&gt;=0.8,"Moderate","Needs Attention"))</f>
        <v>Moderate</v>
      </c>
      <c r="AE1118" t="str">
        <f>IF(WarehouseData[[#This Row],[picking_time_seconds]]&gt;120,"Slow",IF(WarehouseData[[#This Row],[picking_time_seconds]]&gt;=60,"Average","Fast"))</f>
        <v>Slow</v>
      </c>
    </row>
    <row r="1119" spans="1:31" x14ac:dyDescent="0.25">
      <c r="A1119" t="s">
        <v>1257</v>
      </c>
      <c r="B1119" t="s">
        <v>36</v>
      </c>
      <c r="C1119">
        <v>309</v>
      </c>
      <c r="D1119">
        <v>26</v>
      </c>
      <c r="E1119">
        <v>9</v>
      </c>
      <c r="F1119">
        <v>4</v>
      </c>
      <c r="G1119">
        <v>14.19</v>
      </c>
      <c r="H1119">
        <v>8.67</v>
      </c>
      <c r="I1119">
        <v>0.62</v>
      </c>
      <c r="J1119" t="s">
        <v>377</v>
      </c>
      <c r="K1119" t="s">
        <v>46</v>
      </c>
      <c r="L1119">
        <v>22</v>
      </c>
      <c r="M1119">
        <v>3.17</v>
      </c>
      <c r="N1119">
        <v>60.83</v>
      </c>
      <c r="O1119">
        <v>1.18</v>
      </c>
      <c r="P1119">
        <v>6</v>
      </c>
      <c r="Q1119">
        <v>0.87</v>
      </c>
      <c r="R1119">
        <v>969</v>
      </c>
      <c r="S1119">
        <v>5.37</v>
      </c>
      <c r="T1119">
        <v>0.48</v>
      </c>
      <c r="U1119" s="1">
        <v>45338</v>
      </c>
      <c r="V1119">
        <v>152.19</v>
      </c>
      <c r="W1119">
        <v>0.504</v>
      </c>
      <c r="X1119" t="str">
        <f>IF(WarehouseData[[#This Row],[stock_level]]&lt;=WarehouseData[[#This Row],[reorder_point]],"Low Stock","Sufficient Stock")</f>
        <v>Sufficient Stock</v>
      </c>
      <c r="Y1119">
        <f>WarehouseData[[#This Row],[daily_demand]]*WarehouseData[[#This Row],[lead_time_days]]</f>
        <v>56.76</v>
      </c>
      <c r="Z1119" t="str">
        <f>IF(WarehouseData[[#This Row],[stock_level]]&lt;=WarehouseData[[#This Row],[Demand During Lead Time]],"At Risk","Safe")</f>
        <v>Safe</v>
      </c>
      <c r="AA1119">
        <f>WarehouseData[[#This Row],[stock_level]]/WarehouseData[[#This Row],[daily_demand]]</f>
        <v>21.775898520084567</v>
      </c>
      <c r="AB1119">
        <f>WarehouseData[[#This Row],[stock_level]]*WarehouseData[[#This Row],[unit_price]]</f>
        <v>18796.47</v>
      </c>
      <c r="AC1119">
        <f>WarehouseData[[#This Row],[stock_level]]*WarehouseData[[#This Row],[holding_cost_per_unit_day]]*30</f>
        <v>10938.6</v>
      </c>
      <c r="AD1119" t="str">
        <f>IF(WarehouseData[[#This Row],[order_fulfillment_rate]]&gt;=0.9,"Strong",IF(WarehouseData[[#This Row],[order_fulfillment_rate]]&gt;=0.8,"Moderate","Needs Attention"))</f>
        <v>Moderate</v>
      </c>
      <c r="AE1119" t="str">
        <f>IF(WarehouseData[[#This Row],[picking_time_seconds]]&gt;120,"Slow",IF(WarehouseData[[#This Row],[picking_time_seconds]]&gt;=60,"Average","Fast"))</f>
        <v>Fast</v>
      </c>
    </row>
    <row r="1120" spans="1:31" x14ac:dyDescent="0.25">
      <c r="A1120" t="s">
        <v>1258</v>
      </c>
      <c r="B1120" t="s">
        <v>36</v>
      </c>
      <c r="C1120">
        <v>315</v>
      </c>
      <c r="D1120">
        <v>35</v>
      </c>
      <c r="E1120">
        <v>12</v>
      </c>
      <c r="F1120">
        <v>9</v>
      </c>
      <c r="G1120">
        <v>22.98</v>
      </c>
      <c r="H1120">
        <v>0.66</v>
      </c>
      <c r="I1120">
        <v>0.23</v>
      </c>
      <c r="J1120" t="s">
        <v>139</v>
      </c>
      <c r="K1120" t="s">
        <v>52</v>
      </c>
      <c r="L1120">
        <v>47</v>
      </c>
      <c r="M1120">
        <v>2.56</v>
      </c>
      <c r="N1120">
        <v>173.38</v>
      </c>
      <c r="O1120">
        <v>0.26</v>
      </c>
      <c r="P1120">
        <v>6</v>
      </c>
      <c r="Q1120">
        <v>0.93</v>
      </c>
      <c r="R1120">
        <v>788</v>
      </c>
      <c r="S1120">
        <v>3.33</v>
      </c>
      <c r="T1120">
        <v>0.81</v>
      </c>
      <c r="U1120" s="1">
        <v>45656</v>
      </c>
      <c r="V1120">
        <v>244.57</v>
      </c>
      <c r="W1120">
        <v>0.64600000000000002</v>
      </c>
      <c r="X1120" t="str">
        <f>IF(WarehouseData[[#This Row],[stock_level]]&lt;=WarehouseData[[#This Row],[reorder_point]],"Low Stock","Sufficient Stock")</f>
        <v>Sufficient Stock</v>
      </c>
      <c r="Y1120">
        <f>WarehouseData[[#This Row],[daily_demand]]*WarehouseData[[#This Row],[lead_time_days]]</f>
        <v>206.82</v>
      </c>
      <c r="Z1120" t="str">
        <f>IF(WarehouseData[[#This Row],[stock_level]]&lt;=WarehouseData[[#This Row],[Demand During Lead Time]],"At Risk","Safe")</f>
        <v>Safe</v>
      </c>
      <c r="AA1120">
        <f>WarehouseData[[#This Row],[stock_level]]/WarehouseData[[#This Row],[daily_demand]]</f>
        <v>13.70757180156658</v>
      </c>
      <c r="AB1120">
        <f>WarehouseData[[#This Row],[stock_level]]*WarehouseData[[#This Row],[unit_price]]</f>
        <v>54614.7</v>
      </c>
      <c r="AC1120">
        <f>WarehouseData[[#This Row],[stock_level]]*WarehouseData[[#This Row],[holding_cost_per_unit_day]]*30</f>
        <v>2457</v>
      </c>
      <c r="AD1120" t="str">
        <f>IF(WarehouseData[[#This Row],[order_fulfillment_rate]]&gt;=0.9,"Strong",IF(WarehouseData[[#This Row],[order_fulfillment_rate]]&gt;=0.8,"Moderate","Needs Attention"))</f>
        <v>Strong</v>
      </c>
      <c r="AE1120" t="str">
        <f>IF(WarehouseData[[#This Row],[picking_time_seconds]]&gt;120,"Slow",IF(WarehouseData[[#This Row],[picking_time_seconds]]&gt;=60,"Average","Fast"))</f>
        <v>Fast</v>
      </c>
    </row>
    <row r="1121" spans="1:31" x14ac:dyDescent="0.25">
      <c r="A1121" t="s">
        <v>1259</v>
      </c>
      <c r="B1121" t="s">
        <v>48</v>
      </c>
      <c r="C1121">
        <v>222</v>
      </c>
      <c r="D1121">
        <v>30</v>
      </c>
      <c r="E1121">
        <v>12</v>
      </c>
      <c r="F1121">
        <v>5</v>
      </c>
      <c r="G1121">
        <v>44.27</v>
      </c>
      <c r="H1121">
        <v>3.28</v>
      </c>
      <c r="I1121">
        <v>0.25</v>
      </c>
      <c r="J1121" t="s">
        <v>202</v>
      </c>
      <c r="K1121" t="s">
        <v>52</v>
      </c>
      <c r="L1121">
        <v>157</v>
      </c>
      <c r="M1121">
        <v>4.72</v>
      </c>
      <c r="N1121">
        <v>72.56</v>
      </c>
      <c r="O1121">
        <v>0.33</v>
      </c>
      <c r="P1121">
        <v>3</v>
      </c>
      <c r="Q1121">
        <v>0.74</v>
      </c>
      <c r="R1121">
        <v>760</v>
      </c>
      <c r="S1121">
        <v>12.25</v>
      </c>
      <c r="T1121">
        <v>0.98</v>
      </c>
      <c r="U1121" s="1">
        <v>45419</v>
      </c>
      <c r="V1121">
        <v>119.2</v>
      </c>
      <c r="W1121">
        <v>0.81399999999999995</v>
      </c>
      <c r="X1121" t="str">
        <f>IF(WarehouseData[[#This Row],[stock_level]]&lt;=WarehouseData[[#This Row],[reorder_point]],"Low Stock","Sufficient Stock")</f>
        <v>Sufficient Stock</v>
      </c>
      <c r="Y1121">
        <f>WarehouseData[[#This Row],[daily_demand]]*WarehouseData[[#This Row],[lead_time_days]]</f>
        <v>221.35000000000002</v>
      </c>
      <c r="Z1121" t="str">
        <f>IF(WarehouseData[[#This Row],[stock_level]]&lt;=WarehouseData[[#This Row],[Demand During Lead Time]],"At Risk","Safe")</f>
        <v>Safe</v>
      </c>
      <c r="AA1121">
        <f>WarehouseData[[#This Row],[stock_level]]/WarehouseData[[#This Row],[daily_demand]]</f>
        <v>5.014682629320081</v>
      </c>
      <c r="AB1121">
        <f>WarehouseData[[#This Row],[stock_level]]*WarehouseData[[#This Row],[unit_price]]</f>
        <v>16108.32</v>
      </c>
      <c r="AC1121">
        <f>WarehouseData[[#This Row],[stock_level]]*WarehouseData[[#This Row],[holding_cost_per_unit_day]]*30</f>
        <v>2197.8000000000002</v>
      </c>
      <c r="AD1121" t="str">
        <f>IF(WarehouseData[[#This Row],[order_fulfillment_rate]]&gt;=0.9,"Strong",IF(WarehouseData[[#This Row],[order_fulfillment_rate]]&gt;=0.8,"Moderate","Needs Attention"))</f>
        <v>Needs Attention</v>
      </c>
      <c r="AE1121" t="str">
        <f>IF(WarehouseData[[#This Row],[picking_time_seconds]]&gt;120,"Slow",IF(WarehouseData[[#This Row],[picking_time_seconds]]&gt;=60,"Average","Fast"))</f>
        <v>Slow</v>
      </c>
    </row>
    <row r="1122" spans="1:31" x14ac:dyDescent="0.25">
      <c r="A1122" t="s">
        <v>1260</v>
      </c>
      <c r="B1122" t="s">
        <v>48</v>
      </c>
      <c r="C1122">
        <v>80</v>
      </c>
      <c r="D1122">
        <v>81</v>
      </c>
      <c r="E1122">
        <v>4</v>
      </c>
      <c r="F1122">
        <v>4</v>
      </c>
      <c r="G1122">
        <v>48.56</v>
      </c>
      <c r="H1122">
        <v>4.53</v>
      </c>
      <c r="I1122">
        <v>0.7</v>
      </c>
      <c r="J1122" t="s">
        <v>207</v>
      </c>
      <c r="K1122" t="s">
        <v>34</v>
      </c>
      <c r="L1122">
        <v>26</v>
      </c>
      <c r="M1122">
        <v>0.94</v>
      </c>
      <c r="N1122">
        <v>184.63</v>
      </c>
      <c r="O1122">
        <v>0.12</v>
      </c>
      <c r="P1122">
        <v>7</v>
      </c>
      <c r="Q1122">
        <v>0.88</v>
      </c>
      <c r="R1122">
        <v>343</v>
      </c>
      <c r="S1122">
        <v>1.55</v>
      </c>
      <c r="T1122">
        <v>0.3</v>
      </c>
      <c r="U1122" s="1">
        <v>45474</v>
      </c>
      <c r="V1122">
        <v>62.17</v>
      </c>
      <c r="W1122">
        <v>0.505</v>
      </c>
      <c r="X1122" t="str">
        <f>IF(WarehouseData[[#This Row],[stock_level]]&lt;=WarehouseData[[#This Row],[reorder_point]],"Low Stock","Sufficient Stock")</f>
        <v>Low Stock</v>
      </c>
      <c r="Y1122">
        <f>WarehouseData[[#This Row],[daily_demand]]*WarehouseData[[#This Row],[lead_time_days]]</f>
        <v>194.24</v>
      </c>
      <c r="Z1122" t="str">
        <f>IF(WarehouseData[[#This Row],[stock_level]]&lt;=WarehouseData[[#This Row],[Demand During Lead Time]],"At Risk","Safe")</f>
        <v>At Risk</v>
      </c>
      <c r="AA1122">
        <f>WarehouseData[[#This Row],[stock_level]]/WarehouseData[[#This Row],[daily_demand]]</f>
        <v>1.6474464579901154</v>
      </c>
      <c r="AB1122">
        <f>WarehouseData[[#This Row],[stock_level]]*WarehouseData[[#This Row],[unit_price]]</f>
        <v>14770.4</v>
      </c>
      <c r="AC1122">
        <f>WarehouseData[[#This Row],[stock_level]]*WarehouseData[[#This Row],[holding_cost_per_unit_day]]*30</f>
        <v>288</v>
      </c>
      <c r="AD1122" t="str">
        <f>IF(WarehouseData[[#This Row],[order_fulfillment_rate]]&gt;=0.9,"Strong",IF(WarehouseData[[#This Row],[order_fulfillment_rate]]&gt;=0.8,"Moderate","Needs Attention"))</f>
        <v>Moderate</v>
      </c>
      <c r="AE1122" t="str">
        <f>IF(WarehouseData[[#This Row],[picking_time_seconds]]&gt;120,"Slow",IF(WarehouseData[[#This Row],[picking_time_seconds]]&gt;=60,"Average","Fast"))</f>
        <v>Fast</v>
      </c>
    </row>
    <row r="1123" spans="1:31" x14ac:dyDescent="0.25">
      <c r="A1123" t="s">
        <v>1261</v>
      </c>
      <c r="B1123" t="s">
        <v>73</v>
      </c>
      <c r="C1123">
        <v>453</v>
      </c>
      <c r="D1123">
        <v>30</v>
      </c>
      <c r="E1123">
        <v>3</v>
      </c>
      <c r="F1123">
        <v>6</v>
      </c>
      <c r="G1123">
        <v>21.8</v>
      </c>
      <c r="H1123">
        <v>5.35</v>
      </c>
      <c r="I1123">
        <v>0.83</v>
      </c>
      <c r="J1123" t="s">
        <v>316</v>
      </c>
      <c r="K1123" t="s">
        <v>46</v>
      </c>
      <c r="L1123">
        <v>132</v>
      </c>
      <c r="M1123">
        <v>4.05</v>
      </c>
      <c r="N1123">
        <v>99.6</v>
      </c>
      <c r="O1123">
        <v>1.38</v>
      </c>
      <c r="P1123">
        <v>3</v>
      </c>
      <c r="Q1123">
        <v>0.84</v>
      </c>
      <c r="R1123">
        <v>812</v>
      </c>
      <c r="S1123">
        <v>6.18</v>
      </c>
      <c r="T1123">
        <v>0.47</v>
      </c>
      <c r="U1123" s="1">
        <v>45494</v>
      </c>
      <c r="V1123">
        <v>144.83000000000001</v>
      </c>
      <c r="W1123">
        <v>0.54600000000000004</v>
      </c>
      <c r="X1123" t="str">
        <f>IF(WarehouseData[[#This Row],[stock_level]]&lt;=WarehouseData[[#This Row],[reorder_point]],"Low Stock","Sufficient Stock")</f>
        <v>Sufficient Stock</v>
      </c>
      <c r="Y1123">
        <f>WarehouseData[[#This Row],[daily_demand]]*WarehouseData[[#This Row],[lead_time_days]]</f>
        <v>130.80000000000001</v>
      </c>
      <c r="Z1123" t="str">
        <f>IF(WarehouseData[[#This Row],[stock_level]]&lt;=WarehouseData[[#This Row],[Demand During Lead Time]],"At Risk","Safe")</f>
        <v>Safe</v>
      </c>
      <c r="AA1123">
        <f>WarehouseData[[#This Row],[stock_level]]/WarehouseData[[#This Row],[daily_demand]]</f>
        <v>20.779816513761467</v>
      </c>
      <c r="AB1123">
        <f>WarehouseData[[#This Row],[stock_level]]*WarehouseData[[#This Row],[unit_price]]</f>
        <v>45118.799999999996</v>
      </c>
      <c r="AC1123">
        <f>WarehouseData[[#This Row],[stock_level]]*WarehouseData[[#This Row],[holding_cost_per_unit_day]]*30</f>
        <v>18754.2</v>
      </c>
      <c r="AD1123" t="str">
        <f>IF(WarehouseData[[#This Row],[order_fulfillment_rate]]&gt;=0.9,"Strong",IF(WarehouseData[[#This Row],[order_fulfillment_rate]]&gt;=0.8,"Moderate","Needs Attention"))</f>
        <v>Moderate</v>
      </c>
      <c r="AE1123" t="str">
        <f>IF(WarehouseData[[#This Row],[picking_time_seconds]]&gt;120,"Slow",IF(WarehouseData[[#This Row],[picking_time_seconds]]&gt;=60,"Average","Fast"))</f>
        <v>Slow</v>
      </c>
    </row>
    <row r="1124" spans="1:31" x14ac:dyDescent="0.25">
      <c r="A1124" t="s">
        <v>1262</v>
      </c>
      <c r="B1124" t="s">
        <v>36</v>
      </c>
      <c r="C1124">
        <v>470</v>
      </c>
      <c r="D1124">
        <v>20</v>
      </c>
      <c r="E1124">
        <v>7</v>
      </c>
      <c r="F1124">
        <v>5</v>
      </c>
      <c r="G1124">
        <v>41.91</v>
      </c>
      <c r="H1124">
        <v>2.2200000000000002</v>
      </c>
      <c r="I1124">
        <v>0.92</v>
      </c>
      <c r="J1124" t="s">
        <v>92</v>
      </c>
      <c r="K1124" t="s">
        <v>52</v>
      </c>
      <c r="L1124">
        <v>123</v>
      </c>
      <c r="M1124">
        <v>2.14</v>
      </c>
      <c r="N1124">
        <v>11.97</v>
      </c>
      <c r="O1124">
        <v>0.6</v>
      </c>
      <c r="P1124">
        <v>6</v>
      </c>
      <c r="Q1124">
        <v>0.97</v>
      </c>
      <c r="R1124">
        <v>526</v>
      </c>
      <c r="S1124">
        <v>2.2200000000000002</v>
      </c>
      <c r="T1124">
        <v>0.57999999999999996</v>
      </c>
      <c r="U1124" s="1">
        <v>45554</v>
      </c>
      <c r="V1124">
        <v>148.18</v>
      </c>
      <c r="W1124">
        <v>0.56000000000000005</v>
      </c>
      <c r="X1124" t="str">
        <f>IF(WarehouseData[[#This Row],[stock_level]]&lt;=WarehouseData[[#This Row],[reorder_point]],"Low Stock","Sufficient Stock")</f>
        <v>Sufficient Stock</v>
      </c>
      <c r="Y1124">
        <f>WarehouseData[[#This Row],[daily_demand]]*WarehouseData[[#This Row],[lead_time_days]]</f>
        <v>209.54999999999998</v>
      </c>
      <c r="Z1124" t="str">
        <f>IF(WarehouseData[[#This Row],[stock_level]]&lt;=WarehouseData[[#This Row],[Demand During Lead Time]],"At Risk","Safe")</f>
        <v>Safe</v>
      </c>
      <c r="AA1124">
        <f>WarehouseData[[#This Row],[stock_level]]/WarehouseData[[#This Row],[daily_demand]]</f>
        <v>11.214507277499404</v>
      </c>
      <c r="AB1124">
        <f>WarehouseData[[#This Row],[stock_level]]*WarehouseData[[#This Row],[unit_price]]</f>
        <v>5625.9000000000005</v>
      </c>
      <c r="AC1124">
        <f>WarehouseData[[#This Row],[stock_level]]*WarehouseData[[#This Row],[holding_cost_per_unit_day]]*30</f>
        <v>8460</v>
      </c>
      <c r="AD1124" t="str">
        <f>IF(WarehouseData[[#This Row],[order_fulfillment_rate]]&gt;=0.9,"Strong",IF(WarehouseData[[#This Row],[order_fulfillment_rate]]&gt;=0.8,"Moderate","Needs Attention"))</f>
        <v>Strong</v>
      </c>
      <c r="AE1124" t="str">
        <f>IF(WarehouseData[[#This Row],[picking_time_seconds]]&gt;120,"Slow",IF(WarehouseData[[#This Row],[picking_time_seconds]]&gt;=60,"Average","Fast"))</f>
        <v>Slow</v>
      </c>
    </row>
    <row r="1125" spans="1:31" x14ac:dyDescent="0.25">
      <c r="A1125" t="s">
        <v>1263</v>
      </c>
      <c r="B1125" t="s">
        <v>40</v>
      </c>
      <c r="C1125">
        <v>337</v>
      </c>
      <c r="D1125">
        <v>47</v>
      </c>
      <c r="E1125">
        <v>14</v>
      </c>
      <c r="F1125">
        <v>9</v>
      </c>
      <c r="G1125">
        <v>3.61</v>
      </c>
      <c r="H1125">
        <v>9.66</v>
      </c>
      <c r="I1125">
        <v>0.83</v>
      </c>
      <c r="J1125" t="s">
        <v>223</v>
      </c>
      <c r="K1125" t="s">
        <v>52</v>
      </c>
      <c r="L1125">
        <v>161</v>
      </c>
      <c r="M1125">
        <v>3.63</v>
      </c>
      <c r="N1125">
        <v>40.79</v>
      </c>
      <c r="O1125">
        <v>1.94</v>
      </c>
      <c r="P1125">
        <v>3</v>
      </c>
      <c r="Q1125">
        <v>0.86</v>
      </c>
      <c r="R1125">
        <v>879</v>
      </c>
      <c r="S1125">
        <v>11.31</v>
      </c>
      <c r="T1125">
        <v>0.39</v>
      </c>
      <c r="U1125" s="1">
        <v>45317</v>
      </c>
      <c r="V1125">
        <v>14.7</v>
      </c>
      <c r="W1125">
        <v>0.54700000000000004</v>
      </c>
      <c r="X1125" t="str">
        <f>IF(WarehouseData[[#This Row],[stock_level]]&lt;=WarehouseData[[#This Row],[reorder_point]],"Low Stock","Sufficient Stock")</f>
        <v>Sufficient Stock</v>
      </c>
      <c r="Y1125">
        <f>WarehouseData[[#This Row],[daily_demand]]*WarehouseData[[#This Row],[lead_time_days]]</f>
        <v>32.49</v>
      </c>
      <c r="Z1125" t="str">
        <f>IF(WarehouseData[[#This Row],[stock_level]]&lt;=WarehouseData[[#This Row],[Demand During Lead Time]],"At Risk","Safe")</f>
        <v>Safe</v>
      </c>
      <c r="AA1125">
        <f>WarehouseData[[#This Row],[stock_level]]/WarehouseData[[#This Row],[daily_demand]]</f>
        <v>93.35180055401662</v>
      </c>
      <c r="AB1125">
        <f>WarehouseData[[#This Row],[stock_level]]*WarehouseData[[#This Row],[unit_price]]</f>
        <v>13746.23</v>
      </c>
      <c r="AC1125">
        <f>WarehouseData[[#This Row],[stock_level]]*WarehouseData[[#This Row],[holding_cost_per_unit_day]]*30</f>
        <v>19613.399999999998</v>
      </c>
      <c r="AD1125" t="str">
        <f>IF(WarehouseData[[#This Row],[order_fulfillment_rate]]&gt;=0.9,"Strong",IF(WarehouseData[[#This Row],[order_fulfillment_rate]]&gt;=0.8,"Moderate","Needs Attention"))</f>
        <v>Moderate</v>
      </c>
      <c r="AE1125" t="str">
        <f>IF(WarehouseData[[#This Row],[picking_time_seconds]]&gt;120,"Slow",IF(WarehouseData[[#This Row],[picking_time_seconds]]&gt;=60,"Average","Fast"))</f>
        <v>Slow</v>
      </c>
    </row>
    <row r="1126" spans="1:31" x14ac:dyDescent="0.25">
      <c r="A1126" t="s">
        <v>1264</v>
      </c>
      <c r="B1126" t="s">
        <v>36</v>
      </c>
      <c r="C1126">
        <v>333</v>
      </c>
      <c r="D1126">
        <v>81</v>
      </c>
      <c r="E1126">
        <v>3</v>
      </c>
      <c r="F1126">
        <v>3</v>
      </c>
      <c r="G1126">
        <v>42.53</v>
      </c>
      <c r="H1126">
        <v>6</v>
      </c>
      <c r="I1126">
        <v>0.98</v>
      </c>
      <c r="J1126" t="s">
        <v>185</v>
      </c>
      <c r="K1126" t="s">
        <v>38</v>
      </c>
      <c r="L1126">
        <v>35</v>
      </c>
      <c r="M1126">
        <v>4.6900000000000004</v>
      </c>
      <c r="N1126">
        <v>29.44</v>
      </c>
      <c r="O1126">
        <v>0.69</v>
      </c>
      <c r="P1126">
        <v>7</v>
      </c>
      <c r="Q1126">
        <v>0.98</v>
      </c>
      <c r="R1126">
        <v>754</v>
      </c>
      <c r="S1126">
        <v>6.12</v>
      </c>
      <c r="T1126">
        <v>0.21</v>
      </c>
      <c r="U1126" s="1">
        <v>45638</v>
      </c>
      <c r="V1126">
        <v>16.059999999999999</v>
      </c>
      <c r="W1126">
        <v>0.51100000000000001</v>
      </c>
      <c r="X1126" t="str">
        <f>IF(WarehouseData[[#This Row],[stock_level]]&lt;=WarehouseData[[#This Row],[reorder_point]],"Low Stock","Sufficient Stock")</f>
        <v>Sufficient Stock</v>
      </c>
      <c r="Y1126">
        <f>WarehouseData[[#This Row],[daily_demand]]*WarehouseData[[#This Row],[lead_time_days]]</f>
        <v>127.59</v>
      </c>
      <c r="Z1126" t="str">
        <f>IF(WarehouseData[[#This Row],[stock_level]]&lt;=WarehouseData[[#This Row],[Demand During Lead Time]],"At Risk","Safe")</f>
        <v>Safe</v>
      </c>
      <c r="AA1126">
        <f>WarehouseData[[#This Row],[stock_level]]/WarehouseData[[#This Row],[daily_demand]]</f>
        <v>7.8297672231366091</v>
      </c>
      <c r="AB1126">
        <f>WarehouseData[[#This Row],[stock_level]]*WarehouseData[[#This Row],[unit_price]]</f>
        <v>9803.52</v>
      </c>
      <c r="AC1126">
        <f>WarehouseData[[#This Row],[stock_level]]*WarehouseData[[#This Row],[holding_cost_per_unit_day]]*30</f>
        <v>6893.0999999999995</v>
      </c>
      <c r="AD1126" t="str">
        <f>IF(WarehouseData[[#This Row],[order_fulfillment_rate]]&gt;=0.9,"Strong",IF(WarehouseData[[#This Row],[order_fulfillment_rate]]&gt;=0.8,"Moderate","Needs Attention"))</f>
        <v>Strong</v>
      </c>
      <c r="AE1126" t="str">
        <f>IF(WarehouseData[[#This Row],[picking_time_seconds]]&gt;120,"Slow",IF(WarehouseData[[#This Row],[picking_time_seconds]]&gt;=60,"Average","Fast"))</f>
        <v>Fast</v>
      </c>
    </row>
    <row r="1127" spans="1:31" x14ac:dyDescent="0.25">
      <c r="A1127" t="s">
        <v>1265</v>
      </c>
      <c r="B1127" t="s">
        <v>40</v>
      </c>
      <c r="C1127">
        <v>180</v>
      </c>
      <c r="D1127">
        <v>97</v>
      </c>
      <c r="E1127">
        <v>3</v>
      </c>
      <c r="F1127">
        <v>6</v>
      </c>
      <c r="G1127">
        <v>31.85</v>
      </c>
      <c r="H1127">
        <v>5.46</v>
      </c>
      <c r="I1127">
        <v>0.47</v>
      </c>
      <c r="J1127" t="s">
        <v>79</v>
      </c>
      <c r="K1127" t="s">
        <v>34</v>
      </c>
      <c r="L1127">
        <v>177</v>
      </c>
      <c r="M1127">
        <v>2.83</v>
      </c>
      <c r="N1127">
        <v>18.36</v>
      </c>
      <c r="O1127">
        <v>0.79</v>
      </c>
      <c r="P1127">
        <v>2</v>
      </c>
      <c r="Q1127">
        <v>0.81</v>
      </c>
      <c r="R1127">
        <v>557</v>
      </c>
      <c r="S1127">
        <v>1.42</v>
      </c>
      <c r="T1127">
        <v>0.56999999999999995</v>
      </c>
      <c r="U1127" s="1">
        <v>45445</v>
      </c>
      <c r="V1127">
        <v>90.52</v>
      </c>
      <c r="W1127">
        <v>0.57599999999999996</v>
      </c>
      <c r="X1127" t="str">
        <f>IF(WarehouseData[[#This Row],[stock_level]]&lt;=WarehouseData[[#This Row],[reorder_point]],"Low Stock","Sufficient Stock")</f>
        <v>Sufficient Stock</v>
      </c>
      <c r="Y1127">
        <f>WarehouseData[[#This Row],[daily_demand]]*WarehouseData[[#This Row],[lead_time_days]]</f>
        <v>191.10000000000002</v>
      </c>
      <c r="Z1127" t="str">
        <f>IF(WarehouseData[[#This Row],[stock_level]]&lt;=WarehouseData[[#This Row],[Demand During Lead Time]],"At Risk","Safe")</f>
        <v>At Risk</v>
      </c>
      <c r="AA1127">
        <f>WarehouseData[[#This Row],[stock_level]]/WarehouseData[[#This Row],[daily_demand]]</f>
        <v>5.6514913657770798</v>
      </c>
      <c r="AB1127">
        <f>WarehouseData[[#This Row],[stock_level]]*WarehouseData[[#This Row],[unit_price]]</f>
        <v>3304.7999999999997</v>
      </c>
      <c r="AC1127">
        <f>WarehouseData[[#This Row],[stock_level]]*WarehouseData[[#This Row],[holding_cost_per_unit_day]]*30</f>
        <v>4266.0000000000009</v>
      </c>
      <c r="AD1127" t="str">
        <f>IF(WarehouseData[[#This Row],[order_fulfillment_rate]]&gt;=0.9,"Strong",IF(WarehouseData[[#This Row],[order_fulfillment_rate]]&gt;=0.8,"Moderate","Needs Attention"))</f>
        <v>Moderate</v>
      </c>
      <c r="AE1127" t="str">
        <f>IF(WarehouseData[[#This Row],[picking_time_seconds]]&gt;120,"Slow",IF(WarehouseData[[#This Row],[picking_time_seconds]]&gt;=60,"Average","Fast"))</f>
        <v>Slow</v>
      </c>
    </row>
    <row r="1128" spans="1:31" x14ac:dyDescent="0.25">
      <c r="A1128" t="s">
        <v>1266</v>
      </c>
      <c r="B1128" t="s">
        <v>32</v>
      </c>
      <c r="C1128">
        <v>350</v>
      </c>
      <c r="D1128">
        <v>44</v>
      </c>
      <c r="E1128">
        <v>3</v>
      </c>
      <c r="F1128">
        <v>7</v>
      </c>
      <c r="G1128">
        <v>24.95</v>
      </c>
      <c r="H1128">
        <v>0.57999999999999996</v>
      </c>
      <c r="I1128">
        <v>0.4</v>
      </c>
      <c r="J1128" t="s">
        <v>62</v>
      </c>
      <c r="K1128" t="s">
        <v>38</v>
      </c>
      <c r="L1128">
        <v>41</v>
      </c>
      <c r="M1128">
        <v>0.6</v>
      </c>
      <c r="N1128">
        <v>145.66</v>
      </c>
      <c r="O1128">
        <v>0.99</v>
      </c>
      <c r="P1128">
        <v>1</v>
      </c>
      <c r="Q1128">
        <v>0.99</v>
      </c>
      <c r="R1128">
        <v>168</v>
      </c>
      <c r="S1128">
        <v>2.06</v>
      </c>
      <c r="T1128">
        <v>0.63</v>
      </c>
      <c r="U1128" s="1">
        <v>45425</v>
      </c>
      <c r="V1128">
        <v>224.95</v>
      </c>
      <c r="W1128">
        <v>0.63200000000000001</v>
      </c>
      <c r="X1128" t="str">
        <f>IF(WarehouseData[[#This Row],[stock_level]]&lt;=WarehouseData[[#This Row],[reorder_point]],"Low Stock","Sufficient Stock")</f>
        <v>Sufficient Stock</v>
      </c>
      <c r="Y1128">
        <f>WarehouseData[[#This Row],[daily_demand]]*WarehouseData[[#This Row],[lead_time_days]]</f>
        <v>174.65</v>
      </c>
      <c r="Z1128" t="str">
        <f>IF(WarehouseData[[#This Row],[stock_level]]&lt;=WarehouseData[[#This Row],[Demand During Lead Time]],"At Risk","Safe")</f>
        <v>Safe</v>
      </c>
      <c r="AA1128">
        <f>WarehouseData[[#This Row],[stock_level]]/WarehouseData[[#This Row],[daily_demand]]</f>
        <v>14.02805611222445</v>
      </c>
      <c r="AB1128">
        <f>WarehouseData[[#This Row],[stock_level]]*WarehouseData[[#This Row],[unit_price]]</f>
        <v>50981</v>
      </c>
      <c r="AC1128">
        <f>WarehouseData[[#This Row],[stock_level]]*WarehouseData[[#This Row],[holding_cost_per_unit_day]]*30</f>
        <v>10395</v>
      </c>
      <c r="AD1128" t="str">
        <f>IF(WarehouseData[[#This Row],[order_fulfillment_rate]]&gt;=0.9,"Strong",IF(WarehouseData[[#This Row],[order_fulfillment_rate]]&gt;=0.8,"Moderate","Needs Attention"))</f>
        <v>Strong</v>
      </c>
      <c r="AE1128" t="str">
        <f>IF(WarehouseData[[#This Row],[picking_time_seconds]]&gt;120,"Slow",IF(WarehouseData[[#This Row],[picking_time_seconds]]&gt;=60,"Average","Fast"))</f>
        <v>Fast</v>
      </c>
    </row>
    <row r="1129" spans="1:31" x14ac:dyDescent="0.25">
      <c r="A1129" t="s">
        <v>1267</v>
      </c>
      <c r="B1129" t="s">
        <v>36</v>
      </c>
      <c r="C1129">
        <v>35</v>
      </c>
      <c r="D1129">
        <v>23</v>
      </c>
      <c r="E1129">
        <v>8</v>
      </c>
      <c r="F1129">
        <v>4</v>
      </c>
      <c r="G1129">
        <v>44.61</v>
      </c>
      <c r="H1129">
        <v>5.1100000000000003</v>
      </c>
      <c r="I1129">
        <v>0.13</v>
      </c>
      <c r="J1129" t="s">
        <v>234</v>
      </c>
      <c r="K1129" t="s">
        <v>38</v>
      </c>
      <c r="L1129">
        <v>174</v>
      </c>
      <c r="M1129">
        <v>0.63</v>
      </c>
      <c r="N1129">
        <v>46.54</v>
      </c>
      <c r="O1129">
        <v>0.71</v>
      </c>
      <c r="P1129">
        <v>9</v>
      </c>
      <c r="Q1129">
        <v>0.96</v>
      </c>
      <c r="R1129">
        <v>740</v>
      </c>
      <c r="S1129">
        <v>3.78</v>
      </c>
      <c r="T1129">
        <v>0.7</v>
      </c>
      <c r="U1129" s="1">
        <v>45381</v>
      </c>
      <c r="V1129">
        <v>116.14</v>
      </c>
      <c r="W1129">
        <v>0.53100000000000003</v>
      </c>
      <c r="X1129" t="str">
        <f>IF(WarehouseData[[#This Row],[stock_level]]&lt;=WarehouseData[[#This Row],[reorder_point]],"Low Stock","Sufficient Stock")</f>
        <v>Sufficient Stock</v>
      </c>
      <c r="Y1129">
        <f>WarehouseData[[#This Row],[daily_demand]]*WarehouseData[[#This Row],[lead_time_days]]</f>
        <v>178.44</v>
      </c>
      <c r="Z1129" t="str">
        <f>IF(WarehouseData[[#This Row],[stock_level]]&lt;=WarehouseData[[#This Row],[Demand During Lead Time]],"At Risk","Safe")</f>
        <v>At Risk</v>
      </c>
      <c r="AA1129">
        <f>WarehouseData[[#This Row],[stock_level]]/WarehouseData[[#This Row],[daily_demand]]</f>
        <v>0.78457744900246584</v>
      </c>
      <c r="AB1129">
        <f>WarehouseData[[#This Row],[stock_level]]*WarehouseData[[#This Row],[unit_price]]</f>
        <v>1628.8999999999999</v>
      </c>
      <c r="AC1129">
        <f>WarehouseData[[#This Row],[stock_level]]*WarehouseData[[#This Row],[holding_cost_per_unit_day]]*30</f>
        <v>745.49999999999989</v>
      </c>
      <c r="AD1129" t="str">
        <f>IF(WarehouseData[[#This Row],[order_fulfillment_rate]]&gt;=0.9,"Strong",IF(WarehouseData[[#This Row],[order_fulfillment_rate]]&gt;=0.8,"Moderate","Needs Attention"))</f>
        <v>Strong</v>
      </c>
      <c r="AE1129" t="str">
        <f>IF(WarehouseData[[#This Row],[picking_time_seconds]]&gt;120,"Slow",IF(WarehouseData[[#This Row],[picking_time_seconds]]&gt;=60,"Average","Fast"))</f>
        <v>Slow</v>
      </c>
    </row>
    <row r="1130" spans="1:31" x14ac:dyDescent="0.25">
      <c r="A1130" t="s">
        <v>1268</v>
      </c>
      <c r="B1130" t="s">
        <v>32</v>
      </c>
      <c r="C1130">
        <v>357</v>
      </c>
      <c r="D1130">
        <v>23</v>
      </c>
      <c r="E1130">
        <v>11</v>
      </c>
      <c r="F1130">
        <v>8</v>
      </c>
      <c r="G1130">
        <v>42.42</v>
      </c>
      <c r="H1130">
        <v>8.4600000000000009</v>
      </c>
      <c r="I1130">
        <v>0.5</v>
      </c>
      <c r="J1130" t="s">
        <v>377</v>
      </c>
      <c r="K1130" t="s">
        <v>52</v>
      </c>
      <c r="L1130">
        <v>95</v>
      </c>
      <c r="M1130">
        <v>1.99</v>
      </c>
      <c r="N1130">
        <v>169.34</v>
      </c>
      <c r="O1130">
        <v>1.65</v>
      </c>
      <c r="P1130">
        <v>5</v>
      </c>
      <c r="Q1130">
        <v>0.88</v>
      </c>
      <c r="R1130">
        <v>527</v>
      </c>
      <c r="S1130">
        <v>12.02</v>
      </c>
      <c r="T1130">
        <v>0.86</v>
      </c>
      <c r="U1130" s="1">
        <v>45307</v>
      </c>
      <c r="V1130">
        <v>71.25</v>
      </c>
      <c r="W1130">
        <v>0.64300000000000002</v>
      </c>
      <c r="X1130" t="str">
        <f>IF(WarehouseData[[#This Row],[stock_level]]&lt;=WarehouseData[[#This Row],[reorder_point]],"Low Stock","Sufficient Stock")</f>
        <v>Sufficient Stock</v>
      </c>
      <c r="Y1130">
        <f>WarehouseData[[#This Row],[daily_demand]]*WarehouseData[[#This Row],[lead_time_days]]</f>
        <v>339.36</v>
      </c>
      <c r="Z1130" t="str">
        <f>IF(WarehouseData[[#This Row],[stock_level]]&lt;=WarehouseData[[#This Row],[Demand During Lead Time]],"At Risk","Safe")</f>
        <v>Safe</v>
      </c>
      <c r="AA1130">
        <f>WarehouseData[[#This Row],[stock_level]]/WarehouseData[[#This Row],[daily_demand]]</f>
        <v>8.4158415841584162</v>
      </c>
      <c r="AB1130">
        <f>WarehouseData[[#This Row],[stock_level]]*WarehouseData[[#This Row],[unit_price]]</f>
        <v>60454.380000000005</v>
      </c>
      <c r="AC1130">
        <f>WarehouseData[[#This Row],[stock_level]]*WarehouseData[[#This Row],[holding_cost_per_unit_day]]*30</f>
        <v>17671.5</v>
      </c>
      <c r="AD1130" t="str">
        <f>IF(WarehouseData[[#This Row],[order_fulfillment_rate]]&gt;=0.9,"Strong",IF(WarehouseData[[#This Row],[order_fulfillment_rate]]&gt;=0.8,"Moderate","Needs Attention"))</f>
        <v>Moderate</v>
      </c>
      <c r="AE1130" t="str">
        <f>IF(WarehouseData[[#This Row],[picking_time_seconds]]&gt;120,"Slow",IF(WarehouseData[[#This Row],[picking_time_seconds]]&gt;=60,"Average","Fast"))</f>
        <v>Average</v>
      </c>
    </row>
    <row r="1131" spans="1:31" x14ac:dyDescent="0.25">
      <c r="A1131" t="s">
        <v>1269</v>
      </c>
      <c r="B1131" t="s">
        <v>48</v>
      </c>
      <c r="C1131">
        <v>113</v>
      </c>
      <c r="D1131">
        <v>19</v>
      </c>
      <c r="E1131">
        <v>12</v>
      </c>
      <c r="F1131">
        <v>7</v>
      </c>
      <c r="G1131">
        <v>15.55</v>
      </c>
      <c r="H1131">
        <v>2.59</v>
      </c>
      <c r="I1131">
        <v>0.69</v>
      </c>
      <c r="J1131" t="s">
        <v>142</v>
      </c>
      <c r="K1131" t="s">
        <v>46</v>
      </c>
      <c r="L1131">
        <v>107</v>
      </c>
      <c r="M1131">
        <v>4.0199999999999996</v>
      </c>
      <c r="N1131">
        <v>60.25</v>
      </c>
      <c r="O1131">
        <v>1.76</v>
      </c>
      <c r="P1131">
        <v>6</v>
      </c>
      <c r="Q1131">
        <v>0.81</v>
      </c>
      <c r="R1131">
        <v>613</v>
      </c>
      <c r="S1131">
        <v>12.19</v>
      </c>
      <c r="T1131">
        <v>0.4</v>
      </c>
      <c r="U1131" s="1">
        <v>45499</v>
      </c>
      <c r="V1131">
        <v>42.76</v>
      </c>
      <c r="W1131">
        <v>0.50900000000000001</v>
      </c>
      <c r="X1131" t="str">
        <f>IF(WarehouseData[[#This Row],[stock_level]]&lt;=WarehouseData[[#This Row],[reorder_point]],"Low Stock","Sufficient Stock")</f>
        <v>Sufficient Stock</v>
      </c>
      <c r="Y1131">
        <f>WarehouseData[[#This Row],[daily_demand]]*WarehouseData[[#This Row],[lead_time_days]]</f>
        <v>108.85000000000001</v>
      </c>
      <c r="Z1131" t="str">
        <f>IF(WarehouseData[[#This Row],[stock_level]]&lt;=WarehouseData[[#This Row],[Demand During Lead Time]],"At Risk","Safe")</f>
        <v>Safe</v>
      </c>
      <c r="AA1131">
        <f>WarehouseData[[#This Row],[stock_level]]/WarehouseData[[#This Row],[daily_demand]]</f>
        <v>7.2668810289389061</v>
      </c>
      <c r="AB1131">
        <f>WarehouseData[[#This Row],[stock_level]]*WarehouseData[[#This Row],[unit_price]]</f>
        <v>6808.25</v>
      </c>
      <c r="AC1131">
        <f>WarehouseData[[#This Row],[stock_level]]*WarehouseData[[#This Row],[holding_cost_per_unit_day]]*30</f>
        <v>5966.4</v>
      </c>
      <c r="AD1131" t="str">
        <f>IF(WarehouseData[[#This Row],[order_fulfillment_rate]]&gt;=0.9,"Strong",IF(WarehouseData[[#This Row],[order_fulfillment_rate]]&gt;=0.8,"Moderate","Needs Attention"))</f>
        <v>Moderate</v>
      </c>
      <c r="AE1131" t="str">
        <f>IF(WarehouseData[[#This Row],[picking_time_seconds]]&gt;120,"Slow",IF(WarehouseData[[#This Row],[picking_time_seconds]]&gt;=60,"Average","Fast"))</f>
        <v>Average</v>
      </c>
    </row>
    <row r="1132" spans="1:31" x14ac:dyDescent="0.25">
      <c r="A1132" t="s">
        <v>1270</v>
      </c>
      <c r="B1132" t="s">
        <v>48</v>
      </c>
      <c r="C1132">
        <v>323</v>
      </c>
      <c r="D1132">
        <v>21</v>
      </c>
      <c r="E1132">
        <v>13</v>
      </c>
      <c r="F1132">
        <v>5</v>
      </c>
      <c r="G1132">
        <v>39.78</v>
      </c>
      <c r="H1132">
        <v>3.84</v>
      </c>
      <c r="I1132">
        <v>0.83</v>
      </c>
      <c r="J1132" t="s">
        <v>273</v>
      </c>
      <c r="K1132" t="s">
        <v>38</v>
      </c>
      <c r="L1132">
        <v>100</v>
      </c>
      <c r="M1132">
        <v>1.8</v>
      </c>
      <c r="N1132">
        <v>16.14</v>
      </c>
      <c r="O1132">
        <v>0.12</v>
      </c>
      <c r="P1132">
        <v>6</v>
      </c>
      <c r="Q1132">
        <v>0.81</v>
      </c>
      <c r="R1132">
        <v>671</v>
      </c>
      <c r="S1132">
        <v>14.95</v>
      </c>
      <c r="T1132">
        <v>0.25</v>
      </c>
      <c r="U1132" s="1">
        <v>45523</v>
      </c>
      <c r="V1132">
        <v>91.35</v>
      </c>
      <c r="W1132">
        <v>0.67900000000000005</v>
      </c>
      <c r="X1132" t="str">
        <f>IF(WarehouseData[[#This Row],[stock_level]]&lt;=WarehouseData[[#This Row],[reorder_point]],"Low Stock","Sufficient Stock")</f>
        <v>Sufficient Stock</v>
      </c>
      <c r="Y1132">
        <f>WarehouseData[[#This Row],[daily_demand]]*WarehouseData[[#This Row],[lead_time_days]]</f>
        <v>198.9</v>
      </c>
      <c r="Z1132" t="str">
        <f>IF(WarehouseData[[#This Row],[stock_level]]&lt;=WarehouseData[[#This Row],[Demand During Lead Time]],"At Risk","Safe")</f>
        <v>Safe</v>
      </c>
      <c r="AA1132">
        <f>WarehouseData[[#This Row],[stock_level]]/WarehouseData[[#This Row],[daily_demand]]</f>
        <v>8.1196581196581192</v>
      </c>
      <c r="AB1132">
        <f>WarehouseData[[#This Row],[stock_level]]*WarehouseData[[#This Row],[unit_price]]</f>
        <v>5213.22</v>
      </c>
      <c r="AC1132">
        <f>WarehouseData[[#This Row],[stock_level]]*WarehouseData[[#This Row],[holding_cost_per_unit_day]]*30</f>
        <v>1162.8</v>
      </c>
      <c r="AD1132" t="str">
        <f>IF(WarehouseData[[#This Row],[order_fulfillment_rate]]&gt;=0.9,"Strong",IF(WarehouseData[[#This Row],[order_fulfillment_rate]]&gt;=0.8,"Moderate","Needs Attention"))</f>
        <v>Moderate</v>
      </c>
      <c r="AE1132" t="str">
        <f>IF(WarehouseData[[#This Row],[picking_time_seconds]]&gt;120,"Slow",IF(WarehouseData[[#This Row],[picking_time_seconds]]&gt;=60,"Average","Fast"))</f>
        <v>Average</v>
      </c>
    </row>
    <row r="1133" spans="1:31" x14ac:dyDescent="0.25">
      <c r="A1133" t="s">
        <v>1271</v>
      </c>
      <c r="B1133" t="s">
        <v>73</v>
      </c>
      <c r="C1133">
        <v>157</v>
      </c>
      <c r="D1133">
        <v>47</v>
      </c>
      <c r="E1133">
        <v>14</v>
      </c>
      <c r="F1133">
        <v>6</v>
      </c>
      <c r="G1133">
        <v>5.88</v>
      </c>
      <c r="H1133">
        <v>0.7</v>
      </c>
      <c r="I1133">
        <v>0.34</v>
      </c>
      <c r="J1133" t="s">
        <v>131</v>
      </c>
      <c r="K1133" t="s">
        <v>34</v>
      </c>
      <c r="L1133">
        <v>130</v>
      </c>
      <c r="M1133">
        <v>2.0099999999999998</v>
      </c>
      <c r="N1133">
        <v>165.93</v>
      </c>
      <c r="O1133">
        <v>1.34</v>
      </c>
      <c r="P1133">
        <v>5</v>
      </c>
      <c r="Q1133">
        <v>0.93</v>
      </c>
      <c r="R1133">
        <v>785</v>
      </c>
      <c r="S1133">
        <v>4.37</v>
      </c>
      <c r="T1133">
        <v>0.27</v>
      </c>
      <c r="U1133" s="1">
        <v>45576</v>
      </c>
      <c r="V1133">
        <v>149.62</v>
      </c>
      <c r="W1133">
        <v>0.46400000000000002</v>
      </c>
      <c r="X1133" t="str">
        <f>IF(WarehouseData[[#This Row],[stock_level]]&lt;=WarehouseData[[#This Row],[reorder_point]],"Low Stock","Sufficient Stock")</f>
        <v>Sufficient Stock</v>
      </c>
      <c r="Y1133">
        <f>WarehouseData[[#This Row],[daily_demand]]*WarehouseData[[#This Row],[lead_time_days]]</f>
        <v>35.28</v>
      </c>
      <c r="Z1133" t="str">
        <f>IF(WarehouseData[[#This Row],[stock_level]]&lt;=WarehouseData[[#This Row],[Demand During Lead Time]],"At Risk","Safe")</f>
        <v>Safe</v>
      </c>
      <c r="AA1133">
        <f>WarehouseData[[#This Row],[stock_level]]/WarehouseData[[#This Row],[daily_demand]]</f>
        <v>26.700680272108844</v>
      </c>
      <c r="AB1133">
        <f>WarehouseData[[#This Row],[stock_level]]*WarehouseData[[#This Row],[unit_price]]</f>
        <v>26051.010000000002</v>
      </c>
      <c r="AC1133">
        <f>WarehouseData[[#This Row],[stock_level]]*WarehouseData[[#This Row],[holding_cost_per_unit_day]]*30</f>
        <v>6311.4000000000005</v>
      </c>
      <c r="AD1133" t="str">
        <f>IF(WarehouseData[[#This Row],[order_fulfillment_rate]]&gt;=0.9,"Strong",IF(WarehouseData[[#This Row],[order_fulfillment_rate]]&gt;=0.8,"Moderate","Needs Attention"))</f>
        <v>Strong</v>
      </c>
      <c r="AE1133" t="str">
        <f>IF(WarehouseData[[#This Row],[picking_time_seconds]]&gt;120,"Slow",IF(WarehouseData[[#This Row],[picking_time_seconds]]&gt;=60,"Average","Fast"))</f>
        <v>Slow</v>
      </c>
    </row>
    <row r="1134" spans="1:31" x14ac:dyDescent="0.25">
      <c r="A1134" t="s">
        <v>1272</v>
      </c>
      <c r="B1134" t="s">
        <v>36</v>
      </c>
      <c r="C1134">
        <v>357</v>
      </c>
      <c r="D1134">
        <v>43</v>
      </c>
      <c r="E1134">
        <v>3</v>
      </c>
      <c r="F1134">
        <v>7</v>
      </c>
      <c r="G1134">
        <v>41.32</v>
      </c>
      <c r="H1134">
        <v>9.7799999999999994</v>
      </c>
      <c r="I1134">
        <v>0.56000000000000005</v>
      </c>
      <c r="J1134" t="s">
        <v>301</v>
      </c>
      <c r="K1134" t="s">
        <v>34</v>
      </c>
      <c r="L1134">
        <v>66</v>
      </c>
      <c r="M1134">
        <v>4.03</v>
      </c>
      <c r="N1134">
        <v>98.57</v>
      </c>
      <c r="O1134">
        <v>1.4</v>
      </c>
      <c r="P1134">
        <v>7</v>
      </c>
      <c r="Q1134">
        <v>0.87</v>
      </c>
      <c r="R1134">
        <v>891</v>
      </c>
      <c r="S1134">
        <v>1.85</v>
      </c>
      <c r="T1134">
        <v>0.6</v>
      </c>
      <c r="U1134" s="1">
        <v>45573</v>
      </c>
      <c r="V1134">
        <v>37.08</v>
      </c>
      <c r="W1134">
        <v>0.439</v>
      </c>
      <c r="X1134" t="str">
        <f>IF(WarehouseData[[#This Row],[stock_level]]&lt;=WarehouseData[[#This Row],[reorder_point]],"Low Stock","Sufficient Stock")</f>
        <v>Sufficient Stock</v>
      </c>
      <c r="Y1134">
        <f>WarehouseData[[#This Row],[daily_demand]]*WarehouseData[[#This Row],[lead_time_days]]</f>
        <v>289.24</v>
      </c>
      <c r="Z1134" t="str">
        <f>IF(WarehouseData[[#This Row],[stock_level]]&lt;=WarehouseData[[#This Row],[Demand During Lead Time]],"At Risk","Safe")</f>
        <v>Safe</v>
      </c>
      <c r="AA1134">
        <f>WarehouseData[[#This Row],[stock_level]]/WarehouseData[[#This Row],[daily_demand]]</f>
        <v>8.6398838334946753</v>
      </c>
      <c r="AB1134">
        <f>WarehouseData[[#This Row],[stock_level]]*WarehouseData[[#This Row],[unit_price]]</f>
        <v>35189.49</v>
      </c>
      <c r="AC1134">
        <f>WarehouseData[[#This Row],[stock_level]]*WarehouseData[[#This Row],[holding_cost_per_unit_day]]*30</f>
        <v>14993.999999999998</v>
      </c>
      <c r="AD1134" t="str">
        <f>IF(WarehouseData[[#This Row],[order_fulfillment_rate]]&gt;=0.9,"Strong",IF(WarehouseData[[#This Row],[order_fulfillment_rate]]&gt;=0.8,"Moderate","Needs Attention"))</f>
        <v>Moderate</v>
      </c>
      <c r="AE1134" t="str">
        <f>IF(WarehouseData[[#This Row],[picking_time_seconds]]&gt;120,"Slow",IF(WarehouseData[[#This Row],[picking_time_seconds]]&gt;=60,"Average","Fast"))</f>
        <v>Average</v>
      </c>
    </row>
    <row r="1135" spans="1:31" x14ac:dyDescent="0.25">
      <c r="A1135" t="s">
        <v>1273</v>
      </c>
      <c r="B1135" t="s">
        <v>32</v>
      </c>
      <c r="C1135">
        <v>57</v>
      </c>
      <c r="D1135">
        <v>50</v>
      </c>
      <c r="E1135">
        <v>7</v>
      </c>
      <c r="F1135">
        <v>3</v>
      </c>
      <c r="G1135">
        <v>34.1</v>
      </c>
      <c r="H1135">
        <v>1.1299999999999999</v>
      </c>
      <c r="I1135">
        <v>0.7</v>
      </c>
      <c r="J1135" t="s">
        <v>43</v>
      </c>
      <c r="K1135" t="s">
        <v>46</v>
      </c>
      <c r="L1135">
        <v>116</v>
      </c>
      <c r="M1135">
        <v>1.02</v>
      </c>
      <c r="N1135">
        <v>123.91</v>
      </c>
      <c r="O1135">
        <v>1.93</v>
      </c>
      <c r="P1135">
        <v>5</v>
      </c>
      <c r="Q1135">
        <v>0.82</v>
      </c>
      <c r="R1135">
        <v>659</v>
      </c>
      <c r="S1135">
        <v>4.96</v>
      </c>
      <c r="T1135">
        <v>0.94</v>
      </c>
      <c r="U1135" s="1">
        <v>45419</v>
      </c>
      <c r="V1135">
        <v>14.33</v>
      </c>
      <c r="W1135">
        <v>0.52500000000000002</v>
      </c>
      <c r="X1135" t="str">
        <f>IF(WarehouseData[[#This Row],[stock_level]]&lt;=WarehouseData[[#This Row],[reorder_point]],"Low Stock","Sufficient Stock")</f>
        <v>Sufficient Stock</v>
      </c>
      <c r="Y1135">
        <f>WarehouseData[[#This Row],[daily_demand]]*WarehouseData[[#This Row],[lead_time_days]]</f>
        <v>102.30000000000001</v>
      </c>
      <c r="Z1135" t="str">
        <f>IF(WarehouseData[[#This Row],[stock_level]]&lt;=WarehouseData[[#This Row],[Demand During Lead Time]],"At Risk","Safe")</f>
        <v>At Risk</v>
      </c>
      <c r="AA1135">
        <f>WarehouseData[[#This Row],[stock_level]]/WarehouseData[[#This Row],[daily_demand]]</f>
        <v>1.6715542521994133</v>
      </c>
      <c r="AB1135">
        <f>WarehouseData[[#This Row],[stock_level]]*WarehouseData[[#This Row],[unit_price]]</f>
        <v>7062.87</v>
      </c>
      <c r="AC1135">
        <f>WarehouseData[[#This Row],[stock_level]]*WarehouseData[[#This Row],[holding_cost_per_unit_day]]*30</f>
        <v>3300.2999999999997</v>
      </c>
      <c r="AD1135" t="str">
        <f>IF(WarehouseData[[#This Row],[order_fulfillment_rate]]&gt;=0.9,"Strong",IF(WarehouseData[[#This Row],[order_fulfillment_rate]]&gt;=0.8,"Moderate","Needs Attention"))</f>
        <v>Moderate</v>
      </c>
      <c r="AE1135" t="str">
        <f>IF(WarehouseData[[#This Row],[picking_time_seconds]]&gt;120,"Slow",IF(WarehouseData[[#This Row],[picking_time_seconds]]&gt;=60,"Average","Fast"))</f>
        <v>Average</v>
      </c>
    </row>
    <row r="1136" spans="1:31" x14ac:dyDescent="0.25">
      <c r="A1136" t="s">
        <v>1274</v>
      </c>
      <c r="B1136" t="s">
        <v>40</v>
      </c>
      <c r="C1136">
        <v>146</v>
      </c>
      <c r="D1136">
        <v>19</v>
      </c>
      <c r="E1136">
        <v>11</v>
      </c>
      <c r="F1136">
        <v>8</v>
      </c>
      <c r="G1136">
        <v>5.31</v>
      </c>
      <c r="H1136">
        <v>9.0299999999999994</v>
      </c>
      <c r="I1136">
        <v>0.6</v>
      </c>
      <c r="J1136" t="s">
        <v>212</v>
      </c>
      <c r="K1136" t="s">
        <v>34</v>
      </c>
      <c r="L1136">
        <v>31</v>
      </c>
      <c r="M1136">
        <v>4.3099999999999996</v>
      </c>
      <c r="N1136">
        <v>73.88</v>
      </c>
      <c r="O1136">
        <v>0.8</v>
      </c>
      <c r="P1136">
        <v>5</v>
      </c>
      <c r="Q1136">
        <v>0.89</v>
      </c>
      <c r="R1136">
        <v>368</v>
      </c>
      <c r="S1136">
        <v>3.5</v>
      </c>
      <c r="T1136">
        <v>0.99</v>
      </c>
      <c r="U1136" s="1">
        <v>45340</v>
      </c>
      <c r="V1136">
        <v>46.92</v>
      </c>
      <c r="W1136">
        <v>0.64300000000000002</v>
      </c>
      <c r="X1136" t="str">
        <f>IF(WarehouseData[[#This Row],[stock_level]]&lt;=WarehouseData[[#This Row],[reorder_point]],"Low Stock","Sufficient Stock")</f>
        <v>Sufficient Stock</v>
      </c>
      <c r="Y1136">
        <f>WarehouseData[[#This Row],[daily_demand]]*WarehouseData[[#This Row],[lead_time_days]]</f>
        <v>42.48</v>
      </c>
      <c r="Z1136" t="str">
        <f>IF(WarehouseData[[#This Row],[stock_level]]&lt;=WarehouseData[[#This Row],[Demand During Lead Time]],"At Risk","Safe")</f>
        <v>Safe</v>
      </c>
      <c r="AA1136">
        <f>WarehouseData[[#This Row],[stock_level]]/WarehouseData[[#This Row],[daily_demand]]</f>
        <v>27.495291902071564</v>
      </c>
      <c r="AB1136">
        <f>WarehouseData[[#This Row],[stock_level]]*WarehouseData[[#This Row],[unit_price]]</f>
        <v>10786.48</v>
      </c>
      <c r="AC1136">
        <f>WarehouseData[[#This Row],[stock_level]]*WarehouseData[[#This Row],[holding_cost_per_unit_day]]*30</f>
        <v>3504.0000000000005</v>
      </c>
      <c r="AD1136" t="str">
        <f>IF(WarehouseData[[#This Row],[order_fulfillment_rate]]&gt;=0.9,"Strong",IF(WarehouseData[[#This Row],[order_fulfillment_rate]]&gt;=0.8,"Moderate","Needs Attention"))</f>
        <v>Moderate</v>
      </c>
      <c r="AE1136" t="str">
        <f>IF(WarehouseData[[#This Row],[picking_time_seconds]]&gt;120,"Slow",IF(WarehouseData[[#This Row],[picking_time_seconds]]&gt;=60,"Average","Fast"))</f>
        <v>Fast</v>
      </c>
    </row>
    <row r="1137" spans="1:31" x14ac:dyDescent="0.25">
      <c r="A1137" t="s">
        <v>1275</v>
      </c>
      <c r="B1137" t="s">
        <v>48</v>
      </c>
      <c r="C1137">
        <v>294</v>
      </c>
      <c r="D1137">
        <v>26</v>
      </c>
      <c r="E1137">
        <v>11</v>
      </c>
      <c r="F1137">
        <v>5</v>
      </c>
      <c r="G1137">
        <v>34.47</v>
      </c>
      <c r="H1137">
        <v>3.47</v>
      </c>
      <c r="I1137">
        <v>0.35</v>
      </c>
      <c r="J1137" t="s">
        <v>81</v>
      </c>
      <c r="K1137" t="s">
        <v>38</v>
      </c>
      <c r="L1137">
        <v>121</v>
      </c>
      <c r="M1137">
        <v>1.7</v>
      </c>
      <c r="N1137">
        <v>18.75</v>
      </c>
      <c r="O1137">
        <v>0.47</v>
      </c>
      <c r="P1137">
        <v>2</v>
      </c>
      <c r="Q1137">
        <v>0.92</v>
      </c>
      <c r="R1137">
        <v>444</v>
      </c>
      <c r="S1137">
        <v>10.95</v>
      </c>
      <c r="T1137">
        <v>0.36</v>
      </c>
      <c r="U1137" s="1">
        <v>45528</v>
      </c>
      <c r="V1137">
        <v>224.01</v>
      </c>
      <c r="W1137">
        <v>0.71499999999999997</v>
      </c>
      <c r="X1137" t="str">
        <f>IF(WarehouseData[[#This Row],[stock_level]]&lt;=WarehouseData[[#This Row],[reorder_point]],"Low Stock","Sufficient Stock")</f>
        <v>Sufficient Stock</v>
      </c>
      <c r="Y1137">
        <f>WarehouseData[[#This Row],[daily_demand]]*WarehouseData[[#This Row],[lead_time_days]]</f>
        <v>172.35</v>
      </c>
      <c r="Z1137" t="str">
        <f>IF(WarehouseData[[#This Row],[stock_level]]&lt;=WarehouseData[[#This Row],[Demand During Lead Time]],"At Risk","Safe")</f>
        <v>Safe</v>
      </c>
      <c r="AA1137">
        <f>WarehouseData[[#This Row],[stock_level]]/WarehouseData[[#This Row],[daily_demand]]</f>
        <v>8.529155787641427</v>
      </c>
      <c r="AB1137">
        <f>WarehouseData[[#This Row],[stock_level]]*WarehouseData[[#This Row],[unit_price]]</f>
        <v>5512.5</v>
      </c>
      <c r="AC1137">
        <f>WarehouseData[[#This Row],[stock_level]]*WarehouseData[[#This Row],[holding_cost_per_unit_day]]*30</f>
        <v>4145.3999999999996</v>
      </c>
      <c r="AD1137" t="str">
        <f>IF(WarehouseData[[#This Row],[order_fulfillment_rate]]&gt;=0.9,"Strong",IF(WarehouseData[[#This Row],[order_fulfillment_rate]]&gt;=0.8,"Moderate","Needs Attention"))</f>
        <v>Strong</v>
      </c>
      <c r="AE1137" t="str">
        <f>IF(WarehouseData[[#This Row],[picking_time_seconds]]&gt;120,"Slow",IF(WarehouseData[[#This Row],[picking_time_seconds]]&gt;=60,"Average","Fast"))</f>
        <v>Slow</v>
      </c>
    </row>
    <row r="1138" spans="1:31" x14ac:dyDescent="0.25">
      <c r="A1138" t="s">
        <v>1276</v>
      </c>
      <c r="B1138" t="s">
        <v>48</v>
      </c>
      <c r="C1138">
        <v>183</v>
      </c>
      <c r="D1138">
        <v>26</v>
      </c>
      <c r="E1138">
        <v>3</v>
      </c>
      <c r="F1138">
        <v>6</v>
      </c>
      <c r="G1138">
        <v>29.45</v>
      </c>
      <c r="H1138">
        <v>6.08</v>
      </c>
      <c r="I1138">
        <v>0.82</v>
      </c>
      <c r="J1138" t="s">
        <v>283</v>
      </c>
      <c r="K1138" t="s">
        <v>46</v>
      </c>
      <c r="L1138">
        <v>94</v>
      </c>
      <c r="M1138">
        <v>0.73</v>
      </c>
      <c r="N1138">
        <v>80.33</v>
      </c>
      <c r="O1138">
        <v>1.0900000000000001</v>
      </c>
      <c r="P1138">
        <v>1</v>
      </c>
      <c r="Q1138">
        <v>0.71</v>
      </c>
      <c r="R1138">
        <v>97</v>
      </c>
      <c r="S1138">
        <v>14.57</v>
      </c>
      <c r="T1138">
        <v>0.32</v>
      </c>
      <c r="U1138" s="1">
        <v>45344</v>
      </c>
      <c r="V1138">
        <v>145.22999999999999</v>
      </c>
      <c r="W1138">
        <v>0.67100000000000004</v>
      </c>
      <c r="X1138" t="str">
        <f>IF(WarehouseData[[#This Row],[stock_level]]&lt;=WarehouseData[[#This Row],[reorder_point]],"Low Stock","Sufficient Stock")</f>
        <v>Sufficient Stock</v>
      </c>
      <c r="Y1138">
        <f>WarehouseData[[#This Row],[daily_demand]]*WarehouseData[[#This Row],[lead_time_days]]</f>
        <v>176.7</v>
      </c>
      <c r="Z1138" t="str">
        <f>IF(WarehouseData[[#This Row],[stock_level]]&lt;=WarehouseData[[#This Row],[Demand During Lead Time]],"At Risk","Safe")</f>
        <v>Safe</v>
      </c>
      <c r="AA1138">
        <f>WarehouseData[[#This Row],[stock_level]]/WarehouseData[[#This Row],[daily_demand]]</f>
        <v>6.213921901528014</v>
      </c>
      <c r="AB1138">
        <f>WarehouseData[[#This Row],[stock_level]]*WarehouseData[[#This Row],[unit_price]]</f>
        <v>14700.39</v>
      </c>
      <c r="AC1138">
        <f>WarehouseData[[#This Row],[stock_level]]*WarehouseData[[#This Row],[holding_cost_per_unit_day]]*30</f>
        <v>5984.1</v>
      </c>
      <c r="AD1138" t="str">
        <f>IF(WarehouseData[[#This Row],[order_fulfillment_rate]]&gt;=0.9,"Strong",IF(WarehouseData[[#This Row],[order_fulfillment_rate]]&gt;=0.8,"Moderate","Needs Attention"))</f>
        <v>Needs Attention</v>
      </c>
      <c r="AE1138" t="str">
        <f>IF(WarehouseData[[#This Row],[picking_time_seconds]]&gt;120,"Slow",IF(WarehouseData[[#This Row],[picking_time_seconds]]&gt;=60,"Average","Fast"))</f>
        <v>Average</v>
      </c>
    </row>
    <row r="1139" spans="1:31" x14ac:dyDescent="0.25">
      <c r="A1139" t="s">
        <v>1277</v>
      </c>
      <c r="B1139" t="s">
        <v>40</v>
      </c>
      <c r="C1139">
        <v>462</v>
      </c>
      <c r="D1139">
        <v>76</v>
      </c>
      <c r="E1139">
        <v>10</v>
      </c>
      <c r="F1139">
        <v>7</v>
      </c>
      <c r="G1139">
        <v>30.13</v>
      </c>
      <c r="H1139">
        <v>6.95</v>
      </c>
      <c r="I1139">
        <v>0.26</v>
      </c>
      <c r="J1139" t="s">
        <v>41</v>
      </c>
      <c r="K1139" t="s">
        <v>34</v>
      </c>
      <c r="L1139">
        <v>89</v>
      </c>
      <c r="M1139">
        <v>1.03</v>
      </c>
      <c r="N1139">
        <v>108.47</v>
      </c>
      <c r="O1139">
        <v>0.95</v>
      </c>
      <c r="P1139">
        <v>6</v>
      </c>
      <c r="Q1139">
        <v>0.73</v>
      </c>
      <c r="R1139">
        <v>662</v>
      </c>
      <c r="S1139">
        <v>4.82</v>
      </c>
      <c r="T1139">
        <v>0.48</v>
      </c>
      <c r="U1139" s="1">
        <v>45363</v>
      </c>
      <c r="V1139">
        <v>139.1</v>
      </c>
      <c r="W1139">
        <v>0.49099999999999999</v>
      </c>
      <c r="X1139" t="str">
        <f>IF(WarehouseData[[#This Row],[stock_level]]&lt;=WarehouseData[[#This Row],[reorder_point]],"Low Stock","Sufficient Stock")</f>
        <v>Sufficient Stock</v>
      </c>
      <c r="Y1139">
        <f>WarehouseData[[#This Row],[daily_demand]]*WarehouseData[[#This Row],[lead_time_days]]</f>
        <v>210.91</v>
      </c>
      <c r="Z1139" t="str">
        <f>IF(WarehouseData[[#This Row],[stock_level]]&lt;=WarehouseData[[#This Row],[Demand During Lead Time]],"At Risk","Safe")</f>
        <v>Safe</v>
      </c>
      <c r="AA1139">
        <f>WarehouseData[[#This Row],[stock_level]]/WarehouseData[[#This Row],[daily_demand]]</f>
        <v>15.333554596747428</v>
      </c>
      <c r="AB1139">
        <f>WarehouseData[[#This Row],[stock_level]]*WarehouseData[[#This Row],[unit_price]]</f>
        <v>50113.14</v>
      </c>
      <c r="AC1139">
        <f>WarehouseData[[#This Row],[stock_level]]*WarehouseData[[#This Row],[holding_cost_per_unit_day]]*30</f>
        <v>13167</v>
      </c>
      <c r="AD1139" t="str">
        <f>IF(WarehouseData[[#This Row],[order_fulfillment_rate]]&gt;=0.9,"Strong",IF(WarehouseData[[#This Row],[order_fulfillment_rate]]&gt;=0.8,"Moderate","Needs Attention"))</f>
        <v>Needs Attention</v>
      </c>
      <c r="AE1139" t="str">
        <f>IF(WarehouseData[[#This Row],[picking_time_seconds]]&gt;120,"Slow",IF(WarehouseData[[#This Row],[picking_time_seconds]]&gt;=60,"Average","Fast"))</f>
        <v>Average</v>
      </c>
    </row>
    <row r="1140" spans="1:31" x14ac:dyDescent="0.25">
      <c r="A1140" t="s">
        <v>1278</v>
      </c>
      <c r="B1140" t="s">
        <v>32</v>
      </c>
      <c r="C1140">
        <v>338</v>
      </c>
      <c r="D1140">
        <v>71</v>
      </c>
      <c r="E1140">
        <v>3</v>
      </c>
      <c r="F1140">
        <v>6</v>
      </c>
      <c r="G1140">
        <v>15.25</v>
      </c>
      <c r="H1140">
        <v>1.84</v>
      </c>
      <c r="I1140">
        <v>0.91</v>
      </c>
      <c r="J1140" t="s">
        <v>64</v>
      </c>
      <c r="K1140" t="s">
        <v>34</v>
      </c>
      <c r="L1140">
        <v>82</v>
      </c>
      <c r="M1140">
        <v>4.79</v>
      </c>
      <c r="N1140">
        <v>12.22</v>
      </c>
      <c r="O1140">
        <v>1.6</v>
      </c>
      <c r="P1140">
        <v>5</v>
      </c>
      <c r="Q1140">
        <v>0.73</v>
      </c>
      <c r="R1140">
        <v>487</v>
      </c>
      <c r="S1140">
        <v>5.6</v>
      </c>
      <c r="T1140">
        <v>0.56999999999999995</v>
      </c>
      <c r="U1140" s="1">
        <v>45354</v>
      </c>
      <c r="V1140">
        <v>15.73</v>
      </c>
      <c r="W1140">
        <v>0.47499999999999998</v>
      </c>
      <c r="X1140" t="str">
        <f>IF(WarehouseData[[#This Row],[stock_level]]&lt;=WarehouseData[[#This Row],[reorder_point]],"Low Stock","Sufficient Stock")</f>
        <v>Sufficient Stock</v>
      </c>
      <c r="Y1140">
        <f>WarehouseData[[#This Row],[daily_demand]]*WarehouseData[[#This Row],[lead_time_days]]</f>
        <v>91.5</v>
      </c>
      <c r="Z1140" t="str">
        <f>IF(WarehouseData[[#This Row],[stock_level]]&lt;=WarehouseData[[#This Row],[Demand During Lead Time]],"At Risk","Safe")</f>
        <v>Safe</v>
      </c>
      <c r="AA1140">
        <f>WarehouseData[[#This Row],[stock_level]]/WarehouseData[[#This Row],[daily_demand]]</f>
        <v>22.16393442622951</v>
      </c>
      <c r="AB1140">
        <f>WarehouseData[[#This Row],[stock_level]]*WarehouseData[[#This Row],[unit_price]]</f>
        <v>4130.3600000000006</v>
      </c>
      <c r="AC1140">
        <f>WarehouseData[[#This Row],[stock_level]]*WarehouseData[[#This Row],[holding_cost_per_unit_day]]*30</f>
        <v>16224.000000000002</v>
      </c>
      <c r="AD1140" t="str">
        <f>IF(WarehouseData[[#This Row],[order_fulfillment_rate]]&gt;=0.9,"Strong",IF(WarehouseData[[#This Row],[order_fulfillment_rate]]&gt;=0.8,"Moderate","Needs Attention"))</f>
        <v>Needs Attention</v>
      </c>
      <c r="AE1140" t="str">
        <f>IF(WarehouseData[[#This Row],[picking_time_seconds]]&gt;120,"Slow",IF(WarehouseData[[#This Row],[picking_time_seconds]]&gt;=60,"Average","Fast"))</f>
        <v>Average</v>
      </c>
    </row>
    <row r="1141" spans="1:31" x14ac:dyDescent="0.25">
      <c r="A1141" t="s">
        <v>1279</v>
      </c>
      <c r="B1141" t="s">
        <v>32</v>
      </c>
      <c r="C1141">
        <v>96</v>
      </c>
      <c r="D1141">
        <v>10</v>
      </c>
      <c r="E1141">
        <v>10</v>
      </c>
      <c r="F1141">
        <v>6</v>
      </c>
      <c r="G1141">
        <v>14.06</v>
      </c>
      <c r="H1141">
        <v>4.72</v>
      </c>
      <c r="I1141">
        <v>0.96</v>
      </c>
      <c r="J1141" t="s">
        <v>77</v>
      </c>
      <c r="K1141" t="s">
        <v>38</v>
      </c>
      <c r="L1141">
        <v>86</v>
      </c>
      <c r="M1141">
        <v>2.5299999999999998</v>
      </c>
      <c r="N1141">
        <v>119.12</v>
      </c>
      <c r="O1141">
        <v>1.82</v>
      </c>
      <c r="P1141">
        <v>0</v>
      </c>
      <c r="Q1141">
        <v>0.77</v>
      </c>
      <c r="R1141">
        <v>524</v>
      </c>
      <c r="S1141">
        <v>5.92</v>
      </c>
      <c r="T1141">
        <v>0.85</v>
      </c>
      <c r="U1141" s="1">
        <v>45298</v>
      </c>
      <c r="V1141">
        <v>216.17</v>
      </c>
      <c r="W1141">
        <v>0.621</v>
      </c>
      <c r="X1141" t="str">
        <f>IF(WarehouseData[[#This Row],[stock_level]]&lt;=WarehouseData[[#This Row],[reorder_point]],"Low Stock","Sufficient Stock")</f>
        <v>Sufficient Stock</v>
      </c>
      <c r="Y1141">
        <f>WarehouseData[[#This Row],[daily_demand]]*WarehouseData[[#This Row],[lead_time_days]]</f>
        <v>84.36</v>
      </c>
      <c r="Z1141" t="str">
        <f>IF(WarehouseData[[#This Row],[stock_level]]&lt;=WarehouseData[[#This Row],[Demand During Lead Time]],"At Risk","Safe")</f>
        <v>Safe</v>
      </c>
      <c r="AA1141">
        <f>WarehouseData[[#This Row],[stock_level]]/WarehouseData[[#This Row],[daily_demand]]</f>
        <v>6.8278805120910384</v>
      </c>
      <c r="AB1141">
        <f>WarehouseData[[#This Row],[stock_level]]*WarehouseData[[#This Row],[unit_price]]</f>
        <v>11435.52</v>
      </c>
      <c r="AC1141">
        <f>WarehouseData[[#This Row],[stock_level]]*WarehouseData[[#This Row],[holding_cost_per_unit_day]]*30</f>
        <v>5241.6000000000004</v>
      </c>
      <c r="AD1141" t="str">
        <f>IF(WarehouseData[[#This Row],[order_fulfillment_rate]]&gt;=0.9,"Strong",IF(WarehouseData[[#This Row],[order_fulfillment_rate]]&gt;=0.8,"Moderate","Needs Attention"))</f>
        <v>Needs Attention</v>
      </c>
      <c r="AE1141" t="str">
        <f>IF(WarehouseData[[#This Row],[picking_time_seconds]]&gt;120,"Slow",IF(WarehouseData[[#This Row],[picking_time_seconds]]&gt;=60,"Average","Fast"))</f>
        <v>Average</v>
      </c>
    </row>
    <row r="1142" spans="1:31" x14ac:dyDescent="0.25">
      <c r="A1142" t="s">
        <v>1280</v>
      </c>
      <c r="B1142" t="s">
        <v>36</v>
      </c>
      <c r="C1142">
        <v>193</v>
      </c>
      <c r="D1142">
        <v>21</v>
      </c>
      <c r="E1142">
        <v>3</v>
      </c>
      <c r="F1142">
        <v>7</v>
      </c>
      <c r="G1142">
        <v>38.36</v>
      </c>
      <c r="H1142">
        <v>3.59</v>
      </c>
      <c r="I1142">
        <v>0.43</v>
      </c>
      <c r="J1142" t="s">
        <v>59</v>
      </c>
      <c r="K1142" t="s">
        <v>38</v>
      </c>
      <c r="L1142">
        <v>83</v>
      </c>
      <c r="M1142">
        <v>1.65</v>
      </c>
      <c r="N1142">
        <v>179.68</v>
      </c>
      <c r="O1142">
        <v>0.26</v>
      </c>
      <c r="P1142">
        <v>1</v>
      </c>
      <c r="Q1142">
        <v>0.83</v>
      </c>
      <c r="R1142">
        <v>995</v>
      </c>
      <c r="S1142">
        <v>13</v>
      </c>
      <c r="T1142">
        <v>0.82</v>
      </c>
      <c r="U1142" s="1">
        <v>45323</v>
      </c>
      <c r="V1142">
        <v>68.55</v>
      </c>
      <c r="W1142">
        <v>0.85699999999999998</v>
      </c>
      <c r="X1142" t="str">
        <f>IF(WarehouseData[[#This Row],[stock_level]]&lt;=WarehouseData[[#This Row],[reorder_point]],"Low Stock","Sufficient Stock")</f>
        <v>Sufficient Stock</v>
      </c>
      <c r="Y1142">
        <f>WarehouseData[[#This Row],[daily_demand]]*WarehouseData[[#This Row],[lead_time_days]]</f>
        <v>268.52</v>
      </c>
      <c r="Z1142" t="str">
        <f>IF(WarehouseData[[#This Row],[stock_level]]&lt;=WarehouseData[[#This Row],[Demand During Lead Time]],"At Risk","Safe")</f>
        <v>At Risk</v>
      </c>
      <c r="AA1142">
        <f>WarehouseData[[#This Row],[stock_level]]/WarehouseData[[#This Row],[daily_demand]]</f>
        <v>5.0312825860271113</v>
      </c>
      <c r="AB1142">
        <f>WarehouseData[[#This Row],[stock_level]]*WarehouseData[[#This Row],[unit_price]]</f>
        <v>34678.239999999998</v>
      </c>
      <c r="AC1142">
        <f>WarehouseData[[#This Row],[stock_level]]*WarehouseData[[#This Row],[holding_cost_per_unit_day]]*30</f>
        <v>1505.4</v>
      </c>
      <c r="AD1142" t="str">
        <f>IF(WarehouseData[[#This Row],[order_fulfillment_rate]]&gt;=0.9,"Strong",IF(WarehouseData[[#This Row],[order_fulfillment_rate]]&gt;=0.8,"Moderate","Needs Attention"))</f>
        <v>Moderate</v>
      </c>
      <c r="AE1142" t="str">
        <f>IF(WarehouseData[[#This Row],[picking_time_seconds]]&gt;120,"Slow",IF(WarehouseData[[#This Row],[picking_time_seconds]]&gt;=60,"Average","Fast"))</f>
        <v>Average</v>
      </c>
    </row>
    <row r="1143" spans="1:31" x14ac:dyDescent="0.25">
      <c r="A1143" t="s">
        <v>1281</v>
      </c>
      <c r="B1143" t="s">
        <v>36</v>
      </c>
      <c r="C1143">
        <v>406</v>
      </c>
      <c r="D1143">
        <v>13</v>
      </c>
      <c r="E1143">
        <v>14</v>
      </c>
      <c r="F1143">
        <v>2</v>
      </c>
      <c r="G1143">
        <v>13.58</v>
      </c>
      <c r="H1143">
        <v>1.04</v>
      </c>
      <c r="I1143">
        <v>0.44</v>
      </c>
      <c r="J1143" t="s">
        <v>154</v>
      </c>
      <c r="K1143" t="s">
        <v>38</v>
      </c>
      <c r="L1143">
        <v>136</v>
      </c>
      <c r="M1143">
        <v>2.85</v>
      </c>
      <c r="N1143">
        <v>51.39</v>
      </c>
      <c r="O1143">
        <v>1.71</v>
      </c>
      <c r="P1143">
        <v>1</v>
      </c>
      <c r="Q1143">
        <v>0.94</v>
      </c>
      <c r="R1143">
        <v>801</v>
      </c>
      <c r="S1143">
        <v>9.09</v>
      </c>
      <c r="T1143">
        <v>0.94</v>
      </c>
      <c r="U1143" s="1">
        <v>45405</v>
      </c>
      <c r="V1143">
        <v>36.35</v>
      </c>
      <c r="W1143">
        <v>0.70599999999999996</v>
      </c>
      <c r="X1143" t="str">
        <f>IF(WarehouseData[[#This Row],[stock_level]]&lt;=WarehouseData[[#This Row],[reorder_point]],"Low Stock","Sufficient Stock")</f>
        <v>Sufficient Stock</v>
      </c>
      <c r="Y1143">
        <f>WarehouseData[[#This Row],[daily_demand]]*WarehouseData[[#This Row],[lead_time_days]]</f>
        <v>27.16</v>
      </c>
      <c r="Z1143" t="str">
        <f>IF(WarehouseData[[#This Row],[stock_level]]&lt;=WarehouseData[[#This Row],[Demand During Lead Time]],"At Risk","Safe")</f>
        <v>Safe</v>
      </c>
      <c r="AA1143">
        <f>WarehouseData[[#This Row],[stock_level]]/WarehouseData[[#This Row],[daily_demand]]</f>
        <v>29.896907216494846</v>
      </c>
      <c r="AB1143">
        <f>WarehouseData[[#This Row],[stock_level]]*WarehouseData[[#This Row],[unit_price]]</f>
        <v>20864.34</v>
      </c>
      <c r="AC1143">
        <f>WarehouseData[[#This Row],[stock_level]]*WarehouseData[[#This Row],[holding_cost_per_unit_day]]*30</f>
        <v>20827.8</v>
      </c>
      <c r="AD1143" t="str">
        <f>IF(WarehouseData[[#This Row],[order_fulfillment_rate]]&gt;=0.9,"Strong",IF(WarehouseData[[#This Row],[order_fulfillment_rate]]&gt;=0.8,"Moderate","Needs Attention"))</f>
        <v>Strong</v>
      </c>
      <c r="AE1143" t="str">
        <f>IF(WarehouseData[[#This Row],[picking_time_seconds]]&gt;120,"Slow",IF(WarehouseData[[#This Row],[picking_time_seconds]]&gt;=60,"Average","Fast"))</f>
        <v>Slow</v>
      </c>
    </row>
    <row r="1144" spans="1:31" x14ac:dyDescent="0.25">
      <c r="A1144" t="s">
        <v>1282</v>
      </c>
      <c r="B1144" t="s">
        <v>73</v>
      </c>
      <c r="C1144">
        <v>477</v>
      </c>
      <c r="D1144">
        <v>51</v>
      </c>
      <c r="E1144">
        <v>7</v>
      </c>
      <c r="F1144">
        <v>4</v>
      </c>
      <c r="G1144">
        <v>22.87</v>
      </c>
      <c r="H1144">
        <v>8.42</v>
      </c>
      <c r="I1144">
        <v>0.77</v>
      </c>
      <c r="J1144" t="s">
        <v>66</v>
      </c>
      <c r="K1144" t="s">
        <v>38</v>
      </c>
      <c r="L1144">
        <v>130</v>
      </c>
      <c r="M1144">
        <v>3.57</v>
      </c>
      <c r="N1144">
        <v>186.09</v>
      </c>
      <c r="O1144">
        <v>1.83</v>
      </c>
      <c r="P1144">
        <v>0</v>
      </c>
      <c r="Q1144">
        <v>0.81</v>
      </c>
      <c r="R1144">
        <v>635</v>
      </c>
      <c r="S1144">
        <v>14.64</v>
      </c>
      <c r="T1144">
        <v>0.89</v>
      </c>
      <c r="U1144" s="1">
        <v>45358</v>
      </c>
      <c r="V1144">
        <v>254.19</v>
      </c>
      <c r="W1144">
        <v>0.752</v>
      </c>
      <c r="X1144" t="str">
        <f>IF(WarehouseData[[#This Row],[stock_level]]&lt;=WarehouseData[[#This Row],[reorder_point]],"Low Stock","Sufficient Stock")</f>
        <v>Sufficient Stock</v>
      </c>
      <c r="Y1144">
        <f>WarehouseData[[#This Row],[daily_demand]]*WarehouseData[[#This Row],[lead_time_days]]</f>
        <v>91.48</v>
      </c>
      <c r="Z1144" t="str">
        <f>IF(WarehouseData[[#This Row],[stock_level]]&lt;=WarehouseData[[#This Row],[Demand During Lead Time]],"At Risk","Safe")</f>
        <v>Safe</v>
      </c>
      <c r="AA1144">
        <f>WarehouseData[[#This Row],[stock_level]]/WarehouseData[[#This Row],[daily_demand]]</f>
        <v>20.857017927415828</v>
      </c>
      <c r="AB1144">
        <f>WarehouseData[[#This Row],[stock_level]]*WarehouseData[[#This Row],[unit_price]]</f>
        <v>88764.930000000008</v>
      </c>
      <c r="AC1144">
        <f>WarehouseData[[#This Row],[stock_level]]*WarehouseData[[#This Row],[holding_cost_per_unit_day]]*30</f>
        <v>26187.300000000003</v>
      </c>
      <c r="AD1144" t="str">
        <f>IF(WarehouseData[[#This Row],[order_fulfillment_rate]]&gt;=0.9,"Strong",IF(WarehouseData[[#This Row],[order_fulfillment_rate]]&gt;=0.8,"Moderate","Needs Attention"))</f>
        <v>Moderate</v>
      </c>
      <c r="AE1144" t="str">
        <f>IF(WarehouseData[[#This Row],[picking_time_seconds]]&gt;120,"Slow",IF(WarehouseData[[#This Row],[picking_time_seconds]]&gt;=60,"Average","Fast"))</f>
        <v>Slow</v>
      </c>
    </row>
    <row r="1145" spans="1:31" x14ac:dyDescent="0.25">
      <c r="A1145" t="s">
        <v>1283</v>
      </c>
      <c r="B1145" t="s">
        <v>48</v>
      </c>
      <c r="C1145">
        <v>377</v>
      </c>
      <c r="D1145">
        <v>22</v>
      </c>
      <c r="E1145">
        <v>10</v>
      </c>
      <c r="F1145">
        <v>9</v>
      </c>
      <c r="G1145">
        <v>35.04</v>
      </c>
      <c r="H1145">
        <v>0.93</v>
      </c>
      <c r="I1145">
        <v>0.51</v>
      </c>
      <c r="J1145" t="s">
        <v>334</v>
      </c>
      <c r="K1145" t="s">
        <v>46</v>
      </c>
      <c r="L1145">
        <v>94</v>
      </c>
      <c r="M1145">
        <v>1.93</v>
      </c>
      <c r="N1145">
        <v>28.55</v>
      </c>
      <c r="O1145">
        <v>1.86</v>
      </c>
      <c r="P1145">
        <v>2</v>
      </c>
      <c r="Q1145">
        <v>0.71</v>
      </c>
      <c r="R1145">
        <v>599</v>
      </c>
      <c r="S1145">
        <v>9.7799999999999994</v>
      </c>
      <c r="T1145">
        <v>0.55000000000000004</v>
      </c>
      <c r="U1145" s="1">
        <v>45393</v>
      </c>
      <c r="V1145">
        <v>150.83000000000001</v>
      </c>
      <c r="W1145">
        <v>0.55600000000000005</v>
      </c>
      <c r="X1145" t="str">
        <f>IF(WarehouseData[[#This Row],[stock_level]]&lt;=WarehouseData[[#This Row],[reorder_point]],"Low Stock","Sufficient Stock")</f>
        <v>Sufficient Stock</v>
      </c>
      <c r="Y1145">
        <f>WarehouseData[[#This Row],[daily_demand]]*WarehouseData[[#This Row],[lead_time_days]]</f>
        <v>315.36</v>
      </c>
      <c r="Z1145" t="str">
        <f>IF(WarehouseData[[#This Row],[stock_level]]&lt;=WarehouseData[[#This Row],[Demand During Lead Time]],"At Risk","Safe")</f>
        <v>Safe</v>
      </c>
      <c r="AA1145">
        <f>WarehouseData[[#This Row],[stock_level]]/WarehouseData[[#This Row],[daily_demand]]</f>
        <v>10.759132420091325</v>
      </c>
      <c r="AB1145">
        <f>WarehouseData[[#This Row],[stock_level]]*WarehouseData[[#This Row],[unit_price]]</f>
        <v>10763.35</v>
      </c>
      <c r="AC1145">
        <f>WarehouseData[[#This Row],[stock_level]]*WarehouseData[[#This Row],[holding_cost_per_unit_day]]*30</f>
        <v>21036.600000000002</v>
      </c>
      <c r="AD1145" t="str">
        <f>IF(WarehouseData[[#This Row],[order_fulfillment_rate]]&gt;=0.9,"Strong",IF(WarehouseData[[#This Row],[order_fulfillment_rate]]&gt;=0.8,"Moderate","Needs Attention"))</f>
        <v>Needs Attention</v>
      </c>
      <c r="AE1145" t="str">
        <f>IF(WarehouseData[[#This Row],[picking_time_seconds]]&gt;120,"Slow",IF(WarehouseData[[#This Row],[picking_time_seconds]]&gt;=60,"Average","Fast"))</f>
        <v>Average</v>
      </c>
    </row>
    <row r="1146" spans="1:31" x14ac:dyDescent="0.25">
      <c r="A1146" t="s">
        <v>1284</v>
      </c>
      <c r="B1146" t="s">
        <v>36</v>
      </c>
      <c r="C1146">
        <v>340</v>
      </c>
      <c r="D1146">
        <v>94</v>
      </c>
      <c r="E1146">
        <v>8</v>
      </c>
      <c r="F1146">
        <v>5</v>
      </c>
      <c r="G1146">
        <v>4.9000000000000004</v>
      </c>
      <c r="H1146">
        <v>6.71</v>
      </c>
      <c r="I1146">
        <v>0.13</v>
      </c>
      <c r="J1146" t="s">
        <v>104</v>
      </c>
      <c r="K1146" t="s">
        <v>46</v>
      </c>
      <c r="L1146">
        <v>179</v>
      </c>
      <c r="M1146">
        <v>3.76</v>
      </c>
      <c r="N1146">
        <v>166.83</v>
      </c>
      <c r="O1146">
        <v>1.55</v>
      </c>
      <c r="P1146">
        <v>4</v>
      </c>
      <c r="Q1146">
        <v>0.85</v>
      </c>
      <c r="R1146">
        <v>777</v>
      </c>
      <c r="S1146">
        <v>10.88</v>
      </c>
      <c r="T1146">
        <v>0.22</v>
      </c>
      <c r="U1146" s="1">
        <v>45497</v>
      </c>
      <c r="V1146">
        <v>227.19</v>
      </c>
      <c r="W1146">
        <v>0.52400000000000002</v>
      </c>
      <c r="X1146" t="str">
        <f>IF(WarehouseData[[#This Row],[stock_level]]&lt;=WarehouseData[[#This Row],[reorder_point]],"Low Stock","Sufficient Stock")</f>
        <v>Sufficient Stock</v>
      </c>
      <c r="Y1146">
        <f>WarehouseData[[#This Row],[daily_demand]]*WarehouseData[[#This Row],[lead_time_days]]</f>
        <v>24.5</v>
      </c>
      <c r="Z1146" t="str">
        <f>IF(WarehouseData[[#This Row],[stock_level]]&lt;=WarehouseData[[#This Row],[Demand During Lead Time]],"At Risk","Safe")</f>
        <v>Safe</v>
      </c>
      <c r="AA1146">
        <f>WarehouseData[[#This Row],[stock_level]]/WarehouseData[[#This Row],[daily_demand]]</f>
        <v>69.387755102040813</v>
      </c>
      <c r="AB1146">
        <f>WarehouseData[[#This Row],[stock_level]]*WarehouseData[[#This Row],[unit_price]]</f>
        <v>56722.200000000004</v>
      </c>
      <c r="AC1146">
        <f>WarehouseData[[#This Row],[stock_level]]*WarehouseData[[#This Row],[holding_cost_per_unit_day]]*30</f>
        <v>15810</v>
      </c>
      <c r="AD1146" t="str">
        <f>IF(WarehouseData[[#This Row],[order_fulfillment_rate]]&gt;=0.9,"Strong",IF(WarehouseData[[#This Row],[order_fulfillment_rate]]&gt;=0.8,"Moderate","Needs Attention"))</f>
        <v>Moderate</v>
      </c>
      <c r="AE1146" t="str">
        <f>IF(WarehouseData[[#This Row],[picking_time_seconds]]&gt;120,"Slow",IF(WarehouseData[[#This Row],[picking_time_seconds]]&gt;=60,"Average","Fast"))</f>
        <v>Slow</v>
      </c>
    </row>
    <row r="1147" spans="1:31" x14ac:dyDescent="0.25">
      <c r="A1147" t="s">
        <v>1285</v>
      </c>
      <c r="B1147" t="s">
        <v>32</v>
      </c>
      <c r="C1147">
        <v>395</v>
      </c>
      <c r="D1147">
        <v>95</v>
      </c>
      <c r="E1147">
        <v>11</v>
      </c>
      <c r="F1147">
        <v>5</v>
      </c>
      <c r="G1147">
        <v>30.13</v>
      </c>
      <c r="H1147">
        <v>3.48</v>
      </c>
      <c r="I1147">
        <v>0.93</v>
      </c>
      <c r="J1147" t="s">
        <v>59</v>
      </c>
      <c r="K1147" t="s">
        <v>46</v>
      </c>
      <c r="L1147">
        <v>177</v>
      </c>
      <c r="M1147">
        <v>1.64</v>
      </c>
      <c r="N1147">
        <v>169.66</v>
      </c>
      <c r="O1147">
        <v>1.51</v>
      </c>
      <c r="P1147">
        <v>3</v>
      </c>
      <c r="Q1147">
        <v>1</v>
      </c>
      <c r="R1147">
        <v>185</v>
      </c>
      <c r="S1147">
        <v>2.25</v>
      </c>
      <c r="T1147">
        <v>0.39</v>
      </c>
      <c r="U1147" s="1">
        <v>45482</v>
      </c>
      <c r="V1147">
        <v>248.35</v>
      </c>
      <c r="W1147">
        <v>0.497</v>
      </c>
      <c r="X1147" t="str">
        <f>IF(WarehouseData[[#This Row],[stock_level]]&lt;=WarehouseData[[#This Row],[reorder_point]],"Low Stock","Sufficient Stock")</f>
        <v>Sufficient Stock</v>
      </c>
      <c r="Y1147">
        <f>WarehouseData[[#This Row],[daily_demand]]*WarehouseData[[#This Row],[lead_time_days]]</f>
        <v>150.65</v>
      </c>
      <c r="Z1147" t="str">
        <f>IF(WarehouseData[[#This Row],[stock_level]]&lt;=WarehouseData[[#This Row],[Demand During Lead Time]],"At Risk","Safe")</f>
        <v>Safe</v>
      </c>
      <c r="AA1147">
        <f>WarehouseData[[#This Row],[stock_level]]/WarehouseData[[#This Row],[daily_demand]]</f>
        <v>13.10985728509791</v>
      </c>
      <c r="AB1147">
        <f>WarehouseData[[#This Row],[stock_level]]*WarehouseData[[#This Row],[unit_price]]</f>
        <v>67015.7</v>
      </c>
      <c r="AC1147">
        <f>WarehouseData[[#This Row],[stock_level]]*WarehouseData[[#This Row],[holding_cost_per_unit_day]]*30</f>
        <v>17893.5</v>
      </c>
      <c r="AD1147" t="str">
        <f>IF(WarehouseData[[#This Row],[order_fulfillment_rate]]&gt;=0.9,"Strong",IF(WarehouseData[[#This Row],[order_fulfillment_rate]]&gt;=0.8,"Moderate","Needs Attention"))</f>
        <v>Strong</v>
      </c>
      <c r="AE1147" t="str">
        <f>IF(WarehouseData[[#This Row],[picking_time_seconds]]&gt;120,"Slow",IF(WarehouseData[[#This Row],[picking_time_seconds]]&gt;=60,"Average","Fast"))</f>
        <v>Slow</v>
      </c>
    </row>
    <row r="1148" spans="1:31" x14ac:dyDescent="0.25">
      <c r="A1148" t="s">
        <v>1286</v>
      </c>
      <c r="B1148" t="s">
        <v>40</v>
      </c>
      <c r="C1148">
        <v>110</v>
      </c>
      <c r="D1148">
        <v>13</v>
      </c>
      <c r="E1148">
        <v>3</v>
      </c>
      <c r="F1148">
        <v>8</v>
      </c>
      <c r="G1148">
        <v>29.88</v>
      </c>
      <c r="H1148">
        <v>2.33</v>
      </c>
      <c r="I1148">
        <v>0.49</v>
      </c>
      <c r="J1148" t="s">
        <v>185</v>
      </c>
      <c r="K1148" t="s">
        <v>52</v>
      </c>
      <c r="L1148">
        <v>159</v>
      </c>
      <c r="M1148">
        <v>1.01</v>
      </c>
      <c r="N1148">
        <v>58.97</v>
      </c>
      <c r="O1148">
        <v>0.13</v>
      </c>
      <c r="P1148">
        <v>1</v>
      </c>
      <c r="Q1148">
        <v>0.8</v>
      </c>
      <c r="R1148">
        <v>567</v>
      </c>
      <c r="S1148">
        <v>14.32</v>
      </c>
      <c r="T1148">
        <v>0.69</v>
      </c>
      <c r="U1148" s="1">
        <v>45643</v>
      </c>
      <c r="V1148">
        <v>289.74</v>
      </c>
      <c r="W1148">
        <v>0.85599999999999998</v>
      </c>
      <c r="X1148" t="str">
        <f>IF(WarehouseData[[#This Row],[stock_level]]&lt;=WarehouseData[[#This Row],[reorder_point]],"Low Stock","Sufficient Stock")</f>
        <v>Sufficient Stock</v>
      </c>
      <c r="Y1148">
        <f>WarehouseData[[#This Row],[daily_demand]]*WarehouseData[[#This Row],[lead_time_days]]</f>
        <v>239.04</v>
      </c>
      <c r="Z1148" t="str">
        <f>IF(WarehouseData[[#This Row],[stock_level]]&lt;=WarehouseData[[#This Row],[Demand During Lead Time]],"At Risk","Safe")</f>
        <v>At Risk</v>
      </c>
      <c r="AA1148">
        <f>WarehouseData[[#This Row],[stock_level]]/WarehouseData[[#This Row],[daily_demand]]</f>
        <v>3.6813922356091031</v>
      </c>
      <c r="AB1148">
        <f>WarehouseData[[#This Row],[stock_level]]*WarehouseData[[#This Row],[unit_price]]</f>
        <v>6486.7</v>
      </c>
      <c r="AC1148">
        <f>WarehouseData[[#This Row],[stock_level]]*WarehouseData[[#This Row],[holding_cost_per_unit_day]]*30</f>
        <v>429</v>
      </c>
      <c r="AD1148" t="str">
        <f>IF(WarehouseData[[#This Row],[order_fulfillment_rate]]&gt;=0.9,"Strong",IF(WarehouseData[[#This Row],[order_fulfillment_rate]]&gt;=0.8,"Moderate","Needs Attention"))</f>
        <v>Moderate</v>
      </c>
      <c r="AE1148" t="str">
        <f>IF(WarehouseData[[#This Row],[picking_time_seconds]]&gt;120,"Slow",IF(WarehouseData[[#This Row],[picking_time_seconds]]&gt;=60,"Average","Fast"))</f>
        <v>Slow</v>
      </c>
    </row>
    <row r="1149" spans="1:31" x14ac:dyDescent="0.25">
      <c r="A1149" t="s">
        <v>1287</v>
      </c>
      <c r="B1149" t="s">
        <v>32</v>
      </c>
      <c r="C1149">
        <v>257</v>
      </c>
      <c r="D1149">
        <v>91</v>
      </c>
      <c r="E1149">
        <v>11</v>
      </c>
      <c r="F1149">
        <v>8</v>
      </c>
      <c r="G1149">
        <v>34.53</v>
      </c>
      <c r="H1149">
        <v>6.84</v>
      </c>
      <c r="I1149">
        <v>0.28000000000000003</v>
      </c>
      <c r="J1149" t="s">
        <v>154</v>
      </c>
      <c r="K1149" t="s">
        <v>38</v>
      </c>
      <c r="L1149">
        <v>91</v>
      </c>
      <c r="M1149">
        <v>2.97</v>
      </c>
      <c r="N1149">
        <v>191.99</v>
      </c>
      <c r="O1149">
        <v>1.85</v>
      </c>
      <c r="P1149">
        <v>7</v>
      </c>
      <c r="Q1149">
        <v>0.99</v>
      </c>
      <c r="R1149">
        <v>808</v>
      </c>
      <c r="S1149">
        <v>9.7899999999999991</v>
      </c>
      <c r="T1149">
        <v>0.6</v>
      </c>
      <c r="U1149" s="1">
        <v>45614</v>
      </c>
      <c r="V1149">
        <v>190.87</v>
      </c>
      <c r="W1149">
        <v>0.52400000000000002</v>
      </c>
      <c r="X1149" t="str">
        <f>IF(WarehouseData[[#This Row],[stock_level]]&lt;=WarehouseData[[#This Row],[reorder_point]],"Low Stock","Sufficient Stock")</f>
        <v>Sufficient Stock</v>
      </c>
      <c r="Y1149">
        <f>WarehouseData[[#This Row],[daily_demand]]*WarehouseData[[#This Row],[lead_time_days]]</f>
        <v>276.24</v>
      </c>
      <c r="Z1149" t="str">
        <f>IF(WarehouseData[[#This Row],[stock_level]]&lt;=WarehouseData[[#This Row],[Demand During Lead Time]],"At Risk","Safe")</f>
        <v>At Risk</v>
      </c>
      <c r="AA1149">
        <f>WarehouseData[[#This Row],[stock_level]]/WarehouseData[[#This Row],[daily_demand]]</f>
        <v>7.4428033593976251</v>
      </c>
      <c r="AB1149">
        <f>WarehouseData[[#This Row],[stock_level]]*WarehouseData[[#This Row],[unit_price]]</f>
        <v>49341.43</v>
      </c>
      <c r="AC1149">
        <f>WarehouseData[[#This Row],[stock_level]]*WarehouseData[[#This Row],[holding_cost_per_unit_day]]*30</f>
        <v>14263.500000000002</v>
      </c>
      <c r="AD1149" t="str">
        <f>IF(WarehouseData[[#This Row],[order_fulfillment_rate]]&gt;=0.9,"Strong",IF(WarehouseData[[#This Row],[order_fulfillment_rate]]&gt;=0.8,"Moderate","Needs Attention"))</f>
        <v>Strong</v>
      </c>
      <c r="AE1149" t="str">
        <f>IF(WarehouseData[[#This Row],[picking_time_seconds]]&gt;120,"Slow",IF(WarehouseData[[#This Row],[picking_time_seconds]]&gt;=60,"Average","Fast"))</f>
        <v>Average</v>
      </c>
    </row>
    <row r="1150" spans="1:31" x14ac:dyDescent="0.25">
      <c r="A1150" t="s">
        <v>1288</v>
      </c>
      <c r="B1150" t="s">
        <v>48</v>
      </c>
      <c r="C1150">
        <v>283</v>
      </c>
      <c r="D1150">
        <v>78</v>
      </c>
      <c r="E1150">
        <v>3</v>
      </c>
      <c r="F1150">
        <v>8</v>
      </c>
      <c r="G1150">
        <v>19.13</v>
      </c>
      <c r="H1150">
        <v>5.96</v>
      </c>
      <c r="I1150">
        <v>0.6</v>
      </c>
      <c r="J1150" t="s">
        <v>131</v>
      </c>
      <c r="K1150" t="s">
        <v>38</v>
      </c>
      <c r="L1150">
        <v>30</v>
      </c>
      <c r="M1150">
        <v>1.18</v>
      </c>
      <c r="N1150">
        <v>89.15</v>
      </c>
      <c r="O1150">
        <v>0.77</v>
      </c>
      <c r="P1150">
        <v>8</v>
      </c>
      <c r="Q1150">
        <v>0.73</v>
      </c>
      <c r="R1150">
        <v>373</v>
      </c>
      <c r="S1150">
        <v>8.2799999999999994</v>
      </c>
      <c r="T1150">
        <v>0.39</v>
      </c>
      <c r="U1150" s="1">
        <v>45622</v>
      </c>
      <c r="V1150">
        <v>29.8</v>
      </c>
      <c r="W1150">
        <v>0.497</v>
      </c>
      <c r="X1150" t="str">
        <f>IF(WarehouseData[[#This Row],[stock_level]]&lt;=WarehouseData[[#This Row],[reorder_point]],"Low Stock","Sufficient Stock")</f>
        <v>Sufficient Stock</v>
      </c>
      <c r="Y1150">
        <f>WarehouseData[[#This Row],[daily_demand]]*WarehouseData[[#This Row],[lead_time_days]]</f>
        <v>153.04</v>
      </c>
      <c r="Z1150" t="str">
        <f>IF(WarehouseData[[#This Row],[stock_level]]&lt;=WarehouseData[[#This Row],[Demand During Lead Time]],"At Risk","Safe")</f>
        <v>Safe</v>
      </c>
      <c r="AA1150">
        <f>WarehouseData[[#This Row],[stock_level]]/WarehouseData[[#This Row],[daily_demand]]</f>
        <v>14.793518034500785</v>
      </c>
      <c r="AB1150">
        <f>WarehouseData[[#This Row],[stock_level]]*WarehouseData[[#This Row],[unit_price]]</f>
        <v>25229.45</v>
      </c>
      <c r="AC1150">
        <f>WarehouseData[[#This Row],[stock_level]]*WarehouseData[[#This Row],[holding_cost_per_unit_day]]*30</f>
        <v>6537.3</v>
      </c>
      <c r="AD1150" t="str">
        <f>IF(WarehouseData[[#This Row],[order_fulfillment_rate]]&gt;=0.9,"Strong",IF(WarehouseData[[#This Row],[order_fulfillment_rate]]&gt;=0.8,"Moderate","Needs Attention"))</f>
        <v>Needs Attention</v>
      </c>
      <c r="AE1150" t="str">
        <f>IF(WarehouseData[[#This Row],[picking_time_seconds]]&gt;120,"Slow",IF(WarehouseData[[#This Row],[picking_time_seconds]]&gt;=60,"Average","Fast"))</f>
        <v>Fast</v>
      </c>
    </row>
    <row r="1151" spans="1:31" x14ac:dyDescent="0.25">
      <c r="A1151" t="s">
        <v>1289</v>
      </c>
      <c r="B1151" t="s">
        <v>32</v>
      </c>
      <c r="C1151">
        <v>198</v>
      </c>
      <c r="D1151">
        <v>28</v>
      </c>
      <c r="E1151">
        <v>12</v>
      </c>
      <c r="F1151">
        <v>5</v>
      </c>
      <c r="G1151">
        <v>23</v>
      </c>
      <c r="H1151">
        <v>3.49</v>
      </c>
      <c r="I1151">
        <v>0.3</v>
      </c>
      <c r="J1151" t="s">
        <v>104</v>
      </c>
      <c r="K1151" t="s">
        <v>46</v>
      </c>
      <c r="L1151">
        <v>151</v>
      </c>
      <c r="M1151">
        <v>4.7300000000000004</v>
      </c>
      <c r="N1151">
        <v>36.840000000000003</v>
      </c>
      <c r="O1151">
        <v>0.18</v>
      </c>
      <c r="P1151">
        <v>7</v>
      </c>
      <c r="Q1151">
        <v>0.75</v>
      </c>
      <c r="R1151">
        <v>246</v>
      </c>
      <c r="S1151">
        <v>6.42</v>
      </c>
      <c r="T1151">
        <v>0.31</v>
      </c>
      <c r="U1151" s="1">
        <v>45335</v>
      </c>
      <c r="V1151">
        <v>171.73</v>
      </c>
      <c r="W1151">
        <v>0.54</v>
      </c>
      <c r="X1151" t="str">
        <f>IF(WarehouseData[[#This Row],[stock_level]]&lt;=WarehouseData[[#This Row],[reorder_point]],"Low Stock","Sufficient Stock")</f>
        <v>Sufficient Stock</v>
      </c>
      <c r="Y1151">
        <f>WarehouseData[[#This Row],[daily_demand]]*WarehouseData[[#This Row],[lead_time_days]]</f>
        <v>115</v>
      </c>
      <c r="Z1151" t="str">
        <f>IF(WarehouseData[[#This Row],[stock_level]]&lt;=WarehouseData[[#This Row],[Demand During Lead Time]],"At Risk","Safe")</f>
        <v>Safe</v>
      </c>
      <c r="AA1151">
        <f>WarehouseData[[#This Row],[stock_level]]/WarehouseData[[#This Row],[daily_demand]]</f>
        <v>8.6086956521739122</v>
      </c>
      <c r="AB1151">
        <f>WarehouseData[[#This Row],[stock_level]]*WarehouseData[[#This Row],[unit_price]]</f>
        <v>7294.3200000000006</v>
      </c>
      <c r="AC1151">
        <f>WarehouseData[[#This Row],[stock_level]]*WarehouseData[[#This Row],[holding_cost_per_unit_day]]*30</f>
        <v>1069.2</v>
      </c>
      <c r="AD1151" t="str">
        <f>IF(WarehouseData[[#This Row],[order_fulfillment_rate]]&gt;=0.9,"Strong",IF(WarehouseData[[#This Row],[order_fulfillment_rate]]&gt;=0.8,"Moderate","Needs Attention"))</f>
        <v>Needs Attention</v>
      </c>
      <c r="AE1151" t="str">
        <f>IF(WarehouseData[[#This Row],[picking_time_seconds]]&gt;120,"Slow",IF(WarehouseData[[#This Row],[picking_time_seconds]]&gt;=60,"Average","Fast"))</f>
        <v>Slow</v>
      </c>
    </row>
    <row r="1152" spans="1:31" x14ac:dyDescent="0.25">
      <c r="A1152" t="s">
        <v>1290</v>
      </c>
      <c r="B1152" t="s">
        <v>73</v>
      </c>
      <c r="C1152">
        <v>228</v>
      </c>
      <c r="D1152">
        <v>11</v>
      </c>
      <c r="E1152">
        <v>12</v>
      </c>
      <c r="F1152">
        <v>6</v>
      </c>
      <c r="G1152">
        <v>17.170000000000002</v>
      </c>
      <c r="H1152">
        <v>5.37</v>
      </c>
      <c r="I1152">
        <v>0.28999999999999998</v>
      </c>
      <c r="J1152" t="s">
        <v>263</v>
      </c>
      <c r="K1152" t="s">
        <v>34</v>
      </c>
      <c r="L1152">
        <v>83</v>
      </c>
      <c r="M1152">
        <v>0.5</v>
      </c>
      <c r="N1152">
        <v>122.43</v>
      </c>
      <c r="O1152">
        <v>0.88</v>
      </c>
      <c r="P1152">
        <v>6</v>
      </c>
      <c r="Q1152">
        <v>0.92</v>
      </c>
      <c r="R1152">
        <v>951</v>
      </c>
      <c r="S1152">
        <v>2.08</v>
      </c>
      <c r="T1152">
        <v>0.37</v>
      </c>
      <c r="U1152" s="1">
        <v>45590</v>
      </c>
      <c r="V1152">
        <v>157.76</v>
      </c>
      <c r="W1152">
        <v>0.47799999999999998</v>
      </c>
      <c r="X1152" t="str">
        <f>IF(WarehouseData[[#This Row],[stock_level]]&lt;=WarehouseData[[#This Row],[reorder_point]],"Low Stock","Sufficient Stock")</f>
        <v>Sufficient Stock</v>
      </c>
      <c r="Y1152">
        <f>WarehouseData[[#This Row],[daily_demand]]*WarehouseData[[#This Row],[lead_time_days]]</f>
        <v>103.02000000000001</v>
      </c>
      <c r="Z1152" t="str">
        <f>IF(WarehouseData[[#This Row],[stock_level]]&lt;=WarehouseData[[#This Row],[Demand During Lead Time]],"At Risk","Safe")</f>
        <v>Safe</v>
      </c>
      <c r="AA1152">
        <f>WarehouseData[[#This Row],[stock_level]]/WarehouseData[[#This Row],[daily_demand]]</f>
        <v>13.278974956319161</v>
      </c>
      <c r="AB1152">
        <f>WarehouseData[[#This Row],[stock_level]]*WarehouseData[[#This Row],[unit_price]]</f>
        <v>27914.04</v>
      </c>
      <c r="AC1152">
        <f>WarehouseData[[#This Row],[stock_level]]*WarehouseData[[#This Row],[holding_cost_per_unit_day]]*30</f>
        <v>6019.2000000000007</v>
      </c>
      <c r="AD1152" t="str">
        <f>IF(WarehouseData[[#This Row],[order_fulfillment_rate]]&gt;=0.9,"Strong",IF(WarehouseData[[#This Row],[order_fulfillment_rate]]&gt;=0.8,"Moderate","Needs Attention"))</f>
        <v>Strong</v>
      </c>
      <c r="AE1152" t="str">
        <f>IF(WarehouseData[[#This Row],[picking_time_seconds]]&gt;120,"Slow",IF(WarehouseData[[#This Row],[picking_time_seconds]]&gt;=60,"Average","Fast"))</f>
        <v>Average</v>
      </c>
    </row>
    <row r="1153" spans="1:31" x14ac:dyDescent="0.25">
      <c r="A1153" t="s">
        <v>1291</v>
      </c>
      <c r="B1153" t="s">
        <v>48</v>
      </c>
      <c r="C1153">
        <v>92</v>
      </c>
      <c r="D1153">
        <v>21</v>
      </c>
      <c r="E1153">
        <v>5</v>
      </c>
      <c r="F1153">
        <v>8</v>
      </c>
      <c r="G1153">
        <v>40.6</v>
      </c>
      <c r="H1153">
        <v>2.84</v>
      </c>
      <c r="I1153">
        <v>0.59</v>
      </c>
      <c r="J1153" t="s">
        <v>311</v>
      </c>
      <c r="K1153" t="s">
        <v>34</v>
      </c>
      <c r="L1153">
        <v>18</v>
      </c>
      <c r="M1153">
        <v>3.9</v>
      </c>
      <c r="N1153">
        <v>199.36</v>
      </c>
      <c r="O1153">
        <v>1.49</v>
      </c>
      <c r="P1153">
        <v>9</v>
      </c>
      <c r="Q1153">
        <v>0.85</v>
      </c>
      <c r="R1153">
        <v>160</v>
      </c>
      <c r="S1153">
        <v>2.87</v>
      </c>
      <c r="T1153">
        <v>0.41</v>
      </c>
      <c r="U1153" s="1">
        <v>45592</v>
      </c>
      <c r="V1153">
        <v>26.69</v>
      </c>
      <c r="W1153">
        <v>0.36099999999999999</v>
      </c>
      <c r="X1153" t="str">
        <f>IF(WarehouseData[[#This Row],[stock_level]]&lt;=WarehouseData[[#This Row],[reorder_point]],"Low Stock","Sufficient Stock")</f>
        <v>Sufficient Stock</v>
      </c>
      <c r="Y1153">
        <f>WarehouseData[[#This Row],[daily_demand]]*WarehouseData[[#This Row],[lead_time_days]]</f>
        <v>324.8</v>
      </c>
      <c r="Z1153" t="str">
        <f>IF(WarehouseData[[#This Row],[stock_level]]&lt;=WarehouseData[[#This Row],[Demand During Lead Time]],"At Risk","Safe")</f>
        <v>At Risk</v>
      </c>
      <c r="AA1153">
        <f>WarehouseData[[#This Row],[stock_level]]/WarehouseData[[#This Row],[daily_demand]]</f>
        <v>2.2660098522167487</v>
      </c>
      <c r="AB1153">
        <f>WarehouseData[[#This Row],[stock_level]]*WarehouseData[[#This Row],[unit_price]]</f>
        <v>18341.120000000003</v>
      </c>
      <c r="AC1153">
        <f>WarehouseData[[#This Row],[stock_level]]*WarehouseData[[#This Row],[holding_cost_per_unit_day]]*30</f>
        <v>4112.4000000000005</v>
      </c>
      <c r="AD1153" t="str">
        <f>IF(WarehouseData[[#This Row],[order_fulfillment_rate]]&gt;=0.9,"Strong",IF(WarehouseData[[#This Row],[order_fulfillment_rate]]&gt;=0.8,"Moderate","Needs Attention"))</f>
        <v>Moderate</v>
      </c>
      <c r="AE1153" t="str">
        <f>IF(WarehouseData[[#This Row],[picking_time_seconds]]&gt;120,"Slow",IF(WarehouseData[[#This Row],[picking_time_seconds]]&gt;=60,"Average","Fast"))</f>
        <v>Fast</v>
      </c>
    </row>
    <row r="1154" spans="1:31" x14ac:dyDescent="0.25">
      <c r="A1154" t="s">
        <v>1292</v>
      </c>
      <c r="B1154" t="s">
        <v>40</v>
      </c>
      <c r="C1154">
        <v>409</v>
      </c>
      <c r="D1154">
        <v>90</v>
      </c>
      <c r="E1154">
        <v>3</v>
      </c>
      <c r="F1154">
        <v>7</v>
      </c>
      <c r="G1154">
        <v>7.4</v>
      </c>
      <c r="H1154">
        <v>8.7100000000000009</v>
      </c>
      <c r="I1154">
        <v>0.45</v>
      </c>
      <c r="J1154" t="s">
        <v>357</v>
      </c>
      <c r="K1154" t="s">
        <v>38</v>
      </c>
      <c r="L1154">
        <v>155</v>
      </c>
      <c r="M1154">
        <v>1.76</v>
      </c>
      <c r="N1154">
        <v>180.87</v>
      </c>
      <c r="O1154">
        <v>0.94</v>
      </c>
      <c r="P1154">
        <v>1</v>
      </c>
      <c r="Q1154">
        <v>0.93</v>
      </c>
      <c r="R1154">
        <v>849</v>
      </c>
      <c r="S1154">
        <v>1.1599999999999999</v>
      </c>
      <c r="T1154">
        <v>0.89</v>
      </c>
      <c r="U1154" s="1">
        <v>45424</v>
      </c>
      <c r="V1154">
        <v>98.83</v>
      </c>
      <c r="W1154">
        <v>0.66500000000000004</v>
      </c>
      <c r="X1154" t="str">
        <f>IF(WarehouseData[[#This Row],[stock_level]]&lt;=WarehouseData[[#This Row],[reorder_point]],"Low Stock","Sufficient Stock")</f>
        <v>Sufficient Stock</v>
      </c>
      <c r="Y1154">
        <f>WarehouseData[[#This Row],[daily_demand]]*WarehouseData[[#This Row],[lead_time_days]]</f>
        <v>51.800000000000004</v>
      </c>
      <c r="Z1154" t="str">
        <f>IF(WarehouseData[[#This Row],[stock_level]]&lt;=WarehouseData[[#This Row],[Demand During Lead Time]],"At Risk","Safe")</f>
        <v>Safe</v>
      </c>
      <c r="AA1154">
        <f>WarehouseData[[#This Row],[stock_level]]/WarehouseData[[#This Row],[daily_demand]]</f>
        <v>55.270270270270267</v>
      </c>
      <c r="AB1154">
        <f>WarehouseData[[#This Row],[stock_level]]*WarehouseData[[#This Row],[unit_price]]</f>
        <v>73975.83</v>
      </c>
      <c r="AC1154">
        <f>WarehouseData[[#This Row],[stock_level]]*WarehouseData[[#This Row],[holding_cost_per_unit_day]]*30</f>
        <v>11533.8</v>
      </c>
      <c r="AD1154" t="str">
        <f>IF(WarehouseData[[#This Row],[order_fulfillment_rate]]&gt;=0.9,"Strong",IF(WarehouseData[[#This Row],[order_fulfillment_rate]]&gt;=0.8,"Moderate","Needs Attention"))</f>
        <v>Strong</v>
      </c>
      <c r="AE1154" t="str">
        <f>IF(WarehouseData[[#This Row],[picking_time_seconds]]&gt;120,"Slow",IF(WarehouseData[[#This Row],[picking_time_seconds]]&gt;=60,"Average","Fast"))</f>
        <v>Slow</v>
      </c>
    </row>
    <row r="1155" spans="1:31" x14ac:dyDescent="0.25">
      <c r="A1155" t="s">
        <v>1293</v>
      </c>
      <c r="B1155" t="s">
        <v>73</v>
      </c>
      <c r="C1155">
        <v>126</v>
      </c>
      <c r="D1155">
        <v>83</v>
      </c>
      <c r="E1155">
        <v>5</v>
      </c>
      <c r="F1155">
        <v>4</v>
      </c>
      <c r="G1155">
        <v>48.18</v>
      </c>
      <c r="H1155">
        <v>3.48</v>
      </c>
      <c r="I1155">
        <v>0.62</v>
      </c>
      <c r="J1155" t="s">
        <v>379</v>
      </c>
      <c r="K1155" t="s">
        <v>38</v>
      </c>
      <c r="L1155">
        <v>22</v>
      </c>
      <c r="M1155">
        <v>4.3099999999999996</v>
      </c>
      <c r="N1155">
        <v>62.93</v>
      </c>
      <c r="O1155">
        <v>1.54</v>
      </c>
      <c r="P1155">
        <v>5</v>
      </c>
      <c r="Q1155">
        <v>0.96</v>
      </c>
      <c r="R1155">
        <v>599</v>
      </c>
      <c r="S1155">
        <v>14.98</v>
      </c>
      <c r="T1155">
        <v>0.77</v>
      </c>
      <c r="U1155" s="1">
        <v>45330</v>
      </c>
      <c r="V1155">
        <v>129.53</v>
      </c>
      <c r="W1155">
        <v>0.69199999999999995</v>
      </c>
      <c r="X1155" t="str">
        <f>IF(WarehouseData[[#This Row],[stock_level]]&lt;=WarehouseData[[#This Row],[reorder_point]],"Low Stock","Sufficient Stock")</f>
        <v>Sufficient Stock</v>
      </c>
      <c r="Y1155">
        <f>WarehouseData[[#This Row],[daily_demand]]*WarehouseData[[#This Row],[lead_time_days]]</f>
        <v>192.72</v>
      </c>
      <c r="Z1155" t="str">
        <f>IF(WarehouseData[[#This Row],[stock_level]]&lt;=WarehouseData[[#This Row],[Demand During Lead Time]],"At Risk","Safe")</f>
        <v>At Risk</v>
      </c>
      <c r="AA1155">
        <f>WarehouseData[[#This Row],[stock_level]]/WarehouseData[[#This Row],[daily_demand]]</f>
        <v>2.6151930261519301</v>
      </c>
      <c r="AB1155">
        <f>WarehouseData[[#This Row],[stock_level]]*WarehouseData[[#This Row],[unit_price]]</f>
        <v>7929.18</v>
      </c>
      <c r="AC1155">
        <f>WarehouseData[[#This Row],[stock_level]]*WarehouseData[[#This Row],[holding_cost_per_unit_day]]*30</f>
        <v>5821.2</v>
      </c>
      <c r="AD1155" t="str">
        <f>IF(WarehouseData[[#This Row],[order_fulfillment_rate]]&gt;=0.9,"Strong",IF(WarehouseData[[#This Row],[order_fulfillment_rate]]&gt;=0.8,"Moderate","Needs Attention"))</f>
        <v>Strong</v>
      </c>
      <c r="AE1155" t="str">
        <f>IF(WarehouseData[[#This Row],[picking_time_seconds]]&gt;120,"Slow",IF(WarehouseData[[#This Row],[picking_time_seconds]]&gt;=60,"Average","Fast"))</f>
        <v>Fast</v>
      </c>
    </row>
    <row r="1156" spans="1:31" x14ac:dyDescent="0.25">
      <c r="A1156" t="s">
        <v>1294</v>
      </c>
      <c r="B1156" t="s">
        <v>48</v>
      </c>
      <c r="C1156">
        <v>364</v>
      </c>
      <c r="D1156">
        <v>15</v>
      </c>
      <c r="E1156">
        <v>14</v>
      </c>
      <c r="F1156">
        <v>3</v>
      </c>
      <c r="G1156">
        <v>32.11</v>
      </c>
      <c r="H1156">
        <v>2.83</v>
      </c>
      <c r="I1156">
        <v>1</v>
      </c>
      <c r="J1156" t="s">
        <v>90</v>
      </c>
      <c r="K1156" t="s">
        <v>46</v>
      </c>
      <c r="L1156">
        <v>26</v>
      </c>
      <c r="M1156">
        <v>0.77</v>
      </c>
      <c r="N1156">
        <v>119.63</v>
      </c>
      <c r="O1156">
        <v>1.07</v>
      </c>
      <c r="P1156">
        <v>3</v>
      </c>
      <c r="Q1156">
        <v>0.78</v>
      </c>
      <c r="R1156">
        <v>164</v>
      </c>
      <c r="S1156">
        <v>12.01</v>
      </c>
      <c r="T1156">
        <v>0.64</v>
      </c>
      <c r="U1156" s="1">
        <v>45303</v>
      </c>
      <c r="V1156">
        <v>56.68</v>
      </c>
      <c r="W1156">
        <v>0.67700000000000005</v>
      </c>
      <c r="X1156" t="str">
        <f>IF(WarehouseData[[#This Row],[stock_level]]&lt;=WarehouseData[[#This Row],[reorder_point]],"Low Stock","Sufficient Stock")</f>
        <v>Sufficient Stock</v>
      </c>
      <c r="Y1156">
        <f>WarehouseData[[#This Row],[daily_demand]]*WarehouseData[[#This Row],[lead_time_days]]</f>
        <v>96.33</v>
      </c>
      <c r="Z1156" t="str">
        <f>IF(WarehouseData[[#This Row],[stock_level]]&lt;=WarehouseData[[#This Row],[Demand During Lead Time]],"At Risk","Safe")</f>
        <v>Safe</v>
      </c>
      <c r="AA1156">
        <f>WarehouseData[[#This Row],[stock_level]]/WarehouseData[[#This Row],[daily_demand]]</f>
        <v>11.336032388663968</v>
      </c>
      <c r="AB1156">
        <f>WarehouseData[[#This Row],[stock_level]]*WarehouseData[[#This Row],[unit_price]]</f>
        <v>43545.32</v>
      </c>
      <c r="AC1156">
        <f>WarehouseData[[#This Row],[stock_level]]*WarehouseData[[#This Row],[holding_cost_per_unit_day]]*30</f>
        <v>11684.400000000001</v>
      </c>
      <c r="AD1156" t="str">
        <f>IF(WarehouseData[[#This Row],[order_fulfillment_rate]]&gt;=0.9,"Strong",IF(WarehouseData[[#This Row],[order_fulfillment_rate]]&gt;=0.8,"Moderate","Needs Attention"))</f>
        <v>Needs Attention</v>
      </c>
      <c r="AE1156" t="str">
        <f>IF(WarehouseData[[#This Row],[picking_time_seconds]]&gt;120,"Slow",IF(WarehouseData[[#This Row],[picking_time_seconds]]&gt;=60,"Average","Fast"))</f>
        <v>Fast</v>
      </c>
    </row>
    <row r="1157" spans="1:31" x14ac:dyDescent="0.25">
      <c r="A1157" t="s">
        <v>1295</v>
      </c>
      <c r="B1157" t="s">
        <v>40</v>
      </c>
      <c r="C1157">
        <v>314</v>
      </c>
      <c r="D1157">
        <v>17</v>
      </c>
      <c r="E1157">
        <v>13</v>
      </c>
      <c r="F1157">
        <v>5</v>
      </c>
      <c r="G1157">
        <v>44.46</v>
      </c>
      <c r="H1157">
        <v>7.64</v>
      </c>
      <c r="I1157">
        <v>0.87</v>
      </c>
      <c r="J1157" t="s">
        <v>377</v>
      </c>
      <c r="K1157" t="s">
        <v>38</v>
      </c>
      <c r="L1157">
        <v>135</v>
      </c>
      <c r="M1157">
        <v>4.79</v>
      </c>
      <c r="N1157">
        <v>31.92</v>
      </c>
      <c r="O1157">
        <v>0.67</v>
      </c>
      <c r="P1157">
        <v>4</v>
      </c>
      <c r="Q1157">
        <v>0.9</v>
      </c>
      <c r="R1157">
        <v>746</v>
      </c>
      <c r="S1157">
        <v>12.16</v>
      </c>
      <c r="T1157">
        <v>0.22</v>
      </c>
      <c r="U1157" s="1">
        <v>45325</v>
      </c>
      <c r="V1157">
        <v>12.54</v>
      </c>
      <c r="W1157">
        <v>0.63900000000000001</v>
      </c>
      <c r="X1157" t="str">
        <f>IF(WarehouseData[[#This Row],[stock_level]]&lt;=WarehouseData[[#This Row],[reorder_point]],"Low Stock","Sufficient Stock")</f>
        <v>Sufficient Stock</v>
      </c>
      <c r="Y1157">
        <f>WarehouseData[[#This Row],[daily_demand]]*WarehouseData[[#This Row],[lead_time_days]]</f>
        <v>222.3</v>
      </c>
      <c r="Z1157" t="str">
        <f>IF(WarehouseData[[#This Row],[stock_level]]&lt;=WarehouseData[[#This Row],[Demand During Lead Time]],"At Risk","Safe")</f>
        <v>Safe</v>
      </c>
      <c r="AA1157">
        <f>WarehouseData[[#This Row],[stock_level]]/WarehouseData[[#This Row],[daily_demand]]</f>
        <v>7.0625281151596937</v>
      </c>
      <c r="AB1157">
        <f>WarehouseData[[#This Row],[stock_level]]*WarehouseData[[#This Row],[unit_price]]</f>
        <v>10022.880000000001</v>
      </c>
      <c r="AC1157">
        <f>WarehouseData[[#This Row],[stock_level]]*WarehouseData[[#This Row],[holding_cost_per_unit_day]]*30</f>
        <v>6311.4000000000005</v>
      </c>
      <c r="AD1157" t="str">
        <f>IF(WarehouseData[[#This Row],[order_fulfillment_rate]]&gt;=0.9,"Strong",IF(WarehouseData[[#This Row],[order_fulfillment_rate]]&gt;=0.8,"Moderate","Needs Attention"))</f>
        <v>Strong</v>
      </c>
      <c r="AE1157" t="str">
        <f>IF(WarehouseData[[#This Row],[picking_time_seconds]]&gt;120,"Slow",IF(WarehouseData[[#This Row],[picking_time_seconds]]&gt;=60,"Average","Fast"))</f>
        <v>Slow</v>
      </c>
    </row>
    <row r="1158" spans="1:31" x14ac:dyDescent="0.25">
      <c r="A1158" t="s">
        <v>1296</v>
      </c>
      <c r="B1158" t="s">
        <v>73</v>
      </c>
      <c r="C1158">
        <v>388</v>
      </c>
      <c r="D1158">
        <v>60</v>
      </c>
      <c r="E1158">
        <v>4</v>
      </c>
      <c r="F1158">
        <v>7</v>
      </c>
      <c r="G1158">
        <v>21.89</v>
      </c>
      <c r="H1158">
        <v>0.67</v>
      </c>
      <c r="I1158">
        <v>0.11</v>
      </c>
      <c r="J1158" t="s">
        <v>45</v>
      </c>
      <c r="K1158" t="s">
        <v>34</v>
      </c>
      <c r="L1158">
        <v>96</v>
      </c>
      <c r="M1158">
        <v>0.96</v>
      </c>
      <c r="N1158">
        <v>97.75</v>
      </c>
      <c r="O1158">
        <v>0.49</v>
      </c>
      <c r="P1158">
        <v>8</v>
      </c>
      <c r="Q1158">
        <v>0.88</v>
      </c>
      <c r="R1158">
        <v>773</v>
      </c>
      <c r="S1158">
        <v>11.22</v>
      </c>
      <c r="T1158">
        <v>0.86</v>
      </c>
      <c r="U1158" s="1">
        <v>45393</v>
      </c>
      <c r="V1158">
        <v>229.52</v>
      </c>
      <c r="W1158">
        <v>0.68899999999999995</v>
      </c>
      <c r="X1158" t="str">
        <f>IF(WarehouseData[[#This Row],[stock_level]]&lt;=WarehouseData[[#This Row],[reorder_point]],"Low Stock","Sufficient Stock")</f>
        <v>Sufficient Stock</v>
      </c>
      <c r="Y1158">
        <f>WarehouseData[[#This Row],[daily_demand]]*WarehouseData[[#This Row],[lead_time_days]]</f>
        <v>153.23000000000002</v>
      </c>
      <c r="Z1158" t="str">
        <f>IF(WarehouseData[[#This Row],[stock_level]]&lt;=WarehouseData[[#This Row],[Demand During Lead Time]],"At Risk","Safe")</f>
        <v>Safe</v>
      </c>
      <c r="AA1158">
        <f>WarehouseData[[#This Row],[stock_level]]/WarehouseData[[#This Row],[daily_demand]]</f>
        <v>17.724988579259936</v>
      </c>
      <c r="AB1158">
        <f>WarehouseData[[#This Row],[stock_level]]*WarehouseData[[#This Row],[unit_price]]</f>
        <v>37927</v>
      </c>
      <c r="AC1158">
        <f>WarehouseData[[#This Row],[stock_level]]*WarehouseData[[#This Row],[holding_cost_per_unit_day]]*30</f>
        <v>5703.6</v>
      </c>
      <c r="AD1158" t="str">
        <f>IF(WarehouseData[[#This Row],[order_fulfillment_rate]]&gt;=0.9,"Strong",IF(WarehouseData[[#This Row],[order_fulfillment_rate]]&gt;=0.8,"Moderate","Needs Attention"))</f>
        <v>Moderate</v>
      </c>
      <c r="AE1158" t="str">
        <f>IF(WarehouseData[[#This Row],[picking_time_seconds]]&gt;120,"Slow",IF(WarehouseData[[#This Row],[picking_time_seconds]]&gt;=60,"Average","Fast"))</f>
        <v>Average</v>
      </c>
    </row>
    <row r="1159" spans="1:31" x14ac:dyDescent="0.25">
      <c r="A1159" t="s">
        <v>1297</v>
      </c>
      <c r="B1159" t="s">
        <v>73</v>
      </c>
      <c r="C1159">
        <v>463</v>
      </c>
      <c r="D1159">
        <v>20</v>
      </c>
      <c r="E1159">
        <v>4</v>
      </c>
      <c r="F1159">
        <v>4</v>
      </c>
      <c r="G1159">
        <v>17.28</v>
      </c>
      <c r="H1159">
        <v>3.05</v>
      </c>
      <c r="I1159">
        <v>0.15</v>
      </c>
      <c r="J1159" t="s">
        <v>447</v>
      </c>
      <c r="K1159" t="s">
        <v>34</v>
      </c>
      <c r="L1159">
        <v>162</v>
      </c>
      <c r="M1159">
        <v>4.05</v>
      </c>
      <c r="N1159">
        <v>109.38</v>
      </c>
      <c r="O1159">
        <v>0.9</v>
      </c>
      <c r="P1159">
        <v>8</v>
      </c>
      <c r="Q1159">
        <v>0.96</v>
      </c>
      <c r="R1159">
        <v>537</v>
      </c>
      <c r="S1159">
        <v>7.78</v>
      </c>
      <c r="T1159">
        <v>0.64</v>
      </c>
      <c r="U1159" s="1">
        <v>45622</v>
      </c>
      <c r="V1159">
        <v>256.97000000000003</v>
      </c>
      <c r="W1159">
        <v>0.57399999999999995</v>
      </c>
      <c r="X1159" t="str">
        <f>IF(WarehouseData[[#This Row],[stock_level]]&lt;=WarehouseData[[#This Row],[reorder_point]],"Low Stock","Sufficient Stock")</f>
        <v>Sufficient Stock</v>
      </c>
      <c r="Y1159">
        <f>WarehouseData[[#This Row],[daily_demand]]*WarehouseData[[#This Row],[lead_time_days]]</f>
        <v>69.12</v>
      </c>
      <c r="Z1159" t="str">
        <f>IF(WarehouseData[[#This Row],[stock_level]]&lt;=WarehouseData[[#This Row],[Demand During Lead Time]],"At Risk","Safe")</f>
        <v>Safe</v>
      </c>
      <c r="AA1159">
        <f>WarehouseData[[#This Row],[stock_level]]/WarehouseData[[#This Row],[daily_demand]]</f>
        <v>26.793981481481481</v>
      </c>
      <c r="AB1159">
        <f>WarehouseData[[#This Row],[stock_level]]*WarehouseData[[#This Row],[unit_price]]</f>
        <v>50642.939999999995</v>
      </c>
      <c r="AC1159">
        <f>WarehouseData[[#This Row],[stock_level]]*WarehouseData[[#This Row],[holding_cost_per_unit_day]]*30</f>
        <v>12501</v>
      </c>
      <c r="AD1159" t="str">
        <f>IF(WarehouseData[[#This Row],[order_fulfillment_rate]]&gt;=0.9,"Strong",IF(WarehouseData[[#This Row],[order_fulfillment_rate]]&gt;=0.8,"Moderate","Needs Attention"))</f>
        <v>Strong</v>
      </c>
      <c r="AE1159" t="str">
        <f>IF(WarehouseData[[#This Row],[picking_time_seconds]]&gt;120,"Slow",IF(WarehouseData[[#This Row],[picking_time_seconds]]&gt;=60,"Average","Fast"))</f>
        <v>Slow</v>
      </c>
    </row>
    <row r="1160" spans="1:31" x14ac:dyDescent="0.25">
      <c r="A1160" t="s">
        <v>1298</v>
      </c>
      <c r="B1160" t="s">
        <v>48</v>
      </c>
      <c r="C1160">
        <v>303</v>
      </c>
      <c r="D1160">
        <v>72</v>
      </c>
      <c r="E1160">
        <v>11</v>
      </c>
      <c r="F1160">
        <v>4</v>
      </c>
      <c r="G1160">
        <v>45.14</v>
      </c>
      <c r="H1160">
        <v>4.07</v>
      </c>
      <c r="I1160">
        <v>0.65</v>
      </c>
      <c r="J1160" t="s">
        <v>251</v>
      </c>
      <c r="K1160" t="s">
        <v>38</v>
      </c>
      <c r="L1160">
        <v>25</v>
      </c>
      <c r="M1160">
        <v>2.83</v>
      </c>
      <c r="N1160">
        <v>69.900000000000006</v>
      </c>
      <c r="O1160">
        <v>0.17</v>
      </c>
      <c r="P1160">
        <v>3</v>
      </c>
      <c r="Q1160">
        <v>0.83</v>
      </c>
      <c r="R1160">
        <v>414</v>
      </c>
      <c r="S1160">
        <v>2.23</v>
      </c>
      <c r="T1160">
        <v>0.7</v>
      </c>
      <c r="U1160" s="1">
        <v>45519</v>
      </c>
      <c r="V1160">
        <v>76.44</v>
      </c>
      <c r="W1160">
        <v>0.65900000000000003</v>
      </c>
      <c r="X1160" t="str">
        <f>IF(WarehouseData[[#This Row],[stock_level]]&lt;=WarehouseData[[#This Row],[reorder_point]],"Low Stock","Sufficient Stock")</f>
        <v>Sufficient Stock</v>
      </c>
      <c r="Y1160">
        <f>WarehouseData[[#This Row],[daily_demand]]*WarehouseData[[#This Row],[lead_time_days]]</f>
        <v>180.56</v>
      </c>
      <c r="Z1160" t="str">
        <f>IF(WarehouseData[[#This Row],[stock_level]]&lt;=WarehouseData[[#This Row],[Demand During Lead Time]],"At Risk","Safe")</f>
        <v>Safe</v>
      </c>
      <c r="AA1160">
        <f>WarehouseData[[#This Row],[stock_level]]/WarehouseData[[#This Row],[daily_demand]]</f>
        <v>6.7124501550731059</v>
      </c>
      <c r="AB1160">
        <f>WarehouseData[[#This Row],[stock_level]]*WarehouseData[[#This Row],[unit_price]]</f>
        <v>21179.7</v>
      </c>
      <c r="AC1160">
        <f>WarehouseData[[#This Row],[stock_level]]*WarehouseData[[#This Row],[holding_cost_per_unit_day]]*30</f>
        <v>1545.3000000000002</v>
      </c>
      <c r="AD1160" t="str">
        <f>IF(WarehouseData[[#This Row],[order_fulfillment_rate]]&gt;=0.9,"Strong",IF(WarehouseData[[#This Row],[order_fulfillment_rate]]&gt;=0.8,"Moderate","Needs Attention"))</f>
        <v>Moderate</v>
      </c>
      <c r="AE1160" t="str">
        <f>IF(WarehouseData[[#This Row],[picking_time_seconds]]&gt;120,"Slow",IF(WarehouseData[[#This Row],[picking_time_seconds]]&gt;=60,"Average","Fast"))</f>
        <v>Fast</v>
      </c>
    </row>
    <row r="1161" spans="1:31" x14ac:dyDescent="0.25">
      <c r="A1161" t="s">
        <v>1299</v>
      </c>
      <c r="B1161" t="s">
        <v>36</v>
      </c>
      <c r="C1161">
        <v>372</v>
      </c>
      <c r="D1161">
        <v>66</v>
      </c>
      <c r="E1161">
        <v>10</v>
      </c>
      <c r="F1161">
        <v>2</v>
      </c>
      <c r="G1161">
        <v>5.84</v>
      </c>
      <c r="H1161">
        <v>8.8800000000000008</v>
      </c>
      <c r="I1161">
        <v>0.66</v>
      </c>
      <c r="J1161" t="s">
        <v>301</v>
      </c>
      <c r="K1161" t="s">
        <v>46</v>
      </c>
      <c r="L1161">
        <v>33</v>
      </c>
      <c r="M1161">
        <v>2.44</v>
      </c>
      <c r="N1161">
        <v>102</v>
      </c>
      <c r="O1161">
        <v>0.9</v>
      </c>
      <c r="P1161">
        <v>7</v>
      </c>
      <c r="Q1161">
        <v>0.72</v>
      </c>
      <c r="R1161">
        <v>533</v>
      </c>
      <c r="S1161">
        <v>2.0099999999999998</v>
      </c>
      <c r="T1161">
        <v>0.25</v>
      </c>
      <c r="U1161" s="1">
        <v>45357</v>
      </c>
      <c r="V1161">
        <v>11.1</v>
      </c>
      <c r="W1161">
        <v>0.39100000000000001</v>
      </c>
      <c r="X1161" t="str">
        <f>IF(WarehouseData[[#This Row],[stock_level]]&lt;=WarehouseData[[#This Row],[reorder_point]],"Low Stock","Sufficient Stock")</f>
        <v>Sufficient Stock</v>
      </c>
      <c r="Y1161">
        <f>WarehouseData[[#This Row],[daily_demand]]*WarehouseData[[#This Row],[lead_time_days]]</f>
        <v>11.68</v>
      </c>
      <c r="Z1161" t="str">
        <f>IF(WarehouseData[[#This Row],[stock_level]]&lt;=WarehouseData[[#This Row],[Demand During Lead Time]],"At Risk","Safe")</f>
        <v>Safe</v>
      </c>
      <c r="AA1161">
        <f>WarehouseData[[#This Row],[stock_level]]/WarehouseData[[#This Row],[daily_demand]]</f>
        <v>63.698630136986303</v>
      </c>
      <c r="AB1161">
        <f>WarehouseData[[#This Row],[stock_level]]*WarehouseData[[#This Row],[unit_price]]</f>
        <v>37944</v>
      </c>
      <c r="AC1161">
        <f>WarehouseData[[#This Row],[stock_level]]*WarehouseData[[#This Row],[holding_cost_per_unit_day]]*30</f>
        <v>10044</v>
      </c>
      <c r="AD1161" t="str">
        <f>IF(WarehouseData[[#This Row],[order_fulfillment_rate]]&gt;=0.9,"Strong",IF(WarehouseData[[#This Row],[order_fulfillment_rate]]&gt;=0.8,"Moderate","Needs Attention"))</f>
        <v>Needs Attention</v>
      </c>
      <c r="AE1161" t="str">
        <f>IF(WarehouseData[[#This Row],[picking_time_seconds]]&gt;120,"Slow",IF(WarehouseData[[#This Row],[picking_time_seconds]]&gt;=60,"Average","Fast"))</f>
        <v>Fast</v>
      </c>
    </row>
    <row r="1162" spans="1:31" x14ac:dyDescent="0.25">
      <c r="A1162" t="s">
        <v>1300</v>
      </c>
      <c r="B1162" t="s">
        <v>73</v>
      </c>
      <c r="C1162">
        <v>201</v>
      </c>
      <c r="D1162">
        <v>21</v>
      </c>
      <c r="E1162">
        <v>3</v>
      </c>
      <c r="F1162">
        <v>9</v>
      </c>
      <c r="G1162">
        <v>6.74</v>
      </c>
      <c r="H1162">
        <v>9.5299999999999994</v>
      </c>
      <c r="I1162">
        <v>0.89</v>
      </c>
      <c r="J1162" t="s">
        <v>33</v>
      </c>
      <c r="K1162" t="s">
        <v>46</v>
      </c>
      <c r="L1162">
        <v>84</v>
      </c>
      <c r="M1162">
        <v>1.76</v>
      </c>
      <c r="N1162">
        <v>184.79</v>
      </c>
      <c r="O1162">
        <v>0.23</v>
      </c>
      <c r="P1162">
        <v>4</v>
      </c>
      <c r="Q1162">
        <v>0.87</v>
      </c>
      <c r="R1162">
        <v>816</v>
      </c>
      <c r="S1162">
        <v>13.83</v>
      </c>
      <c r="T1162">
        <v>0.85</v>
      </c>
      <c r="U1162" s="1">
        <v>45339</v>
      </c>
      <c r="V1162">
        <v>268.08</v>
      </c>
      <c r="W1162">
        <v>0.82499999999999996</v>
      </c>
      <c r="X1162" t="str">
        <f>IF(WarehouseData[[#This Row],[stock_level]]&lt;=WarehouseData[[#This Row],[reorder_point]],"Low Stock","Sufficient Stock")</f>
        <v>Sufficient Stock</v>
      </c>
      <c r="Y1162">
        <f>WarehouseData[[#This Row],[daily_demand]]*WarehouseData[[#This Row],[lead_time_days]]</f>
        <v>60.660000000000004</v>
      </c>
      <c r="Z1162" t="str">
        <f>IF(WarehouseData[[#This Row],[stock_level]]&lt;=WarehouseData[[#This Row],[Demand During Lead Time]],"At Risk","Safe")</f>
        <v>Safe</v>
      </c>
      <c r="AA1162">
        <f>WarehouseData[[#This Row],[stock_level]]/WarehouseData[[#This Row],[daily_demand]]</f>
        <v>29.821958456973292</v>
      </c>
      <c r="AB1162">
        <f>WarehouseData[[#This Row],[stock_level]]*WarehouseData[[#This Row],[unit_price]]</f>
        <v>37142.79</v>
      </c>
      <c r="AC1162">
        <f>WarehouseData[[#This Row],[stock_level]]*WarehouseData[[#This Row],[holding_cost_per_unit_day]]*30</f>
        <v>1386.9</v>
      </c>
      <c r="AD1162" t="str">
        <f>IF(WarehouseData[[#This Row],[order_fulfillment_rate]]&gt;=0.9,"Strong",IF(WarehouseData[[#This Row],[order_fulfillment_rate]]&gt;=0.8,"Moderate","Needs Attention"))</f>
        <v>Moderate</v>
      </c>
      <c r="AE1162" t="str">
        <f>IF(WarehouseData[[#This Row],[picking_time_seconds]]&gt;120,"Slow",IF(WarehouseData[[#This Row],[picking_time_seconds]]&gt;=60,"Average","Fast"))</f>
        <v>Average</v>
      </c>
    </row>
    <row r="1163" spans="1:31" x14ac:dyDescent="0.25">
      <c r="A1163" t="s">
        <v>1301</v>
      </c>
      <c r="B1163" t="s">
        <v>73</v>
      </c>
      <c r="C1163">
        <v>56</v>
      </c>
      <c r="D1163">
        <v>82</v>
      </c>
      <c r="E1163">
        <v>14</v>
      </c>
      <c r="F1163">
        <v>7</v>
      </c>
      <c r="G1163">
        <v>15.67</v>
      </c>
      <c r="H1163">
        <v>7.31</v>
      </c>
      <c r="I1163">
        <v>0.67</v>
      </c>
      <c r="J1163" t="s">
        <v>332</v>
      </c>
      <c r="K1163" t="s">
        <v>34</v>
      </c>
      <c r="L1163">
        <v>160</v>
      </c>
      <c r="M1163">
        <v>4.29</v>
      </c>
      <c r="N1163">
        <v>105.03</v>
      </c>
      <c r="O1163">
        <v>1.77</v>
      </c>
      <c r="P1163">
        <v>8</v>
      </c>
      <c r="Q1163">
        <v>0.99</v>
      </c>
      <c r="R1163">
        <v>881</v>
      </c>
      <c r="S1163">
        <v>1</v>
      </c>
      <c r="T1163">
        <v>0.87</v>
      </c>
      <c r="U1163" s="1">
        <v>45461</v>
      </c>
      <c r="V1163">
        <v>48.85</v>
      </c>
      <c r="W1163">
        <v>0.44800000000000001</v>
      </c>
      <c r="X1163" t="str">
        <f>IF(WarehouseData[[#This Row],[stock_level]]&lt;=WarehouseData[[#This Row],[reorder_point]],"Low Stock","Sufficient Stock")</f>
        <v>Low Stock</v>
      </c>
      <c r="Y1163">
        <f>WarehouseData[[#This Row],[daily_demand]]*WarehouseData[[#This Row],[lead_time_days]]</f>
        <v>109.69</v>
      </c>
      <c r="Z1163" t="str">
        <f>IF(WarehouseData[[#This Row],[stock_level]]&lt;=WarehouseData[[#This Row],[Demand During Lead Time]],"At Risk","Safe")</f>
        <v>At Risk</v>
      </c>
      <c r="AA1163">
        <f>WarehouseData[[#This Row],[stock_level]]/WarehouseData[[#This Row],[daily_demand]]</f>
        <v>3.5737077217613273</v>
      </c>
      <c r="AB1163">
        <f>WarehouseData[[#This Row],[stock_level]]*WarehouseData[[#This Row],[unit_price]]</f>
        <v>5881.68</v>
      </c>
      <c r="AC1163">
        <f>WarehouseData[[#This Row],[stock_level]]*WarehouseData[[#This Row],[holding_cost_per_unit_day]]*30</f>
        <v>2973.6000000000004</v>
      </c>
      <c r="AD1163" t="str">
        <f>IF(WarehouseData[[#This Row],[order_fulfillment_rate]]&gt;=0.9,"Strong",IF(WarehouseData[[#This Row],[order_fulfillment_rate]]&gt;=0.8,"Moderate","Needs Attention"))</f>
        <v>Strong</v>
      </c>
      <c r="AE1163" t="str">
        <f>IF(WarehouseData[[#This Row],[picking_time_seconds]]&gt;120,"Slow",IF(WarehouseData[[#This Row],[picking_time_seconds]]&gt;=60,"Average","Fast"))</f>
        <v>Slow</v>
      </c>
    </row>
    <row r="1164" spans="1:31" x14ac:dyDescent="0.25">
      <c r="A1164" t="s">
        <v>1302</v>
      </c>
      <c r="B1164" t="s">
        <v>40</v>
      </c>
      <c r="C1164">
        <v>156</v>
      </c>
      <c r="D1164">
        <v>11</v>
      </c>
      <c r="E1164">
        <v>6</v>
      </c>
      <c r="F1164">
        <v>5</v>
      </c>
      <c r="G1164">
        <v>48.03</v>
      </c>
      <c r="H1164">
        <v>5.18</v>
      </c>
      <c r="I1164">
        <v>0.3</v>
      </c>
      <c r="J1164" t="s">
        <v>64</v>
      </c>
      <c r="K1164" t="s">
        <v>46</v>
      </c>
      <c r="L1164">
        <v>178</v>
      </c>
      <c r="M1164">
        <v>1.4</v>
      </c>
      <c r="N1164">
        <v>167.89</v>
      </c>
      <c r="O1164">
        <v>1.19</v>
      </c>
      <c r="P1164">
        <v>1</v>
      </c>
      <c r="Q1164">
        <v>0.7</v>
      </c>
      <c r="R1164">
        <v>359</v>
      </c>
      <c r="S1164">
        <v>10.79</v>
      </c>
      <c r="T1164">
        <v>0.91</v>
      </c>
      <c r="U1164" s="1">
        <v>45354</v>
      </c>
      <c r="V1164">
        <v>126.94</v>
      </c>
      <c r="W1164">
        <v>0.72699999999999998</v>
      </c>
      <c r="X1164" t="str">
        <f>IF(WarehouseData[[#This Row],[stock_level]]&lt;=WarehouseData[[#This Row],[reorder_point]],"Low Stock","Sufficient Stock")</f>
        <v>Sufficient Stock</v>
      </c>
      <c r="Y1164">
        <f>WarehouseData[[#This Row],[daily_demand]]*WarehouseData[[#This Row],[lead_time_days]]</f>
        <v>240.15</v>
      </c>
      <c r="Z1164" t="str">
        <f>IF(WarehouseData[[#This Row],[stock_level]]&lt;=WarehouseData[[#This Row],[Demand During Lead Time]],"At Risk","Safe")</f>
        <v>At Risk</v>
      </c>
      <c r="AA1164">
        <f>WarehouseData[[#This Row],[stock_level]]/WarehouseData[[#This Row],[daily_demand]]</f>
        <v>3.2479700187382883</v>
      </c>
      <c r="AB1164">
        <f>WarehouseData[[#This Row],[stock_level]]*WarehouseData[[#This Row],[unit_price]]</f>
        <v>26190.839999999997</v>
      </c>
      <c r="AC1164">
        <f>WarehouseData[[#This Row],[stock_level]]*WarehouseData[[#This Row],[holding_cost_per_unit_day]]*30</f>
        <v>5569.2</v>
      </c>
      <c r="AD1164" t="str">
        <f>IF(WarehouseData[[#This Row],[order_fulfillment_rate]]&gt;=0.9,"Strong",IF(WarehouseData[[#This Row],[order_fulfillment_rate]]&gt;=0.8,"Moderate","Needs Attention"))</f>
        <v>Needs Attention</v>
      </c>
      <c r="AE1164" t="str">
        <f>IF(WarehouseData[[#This Row],[picking_time_seconds]]&gt;120,"Slow",IF(WarehouseData[[#This Row],[picking_time_seconds]]&gt;=60,"Average","Fast"))</f>
        <v>Slow</v>
      </c>
    </row>
    <row r="1165" spans="1:31" x14ac:dyDescent="0.25">
      <c r="A1165" t="s">
        <v>1303</v>
      </c>
      <c r="B1165" t="s">
        <v>32</v>
      </c>
      <c r="C1165">
        <v>357</v>
      </c>
      <c r="D1165">
        <v>17</v>
      </c>
      <c r="E1165">
        <v>3</v>
      </c>
      <c r="F1165">
        <v>8</v>
      </c>
      <c r="G1165">
        <v>32.020000000000003</v>
      </c>
      <c r="H1165">
        <v>6.59</v>
      </c>
      <c r="I1165">
        <v>0.52</v>
      </c>
      <c r="J1165" t="s">
        <v>357</v>
      </c>
      <c r="K1165" t="s">
        <v>34</v>
      </c>
      <c r="L1165">
        <v>112</v>
      </c>
      <c r="M1165">
        <v>3.75</v>
      </c>
      <c r="N1165">
        <v>70.3</v>
      </c>
      <c r="O1165">
        <v>1.33</v>
      </c>
      <c r="P1165">
        <v>3</v>
      </c>
      <c r="Q1165">
        <v>0.77</v>
      </c>
      <c r="R1165">
        <v>162</v>
      </c>
      <c r="S1165">
        <v>9.8000000000000007</v>
      </c>
      <c r="T1165">
        <v>0.62</v>
      </c>
      <c r="U1165" s="1">
        <v>45313</v>
      </c>
      <c r="V1165">
        <v>116.13</v>
      </c>
      <c r="W1165">
        <v>0.61599999999999999</v>
      </c>
      <c r="X1165" t="str">
        <f>IF(WarehouseData[[#This Row],[stock_level]]&lt;=WarehouseData[[#This Row],[reorder_point]],"Low Stock","Sufficient Stock")</f>
        <v>Sufficient Stock</v>
      </c>
      <c r="Y1165">
        <f>WarehouseData[[#This Row],[daily_demand]]*WarehouseData[[#This Row],[lead_time_days]]</f>
        <v>256.16000000000003</v>
      </c>
      <c r="Z1165" t="str">
        <f>IF(WarehouseData[[#This Row],[stock_level]]&lt;=WarehouseData[[#This Row],[Demand During Lead Time]],"At Risk","Safe")</f>
        <v>Safe</v>
      </c>
      <c r="AA1165">
        <f>WarehouseData[[#This Row],[stock_level]]/WarehouseData[[#This Row],[daily_demand]]</f>
        <v>11.149281698938163</v>
      </c>
      <c r="AB1165">
        <f>WarehouseData[[#This Row],[stock_level]]*WarehouseData[[#This Row],[unit_price]]</f>
        <v>25097.1</v>
      </c>
      <c r="AC1165">
        <f>WarehouseData[[#This Row],[stock_level]]*WarehouseData[[#This Row],[holding_cost_per_unit_day]]*30</f>
        <v>14244.3</v>
      </c>
      <c r="AD1165" t="str">
        <f>IF(WarehouseData[[#This Row],[order_fulfillment_rate]]&gt;=0.9,"Strong",IF(WarehouseData[[#This Row],[order_fulfillment_rate]]&gt;=0.8,"Moderate","Needs Attention"))</f>
        <v>Needs Attention</v>
      </c>
      <c r="AE1165" t="str">
        <f>IF(WarehouseData[[#This Row],[picking_time_seconds]]&gt;120,"Slow",IF(WarehouseData[[#This Row],[picking_time_seconds]]&gt;=60,"Average","Fast"))</f>
        <v>Average</v>
      </c>
    </row>
    <row r="1166" spans="1:31" x14ac:dyDescent="0.25">
      <c r="A1166" t="s">
        <v>1304</v>
      </c>
      <c r="B1166" t="s">
        <v>48</v>
      </c>
      <c r="C1166">
        <v>75</v>
      </c>
      <c r="D1166">
        <v>20</v>
      </c>
      <c r="E1166">
        <v>3</v>
      </c>
      <c r="F1166">
        <v>6</v>
      </c>
      <c r="G1166">
        <v>28.16</v>
      </c>
      <c r="H1166">
        <v>4.43</v>
      </c>
      <c r="I1166">
        <v>0.83</v>
      </c>
      <c r="J1166" t="s">
        <v>126</v>
      </c>
      <c r="K1166" t="s">
        <v>38</v>
      </c>
      <c r="L1166">
        <v>95</v>
      </c>
      <c r="M1166">
        <v>2.5099999999999998</v>
      </c>
      <c r="N1166">
        <v>194.57</v>
      </c>
      <c r="O1166">
        <v>0.65</v>
      </c>
      <c r="P1166">
        <v>2</v>
      </c>
      <c r="Q1166">
        <v>0.79</v>
      </c>
      <c r="R1166">
        <v>319</v>
      </c>
      <c r="S1166">
        <v>8.02</v>
      </c>
      <c r="T1166">
        <v>0.52</v>
      </c>
      <c r="U1166" s="1">
        <v>45528</v>
      </c>
      <c r="V1166">
        <v>57.64</v>
      </c>
      <c r="W1166">
        <v>0.66400000000000003</v>
      </c>
      <c r="X1166" t="str">
        <f>IF(WarehouseData[[#This Row],[stock_level]]&lt;=WarehouseData[[#This Row],[reorder_point]],"Low Stock","Sufficient Stock")</f>
        <v>Sufficient Stock</v>
      </c>
      <c r="Y1166">
        <f>WarehouseData[[#This Row],[daily_demand]]*WarehouseData[[#This Row],[lead_time_days]]</f>
        <v>168.96</v>
      </c>
      <c r="Z1166" t="str">
        <f>IF(WarehouseData[[#This Row],[stock_level]]&lt;=WarehouseData[[#This Row],[Demand During Lead Time]],"At Risk","Safe")</f>
        <v>At Risk</v>
      </c>
      <c r="AA1166">
        <f>WarehouseData[[#This Row],[stock_level]]/WarehouseData[[#This Row],[daily_demand]]</f>
        <v>2.6633522727272729</v>
      </c>
      <c r="AB1166">
        <f>WarehouseData[[#This Row],[stock_level]]*WarehouseData[[#This Row],[unit_price]]</f>
        <v>14592.75</v>
      </c>
      <c r="AC1166">
        <f>WarehouseData[[#This Row],[stock_level]]*WarehouseData[[#This Row],[holding_cost_per_unit_day]]*30</f>
        <v>1462.5</v>
      </c>
      <c r="AD1166" t="str">
        <f>IF(WarehouseData[[#This Row],[order_fulfillment_rate]]&gt;=0.9,"Strong",IF(WarehouseData[[#This Row],[order_fulfillment_rate]]&gt;=0.8,"Moderate","Needs Attention"))</f>
        <v>Needs Attention</v>
      </c>
      <c r="AE1166" t="str">
        <f>IF(WarehouseData[[#This Row],[picking_time_seconds]]&gt;120,"Slow",IF(WarehouseData[[#This Row],[picking_time_seconds]]&gt;=60,"Average","Fast"))</f>
        <v>Average</v>
      </c>
    </row>
    <row r="1167" spans="1:31" x14ac:dyDescent="0.25">
      <c r="A1167" t="s">
        <v>1305</v>
      </c>
      <c r="B1167" t="s">
        <v>48</v>
      </c>
      <c r="C1167">
        <v>206</v>
      </c>
      <c r="D1167">
        <v>62</v>
      </c>
      <c r="E1167">
        <v>14</v>
      </c>
      <c r="F1167">
        <v>8</v>
      </c>
      <c r="G1167">
        <v>35.56</v>
      </c>
      <c r="H1167">
        <v>3.34</v>
      </c>
      <c r="I1167">
        <v>0.93</v>
      </c>
      <c r="J1167" t="s">
        <v>418</v>
      </c>
      <c r="K1167" t="s">
        <v>34</v>
      </c>
      <c r="L1167">
        <v>170</v>
      </c>
      <c r="M1167">
        <v>4.99</v>
      </c>
      <c r="N1167">
        <v>27.76</v>
      </c>
      <c r="O1167">
        <v>0.53</v>
      </c>
      <c r="P1167">
        <v>6</v>
      </c>
      <c r="Q1167">
        <v>0.93</v>
      </c>
      <c r="R1167">
        <v>369</v>
      </c>
      <c r="S1167">
        <v>14.65</v>
      </c>
      <c r="T1167">
        <v>0.26</v>
      </c>
      <c r="U1167" s="1">
        <v>45317</v>
      </c>
      <c r="V1167">
        <v>183.66</v>
      </c>
      <c r="W1167">
        <v>0.66</v>
      </c>
      <c r="X1167" t="str">
        <f>IF(WarehouseData[[#This Row],[stock_level]]&lt;=WarehouseData[[#This Row],[reorder_point]],"Low Stock","Sufficient Stock")</f>
        <v>Sufficient Stock</v>
      </c>
      <c r="Y1167">
        <f>WarehouseData[[#This Row],[daily_demand]]*WarehouseData[[#This Row],[lead_time_days]]</f>
        <v>284.48</v>
      </c>
      <c r="Z1167" t="str">
        <f>IF(WarehouseData[[#This Row],[stock_level]]&lt;=WarehouseData[[#This Row],[Demand During Lead Time]],"At Risk","Safe")</f>
        <v>At Risk</v>
      </c>
      <c r="AA1167">
        <f>WarehouseData[[#This Row],[stock_level]]/WarehouseData[[#This Row],[daily_demand]]</f>
        <v>5.7930258717660292</v>
      </c>
      <c r="AB1167">
        <f>WarehouseData[[#This Row],[stock_level]]*WarehouseData[[#This Row],[unit_price]]</f>
        <v>5718.56</v>
      </c>
      <c r="AC1167">
        <f>WarehouseData[[#This Row],[stock_level]]*WarehouseData[[#This Row],[holding_cost_per_unit_day]]*30</f>
        <v>3275.4</v>
      </c>
      <c r="AD1167" t="str">
        <f>IF(WarehouseData[[#This Row],[order_fulfillment_rate]]&gt;=0.9,"Strong",IF(WarehouseData[[#This Row],[order_fulfillment_rate]]&gt;=0.8,"Moderate","Needs Attention"))</f>
        <v>Strong</v>
      </c>
      <c r="AE1167" t="str">
        <f>IF(WarehouseData[[#This Row],[picking_time_seconds]]&gt;120,"Slow",IF(WarehouseData[[#This Row],[picking_time_seconds]]&gt;=60,"Average","Fast"))</f>
        <v>Slow</v>
      </c>
    </row>
    <row r="1168" spans="1:31" x14ac:dyDescent="0.25">
      <c r="A1168" t="s">
        <v>1306</v>
      </c>
      <c r="B1168" t="s">
        <v>36</v>
      </c>
      <c r="C1168">
        <v>360</v>
      </c>
      <c r="D1168">
        <v>19</v>
      </c>
      <c r="E1168">
        <v>14</v>
      </c>
      <c r="F1168">
        <v>4</v>
      </c>
      <c r="G1168">
        <v>21.46</v>
      </c>
      <c r="H1168">
        <v>9.5299999999999994</v>
      </c>
      <c r="I1168">
        <v>0.31</v>
      </c>
      <c r="J1168" t="s">
        <v>401</v>
      </c>
      <c r="K1168" t="s">
        <v>38</v>
      </c>
      <c r="L1168">
        <v>114</v>
      </c>
      <c r="M1168">
        <v>3.25</v>
      </c>
      <c r="N1168">
        <v>121.26</v>
      </c>
      <c r="O1168">
        <v>1.45</v>
      </c>
      <c r="P1168">
        <v>1</v>
      </c>
      <c r="Q1168">
        <v>0.8</v>
      </c>
      <c r="R1168">
        <v>995</v>
      </c>
      <c r="S1168">
        <v>3.77</v>
      </c>
      <c r="T1168">
        <v>0.36</v>
      </c>
      <c r="U1168" s="1">
        <v>45378</v>
      </c>
      <c r="V1168">
        <v>276.38</v>
      </c>
      <c r="W1168">
        <v>0.51700000000000002</v>
      </c>
      <c r="X1168" t="str">
        <f>IF(WarehouseData[[#This Row],[stock_level]]&lt;=WarehouseData[[#This Row],[reorder_point]],"Low Stock","Sufficient Stock")</f>
        <v>Sufficient Stock</v>
      </c>
      <c r="Y1168">
        <f>WarehouseData[[#This Row],[daily_demand]]*WarehouseData[[#This Row],[lead_time_days]]</f>
        <v>85.84</v>
      </c>
      <c r="Z1168" t="str">
        <f>IF(WarehouseData[[#This Row],[stock_level]]&lt;=WarehouseData[[#This Row],[Demand During Lead Time]],"At Risk","Safe")</f>
        <v>Safe</v>
      </c>
      <c r="AA1168">
        <f>WarehouseData[[#This Row],[stock_level]]/WarehouseData[[#This Row],[daily_demand]]</f>
        <v>16.775396085740912</v>
      </c>
      <c r="AB1168">
        <f>WarehouseData[[#This Row],[stock_level]]*WarehouseData[[#This Row],[unit_price]]</f>
        <v>43653.599999999999</v>
      </c>
      <c r="AC1168">
        <f>WarehouseData[[#This Row],[stock_level]]*WarehouseData[[#This Row],[holding_cost_per_unit_day]]*30</f>
        <v>15660</v>
      </c>
      <c r="AD1168" t="str">
        <f>IF(WarehouseData[[#This Row],[order_fulfillment_rate]]&gt;=0.9,"Strong",IF(WarehouseData[[#This Row],[order_fulfillment_rate]]&gt;=0.8,"Moderate","Needs Attention"))</f>
        <v>Moderate</v>
      </c>
      <c r="AE1168" t="str">
        <f>IF(WarehouseData[[#This Row],[picking_time_seconds]]&gt;120,"Slow",IF(WarehouseData[[#This Row],[picking_time_seconds]]&gt;=60,"Average","Fast"))</f>
        <v>Average</v>
      </c>
    </row>
    <row r="1169" spans="1:31" x14ac:dyDescent="0.25">
      <c r="A1169" t="s">
        <v>1307</v>
      </c>
      <c r="B1169" t="s">
        <v>36</v>
      </c>
      <c r="C1169">
        <v>277</v>
      </c>
      <c r="D1169">
        <v>94</v>
      </c>
      <c r="E1169">
        <v>6</v>
      </c>
      <c r="F1169">
        <v>4</v>
      </c>
      <c r="G1169">
        <v>38.15</v>
      </c>
      <c r="H1169">
        <v>1.6</v>
      </c>
      <c r="I1169">
        <v>0.59</v>
      </c>
      <c r="J1169" t="s">
        <v>212</v>
      </c>
      <c r="K1169" t="s">
        <v>46</v>
      </c>
      <c r="L1169">
        <v>51</v>
      </c>
      <c r="M1169">
        <v>0.97</v>
      </c>
      <c r="N1169">
        <v>160.08000000000001</v>
      </c>
      <c r="O1169">
        <v>1.38</v>
      </c>
      <c r="P1169">
        <v>2</v>
      </c>
      <c r="Q1169">
        <v>0.77</v>
      </c>
      <c r="R1169">
        <v>224</v>
      </c>
      <c r="S1169">
        <v>11.99</v>
      </c>
      <c r="T1169">
        <v>0.38</v>
      </c>
      <c r="U1169" s="1">
        <v>45585</v>
      </c>
      <c r="V1169">
        <v>158.97999999999999</v>
      </c>
      <c r="W1169">
        <v>0.61199999999999999</v>
      </c>
      <c r="X1169" t="str">
        <f>IF(WarehouseData[[#This Row],[stock_level]]&lt;=WarehouseData[[#This Row],[reorder_point]],"Low Stock","Sufficient Stock")</f>
        <v>Sufficient Stock</v>
      </c>
      <c r="Y1169">
        <f>WarehouseData[[#This Row],[daily_demand]]*WarehouseData[[#This Row],[lead_time_days]]</f>
        <v>152.6</v>
      </c>
      <c r="Z1169" t="str">
        <f>IF(WarehouseData[[#This Row],[stock_level]]&lt;=WarehouseData[[#This Row],[Demand During Lead Time]],"At Risk","Safe")</f>
        <v>Safe</v>
      </c>
      <c r="AA1169">
        <f>WarehouseData[[#This Row],[stock_level]]/WarehouseData[[#This Row],[daily_demand]]</f>
        <v>7.2608125819134992</v>
      </c>
      <c r="AB1169">
        <f>WarehouseData[[#This Row],[stock_level]]*WarehouseData[[#This Row],[unit_price]]</f>
        <v>44342.16</v>
      </c>
      <c r="AC1169">
        <f>WarehouseData[[#This Row],[stock_level]]*WarehouseData[[#This Row],[holding_cost_per_unit_day]]*30</f>
        <v>11467.8</v>
      </c>
      <c r="AD1169" t="str">
        <f>IF(WarehouseData[[#This Row],[order_fulfillment_rate]]&gt;=0.9,"Strong",IF(WarehouseData[[#This Row],[order_fulfillment_rate]]&gt;=0.8,"Moderate","Needs Attention"))</f>
        <v>Needs Attention</v>
      </c>
      <c r="AE1169" t="str">
        <f>IF(WarehouseData[[#This Row],[picking_time_seconds]]&gt;120,"Slow",IF(WarehouseData[[#This Row],[picking_time_seconds]]&gt;=60,"Average","Fast"))</f>
        <v>Fast</v>
      </c>
    </row>
    <row r="1170" spans="1:31" x14ac:dyDescent="0.25">
      <c r="A1170" t="s">
        <v>1308</v>
      </c>
      <c r="B1170" t="s">
        <v>48</v>
      </c>
      <c r="C1170">
        <v>464</v>
      </c>
      <c r="D1170">
        <v>93</v>
      </c>
      <c r="E1170">
        <v>4</v>
      </c>
      <c r="F1170">
        <v>3</v>
      </c>
      <c r="G1170">
        <v>20.27</v>
      </c>
      <c r="H1170">
        <v>3.79</v>
      </c>
      <c r="I1170">
        <v>0.24</v>
      </c>
      <c r="J1170" t="s">
        <v>183</v>
      </c>
      <c r="K1170" t="s">
        <v>52</v>
      </c>
      <c r="L1170">
        <v>27</v>
      </c>
      <c r="M1170">
        <v>2.39</v>
      </c>
      <c r="N1170">
        <v>164.67</v>
      </c>
      <c r="O1170">
        <v>0.33</v>
      </c>
      <c r="P1170">
        <v>8</v>
      </c>
      <c r="Q1170">
        <v>0.89</v>
      </c>
      <c r="R1170">
        <v>871</v>
      </c>
      <c r="S1170">
        <v>10.45</v>
      </c>
      <c r="T1170">
        <v>0.25</v>
      </c>
      <c r="U1170" s="1">
        <v>45513</v>
      </c>
      <c r="V1170">
        <v>292.14</v>
      </c>
      <c r="W1170">
        <v>0.57399999999999995</v>
      </c>
      <c r="X1170" t="str">
        <f>IF(WarehouseData[[#This Row],[stock_level]]&lt;=WarehouseData[[#This Row],[reorder_point]],"Low Stock","Sufficient Stock")</f>
        <v>Sufficient Stock</v>
      </c>
      <c r="Y1170">
        <f>WarehouseData[[#This Row],[daily_demand]]*WarehouseData[[#This Row],[lead_time_days]]</f>
        <v>60.81</v>
      </c>
      <c r="Z1170" t="str">
        <f>IF(WarehouseData[[#This Row],[stock_level]]&lt;=WarehouseData[[#This Row],[Demand During Lead Time]],"At Risk","Safe")</f>
        <v>Safe</v>
      </c>
      <c r="AA1170">
        <f>WarehouseData[[#This Row],[stock_level]]/WarehouseData[[#This Row],[daily_demand]]</f>
        <v>22.890971879625063</v>
      </c>
      <c r="AB1170">
        <f>WarehouseData[[#This Row],[stock_level]]*WarehouseData[[#This Row],[unit_price]]</f>
        <v>76406.87999999999</v>
      </c>
      <c r="AC1170">
        <f>WarehouseData[[#This Row],[stock_level]]*WarehouseData[[#This Row],[holding_cost_per_unit_day]]*30</f>
        <v>4593.6000000000004</v>
      </c>
      <c r="AD1170" t="str">
        <f>IF(WarehouseData[[#This Row],[order_fulfillment_rate]]&gt;=0.9,"Strong",IF(WarehouseData[[#This Row],[order_fulfillment_rate]]&gt;=0.8,"Moderate","Needs Attention"))</f>
        <v>Moderate</v>
      </c>
      <c r="AE1170" t="str">
        <f>IF(WarehouseData[[#This Row],[picking_time_seconds]]&gt;120,"Slow",IF(WarehouseData[[#This Row],[picking_time_seconds]]&gt;=60,"Average","Fast"))</f>
        <v>Fast</v>
      </c>
    </row>
    <row r="1171" spans="1:31" x14ac:dyDescent="0.25">
      <c r="A1171" t="s">
        <v>1309</v>
      </c>
      <c r="B1171" t="s">
        <v>36</v>
      </c>
      <c r="C1171">
        <v>77</v>
      </c>
      <c r="D1171">
        <v>17</v>
      </c>
      <c r="E1171">
        <v>5</v>
      </c>
      <c r="F1171">
        <v>8</v>
      </c>
      <c r="G1171">
        <v>41.49</v>
      </c>
      <c r="H1171">
        <v>9.0399999999999991</v>
      </c>
      <c r="I1171">
        <v>0.55000000000000004</v>
      </c>
      <c r="J1171" t="s">
        <v>57</v>
      </c>
      <c r="K1171" t="s">
        <v>52</v>
      </c>
      <c r="L1171">
        <v>87</v>
      </c>
      <c r="M1171">
        <v>0.8</v>
      </c>
      <c r="N1171">
        <v>47.67</v>
      </c>
      <c r="O1171">
        <v>0.55000000000000004</v>
      </c>
      <c r="P1171">
        <v>7</v>
      </c>
      <c r="Q1171">
        <v>0.71</v>
      </c>
      <c r="R1171">
        <v>68</v>
      </c>
      <c r="S1171">
        <v>14.64</v>
      </c>
      <c r="T1171">
        <v>0.32</v>
      </c>
      <c r="U1171" s="1">
        <v>45494</v>
      </c>
      <c r="V1171">
        <v>65.319999999999993</v>
      </c>
      <c r="W1171">
        <v>0.60599999999999998</v>
      </c>
      <c r="X1171" t="str">
        <f>IF(WarehouseData[[#This Row],[stock_level]]&lt;=WarehouseData[[#This Row],[reorder_point]],"Low Stock","Sufficient Stock")</f>
        <v>Sufficient Stock</v>
      </c>
      <c r="Y1171">
        <f>WarehouseData[[#This Row],[daily_demand]]*WarehouseData[[#This Row],[lead_time_days]]</f>
        <v>331.92</v>
      </c>
      <c r="Z1171" t="str">
        <f>IF(WarehouseData[[#This Row],[stock_level]]&lt;=WarehouseData[[#This Row],[Demand During Lead Time]],"At Risk","Safe")</f>
        <v>At Risk</v>
      </c>
      <c r="AA1171">
        <f>WarehouseData[[#This Row],[stock_level]]/WarehouseData[[#This Row],[daily_demand]]</f>
        <v>1.8558688840684501</v>
      </c>
      <c r="AB1171">
        <f>WarehouseData[[#This Row],[stock_level]]*WarehouseData[[#This Row],[unit_price]]</f>
        <v>3670.59</v>
      </c>
      <c r="AC1171">
        <f>WarehouseData[[#This Row],[stock_level]]*WarehouseData[[#This Row],[holding_cost_per_unit_day]]*30</f>
        <v>1270.5</v>
      </c>
      <c r="AD1171" t="str">
        <f>IF(WarehouseData[[#This Row],[order_fulfillment_rate]]&gt;=0.9,"Strong",IF(WarehouseData[[#This Row],[order_fulfillment_rate]]&gt;=0.8,"Moderate","Needs Attention"))</f>
        <v>Needs Attention</v>
      </c>
      <c r="AE1171" t="str">
        <f>IF(WarehouseData[[#This Row],[picking_time_seconds]]&gt;120,"Slow",IF(WarehouseData[[#This Row],[picking_time_seconds]]&gt;=60,"Average","Fast"))</f>
        <v>Average</v>
      </c>
    </row>
    <row r="1172" spans="1:31" x14ac:dyDescent="0.25">
      <c r="A1172" t="s">
        <v>1310</v>
      </c>
      <c r="B1172" t="s">
        <v>40</v>
      </c>
      <c r="C1172">
        <v>382</v>
      </c>
      <c r="D1172">
        <v>45</v>
      </c>
      <c r="E1172">
        <v>13</v>
      </c>
      <c r="F1172">
        <v>9</v>
      </c>
      <c r="G1172">
        <v>14.1</v>
      </c>
      <c r="H1172">
        <v>7.37</v>
      </c>
      <c r="I1172">
        <v>0.18</v>
      </c>
      <c r="J1172" t="s">
        <v>106</v>
      </c>
      <c r="K1172" t="s">
        <v>52</v>
      </c>
      <c r="L1172">
        <v>101</v>
      </c>
      <c r="M1172">
        <v>1.79</v>
      </c>
      <c r="N1172">
        <v>86.31</v>
      </c>
      <c r="O1172">
        <v>1.9</v>
      </c>
      <c r="P1172">
        <v>1</v>
      </c>
      <c r="Q1172">
        <v>0.75</v>
      </c>
      <c r="R1172">
        <v>252</v>
      </c>
      <c r="S1172">
        <v>14.08</v>
      </c>
      <c r="T1172">
        <v>0.91</v>
      </c>
      <c r="U1172" s="1">
        <v>45546</v>
      </c>
      <c r="V1172">
        <v>256.07</v>
      </c>
      <c r="W1172">
        <v>0.71</v>
      </c>
      <c r="X1172" t="str">
        <f>IF(WarehouseData[[#This Row],[stock_level]]&lt;=WarehouseData[[#This Row],[reorder_point]],"Low Stock","Sufficient Stock")</f>
        <v>Sufficient Stock</v>
      </c>
      <c r="Y1172">
        <f>WarehouseData[[#This Row],[daily_demand]]*WarehouseData[[#This Row],[lead_time_days]]</f>
        <v>126.89999999999999</v>
      </c>
      <c r="Z1172" t="str">
        <f>IF(WarehouseData[[#This Row],[stock_level]]&lt;=WarehouseData[[#This Row],[Demand During Lead Time]],"At Risk","Safe")</f>
        <v>Safe</v>
      </c>
      <c r="AA1172">
        <f>WarehouseData[[#This Row],[stock_level]]/WarehouseData[[#This Row],[daily_demand]]</f>
        <v>27.092198581560286</v>
      </c>
      <c r="AB1172">
        <f>WarehouseData[[#This Row],[stock_level]]*WarehouseData[[#This Row],[unit_price]]</f>
        <v>32970.42</v>
      </c>
      <c r="AC1172">
        <f>WarehouseData[[#This Row],[stock_level]]*WarehouseData[[#This Row],[holding_cost_per_unit_day]]*30</f>
        <v>21774</v>
      </c>
      <c r="AD1172" t="str">
        <f>IF(WarehouseData[[#This Row],[order_fulfillment_rate]]&gt;=0.9,"Strong",IF(WarehouseData[[#This Row],[order_fulfillment_rate]]&gt;=0.8,"Moderate","Needs Attention"))</f>
        <v>Needs Attention</v>
      </c>
      <c r="AE1172" t="str">
        <f>IF(WarehouseData[[#This Row],[picking_time_seconds]]&gt;120,"Slow",IF(WarehouseData[[#This Row],[picking_time_seconds]]&gt;=60,"Average","Fast"))</f>
        <v>Average</v>
      </c>
    </row>
    <row r="1173" spans="1:31" x14ac:dyDescent="0.25">
      <c r="A1173" t="s">
        <v>1311</v>
      </c>
      <c r="B1173" t="s">
        <v>48</v>
      </c>
      <c r="C1173">
        <v>142</v>
      </c>
      <c r="D1173">
        <v>85</v>
      </c>
      <c r="E1173">
        <v>11</v>
      </c>
      <c r="F1173">
        <v>9</v>
      </c>
      <c r="G1173">
        <v>14.6</v>
      </c>
      <c r="H1173">
        <v>0.78</v>
      </c>
      <c r="I1173">
        <v>0.95</v>
      </c>
      <c r="J1173" t="s">
        <v>401</v>
      </c>
      <c r="K1173" t="s">
        <v>34</v>
      </c>
      <c r="L1173">
        <v>20</v>
      </c>
      <c r="M1173">
        <v>2.04</v>
      </c>
      <c r="N1173">
        <v>128.6</v>
      </c>
      <c r="O1173">
        <v>0.68</v>
      </c>
      <c r="P1173">
        <v>5</v>
      </c>
      <c r="Q1173">
        <v>0.82</v>
      </c>
      <c r="R1173">
        <v>984</v>
      </c>
      <c r="S1173">
        <v>2.8</v>
      </c>
      <c r="T1173">
        <v>0.64</v>
      </c>
      <c r="U1173" s="1">
        <v>45307</v>
      </c>
      <c r="V1173">
        <v>84.5</v>
      </c>
      <c r="W1173">
        <v>0.56100000000000005</v>
      </c>
      <c r="X1173" t="str">
        <f>IF(WarehouseData[[#This Row],[stock_level]]&lt;=WarehouseData[[#This Row],[reorder_point]],"Low Stock","Sufficient Stock")</f>
        <v>Sufficient Stock</v>
      </c>
      <c r="Y1173">
        <f>WarehouseData[[#This Row],[daily_demand]]*WarehouseData[[#This Row],[lead_time_days]]</f>
        <v>131.4</v>
      </c>
      <c r="Z1173" t="str">
        <f>IF(WarehouseData[[#This Row],[stock_level]]&lt;=WarehouseData[[#This Row],[Demand During Lead Time]],"At Risk","Safe")</f>
        <v>Safe</v>
      </c>
      <c r="AA1173">
        <f>WarehouseData[[#This Row],[stock_level]]/WarehouseData[[#This Row],[daily_demand]]</f>
        <v>9.7260273972602747</v>
      </c>
      <c r="AB1173">
        <f>WarehouseData[[#This Row],[stock_level]]*WarehouseData[[#This Row],[unit_price]]</f>
        <v>18261.2</v>
      </c>
      <c r="AC1173">
        <f>WarehouseData[[#This Row],[stock_level]]*WarehouseData[[#This Row],[holding_cost_per_unit_day]]*30</f>
        <v>2896.8</v>
      </c>
      <c r="AD1173" t="str">
        <f>IF(WarehouseData[[#This Row],[order_fulfillment_rate]]&gt;=0.9,"Strong",IF(WarehouseData[[#This Row],[order_fulfillment_rate]]&gt;=0.8,"Moderate","Needs Attention"))</f>
        <v>Moderate</v>
      </c>
      <c r="AE1173" t="str">
        <f>IF(WarehouseData[[#This Row],[picking_time_seconds]]&gt;120,"Slow",IF(WarehouseData[[#This Row],[picking_time_seconds]]&gt;=60,"Average","Fast"))</f>
        <v>Fast</v>
      </c>
    </row>
    <row r="1174" spans="1:31" x14ac:dyDescent="0.25">
      <c r="A1174" t="s">
        <v>1312</v>
      </c>
      <c r="B1174" t="s">
        <v>36</v>
      </c>
      <c r="C1174">
        <v>207</v>
      </c>
      <c r="D1174">
        <v>23</v>
      </c>
      <c r="E1174">
        <v>4</v>
      </c>
      <c r="F1174">
        <v>2</v>
      </c>
      <c r="G1174">
        <v>26.6</v>
      </c>
      <c r="H1174">
        <v>0.72</v>
      </c>
      <c r="I1174">
        <v>0.67</v>
      </c>
      <c r="J1174" t="s">
        <v>418</v>
      </c>
      <c r="K1174" t="s">
        <v>52</v>
      </c>
      <c r="L1174">
        <v>161</v>
      </c>
      <c r="M1174">
        <v>4.34</v>
      </c>
      <c r="N1174">
        <v>70.02</v>
      </c>
      <c r="O1174">
        <v>0.15</v>
      </c>
      <c r="P1174">
        <v>2</v>
      </c>
      <c r="Q1174">
        <v>0.81</v>
      </c>
      <c r="R1174">
        <v>175</v>
      </c>
      <c r="S1174">
        <v>5.31</v>
      </c>
      <c r="T1174">
        <v>0.81</v>
      </c>
      <c r="U1174" s="1">
        <v>45487</v>
      </c>
      <c r="V1174">
        <v>82.66</v>
      </c>
      <c r="W1174">
        <v>0.74</v>
      </c>
      <c r="X1174" t="str">
        <f>IF(WarehouseData[[#This Row],[stock_level]]&lt;=WarehouseData[[#This Row],[reorder_point]],"Low Stock","Sufficient Stock")</f>
        <v>Sufficient Stock</v>
      </c>
      <c r="Y1174">
        <f>WarehouseData[[#This Row],[daily_demand]]*WarehouseData[[#This Row],[lead_time_days]]</f>
        <v>53.2</v>
      </c>
      <c r="Z1174" t="str">
        <f>IF(WarehouseData[[#This Row],[stock_level]]&lt;=WarehouseData[[#This Row],[Demand During Lead Time]],"At Risk","Safe")</f>
        <v>Safe</v>
      </c>
      <c r="AA1174">
        <f>WarehouseData[[#This Row],[stock_level]]/WarehouseData[[#This Row],[daily_demand]]</f>
        <v>7.7819548872180446</v>
      </c>
      <c r="AB1174">
        <f>WarehouseData[[#This Row],[stock_level]]*WarehouseData[[#This Row],[unit_price]]</f>
        <v>14494.14</v>
      </c>
      <c r="AC1174">
        <f>WarehouseData[[#This Row],[stock_level]]*WarehouseData[[#This Row],[holding_cost_per_unit_day]]*30</f>
        <v>931.49999999999989</v>
      </c>
      <c r="AD1174" t="str">
        <f>IF(WarehouseData[[#This Row],[order_fulfillment_rate]]&gt;=0.9,"Strong",IF(WarehouseData[[#This Row],[order_fulfillment_rate]]&gt;=0.8,"Moderate","Needs Attention"))</f>
        <v>Moderate</v>
      </c>
      <c r="AE1174" t="str">
        <f>IF(WarehouseData[[#This Row],[picking_time_seconds]]&gt;120,"Slow",IF(WarehouseData[[#This Row],[picking_time_seconds]]&gt;=60,"Average","Fast"))</f>
        <v>Slow</v>
      </c>
    </row>
    <row r="1175" spans="1:31" x14ac:dyDescent="0.25">
      <c r="A1175" t="s">
        <v>1313</v>
      </c>
      <c r="B1175" t="s">
        <v>48</v>
      </c>
      <c r="C1175">
        <v>249</v>
      </c>
      <c r="D1175">
        <v>63</v>
      </c>
      <c r="E1175">
        <v>6</v>
      </c>
      <c r="F1175">
        <v>9</v>
      </c>
      <c r="G1175">
        <v>22.11</v>
      </c>
      <c r="H1175">
        <v>5.41</v>
      </c>
      <c r="I1175">
        <v>0.87</v>
      </c>
      <c r="J1175" t="s">
        <v>207</v>
      </c>
      <c r="K1175" t="s">
        <v>34</v>
      </c>
      <c r="L1175">
        <v>173</v>
      </c>
      <c r="M1175">
        <v>4.2699999999999996</v>
      </c>
      <c r="N1175">
        <v>135.08000000000001</v>
      </c>
      <c r="O1175">
        <v>0.22</v>
      </c>
      <c r="P1175">
        <v>5</v>
      </c>
      <c r="Q1175">
        <v>0.8</v>
      </c>
      <c r="R1175">
        <v>516</v>
      </c>
      <c r="S1175">
        <v>12.91</v>
      </c>
      <c r="T1175">
        <v>0.42</v>
      </c>
      <c r="U1175" s="1">
        <v>45641</v>
      </c>
      <c r="V1175">
        <v>44.13</v>
      </c>
      <c r="W1175">
        <v>0.69399999999999995</v>
      </c>
      <c r="X1175" t="str">
        <f>IF(WarehouseData[[#This Row],[stock_level]]&lt;=WarehouseData[[#This Row],[reorder_point]],"Low Stock","Sufficient Stock")</f>
        <v>Sufficient Stock</v>
      </c>
      <c r="Y1175">
        <f>WarehouseData[[#This Row],[daily_demand]]*WarehouseData[[#This Row],[lead_time_days]]</f>
        <v>198.99</v>
      </c>
      <c r="Z1175" t="str">
        <f>IF(WarehouseData[[#This Row],[stock_level]]&lt;=WarehouseData[[#This Row],[Demand During Lead Time]],"At Risk","Safe")</f>
        <v>Safe</v>
      </c>
      <c r="AA1175">
        <f>WarehouseData[[#This Row],[stock_level]]/WarehouseData[[#This Row],[daily_demand]]</f>
        <v>11.261872455902306</v>
      </c>
      <c r="AB1175">
        <f>WarehouseData[[#This Row],[stock_level]]*WarehouseData[[#This Row],[unit_price]]</f>
        <v>33634.920000000006</v>
      </c>
      <c r="AC1175">
        <f>WarehouseData[[#This Row],[stock_level]]*WarehouseData[[#This Row],[holding_cost_per_unit_day]]*30</f>
        <v>1643.4</v>
      </c>
      <c r="AD1175" t="str">
        <f>IF(WarehouseData[[#This Row],[order_fulfillment_rate]]&gt;=0.9,"Strong",IF(WarehouseData[[#This Row],[order_fulfillment_rate]]&gt;=0.8,"Moderate","Needs Attention"))</f>
        <v>Moderate</v>
      </c>
      <c r="AE1175" t="str">
        <f>IF(WarehouseData[[#This Row],[picking_time_seconds]]&gt;120,"Slow",IF(WarehouseData[[#This Row],[picking_time_seconds]]&gt;=60,"Average","Fast"))</f>
        <v>Slow</v>
      </c>
    </row>
    <row r="1176" spans="1:31" x14ac:dyDescent="0.25">
      <c r="A1176" t="s">
        <v>1314</v>
      </c>
      <c r="B1176" t="s">
        <v>32</v>
      </c>
      <c r="C1176">
        <v>187</v>
      </c>
      <c r="D1176">
        <v>94</v>
      </c>
      <c r="E1176">
        <v>3</v>
      </c>
      <c r="F1176">
        <v>4</v>
      </c>
      <c r="G1176">
        <v>32.76</v>
      </c>
      <c r="H1176">
        <v>5.0999999999999996</v>
      </c>
      <c r="I1176">
        <v>1</v>
      </c>
      <c r="J1176" t="s">
        <v>234</v>
      </c>
      <c r="K1176" t="s">
        <v>46</v>
      </c>
      <c r="L1176">
        <v>135</v>
      </c>
      <c r="M1176">
        <v>0.55000000000000004</v>
      </c>
      <c r="N1176">
        <v>81.97</v>
      </c>
      <c r="O1176">
        <v>1.57</v>
      </c>
      <c r="P1176">
        <v>4</v>
      </c>
      <c r="Q1176">
        <v>0.73</v>
      </c>
      <c r="R1176">
        <v>303</v>
      </c>
      <c r="S1176">
        <v>4.2</v>
      </c>
      <c r="T1176">
        <v>0.31</v>
      </c>
      <c r="U1176" s="1">
        <v>45510</v>
      </c>
      <c r="V1176">
        <v>260.45</v>
      </c>
      <c r="W1176">
        <v>0.42699999999999999</v>
      </c>
      <c r="X1176" t="str">
        <f>IF(WarehouseData[[#This Row],[stock_level]]&lt;=WarehouseData[[#This Row],[reorder_point]],"Low Stock","Sufficient Stock")</f>
        <v>Sufficient Stock</v>
      </c>
      <c r="Y1176">
        <f>WarehouseData[[#This Row],[daily_demand]]*WarehouseData[[#This Row],[lead_time_days]]</f>
        <v>131.04</v>
      </c>
      <c r="Z1176" t="str">
        <f>IF(WarehouseData[[#This Row],[stock_level]]&lt;=WarehouseData[[#This Row],[Demand During Lead Time]],"At Risk","Safe")</f>
        <v>Safe</v>
      </c>
      <c r="AA1176">
        <f>WarehouseData[[#This Row],[stock_level]]/WarehouseData[[#This Row],[daily_demand]]</f>
        <v>5.7081807081807083</v>
      </c>
      <c r="AB1176">
        <f>WarehouseData[[#This Row],[stock_level]]*WarehouseData[[#This Row],[unit_price]]</f>
        <v>15328.39</v>
      </c>
      <c r="AC1176">
        <f>WarehouseData[[#This Row],[stock_level]]*WarehouseData[[#This Row],[holding_cost_per_unit_day]]*30</f>
        <v>8807.7000000000007</v>
      </c>
      <c r="AD1176" t="str">
        <f>IF(WarehouseData[[#This Row],[order_fulfillment_rate]]&gt;=0.9,"Strong",IF(WarehouseData[[#This Row],[order_fulfillment_rate]]&gt;=0.8,"Moderate","Needs Attention"))</f>
        <v>Needs Attention</v>
      </c>
      <c r="AE1176" t="str">
        <f>IF(WarehouseData[[#This Row],[picking_time_seconds]]&gt;120,"Slow",IF(WarehouseData[[#This Row],[picking_time_seconds]]&gt;=60,"Average","Fast"))</f>
        <v>Slow</v>
      </c>
    </row>
    <row r="1177" spans="1:31" x14ac:dyDescent="0.25">
      <c r="A1177" t="s">
        <v>1315</v>
      </c>
      <c r="B1177" t="s">
        <v>73</v>
      </c>
      <c r="C1177">
        <v>439</v>
      </c>
      <c r="D1177">
        <v>95</v>
      </c>
      <c r="E1177">
        <v>4</v>
      </c>
      <c r="F1177">
        <v>4</v>
      </c>
      <c r="G1177">
        <v>18.850000000000001</v>
      </c>
      <c r="H1177">
        <v>4.71</v>
      </c>
      <c r="I1177">
        <v>0.26</v>
      </c>
      <c r="J1177" t="s">
        <v>477</v>
      </c>
      <c r="K1177" t="s">
        <v>38</v>
      </c>
      <c r="L1177">
        <v>106</v>
      </c>
      <c r="M1177">
        <v>2.9</v>
      </c>
      <c r="N1177">
        <v>76.66</v>
      </c>
      <c r="O1177">
        <v>1.54</v>
      </c>
      <c r="P1177">
        <v>9</v>
      </c>
      <c r="Q1177">
        <v>0.81</v>
      </c>
      <c r="R1177">
        <v>877</v>
      </c>
      <c r="S1177">
        <v>6.3</v>
      </c>
      <c r="T1177">
        <v>0.5</v>
      </c>
      <c r="U1177" s="1">
        <v>45380</v>
      </c>
      <c r="V1177">
        <v>220.27</v>
      </c>
      <c r="W1177">
        <v>0.41199999999999998</v>
      </c>
      <c r="X1177" t="str">
        <f>IF(WarehouseData[[#This Row],[stock_level]]&lt;=WarehouseData[[#This Row],[reorder_point]],"Low Stock","Sufficient Stock")</f>
        <v>Sufficient Stock</v>
      </c>
      <c r="Y1177">
        <f>WarehouseData[[#This Row],[daily_demand]]*WarehouseData[[#This Row],[lead_time_days]]</f>
        <v>75.400000000000006</v>
      </c>
      <c r="Z1177" t="str">
        <f>IF(WarehouseData[[#This Row],[stock_level]]&lt;=WarehouseData[[#This Row],[Demand During Lead Time]],"At Risk","Safe")</f>
        <v>Safe</v>
      </c>
      <c r="AA1177">
        <f>WarehouseData[[#This Row],[stock_level]]/WarehouseData[[#This Row],[daily_demand]]</f>
        <v>23.289124668435012</v>
      </c>
      <c r="AB1177">
        <f>WarehouseData[[#This Row],[stock_level]]*WarehouseData[[#This Row],[unit_price]]</f>
        <v>33653.74</v>
      </c>
      <c r="AC1177">
        <f>WarehouseData[[#This Row],[stock_level]]*WarehouseData[[#This Row],[holding_cost_per_unit_day]]*30</f>
        <v>20281.800000000003</v>
      </c>
      <c r="AD1177" t="str">
        <f>IF(WarehouseData[[#This Row],[order_fulfillment_rate]]&gt;=0.9,"Strong",IF(WarehouseData[[#This Row],[order_fulfillment_rate]]&gt;=0.8,"Moderate","Needs Attention"))</f>
        <v>Moderate</v>
      </c>
      <c r="AE1177" t="str">
        <f>IF(WarehouseData[[#This Row],[picking_time_seconds]]&gt;120,"Slow",IF(WarehouseData[[#This Row],[picking_time_seconds]]&gt;=60,"Average","Fast"))</f>
        <v>Average</v>
      </c>
    </row>
    <row r="1178" spans="1:31" x14ac:dyDescent="0.25">
      <c r="A1178" t="s">
        <v>1316</v>
      </c>
      <c r="B1178" t="s">
        <v>48</v>
      </c>
      <c r="C1178">
        <v>133</v>
      </c>
      <c r="D1178">
        <v>30</v>
      </c>
      <c r="E1178">
        <v>7</v>
      </c>
      <c r="F1178">
        <v>9</v>
      </c>
      <c r="G1178">
        <v>12.3</v>
      </c>
      <c r="H1178">
        <v>3.37</v>
      </c>
      <c r="I1178">
        <v>0.72</v>
      </c>
      <c r="J1178" t="s">
        <v>163</v>
      </c>
      <c r="K1178" t="s">
        <v>52</v>
      </c>
      <c r="L1178">
        <v>62</v>
      </c>
      <c r="M1178">
        <v>1.51</v>
      </c>
      <c r="N1178">
        <v>30.53</v>
      </c>
      <c r="O1178">
        <v>0.83</v>
      </c>
      <c r="P1178">
        <v>3</v>
      </c>
      <c r="Q1178">
        <v>0.94</v>
      </c>
      <c r="R1178">
        <v>978</v>
      </c>
      <c r="S1178">
        <v>9.76</v>
      </c>
      <c r="T1178">
        <v>0.83</v>
      </c>
      <c r="U1178" s="1">
        <v>45473</v>
      </c>
      <c r="V1178">
        <v>109.08</v>
      </c>
      <c r="W1178">
        <v>0.74099999999999999</v>
      </c>
      <c r="X1178" t="str">
        <f>IF(WarehouseData[[#This Row],[stock_level]]&lt;=WarehouseData[[#This Row],[reorder_point]],"Low Stock","Sufficient Stock")</f>
        <v>Sufficient Stock</v>
      </c>
      <c r="Y1178">
        <f>WarehouseData[[#This Row],[daily_demand]]*WarehouseData[[#This Row],[lead_time_days]]</f>
        <v>110.7</v>
      </c>
      <c r="Z1178" t="str">
        <f>IF(WarehouseData[[#This Row],[stock_level]]&lt;=WarehouseData[[#This Row],[Demand During Lead Time]],"At Risk","Safe")</f>
        <v>Safe</v>
      </c>
      <c r="AA1178">
        <f>WarehouseData[[#This Row],[stock_level]]/WarehouseData[[#This Row],[daily_demand]]</f>
        <v>10.8130081300813</v>
      </c>
      <c r="AB1178">
        <f>WarehouseData[[#This Row],[stock_level]]*WarehouseData[[#This Row],[unit_price]]</f>
        <v>4060.4900000000002</v>
      </c>
      <c r="AC1178">
        <f>WarehouseData[[#This Row],[stock_level]]*WarehouseData[[#This Row],[holding_cost_per_unit_day]]*30</f>
        <v>3311.7</v>
      </c>
      <c r="AD1178" t="str">
        <f>IF(WarehouseData[[#This Row],[order_fulfillment_rate]]&gt;=0.9,"Strong",IF(WarehouseData[[#This Row],[order_fulfillment_rate]]&gt;=0.8,"Moderate","Needs Attention"))</f>
        <v>Strong</v>
      </c>
      <c r="AE1178" t="str">
        <f>IF(WarehouseData[[#This Row],[picking_time_seconds]]&gt;120,"Slow",IF(WarehouseData[[#This Row],[picking_time_seconds]]&gt;=60,"Average","Fast"))</f>
        <v>Average</v>
      </c>
    </row>
    <row r="1179" spans="1:31" x14ac:dyDescent="0.25">
      <c r="A1179" t="s">
        <v>1317</v>
      </c>
      <c r="B1179" t="s">
        <v>73</v>
      </c>
      <c r="C1179">
        <v>271</v>
      </c>
      <c r="D1179">
        <v>59</v>
      </c>
      <c r="E1179">
        <v>12</v>
      </c>
      <c r="F1179">
        <v>6</v>
      </c>
      <c r="G1179">
        <v>24.02</v>
      </c>
      <c r="H1179">
        <v>9.8699999999999992</v>
      </c>
      <c r="I1179">
        <v>0.9</v>
      </c>
      <c r="J1179" t="s">
        <v>223</v>
      </c>
      <c r="K1179" t="s">
        <v>34</v>
      </c>
      <c r="L1179">
        <v>92</v>
      </c>
      <c r="M1179">
        <v>1.94</v>
      </c>
      <c r="N1179">
        <v>17.46</v>
      </c>
      <c r="O1179">
        <v>0.39</v>
      </c>
      <c r="P1179">
        <v>6</v>
      </c>
      <c r="Q1179">
        <v>0.82</v>
      </c>
      <c r="R1179">
        <v>816</v>
      </c>
      <c r="S1179">
        <v>8.8800000000000008</v>
      </c>
      <c r="T1179">
        <v>0.44</v>
      </c>
      <c r="U1179" s="1">
        <v>45401</v>
      </c>
      <c r="V1179">
        <v>111.33</v>
      </c>
      <c r="W1179">
        <v>0.61099999999999999</v>
      </c>
      <c r="X1179" t="str">
        <f>IF(WarehouseData[[#This Row],[stock_level]]&lt;=WarehouseData[[#This Row],[reorder_point]],"Low Stock","Sufficient Stock")</f>
        <v>Sufficient Stock</v>
      </c>
      <c r="Y1179">
        <f>WarehouseData[[#This Row],[daily_demand]]*WarehouseData[[#This Row],[lead_time_days]]</f>
        <v>144.12</v>
      </c>
      <c r="Z1179" t="str">
        <f>IF(WarehouseData[[#This Row],[stock_level]]&lt;=WarehouseData[[#This Row],[Demand During Lead Time]],"At Risk","Safe")</f>
        <v>Safe</v>
      </c>
      <c r="AA1179">
        <f>WarehouseData[[#This Row],[stock_level]]/WarehouseData[[#This Row],[daily_demand]]</f>
        <v>11.282264779350541</v>
      </c>
      <c r="AB1179">
        <f>WarehouseData[[#This Row],[stock_level]]*WarehouseData[[#This Row],[unit_price]]</f>
        <v>4731.66</v>
      </c>
      <c r="AC1179">
        <f>WarehouseData[[#This Row],[stock_level]]*WarehouseData[[#This Row],[holding_cost_per_unit_day]]*30</f>
        <v>3170.7</v>
      </c>
      <c r="AD1179" t="str">
        <f>IF(WarehouseData[[#This Row],[order_fulfillment_rate]]&gt;=0.9,"Strong",IF(WarehouseData[[#This Row],[order_fulfillment_rate]]&gt;=0.8,"Moderate","Needs Attention"))</f>
        <v>Moderate</v>
      </c>
      <c r="AE1179" t="str">
        <f>IF(WarehouseData[[#This Row],[picking_time_seconds]]&gt;120,"Slow",IF(WarehouseData[[#This Row],[picking_time_seconds]]&gt;=60,"Average","Fast"))</f>
        <v>Average</v>
      </c>
    </row>
    <row r="1180" spans="1:31" x14ac:dyDescent="0.25">
      <c r="A1180" t="s">
        <v>1318</v>
      </c>
      <c r="B1180" t="s">
        <v>36</v>
      </c>
      <c r="C1180">
        <v>126</v>
      </c>
      <c r="D1180">
        <v>48</v>
      </c>
      <c r="E1180">
        <v>3</v>
      </c>
      <c r="F1180">
        <v>6</v>
      </c>
      <c r="G1180">
        <v>28.49</v>
      </c>
      <c r="H1180">
        <v>3.08</v>
      </c>
      <c r="I1180">
        <v>0.62</v>
      </c>
      <c r="J1180" t="s">
        <v>104</v>
      </c>
      <c r="K1180" t="s">
        <v>46</v>
      </c>
      <c r="L1180">
        <v>56</v>
      </c>
      <c r="M1180">
        <v>0.6</v>
      </c>
      <c r="N1180">
        <v>168.7</v>
      </c>
      <c r="O1180">
        <v>1.05</v>
      </c>
      <c r="P1180">
        <v>9</v>
      </c>
      <c r="Q1180">
        <v>0.88</v>
      </c>
      <c r="R1180">
        <v>849</v>
      </c>
      <c r="S1180">
        <v>9.9700000000000006</v>
      </c>
      <c r="T1180">
        <v>0.36</v>
      </c>
      <c r="U1180" s="1">
        <v>45387</v>
      </c>
      <c r="V1180">
        <v>254.99</v>
      </c>
      <c r="W1180">
        <v>0.496</v>
      </c>
      <c r="X1180" t="str">
        <f>IF(WarehouseData[[#This Row],[stock_level]]&lt;=WarehouseData[[#This Row],[reorder_point]],"Low Stock","Sufficient Stock")</f>
        <v>Sufficient Stock</v>
      </c>
      <c r="Y1180">
        <f>WarehouseData[[#This Row],[daily_demand]]*WarehouseData[[#This Row],[lead_time_days]]</f>
        <v>170.94</v>
      </c>
      <c r="Z1180" t="str">
        <f>IF(WarehouseData[[#This Row],[stock_level]]&lt;=WarehouseData[[#This Row],[Demand During Lead Time]],"At Risk","Safe")</f>
        <v>At Risk</v>
      </c>
      <c r="AA1180">
        <f>WarehouseData[[#This Row],[stock_level]]/WarehouseData[[#This Row],[daily_demand]]</f>
        <v>4.4226044226044232</v>
      </c>
      <c r="AB1180">
        <f>WarehouseData[[#This Row],[stock_level]]*WarehouseData[[#This Row],[unit_price]]</f>
        <v>21256.199999999997</v>
      </c>
      <c r="AC1180">
        <f>WarehouseData[[#This Row],[stock_level]]*WarehouseData[[#This Row],[holding_cost_per_unit_day]]*30</f>
        <v>3969.0000000000005</v>
      </c>
      <c r="AD1180" t="str">
        <f>IF(WarehouseData[[#This Row],[order_fulfillment_rate]]&gt;=0.9,"Strong",IF(WarehouseData[[#This Row],[order_fulfillment_rate]]&gt;=0.8,"Moderate","Needs Attention"))</f>
        <v>Moderate</v>
      </c>
      <c r="AE1180" t="str">
        <f>IF(WarehouseData[[#This Row],[picking_time_seconds]]&gt;120,"Slow",IF(WarehouseData[[#This Row],[picking_time_seconds]]&gt;=60,"Average","Fast"))</f>
        <v>Fast</v>
      </c>
    </row>
    <row r="1181" spans="1:31" x14ac:dyDescent="0.25">
      <c r="A1181" t="s">
        <v>1319</v>
      </c>
      <c r="B1181" t="s">
        <v>73</v>
      </c>
      <c r="C1181">
        <v>56</v>
      </c>
      <c r="D1181">
        <v>29</v>
      </c>
      <c r="E1181">
        <v>13</v>
      </c>
      <c r="F1181">
        <v>9</v>
      </c>
      <c r="G1181">
        <v>7.99</v>
      </c>
      <c r="H1181">
        <v>5.16</v>
      </c>
      <c r="I1181">
        <v>0.68</v>
      </c>
      <c r="J1181" t="s">
        <v>144</v>
      </c>
      <c r="K1181" t="s">
        <v>46</v>
      </c>
      <c r="L1181">
        <v>61</v>
      </c>
      <c r="M1181">
        <v>3.87</v>
      </c>
      <c r="N1181">
        <v>103.01</v>
      </c>
      <c r="O1181">
        <v>0.73</v>
      </c>
      <c r="P1181">
        <v>6</v>
      </c>
      <c r="Q1181">
        <v>0.75</v>
      </c>
      <c r="R1181">
        <v>341</v>
      </c>
      <c r="S1181">
        <v>10.99</v>
      </c>
      <c r="T1181">
        <v>0.22</v>
      </c>
      <c r="U1181" s="1">
        <v>45432</v>
      </c>
      <c r="V1181">
        <v>279</v>
      </c>
      <c r="W1181">
        <v>0.54800000000000004</v>
      </c>
      <c r="X1181" t="str">
        <f>IF(WarehouseData[[#This Row],[stock_level]]&lt;=WarehouseData[[#This Row],[reorder_point]],"Low Stock","Sufficient Stock")</f>
        <v>Sufficient Stock</v>
      </c>
      <c r="Y1181">
        <f>WarehouseData[[#This Row],[daily_demand]]*WarehouseData[[#This Row],[lead_time_days]]</f>
        <v>71.91</v>
      </c>
      <c r="Z1181" t="str">
        <f>IF(WarehouseData[[#This Row],[stock_level]]&lt;=WarehouseData[[#This Row],[Demand During Lead Time]],"At Risk","Safe")</f>
        <v>At Risk</v>
      </c>
      <c r="AA1181">
        <f>WarehouseData[[#This Row],[stock_level]]/WarehouseData[[#This Row],[daily_demand]]</f>
        <v>7.0087609511889859</v>
      </c>
      <c r="AB1181">
        <f>WarehouseData[[#This Row],[stock_level]]*WarehouseData[[#This Row],[unit_price]]</f>
        <v>5768.56</v>
      </c>
      <c r="AC1181">
        <f>WarehouseData[[#This Row],[stock_level]]*WarehouseData[[#This Row],[holding_cost_per_unit_day]]*30</f>
        <v>1226.3999999999999</v>
      </c>
      <c r="AD1181" t="str">
        <f>IF(WarehouseData[[#This Row],[order_fulfillment_rate]]&gt;=0.9,"Strong",IF(WarehouseData[[#This Row],[order_fulfillment_rate]]&gt;=0.8,"Moderate","Needs Attention"))</f>
        <v>Needs Attention</v>
      </c>
      <c r="AE1181" t="str">
        <f>IF(WarehouseData[[#This Row],[picking_time_seconds]]&gt;120,"Slow",IF(WarehouseData[[#This Row],[picking_time_seconds]]&gt;=60,"Average","Fast"))</f>
        <v>Average</v>
      </c>
    </row>
    <row r="1182" spans="1:31" x14ac:dyDescent="0.25">
      <c r="A1182" t="s">
        <v>1320</v>
      </c>
      <c r="B1182" t="s">
        <v>48</v>
      </c>
      <c r="C1182">
        <v>354</v>
      </c>
      <c r="D1182">
        <v>97</v>
      </c>
      <c r="E1182">
        <v>9</v>
      </c>
      <c r="F1182">
        <v>3</v>
      </c>
      <c r="G1182">
        <v>28.28</v>
      </c>
      <c r="H1182">
        <v>4.3499999999999996</v>
      </c>
      <c r="I1182">
        <v>0.47</v>
      </c>
      <c r="J1182" t="s">
        <v>70</v>
      </c>
      <c r="K1182" t="s">
        <v>52</v>
      </c>
      <c r="L1182">
        <v>66</v>
      </c>
      <c r="M1182">
        <v>4.78</v>
      </c>
      <c r="N1182">
        <v>116.95</v>
      </c>
      <c r="O1182">
        <v>0.81</v>
      </c>
      <c r="P1182">
        <v>3</v>
      </c>
      <c r="Q1182">
        <v>0.72</v>
      </c>
      <c r="R1182">
        <v>201</v>
      </c>
      <c r="S1182">
        <v>11.2</v>
      </c>
      <c r="T1182">
        <v>0.7</v>
      </c>
      <c r="U1182" s="1">
        <v>45435</v>
      </c>
      <c r="V1182">
        <v>184.7</v>
      </c>
      <c r="W1182">
        <v>0.69199999999999995</v>
      </c>
      <c r="X1182" t="str">
        <f>IF(WarehouseData[[#This Row],[stock_level]]&lt;=WarehouseData[[#This Row],[reorder_point]],"Low Stock","Sufficient Stock")</f>
        <v>Sufficient Stock</v>
      </c>
      <c r="Y1182">
        <f>WarehouseData[[#This Row],[daily_demand]]*WarehouseData[[#This Row],[lead_time_days]]</f>
        <v>84.84</v>
      </c>
      <c r="Z1182" t="str">
        <f>IF(WarehouseData[[#This Row],[stock_level]]&lt;=WarehouseData[[#This Row],[Demand During Lead Time]],"At Risk","Safe")</f>
        <v>Safe</v>
      </c>
      <c r="AA1182">
        <f>WarehouseData[[#This Row],[stock_level]]/WarehouseData[[#This Row],[daily_demand]]</f>
        <v>12.517680339462517</v>
      </c>
      <c r="AB1182">
        <f>WarehouseData[[#This Row],[stock_level]]*WarehouseData[[#This Row],[unit_price]]</f>
        <v>41400.300000000003</v>
      </c>
      <c r="AC1182">
        <f>WarehouseData[[#This Row],[stock_level]]*WarehouseData[[#This Row],[holding_cost_per_unit_day]]*30</f>
        <v>8602.2000000000007</v>
      </c>
      <c r="AD1182" t="str">
        <f>IF(WarehouseData[[#This Row],[order_fulfillment_rate]]&gt;=0.9,"Strong",IF(WarehouseData[[#This Row],[order_fulfillment_rate]]&gt;=0.8,"Moderate","Needs Attention"))</f>
        <v>Needs Attention</v>
      </c>
      <c r="AE1182" t="str">
        <f>IF(WarehouseData[[#This Row],[picking_time_seconds]]&gt;120,"Slow",IF(WarehouseData[[#This Row],[picking_time_seconds]]&gt;=60,"Average","Fast"))</f>
        <v>Average</v>
      </c>
    </row>
    <row r="1183" spans="1:31" x14ac:dyDescent="0.25">
      <c r="A1183" t="s">
        <v>1321</v>
      </c>
      <c r="B1183" t="s">
        <v>32</v>
      </c>
      <c r="C1183">
        <v>111</v>
      </c>
      <c r="D1183">
        <v>96</v>
      </c>
      <c r="E1183">
        <v>6</v>
      </c>
      <c r="F1183">
        <v>7</v>
      </c>
      <c r="G1183">
        <v>16.64</v>
      </c>
      <c r="H1183">
        <v>2.12</v>
      </c>
      <c r="I1183">
        <v>0.71</v>
      </c>
      <c r="J1183" t="s">
        <v>135</v>
      </c>
      <c r="K1183" t="s">
        <v>46</v>
      </c>
      <c r="L1183">
        <v>84</v>
      </c>
      <c r="M1183">
        <v>1.49</v>
      </c>
      <c r="N1183">
        <v>80.72</v>
      </c>
      <c r="O1183">
        <v>0.6</v>
      </c>
      <c r="P1183">
        <v>2</v>
      </c>
      <c r="Q1183">
        <v>0.96</v>
      </c>
      <c r="R1183">
        <v>988</v>
      </c>
      <c r="S1183">
        <v>11.33</v>
      </c>
      <c r="T1183">
        <v>0.55000000000000004</v>
      </c>
      <c r="U1183" s="1">
        <v>45520</v>
      </c>
      <c r="V1183">
        <v>127.98</v>
      </c>
      <c r="W1183">
        <v>0.753</v>
      </c>
      <c r="X1183" t="str">
        <f>IF(WarehouseData[[#This Row],[stock_level]]&lt;=WarehouseData[[#This Row],[reorder_point]],"Low Stock","Sufficient Stock")</f>
        <v>Sufficient Stock</v>
      </c>
      <c r="Y1183">
        <f>WarehouseData[[#This Row],[daily_demand]]*WarehouseData[[#This Row],[lead_time_days]]</f>
        <v>116.48</v>
      </c>
      <c r="Z1183" t="str">
        <f>IF(WarehouseData[[#This Row],[stock_level]]&lt;=WarehouseData[[#This Row],[Demand During Lead Time]],"At Risk","Safe")</f>
        <v>At Risk</v>
      </c>
      <c r="AA1183">
        <f>WarehouseData[[#This Row],[stock_level]]/WarehouseData[[#This Row],[daily_demand]]</f>
        <v>6.6706730769230766</v>
      </c>
      <c r="AB1183">
        <f>WarehouseData[[#This Row],[stock_level]]*WarehouseData[[#This Row],[unit_price]]</f>
        <v>8959.92</v>
      </c>
      <c r="AC1183">
        <f>WarehouseData[[#This Row],[stock_level]]*WarehouseData[[#This Row],[holding_cost_per_unit_day]]*30</f>
        <v>1997.9999999999998</v>
      </c>
      <c r="AD1183" t="str">
        <f>IF(WarehouseData[[#This Row],[order_fulfillment_rate]]&gt;=0.9,"Strong",IF(WarehouseData[[#This Row],[order_fulfillment_rate]]&gt;=0.8,"Moderate","Needs Attention"))</f>
        <v>Strong</v>
      </c>
      <c r="AE1183" t="str">
        <f>IF(WarehouseData[[#This Row],[picking_time_seconds]]&gt;120,"Slow",IF(WarehouseData[[#This Row],[picking_time_seconds]]&gt;=60,"Average","Fast"))</f>
        <v>Average</v>
      </c>
    </row>
    <row r="1184" spans="1:31" x14ac:dyDescent="0.25">
      <c r="A1184" t="s">
        <v>1322</v>
      </c>
      <c r="B1184" t="s">
        <v>36</v>
      </c>
      <c r="C1184">
        <v>37</v>
      </c>
      <c r="D1184">
        <v>16</v>
      </c>
      <c r="E1184">
        <v>8</v>
      </c>
      <c r="F1184">
        <v>3</v>
      </c>
      <c r="G1184">
        <v>20.23</v>
      </c>
      <c r="H1184">
        <v>2.42</v>
      </c>
      <c r="I1184">
        <v>0.46</v>
      </c>
      <c r="J1184" t="s">
        <v>64</v>
      </c>
      <c r="K1184" t="s">
        <v>46</v>
      </c>
      <c r="L1184">
        <v>160</v>
      </c>
      <c r="M1184">
        <v>2.04</v>
      </c>
      <c r="N1184">
        <v>35.979999999999997</v>
      </c>
      <c r="O1184">
        <v>0.22</v>
      </c>
      <c r="P1184">
        <v>3</v>
      </c>
      <c r="Q1184">
        <v>0.8</v>
      </c>
      <c r="R1184">
        <v>248</v>
      </c>
      <c r="S1184">
        <v>14.88</v>
      </c>
      <c r="T1184">
        <v>0.41</v>
      </c>
      <c r="U1184" s="1">
        <v>45368</v>
      </c>
      <c r="V1184">
        <v>25.41</v>
      </c>
      <c r="W1184">
        <v>0.75800000000000001</v>
      </c>
      <c r="X1184" t="str">
        <f>IF(WarehouseData[[#This Row],[stock_level]]&lt;=WarehouseData[[#This Row],[reorder_point]],"Low Stock","Sufficient Stock")</f>
        <v>Sufficient Stock</v>
      </c>
      <c r="Y1184">
        <f>WarehouseData[[#This Row],[daily_demand]]*WarehouseData[[#This Row],[lead_time_days]]</f>
        <v>60.69</v>
      </c>
      <c r="Z1184" t="str">
        <f>IF(WarehouseData[[#This Row],[stock_level]]&lt;=WarehouseData[[#This Row],[Demand During Lead Time]],"At Risk","Safe")</f>
        <v>At Risk</v>
      </c>
      <c r="AA1184">
        <f>WarehouseData[[#This Row],[stock_level]]/WarehouseData[[#This Row],[daily_demand]]</f>
        <v>1.828966880869995</v>
      </c>
      <c r="AB1184">
        <f>WarehouseData[[#This Row],[stock_level]]*WarehouseData[[#This Row],[unit_price]]</f>
        <v>1331.26</v>
      </c>
      <c r="AC1184">
        <f>WarehouseData[[#This Row],[stock_level]]*WarehouseData[[#This Row],[holding_cost_per_unit_day]]*30</f>
        <v>244.20000000000002</v>
      </c>
      <c r="AD1184" t="str">
        <f>IF(WarehouseData[[#This Row],[order_fulfillment_rate]]&gt;=0.9,"Strong",IF(WarehouseData[[#This Row],[order_fulfillment_rate]]&gt;=0.8,"Moderate","Needs Attention"))</f>
        <v>Moderate</v>
      </c>
      <c r="AE1184" t="str">
        <f>IF(WarehouseData[[#This Row],[picking_time_seconds]]&gt;120,"Slow",IF(WarehouseData[[#This Row],[picking_time_seconds]]&gt;=60,"Average","Fast"))</f>
        <v>Slow</v>
      </c>
    </row>
    <row r="1185" spans="1:31" x14ac:dyDescent="0.25">
      <c r="A1185" t="s">
        <v>1323</v>
      </c>
      <c r="B1185" t="s">
        <v>48</v>
      </c>
      <c r="C1185">
        <v>373</v>
      </c>
      <c r="D1185">
        <v>18</v>
      </c>
      <c r="E1185">
        <v>10</v>
      </c>
      <c r="F1185">
        <v>3</v>
      </c>
      <c r="G1185">
        <v>14.69</v>
      </c>
      <c r="H1185">
        <v>9.2200000000000006</v>
      </c>
      <c r="I1185">
        <v>0.53</v>
      </c>
      <c r="J1185" t="s">
        <v>221</v>
      </c>
      <c r="K1185" t="s">
        <v>46</v>
      </c>
      <c r="L1185">
        <v>68</v>
      </c>
      <c r="M1185">
        <v>1.43</v>
      </c>
      <c r="N1185">
        <v>95.42</v>
      </c>
      <c r="O1185">
        <v>1.6</v>
      </c>
      <c r="P1185">
        <v>1</v>
      </c>
      <c r="Q1185">
        <v>0.81</v>
      </c>
      <c r="R1185">
        <v>248</v>
      </c>
      <c r="S1185">
        <v>5.99</v>
      </c>
      <c r="T1185">
        <v>0.62</v>
      </c>
      <c r="U1185" s="1">
        <v>45309</v>
      </c>
      <c r="V1185">
        <v>46.7</v>
      </c>
      <c r="W1185">
        <v>0.58599999999999997</v>
      </c>
      <c r="X1185" t="str">
        <f>IF(WarehouseData[[#This Row],[stock_level]]&lt;=WarehouseData[[#This Row],[reorder_point]],"Low Stock","Sufficient Stock")</f>
        <v>Sufficient Stock</v>
      </c>
      <c r="Y1185">
        <f>WarehouseData[[#This Row],[daily_demand]]*WarehouseData[[#This Row],[lead_time_days]]</f>
        <v>44.07</v>
      </c>
      <c r="Z1185" t="str">
        <f>IF(WarehouseData[[#This Row],[stock_level]]&lt;=WarehouseData[[#This Row],[Demand During Lead Time]],"At Risk","Safe")</f>
        <v>Safe</v>
      </c>
      <c r="AA1185">
        <f>WarehouseData[[#This Row],[stock_level]]/WarehouseData[[#This Row],[daily_demand]]</f>
        <v>25.39142273655548</v>
      </c>
      <c r="AB1185">
        <f>WarehouseData[[#This Row],[stock_level]]*WarehouseData[[#This Row],[unit_price]]</f>
        <v>35591.660000000003</v>
      </c>
      <c r="AC1185">
        <f>WarehouseData[[#This Row],[stock_level]]*WarehouseData[[#This Row],[holding_cost_per_unit_day]]*30</f>
        <v>17904.000000000004</v>
      </c>
      <c r="AD1185" t="str">
        <f>IF(WarehouseData[[#This Row],[order_fulfillment_rate]]&gt;=0.9,"Strong",IF(WarehouseData[[#This Row],[order_fulfillment_rate]]&gt;=0.8,"Moderate","Needs Attention"))</f>
        <v>Moderate</v>
      </c>
      <c r="AE1185" t="str">
        <f>IF(WarehouseData[[#This Row],[picking_time_seconds]]&gt;120,"Slow",IF(WarehouseData[[#This Row],[picking_time_seconds]]&gt;=60,"Average","Fast"))</f>
        <v>Average</v>
      </c>
    </row>
    <row r="1186" spans="1:31" x14ac:dyDescent="0.25">
      <c r="A1186" t="s">
        <v>1324</v>
      </c>
      <c r="B1186" t="s">
        <v>36</v>
      </c>
      <c r="C1186">
        <v>82</v>
      </c>
      <c r="D1186">
        <v>10</v>
      </c>
      <c r="E1186">
        <v>8</v>
      </c>
      <c r="F1186">
        <v>9</v>
      </c>
      <c r="G1186">
        <v>46.64</v>
      </c>
      <c r="H1186">
        <v>8.65</v>
      </c>
      <c r="I1186">
        <v>0.19</v>
      </c>
      <c r="J1186" t="s">
        <v>283</v>
      </c>
      <c r="K1186" t="s">
        <v>34</v>
      </c>
      <c r="L1186">
        <v>78</v>
      </c>
      <c r="M1186">
        <v>4.6900000000000004</v>
      </c>
      <c r="N1186">
        <v>53.5</v>
      </c>
      <c r="O1186">
        <v>1.27</v>
      </c>
      <c r="P1186">
        <v>3</v>
      </c>
      <c r="Q1186">
        <v>0.96</v>
      </c>
      <c r="R1186">
        <v>863</v>
      </c>
      <c r="S1186">
        <v>1.62</v>
      </c>
      <c r="T1186">
        <v>0.76</v>
      </c>
      <c r="U1186" s="1">
        <v>45606</v>
      </c>
      <c r="V1186">
        <v>51.12</v>
      </c>
      <c r="W1186">
        <v>0.57899999999999996</v>
      </c>
      <c r="X1186" t="str">
        <f>IF(WarehouseData[[#This Row],[stock_level]]&lt;=WarehouseData[[#This Row],[reorder_point]],"Low Stock","Sufficient Stock")</f>
        <v>Sufficient Stock</v>
      </c>
      <c r="Y1186">
        <f>WarehouseData[[#This Row],[daily_demand]]*WarehouseData[[#This Row],[lead_time_days]]</f>
        <v>419.76</v>
      </c>
      <c r="Z1186" t="str">
        <f>IF(WarehouseData[[#This Row],[stock_level]]&lt;=WarehouseData[[#This Row],[Demand During Lead Time]],"At Risk","Safe")</f>
        <v>At Risk</v>
      </c>
      <c r="AA1186">
        <f>WarehouseData[[#This Row],[stock_level]]/WarehouseData[[#This Row],[daily_demand]]</f>
        <v>1.7581475128644939</v>
      </c>
      <c r="AB1186">
        <f>WarehouseData[[#This Row],[stock_level]]*WarehouseData[[#This Row],[unit_price]]</f>
        <v>4387</v>
      </c>
      <c r="AC1186">
        <f>WarehouseData[[#This Row],[stock_level]]*WarehouseData[[#This Row],[holding_cost_per_unit_day]]*30</f>
        <v>3124.2</v>
      </c>
      <c r="AD1186" t="str">
        <f>IF(WarehouseData[[#This Row],[order_fulfillment_rate]]&gt;=0.9,"Strong",IF(WarehouseData[[#This Row],[order_fulfillment_rate]]&gt;=0.8,"Moderate","Needs Attention"))</f>
        <v>Strong</v>
      </c>
      <c r="AE1186" t="str">
        <f>IF(WarehouseData[[#This Row],[picking_time_seconds]]&gt;120,"Slow",IF(WarehouseData[[#This Row],[picking_time_seconds]]&gt;=60,"Average","Fast"))</f>
        <v>Average</v>
      </c>
    </row>
    <row r="1187" spans="1:31" x14ac:dyDescent="0.25">
      <c r="A1187" t="s">
        <v>1325</v>
      </c>
      <c r="B1187" t="s">
        <v>40</v>
      </c>
      <c r="C1187">
        <v>169</v>
      </c>
      <c r="D1187">
        <v>35</v>
      </c>
      <c r="E1187">
        <v>4</v>
      </c>
      <c r="F1187">
        <v>6</v>
      </c>
      <c r="G1187">
        <v>34.479999999999997</v>
      </c>
      <c r="H1187">
        <v>2.39</v>
      </c>
      <c r="I1187">
        <v>0.11</v>
      </c>
      <c r="J1187" t="s">
        <v>212</v>
      </c>
      <c r="K1187" t="s">
        <v>46</v>
      </c>
      <c r="L1187">
        <v>95</v>
      </c>
      <c r="M1187">
        <v>0.54</v>
      </c>
      <c r="N1187">
        <v>169.16</v>
      </c>
      <c r="O1187">
        <v>1.69</v>
      </c>
      <c r="P1187">
        <v>3</v>
      </c>
      <c r="Q1187">
        <v>0.91</v>
      </c>
      <c r="R1187">
        <v>736</v>
      </c>
      <c r="S1187">
        <v>5.88</v>
      </c>
      <c r="T1187">
        <v>0.4</v>
      </c>
      <c r="U1187" s="1">
        <v>45609</v>
      </c>
      <c r="V1187">
        <v>90.27</v>
      </c>
      <c r="W1187">
        <v>0.51100000000000001</v>
      </c>
      <c r="X1187" t="str">
        <f>IF(WarehouseData[[#This Row],[stock_level]]&lt;=WarehouseData[[#This Row],[reorder_point]],"Low Stock","Sufficient Stock")</f>
        <v>Sufficient Stock</v>
      </c>
      <c r="Y1187">
        <f>WarehouseData[[#This Row],[daily_demand]]*WarehouseData[[#This Row],[lead_time_days]]</f>
        <v>206.88</v>
      </c>
      <c r="Z1187" t="str">
        <f>IF(WarehouseData[[#This Row],[stock_level]]&lt;=WarehouseData[[#This Row],[Demand During Lead Time]],"At Risk","Safe")</f>
        <v>At Risk</v>
      </c>
      <c r="AA1187">
        <f>WarehouseData[[#This Row],[stock_level]]/WarehouseData[[#This Row],[daily_demand]]</f>
        <v>4.9013921113689101</v>
      </c>
      <c r="AB1187">
        <f>WarehouseData[[#This Row],[stock_level]]*WarehouseData[[#This Row],[unit_price]]</f>
        <v>28588.04</v>
      </c>
      <c r="AC1187">
        <f>WarehouseData[[#This Row],[stock_level]]*WarehouseData[[#This Row],[holding_cost_per_unit_day]]*30</f>
        <v>8568.3000000000011</v>
      </c>
      <c r="AD1187" t="str">
        <f>IF(WarehouseData[[#This Row],[order_fulfillment_rate]]&gt;=0.9,"Strong",IF(WarehouseData[[#This Row],[order_fulfillment_rate]]&gt;=0.8,"Moderate","Needs Attention"))</f>
        <v>Strong</v>
      </c>
      <c r="AE1187" t="str">
        <f>IF(WarehouseData[[#This Row],[picking_time_seconds]]&gt;120,"Slow",IF(WarehouseData[[#This Row],[picking_time_seconds]]&gt;=60,"Average","Fast"))</f>
        <v>Average</v>
      </c>
    </row>
    <row r="1188" spans="1:31" x14ac:dyDescent="0.25">
      <c r="A1188" t="s">
        <v>1326</v>
      </c>
      <c r="B1188" t="s">
        <v>73</v>
      </c>
      <c r="C1188">
        <v>158</v>
      </c>
      <c r="D1188">
        <v>47</v>
      </c>
      <c r="E1188">
        <v>3</v>
      </c>
      <c r="F1188">
        <v>8</v>
      </c>
      <c r="G1188">
        <v>13.86</v>
      </c>
      <c r="H1188">
        <v>8.82</v>
      </c>
      <c r="I1188">
        <v>0.15</v>
      </c>
      <c r="J1188" t="s">
        <v>37</v>
      </c>
      <c r="K1188" t="s">
        <v>46</v>
      </c>
      <c r="L1188">
        <v>179</v>
      </c>
      <c r="M1188">
        <v>3.13</v>
      </c>
      <c r="N1188">
        <v>197.49</v>
      </c>
      <c r="O1188">
        <v>1.06</v>
      </c>
      <c r="P1188">
        <v>4</v>
      </c>
      <c r="Q1188">
        <v>0.93</v>
      </c>
      <c r="R1188">
        <v>502</v>
      </c>
      <c r="S1188">
        <v>13.76</v>
      </c>
      <c r="T1188">
        <v>0.69</v>
      </c>
      <c r="U1188" s="1">
        <v>45607</v>
      </c>
      <c r="V1188">
        <v>84.54</v>
      </c>
      <c r="W1188">
        <v>0.72099999999999997</v>
      </c>
      <c r="X1188" t="str">
        <f>IF(WarehouseData[[#This Row],[stock_level]]&lt;=WarehouseData[[#This Row],[reorder_point]],"Low Stock","Sufficient Stock")</f>
        <v>Sufficient Stock</v>
      </c>
      <c r="Y1188">
        <f>WarehouseData[[#This Row],[daily_demand]]*WarehouseData[[#This Row],[lead_time_days]]</f>
        <v>110.88</v>
      </c>
      <c r="Z1188" t="str">
        <f>IF(WarehouseData[[#This Row],[stock_level]]&lt;=WarehouseData[[#This Row],[Demand During Lead Time]],"At Risk","Safe")</f>
        <v>Safe</v>
      </c>
      <c r="AA1188">
        <f>WarehouseData[[#This Row],[stock_level]]/WarehouseData[[#This Row],[daily_demand]]</f>
        <v>11.3997113997114</v>
      </c>
      <c r="AB1188">
        <f>WarehouseData[[#This Row],[stock_level]]*WarehouseData[[#This Row],[unit_price]]</f>
        <v>31203.420000000002</v>
      </c>
      <c r="AC1188">
        <f>WarehouseData[[#This Row],[stock_level]]*WarehouseData[[#This Row],[holding_cost_per_unit_day]]*30</f>
        <v>5024.4000000000005</v>
      </c>
      <c r="AD1188" t="str">
        <f>IF(WarehouseData[[#This Row],[order_fulfillment_rate]]&gt;=0.9,"Strong",IF(WarehouseData[[#This Row],[order_fulfillment_rate]]&gt;=0.8,"Moderate","Needs Attention"))</f>
        <v>Strong</v>
      </c>
      <c r="AE1188" t="str">
        <f>IF(WarehouseData[[#This Row],[picking_time_seconds]]&gt;120,"Slow",IF(WarehouseData[[#This Row],[picking_time_seconds]]&gt;=60,"Average","Fast"))</f>
        <v>Slow</v>
      </c>
    </row>
    <row r="1189" spans="1:31" x14ac:dyDescent="0.25">
      <c r="A1189" t="s">
        <v>1327</v>
      </c>
      <c r="B1189" t="s">
        <v>40</v>
      </c>
      <c r="C1189">
        <v>205</v>
      </c>
      <c r="D1189">
        <v>47</v>
      </c>
      <c r="E1189">
        <v>10</v>
      </c>
      <c r="F1189">
        <v>8</v>
      </c>
      <c r="G1189">
        <v>32.61</v>
      </c>
      <c r="H1189">
        <v>2.4900000000000002</v>
      </c>
      <c r="I1189">
        <v>0.27</v>
      </c>
      <c r="J1189" t="s">
        <v>166</v>
      </c>
      <c r="K1189" t="s">
        <v>46</v>
      </c>
      <c r="L1189">
        <v>155</v>
      </c>
      <c r="M1189">
        <v>4.42</v>
      </c>
      <c r="N1189">
        <v>178.93</v>
      </c>
      <c r="O1189">
        <v>1.97</v>
      </c>
      <c r="P1189">
        <v>0</v>
      </c>
      <c r="Q1189">
        <v>0.9</v>
      </c>
      <c r="R1189">
        <v>831</v>
      </c>
      <c r="S1189">
        <v>2.17</v>
      </c>
      <c r="T1189">
        <v>0.41</v>
      </c>
      <c r="U1189" s="1">
        <v>45417</v>
      </c>
      <c r="V1189">
        <v>167.44</v>
      </c>
      <c r="W1189">
        <v>0.49399999999999999</v>
      </c>
      <c r="X1189" t="str">
        <f>IF(WarehouseData[[#This Row],[stock_level]]&lt;=WarehouseData[[#This Row],[reorder_point]],"Low Stock","Sufficient Stock")</f>
        <v>Sufficient Stock</v>
      </c>
      <c r="Y1189">
        <f>WarehouseData[[#This Row],[daily_demand]]*WarehouseData[[#This Row],[lead_time_days]]</f>
        <v>260.88</v>
      </c>
      <c r="Z1189" t="str">
        <f>IF(WarehouseData[[#This Row],[stock_level]]&lt;=WarehouseData[[#This Row],[Demand During Lead Time]],"At Risk","Safe")</f>
        <v>At Risk</v>
      </c>
      <c r="AA1189">
        <f>WarehouseData[[#This Row],[stock_level]]/WarehouseData[[#This Row],[daily_demand]]</f>
        <v>6.2864152100582649</v>
      </c>
      <c r="AB1189">
        <f>WarehouseData[[#This Row],[stock_level]]*WarehouseData[[#This Row],[unit_price]]</f>
        <v>36680.65</v>
      </c>
      <c r="AC1189">
        <f>WarehouseData[[#This Row],[stock_level]]*WarehouseData[[#This Row],[holding_cost_per_unit_day]]*30</f>
        <v>12115.5</v>
      </c>
      <c r="AD1189" t="str">
        <f>IF(WarehouseData[[#This Row],[order_fulfillment_rate]]&gt;=0.9,"Strong",IF(WarehouseData[[#This Row],[order_fulfillment_rate]]&gt;=0.8,"Moderate","Needs Attention"))</f>
        <v>Strong</v>
      </c>
      <c r="AE1189" t="str">
        <f>IF(WarehouseData[[#This Row],[picking_time_seconds]]&gt;120,"Slow",IF(WarehouseData[[#This Row],[picking_time_seconds]]&gt;=60,"Average","Fast"))</f>
        <v>Slow</v>
      </c>
    </row>
    <row r="1190" spans="1:31" x14ac:dyDescent="0.25">
      <c r="A1190" t="s">
        <v>1328</v>
      </c>
      <c r="B1190" t="s">
        <v>48</v>
      </c>
      <c r="C1190">
        <v>204</v>
      </c>
      <c r="D1190">
        <v>70</v>
      </c>
      <c r="E1190">
        <v>10</v>
      </c>
      <c r="F1190">
        <v>9</v>
      </c>
      <c r="G1190">
        <v>42.58</v>
      </c>
      <c r="H1190">
        <v>6.45</v>
      </c>
      <c r="I1190">
        <v>0.51</v>
      </c>
      <c r="J1190" t="s">
        <v>223</v>
      </c>
      <c r="K1190" t="s">
        <v>46</v>
      </c>
      <c r="L1190">
        <v>80</v>
      </c>
      <c r="M1190">
        <v>1.34</v>
      </c>
      <c r="N1190">
        <v>110.37</v>
      </c>
      <c r="O1190">
        <v>1.93</v>
      </c>
      <c r="P1190">
        <v>1</v>
      </c>
      <c r="Q1190">
        <v>0.73</v>
      </c>
      <c r="R1190">
        <v>990</v>
      </c>
      <c r="S1190">
        <v>10.06</v>
      </c>
      <c r="T1190">
        <v>0.99</v>
      </c>
      <c r="U1190" s="1">
        <v>45623</v>
      </c>
      <c r="V1190">
        <v>283.79000000000002</v>
      </c>
      <c r="W1190">
        <v>0.66500000000000004</v>
      </c>
      <c r="X1190" t="str">
        <f>IF(WarehouseData[[#This Row],[stock_level]]&lt;=WarehouseData[[#This Row],[reorder_point]],"Low Stock","Sufficient Stock")</f>
        <v>Sufficient Stock</v>
      </c>
      <c r="Y1190">
        <f>WarehouseData[[#This Row],[daily_demand]]*WarehouseData[[#This Row],[lead_time_days]]</f>
        <v>383.21999999999997</v>
      </c>
      <c r="Z1190" t="str">
        <f>IF(WarehouseData[[#This Row],[stock_level]]&lt;=WarehouseData[[#This Row],[Demand During Lead Time]],"At Risk","Safe")</f>
        <v>At Risk</v>
      </c>
      <c r="AA1190">
        <f>WarehouseData[[#This Row],[stock_level]]/WarehouseData[[#This Row],[daily_demand]]</f>
        <v>4.7909816815406296</v>
      </c>
      <c r="AB1190">
        <f>WarehouseData[[#This Row],[stock_level]]*WarehouseData[[#This Row],[unit_price]]</f>
        <v>22515.48</v>
      </c>
      <c r="AC1190">
        <f>WarehouseData[[#This Row],[stock_level]]*WarehouseData[[#This Row],[holding_cost_per_unit_day]]*30</f>
        <v>11811.599999999999</v>
      </c>
      <c r="AD1190" t="str">
        <f>IF(WarehouseData[[#This Row],[order_fulfillment_rate]]&gt;=0.9,"Strong",IF(WarehouseData[[#This Row],[order_fulfillment_rate]]&gt;=0.8,"Moderate","Needs Attention"))</f>
        <v>Needs Attention</v>
      </c>
      <c r="AE1190" t="str">
        <f>IF(WarehouseData[[#This Row],[picking_time_seconds]]&gt;120,"Slow",IF(WarehouseData[[#This Row],[picking_time_seconds]]&gt;=60,"Average","Fast"))</f>
        <v>Average</v>
      </c>
    </row>
    <row r="1191" spans="1:31" x14ac:dyDescent="0.25">
      <c r="A1191" t="s">
        <v>1329</v>
      </c>
      <c r="B1191" t="s">
        <v>32</v>
      </c>
      <c r="C1191">
        <v>224</v>
      </c>
      <c r="D1191">
        <v>53</v>
      </c>
      <c r="E1191">
        <v>11</v>
      </c>
      <c r="F1191">
        <v>8</v>
      </c>
      <c r="G1191">
        <v>20.68</v>
      </c>
      <c r="H1191">
        <v>1.27</v>
      </c>
      <c r="I1191">
        <v>0.12</v>
      </c>
      <c r="J1191" t="s">
        <v>259</v>
      </c>
      <c r="K1191" t="s">
        <v>46</v>
      </c>
      <c r="L1191">
        <v>42</v>
      </c>
      <c r="M1191">
        <v>3.15</v>
      </c>
      <c r="N1191">
        <v>129.35</v>
      </c>
      <c r="O1191">
        <v>0.62</v>
      </c>
      <c r="P1191">
        <v>7</v>
      </c>
      <c r="Q1191">
        <v>0.99</v>
      </c>
      <c r="R1191">
        <v>229</v>
      </c>
      <c r="S1191">
        <v>6.92</v>
      </c>
      <c r="T1191">
        <v>0.79</v>
      </c>
      <c r="U1191" s="1">
        <v>45443</v>
      </c>
      <c r="V1191">
        <v>259.88</v>
      </c>
      <c r="W1191">
        <v>0.64600000000000002</v>
      </c>
      <c r="X1191" t="str">
        <f>IF(WarehouseData[[#This Row],[stock_level]]&lt;=WarehouseData[[#This Row],[reorder_point]],"Low Stock","Sufficient Stock")</f>
        <v>Sufficient Stock</v>
      </c>
      <c r="Y1191">
        <f>WarehouseData[[#This Row],[daily_demand]]*WarehouseData[[#This Row],[lead_time_days]]</f>
        <v>165.44</v>
      </c>
      <c r="Z1191" t="str">
        <f>IF(WarehouseData[[#This Row],[stock_level]]&lt;=WarehouseData[[#This Row],[Demand During Lead Time]],"At Risk","Safe")</f>
        <v>Safe</v>
      </c>
      <c r="AA1191">
        <f>WarehouseData[[#This Row],[stock_level]]/WarehouseData[[#This Row],[daily_demand]]</f>
        <v>10.831721470019342</v>
      </c>
      <c r="AB1191">
        <f>WarehouseData[[#This Row],[stock_level]]*WarehouseData[[#This Row],[unit_price]]</f>
        <v>28974.399999999998</v>
      </c>
      <c r="AC1191">
        <f>WarehouseData[[#This Row],[stock_level]]*WarehouseData[[#This Row],[holding_cost_per_unit_day]]*30</f>
        <v>4166.3999999999996</v>
      </c>
      <c r="AD1191" t="str">
        <f>IF(WarehouseData[[#This Row],[order_fulfillment_rate]]&gt;=0.9,"Strong",IF(WarehouseData[[#This Row],[order_fulfillment_rate]]&gt;=0.8,"Moderate","Needs Attention"))</f>
        <v>Strong</v>
      </c>
      <c r="AE1191" t="str">
        <f>IF(WarehouseData[[#This Row],[picking_time_seconds]]&gt;120,"Slow",IF(WarehouseData[[#This Row],[picking_time_seconds]]&gt;=60,"Average","Fast"))</f>
        <v>Fast</v>
      </c>
    </row>
    <row r="1192" spans="1:31" x14ac:dyDescent="0.25">
      <c r="A1192" t="s">
        <v>1330</v>
      </c>
      <c r="B1192" t="s">
        <v>36</v>
      </c>
      <c r="C1192">
        <v>279</v>
      </c>
      <c r="D1192">
        <v>95</v>
      </c>
      <c r="E1192">
        <v>8</v>
      </c>
      <c r="F1192">
        <v>7</v>
      </c>
      <c r="G1192">
        <v>41.67</v>
      </c>
      <c r="H1192">
        <v>8.86</v>
      </c>
      <c r="I1192">
        <v>0.24</v>
      </c>
      <c r="J1192" t="s">
        <v>102</v>
      </c>
      <c r="K1192" t="s">
        <v>34</v>
      </c>
      <c r="L1192">
        <v>12</v>
      </c>
      <c r="M1192">
        <v>0.73</v>
      </c>
      <c r="N1192">
        <v>190.14</v>
      </c>
      <c r="O1192">
        <v>0.84</v>
      </c>
      <c r="P1192">
        <v>7</v>
      </c>
      <c r="Q1192">
        <v>0.97</v>
      </c>
      <c r="R1192">
        <v>267</v>
      </c>
      <c r="S1192">
        <v>13.9</v>
      </c>
      <c r="T1192">
        <v>0.68</v>
      </c>
      <c r="U1192" s="1">
        <v>45547</v>
      </c>
      <c r="V1192">
        <v>157.66</v>
      </c>
      <c r="W1192">
        <v>0.69099999999999995</v>
      </c>
      <c r="X1192" t="str">
        <f>IF(WarehouseData[[#This Row],[stock_level]]&lt;=WarehouseData[[#This Row],[reorder_point]],"Low Stock","Sufficient Stock")</f>
        <v>Sufficient Stock</v>
      </c>
      <c r="Y1192">
        <f>WarehouseData[[#This Row],[daily_demand]]*WarehouseData[[#This Row],[lead_time_days]]</f>
        <v>291.69</v>
      </c>
      <c r="Z1192" t="str">
        <f>IF(WarehouseData[[#This Row],[stock_level]]&lt;=WarehouseData[[#This Row],[Demand During Lead Time]],"At Risk","Safe")</f>
        <v>At Risk</v>
      </c>
      <c r="AA1192">
        <f>WarehouseData[[#This Row],[stock_level]]/WarehouseData[[#This Row],[daily_demand]]</f>
        <v>6.6954643628509718</v>
      </c>
      <c r="AB1192">
        <f>WarehouseData[[#This Row],[stock_level]]*WarehouseData[[#This Row],[unit_price]]</f>
        <v>53049.06</v>
      </c>
      <c r="AC1192">
        <f>WarehouseData[[#This Row],[stock_level]]*WarehouseData[[#This Row],[holding_cost_per_unit_day]]*30</f>
        <v>7030.7999999999993</v>
      </c>
      <c r="AD1192" t="str">
        <f>IF(WarehouseData[[#This Row],[order_fulfillment_rate]]&gt;=0.9,"Strong",IF(WarehouseData[[#This Row],[order_fulfillment_rate]]&gt;=0.8,"Moderate","Needs Attention"))</f>
        <v>Strong</v>
      </c>
      <c r="AE1192" t="str">
        <f>IF(WarehouseData[[#This Row],[picking_time_seconds]]&gt;120,"Slow",IF(WarehouseData[[#This Row],[picking_time_seconds]]&gt;=60,"Average","Fast"))</f>
        <v>Fast</v>
      </c>
    </row>
    <row r="1193" spans="1:31" x14ac:dyDescent="0.25">
      <c r="A1193" t="s">
        <v>1331</v>
      </c>
      <c r="B1193" t="s">
        <v>73</v>
      </c>
      <c r="C1193">
        <v>233</v>
      </c>
      <c r="D1193">
        <v>53</v>
      </c>
      <c r="E1193">
        <v>14</v>
      </c>
      <c r="F1193">
        <v>6</v>
      </c>
      <c r="G1193">
        <v>8.57</v>
      </c>
      <c r="H1193">
        <v>0.99</v>
      </c>
      <c r="I1193">
        <v>0.8</v>
      </c>
      <c r="J1193" t="s">
        <v>163</v>
      </c>
      <c r="K1193" t="s">
        <v>46</v>
      </c>
      <c r="L1193">
        <v>37</v>
      </c>
      <c r="M1193">
        <v>4.17</v>
      </c>
      <c r="N1193">
        <v>112.35</v>
      </c>
      <c r="O1193">
        <v>1.53</v>
      </c>
      <c r="P1193">
        <v>7</v>
      </c>
      <c r="Q1193">
        <v>0.77</v>
      </c>
      <c r="R1193">
        <v>679</v>
      </c>
      <c r="S1193">
        <v>14</v>
      </c>
      <c r="T1193">
        <v>0.34</v>
      </c>
      <c r="U1193" s="1">
        <v>45502</v>
      </c>
      <c r="V1193">
        <v>15.02</v>
      </c>
      <c r="W1193">
        <v>0.51600000000000001</v>
      </c>
      <c r="X1193" t="str">
        <f>IF(WarehouseData[[#This Row],[stock_level]]&lt;=WarehouseData[[#This Row],[reorder_point]],"Low Stock","Sufficient Stock")</f>
        <v>Sufficient Stock</v>
      </c>
      <c r="Y1193">
        <f>WarehouseData[[#This Row],[daily_demand]]*WarehouseData[[#This Row],[lead_time_days]]</f>
        <v>51.42</v>
      </c>
      <c r="Z1193" t="str">
        <f>IF(WarehouseData[[#This Row],[stock_level]]&lt;=WarehouseData[[#This Row],[Demand During Lead Time]],"At Risk","Safe")</f>
        <v>Safe</v>
      </c>
      <c r="AA1193">
        <f>WarehouseData[[#This Row],[stock_level]]/WarehouseData[[#This Row],[daily_demand]]</f>
        <v>27.18786464410735</v>
      </c>
      <c r="AB1193">
        <f>WarehouseData[[#This Row],[stock_level]]*WarehouseData[[#This Row],[unit_price]]</f>
        <v>26177.55</v>
      </c>
      <c r="AC1193">
        <f>WarehouseData[[#This Row],[stock_level]]*WarehouseData[[#This Row],[holding_cost_per_unit_day]]*30</f>
        <v>10694.7</v>
      </c>
      <c r="AD1193" t="str">
        <f>IF(WarehouseData[[#This Row],[order_fulfillment_rate]]&gt;=0.9,"Strong",IF(WarehouseData[[#This Row],[order_fulfillment_rate]]&gt;=0.8,"Moderate","Needs Attention"))</f>
        <v>Needs Attention</v>
      </c>
      <c r="AE1193" t="str">
        <f>IF(WarehouseData[[#This Row],[picking_time_seconds]]&gt;120,"Slow",IF(WarehouseData[[#This Row],[picking_time_seconds]]&gt;=60,"Average","Fast"))</f>
        <v>Fast</v>
      </c>
    </row>
    <row r="1194" spans="1:31" x14ac:dyDescent="0.25">
      <c r="A1194" t="s">
        <v>1332</v>
      </c>
      <c r="B1194" t="s">
        <v>36</v>
      </c>
      <c r="C1194">
        <v>275</v>
      </c>
      <c r="D1194">
        <v>83</v>
      </c>
      <c r="E1194">
        <v>3</v>
      </c>
      <c r="F1194">
        <v>9</v>
      </c>
      <c r="G1194">
        <v>41.32</v>
      </c>
      <c r="H1194">
        <v>5.77</v>
      </c>
      <c r="I1194">
        <v>0.79</v>
      </c>
      <c r="J1194" t="s">
        <v>62</v>
      </c>
      <c r="K1194" t="s">
        <v>46</v>
      </c>
      <c r="L1194">
        <v>10</v>
      </c>
      <c r="M1194">
        <v>1.73</v>
      </c>
      <c r="N1194">
        <v>131.33000000000001</v>
      </c>
      <c r="O1194">
        <v>1.58</v>
      </c>
      <c r="P1194">
        <v>4</v>
      </c>
      <c r="Q1194">
        <v>0.94</v>
      </c>
      <c r="R1194">
        <v>867</v>
      </c>
      <c r="S1194">
        <v>11.99</v>
      </c>
      <c r="T1194">
        <v>0.67</v>
      </c>
      <c r="U1194" s="1">
        <v>45573</v>
      </c>
      <c r="V1194">
        <v>29.84</v>
      </c>
      <c r="W1194">
        <v>0.64400000000000002</v>
      </c>
      <c r="X1194" t="str">
        <f>IF(WarehouseData[[#This Row],[stock_level]]&lt;=WarehouseData[[#This Row],[reorder_point]],"Low Stock","Sufficient Stock")</f>
        <v>Sufficient Stock</v>
      </c>
      <c r="Y1194">
        <f>WarehouseData[[#This Row],[daily_demand]]*WarehouseData[[#This Row],[lead_time_days]]</f>
        <v>371.88</v>
      </c>
      <c r="Z1194" t="str">
        <f>IF(WarehouseData[[#This Row],[stock_level]]&lt;=WarehouseData[[#This Row],[Demand During Lead Time]],"At Risk","Safe")</f>
        <v>At Risk</v>
      </c>
      <c r="AA1194">
        <f>WarehouseData[[#This Row],[stock_level]]/WarehouseData[[#This Row],[daily_demand]]</f>
        <v>6.6553727008712489</v>
      </c>
      <c r="AB1194">
        <f>WarehouseData[[#This Row],[stock_level]]*WarehouseData[[#This Row],[unit_price]]</f>
        <v>36115.75</v>
      </c>
      <c r="AC1194">
        <f>WarehouseData[[#This Row],[stock_level]]*WarehouseData[[#This Row],[holding_cost_per_unit_day]]*30</f>
        <v>13035</v>
      </c>
      <c r="AD1194" t="str">
        <f>IF(WarehouseData[[#This Row],[order_fulfillment_rate]]&gt;=0.9,"Strong",IF(WarehouseData[[#This Row],[order_fulfillment_rate]]&gt;=0.8,"Moderate","Needs Attention"))</f>
        <v>Strong</v>
      </c>
      <c r="AE1194" t="str">
        <f>IF(WarehouseData[[#This Row],[picking_time_seconds]]&gt;120,"Slow",IF(WarehouseData[[#This Row],[picking_time_seconds]]&gt;=60,"Average","Fast"))</f>
        <v>Fast</v>
      </c>
    </row>
    <row r="1195" spans="1:31" x14ac:dyDescent="0.25">
      <c r="A1195" t="s">
        <v>1333</v>
      </c>
      <c r="B1195" t="s">
        <v>48</v>
      </c>
      <c r="C1195">
        <v>154</v>
      </c>
      <c r="D1195">
        <v>71</v>
      </c>
      <c r="E1195">
        <v>11</v>
      </c>
      <c r="F1195">
        <v>2</v>
      </c>
      <c r="G1195">
        <v>27.47</v>
      </c>
      <c r="H1195">
        <v>7.91</v>
      </c>
      <c r="I1195">
        <v>0.81</v>
      </c>
      <c r="J1195" t="s">
        <v>202</v>
      </c>
      <c r="K1195" t="s">
        <v>38</v>
      </c>
      <c r="L1195">
        <v>135</v>
      </c>
      <c r="M1195">
        <v>4.95</v>
      </c>
      <c r="N1195">
        <v>129.55000000000001</v>
      </c>
      <c r="O1195">
        <v>1.83</v>
      </c>
      <c r="P1195">
        <v>7</v>
      </c>
      <c r="Q1195">
        <v>0.82</v>
      </c>
      <c r="R1195">
        <v>882</v>
      </c>
      <c r="S1195">
        <v>2.38</v>
      </c>
      <c r="T1195">
        <v>0.84</v>
      </c>
      <c r="U1195" s="1">
        <v>45537</v>
      </c>
      <c r="V1195">
        <v>259.5</v>
      </c>
      <c r="W1195">
        <v>0.441</v>
      </c>
      <c r="X1195" t="str">
        <f>IF(WarehouseData[[#This Row],[stock_level]]&lt;=WarehouseData[[#This Row],[reorder_point]],"Low Stock","Sufficient Stock")</f>
        <v>Sufficient Stock</v>
      </c>
      <c r="Y1195">
        <f>WarehouseData[[#This Row],[daily_demand]]*WarehouseData[[#This Row],[lead_time_days]]</f>
        <v>54.94</v>
      </c>
      <c r="Z1195" t="str">
        <f>IF(WarehouseData[[#This Row],[stock_level]]&lt;=WarehouseData[[#This Row],[Demand During Lead Time]],"At Risk","Safe")</f>
        <v>Safe</v>
      </c>
      <c r="AA1195">
        <f>WarehouseData[[#This Row],[stock_level]]/WarehouseData[[#This Row],[daily_demand]]</f>
        <v>5.6061157626501643</v>
      </c>
      <c r="AB1195">
        <f>WarehouseData[[#This Row],[stock_level]]*WarehouseData[[#This Row],[unit_price]]</f>
        <v>19950.7</v>
      </c>
      <c r="AC1195">
        <f>WarehouseData[[#This Row],[stock_level]]*WarehouseData[[#This Row],[holding_cost_per_unit_day]]*30</f>
        <v>8454.6</v>
      </c>
      <c r="AD1195" t="str">
        <f>IF(WarehouseData[[#This Row],[order_fulfillment_rate]]&gt;=0.9,"Strong",IF(WarehouseData[[#This Row],[order_fulfillment_rate]]&gt;=0.8,"Moderate","Needs Attention"))</f>
        <v>Moderate</v>
      </c>
      <c r="AE1195" t="str">
        <f>IF(WarehouseData[[#This Row],[picking_time_seconds]]&gt;120,"Slow",IF(WarehouseData[[#This Row],[picking_time_seconds]]&gt;=60,"Average","Fast"))</f>
        <v>Slow</v>
      </c>
    </row>
    <row r="1196" spans="1:31" x14ac:dyDescent="0.25">
      <c r="A1196" t="s">
        <v>1334</v>
      </c>
      <c r="B1196" t="s">
        <v>36</v>
      </c>
      <c r="C1196">
        <v>80</v>
      </c>
      <c r="D1196">
        <v>15</v>
      </c>
      <c r="E1196">
        <v>14</v>
      </c>
      <c r="F1196">
        <v>5</v>
      </c>
      <c r="G1196">
        <v>11.93</v>
      </c>
      <c r="H1196">
        <v>1.61</v>
      </c>
      <c r="I1196">
        <v>0.93</v>
      </c>
      <c r="J1196" t="s">
        <v>418</v>
      </c>
      <c r="K1196" t="s">
        <v>46</v>
      </c>
      <c r="L1196">
        <v>122</v>
      </c>
      <c r="M1196">
        <v>4.6500000000000004</v>
      </c>
      <c r="N1196">
        <v>144.54</v>
      </c>
      <c r="O1196">
        <v>1.34</v>
      </c>
      <c r="P1196">
        <v>8</v>
      </c>
      <c r="Q1196">
        <v>0.91</v>
      </c>
      <c r="R1196">
        <v>894</v>
      </c>
      <c r="S1196">
        <v>1.35</v>
      </c>
      <c r="T1196">
        <v>0.79</v>
      </c>
      <c r="U1196" s="1">
        <v>45323</v>
      </c>
      <c r="V1196">
        <v>92.25</v>
      </c>
      <c r="W1196">
        <v>0.46400000000000002</v>
      </c>
      <c r="X1196" t="str">
        <f>IF(WarehouseData[[#This Row],[stock_level]]&lt;=WarehouseData[[#This Row],[reorder_point]],"Low Stock","Sufficient Stock")</f>
        <v>Sufficient Stock</v>
      </c>
      <c r="Y1196">
        <f>WarehouseData[[#This Row],[daily_demand]]*WarehouseData[[#This Row],[lead_time_days]]</f>
        <v>59.65</v>
      </c>
      <c r="Z1196" t="str">
        <f>IF(WarehouseData[[#This Row],[stock_level]]&lt;=WarehouseData[[#This Row],[Demand During Lead Time]],"At Risk","Safe")</f>
        <v>Safe</v>
      </c>
      <c r="AA1196">
        <f>WarehouseData[[#This Row],[stock_level]]/WarehouseData[[#This Row],[daily_demand]]</f>
        <v>6.7057837384744348</v>
      </c>
      <c r="AB1196">
        <f>WarehouseData[[#This Row],[stock_level]]*WarehouseData[[#This Row],[unit_price]]</f>
        <v>11563.199999999999</v>
      </c>
      <c r="AC1196">
        <f>WarehouseData[[#This Row],[stock_level]]*WarehouseData[[#This Row],[holding_cost_per_unit_day]]*30</f>
        <v>3216</v>
      </c>
      <c r="AD1196" t="str">
        <f>IF(WarehouseData[[#This Row],[order_fulfillment_rate]]&gt;=0.9,"Strong",IF(WarehouseData[[#This Row],[order_fulfillment_rate]]&gt;=0.8,"Moderate","Needs Attention"))</f>
        <v>Strong</v>
      </c>
      <c r="AE1196" t="str">
        <f>IF(WarehouseData[[#This Row],[picking_time_seconds]]&gt;120,"Slow",IF(WarehouseData[[#This Row],[picking_time_seconds]]&gt;=60,"Average","Fast"))</f>
        <v>Slow</v>
      </c>
    </row>
    <row r="1197" spans="1:31" x14ac:dyDescent="0.25">
      <c r="A1197" t="s">
        <v>1335</v>
      </c>
      <c r="B1197" t="s">
        <v>73</v>
      </c>
      <c r="C1197">
        <v>382</v>
      </c>
      <c r="D1197">
        <v>26</v>
      </c>
      <c r="E1197">
        <v>5</v>
      </c>
      <c r="F1197">
        <v>5</v>
      </c>
      <c r="G1197">
        <v>20.95</v>
      </c>
      <c r="H1197">
        <v>4.34</v>
      </c>
      <c r="I1197">
        <v>0.21</v>
      </c>
      <c r="J1197" t="s">
        <v>265</v>
      </c>
      <c r="K1197" t="s">
        <v>46</v>
      </c>
      <c r="L1197">
        <v>56</v>
      </c>
      <c r="M1197">
        <v>3.8</v>
      </c>
      <c r="N1197">
        <v>131.65</v>
      </c>
      <c r="O1197">
        <v>1</v>
      </c>
      <c r="P1197">
        <v>3</v>
      </c>
      <c r="Q1197">
        <v>0.75</v>
      </c>
      <c r="R1197">
        <v>369</v>
      </c>
      <c r="S1197">
        <v>2.91</v>
      </c>
      <c r="T1197">
        <v>0.82</v>
      </c>
      <c r="U1197" s="1">
        <v>45336</v>
      </c>
      <c r="V1197">
        <v>102.25</v>
      </c>
      <c r="W1197">
        <v>0.59299999999999997</v>
      </c>
      <c r="X1197" t="str">
        <f>IF(WarehouseData[[#This Row],[stock_level]]&lt;=WarehouseData[[#This Row],[reorder_point]],"Low Stock","Sufficient Stock")</f>
        <v>Sufficient Stock</v>
      </c>
      <c r="Y1197">
        <f>WarehouseData[[#This Row],[daily_demand]]*WarehouseData[[#This Row],[lead_time_days]]</f>
        <v>104.75</v>
      </c>
      <c r="Z1197" t="str">
        <f>IF(WarehouseData[[#This Row],[stock_level]]&lt;=WarehouseData[[#This Row],[Demand During Lead Time]],"At Risk","Safe")</f>
        <v>Safe</v>
      </c>
      <c r="AA1197">
        <f>WarehouseData[[#This Row],[stock_level]]/WarehouseData[[#This Row],[daily_demand]]</f>
        <v>18.233890214797135</v>
      </c>
      <c r="AB1197">
        <f>WarehouseData[[#This Row],[stock_level]]*WarehouseData[[#This Row],[unit_price]]</f>
        <v>50290.3</v>
      </c>
      <c r="AC1197">
        <f>WarehouseData[[#This Row],[stock_level]]*WarehouseData[[#This Row],[holding_cost_per_unit_day]]*30</f>
        <v>11460</v>
      </c>
      <c r="AD1197" t="str">
        <f>IF(WarehouseData[[#This Row],[order_fulfillment_rate]]&gt;=0.9,"Strong",IF(WarehouseData[[#This Row],[order_fulfillment_rate]]&gt;=0.8,"Moderate","Needs Attention"))</f>
        <v>Needs Attention</v>
      </c>
      <c r="AE1197" t="str">
        <f>IF(WarehouseData[[#This Row],[picking_time_seconds]]&gt;120,"Slow",IF(WarehouseData[[#This Row],[picking_time_seconds]]&gt;=60,"Average","Fast"))</f>
        <v>Fast</v>
      </c>
    </row>
    <row r="1198" spans="1:31" x14ac:dyDescent="0.25">
      <c r="A1198" t="s">
        <v>1336</v>
      </c>
      <c r="B1198" t="s">
        <v>48</v>
      </c>
      <c r="C1198">
        <v>329</v>
      </c>
      <c r="D1198">
        <v>60</v>
      </c>
      <c r="E1198">
        <v>13</v>
      </c>
      <c r="F1198">
        <v>9</v>
      </c>
      <c r="G1198">
        <v>49.41</v>
      </c>
      <c r="H1198">
        <v>0.9</v>
      </c>
      <c r="I1198">
        <v>0.25</v>
      </c>
      <c r="J1198" t="s">
        <v>156</v>
      </c>
      <c r="K1198" t="s">
        <v>34</v>
      </c>
      <c r="L1198">
        <v>46</v>
      </c>
      <c r="M1198">
        <v>2.74</v>
      </c>
      <c r="N1198">
        <v>137.43</v>
      </c>
      <c r="O1198">
        <v>0.82</v>
      </c>
      <c r="P1198">
        <v>3</v>
      </c>
      <c r="Q1198">
        <v>0.86</v>
      </c>
      <c r="R1198">
        <v>72</v>
      </c>
      <c r="S1198">
        <v>5.51</v>
      </c>
      <c r="T1198">
        <v>0.45</v>
      </c>
      <c r="U1198" s="1">
        <v>45435</v>
      </c>
      <c r="V1198">
        <v>50.54</v>
      </c>
      <c r="W1198">
        <v>0.59299999999999997</v>
      </c>
      <c r="X1198" t="str">
        <f>IF(WarehouseData[[#This Row],[stock_level]]&lt;=WarehouseData[[#This Row],[reorder_point]],"Low Stock","Sufficient Stock")</f>
        <v>Sufficient Stock</v>
      </c>
      <c r="Y1198">
        <f>WarehouseData[[#This Row],[daily_demand]]*WarehouseData[[#This Row],[lead_time_days]]</f>
        <v>444.68999999999994</v>
      </c>
      <c r="Z1198" t="str">
        <f>IF(WarehouseData[[#This Row],[stock_level]]&lt;=WarehouseData[[#This Row],[Demand During Lead Time]],"At Risk","Safe")</f>
        <v>At Risk</v>
      </c>
      <c r="AA1198">
        <f>WarehouseData[[#This Row],[stock_level]]/WarehouseData[[#This Row],[daily_demand]]</f>
        <v>6.6585711394454572</v>
      </c>
      <c r="AB1198">
        <f>WarehouseData[[#This Row],[stock_level]]*WarehouseData[[#This Row],[unit_price]]</f>
        <v>45214.47</v>
      </c>
      <c r="AC1198">
        <f>WarehouseData[[#This Row],[stock_level]]*WarehouseData[[#This Row],[holding_cost_per_unit_day]]*30</f>
        <v>8093.4</v>
      </c>
      <c r="AD1198" t="str">
        <f>IF(WarehouseData[[#This Row],[order_fulfillment_rate]]&gt;=0.9,"Strong",IF(WarehouseData[[#This Row],[order_fulfillment_rate]]&gt;=0.8,"Moderate","Needs Attention"))</f>
        <v>Moderate</v>
      </c>
      <c r="AE1198" t="str">
        <f>IF(WarehouseData[[#This Row],[picking_time_seconds]]&gt;120,"Slow",IF(WarehouseData[[#This Row],[picking_time_seconds]]&gt;=60,"Average","Fast"))</f>
        <v>Fast</v>
      </c>
    </row>
    <row r="1199" spans="1:31" x14ac:dyDescent="0.25">
      <c r="A1199" t="s">
        <v>1337</v>
      </c>
      <c r="B1199" t="s">
        <v>36</v>
      </c>
      <c r="C1199">
        <v>107</v>
      </c>
      <c r="D1199">
        <v>47</v>
      </c>
      <c r="E1199">
        <v>8</v>
      </c>
      <c r="F1199">
        <v>9</v>
      </c>
      <c r="G1199">
        <v>39.39</v>
      </c>
      <c r="H1199">
        <v>6.99</v>
      </c>
      <c r="I1199">
        <v>0.4</v>
      </c>
      <c r="J1199" t="s">
        <v>379</v>
      </c>
      <c r="K1199" t="s">
        <v>46</v>
      </c>
      <c r="L1199">
        <v>95</v>
      </c>
      <c r="M1199">
        <v>3.95</v>
      </c>
      <c r="N1199">
        <v>147.91999999999999</v>
      </c>
      <c r="O1199">
        <v>0.9</v>
      </c>
      <c r="P1199">
        <v>6</v>
      </c>
      <c r="Q1199">
        <v>0.74</v>
      </c>
      <c r="R1199">
        <v>686</v>
      </c>
      <c r="S1199">
        <v>4.38</v>
      </c>
      <c r="T1199">
        <v>0.46</v>
      </c>
      <c r="U1199" s="1">
        <v>45488</v>
      </c>
      <c r="V1199">
        <v>74.7</v>
      </c>
      <c r="W1199">
        <v>0.48799999999999999</v>
      </c>
      <c r="X1199" t="str">
        <f>IF(WarehouseData[[#This Row],[stock_level]]&lt;=WarehouseData[[#This Row],[reorder_point]],"Low Stock","Sufficient Stock")</f>
        <v>Sufficient Stock</v>
      </c>
      <c r="Y1199">
        <f>WarehouseData[[#This Row],[daily_demand]]*WarehouseData[[#This Row],[lead_time_days]]</f>
        <v>354.51</v>
      </c>
      <c r="Z1199" t="str">
        <f>IF(WarehouseData[[#This Row],[stock_level]]&lt;=WarehouseData[[#This Row],[Demand During Lead Time]],"At Risk","Safe")</f>
        <v>At Risk</v>
      </c>
      <c r="AA1199">
        <f>WarehouseData[[#This Row],[stock_level]]/WarehouseData[[#This Row],[daily_demand]]</f>
        <v>2.7164254887027166</v>
      </c>
      <c r="AB1199">
        <f>WarehouseData[[#This Row],[stock_level]]*WarehouseData[[#This Row],[unit_price]]</f>
        <v>15827.439999999999</v>
      </c>
      <c r="AC1199">
        <f>WarehouseData[[#This Row],[stock_level]]*WarehouseData[[#This Row],[holding_cost_per_unit_day]]*30</f>
        <v>2889</v>
      </c>
      <c r="AD1199" t="str">
        <f>IF(WarehouseData[[#This Row],[order_fulfillment_rate]]&gt;=0.9,"Strong",IF(WarehouseData[[#This Row],[order_fulfillment_rate]]&gt;=0.8,"Moderate","Needs Attention"))</f>
        <v>Needs Attention</v>
      </c>
      <c r="AE1199" t="str">
        <f>IF(WarehouseData[[#This Row],[picking_time_seconds]]&gt;120,"Slow",IF(WarehouseData[[#This Row],[picking_time_seconds]]&gt;=60,"Average","Fast"))</f>
        <v>Average</v>
      </c>
    </row>
    <row r="1200" spans="1:31" x14ac:dyDescent="0.25">
      <c r="A1200" t="s">
        <v>1338</v>
      </c>
      <c r="B1200" t="s">
        <v>32</v>
      </c>
      <c r="C1200">
        <v>343</v>
      </c>
      <c r="D1200">
        <v>33</v>
      </c>
      <c r="E1200">
        <v>12</v>
      </c>
      <c r="F1200">
        <v>2</v>
      </c>
      <c r="G1200">
        <v>29.18</v>
      </c>
      <c r="H1200">
        <v>3.42</v>
      </c>
      <c r="I1200">
        <v>0.92</v>
      </c>
      <c r="J1200" t="s">
        <v>152</v>
      </c>
      <c r="K1200" t="s">
        <v>34</v>
      </c>
      <c r="L1200">
        <v>57</v>
      </c>
      <c r="M1200">
        <v>1.0900000000000001</v>
      </c>
      <c r="N1200">
        <v>163.72999999999999</v>
      </c>
      <c r="O1200">
        <v>1.72</v>
      </c>
      <c r="P1200">
        <v>4</v>
      </c>
      <c r="Q1200">
        <v>0.86</v>
      </c>
      <c r="R1200">
        <v>133</v>
      </c>
      <c r="S1200">
        <v>6.18</v>
      </c>
      <c r="T1200">
        <v>0.63</v>
      </c>
      <c r="U1200" s="1">
        <v>45362</v>
      </c>
      <c r="V1200">
        <v>81.680000000000007</v>
      </c>
      <c r="W1200">
        <v>0.52800000000000002</v>
      </c>
      <c r="X1200" t="str">
        <f>IF(WarehouseData[[#This Row],[stock_level]]&lt;=WarehouseData[[#This Row],[reorder_point]],"Low Stock","Sufficient Stock")</f>
        <v>Sufficient Stock</v>
      </c>
      <c r="Y1200">
        <f>WarehouseData[[#This Row],[daily_demand]]*WarehouseData[[#This Row],[lead_time_days]]</f>
        <v>58.36</v>
      </c>
      <c r="Z1200" t="str">
        <f>IF(WarehouseData[[#This Row],[stock_level]]&lt;=WarehouseData[[#This Row],[Demand During Lead Time]],"At Risk","Safe")</f>
        <v>Safe</v>
      </c>
      <c r="AA1200">
        <f>WarehouseData[[#This Row],[stock_level]]/WarehouseData[[#This Row],[daily_demand]]</f>
        <v>11.754626456477039</v>
      </c>
      <c r="AB1200">
        <f>WarehouseData[[#This Row],[stock_level]]*WarehouseData[[#This Row],[unit_price]]</f>
        <v>56159.39</v>
      </c>
      <c r="AC1200">
        <f>WarehouseData[[#This Row],[stock_level]]*WarehouseData[[#This Row],[holding_cost_per_unit_day]]*30</f>
        <v>17698.800000000003</v>
      </c>
      <c r="AD1200" t="str">
        <f>IF(WarehouseData[[#This Row],[order_fulfillment_rate]]&gt;=0.9,"Strong",IF(WarehouseData[[#This Row],[order_fulfillment_rate]]&gt;=0.8,"Moderate","Needs Attention"))</f>
        <v>Moderate</v>
      </c>
      <c r="AE1200" t="str">
        <f>IF(WarehouseData[[#This Row],[picking_time_seconds]]&gt;120,"Slow",IF(WarehouseData[[#This Row],[picking_time_seconds]]&gt;=60,"Average","Fast"))</f>
        <v>Fast</v>
      </c>
    </row>
    <row r="1201" spans="1:31" x14ac:dyDescent="0.25">
      <c r="A1201" t="s">
        <v>1339</v>
      </c>
      <c r="B1201" t="s">
        <v>48</v>
      </c>
      <c r="C1201">
        <v>495</v>
      </c>
      <c r="D1201">
        <v>60</v>
      </c>
      <c r="E1201">
        <v>12</v>
      </c>
      <c r="F1201">
        <v>8</v>
      </c>
      <c r="G1201">
        <v>6.64</v>
      </c>
      <c r="H1201">
        <v>5.81</v>
      </c>
      <c r="I1201">
        <v>0.8</v>
      </c>
      <c r="J1201" t="s">
        <v>150</v>
      </c>
      <c r="K1201" t="s">
        <v>52</v>
      </c>
      <c r="L1201">
        <v>117</v>
      </c>
      <c r="M1201">
        <v>1.9</v>
      </c>
      <c r="N1201">
        <v>86.58</v>
      </c>
      <c r="O1201">
        <v>1.96</v>
      </c>
      <c r="P1201">
        <v>9</v>
      </c>
      <c r="Q1201">
        <v>0.77</v>
      </c>
      <c r="R1201">
        <v>760</v>
      </c>
      <c r="S1201">
        <v>3</v>
      </c>
      <c r="T1201">
        <v>0.42</v>
      </c>
      <c r="U1201" s="1">
        <v>45506</v>
      </c>
      <c r="V1201">
        <v>129.51</v>
      </c>
      <c r="W1201">
        <v>0.30199999999999999</v>
      </c>
      <c r="X1201" t="str">
        <f>IF(WarehouseData[[#This Row],[stock_level]]&lt;=WarehouseData[[#This Row],[reorder_point]],"Low Stock","Sufficient Stock")</f>
        <v>Sufficient Stock</v>
      </c>
      <c r="Y1201">
        <f>WarehouseData[[#This Row],[daily_demand]]*WarehouseData[[#This Row],[lead_time_days]]</f>
        <v>53.12</v>
      </c>
      <c r="Z1201" t="str">
        <f>IF(WarehouseData[[#This Row],[stock_level]]&lt;=WarehouseData[[#This Row],[Demand During Lead Time]],"At Risk","Safe")</f>
        <v>Safe</v>
      </c>
      <c r="AA1201">
        <f>WarehouseData[[#This Row],[stock_level]]/WarehouseData[[#This Row],[daily_demand]]</f>
        <v>74.548192771084345</v>
      </c>
      <c r="AB1201">
        <f>WarehouseData[[#This Row],[stock_level]]*WarehouseData[[#This Row],[unit_price]]</f>
        <v>42857.1</v>
      </c>
      <c r="AC1201">
        <f>WarehouseData[[#This Row],[stock_level]]*WarehouseData[[#This Row],[holding_cost_per_unit_day]]*30</f>
        <v>29105.999999999996</v>
      </c>
      <c r="AD1201" t="str">
        <f>IF(WarehouseData[[#This Row],[order_fulfillment_rate]]&gt;=0.9,"Strong",IF(WarehouseData[[#This Row],[order_fulfillment_rate]]&gt;=0.8,"Moderate","Needs Attention"))</f>
        <v>Needs Attention</v>
      </c>
      <c r="AE1201" t="str">
        <f>IF(WarehouseData[[#This Row],[picking_time_seconds]]&gt;120,"Slow",IF(WarehouseData[[#This Row],[picking_time_seconds]]&gt;=60,"Average","Fast"))</f>
        <v>Average</v>
      </c>
    </row>
    <row r="1202" spans="1:31" x14ac:dyDescent="0.25">
      <c r="A1202" t="s">
        <v>1340</v>
      </c>
      <c r="B1202" t="s">
        <v>48</v>
      </c>
      <c r="C1202">
        <v>226</v>
      </c>
      <c r="D1202">
        <v>19</v>
      </c>
      <c r="E1202">
        <v>13</v>
      </c>
      <c r="F1202">
        <v>5</v>
      </c>
      <c r="G1202">
        <v>21.47</v>
      </c>
      <c r="H1202">
        <v>9.36</v>
      </c>
      <c r="I1202">
        <v>0.39</v>
      </c>
      <c r="J1202" t="s">
        <v>263</v>
      </c>
      <c r="K1202" t="s">
        <v>46</v>
      </c>
      <c r="L1202">
        <v>28</v>
      </c>
      <c r="M1202">
        <v>0.62</v>
      </c>
      <c r="N1202">
        <v>151.71</v>
      </c>
      <c r="O1202">
        <v>0.2</v>
      </c>
      <c r="P1202">
        <v>0</v>
      </c>
      <c r="Q1202">
        <v>0.84</v>
      </c>
      <c r="R1202">
        <v>375</v>
      </c>
      <c r="S1202">
        <v>11.54</v>
      </c>
      <c r="T1202">
        <v>0.28999999999999998</v>
      </c>
      <c r="U1202" s="1">
        <v>45394</v>
      </c>
      <c r="V1202">
        <v>190.71</v>
      </c>
      <c r="W1202">
        <v>0.76</v>
      </c>
      <c r="X1202" t="str">
        <f>IF(WarehouseData[[#This Row],[stock_level]]&lt;=WarehouseData[[#This Row],[reorder_point]],"Low Stock","Sufficient Stock")</f>
        <v>Sufficient Stock</v>
      </c>
      <c r="Y1202">
        <f>WarehouseData[[#This Row],[daily_demand]]*WarehouseData[[#This Row],[lead_time_days]]</f>
        <v>107.35</v>
      </c>
      <c r="Z1202" t="str">
        <f>IF(WarehouseData[[#This Row],[stock_level]]&lt;=WarehouseData[[#This Row],[Demand During Lead Time]],"At Risk","Safe")</f>
        <v>Safe</v>
      </c>
      <c r="AA1202">
        <f>WarehouseData[[#This Row],[stock_level]]/WarehouseData[[#This Row],[daily_demand]]</f>
        <v>10.526315789473685</v>
      </c>
      <c r="AB1202">
        <f>WarehouseData[[#This Row],[stock_level]]*WarehouseData[[#This Row],[unit_price]]</f>
        <v>34286.46</v>
      </c>
      <c r="AC1202">
        <f>WarehouseData[[#This Row],[stock_level]]*WarehouseData[[#This Row],[holding_cost_per_unit_day]]*30</f>
        <v>1356</v>
      </c>
      <c r="AD1202" t="str">
        <f>IF(WarehouseData[[#This Row],[order_fulfillment_rate]]&gt;=0.9,"Strong",IF(WarehouseData[[#This Row],[order_fulfillment_rate]]&gt;=0.8,"Moderate","Needs Attention"))</f>
        <v>Moderate</v>
      </c>
      <c r="AE1202" t="str">
        <f>IF(WarehouseData[[#This Row],[picking_time_seconds]]&gt;120,"Slow",IF(WarehouseData[[#This Row],[picking_time_seconds]]&gt;=60,"Average","Fast"))</f>
        <v>Fast</v>
      </c>
    </row>
    <row r="1203" spans="1:31" x14ac:dyDescent="0.25">
      <c r="A1203" t="s">
        <v>1341</v>
      </c>
      <c r="B1203" t="s">
        <v>32</v>
      </c>
      <c r="C1203">
        <v>148</v>
      </c>
      <c r="D1203">
        <v>81</v>
      </c>
      <c r="E1203">
        <v>14</v>
      </c>
      <c r="F1203">
        <v>7</v>
      </c>
      <c r="G1203">
        <v>13.89</v>
      </c>
      <c r="H1203">
        <v>3.41</v>
      </c>
      <c r="I1203">
        <v>0.18</v>
      </c>
      <c r="J1203" t="s">
        <v>234</v>
      </c>
      <c r="K1203" t="s">
        <v>38</v>
      </c>
      <c r="L1203">
        <v>151</v>
      </c>
      <c r="M1203">
        <v>3.4</v>
      </c>
      <c r="N1203">
        <v>29.04</v>
      </c>
      <c r="O1203">
        <v>1.2</v>
      </c>
      <c r="P1203">
        <v>7</v>
      </c>
      <c r="Q1203">
        <v>0.9</v>
      </c>
      <c r="R1203">
        <v>748</v>
      </c>
      <c r="S1203">
        <v>12.83</v>
      </c>
      <c r="T1203">
        <v>0.56999999999999995</v>
      </c>
      <c r="U1203" s="1">
        <v>45621</v>
      </c>
      <c r="V1203">
        <v>112.42</v>
      </c>
      <c r="W1203">
        <v>0.60499999999999998</v>
      </c>
      <c r="X1203" t="str">
        <f>IF(WarehouseData[[#This Row],[stock_level]]&lt;=WarehouseData[[#This Row],[reorder_point]],"Low Stock","Sufficient Stock")</f>
        <v>Sufficient Stock</v>
      </c>
      <c r="Y1203">
        <f>WarehouseData[[#This Row],[daily_demand]]*WarehouseData[[#This Row],[lead_time_days]]</f>
        <v>97.23</v>
      </c>
      <c r="Z1203" t="str">
        <f>IF(WarehouseData[[#This Row],[stock_level]]&lt;=WarehouseData[[#This Row],[Demand During Lead Time]],"At Risk","Safe")</f>
        <v>Safe</v>
      </c>
      <c r="AA1203">
        <f>WarehouseData[[#This Row],[stock_level]]/WarehouseData[[#This Row],[daily_demand]]</f>
        <v>10.655147588192944</v>
      </c>
      <c r="AB1203">
        <f>WarehouseData[[#This Row],[stock_level]]*WarehouseData[[#This Row],[unit_price]]</f>
        <v>4297.92</v>
      </c>
      <c r="AC1203">
        <f>WarehouseData[[#This Row],[stock_level]]*WarehouseData[[#This Row],[holding_cost_per_unit_day]]*30</f>
        <v>5328</v>
      </c>
      <c r="AD1203" t="str">
        <f>IF(WarehouseData[[#This Row],[order_fulfillment_rate]]&gt;=0.9,"Strong",IF(WarehouseData[[#This Row],[order_fulfillment_rate]]&gt;=0.8,"Moderate","Needs Attention"))</f>
        <v>Strong</v>
      </c>
      <c r="AE1203" t="str">
        <f>IF(WarehouseData[[#This Row],[picking_time_seconds]]&gt;120,"Slow",IF(WarehouseData[[#This Row],[picking_time_seconds]]&gt;=60,"Average","Fast"))</f>
        <v>Slow</v>
      </c>
    </row>
    <row r="1204" spans="1:31" x14ac:dyDescent="0.25">
      <c r="A1204" t="s">
        <v>1342</v>
      </c>
      <c r="B1204" t="s">
        <v>40</v>
      </c>
      <c r="C1204">
        <v>330</v>
      </c>
      <c r="D1204">
        <v>30</v>
      </c>
      <c r="E1204">
        <v>11</v>
      </c>
      <c r="F1204">
        <v>9</v>
      </c>
      <c r="G1204">
        <v>4.4800000000000004</v>
      </c>
      <c r="H1204">
        <v>0.96</v>
      </c>
      <c r="I1204">
        <v>0.65</v>
      </c>
      <c r="J1204" t="s">
        <v>148</v>
      </c>
      <c r="K1204" t="s">
        <v>34</v>
      </c>
      <c r="L1204">
        <v>92</v>
      </c>
      <c r="M1204">
        <v>4.12</v>
      </c>
      <c r="N1204">
        <v>176.48</v>
      </c>
      <c r="O1204">
        <v>1.0900000000000001</v>
      </c>
      <c r="P1204">
        <v>3</v>
      </c>
      <c r="Q1204">
        <v>0.96</v>
      </c>
      <c r="R1204">
        <v>378</v>
      </c>
      <c r="S1204">
        <v>7.83</v>
      </c>
      <c r="T1204">
        <v>0.2</v>
      </c>
      <c r="U1204" s="1">
        <v>45561</v>
      </c>
      <c r="V1204">
        <v>140.46</v>
      </c>
      <c r="W1204">
        <v>0.56699999999999995</v>
      </c>
      <c r="X1204" t="str">
        <f>IF(WarehouseData[[#This Row],[stock_level]]&lt;=WarehouseData[[#This Row],[reorder_point]],"Low Stock","Sufficient Stock")</f>
        <v>Sufficient Stock</v>
      </c>
      <c r="Y1204">
        <f>WarehouseData[[#This Row],[daily_demand]]*WarehouseData[[#This Row],[lead_time_days]]</f>
        <v>40.320000000000007</v>
      </c>
      <c r="Z1204" t="str">
        <f>IF(WarehouseData[[#This Row],[stock_level]]&lt;=WarehouseData[[#This Row],[Demand During Lead Time]],"At Risk","Safe")</f>
        <v>Safe</v>
      </c>
      <c r="AA1204">
        <f>WarehouseData[[#This Row],[stock_level]]/WarehouseData[[#This Row],[daily_demand]]</f>
        <v>73.660714285714278</v>
      </c>
      <c r="AB1204">
        <f>WarehouseData[[#This Row],[stock_level]]*WarehouseData[[#This Row],[unit_price]]</f>
        <v>58238.399999999994</v>
      </c>
      <c r="AC1204">
        <f>WarehouseData[[#This Row],[stock_level]]*WarehouseData[[#This Row],[holding_cost_per_unit_day]]*30</f>
        <v>10791.000000000002</v>
      </c>
      <c r="AD1204" t="str">
        <f>IF(WarehouseData[[#This Row],[order_fulfillment_rate]]&gt;=0.9,"Strong",IF(WarehouseData[[#This Row],[order_fulfillment_rate]]&gt;=0.8,"Moderate","Needs Attention"))</f>
        <v>Strong</v>
      </c>
      <c r="AE1204" t="str">
        <f>IF(WarehouseData[[#This Row],[picking_time_seconds]]&gt;120,"Slow",IF(WarehouseData[[#This Row],[picking_time_seconds]]&gt;=60,"Average","Fast"))</f>
        <v>Average</v>
      </c>
    </row>
    <row r="1205" spans="1:31" x14ac:dyDescent="0.25">
      <c r="A1205" t="s">
        <v>1343</v>
      </c>
      <c r="B1205" t="s">
        <v>73</v>
      </c>
      <c r="C1205">
        <v>22</v>
      </c>
      <c r="D1205">
        <v>79</v>
      </c>
      <c r="E1205">
        <v>13</v>
      </c>
      <c r="F1205">
        <v>6</v>
      </c>
      <c r="G1205">
        <v>27.57</v>
      </c>
      <c r="H1205">
        <v>6.92</v>
      </c>
      <c r="I1205">
        <v>0.33</v>
      </c>
      <c r="J1205" t="s">
        <v>377</v>
      </c>
      <c r="K1205" t="s">
        <v>52</v>
      </c>
      <c r="L1205">
        <v>74</v>
      </c>
      <c r="M1205">
        <v>4.76</v>
      </c>
      <c r="N1205">
        <v>65.11</v>
      </c>
      <c r="O1205">
        <v>0.81</v>
      </c>
      <c r="P1205">
        <v>7</v>
      </c>
      <c r="Q1205">
        <v>0.75</v>
      </c>
      <c r="R1205">
        <v>653</v>
      </c>
      <c r="S1205">
        <v>14.39</v>
      </c>
      <c r="T1205">
        <v>0.81</v>
      </c>
      <c r="U1205" s="1">
        <v>45419</v>
      </c>
      <c r="V1205">
        <v>62.75</v>
      </c>
      <c r="W1205">
        <v>0.68300000000000005</v>
      </c>
      <c r="X1205" t="str">
        <f>IF(WarehouseData[[#This Row],[stock_level]]&lt;=WarehouseData[[#This Row],[reorder_point]],"Low Stock","Sufficient Stock")</f>
        <v>Low Stock</v>
      </c>
      <c r="Y1205">
        <f>WarehouseData[[#This Row],[daily_demand]]*WarehouseData[[#This Row],[lead_time_days]]</f>
        <v>165.42000000000002</v>
      </c>
      <c r="Z1205" t="str">
        <f>IF(WarehouseData[[#This Row],[stock_level]]&lt;=WarehouseData[[#This Row],[Demand During Lead Time]],"At Risk","Safe")</f>
        <v>At Risk</v>
      </c>
      <c r="AA1205">
        <f>WarehouseData[[#This Row],[stock_level]]/WarehouseData[[#This Row],[daily_demand]]</f>
        <v>0.79796880667392089</v>
      </c>
      <c r="AB1205">
        <f>WarehouseData[[#This Row],[stock_level]]*WarehouseData[[#This Row],[unit_price]]</f>
        <v>1432.42</v>
      </c>
      <c r="AC1205">
        <f>WarehouseData[[#This Row],[stock_level]]*WarehouseData[[#This Row],[holding_cost_per_unit_day]]*30</f>
        <v>534.6</v>
      </c>
      <c r="AD1205" t="str">
        <f>IF(WarehouseData[[#This Row],[order_fulfillment_rate]]&gt;=0.9,"Strong",IF(WarehouseData[[#This Row],[order_fulfillment_rate]]&gt;=0.8,"Moderate","Needs Attention"))</f>
        <v>Needs Attention</v>
      </c>
      <c r="AE1205" t="str">
        <f>IF(WarehouseData[[#This Row],[picking_time_seconds]]&gt;120,"Slow",IF(WarehouseData[[#This Row],[picking_time_seconds]]&gt;=60,"Average","Fast"))</f>
        <v>Average</v>
      </c>
    </row>
    <row r="1206" spans="1:31" x14ac:dyDescent="0.25">
      <c r="A1206" t="s">
        <v>1344</v>
      </c>
      <c r="B1206" t="s">
        <v>40</v>
      </c>
      <c r="C1206">
        <v>481</v>
      </c>
      <c r="D1206">
        <v>94</v>
      </c>
      <c r="E1206">
        <v>5</v>
      </c>
      <c r="F1206">
        <v>5</v>
      </c>
      <c r="G1206">
        <v>44.57</v>
      </c>
      <c r="H1206">
        <v>7.97</v>
      </c>
      <c r="I1206">
        <v>0.57999999999999996</v>
      </c>
      <c r="J1206" t="s">
        <v>104</v>
      </c>
      <c r="K1206" t="s">
        <v>38</v>
      </c>
      <c r="L1206">
        <v>35</v>
      </c>
      <c r="M1206">
        <v>3.59</v>
      </c>
      <c r="N1206">
        <v>86.66</v>
      </c>
      <c r="O1206">
        <v>1.72</v>
      </c>
      <c r="P1206">
        <v>1</v>
      </c>
      <c r="Q1206">
        <v>0.97</v>
      </c>
      <c r="R1206">
        <v>379</v>
      </c>
      <c r="S1206">
        <v>2.68</v>
      </c>
      <c r="T1206">
        <v>0.8</v>
      </c>
      <c r="U1206" s="1">
        <v>45614</v>
      </c>
      <c r="V1206">
        <v>26.35</v>
      </c>
      <c r="W1206">
        <v>0.59799999999999998</v>
      </c>
      <c r="X1206" t="str">
        <f>IF(WarehouseData[[#This Row],[stock_level]]&lt;=WarehouseData[[#This Row],[reorder_point]],"Low Stock","Sufficient Stock")</f>
        <v>Sufficient Stock</v>
      </c>
      <c r="Y1206">
        <f>WarehouseData[[#This Row],[daily_demand]]*WarehouseData[[#This Row],[lead_time_days]]</f>
        <v>222.85</v>
      </c>
      <c r="Z1206" t="str">
        <f>IF(WarehouseData[[#This Row],[stock_level]]&lt;=WarehouseData[[#This Row],[Demand During Lead Time]],"At Risk","Safe")</f>
        <v>Safe</v>
      </c>
      <c r="AA1206">
        <f>WarehouseData[[#This Row],[stock_level]]/WarehouseData[[#This Row],[daily_demand]]</f>
        <v>10.792012564505272</v>
      </c>
      <c r="AB1206">
        <f>WarehouseData[[#This Row],[stock_level]]*WarehouseData[[#This Row],[unit_price]]</f>
        <v>41683.46</v>
      </c>
      <c r="AC1206">
        <f>WarehouseData[[#This Row],[stock_level]]*WarehouseData[[#This Row],[holding_cost_per_unit_day]]*30</f>
        <v>24819.599999999999</v>
      </c>
      <c r="AD1206" t="str">
        <f>IF(WarehouseData[[#This Row],[order_fulfillment_rate]]&gt;=0.9,"Strong",IF(WarehouseData[[#This Row],[order_fulfillment_rate]]&gt;=0.8,"Moderate","Needs Attention"))</f>
        <v>Strong</v>
      </c>
      <c r="AE1206" t="str">
        <f>IF(WarehouseData[[#This Row],[picking_time_seconds]]&gt;120,"Slow",IF(WarehouseData[[#This Row],[picking_time_seconds]]&gt;=60,"Average","Fast"))</f>
        <v>Fast</v>
      </c>
    </row>
    <row r="1207" spans="1:31" x14ac:dyDescent="0.25">
      <c r="A1207" t="s">
        <v>1345</v>
      </c>
      <c r="B1207" t="s">
        <v>36</v>
      </c>
      <c r="C1207">
        <v>441</v>
      </c>
      <c r="D1207">
        <v>66</v>
      </c>
      <c r="E1207">
        <v>7</v>
      </c>
      <c r="F1207">
        <v>7</v>
      </c>
      <c r="G1207">
        <v>34.1</v>
      </c>
      <c r="H1207">
        <v>9.6</v>
      </c>
      <c r="I1207">
        <v>0.95</v>
      </c>
      <c r="J1207" t="s">
        <v>265</v>
      </c>
      <c r="K1207" t="s">
        <v>34</v>
      </c>
      <c r="L1207">
        <v>147</v>
      </c>
      <c r="M1207">
        <v>3.79</v>
      </c>
      <c r="N1207">
        <v>162.69</v>
      </c>
      <c r="O1207">
        <v>1.19</v>
      </c>
      <c r="P1207">
        <v>3</v>
      </c>
      <c r="Q1207">
        <v>0.82</v>
      </c>
      <c r="R1207">
        <v>743</v>
      </c>
      <c r="S1207">
        <v>2.48</v>
      </c>
      <c r="T1207">
        <v>0.64</v>
      </c>
      <c r="U1207" s="1">
        <v>45570</v>
      </c>
      <c r="V1207">
        <v>110.99</v>
      </c>
      <c r="W1207">
        <v>0.54600000000000004</v>
      </c>
      <c r="X1207" t="str">
        <f>IF(WarehouseData[[#This Row],[stock_level]]&lt;=WarehouseData[[#This Row],[reorder_point]],"Low Stock","Sufficient Stock")</f>
        <v>Sufficient Stock</v>
      </c>
      <c r="Y1207">
        <f>WarehouseData[[#This Row],[daily_demand]]*WarehouseData[[#This Row],[lead_time_days]]</f>
        <v>238.70000000000002</v>
      </c>
      <c r="Z1207" t="str">
        <f>IF(WarehouseData[[#This Row],[stock_level]]&lt;=WarehouseData[[#This Row],[Demand During Lead Time]],"At Risk","Safe")</f>
        <v>Safe</v>
      </c>
      <c r="AA1207">
        <f>WarehouseData[[#This Row],[stock_level]]/WarehouseData[[#This Row],[daily_demand]]</f>
        <v>12.932551319648093</v>
      </c>
      <c r="AB1207">
        <f>WarehouseData[[#This Row],[stock_level]]*WarehouseData[[#This Row],[unit_price]]</f>
        <v>71746.289999999994</v>
      </c>
      <c r="AC1207">
        <f>WarehouseData[[#This Row],[stock_level]]*WarehouseData[[#This Row],[holding_cost_per_unit_day]]*30</f>
        <v>15743.699999999999</v>
      </c>
      <c r="AD1207" t="str">
        <f>IF(WarehouseData[[#This Row],[order_fulfillment_rate]]&gt;=0.9,"Strong",IF(WarehouseData[[#This Row],[order_fulfillment_rate]]&gt;=0.8,"Moderate","Needs Attention"))</f>
        <v>Moderate</v>
      </c>
      <c r="AE1207" t="str">
        <f>IF(WarehouseData[[#This Row],[picking_time_seconds]]&gt;120,"Slow",IF(WarehouseData[[#This Row],[picking_time_seconds]]&gt;=60,"Average","Fast"))</f>
        <v>Slow</v>
      </c>
    </row>
    <row r="1208" spans="1:31" x14ac:dyDescent="0.25">
      <c r="A1208" t="s">
        <v>1346</v>
      </c>
      <c r="B1208" t="s">
        <v>32</v>
      </c>
      <c r="C1208">
        <v>261</v>
      </c>
      <c r="D1208">
        <v>48</v>
      </c>
      <c r="E1208">
        <v>7</v>
      </c>
      <c r="F1208">
        <v>6</v>
      </c>
      <c r="G1208">
        <v>13.23</v>
      </c>
      <c r="H1208">
        <v>2</v>
      </c>
      <c r="I1208">
        <v>0.62</v>
      </c>
      <c r="J1208" t="s">
        <v>181</v>
      </c>
      <c r="K1208" t="s">
        <v>52</v>
      </c>
      <c r="L1208">
        <v>108</v>
      </c>
      <c r="M1208">
        <v>4.53</v>
      </c>
      <c r="N1208">
        <v>131.03</v>
      </c>
      <c r="O1208">
        <v>0.69</v>
      </c>
      <c r="P1208">
        <v>1</v>
      </c>
      <c r="Q1208">
        <v>0.95</v>
      </c>
      <c r="R1208">
        <v>788</v>
      </c>
      <c r="S1208">
        <v>3.81</v>
      </c>
      <c r="T1208">
        <v>0.8</v>
      </c>
      <c r="U1208" s="1">
        <v>45301</v>
      </c>
      <c r="V1208">
        <v>28.12</v>
      </c>
      <c r="W1208">
        <v>0.71199999999999997</v>
      </c>
      <c r="X1208" t="str">
        <f>IF(WarehouseData[[#This Row],[stock_level]]&lt;=WarehouseData[[#This Row],[reorder_point]],"Low Stock","Sufficient Stock")</f>
        <v>Sufficient Stock</v>
      </c>
      <c r="Y1208">
        <f>WarehouseData[[#This Row],[daily_demand]]*WarehouseData[[#This Row],[lead_time_days]]</f>
        <v>79.38</v>
      </c>
      <c r="Z1208" t="str">
        <f>IF(WarehouseData[[#This Row],[stock_level]]&lt;=WarehouseData[[#This Row],[Demand During Lead Time]],"At Risk","Safe")</f>
        <v>Safe</v>
      </c>
      <c r="AA1208">
        <f>WarehouseData[[#This Row],[stock_level]]/WarehouseData[[#This Row],[daily_demand]]</f>
        <v>19.727891156462583</v>
      </c>
      <c r="AB1208">
        <f>WarehouseData[[#This Row],[stock_level]]*WarehouseData[[#This Row],[unit_price]]</f>
        <v>34198.83</v>
      </c>
      <c r="AC1208">
        <f>WarehouseData[[#This Row],[stock_level]]*WarehouseData[[#This Row],[holding_cost_per_unit_day]]*30</f>
        <v>5402.6999999999989</v>
      </c>
      <c r="AD1208" t="str">
        <f>IF(WarehouseData[[#This Row],[order_fulfillment_rate]]&gt;=0.9,"Strong",IF(WarehouseData[[#This Row],[order_fulfillment_rate]]&gt;=0.8,"Moderate","Needs Attention"))</f>
        <v>Strong</v>
      </c>
      <c r="AE1208" t="str">
        <f>IF(WarehouseData[[#This Row],[picking_time_seconds]]&gt;120,"Slow",IF(WarehouseData[[#This Row],[picking_time_seconds]]&gt;=60,"Average","Fast"))</f>
        <v>Average</v>
      </c>
    </row>
    <row r="1209" spans="1:31" x14ac:dyDescent="0.25">
      <c r="A1209" t="s">
        <v>1347</v>
      </c>
      <c r="B1209" t="s">
        <v>40</v>
      </c>
      <c r="C1209">
        <v>140</v>
      </c>
      <c r="D1209">
        <v>97</v>
      </c>
      <c r="E1209">
        <v>12</v>
      </c>
      <c r="F1209">
        <v>9</v>
      </c>
      <c r="G1209">
        <v>29.11</v>
      </c>
      <c r="H1209">
        <v>4.2300000000000004</v>
      </c>
      <c r="I1209">
        <v>0.93</v>
      </c>
      <c r="J1209" t="s">
        <v>185</v>
      </c>
      <c r="K1209" t="s">
        <v>38</v>
      </c>
      <c r="L1209">
        <v>86</v>
      </c>
      <c r="M1209">
        <v>4.71</v>
      </c>
      <c r="N1209">
        <v>68.64</v>
      </c>
      <c r="O1209">
        <v>0.94</v>
      </c>
      <c r="P1209">
        <v>4</v>
      </c>
      <c r="Q1209">
        <v>0.85</v>
      </c>
      <c r="R1209">
        <v>760</v>
      </c>
      <c r="S1209">
        <v>14.75</v>
      </c>
      <c r="T1209">
        <v>0.7</v>
      </c>
      <c r="U1209" s="1">
        <v>45487</v>
      </c>
      <c r="V1209">
        <v>96.92</v>
      </c>
      <c r="W1209">
        <v>0.73299999999999998</v>
      </c>
      <c r="X1209" t="str">
        <f>IF(WarehouseData[[#This Row],[stock_level]]&lt;=WarehouseData[[#This Row],[reorder_point]],"Low Stock","Sufficient Stock")</f>
        <v>Sufficient Stock</v>
      </c>
      <c r="Y1209">
        <f>WarehouseData[[#This Row],[daily_demand]]*WarehouseData[[#This Row],[lead_time_days]]</f>
        <v>261.99</v>
      </c>
      <c r="Z1209" t="str">
        <f>IF(WarehouseData[[#This Row],[stock_level]]&lt;=WarehouseData[[#This Row],[Demand During Lead Time]],"At Risk","Safe")</f>
        <v>At Risk</v>
      </c>
      <c r="AA1209">
        <f>WarehouseData[[#This Row],[stock_level]]/WarehouseData[[#This Row],[daily_demand]]</f>
        <v>4.8093438680865681</v>
      </c>
      <c r="AB1209">
        <f>WarehouseData[[#This Row],[stock_level]]*WarehouseData[[#This Row],[unit_price]]</f>
        <v>9609.6</v>
      </c>
      <c r="AC1209">
        <f>WarehouseData[[#This Row],[stock_level]]*WarehouseData[[#This Row],[holding_cost_per_unit_day]]*30</f>
        <v>3948</v>
      </c>
      <c r="AD1209" t="str">
        <f>IF(WarehouseData[[#This Row],[order_fulfillment_rate]]&gt;=0.9,"Strong",IF(WarehouseData[[#This Row],[order_fulfillment_rate]]&gt;=0.8,"Moderate","Needs Attention"))</f>
        <v>Moderate</v>
      </c>
      <c r="AE1209" t="str">
        <f>IF(WarehouseData[[#This Row],[picking_time_seconds]]&gt;120,"Slow",IF(WarehouseData[[#This Row],[picking_time_seconds]]&gt;=60,"Average","Fast"))</f>
        <v>Average</v>
      </c>
    </row>
    <row r="1210" spans="1:31" x14ac:dyDescent="0.25">
      <c r="A1210" t="s">
        <v>1348</v>
      </c>
      <c r="B1210" t="s">
        <v>48</v>
      </c>
      <c r="C1210">
        <v>404</v>
      </c>
      <c r="D1210">
        <v>42</v>
      </c>
      <c r="E1210">
        <v>9</v>
      </c>
      <c r="F1210">
        <v>7</v>
      </c>
      <c r="G1210">
        <v>47.22</v>
      </c>
      <c r="H1210">
        <v>8.52</v>
      </c>
      <c r="I1210">
        <v>0.45</v>
      </c>
      <c r="J1210" t="s">
        <v>144</v>
      </c>
      <c r="K1210" t="s">
        <v>46</v>
      </c>
      <c r="L1210">
        <v>79</v>
      </c>
      <c r="M1210">
        <v>2.71</v>
      </c>
      <c r="N1210">
        <v>52.83</v>
      </c>
      <c r="O1210">
        <v>0.78</v>
      </c>
      <c r="P1210">
        <v>9</v>
      </c>
      <c r="Q1210">
        <v>0.96</v>
      </c>
      <c r="R1210">
        <v>522</v>
      </c>
      <c r="S1210">
        <v>6.83</v>
      </c>
      <c r="T1210">
        <v>0.76</v>
      </c>
      <c r="U1210" s="1">
        <v>45475</v>
      </c>
      <c r="V1210">
        <v>252.9</v>
      </c>
      <c r="W1210">
        <v>0.57699999999999996</v>
      </c>
      <c r="X1210" t="str">
        <f>IF(WarehouseData[[#This Row],[stock_level]]&lt;=WarehouseData[[#This Row],[reorder_point]],"Low Stock","Sufficient Stock")</f>
        <v>Sufficient Stock</v>
      </c>
      <c r="Y1210">
        <f>WarehouseData[[#This Row],[daily_demand]]*WarehouseData[[#This Row],[lead_time_days]]</f>
        <v>330.53999999999996</v>
      </c>
      <c r="Z1210" t="str">
        <f>IF(WarehouseData[[#This Row],[stock_level]]&lt;=WarehouseData[[#This Row],[Demand During Lead Time]],"At Risk","Safe")</f>
        <v>Safe</v>
      </c>
      <c r="AA1210">
        <f>WarehouseData[[#This Row],[stock_level]]/WarehouseData[[#This Row],[daily_demand]]</f>
        <v>8.555696738670056</v>
      </c>
      <c r="AB1210">
        <f>WarehouseData[[#This Row],[stock_level]]*WarehouseData[[#This Row],[unit_price]]</f>
        <v>21343.32</v>
      </c>
      <c r="AC1210">
        <f>WarehouseData[[#This Row],[stock_level]]*WarehouseData[[#This Row],[holding_cost_per_unit_day]]*30</f>
        <v>9453.6</v>
      </c>
      <c r="AD1210" t="str">
        <f>IF(WarehouseData[[#This Row],[order_fulfillment_rate]]&gt;=0.9,"Strong",IF(WarehouseData[[#This Row],[order_fulfillment_rate]]&gt;=0.8,"Moderate","Needs Attention"))</f>
        <v>Strong</v>
      </c>
      <c r="AE1210" t="str">
        <f>IF(WarehouseData[[#This Row],[picking_time_seconds]]&gt;120,"Slow",IF(WarehouseData[[#This Row],[picking_time_seconds]]&gt;=60,"Average","Fast"))</f>
        <v>Average</v>
      </c>
    </row>
    <row r="1211" spans="1:31" x14ac:dyDescent="0.25">
      <c r="A1211" t="s">
        <v>1349</v>
      </c>
      <c r="B1211" t="s">
        <v>36</v>
      </c>
      <c r="C1211">
        <v>121</v>
      </c>
      <c r="D1211">
        <v>68</v>
      </c>
      <c r="E1211">
        <v>6</v>
      </c>
      <c r="F1211">
        <v>2</v>
      </c>
      <c r="G1211">
        <v>36.42</v>
      </c>
      <c r="H1211">
        <v>8.17</v>
      </c>
      <c r="I1211">
        <v>0.67</v>
      </c>
      <c r="J1211" t="s">
        <v>353</v>
      </c>
      <c r="K1211" t="s">
        <v>38</v>
      </c>
      <c r="L1211">
        <v>52</v>
      </c>
      <c r="M1211">
        <v>0.99</v>
      </c>
      <c r="N1211">
        <v>191.97</v>
      </c>
      <c r="O1211">
        <v>0.92</v>
      </c>
      <c r="P1211">
        <v>9</v>
      </c>
      <c r="Q1211">
        <v>0.9</v>
      </c>
      <c r="R1211">
        <v>527</v>
      </c>
      <c r="S1211">
        <v>13.94</v>
      </c>
      <c r="T1211">
        <v>0.25</v>
      </c>
      <c r="U1211" s="1">
        <v>45537</v>
      </c>
      <c r="V1211">
        <v>116.41</v>
      </c>
      <c r="W1211">
        <v>0.54400000000000004</v>
      </c>
      <c r="X1211" t="str">
        <f>IF(WarehouseData[[#This Row],[stock_level]]&lt;=WarehouseData[[#This Row],[reorder_point]],"Low Stock","Sufficient Stock")</f>
        <v>Sufficient Stock</v>
      </c>
      <c r="Y1211">
        <f>WarehouseData[[#This Row],[daily_demand]]*WarehouseData[[#This Row],[lead_time_days]]</f>
        <v>72.84</v>
      </c>
      <c r="Z1211" t="str">
        <f>IF(WarehouseData[[#This Row],[stock_level]]&lt;=WarehouseData[[#This Row],[Demand During Lead Time]],"At Risk","Safe")</f>
        <v>Safe</v>
      </c>
      <c r="AA1211">
        <f>WarehouseData[[#This Row],[stock_level]]/WarehouseData[[#This Row],[daily_demand]]</f>
        <v>3.3223503569467323</v>
      </c>
      <c r="AB1211">
        <f>WarehouseData[[#This Row],[stock_level]]*WarehouseData[[#This Row],[unit_price]]</f>
        <v>23228.37</v>
      </c>
      <c r="AC1211">
        <f>WarehouseData[[#This Row],[stock_level]]*WarehouseData[[#This Row],[holding_cost_per_unit_day]]*30</f>
        <v>3339.6000000000004</v>
      </c>
      <c r="AD1211" t="str">
        <f>IF(WarehouseData[[#This Row],[order_fulfillment_rate]]&gt;=0.9,"Strong",IF(WarehouseData[[#This Row],[order_fulfillment_rate]]&gt;=0.8,"Moderate","Needs Attention"))</f>
        <v>Strong</v>
      </c>
      <c r="AE1211" t="str">
        <f>IF(WarehouseData[[#This Row],[picking_time_seconds]]&gt;120,"Slow",IF(WarehouseData[[#This Row],[picking_time_seconds]]&gt;=60,"Average","Fast"))</f>
        <v>Fast</v>
      </c>
    </row>
    <row r="1212" spans="1:31" x14ac:dyDescent="0.25">
      <c r="A1212" t="s">
        <v>1350</v>
      </c>
      <c r="B1212" t="s">
        <v>36</v>
      </c>
      <c r="C1212">
        <v>57</v>
      </c>
      <c r="D1212">
        <v>27</v>
      </c>
      <c r="E1212">
        <v>13</v>
      </c>
      <c r="F1212">
        <v>9</v>
      </c>
      <c r="G1212">
        <v>34.78</v>
      </c>
      <c r="H1212">
        <v>6.44</v>
      </c>
      <c r="I1212">
        <v>0.9</v>
      </c>
      <c r="J1212" t="s">
        <v>477</v>
      </c>
      <c r="K1212" t="s">
        <v>38</v>
      </c>
      <c r="L1212">
        <v>79</v>
      </c>
      <c r="M1212">
        <v>2.6</v>
      </c>
      <c r="N1212">
        <v>26.68</v>
      </c>
      <c r="O1212">
        <v>0.24</v>
      </c>
      <c r="P1212">
        <v>7</v>
      </c>
      <c r="Q1212">
        <v>0.85</v>
      </c>
      <c r="R1212">
        <v>284</v>
      </c>
      <c r="S1212">
        <v>3.83</v>
      </c>
      <c r="T1212">
        <v>0.91</v>
      </c>
      <c r="U1212" s="1">
        <v>45570</v>
      </c>
      <c r="V1212">
        <v>66.05</v>
      </c>
      <c r="W1212">
        <v>0.63900000000000001</v>
      </c>
      <c r="X1212" t="str">
        <f>IF(WarehouseData[[#This Row],[stock_level]]&lt;=WarehouseData[[#This Row],[reorder_point]],"Low Stock","Sufficient Stock")</f>
        <v>Sufficient Stock</v>
      </c>
      <c r="Y1212">
        <f>WarehouseData[[#This Row],[daily_demand]]*WarehouseData[[#This Row],[lead_time_days]]</f>
        <v>313.02</v>
      </c>
      <c r="Z1212" t="str">
        <f>IF(WarehouseData[[#This Row],[stock_level]]&lt;=WarehouseData[[#This Row],[Demand During Lead Time]],"At Risk","Safe")</f>
        <v>At Risk</v>
      </c>
      <c r="AA1212">
        <f>WarehouseData[[#This Row],[stock_level]]/WarehouseData[[#This Row],[daily_demand]]</f>
        <v>1.6388729154686601</v>
      </c>
      <c r="AB1212">
        <f>WarehouseData[[#This Row],[stock_level]]*WarehouseData[[#This Row],[unit_price]]</f>
        <v>1520.76</v>
      </c>
      <c r="AC1212">
        <f>WarehouseData[[#This Row],[stock_level]]*WarehouseData[[#This Row],[holding_cost_per_unit_day]]*30</f>
        <v>410.4</v>
      </c>
      <c r="AD1212" t="str">
        <f>IF(WarehouseData[[#This Row],[order_fulfillment_rate]]&gt;=0.9,"Strong",IF(WarehouseData[[#This Row],[order_fulfillment_rate]]&gt;=0.8,"Moderate","Needs Attention"))</f>
        <v>Moderate</v>
      </c>
      <c r="AE1212" t="str">
        <f>IF(WarehouseData[[#This Row],[picking_time_seconds]]&gt;120,"Slow",IF(WarehouseData[[#This Row],[picking_time_seconds]]&gt;=60,"Average","Fast"))</f>
        <v>Average</v>
      </c>
    </row>
    <row r="1213" spans="1:31" x14ac:dyDescent="0.25">
      <c r="A1213" t="s">
        <v>1351</v>
      </c>
      <c r="B1213" t="s">
        <v>40</v>
      </c>
      <c r="C1213">
        <v>360</v>
      </c>
      <c r="D1213">
        <v>65</v>
      </c>
      <c r="E1213">
        <v>6</v>
      </c>
      <c r="F1213">
        <v>3</v>
      </c>
      <c r="G1213">
        <v>48.44</v>
      </c>
      <c r="H1213">
        <v>3.06</v>
      </c>
      <c r="I1213">
        <v>0.63</v>
      </c>
      <c r="J1213" t="s">
        <v>377</v>
      </c>
      <c r="K1213" t="s">
        <v>38</v>
      </c>
      <c r="L1213">
        <v>68</v>
      </c>
      <c r="M1213">
        <v>3</v>
      </c>
      <c r="N1213">
        <v>10.82</v>
      </c>
      <c r="O1213">
        <v>0.31</v>
      </c>
      <c r="P1213">
        <v>6</v>
      </c>
      <c r="Q1213">
        <v>0.79</v>
      </c>
      <c r="R1213">
        <v>971</v>
      </c>
      <c r="S1213">
        <v>12.85</v>
      </c>
      <c r="T1213">
        <v>0.72</v>
      </c>
      <c r="U1213" s="1">
        <v>45540</v>
      </c>
      <c r="V1213">
        <v>271.60000000000002</v>
      </c>
      <c r="W1213">
        <v>0.72199999999999998</v>
      </c>
      <c r="X1213" t="str">
        <f>IF(WarehouseData[[#This Row],[stock_level]]&lt;=WarehouseData[[#This Row],[reorder_point]],"Low Stock","Sufficient Stock")</f>
        <v>Sufficient Stock</v>
      </c>
      <c r="Y1213">
        <f>WarehouseData[[#This Row],[daily_demand]]*WarehouseData[[#This Row],[lead_time_days]]</f>
        <v>145.32</v>
      </c>
      <c r="Z1213" t="str">
        <f>IF(WarehouseData[[#This Row],[stock_level]]&lt;=WarehouseData[[#This Row],[Demand During Lead Time]],"At Risk","Safe")</f>
        <v>Safe</v>
      </c>
      <c r="AA1213">
        <f>WarehouseData[[#This Row],[stock_level]]/WarehouseData[[#This Row],[daily_demand]]</f>
        <v>7.4318744838976061</v>
      </c>
      <c r="AB1213">
        <f>WarehouseData[[#This Row],[stock_level]]*WarehouseData[[#This Row],[unit_price]]</f>
        <v>3895.2000000000003</v>
      </c>
      <c r="AC1213">
        <f>WarehouseData[[#This Row],[stock_level]]*WarehouseData[[#This Row],[holding_cost_per_unit_day]]*30</f>
        <v>3348</v>
      </c>
      <c r="AD1213" t="str">
        <f>IF(WarehouseData[[#This Row],[order_fulfillment_rate]]&gt;=0.9,"Strong",IF(WarehouseData[[#This Row],[order_fulfillment_rate]]&gt;=0.8,"Moderate","Needs Attention"))</f>
        <v>Needs Attention</v>
      </c>
      <c r="AE1213" t="str">
        <f>IF(WarehouseData[[#This Row],[picking_time_seconds]]&gt;120,"Slow",IF(WarehouseData[[#This Row],[picking_time_seconds]]&gt;=60,"Average","Fast"))</f>
        <v>Average</v>
      </c>
    </row>
    <row r="1214" spans="1:31" x14ac:dyDescent="0.25">
      <c r="A1214" t="s">
        <v>1352</v>
      </c>
      <c r="B1214" t="s">
        <v>40</v>
      </c>
      <c r="C1214">
        <v>432</v>
      </c>
      <c r="D1214">
        <v>66</v>
      </c>
      <c r="E1214">
        <v>9</v>
      </c>
      <c r="F1214">
        <v>2</v>
      </c>
      <c r="G1214">
        <v>40.14</v>
      </c>
      <c r="H1214">
        <v>3.2</v>
      </c>
      <c r="I1214">
        <v>0.65</v>
      </c>
      <c r="J1214" t="s">
        <v>92</v>
      </c>
      <c r="K1214" t="s">
        <v>34</v>
      </c>
      <c r="L1214">
        <v>12</v>
      </c>
      <c r="M1214">
        <v>3.34</v>
      </c>
      <c r="N1214">
        <v>137.86000000000001</v>
      </c>
      <c r="O1214">
        <v>1.29</v>
      </c>
      <c r="P1214">
        <v>4</v>
      </c>
      <c r="Q1214">
        <v>0.99</v>
      </c>
      <c r="R1214">
        <v>605</v>
      </c>
      <c r="S1214">
        <v>5.34</v>
      </c>
      <c r="T1214">
        <v>0.69</v>
      </c>
      <c r="U1214" s="1">
        <v>45468</v>
      </c>
      <c r="V1214">
        <v>195.41</v>
      </c>
      <c r="W1214">
        <v>0.59799999999999998</v>
      </c>
      <c r="X1214" t="str">
        <f>IF(WarehouseData[[#This Row],[stock_level]]&lt;=WarehouseData[[#This Row],[reorder_point]],"Low Stock","Sufficient Stock")</f>
        <v>Sufficient Stock</v>
      </c>
      <c r="Y1214">
        <f>WarehouseData[[#This Row],[daily_demand]]*WarehouseData[[#This Row],[lead_time_days]]</f>
        <v>80.28</v>
      </c>
      <c r="Z1214" t="str">
        <f>IF(WarehouseData[[#This Row],[stock_level]]&lt;=WarehouseData[[#This Row],[Demand During Lead Time]],"At Risk","Safe")</f>
        <v>Safe</v>
      </c>
      <c r="AA1214">
        <f>WarehouseData[[#This Row],[stock_level]]/WarehouseData[[#This Row],[daily_demand]]</f>
        <v>10.762331838565022</v>
      </c>
      <c r="AB1214">
        <f>WarehouseData[[#This Row],[stock_level]]*WarehouseData[[#This Row],[unit_price]]</f>
        <v>59555.520000000004</v>
      </c>
      <c r="AC1214">
        <f>WarehouseData[[#This Row],[stock_level]]*WarehouseData[[#This Row],[holding_cost_per_unit_day]]*30</f>
        <v>16718.399999999998</v>
      </c>
      <c r="AD1214" t="str">
        <f>IF(WarehouseData[[#This Row],[order_fulfillment_rate]]&gt;=0.9,"Strong",IF(WarehouseData[[#This Row],[order_fulfillment_rate]]&gt;=0.8,"Moderate","Needs Attention"))</f>
        <v>Strong</v>
      </c>
      <c r="AE1214" t="str">
        <f>IF(WarehouseData[[#This Row],[picking_time_seconds]]&gt;120,"Slow",IF(WarehouseData[[#This Row],[picking_time_seconds]]&gt;=60,"Average","Fast"))</f>
        <v>Fast</v>
      </c>
    </row>
    <row r="1215" spans="1:31" x14ac:dyDescent="0.25">
      <c r="A1215" t="s">
        <v>1353</v>
      </c>
      <c r="B1215" t="s">
        <v>32</v>
      </c>
      <c r="C1215">
        <v>152</v>
      </c>
      <c r="D1215">
        <v>85</v>
      </c>
      <c r="E1215">
        <v>11</v>
      </c>
      <c r="F1215">
        <v>5</v>
      </c>
      <c r="G1215">
        <v>7.69</v>
      </c>
      <c r="H1215">
        <v>1.68</v>
      </c>
      <c r="I1215">
        <v>0.74</v>
      </c>
      <c r="J1215" t="s">
        <v>332</v>
      </c>
      <c r="K1215" t="s">
        <v>46</v>
      </c>
      <c r="L1215">
        <v>142</v>
      </c>
      <c r="M1215">
        <v>4.95</v>
      </c>
      <c r="N1215">
        <v>126.75</v>
      </c>
      <c r="O1215">
        <v>1.4</v>
      </c>
      <c r="P1215">
        <v>6</v>
      </c>
      <c r="Q1215">
        <v>0.94</v>
      </c>
      <c r="R1215">
        <v>637</v>
      </c>
      <c r="S1215">
        <v>11.28</v>
      </c>
      <c r="T1215">
        <v>0.51</v>
      </c>
      <c r="U1215" s="1">
        <v>45581</v>
      </c>
      <c r="V1215">
        <v>296.58999999999997</v>
      </c>
      <c r="W1215">
        <v>0.57999999999999996</v>
      </c>
      <c r="X1215" t="str">
        <f>IF(WarehouseData[[#This Row],[stock_level]]&lt;=WarehouseData[[#This Row],[reorder_point]],"Low Stock","Sufficient Stock")</f>
        <v>Sufficient Stock</v>
      </c>
      <c r="Y1215">
        <f>WarehouseData[[#This Row],[daily_demand]]*WarehouseData[[#This Row],[lead_time_days]]</f>
        <v>38.450000000000003</v>
      </c>
      <c r="Z1215" t="str">
        <f>IF(WarehouseData[[#This Row],[stock_level]]&lt;=WarehouseData[[#This Row],[Demand During Lead Time]],"At Risk","Safe")</f>
        <v>Safe</v>
      </c>
      <c r="AA1215">
        <f>WarehouseData[[#This Row],[stock_level]]/WarehouseData[[#This Row],[daily_demand]]</f>
        <v>19.765929778933678</v>
      </c>
      <c r="AB1215">
        <f>WarehouseData[[#This Row],[stock_level]]*WarehouseData[[#This Row],[unit_price]]</f>
        <v>19266</v>
      </c>
      <c r="AC1215">
        <f>WarehouseData[[#This Row],[stock_level]]*WarehouseData[[#This Row],[holding_cost_per_unit_day]]*30</f>
        <v>6383.9999999999991</v>
      </c>
      <c r="AD1215" t="str">
        <f>IF(WarehouseData[[#This Row],[order_fulfillment_rate]]&gt;=0.9,"Strong",IF(WarehouseData[[#This Row],[order_fulfillment_rate]]&gt;=0.8,"Moderate","Needs Attention"))</f>
        <v>Strong</v>
      </c>
      <c r="AE1215" t="str">
        <f>IF(WarehouseData[[#This Row],[picking_time_seconds]]&gt;120,"Slow",IF(WarehouseData[[#This Row],[picking_time_seconds]]&gt;=60,"Average","Fast"))</f>
        <v>Slow</v>
      </c>
    </row>
    <row r="1216" spans="1:31" x14ac:dyDescent="0.25">
      <c r="A1216" t="s">
        <v>1354</v>
      </c>
      <c r="B1216" t="s">
        <v>73</v>
      </c>
      <c r="C1216">
        <v>221</v>
      </c>
      <c r="D1216">
        <v>57</v>
      </c>
      <c r="E1216">
        <v>13</v>
      </c>
      <c r="F1216">
        <v>6</v>
      </c>
      <c r="G1216">
        <v>18.03</v>
      </c>
      <c r="H1216">
        <v>9.26</v>
      </c>
      <c r="I1216">
        <v>0.89</v>
      </c>
      <c r="J1216" t="s">
        <v>139</v>
      </c>
      <c r="K1216" t="s">
        <v>46</v>
      </c>
      <c r="L1216">
        <v>94</v>
      </c>
      <c r="M1216">
        <v>4.63</v>
      </c>
      <c r="N1216">
        <v>150.15</v>
      </c>
      <c r="O1216">
        <v>1.31</v>
      </c>
      <c r="P1216">
        <v>4</v>
      </c>
      <c r="Q1216">
        <v>0.81</v>
      </c>
      <c r="R1216">
        <v>702</v>
      </c>
      <c r="S1216">
        <v>14.64</v>
      </c>
      <c r="T1216">
        <v>0.22</v>
      </c>
      <c r="U1216" s="1">
        <v>45549</v>
      </c>
      <c r="V1216">
        <v>97.07</v>
      </c>
      <c r="W1216">
        <v>0.59</v>
      </c>
      <c r="X1216" t="str">
        <f>IF(WarehouseData[[#This Row],[stock_level]]&lt;=WarehouseData[[#This Row],[reorder_point]],"Low Stock","Sufficient Stock")</f>
        <v>Sufficient Stock</v>
      </c>
      <c r="Y1216">
        <f>WarehouseData[[#This Row],[daily_demand]]*WarehouseData[[#This Row],[lead_time_days]]</f>
        <v>108.18</v>
      </c>
      <c r="Z1216" t="str">
        <f>IF(WarehouseData[[#This Row],[stock_level]]&lt;=WarehouseData[[#This Row],[Demand During Lead Time]],"At Risk","Safe")</f>
        <v>Safe</v>
      </c>
      <c r="AA1216">
        <f>WarehouseData[[#This Row],[stock_level]]/WarehouseData[[#This Row],[daily_demand]]</f>
        <v>12.257348863006101</v>
      </c>
      <c r="AB1216">
        <f>WarehouseData[[#This Row],[stock_level]]*WarehouseData[[#This Row],[unit_price]]</f>
        <v>33183.15</v>
      </c>
      <c r="AC1216">
        <f>WarehouseData[[#This Row],[stock_level]]*WarehouseData[[#This Row],[holding_cost_per_unit_day]]*30</f>
        <v>8685.2999999999993</v>
      </c>
      <c r="AD1216" t="str">
        <f>IF(WarehouseData[[#This Row],[order_fulfillment_rate]]&gt;=0.9,"Strong",IF(WarehouseData[[#This Row],[order_fulfillment_rate]]&gt;=0.8,"Moderate","Needs Attention"))</f>
        <v>Moderate</v>
      </c>
      <c r="AE1216" t="str">
        <f>IF(WarehouseData[[#This Row],[picking_time_seconds]]&gt;120,"Slow",IF(WarehouseData[[#This Row],[picking_time_seconds]]&gt;=60,"Average","Fast"))</f>
        <v>Average</v>
      </c>
    </row>
    <row r="1217" spans="1:31" x14ac:dyDescent="0.25">
      <c r="A1217" t="s">
        <v>1355</v>
      </c>
      <c r="B1217" t="s">
        <v>40</v>
      </c>
      <c r="C1217">
        <v>367</v>
      </c>
      <c r="D1217">
        <v>51</v>
      </c>
      <c r="E1217">
        <v>6</v>
      </c>
      <c r="F1217">
        <v>7</v>
      </c>
      <c r="G1217">
        <v>48.29</v>
      </c>
      <c r="H1217">
        <v>2.14</v>
      </c>
      <c r="I1217">
        <v>0.18</v>
      </c>
      <c r="J1217" t="s">
        <v>41</v>
      </c>
      <c r="K1217" t="s">
        <v>34</v>
      </c>
      <c r="L1217">
        <v>104</v>
      </c>
      <c r="M1217">
        <v>2.2799999999999998</v>
      </c>
      <c r="N1217">
        <v>149.01</v>
      </c>
      <c r="O1217">
        <v>1.55</v>
      </c>
      <c r="P1217">
        <v>6</v>
      </c>
      <c r="Q1217">
        <v>0.75</v>
      </c>
      <c r="R1217">
        <v>743</v>
      </c>
      <c r="S1217">
        <v>14.06</v>
      </c>
      <c r="T1217">
        <v>0.92</v>
      </c>
      <c r="U1217" s="1">
        <v>45456</v>
      </c>
      <c r="V1217">
        <v>68.11</v>
      </c>
      <c r="W1217">
        <v>0.64600000000000002</v>
      </c>
      <c r="X1217" t="str">
        <f>IF(WarehouseData[[#This Row],[stock_level]]&lt;=WarehouseData[[#This Row],[reorder_point]],"Low Stock","Sufficient Stock")</f>
        <v>Sufficient Stock</v>
      </c>
      <c r="Y1217">
        <f>WarehouseData[[#This Row],[daily_demand]]*WarehouseData[[#This Row],[lead_time_days]]</f>
        <v>338.03</v>
      </c>
      <c r="Z1217" t="str">
        <f>IF(WarehouseData[[#This Row],[stock_level]]&lt;=WarehouseData[[#This Row],[Demand During Lead Time]],"At Risk","Safe")</f>
        <v>Safe</v>
      </c>
      <c r="AA1217">
        <f>WarehouseData[[#This Row],[stock_level]]/WarehouseData[[#This Row],[daily_demand]]</f>
        <v>7.5999171671153452</v>
      </c>
      <c r="AB1217">
        <f>WarehouseData[[#This Row],[stock_level]]*WarehouseData[[#This Row],[unit_price]]</f>
        <v>54686.67</v>
      </c>
      <c r="AC1217">
        <f>WarehouseData[[#This Row],[stock_level]]*WarehouseData[[#This Row],[holding_cost_per_unit_day]]*30</f>
        <v>17065.5</v>
      </c>
      <c r="AD1217" t="str">
        <f>IF(WarehouseData[[#This Row],[order_fulfillment_rate]]&gt;=0.9,"Strong",IF(WarehouseData[[#This Row],[order_fulfillment_rate]]&gt;=0.8,"Moderate","Needs Attention"))</f>
        <v>Needs Attention</v>
      </c>
      <c r="AE1217" t="str">
        <f>IF(WarehouseData[[#This Row],[picking_time_seconds]]&gt;120,"Slow",IF(WarehouseData[[#This Row],[picking_time_seconds]]&gt;=60,"Average","Fast"))</f>
        <v>Average</v>
      </c>
    </row>
    <row r="1218" spans="1:31" x14ac:dyDescent="0.25">
      <c r="A1218" t="s">
        <v>1356</v>
      </c>
      <c r="B1218" t="s">
        <v>40</v>
      </c>
      <c r="C1218">
        <v>40</v>
      </c>
      <c r="D1218">
        <v>36</v>
      </c>
      <c r="E1218">
        <v>6</v>
      </c>
      <c r="F1218">
        <v>5</v>
      </c>
      <c r="G1218">
        <v>25</v>
      </c>
      <c r="H1218">
        <v>5.94</v>
      </c>
      <c r="I1218">
        <v>0.4</v>
      </c>
      <c r="J1218" t="s">
        <v>148</v>
      </c>
      <c r="K1218" t="s">
        <v>38</v>
      </c>
      <c r="L1218">
        <v>87</v>
      </c>
      <c r="M1218">
        <v>1.01</v>
      </c>
      <c r="N1218">
        <v>174.02</v>
      </c>
      <c r="O1218">
        <v>1.89</v>
      </c>
      <c r="P1218">
        <v>3</v>
      </c>
      <c r="Q1218">
        <v>0.93</v>
      </c>
      <c r="R1218">
        <v>168</v>
      </c>
      <c r="S1218">
        <v>12.64</v>
      </c>
      <c r="T1218">
        <v>0.99</v>
      </c>
      <c r="U1218" s="1">
        <v>45490</v>
      </c>
      <c r="V1218">
        <v>96.4</v>
      </c>
      <c r="W1218">
        <v>0.70399999999999996</v>
      </c>
      <c r="X1218" t="str">
        <f>IF(WarehouseData[[#This Row],[stock_level]]&lt;=WarehouseData[[#This Row],[reorder_point]],"Low Stock","Sufficient Stock")</f>
        <v>Sufficient Stock</v>
      </c>
      <c r="Y1218">
        <f>WarehouseData[[#This Row],[daily_demand]]*WarehouseData[[#This Row],[lead_time_days]]</f>
        <v>125</v>
      </c>
      <c r="Z1218" t="str">
        <f>IF(WarehouseData[[#This Row],[stock_level]]&lt;=WarehouseData[[#This Row],[Demand During Lead Time]],"At Risk","Safe")</f>
        <v>At Risk</v>
      </c>
      <c r="AA1218">
        <f>WarehouseData[[#This Row],[stock_level]]/WarehouseData[[#This Row],[daily_demand]]</f>
        <v>1.6</v>
      </c>
      <c r="AB1218">
        <f>WarehouseData[[#This Row],[stock_level]]*WarehouseData[[#This Row],[unit_price]]</f>
        <v>6960.8</v>
      </c>
      <c r="AC1218">
        <f>WarehouseData[[#This Row],[stock_level]]*WarehouseData[[#This Row],[holding_cost_per_unit_day]]*30</f>
        <v>2268</v>
      </c>
      <c r="AD1218" t="str">
        <f>IF(WarehouseData[[#This Row],[order_fulfillment_rate]]&gt;=0.9,"Strong",IF(WarehouseData[[#This Row],[order_fulfillment_rate]]&gt;=0.8,"Moderate","Needs Attention"))</f>
        <v>Strong</v>
      </c>
      <c r="AE1218" t="str">
        <f>IF(WarehouseData[[#This Row],[picking_time_seconds]]&gt;120,"Slow",IF(WarehouseData[[#This Row],[picking_time_seconds]]&gt;=60,"Average","Fast"))</f>
        <v>Average</v>
      </c>
    </row>
    <row r="1219" spans="1:31" x14ac:dyDescent="0.25">
      <c r="A1219" t="s">
        <v>1357</v>
      </c>
      <c r="B1219" t="s">
        <v>48</v>
      </c>
      <c r="C1219">
        <v>261</v>
      </c>
      <c r="D1219">
        <v>83</v>
      </c>
      <c r="E1219">
        <v>8</v>
      </c>
      <c r="F1219">
        <v>5</v>
      </c>
      <c r="G1219">
        <v>6.47</v>
      </c>
      <c r="H1219">
        <v>6.05</v>
      </c>
      <c r="I1219">
        <v>0.46</v>
      </c>
      <c r="J1219" t="s">
        <v>81</v>
      </c>
      <c r="K1219" t="s">
        <v>46</v>
      </c>
      <c r="L1219">
        <v>110</v>
      </c>
      <c r="M1219">
        <v>1.47</v>
      </c>
      <c r="N1219">
        <v>185.2</v>
      </c>
      <c r="O1219">
        <v>1.74</v>
      </c>
      <c r="P1219">
        <v>3</v>
      </c>
      <c r="Q1219">
        <v>1</v>
      </c>
      <c r="R1219">
        <v>89</v>
      </c>
      <c r="S1219">
        <v>1.7</v>
      </c>
      <c r="T1219">
        <v>0.85</v>
      </c>
      <c r="U1219" s="1">
        <v>45430</v>
      </c>
      <c r="V1219">
        <v>245.62</v>
      </c>
      <c r="W1219">
        <v>0.55900000000000005</v>
      </c>
      <c r="X1219" t="str">
        <f>IF(WarehouseData[[#This Row],[stock_level]]&lt;=WarehouseData[[#This Row],[reorder_point]],"Low Stock","Sufficient Stock")</f>
        <v>Sufficient Stock</v>
      </c>
      <c r="Y1219">
        <f>WarehouseData[[#This Row],[daily_demand]]*WarehouseData[[#This Row],[lead_time_days]]</f>
        <v>32.35</v>
      </c>
      <c r="Z1219" t="str">
        <f>IF(WarehouseData[[#This Row],[stock_level]]&lt;=WarehouseData[[#This Row],[Demand During Lead Time]],"At Risk","Safe")</f>
        <v>Safe</v>
      </c>
      <c r="AA1219">
        <f>WarehouseData[[#This Row],[stock_level]]/WarehouseData[[#This Row],[daily_demand]]</f>
        <v>40.340030911901081</v>
      </c>
      <c r="AB1219">
        <f>WarehouseData[[#This Row],[stock_level]]*WarehouseData[[#This Row],[unit_price]]</f>
        <v>48337.2</v>
      </c>
      <c r="AC1219">
        <f>WarehouseData[[#This Row],[stock_level]]*WarehouseData[[#This Row],[holding_cost_per_unit_day]]*30</f>
        <v>13624.199999999999</v>
      </c>
      <c r="AD1219" t="str">
        <f>IF(WarehouseData[[#This Row],[order_fulfillment_rate]]&gt;=0.9,"Strong",IF(WarehouseData[[#This Row],[order_fulfillment_rate]]&gt;=0.8,"Moderate","Needs Attention"))</f>
        <v>Strong</v>
      </c>
      <c r="AE1219" t="str">
        <f>IF(WarehouseData[[#This Row],[picking_time_seconds]]&gt;120,"Slow",IF(WarehouseData[[#This Row],[picking_time_seconds]]&gt;=60,"Average","Fast"))</f>
        <v>Average</v>
      </c>
    </row>
    <row r="1220" spans="1:31" x14ac:dyDescent="0.25">
      <c r="A1220" t="s">
        <v>1358</v>
      </c>
      <c r="B1220" t="s">
        <v>36</v>
      </c>
      <c r="C1220">
        <v>474</v>
      </c>
      <c r="D1220">
        <v>61</v>
      </c>
      <c r="E1220">
        <v>8</v>
      </c>
      <c r="F1220">
        <v>9</v>
      </c>
      <c r="G1220">
        <v>23.47</v>
      </c>
      <c r="H1220">
        <v>4.01</v>
      </c>
      <c r="I1220">
        <v>0.92</v>
      </c>
      <c r="J1220" t="s">
        <v>340</v>
      </c>
      <c r="K1220" t="s">
        <v>38</v>
      </c>
      <c r="L1220">
        <v>92</v>
      </c>
      <c r="M1220">
        <v>1.28</v>
      </c>
      <c r="N1220">
        <v>157.25</v>
      </c>
      <c r="O1220">
        <v>0.9</v>
      </c>
      <c r="P1220">
        <v>9</v>
      </c>
      <c r="Q1220">
        <v>0.78</v>
      </c>
      <c r="R1220">
        <v>309</v>
      </c>
      <c r="S1220">
        <v>9.51</v>
      </c>
      <c r="T1220">
        <v>0.93</v>
      </c>
      <c r="U1220" s="1">
        <v>45384</v>
      </c>
      <c r="V1220">
        <v>53.94</v>
      </c>
      <c r="W1220">
        <v>0.59899999999999998</v>
      </c>
      <c r="X1220" t="str">
        <f>IF(WarehouseData[[#This Row],[stock_level]]&lt;=WarehouseData[[#This Row],[reorder_point]],"Low Stock","Sufficient Stock")</f>
        <v>Sufficient Stock</v>
      </c>
      <c r="Y1220">
        <f>WarehouseData[[#This Row],[daily_demand]]*WarehouseData[[#This Row],[lead_time_days]]</f>
        <v>211.23</v>
      </c>
      <c r="Z1220" t="str">
        <f>IF(WarehouseData[[#This Row],[stock_level]]&lt;=WarehouseData[[#This Row],[Demand During Lead Time]],"At Risk","Safe")</f>
        <v>Safe</v>
      </c>
      <c r="AA1220">
        <f>WarehouseData[[#This Row],[stock_level]]/WarehouseData[[#This Row],[daily_demand]]</f>
        <v>20.195994887089903</v>
      </c>
      <c r="AB1220">
        <f>WarehouseData[[#This Row],[stock_level]]*WarehouseData[[#This Row],[unit_price]]</f>
        <v>74536.5</v>
      </c>
      <c r="AC1220">
        <f>WarehouseData[[#This Row],[stock_level]]*WarehouseData[[#This Row],[holding_cost_per_unit_day]]*30</f>
        <v>12798</v>
      </c>
      <c r="AD1220" t="str">
        <f>IF(WarehouseData[[#This Row],[order_fulfillment_rate]]&gt;=0.9,"Strong",IF(WarehouseData[[#This Row],[order_fulfillment_rate]]&gt;=0.8,"Moderate","Needs Attention"))</f>
        <v>Needs Attention</v>
      </c>
      <c r="AE1220" t="str">
        <f>IF(WarehouseData[[#This Row],[picking_time_seconds]]&gt;120,"Slow",IF(WarehouseData[[#This Row],[picking_time_seconds]]&gt;=60,"Average","Fast"))</f>
        <v>Average</v>
      </c>
    </row>
    <row r="1221" spans="1:31" x14ac:dyDescent="0.25">
      <c r="A1221" t="s">
        <v>1359</v>
      </c>
      <c r="B1221" t="s">
        <v>73</v>
      </c>
      <c r="C1221">
        <v>470</v>
      </c>
      <c r="D1221">
        <v>51</v>
      </c>
      <c r="E1221">
        <v>9</v>
      </c>
      <c r="F1221">
        <v>3</v>
      </c>
      <c r="G1221">
        <v>35.15</v>
      </c>
      <c r="H1221">
        <v>3.85</v>
      </c>
      <c r="I1221">
        <v>0.96</v>
      </c>
      <c r="J1221" t="s">
        <v>158</v>
      </c>
      <c r="K1221" t="s">
        <v>46</v>
      </c>
      <c r="L1221">
        <v>174</v>
      </c>
      <c r="M1221">
        <v>2.1</v>
      </c>
      <c r="N1221">
        <v>54.14</v>
      </c>
      <c r="O1221">
        <v>0.51</v>
      </c>
      <c r="P1221">
        <v>3</v>
      </c>
      <c r="Q1221">
        <v>0.97</v>
      </c>
      <c r="R1221">
        <v>998</v>
      </c>
      <c r="S1221">
        <v>12.7</v>
      </c>
      <c r="T1221">
        <v>0.3</v>
      </c>
      <c r="U1221" s="1">
        <v>45305</v>
      </c>
      <c r="V1221">
        <v>79.91</v>
      </c>
      <c r="W1221">
        <v>0.71199999999999997</v>
      </c>
      <c r="X1221" t="str">
        <f>IF(WarehouseData[[#This Row],[stock_level]]&lt;=WarehouseData[[#This Row],[reorder_point]],"Low Stock","Sufficient Stock")</f>
        <v>Sufficient Stock</v>
      </c>
      <c r="Y1221">
        <f>WarehouseData[[#This Row],[daily_demand]]*WarehouseData[[#This Row],[lead_time_days]]</f>
        <v>105.44999999999999</v>
      </c>
      <c r="Z1221" t="str">
        <f>IF(WarehouseData[[#This Row],[stock_level]]&lt;=WarehouseData[[#This Row],[Demand During Lead Time]],"At Risk","Safe")</f>
        <v>Safe</v>
      </c>
      <c r="AA1221">
        <f>WarehouseData[[#This Row],[stock_level]]/WarehouseData[[#This Row],[daily_demand]]</f>
        <v>13.371266002844951</v>
      </c>
      <c r="AB1221">
        <f>WarehouseData[[#This Row],[stock_level]]*WarehouseData[[#This Row],[unit_price]]</f>
        <v>25445.8</v>
      </c>
      <c r="AC1221">
        <f>WarehouseData[[#This Row],[stock_level]]*WarehouseData[[#This Row],[holding_cost_per_unit_day]]*30</f>
        <v>7191.0000000000009</v>
      </c>
      <c r="AD1221" t="str">
        <f>IF(WarehouseData[[#This Row],[order_fulfillment_rate]]&gt;=0.9,"Strong",IF(WarehouseData[[#This Row],[order_fulfillment_rate]]&gt;=0.8,"Moderate","Needs Attention"))</f>
        <v>Strong</v>
      </c>
      <c r="AE1221" t="str">
        <f>IF(WarehouseData[[#This Row],[picking_time_seconds]]&gt;120,"Slow",IF(WarehouseData[[#This Row],[picking_time_seconds]]&gt;=60,"Average","Fast"))</f>
        <v>Slow</v>
      </c>
    </row>
    <row r="1222" spans="1:31" x14ac:dyDescent="0.25">
      <c r="A1222" t="s">
        <v>1360</v>
      </c>
      <c r="B1222" t="s">
        <v>48</v>
      </c>
      <c r="C1222">
        <v>128</v>
      </c>
      <c r="D1222">
        <v>41</v>
      </c>
      <c r="E1222">
        <v>3</v>
      </c>
      <c r="F1222">
        <v>8</v>
      </c>
      <c r="G1222">
        <v>49.88</v>
      </c>
      <c r="H1222">
        <v>6.85</v>
      </c>
      <c r="I1222">
        <v>0.21</v>
      </c>
      <c r="J1222" t="s">
        <v>106</v>
      </c>
      <c r="K1222" t="s">
        <v>34</v>
      </c>
      <c r="L1222">
        <v>93</v>
      </c>
      <c r="M1222">
        <v>4.4400000000000004</v>
      </c>
      <c r="N1222">
        <v>98.06</v>
      </c>
      <c r="O1222">
        <v>0.69</v>
      </c>
      <c r="P1222">
        <v>7</v>
      </c>
      <c r="Q1222">
        <v>0.74</v>
      </c>
      <c r="R1222">
        <v>805</v>
      </c>
      <c r="S1222">
        <v>6.59</v>
      </c>
      <c r="T1222">
        <v>0.3</v>
      </c>
      <c r="U1222" s="1">
        <v>45455</v>
      </c>
      <c r="V1222">
        <v>213.47</v>
      </c>
      <c r="W1222">
        <v>0.48699999999999999</v>
      </c>
      <c r="X1222" t="str">
        <f>IF(WarehouseData[[#This Row],[stock_level]]&lt;=WarehouseData[[#This Row],[reorder_point]],"Low Stock","Sufficient Stock")</f>
        <v>Sufficient Stock</v>
      </c>
      <c r="Y1222">
        <f>WarehouseData[[#This Row],[daily_demand]]*WarehouseData[[#This Row],[lead_time_days]]</f>
        <v>399.04</v>
      </c>
      <c r="Z1222" t="str">
        <f>IF(WarehouseData[[#This Row],[stock_level]]&lt;=WarehouseData[[#This Row],[Demand During Lead Time]],"At Risk","Safe")</f>
        <v>At Risk</v>
      </c>
      <c r="AA1222">
        <f>WarehouseData[[#This Row],[stock_level]]/WarehouseData[[#This Row],[daily_demand]]</f>
        <v>2.566158781074579</v>
      </c>
      <c r="AB1222">
        <f>WarehouseData[[#This Row],[stock_level]]*WarehouseData[[#This Row],[unit_price]]</f>
        <v>12551.68</v>
      </c>
      <c r="AC1222">
        <f>WarehouseData[[#This Row],[stock_level]]*WarehouseData[[#This Row],[holding_cost_per_unit_day]]*30</f>
        <v>2649.6</v>
      </c>
      <c r="AD1222" t="str">
        <f>IF(WarehouseData[[#This Row],[order_fulfillment_rate]]&gt;=0.9,"Strong",IF(WarehouseData[[#This Row],[order_fulfillment_rate]]&gt;=0.8,"Moderate","Needs Attention"))</f>
        <v>Needs Attention</v>
      </c>
      <c r="AE1222" t="str">
        <f>IF(WarehouseData[[#This Row],[picking_time_seconds]]&gt;120,"Slow",IF(WarehouseData[[#This Row],[picking_time_seconds]]&gt;=60,"Average","Fast"))</f>
        <v>Average</v>
      </c>
    </row>
    <row r="1223" spans="1:31" x14ac:dyDescent="0.25">
      <c r="A1223" t="s">
        <v>1361</v>
      </c>
      <c r="B1223" t="s">
        <v>32</v>
      </c>
      <c r="C1223">
        <v>322</v>
      </c>
      <c r="D1223">
        <v>35</v>
      </c>
      <c r="E1223">
        <v>13</v>
      </c>
      <c r="F1223">
        <v>5</v>
      </c>
      <c r="G1223">
        <v>16.87</v>
      </c>
      <c r="H1223">
        <v>4.1900000000000004</v>
      </c>
      <c r="I1223">
        <v>0.21</v>
      </c>
      <c r="J1223" t="s">
        <v>338</v>
      </c>
      <c r="K1223" t="s">
        <v>52</v>
      </c>
      <c r="L1223">
        <v>130</v>
      </c>
      <c r="M1223">
        <v>2.4700000000000002</v>
      </c>
      <c r="N1223">
        <v>131.93</v>
      </c>
      <c r="O1223">
        <v>1.22</v>
      </c>
      <c r="P1223">
        <v>0</v>
      </c>
      <c r="Q1223">
        <v>0.99</v>
      </c>
      <c r="R1223">
        <v>690</v>
      </c>
      <c r="S1223">
        <v>11.24</v>
      </c>
      <c r="T1223">
        <v>0.9</v>
      </c>
      <c r="U1223" s="1">
        <v>45597</v>
      </c>
      <c r="V1223">
        <v>224.02</v>
      </c>
      <c r="W1223">
        <v>0.80600000000000005</v>
      </c>
      <c r="X1223" t="str">
        <f>IF(WarehouseData[[#This Row],[stock_level]]&lt;=WarehouseData[[#This Row],[reorder_point]],"Low Stock","Sufficient Stock")</f>
        <v>Sufficient Stock</v>
      </c>
      <c r="Y1223">
        <f>WarehouseData[[#This Row],[daily_demand]]*WarehouseData[[#This Row],[lead_time_days]]</f>
        <v>84.350000000000009</v>
      </c>
      <c r="Z1223" t="str">
        <f>IF(WarehouseData[[#This Row],[stock_level]]&lt;=WarehouseData[[#This Row],[Demand During Lead Time]],"At Risk","Safe")</f>
        <v>Safe</v>
      </c>
      <c r="AA1223">
        <f>WarehouseData[[#This Row],[stock_level]]/WarehouseData[[#This Row],[daily_demand]]</f>
        <v>19.087136929460581</v>
      </c>
      <c r="AB1223">
        <f>WarehouseData[[#This Row],[stock_level]]*WarehouseData[[#This Row],[unit_price]]</f>
        <v>42481.46</v>
      </c>
      <c r="AC1223">
        <f>WarehouseData[[#This Row],[stock_level]]*WarehouseData[[#This Row],[holding_cost_per_unit_day]]*30</f>
        <v>11785.199999999999</v>
      </c>
      <c r="AD1223" t="str">
        <f>IF(WarehouseData[[#This Row],[order_fulfillment_rate]]&gt;=0.9,"Strong",IF(WarehouseData[[#This Row],[order_fulfillment_rate]]&gt;=0.8,"Moderate","Needs Attention"))</f>
        <v>Strong</v>
      </c>
      <c r="AE1223" t="str">
        <f>IF(WarehouseData[[#This Row],[picking_time_seconds]]&gt;120,"Slow",IF(WarehouseData[[#This Row],[picking_time_seconds]]&gt;=60,"Average","Fast"))</f>
        <v>Slow</v>
      </c>
    </row>
    <row r="1224" spans="1:31" x14ac:dyDescent="0.25">
      <c r="A1224" t="s">
        <v>1362</v>
      </c>
      <c r="B1224" t="s">
        <v>32</v>
      </c>
      <c r="C1224">
        <v>103</v>
      </c>
      <c r="D1224">
        <v>34</v>
      </c>
      <c r="E1224">
        <v>5</v>
      </c>
      <c r="F1224">
        <v>3</v>
      </c>
      <c r="G1224">
        <v>26.19</v>
      </c>
      <c r="H1224">
        <v>2.92</v>
      </c>
      <c r="I1224">
        <v>0.94</v>
      </c>
      <c r="J1224" t="s">
        <v>144</v>
      </c>
      <c r="K1224" t="s">
        <v>38</v>
      </c>
      <c r="L1224">
        <v>144</v>
      </c>
      <c r="M1224">
        <v>3.05</v>
      </c>
      <c r="N1224">
        <v>112.48</v>
      </c>
      <c r="O1224">
        <v>1.73</v>
      </c>
      <c r="P1224">
        <v>9</v>
      </c>
      <c r="Q1224">
        <v>0.92</v>
      </c>
      <c r="R1224">
        <v>55</v>
      </c>
      <c r="S1224">
        <v>2.93</v>
      </c>
      <c r="T1224">
        <v>0.25</v>
      </c>
      <c r="U1224" s="1">
        <v>45404</v>
      </c>
      <c r="V1224">
        <v>288.06</v>
      </c>
      <c r="W1224">
        <v>0.32</v>
      </c>
      <c r="X1224" t="str">
        <f>IF(WarehouseData[[#This Row],[stock_level]]&lt;=WarehouseData[[#This Row],[reorder_point]],"Low Stock","Sufficient Stock")</f>
        <v>Sufficient Stock</v>
      </c>
      <c r="Y1224">
        <f>WarehouseData[[#This Row],[daily_demand]]*WarehouseData[[#This Row],[lead_time_days]]</f>
        <v>78.570000000000007</v>
      </c>
      <c r="Z1224" t="str">
        <f>IF(WarehouseData[[#This Row],[stock_level]]&lt;=WarehouseData[[#This Row],[Demand During Lead Time]],"At Risk","Safe")</f>
        <v>Safe</v>
      </c>
      <c r="AA1224">
        <f>WarehouseData[[#This Row],[stock_level]]/WarehouseData[[#This Row],[daily_demand]]</f>
        <v>3.9327987781596025</v>
      </c>
      <c r="AB1224">
        <f>WarehouseData[[#This Row],[stock_level]]*WarehouseData[[#This Row],[unit_price]]</f>
        <v>11585.44</v>
      </c>
      <c r="AC1224">
        <f>WarehouseData[[#This Row],[stock_level]]*WarehouseData[[#This Row],[holding_cost_per_unit_day]]*30</f>
        <v>5345.7</v>
      </c>
      <c r="AD1224" t="str">
        <f>IF(WarehouseData[[#This Row],[order_fulfillment_rate]]&gt;=0.9,"Strong",IF(WarehouseData[[#This Row],[order_fulfillment_rate]]&gt;=0.8,"Moderate","Needs Attention"))</f>
        <v>Strong</v>
      </c>
      <c r="AE1224" t="str">
        <f>IF(WarehouseData[[#This Row],[picking_time_seconds]]&gt;120,"Slow",IF(WarehouseData[[#This Row],[picking_time_seconds]]&gt;=60,"Average","Fast"))</f>
        <v>Slow</v>
      </c>
    </row>
    <row r="1225" spans="1:31" x14ac:dyDescent="0.25">
      <c r="A1225" t="s">
        <v>1363</v>
      </c>
      <c r="B1225" t="s">
        <v>40</v>
      </c>
      <c r="C1225">
        <v>102</v>
      </c>
      <c r="D1225">
        <v>84</v>
      </c>
      <c r="E1225">
        <v>11</v>
      </c>
      <c r="F1225">
        <v>6</v>
      </c>
      <c r="G1225">
        <v>44.1</v>
      </c>
      <c r="H1225">
        <v>4.29</v>
      </c>
      <c r="I1225">
        <v>0.37</v>
      </c>
      <c r="J1225" t="s">
        <v>286</v>
      </c>
      <c r="K1225" t="s">
        <v>46</v>
      </c>
      <c r="L1225">
        <v>62</v>
      </c>
      <c r="M1225">
        <v>1.31</v>
      </c>
      <c r="N1225">
        <v>40.19</v>
      </c>
      <c r="O1225">
        <v>1.43</v>
      </c>
      <c r="P1225">
        <v>4</v>
      </c>
      <c r="Q1225">
        <v>0.8</v>
      </c>
      <c r="R1225">
        <v>360</v>
      </c>
      <c r="S1225">
        <v>3.47</v>
      </c>
      <c r="T1225">
        <v>0.27</v>
      </c>
      <c r="U1225" s="1">
        <v>45307</v>
      </c>
      <c r="V1225">
        <v>294.24</v>
      </c>
      <c r="W1225">
        <v>0.437</v>
      </c>
      <c r="X1225" t="str">
        <f>IF(WarehouseData[[#This Row],[stock_level]]&lt;=WarehouseData[[#This Row],[reorder_point]],"Low Stock","Sufficient Stock")</f>
        <v>Sufficient Stock</v>
      </c>
      <c r="Y1225">
        <f>WarehouseData[[#This Row],[daily_demand]]*WarehouseData[[#This Row],[lead_time_days]]</f>
        <v>264.60000000000002</v>
      </c>
      <c r="Z1225" t="str">
        <f>IF(WarehouseData[[#This Row],[stock_level]]&lt;=WarehouseData[[#This Row],[Demand During Lead Time]],"At Risk","Safe")</f>
        <v>At Risk</v>
      </c>
      <c r="AA1225">
        <f>WarehouseData[[#This Row],[stock_level]]/WarehouseData[[#This Row],[daily_demand]]</f>
        <v>2.3129251700680271</v>
      </c>
      <c r="AB1225">
        <f>WarehouseData[[#This Row],[stock_level]]*WarehouseData[[#This Row],[unit_price]]</f>
        <v>4099.38</v>
      </c>
      <c r="AC1225">
        <f>WarehouseData[[#This Row],[stock_level]]*WarehouseData[[#This Row],[holding_cost_per_unit_day]]*30</f>
        <v>4375.7999999999993</v>
      </c>
      <c r="AD1225" t="str">
        <f>IF(WarehouseData[[#This Row],[order_fulfillment_rate]]&gt;=0.9,"Strong",IF(WarehouseData[[#This Row],[order_fulfillment_rate]]&gt;=0.8,"Moderate","Needs Attention"))</f>
        <v>Moderate</v>
      </c>
      <c r="AE1225" t="str">
        <f>IF(WarehouseData[[#This Row],[picking_time_seconds]]&gt;120,"Slow",IF(WarehouseData[[#This Row],[picking_time_seconds]]&gt;=60,"Average","Fast"))</f>
        <v>Average</v>
      </c>
    </row>
    <row r="1226" spans="1:31" x14ac:dyDescent="0.25">
      <c r="A1226" t="s">
        <v>1364</v>
      </c>
      <c r="B1226" t="s">
        <v>40</v>
      </c>
      <c r="C1226">
        <v>310</v>
      </c>
      <c r="D1226">
        <v>32</v>
      </c>
      <c r="E1226">
        <v>8</v>
      </c>
      <c r="F1226">
        <v>6</v>
      </c>
      <c r="G1226">
        <v>18.41</v>
      </c>
      <c r="H1226">
        <v>8.17</v>
      </c>
      <c r="I1226">
        <v>0.32</v>
      </c>
      <c r="J1226" t="s">
        <v>144</v>
      </c>
      <c r="K1226" t="s">
        <v>46</v>
      </c>
      <c r="L1226">
        <v>123</v>
      </c>
      <c r="M1226">
        <v>2.72</v>
      </c>
      <c r="N1226">
        <v>121.96</v>
      </c>
      <c r="O1226">
        <v>1.1299999999999999</v>
      </c>
      <c r="P1226">
        <v>9</v>
      </c>
      <c r="Q1226">
        <v>0.79</v>
      </c>
      <c r="R1226">
        <v>115</v>
      </c>
      <c r="S1226">
        <v>10.01</v>
      </c>
      <c r="T1226">
        <v>0.85</v>
      </c>
      <c r="U1226" s="1">
        <v>45435</v>
      </c>
      <c r="V1226">
        <v>202.42</v>
      </c>
      <c r="W1226">
        <v>0.56799999999999995</v>
      </c>
      <c r="X1226" t="str">
        <f>IF(WarehouseData[[#This Row],[stock_level]]&lt;=WarehouseData[[#This Row],[reorder_point]],"Low Stock","Sufficient Stock")</f>
        <v>Sufficient Stock</v>
      </c>
      <c r="Y1226">
        <f>WarehouseData[[#This Row],[daily_demand]]*WarehouseData[[#This Row],[lead_time_days]]</f>
        <v>110.46000000000001</v>
      </c>
      <c r="Z1226" t="str">
        <f>IF(WarehouseData[[#This Row],[stock_level]]&lt;=WarehouseData[[#This Row],[Demand During Lead Time]],"At Risk","Safe")</f>
        <v>Safe</v>
      </c>
      <c r="AA1226">
        <f>WarehouseData[[#This Row],[stock_level]]/WarehouseData[[#This Row],[daily_demand]]</f>
        <v>16.838674633351438</v>
      </c>
      <c r="AB1226">
        <f>WarehouseData[[#This Row],[stock_level]]*WarehouseData[[#This Row],[unit_price]]</f>
        <v>37807.599999999999</v>
      </c>
      <c r="AC1226">
        <f>WarehouseData[[#This Row],[stock_level]]*WarehouseData[[#This Row],[holding_cost_per_unit_day]]*30</f>
        <v>10508.999999999998</v>
      </c>
      <c r="AD1226" t="str">
        <f>IF(WarehouseData[[#This Row],[order_fulfillment_rate]]&gt;=0.9,"Strong",IF(WarehouseData[[#This Row],[order_fulfillment_rate]]&gt;=0.8,"Moderate","Needs Attention"))</f>
        <v>Needs Attention</v>
      </c>
      <c r="AE1226" t="str">
        <f>IF(WarehouseData[[#This Row],[picking_time_seconds]]&gt;120,"Slow",IF(WarehouseData[[#This Row],[picking_time_seconds]]&gt;=60,"Average","Fast"))</f>
        <v>Slow</v>
      </c>
    </row>
    <row r="1227" spans="1:31" x14ac:dyDescent="0.25">
      <c r="A1227" t="s">
        <v>1365</v>
      </c>
      <c r="B1227" t="s">
        <v>32</v>
      </c>
      <c r="C1227">
        <v>471</v>
      </c>
      <c r="D1227">
        <v>66</v>
      </c>
      <c r="E1227">
        <v>8</v>
      </c>
      <c r="F1227">
        <v>7</v>
      </c>
      <c r="G1227">
        <v>6.35</v>
      </c>
      <c r="H1227">
        <v>9.68</v>
      </c>
      <c r="I1227">
        <v>0.13</v>
      </c>
      <c r="J1227" t="s">
        <v>418</v>
      </c>
      <c r="K1227" t="s">
        <v>46</v>
      </c>
      <c r="L1227">
        <v>15</v>
      </c>
      <c r="M1227">
        <v>4.43</v>
      </c>
      <c r="N1227">
        <v>178.44</v>
      </c>
      <c r="O1227">
        <v>1.24</v>
      </c>
      <c r="P1227">
        <v>1</v>
      </c>
      <c r="Q1227">
        <v>0.89</v>
      </c>
      <c r="R1227">
        <v>423</v>
      </c>
      <c r="S1227">
        <v>7.12</v>
      </c>
      <c r="T1227">
        <v>0.65</v>
      </c>
      <c r="U1227" s="1">
        <v>45321</v>
      </c>
      <c r="V1227">
        <v>115.21</v>
      </c>
      <c r="W1227">
        <v>0.65900000000000003</v>
      </c>
      <c r="X1227" t="str">
        <f>IF(WarehouseData[[#This Row],[stock_level]]&lt;=WarehouseData[[#This Row],[reorder_point]],"Low Stock","Sufficient Stock")</f>
        <v>Sufficient Stock</v>
      </c>
      <c r="Y1227">
        <f>WarehouseData[[#This Row],[daily_demand]]*WarehouseData[[#This Row],[lead_time_days]]</f>
        <v>44.449999999999996</v>
      </c>
      <c r="Z1227" t="str">
        <f>IF(WarehouseData[[#This Row],[stock_level]]&lt;=WarehouseData[[#This Row],[Demand During Lead Time]],"At Risk","Safe")</f>
        <v>Safe</v>
      </c>
      <c r="AA1227">
        <f>WarehouseData[[#This Row],[stock_level]]/WarehouseData[[#This Row],[daily_demand]]</f>
        <v>74.173228346456696</v>
      </c>
      <c r="AB1227">
        <f>WarehouseData[[#This Row],[stock_level]]*WarehouseData[[#This Row],[unit_price]]</f>
        <v>84045.24</v>
      </c>
      <c r="AC1227">
        <f>WarehouseData[[#This Row],[stock_level]]*WarehouseData[[#This Row],[holding_cost_per_unit_day]]*30</f>
        <v>17521.199999999997</v>
      </c>
      <c r="AD1227" t="str">
        <f>IF(WarehouseData[[#This Row],[order_fulfillment_rate]]&gt;=0.9,"Strong",IF(WarehouseData[[#This Row],[order_fulfillment_rate]]&gt;=0.8,"Moderate","Needs Attention"))</f>
        <v>Moderate</v>
      </c>
      <c r="AE1227" t="str">
        <f>IF(WarehouseData[[#This Row],[picking_time_seconds]]&gt;120,"Slow",IF(WarehouseData[[#This Row],[picking_time_seconds]]&gt;=60,"Average","Fast"))</f>
        <v>Fast</v>
      </c>
    </row>
    <row r="1228" spans="1:31" x14ac:dyDescent="0.25">
      <c r="A1228" t="s">
        <v>1366</v>
      </c>
      <c r="B1228" t="s">
        <v>40</v>
      </c>
      <c r="C1228">
        <v>88</v>
      </c>
      <c r="D1228">
        <v>61</v>
      </c>
      <c r="E1228">
        <v>7</v>
      </c>
      <c r="F1228">
        <v>8</v>
      </c>
      <c r="G1228">
        <v>47.5</v>
      </c>
      <c r="H1228">
        <v>6.54</v>
      </c>
      <c r="I1228">
        <v>0.35</v>
      </c>
      <c r="J1228" t="s">
        <v>64</v>
      </c>
      <c r="K1228" t="s">
        <v>34</v>
      </c>
      <c r="L1228">
        <v>144</v>
      </c>
      <c r="M1228">
        <v>3.98</v>
      </c>
      <c r="N1228">
        <v>89.52</v>
      </c>
      <c r="O1228">
        <v>1.1000000000000001</v>
      </c>
      <c r="P1228">
        <v>9</v>
      </c>
      <c r="Q1228">
        <v>0.88</v>
      </c>
      <c r="R1228">
        <v>780</v>
      </c>
      <c r="S1228">
        <v>4.0599999999999996</v>
      </c>
      <c r="T1228">
        <v>0.51</v>
      </c>
      <c r="U1228" s="1">
        <v>45533</v>
      </c>
      <c r="V1228">
        <v>141.37</v>
      </c>
      <c r="W1228">
        <v>0.442</v>
      </c>
      <c r="X1228" t="str">
        <f>IF(WarehouseData[[#This Row],[stock_level]]&lt;=WarehouseData[[#This Row],[reorder_point]],"Low Stock","Sufficient Stock")</f>
        <v>Sufficient Stock</v>
      </c>
      <c r="Y1228">
        <f>WarehouseData[[#This Row],[daily_demand]]*WarehouseData[[#This Row],[lead_time_days]]</f>
        <v>380</v>
      </c>
      <c r="Z1228" t="str">
        <f>IF(WarehouseData[[#This Row],[stock_level]]&lt;=WarehouseData[[#This Row],[Demand During Lead Time]],"At Risk","Safe")</f>
        <v>At Risk</v>
      </c>
      <c r="AA1228">
        <f>WarehouseData[[#This Row],[stock_level]]/WarehouseData[[#This Row],[daily_demand]]</f>
        <v>1.8526315789473684</v>
      </c>
      <c r="AB1228">
        <f>WarehouseData[[#This Row],[stock_level]]*WarehouseData[[#This Row],[unit_price]]</f>
        <v>7877.7599999999993</v>
      </c>
      <c r="AC1228">
        <f>WarehouseData[[#This Row],[stock_level]]*WarehouseData[[#This Row],[holding_cost_per_unit_day]]*30</f>
        <v>2904.0000000000005</v>
      </c>
      <c r="AD1228" t="str">
        <f>IF(WarehouseData[[#This Row],[order_fulfillment_rate]]&gt;=0.9,"Strong",IF(WarehouseData[[#This Row],[order_fulfillment_rate]]&gt;=0.8,"Moderate","Needs Attention"))</f>
        <v>Moderate</v>
      </c>
      <c r="AE1228" t="str">
        <f>IF(WarehouseData[[#This Row],[picking_time_seconds]]&gt;120,"Slow",IF(WarehouseData[[#This Row],[picking_time_seconds]]&gt;=60,"Average","Fast"))</f>
        <v>Slow</v>
      </c>
    </row>
    <row r="1229" spans="1:31" x14ac:dyDescent="0.25">
      <c r="A1229" t="s">
        <v>1367</v>
      </c>
      <c r="B1229" t="s">
        <v>73</v>
      </c>
      <c r="C1229">
        <v>148</v>
      </c>
      <c r="D1229">
        <v>96</v>
      </c>
      <c r="E1229">
        <v>13</v>
      </c>
      <c r="F1229">
        <v>3</v>
      </c>
      <c r="G1229">
        <v>24.93</v>
      </c>
      <c r="H1229">
        <v>7.93</v>
      </c>
      <c r="I1229">
        <v>0.72</v>
      </c>
      <c r="J1229" t="s">
        <v>51</v>
      </c>
      <c r="K1229" t="s">
        <v>34</v>
      </c>
      <c r="L1229">
        <v>27</v>
      </c>
      <c r="M1229">
        <v>0.87</v>
      </c>
      <c r="N1229">
        <v>137.1</v>
      </c>
      <c r="O1229">
        <v>1.95</v>
      </c>
      <c r="P1229">
        <v>3</v>
      </c>
      <c r="Q1229">
        <v>0.98</v>
      </c>
      <c r="R1229">
        <v>195</v>
      </c>
      <c r="S1229">
        <v>4.96</v>
      </c>
      <c r="T1229">
        <v>0.64</v>
      </c>
      <c r="U1229" s="1">
        <v>45563</v>
      </c>
      <c r="V1229">
        <v>137.38999999999999</v>
      </c>
      <c r="W1229">
        <v>0.53500000000000003</v>
      </c>
      <c r="X1229" t="str">
        <f>IF(WarehouseData[[#This Row],[stock_level]]&lt;=WarehouseData[[#This Row],[reorder_point]],"Low Stock","Sufficient Stock")</f>
        <v>Sufficient Stock</v>
      </c>
      <c r="Y1229">
        <f>WarehouseData[[#This Row],[daily_demand]]*WarehouseData[[#This Row],[lead_time_days]]</f>
        <v>74.789999999999992</v>
      </c>
      <c r="Z1229" t="str">
        <f>IF(WarehouseData[[#This Row],[stock_level]]&lt;=WarehouseData[[#This Row],[Demand During Lead Time]],"At Risk","Safe")</f>
        <v>Safe</v>
      </c>
      <c r="AA1229">
        <f>WarehouseData[[#This Row],[stock_level]]/WarehouseData[[#This Row],[daily_demand]]</f>
        <v>5.9366225431207384</v>
      </c>
      <c r="AB1229">
        <f>WarehouseData[[#This Row],[stock_level]]*WarehouseData[[#This Row],[unit_price]]</f>
        <v>20290.8</v>
      </c>
      <c r="AC1229">
        <f>WarehouseData[[#This Row],[stock_level]]*WarehouseData[[#This Row],[holding_cost_per_unit_day]]*30</f>
        <v>8657.9999999999982</v>
      </c>
      <c r="AD1229" t="str">
        <f>IF(WarehouseData[[#This Row],[order_fulfillment_rate]]&gt;=0.9,"Strong",IF(WarehouseData[[#This Row],[order_fulfillment_rate]]&gt;=0.8,"Moderate","Needs Attention"))</f>
        <v>Strong</v>
      </c>
      <c r="AE1229" t="str">
        <f>IF(WarehouseData[[#This Row],[picking_time_seconds]]&gt;120,"Slow",IF(WarehouseData[[#This Row],[picking_time_seconds]]&gt;=60,"Average","Fast"))</f>
        <v>Fast</v>
      </c>
    </row>
    <row r="1230" spans="1:31" x14ac:dyDescent="0.25">
      <c r="A1230" t="s">
        <v>1368</v>
      </c>
      <c r="B1230" t="s">
        <v>40</v>
      </c>
      <c r="C1230">
        <v>215</v>
      </c>
      <c r="D1230">
        <v>40</v>
      </c>
      <c r="E1230">
        <v>5</v>
      </c>
      <c r="F1230">
        <v>2</v>
      </c>
      <c r="G1230">
        <v>25.64</v>
      </c>
      <c r="H1230">
        <v>5.56</v>
      </c>
      <c r="I1230">
        <v>0.48</v>
      </c>
      <c r="J1230" t="s">
        <v>37</v>
      </c>
      <c r="K1230" t="s">
        <v>52</v>
      </c>
      <c r="L1230">
        <v>63</v>
      </c>
      <c r="M1230">
        <v>4.38</v>
      </c>
      <c r="N1230">
        <v>127.03</v>
      </c>
      <c r="O1230">
        <v>1.65</v>
      </c>
      <c r="P1230">
        <v>4</v>
      </c>
      <c r="Q1230">
        <v>0.93</v>
      </c>
      <c r="R1230">
        <v>283</v>
      </c>
      <c r="S1230">
        <v>9.66</v>
      </c>
      <c r="T1230">
        <v>0.9</v>
      </c>
      <c r="U1230" s="1">
        <v>45475</v>
      </c>
      <c r="V1230">
        <v>122.34</v>
      </c>
      <c r="W1230">
        <v>0.65</v>
      </c>
      <c r="X1230" t="str">
        <f>IF(WarehouseData[[#This Row],[stock_level]]&lt;=WarehouseData[[#This Row],[reorder_point]],"Low Stock","Sufficient Stock")</f>
        <v>Sufficient Stock</v>
      </c>
      <c r="Y1230">
        <f>WarehouseData[[#This Row],[daily_demand]]*WarehouseData[[#This Row],[lead_time_days]]</f>
        <v>51.28</v>
      </c>
      <c r="Z1230" t="str">
        <f>IF(WarehouseData[[#This Row],[stock_level]]&lt;=WarehouseData[[#This Row],[Demand During Lead Time]],"At Risk","Safe")</f>
        <v>Safe</v>
      </c>
      <c r="AA1230">
        <f>WarehouseData[[#This Row],[stock_level]]/WarehouseData[[#This Row],[daily_demand]]</f>
        <v>8.3853354134165361</v>
      </c>
      <c r="AB1230">
        <f>WarehouseData[[#This Row],[stock_level]]*WarehouseData[[#This Row],[unit_price]]</f>
        <v>27311.45</v>
      </c>
      <c r="AC1230">
        <f>WarehouseData[[#This Row],[stock_level]]*WarehouseData[[#This Row],[holding_cost_per_unit_day]]*30</f>
        <v>10642.5</v>
      </c>
      <c r="AD1230" t="str">
        <f>IF(WarehouseData[[#This Row],[order_fulfillment_rate]]&gt;=0.9,"Strong",IF(WarehouseData[[#This Row],[order_fulfillment_rate]]&gt;=0.8,"Moderate","Needs Attention"))</f>
        <v>Strong</v>
      </c>
      <c r="AE1230" t="str">
        <f>IF(WarehouseData[[#This Row],[picking_time_seconds]]&gt;120,"Slow",IF(WarehouseData[[#This Row],[picking_time_seconds]]&gt;=60,"Average","Fast"))</f>
        <v>Average</v>
      </c>
    </row>
    <row r="1231" spans="1:31" x14ac:dyDescent="0.25">
      <c r="A1231" t="s">
        <v>1369</v>
      </c>
      <c r="B1231" t="s">
        <v>36</v>
      </c>
      <c r="C1231">
        <v>159</v>
      </c>
      <c r="D1231">
        <v>73</v>
      </c>
      <c r="E1231">
        <v>13</v>
      </c>
      <c r="F1231">
        <v>6</v>
      </c>
      <c r="G1231">
        <v>31.44</v>
      </c>
      <c r="H1231">
        <v>6.44</v>
      </c>
      <c r="I1231">
        <v>0.56999999999999995</v>
      </c>
      <c r="J1231" t="s">
        <v>202</v>
      </c>
      <c r="K1231" t="s">
        <v>34</v>
      </c>
      <c r="L1231">
        <v>136</v>
      </c>
      <c r="M1231">
        <v>1.73</v>
      </c>
      <c r="N1231">
        <v>81.64</v>
      </c>
      <c r="O1231">
        <v>1.58</v>
      </c>
      <c r="P1231">
        <v>7</v>
      </c>
      <c r="Q1231">
        <v>0.86</v>
      </c>
      <c r="R1231">
        <v>78</v>
      </c>
      <c r="S1231">
        <v>11.16</v>
      </c>
      <c r="T1231">
        <v>0.81</v>
      </c>
      <c r="U1231" s="1">
        <v>45591</v>
      </c>
      <c r="V1231">
        <v>108.09</v>
      </c>
      <c r="W1231">
        <v>0.58499999999999996</v>
      </c>
      <c r="X1231" t="str">
        <f>IF(WarehouseData[[#This Row],[stock_level]]&lt;=WarehouseData[[#This Row],[reorder_point]],"Low Stock","Sufficient Stock")</f>
        <v>Sufficient Stock</v>
      </c>
      <c r="Y1231">
        <f>WarehouseData[[#This Row],[daily_demand]]*WarehouseData[[#This Row],[lead_time_days]]</f>
        <v>188.64000000000001</v>
      </c>
      <c r="Z1231" t="str">
        <f>IF(WarehouseData[[#This Row],[stock_level]]&lt;=WarehouseData[[#This Row],[Demand During Lead Time]],"At Risk","Safe")</f>
        <v>At Risk</v>
      </c>
      <c r="AA1231">
        <f>WarehouseData[[#This Row],[stock_level]]/WarehouseData[[#This Row],[daily_demand]]</f>
        <v>5.057251908396946</v>
      </c>
      <c r="AB1231">
        <f>WarehouseData[[#This Row],[stock_level]]*WarehouseData[[#This Row],[unit_price]]</f>
        <v>12980.76</v>
      </c>
      <c r="AC1231">
        <f>WarehouseData[[#This Row],[stock_level]]*WarehouseData[[#This Row],[holding_cost_per_unit_day]]*30</f>
        <v>7536.6</v>
      </c>
      <c r="AD1231" t="str">
        <f>IF(WarehouseData[[#This Row],[order_fulfillment_rate]]&gt;=0.9,"Strong",IF(WarehouseData[[#This Row],[order_fulfillment_rate]]&gt;=0.8,"Moderate","Needs Attention"))</f>
        <v>Moderate</v>
      </c>
      <c r="AE1231" t="str">
        <f>IF(WarehouseData[[#This Row],[picking_time_seconds]]&gt;120,"Slow",IF(WarehouseData[[#This Row],[picking_time_seconds]]&gt;=60,"Average","Fast"))</f>
        <v>Slow</v>
      </c>
    </row>
    <row r="1232" spans="1:31" x14ac:dyDescent="0.25">
      <c r="A1232" t="s">
        <v>1370</v>
      </c>
      <c r="B1232" t="s">
        <v>40</v>
      </c>
      <c r="C1232">
        <v>463</v>
      </c>
      <c r="D1232">
        <v>80</v>
      </c>
      <c r="E1232">
        <v>7</v>
      </c>
      <c r="F1232">
        <v>9</v>
      </c>
      <c r="G1232">
        <v>1.17</v>
      </c>
      <c r="H1232">
        <v>9.89</v>
      </c>
      <c r="I1232">
        <v>0.93</v>
      </c>
      <c r="J1232" t="s">
        <v>139</v>
      </c>
      <c r="K1232" t="s">
        <v>38</v>
      </c>
      <c r="L1232">
        <v>166</v>
      </c>
      <c r="M1232">
        <v>3.5</v>
      </c>
      <c r="N1232">
        <v>117.4</v>
      </c>
      <c r="O1232">
        <v>1.08</v>
      </c>
      <c r="P1232">
        <v>1</v>
      </c>
      <c r="Q1232">
        <v>0.98</v>
      </c>
      <c r="R1232">
        <v>870</v>
      </c>
      <c r="S1232">
        <v>3.91</v>
      </c>
      <c r="T1232">
        <v>0.75</v>
      </c>
      <c r="U1232" s="1">
        <v>45411</v>
      </c>
      <c r="V1232">
        <v>58.69</v>
      </c>
      <c r="W1232">
        <v>0.67</v>
      </c>
      <c r="X1232" t="str">
        <f>IF(WarehouseData[[#This Row],[stock_level]]&lt;=WarehouseData[[#This Row],[reorder_point]],"Low Stock","Sufficient Stock")</f>
        <v>Sufficient Stock</v>
      </c>
      <c r="Y1232">
        <f>WarehouseData[[#This Row],[daily_demand]]*WarehouseData[[#This Row],[lead_time_days]]</f>
        <v>10.53</v>
      </c>
      <c r="Z1232" t="str">
        <f>IF(WarehouseData[[#This Row],[stock_level]]&lt;=WarehouseData[[#This Row],[Demand During Lead Time]],"At Risk","Safe")</f>
        <v>Safe</v>
      </c>
      <c r="AA1232">
        <f>WarehouseData[[#This Row],[stock_level]]/WarehouseData[[#This Row],[daily_demand]]</f>
        <v>395.72649572649573</v>
      </c>
      <c r="AB1232">
        <f>WarehouseData[[#This Row],[stock_level]]*WarehouseData[[#This Row],[unit_price]]</f>
        <v>54356.200000000004</v>
      </c>
      <c r="AC1232">
        <f>WarehouseData[[#This Row],[stock_level]]*WarehouseData[[#This Row],[holding_cost_per_unit_day]]*30</f>
        <v>15001.2</v>
      </c>
      <c r="AD1232" t="str">
        <f>IF(WarehouseData[[#This Row],[order_fulfillment_rate]]&gt;=0.9,"Strong",IF(WarehouseData[[#This Row],[order_fulfillment_rate]]&gt;=0.8,"Moderate","Needs Attention"))</f>
        <v>Strong</v>
      </c>
      <c r="AE1232" t="str">
        <f>IF(WarehouseData[[#This Row],[picking_time_seconds]]&gt;120,"Slow",IF(WarehouseData[[#This Row],[picking_time_seconds]]&gt;=60,"Average","Fast"))</f>
        <v>Slow</v>
      </c>
    </row>
    <row r="1233" spans="1:31" x14ac:dyDescent="0.25">
      <c r="A1233" t="s">
        <v>1371</v>
      </c>
      <c r="B1233" t="s">
        <v>48</v>
      </c>
      <c r="C1233">
        <v>302</v>
      </c>
      <c r="D1233">
        <v>42</v>
      </c>
      <c r="E1233">
        <v>3</v>
      </c>
      <c r="F1233">
        <v>8</v>
      </c>
      <c r="G1233">
        <v>46.63</v>
      </c>
      <c r="H1233">
        <v>4.66</v>
      </c>
      <c r="I1233">
        <v>0.2</v>
      </c>
      <c r="J1233" t="s">
        <v>190</v>
      </c>
      <c r="K1233" t="s">
        <v>34</v>
      </c>
      <c r="L1233">
        <v>34</v>
      </c>
      <c r="M1233">
        <v>1.1599999999999999</v>
      </c>
      <c r="N1233">
        <v>49.94</v>
      </c>
      <c r="O1233">
        <v>0.73</v>
      </c>
      <c r="P1233">
        <v>1</v>
      </c>
      <c r="Q1233">
        <v>0.88</v>
      </c>
      <c r="R1233">
        <v>722</v>
      </c>
      <c r="S1233">
        <v>14.37</v>
      </c>
      <c r="T1233">
        <v>0.98</v>
      </c>
      <c r="U1233" s="1">
        <v>45373</v>
      </c>
      <c r="V1233">
        <v>116.19</v>
      </c>
      <c r="W1233">
        <v>0.871</v>
      </c>
      <c r="X1233" t="str">
        <f>IF(WarehouseData[[#This Row],[stock_level]]&lt;=WarehouseData[[#This Row],[reorder_point]],"Low Stock","Sufficient Stock")</f>
        <v>Sufficient Stock</v>
      </c>
      <c r="Y1233">
        <f>WarehouseData[[#This Row],[daily_demand]]*WarehouseData[[#This Row],[lead_time_days]]</f>
        <v>373.04</v>
      </c>
      <c r="Z1233" t="str">
        <f>IF(WarehouseData[[#This Row],[stock_level]]&lt;=WarehouseData[[#This Row],[Demand During Lead Time]],"At Risk","Safe")</f>
        <v>At Risk</v>
      </c>
      <c r="AA1233">
        <f>WarehouseData[[#This Row],[stock_level]]/WarehouseData[[#This Row],[daily_demand]]</f>
        <v>6.4765172635642285</v>
      </c>
      <c r="AB1233">
        <f>WarehouseData[[#This Row],[stock_level]]*WarehouseData[[#This Row],[unit_price]]</f>
        <v>15081.88</v>
      </c>
      <c r="AC1233">
        <f>WarehouseData[[#This Row],[stock_level]]*WarehouseData[[#This Row],[holding_cost_per_unit_day]]*30</f>
        <v>6613.8</v>
      </c>
      <c r="AD1233" t="str">
        <f>IF(WarehouseData[[#This Row],[order_fulfillment_rate]]&gt;=0.9,"Strong",IF(WarehouseData[[#This Row],[order_fulfillment_rate]]&gt;=0.8,"Moderate","Needs Attention"))</f>
        <v>Moderate</v>
      </c>
      <c r="AE1233" t="str">
        <f>IF(WarehouseData[[#This Row],[picking_time_seconds]]&gt;120,"Slow",IF(WarehouseData[[#This Row],[picking_time_seconds]]&gt;=60,"Average","Fast"))</f>
        <v>Fast</v>
      </c>
    </row>
    <row r="1234" spans="1:31" x14ac:dyDescent="0.25">
      <c r="A1234" t="s">
        <v>1372</v>
      </c>
      <c r="B1234" t="s">
        <v>73</v>
      </c>
      <c r="C1234">
        <v>331</v>
      </c>
      <c r="D1234">
        <v>94</v>
      </c>
      <c r="E1234">
        <v>5</v>
      </c>
      <c r="F1234">
        <v>7</v>
      </c>
      <c r="G1234">
        <v>18.71</v>
      </c>
      <c r="H1234">
        <v>1.1299999999999999</v>
      </c>
      <c r="I1234">
        <v>0.16</v>
      </c>
      <c r="J1234" t="s">
        <v>113</v>
      </c>
      <c r="K1234" t="s">
        <v>46</v>
      </c>
      <c r="L1234">
        <v>72</v>
      </c>
      <c r="M1234">
        <v>3.54</v>
      </c>
      <c r="N1234">
        <v>113.76</v>
      </c>
      <c r="O1234">
        <v>0.14000000000000001</v>
      </c>
      <c r="P1234">
        <v>1</v>
      </c>
      <c r="Q1234">
        <v>0.95</v>
      </c>
      <c r="R1234">
        <v>692</v>
      </c>
      <c r="S1234">
        <v>1.1100000000000001</v>
      </c>
      <c r="T1234">
        <v>0.62</v>
      </c>
      <c r="U1234" s="1">
        <v>45343</v>
      </c>
      <c r="V1234">
        <v>291.08</v>
      </c>
      <c r="W1234">
        <v>0.69499999999999995</v>
      </c>
      <c r="X1234" t="str">
        <f>IF(WarehouseData[[#This Row],[stock_level]]&lt;=WarehouseData[[#This Row],[reorder_point]],"Low Stock","Sufficient Stock")</f>
        <v>Sufficient Stock</v>
      </c>
      <c r="Y1234">
        <f>WarehouseData[[#This Row],[daily_demand]]*WarehouseData[[#This Row],[lead_time_days]]</f>
        <v>130.97</v>
      </c>
      <c r="Z1234" t="str">
        <f>IF(WarehouseData[[#This Row],[stock_level]]&lt;=WarehouseData[[#This Row],[Demand During Lead Time]],"At Risk","Safe")</f>
        <v>Safe</v>
      </c>
      <c r="AA1234">
        <f>WarehouseData[[#This Row],[stock_level]]/WarehouseData[[#This Row],[daily_demand]]</f>
        <v>17.691074291822552</v>
      </c>
      <c r="AB1234">
        <f>WarehouseData[[#This Row],[stock_level]]*WarehouseData[[#This Row],[unit_price]]</f>
        <v>37654.560000000005</v>
      </c>
      <c r="AC1234">
        <f>WarehouseData[[#This Row],[stock_level]]*WarehouseData[[#This Row],[holding_cost_per_unit_day]]*30</f>
        <v>1390.2</v>
      </c>
      <c r="AD1234" t="str">
        <f>IF(WarehouseData[[#This Row],[order_fulfillment_rate]]&gt;=0.9,"Strong",IF(WarehouseData[[#This Row],[order_fulfillment_rate]]&gt;=0.8,"Moderate","Needs Attention"))</f>
        <v>Strong</v>
      </c>
      <c r="AE1234" t="str">
        <f>IF(WarehouseData[[#This Row],[picking_time_seconds]]&gt;120,"Slow",IF(WarehouseData[[#This Row],[picking_time_seconds]]&gt;=60,"Average","Fast"))</f>
        <v>Average</v>
      </c>
    </row>
    <row r="1235" spans="1:31" x14ac:dyDescent="0.25">
      <c r="A1235" t="s">
        <v>1373</v>
      </c>
      <c r="B1235" t="s">
        <v>48</v>
      </c>
      <c r="C1235">
        <v>253</v>
      </c>
      <c r="D1235">
        <v>11</v>
      </c>
      <c r="E1235">
        <v>6</v>
      </c>
      <c r="F1235">
        <v>2</v>
      </c>
      <c r="G1235">
        <v>20.45</v>
      </c>
      <c r="H1235">
        <v>9.59</v>
      </c>
      <c r="I1235">
        <v>0.87</v>
      </c>
      <c r="J1235" t="s">
        <v>234</v>
      </c>
      <c r="K1235" t="s">
        <v>38</v>
      </c>
      <c r="L1235">
        <v>124</v>
      </c>
      <c r="M1235">
        <v>0.66</v>
      </c>
      <c r="N1235">
        <v>161.78</v>
      </c>
      <c r="O1235">
        <v>0.18</v>
      </c>
      <c r="P1235">
        <v>7</v>
      </c>
      <c r="Q1235">
        <v>0.95</v>
      </c>
      <c r="R1235">
        <v>709</v>
      </c>
      <c r="S1235">
        <v>10.8</v>
      </c>
      <c r="T1235">
        <v>0.21</v>
      </c>
      <c r="U1235" s="1">
        <v>45418</v>
      </c>
      <c r="V1235">
        <v>265.83</v>
      </c>
      <c r="W1235">
        <v>0.61799999999999999</v>
      </c>
      <c r="X1235" t="str">
        <f>IF(WarehouseData[[#This Row],[stock_level]]&lt;=WarehouseData[[#This Row],[reorder_point]],"Low Stock","Sufficient Stock")</f>
        <v>Sufficient Stock</v>
      </c>
      <c r="Y1235">
        <f>WarehouseData[[#This Row],[daily_demand]]*WarehouseData[[#This Row],[lead_time_days]]</f>
        <v>40.9</v>
      </c>
      <c r="Z1235" t="str">
        <f>IF(WarehouseData[[#This Row],[stock_level]]&lt;=WarehouseData[[#This Row],[Demand During Lead Time]],"At Risk","Safe")</f>
        <v>Safe</v>
      </c>
      <c r="AA1235">
        <f>WarehouseData[[#This Row],[stock_level]]/WarehouseData[[#This Row],[daily_demand]]</f>
        <v>12.371638141809292</v>
      </c>
      <c r="AB1235">
        <f>WarehouseData[[#This Row],[stock_level]]*WarehouseData[[#This Row],[unit_price]]</f>
        <v>40930.340000000004</v>
      </c>
      <c r="AC1235">
        <f>WarehouseData[[#This Row],[stock_level]]*WarehouseData[[#This Row],[holding_cost_per_unit_day]]*30</f>
        <v>1366.2</v>
      </c>
      <c r="AD1235" t="str">
        <f>IF(WarehouseData[[#This Row],[order_fulfillment_rate]]&gt;=0.9,"Strong",IF(WarehouseData[[#This Row],[order_fulfillment_rate]]&gt;=0.8,"Moderate","Needs Attention"))</f>
        <v>Strong</v>
      </c>
      <c r="AE1235" t="str">
        <f>IF(WarehouseData[[#This Row],[picking_time_seconds]]&gt;120,"Slow",IF(WarehouseData[[#This Row],[picking_time_seconds]]&gt;=60,"Average","Fast"))</f>
        <v>Slow</v>
      </c>
    </row>
    <row r="1236" spans="1:31" x14ac:dyDescent="0.25">
      <c r="A1236" t="s">
        <v>1374</v>
      </c>
      <c r="B1236" t="s">
        <v>48</v>
      </c>
      <c r="C1236">
        <v>42</v>
      </c>
      <c r="D1236">
        <v>27</v>
      </c>
      <c r="E1236">
        <v>7</v>
      </c>
      <c r="F1236">
        <v>6</v>
      </c>
      <c r="G1236">
        <v>9.5299999999999994</v>
      </c>
      <c r="H1236">
        <v>8.0299999999999994</v>
      </c>
      <c r="I1236">
        <v>0.8</v>
      </c>
      <c r="J1236" t="s">
        <v>88</v>
      </c>
      <c r="K1236" t="s">
        <v>34</v>
      </c>
      <c r="L1236">
        <v>150</v>
      </c>
      <c r="M1236">
        <v>3.2</v>
      </c>
      <c r="N1236">
        <v>154.19999999999999</v>
      </c>
      <c r="O1236">
        <v>0.16</v>
      </c>
      <c r="P1236">
        <v>2</v>
      </c>
      <c r="Q1236">
        <v>0.98</v>
      </c>
      <c r="R1236">
        <v>949</v>
      </c>
      <c r="S1236">
        <v>5.07</v>
      </c>
      <c r="T1236">
        <v>0.54</v>
      </c>
      <c r="U1236" s="1">
        <v>45628</v>
      </c>
      <c r="V1236">
        <v>189.02</v>
      </c>
      <c r="W1236">
        <v>0.71599999999999997</v>
      </c>
      <c r="X1236" t="str">
        <f>IF(WarehouseData[[#This Row],[stock_level]]&lt;=WarehouseData[[#This Row],[reorder_point]],"Low Stock","Sufficient Stock")</f>
        <v>Sufficient Stock</v>
      </c>
      <c r="Y1236">
        <f>WarehouseData[[#This Row],[daily_demand]]*WarehouseData[[#This Row],[lead_time_days]]</f>
        <v>57.179999999999993</v>
      </c>
      <c r="Z1236" t="str">
        <f>IF(WarehouseData[[#This Row],[stock_level]]&lt;=WarehouseData[[#This Row],[Demand During Lead Time]],"At Risk","Safe")</f>
        <v>At Risk</v>
      </c>
      <c r="AA1236">
        <f>WarehouseData[[#This Row],[stock_level]]/WarehouseData[[#This Row],[daily_demand]]</f>
        <v>4.4071353620146905</v>
      </c>
      <c r="AB1236">
        <f>WarehouseData[[#This Row],[stock_level]]*WarehouseData[[#This Row],[unit_price]]</f>
        <v>6476.4</v>
      </c>
      <c r="AC1236">
        <f>WarehouseData[[#This Row],[stock_level]]*WarehouseData[[#This Row],[holding_cost_per_unit_day]]*30</f>
        <v>201.6</v>
      </c>
      <c r="AD1236" t="str">
        <f>IF(WarehouseData[[#This Row],[order_fulfillment_rate]]&gt;=0.9,"Strong",IF(WarehouseData[[#This Row],[order_fulfillment_rate]]&gt;=0.8,"Moderate","Needs Attention"))</f>
        <v>Strong</v>
      </c>
      <c r="AE1236" t="str">
        <f>IF(WarehouseData[[#This Row],[picking_time_seconds]]&gt;120,"Slow",IF(WarehouseData[[#This Row],[picking_time_seconds]]&gt;=60,"Average","Fast"))</f>
        <v>Slow</v>
      </c>
    </row>
    <row r="1237" spans="1:31" x14ac:dyDescent="0.25">
      <c r="A1237" t="s">
        <v>1375</v>
      </c>
      <c r="B1237" t="s">
        <v>36</v>
      </c>
      <c r="C1237">
        <v>172</v>
      </c>
      <c r="D1237">
        <v>56</v>
      </c>
      <c r="E1237">
        <v>12</v>
      </c>
      <c r="F1237">
        <v>6</v>
      </c>
      <c r="G1237">
        <v>19.53</v>
      </c>
      <c r="H1237">
        <v>4.28</v>
      </c>
      <c r="I1237">
        <v>0.34</v>
      </c>
      <c r="J1237" t="s">
        <v>146</v>
      </c>
      <c r="K1237" t="s">
        <v>38</v>
      </c>
      <c r="L1237">
        <v>169</v>
      </c>
      <c r="M1237">
        <v>3.41</v>
      </c>
      <c r="N1237">
        <v>78.010000000000005</v>
      </c>
      <c r="O1237">
        <v>1.96</v>
      </c>
      <c r="P1237">
        <v>4</v>
      </c>
      <c r="Q1237">
        <v>0.72</v>
      </c>
      <c r="R1237">
        <v>643</v>
      </c>
      <c r="S1237">
        <v>7.7</v>
      </c>
      <c r="T1237">
        <v>0.28000000000000003</v>
      </c>
      <c r="U1237" s="1">
        <v>45415</v>
      </c>
      <c r="V1237">
        <v>65.91</v>
      </c>
      <c r="W1237">
        <v>0.42699999999999999</v>
      </c>
      <c r="X1237" t="str">
        <f>IF(WarehouseData[[#This Row],[stock_level]]&lt;=WarehouseData[[#This Row],[reorder_point]],"Low Stock","Sufficient Stock")</f>
        <v>Sufficient Stock</v>
      </c>
      <c r="Y1237">
        <f>WarehouseData[[#This Row],[daily_demand]]*WarehouseData[[#This Row],[lead_time_days]]</f>
        <v>117.18</v>
      </c>
      <c r="Z1237" t="str">
        <f>IF(WarehouseData[[#This Row],[stock_level]]&lt;=WarehouseData[[#This Row],[Demand During Lead Time]],"At Risk","Safe")</f>
        <v>Safe</v>
      </c>
      <c r="AA1237">
        <f>WarehouseData[[#This Row],[stock_level]]/WarehouseData[[#This Row],[daily_demand]]</f>
        <v>8.8069636456733225</v>
      </c>
      <c r="AB1237">
        <f>WarehouseData[[#This Row],[stock_level]]*WarehouseData[[#This Row],[unit_price]]</f>
        <v>13417.720000000001</v>
      </c>
      <c r="AC1237">
        <f>WarehouseData[[#This Row],[stock_level]]*WarehouseData[[#This Row],[holding_cost_per_unit_day]]*30</f>
        <v>10113.6</v>
      </c>
      <c r="AD1237" t="str">
        <f>IF(WarehouseData[[#This Row],[order_fulfillment_rate]]&gt;=0.9,"Strong",IF(WarehouseData[[#This Row],[order_fulfillment_rate]]&gt;=0.8,"Moderate","Needs Attention"))</f>
        <v>Needs Attention</v>
      </c>
      <c r="AE1237" t="str">
        <f>IF(WarehouseData[[#This Row],[picking_time_seconds]]&gt;120,"Slow",IF(WarehouseData[[#This Row],[picking_time_seconds]]&gt;=60,"Average","Fast"))</f>
        <v>Slow</v>
      </c>
    </row>
    <row r="1238" spans="1:31" x14ac:dyDescent="0.25">
      <c r="A1238" t="s">
        <v>1376</v>
      </c>
      <c r="B1238" t="s">
        <v>73</v>
      </c>
      <c r="C1238">
        <v>296</v>
      </c>
      <c r="D1238">
        <v>42</v>
      </c>
      <c r="E1238">
        <v>11</v>
      </c>
      <c r="F1238">
        <v>7</v>
      </c>
      <c r="G1238">
        <v>40.39</v>
      </c>
      <c r="H1238">
        <v>9.83</v>
      </c>
      <c r="I1238">
        <v>0.39</v>
      </c>
      <c r="J1238" t="s">
        <v>259</v>
      </c>
      <c r="K1238" t="s">
        <v>38</v>
      </c>
      <c r="L1238">
        <v>164</v>
      </c>
      <c r="M1238">
        <v>1.6</v>
      </c>
      <c r="N1238">
        <v>31.3</v>
      </c>
      <c r="O1238">
        <v>0.32</v>
      </c>
      <c r="P1238">
        <v>1</v>
      </c>
      <c r="Q1238">
        <v>0.88</v>
      </c>
      <c r="R1238">
        <v>953</v>
      </c>
      <c r="S1238">
        <v>8.98</v>
      </c>
      <c r="T1238">
        <v>0.28999999999999998</v>
      </c>
      <c r="U1238" s="1">
        <v>45428</v>
      </c>
      <c r="V1238">
        <v>264.81</v>
      </c>
      <c r="W1238">
        <v>0.70199999999999996</v>
      </c>
      <c r="X1238" t="str">
        <f>IF(WarehouseData[[#This Row],[stock_level]]&lt;=WarehouseData[[#This Row],[reorder_point]],"Low Stock","Sufficient Stock")</f>
        <v>Sufficient Stock</v>
      </c>
      <c r="Y1238">
        <f>WarehouseData[[#This Row],[daily_demand]]*WarehouseData[[#This Row],[lead_time_days]]</f>
        <v>282.73</v>
      </c>
      <c r="Z1238" t="str">
        <f>IF(WarehouseData[[#This Row],[stock_level]]&lt;=WarehouseData[[#This Row],[Demand During Lead Time]],"At Risk","Safe")</f>
        <v>Safe</v>
      </c>
      <c r="AA1238">
        <f>WarehouseData[[#This Row],[stock_level]]/WarehouseData[[#This Row],[daily_demand]]</f>
        <v>7.3285466699678139</v>
      </c>
      <c r="AB1238">
        <f>WarehouseData[[#This Row],[stock_level]]*WarehouseData[[#This Row],[unit_price]]</f>
        <v>9264.8000000000011</v>
      </c>
      <c r="AC1238">
        <f>WarehouseData[[#This Row],[stock_level]]*WarehouseData[[#This Row],[holding_cost_per_unit_day]]*30</f>
        <v>2841.6</v>
      </c>
      <c r="AD1238" t="str">
        <f>IF(WarehouseData[[#This Row],[order_fulfillment_rate]]&gt;=0.9,"Strong",IF(WarehouseData[[#This Row],[order_fulfillment_rate]]&gt;=0.8,"Moderate","Needs Attention"))</f>
        <v>Moderate</v>
      </c>
      <c r="AE1238" t="str">
        <f>IF(WarehouseData[[#This Row],[picking_time_seconds]]&gt;120,"Slow",IF(WarehouseData[[#This Row],[picking_time_seconds]]&gt;=60,"Average","Fast"))</f>
        <v>Slow</v>
      </c>
    </row>
    <row r="1239" spans="1:31" x14ac:dyDescent="0.25">
      <c r="A1239" t="s">
        <v>1377</v>
      </c>
      <c r="B1239" t="s">
        <v>73</v>
      </c>
      <c r="C1239">
        <v>80</v>
      </c>
      <c r="D1239">
        <v>93</v>
      </c>
      <c r="E1239">
        <v>6</v>
      </c>
      <c r="F1239">
        <v>7</v>
      </c>
      <c r="G1239">
        <v>40.200000000000003</v>
      </c>
      <c r="H1239">
        <v>3.78</v>
      </c>
      <c r="I1239">
        <v>0.38</v>
      </c>
      <c r="J1239" t="s">
        <v>158</v>
      </c>
      <c r="K1239" t="s">
        <v>34</v>
      </c>
      <c r="L1239">
        <v>60</v>
      </c>
      <c r="M1239">
        <v>4.72</v>
      </c>
      <c r="N1239">
        <v>161.99</v>
      </c>
      <c r="O1239">
        <v>0.37</v>
      </c>
      <c r="P1239">
        <v>5</v>
      </c>
      <c r="Q1239">
        <v>0.84</v>
      </c>
      <c r="R1239">
        <v>519</v>
      </c>
      <c r="S1239">
        <v>8.86</v>
      </c>
      <c r="T1239">
        <v>0.4</v>
      </c>
      <c r="U1239" s="1">
        <v>45565</v>
      </c>
      <c r="V1239">
        <v>100.44</v>
      </c>
      <c r="W1239">
        <v>0.629</v>
      </c>
      <c r="X1239" t="str">
        <f>IF(WarehouseData[[#This Row],[stock_level]]&lt;=WarehouseData[[#This Row],[reorder_point]],"Low Stock","Sufficient Stock")</f>
        <v>Low Stock</v>
      </c>
      <c r="Y1239">
        <f>WarehouseData[[#This Row],[daily_demand]]*WarehouseData[[#This Row],[lead_time_days]]</f>
        <v>281.40000000000003</v>
      </c>
      <c r="Z1239" t="str">
        <f>IF(WarehouseData[[#This Row],[stock_level]]&lt;=WarehouseData[[#This Row],[Demand During Lead Time]],"At Risk","Safe")</f>
        <v>At Risk</v>
      </c>
      <c r="AA1239">
        <f>WarehouseData[[#This Row],[stock_level]]/WarehouseData[[#This Row],[daily_demand]]</f>
        <v>1.9900497512437809</v>
      </c>
      <c r="AB1239">
        <f>WarehouseData[[#This Row],[stock_level]]*WarehouseData[[#This Row],[unit_price]]</f>
        <v>12959.2</v>
      </c>
      <c r="AC1239">
        <f>WarehouseData[[#This Row],[stock_level]]*WarehouseData[[#This Row],[holding_cost_per_unit_day]]*30</f>
        <v>888</v>
      </c>
      <c r="AD1239" t="str">
        <f>IF(WarehouseData[[#This Row],[order_fulfillment_rate]]&gt;=0.9,"Strong",IF(WarehouseData[[#This Row],[order_fulfillment_rate]]&gt;=0.8,"Moderate","Needs Attention"))</f>
        <v>Moderate</v>
      </c>
      <c r="AE1239" t="str">
        <f>IF(WarehouseData[[#This Row],[picking_time_seconds]]&gt;120,"Slow",IF(WarehouseData[[#This Row],[picking_time_seconds]]&gt;=60,"Average","Fast"))</f>
        <v>Average</v>
      </c>
    </row>
    <row r="1240" spans="1:31" x14ac:dyDescent="0.25">
      <c r="A1240" t="s">
        <v>1378</v>
      </c>
      <c r="B1240" t="s">
        <v>73</v>
      </c>
      <c r="C1240">
        <v>338</v>
      </c>
      <c r="D1240">
        <v>44</v>
      </c>
      <c r="E1240">
        <v>5</v>
      </c>
      <c r="F1240">
        <v>4</v>
      </c>
      <c r="G1240">
        <v>46.85</v>
      </c>
      <c r="H1240">
        <v>4.04</v>
      </c>
      <c r="I1240">
        <v>0.68</v>
      </c>
      <c r="J1240" t="s">
        <v>185</v>
      </c>
      <c r="K1240" t="s">
        <v>38</v>
      </c>
      <c r="L1240">
        <v>171</v>
      </c>
      <c r="M1240">
        <v>0.71</v>
      </c>
      <c r="N1240">
        <v>60.36</v>
      </c>
      <c r="O1240">
        <v>1.02</v>
      </c>
      <c r="P1240">
        <v>9</v>
      </c>
      <c r="Q1240">
        <v>0.85</v>
      </c>
      <c r="R1240">
        <v>410</v>
      </c>
      <c r="S1240">
        <v>11.87</v>
      </c>
      <c r="T1240">
        <v>0.51</v>
      </c>
      <c r="U1240" s="1">
        <v>45320</v>
      </c>
      <c r="V1240">
        <v>168.26</v>
      </c>
      <c r="W1240">
        <v>0.54800000000000004</v>
      </c>
      <c r="X1240" t="str">
        <f>IF(WarehouseData[[#This Row],[stock_level]]&lt;=WarehouseData[[#This Row],[reorder_point]],"Low Stock","Sufficient Stock")</f>
        <v>Sufficient Stock</v>
      </c>
      <c r="Y1240">
        <f>WarehouseData[[#This Row],[daily_demand]]*WarehouseData[[#This Row],[lead_time_days]]</f>
        <v>187.4</v>
      </c>
      <c r="Z1240" t="str">
        <f>IF(WarehouseData[[#This Row],[stock_level]]&lt;=WarehouseData[[#This Row],[Demand During Lead Time]],"At Risk","Safe")</f>
        <v>Safe</v>
      </c>
      <c r="AA1240">
        <f>WarehouseData[[#This Row],[stock_level]]/WarehouseData[[#This Row],[daily_demand]]</f>
        <v>7.2145144076840984</v>
      </c>
      <c r="AB1240">
        <f>WarehouseData[[#This Row],[stock_level]]*WarehouseData[[#This Row],[unit_price]]</f>
        <v>20401.68</v>
      </c>
      <c r="AC1240">
        <f>WarehouseData[[#This Row],[stock_level]]*WarehouseData[[#This Row],[holding_cost_per_unit_day]]*30</f>
        <v>10342.799999999999</v>
      </c>
      <c r="AD1240" t="str">
        <f>IF(WarehouseData[[#This Row],[order_fulfillment_rate]]&gt;=0.9,"Strong",IF(WarehouseData[[#This Row],[order_fulfillment_rate]]&gt;=0.8,"Moderate","Needs Attention"))</f>
        <v>Moderate</v>
      </c>
      <c r="AE1240" t="str">
        <f>IF(WarehouseData[[#This Row],[picking_time_seconds]]&gt;120,"Slow",IF(WarehouseData[[#This Row],[picking_time_seconds]]&gt;=60,"Average","Fast"))</f>
        <v>Slow</v>
      </c>
    </row>
    <row r="1241" spans="1:31" x14ac:dyDescent="0.25">
      <c r="A1241" t="s">
        <v>1379</v>
      </c>
      <c r="B1241" t="s">
        <v>73</v>
      </c>
      <c r="C1241">
        <v>397</v>
      </c>
      <c r="D1241">
        <v>60</v>
      </c>
      <c r="E1241">
        <v>12</v>
      </c>
      <c r="F1241">
        <v>9</v>
      </c>
      <c r="G1241">
        <v>20.76</v>
      </c>
      <c r="H1241">
        <v>6.29</v>
      </c>
      <c r="I1241">
        <v>0.16</v>
      </c>
      <c r="J1241" t="s">
        <v>95</v>
      </c>
      <c r="K1241" t="s">
        <v>46</v>
      </c>
      <c r="L1241">
        <v>37</v>
      </c>
      <c r="M1241">
        <v>4.51</v>
      </c>
      <c r="N1241">
        <v>20.079999999999998</v>
      </c>
      <c r="O1241">
        <v>1.01</v>
      </c>
      <c r="P1241">
        <v>5</v>
      </c>
      <c r="Q1241">
        <v>0.84</v>
      </c>
      <c r="R1241">
        <v>903</v>
      </c>
      <c r="S1241">
        <v>12.53</v>
      </c>
      <c r="T1241">
        <v>0.59</v>
      </c>
      <c r="U1241" s="1">
        <v>45404</v>
      </c>
      <c r="V1241">
        <v>274.42</v>
      </c>
      <c r="W1241">
        <v>0.65200000000000002</v>
      </c>
      <c r="X1241" t="str">
        <f>IF(WarehouseData[[#This Row],[stock_level]]&lt;=WarehouseData[[#This Row],[reorder_point]],"Low Stock","Sufficient Stock")</f>
        <v>Sufficient Stock</v>
      </c>
      <c r="Y1241">
        <f>WarehouseData[[#This Row],[daily_demand]]*WarehouseData[[#This Row],[lead_time_days]]</f>
        <v>186.84</v>
      </c>
      <c r="Z1241" t="str">
        <f>IF(WarehouseData[[#This Row],[stock_level]]&lt;=WarehouseData[[#This Row],[Demand During Lead Time]],"At Risk","Safe")</f>
        <v>Safe</v>
      </c>
      <c r="AA1241">
        <f>WarehouseData[[#This Row],[stock_level]]/WarehouseData[[#This Row],[daily_demand]]</f>
        <v>19.123314065510595</v>
      </c>
      <c r="AB1241">
        <f>WarehouseData[[#This Row],[stock_level]]*WarehouseData[[#This Row],[unit_price]]</f>
        <v>7971.7599999999993</v>
      </c>
      <c r="AC1241">
        <f>WarehouseData[[#This Row],[stock_level]]*WarehouseData[[#This Row],[holding_cost_per_unit_day]]*30</f>
        <v>12029.1</v>
      </c>
      <c r="AD1241" t="str">
        <f>IF(WarehouseData[[#This Row],[order_fulfillment_rate]]&gt;=0.9,"Strong",IF(WarehouseData[[#This Row],[order_fulfillment_rate]]&gt;=0.8,"Moderate","Needs Attention"))</f>
        <v>Moderate</v>
      </c>
      <c r="AE1241" t="str">
        <f>IF(WarehouseData[[#This Row],[picking_time_seconds]]&gt;120,"Slow",IF(WarehouseData[[#This Row],[picking_time_seconds]]&gt;=60,"Average","Fast"))</f>
        <v>Fast</v>
      </c>
    </row>
    <row r="1242" spans="1:31" x14ac:dyDescent="0.25">
      <c r="A1242" t="s">
        <v>1380</v>
      </c>
      <c r="B1242" t="s">
        <v>73</v>
      </c>
      <c r="C1242">
        <v>71</v>
      </c>
      <c r="D1242">
        <v>27</v>
      </c>
      <c r="E1242">
        <v>3</v>
      </c>
      <c r="F1242">
        <v>5</v>
      </c>
      <c r="G1242">
        <v>35.729999999999997</v>
      </c>
      <c r="H1242">
        <v>3.11</v>
      </c>
      <c r="I1242">
        <v>0.54</v>
      </c>
      <c r="J1242" t="s">
        <v>466</v>
      </c>
      <c r="K1242" t="s">
        <v>46</v>
      </c>
      <c r="L1242">
        <v>82</v>
      </c>
      <c r="M1242">
        <v>2.2200000000000002</v>
      </c>
      <c r="N1242">
        <v>94.59</v>
      </c>
      <c r="O1242">
        <v>1.85</v>
      </c>
      <c r="P1242">
        <v>1</v>
      </c>
      <c r="Q1242">
        <v>0.95</v>
      </c>
      <c r="R1242">
        <v>644</v>
      </c>
      <c r="S1242">
        <v>2.0299999999999998</v>
      </c>
      <c r="T1242">
        <v>0.34</v>
      </c>
      <c r="U1242" s="1">
        <v>45586</v>
      </c>
      <c r="V1242">
        <v>107.06</v>
      </c>
      <c r="W1242">
        <v>0.48</v>
      </c>
      <c r="X1242" t="str">
        <f>IF(WarehouseData[[#This Row],[stock_level]]&lt;=WarehouseData[[#This Row],[reorder_point]],"Low Stock","Sufficient Stock")</f>
        <v>Sufficient Stock</v>
      </c>
      <c r="Y1242">
        <f>WarehouseData[[#This Row],[daily_demand]]*WarehouseData[[#This Row],[lead_time_days]]</f>
        <v>178.64999999999998</v>
      </c>
      <c r="Z1242" t="str">
        <f>IF(WarehouseData[[#This Row],[stock_level]]&lt;=WarehouseData[[#This Row],[Demand During Lead Time]],"At Risk","Safe")</f>
        <v>At Risk</v>
      </c>
      <c r="AA1242">
        <f>WarehouseData[[#This Row],[stock_level]]/WarehouseData[[#This Row],[daily_demand]]</f>
        <v>1.9871256647075288</v>
      </c>
      <c r="AB1242">
        <f>WarehouseData[[#This Row],[stock_level]]*WarehouseData[[#This Row],[unit_price]]</f>
        <v>6715.89</v>
      </c>
      <c r="AC1242">
        <f>WarehouseData[[#This Row],[stock_level]]*WarehouseData[[#This Row],[holding_cost_per_unit_day]]*30</f>
        <v>3940.5</v>
      </c>
      <c r="AD1242" t="str">
        <f>IF(WarehouseData[[#This Row],[order_fulfillment_rate]]&gt;=0.9,"Strong",IF(WarehouseData[[#This Row],[order_fulfillment_rate]]&gt;=0.8,"Moderate","Needs Attention"))</f>
        <v>Strong</v>
      </c>
      <c r="AE1242" t="str">
        <f>IF(WarehouseData[[#This Row],[picking_time_seconds]]&gt;120,"Slow",IF(WarehouseData[[#This Row],[picking_time_seconds]]&gt;=60,"Average","Fast"))</f>
        <v>Average</v>
      </c>
    </row>
    <row r="1243" spans="1:31" x14ac:dyDescent="0.25">
      <c r="A1243" t="s">
        <v>1381</v>
      </c>
      <c r="B1243" t="s">
        <v>36</v>
      </c>
      <c r="C1243">
        <v>363</v>
      </c>
      <c r="D1243">
        <v>97</v>
      </c>
      <c r="E1243">
        <v>12</v>
      </c>
      <c r="F1243">
        <v>5</v>
      </c>
      <c r="G1243">
        <v>25.85</v>
      </c>
      <c r="H1243">
        <v>7.14</v>
      </c>
      <c r="I1243">
        <v>0.22</v>
      </c>
      <c r="J1243" t="s">
        <v>357</v>
      </c>
      <c r="K1243" t="s">
        <v>34</v>
      </c>
      <c r="L1243">
        <v>81</v>
      </c>
      <c r="M1243">
        <v>3.71</v>
      </c>
      <c r="N1243">
        <v>150.5</v>
      </c>
      <c r="O1243">
        <v>0.24</v>
      </c>
      <c r="P1243">
        <v>3</v>
      </c>
      <c r="Q1243">
        <v>0.8</v>
      </c>
      <c r="R1243">
        <v>973</v>
      </c>
      <c r="S1243">
        <v>10.84</v>
      </c>
      <c r="T1243">
        <v>0.45</v>
      </c>
      <c r="U1243" s="1">
        <v>45490</v>
      </c>
      <c r="V1243">
        <v>274.87</v>
      </c>
      <c r="W1243">
        <v>0.71099999999999997</v>
      </c>
      <c r="X1243" t="str">
        <f>IF(WarehouseData[[#This Row],[stock_level]]&lt;=WarehouseData[[#This Row],[reorder_point]],"Low Stock","Sufficient Stock")</f>
        <v>Sufficient Stock</v>
      </c>
      <c r="Y1243">
        <f>WarehouseData[[#This Row],[daily_demand]]*WarehouseData[[#This Row],[lead_time_days]]</f>
        <v>129.25</v>
      </c>
      <c r="Z1243" t="str">
        <f>IF(WarehouseData[[#This Row],[stock_level]]&lt;=WarehouseData[[#This Row],[Demand During Lead Time]],"At Risk","Safe")</f>
        <v>Safe</v>
      </c>
      <c r="AA1243">
        <f>WarehouseData[[#This Row],[stock_level]]/WarehouseData[[#This Row],[daily_demand]]</f>
        <v>14.042553191489361</v>
      </c>
      <c r="AB1243">
        <f>WarehouseData[[#This Row],[stock_level]]*WarehouseData[[#This Row],[unit_price]]</f>
        <v>54631.5</v>
      </c>
      <c r="AC1243">
        <f>WarehouseData[[#This Row],[stock_level]]*WarehouseData[[#This Row],[holding_cost_per_unit_day]]*30</f>
        <v>2613.6</v>
      </c>
      <c r="AD1243" t="str">
        <f>IF(WarehouseData[[#This Row],[order_fulfillment_rate]]&gt;=0.9,"Strong",IF(WarehouseData[[#This Row],[order_fulfillment_rate]]&gt;=0.8,"Moderate","Needs Attention"))</f>
        <v>Moderate</v>
      </c>
      <c r="AE1243" t="str">
        <f>IF(WarehouseData[[#This Row],[picking_time_seconds]]&gt;120,"Slow",IF(WarehouseData[[#This Row],[picking_time_seconds]]&gt;=60,"Average","Fast"))</f>
        <v>Average</v>
      </c>
    </row>
    <row r="1244" spans="1:31" x14ac:dyDescent="0.25">
      <c r="A1244" t="s">
        <v>1382</v>
      </c>
      <c r="B1244" t="s">
        <v>40</v>
      </c>
      <c r="C1244">
        <v>172</v>
      </c>
      <c r="D1244">
        <v>81</v>
      </c>
      <c r="E1244">
        <v>8</v>
      </c>
      <c r="F1244">
        <v>2</v>
      </c>
      <c r="G1244">
        <v>40.4</v>
      </c>
      <c r="H1244">
        <v>1.95</v>
      </c>
      <c r="I1244">
        <v>0.84</v>
      </c>
      <c r="J1244" t="s">
        <v>49</v>
      </c>
      <c r="K1244" t="s">
        <v>34</v>
      </c>
      <c r="L1244">
        <v>94</v>
      </c>
      <c r="M1244">
        <v>3.43</v>
      </c>
      <c r="N1244">
        <v>163.61000000000001</v>
      </c>
      <c r="O1244">
        <v>1.92</v>
      </c>
      <c r="P1244">
        <v>1</v>
      </c>
      <c r="Q1244">
        <v>0.84</v>
      </c>
      <c r="R1244">
        <v>634</v>
      </c>
      <c r="S1244">
        <v>6.59</v>
      </c>
      <c r="T1244">
        <v>0.42</v>
      </c>
      <c r="U1244" s="1">
        <v>45473</v>
      </c>
      <c r="V1244">
        <v>78.19</v>
      </c>
      <c r="W1244">
        <v>0.52800000000000002</v>
      </c>
      <c r="X1244" t="str">
        <f>IF(WarehouseData[[#This Row],[stock_level]]&lt;=WarehouseData[[#This Row],[reorder_point]],"Low Stock","Sufficient Stock")</f>
        <v>Sufficient Stock</v>
      </c>
      <c r="Y1244">
        <f>WarehouseData[[#This Row],[daily_demand]]*WarehouseData[[#This Row],[lead_time_days]]</f>
        <v>80.8</v>
      </c>
      <c r="Z1244" t="str">
        <f>IF(WarehouseData[[#This Row],[stock_level]]&lt;=WarehouseData[[#This Row],[Demand During Lead Time]],"At Risk","Safe")</f>
        <v>Safe</v>
      </c>
      <c r="AA1244">
        <f>WarehouseData[[#This Row],[stock_level]]/WarehouseData[[#This Row],[daily_demand]]</f>
        <v>4.2574257425742577</v>
      </c>
      <c r="AB1244">
        <f>WarehouseData[[#This Row],[stock_level]]*WarehouseData[[#This Row],[unit_price]]</f>
        <v>28140.920000000002</v>
      </c>
      <c r="AC1244">
        <f>WarehouseData[[#This Row],[stock_level]]*WarehouseData[[#This Row],[holding_cost_per_unit_day]]*30</f>
        <v>9907.2000000000007</v>
      </c>
      <c r="AD1244" t="str">
        <f>IF(WarehouseData[[#This Row],[order_fulfillment_rate]]&gt;=0.9,"Strong",IF(WarehouseData[[#This Row],[order_fulfillment_rate]]&gt;=0.8,"Moderate","Needs Attention"))</f>
        <v>Moderate</v>
      </c>
      <c r="AE1244" t="str">
        <f>IF(WarehouseData[[#This Row],[picking_time_seconds]]&gt;120,"Slow",IF(WarehouseData[[#This Row],[picking_time_seconds]]&gt;=60,"Average","Fast"))</f>
        <v>Average</v>
      </c>
    </row>
    <row r="1245" spans="1:31" x14ac:dyDescent="0.25">
      <c r="A1245" t="s">
        <v>1383</v>
      </c>
      <c r="B1245" t="s">
        <v>48</v>
      </c>
      <c r="C1245">
        <v>256</v>
      </c>
      <c r="D1245">
        <v>39</v>
      </c>
      <c r="E1245">
        <v>9</v>
      </c>
      <c r="F1245">
        <v>5</v>
      </c>
      <c r="G1245">
        <v>35.909999999999997</v>
      </c>
      <c r="H1245">
        <v>1.53</v>
      </c>
      <c r="I1245">
        <v>0.44</v>
      </c>
      <c r="J1245" t="s">
        <v>135</v>
      </c>
      <c r="K1245" t="s">
        <v>46</v>
      </c>
      <c r="L1245">
        <v>119</v>
      </c>
      <c r="M1245">
        <v>1.26</v>
      </c>
      <c r="N1245">
        <v>196.62</v>
      </c>
      <c r="O1245">
        <v>0.51</v>
      </c>
      <c r="P1245">
        <v>9</v>
      </c>
      <c r="Q1245">
        <v>0.76</v>
      </c>
      <c r="R1245">
        <v>404</v>
      </c>
      <c r="S1245">
        <v>12.46</v>
      </c>
      <c r="T1245">
        <v>0.49</v>
      </c>
      <c r="U1245" s="1">
        <v>45380</v>
      </c>
      <c r="V1245">
        <v>279.32</v>
      </c>
      <c r="W1245">
        <v>0.58499999999999996</v>
      </c>
      <c r="X1245" t="str">
        <f>IF(WarehouseData[[#This Row],[stock_level]]&lt;=WarehouseData[[#This Row],[reorder_point]],"Low Stock","Sufficient Stock")</f>
        <v>Sufficient Stock</v>
      </c>
      <c r="Y1245">
        <f>WarehouseData[[#This Row],[daily_demand]]*WarehouseData[[#This Row],[lead_time_days]]</f>
        <v>179.54999999999998</v>
      </c>
      <c r="Z1245" t="str">
        <f>IF(WarehouseData[[#This Row],[stock_level]]&lt;=WarehouseData[[#This Row],[Demand During Lead Time]],"At Risk","Safe")</f>
        <v>Safe</v>
      </c>
      <c r="AA1245">
        <f>WarehouseData[[#This Row],[stock_level]]/WarehouseData[[#This Row],[daily_demand]]</f>
        <v>7.1289334447229189</v>
      </c>
      <c r="AB1245">
        <f>WarehouseData[[#This Row],[stock_level]]*WarehouseData[[#This Row],[unit_price]]</f>
        <v>50334.720000000001</v>
      </c>
      <c r="AC1245">
        <f>WarehouseData[[#This Row],[stock_level]]*WarehouseData[[#This Row],[holding_cost_per_unit_day]]*30</f>
        <v>3916.8</v>
      </c>
      <c r="AD1245" t="str">
        <f>IF(WarehouseData[[#This Row],[order_fulfillment_rate]]&gt;=0.9,"Strong",IF(WarehouseData[[#This Row],[order_fulfillment_rate]]&gt;=0.8,"Moderate","Needs Attention"))</f>
        <v>Needs Attention</v>
      </c>
      <c r="AE1245" t="str">
        <f>IF(WarehouseData[[#This Row],[picking_time_seconds]]&gt;120,"Slow",IF(WarehouseData[[#This Row],[picking_time_seconds]]&gt;=60,"Average","Fast"))</f>
        <v>Average</v>
      </c>
    </row>
    <row r="1246" spans="1:31" x14ac:dyDescent="0.25">
      <c r="A1246" t="s">
        <v>1384</v>
      </c>
      <c r="B1246" t="s">
        <v>73</v>
      </c>
      <c r="C1246">
        <v>330</v>
      </c>
      <c r="D1246">
        <v>53</v>
      </c>
      <c r="E1246">
        <v>12</v>
      </c>
      <c r="F1246">
        <v>2</v>
      </c>
      <c r="G1246">
        <v>19.03</v>
      </c>
      <c r="H1246">
        <v>5.58</v>
      </c>
      <c r="I1246">
        <v>0.56999999999999995</v>
      </c>
      <c r="J1246" t="s">
        <v>144</v>
      </c>
      <c r="K1246" t="s">
        <v>34</v>
      </c>
      <c r="L1246">
        <v>39</v>
      </c>
      <c r="M1246">
        <v>1.94</v>
      </c>
      <c r="N1246">
        <v>45.99</v>
      </c>
      <c r="O1246">
        <v>1.94</v>
      </c>
      <c r="P1246">
        <v>3</v>
      </c>
      <c r="Q1246">
        <v>0.78</v>
      </c>
      <c r="R1246">
        <v>775</v>
      </c>
      <c r="S1246">
        <v>9.52</v>
      </c>
      <c r="T1246">
        <v>0.28999999999999998</v>
      </c>
      <c r="U1246" s="1">
        <v>45382</v>
      </c>
      <c r="V1246">
        <v>114.01</v>
      </c>
      <c r="W1246">
        <v>0.48699999999999999</v>
      </c>
      <c r="X1246" t="str">
        <f>IF(WarehouseData[[#This Row],[stock_level]]&lt;=WarehouseData[[#This Row],[reorder_point]],"Low Stock","Sufficient Stock")</f>
        <v>Sufficient Stock</v>
      </c>
      <c r="Y1246">
        <f>WarehouseData[[#This Row],[daily_demand]]*WarehouseData[[#This Row],[lead_time_days]]</f>
        <v>38.06</v>
      </c>
      <c r="Z1246" t="str">
        <f>IF(WarehouseData[[#This Row],[stock_level]]&lt;=WarehouseData[[#This Row],[Demand During Lead Time]],"At Risk","Safe")</f>
        <v>Safe</v>
      </c>
      <c r="AA1246">
        <f>WarehouseData[[#This Row],[stock_level]]/WarehouseData[[#This Row],[daily_demand]]</f>
        <v>17.341040462427745</v>
      </c>
      <c r="AB1246">
        <f>WarehouseData[[#This Row],[stock_level]]*WarehouseData[[#This Row],[unit_price]]</f>
        <v>15176.7</v>
      </c>
      <c r="AC1246">
        <f>WarehouseData[[#This Row],[stock_level]]*WarehouseData[[#This Row],[holding_cost_per_unit_day]]*30</f>
        <v>19205.999999999996</v>
      </c>
      <c r="AD1246" t="str">
        <f>IF(WarehouseData[[#This Row],[order_fulfillment_rate]]&gt;=0.9,"Strong",IF(WarehouseData[[#This Row],[order_fulfillment_rate]]&gt;=0.8,"Moderate","Needs Attention"))</f>
        <v>Needs Attention</v>
      </c>
      <c r="AE1246" t="str">
        <f>IF(WarehouseData[[#This Row],[picking_time_seconds]]&gt;120,"Slow",IF(WarehouseData[[#This Row],[picking_time_seconds]]&gt;=60,"Average","Fast"))</f>
        <v>Fast</v>
      </c>
    </row>
    <row r="1247" spans="1:31" x14ac:dyDescent="0.25">
      <c r="A1247" t="s">
        <v>1385</v>
      </c>
      <c r="B1247" t="s">
        <v>40</v>
      </c>
      <c r="C1247">
        <v>321</v>
      </c>
      <c r="D1247">
        <v>62</v>
      </c>
      <c r="E1247">
        <v>10</v>
      </c>
      <c r="F1247">
        <v>8</v>
      </c>
      <c r="G1247">
        <v>17.5</v>
      </c>
      <c r="H1247">
        <v>5.78</v>
      </c>
      <c r="I1247">
        <v>0.13</v>
      </c>
      <c r="J1247" t="s">
        <v>240</v>
      </c>
      <c r="K1247" t="s">
        <v>46</v>
      </c>
      <c r="L1247">
        <v>18</v>
      </c>
      <c r="M1247">
        <v>2.88</v>
      </c>
      <c r="N1247">
        <v>65.819999999999993</v>
      </c>
      <c r="O1247">
        <v>1.1299999999999999</v>
      </c>
      <c r="P1247">
        <v>6</v>
      </c>
      <c r="Q1247">
        <v>0.9</v>
      </c>
      <c r="R1247">
        <v>75</v>
      </c>
      <c r="S1247">
        <v>1.1399999999999999</v>
      </c>
      <c r="T1247">
        <v>0.52</v>
      </c>
      <c r="U1247" s="1">
        <v>45413</v>
      </c>
      <c r="V1247">
        <v>118.63</v>
      </c>
      <c r="W1247">
        <v>0.46600000000000003</v>
      </c>
      <c r="X1247" t="str">
        <f>IF(WarehouseData[[#This Row],[stock_level]]&lt;=WarehouseData[[#This Row],[reorder_point]],"Low Stock","Sufficient Stock")</f>
        <v>Sufficient Stock</v>
      </c>
      <c r="Y1247">
        <f>WarehouseData[[#This Row],[daily_demand]]*WarehouseData[[#This Row],[lead_time_days]]</f>
        <v>140</v>
      </c>
      <c r="Z1247" t="str">
        <f>IF(WarehouseData[[#This Row],[stock_level]]&lt;=WarehouseData[[#This Row],[Demand During Lead Time]],"At Risk","Safe")</f>
        <v>Safe</v>
      </c>
      <c r="AA1247">
        <f>WarehouseData[[#This Row],[stock_level]]/WarehouseData[[#This Row],[daily_demand]]</f>
        <v>18.342857142857142</v>
      </c>
      <c r="AB1247">
        <f>WarehouseData[[#This Row],[stock_level]]*WarehouseData[[#This Row],[unit_price]]</f>
        <v>21128.219999999998</v>
      </c>
      <c r="AC1247">
        <f>WarehouseData[[#This Row],[stock_level]]*WarehouseData[[#This Row],[holding_cost_per_unit_day]]*30</f>
        <v>10881.9</v>
      </c>
      <c r="AD1247" t="str">
        <f>IF(WarehouseData[[#This Row],[order_fulfillment_rate]]&gt;=0.9,"Strong",IF(WarehouseData[[#This Row],[order_fulfillment_rate]]&gt;=0.8,"Moderate","Needs Attention"))</f>
        <v>Strong</v>
      </c>
      <c r="AE1247" t="str">
        <f>IF(WarehouseData[[#This Row],[picking_time_seconds]]&gt;120,"Slow",IF(WarehouseData[[#This Row],[picking_time_seconds]]&gt;=60,"Average","Fast"))</f>
        <v>Fast</v>
      </c>
    </row>
    <row r="1248" spans="1:31" x14ac:dyDescent="0.25">
      <c r="A1248" t="s">
        <v>1386</v>
      </c>
      <c r="B1248" t="s">
        <v>40</v>
      </c>
      <c r="C1248">
        <v>51</v>
      </c>
      <c r="D1248">
        <v>19</v>
      </c>
      <c r="E1248">
        <v>14</v>
      </c>
      <c r="F1248">
        <v>6</v>
      </c>
      <c r="G1248">
        <v>13.37</v>
      </c>
      <c r="H1248">
        <v>1.51</v>
      </c>
      <c r="I1248">
        <v>0.15</v>
      </c>
      <c r="J1248" t="s">
        <v>276</v>
      </c>
      <c r="K1248" t="s">
        <v>38</v>
      </c>
      <c r="L1248">
        <v>150</v>
      </c>
      <c r="M1248">
        <v>4.3099999999999996</v>
      </c>
      <c r="N1248">
        <v>125.8</v>
      </c>
      <c r="O1248">
        <v>1.34</v>
      </c>
      <c r="P1248">
        <v>4</v>
      </c>
      <c r="Q1248">
        <v>0.74</v>
      </c>
      <c r="R1248">
        <v>339</v>
      </c>
      <c r="S1248">
        <v>10.33</v>
      </c>
      <c r="T1248">
        <v>0.64</v>
      </c>
      <c r="U1248" s="1">
        <v>45595</v>
      </c>
      <c r="V1248">
        <v>170.37</v>
      </c>
      <c r="W1248">
        <v>0.6</v>
      </c>
      <c r="X1248" t="str">
        <f>IF(WarehouseData[[#This Row],[stock_level]]&lt;=WarehouseData[[#This Row],[reorder_point]],"Low Stock","Sufficient Stock")</f>
        <v>Sufficient Stock</v>
      </c>
      <c r="Y1248">
        <f>WarehouseData[[#This Row],[daily_demand]]*WarehouseData[[#This Row],[lead_time_days]]</f>
        <v>80.22</v>
      </c>
      <c r="Z1248" t="str">
        <f>IF(WarehouseData[[#This Row],[stock_level]]&lt;=WarehouseData[[#This Row],[Demand During Lead Time]],"At Risk","Safe")</f>
        <v>At Risk</v>
      </c>
      <c r="AA1248">
        <f>WarehouseData[[#This Row],[stock_level]]/WarehouseData[[#This Row],[daily_demand]]</f>
        <v>3.8145100972326107</v>
      </c>
      <c r="AB1248">
        <f>WarehouseData[[#This Row],[stock_level]]*WarehouseData[[#This Row],[unit_price]]</f>
        <v>6415.8</v>
      </c>
      <c r="AC1248">
        <f>WarehouseData[[#This Row],[stock_level]]*WarehouseData[[#This Row],[holding_cost_per_unit_day]]*30</f>
        <v>2050.2000000000003</v>
      </c>
      <c r="AD1248" t="str">
        <f>IF(WarehouseData[[#This Row],[order_fulfillment_rate]]&gt;=0.9,"Strong",IF(WarehouseData[[#This Row],[order_fulfillment_rate]]&gt;=0.8,"Moderate","Needs Attention"))</f>
        <v>Needs Attention</v>
      </c>
      <c r="AE1248" t="str">
        <f>IF(WarehouseData[[#This Row],[picking_time_seconds]]&gt;120,"Slow",IF(WarehouseData[[#This Row],[picking_time_seconds]]&gt;=60,"Average","Fast"))</f>
        <v>Slow</v>
      </c>
    </row>
    <row r="1249" spans="1:31" x14ac:dyDescent="0.25">
      <c r="A1249" t="s">
        <v>1387</v>
      </c>
      <c r="B1249" t="s">
        <v>48</v>
      </c>
      <c r="C1249">
        <v>74</v>
      </c>
      <c r="D1249">
        <v>96</v>
      </c>
      <c r="E1249">
        <v>3</v>
      </c>
      <c r="F1249">
        <v>4</v>
      </c>
      <c r="G1249">
        <v>29.25</v>
      </c>
      <c r="H1249">
        <v>9.66</v>
      </c>
      <c r="I1249">
        <v>0.71</v>
      </c>
      <c r="J1249" t="s">
        <v>156</v>
      </c>
      <c r="K1249" t="s">
        <v>34</v>
      </c>
      <c r="L1249">
        <v>91</v>
      </c>
      <c r="M1249">
        <v>4.8</v>
      </c>
      <c r="N1249">
        <v>164.16</v>
      </c>
      <c r="O1249">
        <v>0.7</v>
      </c>
      <c r="P1249">
        <v>9</v>
      </c>
      <c r="Q1249">
        <v>0.76</v>
      </c>
      <c r="R1249">
        <v>120</v>
      </c>
      <c r="S1249">
        <v>13.96</v>
      </c>
      <c r="T1249">
        <v>0.28000000000000003</v>
      </c>
      <c r="U1249" s="1">
        <v>45454</v>
      </c>
      <c r="V1249">
        <v>110.64</v>
      </c>
      <c r="W1249">
        <v>0.54400000000000004</v>
      </c>
      <c r="X1249" t="str">
        <f>IF(WarehouseData[[#This Row],[stock_level]]&lt;=WarehouseData[[#This Row],[reorder_point]],"Low Stock","Sufficient Stock")</f>
        <v>Low Stock</v>
      </c>
      <c r="Y1249">
        <f>WarehouseData[[#This Row],[daily_demand]]*WarehouseData[[#This Row],[lead_time_days]]</f>
        <v>117</v>
      </c>
      <c r="Z1249" t="str">
        <f>IF(WarehouseData[[#This Row],[stock_level]]&lt;=WarehouseData[[#This Row],[Demand During Lead Time]],"At Risk","Safe")</f>
        <v>At Risk</v>
      </c>
      <c r="AA1249">
        <f>WarehouseData[[#This Row],[stock_level]]/WarehouseData[[#This Row],[daily_demand]]</f>
        <v>2.5299145299145298</v>
      </c>
      <c r="AB1249">
        <f>WarehouseData[[#This Row],[stock_level]]*WarehouseData[[#This Row],[unit_price]]</f>
        <v>12147.84</v>
      </c>
      <c r="AC1249">
        <f>WarehouseData[[#This Row],[stock_level]]*WarehouseData[[#This Row],[holding_cost_per_unit_day]]*30</f>
        <v>1554</v>
      </c>
      <c r="AD1249" t="str">
        <f>IF(WarehouseData[[#This Row],[order_fulfillment_rate]]&gt;=0.9,"Strong",IF(WarehouseData[[#This Row],[order_fulfillment_rate]]&gt;=0.8,"Moderate","Needs Attention"))</f>
        <v>Needs Attention</v>
      </c>
      <c r="AE1249" t="str">
        <f>IF(WarehouseData[[#This Row],[picking_time_seconds]]&gt;120,"Slow",IF(WarehouseData[[#This Row],[picking_time_seconds]]&gt;=60,"Average","Fast"))</f>
        <v>Average</v>
      </c>
    </row>
    <row r="1250" spans="1:31" x14ac:dyDescent="0.25">
      <c r="A1250" t="s">
        <v>1388</v>
      </c>
      <c r="B1250" t="s">
        <v>36</v>
      </c>
      <c r="C1250">
        <v>371</v>
      </c>
      <c r="D1250">
        <v>61</v>
      </c>
      <c r="E1250">
        <v>14</v>
      </c>
      <c r="F1250">
        <v>4</v>
      </c>
      <c r="G1250">
        <v>48.23</v>
      </c>
      <c r="H1250">
        <v>5.95</v>
      </c>
      <c r="I1250">
        <v>0.79</v>
      </c>
      <c r="J1250" t="s">
        <v>273</v>
      </c>
      <c r="K1250" t="s">
        <v>52</v>
      </c>
      <c r="L1250">
        <v>73</v>
      </c>
      <c r="M1250">
        <v>0.59</v>
      </c>
      <c r="N1250">
        <v>54.47</v>
      </c>
      <c r="O1250">
        <v>1.26</v>
      </c>
      <c r="P1250">
        <v>3</v>
      </c>
      <c r="Q1250">
        <v>0.86</v>
      </c>
      <c r="R1250">
        <v>911</v>
      </c>
      <c r="S1250">
        <v>2.16</v>
      </c>
      <c r="T1250">
        <v>0.62</v>
      </c>
      <c r="U1250" s="1">
        <v>45649</v>
      </c>
      <c r="V1250">
        <v>140.49</v>
      </c>
      <c r="W1250">
        <v>0.53900000000000003</v>
      </c>
      <c r="X1250" t="str">
        <f>IF(WarehouseData[[#This Row],[stock_level]]&lt;=WarehouseData[[#This Row],[reorder_point]],"Low Stock","Sufficient Stock")</f>
        <v>Sufficient Stock</v>
      </c>
      <c r="Y1250">
        <f>WarehouseData[[#This Row],[daily_demand]]*WarehouseData[[#This Row],[lead_time_days]]</f>
        <v>192.92</v>
      </c>
      <c r="Z1250" t="str">
        <f>IF(WarehouseData[[#This Row],[stock_level]]&lt;=WarehouseData[[#This Row],[Demand During Lead Time]],"At Risk","Safe")</f>
        <v>Safe</v>
      </c>
      <c r="AA1250">
        <f>WarehouseData[[#This Row],[stock_level]]/WarehouseData[[#This Row],[daily_demand]]</f>
        <v>7.6923076923076925</v>
      </c>
      <c r="AB1250">
        <f>WarehouseData[[#This Row],[stock_level]]*WarehouseData[[#This Row],[unit_price]]</f>
        <v>20208.37</v>
      </c>
      <c r="AC1250">
        <f>WarehouseData[[#This Row],[stock_level]]*WarehouseData[[#This Row],[holding_cost_per_unit_day]]*30</f>
        <v>14023.8</v>
      </c>
      <c r="AD1250" t="str">
        <f>IF(WarehouseData[[#This Row],[order_fulfillment_rate]]&gt;=0.9,"Strong",IF(WarehouseData[[#This Row],[order_fulfillment_rate]]&gt;=0.8,"Moderate","Needs Attention"))</f>
        <v>Moderate</v>
      </c>
      <c r="AE1250" t="str">
        <f>IF(WarehouseData[[#This Row],[picking_time_seconds]]&gt;120,"Slow",IF(WarehouseData[[#This Row],[picking_time_seconds]]&gt;=60,"Average","Fast"))</f>
        <v>Average</v>
      </c>
    </row>
    <row r="1251" spans="1:31" x14ac:dyDescent="0.25">
      <c r="A1251" t="s">
        <v>1389</v>
      </c>
      <c r="B1251" t="s">
        <v>32</v>
      </c>
      <c r="C1251">
        <v>408</v>
      </c>
      <c r="D1251">
        <v>58</v>
      </c>
      <c r="E1251">
        <v>6</v>
      </c>
      <c r="F1251">
        <v>9</v>
      </c>
      <c r="G1251">
        <v>10.8</v>
      </c>
      <c r="H1251">
        <v>1.93</v>
      </c>
      <c r="I1251">
        <v>0.74</v>
      </c>
      <c r="J1251" t="s">
        <v>259</v>
      </c>
      <c r="K1251" t="s">
        <v>46</v>
      </c>
      <c r="L1251">
        <v>47</v>
      </c>
      <c r="M1251">
        <v>2.09</v>
      </c>
      <c r="N1251">
        <v>87.88</v>
      </c>
      <c r="O1251">
        <v>1.45</v>
      </c>
      <c r="P1251">
        <v>9</v>
      </c>
      <c r="Q1251">
        <v>0.71</v>
      </c>
      <c r="R1251">
        <v>738</v>
      </c>
      <c r="S1251">
        <v>7.92</v>
      </c>
      <c r="T1251">
        <v>0.8</v>
      </c>
      <c r="U1251" s="1">
        <v>45475</v>
      </c>
      <c r="V1251">
        <v>155.38</v>
      </c>
      <c r="W1251">
        <v>0.48299999999999998</v>
      </c>
      <c r="X1251" t="str">
        <f>IF(WarehouseData[[#This Row],[stock_level]]&lt;=WarehouseData[[#This Row],[reorder_point]],"Low Stock","Sufficient Stock")</f>
        <v>Sufficient Stock</v>
      </c>
      <c r="Y1251">
        <f>WarehouseData[[#This Row],[daily_demand]]*WarehouseData[[#This Row],[lead_time_days]]</f>
        <v>97.2</v>
      </c>
      <c r="Z1251" t="str">
        <f>IF(WarehouseData[[#This Row],[stock_level]]&lt;=WarehouseData[[#This Row],[Demand During Lead Time]],"At Risk","Safe")</f>
        <v>Safe</v>
      </c>
      <c r="AA1251">
        <f>WarehouseData[[#This Row],[stock_level]]/WarehouseData[[#This Row],[daily_demand]]</f>
        <v>37.777777777777779</v>
      </c>
      <c r="AB1251">
        <f>WarehouseData[[#This Row],[stock_level]]*WarehouseData[[#This Row],[unit_price]]</f>
        <v>35855.040000000001</v>
      </c>
      <c r="AC1251">
        <f>WarehouseData[[#This Row],[stock_level]]*WarehouseData[[#This Row],[holding_cost_per_unit_day]]*30</f>
        <v>17748</v>
      </c>
      <c r="AD1251" t="str">
        <f>IF(WarehouseData[[#This Row],[order_fulfillment_rate]]&gt;=0.9,"Strong",IF(WarehouseData[[#This Row],[order_fulfillment_rate]]&gt;=0.8,"Moderate","Needs Attention"))</f>
        <v>Needs Attention</v>
      </c>
      <c r="AE1251" t="str">
        <f>IF(WarehouseData[[#This Row],[picking_time_seconds]]&gt;120,"Slow",IF(WarehouseData[[#This Row],[picking_time_seconds]]&gt;=60,"Average","Fast"))</f>
        <v>Fast</v>
      </c>
    </row>
    <row r="1252" spans="1:31" x14ac:dyDescent="0.25">
      <c r="A1252" t="s">
        <v>1390</v>
      </c>
      <c r="B1252" t="s">
        <v>32</v>
      </c>
      <c r="C1252">
        <v>55</v>
      </c>
      <c r="D1252">
        <v>20</v>
      </c>
      <c r="E1252">
        <v>13</v>
      </c>
      <c r="F1252">
        <v>9</v>
      </c>
      <c r="G1252">
        <v>5.67</v>
      </c>
      <c r="H1252">
        <v>3.46</v>
      </c>
      <c r="I1252">
        <v>0.76</v>
      </c>
      <c r="J1252" t="s">
        <v>245</v>
      </c>
      <c r="K1252" t="s">
        <v>46</v>
      </c>
      <c r="L1252">
        <v>128</v>
      </c>
      <c r="M1252">
        <v>3.51</v>
      </c>
      <c r="N1252">
        <v>87.6</v>
      </c>
      <c r="O1252">
        <v>0.12</v>
      </c>
      <c r="P1252">
        <v>9</v>
      </c>
      <c r="Q1252">
        <v>0.74</v>
      </c>
      <c r="R1252">
        <v>138</v>
      </c>
      <c r="S1252">
        <v>9.76</v>
      </c>
      <c r="T1252">
        <v>0.21</v>
      </c>
      <c r="U1252" s="1">
        <v>45594</v>
      </c>
      <c r="V1252">
        <v>152.4</v>
      </c>
      <c r="W1252">
        <v>0.52800000000000002</v>
      </c>
      <c r="X1252" t="str">
        <f>IF(WarehouseData[[#This Row],[stock_level]]&lt;=WarehouseData[[#This Row],[reorder_point]],"Low Stock","Sufficient Stock")</f>
        <v>Sufficient Stock</v>
      </c>
      <c r="Y1252">
        <f>WarehouseData[[#This Row],[daily_demand]]*WarehouseData[[#This Row],[lead_time_days]]</f>
        <v>51.03</v>
      </c>
      <c r="Z1252" t="str">
        <f>IF(WarehouseData[[#This Row],[stock_level]]&lt;=WarehouseData[[#This Row],[Demand During Lead Time]],"At Risk","Safe")</f>
        <v>Safe</v>
      </c>
      <c r="AA1252">
        <f>WarehouseData[[#This Row],[stock_level]]/WarehouseData[[#This Row],[daily_demand]]</f>
        <v>9.7001763668430332</v>
      </c>
      <c r="AB1252">
        <f>WarehouseData[[#This Row],[stock_level]]*WarehouseData[[#This Row],[unit_price]]</f>
        <v>4818</v>
      </c>
      <c r="AC1252">
        <f>WarehouseData[[#This Row],[stock_level]]*WarehouseData[[#This Row],[holding_cost_per_unit_day]]*30</f>
        <v>198</v>
      </c>
      <c r="AD1252" t="str">
        <f>IF(WarehouseData[[#This Row],[order_fulfillment_rate]]&gt;=0.9,"Strong",IF(WarehouseData[[#This Row],[order_fulfillment_rate]]&gt;=0.8,"Moderate","Needs Attention"))</f>
        <v>Needs Attention</v>
      </c>
      <c r="AE1252" t="str">
        <f>IF(WarehouseData[[#This Row],[picking_time_seconds]]&gt;120,"Slow",IF(WarehouseData[[#This Row],[picking_time_seconds]]&gt;=60,"Average","Fast"))</f>
        <v>Slow</v>
      </c>
    </row>
    <row r="1253" spans="1:31" x14ac:dyDescent="0.25">
      <c r="A1253" t="s">
        <v>1391</v>
      </c>
      <c r="B1253" t="s">
        <v>40</v>
      </c>
      <c r="C1253">
        <v>129</v>
      </c>
      <c r="D1253">
        <v>75</v>
      </c>
      <c r="E1253">
        <v>7</v>
      </c>
      <c r="F1253">
        <v>6</v>
      </c>
      <c r="G1253">
        <v>6.85</v>
      </c>
      <c r="H1253">
        <v>8.1</v>
      </c>
      <c r="I1253">
        <v>0.19</v>
      </c>
      <c r="J1253" t="s">
        <v>54</v>
      </c>
      <c r="K1253" t="s">
        <v>38</v>
      </c>
      <c r="L1253">
        <v>31</v>
      </c>
      <c r="M1253">
        <v>2.87</v>
      </c>
      <c r="N1253">
        <v>156.86000000000001</v>
      </c>
      <c r="O1253">
        <v>0.17</v>
      </c>
      <c r="P1253">
        <v>2</v>
      </c>
      <c r="Q1253">
        <v>0.96</v>
      </c>
      <c r="R1253">
        <v>226</v>
      </c>
      <c r="S1253">
        <v>3.74</v>
      </c>
      <c r="T1253">
        <v>0.24</v>
      </c>
      <c r="U1253" s="1">
        <v>45306</v>
      </c>
      <c r="V1253">
        <v>288.72000000000003</v>
      </c>
      <c r="W1253">
        <v>0.63300000000000001</v>
      </c>
      <c r="X1253" t="str">
        <f>IF(WarehouseData[[#This Row],[stock_level]]&lt;=WarehouseData[[#This Row],[reorder_point]],"Low Stock","Sufficient Stock")</f>
        <v>Sufficient Stock</v>
      </c>
      <c r="Y1253">
        <f>WarehouseData[[#This Row],[daily_demand]]*WarehouseData[[#This Row],[lead_time_days]]</f>
        <v>41.099999999999994</v>
      </c>
      <c r="Z1253" t="str">
        <f>IF(WarehouseData[[#This Row],[stock_level]]&lt;=WarehouseData[[#This Row],[Demand During Lead Time]],"At Risk","Safe")</f>
        <v>Safe</v>
      </c>
      <c r="AA1253">
        <f>WarehouseData[[#This Row],[stock_level]]/WarehouseData[[#This Row],[daily_demand]]</f>
        <v>18.832116788321169</v>
      </c>
      <c r="AB1253">
        <f>WarehouseData[[#This Row],[stock_level]]*WarehouseData[[#This Row],[unit_price]]</f>
        <v>20234.940000000002</v>
      </c>
      <c r="AC1253">
        <f>WarehouseData[[#This Row],[stock_level]]*WarehouseData[[#This Row],[holding_cost_per_unit_day]]*30</f>
        <v>657.90000000000009</v>
      </c>
      <c r="AD1253" t="str">
        <f>IF(WarehouseData[[#This Row],[order_fulfillment_rate]]&gt;=0.9,"Strong",IF(WarehouseData[[#This Row],[order_fulfillment_rate]]&gt;=0.8,"Moderate","Needs Attention"))</f>
        <v>Strong</v>
      </c>
      <c r="AE1253" t="str">
        <f>IF(WarehouseData[[#This Row],[picking_time_seconds]]&gt;120,"Slow",IF(WarehouseData[[#This Row],[picking_time_seconds]]&gt;=60,"Average","Fast"))</f>
        <v>Fast</v>
      </c>
    </row>
    <row r="1254" spans="1:31" x14ac:dyDescent="0.25">
      <c r="A1254" t="s">
        <v>1392</v>
      </c>
      <c r="B1254" t="s">
        <v>48</v>
      </c>
      <c r="C1254">
        <v>196</v>
      </c>
      <c r="D1254">
        <v>67</v>
      </c>
      <c r="E1254">
        <v>4</v>
      </c>
      <c r="F1254">
        <v>7</v>
      </c>
      <c r="G1254">
        <v>39.369999999999997</v>
      </c>
      <c r="H1254">
        <v>5.47</v>
      </c>
      <c r="I1254">
        <v>0.72</v>
      </c>
      <c r="J1254" t="s">
        <v>160</v>
      </c>
      <c r="K1254" t="s">
        <v>52</v>
      </c>
      <c r="L1254">
        <v>168</v>
      </c>
      <c r="M1254">
        <v>4.74</v>
      </c>
      <c r="N1254">
        <v>55.78</v>
      </c>
      <c r="O1254">
        <v>1.97</v>
      </c>
      <c r="P1254">
        <v>5</v>
      </c>
      <c r="Q1254">
        <v>0.95</v>
      </c>
      <c r="R1254">
        <v>76</v>
      </c>
      <c r="S1254">
        <v>10.11</v>
      </c>
      <c r="T1254">
        <v>0.56999999999999995</v>
      </c>
      <c r="U1254" s="1">
        <v>45652</v>
      </c>
      <c r="V1254">
        <v>91.72</v>
      </c>
      <c r="W1254">
        <v>0.54200000000000004</v>
      </c>
      <c r="X1254" t="str">
        <f>IF(WarehouseData[[#This Row],[stock_level]]&lt;=WarehouseData[[#This Row],[reorder_point]],"Low Stock","Sufficient Stock")</f>
        <v>Sufficient Stock</v>
      </c>
      <c r="Y1254">
        <f>WarehouseData[[#This Row],[daily_demand]]*WarehouseData[[#This Row],[lead_time_days]]</f>
        <v>275.58999999999997</v>
      </c>
      <c r="Z1254" t="str">
        <f>IF(WarehouseData[[#This Row],[stock_level]]&lt;=WarehouseData[[#This Row],[Demand During Lead Time]],"At Risk","Safe")</f>
        <v>At Risk</v>
      </c>
      <c r="AA1254">
        <f>WarehouseData[[#This Row],[stock_level]]/WarehouseData[[#This Row],[daily_demand]]</f>
        <v>4.9784099568199141</v>
      </c>
      <c r="AB1254">
        <f>WarehouseData[[#This Row],[stock_level]]*WarehouseData[[#This Row],[unit_price]]</f>
        <v>10932.880000000001</v>
      </c>
      <c r="AC1254">
        <f>WarehouseData[[#This Row],[stock_level]]*WarehouseData[[#This Row],[holding_cost_per_unit_day]]*30</f>
        <v>11583.6</v>
      </c>
      <c r="AD1254" t="str">
        <f>IF(WarehouseData[[#This Row],[order_fulfillment_rate]]&gt;=0.9,"Strong",IF(WarehouseData[[#This Row],[order_fulfillment_rate]]&gt;=0.8,"Moderate","Needs Attention"))</f>
        <v>Strong</v>
      </c>
      <c r="AE1254" t="str">
        <f>IF(WarehouseData[[#This Row],[picking_time_seconds]]&gt;120,"Slow",IF(WarehouseData[[#This Row],[picking_time_seconds]]&gt;=60,"Average","Fast"))</f>
        <v>Slow</v>
      </c>
    </row>
    <row r="1255" spans="1:31" x14ac:dyDescent="0.25">
      <c r="A1255" t="s">
        <v>1393</v>
      </c>
      <c r="B1255" t="s">
        <v>32</v>
      </c>
      <c r="C1255">
        <v>381</v>
      </c>
      <c r="D1255">
        <v>99</v>
      </c>
      <c r="E1255">
        <v>3</v>
      </c>
      <c r="F1255">
        <v>9</v>
      </c>
      <c r="G1255">
        <v>18.16</v>
      </c>
      <c r="H1255">
        <v>2.29</v>
      </c>
      <c r="I1255">
        <v>0.26</v>
      </c>
      <c r="J1255" t="s">
        <v>45</v>
      </c>
      <c r="K1255" t="s">
        <v>52</v>
      </c>
      <c r="L1255">
        <v>108</v>
      </c>
      <c r="M1255">
        <v>0.57999999999999996</v>
      </c>
      <c r="N1255">
        <v>194.06</v>
      </c>
      <c r="O1255">
        <v>0.97</v>
      </c>
      <c r="P1255">
        <v>1</v>
      </c>
      <c r="Q1255">
        <v>0.8</v>
      </c>
      <c r="R1255">
        <v>338</v>
      </c>
      <c r="S1255">
        <v>1.7</v>
      </c>
      <c r="T1255">
        <v>0.9</v>
      </c>
      <c r="U1255" s="1">
        <v>45650</v>
      </c>
      <c r="V1255">
        <v>92.53</v>
      </c>
      <c r="W1255">
        <v>0.64600000000000002</v>
      </c>
      <c r="X1255" t="str">
        <f>IF(WarehouseData[[#This Row],[stock_level]]&lt;=WarehouseData[[#This Row],[reorder_point]],"Low Stock","Sufficient Stock")</f>
        <v>Sufficient Stock</v>
      </c>
      <c r="Y1255">
        <f>WarehouseData[[#This Row],[daily_demand]]*WarehouseData[[#This Row],[lead_time_days]]</f>
        <v>163.44</v>
      </c>
      <c r="Z1255" t="str">
        <f>IF(WarehouseData[[#This Row],[stock_level]]&lt;=WarehouseData[[#This Row],[Demand During Lead Time]],"At Risk","Safe")</f>
        <v>Safe</v>
      </c>
      <c r="AA1255">
        <f>WarehouseData[[#This Row],[stock_level]]/WarehouseData[[#This Row],[daily_demand]]</f>
        <v>20.980176211453745</v>
      </c>
      <c r="AB1255">
        <f>WarehouseData[[#This Row],[stock_level]]*WarehouseData[[#This Row],[unit_price]]</f>
        <v>73936.86</v>
      </c>
      <c r="AC1255">
        <f>WarehouseData[[#This Row],[stock_level]]*WarehouseData[[#This Row],[holding_cost_per_unit_day]]*30</f>
        <v>11087.1</v>
      </c>
      <c r="AD1255" t="str">
        <f>IF(WarehouseData[[#This Row],[order_fulfillment_rate]]&gt;=0.9,"Strong",IF(WarehouseData[[#This Row],[order_fulfillment_rate]]&gt;=0.8,"Moderate","Needs Attention"))</f>
        <v>Moderate</v>
      </c>
      <c r="AE1255" t="str">
        <f>IF(WarehouseData[[#This Row],[picking_time_seconds]]&gt;120,"Slow",IF(WarehouseData[[#This Row],[picking_time_seconds]]&gt;=60,"Average","Fast"))</f>
        <v>Average</v>
      </c>
    </row>
    <row r="1256" spans="1:31" x14ac:dyDescent="0.25">
      <c r="A1256" t="s">
        <v>1394</v>
      </c>
      <c r="B1256" t="s">
        <v>40</v>
      </c>
      <c r="C1256">
        <v>333</v>
      </c>
      <c r="D1256">
        <v>45</v>
      </c>
      <c r="E1256">
        <v>10</v>
      </c>
      <c r="F1256">
        <v>9</v>
      </c>
      <c r="G1256">
        <v>11.99</v>
      </c>
      <c r="H1256">
        <v>1.48</v>
      </c>
      <c r="I1256">
        <v>0.19</v>
      </c>
      <c r="J1256" t="s">
        <v>166</v>
      </c>
      <c r="K1256" t="s">
        <v>52</v>
      </c>
      <c r="L1256">
        <v>179</v>
      </c>
      <c r="M1256">
        <v>2.4700000000000002</v>
      </c>
      <c r="N1256">
        <v>106.99</v>
      </c>
      <c r="O1256">
        <v>1.88</v>
      </c>
      <c r="P1256">
        <v>3</v>
      </c>
      <c r="Q1256">
        <v>0.8</v>
      </c>
      <c r="R1256">
        <v>889</v>
      </c>
      <c r="S1256">
        <v>13.68</v>
      </c>
      <c r="T1256">
        <v>1</v>
      </c>
      <c r="U1256" s="1">
        <v>45472</v>
      </c>
      <c r="V1256">
        <v>253</v>
      </c>
      <c r="W1256">
        <v>0.69399999999999995</v>
      </c>
      <c r="X1256" t="str">
        <f>IF(WarehouseData[[#This Row],[stock_level]]&lt;=WarehouseData[[#This Row],[reorder_point]],"Low Stock","Sufficient Stock")</f>
        <v>Sufficient Stock</v>
      </c>
      <c r="Y1256">
        <f>WarehouseData[[#This Row],[daily_demand]]*WarehouseData[[#This Row],[lead_time_days]]</f>
        <v>107.91</v>
      </c>
      <c r="Z1256" t="str">
        <f>IF(WarehouseData[[#This Row],[stock_level]]&lt;=WarehouseData[[#This Row],[Demand During Lead Time]],"At Risk","Safe")</f>
        <v>Safe</v>
      </c>
      <c r="AA1256">
        <f>WarehouseData[[#This Row],[stock_level]]/WarehouseData[[#This Row],[daily_demand]]</f>
        <v>27.773144286905755</v>
      </c>
      <c r="AB1256">
        <f>WarehouseData[[#This Row],[stock_level]]*WarehouseData[[#This Row],[unit_price]]</f>
        <v>35627.67</v>
      </c>
      <c r="AC1256">
        <f>WarehouseData[[#This Row],[stock_level]]*WarehouseData[[#This Row],[holding_cost_per_unit_day]]*30</f>
        <v>18781.199999999997</v>
      </c>
      <c r="AD1256" t="str">
        <f>IF(WarehouseData[[#This Row],[order_fulfillment_rate]]&gt;=0.9,"Strong",IF(WarehouseData[[#This Row],[order_fulfillment_rate]]&gt;=0.8,"Moderate","Needs Attention"))</f>
        <v>Moderate</v>
      </c>
      <c r="AE1256" t="str">
        <f>IF(WarehouseData[[#This Row],[picking_time_seconds]]&gt;120,"Slow",IF(WarehouseData[[#This Row],[picking_time_seconds]]&gt;=60,"Average","Fast"))</f>
        <v>Slow</v>
      </c>
    </row>
    <row r="1257" spans="1:31" x14ac:dyDescent="0.25">
      <c r="A1257" t="s">
        <v>1395</v>
      </c>
      <c r="B1257" t="s">
        <v>36</v>
      </c>
      <c r="C1257">
        <v>314</v>
      </c>
      <c r="D1257">
        <v>42</v>
      </c>
      <c r="E1257">
        <v>8</v>
      </c>
      <c r="F1257">
        <v>3</v>
      </c>
      <c r="G1257">
        <v>18.29</v>
      </c>
      <c r="H1257">
        <v>4.59</v>
      </c>
      <c r="I1257">
        <v>0.78</v>
      </c>
      <c r="J1257" t="s">
        <v>95</v>
      </c>
      <c r="K1257" t="s">
        <v>46</v>
      </c>
      <c r="L1257">
        <v>115</v>
      </c>
      <c r="M1257">
        <v>3.51</v>
      </c>
      <c r="N1257">
        <v>63.59</v>
      </c>
      <c r="O1257">
        <v>1.49</v>
      </c>
      <c r="P1257">
        <v>7</v>
      </c>
      <c r="Q1257">
        <v>0.98</v>
      </c>
      <c r="R1257">
        <v>866</v>
      </c>
      <c r="S1257">
        <v>11.68</v>
      </c>
      <c r="T1257">
        <v>0.27</v>
      </c>
      <c r="U1257" s="1">
        <v>45582</v>
      </c>
      <c r="V1257">
        <v>123.68</v>
      </c>
      <c r="W1257">
        <v>0.51700000000000002</v>
      </c>
      <c r="X1257" t="str">
        <f>IF(WarehouseData[[#This Row],[stock_level]]&lt;=WarehouseData[[#This Row],[reorder_point]],"Low Stock","Sufficient Stock")</f>
        <v>Sufficient Stock</v>
      </c>
      <c r="Y1257">
        <f>WarehouseData[[#This Row],[daily_demand]]*WarehouseData[[#This Row],[lead_time_days]]</f>
        <v>54.87</v>
      </c>
      <c r="Z1257" t="str">
        <f>IF(WarehouseData[[#This Row],[stock_level]]&lt;=WarehouseData[[#This Row],[Demand During Lead Time]],"At Risk","Safe")</f>
        <v>Safe</v>
      </c>
      <c r="AA1257">
        <f>WarehouseData[[#This Row],[stock_level]]/WarehouseData[[#This Row],[daily_demand]]</f>
        <v>17.167851284855114</v>
      </c>
      <c r="AB1257">
        <f>WarehouseData[[#This Row],[stock_level]]*WarehouseData[[#This Row],[unit_price]]</f>
        <v>19967.260000000002</v>
      </c>
      <c r="AC1257">
        <f>WarehouseData[[#This Row],[stock_level]]*WarehouseData[[#This Row],[holding_cost_per_unit_day]]*30</f>
        <v>14035.800000000001</v>
      </c>
      <c r="AD1257" t="str">
        <f>IF(WarehouseData[[#This Row],[order_fulfillment_rate]]&gt;=0.9,"Strong",IF(WarehouseData[[#This Row],[order_fulfillment_rate]]&gt;=0.8,"Moderate","Needs Attention"))</f>
        <v>Strong</v>
      </c>
      <c r="AE1257" t="str">
        <f>IF(WarehouseData[[#This Row],[picking_time_seconds]]&gt;120,"Slow",IF(WarehouseData[[#This Row],[picking_time_seconds]]&gt;=60,"Average","Fast"))</f>
        <v>Average</v>
      </c>
    </row>
    <row r="1258" spans="1:31" x14ac:dyDescent="0.25">
      <c r="A1258" t="s">
        <v>1396</v>
      </c>
      <c r="B1258" t="s">
        <v>32</v>
      </c>
      <c r="C1258">
        <v>355</v>
      </c>
      <c r="D1258">
        <v>56</v>
      </c>
      <c r="E1258">
        <v>7</v>
      </c>
      <c r="F1258">
        <v>3</v>
      </c>
      <c r="G1258">
        <v>32.619999999999997</v>
      </c>
      <c r="H1258">
        <v>3.71</v>
      </c>
      <c r="I1258">
        <v>0.9</v>
      </c>
      <c r="J1258" t="s">
        <v>110</v>
      </c>
      <c r="K1258" t="s">
        <v>46</v>
      </c>
      <c r="L1258">
        <v>73</v>
      </c>
      <c r="M1258">
        <v>1.48</v>
      </c>
      <c r="N1258">
        <v>64.010000000000005</v>
      </c>
      <c r="O1258">
        <v>0.81</v>
      </c>
      <c r="P1258">
        <v>1</v>
      </c>
      <c r="Q1258">
        <v>0.71</v>
      </c>
      <c r="R1258">
        <v>624</v>
      </c>
      <c r="S1258">
        <v>14.17</v>
      </c>
      <c r="T1258">
        <v>0.21</v>
      </c>
      <c r="U1258" s="1">
        <v>45580</v>
      </c>
      <c r="V1258">
        <v>31.23</v>
      </c>
      <c r="W1258">
        <v>0.67200000000000004</v>
      </c>
      <c r="X1258" t="str">
        <f>IF(WarehouseData[[#This Row],[stock_level]]&lt;=WarehouseData[[#This Row],[reorder_point]],"Low Stock","Sufficient Stock")</f>
        <v>Sufficient Stock</v>
      </c>
      <c r="Y1258">
        <f>WarehouseData[[#This Row],[daily_demand]]*WarehouseData[[#This Row],[lead_time_days]]</f>
        <v>97.859999999999985</v>
      </c>
      <c r="Z1258" t="str">
        <f>IF(WarehouseData[[#This Row],[stock_level]]&lt;=WarehouseData[[#This Row],[Demand During Lead Time]],"At Risk","Safe")</f>
        <v>Safe</v>
      </c>
      <c r="AA1258">
        <f>WarehouseData[[#This Row],[stock_level]]/WarehouseData[[#This Row],[daily_demand]]</f>
        <v>10.882893930104231</v>
      </c>
      <c r="AB1258">
        <f>WarehouseData[[#This Row],[stock_level]]*WarehouseData[[#This Row],[unit_price]]</f>
        <v>22723.550000000003</v>
      </c>
      <c r="AC1258">
        <f>WarehouseData[[#This Row],[stock_level]]*WarehouseData[[#This Row],[holding_cost_per_unit_day]]*30</f>
        <v>8626.5</v>
      </c>
      <c r="AD1258" t="str">
        <f>IF(WarehouseData[[#This Row],[order_fulfillment_rate]]&gt;=0.9,"Strong",IF(WarehouseData[[#This Row],[order_fulfillment_rate]]&gt;=0.8,"Moderate","Needs Attention"))</f>
        <v>Needs Attention</v>
      </c>
      <c r="AE1258" t="str">
        <f>IF(WarehouseData[[#This Row],[picking_time_seconds]]&gt;120,"Slow",IF(WarehouseData[[#This Row],[picking_time_seconds]]&gt;=60,"Average","Fast"))</f>
        <v>Average</v>
      </c>
    </row>
    <row r="1259" spans="1:31" x14ac:dyDescent="0.25">
      <c r="A1259" t="s">
        <v>1397</v>
      </c>
      <c r="B1259" t="s">
        <v>40</v>
      </c>
      <c r="C1259">
        <v>116</v>
      </c>
      <c r="D1259">
        <v>22</v>
      </c>
      <c r="E1259">
        <v>11</v>
      </c>
      <c r="F1259">
        <v>5</v>
      </c>
      <c r="G1259">
        <v>27.79</v>
      </c>
      <c r="H1259">
        <v>6.73</v>
      </c>
      <c r="I1259">
        <v>0.75</v>
      </c>
      <c r="J1259" t="s">
        <v>79</v>
      </c>
      <c r="K1259" t="s">
        <v>52</v>
      </c>
      <c r="L1259">
        <v>18</v>
      </c>
      <c r="M1259">
        <v>3.77</v>
      </c>
      <c r="N1259">
        <v>13.48</v>
      </c>
      <c r="O1259">
        <v>0.39</v>
      </c>
      <c r="P1259">
        <v>8</v>
      </c>
      <c r="Q1259">
        <v>0.87</v>
      </c>
      <c r="R1259">
        <v>977</v>
      </c>
      <c r="S1259">
        <v>6.86</v>
      </c>
      <c r="T1259">
        <v>0.38</v>
      </c>
      <c r="U1259" s="1">
        <v>45364</v>
      </c>
      <c r="V1259">
        <v>149.56</v>
      </c>
      <c r="W1259">
        <v>0.54200000000000004</v>
      </c>
      <c r="X1259" t="str">
        <f>IF(WarehouseData[[#This Row],[stock_level]]&lt;=WarehouseData[[#This Row],[reorder_point]],"Low Stock","Sufficient Stock")</f>
        <v>Sufficient Stock</v>
      </c>
      <c r="Y1259">
        <f>WarehouseData[[#This Row],[daily_demand]]*WarehouseData[[#This Row],[lead_time_days]]</f>
        <v>138.94999999999999</v>
      </c>
      <c r="Z1259" t="str">
        <f>IF(WarehouseData[[#This Row],[stock_level]]&lt;=WarehouseData[[#This Row],[Demand During Lead Time]],"At Risk","Safe")</f>
        <v>At Risk</v>
      </c>
      <c r="AA1259">
        <f>WarehouseData[[#This Row],[stock_level]]/WarehouseData[[#This Row],[daily_demand]]</f>
        <v>4.1741633681180286</v>
      </c>
      <c r="AB1259">
        <f>WarehouseData[[#This Row],[stock_level]]*WarehouseData[[#This Row],[unit_price]]</f>
        <v>1563.68</v>
      </c>
      <c r="AC1259">
        <f>WarehouseData[[#This Row],[stock_level]]*WarehouseData[[#This Row],[holding_cost_per_unit_day]]*30</f>
        <v>1357.2</v>
      </c>
      <c r="AD1259" t="str">
        <f>IF(WarehouseData[[#This Row],[order_fulfillment_rate]]&gt;=0.9,"Strong",IF(WarehouseData[[#This Row],[order_fulfillment_rate]]&gt;=0.8,"Moderate","Needs Attention"))</f>
        <v>Moderate</v>
      </c>
      <c r="AE1259" t="str">
        <f>IF(WarehouseData[[#This Row],[picking_time_seconds]]&gt;120,"Slow",IF(WarehouseData[[#This Row],[picking_time_seconds]]&gt;=60,"Average","Fast"))</f>
        <v>Fast</v>
      </c>
    </row>
    <row r="1260" spans="1:31" x14ac:dyDescent="0.25">
      <c r="A1260" t="s">
        <v>1398</v>
      </c>
      <c r="B1260" t="s">
        <v>40</v>
      </c>
      <c r="C1260">
        <v>388</v>
      </c>
      <c r="D1260">
        <v>49</v>
      </c>
      <c r="E1260">
        <v>13</v>
      </c>
      <c r="F1260">
        <v>7</v>
      </c>
      <c r="G1260">
        <v>37.44</v>
      </c>
      <c r="H1260">
        <v>9.2899999999999991</v>
      </c>
      <c r="I1260">
        <v>0.83</v>
      </c>
      <c r="J1260" t="s">
        <v>185</v>
      </c>
      <c r="K1260" t="s">
        <v>34</v>
      </c>
      <c r="L1260">
        <v>135</v>
      </c>
      <c r="M1260">
        <v>0.87</v>
      </c>
      <c r="N1260">
        <v>141.56</v>
      </c>
      <c r="O1260">
        <v>1.96</v>
      </c>
      <c r="P1260">
        <v>1</v>
      </c>
      <c r="Q1260">
        <v>0.88</v>
      </c>
      <c r="R1260">
        <v>580</v>
      </c>
      <c r="S1260">
        <v>1.48</v>
      </c>
      <c r="T1260">
        <v>0.56999999999999995</v>
      </c>
      <c r="U1260" s="1">
        <v>45580</v>
      </c>
      <c r="V1260">
        <v>169.57</v>
      </c>
      <c r="W1260">
        <v>0.49399999999999999</v>
      </c>
      <c r="X1260" t="str">
        <f>IF(WarehouseData[[#This Row],[stock_level]]&lt;=WarehouseData[[#This Row],[reorder_point]],"Low Stock","Sufficient Stock")</f>
        <v>Sufficient Stock</v>
      </c>
      <c r="Y1260">
        <f>WarehouseData[[#This Row],[daily_demand]]*WarehouseData[[#This Row],[lead_time_days]]</f>
        <v>262.08</v>
      </c>
      <c r="Z1260" t="str">
        <f>IF(WarehouseData[[#This Row],[stock_level]]&lt;=WarehouseData[[#This Row],[Demand During Lead Time]],"At Risk","Safe")</f>
        <v>Safe</v>
      </c>
      <c r="AA1260">
        <f>WarehouseData[[#This Row],[stock_level]]/WarehouseData[[#This Row],[daily_demand]]</f>
        <v>10.363247863247864</v>
      </c>
      <c r="AB1260">
        <f>WarehouseData[[#This Row],[stock_level]]*WarehouseData[[#This Row],[unit_price]]</f>
        <v>54925.279999999999</v>
      </c>
      <c r="AC1260">
        <f>WarehouseData[[#This Row],[stock_level]]*WarehouseData[[#This Row],[holding_cost_per_unit_day]]*30</f>
        <v>22814.400000000001</v>
      </c>
      <c r="AD1260" t="str">
        <f>IF(WarehouseData[[#This Row],[order_fulfillment_rate]]&gt;=0.9,"Strong",IF(WarehouseData[[#This Row],[order_fulfillment_rate]]&gt;=0.8,"Moderate","Needs Attention"))</f>
        <v>Moderate</v>
      </c>
      <c r="AE1260" t="str">
        <f>IF(WarehouseData[[#This Row],[picking_time_seconds]]&gt;120,"Slow",IF(WarehouseData[[#This Row],[picking_time_seconds]]&gt;=60,"Average","Fast"))</f>
        <v>Slow</v>
      </c>
    </row>
    <row r="1261" spans="1:31" x14ac:dyDescent="0.25">
      <c r="A1261" t="s">
        <v>1399</v>
      </c>
      <c r="B1261" t="s">
        <v>73</v>
      </c>
      <c r="C1261">
        <v>232</v>
      </c>
      <c r="D1261">
        <v>98</v>
      </c>
      <c r="E1261">
        <v>13</v>
      </c>
      <c r="F1261">
        <v>2</v>
      </c>
      <c r="G1261">
        <v>17.61</v>
      </c>
      <c r="H1261">
        <v>2.85</v>
      </c>
      <c r="I1261">
        <v>0.99</v>
      </c>
      <c r="J1261" t="s">
        <v>102</v>
      </c>
      <c r="K1261" t="s">
        <v>52</v>
      </c>
      <c r="L1261">
        <v>104</v>
      </c>
      <c r="M1261">
        <v>2.5299999999999998</v>
      </c>
      <c r="N1261">
        <v>157.43</v>
      </c>
      <c r="O1261">
        <v>1.21</v>
      </c>
      <c r="P1261">
        <v>7</v>
      </c>
      <c r="Q1261">
        <v>0.94</v>
      </c>
      <c r="R1261">
        <v>533</v>
      </c>
      <c r="S1261">
        <v>5.78</v>
      </c>
      <c r="T1261">
        <v>0.66</v>
      </c>
      <c r="U1261" s="1">
        <v>45388</v>
      </c>
      <c r="V1261">
        <v>189.13</v>
      </c>
      <c r="W1261">
        <v>0.53600000000000003</v>
      </c>
      <c r="X1261" t="str">
        <f>IF(WarehouseData[[#This Row],[stock_level]]&lt;=WarehouseData[[#This Row],[reorder_point]],"Low Stock","Sufficient Stock")</f>
        <v>Sufficient Stock</v>
      </c>
      <c r="Y1261">
        <f>WarehouseData[[#This Row],[daily_demand]]*WarehouseData[[#This Row],[lead_time_days]]</f>
        <v>35.22</v>
      </c>
      <c r="Z1261" t="str">
        <f>IF(WarehouseData[[#This Row],[stock_level]]&lt;=WarehouseData[[#This Row],[Demand During Lead Time]],"At Risk","Safe")</f>
        <v>Safe</v>
      </c>
      <c r="AA1261">
        <f>WarehouseData[[#This Row],[stock_level]]/WarehouseData[[#This Row],[daily_demand]]</f>
        <v>13.174332765474162</v>
      </c>
      <c r="AB1261">
        <f>WarehouseData[[#This Row],[stock_level]]*WarehouseData[[#This Row],[unit_price]]</f>
        <v>36523.760000000002</v>
      </c>
      <c r="AC1261">
        <f>WarehouseData[[#This Row],[stock_level]]*WarehouseData[[#This Row],[holding_cost_per_unit_day]]*30</f>
        <v>8421.5999999999985</v>
      </c>
      <c r="AD1261" t="str">
        <f>IF(WarehouseData[[#This Row],[order_fulfillment_rate]]&gt;=0.9,"Strong",IF(WarehouseData[[#This Row],[order_fulfillment_rate]]&gt;=0.8,"Moderate","Needs Attention"))</f>
        <v>Strong</v>
      </c>
      <c r="AE1261" t="str">
        <f>IF(WarehouseData[[#This Row],[picking_time_seconds]]&gt;120,"Slow",IF(WarehouseData[[#This Row],[picking_time_seconds]]&gt;=60,"Average","Fast"))</f>
        <v>Average</v>
      </c>
    </row>
    <row r="1262" spans="1:31" x14ac:dyDescent="0.25">
      <c r="A1262" t="s">
        <v>1400</v>
      </c>
      <c r="B1262" t="s">
        <v>36</v>
      </c>
      <c r="C1262">
        <v>336</v>
      </c>
      <c r="D1262">
        <v>77</v>
      </c>
      <c r="E1262">
        <v>4</v>
      </c>
      <c r="F1262">
        <v>8</v>
      </c>
      <c r="G1262">
        <v>23.15</v>
      </c>
      <c r="H1262">
        <v>8.6199999999999992</v>
      </c>
      <c r="I1262">
        <v>0.22</v>
      </c>
      <c r="J1262" t="s">
        <v>477</v>
      </c>
      <c r="K1262" t="s">
        <v>38</v>
      </c>
      <c r="L1262">
        <v>177</v>
      </c>
      <c r="M1262">
        <v>3.54</v>
      </c>
      <c r="N1262">
        <v>16.16</v>
      </c>
      <c r="O1262">
        <v>0.47</v>
      </c>
      <c r="P1262">
        <v>7</v>
      </c>
      <c r="Q1262">
        <v>0.99</v>
      </c>
      <c r="R1262">
        <v>483</v>
      </c>
      <c r="S1262">
        <v>8.2200000000000006</v>
      </c>
      <c r="T1262">
        <v>0.98</v>
      </c>
      <c r="U1262" s="1">
        <v>45544</v>
      </c>
      <c r="V1262">
        <v>78.180000000000007</v>
      </c>
      <c r="W1262">
        <v>0.71699999999999997</v>
      </c>
      <c r="X1262" t="str">
        <f>IF(WarehouseData[[#This Row],[stock_level]]&lt;=WarehouseData[[#This Row],[reorder_point]],"Low Stock","Sufficient Stock")</f>
        <v>Sufficient Stock</v>
      </c>
      <c r="Y1262">
        <f>WarehouseData[[#This Row],[daily_demand]]*WarehouseData[[#This Row],[lead_time_days]]</f>
        <v>185.2</v>
      </c>
      <c r="Z1262" t="str">
        <f>IF(WarehouseData[[#This Row],[stock_level]]&lt;=WarehouseData[[#This Row],[Demand During Lead Time]],"At Risk","Safe")</f>
        <v>Safe</v>
      </c>
      <c r="AA1262">
        <f>WarehouseData[[#This Row],[stock_level]]/WarehouseData[[#This Row],[daily_demand]]</f>
        <v>14.514038876889849</v>
      </c>
      <c r="AB1262">
        <f>WarehouseData[[#This Row],[stock_level]]*WarehouseData[[#This Row],[unit_price]]</f>
        <v>5429.76</v>
      </c>
      <c r="AC1262">
        <f>WarehouseData[[#This Row],[stock_level]]*WarehouseData[[#This Row],[holding_cost_per_unit_day]]*30</f>
        <v>4737.5999999999995</v>
      </c>
      <c r="AD1262" t="str">
        <f>IF(WarehouseData[[#This Row],[order_fulfillment_rate]]&gt;=0.9,"Strong",IF(WarehouseData[[#This Row],[order_fulfillment_rate]]&gt;=0.8,"Moderate","Needs Attention"))</f>
        <v>Strong</v>
      </c>
      <c r="AE1262" t="str">
        <f>IF(WarehouseData[[#This Row],[picking_time_seconds]]&gt;120,"Slow",IF(WarehouseData[[#This Row],[picking_time_seconds]]&gt;=60,"Average","Fast"))</f>
        <v>Slow</v>
      </c>
    </row>
    <row r="1263" spans="1:31" x14ac:dyDescent="0.25">
      <c r="A1263" t="s">
        <v>1401</v>
      </c>
      <c r="B1263" t="s">
        <v>73</v>
      </c>
      <c r="C1263">
        <v>156</v>
      </c>
      <c r="D1263">
        <v>51</v>
      </c>
      <c r="E1263">
        <v>12</v>
      </c>
      <c r="F1263">
        <v>4</v>
      </c>
      <c r="G1263">
        <v>6</v>
      </c>
      <c r="H1263">
        <v>9.24</v>
      </c>
      <c r="I1263">
        <v>0.97</v>
      </c>
      <c r="J1263" t="s">
        <v>289</v>
      </c>
      <c r="K1263" t="s">
        <v>52</v>
      </c>
      <c r="L1263">
        <v>97</v>
      </c>
      <c r="M1263">
        <v>1.7</v>
      </c>
      <c r="N1263">
        <v>121.33</v>
      </c>
      <c r="O1263">
        <v>1.4</v>
      </c>
      <c r="P1263">
        <v>6</v>
      </c>
      <c r="Q1263">
        <v>0.81</v>
      </c>
      <c r="R1263">
        <v>542</v>
      </c>
      <c r="S1263">
        <v>14.1</v>
      </c>
      <c r="T1263">
        <v>0.91</v>
      </c>
      <c r="U1263" s="1">
        <v>45569</v>
      </c>
      <c r="V1263">
        <v>292.25</v>
      </c>
      <c r="W1263">
        <v>0.67200000000000004</v>
      </c>
      <c r="X1263" t="str">
        <f>IF(WarehouseData[[#This Row],[stock_level]]&lt;=WarehouseData[[#This Row],[reorder_point]],"Low Stock","Sufficient Stock")</f>
        <v>Sufficient Stock</v>
      </c>
      <c r="Y1263">
        <f>WarehouseData[[#This Row],[daily_demand]]*WarehouseData[[#This Row],[lead_time_days]]</f>
        <v>24</v>
      </c>
      <c r="Z1263" t="str">
        <f>IF(WarehouseData[[#This Row],[stock_level]]&lt;=WarehouseData[[#This Row],[Demand During Lead Time]],"At Risk","Safe")</f>
        <v>Safe</v>
      </c>
      <c r="AA1263">
        <f>WarehouseData[[#This Row],[stock_level]]/WarehouseData[[#This Row],[daily_demand]]</f>
        <v>26</v>
      </c>
      <c r="AB1263">
        <f>WarehouseData[[#This Row],[stock_level]]*WarehouseData[[#This Row],[unit_price]]</f>
        <v>18927.48</v>
      </c>
      <c r="AC1263">
        <f>WarehouseData[[#This Row],[stock_level]]*WarehouseData[[#This Row],[holding_cost_per_unit_day]]*30</f>
        <v>6551.9999999999991</v>
      </c>
      <c r="AD1263" t="str">
        <f>IF(WarehouseData[[#This Row],[order_fulfillment_rate]]&gt;=0.9,"Strong",IF(WarehouseData[[#This Row],[order_fulfillment_rate]]&gt;=0.8,"Moderate","Needs Attention"))</f>
        <v>Moderate</v>
      </c>
      <c r="AE1263" t="str">
        <f>IF(WarehouseData[[#This Row],[picking_time_seconds]]&gt;120,"Slow",IF(WarehouseData[[#This Row],[picking_time_seconds]]&gt;=60,"Average","Fast"))</f>
        <v>Average</v>
      </c>
    </row>
    <row r="1264" spans="1:31" x14ac:dyDescent="0.25">
      <c r="A1264" t="s">
        <v>1402</v>
      </c>
      <c r="B1264" t="s">
        <v>48</v>
      </c>
      <c r="C1264">
        <v>25</v>
      </c>
      <c r="D1264">
        <v>28</v>
      </c>
      <c r="E1264">
        <v>14</v>
      </c>
      <c r="F1264">
        <v>5</v>
      </c>
      <c r="G1264">
        <v>4.58</v>
      </c>
      <c r="H1264">
        <v>9.07</v>
      </c>
      <c r="I1264">
        <v>0.64</v>
      </c>
      <c r="J1264" t="s">
        <v>316</v>
      </c>
      <c r="K1264" t="s">
        <v>52</v>
      </c>
      <c r="L1264">
        <v>178</v>
      </c>
      <c r="M1264">
        <v>0.83</v>
      </c>
      <c r="N1264">
        <v>158.52000000000001</v>
      </c>
      <c r="O1264">
        <v>0.27</v>
      </c>
      <c r="P1264">
        <v>9</v>
      </c>
      <c r="Q1264">
        <v>0.83</v>
      </c>
      <c r="R1264">
        <v>327</v>
      </c>
      <c r="S1264">
        <v>13.36</v>
      </c>
      <c r="T1264">
        <v>0.65</v>
      </c>
      <c r="U1264" s="1">
        <v>45450</v>
      </c>
      <c r="V1264">
        <v>223.74</v>
      </c>
      <c r="W1264">
        <v>0.66700000000000004</v>
      </c>
      <c r="X1264" t="str">
        <f>IF(WarehouseData[[#This Row],[stock_level]]&lt;=WarehouseData[[#This Row],[reorder_point]],"Low Stock","Sufficient Stock")</f>
        <v>Low Stock</v>
      </c>
      <c r="Y1264">
        <f>WarehouseData[[#This Row],[daily_demand]]*WarehouseData[[#This Row],[lead_time_days]]</f>
        <v>22.9</v>
      </c>
      <c r="Z1264" t="str">
        <f>IF(WarehouseData[[#This Row],[stock_level]]&lt;=WarehouseData[[#This Row],[Demand During Lead Time]],"At Risk","Safe")</f>
        <v>Safe</v>
      </c>
      <c r="AA1264">
        <f>WarehouseData[[#This Row],[stock_level]]/WarehouseData[[#This Row],[daily_demand]]</f>
        <v>5.4585152838427948</v>
      </c>
      <c r="AB1264">
        <f>WarehouseData[[#This Row],[stock_level]]*WarehouseData[[#This Row],[unit_price]]</f>
        <v>3963.0000000000005</v>
      </c>
      <c r="AC1264">
        <f>WarehouseData[[#This Row],[stock_level]]*WarehouseData[[#This Row],[holding_cost_per_unit_day]]*30</f>
        <v>202.5</v>
      </c>
      <c r="AD1264" t="str">
        <f>IF(WarehouseData[[#This Row],[order_fulfillment_rate]]&gt;=0.9,"Strong",IF(WarehouseData[[#This Row],[order_fulfillment_rate]]&gt;=0.8,"Moderate","Needs Attention"))</f>
        <v>Moderate</v>
      </c>
      <c r="AE1264" t="str">
        <f>IF(WarehouseData[[#This Row],[picking_time_seconds]]&gt;120,"Slow",IF(WarehouseData[[#This Row],[picking_time_seconds]]&gt;=60,"Average","Fast"))</f>
        <v>Slow</v>
      </c>
    </row>
    <row r="1265" spans="1:31" x14ac:dyDescent="0.25">
      <c r="A1265" t="s">
        <v>1403</v>
      </c>
      <c r="B1265" t="s">
        <v>73</v>
      </c>
      <c r="C1265">
        <v>128</v>
      </c>
      <c r="D1265">
        <v>91</v>
      </c>
      <c r="E1265">
        <v>10</v>
      </c>
      <c r="F1265">
        <v>9</v>
      </c>
      <c r="G1265">
        <v>23.65</v>
      </c>
      <c r="H1265">
        <v>9.5399999999999991</v>
      </c>
      <c r="I1265">
        <v>0.83</v>
      </c>
      <c r="J1265" t="s">
        <v>66</v>
      </c>
      <c r="K1265" t="s">
        <v>52</v>
      </c>
      <c r="L1265">
        <v>122</v>
      </c>
      <c r="M1265">
        <v>4.8099999999999996</v>
      </c>
      <c r="N1265">
        <v>81.489999999999995</v>
      </c>
      <c r="O1265">
        <v>1.75</v>
      </c>
      <c r="P1265">
        <v>5</v>
      </c>
      <c r="Q1265">
        <v>0.9</v>
      </c>
      <c r="R1265">
        <v>395</v>
      </c>
      <c r="S1265">
        <v>9.32</v>
      </c>
      <c r="T1265">
        <v>0.49</v>
      </c>
      <c r="U1265" s="1">
        <v>45381</v>
      </c>
      <c r="V1265">
        <v>218.84</v>
      </c>
      <c r="W1265">
        <v>0.52700000000000002</v>
      </c>
      <c r="X1265" t="str">
        <f>IF(WarehouseData[[#This Row],[stock_level]]&lt;=WarehouseData[[#This Row],[reorder_point]],"Low Stock","Sufficient Stock")</f>
        <v>Sufficient Stock</v>
      </c>
      <c r="Y1265">
        <f>WarehouseData[[#This Row],[daily_demand]]*WarehouseData[[#This Row],[lead_time_days]]</f>
        <v>212.85</v>
      </c>
      <c r="Z1265" t="str">
        <f>IF(WarehouseData[[#This Row],[stock_level]]&lt;=WarehouseData[[#This Row],[Demand During Lead Time]],"At Risk","Safe")</f>
        <v>At Risk</v>
      </c>
      <c r="AA1265">
        <f>WarehouseData[[#This Row],[stock_level]]/WarehouseData[[#This Row],[daily_demand]]</f>
        <v>5.412262156448203</v>
      </c>
      <c r="AB1265">
        <f>WarehouseData[[#This Row],[stock_level]]*WarehouseData[[#This Row],[unit_price]]</f>
        <v>10430.719999999999</v>
      </c>
      <c r="AC1265">
        <f>WarehouseData[[#This Row],[stock_level]]*WarehouseData[[#This Row],[holding_cost_per_unit_day]]*30</f>
        <v>6720</v>
      </c>
      <c r="AD1265" t="str">
        <f>IF(WarehouseData[[#This Row],[order_fulfillment_rate]]&gt;=0.9,"Strong",IF(WarehouseData[[#This Row],[order_fulfillment_rate]]&gt;=0.8,"Moderate","Needs Attention"))</f>
        <v>Strong</v>
      </c>
      <c r="AE1265" t="str">
        <f>IF(WarehouseData[[#This Row],[picking_time_seconds]]&gt;120,"Slow",IF(WarehouseData[[#This Row],[picking_time_seconds]]&gt;=60,"Average","Fast"))</f>
        <v>Slow</v>
      </c>
    </row>
    <row r="1266" spans="1:31" x14ac:dyDescent="0.25">
      <c r="A1266" t="s">
        <v>1404</v>
      </c>
      <c r="B1266" t="s">
        <v>73</v>
      </c>
      <c r="C1266">
        <v>54</v>
      </c>
      <c r="D1266">
        <v>28</v>
      </c>
      <c r="E1266">
        <v>13</v>
      </c>
      <c r="F1266">
        <v>6</v>
      </c>
      <c r="G1266">
        <v>15.78</v>
      </c>
      <c r="H1266">
        <v>8.5</v>
      </c>
      <c r="I1266">
        <v>0.69</v>
      </c>
      <c r="J1266" t="s">
        <v>251</v>
      </c>
      <c r="K1266" t="s">
        <v>34</v>
      </c>
      <c r="L1266">
        <v>81</v>
      </c>
      <c r="M1266">
        <v>4.6100000000000003</v>
      </c>
      <c r="N1266">
        <v>92.22</v>
      </c>
      <c r="O1266">
        <v>0.27</v>
      </c>
      <c r="P1266">
        <v>0</v>
      </c>
      <c r="Q1266">
        <v>0.99</v>
      </c>
      <c r="R1266">
        <v>628</v>
      </c>
      <c r="S1266">
        <v>11.22</v>
      </c>
      <c r="T1266">
        <v>0.46</v>
      </c>
      <c r="U1266" s="1">
        <v>45543</v>
      </c>
      <c r="V1266">
        <v>263.13</v>
      </c>
      <c r="W1266">
        <v>0.81299999999999994</v>
      </c>
      <c r="X1266" t="str">
        <f>IF(WarehouseData[[#This Row],[stock_level]]&lt;=WarehouseData[[#This Row],[reorder_point]],"Low Stock","Sufficient Stock")</f>
        <v>Sufficient Stock</v>
      </c>
      <c r="Y1266">
        <f>WarehouseData[[#This Row],[daily_demand]]*WarehouseData[[#This Row],[lead_time_days]]</f>
        <v>94.679999999999993</v>
      </c>
      <c r="Z1266" t="str">
        <f>IF(WarehouseData[[#This Row],[stock_level]]&lt;=WarehouseData[[#This Row],[Demand During Lead Time]],"At Risk","Safe")</f>
        <v>At Risk</v>
      </c>
      <c r="AA1266">
        <f>WarehouseData[[#This Row],[stock_level]]/WarehouseData[[#This Row],[daily_demand]]</f>
        <v>3.4220532319391634</v>
      </c>
      <c r="AB1266">
        <f>WarehouseData[[#This Row],[stock_level]]*WarehouseData[[#This Row],[unit_price]]</f>
        <v>4979.88</v>
      </c>
      <c r="AC1266">
        <f>WarehouseData[[#This Row],[stock_level]]*WarehouseData[[#This Row],[holding_cost_per_unit_day]]*30</f>
        <v>437.40000000000003</v>
      </c>
      <c r="AD1266" t="str">
        <f>IF(WarehouseData[[#This Row],[order_fulfillment_rate]]&gt;=0.9,"Strong",IF(WarehouseData[[#This Row],[order_fulfillment_rate]]&gt;=0.8,"Moderate","Needs Attention"))</f>
        <v>Strong</v>
      </c>
      <c r="AE1266" t="str">
        <f>IF(WarehouseData[[#This Row],[picking_time_seconds]]&gt;120,"Slow",IF(WarehouseData[[#This Row],[picking_time_seconds]]&gt;=60,"Average","Fast"))</f>
        <v>Average</v>
      </c>
    </row>
    <row r="1267" spans="1:31" x14ac:dyDescent="0.25">
      <c r="A1267" t="s">
        <v>1405</v>
      </c>
      <c r="B1267" t="s">
        <v>32</v>
      </c>
      <c r="C1267">
        <v>58</v>
      </c>
      <c r="D1267">
        <v>67</v>
      </c>
      <c r="E1267">
        <v>12</v>
      </c>
      <c r="F1267">
        <v>7</v>
      </c>
      <c r="G1267">
        <v>31.03</v>
      </c>
      <c r="H1267">
        <v>6.14</v>
      </c>
      <c r="I1267">
        <v>0.61</v>
      </c>
      <c r="J1267" t="s">
        <v>163</v>
      </c>
      <c r="K1267" t="s">
        <v>52</v>
      </c>
      <c r="L1267">
        <v>59</v>
      </c>
      <c r="M1267">
        <v>4.67</v>
      </c>
      <c r="N1267">
        <v>78.709999999999994</v>
      </c>
      <c r="O1267">
        <v>0.55000000000000004</v>
      </c>
      <c r="P1267">
        <v>1</v>
      </c>
      <c r="Q1267">
        <v>0.97</v>
      </c>
      <c r="R1267">
        <v>287</v>
      </c>
      <c r="S1267">
        <v>14.35</v>
      </c>
      <c r="T1267">
        <v>0.66</v>
      </c>
      <c r="U1267" s="1">
        <v>45311</v>
      </c>
      <c r="V1267">
        <v>17.579999999999998</v>
      </c>
      <c r="W1267">
        <v>0.84199999999999997</v>
      </c>
      <c r="X1267" t="str">
        <f>IF(WarehouseData[[#This Row],[stock_level]]&lt;=WarehouseData[[#This Row],[reorder_point]],"Low Stock","Sufficient Stock")</f>
        <v>Low Stock</v>
      </c>
      <c r="Y1267">
        <f>WarehouseData[[#This Row],[daily_demand]]*WarehouseData[[#This Row],[lead_time_days]]</f>
        <v>217.21</v>
      </c>
      <c r="Z1267" t="str">
        <f>IF(WarehouseData[[#This Row],[stock_level]]&lt;=WarehouseData[[#This Row],[Demand During Lead Time]],"At Risk","Safe")</f>
        <v>At Risk</v>
      </c>
      <c r="AA1267">
        <f>WarehouseData[[#This Row],[stock_level]]/WarehouseData[[#This Row],[daily_demand]]</f>
        <v>1.8691588785046729</v>
      </c>
      <c r="AB1267">
        <f>WarehouseData[[#This Row],[stock_level]]*WarehouseData[[#This Row],[unit_price]]</f>
        <v>4565.1799999999994</v>
      </c>
      <c r="AC1267">
        <f>WarehouseData[[#This Row],[stock_level]]*WarehouseData[[#This Row],[holding_cost_per_unit_day]]*30</f>
        <v>957.00000000000011</v>
      </c>
      <c r="AD1267" t="str">
        <f>IF(WarehouseData[[#This Row],[order_fulfillment_rate]]&gt;=0.9,"Strong",IF(WarehouseData[[#This Row],[order_fulfillment_rate]]&gt;=0.8,"Moderate","Needs Attention"))</f>
        <v>Strong</v>
      </c>
      <c r="AE1267" t="str">
        <f>IF(WarehouseData[[#This Row],[picking_time_seconds]]&gt;120,"Slow",IF(WarehouseData[[#This Row],[picking_time_seconds]]&gt;=60,"Average","Fast"))</f>
        <v>Fast</v>
      </c>
    </row>
    <row r="1268" spans="1:31" x14ac:dyDescent="0.25">
      <c r="A1268" t="s">
        <v>1406</v>
      </c>
      <c r="B1268" t="s">
        <v>40</v>
      </c>
      <c r="C1268">
        <v>169</v>
      </c>
      <c r="D1268">
        <v>32</v>
      </c>
      <c r="E1268">
        <v>11</v>
      </c>
      <c r="F1268">
        <v>9</v>
      </c>
      <c r="G1268">
        <v>3.11</v>
      </c>
      <c r="H1268">
        <v>4.3899999999999997</v>
      </c>
      <c r="I1268">
        <v>0.73</v>
      </c>
      <c r="J1268" t="s">
        <v>332</v>
      </c>
      <c r="K1268" t="s">
        <v>52</v>
      </c>
      <c r="L1268">
        <v>157</v>
      </c>
      <c r="M1268">
        <v>4.9000000000000004</v>
      </c>
      <c r="N1268">
        <v>69.97</v>
      </c>
      <c r="O1268">
        <v>0.27</v>
      </c>
      <c r="P1268">
        <v>6</v>
      </c>
      <c r="Q1268">
        <v>0.9</v>
      </c>
      <c r="R1268">
        <v>186</v>
      </c>
      <c r="S1268">
        <v>12.91</v>
      </c>
      <c r="T1268">
        <v>0.78</v>
      </c>
      <c r="U1268" s="1">
        <v>45338</v>
      </c>
      <c r="V1268">
        <v>187.81</v>
      </c>
      <c r="W1268">
        <v>0.76100000000000001</v>
      </c>
      <c r="X1268" t="str">
        <f>IF(WarehouseData[[#This Row],[stock_level]]&lt;=WarehouseData[[#This Row],[reorder_point]],"Low Stock","Sufficient Stock")</f>
        <v>Sufficient Stock</v>
      </c>
      <c r="Y1268">
        <f>WarehouseData[[#This Row],[daily_demand]]*WarehouseData[[#This Row],[lead_time_days]]</f>
        <v>27.99</v>
      </c>
      <c r="Z1268" t="str">
        <f>IF(WarehouseData[[#This Row],[stock_level]]&lt;=WarehouseData[[#This Row],[Demand During Lead Time]],"At Risk","Safe")</f>
        <v>Safe</v>
      </c>
      <c r="AA1268">
        <f>WarehouseData[[#This Row],[stock_level]]/WarehouseData[[#This Row],[daily_demand]]</f>
        <v>54.340836012861736</v>
      </c>
      <c r="AB1268">
        <f>WarehouseData[[#This Row],[stock_level]]*WarehouseData[[#This Row],[unit_price]]</f>
        <v>11824.93</v>
      </c>
      <c r="AC1268">
        <f>WarehouseData[[#This Row],[stock_level]]*WarehouseData[[#This Row],[holding_cost_per_unit_day]]*30</f>
        <v>1368.9</v>
      </c>
      <c r="AD1268" t="str">
        <f>IF(WarehouseData[[#This Row],[order_fulfillment_rate]]&gt;=0.9,"Strong",IF(WarehouseData[[#This Row],[order_fulfillment_rate]]&gt;=0.8,"Moderate","Needs Attention"))</f>
        <v>Strong</v>
      </c>
      <c r="AE1268" t="str">
        <f>IF(WarehouseData[[#This Row],[picking_time_seconds]]&gt;120,"Slow",IF(WarehouseData[[#This Row],[picking_time_seconds]]&gt;=60,"Average","Fast"))</f>
        <v>Slow</v>
      </c>
    </row>
    <row r="1269" spans="1:31" x14ac:dyDescent="0.25">
      <c r="A1269" t="s">
        <v>1407</v>
      </c>
      <c r="B1269" t="s">
        <v>36</v>
      </c>
      <c r="C1269">
        <v>444</v>
      </c>
      <c r="D1269">
        <v>63</v>
      </c>
      <c r="E1269">
        <v>3</v>
      </c>
      <c r="F1269">
        <v>4</v>
      </c>
      <c r="G1269">
        <v>6.97</v>
      </c>
      <c r="H1269">
        <v>5.17</v>
      </c>
      <c r="I1269">
        <v>0.39</v>
      </c>
      <c r="J1269" t="s">
        <v>113</v>
      </c>
      <c r="K1269" t="s">
        <v>46</v>
      </c>
      <c r="L1269">
        <v>90</v>
      </c>
      <c r="M1269">
        <v>1.33</v>
      </c>
      <c r="N1269">
        <v>103.32</v>
      </c>
      <c r="O1269">
        <v>0.3</v>
      </c>
      <c r="P1269">
        <v>3</v>
      </c>
      <c r="Q1269">
        <v>0.96</v>
      </c>
      <c r="R1269">
        <v>212</v>
      </c>
      <c r="S1269">
        <v>10.220000000000001</v>
      </c>
      <c r="T1269">
        <v>0.59</v>
      </c>
      <c r="U1269" s="1">
        <v>45320</v>
      </c>
      <c r="V1269">
        <v>247.17</v>
      </c>
      <c r="W1269">
        <v>0.75600000000000001</v>
      </c>
      <c r="X1269" t="str">
        <f>IF(WarehouseData[[#This Row],[stock_level]]&lt;=WarehouseData[[#This Row],[reorder_point]],"Low Stock","Sufficient Stock")</f>
        <v>Sufficient Stock</v>
      </c>
      <c r="Y1269">
        <f>WarehouseData[[#This Row],[daily_demand]]*WarehouseData[[#This Row],[lead_time_days]]</f>
        <v>27.88</v>
      </c>
      <c r="Z1269" t="str">
        <f>IF(WarehouseData[[#This Row],[stock_level]]&lt;=WarehouseData[[#This Row],[Demand During Lead Time]],"At Risk","Safe")</f>
        <v>Safe</v>
      </c>
      <c r="AA1269">
        <f>WarehouseData[[#This Row],[stock_level]]/WarehouseData[[#This Row],[daily_demand]]</f>
        <v>63.701578192252512</v>
      </c>
      <c r="AB1269">
        <f>WarehouseData[[#This Row],[stock_level]]*WarehouseData[[#This Row],[unit_price]]</f>
        <v>45874.079999999994</v>
      </c>
      <c r="AC1269">
        <f>WarehouseData[[#This Row],[stock_level]]*WarehouseData[[#This Row],[holding_cost_per_unit_day]]*30</f>
        <v>3995.9999999999995</v>
      </c>
      <c r="AD1269" t="str">
        <f>IF(WarehouseData[[#This Row],[order_fulfillment_rate]]&gt;=0.9,"Strong",IF(WarehouseData[[#This Row],[order_fulfillment_rate]]&gt;=0.8,"Moderate","Needs Attention"))</f>
        <v>Strong</v>
      </c>
      <c r="AE1269" t="str">
        <f>IF(WarehouseData[[#This Row],[picking_time_seconds]]&gt;120,"Slow",IF(WarehouseData[[#This Row],[picking_time_seconds]]&gt;=60,"Average","Fast"))</f>
        <v>Average</v>
      </c>
    </row>
    <row r="1270" spans="1:31" x14ac:dyDescent="0.25">
      <c r="A1270" t="s">
        <v>1408</v>
      </c>
      <c r="B1270" t="s">
        <v>73</v>
      </c>
      <c r="C1270">
        <v>137</v>
      </c>
      <c r="D1270">
        <v>89</v>
      </c>
      <c r="E1270">
        <v>9</v>
      </c>
      <c r="F1270">
        <v>2</v>
      </c>
      <c r="G1270">
        <v>43.39</v>
      </c>
      <c r="H1270">
        <v>8.7899999999999991</v>
      </c>
      <c r="I1270">
        <v>0.93</v>
      </c>
      <c r="J1270" t="s">
        <v>98</v>
      </c>
      <c r="K1270" t="s">
        <v>52</v>
      </c>
      <c r="L1270">
        <v>179</v>
      </c>
      <c r="M1270">
        <v>1.21</v>
      </c>
      <c r="N1270">
        <v>41.56</v>
      </c>
      <c r="O1270">
        <v>1.1000000000000001</v>
      </c>
      <c r="P1270">
        <v>8</v>
      </c>
      <c r="Q1270">
        <v>0.73</v>
      </c>
      <c r="R1270">
        <v>888</v>
      </c>
      <c r="S1270">
        <v>8.56</v>
      </c>
      <c r="T1270">
        <v>0.44</v>
      </c>
      <c r="U1270" s="1">
        <v>45411</v>
      </c>
      <c r="V1270">
        <v>19.97</v>
      </c>
      <c r="W1270">
        <v>0.47799999999999998</v>
      </c>
      <c r="X1270" t="str">
        <f>IF(WarehouseData[[#This Row],[stock_level]]&lt;=WarehouseData[[#This Row],[reorder_point]],"Low Stock","Sufficient Stock")</f>
        <v>Sufficient Stock</v>
      </c>
      <c r="Y1270">
        <f>WarehouseData[[#This Row],[daily_demand]]*WarehouseData[[#This Row],[lead_time_days]]</f>
        <v>86.78</v>
      </c>
      <c r="Z1270" t="str">
        <f>IF(WarehouseData[[#This Row],[stock_level]]&lt;=WarehouseData[[#This Row],[Demand During Lead Time]],"At Risk","Safe")</f>
        <v>Safe</v>
      </c>
      <c r="AA1270">
        <f>WarehouseData[[#This Row],[stock_level]]/WarehouseData[[#This Row],[daily_demand]]</f>
        <v>3.1574095413689789</v>
      </c>
      <c r="AB1270">
        <f>WarehouseData[[#This Row],[stock_level]]*WarehouseData[[#This Row],[unit_price]]</f>
        <v>5693.72</v>
      </c>
      <c r="AC1270">
        <f>WarehouseData[[#This Row],[stock_level]]*WarehouseData[[#This Row],[holding_cost_per_unit_day]]*30</f>
        <v>4521.0000000000009</v>
      </c>
      <c r="AD1270" t="str">
        <f>IF(WarehouseData[[#This Row],[order_fulfillment_rate]]&gt;=0.9,"Strong",IF(WarehouseData[[#This Row],[order_fulfillment_rate]]&gt;=0.8,"Moderate","Needs Attention"))</f>
        <v>Needs Attention</v>
      </c>
      <c r="AE1270" t="str">
        <f>IF(WarehouseData[[#This Row],[picking_time_seconds]]&gt;120,"Slow",IF(WarehouseData[[#This Row],[picking_time_seconds]]&gt;=60,"Average","Fast"))</f>
        <v>Slow</v>
      </c>
    </row>
    <row r="1271" spans="1:31" x14ac:dyDescent="0.25">
      <c r="A1271" t="s">
        <v>1409</v>
      </c>
      <c r="B1271" t="s">
        <v>36</v>
      </c>
      <c r="C1271">
        <v>280</v>
      </c>
      <c r="D1271">
        <v>74</v>
      </c>
      <c r="E1271">
        <v>10</v>
      </c>
      <c r="F1271">
        <v>2</v>
      </c>
      <c r="G1271">
        <v>28.75</v>
      </c>
      <c r="H1271">
        <v>3.36</v>
      </c>
      <c r="I1271">
        <v>0.2</v>
      </c>
      <c r="J1271" t="s">
        <v>137</v>
      </c>
      <c r="K1271" t="s">
        <v>38</v>
      </c>
      <c r="L1271">
        <v>42</v>
      </c>
      <c r="M1271">
        <v>0.65</v>
      </c>
      <c r="N1271">
        <v>93.73</v>
      </c>
      <c r="O1271">
        <v>1.41</v>
      </c>
      <c r="P1271">
        <v>2</v>
      </c>
      <c r="Q1271">
        <v>0.81</v>
      </c>
      <c r="R1271">
        <v>896</v>
      </c>
      <c r="S1271">
        <v>7.66</v>
      </c>
      <c r="T1271">
        <v>0.69</v>
      </c>
      <c r="U1271" s="1">
        <v>45600</v>
      </c>
      <c r="V1271">
        <v>229.28</v>
      </c>
      <c r="W1271">
        <v>0.621</v>
      </c>
      <c r="X1271" t="str">
        <f>IF(WarehouseData[[#This Row],[stock_level]]&lt;=WarehouseData[[#This Row],[reorder_point]],"Low Stock","Sufficient Stock")</f>
        <v>Sufficient Stock</v>
      </c>
      <c r="Y1271">
        <f>WarehouseData[[#This Row],[daily_demand]]*WarehouseData[[#This Row],[lead_time_days]]</f>
        <v>57.5</v>
      </c>
      <c r="Z1271" t="str">
        <f>IF(WarehouseData[[#This Row],[stock_level]]&lt;=WarehouseData[[#This Row],[Demand During Lead Time]],"At Risk","Safe")</f>
        <v>Safe</v>
      </c>
      <c r="AA1271">
        <f>WarehouseData[[#This Row],[stock_level]]/WarehouseData[[#This Row],[daily_demand]]</f>
        <v>9.7391304347826093</v>
      </c>
      <c r="AB1271">
        <f>WarehouseData[[#This Row],[stock_level]]*WarehouseData[[#This Row],[unit_price]]</f>
        <v>26244.400000000001</v>
      </c>
      <c r="AC1271">
        <f>WarehouseData[[#This Row],[stock_level]]*WarehouseData[[#This Row],[holding_cost_per_unit_day]]*30</f>
        <v>11843.999999999998</v>
      </c>
      <c r="AD1271" t="str">
        <f>IF(WarehouseData[[#This Row],[order_fulfillment_rate]]&gt;=0.9,"Strong",IF(WarehouseData[[#This Row],[order_fulfillment_rate]]&gt;=0.8,"Moderate","Needs Attention"))</f>
        <v>Moderate</v>
      </c>
      <c r="AE1271" t="str">
        <f>IF(WarehouseData[[#This Row],[picking_time_seconds]]&gt;120,"Slow",IF(WarehouseData[[#This Row],[picking_time_seconds]]&gt;=60,"Average","Fast"))</f>
        <v>Fast</v>
      </c>
    </row>
    <row r="1272" spans="1:31" x14ac:dyDescent="0.25">
      <c r="A1272" t="s">
        <v>1410</v>
      </c>
      <c r="B1272" t="s">
        <v>73</v>
      </c>
      <c r="C1272">
        <v>445</v>
      </c>
      <c r="D1272">
        <v>21</v>
      </c>
      <c r="E1272">
        <v>5</v>
      </c>
      <c r="F1272">
        <v>3</v>
      </c>
      <c r="G1272">
        <v>35.89</v>
      </c>
      <c r="H1272">
        <v>2.0099999999999998</v>
      </c>
      <c r="I1272">
        <v>0.39</v>
      </c>
      <c r="J1272" t="s">
        <v>466</v>
      </c>
      <c r="K1272" t="s">
        <v>46</v>
      </c>
      <c r="L1272">
        <v>72</v>
      </c>
      <c r="M1272">
        <v>4.51</v>
      </c>
      <c r="N1272">
        <v>188.95</v>
      </c>
      <c r="O1272">
        <v>1.6</v>
      </c>
      <c r="P1272">
        <v>3</v>
      </c>
      <c r="Q1272">
        <v>0.7</v>
      </c>
      <c r="R1272">
        <v>949</v>
      </c>
      <c r="S1272">
        <v>11.59</v>
      </c>
      <c r="T1272">
        <v>0.65</v>
      </c>
      <c r="U1272" s="1">
        <v>45404</v>
      </c>
      <c r="V1272">
        <v>297.01</v>
      </c>
      <c r="W1272">
        <v>0.60499999999999998</v>
      </c>
      <c r="X1272" t="str">
        <f>IF(WarehouseData[[#This Row],[stock_level]]&lt;=WarehouseData[[#This Row],[reorder_point]],"Low Stock","Sufficient Stock")</f>
        <v>Sufficient Stock</v>
      </c>
      <c r="Y1272">
        <f>WarehouseData[[#This Row],[daily_demand]]*WarehouseData[[#This Row],[lead_time_days]]</f>
        <v>107.67</v>
      </c>
      <c r="Z1272" t="str">
        <f>IF(WarehouseData[[#This Row],[stock_level]]&lt;=WarehouseData[[#This Row],[Demand During Lead Time]],"At Risk","Safe")</f>
        <v>Safe</v>
      </c>
      <c r="AA1272">
        <f>WarehouseData[[#This Row],[stock_level]]/WarehouseData[[#This Row],[daily_demand]]</f>
        <v>12.39899693507941</v>
      </c>
      <c r="AB1272">
        <f>WarehouseData[[#This Row],[stock_level]]*WarehouseData[[#This Row],[unit_price]]</f>
        <v>84082.75</v>
      </c>
      <c r="AC1272">
        <f>WarehouseData[[#This Row],[stock_level]]*WarehouseData[[#This Row],[holding_cost_per_unit_day]]*30</f>
        <v>21360</v>
      </c>
      <c r="AD1272" t="str">
        <f>IF(WarehouseData[[#This Row],[order_fulfillment_rate]]&gt;=0.9,"Strong",IF(WarehouseData[[#This Row],[order_fulfillment_rate]]&gt;=0.8,"Moderate","Needs Attention"))</f>
        <v>Needs Attention</v>
      </c>
      <c r="AE1272" t="str">
        <f>IF(WarehouseData[[#This Row],[picking_time_seconds]]&gt;120,"Slow",IF(WarehouseData[[#This Row],[picking_time_seconds]]&gt;=60,"Average","Fast"))</f>
        <v>Average</v>
      </c>
    </row>
    <row r="1273" spans="1:31" x14ac:dyDescent="0.25">
      <c r="A1273" t="s">
        <v>1411</v>
      </c>
      <c r="B1273" t="s">
        <v>48</v>
      </c>
      <c r="C1273">
        <v>106</v>
      </c>
      <c r="D1273">
        <v>33</v>
      </c>
      <c r="E1273">
        <v>6</v>
      </c>
      <c r="F1273">
        <v>5</v>
      </c>
      <c r="G1273">
        <v>42.26</v>
      </c>
      <c r="H1273">
        <v>1.84</v>
      </c>
      <c r="I1273">
        <v>0.13</v>
      </c>
      <c r="J1273" t="s">
        <v>126</v>
      </c>
      <c r="K1273" t="s">
        <v>34</v>
      </c>
      <c r="L1273">
        <v>114</v>
      </c>
      <c r="M1273">
        <v>3.89</v>
      </c>
      <c r="N1273">
        <v>15.21</v>
      </c>
      <c r="O1273">
        <v>1.42</v>
      </c>
      <c r="P1273">
        <v>2</v>
      </c>
      <c r="Q1273">
        <v>0.75</v>
      </c>
      <c r="R1273">
        <v>342</v>
      </c>
      <c r="S1273">
        <v>12.32</v>
      </c>
      <c r="T1273">
        <v>0.54</v>
      </c>
      <c r="U1273" s="1">
        <v>45302</v>
      </c>
      <c r="V1273">
        <v>182.09</v>
      </c>
      <c r="W1273">
        <v>0.64</v>
      </c>
      <c r="X1273" t="str">
        <f>IF(WarehouseData[[#This Row],[stock_level]]&lt;=WarehouseData[[#This Row],[reorder_point]],"Low Stock","Sufficient Stock")</f>
        <v>Sufficient Stock</v>
      </c>
      <c r="Y1273">
        <f>WarehouseData[[#This Row],[daily_demand]]*WarehouseData[[#This Row],[lead_time_days]]</f>
        <v>211.29999999999998</v>
      </c>
      <c r="Z1273" t="str">
        <f>IF(WarehouseData[[#This Row],[stock_level]]&lt;=WarehouseData[[#This Row],[Demand During Lead Time]],"At Risk","Safe")</f>
        <v>At Risk</v>
      </c>
      <c r="AA1273">
        <f>WarehouseData[[#This Row],[stock_level]]/WarehouseData[[#This Row],[daily_demand]]</f>
        <v>2.5082820634169427</v>
      </c>
      <c r="AB1273">
        <f>WarehouseData[[#This Row],[stock_level]]*WarehouseData[[#This Row],[unit_price]]</f>
        <v>1612.26</v>
      </c>
      <c r="AC1273">
        <f>WarehouseData[[#This Row],[stock_level]]*WarehouseData[[#This Row],[holding_cost_per_unit_day]]*30</f>
        <v>4515.5999999999995</v>
      </c>
      <c r="AD1273" t="str">
        <f>IF(WarehouseData[[#This Row],[order_fulfillment_rate]]&gt;=0.9,"Strong",IF(WarehouseData[[#This Row],[order_fulfillment_rate]]&gt;=0.8,"Moderate","Needs Attention"))</f>
        <v>Needs Attention</v>
      </c>
      <c r="AE1273" t="str">
        <f>IF(WarehouseData[[#This Row],[picking_time_seconds]]&gt;120,"Slow",IF(WarehouseData[[#This Row],[picking_time_seconds]]&gt;=60,"Average","Fast"))</f>
        <v>Average</v>
      </c>
    </row>
    <row r="1274" spans="1:31" x14ac:dyDescent="0.25">
      <c r="A1274" t="s">
        <v>1412</v>
      </c>
      <c r="B1274" t="s">
        <v>73</v>
      </c>
      <c r="C1274">
        <v>484</v>
      </c>
      <c r="D1274">
        <v>43</v>
      </c>
      <c r="E1274">
        <v>5</v>
      </c>
      <c r="F1274">
        <v>9</v>
      </c>
      <c r="G1274">
        <v>23.73</v>
      </c>
      <c r="H1274">
        <v>8.36</v>
      </c>
      <c r="I1274">
        <v>0.34</v>
      </c>
      <c r="J1274" t="s">
        <v>401</v>
      </c>
      <c r="K1274" t="s">
        <v>46</v>
      </c>
      <c r="L1274">
        <v>108</v>
      </c>
      <c r="M1274">
        <v>3.35</v>
      </c>
      <c r="N1274">
        <v>41.3</v>
      </c>
      <c r="O1274">
        <v>0.79</v>
      </c>
      <c r="P1274">
        <v>6</v>
      </c>
      <c r="Q1274">
        <v>0.89</v>
      </c>
      <c r="R1274">
        <v>77</v>
      </c>
      <c r="S1274">
        <v>4.05</v>
      </c>
      <c r="T1274">
        <v>0.8</v>
      </c>
      <c r="U1274" s="1">
        <v>45561</v>
      </c>
      <c r="V1274">
        <v>133.16</v>
      </c>
      <c r="W1274">
        <v>0.59299999999999997</v>
      </c>
      <c r="X1274" t="str">
        <f>IF(WarehouseData[[#This Row],[stock_level]]&lt;=WarehouseData[[#This Row],[reorder_point]],"Low Stock","Sufficient Stock")</f>
        <v>Sufficient Stock</v>
      </c>
      <c r="Y1274">
        <f>WarehouseData[[#This Row],[daily_demand]]*WarehouseData[[#This Row],[lead_time_days]]</f>
        <v>213.57</v>
      </c>
      <c r="Z1274" t="str">
        <f>IF(WarehouseData[[#This Row],[stock_level]]&lt;=WarehouseData[[#This Row],[Demand During Lead Time]],"At Risk","Safe")</f>
        <v>Safe</v>
      </c>
      <c r="AA1274">
        <f>WarehouseData[[#This Row],[stock_level]]/WarehouseData[[#This Row],[daily_demand]]</f>
        <v>20.396123050990308</v>
      </c>
      <c r="AB1274">
        <f>WarehouseData[[#This Row],[stock_level]]*WarehouseData[[#This Row],[unit_price]]</f>
        <v>19989.199999999997</v>
      </c>
      <c r="AC1274">
        <f>WarehouseData[[#This Row],[stock_level]]*WarehouseData[[#This Row],[holding_cost_per_unit_day]]*30</f>
        <v>11470.800000000001</v>
      </c>
      <c r="AD1274" t="str">
        <f>IF(WarehouseData[[#This Row],[order_fulfillment_rate]]&gt;=0.9,"Strong",IF(WarehouseData[[#This Row],[order_fulfillment_rate]]&gt;=0.8,"Moderate","Needs Attention"))</f>
        <v>Moderate</v>
      </c>
      <c r="AE1274" t="str">
        <f>IF(WarehouseData[[#This Row],[picking_time_seconds]]&gt;120,"Slow",IF(WarehouseData[[#This Row],[picking_time_seconds]]&gt;=60,"Average","Fast"))</f>
        <v>Average</v>
      </c>
    </row>
    <row r="1275" spans="1:31" x14ac:dyDescent="0.25">
      <c r="A1275" t="s">
        <v>1413</v>
      </c>
      <c r="B1275" t="s">
        <v>32</v>
      </c>
      <c r="C1275">
        <v>95</v>
      </c>
      <c r="D1275">
        <v>62</v>
      </c>
      <c r="E1275">
        <v>9</v>
      </c>
      <c r="F1275">
        <v>6</v>
      </c>
      <c r="G1275">
        <v>38.29</v>
      </c>
      <c r="H1275">
        <v>7.73</v>
      </c>
      <c r="I1275">
        <v>0.3</v>
      </c>
      <c r="J1275" t="s">
        <v>144</v>
      </c>
      <c r="K1275" t="s">
        <v>34</v>
      </c>
      <c r="L1275">
        <v>15</v>
      </c>
      <c r="M1275">
        <v>4.67</v>
      </c>
      <c r="N1275">
        <v>157.76</v>
      </c>
      <c r="O1275">
        <v>1.1599999999999999</v>
      </c>
      <c r="P1275">
        <v>1</v>
      </c>
      <c r="Q1275">
        <v>0.97</v>
      </c>
      <c r="R1275">
        <v>305</v>
      </c>
      <c r="S1275">
        <v>7.64</v>
      </c>
      <c r="T1275">
        <v>0.43</v>
      </c>
      <c r="U1275" s="1">
        <v>45536</v>
      </c>
      <c r="V1275">
        <v>141.55000000000001</v>
      </c>
      <c r="W1275">
        <v>0.64600000000000002</v>
      </c>
      <c r="X1275" t="str">
        <f>IF(WarehouseData[[#This Row],[stock_level]]&lt;=WarehouseData[[#This Row],[reorder_point]],"Low Stock","Sufficient Stock")</f>
        <v>Sufficient Stock</v>
      </c>
      <c r="Y1275">
        <f>WarehouseData[[#This Row],[daily_demand]]*WarehouseData[[#This Row],[lead_time_days]]</f>
        <v>229.74</v>
      </c>
      <c r="Z1275" t="str">
        <f>IF(WarehouseData[[#This Row],[stock_level]]&lt;=WarehouseData[[#This Row],[Demand During Lead Time]],"At Risk","Safe")</f>
        <v>At Risk</v>
      </c>
      <c r="AA1275">
        <f>WarehouseData[[#This Row],[stock_level]]/WarehouseData[[#This Row],[daily_demand]]</f>
        <v>2.4810655523635416</v>
      </c>
      <c r="AB1275">
        <f>WarehouseData[[#This Row],[stock_level]]*WarehouseData[[#This Row],[unit_price]]</f>
        <v>14987.199999999999</v>
      </c>
      <c r="AC1275">
        <f>WarehouseData[[#This Row],[stock_level]]*WarehouseData[[#This Row],[holding_cost_per_unit_day]]*30</f>
        <v>3305.9999999999995</v>
      </c>
      <c r="AD1275" t="str">
        <f>IF(WarehouseData[[#This Row],[order_fulfillment_rate]]&gt;=0.9,"Strong",IF(WarehouseData[[#This Row],[order_fulfillment_rate]]&gt;=0.8,"Moderate","Needs Attention"))</f>
        <v>Strong</v>
      </c>
      <c r="AE1275" t="str">
        <f>IF(WarehouseData[[#This Row],[picking_time_seconds]]&gt;120,"Slow",IF(WarehouseData[[#This Row],[picking_time_seconds]]&gt;=60,"Average","Fast"))</f>
        <v>Fast</v>
      </c>
    </row>
    <row r="1276" spans="1:31" x14ac:dyDescent="0.25">
      <c r="A1276" t="s">
        <v>1414</v>
      </c>
      <c r="B1276" t="s">
        <v>40</v>
      </c>
      <c r="C1276">
        <v>490</v>
      </c>
      <c r="D1276">
        <v>17</v>
      </c>
      <c r="E1276">
        <v>11</v>
      </c>
      <c r="F1276">
        <v>4</v>
      </c>
      <c r="G1276">
        <v>26.7</v>
      </c>
      <c r="H1276">
        <v>5.23</v>
      </c>
      <c r="I1276">
        <v>0.14000000000000001</v>
      </c>
      <c r="J1276" t="s">
        <v>104</v>
      </c>
      <c r="K1276" t="s">
        <v>34</v>
      </c>
      <c r="L1276">
        <v>144</v>
      </c>
      <c r="M1276">
        <v>3.09</v>
      </c>
      <c r="N1276">
        <v>35.090000000000003</v>
      </c>
      <c r="O1276">
        <v>1.86</v>
      </c>
      <c r="P1276">
        <v>9</v>
      </c>
      <c r="Q1276">
        <v>0.89</v>
      </c>
      <c r="R1276">
        <v>954</v>
      </c>
      <c r="S1276">
        <v>11.8</v>
      </c>
      <c r="T1276">
        <v>0.59</v>
      </c>
      <c r="U1276" s="1">
        <v>45292</v>
      </c>
      <c r="V1276">
        <v>207.05</v>
      </c>
      <c r="W1276">
        <v>0.48699999999999999</v>
      </c>
      <c r="X1276" t="str">
        <f>IF(WarehouseData[[#This Row],[stock_level]]&lt;=WarehouseData[[#This Row],[reorder_point]],"Low Stock","Sufficient Stock")</f>
        <v>Sufficient Stock</v>
      </c>
      <c r="Y1276">
        <f>WarehouseData[[#This Row],[daily_demand]]*WarehouseData[[#This Row],[lead_time_days]]</f>
        <v>106.8</v>
      </c>
      <c r="Z1276" t="str">
        <f>IF(WarehouseData[[#This Row],[stock_level]]&lt;=WarehouseData[[#This Row],[Demand During Lead Time]],"At Risk","Safe")</f>
        <v>Safe</v>
      </c>
      <c r="AA1276">
        <f>WarehouseData[[#This Row],[stock_level]]/WarehouseData[[#This Row],[daily_demand]]</f>
        <v>18.352059925093634</v>
      </c>
      <c r="AB1276">
        <f>WarehouseData[[#This Row],[stock_level]]*WarehouseData[[#This Row],[unit_price]]</f>
        <v>17194.100000000002</v>
      </c>
      <c r="AC1276">
        <f>WarehouseData[[#This Row],[stock_level]]*WarehouseData[[#This Row],[holding_cost_per_unit_day]]*30</f>
        <v>27342.000000000004</v>
      </c>
      <c r="AD1276" t="str">
        <f>IF(WarehouseData[[#This Row],[order_fulfillment_rate]]&gt;=0.9,"Strong",IF(WarehouseData[[#This Row],[order_fulfillment_rate]]&gt;=0.8,"Moderate","Needs Attention"))</f>
        <v>Moderate</v>
      </c>
      <c r="AE1276" t="str">
        <f>IF(WarehouseData[[#This Row],[picking_time_seconds]]&gt;120,"Slow",IF(WarehouseData[[#This Row],[picking_time_seconds]]&gt;=60,"Average","Fast"))</f>
        <v>Slow</v>
      </c>
    </row>
    <row r="1277" spans="1:31" x14ac:dyDescent="0.25">
      <c r="A1277" t="s">
        <v>1415</v>
      </c>
      <c r="B1277" t="s">
        <v>48</v>
      </c>
      <c r="C1277">
        <v>483</v>
      </c>
      <c r="D1277">
        <v>27</v>
      </c>
      <c r="E1277">
        <v>5</v>
      </c>
      <c r="F1277">
        <v>9</v>
      </c>
      <c r="G1277">
        <v>11.91</v>
      </c>
      <c r="H1277">
        <v>3.11</v>
      </c>
      <c r="I1277">
        <v>0.54</v>
      </c>
      <c r="J1277" t="s">
        <v>62</v>
      </c>
      <c r="K1277" t="s">
        <v>38</v>
      </c>
      <c r="L1277">
        <v>18</v>
      </c>
      <c r="M1277">
        <v>1.08</v>
      </c>
      <c r="N1277">
        <v>61.54</v>
      </c>
      <c r="O1277">
        <v>0.84</v>
      </c>
      <c r="P1277">
        <v>1</v>
      </c>
      <c r="Q1277">
        <v>0.9</v>
      </c>
      <c r="R1277">
        <v>852</v>
      </c>
      <c r="S1277">
        <v>10.46</v>
      </c>
      <c r="T1277">
        <v>0.95</v>
      </c>
      <c r="U1277" s="1">
        <v>45461</v>
      </c>
      <c r="V1277">
        <v>175.29</v>
      </c>
      <c r="W1277">
        <v>0.80500000000000005</v>
      </c>
      <c r="X1277" t="str">
        <f>IF(WarehouseData[[#This Row],[stock_level]]&lt;=WarehouseData[[#This Row],[reorder_point]],"Low Stock","Sufficient Stock")</f>
        <v>Sufficient Stock</v>
      </c>
      <c r="Y1277">
        <f>WarehouseData[[#This Row],[daily_demand]]*WarehouseData[[#This Row],[lead_time_days]]</f>
        <v>107.19</v>
      </c>
      <c r="Z1277" t="str">
        <f>IF(WarehouseData[[#This Row],[stock_level]]&lt;=WarehouseData[[#This Row],[Demand During Lead Time]],"At Risk","Safe")</f>
        <v>Safe</v>
      </c>
      <c r="AA1277">
        <f>WarehouseData[[#This Row],[stock_level]]/WarehouseData[[#This Row],[daily_demand]]</f>
        <v>40.554156171284632</v>
      </c>
      <c r="AB1277">
        <f>WarehouseData[[#This Row],[stock_level]]*WarehouseData[[#This Row],[unit_price]]</f>
        <v>29723.82</v>
      </c>
      <c r="AC1277">
        <f>WarehouseData[[#This Row],[stock_level]]*WarehouseData[[#This Row],[holding_cost_per_unit_day]]*30</f>
        <v>12171.599999999999</v>
      </c>
      <c r="AD1277" t="str">
        <f>IF(WarehouseData[[#This Row],[order_fulfillment_rate]]&gt;=0.9,"Strong",IF(WarehouseData[[#This Row],[order_fulfillment_rate]]&gt;=0.8,"Moderate","Needs Attention"))</f>
        <v>Strong</v>
      </c>
      <c r="AE1277" t="str">
        <f>IF(WarehouseData[[#This Row],[picking_time_seconds]]&gt;120,"Slow",IF(WarehouseData[[#This Row],[picking_time_seconds]]&gt;=60,"Average","Fast"))</f>
        <v>Fast</v>
      </c>
    </row>
    <row r="1278" spans="1:31" x14ac:dyDescent="0.25">
      <c r="A1278" t="s">
        <v>1416</v>
      </c>
      <c r="B1278" t="s">
        <v>73</v>
      </c>
      <c r="C1278">
        <v>470</v>
      </c>
      <c r="D1278">
        <v>66</v>
      </c>
      <c r="E1278">
        <v>8</v>
      </c>
      <c r="F1278">
        <v>8</v>
      </c>
      <c r="G1278">
        <v>17.55</v>
      </c>
      <c r="H1278">
        <v>6.94</v>
      </c>
      <c r="I1278">
        <v>0.52</v>
      </c>
      <c r="J1278" t="s">
        <v>120</v>
      </c>
      <c r="K1278" t="s">
        <v>52</v>
      </c>
      <c r="L1278">
        <v>110</v>
      </c>
      <c r="M1278">
        <v>1.3</v>
      </c>
      <c r="N1278">
        <v>96.42</v>
      </c>
      <c r="O1278">
        <v>0.57999999999999996</v>
      </c>
      <c r="P1278">
        <v>1</v>
      </c>
      <c r="Q1278">
        <v>0.73</v>
      </c>
      <c r="R1278">
        <v>673</v>
      </c>
      <c r="S1278">
        <v>9.2799999999999994</v>
      </c>
      <c r="T1278">
        <v>0.78</v>
      </c>
      <c r="U1278" s="1">
        <v>45606</v>
      </c>
      <c r="V1278">
        <v>238.4</v>
      </c>
      <c r="W1278">
        <v>0.748</v>
      </c>
      <c r="X1278" t="str">
        <f>IF(WarehouseData[[#This Row],[stock_level]]&lt;=WarehouseData[[#This Row],[reorder_point]],"Low Stock","Sufficient Stock")</f>
        <v>Sufficient Stock</v>
      </c>
      <c r="Y1278">
        <f>WarehouseData[[#This Row],[daily_demand]]*WarehouseData[[#This Row],[lead_time_days]]</f>
        <v>140.4</v>
      </c>
      <c r="Z1278" t="str">
        <f>IF(WarehouseData[[#This Row],[stock_level]]&lt;=WarehouseData[[#This Row],[Demand During Lead Time]],"At Risk","Safe")</f>
        <v>Safe</v>
      </c>
      <c r="AA1278">
        <f>WarehouseData[[#This Row],[stock_level]]/WarehouseData[[#This Row],[daily_demand]]</f>
        <v>26.780626780626779</v>
      </c>
      <c r="AB1278">
        <f>WarehouseData[[#This Row],[stock_level]]*WarehouseData[[#This Row],[unit_price]]</f>
        <v>45317.4</v>
      </c>
      <c r="AC1278">
        <f>WarehouseData[[#This Row],[stock_level]]*WarehouseData[[#This Row],[holding_cost_per_unit_day]]*30</f>
        <v>8177.9999999999991</v>
      </c>
      <c r="AD1278" t="str">
        <f>IF(WarehouseData[[#This Row],[order_fulfillment_rate]]&gt;=0.9,"Strong",IF(WarehouseData[[#This Row],[order_fulfillment_rate]]&gt;=0.8,"Moderate","Needs Attention"))</f>
        <v>Needs Attention</v>
      </c>
      <c r="AE1278" t="str">
        <f>IF(WarehouseData[[#This Row],[picking_time_seconds]]&gt;120,"Slow",IF(WarehouseData[[#This Row],[picking_time_seconds]]&gt;=60,"Average","Fast"))</f>
        <v>Average</v>
      </c>
    </row>
    <row r="1279" spans="1:31" x14ac:dyDescent="0.25">
      <c r="A1279" t="s">
        <v>1417</v>
      </c>
      <c r="B1279" t="s">
        <v>36</v>
      </c>
      <c r="C1279">
        <v>433</v>
      </c>
      <c r="D1279">
        <v>14</v>
      </c>
      <c r="E1279">
        <v>10</v>
      </c>
      <c r="F1279">
        <v>2</v>
      </c>
      <c r="G1279">
        <v>25.03</v>
      </c>
      <c r="H1279">
        <v>0.87</v>
      </c>
      <c r="I1279">
        <v>0.17</v>
      </c>
      <c r="J1279" t="s">
        <v>135</v>
      </c>
      <c r="K1279" t="s">
        <v>38</v>
      </c>
      <c r="L1279">
        <v>70</v>
      </c>
      <c r="M1279">
        <v>1.0900000000000001</v>
      </c>
      <c r="N1279">
        <v>189.2</v>
      </c>
      <c r="O1279">
        <v>1.0900000000000001</v>
      </c>
      <c r="P1279">
        <v>3</v>
      </c>
      <c r="Q1279">
        <v>0.9</v>
      </c>
      <c r="R1279">
        <v>801</v>
      </c>
      <c r="S1279">
        <v>5.53</v>
      </c>
      <c r="T1279">
        <v>0.51</v>
      </c>
      <c r="U1279" s="1">
        <v>45395</v>
      </c>
      <c r="V1279">
        <v>132.27000000000001</v>
      </c>
      <c r="W1279">
        <v>0.58699999999999997</v>
      </c>
      <c r="X1279" t="str">
        <f>IF(WarehouseData[[#This Row],[stock_level]]&lt;=WarehouseData[[#This Row],[reorder_point]],"Low Stock","Sufficient Stock")</f>
        <v>Sufficient Stock</v>
      </c>
      <c r="Y1279">
        <f>WarehouseData[[#This Row],[daily_demand]]*WarehouseData[[#This Row],[lead_time_days]]</f>
        <v>50.06</v>
      </c>
      <c r="Z1279" t="str">
        <f>IF(WarehouseData[[#This Row],[stock_level]]&lt;=WarehouseData[[#This Row],[Demand During Lead Time]],"At Risk","Safe")</f>
        <v>Safe</v>
      </c>
      <c r="AA1279">
        <f>WarehouseData[[#This Row],[stock_level]]/WarehouseData[[#This Row],[daily_demand]]</f>
        <v>17.29924091090691</v>
      </c>
      <c r="AB1279">
        <f>WarehouseData[[#This Row],[stock_level]]*WarehouseData[[#This Row],[unit_price]]</f>
        <v>81923.599999999991</v>
      </c>
      <c r="AC1279">
        <f>WarehouseData[[#This Row],[stock_level]]*WarehouseData[[#This Row],[holding_cost_per_unit_day]]*30</f>
        <v>14159.1</v>
      </c>
      <c r="AD1279" t="str">
        <f>IF(WarehouseData[[#This Row],[order_fulfillment_rate]]&gt;=0.9,"Strong",IF(WarehouseData[[#This Row],[order_fulfillment_rate]]&gt;=0.8,"Moderate","Needs Attention"))</f>
        <v>Strong</v>
      </c>
      <c r="AE1279" t="str">
        <f>IF(WarehouseData[[#This Row],[picking_time_seconds]]&gt;120,"Slow",IF(WarehouseData[[#This Row],[picking_time_seconds]]&gt;=60,"Average","Fast"))</f>
        <v>Average</v>
      </c>
    </row>
    <row r="1280" spans="1:31" x14ac:dyDescent="0.25">
      <c r="A1280" t="s">
        <v>1418</v>
      </c>
      <c r="B1280" t="s">
        <v>48</v>
      </c>
      <c r="C1280">
        <v>332</v>
      </c>
      <c r="D1280">
        <v>35</v>
      </c>
      <c r="E1280">
        <v>8</v>
      </c>
      <c r="F1280">
        <v>9</v>
      </c>
      <c r="G1280">
        <v>16.53</v>
      </c>
      <c r="H1280">
        <v>5.9</v>
      </c>
      <c r="I1280">
        <v>0.34</v>
      </c>
      <c r="J1280" t="s">
        <v>212</v>
      </c>
      <c r="K1280" t="s">
        <v>46</v>
      </c>
      <c r="L1280">
        <v>171</v>
      </c>
      <c r="M1280">
        <v>1.88</v>
      </c>
      <c r="N1280">
        <v>44.87</v>
      </c>
      <c r="O1280">
        <v>0.66</v>
      </c>
      <c r="P1280">
        <v>7</v>
      </c>
      <c r="Q1280">
        <v>0.84</v>
      </c>
      <c r="R1280">
        <v>804</v>
      </c>
      <c r="S1280">
        <v>9.5299999999999994</v>
      </c>
      <c r="T1280">
        <v>0.64</v>
      </c>
      <c r="U1280" s="1">
        <v>45358</v>
      </c>
      <c r="V1280">
        <v>131.02000000000001</v>
      </c>
      <c r="W1280">
        <v>0.61699999999999999</v>
      </c>
      <c r="X1280" t="str">
        <f>IF(WarehouseData[[#This Row],[stock_level]]&lt;=WarehouseData[[#This Row],[reorder_point]],"Low Stock","Sufficient Stock")</f>
        <v>Sufficient Stock</v>
      </c>
      <c r="Y1280">
        <f>WarehouseData[[#This Row],[daily_demand]]*WarehouseData[[#This Row],[lead_time_days]]</f>
        <v>148.77000000000001</v>
      </c>
      <c r="Z1280" t="str">
        <f>IF(WarehouseData[[#This Row],[stock_level]]&lt;=WarehouseData[[#This Row],[Demand During Lead Time]],"At Risk","Safe")</f>
        <v>Safe</v>
      </c>
      <c r="AA1280">
        <f>WarehouseData[[#This Row],[stock_level]]/WarehouseData[[#This Row],[daily_demand]]</f>
        <v>20.084694494857832</v>
      </c>
      <c r="AB1280">
        <f>WarehouseData[[#This Row],[stock_level]]*WarehouseData[[#This Row],[unit_price]]</f>
        <v>14896.839999999998</v>
      </c>
      <c r="AC1280">
        <f>WarehouseData[[#This Row],[stock_level]]*WarehouseData[[#This Row],[holding_cost_per_unit_day]]*30</f>
        <v>6573.6</v>
      </c>
      <c r="AD1280" t="str">
        <f>IF(WarehouseData[[#This Row],[order_fulfillment_rate]]&gt;=0.9,"Strong",IF(WarehouseData[[#This Row],[order_fulfillment_rate]]&gt;=0.8,"Moderate","Needs Attention"))</f>
        <v>Moderate</v>
      </c>
      <c r="AE1280" t="str">
        <f>IF(WarehouseData[[#This Row],[picking_time_seconds]]&gt;120,"Slow",IF(WarehouseData[[#This Row],[picking_time_seconds]]&gt;=60,"Average","Fast"))</f>
        <v>Slow</v>
      </c>
    </row>
    <row r="1281" spans="1:31" x14ac:dyDescent="0.25">
      <c r="A1281" t="s">
        <v>1419</v>
      </c>
      <c r="B1281" t="s">
        <v>48</v>
      </c>
      <c r="C1281">
        <v>402</v>
      </c>
      <c r="D1281">
        <v>39</v>
      </c>
      <c r="E1281">
        <v>4</v>
      </c>
      <c r="F1281">
        <v>4</v>
      </c>
      <c r="G1281">
        <v>17.440000000000001</v>
      </c>
      <c r="H1281">
        <v>4.29</v>
      </c>
      <c r="I1281">
        <v>0.96</v>
      </c>
      <c r="J1281" t="s">
        <v>156</v>
      </c>
      <c r="K1281" t="s">
        <v>34</v>
      </c>
      <c r="L1281">
        <v>172</v>
      </c>
      <c r="M1281">
        <v>2.21</v>
      </c>
      <c r="N1281">
        <v>185.39</v>
      </c>
      <c r="O1281">
        <v>0.6</v>
      </c>
      <c r="P1281">
        <v>7</v>
      </c>
      <c r="Q1281">
        <v>0.9</v>
      </c>
      <c r="R1281">
        <v>714</v>
      </c>
      <c r="S1281">
        <v>9.57</v>
      </c>
      <c r="T1281">
        <v>0.52</v>
      </c>
      <c r="U1281" s="1">
        <v>45466</v>
      </c>
      <c r="V1281">
        <v>226.33</v>
      </c>
      <c r="W1281">
        <v>0.61199999999999999</v>
      </c>
      <c r="X1281" t="str">
        <f>IF(WarehouseData[[#This Row],[stock_level]]&lt;=WarehouseData[[#This Row],[reorder_point]],"Low Stock","Sufficient Stock")</f>
        <v>Sufficient Stock</v>
      </c>
      <c r="Y1281">
        <f>WarehouseData[[#This Row],[daily_demand]]*WarehouseData[[#This Row],[lead_time_days]]</f>
        <v>69.760000000000005</v>
      </c>
      <c r="Z1281" t="str">
        <f>IF(WarehouseData[[#This Row],[stock_level]]&lt;=WarehouseData[[#This Row],[Demand During Lead Time]],"At Risk","Safe")</f>
        <v>Safe</v>
      </c>
      <c r="AA1281">
        <f>WarehouseData[[#This Row],[stock_level]]/WarehouseData[[#This Row],[daily_demand]]</f>
        <v>23.050458715596328</v>
      </c>
      <c r="AB1281">
        <f>WarehouseData[[#This Row],[stock_level]]*WarehouseData[[#This Row],[unit_price]]</f>
        <v>74526.78</v>
      </c>
      <c r="AC1281">
        <f>WarehouseData[[#This Row],[stock_level]]*WarehouseData[[#This Row],[holding_cost_per_unit_day]]*30</f>
        <v>7236</v>
      </c>
      <c r="AD1281" t="str">
        <f>IF(WarehouseData[[#This Row],[order_fulfillment_rate]]&gt;=0.9,"Strong",IF(WarehouseData[[#This Row],[order_fulfillment_rate]]&gt;=0.8,"Moderate","Needs Attention"))</f>
        <v>Strong</v>
      </c>
      <c r="AE1281" t="str">
        <f>IF(WarehouseData[[#This Row],[picking_time_seconds]]&gt;120,"Slow",IF(WarehouseData[[#This Row],[picking_time_seconds]]&gt;=60,"Average","Fast"))</f>
        <v>Slow</v>
      </c>
    </row>
    <row r="1282" spans="1:31" x14ac:dyDescent="0.25">
      <c r="A1282" t="s">
        <v>1420</v>
      </c>
      <c r="B1282" t="s">
        <v>73</v>
      </c>
      <c r="C1282">
        <v>233</v>
      </c>
      <c r="D1282">
        <v>63</v>
      </c>
      <c r="E1282">
        <v>9</v>
      </c>
      <c r="F1282">
        <v>6</v>
      </c>
      <c r="G1282">
        <v>17.53</v>
      </c>
      <c r="H1282">
        <v>9.7899999999999991</v>
      </c>
      <c r="I1282">
        <v>0.2</v>
      </c>
      <c r="J1282" t="s">
        <v>92</v>
      </c>
      <c r="K1282" t="s">
        <v>46</v>
      </c>
      <c r="L1282">
        <v>108</v>
      </c>
      <c r="M1282">
        <v>4.09</v>
      </c>
      <c r="N1282">
        <v>146.52000000000001</v>
      </c>
      <c r="O1282">
        <v>1.58</v>
      </c>
      <c r="P1282">
        <v>7</v>
      </c>
      <c r="Q1282">
        <v>0.8</v>
      </c>
      <c r="R1282">
        <v>314</v>
      </c>
      <c r="S1282">
        <v>7.05</v>
      </c>
      <c r="T1282">
        <v>0.28999999999999998</v>
      </c>
      <c r="U1282" s="1">
        <v>45382</v>
      </c>
      <c r="V1282">
        <v>197.2</v>
      </c>
      <c r="W1282">
        <v>0.41399999999999998</v>
      </c>
      <c r="X1282" t="str">
        <f>IF(WarehouseData[[#This Row],[stock_level]]&lt;=WarehouseData[[#This Row],[reorder_point]],"Low Stock","Sufficient Stock")</f>
        <v>Sufficient Stock</v>
      </c>
      <c r="Y1282">
        <f>WarehouseData[[#This Row],[daily_demand]]*WarehouseData[[#This Row],[lead_time_days]]</f>
        <v>105.18</v>
      </c>
      <c r="Z1282" t="str">
        <f>IF(WarehouseData[[#This Row],[stock_level]]&lt;=WarehouseData[[#This Row],[Demand During Lead Time]],"At Risk","Safe")</f>
        <v>Safe</v>
      </c>
      <c r="AA1282">
        <f>WarehouseData[[#This Row],[stock_level]]/WarehouseData[[#This Row],[daily_demand]]</f>
        <v>13.291500285225327</v>
      </c>
      <c r="AB1282">
        <f>WarehouseData[[#This Row],[stock_level]]*WarehouseData[[#This Row],[unit_price]]</f>
        <v>34139.160000000003</v>
      </c>
      <c r="AC1282">
        <f>WarehouseData[[#This Row],[stock_level]]*WarehouseData[[#This Row],[holding_cost_per_unit_day]]*30</f>
        <v>11044.2</v>
      </c>
      <c r="AD1282" t="str">
        <f>IF(WarehouseData[[#This Row],[order_fulfillment_rate]]&gt;=0.9,"Strong",IF(WarehouseData[[#This Row],[order_fulfillment_rate]]&gt;=0.8,"Moderate","Needs Attention"))</f>
        <v>Moderate</v>
      </c>
      <c r="AE1282" t="str">
        <f>IF(WarehouseData[[#This Row],[picking_time_seconds]]&gt;120,"Slow",IF(WarehouseData[[#This Row],[picking_time_seconds]]&gt;=60,"Average","Fast"))</f>
        <v>Average</v>
      </c>
    </row>
    <row r="1283" spans="1:31" x14ac:dyDescent="0.25">
      <c r="A1283" t="s">
        <v>1421</v>
      </c>
      <c r="B1283" t="s">
        <v>48</v>
      </c>
      <c r="C1283">
        <v>476</v>
      </c>
      <c r="D1283">
        <v>22</v>
      </c>
      <c r="E1283">
        <v>4</v>
      </c>
      <c r="F1283">
        <v>4</v>
      </c>
      <c r="G1283">
        <v>7.02</v>
      </c>
      <c r="H1283">
        <v>5.32</v>
      </c>
      <c r="I1283">
        <v>0.37</v>
      </c>
      <c r="J1283" t="s">
        <v>340</v>
      </c>
      <c r="K1283" t="s">
        <v>34</v>
      </c>
      <c r="L1283">
        <v>157</v>
      </c>
      <c r="M1283">
        <v>1.36</v>
      </c>
      <c r="N1283">
        <v>137.52000000000001</v>
      </c>
      <c r="O1283">
        <v>1.79</v>
      </c>
      <c r="P1283">
        <v>7</v>
      </c>
      <c r="Q1283">
        <v>0.87</v>
      </c>
      <c r="R1283">
        <v>613</v>
      </c>
      <c r="S1283">
        <v>14.44</v>
      </c>
      <c r="T1283">
        <v>0.47</v>
      </c>
      <c r="U1283" s="1">
        <v>45457</v>
      </c>
      <c r="V1283">
        <v>235.65</v>
      </c>
      <c r="W1283">
        <v>0.54200000000000004</v>
      </c>
      <c r="X1283" t="str">
        <f>IF(WarehouseData[[#This Row],[stock_level]]&lt;=WarehouseData[[#This Row],[reorder_point]],"Low Stock","Sufficient Stock")</f>
        <v>Sufficient Stock</v>
      </c>
      <c r="Y1283">
        <f>WarehouseData[[#This Row],[daily_demand]]*WarehouseData[[#This Row],[lead_time_days]]</f>
        <v>28.08</v>
      </c>
      <c r="Z1283" t="str">
        <f>IF(WarehouseData[[#This Row],[stock_level]]&lt;=WarehouseData[[#This Row],[Demand During Lead Time]],"At Risk","Safe")</f>
        <v>Safe</v>
      </c>
      <c r="AA1283">
        <f>WarehouseData[[#This Row],[stock_level]]/WarehouseData[[#This Row],[daily_demand]]</f>
        <v>67.806267806267812</v>
      </c>
      <c r="AB1283">
        <f>WarehouseData[[#This Row],[stock_level]]*WarehouseData[[#This Row],[unit_price]]</f>
        <v>65459.520000000004</v>
      </c>
      <c r="AC1283">
        <f>WarehouseData[[#This Row],[stock_level]]*WarehouseData[[#This Row],[holding_cost_per_unit_day]]*30</f>
        <v>25561.199999999997</v>
      </c>
      <c r="AD1283" t="str">
        <f>IF(WarehouseData[[#This Row],[order_fulfillment_rate]]&gt;=0.9,"Strong",IF(WarehouseData[[#This Row],[order_fulfillment_rate]]&gt;=0.8,"Moderate","Needs Attention"))</f>
        <v>Moderate</v>
      </c>
      <c r="AE1283" t="str">
        <f>IF(WarehouseData[[#This Row],[picking_time_seconds]]&gt;120,"Slow",IF(WarehouseData[[#This Row],[picking_time_seconds]]&gt;=60,"Average","Fast"))</f>
        <v>Slow</v>
      </c>
    </row>
    <row r="1284" spans="1:31" x14ac:dyDescent="0.25">
      <c r="A1284" t="s">
        <v>1422</v>
      </c>
      <c r="B1284" t="s">
        <v>36</v>
      </c>
      <c r="C1284">
        <v>304</v>
      </c>
      <c r="D1284">
        <v>92</v>
      </c>
      <c r="E1284">
        <v>4</v>
      </c>
      <c r="F1284">
        <v>5</v>
      </c>
      <c r="G1284">
        <v>5.15</v>
      </c>
      <c r="H1284">
        <v>5.75</v>
      </c>
      <c r="I1284">
        <v>0.13</v>
      </c>
      <c r="J1284" t="s">
        <v>154</v>
      </c>
      <c r="K1284" t="s">
        <v>46</v>
      </c>
      <c r="L1284">
        <v>67</v>
      </c>
      <c r="M1284">
        <v>3.76</v>
      </c>
      <c r="N1284">
        <v>147.47</v>
      </c>
      <c r="O1284">
        <v>1.05</v>
      </c>
      <c r="P1284">
        <v>6</v>
      </c>
      <c r="Q1284">
        <v>0.83</v>
      </c>
      <c r="R1284">
        <v>530</v>
      </c>
      <c r="S1284">
        <v>10.14</v>
      </c>
      <c r="T1284">
        <v>0.89</v>
      </c>
      <c r="U1284" s="1">
        <v>45322</v>
      </c>
      <c r="V1284">
        <v>267.27999999999997</v>
      </c>
      <c r="W1284">
        <v>0.65400000000000003</v>
      </c>
      <c r="X1284" t="str">
        <f>IF(WarehouseData[[#This Row],[stock_level]]&lt;=WarehouseData[[#This Row],[reorder_point]],"Low Stock","Sufficient Stock")</f>
        <v>Sufficient Stock</v>
      </c>
      <c r="Y1284">
        <f>WarehouseData[[#This Row],[daily_demand]]*WarehouseData[[#This Row],[lead_time_days]]</f>
        <v>25.75</v>
      </c>
      <c r="Z1284" t="str">
        <f>IF(WarehouseData[[#This Row],[stock_level]]&lt;=WarehouseData[[#This Row],[Demand During Lead Time]],"At Risk","Safe")</f>
        <v>Safe</v>
      </c>
      <c r="AA1284">
        <f>WarehouseData[[#This Row],[stock_level]]/WarehouseData[[#This Row],[daily_demand]]</f>
        <v>59.029126213592228</v>
      </c>
      <c r="AB1284">
        <f>WarehouseData[[#This Row],[stock_level]]*WarehouseData[[#This Row],[unit_price]]</f>
        <v>44830.879999999997</v>
      </c>
      <c r="AC1284">
        <f>WarehouseData[[#This Row],[stock_level]]*WarehouseData[[#This Row],[holding_cost_per_unit_day]]*30</f>
        <v>9576</v>
      </c>
      <c r="AD1284" t="str">
        <f>IF(WarehouseData[[#This Row],[order_fulfillment_rate]]&gt;=0.9,"Strong",IF(WarehouseData[[#This Row],[order_fulfillment_rate]]&gt;=0.8,"Moderate","Needs Attention"))</f>
        <v>Moderate</v>
      </c>
      <c r="AE1284" t="str">
        <f>IF(WarehouseData[[#This Row],[picking_time_seconds]]&gt;120,"Slow",IF(WarehouseData[[#This Row],[picking_time_seconds]]&gt;=60,"Average","Fast"))</f>
        <v>Average</v>
      </c>
    </row>
    <row r="1285" spans="1:31" x14ac:dyDescent="0.25">
      <c r="A1285" t="s">
        <v>1423</v>
      </c>
      <c r="B1285" t="s">
        <v>48</v>
      </c>
      <c r="C1285">
        <v>258</v>
      </c>
      <c r="D1285">
        <v>38</v>
      </c>
      <c r="E1285">
        <v>4</v>
      </c>
      <c r="F1285">
        <v>3</v>
      </c>
      <c r="G1285">
        <v>3.28</v>
      </c>
      <c r="H1285">
        <v>7.27</v>
      </c>
      <c r="I1285">
        <v>0.23</v>
      </c>
      <c r="J1285" t="s">
        <v>276</v>
      </c>
      <c r="K1285" t="s">
        <v>34</v>
      </c>
      <c r="L1285">
        <v>69</v>
      </c>
      <c r="M1285">
        <v>2.71</v>
      </c>
      <c r="N1285">
        <v>15.94</v>
      </c>
      <c r="O1285">
        <v>1.58</v>
      </c>
      <c r="P1285">
        <v>5</v>
      </c>
      <c r="Q1285">
        <v>0.87</v>
      </c>
      <c r="R1285">
        <v>450</v>
      </c>
      <c r="S1285">
        <v>12.91</v>
      </c>
      <c r="T1285">
        <v>0.56999999999999995</v>
      </c>
      <c r="U1285" s="1">
        <v>45303</v>
      </c>
      <c r="V1285">
        <v>86.39</v>
      </c>
      <c r="W1285">
        <v>0.60199999999999998</v>
      </c>
      <c r="X1285" t="str">
        <f>IF(WarehouseData[[#This Row],[stock_level]]&lt;=WarehouseData[[#This Row],[reorder_point]],"Low Stock","Sufficient Stock")</f>
        <v>Sufficient Stock</v>
      </c>
      <c r="Y1285">
        <f>WarehouseData[[#This Row],[daily_demand]]*WarehouseData[[#This Row],[lead_time_days]]</f>
        <v>9.84</v>
      </c>
      <c r="Z1285" t="str">
        <f>IF(WarehouseData[[#This Row],[stock_level]]&lt;=WarehouseData[[#This Row],[Demand During Lead Time]],"At Risk","Safe")</f>
        <v>Safe</v>
      </c>
      <c r="AA1285">
        <f>WarehouseData[[#This Row],[stock_level]]/WarehouseData[[#This Row],[daily_demand]]</f>
        <v>78.658536585365852</v>
      </c>
      <c r="AB1285">
        <f>WarehouseData[[#This Row],[stock_level]]*WarehouseData[[#This Row],[unit_price]]</f>
        <v>4112.5199999999995</v>
      </c>
      <c r="AC1285">
        <f>WarehouseData[[#This Row],[stock_level]]*WarehouseData[[#This Row],[holding_cost_per_unit_day]]*30</f>
        <v>12229.2</v>
      </c>
      <c r="AD1285" t="str">
        <f>IF(WarehouseData[[#This Row],[order_fulfillment_rate]]&gt;=0.9,"Strong",IF(WarehouseData[[#This Row],[order_fulfillment_rate]]&gt;=0.8,"Moderate","Needs Attention"))</f>
        <v>Moderate</v>
      </c>
      <c r="AE1285" t="str">
        <f>IF(WarehouseData[[#This Row],[picking_time_seconds]]&gt;120,"Slow",IF(WarehouseData[[#This Row],[picking_time_seconds]]&gt;=60,"Average","Fast"))</f>
        <v>Average</v>
      </c>
    </row>
    <row r="1286" spans="1:31" x14ac:dyDescent="0.25">
      <c r="A1286" t="s">
        <v>1424</v>
      </c>
      <c r="B1286" t="s">
        <v>36</v>
      </c>
      <c r="C1286">
        <v>184</v>
      </c>
      <c r="D1286">
        <v>12</v>
      </c>
      <c r="E1286">
        <v>13</v>
      </c>
      <c r="F1286">
        <v>4</v>
      </c>
      <c r="G1286">
        <v>6.44</v>
      </c>
      <c r="H1286">
        <v>5.0999999999999996</v>
      </c>
      <c r="I1286">
        <v>0.73</v>
      </c>
      <c r="J1286" t="s">
        <v>77</v>
      </c>
      <c r="K1286" t="s">
        <v>38</v>
      </c>
      <c r="L1286">
        <v>44</v>
      </c>
      <c r="M1286">
        <v>5</v>
      </c>
      <c r="N1286">
        <v>28.79</v>
      </c>
      <c r="O1286">
        <v>0.46</v>
      </c>
      <c r="P1286">
        <v>6</v>
      </c>
      <c r="Q1286">
        <v>0.74</v>
      </c>
      <c r="R1286">
        <v>509</v>
      </c>
      <c r="S1286">
        <v>2.81</v>
      </c>
      <c r="T1286">
        <v>0.67</v>
      </c>
      <c r="U1286" s="1">
        <v>45367</v>
      </c>
      <c r="V1286">
        <v>101.36</v>
      </c>
      <c r="W1286">
        <v>0.55300000000000005</v>
      </c>
      <c r="X1286" t="str">
        <f>IF(WarehouseData[[#This Row],[stock_level]]&lt;=WarehouseData[[#This Row],[reorder_point]],"Low Stock","Sufficient Stock")</f>
        <v>Sufficient Stock</v>
      </c>
      <c r="Y1286">
        <f>WarehouseData[[#This Row],[daily_demand]]*WarehouseData[[#This Row],[lead_time_days]]</f>
        <v>25.76</v>
      </c>
      <c r="Z1286" t="str">
        <f>IF(WarehouseData[[#This Row],[stock_level]]&lt;=WarehouseData[[#This Row],[Demand During Lead Time]],"At Risk","Safe")</f>
        <v>Safe</v>
      </c>
      <c r="AA1286">
        <f>WarehouseData[[#This Row],[stock_level]]/WarehouseData[[#This Row],[daily_demand]]</f>
        <v>28.571428571428569</v>
      </c>
      <c r="AB1286">
        <f>WarehouseData[[#This Row],[stock_level]]*WarehouseData[[#This Row],[unit_price]]</f>
        <v>5297.36</v>
      </c>
      <c r="AC1286">
        <f>WarehouseData[[#This Row],[stock_level]]*WarehouseData[[#This Row],[holding_cost_per_unit_day]]*30</f>
        <v>2539.1999999999998</v>
      </c>
      <c r="AD1286" t="str">
        <f>IF(WarehouseData[[#This Row],[order_fulfillment_rate]]&gt;=0.9,"Strong",IF(WarehouseData[[#This Row],[order_fulfillment_rate]]&gt;=0.8,"Moderate","Needs Attention"))</f>
        <v>Needs Attention</v>
      </c>
      <c r="AE1286" t="str">
        <f>IF(WarehouseData[[#This Row],[picking_time_seconds]]&gt;120,"Slow",IF(WarehouseData[[#This Row],[picking_time_seconds]]&gt;=60,"Average","Fast"))</f>
        <v>Fast</v>
      </c>
    </row>
    <row r="1287" spans="1:31" x14ac:dyDescent="0.25">
      <c r="A1287" t="s">
        <v>1425</v>
      </c>
      <c r="B1287" t="s">
        <v>73</v>
      </c>
      <c r="C1287">
        <v>106</v>
      </c>
      <c r="D1287">
        <v>99</v>
      </c>
      <c r="E1287">
        <v>3</v>
      </c>
      <c r="F1287">
        <v>7</v>
      </c>
      <c r="G1287">
        <v>17.84</v>
      </c>
      <c r="H1287">
        <v>2.63</v>
      </c>
      <c r="I1287">
        <v>0.43</v>
      </c>
      <c r="J1287" t="s">
        <v>215</v>
      </c>
      <c r="K1287" t="s">
        <v>34</v>
      </c>
      <c r="L1287">
        <v>56</v>
      </c>
      <c r="M1287">
        <v>3.99</v>
      </c>
      <c r="N1287">
        <v>73.62</v>
      </c>
      <c r="O1287">
        <v>1.1399999999999999</v>
      </c>
      <c r="P1287">
        <v>4</v>
      </c>
      <c r="Q1287">
        <v>0.82</v>
      </c>
      <c r="R1287">
        <v>826</v>
      </c>
      <c r="S1287">
        <v>11.59</v>
      </c>
      <c r="T1287">
        <v>0.35</v>
      </c>
      <c r="U1287" s="1">
        <v>45592</v>
      </c>
      <c r="V1287">
        <v>162.82</v>
      </c>
      <c r="W1287">
        <v>0.59499999999999997</v>
      </c>
      <c r="X1287" t="str">
        <f>IF(WarehouseData[[#This Row],[stock_level]]&lt;=WarehouseData[[#This Row],[reorder_point]],"Low Stock","Sufficient Stock")</f>
        <v>Sufficient Stock</v>
      </c>
      <c r="Y1287">
        <f>WarehouseData[[#This Row],[daily_demand]]*WarehouseData[[#This Row],[lead_time_days]]</f>
        <v>124.88</v>
      </c>
      <c r="Z1287" t="str">
        <f>IF(WarehouseData[[#This Row],[stock_level]]&lt;=WarehouseData[[#This Row],[Demand During Lead Time]],"At Risk","Safe")</f>
        <v>At Risk</v>
      </c>
      <c r="AA1287">
        <f>WarehouseData[[#This Row],[stock_level]]/WarehouseData[[#This Row],[daily_demand]]</f>
        <v>5.9417040358744391</v>
      </c>
      <c r="AB1287">
        <f>WarehouseData[[#This Row],[stock_level]]*WarehouseData[[#This Row],[unit_price]]</f>
        <v>7803.72</v>
      </c>
      <c r="AC1287">
        <f>WarehouseData[[#This Row],[stock_level]]*WarehouseData[[#This Row],[holding_cost_per_unit_day]]*30</f>
        <v>3625.2</v>
      </c>
      <c r="AD1287" t="str">
        <f>IF(WarehouseData[[#This Row],[order_fulfillment_rate]]&gt;=0.9,"Strong",IF(WarehouseData[[#This Row],[order_fulfillment_rate]]&gt;=0.8,"Moderate","Needs Attention"))</f>
        <v>Moderate</v>
      </c>
      <c r="AE1287" t="str">
        <f>IF(WarehouseData[[#This Row],[picking_time_seconds]]&gt;120,"Slow",IF(WarehouseData[[#This Row],[picking_time_seconds]]&gt;=60,"Average","Fast"))</f>
        <v>Fast</v>
      </c>
    </row>
    <row r="1288" spans="1:31" x14ac:dyDescent="0.25">
      <c r="A1288" t="s">
        <v>1426</v>
      </c>
      <c r="B1288" t="s">
        <v>40</v>
      </c>
      <c r="C1288">
        <v>160</v>
      </c>
      <c r="D1288">
        <v>67</v>
      </c>
      <c r="E1288">
        <v>13</v>
      </c>
      <c r="F1288">
        <v>9</v>
      </c>
      <c r="G1288">
        <v>30.1</v>
      </c>
      <c r="H1288">
        <v>5.6</v>
      </c>
      <c r="I1288">
        <v>0.51</v>
      </c>
      <c r="J1288" t="s">
        <v>418</v>
      </c>
      <c r="K1288" t="s">
        <v>52</v>
      </c>
      <c r="L1288">
        <v>55</v>
      </c>
      <c r="M1288">
        <v>4.8600000000000003</v>
      </c>
      <c r="N1288">
        <v>24.05</v>
      </c>
      <c r="O1288">
        <v>1.31</v>
      </c>
      <c r="P1288">
        <v>7</v>
      </c>
      <c r="Q1288">
        <v>0.81</v>
      </c>
      <c r="R1288">
        <v>615</v>
      </c>
      <c r="S1288">
        <v>9.43</v>
      </c>
      <c r="T1288">
        <v>0.48</v>
      </c>
      <c r="U1288" s="1">
        <v>45652</v>
      </c>
      <c r="V1288">
        <v>279.83</v>
      </c>
      <c r="W1288">
        <v>0.51300000000000001</v>
      </c>
      <c r="X1288" t="str">
        <f>IF(WarehouseData[[#This Row],[stock_level]]&lt;=WarehouseData[[#This Row],[reorder_point]],"Low Stock","Sufficient Stock")</f>
        <v>Sufficient Stock</v>
      </c>
      <c r="Y1288">
        <f>WarehouseData[[#This Row],[daily_demand]]*WarehouseData[[#This Row],[lead_time_days]]</f>
        <v>270.90000000000003</v>
      </c>
      <c r="Z1288" t="str">
        <f>IF(WarehouseData[[#This Row],[stock_level]]&lt;=WarehouseData[[#This Row],[Demand During Lead Time]],"At Risk","Safe")</f>
        <v>At Risk</v>
      </c>
      <c r="AA1288">
        <f>WarehouseData[[#This Row],[stock_level]]/WarehouseData[[#This Row],[daily_demand]]</f>
        <v>5.3156146179401995</v>
      </c>
      <c r="AB1288">
        <f>WarehouseData[[#This Row],[stock_level]]*WarehouseData[[#This Row],[unit_price]]</f>
        <v>3848</v>
      </c>
      <c r="AC1288">
        <f>WarehouseData[[#This Row],[stock_level]]*WarehouseData[[#This Row],[holding_cost_per_unit_day]]*30</f>
        <v>6288.0000000000009</v>
      </c>
      <c r="AD1288" t="str">
        <f>IF(WarehouseData[[#This Row],[order_fulfillment_rate]]&gt;=0.9,"Strong",IF(WarehouseData[[#This Row],[order_fulfillment_rate]]&gt;=0.8,"Moderate","Needs Attention"))</f>
        <v>Moderate</v>
      </c>
      <c r="AE1288" t="str">
        <f>IF(WarehouseData[[#This Row],[picking_time_seconds]]&gt;120,"Slow",IF(WarehouseData[[#This Row],[picking_time_seconds]]&gt;=60,"Average","Fast"))</f>
        <v>Fast</v>
      </c>
    </row>
    <row r="1289" spans="1:31" x14ac:dyDescent="0.25">
      <c r="A1289" t="s">
        <v>1427</v>
      </c>
      <c r="B1289" t="s">
        <v>48</v>
      </c>
      <c r="C1289">
        <v>179</v>
      </c>
      <c r="D1289">
        <v>85</v>
      </c>
      <c r="E1289">
        <v>3</v>
      </c>
      <c r="F1289">
        <v>3</v>
      </c>
      <c r="G1289">
        <v>10.220000000000001</v>
      </c>
      <c r="H1289">
        <v>9.4700000000000006</v>
      </c>
      <c r="I1289">
        <v>0.24</v>
      </c>
      <c r="J1289" t="s">
        <v>131</v>
      </c>
      <c r="K1289" t="s">
        <v>38</v>
      </c>
      <c r="L1289">
        <v>96</v>
      </c>
      <c r="M1289">
        <v>2.04</v>
      </c>
      <c r="N1289">
        <v>197.64</v>
      </c>
      <c r="O1289">
        <v>1.03</v>
      </c>
      <c r="P1289">
        <v>1</v>
      </c>
      <c r="Q1289">
        <v>0.92</v>
      </c>
      <c r="R1289">
        <v>182</v>
      </c>
      <c r="S1289">
        <v>5.32</v>
      </c>
      <c r="T1289">
        <v>0.94</v>
      </c>
      <c r="U1289" s="1">
        <v>45364</v>
      </c>
      <c r="V1289">
        <v>252.06</v>
      </c>
      <c r="W1289">
        <v>0.72</v>
      </c>
      <c r="X1289" t="str">
        <f>IF(WarehouseData[[#This Row],[stock_level]]&lt;=WarehouseData[[#This Row],[reorder_point]],"Low Stock","Sufficient Stock")</f>
        <v>Sufficient Stock</v>
      </c>
      <c r="Y1289">
        <f>WarehouseData[[#This Row],[daily_demand]]*WarehouseData[[#This Row],[lead_time_days]]</f>
        <v>30.660000000000004</v>
      </c>
      <c r="Z1289" t="str">
        <f>IF(WarehouseData[[#This Row],[stock_level]]&lt;=WarehouseData[[#This Row],[Demand During Lead Time]],"At Risk","Safe")</f>
        <v>Safe</v>
      </c>
      <c r="AA1289">
        <f>WarehouseData[[#This Row],[stock_level]]/WarehouseData[[#This Row],[daily_demand]]</f>
        <v>17.514677103718199</v>
      </c>
      <c r="AB1289">
        <f>WarehouseData[[#This Row],[stock_level]]*WarehouseData[[#This Row],[unit_price]]</f>
        <v>35377.56</v>
      </c>
      <c r="AC1289">
        <f>WarehouseData[[#This Row],[stock_level]]*WarehouseData[[#This Row],[holding_cost_per_unit_day]]*30</f>
        <v>5531.1</v>
      </c>
      <c r="AD1289" t="str">
        <f>IF(WarehouseData[[#This Row],[order_fulfillment_rate]]&gt;=0.9,"Strong",IF(WarehouseData[[#This Row],[order_fulfillment_rate]]&gt;=0.8,"Moderate","Needs Attention"))</f>
        <v>Strong</v>
      </c>
      <c r="AE1289" t="str">
        <f>IF(WarehouseData[[#This Row],[picking_time_seconds]]&gt;120,"Slow",IF(WarehouseData[[#This Row],[picking_time_seconds]]&gt;=60,"Average","Fast"))</f>
        <v>Average</v>
      </c>
    </row>
    <row r="1290" spans="1:31" x14ac:dyDescent="0.25">
      <c r="A1290" t="s">
        <v>1428</v>
      </c>
      <c r="B1290" t="s">
        <v>40</v>
      </c>
      <c r="C1290">
        <v>65</v>
      </c>
      <c r="D1290">
        <v>11</v>
      </c>
      <c r="E1290">
        <v>9</v>
      </c>
      <c r="F1290">
        <v>6</v>
      </c>
      <c r="G1290">
        <v>44.51</v>
      </c>
      <c r="H1290">
        <v>4.3899999999999997</v>
      </c>
      <c r="I1290">
        <v>0.71</v>
      </c>
      <c r="J1290" t="s">
        <v>221</v>
      </c>
      <c r="K1290" t="s">
        <v>52</v>
      </c>
      <c r="L1290">
        <v>13</v>
      </c>
      <c r="M1290">
        <v>1.05</v>
      </c>
      <c r="N1290">
        <v>120.28</v>
      </c>
      <c r="O1290">
        <v>0.32</v>
      </c>
      <c r="P1290">
        <v>4</v>
      </c>
      <c r="Q1290">
        <v>0.91</v>
      </c>
      <c r="R1290">
        <v>240</v>
      </c>
      <c r="S1290">
        <v>2.91</v>
      </c>
      <c r="T1290">
        <v>0.45</v>
      </c>
      <c r="U1290" s="1">
        <v>45348</v>
      </c>
      <c r="V1290">
        <v>145.85</v>
      </c>
      <c r="W1290">
        <v>0.59899999999999998</v>
      </c>
      <c r="X1290" t="str">
        <f>IF(WarehouseData[[#This Row],[stock_level]]&lt;=WarehouseData[[#This Row],[reorder_point]],"Low Stock","Sufficient Stock")</f>
        <v>Sufficient Stock</v>
      </c>
      <c r="Y1290">
        <f>WarehouseData[[#This Row],[daily_demand]]*WarehouseData[[#This Row],[lead_time_days]]</f>
        <v>267.06</v>
      </c>
      <c r="Z1290" t="str">
        <f>IF(WarehouseData[[#This Row],[stock_level]]&lt;=WarehouseData[[#This Row],[Demand During Lead Time]],"At Risk","Safe")</f>
        <v>At Risk</v>
      </c>
      <c r="AA1290">
        <f>WarehouseData[[#This Row],[stock_level]]/WarehouseData[[#This Row],[daily_demand]]</f>
        <v>1.4603459896652438</v>
      </c>
      <c r="AB1290">
        <f>WarehouseData[[#This Row],[stock_level]]*WarehouseData[[#This Row],[unit_price]]</f>
        <v>7818.2</v>
      </c>
      <c r="AC1290">
        <f>WarehouseData[[#This Row],[stock_level]]*WarehouseData[[#This Row],[holding_cost_per_unit_day]]*30</f>
        <v>624</v>
      </c>
      <c r="AD1290" t="str">
        <f>IF(WarehouseData[[#This Row],[order_fulfillment_rate]]&gt;=0.9,"Strong",IF(WarehouseData[[#This Row],[order_fulfillment_rate]]&gt;=0.8,"Moderate","Needs Attention"))</f>
        <v>Strong</v>
      </c>
      <c r="AE1290" t="str">
        <f>IF(WarehouseData[[#This Row],[picking_time_seconds]]&gt;120,"Slow",IF(WarehouseData[[#This Row],[picking_time_seconds]]&gt;=60,"Average","Fast"))</f>
        <v>Fast</v>
      </c>
    </row>
    <row r="1291" spans="1:31" x14ac:dyDescent="0.25">
      <c r="A1291" t="s">
        <v>1429</v>
      </c>
      <c r="B1291" t="s">
        <v>36</v>
      </c>
      <c r="C1291">
        <v>391</v>
      </c>
      <c r="D1291">
        <v>84</v>
      </c>
      <c r="E1291">
        <v>14</v>
      </c>
      <c r="F1291">
        <v>3</v>
      </c>
      <c r="G1291">
        <v>40.61</v>
      </c>
      <c r="H1291">
        <v>6.96</v>
      </c>
      <c r="I1291">
        <v>0.78</v>
      </c>
      <c r="J1291" t="s">
        <v>245</v>
      </c>
      <c r="K1291" t="s">
        <v>46</v>
      </c>
      <c r="L1291">
        <v>19</v>
      </c>
      <c r="M1291">
        <v>2.78</v>
      </c>
      <c r="N1291">
        <v>102.6</v>
      </c>
      <c r="O1291">
        <v>1.49</v>
      </c>
      <c r="P1291">
        <v>6</v>
      </c>
      <c r="Q1291">
        <v>0.97</v>
      </c>
      <c r="R1291">
        <v>173</v>
      </c>
      <c r="S1291">
        <v>6.32</v>
      </c>
      <c r="T1291">
        <v>0.4</v>
      </c>
      <c r="U1291" s="1">
        <v>45561</v>
      </c>
      <c r="V1291">
        <v>176.2</v>
      </c>
      <c r="W1291">
        <v>0.48899999999999999</v>
      </c>
      <c r="X1291" t="str">
        <f>IF(WarehouseData[[#This Row],[stock_level]]&lt;=WarehouseData[[#This Row],[reorder_point]],"Low Stock","Sufficient Stock")</f>
        <v>Sufficient Stock</v>
      </c>
      <c r="Y1291">
        <f>WarehouseData[[#This Row],[daily_demand]]*WarehouseData[[#This Row],[lead_time_days]]</f>
        <v>121.83</v>
      </c>
      <c r="Z1291" t="str">
        <f>IF(WarehouseData[[#This Row],[stock_level]]&lt;=WarehouseData[[#This Row],[Demand During Lead Time]],"At Risk","Safe")</f>
        <v>Safe</v>
      </c>
      <c r="AA1291">
        <f>WarehouseData[[#This Row],[stock_level]]/WarehouseData[[#This Row],[daily_demand]]</f>
        <v>9.62817040137897</v>
      </c>
      <c r="AB1291">
        <f>WarehouseData[[#This Row],[stock_level]]*WarehouseData[[#This Row],[unit_price]]</f>
        <v>40116.6</v>
      </c>
      <c r="AC1291">
        <f>WarehouseData[[#This Row],[stock_level]]*WarehouseData[[#This Row],[holding_cost_per_unit_day]]*30</f>
        <v>17477.7</v>
      </c>
      <c r="AD1291" t="str">
        <f>IF(WarehouseData[[#This Row],[order_fulfillment_rate]]&gt;=0.9,"Strong",IF(WarehouseData[[#This Row],[order_fulfillment_rate]]&gt;=0.8,"Moderate","Needs Attention"))</f>
        <v>Strong</v>
      </c>
      <c r="AE1291" t="str">
        <f>IF(WarehouseData[[#This Row],[picking_time_seconds]]&gt;120,"Slow",IF(WarehouseData[[#This Row],[picking_time_seconds]]&gt;=60,"Average","Fast"))</f>
        <v>Fast</v>
      </c>
    </row>
    <row r="1292" spans="1:31" x14ac:dyDescent="0.25">
      <c r="A1292" t="s">
        <v>1430</v>
      </c>
      <c r="B1292" t="s">
        <v>48</v>
      </c>
      <c r="C1292">
        <v>131</v>
      </c>
      <c r="D1292">
        <v>37</v>
      </c>
      <c r="E1292">
        <v>7</v>
      </c>
      <c r="F1292">
        <v>4</v>
      </c>
      <c r="G1292">
        <v>26.51</v>
      </c>
      <c r="H1292">
        <v>9.7899999999999991</v>
      </c>
      <c r="I1292">
        <v>0.26</v>
      </c>
      <c r="J1292" t="s">
        <v>357</v>
      </c>
      <c r="K1292" t="s">
        <v>46</v>
      </c>
      <c r="L1292">
        <v>116</v>
      </c>
      <c r="M1292">
        <v>1.06</v>
      </c>
      <c r="N1292">
        <v>159.25</v>
      </c>
      <c r="O1292">
        <v>1.69</v>
      </c>
      <c r="P1292">
        <v>8</v>
      </c>
      <c r="Q1292">
        <v>0.89</v>
      </c>
      <c r="R1292">
        <v>480</v>
      </c>
      <c r="S1292">
        <v>7.18</v>
      </c>
      <c r="T1292">
        <v>0.24</v>
      </c>
      <c r="U1292" s="1">
        <v>45478</v>
      </c>
      <c r="V1292">
        <v>216.57</v>
      </c>
      <c r="W1292">
        <v>0.39300000000000002</v>
      </c>
      <c r="X1292" t="str">
        <f>IF(WarehouseData[[#This Row],[stock_level]]&lt;=WarehouseData[[#This Row],[reorder_point]],"Low Stock","Sufficient Stock")</f>
        <v>Sufficient Stock</v>
      </c>
      <c r="Y1292">
        <f>WarehouseData[[#This Row],[daily_demand]]*WarehouseData[[#This Row],[lead_time_days]]</f>
        <v>106.04</v>
      </c>
      <c r="Z1292" t="str">
        <f>IF(WarehouseData[[#This Row],[stock_level]]&lt;=WarehouseData[[#This Row],[Demand During Lead Time]],"At Risk","Safe")</f>
        <v>Safe</v>
      </c>
      <c r="AA1292">
        <f>WarehouseData[[#This Row],[stock_level]]/WarehouseData[[#This Row],[daily_demand]]</f>
        <v>4.9415314975480946</v>
      </c>
      <c r="AB1292">
        <f>WarehouseData[[#This Row],[stock_level]]*WarehouseData[[#This Row],[unit_price]]</f>
        <v>20861.75</v>
      </c>
      <c r="AC1292">
        <f>WarehouseData[[#This Row],[stock_level]]*WarehouseData[[#This Row],[holding_cost_per_unit_day]]*30</f>
        <v>6641.7</v>
      </c>
      <c r="AD1292" t="str">
        <f>IF(WarehouseData[[#This Row],[order_fulfillment_rate]]&gt;=0.9,"Strong",IF(WarehouseData[[#This Row],[order_fulfillment_rate]]&gt;=0.8,"Moderate","Needs Attention"))</f>
        <v>Moderate</v>
      </c>
      <c r="AE1292" t="str">
        <f>IF(WarehouseData[[#This Row],[picking_time_seconds]]&gt;120,"Slow",IF(WarehouseData[[#This Row],[picking_time_seconds]]&gt;=60,"Average","Fast"))</f>
        <v>Average</v>
      </c>
    </row>
    <row r="1293" spans="1:31" x14ac:dyDescent="0.25">
      <c r="A1293" t="s">
        <v>1431</v>
      </c>
      <c r="B1293" t="s">
        <v>32</v>
      </c>
      <c r="C1293">
        <v>426</v>
      </c>
      <c r="D1293">
        <v>91</v>
      </c>
      <c r="E1293">
        <v>13</v>
      </c>
      <c r="F1293">
        <v>4</v>
      </c>
      <c r="G1293">
        <v>36.49</v>
      </c>
      <c r="H1293">
        <v>8.3800000000000008</v>
      </c>
      <c r="I1293">
        <v>0.14000000000000001</v>
      </c>
      <c r="J1293" t="s">
        <v>158</v>
      </c>
      <c r="K1293" t="s">
        <v>34</v>
      </c>
      <c r="L1293">
        <v>84</v>
      </c>
      <c r="M1293">
        <v>2.72</v>
      </c>
      <c r="N1293">
        <v>195.62</v>
      </c>
      <c r="O1293">
        <v>1.31</v>
      </c>
      <c r="P1293">
        <v>9</v>
      </c>
      <c r="Q1293">
        <v>0.79</v>
      </c>
      <c r="R1293">
        <v>267</v>
      </c>
      <c r="S1293">
        <v>2.97</v>
      </c>
      <c r="T1293">
        <v>0.28000000000000003</v>
      </c>
      <c r="U1293" s="1">
        <v>45329</v>
      </c>
      <c r="V1293">
        <v>161.58000000000001</v>
      </c>
      <c r="W1293">
        <v>0.34300000000000003</v>
      </c>
      <c r="X1293" t="str">
        <f>IF(WarehouseData[[#This Row],[stock_level]]&lt;=WarehouseData[[#This Row],[reorder_point]],"Low Stock","Sufficient Stock")</f>
        <v>Sufficient Stock</v>
      </c>
      <c r="Y1293">
        <f>WarehouseData[[#This Row],[daily_demand]]*WarehouseData[[#This Row],[lead_time_days]]</f>
        <v>145.96</v>
      </c>
      <c r="Z1293" t="str">
        <f>IF(WarehouseData[[#This Row],[stock_level]]&lt;=WarehouseData[[#This Row],[Demand During Lead Time]],"At Risk","Safe")</f>
        <v>Safe</v>
      </c>
      <c r="AA1293">
        <f>WarehouseData[[#This Row],[stock_level]]/WarehouseData[[#This Row],[daily_demand]]</f>
        <v>11.674431351055082</v>
      </c>
      <c r="AB1293">
        <f>WarehouseData[[#This Row],[stock_level]]*WarehouseData[[#This Row],[unit_price]]</f>
        <v>83334.12</v>
      </c>
      <c r="AC1293">
        <f>WarehouseData[[#This Row],[stock_level]]*WarehouseData[[#This Row],[holding_cost_per_unit_day]]*30</f>
        <v>16741.800000000003</v>
      </c>
      <c r="AD1293" t="str">
        <f>IF(WarehouseData[[#This Row],[order_fulfillment_rate]]&gt;=0.9,"Strong",IF(WarehouseData[[#This Row],[order_fulfillment_rate]]&gt;=0.8,"Moderate","Needs Attention"))</f>
        <v>Needs Attention</v>
      </c>
      <c r="AE1293" t="str">
        <f>IF(WarehouseData[[#This Row],[picking_time_seconds]]&gt;120,"Slow",IF(WarehouseData[[#This Row],[picking_time_seconds]]&gt;=60,"Average","Fast"))</f>
        <v>Average</v>
      </c>
    </row>
    <row r="1294" spans="1:31" x14ac:dyDescent="0.25">
      <c r="A1294" t="s">
        <v>1432</v>
      </c>
      <c r="B1294" t="s">
        <v>40</v>
      </c>
      <c r="C1294">
        <v>64</v>
      </c>
      <c r="D1294">
        <v>86</v>
      </c>
      <c r="E1294">
        <v>5</v>
      </c>
      <c r="F1294">
        <v>7</v>
      </c>
      <c r="G1294">
        <v>18.95</v>
      </c>
      <c r="H1294">
        <v>6.76</v>
      </c>
      <c r="I1294">
        <v>0.17</v>
      </c>
      <c r="J1294" t="s">
        <v>120</v>
      </c>
      <c r="K1294" t="s">
        <v>34</v>
      </c>
      <c r="L1294">
        <v>49</v>
      </c>
      <c r="M1294">
        <v>1.71</v>
      </c>
      <c r="N1294">
        <v>191.47</v>
      </c>
      <c r="O1294">
        <v>0.42</v>
      </c>
      <c r="P1294">
        <v>0</v>
      </c>
      <c r="Q1294">
        <v>0.93</v>
      </c>
      <c r="R1294">
        <v>926</v>
      </c>
      <c r="S1294">
        <v>10.38</v>
      </c>
      <c r="T1294">
        <v>0.67</v>
      </c>
      <c r="U1294" s="1">
        <v>45483</v>
      </c>
      <c r="V1294">
        <v>38.549999999999997</v>
      </c>
      <c r="W1294">
        <v>0.81599999999999995</v>
      </c>
      <c r="X1294" t="str">
        <f>IF(WarehouseData[[#This Row],[stock_level]]&lt;=WarehouseData[[#This Row],[reorder_point]],"Low Stock","Sufficient Stock")</f>
        <v>Low Stock</v>
      </c>
      <c r="Y1294">
        <f>WarehouseData[[#This Row],[daily_demand]]*WarehouseData[[#This Row],[lead_time_days]]</f>
        <v>132.65</v>
      </c>
      <c r="Z1294" t="str">
        <f>IF(WarehouseData[[#This Row],[stock_level]]&lt;=WarehouseData[[#This Row],[Demand During Lead Time]],"At Risk","Safe")</f>
        <v>At Risk</v>
      </c>
      <c r="AA1294">
        <f>WarehouseData[[#This Row],[stock_level]]/WarehouseData[[#This Row],[daily_demand]]</f>
        <v>3.3773087071240107</v>
      </c>
      <c r="AB1294">
        <f>WarehouseData[[#This Row],[stock_level]]*WarehouseData[[#This Row],[unit_price]]</f>
        <v>12254.08</v>
      </c>
      <c r="AC1294">
        <f>WarehouseData[[#This Row],[stock_level]]*WarehouseData[[#This Row],[holding_cost_per_unit_day]]*30</f>
        <v>806.4</v>
      </c>
      <c r="AD1294" t="str">
        <f>IF(WarehouseData[[#This Row],[order_fulfillment_rate]]&gt;=0.9,"Strong",IF(WarehouseData[[#This Row],[order_fulfillment_rate]]&gt;=0.8,"Moderate","Needs Attention"))</f>
        <v>Strong</v>
      </c>
      <c r="AE1294" t="str">
        <f>IF(WarehouseData[[#This Row],[picking_time_seconds]]&gt;120,"Slow",IF(WarehouseData[[#This Row],[picking_time_seconds]]&gt;=60,"Average","Fast"))</f>
        <v>Fast</v>
      </c>
    </row>
    <row r="1295" spans="1:31" x14ac:dyDescent="0.25">
      <c r="A1295" t="s">
        <v>1433</v>
      </c>
      <c r="B1295" t="s">
        <v>48</v>
      </c>
      <c r="C1295">
        <v>420</v>
      </c>
      <c r="D1295">
        <v>95</v>
      </c>
      <c r="E1295">
        <v>3</v>
      </c>
      <c r="F1295">
        <v>2</v>
      </c>
      <c r="G1295">
        <v>2.8</v>
      </c>
      <c r="H1295">
        <v>7.49</v>
      </c>
      <c r="I1295">
        <v>0.69</v>
      </c>
      <c r="J1295" t="s">
        <v>276</v>
      </c>
      <c r="K1295" t="s">
        <v>46</v>
      </c>
      <c r="L1295">
        <v>136</v>
      </c>
      <c r="M1295">
        <v>2.71</v>
      </c>
      <c r="N1295">
        <v>160.68</v>
      </c>
      <c r="O1295">
        <v>0.24</v>
      </c>
      <c r="P1295">
        <v>8</v>
      </c>
      <c r="Q1295">
        <v>0.85</v>
      </c>
      <c r="R1295">
        <v>452</v>
      </c>
      <c r="S1295">
        <v>5.3</v>
      </c>
      <c r="T1295">
        <v>0.73</v>
      </c>
      <c r="U1295" s="1">
        <v>45652</v>
      </c>
      <c r="V1295">
        <v>112.29</v>
      </c>
      <c r="W1295">
        <v>0.60299999999999998</v>
      </c>
      <c r="X1295" t="str">
        <f>IF(WarehouseData[[#This Row],[stock_level]]&lt;=WarehouseData[[#This Row],[reorder_point]],"Low Stock","Sufficient Stock")</f>
        <v>Sufficient Stock</v>
      </c>
      <c r="Y1295">
        <f>WarehouseData[[#This Row],[daily_demand]]*WarehouseData[[#This Row],[lead_time_days]]</f>
        <v>5.6</v>
      </c>
      <c r="Z1295" t="str">
        <f>IF(WarehouseData[[#This Row],[stock_level]]&lt;=WarehouseData[[#This Row],[Demand During Lead Time]],"At Risk","Safe")</f>
        <v>Safe</v>
      </c>
      <c r="AA1295">
        <f>WarehouseData[[#This Row],[stock_level]]/WarehouseData[[#This Row],[daily_demand]]</f>
        <v>150</v>
      </c>
      <c r="AB1295">
        <f>WarehouseData[[#This Row],[stock_level]]*WarehouseData[[#This Row],[unit_price]]</f>
        <v>67485.600000000006</v>
      </c>
      <c r="AC1295">
        <f>WarehouseData[[#This Row],[stock_level]]*WarehouseData[[#This Row],[holding_cost_per_unit_day]]*30</f>
        <v>3024</v>
      </c>
      <c r="AD1295" t="str">
        <f>IF(WarehouseData[[#This Row],[order_fulfillment_rate]]&gt;=0.9,"Strong",IF(WarehouseData[[#This Row],[order_fulfillment_rate]]&gt;=0.8,"Moderate","Needs Attention"))</f>
        <v>Moderate</v>
      </c>
      <c r="AE1295" t="str">
        <f>IF(WarehouseData[[#This Row],[picking_time_seconds]]&gt;120,"Slow",IF(WarehouseData[[#This Row],[picking_time_seconds]]&gt;=60,"Average","Fast"))</f>
        <v>Slow</v>
      </c>
    </row>
    <row r="1296" spans="1:31" x14ac:dyDescent="0.25">
      <c r="A1296" t="s">
        <v>1434</v>
      </c>
      <c r="B1296" t="s">
        <v>40</v>
      </c>
      <c r="C1296">
        <v>266</v>
      </c>
      <c r="D1296">
        <v>85</v>
      </c>
      <c r="E1296">
        <v>13</v>
      </c>
      <c r="F1296">
        <v>9</v>
      </c>
      <c r="G1296">
        <v>45.31</v>
      </c>
      <c r="H1296">
        <v>9.4</v>
      </c>
      <c r="I1296">
        <v>0.22</v>
      </c>
      <c r="J1296" t="s">
        <v>163</v>
      </c>
      <c r="K1296" t="s">
        <v>38</v>
      </c>
      <c r="L1296">
        <v>128</v>
      </c>
      <c r="M1296">
        <v>4.7699999999999996</v>
      </c>
      <c r="N1296">
        <v>81.66</v>
      </c>
      <c r="O1296">
        <v>0.67</v>
      </c>
      <c r="P1296">
        <v>2</v>
      </c>
      <c r="Q1296">
        <v>0.76</v>
      </c>
      <c r="R1296">
        <v>371</v>
      </c>
      <c r="S1296">
        <v>12.28</v>
      </c>
      <c r="T1296">
        <v>0.71</v>
      </c>
      <c r="U1296" s="1">
        <v>45631</v>
      </c>
      <c r="V1296">
        <v>23.81</v>
      </c>
      <c r="W1296">
        <v>0.751</v>
      </c>
      <c r="X1296" t="str">
        <f>IF(WarehouseData[[#This Row],[stock_level]]&lt;=WarehouseData[[#This Row],[reorder_point]],"Low Stock","Sufficient Stock")</f>
        <v>Sufficient Stock</v>
      </c>
      <c r="Y1296">
        <f>WarehouseData[[#This Row],[daily_demand]]*WarehouseData[[#This Row],[lead_time_days]]</f>
        <v>407.79</v>
      </c>
      <c r="Z1296" t="str">
        <f>IF(WarehouseData[[#This Row],[stock_level]]&lt;=WarehouseData[[#This Row],[Demand During Lead Time]],"At Risk","Safe")</f>
        <v>At Risk</v>
      </c>
      <c r="AA1296">
        <f>WarehouseData[[#This Row],[stock_level]]/WarehouseData[[#This Row],[daily_demand]]</f>
        <v>5.8706687265504298</v>
      </c>
      <c r="AB1296">
        <f>WarehouseData[[#This Row],[stock_level]]*WarehouseData[[#This Row],[unit_price]]</f>
        <v>21721.559999999998</v>
      </c>
      <c r="AC1296">
        <f>WarehouseData[[#This Row],[stock_level]]*WarehouseData[[#This Row],[holding_cost_per_unit_day]]*30</f>
        <v>5346.6</v>
      </c>
      <c r="AD1296" t="str">
        <f>IF(WarehouseData[[#This Row],[order_fulfillment_rate]]&gt;=0.9,"Strong",IF(WarehouseData[[#This Row],[order_fulfillment_rate]]&gt;=0.8,"Moderate","Needs Attention"))</f>
        <v>Needs Attention</v>
      </c>
      <c r="AE1296" t="str">
        <f>IF(WarehouseData[[#This Row],[picking_time_seconds]]&gt;120,"Slow",IF(WarehouseData[[#This Row],[picking_time_seconds]]&gt;=60,"Average","Fast"))</f>
        <v>Slow</v>
      </c>
    </row>
    <row r="1297" spans="1:31" x14ac:dyDescent="0.25">
      <c r="A1297" t="s">
        <v>1435</v>
      </c>
      <c r="B1297" t="s">
        <v>48</v>
      </c>
      <c r="C1297">
        <v>123</v>
      </c>
      <c r="D1297">
        <v>11</v>
      </c>
      <c r="E1297">
        <v>12</v>
      </c>
      <c r="F1297">
        <v>7</v>
      </c>
      <c r="G1297">
        <v>7.26</v>
      </c>
      <c r="H1297">
        <v>9.6199999999999992</v>
      </c>
      <c r="I1297">
        <v>0.54</v>
      </c>
      <c r="J1297" t="s">
        <v>90</v>
      </c>
      <c r="K1297" t="s">
        <v>52</v>
      </c>
      <c r="L1297">
        <v>82</v>
      </c>
      <c r="M1297">
        <v>1.8</v>
      </c>
      <c r="N1297">
        <v>22.53</v>
      </c>
      <c r="O1297">
        <v>0.17</v>
      </c>
      <c r="P1297">
        <v>0</v>
      </c>
      <c r="Q1297">
        <v>0.92</v>
      </c>
      <c r="R1297">
        <v>350</v>
      </c>
      <c r="S1297">
        <v>10.08</v>
      </c>
      <c r="T1297">
        <v>0.63</v>
      </c>
      <c r="U1297" s="1">
        <v>45494</v>
      </c>
      <c r="V1297">
        <v>204.26</v>
      </c>
      <c r="W1297">
        <v>0.82699999999999996</v>
      </c>
      <c r="X1297" t="str">
        <f>IF(WarehouseData[[#This Row],[stock_level]]&lt;=WarehouseData[[#This Row],[reorder_point]],"Low Stock","Sufficient Stock")</f>
        <v>Sufficient Stock</v>
      </c>
      <c r="Y1297">
        <f>WarehouseData[[#This Row],[daily_demand]]*WarehouseData[[#This Row],[lead_time_days]]</f>
        <v>50.82</v>
      </c>
      <c r="Z1297" t="str">
        <f>IF(WarehouseData[[#This Row],[stock_level]]&lt;=WarehouseData[[#This Row],[Demand During Lead Time]],"At Risk","Safe")</f>
        <v>Safe</v>
      </c>
      <c r="AA1297">
        <f>WarehouseData[[#This Row],[stock_level]]/WarehouseData[[#This Row],[daily_demand]]</f>
        <v>16.942148760330578</v>
      </c>
      <c r="AB1297">
        <f>WarehouseData[[#This Row],[stock_level]]*WarehouseData[[#This Row],[unit_price]]</f>
        <v>2771.19</v>
      </c>
      <c r="AC1297">
        <f>WarehouseData[[#This Row],[stock_level]]*WarehouseData[[#This Row],[holding_cost_per_unit_day]]*30</f>
        <v>627.29999999999995</v>
      </c>
      <c r="AD1297" t="str">
        <f>IF(WarehouseData[[#This Row],[order_fulfillment_rate]]&gt;=0.9,"Strong",IF(WarehouseData[[#This Row],[order_fulfillment_rate]]&gt;=0.8,"Moderate","Needs Attention"))</f>
        <v>Strong</v>
      </c>
      <c r="AE1297" t="str">
        <f>IF(WarehouseData[[#This Row],[picking_time_seconds]]&gt;120,"Slow",IF(WarehouseData[[#This Row],[picking_time_seconds]]&gt;=60,"Average","Fast"))</f>
        <v>Average</v>
      </c>
    </row>
    <row r="1298" spans="1:31" x14ac:dyDescent="0.25">
      <c r="A1298" t="s">
        <v>1436</v>
      </c>
      <c r="B1298" t="s">
        <v>73</v>
      </c>
      <c r="C1298">
        <v>104</v>
      </c>
      <c r="D1298">
        <v>16</v>
      </c>
      <c r="E1298">
        <v>8</v>
      </c>
      <c r="F1298">
        <v>4</v>
      </c>
      <c r="G1298">
        <v>47.45</v>
      </c>
      <c r="H1298">
        <v>9.7100000000000009</v>
      </c>
      <c r="I1298">
        <v>0.24</v>
      </c>
      <c r="J1298" t="s">
        <v>113</v>
      </c>
      <c r="K1298" t="s">
        <v>46</v>
      </c>
      <c r="L1298">
        <v>49</v>
      </c>
      <c r="M1298">
        <v>4.97</v>
      </c>
      <c r="N1298">
        <v>28.69</v>
      </c>
      <c r="O1298">
        <v>1.69</v>
      </c>
      <c r="P1298">
        <v>6</v>
      </c>
      <c r="Q1298">
        <v>0.74</v>
      </c>
      <c r="R1298">
        <v>120</v>
      </c>
      <c r="S1298">
        <v>5.35</v>
      </c>
      <c r="T1298">
        <v>0.59</v>
      </c>
      <c r="U1298" s="1">
        <v>45592</v>
      </c>
      <c r="V1298">
        <v>107.77</v>
      </c>
      <c r="W1298">
        <v>0.44800000000000001</v>
      </c>
      <c r="X1298" t="str">
        <f>IF(WarehouseData[[#This Row],[stock_level]]&lt;=WarehouseData[[#This Row],[reorder_point]],"Low Stock","Sufficient Stock")</f>
        <v>Sufficient Stock</v>
      </c>
      <c r="Y1298">
        <f>WarehouseData[[#This Row],[daily_demand]]*WarehouseData[[#This Row],[lead_time_days]]</f>
        <v>189.8</v>
      </c>
      <c r="Z1298" t="str">
        <f>IF(WarehouseData[[#This Row],[stock_level]]&lt;=WarehouseData[[#This Row],[Demand During Lead Time]],"At Risk","Safe")</f>
        <v>At Risk</v>
      </c>
      <c r="AA1298">
        <f>WarehouseData[[#This Row],[stock_level]]/WarehouseData[[#This Row],[daily_demand]]</f>
        <v>2.1917808219178081</v>
      </c>
      <c r="AB1298">
        <f>WarehouseData[[#This Row],[stock_level]]*WarehouseData[[#This Row],[unit_price]]</f>
        <v>2983.76</v>
      </c>
      <c r="AC1298">
        <f>WarehouseData[[#This Row],[stock_level]]*WarehouseData[[#This Row],[holding_cost_per_unit_day]]*30</f>
        <v>5272.7999999999993</v>
      </c>
      <c r="AD1298" t="str">
        <f>IF(WarehouseData[[#This Row],[order_fulfillment_rate]]&gt;=0.9,"Strong",IF(WarehouseData[[#This Row],[order_fulfillment_rate]]&gt;=0.8,"Moderate","Needs Attention"))</f>
        <v>Needs Attention</v>
      </c>
      <c r="AE1298" t="str">
        <f>IF(WarehouseData[[#This Row],[picking_time_seconds]]&gt;120,"Slow",IF(WarehouseData[[#This Row],[picking_time_seconds]]&gt;=60,"Average","Fast"))</f>
        <v>Fast</v>
      </c>
    </row>
    <row r="1299" spans="1:31" x14ac:dyDescent="0.25">
      <c r="A1299" t="s">
        <v>1437</v>
      </c>
      <c r="B1299" t="s">
        <v>40</v>
      </c>
      <c r="C1299">
        <v>469</v>
      </c>
      <c r="D1299">
        <v>35</v>
      </c>
      <c r="E1299">
        <v>13</v>
      </c>
      <c r="F1299">
        <v>8</v>
      </c>
      <c r="G1299">
        <v>29.02</v>
      </c>
      <c r="H1299">
        <v>6.44</v>
      </c>
      <c r="I1299">
        <v>0.25</v>
      </c>
      <c r="J1299" t="s">
        <v>234</v>
      </c>
      <c r="K1299" t="s">
        <v>38</v>
      </c>
      <c r="L1299">
        <v>105</v>
      </c>
      <c r="M1299">
        <v>1.53</v>
      </c>
      <c r="N1299">
        <v>10.220000000000001</v>
      </c>
      <c r="O1299">
        <v>1.44</v>
      </c>
      <c r="P1299">
        <v>2</v>
      </c>
      <c r="Q1299">
        <v>0.75</v>
      </c>
      <c r="R1299">
        <v>263</v>
      </c>
      <c r="S1299">
        <v>6.04</v>
      </c>
      <c r="T1299">
        <v>0.26</v>
      </c>
      <c r="U1299" s="1">
        <v>45343</v>
      </c>
      <c r="V1299">
        <v>224.13</v>
      </c>
      <c r="W1299">
        <v>0.499</v>
      </c>
      <c r="X1299" t="str">
        <f>IF(WarehouseData[[#This Row],[stock_level]]&lt;=WarehouseData[[#This Row],[reorder_point]],"Low Stock","Sufficient Stock")</f>
        <v>Sufficient Stock</v>
      </c>
      <c r="Y1299">
        <f>WarehouseData[[#This Row],[daily_demand]]*WarehouseData[[#This Row],[lead_time_days]]</f>
        <v>232.16</v>
      </c>
      <c r="Z1299" t="str">
        <f>IF(WarehouseData[[#This Row],[stock_level]]&lt;=WarehouseData[[#This Row],[Demand During Lead Time]],"At Risk","Safe")</f>
        <v>Safe</v>
      </c>
      <c r="AA1299">
        <f>WarehouseData[[#This Row],[stock_level]]/WarehouseData[[#This Row],[daily_demand]]</f>
        <v>16.161268090971745</v>
      </c>
      <c r="AB1299">
        <f>WarehouseData[[#This Row],[stock_level]]*WarehouseData[[#This Row],[unit_price]]</f>
        <v>4793.18</v>
      </c>
      <c r="AC1299">
        <f>WarehouseData[[#This Row],[stock_level]]*WarehouseData[[#This Row],[holding_cost_per_unit_day]]*30</f>
        <v>20260.8</v>
      </c>
      <c r="AD1299" t="str">
        <f>IF(WarehouseData[[#This Row],[order_fulfillment_rate]]&gt;=0.9,"Strong",IF(WarehouseData[[#This Row],[order_fulfillment_rate]]&gt;=0.8,"Moderate","Needs Attention"))</f>
        <v>Needs Attention</v>
      </c>
      <c r="AE1299" t="str">
        <f>IF(WarehouseData[[#This Row],[picking_time_seconds]]&gt;120,"Slow",IF(WarehouseData[[#This Row],[picking_time_seconds]]&gt;=60,"Average","Fast"))</f>
        <v>Average</v>
      </c>
    </row>
    <row r="1300" spans="1:31" x14ac:dyDescent="0.25">
      <c r="A1300" t="s">
        <v>1438</v>
      </c>
      <c r="B1300" t="s">
        <v>32</v>
      </c>
      <c r="C1300">
        <v>153</v>
      </c>
      <c r="D1300">
        <v>99</v>
      </c>
      <c r="E1300">
        <v>3</v>
      </c>
      <c r="F1300">
        <v>3</v>
      </c>
      <c r="G1300">
        <v>15.97</v>
      </c>
      <c r="H1300">
        <v>4.1500000000000004</v>
      </c>
      <c r="I1300">
        <v>0.1</v>
      </c>
      <c r="J1300" t="s">
        <v>70</v>
      </c>
      <c r="K1300" t="s">
        <v>52</v>
      </c>
      <c r="L1300">
        <v>32</v>
      </c>
      <c r="M1300">
        <v>1.44</v>
      </c>
      <c r="N1300">
        <v>10.36</v>
      </c>
      <c r="O1300">
        <v>1.17</v>
      </c>
      <c r="P1300">
        <v>7</v>
      </c>
      <c r="Q1300">
        <v>0.93</v>
      </c>
      <c r="R1300">
        <v>923</v>
      </c>
      <c r="S1300">
        <v>14.19</v>
      </c>
      <c r="T1300">
        <v>0.87</v>
      </c>
      <c r="U1300" s="1">
        <v>45464</v>
      </c>
      <c r="V1300">
        <v>134.62</v>
      </c>
      <c r="W1300">
        <v>0.69199999999999995</v>
      </c>
      <c r="X1300" t="str">
        <f>IF(WarehouseData[[#This Row],[stock_level]]&lt;=WarehouseData[[#This Row],[reorder_point]],"Low Stock","Sufficient Stock")</f>
        <v>Sufficient Stock</v>
      </c>
      <c r="Y1300">
        <f>WarehouseData[[#This Row],[daily_demand]]*WarehouseData[[#This Row],[lead_time_days]]</f>
        <v>47.910000000000004</v>
      </c>
      <c r="Z1300" t="str">
        <f>IF(WarehouseData[[#This Row],[stock_level]]&lt;=WarehouseData[[#This Row],[Demand During Lead Time]],"At Risk","Safe")</f>
        <v>Safe</v>
      </c>
      <c r="AA1300">
        <f>WarehouseData[[#This Row],[stock_level]]/WarehouseData[[#This Row],[daily_demand]]</f>
        <v>9.580463368816531</v>
      </c>
      <c r="AB1300">
        <f>WarehouseData[[#This Row],[stock_level]]*WarehouseData[[#This Row],[unit_price]]</f>
        <v>1585.08</v>
      </c>
      <c r="AC1300">
        <f>WarehouseData[[#This Row],[stock_level]]*WarehouseData[[#This Row],[holding_cost_per_unit_day]]*30</f>
        <v>5370.2999999999993</v>
      </c>
      <c r="AD1300" t="str">
        <f>IF(WarehouseData[[#This Row],[order_fulfillment_rate]]&gt;=0.9,"Strong",IF(WarehouseData[[#This Row],[order_fulfillment_rate]]&gt;=0.8,"Moderate","Needs Attention"))</f>
        <v>Strong</v>
      </c>
      <c r="AE1300" t="str">
        <f>IF(WarehouseData[[#This Row],[picking_time_seconds]]&gt;120,"Slow",IF(WarehouseData[[#This Row],[picking_time_seconds]]&gt;=60,"Average","Fast"))</f>
        <v>Fast</v>
      </c>
    </row>
    <row r="1301" spans="1:31" x14ac:dyDescent="0.25">
      <c r="A1301" t="s">
        <v>1439</v>
      </c>
      <c r="B1301" t="s">
        <v>32</v>
      </c>
      <c r="C1301">
        <v>127</v>
      </c>
      <c r="D1301">
        <v>97</v>
      </c>
      <c r="E1301">
        <v>11</v>
      </c>
      <c r="F1301">
        <v>7</v>
      </c>
      <c r="G1301">
        <v>25.28</v>
      </c>
      <c r="H1301">
        <v>1.76</v>
      </c>
      <c r="I1301">
        <v>0.39</v>
      </c>
      <c r="J1301" t="s">
        <v>353</v>
      </c>
      <c r="K1301" t="s">
        <v>34</v>
      </c>
      <c r="L1301">
        <v>152</v>
      </c>
      <c r="M1301">
        <v>2.95</v>
      </c>
      <c r="N1301">
        <v>187.92</v>
      </c>
      <c r="O1301">
        <v>1.79</v>
      </c>
      <c r="P1301">
        <v>1</v>
      </c>
      <c r="Q1301">
        <v>0.93</v>
      </c>
      <c r="R1301">
        <v>594</v>
      </c>
      <c r="S1301">
        <v>14.27</v>
      </c>
      <c r="T1301">
        <v>0.61</v>
      </c>
      <c r="U1301" s="1">
        <v>45446</v>
      </c>
      <c r="V1301">
        <v>23.22</v>
      </c>
      <c r="W1301">
        <v>0.69899999999999995</v>
      </c>
      <c r="X1301" t="str">
        <f>IF(WarehouseData[[#This Row],[stock_level]]&lt;=WarehouseData[[#This Row],[reorder_point]],"Low Stock","Sufficient Stock")</f>
        <v>Sufficient Stock</v>
      </c>
      <c r="Y1301">
        <f>WarehouseData[[#This Row],[daily_demand]]*WarehouseData[[#This Row],[lead_time_days]]</f>
        <v>176.96</v>
      </c>
      <c r="Z1301" t="str">
        <f>IF(WarehouseData[[#This Row],[stock_level]]&lt;=WarehouseData[[#This Row],[Demand During Lead Time]],"At Risk","Safe")</f>
        <v>At Risk</v>
      </c>
      <c r="AA1301">
        <f>WarehouseData[[#This Row],[stock_level]]/WarehouseData[[#This Row],[daily_demand]]</f>
        <v>5.0237341772151893</v>
      </c>
      <c r="AB1301">
        <f>WarehouseData[[#This Row],[stock_level]]*WarehouseData[[#This Row],[unit_price]]</f>
        <v>23865.84</v>
      </c>
      <c r="AC1301">
        <f>WarehouseData[[#This Row],[stock_level]]*WarehouseData[[#This Row],[holding_cost_per_unit_day]]*30</f>
        <v>6819.9000000000005</v>
      </c>
      <c r="AD1301" t="str">
        <f>IF(WarehouseData[[#This Row],[order_fulfillment_rate]]&gt;=0.9,"Strong",IF(WarehouseData[[#This Row],[order_fulfillment_rate]]&gt;=0.8,"Moderate","Needs Attention"))</f>
        <v>Strong</v>
      </c>
      <c r="AE1301" t="str">
        <f>IF(WarehouseData[[#This Row],[picking_time_seconds]]&gt;120,"Slow",IF(WarehouseData[[#This Row],[picking_time_seconds]]&gt;=60,"Average","Fast"))</f>
        <v>Slow</v>
      </c>
    </row>
    <row r="1302" spans="1:31" x14ac:dyDescent="0.25">
      <c r="A1302" t="s">
        <v>1440</v>
      </c>
      <c r="B1302" t="s">
        <v>36</v>
      </c>
      <c r="C1302">
        <v>37</v>
      </c>
      <c r="D1302">
        <v>85</v>
      </c>
      <c r="E1302">
        <v>4</v>
      </c>
      <c r="F1302">
        <v>7</v>
      </c>
      <c r="G1302">
        <v>25.58</v>
      </c>
      <c r="H1302">
        <v>4.16</v>
      </c>
      <c r="I1302">
        <v>0.18</v>
      </c>
      <c r="J1302" t="s">
        <v>79</v>
      </c>
      <c r="K1302" t="s">
        <v>38</v>
      </c>
      <c r="L1302">
        <v>124</v>
      </c>
      <c r="M1302">
        <v>4.29</v>
      </c>
      <c r="N1302">
        <v>186.13</v>
      </c>
      <c r="O1302">
        <v>0.31</v>
      </c>
      <c r="P1302">
        <v>3</v>
      </c>
      <c r="Q1302">
        <v>0.94</v>
      </c>
      <c r="R1302">
        <v>423</v>
      </c>
      <c r="S1302">
        <v>6.86</v>
      </c>
      <c r="T1302">
        <v>0.31</v>
      </c>
      <c r="U1302" s="1">
        <v>45457</v>
      </c>
      <c r="V1302">
        <v>120.09</v>
      </c>
      <c r="W1302">
        <v>0.65</v>
      </c>
      <c r="X1302" t="str">
        <f>IF(WarehouseData[[#This Row],[stock_level]]&lt;=WarehouseData[[#This Row],[reorder_point]],"Low Stock","Sufficient Stock")</f>
        <v>Low Stock</v>
      </c>
      <c r="Y1302">
        <f>WarehouseData[[#This Row],[daily_demand]]*WarehouseData[[#This Row],[lead_time_days]]</f>
        <v>179.06</v>
      </c>
      <c r="Z1302" t="str">
        <f>IF(WarehouseData[[#This Row],[stock_level]]&lt;=WarehouseData[[#This Row],[Demand During Lead Time]],"At Risk","Safe")</f>
        <v>At Risk</v>
      </c>
      <c r="AA1302">
        <f>WarehouseData[[#This Row],[stock_level]]/WarehouseData[[#This Row],[daily_demand]]</f>
        <v>1.4464425332290853</v>
      </c>
      <c r="AB1302">
        <f>WarehouseData[[#This Row],[stock_level]]*WarehouseData[[#This Row],[unit_price]]</f>
        <v>6886.8099999999995</v>
      </c>
      <c r="AC1302">
        <f>WarehouseData[[#This Row],[stock_level]]*WarehouseData[[#This Row],[holding_cost_per_unit_day]]*30</f>
        <v>344.1</v>
      </c>
      <c r="AD1302" t="str">
        <f>IF(WarehouseData[[#This Row],[order_fulfillment_rate]]&gt;=0.9,"Strong",IF(WarehouseData[[#This Row],[order_fulfillment_rate]]&gt;=0.8,"Moderate","Needs Attention"))</f>
        <v>Strong</v>
      </c>
      <c r="AE1302" t="str">
        <f>IF(WarehouseData[[#This Row],[picking_time_seconds]]&gt;120,"Slow",IF(WarehouseData[[#This Row],[picking_time_seconds]]&gt;=60,"Average","Fast"))</f>
        <v>Slow</v>
      </c>
    </row>
    <row r="1303" spans="1:31" x14ac:dyDescent="0.25">
      <c r="A1303" t="s">
        <v>1441</v>
      </c>
      <c r="B1303" t="s">
        <v>48</v>
      </c>
      <c r="C1303">
        <v>113</v>
      </c>
      <c r="D1303">
        <v>25</v>
      </c>
      <c r="E1303">
        <v>3</v>
      </c>
      <c r="F1303">
        <v>9</v>
      </c>
      <c r="G1303">
        <v>2.14</v>
      </c>
      <c r="H1303">
        <v>9.4600000000000009</v>
      </c>
      <c r="I1303">
        <v>0.45</v>
      </c>
      <c r="J1303" t="s">
        <v>66</v>
      </c>
      <c r="K1303" t="s">
        <v>38</v>
      </c>
      <c r="L1303">
        <v>125</v>
      </c>
      <c r="M1303">
        <v>3.87</v>
      </c>
      <c r="N1303">
        <v>136.84</v>
      </c>
      <c r="O1303">
        <v>1.46</v>
      </c>
      <c r="P1303">
        <v>1</v>
      </c>
      <c r="Q1303">
        <v>0.79</v>
      </c>
      <c r="R1303">
        <v>385</v>
      </c>
      <c r="S1303">
        <v>10.51</v>
      </c>
      <c r="T1303">
        <v>0.31</v>
      </c>
      <c r="U1303" s="1">
        <v>45361</v>
      </c>
      <c r="V1303">
        <v>73.42</v>
      </c>
      <c r="W1303">
        <v>0.59399999999999997</v>
      </c>
      <c r="X1303" t="str">
        <f>IF(WarehouseData[[#This Row],[stock_level]]&lt;=WarehouseData[[#This Row],[reorder_point]],"Low Stock","Sufficient Stock")</f>
        <v>Sufficient Stock</v>
      </c>
      <c r="Y1303">
        <f>WarehouseData[[#This Row],[daily_demand]]*WarehouseData[[#This Row],[lead_time_days]]</f>
        <v>19.260000000000002</v>
      </c>
      <c r="Z1303" t="str">
        <f>IF(WarehouseData[[#This Row],[stock_level]]&lt;=WarehouseData[[#This Row],[Demand During Lead Time]],"At Risk","Safe")</f>
        <v>Safe</v>
      </c>
      <c r="AA1303">
        <f>WarehouseData[[#This Row],[stock_level]]/WarehouseData[[#This Row],[daily_demand]]</f>
        <v>52.803738317757009</v>
      </c>
      <c r="AB1303">
        <f>WarehouseData[[#This Row],[stock_level]]*WarehouseData[[#This Row],[unit_price]]</f>
        <v>15462.92</v>
      </c>
      <c r="AC1303">
        <f>WarehouseData[[#This Row],[stock_level]]*WarehouseData[[#This Row],[holding_cost_per_unit_day]]*30</f>
        <v>4949.3999999999996</v>
      </c>
      <c r="AD1303" t="str">
        <f>IF(WarehouseData[[#This Row],[order_fulfillment_rate]]&gt;=0.9,"Strong",IF(WarehouseData[[#This Row],[order_fulfillment_rate]]&gt;=0.8,"Moderate","Needs Attention"))</f>
        <v>Needs Attention</v>
      </c>
      <c r="AE1303" t="str">
        <f>IF(WarehouseData[[#This Row],[picking_time_seconds]]&gt;120,"Slow",IF(WarehouseData[[#This Row],[picking_time_seconds]]&gt;=60,"Average","Fast"))</f>
        <v>Slow</v>
      </c>
    </row>
    <row r="1304" spans="1:31" x14ac:dyDescent="0.25">
      <c r="A1304" t="s">
        <v>1442</v>
      </c>
      <c r="B1304" t="s">
        <v>40</v>
      </c>
      <c r="C1304">
        <v>169</v>
      </c>
      <c r="D1304">
        <v>32</v>
      </c>
      <c r="E1304">
        <v>14</v>
      </c>
      <c r="F1304">
        <v>8</v>
      </c>
      <c r="G1304">
        <v>18.420000000000002</v>
      </c>
      <c r="H1304">
        <v>8.9499999999999993</v>
      </c>
      <c r="I1304">
        <v>0.64</v>
      </c>
      <c r="J1304" t="s">
        <v>401</v>
      </c>
      <c r="K1304" t="s">
        <v>46</v>
      </c>
      <c r="L1304">
        <v>142</v>
      </c>
      <c r="M1304">
        <v>3.76</v>
      </c>
      <c r="N1304">
        <v>148.07</v>
      </c>
      <c r="O1304">
        <v>0.38</v>
      </c>
      <c r="P1304">
        <v>3</v>
      </c>
      <c r="Q1304">
        <v>0.96</v>
      </c>
      <c r="R1304">
        <v>220</v>
      </c>
      <c r="S1304">
        <v>14.72</v>
      </c>
      <c r="T1304">
        <v>0.61</v>
      </c>
      <c r="U1304" s="1">
        <v>45372</v>
      </c>
      <c r="V1304">
        <v>72.14</v>
      </c>
      <c r="W1304">
        <v>0.81200000000000006</v>
      </c>
      <c r="X1304" t="str">
        <f>IF(WarehouseData[[#This Row],[stock_level]]&lt;=WarehouseData[[#This Row],[reorder_point]],"Low Stock","Sufficient Stock")</f>
        <v>Sufficient Stock</v>
      </c>
      <c r="Y1304">
        <f>WarehouseData[[#This Row],[daily_demand]]*WarehouseData[[#This Row],[lead_time_days]]</f>
        <v>147.36000000000001</v>
      </c>
      <c r="Z1304" t="str">
        <f>IF(WarehouseData[[#This Row],[stock_level]]&lt;=WarehouseData[[#This Row],[Demand During Lead Time]],"At Risk","Safe")</f>
        <v>Safe</v>
      </c>
      <c r="AA1304">
        <f>WarehouseData[[#This Row],[stock_level]]/WarehouseData[[#This Row],[daily_demand]]</f>
        <v>9.1748099891422363</v>
      </c>
      <c r="AB1304">
        <f>WarehouseData[[#This Row],[stock_level]]*WarehouseData[[#This Row],[unit_price]]</f>
        <v>25023.829999999998</v>
      </c>
      <c r="AC1304">
        <f>WarehouseData[[#This Row],[stock_level]]*WarehouseData[[#This Row],[holding_cost_per_unit_day]]*30</f>
        <v>1926.6</v>
      </c>
      <c r="AD1304" t="str">
        <f>IF(WarehouseData[[#This Row],[order_fulfillment_rate]]&gt;=0.9,"Strong",IF(WarehouseData[[#This Row],[order_fulfillment_rate]]&gt;=0.8,"Moderate","Needs Attention"))</f>
        <v>Strong</v>
      </c>
      <c r="AE1304" t="str">
        <f>IF(WarehouseData[[#This Row],[picking_time_seconds]]&gt;120,"Slow",IF(WarehouseData[[#This Row],[picking_time_seconds]]&gt;=60,"Average","Fast"))</f>
        <v>Slow</v>
      </c>
    </row>
    <row r="1305" spans="1:31" x14ac:dyDescent="0.25">
      <c r="A1305" t="s">
        <v>1443</v>
      </c>
      <c r="B1305" t="s">
        <v>36</v>
      </c>
      <c r="C1305">
        <v>265</v>
      </c>
      <c r="D1305">
        <v>49</v>
      </c>
      <c r="E1305">
        <v>9</v>
      </c>
      <c r="F1305">
        <v>8</v>
      </c>
      <c r="G1305">
        <v>37.25</v>
      </c>
      <c r="H1305">
        <v>5.47</v>
      </c>
      <c r="I1305">
        <v>0.43</v>
      </c>
      <c r="J1305" t="s">
        <v>122</v>
      </c>
      <c r="K1305" t="s">
        <v>52</v>
      </c>
      <c r="L1305">
        <v>177</v>
      </c>
      <c r="M1305">
        <v>1.77</v>
      </c>
      <c r="N1305">
        <v>107.51</v>
      </c>
      <c r="O1305">
        <v>0.22</v>
      </c>
      <c r="P1305">
        <v>0</v>
      </c>
      <c r="Q1305">
        <v>0.92</v>
      </c>
      <c r="R1305">
        <v>393</v>
      </c>
      <c r="S1305">
        <v>14.92</v>
      </c>
      <c r="T1305">
        <v>0.4</v>
      </c>
      <c r="U1305" s="1">
        <v>45515</v>
      </c>
      <c r="V1305">
        <v>119.51</v>
      </c>
      <c r="W1305">
        <v>0.84099999999999997</v>
      </c>
      <c r="X1305" t="str">
        <f>IF(WarehouseData[[#This Row],[stock_level]]&lt;=WarehouseData[[#This Row],[reorder_point]],"Low Stock","Sufficient Stock")</f>
        <v>Sufficient Stock</v>
      </c>
      <c r="Y1305">
        <f>WarehouseData[[#This Row],[daily_demand]]*WarehouseData[[#This Row],[lead_time_days]]</f>
        <v>298</v>
      </c>
      <c r="Z1305" t="str">
        <f>IF(WarehouseData[[#This Row],[stock_level]]&lt;=WarehouseData[[#This Row],[Demand During Lead Time]],"At Risk","Safe")</f>
        <v>At Risk</v>
      </c>
      <c r="AA1305">
        <f>WarehouseData[[#This Row],[stock_level]]/WarehouseData[[#This Row],[daily_demand]]</f>
        <v>7.1140939597315436</v>
      </c>
      <c r="AB1305">
        <f>WarehouseData[[#This Row],[stock_level]]*WarehouseData[[#This Row],[unit_price]]</f>
        <v>28490.15</v>
      </c>
      <c r="AC1305">
        <f>WarehouseData[[#This Row],[stock_level]]*WarehouseData[[#This Row],[holding_cost_per_unit_day]]*30</f>
        <v>1749</v>
      </c>
      <c r="AD1305" t="str">
        <f>IF(WarehouseData[[#This Row],[order_fulfillment_rate]]&gt;=0.9,"Strong",IF(WarehouseData[[#This Row],[order_fulfillment_rate]]&gt;=0.8,"Moderate","Needs Attention"))</f>
        <v>Strong</v>
      </c>
      <c r="AE1305" t="str">
        <f>IF(WarehouseData[[#This Row],[picking_time_seconds]]&gt;120,"Slow",IF(WarehouseData[[#This Row],[picking_time_seconds]]&gt;=60,"Average","Fast"))</f>
        <v>Slow</v>
      </c>
    </row>
    <row r="1306" spans="1:31" x14ac:dyDescent="0.25">
      <c r="A1306" t="s">
        <v>1444</v>
      </c>
      <c r="B1306" t="s">
        <v>40</v>
      </c>
      <c r="C1306">
        <v>308</v>
      </c>
      <c r="D1306">
        <v>69</v>
      </c>
      <c r="E1306">
        <v>8</v>
      </c>
      <c r="F1306">
        <v>8</v>
      </c>
      <c r="G1306">
        <v>25.99</v>
      </c>
      <c r="H1306">
        <v>5.6</v>
      </c>
      <c r="I1306">
        <v>0.73</v>
      </c>
      <c r="J1306" t="s">
        <v>377</v>
      </c>
      <c r="K1306" t="s">
        <v>46</v>
      </c>
      <c r="L1306">
        <v>155</v>
      </c>
      <c r="M1306">
        <v>0.6</v>
      </c>
      <c r="N1306">
        <v>55.19</v>
      </c>
      <c r="O1306">
        <v>0.35</v>
      </c>
      <c r="P1306">
        <v>9</v>
      </c>
      <c r="Q1306">
        <v>0.95</v>
      </c>
      <c r="R1306">
        <v>505</v>
      </c>
      <c r="S1306">
        <v>2.0099999999999998</v>
      </c>
      <c r="T1306">
        <v>0.94</v>
      </c>
      <c r="U1306" s="1">
        <v>45619</v>
      </c>
      <c r="V1306">
        <v>293.70999999999998</v>
      </c>
      <c r="W1306">
        <v>0.59</v>
      </c>
      <c r="X1306" t="str">
        <f>IF(WarehouseData[[#This Row],[stock_level]]&lt;=WarehouseData[[#This Row],[reorder_point]],"Low Stock","Sufficient Stock")</f>
        <v>Sufficient Stock</v>
      </c>
      <c r="Y1306">
        <f>WarehouseData[[#This Row],[daily_demand]]*WarehouseData[[#This Row],[lead_time_days]]</f>
        <v>207.92</v>
      </c>
      <c r="Z1306" t="str">
        <f>IF(WarehouseData[[#This Row],[stock_level]]&lt;=WarehouseData[[#This Row],[Demand During Lead Time]],"At Risk","Safe")</f>
        <v>Safe</v>
      </c>
      <c r="AA1306">
        <f>WarehouseData[[#This Row],[stock_level]]/WarehouseData[[#This Row],[daily_demand]]</f>
        <v>11.850711812235476</v>
      </c>
      <c r="AB1306">
        <f>WarehouseData[[#This Row],[stock_level]]*WarehouseData[[#This Row],[unit_price]]</f>
        <v>16998.52</v>
      </c>
      <c r="AC1306">
        <f>WarehouseData[[#This Row],[stock_level]]*WarehouseData[[#This Row],[holding_cost_per_unit_day]]*30</f>
        <v>3234</v>
      </c>
      <c r="AD1306" t="str">
        <f>IF(WarehouseData[[#This Row],[order_fulfillment_rate]]&gt;=0.9,"Strong",IF(WarehouseData[[#This Row],[order_fulfillment_rate]]&gt;=0.8,"Moderate","Needs Attention"))</f>
        <v>Strong</v>
      </c>
      <c r="AE1306" t="str">
        <f>IF(WarehouseData[[#This Row],[picking_time_seconds]]&gt;120,"Slow",IF(WarehouseData[[#This Row],[picking_time_seconds]]&gt;=60,"Average","Fast"))</f>
        <v>Slow</v>
      </c>
    </row>
    <row r="1307" spans="1:31" x14ac:dyDescent="0.25">
      <c r="A1307" t="s">
        <v>1445</v>
      </c>
      <c r="B1307" t="s">
        <v>48</v>
      </c>
      <c r="C1307">
        <v>433</v>
      </c>
      <c r="D1307">
        <v>82</v>
      </c>
      <c r="E1307">
        <v>8</v>
      </c>
      <c r="F1307">
        <v>9</v>
      </c>
      <c r="G1307">
        <v>12.97</v>
      </c>
      <c r="H1307">
        <v>3.43</v>
      </c>
      <c r="I1307">
        <v>0.77</v>
      </c>
      <c r="J1307" t="s">
        <v>122</v>
      </c>
      <c r="K1307" t="s">
        <v>34</v>
      </c>
      <c r="L1307">
        <v>30</v>
      </c>
      <c r="M1307">
        <v>1.23</v>
      </c>
      <c r="N1307">
        <v>183.73</v>
      </c>
      <c r="O1307">
        <v>1.91</v>
      </c>
      <c r="P1307">
        <v>4</v>
      </c>
      <c r="Q1307">
        <v>0.91</v>
      </c>
      <c r="R1307">
        <v>911</v>
      </c>
      <c r="S1307">
        <v>8.75</v>
      </c>
      <c r="T1307">
        <v>0.6</v>
      </c>
      <c r="U1307" s="1">
        <v>45541</v>
      </c>
      <c r="V1307">
        <v>288.42</v>
      </c>
      <c r="W1307">
        <v>0.54800000000000004</v>
      </c>
      <c r="X1307" t="str">
        <f>IF(WarehouseData[[#This Row],[stock_level]]&lt;=WarehouseData[[#This Row],[reorder_point]],"Low Stock","Sufficient Stock")</f>
        <v>Sufficient Stock</v>
      </c>
      <c r="Y1307">
        <f>WarehouseData[[#This Row],[daily_demand]]*WarehouseData[[#This Row],[lead_time_days]]</f>
        <v>116.73</v>
      </c>
      <c r="Z1307" t="str">
        <f>IF(WarehouseData[[#This Row],[stock_level]]&lt;=WarehouseData[[#This Row],[Demand During Lead Time]],"At Risk","Safe")</f>
        <v>Safe</v>
      </c>
      <c r="AA1307">
        <f>WarehouseData[[#This Row],[stock_level]]/WarehouseData[[#This Row],[daily_demand]]</f>
        <v>33.384734001542022</v>
      </c>
      <c r="AB1307">
        <f>WarehouseData[[#This Row],[stock_level]]*WarehouseData[[#This Row],[unit_price]]</f>
        <v>79555.09</v>
      </c>
      <c r="AC1307">
        <f>WarehouseData[[#This Row],[stock_level]]*WarehouseData[[#This Row],[holding_cost_per_unit_day]]*30</f>
        <v>24810.899999999998</v>
      </c>
      <c r="AD1307" t="str">
        <f>IF(WarehouseData[[#This Row],[order_fulfillment_rate]]&gt;=0.9,"Strong",IF(WarehouseData[[#This Row],[order_fulfillment_rate]]&gt;=0.8,"Moderate","Needs Attention"))</f>
        <v>Strong</v>
      </c>
      <c r="AE1307" t="str">
        <f>IF(WarehouseData[[#This Row],[picking_time_seconds]]&gt;120,"Slow",IF(WarehouseData[[#This Row],[picking_time_seconds]]&gt;=60,"Average","Fast"))</f>
        <v>Fast</v>
      </c>
    </row>
    <row r="1308" spans="1:31" x14ac:dyDescent="0.25">
      <c r="A1308" t="s">
        <v>1446</v>
      </c>
      <c r="B1308" t="s">
        <v>32</v>
      </c>
      <c r="C1308">
        <v>228</v>
      </c>
      <c r="D1308">
        <v>41</v>
      </c>
      <c r="E1308">
        <v>7</v>
      </c>
      <c r="F1308">
        <v>2</v>
      </c>
      <c r="G1308">
        <v>17.420000000000002</v>
      </c>
      <c r="H1308">
        <v>4.82</v>
      </c>
      <c r="I1308">
        <v>0.73</v>
      </c>
      <c r="J1308" t="s">
        <v>281</v>
      </c>
      <c r="K1308" t="s">
        <v>34</v>
      </c>
      <c r="L1308">
        <v>12</v>
      </c>
      <c r="M1308">
        <v>2.0699999999999998</v>
      </c>
      <c r="N1308">
        <v>62.76</v>
      </c>
      <c r="O1308">
        <v>0.94</v>
      </c>
      <c r="P1308">
        <v>2</v>
      </c>
      <c r="Q1308">
        <v>0.87</v>
      </c>
      <c r="R1308">
        <v>459</v>
      </c>
      <c r="S1308">
        <v>11.17</v>
      </c>
      <c r="T1308">
        <v>0.98</v>
      </c>
      <c r="U1308" s="1">
        <v>45624</v>
      </c>
      <c r="V1308">
        <v>243</v>
      </c>
      <c r="W1308">
        <v>0.78500000000000003</v>
      </c>
      <c r="X1308" t="str">
        <f>IF(WarehouseData[[#This Row],[stock_level]]&lt;=WarehouseData[[#This Row],[reorder_point]],"Low Stock","Sufficient Stock")</f>
        <v>Sufficient Stock</v>
      </c>
      <c r="Y1308">
        <f>WarehouseData[[#This Row],[daily_demand]]*WarehouseData[[#This Row],[lead_time_days]]</f>
        <v>34.840000000000003</v>
      </c>
      <c r="Z1308" t="str">
        <f>IF(WarehouseData[[#This Row],[stock_level]]&lt;=WarehouseData[[#This Row],[Demand During Lead Time]],"At Risk","Safe")</f>
        <v>Safe</v>
      </c>
      <c r="AA1308">
        <f>WarehouseData[[#This Row],[stock_level]]/WarehouseData[[#This Row],[daily_demand]]</f>
        <v>13.088404133180251</v>
      </c>
      <c r="AB1308">
        <f>WarehouseData[[#This Row],[stock_level]]*WarehouseData[[#This Row],[unit_price]]</f>
        <v>14309.279999999999</v>
      </c>
      <c r="AC1308">
        <f>WarehouseData[[#This Row],[stock_level]]*WarehouseData[[#This Row],[holding_cost_per_unit_day]]*30</f>
        <v>6429.5999999999995</v>
      </c>
      <c r="AD1308" t="str">
        <f>IF(WarehouseData[[#This Row],[order_fulfillment_rate]]&gt;=0.9,"Strong",IF(WarehouseData[[#This Row],[order_fulfillment_rate]]&gt;=0.8,"Moderate","Needs Attention"))</f>
        <v>Moderate</v>
      </c>
      <c r="AE1308" t="str">
        <f>IF(WarehouseData[[#This Row],[picking_time_seconds]]&gt;120,"Slow",IF(WarehouseData[[#This Row],[picking_time_seconds]]&gt;=60,"Average","Fast"))</f>
        <v>Fast</v>
      </c>
    </row>
    <row r="1309" spans="1:31" x14ac:dyDescent="0.25">
      <c r="A1309" t="s">
        <v>1447</v>
      </c>
      <c r="B1309" t="s">
        <v>73</v>
      </c>
      <c r="C1309">
        <v>145</v>
      </c>
      <c r="D1309">
        <v>24</v>
      </c>
      <c r="E1309">
        <v>13</v>
      </c>
      <c r="F1309">
        <v>4</v>
      </c>
      <c r="G1309">
        <v>43.29</v>
      </c>
      <c r="H1309">
        <v>7.29</v>
      </c>
      <c r="I1309">
        <v>0.94</v>
      </c>
      <c r="J1309" t="s">
        <v>135</v>
      </c>
      <c r="K1309" t="s">
        <v>52</v>
      </c>
      <c r="L1309">
        <v>55</v>
      </c>
      <c r="M1309">
        <v>4.87</v>
      </c>
      <c r="N1309">
        <v>150.54</v>
      </c>
      <c r="O1309">
        <v>0.19</v>
      </c>
      <c r="P1309">
        <v>8</v>
      </c>
      <c r="Q1309">
        <v>0.73</v>
      </c>
      <c r="R1309">
        <v>350</v>
      </c>
      <c r="S1309">
        <v>3.62</v>
      </c>
      <c r="T1309">
        <v>0.79</v>
      </c>
      <c r="U1309" s="1">
        <v>45454</v>
      </c>
      <c r="V1309">
        <v>81.19</v>
      </c>
      <c r="W1309">
        <v>0.57299999999999995</v>
      </c>
      <c r="X1309" t="str">
        <f>IF(WarehouseData[[#This Row],[stock_level]]&lt;=WarehouseData[[#This Row],[reorder_point]],"Low Stock","Sufficient Stock")</f>
        <v>Sufficient Stock</v>
      </c>
      <c r="Y1309">
        <f>WarehouseData[[#This Row],[daily_demand]]*WarehouseData[[#This Row],[lead_time_days]]</f>
        <v>173.16</v>
      </c>
      <c r="Z1309" t="str">
        <f>IF(WarehouseData[[#This Row],[stock_level]]&lt;=WarehouseData[[#This Row],[Demand During Lead Time]],"At Risk","Safe")</f>
        <v>At Risk</v>
      </c>
      <c r="AA1309">
        <f>WarehouseData[[#This Row],[stock_level]]/WarehouseData[[#This Row],[daily_demand]]</f>
        <v>3.3495033495033497</v>
      </c>
      <c r="AB1309">
        <f>WarehouseData[[#This Row],[stock_level]]*WarehouseData[[#This Row],[unit_price]]</f>
        <v>21828.3</v>
      </c>
      <c r="AC1309">
        <f>WarehouseData[[#This Row],[stock_level]]*WarehouseData[[#This Row],[holding_cost_per_unit_day]]*30</f>
        <v>826.5</v>
      </c>
      <c r="AD1309" t="str">
        <f>IF(WarehouseData[[#This Row],[order_fulfillment_rate]]&gt;=0.9,"Strong",IF(WarehouseData[[#This Row],[order_fulfillment_rate]]&gt;=0.8,"Moderate","Needs Attention"))</f>
        <v>Needs Attention</v>
      </c>
      <c r="AE1309" t="str">
        <f>IF(WarehouseData[[#This Row],[picking_time_seconds]]&gt;120,"Slow",IF(WarehouseData[[#This Row],[picking_time_seconds]]&gt;=60,"Average","Fast"))</f>
        <v>Fast</v>
      </c>
    </row>
    <row r="1310" spans="1:31" x14ac:dyDescent="0.25">
      <c r="A1310" t="s">
        <v>1448</v>
      </c>
      <c r="B1310" t="s">
        <v>32</v>
      </c>
      <c r="C1310">
        <v>254</v>
      </c>
      <c r="D1310">
        <v>22</v>
      </c>
      <c r="E1310">
        <v>6</v>
      </c>
      <c r="F1310">
        <v>4</v>
      </c>
      <c r="G1310">
        <v>26.75</v>
      </c>
      <c r="H1310">
        <v>4.32</v>
      </c>
      <c r="I1310">
        <v>0.31</v>
      </c>
      <c r="J1310" t="s">
        <v>286</v>
      </c>
      <c r="K1310" t="s">
        <v>52</v>
      </c>
      <c r="L1310">
        <v>99</v>
      </c>
      <c r="M1310">
        <v>4.6399999999999997</v>
      </c>
      <c r="N1310">
        <v>56.63</v>
      </c>
      <c r="O1310">
        <v>1.21</v>
      </c>
      <c r="P1310">
        <v>3</v>
      </c>
      <c r="Q1310">
        <v>0.91</v>
      </c>
      <c r="R1310">
        <v>545</v>
      </c>
      <c r="S1310">
        <v>12.51</v>
      </c>
      <c r="T1310">
        <v>0.85</v>
      </c>
      <c r="U1310" s="1">
        <v>45381</v>
      </c>
      <c r="V1310">
        <v>231.54</v>
      </c>
      <c r="W1310">
        <v>0.73799999999999999</v>
      </c>
      <c r="X1310" t="str">
        <f>IF(WarehouseData[[#This Row],[stock_level]]&lt;=WarehouseData[[#This Row],[reorder_point]],"Low Stock","Sufficient Stock")</f>
        <v>Sufficient Stock</v>
      </c>
      <c r="Y1310">
        <f>WarehouseData[[#This Row],[daily_demand]]*WarehouseData[[#This Row],[lead_time_days]]</f>
        <v>107</v>
      </c>
      <c r="Z1310" t="str">
        <f>IF(WarehouseData[[#This Row],[stock_level]]&lt;=WarehouseData[[#This Row],[Demand During Lead Time]],"At Risk","Safe")</f>
        <v>Safe</v>
      </c>
      <c r="AA1310">
        <f>WarehouseData[[#This Row],[stock_level]]/WarehouseData[[#This Row],[daily_demand]]</f>
        <v>9.4953271028037385</v>
      </c>
      <c r="AB1310">
        <f>WarehouseData[[#This Row],[stock_level]]*WarehouseData[[#This Row],[unit_price]]</f>
        <v>14384.02</v>
      </c>
      <c r="AC1310">
        <f>WarehouseData[[#This Row],[stock_level]]*WarehouseData[[#This Row],[holding_cost_per_unit_day]]*30</f>
        <v>9220.1999999999989</v>
      </c>
      <c r="AD1310" t="str">
        <f>IF(WarehouseData[[#This Row],[order_fulfillment_rate]]&gt;=0.9,"Strong",IF(WarehouseData[[#This Row],[order_fulfillment_rate]]&gt;=0.8,"Moderate","Needs Attention"))</f>
        <v>Strong</v>
      </c>
      <c r="AE1310" t="str">
        <f>IF(WarehouseData[[#This Row],[picking_time_seconds]]&gt;120,"Slow",IF(WarehouseData[[#This Row],[picking_time_seconds]]&gt;=60,"Average","Fast"))</f>
        <v>Average</v>
      </c>
    </row>
    <row r="1311" spans="1:31" x14ac:dyDescent="0.25">
      <c r="A1311" t="s">
        <v>1449</v>
      </c>
      <c r="B1311" t="s">
        <v>36</v>
      </c>
      <c r="C1311">
        <v>435</v>
      </c>
      <c r="D1311">
        <v>14</v>
      </c>
      <c r="E1311">
        <v>13</v>
      </c>
      <c r="F1311">
        <v>6</v>
      </c>
      <c r="G1311">
        <v>26.89</v>
      </c>
      <c r="H1311">
        <v>2.29</v>
      </c>
      <c r="I1311">
        <v>0.27</v>
      </c>
      <c r="J1311" t="s">
        <v>289</v>
      </c>
      <c r="K1311" t="s">
        <v>52</v>
      </c>
      <c r="L1311">
        <v>88</v>
      </c>
      <c r="M1311">
        <v>1.4</v>
      </c>
      <c r="N1311">
        <v>175.33</v>
      </c>
      <c r="O1311">
        <v>0.48</v>
      </c>
      <c r="P1311">
        <v>5</v>
      </c>
      <c r="Q1311">
        <v>0.91</v>
      </c>
      <c r="R1311">
        <v>340</v>
      </c>
      <c r="S1311">
        <v>7.56</v>
      </c>
      <c r="T1311">
        <v>0.51</v>
      </c>
      <c r="U1311" s="1">
        <v>45654</v>
      </c>
      <c r="V1311">
        <v>14.46</v>
      </c>
      <c r="W1311">
        <v>0.63700000000000001</v>
      </c>
      <c r="X1311" t="str">
        <f>IF(WarehouseData[[#This Row],[stock_level]]&lt;=WarehouseData[[#This Row],[reorder_point]],"Low Stock","Sufficient Stock")</f>
        <v>Sufficient Stock</v>
      </c>
      <c r="Y1311">
        <f>WarehouseData[[#This Row],[daily_demand]]*WarehouseData[[#This Row],[lead_time_days]]</f>
        <v>161.34</v>
      </c>
      <c r="Z1311" t="str">
        <f>IF(WarehouseData[[#This Row],[stock_level]]&lt;=WarehouseData[[#This Row],[Demand During Lead Time]],"At Risk","Safe")</f>
        <v>Safe</v>
      </c>
      <c r="AA1311">
        <f>WarehouseData[[#This Row],[stock_level]]/WarehouseData[[#This Row],[daily_demand]]</f>
        <v>16.177017478616587</v>
      </c>
      <c r="AB1311">
        <f>WarehouseData[[#This Row],[stock_level]]*WarehouseData[[#This Row],[unit_price]]</f>
        <v>76268.55</v>
      </c>
      <c r="AC1311">
        <f>WarehouseData[[#This Row],[stock_level]]*WarehouseData[[#This Row],[holding_cost_per_unit_day]]*30</f>
        <v>6263.9999999999991</v>
      </c>
      <c r="AD1311" t="str">
        <f>IF(WarehouseData[[#This Row],[order_fulfillment_rate]]&gt;=0.9,"Strong",IF(WarehouseData[[#This Row],[order_fulfillment_rate]]&gt;=0.8,"Moderate","Needs Attention"))</f>
        <v>Strong</v>
      </c>
      <c r="AE1311" t="str">
        <f>IF(WarehouseData[[#This Row],[picking_time_seconds]]&gt;120,"Slow",IF(WarehouseData[[#This Row],[picking_time_seconds]]&gt;=60,"Average","Fast"))</f>
        <v>Average</v>
      </c>
    </row>
    <row r="1312" spans="1:31" x14ac:dyDescent="0.25">
      <c r="A1312" t="s">
        <v>1450</v>
      </c>
      <c r="B1312" t="s">
        <v>73</v>
      </c>
      <c r="C1312">
        <v>445</v>
      </c>
      <c r="D1312">
        <v>84</v>
      </c>
      <c r="E1312">
        <v>6</v>
      </c>
      <c r="F1312">
        <v>9</v>
      </c>
      <c r="G1312">
        <v>48.11</v>
      </c>
      <c r="H1312">
        <v>5.64</v>
      </c>
      <c r="I1312">
        <v>0.65</v>
      </c>
      <c r="J1312" t="s">
        <v>240</v>
      </c>
      <c r="K1312" t="s">
        <v>46</v>
      </c>
      <c r="L1312">
        <v>136</v>
      </c>
      <c r="M1312">
        <v>3.77</v>
      </c>
      <c r="N1312">
        <v>133.74</v>
      </c>
      <c r="O1312">
        <v>0.11</v>
      </c>
      <c r="P1312">
        <v>8</v>
      </c>
      <c r="Q1312">
        <v>0.79</v>
      </c>
      <c r="R1312">
        <v>798</v>
      </c>
      <c r="S1312">
        <v>7.97</v>
      </c>
      <c r="T1312">
        <v>0.31</v>
      </c>
      <c r="U1312" s="1">
        <v>45579</v>
      </c>
      <c r="V1312">
        <v>26.34</v>
      </c>
      <c r="W1312">
        <v>0.55500000000000005</v>
      </c>
      <c r="X1312" t="str">
        <f>IF(WarehouseData[[#This Row],[stock_level]]&lt;=WarehouseData[[#This Row],[reorder_point]],"Low Stock","Sufficient Stock")</f>
        <v>Sufficient Stock</v>
      </c>
      <c r="Y1312">
        <f>WarehouseData[[#This Row],[daily_demand]]*WarehouseData[[#This Row],[lead_time_days]]</f>
        <v>432.99</v>
      </c>
      <c r="Z1312" t="str">
        <f>IF(WarehouseData[[#This Row],[stock_level]]&lt;=WarehouseData[[#This Row],[Demand During Lead Time]],"At Risk","Safe")</f>
        <v>Safe</v>
      </c>
      <c r="AA1312">
        <f>WarehouseData[[#This Row],[stock_level]]/WarehouseData[[#This Row],[daily_demand]]</f>
        <v>9.2496362502598206</v>
      </c>
      <c r="AB1312">
        <f>WarehouseData[[#This Row],[stock_level]]*WarehouseData[[#This Row],[unit_price]]</f>
        <v>59514.3</v>
      </c>
      <c r="AC1312">
        <f>WarehouseData[[#This Row],[stock_level]]*WarehouseData[[#This Row],[holding_cost_per_unit_day]]*30</f>
        <v>1468.5</v>
      </c>
      <c r="AD1312" t="str">
        <f>IF(WarehouseData[[#This Row],[order_fulfillment_rate]]&gt;=0.9,"Strong",IF(WarehouseData[[#This Row],[order_fulfillment_rate]]&gt;=0.8,"Moderate","Needs Attention"))</f>
        <v>Needs Attention</v>
      </c>
      <c r="AE1312" t="str">
        <f>IF(WarehouseData[[#This Row],[picking_time_seconds]]&gt;120,"Slow",IF(WarehouseData[[#This Row],[picking_time_seconds]]&gt;=60,"Average","Fast"))</f>
        <v>Slow</v>
      </c>
    </row>
    <row r="1313" spans="1:31" x14ac:dyDescent="0.25">
      <c r="A1313" t="s">
        <v>1451</v>
      </c>
      <c r="B1313" t="s">
        <v>36</v>
      </c>
      <c r="C1313">
        <v>481</v>
      </c>
      <c r="D1313">
        <v>83</v>
      </c>
      <c r="E1313">
        <v>5</v>
      </c>
      <c r="F1313">
        <v>2</v>
      </c>
      <c r="G1313">
        <v>16.72</v>
      </c>
      <c r="H1313">
        <v>2.64</v>
      </c>
      <c r="I1313">
        <v>0.64</v>
      </c>
      <c r="J1313" t="s">
        <v>418</v>
      </c>
      <c r="K1313" t="s">
        <v>52</v>
      </c>
      <c r="L1313">
        <v>62</v>
      </c>
      <c r="M1313">
        <v>3.11</v>
      </c>
      <c r="N1313">
        <v>132.11000000000001</v>
      </c>
      <c r="O1313">
        <v>1.54</v>
      </c>
      <c r="P1313">
        <v>1</v>
      </c>
      <c r="Q1313">
        <v>0.92</v>
      </c>
      <c r="R1313">
        <v>898</v>
      </c>
      <c r="S1313">
        <v>4.84</v>
      </c>
      <c r="T1313">
        <v>0.75</v>
      </c>
      <c r="U1313" s="1">
        <v>45647</v>
      </c>
      <c r="V1313">
        <v>252.36</v>
      </c>
      <c r="W1313">
        <v>0.625</v>
      </c>
      <c r="X1313" t="str">
        <f>IF(WarehouseData[[#This Row],[stock_level]]&lt;=WarehouseData[[#This Row],[reorder_point]],"Low Stock","Sufficient Stock")</f>
        <v>Sufficient Stock</v>
      </c>
      <c r="Y1313">
        <f>WarehouseData[[#This Row],[daily_demand]]*WarehouseData[[#This Row],[lead_time_days]]</f>
        <v>33.44</v>
      </c>
      <c r="Z1313" t="str">
        <f>IF(WarehouseData[[#This Row],[stock_level]]&lt;=WarehouseData[[#This Row],[Demand During Lead Time]],"At Risk","Safe")</f>
        <v>Safe</v>
      </c>
      <c r="AA1313">
        <f>WarehouseData[[#This Row],[stock_level]]/WarehouseData[[#This Row],[daily_demand]]</f>
        <v>28.767942583732058</v>
      </c>
      <c r="AB1313">
        <f>WarehouseData[[#This Row],[stock_level]]*WarehouseData[[#This Row],[unit_price]]</f>
        <v>63544.91</v>
      </c>
      <c r="AC1313">
        <f>WarehouseData[[#This Row],[stock_level]]*WarehouseData[[#This Row],[holding_cost_per_unit_day]]*30</f>
        <v>22222.2</v>
      </c>
      <c r="AD1313" t="str">
        <f>IF(WarehouseData[[#This Row],[order_fulfillment_rate]]&gt;=0.9,"Strong",IF(WarehouseData[[#This Row],[order_fulfillment_rate]]&gt;=0.8,"Moderate","Needs Attention"))</f>
        <v>Strong</v>
      </c>
      <c r="AE1313" t="str">
        <f>IF(WarehouseData[[#This Row],[picking_time_seconds]]&gt;120,"Slow",IF(WarehouseData[[#This Row],[picking_time_seconds]]&gt;=60,"Average","Fast"))</f>
        <v>Average</v>
      </c>
    </row>
    <row r="1314" spans="1:31" x14ac:dyDescent="0.25">
      <c r="A1314" t="s">
        <v>1452</v>
      </c>
      <c r="B1314" t="s">
        <v>48</v>
      </c>
      <c r="C1314">
        <v>141</v>
      </c>
      <c r="D1314">
        <v>61</v>
      </c>
      <c r="E1314">
        <v>12</v>
      </c>
      <c r="F1314">
        <v>6</v>
      </c>
      <c r="G1314">
        <v>24.5</v>
      </c>
      <c r="H1314">
        <v>9.76</v>
      </c>
      <c r="I1314">
        <v>0.56000000000000005</v>
      </c>
      <c r="J1314" t="s">
        <v>90</v>
      </c>
      <c r="K1314" t="s">
        <v>52</v>
      </c>
      <c r="L1314">
        <v>157</v>
      </c>
      <c r="M1314">
        <v>0.72</v>
      </c>
      <c r="N1314">
        <v>28.5</v>
      </c>
      <c r="O1314">
        <v>0.39</v>
      </c>
      <c r="P1314">
        <v>6</v>
      </c>
      <c r="Q1314">
        <v>0.87</v>
      </c>
      <c r="R1314">
        <v>486</v>
      </c>
      <c r="S1314">
        <v>5.2</v>
      </c>
      <c r="T1314">
        <v>0.53</v>
      </c>
      <c r="U1314" s="1">
        <v>45606</v>
      </c>
      <c r="V1314">
        <v>173.63</v>
      </c>
      <c r="W1314">
        <v>0.59</v>
      </c>
      <c r="X1314" t="str">
        <f>IF(WarehouseData[[#This Row],[stock_level]]&lt;=WarehouseData[[#This Row],[reorder_point]],"Low Stock","Sufficient Stock")</f>
        <v>Sufficient Stock</v>
      </c>
      <c r="Y1314">
        <f>WarehouseData[[#This Row],[daily_demand]]*WarehouseData[[#This Row],[lead_time_days]]</f>
        <v>147</v>
      </c>
      <c r="Z1314" t="str">
        <f>IF(WarehouseData[[#This Row],[stock_level]]&lt;=WarehouseData[[#This Row],[Demand During Lead Time]],"At Risk","Safe")</f>
        <v>At Risk</v>
      </c>
      <c r="AA1314">
        <f>WarehouseData[[#This Row],[stock_level]]/WarehouseData[[#This Row],[daily_demand]]</f>
        <v>5.7551020408163263</v>
      </c>
      <c r="AB1314">
        <f>WarehouseData[[#This Row],[stock_level]]*WarehouseData[[#This Row],[unit_price]]</f>
        <v>4018.5</v>
      </c>
      <c r="AC1314">
        <f>WarehouseData[[#This Row],[stock_level]]*WarehouseData[[#This Row],[holding_cost_per_unit_day]]*30</f>
        <v>1649.7</v>
      </c>
      <c r="AD1314" t="str">
        <f>IF(WarehouseData[[#This Row],[order_fulfillment_rate]]&gt;=0.9,"Strong",IF(WarehouseData[[#This Row],[order_fulfillment_rate]]&gt;=0.8,"Moderate","Needs Attention"))</f>
        <v>Moderate</v>
      </c>
      <c r="AE1314" t="str">
        <f>IF(WarehouseData[[#This Row],[picking_time_seconds]]&gt;120,"Slow",IF(WarehouseData[[#This Row],[picking_time_seconds]]&gt;=60,"Average","Fast"))</f>
        <v>Slow</v>
      </c>
    </row>
    <row r="1315" spans="1:31" x14ac:dyDescent="0.25">
      <c r="A1315" t="s">
        <v>1453</v>
      </c>
      <c r="B1315" t="s">
        <v>73</v>
      </c>
      <c r="C1315">
        <v>157</v>
      </c>
      <c r="D1315">
        <v>86</v>
      </c>
      <c r="E1315">
        <v>10</v>
      </c>
      <c r="F1315">
        <v>6</v>
      </c>
      <c r="G1315">
        <v>40.770000000000003</v>
      </c>
      <c r="H1315">
        <v>4.21</v>
      </c>
      <c r="I1315">
        <v>0.1</v>
      </c>
      <c r="J1315" t="s">
        <v>113</v>
      </c>
      <c r="K1315" t="s">
        <v>46</v>
      </c>
      <c r="L1315">
        <v>30</v>
      </c>
      <c r="M1315">
        <v>2.17</v>
      </c>
      <c r="N1315">
        <v>89.7</v>
      </c>
      <c r="O1315">
        <v>1.89</v>
      </c>
      <c r="P1315">
        <v>2</v>
      </c>
      <c r="Q1315">
        <v>0.87</v>
      </c>
      <c r="R1315">
        <v>151</v>
      </c>
      <c r="S1315">
        <v>2.1800000000000002</v>
      </c>
      <c r="T1315">
        <v>0.96</v>
      </c>
      <c r="U1315" s="1">
        <v>45474</v>
      </c>
      <c r="V1315">
        <v>118.26</v>
      </c>
      <c r="W1315">
        <v>0.56599999999999995</v>
      </c>
      <c r="X1315" t="str">
        <f>IF(WarehouseData[[#This Row],[stock_level]]&lt;=WarehouseData[[#This Row],[reorder_point]],"Low Stock","Sufficient Stock")</f>
        <v>Sufficient Stock</v>
      </c>
      <c r="Y1315">
        <f>WarehouseData[[#This Row],[daily_demand]]*WarehouseData[[#This Row],[lead_time_days]]</f>
        <v>244.62</v>
      </c>
      <c r="Z1315" t="str">
        <f>IF(WarehouseData[[#This Row],[stock_level]]&lt;=WarehouseData[[#This Row],[Demand During Lead Time]],"At Risk","Safe")</f>
        <v>At Risk</v>
      </c>
      <c r="AA1315">
        <f>WarehouseData[[#This Row],[stock_level]]/WarehouseData[[#This Row],[daily_demand]]</f>
        <v>3.8508707382879566</v>
      </c>
      <c r="AB1315">
        <f>WarehouseData[[#This Row],[stock_level]]*WarehouseData[[#This Row],[unit_price]]</f>
        <v>14082.9</v>
      </c>
      <c r="AC1315">
        <f>WarehouseData[[#This Row],[stock_level]]*WarehouseData[[#This Row],[holding_cost_per_unit_day]]*30</f>
        <v>8901.9</v>
      </c>
      <c r="AD1315" t="str">
        <f>IF(WarehouseData[[#This Row],[order_fulfillment_rate]]&gt;=0.9,"Strong",IF(WarehouseData[[#This Row],[order_fulfillment_rate]]&gt;=0.8,"Moderate","Needs Attention"))</f>
        <v>Moderate</v>
      </c>
      <c r="AE1315" t="str">
        <f>IF(WarehouseData[[#This Row],[picking_time_seconds]]&gt;120,"Slow",IF(WarehouseData[[#This Row],[picking_time_seconds]]&gt;=60,"Average","Fast"))</f>
        <v>Fast</v>
      </c>
    </row>
    <row r="1316" spans="1:31" x14ac:dyDescent="0.25">
      <c r="A1316" t="s">
        <v>1454</v>
      </c>
      <c r="B1316" t="s">
        <v>36</v>
      </c>
      <c r="C1316">
        <v>134</v>
      </c>
      <c r="D1316">
        <v>50</v>
      </c>
      <c r="E1316">
        <v>9</v>
      </c>
      <c r="F1316">
        <v>6</v>
      </c>
      <c r="G1316">
        <v>38.19</v>
      </c>
      <c r="H1316">
        <v>9.14</v>
      </c>
      <c r="I1316">
        <v>0.6</v>
      </c>
      <c r="J1316" t="s">
        <v>192</v>
      </c>
      <c r="K1316" t="s">
        <v>34</v>
      </c>
      <c r="L1316">
        <v>99</v>
      </c>
      <c r="M1316">
        <v>2.69</v>
      </c>
      <c r="N1316">
        <v>109.73</v>
      </c>
      <c r="O1316">
        <v>1.23</v>
      </c>
      <c r="P1316">
        <v>0</v>
      </c>
      <c r="Q1316">
        <v>0.81</v>
      </c>
      <c r="R1316">
        <v>59</v>
      </c>
      <c r="S1316">
        <v>14.04</v>
      </c>
      <c r="T1316">
        <v>0.35</v>
      </c>
      <c r="U1316" s="1">
        <v>45406</v>
      </c>
      <c r="V1316">
        <v>224.73</v>
      </c>
      <c r="W1316">
        <v>0.69599999999999995</v>
      </c>
      <c r="X1316" t="str">
        <f>IF(WarehouseData[[#This Row],[stock_level]]&lt;=WarehouseData[[#This Row],[reorder_point]],"Low Stock","Sufficient Stock")</f>
        <v>Sufficient Stock</v>
      </c>
      <c r="Y1316">
        <f>WarehouseData[[#This Row],[daily_demand]]*WarehouseData[[#This Row],[lead_time_days]]</f>
        <v>229.14</v>
      </c>
      <c r="Z1316" t="str">
        <f>IF(WarehouseData[[#This Row],[stock_level]]&lt;=WarehouseData[[#This Row],[Demand During Lead Time]],"At Risk","Safe")</f>
        <v>At Risk</v>
      </c>
      <c r="AA1316">
        <f>WarehouseData[[#This Row],[stock_level]]/WarehouseData[[#This Row],[daily_demand]]</f>
        <v>3.5087719298245617</v>
      </c>
      <c r="AB1316">
        <f>WarehouseData[[#This Row],[stock_level]]*WarehouseData[[#This Row],[unit_price]]</f>
        <v>14703.82</v>
      </c>
      <c r="AC1316">
        <f>WarehouseData[[#This Row],[stock_level]]*WarehouseData[[#This Row],[holding_cost_per_unit_day]]*30</f>
        <v>4944.5999999999995</v>
      </c>
      <c r="AD1316" t="str">
        <f>IF(WarehouseData[[#This Row],[order_fulfillment_rate]]&gt;=0.9,"Strong",IF(WarehouseData[[#This Row],[order_fulfillment_rate]]&gt;=0.8,"Moderate","Needs Attention"))</f>
        <v>Moderate</v>
      </c>
      <c r="AE1316" t="str">
        <f>IF(WarehouseData[[#This Row],[picking_time_seconds]]&gt;120,"Slow",IF(WarehouseData[[#This Row],[picking_time_seconds]]&gt;=60,"Average","Fast"))</f>
        <v>Average</v>
      </c>
    </row>
    <row r="1317" spans="1:31" x14ac:dyDescent="0.25">
      <c r="A1317" t="s">
        <v>1455</v>
      </c>
      <c r="B1317" t="s">
        <v>48</v>
      </c>
      <c r="C1317">
        <v>439</v>
      </c>
      <c r="D1317">
        <v>62</v>
      </c>
      <c r="E1317">
        <v>11</v>
      </c>
      <c r="F1317">
        <v>9</v>
      </c>
      <c r="G1317">
        <v>14.02</v>
      </c>
      <c r="H1317">
        <v>2.64</v>
      </c>
      <c r="I1317">
        <v>0.94</v>
      </c>
      <c r="J1317" t="s">
        <v>357</v>
      </c>
      <c r="K1317" t="s">
        <v>34</v>
      </c>
      <c r="L1317">
        <v>122</v>
      </c>
      <c r="M1317">
        <v>3.5</v>
      </c>
      <c r="N1317">
        <v>65.87</v>
      </c>
      <c r="O1317">
        <v>0.27</v>
      </c>
      <c r="P1317">
        <v>8</v>
      </c>
      <c r="Q1317">
        <v>0.74</v>
      </c>
      <c r="R1317">
        <v>90</v>
      </c>
      <c r="S1317">
        <v>6.35</v>
      </c>
      <c r="T1317">
        <v>0.7</v>
      </c>
      <c r="U1317" s="1">
        <v>45632</v>
      </c>
      <c r="V1317">
        <v>43.17</v>
      </c>
      <c r="W1317">
        <v>0.58599999999999997</v>
      </c>
      <c r="X1317" t="str">
        <f>IF(WarehouseData[[#This Row],[stock_level]]&lt;=WarehouseData[[#This Row],[reorder_point]],"Low Stock","Sufficient Stock")</f>
        <v>Sufficient Stock</v>
      </c>
      <c r="Y1317">
        <f>WarehouseData[[#This Row],[daily_demand]]*WarehouseData[[#This Row],[lead_time_days]]</f>
        <v>126.17999999999999</v>
      </c>
      <c r="Z1317" t="str">
        <f>IF(WarehouseData[[#This Row],[stock_level]]&lt;=WarehouseData[[#This Row],[Demand During Lead Time]],"At Risk","Safe")</f>
        <v>Safe</v>
      </c>
      <c r="AA1317">
        <f>WarehouseData[[#This Row],[stock_level]]/WarehouseData[[#This Row],[daily_demand]]</f>
        <v>31.312410841654781</v>
      </c>
      <c r="AB1317">
        <f>WarehouseData[[#This Row],[stock_level]]*WarehouseData[[#This Row],[unit_price]]</f>
        <v>28916.93</v>
      </c>
      <c r="AC1317">
        <f>WarehouseData[[#This Row],[stock_level]]*WarehouseData[[#This Row],[holding_cost_per_unit_day]]*30</f>
        <v>3555.9</v>
      </c>
      <c r="AD1317" t="str">
        <f>IF(WarehouseData[[#This Row],[order_fulfillment_rate]]&gt;=0.9,"Strong",IF(WarehouseData[[#This Row],[order_fulfillment_rate]]&gt;=0.8,"Moderate","Needs Attention"))</f>
        <v>Needs Attention</v>
      </c>
      <c r="AE1317" t="str">
        <f>IF(WarehouseData[[#This Row],[picking_time_seconds]]&gt;120,"Slow",IF(WarehouseData[[#This Row],[picking_time_seconds]]&gt;=60,"Average","Fast"))</f>
        <v>Slow</v>
      </c>
    </row>
    <row r="1318" spans="1:31" x14ac:dyDescent="0.25">
      <c r="A1318" t="s">
        <v>1456</v>
      </c>
      <c r="B1318" t="s">
        <v>32</v>
      </c>
      <c r="C1318">
        <v>181</v>
      </c>
      <c r="D1318">
        <v>59</v>
      </c>
      <c r="E1318">
        <v>3</v>
      </c>
      <c r="F1318">
        <v>5</v>
      </c>
      <c r="G1318">
        <v>8.4</v>
      </c>
      <c r="H1318">
        <v>2.2999999999999998</v>
      </c>
      <c r="I1318">
        <v>0.4</v>
      </c>
      <c r="J1318" t="s">
        <v>129</v>
      </c>
      <c r="K1318" t="s">
        <v>38</v>
      </c>
      <c r="L1318">
        <v>60</v>
      </c>
      <c r="M1318">
        <v>1.83</v>
      </c>
      <c r="N1318">
        <v>177.39</v>
      </c>
      <c r="O1318">
        <v>0.51</v>
      </c>
      <c r="P1318">
        <v>8</v>
      </c>
      <c r="Q1318">
        <v>0.77</v>
      </c>
      <c r="R1318">
        <v>419</v>
      </c>
      <c r="S1318">
        <v>3.27</v>
      </c>
      <c r="T1318">
        <v>0.89</v>
      </c>
      <c r="U1318" s="1">
        <v>45593</v>
      </c>
      <c r="V1318">
        <v>93.14</v>
      </c>
      <c r="W1318">
        <v>0.56499999999999995</v>
      </c>
      <c r="X1318" t="str">
        <f>IF(WarehouseData[[#This Row],[stock_level]]&lt;=WarehouseData[[#This Row],[reorder_point]],"Low Stock","Sufficient Stock")</f>
        <v>Sufficient Stock</v>
      </c>
      <c r="Y1318">
        <f>WarehouseData[[#This Row],[daily_demand]]*WarehouseData[[#This Row],[lead_time_days]]</f>
        <v>42</v>
      </c>
      <c r="Z1318" t="str">
        <f>IF(WarehouseData[[#This Row],[stock_level]]&lt;=WarehouseData[[#This Row],[Demand During Lead Time]],"At Risk","Safe")</f>
        <v>Safe</v>
      </c>
      <c r="AA1318">
        <f>WarehouseData[[#This Row],[stock_level]]/WarehouseData[[#This Row],[daily_demand]]</f>
        <v>21.547619047619047</v>
      </c>
      <c r="AB1318">
        <f>WarehouseData[[#This Row],[stock_level]]*WarehouseData[[#This Row],[unit_price]]</f>
        <v>32107.589999999997</v>
      </c>
      <c r="AC1318">
        <f>WarehouseData[[#This Row],[stock_level]]*WarehouseData[[#This Row],[holding_cost_per_unit_day]]*30</f>
        <v>2769.3</v>
      </c>
      <c r="AD1318" t="str">
        <f>IF(WarehouseData[[#This Row],[order_fulfillment_rate]]&gt;=0.9,"Strong",IF(WarehouseData[[#This Row],[order_fulfillment_rate]]&gt;=0.8,"Moderate","Needs Attention"))</f>
        <v>Needs Attention</v>
      </c>
      <c r="AE1318" t="str">
        <f>IF(WarehouseData[[#This Row],[picking_time_seconds]]&gt;120,"Slow",IF(WarehouseData[[#This Row],[picking_time_seconds]]&gt;=60,"Average","Fast"))</f>
        <v>Average</v>
      </c>
    </row>
    <row r="1319" spans="1:31" x14ac:dyDescent="0.25">
      <c r="A1319" t="s">
        <v>1457</v>
      </c>
      <c r="B1319" t="s">
        <v>48</v>
      </c>
      <c r="C1319">
        <v>220</v>
      </c>
      <c r="D1319">
        <v>24</v>
      </c>
      <c r="E1319">
        <v>9</v>
      </c>
      <c r="F1319">
        <v>6</v>
      </c>
      <c r="G1319">
        <v>35.33</v>
      </c>
      <c r="H1319">
        <v>6.36</v>
      </c>
      <c r="I1319">
        <v>0.97</v>
      </c>
      <c r="J1319" t="s">
        <v>110</v>
      </c>
      <c r="K1319" t="s">
        <v>34</v>
      </c>
      <c r="L1319">
        <v>162</v>
      </c>
      <c r="M1319">
        <v>4.7</v>
      </c>
      <c r="N1319">
        <v>169.16</v>
      </c>
      <c r="O1319">
        <v>1.26</v>
      </c>
      <c r="P1319">
        <v>3</v>
      </c>
      <c r="Q1319">
        <v>0.93</v>
      </c>
      <c r="R1319">
        <v>175</v>
      </c>
      <c r="S1319">
        <v>2.99</v>
      </c>
      <c r="T1319">
        <v>0.52</v>
      </c>
      <c r="U1319" s="1">
        <v>45381</v>
      </c>
      <c r="V1319">
        <v>221.01</v>
      </c>
      <c r="W1319">
        <v>0.54400000000000004</v>
      </c>
      <c r="X1319" t="str">
        <f>IF(WarehouseData[[#This Row],[stock_level]]&lt;=WarehouseData[[#This Row],[reorder_point]],"Low Stock","Sufficient Stock")</f>
        <v>Sufficient Stock</v>
      </c>
      <c r="Y1319">
        <f>WarehouseData[[#This Row],[daily_demand]]*WarehouseData[[#This Row],[lead_time_days]]</f>
        <v>211.98</v>
      </c>
      <c r="Z1319" t="str">
        <f>IF(WarehouseData[[#This Row],[stock_level]]&lt;=WarehouseData[[#This Row],[Demand During Lead Time]],"At Risk","Safe")</f>
        <v>Safe</v>
      </c>
      <c r="AA1319">
        <f>WarehouseData[[#This Row],[stock_level]]/WarehouseData[[#This Row],[daily_demand]]</f>
        <v>6.2270025474101329</v>
      </c>
      <c r="AB1319">
        <f>WarehouseData[[#This Row],[stock_level]]*WarehouseData[[#This Row],[unit_price]]</f>
        <v>37215.199999999997</v>
      </c>
      <c r="AC1319">
        <f>WarehouseData[[#This Row],[stock_level]]*WarehouseData[[#This Row],[holding_cost_per_unit_day]]*30</f>
        <v>8316</v>
      </c>
      <c r="AD1319" t="str">
        <f>IF(WarehouseData[[#This Row],[order_fulfillment_rate]]&gt;=0.9,"Strong",IF(WarehouseData[[#This Row],[order_fulfillment_rate]]&gt;=0.8,"Moderate","Needs Attention"))</f>
        <v>Strong</v>
      </c>
      <c r="AE1319" t="str">
        <f>IF(WarehouseData[[#This Row],[picking_time_seconds]]&gt;120,"Slow",IF(WarehouseData[[#This Row],[picking_time_seconds]]&gt;=60,"Average","Fast"))</f>
        <v>Slow</v>
      </c>
    </row>
    <row r="1320" spans="1:31" x14ac:dyDescent="0.25">
      <c r="A1320" t="s">
        <v>1458</v>
      </c>
      <c r="B1320" t="s">
        <v>40</v>
      </c>
      <c r="C1320">
        <v>253</v>
      </c>
      <c r="D1320">
        <v>16</v>
      </c>
      <c r="E1320">
        <v>12</v>
      </c>
      <c r="F1320">
        <v>7</v>
      </c>
      <c r="G1320">
        <v>13.63</v>
      </c>
      <c r="H1320">
        <v>7.9</v>
      </c>
      <c r="I1320">
        <v>0.42</v>
      </c>
      <c r="J1320" t="s">
        <v>150</v>
      </c>
      <c r="K1320" t="s">
        <v>52</v>
      </c>
      <c r="L1320">
        <v>77</v>
      </c>
      <c r="M1320">
        <v>2.5299999999999998</v>
      </c>
      <c r="N1320">
        <v>103.79</v>
      </c>
      <c r="O1320">
        <v>0.74</v>
      </c>
      <c r="P1320">
        <v>8</v>
      </c>
      <c r="Q1320">
        <v>0.78</v>
      </c>
      <c r="R1320">
        <v>834</v>
      </c>
      <c r="S1320">
        <v>6.7</v>
      </c>
      <c r="T1320">
        <v>0.96</v>
      </c>
      <c r="U1320" s="1">
        <v>45485</v>
      </c>
      <c r="V1320">
        <v>70.08</v>
      </c>
      <c r="W1320">
        <v>0.60299999999999998</v>
      </c>
      <c r="X1320" t="str">
        <f>IF(WarehouseData[[#This Row],[stock_level]]&lt;=WarehouseData[[#This Row],[reorder_point]],"Low Stock","Sufficient Stock")</f>
        <v>Sufficient Stock</v>
      </c>
      <c r="Y1320">
        <f>WarehouseData[[#This Row],[daily_demand]]*WarehouseData[[#This Row],[lead_time_days]]</f>
        <v>95.410000000000011</v>
      </c>
      <c r="Z1320" t="str">
        <f>IF(WarehouseData[[#This Row],[stock_level]]&lt;=WarehouseData[[#This Row],[Demand During Lead Time]],"At Risk","Safe")</f>
        <v>Safe</v>
      </c>
      <c r="AA1320">
        <f>WarehouseData[[#This Row],[stock_level]]/WarehouseData[[#This Row],[daily_demand]]</f>
        <v>18.561995597945707</v>
      </c>
      <c r="AB1320">
        <f>WarehouseData[[#This Row],[stock_level]]*WarehouseData[[#This Row],[unit_price]]</f>
        <v>26258.870000000003</v>
      </c>
      <c r="AC1320">
        <f>WarehouseData[[#This Row],[stock_level]]*WarehouseData[[#This Row],[holding_cost_per_unit_day]]*30</f>
        <v>5616.6</v>
      </c>
      <c r="AD1320" t="str">
        <f>IF(WarehouseData[[#This Row],[order_fulfillment_rate]]&gt;=0.9,"Strong",IF(WarehouseData[[#This Row],[order_fulfillment_rate]]&gt;=0.8,"Moderate","Needs Attention"))</f>
        <v>Needs Attention</v>
      </c>
      <c r="AE1320" t="str">
        <f>IF(WarehouseData[[#This Row],[picking_time_seconds]]&gt;120,"Slow",IF(WarehouseData[[#This Row],[picking_time_seconds]]&gt;=60,"Average","Fast"))</f>
        <v>Average</v>
      </c>
    </row>
    <row r="1321" spans="1:31" x14ac:dyDescent="0.25">
      <c r="A1321" t="s">
        <v>1459</v>
      </c>
      <c r="B1321" t="s">
        <v>48</v>
      </c>
      <c r="C1321">
        <v>47</v>
      </c>
      <c r="D1321">
        <v>49</v>
      </c>
      <c r="E1321">
        <v>6</v>
      </c>
      <c r="F1321">
        <v>3</v>
      </c>
      <c r="G1321">
        <v>46.21</v>
      </c>
      <c r="H1321">
        <v>5.88</v>
      </c>
      <c r="I1321">
        <v>0.23</v>
      </c>
      <c r="J1321" t="s">
        <v>207</v>
      </c>
      <c r="K1321" t="s">
        <v>34</v>
      </c>
      <c r="L1321">
        <v>125</v>
      </c>
      <c r="M1321">
        <v>1.62</v>
      </c>
      <c r="N1321">
        <v>74.61</v>
      </c>
      <c r="O1321">
        <v>1.1100000000000001</v>
      </c>
      <c r="P1321">
        <v>6</v>
      </c>
      <c r="Q1321">
        <v>0.7</v>
      </c>
      <c r="R1321">
        <v>432</v>
      </c>
      <c r="S1321">
        <v>9.85</v>
      </c>
      <c r="T1321">
        <v>0.26</v>
      </c>
      <c r="U1321" s="1">
        <v>45449</v>
      </c>
      <c r="V1321">
        <v>184.19</v>
      </c>
      <c r="W1321">
        <v>0.49199999999999999</v>
      </c>
      <c r="X1321" t="str">
        <f>IF(WarehouseData[[#This Row],[stock_level]]&lt;=WarehouseData[[#This Row],[reorder_point]],"Low Stock","Sufficient Stock")</f>
        <v>Low Stock</v>
      </c>
      <c r="Y1321">
        <f>WarehouseData[[#This Row],[daily_demand]]*WarehouseData[[#This Row],[lead_time_days]]</f>
        <v>138.63</v>
      </c>
      <c r="Z1321" t="str">
        <f>IF(WarehouseData[[#This Row],[stock_level]]&lt;=WarehouseData[[#This Row],[Demand During Lead Time]],"At Risk","Safe")</f>
        <v>At Risk</v>
      </c>
      <c r="AA1321">
        <f>WarehouseData[[#This Row],[stock_level]]/WarehouseData[[#This Row],[daily_demand]]</f>
        <v>1.0170958666955203</v>
      </c>
      <c r="AB1321">
        <f>WarehouseData[[#This Row],[stock_level]]*WarehouseData[[#This Row],[unit_price]]</f>
        <v>3506.67</v>
      </c>
      <c r="AC1321">
        <f>WarehouseData[[#This Row],[stock_level]]*WarehouseData[[#This Row],[holding_cost_per_unit_day]]*30</f>
        <v>1565.1000000000001</v>
      </c>
      <c r="AD1321" t="str">
        <f>IF(WarehouseData[[#This Row],[order_fulfillment_rate]]&gt;=0.9,"Strong",IF(WarehouseData[[#This Row],[order_fulfillment_rate]]&gt;=0.8,"Moderate","Needs Attention"))</f>
        <v>Needs Attention</v>
      </c>
      <c r="AE1321" t="str">
        <f>IF(WarehouseData[[#This Row],[picking_time_seconds]]&gt;120,"Slow",IF(WarehouseData[[#This Row],[picking_time_seconds]]&gt;=60,"Average","Fast"))</f>
        <v>Slow</v>
      </c>
    </row>
    <row r="1322" spans="1:31" x14ac:dyDescent="0.25">
      <c r="A1322" t="s">
        <v>1460</v>
      </c>
      <c r="B1322" t="s">
        <v>48</v>
      </c>
      <c r="C1322">
        <v>30</v>
      </c>
      <c r="D1322">
        <v>37</v>
      </c>
      <c r="E1322">
        <v>9</v>
      </c>
      <c r="F1322">
        <v>7</v>
      </c>
      <c r="G1322">
        <v>7.33</v>
      </c>
      <c r="H1322">
        <v>2.68</v>
      </c>
      <c r="I1322">
        <v>0.46</v>
      </c>
      <c r="J1322" t="s">
        <v>236</v>
      </c>
      <c r="K1322" t="s">
        <v>46</v>
      </c>
      <c r="L1322">
        <v>147</v>
      </c>
      <c r="M1322">
        <v>1.92</v>
      </c>
      <c r="N1322">
        <v>162.29</v>
      </c>
      <c r="O1322">
        <v>1.62</v>
      </c>
      <c r="P1322">
        <v>3</v>
      </c>
      <c r="Q1322">
        <v>1</v>
      </c>
      <c r="R1322">
        <v>376</v>
      </c>
      <c r="S1322">
        <v>11.89</v>
      </c>
      <c r="T1322">
        <v>0.67</v>
      </c>
      <c r="U1322" s="1">
        <v>45644</v>
      </c>
      <c r="V1322">
        <v>139.82</v>
      </c>
      <c r="W1322">
        <v>0.67100000000000004</v>
      </c>
      <c r="X1322" t="str">
        <f>IF(WarehouseData[[#This Row],[stock_level]]&lt;=WarehouseData[[#This Row],[reorder_point]],"Low Stock","Sufficient Stock")</f>
        <v>Low Stock</v>
      </c>
      <c r="Y1322">
        <f>WarehouseData[[#This Row],[daily_demand]]*WarehouseData[[#This Row],[lead_time_days]]</f>
        <v>51.31</v>
      </c>
      <c r="Z1322" t="str">
        <f>IF(WarehouseData[[#This Row],[stock_level]]&lt;=WarehouseData[[#This Row],[Demand During Lead Time]],"At Risk","Safe")</f>
        <v>At Risk</v>
      </c>
      <c r="AA1322">
        <f>WarehouseData[[#This Row],[stock_level]]/WarehouseData[[#This Row],[daily_demand]]</f>
        <v>4.0927694406548429</v>
      </c>
      <c r="AB1322">
        <f>WarehouseData[[#This Row],[stock_level]]*WarehouseData[[#This Row],[unit_price]]</f>
        <v>4868.7</v>
      </c>
      <c r="AC1322">
        <f>WarehouseData[[#This Row],[stock_level]]*WarehouseData[[#This Row],[holding_cost_per_unit_day]]*30</f>
        <v>1458</v>
      </c>
      <c r="AD1322" t="str">
        <f>IF(WarehouseData[[#This Row],[order_fulfillment_rate]]&gt;=0.9,"Strong",IF(WarehouseData[[#This Row],[order_fulfillment_rate]]&gt;=0.8,"Moderate","Needs Attention"))</f>
        <v>Strong</v>
      </c>
      <c r="AE1322" t="str">
        <f>IF(WarehouseData[[#This Row],[picking_time_seconds]]&gt;120,"Slow",IF(WarehouseData[[#This Row],[picking_time_seconds]]&gt;=60,"Average","Fast"))</f>
        <v>Slow</v>
      </c>
    </row>
    <row r="1323" spans="1:31" x14ac:dyDescent="0.25">
      <c r="A1323" t="s">
        <v>1461</v>
      </c>
      <c r="B1323" t="s">
        <v>40</v>
      </c>
      <c r="C1323">
        <v>225</v>
      </c>
      <c r="D1323">
        <v>41</v>
      </c>
      <c r="E1323">
        <v>14</v>
      </c>
      <c r="F1323">
        <v>7</v>
      </c>
      <c r="G1323">
        <v>16.600000000000001</v>
      </c>
      <c r="H1323">
        <v>0.86</v>
      </c>
      <c r="I1323">
        <v>0.55000000000000004</v>
      </c>
      <c r="J1323" t="s">
        <v>90</v>
      </c>
      <c r="K1323" t="s">
        <v>34</v>
      </c>
      <c r="L1323">
        <v>92</v>
      </c>
      <c r="M1323">
        <v>3.88</v>
      </c>
      <c r="N1323">
        <v>47.41</v>
      </c>
      <c r="O1323">
        <v>1.61</v>
      </c>
      <c r="P1323">
        <v>1</v>
      </c>
      <c r="Q1323">
        <v>0.76</v>
      </c>
      <c r="R1323">
        <v>499</v>
      </c>
      <c r="S1323">
        <v>13.94</v>
      </c>
      <c r="T1323">
        <v>0.82</v>
      </c>
      <c r="U1323" s="1">
        <v>45442</v>
      </c>
      <c r="V1323">
        <v>68.69</v>
      </c>
      <c r="W1323">
        <v>0.72099999999999997</v>
      </c>
      <c r="X1323" t="str">
        <f>IF(WarehouseData[[#This Row],[stock_level]]&lt;=WarehouseData[[#This Row],[reorder_point]],"Low Stock","Sufficient Stock")</f>
        <v>Sufficient Stock</v>
      </c>
      <c r="Y1323">
        <f>WarehouseData[[#This Row],[daily_demand]]*WarehouseData[[#This Row],[lead_time_days]]</f>
        <v>116.20000000000002</v>
      </c>
      <c r="Z1323" t="str">
        <f>IF(WarehouseData[[#This Row],[stock_level]]&lt;=WarehouseData[[#This Row],[Demand During Lead Time]],"At Risk","Safe")</f>
        <v>Safe</v>
      </c>
      <c r="AA1323">
        <f>WarehouseData[[#This Row],[stock_level]]/WarehouseData[[#This Row],[daily_demand]]</f>
        <v>13.554216867469878</v>
      </c>
      <c r="AB1323">
        <f>WarehouseData[[#This Row],[stock_level]]*WarehouseData[[#This Row],[unit_price]]</f>
        <v>10667.25</v>
      </c>
      <c r="AC1323">
        <f>WarehouseData[[#This Row],[stock_level]]*WarehouseData[[#This Row],[holding_cost_per_unit_day]]*30</f>
        <v>10867.5</v>
      </c>
      <c r="AD1323" t="str">
        <f>IF(WarehouseData[[#This Row],[order_fulfillment_rate]]&gt;=0.9,"Strong",IF(WarehouseData[[#This Row],[order_fulfillment_rate]]&gt;=0.8,"Moderate","Needs Attention"))</f>
        <v>Needs Attention</v>
      </c>
      <c r="AE1323" t="str">
        <f>IF(WarehouseData[[#This Row],[picking_time_seconds]]&gt;120,"Slow",IF(WarehouseData[[#This Row],[picking_time_seconds]]&gt;=60,"Average","Fast"))</f>
        <v>Average</v>
      </c>
    </row>
    <row r="1324" spans="1:31" x14ac:dyDescent="0.25">
      <c r="A1324" t="s">
        <v>1462</v>
      </c>
      <c r="B1324" t="s">
        <v>36</v>
      </c>
      <c r="C1324">
        <v>186</v>
      </c>
      <c r="D1324">
        <v>24</v>
      </c>
      <c r="E1324">
        <v>3</v>
      </c>
      <c r="F1324">
        <v>4</v>
      </c>
      <c r="G1324">
        <v>3.68</v>
      </c>
      <c r="H1324">
        <v>6.37</v>
      </c>
      <c r="I1324">
        <v>0.67</v>
      </c>
      <c r="J1324" t="s">
        <v>142</v>
      </c>
      <c r="K1324" t="s">
        <v>34</v>
      </c>
      <c r="L1324">
        <v>104</v>
      </c>
      <c r="M1324">
        <v>3.38</v>
      </c>
      <c r="N1324">
        <v>23.59</v>
      </c>
      <c r="O1324">
        <v>1.43</v>
      </c>
      <c r="P1324">
        <v>4</v>
      </c>
      <c r="Q1324">
        <v>0.9</v>
      </c>
      <c r="R1324">
        <v>572</v>
      </c>
      <c r="S1324">
        <v>9.9</v>
      </c>
      <c r="T1324">
        <v>0.36</v>
      </c>
      <c r="U1324" s="1">
        <v>45357</v>
      </c>
      <c r="V1324">
        <v>267.63</v>
      </c>
      <c r="W1324">
        <v>0.56100000000000005</v>
      </c>
      <c r="X1324" t="str">
        <f>IF(WarehouseData[[#This Row],[stock_level]]&lt;=WarehouseData[[#This Row],[reorder_point]],"Low Stock","Sufficient Stock")</f>
        <v>Sufficient Stock</v>
      </c>
      <c r="Y1324">
        <f>WarehouseData[[#This Row],[daily_demand]]*WarehouseData[[#This Row],[lead_time_days]]</f>
        <v>14.72</v>
      </c>
      <c r="Z1324" t="str">
        <f>IF(WarehouseData[[#This Row],[stock_level]]&lt;=WarehouseData[[#This Row],[Demand During Lead Time]],"At Risk","Safe")</f>
        <v>Safe</v>
      </c>
      <c r="AA1324">
        <f>WarehouseData[[#This Row],[stock_level]]/WarehouseData[[#This Row],[daily_demand]]</f>
        <v>50.543478260869563</v>
      </c>
      <c r="AB1324">
        <f>WarehouseData[[#This Row],[stock_level]]*WarehouseData[[#This Row],[unit_price]]</f>
        <v>4387.74</v>
      </c>
      <c r="AC1324">
        <f>WarehouseData[[#This Row],[stock_level]]*WarehouseData[[#This Row],[holding_cost_per_unit_day]]*30</f>
        <v>7979.3999999999987</v>
      </c>
      <c r="AD1324" t="str">
        <f>IF(WarehouseData[[#This Row],[order_fulfillment_rate]]&gt;=0.9,"Strong",IF(WarehouseData[[#This Row],[order_fulfillment_rate]]&gt;=0.8,"Moderate","Needs Attention"))</f>
        <v>Strong</v>
      </c>
      <c r="AE1324" t="str">
        <f>IF(WarehouseData[[#This Row],[picking_time_seconds]]&gt;120,"Slow",IF(WarehouseData[[#This Row],[picking_time_seconds]]&gt;=60,"Average","Fast"))</f>
        <v>Average</v>
      </c>
    </row>
    <row r="1325" spans="1:31" x14ac:dyDescent="0.25">
      <c r="A1325" t="s">
        <v>1463</v>
      </c>
      <c r="B1325" t="s">
        <v>36</v>
      </c>
      <c r="C1325">
        <v>266</v>
      </c>
      <c r="D1325">
        <v>94</v>
      </c>
      <c r="E1325">
        <v>7</v>
      </c>
      <c r="F1325">
        <v>5</v>
      </c>
      <c r="G1325">
        <v>35.46</v>
      </c>
      <c r="H1325">
        <v>1.74</v>
      </c>
      <c r="I1325">
        <v>0.55000000000000004</v>
      </c>
      <c r="J1325" t="s">
        <v>401</v>
      </c>
      <c r="K1325" t="s">
        <v>38</v>
      </c>
      <c r="L1325">
        <v>146</v>
      </c>
      <c r="M1325">
        <v>3.84</v>
      </c>
      <c r="N1325">
        <v>18.68</v>
      </c>
      <c r="O1325">
        <v>1.78</v>
      </c>
      <c r="P1325">
        <v>7</v>
      </c>
      <c r="Q1325">
        <v>0.98</v>
      </c>
      <c r="R1325">
        <v>880</v>
      </c>
      <c r="S1325">
        <v>6.89</v>
      </c>
      <c r="T1325">
        <v>0.25</v>
      </c>
      <c r="U1325" s="1">
        <v>45382</v>
      </c>
      <c r="V1325">
        <v>136.30000000000001</v>
      </c>
      <c r="W1325">
        <v>0.42</v>
      </c>
      <c r="X1325" t="str">
        <f>IF(WarehouseData[[#This Row],[stock_level]]&lt;=WarehouseData[[#This Row],[reorder_point]],"Low Stock","Sufficient Stock")</f>
        <v>Sufficient Stock</v>
      </c>
      <c r="Y1325">
        <f>WarehouseData[[#This Row],[daily_demand]]*WarehouseData[[#This Row],[lead_time_days]]</f>
        <v>177.3</v>
      </c>
      <c r="Z1325" t="str">
        <f>IF(WarehouseData[[#This Row],[stock_level]]&lt;=WarehouseData[[#This Row],[Demand During Lead Time]],"At Risk","Safe")</f>
        <v>Safe</v>
      </c>
      <c r="AA1325">
        <f>WarehouseData[[#This Row],[stock_level]]/WarehouseData[[#This Row],[daily_demand]]</f>
        <v>7.5014100394811054</v>
      </c>
      <c r="AB1325">
        <f>WarehouseData[[#This Row],[stock_level]]*WarehouseData[[#This Row],[unit_price]]</f>
        <v>4968.88</v>
      </c>
      <c r="AC1325">
        <f>WarehouseData[[#This Row],[stock_level]]*WarehouseData[[#This Row],[holding_cost_per_unit_day]]*30</f>
        <v>14204.400000000001</v>
      </c>
      <c r="AD1325" t="str">
        <f>IF(WarehouseData[[#This Row],[order_fulfillment_rate]]&gt;=0.9,"Strong",IF(WarehouseData[[#This Row],[order_fulfillment_rate]]&gt;=0.8,"Moderate","Needs Attention"))</f>
        <v>Strong</v>
      </c>
      <c r="AE1325" t="str">
        <f>IF(WarehouseData[[#This Row],[picking_time_seconds]]&gt;120,"Slow",IF(WarehouseData[[#This Row],[picking_time_seconds]]&gt;=60,"Average","Fast"))</f>
        <v>Slow</v>
      </c>
    </row>
    <row r="1326" spans="1:31" x14ac:dyDescent="0.25">
      <c r="A1326" t="s">
        <v>1464</v>
      </c>
      <c r="B1326" t="s">
        <v>48</v>
      </c>
      <c r="C1326">
        <v>66</v>
      </c>
      <c r="D1326">
        <v>79</v>
      </c>
      <c r="E1326">
        <v>5</v>
      </c>
      <c r="F1326">
        <v>9</v>
      </c>
      <c r="G1326">
        <v>44.67</v>
      </c>
      <c r="H1326">
        <v>3.76</v>
      </c>
      <c r="I1326">
        <v>0.57999999999999996</v>
      </c>
      <c r="J1326" t="s">
        <v>59</v>
      </c>
      <c r="K1326" t="s">
        <v>38</v>
      </c>
      <c r="L1326">
        <v>38</v>
      </c>
      <c r="M1326">
        <v>1.82</v>
      </c>
      <c r="N1326">
        <v>17.350000000000001</v>
      </c>
      <c r="O1326">
        <v>0.48</v>
      </c>
      <c r="P1326">
        <v>9</v>
      </c>
      <c r="Q1326">
        <v>0.88</v>
      </c>
      <c r="R1326">
        <v>756</v>
      </c>
      <c r="S1326">
        <v>6.91</v>
      </c>
      <c r="T1326">
        <v>0.26</v>
      </c>
      <c r="U1326" s="1">
        <v>45292</v>
      </c>
      <c r="V1326">
        <v>183.66</v>
      </c>
      <c r="W1326">
        <v>0.49199999999999999</v>
      </c>
      <c r="X1326" t="str">
        <f>IF(WarehouseData[[#This Row],[stock_level]]&lt;=WarehouseData[[#This Row],[reorder_point]],"Low Stock","Sufficient Stock")</f>
        <v>Low Stock</v>
      </c>
      <c r="Y1326">
        <f>WarehouseData[[#This Row],[daily_demand]]*WarehouseData[[#This Row],[lead_time_days]]</f>
        <v>402.03000000000003</v>
      </c>
      <c r="Z1326" t="str">
        <f>IF(WarehouseData[[#This Row],[stock_level]]&lt;=WarehouseData[[#This Row],[Demand During Lead Time]],"At Risk","Safe")</f>
        <v>At Risk</v>
      </c>
      <c r="AA1326">
        <f>WarehouseData[[#This Row],[stock_level]]/WarehouseData[[#This Row],[daily_demand]]</f>
        <v>1.4775016789791806</v>
      </c>
      <c r="AB1326">
        <f>WarehouseData[[#This Row],[stock_level]]*WarehouseData[[#This Row],[unit_price]]</f>
        <v>1145.1000000000001</v>
      </c>
      <c r="AC1326">
        <f>WarehouseData[[#This Row],[stock_level]]*WarehouseData[[#This Row],[holding_cost_per_unit_day]]*30</f>
        <v>950.4</v>
      </c>
      <c r="AD1326" t="str">
        <f>IF(WarehouseData[[#This Row],[order_fulfillment_rate]]&gt;=0.9,"Strong",IF(WarehouseData[[#This Row],[order_fulfillment_rate]]&gt;=0.8,"Moderate","Needs Attention"))</f>
        <v>Moderate</v>
      </c>
      <c r="AE1326" t="str">
        <f>IF(WarehouseData[[#This Row],[picking_time_seconds]]&gt;120,"Slow",IF(WarehouseData[[#This Row],[picking_time_seconds]]&gt;=60,"Average","Fast"))</f>
        <v>Fast</v>
      </c>
    </row>
    <row r="1327" spans="1:31" x14ac:dyDescent="0.25">
      <c r="A1327" t="s">
        <v>1465</v>
      </c>
      <c r="B1327" t="s">
        <v>40</v>
      </c>
      <c r="C1327">
        <v>265</v>
      </c>
      <c r="D1327">
        <v>74</v>
      </c>
      <c r="E1327">
        <v>7</v>
      </c>
      <c r="F1327">
        <v>6</v>
      </c>
      <c r="G1327">
        <v>32.159999999999997</v>
      </c>
      <c r="H1327">
        <v>6.92</v>
      </c>
      <c r="I1327">
        <v>0.12</v>
      </c>
      <c r="J1327" t="s">
        <v>137</v>
      </c>
      <c r="K1327" t="s">
        <v>52</v>
      </c>
      <c r="L1327">
        <v>174</v>
      </c>
      <c r="M1327">
        <v>1.97</v>
      </c>
      <c r="N1327">
        <v>102.89</v>
      </c>
      <c r="O1327">
        <v>0.44</v>
      </c>
      <c r="P1327">
        <v>9</v>
      </c>
      <c r="Q1327">
        <v>0.94</v>
      </c>
      <c r="R1327">
        <v>991</v>
      </c>
      <c r="S1327">
        <v>9.0399999999999991</v>
      </c>
      <c r="T1327">
        <v>0.46</v>
      </c>
      <c r="U1327" s="1">
        <v>45651</v>
      </c>
      <c r="V1327">
        <v>83.38</v>
      </c>
      <c r="W1327">
        <v>0.57699999999999996</v>
      </c>
      <c r="X1327" t="str">
        <f>IF(WarehouseData[[#This Row],[stock_level]]&lt;=WarehouseData[[#This Row],[reorder_point]],"Low Stock","Sufficient Stock")</f>
        <v>Sufficient Stock</v>
      </c>
      <c r="Y1327">
        <f>WarehouseData[[#This Row],[daily_demand]]*WarehouseData[[#This Row],[lead_time_days]]</f>
        <v>192.95999999999998</v>
      </c>
      <c r="Z1327" t="str">
        <f>IF(WarehouseData[[#This Row],[stock_level]]&lt;=WarehouseData[[#This Row],[Demand During Lead Time]],"At Risk","Safe")</f>
        <v>Safe</v>
      </c>
      <c r="AA1327">
        <f>WarehouseData[[#This Row],[stock_level]]/WarehouseData[[#This Row],[daily_demand]]</f>
        <v>8.2400497512437827</v>
      </c>
      <c r="AB1327">
        <f>WarehouseData[[#This Row],[stock_level]]*WarehouseData[[#This Row],[unit_price]]</f>
        <v>27265.85</v>
      </c>
      <c r="AC1327">
        <f>WarehouseData[[#This Row],[stock_level]]*WarehouseData[[#This Row],[holding_cost_per_unit_day]]*30</f>
        <v>3498</v>
      </c>
      <c r="AD1327" t="str">
        <f>IF(WarehouseData[[#This Row],[order_fulfillment_rate]]&gt;=0.9,"Strong",IF(WarehouseData[[#This Row],[order_fulfillment_rate]]&gt;=0.8,"Moderate","Needs Attention"))</f>
        <v>Strong</v>
      </c>
      <c r="AE1327" t="str">
        <f>IF(WarehouseData[[#This Row],[picking_time_seconds]]&gt;120,"Slow",IF(WarehouseData[[#This Row],[picking_time_seconds]]&gt;=60,"Average","Fast"))</f>
        <v>Slow</v>
      </c>
    </row>
    <row r="1328" spans="1:31" x14ac:dyDescent="0.25">
      <c r="A1328" t="s">
        <v>1466</v>
      </c>
      <c r="B1328" t="s">
        <v>40</v>
      </c>
      <c r="C1328">
        <v>146</v>
      </c>
      <c r="D1328">
        <v>13</v>
      </c>
      <c r="E1328">
        <v>6</v>
      </c>
      <c r="F1328">
        <v>4</v>
      </c>
      <c r="G1328">
        <v>46.95</v>
      </c>
      <c r="H1328">
        <v>1.43</v>
      </c>
      <c r="I1328">
        <v>0.33</v>
      </c>
      <c r="J1328" t="s">
        <v>120</v>
      </c>
      <c r="K1328" t="s">
        <v>46</v>
      </c>
      <c r="L1328">
        <v>119</v>
      </c>
      <c r="M1328">
        <v>2.29</v>
      </c>
      <c r="N1328">
        <v>58.51</v>
      </c>
      <c r="O1328">
        <v>1.62</v>
      </c>
      <c r="P1328">
        <v>5</v>
      </c>
      <c r="Q1328">
        <v>0.99</v>
      </c>
      <c r="R1328">
        <v>581</v>
      </c>
      <c r="S1328">
        <v>8.5299999999999994</v>
      </c>
      <c r="T1328">
        <v>0.38</v>
      </c>
      <c r="U1328" s="1">
        <v>45585</v>
      </c>
      <c r="V1328">
        <v>110.57</v>
      </c>
      <c r="W1328">
        <v>0.52600000000000002</v>
      </c>
      <c r="X1328" t="str">
        <f>IF(WarehouseData[[#This Row],[stock_level]]&lt;=WarehouseData[[#This Row],[reorder_point]],"Low Stock","Sufficient Stock")</f>
        <v>Sufficient Stock</v>
      </c>
      <c r="Y1328">
        <f>WarehouseData[[#This Row],[daily_demand]]*WarehouseData[[#This Row],[lead_time_days]]</f>
        <v>187.8</v>
      </c>
      <c r="Z1328" t="str">
        <f>IF(WarehouseData[[#This Row],[stock_level]]&lt;=WarehouseData[[#This Row],[Demand During Lead Time]],"At Risk","Safe")</f>
        <v>At Risk</v>
      </c>
      <c r="AA1328">
        <f>WarehouseData[[#This Row],[stock_level]]/WarehouseData[[#This Row],[daily_demand]]</f>
        <v>3.1096911608093714</v>
      </c>
      <c r="AB1328">
        <f>WarehouseData[[#This Row],[stock_level]]*WarehouseData[[#This Row],[unit_price]]</f>
        <v>8542.4599999999991</v>
      </c>
      <c r="AC1328">
        <f>WarehouseData[[#This Row],[stock_level]]*WarehouseData[[#This Row],[holding_cost_per_unit_day]]*30</f>
        <v>7095.6</v>
      </c>
      <c r="AD1328" t="str">
        <f>IF(WarehouseData[[#This Row],[order_fulfillment_rate]]&gt;=0.9,"Strong",IF(WarehouseData[[#This Row],[order_fulfillment_rate]]&gt;=0.8,"Moderate","Needs Attention"))</f>
        <v>Strong</v>
      </c>
      <c r="AE1328" t="str">
        <f>IF(WarehouseData[[#This Row],[picking_time_seconds]]&gt;120,"Slow",IF(WarehouseData[[#This Row],[picking_time_seconds]]&gt;=60,"Average","Fast"))</f>
        <v>Average</v>
      </c>
    </row>
    <row r="1329" spans="1:31" x14ac:dyDescent="0.25">
      <c r="A1329" t="s">
        <v>1467</v>
      </c>
      <c r="B1329" t="s">
        <v>32</v>
      </c>
      <c r="C1329">
        <v>166</v>
      </c>
      <c r="D1329">
        <v>20</v>
      </c>
      <c r="E1329">
        <v>4</v>
      </c>
      <c r="F1329">
        <v>2</v>
      </c>
      <c r="G1329">
        <v>7.3</v>
      </c>
      <c r="H1329">
        <v>1.71</v>
      </c>
      <c r="I1329">
        <v>0.38</v>
      </c>
      <c r="J1329" t="s">
        <v>221</v>
      </c>
      <c r="K1329" t="s">
        <v>52</v>
      </c>
      <c r="L1329">
        <v>80</v>
      </c>
      <c r="M1329">
        <v>1.35</v>
      </c>
      <c r="N1329">
        <v>141.16999999999999</v>
      </c>
      <c r="O1329">
        <v>0.71</v>
      </c>
      <c r="P1329">
        <v>4</v>
      </c>
      <c r="Q1329">
        <v>0.96</v>
      </c>
      <c r="R1329">
        <v>958</v>
      </c>
      <c r="S1329">
        <v>9.9700000000000006</v>
      </c>
      <c r="T1329">
        <v>0.38</v>
      </c>
      <c r="U1329" s="1">
        <v>45492</v>
      </c>
      <c r="V1329">
        <v>24.21</v>
      </c>
      <c r="W1329">
        <v>0.65</v>
      </c>
      <c r="X1329" t="str">
        <f>IF(WarehouseData[[#This Row],[stock_level]]&lt;=WarehouseData[[#This Row],[reorder_point]],"Low Stock","Sufficient Stock")</f>
        <v>Sufficient Stock</v>
      </c>
      <c r="Y1329">
        <f>WarehouseData[[#This Row],[daily_demand]]*WarehouseData[[#This Row],[lead_time_days]]</f>
        <v>14.6</v>
      </c>
      <c r="Z1329" t="str">
        <f>IF(WarehouseData[[#This Row],[stock_level]]&lt;=WarehouseData[[#This Row],[Demand During Lead Time]],"At Risk","Safe")</f>
        <v>Safe</v>
      </c>
      <c r="AA1329">
        <f>WarehouseData[[#This Row],[stock_level]]/WarehouseData[[#This Row],[daily_demand]]</f>
        <v>22.739726027397261</v>
      </c>
      <c r="AB1329">
        <f>WarehouseData[[#This Row],[stock_level]]*WarehouseData[[#This Row],[unit_price]]</f>
        <v>23434.219999999998</v>
      </c>
      <c r="AC1329">
        <f>WarehouseData[[#This Row],[stock_level]]*WarehouseData[[#This Row],[holding_cost_per_unit_day]]*30</f>
        <v>3535.8</v>
      </c>
      <c r="AD1329" t="str">
        <f>IF(WarehouseData[[#This Row],[order_fulfillment_rate]]&gt;=0.9,"Strong",IF(WarehouseData[[#This Row],[order_fulfillment_rate]]&gt;=0.8,"Moderate","Needs Attention"))</f>
        <v>Strong</v>
      </c>
      <c r="AE1329" t="str">
        <f>IF(WarehouseData[[#This Row],[picking_time_seconds]]&gt;120,"Slow",IF(WarehouseData[[#This Row],[picking_time_seconds]]&gt;=60,"Average","Fast"))</f>
        <v>Average</v>
      </c>
    </row>
    <row r="1330" spans="1:31" x14ac:dyDescent="0.25">
      <c r="A1330" t="s">
        <v>1468</v>
      </c>
      <c r="B1330" t="s">
        <v>36</v>
      </c>
      <c r="C1330">
        <v>137</v>
      </c>
      <c r="D1330">
        <v>35</v>
      </c>
      <c r="E1330">
        <v>13</v>
      </c>
      <c r="F1330">
        <v>2</v>
      </c>
      <c r="G1330">
        <v>5.3</v>
      </c>
      <c r="H1330">
        <v>1.0900000000000001</v>
      </c>
      <c r="I1330">
        <v>0.99</v>
      </c>
      <c r="J1330" t="s">
        <v>148</v>
      </c>
      <c r="K1330" t="s">
        <v>46</v>
      </c>
      <c r="L1330">
        <v>47</v>
      </c>
      <c r="M1330">
        <v>3.61</v>
      </c>
      <c r="N1330">
        <v>134.24</v>
      </c>
      <c r="O1330">
        <v>1.07</v>
      </c>
      <c r="P1330">
        <v>3</v>
      </c>
      <c r="Q1330">
        <v>0.87</v>
      </c>
      <c r="R1330">
        <v>322</v>
      </c>
      <c r="S1330">
        <v>8.0500000000000007</v>
      </c>
      <c r="T1330">
        <v>0.56999999999999995</v>
      </c>
      <c r="U1330" s="1">
        <v>45582</v>
      </c>
      <c r="V1330">
        <v>150.13</v>
      </c>
      <c r="W1330">
        <v>0.628</v>
      </c>
      <c r="X1330" t="str">
        <f>IF(WarehouseData[[#This Row],[stock_level]]&lt;=WarehouseData[[#This Row],[reorder_point]],"Low Stock","Sufficient Stock")</f>
        <v>Sufficient Stock</v>
      </c>
      <c r="Y1330">
        <f>WarehouseData[[#This Row],[daily_demand]]*WarehouseData[[#This Row],[lead_time_days]]</f>
        <v>10.6</v>
      </c>
      <c r="Z1330" t="str">
        <f>IF(WarehouseData[[#This Row],[stock_level]]&lt;=WarehouseData[[#This Row],[Demand During Lead Time]],"At Risk","Safe")</f>
        <v>Safe</v>
      </c>
      <c r="AA1330">
        <f>WarehouseData[[#This Row],[stock_level]]/WarehouseData[[#This Row],[daily_demand]]</f>
        <v>25.849056603773587</v>
      </c>
      <c r="AB1330">
        <f>WarehouseData[[#This Row],[stock_level]]*WarehouseData[[#This Row],[unit_price]]</f>
        <v>18390.88</v>
      </c>
      <c r="AC1330">
        <f>WarehouseData[[#This Row],[stock_level]]*WarehouseData[[#This Row],[holding_cost_per_unit_day]]*30</f>
        <v>4397.7</v>
      </c>
      <c r="AD1330" t="str">
        <f>IF(WarehouseData[[#This Row],[order_fulfillment_rate]]&gt;=0.9,"Strong",IF(WarehouseData[[#This Row],[order_fulfillment_rate]]&gt;=0.8,"Moderate","Needs Attention"))</f>
        <v>Moderate</v>
      </c>
      <c r="AE1330" t="str">
        <f>IF(WarehouseData[[#This Row],[picking_time_seconds]]&gt;120,"Slow",IF(WarehouseData[[#This Row],[picking_time_seconds]]&gt;=60,"Average","Fast"))</f>
        <v>Fast</v>
      </c>
    </row>
    <row r="1331" spans="1:31" x14ac:dyDescent="0.25">
      <c r="A1331" t="s">
        <v>1469</v>
      </c>
      <c r="B1331" t="s">
        <v>73</v>
      </c>
      <c r="C1331">
        <v>418</v>
      </c>
      <c r="D1331">
        <v>70</v>
      </c>
      <c r="E1331">
        <v>6</v>
      </c>
      <c r="F1331">
        <v>9</v>
      </c>
      <c r="G1331">
        <v>42.08</v>
      </c>
      <c r="H1331">
        <v>9.9600000000000009</v>
      </c>
      <c r="I1331">
        <v>0.37</v>
      </c>
      <c r="J1331" t="s">
        <v>88</v>
      </c>
      <c r="K1331" t="s">
        <v>46</v>
      </c>
      <c r="L1331">
        <v>136</v>
      </c>
      <c r="M1331">
        <v>1.98</v>
      </c>
      <c r="N1331">
        <v>112.98</v>
      </c>
      <c r="O1331">
        <v>1.51</v>
      </c>
      <c r="P1331">
        <v>5</v>
      </c>
      <c r="Q1331">
        <v>0.81</v>
      </c>
      <c r="R1331">
        <v>551</v>
      </c>
      <c r="S1331">
        <v>1.83</v>
      </c>
      <c r="T1331">
        <v>0.27</v>
      </c>
      <c r="U1331" s="1">
        <v>45308</v>
      </c>
      <c r="V1331">
        <v>110.01</v>
      </c>
      <c r="W1331">
        <v>0.38900000000000001</v>
      </c>
      <c r="X1331" t="str">
        <f>IF(WarehouseData[[#This Row],[stock_level]]&lt;=WarehouseData[[#This Row],[reorder_point]],"Low Stock","Sufficient Stock")</f>
        <v>Sufficient Stock</v>
      </c>
      <c r="Y1331">
        <f>WarehouseData[[#This Row],[daily_demand]]*WarehouseData[[#This Row],[lead_time_days]]</f>
        <v>378.71999999999997</v>
      </c>
      <c r="Z1331" t="str">
        <f>IF(WarehouseData[[#This Row],[stock_level]]&lt;=WarehouseData[[#This Row],[Demand During Lead Time]],"At Risk","Safe")</f>
        <v>Safe</v>
      </c>
      <c r="AA1331">
        <f>WarehouseData[[#This Row],[stock_level]]/WarehouseData[[#This Row],[daily_demand]]</f>
        <v>9.9334600760456286</v>
      </c>
      <c r="AB1331">
        <f>WarehouseData[[#This Row],[stock_level]]*WarehouseData[[#This Row],[unit_price]]</f>
        <v>47225.64</v>
      </c>
      <c r="AC1331">
        <f>WarehouseData[[#This Row],[stock_level]]*WarehouseData[[#This Row],[holding_cost_per_unit_day]]*30</f>
        <v>18935.399999999998</v>
      </c>
      <c r="AD1331" t="str">
        <f>IF(WarehouseData[[#This Row],[order_fulfillment_rate]]&gt;=0.9,"Strong",IF(WarehouseData[[#This Row],[order_fulfillment_rate]]&gt;=0.8,"Moderate","Needs Attention"))</f>
        <v>Moderate</v>
      </c>
      <c r="AE1331" t="str">
        <f>IF(WarehouseData[[#This Row],[picking_time_seconds]]&gt;120,"Slow",IF(WarehouseData[[#This Row],[picking_time_seconds]]&gt;=60,"Average","Fast"))</f>
        <v>Slow</v>
      </c>
    </row>
    <row r="1332" spans="1:31" x14ac:dyDescent="0.25">
      <c r="A1332" t="s">
        <v>1470</v>
      </c>
      <c r="B1332" t="s">
        <v>36</v>
      </c>
      <c r="C1332">
        <v>401</v>
      </c>
      <c r="D1332">
        <v>46</v>
      </c>
      <c r="E1332">
        <v>5</v>
      </c>
      <c r="F1332">
        <v>4</v>
      </c>
      <c r="G1332">
        <v>42.92</v>
      </c>
      <c r="H1332">
        <v>4.18</v>
      </c>
      <c r="I1332">
        <v>0.91</v>
      </c>
      <c r="J1332" t="s">
        <v>104</v>
      </c>
      <c r="K1332" t="s">
        <v>38</v>
      </c>
      <c r="L1332">
        <v>81</v>
      </c>
      <c r="M1332">
        <v>1.97</v>
      </c>
      <c r="N1332">
        <v>77.040000000000006</v>
      </c>
      <c r="O1332">
        <v>0.85</v>
      </c>
      <c r="P1332">
        <v>2</v>
      </c>
      <c r="Q1332">
        <v>0.84</v>
      </c>
      <c r="R1332">
        <v>796</v>
      </c>
      <c r="S1332">
        <v>8.01</v>
      </c>
      <c r="T1332">
        <v>1</v>
      </c>
      <c r="U1332" s="1">
        <v>45385</v>
      </c>
      <c r="V1332">
        <v>105.53</v>
      </c>
      <c r="W1332">
        <v>0.75</v>
      </c>
      <c r="X1332" t="str">
        <f>IF(WarehouseData[[#This Row],[stock_level]]&lt;=WarehouseData[[#This Row],[reorder_point]],"Low Stock","Sufficient Stock")</f>
        <v>Sufficient Stock</v>
      </c>
      <c r="Y1332">
        <f>WarehouseData[[#This Row],[daily_demand]]*WarehouseData[[#This Row],[lead_time_days]]</f>
        <v>171.68</v>
      </c>
      <c r="Z1332" t="str">
        <f>IF(WarehouseData[[#This Row],[stock_level]]&lt;=WarehouseData[[#This Row],[Demand During Lead Time]],"At Risk","Safe")</f>
        <v>Safe</v>
      </c>
      <c r="AA1332">
        <f>WarehouseData[[#This Row],[stock_level]]/WarehouseData[[#This Row],[daily_demand]]</f>
        <v>9.3429636533084803</v>
      </c>
      <c r="AB1332">
        <f>WarehouseData[[#This Row],[stock_level]]*WarehouseData[[#This Row],[unit_price]]</f>
        <v>30893.040000000001</v>
      </c>
      <c r="AC1332">
        <f>WarehouseData[[#This Row],[stock_level]]*WarehouseData[[#This Row],[holding_cost_per_unit_day]]*30</f>
        <v>10225.499999999998</v>
      </c>
      <c r="AD1332" t="str">
        <f>IF(WarehouseData[[#This Row],[order_fulfillment_rate]]&gt;=0.9,"Strong",IF(WarehouseData[[#This Row],[order_fulfillment_rate]]&gt;=0.8,"Moderate","Needs Attention"))</f>
        <v>Moderate</v>
      </c>
      <c r="AE1332" t="str">
        <f>IF(WarehouseData[[#This Row],[picking_time_seconds]]&gt;120,"Slow",IF(WarehouseData[[#This Row],[picking_time_seconds]]&gt;=60,"Average","Fast"))</f>
        <v>Average</v>
      </c>
    </row>
    <row r="1333" spans="1:31" x14ac:dyDescent="0.25">
      <c r="A1333" t="s">
        <v>1471</v>
      </c>
      <c r="B1333" t="s">
        <v>36</v>
      </c>
      <c r="C1333">
        <v>431</v>
      </c>
      <c r="D1333">
        <v>32</v>
      </c>
      <c r="E1333">
        <v>3</v>
      </c>
      <c r="F1333">
        <v>3</v>
      </c>
      <c r="G1333">
        <v>41.72</v>
      </c>
      <c r="H1333">
        <v>9.11</v>
      </c>
      <c r="I1333">
        <v>0.37</v>
      </c>
      <c r="J1333" t="s">
        <v>332</v>
      </c>
      <c r="K1333" t="s">
        <v>34</v>
      </c>
      <c r="L1333">
        <v>68</v>
      </c>
      <c r="M1333">
        <v>1.71</v>
      </c>
      <c r="N1333">
        <v>171.59</v>
      </c>
      <c r="O1333">
        <v>0.35</v>
      </c>
      <c r="P1333">
        <v>1</v>
      </c>
      <c r="Q1333">
        <v>0.95</v>
      </c>
      <c r="R1333">
        <v>536</v>
      </c>
      <c r="S1333">
        <v>1.32</v>
      </c>
      <c r="T1333">
        <v>0.76</v>
      </c>
      <c r="U1333" s="1">
        <v>45600</v>
      </c>
      <c r="V1333">
        <v>268.08</v>
      </c>
      <c r="W1333">
        <v>0.70499999999999996</v>
      </c>
      <c r="X1333" t="str">
        <f>IF(WarehouseData[[#This Row],[stock_level]]&lt;=WarehouseData[[#This Row],[reorder_point]],"Low Stock","Sufficient Stock")</f>
        <v>Sufficient Stock</v>
      </c>
      <c r="Y1333">
        <f>WarehouseData[[#This Row],[daily_demand]]*WarehouseData[[#This Row],[lead_time_days]]</f>
        <v>125.16</v>
      </c>
      <c r="Z1333" t="str">
        <f>IF(WarehouseData[[#This Row],[stock_level]]&lt;=WarehouseData[[#This Row],[Demand During Lead Time]],"At Risk","Safe")</f>
        <v>Safe</v>
      </c>
      <c r="AA1333">
        <f>WarehouseData[[#This Row],[stock_level]]/WarehouseData[[#This Row],[daily_demand]]</f>
        <v>10.330776605944392</v>
      </c>
      <c r="AB1333">
        <f>WarehouseData[[#This Row],[stock_level]]*WarehouseData[[#This Row],[unit_price]]</f>
        <v>73955.290000000008</v>
      </c>
      <c r="AC1333">
        <f>WarehouseData[[#This Row],[stock_level]]*WarehouseData[[#This Row],[holding_cost_per_unit_day]]*30</f>
        <v>4525.5</v>
      </c>
      <c r="AD1333" t="str">
        <f>IF(WarehouseData[[#This Row],[order_fulfillment_rate]]&gt;=0.9,"Strong",IF(WarehouseData[[#This Row],[order_fulfillment_rate]]&gt;=0.8,"Moderate","Needs Attention"))</f>
        <v>Strong</v>
      </c>
      <c r="AE1333" t="str">
        <f>IF(WarehouseData[[#This Row],[picking_time_seconds]]&gt;120,"Slow",IF(WarehouseData[[#This Row],[picking_time_seconds]]&gt;=60,"Average","Fast"))</f>
        <v>Average</v>
      </c>
    </row>
    <row r="1334" spans="1:31" x14ac:dyDescent="0.25">
      <c r="A1334" t="s">
        <v>1472</v>
      </c>
      <c r="B1334" t="s">
        <v>32</v>
      </c>
      <c r="C1334">
        <v>171</v>
      </c>
      <c r="D1334">
        <v>94</v>
      </c>
      <c r="E1334">
        <v>14</v>
      </c>
      <c r="F1334">
        <v>9</v>
      </c>
      <c r="G1334">
        <v>40.15</v>
      </c>
      <c r="H1334">
        <v>3.29</v>
      </c>
      <c r="I1334">
        <v>0.19</v>
      </c>
      <c r="J1334" t="s">
        <v>62</v>
      </c>
      <c r="K1334" t="s">
        <v>34</v>
      </c>
      <c r="L1334">
        <v>37</v>
      </c>
      <c r="M1334">
        <v>2.54</v>
      </c>
      <c r="N1334">
        <v>144.84</v>
      </c>
      <c r="O1334">
        <v>1.39</v>
      </c>
      <c r="P1334">
        <v>0</v>
      </c>
      <c r="Q1334">
        <v>0.96</v>
      </c>
      <c r="R1334">
        <v>977</v>
      </c>
      <c r="S1334">
        <v>3.53</v>
      </c>
      <c r="T1334">
        <v>0.22</v>
      </c>
      <c r="U1334" s="1">
        <v>45454</v>
      </c>
      <c r="V1334">
        <v>214.12</v>
      </c>
      <c r="W1334">
        <v>0.54400000000000004</v>
      </c>
      <c r="X1334" t="str">
        <f>IF(WarehouseData[[#This Row],[stock_level]]&lt;=WarehouseData[[#This Row],[reorder_point]],"Low Stock","Sufficient Stock")</f>
        <v>Sufficient Stock</v>
      </c>
      <c r="Y1334">
        <f>WarehouseData[[#This Row],[daily_demand]]*WarehouseData[[#This Row],[lead_time_days]]</f>
        <v>361.34999999999997</v>
      </c>
      <c r="Z1334" t="str">
        <f>IF(WarehouseData[[#This Row],[stock_level]]&lt;=WarehouseData[[#This Row],[Demand During Lead Time]],"At Risk","Safe")</f>
        <v>At Risk</v>
      </c>
      <c r="AA1334">
        <f>WarehouseData[[#This Row],[stock_level]]/WarehouseData[[#This Row],[daily_demand]]</f>
        <v>4.2590286425902866</v>
      </c>
      <c r="AB1334">
        <f>WarehouseData[[#This Row],[stock_level]]*WarehouseData[[#This Row],[unit_price]]</f>
        <v>24767.64</v>
      </c>
      <c r="AC1334">
        <f>WarehouseData[[#This Row],[stock_level]]*WarehouseData[[#This Row],[holding_cost_per_unit_day]]*30</f>
        <v>7130.6999999999989</v>
      </c>
      <c r="AD1334" t="str">
        <f>IF(WarehouseData[[#This Row],[order_fulfillment_rate]]&gt;=0.9,"Strong",IF(WarehouseData[[#This Row],[order_fulfillment_rate]]&gt;=0.8,"Moderate","Needs Attention"))</f>
        <v>Strong</v>
      </c>
      <c r="AE1334" t="str">
        <f>IF(WarehouseData[[#This Row],[picking_time_seconds]]&gt;120,"Slow",IF(WarehouseData[[#This Row],[picking_time_seconds]]&gt;=60,"Average","Fast"))</f>
        <v>Fast</v>
      </c>
    </row>
    <row r="1335" spans="1:31" x14ac:dyDescent="0.25">
      <c r="A1335" t="s">
        <v>1473</v>
      </c>
      <c r="B1335" t="s">
        <v>73</v>
      </c>
      <c r="C1335">
        <v>91</v>
      </c>
      <c r="D1335">
        <v>49</v>
      </c>
      <c r="E1335">
        <v>12</v>
      </c>
      <c r="F1335">
        <v>4</v>
      </c>
      <c r="G1335">
        <v>18.75</v>
      </c>
      <c r="H1335">
        <v>7.66</v>
      </c>
      <c r="I1335">
        <v>0.32</v>
      </c>
      <c r="J1335" t="s">
        <v>70</v>
      </c>
      <c r="K1335" t="s">
        <v>38</v>
      </c>
      <c r="L1335">
        <v>165</v>
      </c>
      <c r="M1335">
        <v>3.97</v>
      </c>
      <c r="N1335">
        <v>61.59</v>
      </c>
      <c r="O1335">
        <v>1.65</v>
      </c>
      <c r="P1335">
        <v>8</v>
      </c>
      <c r="Q1335">
        <v>0.95</v>
      </c>
      <c r="R1335">
        <v>276</v>
      </c>
      <c r="S1335">
        <v>6.42</v>
      </c>
      <c r="T1335">
        <v>0.75</v>
      </c>
      <c r="U1335" s="1">
        <v>45605</v>
      </c>
      <c r="V1335">
        <v>142.61000000000001</v>
      </c>
      <c r="W1335">
        <v>0.501</v>
      </c>
      <c r="X1335" t="str">
        <f>IF(WarehouseData[[#This Row],[stock_level]]&lt;=WarehouseData[[#This Row],[reorder_point]],"Low Stock","Sufficient Stock")</f>
        <v>Sufficient Stock</v>
      </c>
      <c r="Y1335">
        <f>WarehouseData[[#This Row],[daily_demand]]*WarehouseData[[#This Row],[lead_time_days]]</f>
        <v>75</v>
      </c>
      <c r="Z1335" t="str">
        <f>IF(WarehouseData[[#This Row],[stock_level]]&lt;=WarehouseData[[#This Row],[Demand During Lead Time]],"At Risk","Safe")</f>
        <v>Safe</v>
      </c>
      <c r="AA1335">
        <f>WarehouseData[[#This Row],[stock_level]]/WarehouseData[[#This Row],[daily_demand]]</f>
        <v>4.8533333333333335</v>
      </c>
      <c r="AB1335">
        <f>WarehouseData[[#This Row],[stock_level]]*WarehouseData[[#This Row],[unit_price]]</f>
        <v>5604.6900000000005</v>
      </c>
      <c r="AC1335">
        <f>WarehouseData[[#This Row],[stock_level]]*WarehouseData[[#This Row],[holding_cost_per_unit_day]]*30</f>
        <v>4504.5</v>
      </c>
      <c r="AD1335" t="str">
        <f>IF(WarehouseData[[#This Row],[order_fulfillment_rate]]&gt;=0.9,"Strong",IF(WarehouseData[[#This Row],[order_fulfillment_rate]]&gt;=0.8,"Moderate","Needs Attention"))</f>
        <v>Strong</v>
      </c>
      <c r="AE1335" t="str">
        <f>IF(WarehouseData[[#This Row],[picking_time_seconds]]&gt;120,"Slow",IF(WarehouseData[[#This Row],[picking_time_seconds]]&gt;=60,"Average","Fast"))</f>
        <v>Slow</v>
      </c>
    </row>
    <row r="1336" spans="1:31" x14ac:dyDescent="0.25">
      <c r="A1336" t="s">
        <v>1474</v>
      </c>
      <c r="B1336" t="s">
        <v>32</v>
      </c>
      <c r="C1336">
        <v>382</v>
      </c>
      <c r="D1336">
        <v>86</v>
      </c>
      <c r="E1336">
        <v>10</v>
      </c>
      <c r="F1336">
        <v>4</v>
      </c>
      <c r="G1336">
        <v>11.66</v>
      </c>
      <c r="H1336">
        <v>2.58</v>
      </c>
      <c r="I1336">
        <v>0.35</v>
      </c>
      <c r="J1336" t="s">
        <v>150</v>
      </c>
      <c r="K1336" t="s">
        <v>52</v>
      </c>
      <c r="L1336">
        <v>55</v>
      </c>
      <c r="M1336">
        <v>4.26</v>
      </c>
      <c r="N1336">
        <v>105.32</v>
      </c>
      <c r="O1336">
        <v>0.12</v>
      </c>
      <c r="P1336">
        <v>0</v>
      </c>
      <c r="Q1336">
        <v>0.88</v>
      </c>
      <c r="R1336">
        <v>276</v>
      </c>
      <c r="S1336">
        <v>8.7200000000000006</v>
      </c>
      <c r="T1336">
        <v>0.83</v>
      </c>
      <c r="U1336" s="1">
        <v>45405</v>
      </c>
      <c r="V1336">
        <v>66.650000000000006</v>
      </c>
      <c r="W1336">
        <v>0.84599999999999997</v>
      </c>
      <c r="X1336" t="str">
        <f>IF(WarehouseData[[#This Row],[stock_level]]&lt;=WarehouseData[[#This Row],[reorder_point]],"Low Stock","Sufficient Stock")</f>
        <v>Sufficient Stock</v>
      </c>
      <c r="Y1336">
        <f>WarehouseData[[#This Row],[daily_demand]]*WarehouseData[[#This Row],[lead_time_days]]</f>
        <v>46.64</v>
      </c>
      <c r="Z1336" t="str">
        <f>IF(WarehouseData[[#This Row],[stock_level]]&lt;=WarehouseData[[#This Row],[Demand During Lead Time]],"At Risk","Safe")</f>
        <v>Safe</v>
      </c>
      <c r="AA1336">
        <f>WarehouseData[[#This Row],[stock_level]]/WarehouseData[[#This Row],[daily_demand]]</f>
        <v>32.761578044596909</v>
      </c>
      <c r="AB1336">
        <f>WarehouseData[[#This Row],[stock_level]]*WarehouseData[[#This Row],[unit_price]]</f>
        <v>40232.239999999998</v>
      </c>
      <c r="AC1336">
        <f>WarehouseData[[#This Row],[stock_level]]*WarehouseData[[#This Row],[holding_cost_per_unit_day]]*30</f>
        <v>1375.1999999999998</v>
      </c>
      <c r="AD1336" t="str">
        <f>IF(WarehouseData[[#This Row],[order_fulfillment_rate]]&gt;=0.9,"Strong",IF(WarehouseData[[#This Row],[order_fulfillment_rate]]&gt;=0.8,"Moderate","Needs Attention"))</f>
        <v>Moderate</v>
      </c>
      <c r="AE1336" t="str">
        <f>IF(WarehouseData[[#This Row],[picking_time_seconds]]&gt;120,"Slow",IF(WarehouseData[[#This Row],[picking_time_seconds]]&gt;=60,"Average","Fast"))</f>
        <v>Fast</v>
      </c>
    </row>
    <row r="1337" spans="1:31" x14ac:dyDescent="0.25">
      <c r="A1337" t="s">
        <v>1475</v>
      </c>
      <c r="B1337" t="s">
        <v>73</v>
      </c>
      <c r="C1337">
        <v>156</v>
      </c>
      <c r="D1337">
        <v>32</v>
      </c>
      <c r="E1337">
        <v>7</v>
      </c>
      <c r="F1337">
        <v>5</v>
      </c>
      <c r="G1337">
        <v>46.51</v>
      </c>
      <c r="H1337">
        <v>5.23</v>
      </c>
      <c r="I1337">
        <v>0.98</v>
      </c>
      <c r="J1337" t="s">
        <v>160</v>
      </c>
      <c r="K1337" t="s">
        <v>34</v>
      </c>
      <c r="L1337">
        <v>80</v>
      </c>
      <c r="M1337">
        <v>4.12</v>
      </c>
      <c r="N1337">
        <v>39.69</v>
      </c>
      <c r="O1337">
        <v>1.17</v>
      </c>
      <c r="P1337">
        <v>3</v>
      </c>
      <c r="Q1337">
        <v>0.84</v>
      </c>
      <c r="R1337">
        <v>915</v>
      </c>
      <c r="S1337">
        <v>3.59</v>
      </c>
      <c r="T1337">
        <v>0.35</v>
      </c>
      <c r="U1337" s="1">
        <v>45619</v>
      </c>
      <c r="V1337">
        <v>292.24</v>
      </c>
      <c r="W1337">
        <v>0.50900000000000001</v>
      </c>
      <c r="X1337" t="str">
        <f>IF(WarehouseData[[#This Row],[stock_level]]&lt;=WarehouseData[[#This Row],[reorder_point]],"Low Stock","Sufficient Stock")</f>
        <v>Sufficient Stock</v>
      </c>
      <c r="Y1337">
        <f>WarehouseData[[#This Row],[daily_demand]]*WarehouseData[[#This Row],[lead_time_days]]</f>
        <v>232.54999999999998</v>
      </c>
      <c r="Z1337" t="str">
        <f>IF(WarehouseData[[#This Row],[stock_level]]&lt;=WarehouseData[[#This Row],[Demand During Lead Time]],"At Risk","Safe")</f>
        <v>At Risk</v>
      </c>
      <c r="AA1337">
        <f>WarehouseData[[#This Row],[stock_level]]/WarehouseData[[#This Row],[daily_demand]]</f>
        <v>3.3541173941087941</v>
      </c>
      <c r="AB1337">
        <f>WarehouseData[[#This Row],[stock_level]]*WarehouseData[[#This Row],[unit_price]]</f>
        <v>6191.6399999999994</v>
      </c>
      <c r="AC1337">
        <f>WarehouseData[[#This Row],[stock_level]]*WarehouseData[[#This Row],[holding_cost_per_unit_day]]*30</f>
        <v>5475.5999999999995</v>
      </c>
      <c r="AD1337" t="str">
        <f>IF(WarehouseData[[#This Row],[order_fulfillment_rate]]&gt;=0.9,"Strong",IF(WarehouseData[[#This Row],[order_fulfillment_rate]]&gt;=0.8,"Moderate","Needs Attention"))</f>
        <v>Moderate</v>
      </c>
      <c r="AE1337" t="str">
        <f>IF(WarehouseData[[#This Row],[picking_time_seconds]]&gt;120,"Slow",IF(WarehouseData[[#This Row],[picking_time_seconds]]&gt;=60,"Average","Fast"))</f>
        <v>Average</v>
      </c>
    </row>
    <row r="1338" spans="1:31" x14ac:dyDescent="0.25">
      <c r="A1338" t="s">
        <v>1476</v>
      </c>
      <c r="B1338" t="s">
        <v>48</v>
      </c>
      <c r="C1338">
        <v>194</v>
      </c>
      <c r="D1338">
        <v>25</v>
      </c>
      <c r="E1338">
        <v>6</v>
      </c>
      <c r="F1338">
        <v>9</v>
      </c>
      <c r="G1338">
        <v>16.04</v>
      </c>
      <c r="H1338">
        <v>8.33</v>
      </c>
      <c r="I1338">
        <v>0.71</v>
      </c>
      <c r="J1338" t="s">
        <v>340</v>
      </c>
      <c r="K1338" t="s">
        <v>52</v>
      </c>
      <c r="L1338">
        <v>47</v>
      </c>
      <c r="M1338">
        <v>3.3</v>
      </c>
      <c r="N1338">
        <v>72.47</v>
      </c>
      <c r="O1338">
        <v>0.99</v>
      </c>
      <c r="P1338">
        <v>5</v>
      </c>
      <c r="Q1338">
        <v>0.79</v>
      </c>
      <c r="R1338">
        <v>390</v>
      </c>
      <c r="S1338">
        <v>4.87</v>
      </c>
      <c r="T1338">
        <v>0.87</v>
      </c>
      <c r="U1338" s="1">
        <v>45581</v>
      </c>
      <c r="V1338">
        <v>31.68</v>
      </c>
      <c r="W1338">
        <v>0.59799999999999998</v>
      </c>
      <c r="X1338" t="str">
        <f>IF(WarehouseData[[#This Row],[stock_level]]&lt;=WarehouseData[[#This Row],[reorder_point]],"Low Stock","Sufficient Stock")</f>
        <v>Sufficient Stock</v>
      </c>
      <c r="Y1338">
        <f>WarehouseData[[#This Row],[daily_demand]]*WarehouseData[[#This Row],[lead_time_days]]</f>
        <v>144.35999999999999</v>
      </c>
      <c r="Z1338" t="str">
        <f>IF(WarehouseData[[#This Row],[stock_level]]&lt;=WarehouseData[[#This Row],[Demand During Lead Time]],"At Risk","Safe")</f>
        <v>Safe</v>
      </c>
      <c r="AA1338">
        <f>WarehouseData[[#This Row],[stock_level]]/WarehouseData[[#This Row],[daily_demand]]</f>
        <v>12.094763092269327</v>
      </c>
      <c r="AB1338">
        <f>WarehouseData[[#This Row],[stock_level]]*WarehouseData[[#This Row],[unit_price]]</f>
        <v>14059.18</v>
      </c>
      <c r="AC1338">
        <f>WarehouseData[[#This Row],[stock_level]]*WarehouseData[[#This Row],[holding_cost_per_unit_day]]*30</f>
        <v>5761.8</v>
      </c>
      <c r="AD1338" t="str">
        <f>IF(WarehouseData[[#This Row],[order_fulfillment_rate]]&gt;=0.9,"Strong",IF(WarehouseData[[#This Row],[order_fulfillment_rate]]&gt;=0.8,"Moderate","Needs Attention"))</f>
        <v>Needs Attention</v>
      </c>
      <c r="AE1338" t="str">
        <f>IF(WarehouseData[[#This Row],[picking_time_seconds]]&gt;120,"Slow",IF(WarehouseData[[#This Row],[picking_time_seconds]]&gt;=60,"Average","Fast"))</f>
        <v>Fast</v>
      </c>
    </row>
    <row r="1339" spans="1:31" x14ac:dyDescent="0.25">
      <c r="A1339" t="s">
        <v>1477</v>
      </c>
      <c r="B1339" t="s">
        <v>73</v>
      </c>
      <c r="C1339">
        <v>308</v>
      </c>
      <c r="D1339">
        <v>70</v>
      </c>
      <c r="E1339">
        <v>12</v>
      </c>
      <c r="F1339">
        <v>2</v>
      </c>
      <c r="G1339">
        <v>20.52</v>
      </c>
      <c r="H1339">
        <v>8.26</v>
      </c>
      <c r="I1339">
        <v>0.94</v>
      </c>
      <c r="J1339" t="s">
        <v>148</v>
      </c>
      <c r="K1339" t="s">
        <v>34</v>
      </c>
      <c r="L1339">
        <v>126</v>
      </c>
      <c r="M1339">
        <v>1.76</v>
      </c>
      <c r="N1339">
        <v>199.46</v>
      </c>
      <c r="O1339">
        <v>0.59</v>
      </c>
      <c r="P1339">
        <v>8</v>
      </c>
      <c r="Q1339">
        <v>0.7</v>
      </c>
      <c r="R1339">
        <v>321</v>
      </c>
      <c r="S1339">
        <v>6.24</v>
      </c>
      <c r="T1339">
        <v>0.69</v>
      </c>
      <c r="U1339" s="1">
        <v>45345</v>
      </c>
      <c r="V1339">
        <v>49.47</v>
      </c>
      <c r="W1339">
        <v>0.54200000000000004</v>
      </c>
      <c r="X1339" t="str">
        <f>IF(WarehouseData[[#This Row],[stock_level]]&lt;=WarehouseData[[#This Row],[reorder_point]],"Low Stock","Sufficient Stock")</f>
        <v>Sufficient Stock</v>
      </c>
      <c r="Y1339">
        <f>WarehouseData[[#This Row],[daily_demand]]*WarehouseData[[#This Row],[lead_time_days]]</f>
        <v>41.04</v>
      </c>
      <c r="Z1339" t="str">
        <f>IF(WarehouseData[[#This Row],[stock_level]]&lt;=WarehouseData[[#This Row],[Demand During Lead Time]],"At Risk","Safe")</f>
        <v>Safe</v>
      </c>
      <c r="AA1339">
        <f>WarehouseData[[#This Row],[stock_level]]/WarehouseData[[#This Row],[daily_demand]]</f>
        <v>15.009746588693957</v>
      </c>
      <c r="AB1339">
        <f>WarehouseData[[#This Row],[stock_level]]*WarehouseData[[#This Row],[unit_price]]</f>
        <v>61433.68</v>
      </c>
      <c r="AC1339">
        <f>WarehouseData[[#This Row],[stock_level]]*WarehouseData[[#This Row],[holding_cost_per_unit_day]]*30</f>
        <v>5451.6</v>
      </c>
      <c r="AD1339" t="str">
        <f>IF(WarehouseData[[#This Row],[order_fulfillment_rate]]&gt;=0.9,"Strong",IF(WarehouseData[[#This Row],[order_fulfillment_rate]]&gt;=0.8,"Moderate","Needs Attention"))</f>
        <v>Needs Attention</v>
      </c>
      <c r="AE1339" t="str">
        <f>IF(WarehouseData[[#This Row],[picking_time_seconds]]&gt;120,"Slow",IF(WarehouseData[[#This Row],[picking_time_seconds]]&gt;=60,"Average","Fast"))</f>
        <v>Slow</v>
      </c>
    </row>
    <row r="1340" spans="1:31" x14ac:dyDescent="0.25">
      <c r="A1340" t="s">
        <v>1478</v>
      </c>
      <c r="B1340" t="s">
        <v>32</v>
      </c>
      <c r="C1340">
        <v>465</v>
      </c>
      <c r="D1340">
        <v>77</v>
      </c>
      <c r="E1340">
        <v>14</v>
      </c>
      <c r="F1340">
        <v>2</v>
      </c>
      <c r="G1340">
        <v>35.28</v>
      </c>
      <c r="H1340">
        <v>8.0500000000000007</v>
      </c>
      <c r="I1340">
        <v>0.85</v>
      </c>
      <c r="J1340" t="s">
        <v>188</v>
      </c>
      <c r="K1340" t="s">
        <v>52</v>
      </c>
      <c r="L1340">
        <v>117</v>
      </c>
      <c r="M1340">
        <v>3.81</v>
      </c>
      <c r="N1340">
        <v>52.53</v>
      </c>
      <c r="O1340">
        <v>0.41</v>
      </c>
      <c r="P1340">
        <v>3</v>
      </c>
      <c r="Q1340">
        <v>0.93</v>
      </c>
      <c r="R1340">
        <v>840</v>
      </c>
      <c r="S1340">
        <v>3.76</v>
      </c>
      <c r="T1340">
        <v>0.86</v>
      </c>
      <c r="U1340" s="1">
        <v>45546</v>
      </c>
      <c r="V1340">
        <v>88.39</v>
      </c>
      <c r="W1340">
        <v>0.70699999999999996</v>
      </c>
      <c r="X1340" t="str">
        <f>IF(WarehouseData[[#This Row],[stock_level]]&lt;=WarehouseData[[#This Row],[reorder_point]],"Low Stock","Sufficient Stock")</f>
        <v>Sufficient Stock</v>
      </c>
      <c r="Y1340">
        <f>WarehouseData[[#This Row],[daily_demand]]*WarehouseData[[#This Row],[lead_time_days]]</f>
        <v>70.56</v>
      </c>
      <c r="Z1340" t="str">
        <f>IF(WarehouseData[[#This Row],[stock_level]]&lt;=WarehouseData[[#This Row],[Demand During Lead Time]],"At Risk","Safe")</f>
        <v>Safe</v>
      </c>
      <c r="AA1340">
        <f>WarehouseData[[#This Row],[stock_level]]/WarehouseData[[#This Row],[daily_demand]]</f>
        <v>13.180272108843537</v>
      </c>
      <c r="AB1340">
        <f>WarehouseData[[#This Row],[stock_level]]*WarehouseData[[#This Row],[unit_price]]</f>
        <v>24426.45</v>
      </c>
      <c r="AC1340">
        <f>WarehouseData[[#This Row],[stock_level]]*WarehouseData[[#This Row],[holding_cost_per_unit_day]]*30</f>
        <v>5719.4999999999991</v>
      </c>
      <c r="AD1340" t="str">
        <f>IF(WarehouseData[[#This Row],[order_fulfillment_rate]]&gt;=0.9,"Strong",IF(WarehouseData[[#This Row],[order_fulfillment_rate]]&gt;=0.8,"Moderate","Needs Attention"))</f>
        <v>Strong</v>
      </c>
      <c r="AE1340" t="str">
        <f>IF(WarehouseData[[#This Row],[picking_time_seconds]]&gt;120,"Slow",IF(WarehouseData[[#This Row],[picking_time_seconds]]&gt;=60,"Average","Fast"))</f>
        <v>Average</v>
      </c>
    </row>
    <row r="1341" spans="1:31" x14ac:dyDescent="0.25">
      <c r="A1341" t="s">
        <v>1479</v>
      </c>
      <c r="B1341" t="s">
        <v>36</v>
      </c>
      <c r="C1341">
        <v>38</v>
      </c>
      <c r="D1341">
        <v>89</v>
      </c>
      <c r="E1341">
        <v>7</v>
      </c>
      <c r="F1341">
        <v>6</v>
      </c>
      <c r="G1341">
        <v>15.37</v>
      </c>
      <c r="H1341">
        <v>8.33</v>
      </c>
      <c r="I1341">
        <v>0.62</v>
      </c>
      <c r="J1341" t="s">
        <v>477</v>
      </c>
      <c r="K1341" t="s">
        <v>46</v>
      </c>
      <c r="L1341">
        <v>155</v>
      </c>
      <c r="M1341">
        <v>0.68</v>
      </c>
      <c r="N1341">
        <v>142.68</v>
      </c>
      <c r="O1341">
        <v>0.46</v>
      </c>
      <c r="P1341">
        <v>6</v>
      </c>
      <c r="Q1341">
        <v>0.78</v>
      </c>
      <c r="R1341">
        <v>444</v>
      </c>
      <c r="S1341">
        <v>14.98</v>
      </c>
      <c r="T1341">
        <v>0.77</v>
      </c>
      <c r="U1341" s="1">
        <v>45364</v>
      </c>
      <c r="V1341">
        <v>286.81</v>
      </c>
      <c r="W1341">
        <v>0.74399999999999999</v>
      </c>
      <c r="X1341" t="str">
        <f>IF(WarehouseData[[#This Row],[stock_level]]&lt;=WarehouseData[[#This Row],[reorder_point]],"Low Stock","Sufficient Stock")</f>
        <v>Low Stock</v>
      </c>
      <c r="Y1341">
        <f>WarehouseData[[#This Row],[daily_demand]]*WarehouseData[[#This Row],[lead_time_days]]</f>
        <v>92.22</v>
      </c>
      <c r="Z1341" t="str">
        <f>IF(WarehouseData[[#This Row],[stock_level]]&lt;=WarehouseData[[#This Row],[Demand During Lead Time]],"At Risk","Safe")</f>
        <v>At Risk</v>
      </c>
      <c r="AA1341">
        <f>WarehouseData[[#This Row],[stock_level]]/WarehouseData[[#This Row],[daily_demand]]</f>
        <v>2.4723487312947303</v>
      </c>
      <c r="AB1341">
        <f>WarehouseData[[#This Row],[stock_level]]*WarehouseData[[#This Row],[unit_price]]</f>
        <v>5421.84</v>
      </c>
      <c r="AC1341">
        <f>WarehouseData[[#This Row],[stock_level]]*WarehouseData[[#This Row],[holding_cost_per_unit_day]]*30</f>
        <v>524.4</v>
      </c>
      <c r="AD1341" t="str">
        <f>IF(WarehouseData[[#This Row],[order_fulfillment_rate]]&gt;=0.9,"Strong",IF(WarehouseData[[#This Row],[order_fulfillment_rate]]&gt;=0.8,"Moderate","Needs Attention"))</f>
        <v>Needs Attention</v>
      </c>
      <c r="AE1341" t="str">
        <f>IF(WarehouseData[[#This Row],[picking_time_seconds]]&gt;120,"Slow",IF(WarehouseData[[#This Row],[picking_time_seconds]]&gt;=60,"Average","Fast"))</f>
        <v>Slow</v>
      </c>
    </row>
    <row r="1342" spans="1:31" x14ac:dyDescent="0.25">
      <c r="A1342" t="s">
        <v>1480</v>
      </c>
      <c r="B1342" t="s">
        <v>73</v>
      </c>
      <c r="C1342">
        <v>214</v>
      </c>
      <c r="D1342">
        <v>40</v>
      </c>
      <c r="E1342">
        <v>6</v>
      </c>
      <c r="F1342">
        <v>7</v>
      </c>
      <c r="G1342">
        <v>41.14</v>
      </c>
      <c r="H1342">
        <v>2.5099999999999998</v>
      </c>
      <c r="I1342">
        <v>0.71</v>
      </c>
      <c r="J1342" t="s">
        <v>77</v>
      </c>
      <c r="K1342" t="s">
        <v>46</v>
      </c>
      <c r="L1342">
        <v>104</v>
      </c>
      <c r="M1342">
        <v>4.09</v>
      </c>
      <c r="N1342">
        <v>55.3</v>
      </c>
      <c r="O1342">
        <v>1.48</v>
      </c>
      <c r="P1342">
        <v>6</v>
      </c>
      <c r="Q1342">
        <v>0.8</v>
      </c>
      <c r="R1342">
        <v>173</v>
      </c>
      <c r="S1342">
        <v>12.27</v>
      </c>
      <c r="T1342">
        <v>0.76</v>
      </c>
      <c r="U1342" s="1">
        <v>45461</v>
      </c>
      <c r="V1342">
        <v>90.88</v>
      </c>
      <c r="W1342">
        <v>0.60799999999999998</v>
      </c>
      <c r="X1342" t="str">
        <f>IF(WarehouseData[[#This Row],[stock_level]]&lt;=WarehouseData[[#This Row],[reorder_point]],"Low Stock","Sufficient Stock")</f>
        <v>Sufficient Stock</v>
      </c>
      <c r="Y1342">
        <f>WarehouseData[[#This Row],[daily_demand]]*WarehouseData[[#This Row],[lead_time_days]]</f>
        <v>287.98</v>
      </c>
      <c r="Z1342" t="str">
        <f>IF(WarehouseData[[#This Row],[stock_level]]&lt;=WarehouseData[[#This Row],[Demand During Lead Time]],"At Risk","Safe")</f>
        <v>At Risk</v>
      </c>
      <c r="AA1342">
        <f>WarehouseData[[#This Row],[stock_level]]/WarehouseData[[#This Row],[daily_demand]]</f>
        <v>5.2017501215362181</v>
      </c>
      <c r="AB1342">
        <f>WarehouseData[[#This Row],[stock_level]]*WarehouseData[[#This Row],[unit_price]]</f>
        <v>11834.199999999999</v>
      </c>
      <c r="AC1342">
        <f>WarehouseData[[#This Row],[stock_level]]*WarehouseData[[#This Row],[holding_cost_per_unit_day]]*30</f>
        <v>9501.5999999999985</v>
      </c>
      <c r="AD1342" t="str">
        <f>IF(WarehouseData[[#This Row],[order_fulfillment_rate]]&gt;=0.9,"Strong",IF(WarehouseData[[#This Row],[order_fulfillment_rate]]&gt;=0.8,"Moderate","Needs Attention"))</f>
        <v>Moderate</v>
      </c>
      <c r="AE1342" t="str">
        <f>IF(WarehouseData[[#This Row],[picking_time_seconds]]&gt;120,"Slow",IF(WarehouseData[[#This Row],[picking_time_seconds]]&gt;=60,"Average","Fast"))</f>
        <v>Average</v>
      </c>
    </row>
    <row r="1343" spans="1:31" x14ac:dyDescent="0.25">
      <c r="A1343" t="s">
        <v>1481</v>
      </c>
      <c r="B1343" t="s">
        <v>73</v>
      </c>
      <c r="C1343">
        <v>349</v>
      </c>
      <c r="D1343">
        <v>62</v>
      </c>
      <c r="E1343">
        <v>5</v>
      </c>
      <c r="F1343">
        <v>9</v>
      </c>
      <c r="G1343">
        <v>4.43</v>
      </c>
      <c r="H1343">
        <v>5.08</v>
      </c>
      <c r="I1343">
        <v>0.66</v>
      </c>
      <c r="J1343" t="s">
        <v>245</v>
      </c>
      <c r="K1343" t="s">
        <v>34</v>
      </c>
      <c r="L1343">
        <v>72</v>
      </c>
      <c r="M1343">
        <v>4.01</v>
      </c>
      <c r="N1343">
        <v>188.25</v>
      </c>
      <c r="O1343">
        <v>1.1200000000000001</v>
      </c>
      <c r="P1343">
        <v>5</v>
      </c>
      <c r="Q1343">
        <v>0.95</v>
      </c>
      <c r="R1343">
        <v>959</v>
      </c>
      <c r="S1343">
        <v>12.35</v>
      </c>
      <c r="T1343">
        <v>0.33</v>
      </c>
      <c r="U1343" s="1">
        <v>45331</v>
      </c>
      <c r="V1343">
        <v>152.51</v>
      </c>
      <c r="W1343">
        <v>0.60899999999999999</v>
      </c>
      <c r="X1343" t="str">
        <f>IF(WarehouseData[[#This Row],[stock_level]]&lt;=WarehouseData[[#This Row],[reorder_point]],"Low Stock","Sufficient Stock")</f>
        <v>Sufficient Stock</v>
      </c>
      <c r="Y1343">
        <f>WarehouseData[[#This Row],[daily_demand]]*WarehouseData[[#This Row],[lead_time_days]]</f>
        <v>39.869999999999997</v>
      </c>
      <c r="Z1343" t="str">
        <f>IF(WarehouseData[[#This Row],[stock_level]]&lt;=WarehouseData[[#This Row],[Demand During Lead Time]],"At Risk","Safe")</f>
        <v>Safe</v>
      </c>
      <c r="AA1343">
        <f>WarehouseData[[#This Row],[stock_level]]/WarehouseData[[#This Row],[daily_demand]]</f>
        <v>78.781038374717838</v>
      </c>
      <c r="AB1343">
        <f>WarehouseData[[#This Row],[stock_level]]*WarehouseData[[#This Row],[unit_price]]</f>
        <v>65699.25</v>
      </c>
      <c r="AC1343">
        <f>WarehouseData[[#This Row],[stock_level]]*WarehouseData[[#This Row],[holding_cost_per_unit_day]]*30</f>
        <v>11726.400000000001</v>
      </c>
      <c r="AD1343" t="str">
        <f>IF(WarehouseData[[#This Row],[order_fulfillment_rate]]&gt;=0.9,"Strong",IF(WarehouseData[[#This Row],[order_fulfillment_rate]]&gt;=0.8,"Moderate","Needs Attention"))</f>
        <v>Strong</v>
      </c>
      <c r="AE1343" t="str">
        <f>IF(WarehouseData[[#This Row],[picking_time_seconds]]&gt;120,"Slow",IF(WarehouseData[[#This Row],[picking_time_seconds]]&gt;=60,"Average","Fast"))</f>
        <v>Average</v>
      </c>
    </row>
    <row r="1344" spans="1:31" x14ac:dyDescent="0.25">
      <c r="A1344" t="s">
        <v>1482</v>
      </c>
      <c r="B1344" t="s">
        <v>40</v>
      </c>
      <c r="C1344">
        <v>443</v>
      </c>
      <c r="D1344">
        <v>34</v>
      </c>
      <c r="E1344">
        <v>7</v>
      </c>
      <c r="F1344">
        <v>4</v>
      </c>
      <c r="G1344">
        <v>39.770000000000003</v>
      </c>
      <c r="H1344">
        <v>5.1100000000000003</v>
      </c>
      <c r="I1344">
        <v>0.7</v>
      </c>
      <c r="J1344" t="s">
        <v>64</v>
      </c>
      <c r="K1344" t="s">
        <v>52</v>
      </c>
      <c r="L1344">
        <v>112</v>
      </c>
      <c r="M1344">
        <v>3.52</v>
      </c>
      <c r="N1344">
        <v>68.930000000000007</v>
      </c>
      <c r="O1344">
        <v>1.96</v>
      </c>
      <c r="P1344">
        <v>8</v>
      </c>
      <c r="Q1344">
        <v>0.72</v>
      </c>
      <c r="R1344">
        <v>244</v>
      </c>
      <c r="S1344">
        <v>8.9600000000000009</v>
      </c>
      <c r="T1344">
        <v>0.45</v>
      </c>
      <c r="U1344" s="1">
        <v>45413</v>
      </c>
      <c r="V1344">
        <v>230.74</v>
      </c>
      <c r="W1344">
        <v>0.39700000000000002</v>
      </c>
      <c r="X1344" t="str">
        <f>IF(WarehouseData[[#This Row],[stock_level]]&lt;=WarehouseData[[#This Row],[reorder_point]],"Low Stock","Sufficient Stock")</f>
        <v>Sufficient Stock</v>
      </c>
      <c r="Y1344">
        <f>WarehouseData[[#This Row],[daily_demand]]*WarehouseData[[#This Row],[lead_time_days]]</f>
        <v>159.08000000000001</v>
      </c>
      <c r="Z1344" t="str">
        <f>IF(WarehouseData[[#This Row],[stock_level]]&lt;=WarehouseData[[#This Row],[Demand During Lead Time]],"At Risk","Safe")</f>
        <v>Safe</v>
      </c>
      <c r="AA1344">
        <f>WarehouseData[[#This Row],[stock_level]]/WarehouseData[[#This Row],[daily_demand]]</f>
        <v>11.139049534825244</v>
      </c>
      <c r="AB1344">
        <f>WarehouseData[[#This Row],[stock_level]]*WarehouseData[[#This Row],[unit_price]]</f>
        <v>30535.99</v>
      </c>
      <c r="AC1344">
        <f>WarehouseData[[#This Row],[stock_level]]*WarehouseData[[#This Row],[holding_cost_per_unit_day]]*30</f>
        <v>26048.399999999998</v>
      </c>
      <c r="AD1344" t="str">
        <f>IF(WarehouseData[[#This Row],[order_fulfillment_rate]]&gt;=0.9,"Strong",IF(WarehouseData[[#This Row],[order_fulfillment_rate]]&gt;=0.8,"Moderate","Needs Attention"))</f>
        <v>Needs Attention</v>
      </c>
      <c r="AE1344" t="str">
        <f>IF(WarehouseData[[#This Row],[picking_time_seconds]]&gt;120,"Slow",IF(WarehouseData[[#This Row],[picking_time_seconds]]&gt;=60,"Average","Fast"))</f>
        <v>Average</v>
      </c>
    </row>
    <row r="1345" spans="1:31" x14ac:dyDescent="0.25">
      <c r="A1345" t="s">
        <v>1483</v>
      </c>
      <c r="B1345" t="s">
        <v>36</v>
      </c>
      <c r="C1345">
        <v>194</v>
      </c>
      <c r="D1345">
        <v>53</v>
      </c>
      <c r="E1345">
        <v>6</v>
      </c>
      <c r="F1345">
        <v>9</v>
      </c>
      <c r="G1345">
        <v>30.49</v>
      </c>
      <c r="H1345">
        <v>8.9600000000000009</v>
      </c>
      <c r="I1345">
        <v>0.34</v>
      </c>
      <c r="J1345" t="s">
        <v>301</v>
      </c>
      <c r="K1345" t="s">
        <v>52</v>
      </c>
      <c r="L1345">
        <v>14</v>
      </c>
      <c r="M1345">
        <v>0.94</v>
      </c>
      <c r="N1345">
        <v>75.87</v>
      </c>
      <c r="O1345">
        <v>0.56000000000000005</v>
      </c>
      <c r="P1345">
        <v>9</v>
      </c>
      <c r="Q1345">
        <v>0.98</v>
      </c>
      <c r="R1345">
        <v>632</v>
      </c>
      <c r="S1345">
        <v>14.46</v>
      </c>
      <c r="T1345">
        <v>0.62</v>
      </c>
      <c r="U1345" s="1">
        <v>45469</v>
      </c>
      <c r="V1345">
        <v>279.45999999999998</v>
      </c>
      <c r="W1345">
        <v>0.67700000000000005</v>
      </c>
      <c r="X1345" t="str">
        <f>IF(WarehouseData[[#This Row],[stock_level]]&lt;=WarehouseData[[#This Row],[reorder_point]],"Low Stock","Sufficient Stock")</f>
        <v>Sufficient Stock</v>
      </c>
      <c r="Y1345">
        <f>WarehouseData[[#This Row],[daily_demand]]*WarehouseData[[#This Row],[lead_time_days]]</f>
        <v>274.40999999999997</v>
      </c>
      <c r="Z1345" t="str">
        <f>IF(WarehouseData[[#This Row],[stock_level]]&lt;=WarehouseData[[#This Row],[Demand During Lead Time]],"At Risk","Safe")</f>
        <v>At Risk</v>
      </c>
      <c r="AA1345">
        <f>WarehouseData[[#This Row],[stock_level]]/WarehouseData[[#This Row],[daily_demand]]</f>
        <v>6.3627418825844542</v>
      </c>
      <c r="AB1345">
        <f>WarehouseData[[#This Row],[stock_level]]*WarehouseData[[#This Row],[unit_price]]</f>
        <v>14718.78</v>
      </c>
      <c r="AC1345">
        <f>WarehouseData[[#This Row],[stock_level]]*WarehouseData[[#This Row],[holding_cost_per_unit_day]]*30</f>
        <v>3259.2000000000003</v>
      </c>
      <c r="AD1345" t="str">
        <f>IF(WarehouseData[[#This Row],[order_fulfillment_rate]]&gt;=0.9,"Strong",IF(WarehouseData[[#This Row],[order_fulfillment_rate]]&gt;=0.8,"Moderate","Needs Attention"))</f>
        <v>Strong</v>
      </c>
      <c r="AE1345" t="str">
        <f>IF(WarehouseData[[#This Row],[picking_time_seconds]]&gt;120,"Slow",IF(WarehouseData[[#This Row],[picking_time_seconds]]&gt;=60,"Average","Fast"))</f>
        <v>Fast</v>
      </c>
    </row>
    <row r="1346" spans="1:31" x14ac:dyDescent="0.25">
      <c r="A1346" t="s">
        <v>1484</v>
      </c>
      <c r="B1346" t="s">
        <v>48</v>
      </c>
      <c r="C1346">
        <v>468</v>
      </c>
      <c r="D1346">
        <v>21</v>
      </c>
      <c r="E1346">
        <v>3</v>
      </c>
      <c r="F1346">
        <v>4</v>
      </c>
      <c r="G1346">
        <v>29.08</v>
      </c>
      <c r="H1346">
        <v>3.32</v>
      </c>
      <c r="I1346">
        <v>0.47</v>
      </c>
      <c r="J1346" t="s">
        <v>122</v>
      </c>
      <c r="K1346" t="s">
        <v>46</v>
      </c>
      <c r="L1346">
        <v>166</v>
      </c>
      <c r="M1346">
        <v>4.99</v>
      </c>
      <c r="N1346">
        <v>122.83</v>
      </c>
      <c r="O1346">
        <v>1.92</v>
      </c>
      <c r="P1346">
        <v>6</v>
      </c>
      <c r="Q1346">
        <v>0.7</v>
      </c>
      <c r="R1346">
        <v>793</v>
      </c>
      <c r="S1346">
        <v>11.25</v>
      </c>
      <c r="T1346">
        <v>0.28999999999999998</v>
      </c>
      <c r="U1346" s="1">
        <v>45455</v>
      </c>
      <c r="V1346">
        <v>185.48</v>
      </c>
      <c r="W1346">
        <v>0.436</v>
      </c>
      <c r="X1346" t="str">
        <f>IF(WarehouseData[[#This Row],[stock_level]]&lt;=WarehouseData[[#This Row],[reorder_point]],"Low Stock","Sufficient Stock")</f>
        <v>Sufficient Stock</v>
      </c>
      <c r="Y1346">
        <f>WarehouseData[[#This Row],[daily_demand]]*WarehouseData[[#This Row],[lead_time_days]]</f>
        <v>116.32</v>
      </c>
      <c r="Z1346" t="str">
        <f>IF(WarehouseData[[#This Row],[stock_level]]&lt;=WarehouseData[[#This Row],[Demand During Lead Time]],"At Risk","Safe")</f>
        <v>Safe</v>
      </c>
      <c r="AA1346">
        <f>WarehouseData[[#This Row],[stock_level]]/WarehouseData[[#This Row],[daily_demand]]</f>
        <v>16.093535075653371</v>
      </c>
      <c r="AB1346">
        <f>WarehouseData[[#This Row],[stock_level]]*WarehouseData[[#This Row],[unit_price]]</f>
        <v>57484.44</v>
      </c>
      <c r="AC1346">
        <f>WarehouseData[[#This Row],[stock_level]]*WarehouseData[[#This Row],[holding_cost_per_unit_day]]*30</f>
        <v>26956.799999999999</v>
      </c>
      <c r="AD1346" t="str">
        <f>IF(WarehouseData[[#This Row],[order_fulfillment_rate]]&gt;=0.9,"Strong",IF(WarehouseData[[#This Row],[order_fulfillment_rate]]&gt;=0.8,"Moderate","Needs Attention"))</f>
        <v>Needs Attention</v>
      </c>
      <c r="AE1346" t="str">
        <f>IF(WarehouseData[[#This Row],[picking_time_seconds]]&gt;120,"Slow",IF(WarehouseData[[#This Row],[picking_time_seconds]]&gt;=60,"Average","Fast"))</f>
        <v>Slow</v>
      </c>
    </row>
    <row r="1347" spans="1:31" x14ac:dyDescent="0.25">
      <c r="A1347" t="s">
        <v>1485</v>
      </c>
      <c r="B1347" t="s">
        <v>32</v>
      </c>
      <c r="C1347">
        <v>432</v>
      </c>
      <c r="D1347">
        <v>99</v>
      </c>
      <c r="E1347">
        <v>14</v>
      </c>
      <c r="F1347">
        <v>3</v>
      </c>
      <c r="G1347">
        <v>23.46</v>
      </c>
      <c r="H1347">
        <v>9.35</v>
      </c>
      <c r="I1347">
        <v>0.63</v>
      </c>
      <c r="J1347" t="s">
        <v>104</v>
      </c>
      <c r="K1347" t="s">
        <v>52</v>
      </c>
      <c r="L1347">
        <v>116</v>
      </c>
      <c r="M1347">
        <v>3.9</v>
      </c>
      <c r="N1347">
        <v>121.74</v>
      </c>
      <c r="O1347">
        <v>1.08</v>
      </c>
      <c r="P1347">
        <v>2</v>
      </c>
      <c r="Q1347">
        <v>0.98</v>
      </c>
      <c r="R1347">
        <v>222</v>
      </c>
      <c r="S1347">
        <v>5.63</v>
      </c>
      <c r="T1347">
        <v>0.57999999999999996</v>
      </c>
      <c r="U1347" s="1">
        <v>45377</v>
      </c>
      <c r="V1347">
        <v>121.44</v>
      </c>
      <c r="W1347">
        <v>0.63900000000000001</v>
      </c>
      <c r="X1347" t="str">
        <f>IF(WarehouseData[[#This Row],[stock_level]]&lt;=WarehouseData[[#This Row],[reorder_point]],"Low Stock","Sufficient Stock")</f>
        <v>Sufficient Stock</v>
      </c>
      <c r="Y1347">
        <f>WarehouseData[[#This Row],[daily_demand]]*WarehouseData[[#This Row],[lead_time_days]]</f>
        <v>70.38</v>
      </c>
      <c r="Z1347" t="str">
        <f>IF(WarehouseData[[#This Row],[stock_level]]&lt;=WarehouseData[[#This Row],[Demand During Lead Time]],"At Risk","Safe")</f>
        <v>Safe</v>
      </c>
      <c r="AA1347">
        <f>WarehouseData[[#This Row],[stock_level]]/WarehouseData[[#This Row],[daily_demand]]</f>
        <v>18.414322250639387</v>
      </c>
      <c r="AB1347">
        <f>WarehouseData[[#This Row],[stock_level]]*WarehouseData[[#This Row],[unit_price]]</f>
        <v>52591.68</v>
      </c>
      <c r="AC1347">
        <f>WarehouseData[[#This Row],[stock_level]]*WarehouseData[[#This Row],[holding_cost_per_unit_day]]*30</f>
        <v>13996.800000000001</v>
      </c>
      <c r="AD1347" t="str">
        <f>IF(WarehouseData[[#This Row],[order_fulfillment_rate]]&gt;=0.9,"Strong",IF(WarehouseData[[#This Row],[order_fulfillment_rate]]&gt;=0.8,"Moderate","Needs Attention"))</f>
        <v>Strong</v>
      </c>
      <c r="AE1347" t="str">
        <f>IF(WarehouseData[[#This Row],[picking_time_seconds]]&gt;120,"Slow",IF(WarehouseData[[#This Row],[picking_time_seconds]]&gt;=60,"Average","Fast"))</f>
        <v>Average</v>
      </c>
    </row>
    <row r="1348" spans="1:31" x14ac:dyDescent="0.25">
      <c r="A1348" t="s">
        <v>1486</v>
      </c>
      <c r="B1348" t="s">
        <v>48</v>
      </c>
      <c r="C1348">
        <v>453</v>
      </c>
      <c r="D1348">
        <v>18</v>
      </c>
      <c r="E1348">
        <v>5</v>
      </c>
      <c r="F1348">
        <v>9</v>
      </c>
      <c r="G1348">
        <v>14.58</v>
      </c>
      <c r="H1348">
        <v>4.78</v>
      </c>
      <c r="I1348">
        <v>0.13</v>
      </c>
      <c r="J1348" t="s">
        <v>33</v>
      </c>
      <c r="K1348" t="s">
        <v>38</v>
      </c>
      <c r="L1348">
        <v>151</v>
      </c>
      <c r="M1348">
        <v>3.81</v>
      </c>
      <c r="N1348">
        <v>120.02</v>
      </c>
      <c r="O1348">
        <v>0.38</v>
      </c>
      <c r="P1348">
        <v>5</v>
      </c>
      <c r="Q1348">
        <v>0.84</v>
      </c>
      <c r="R1348">
        <v>252</v>
      </c>
      <c r="S1348">
        <v>9.5500000000000007</v>
      </c>
      <c r="T1348">
        <v>0.56000000000000005</v>
      </c>
      <c r="U1348" s="1">
        <v>45617</v>
      </c>
      <c r="V1348">
        <v>295.8</v>
      </c>
      <c r="W1348">
        <v>0.66900000000000004</v>
      </c>
      <c r="X1348" t="str">
        <f>IF(WarehouseData[[#This Row],[stock_level]]&lt;=WarehouseData[[#This Row],[reorder_point]],"Low Stock","Sufficient Stock")</f>
        <v>Sufficient Stock</v>
      </c>
      <c r="Y1348">
        <f>WarehouseData[[#This Row],[daily_demand]]*WarehouseData[[#This Row],[lead_time_days]]</f>
        <v>131.22</v>
      </c>
      <c r="Z1348" t="str">
        <f>IF(WarehouseData[[#This Row],[stock_level]]&lt;=WarehouseData[[#This Row],[Demand During Lead Time]],"At Risk","Safe")</f>
        <v>Safe</v>
      </c>
      <c r="AA1348">
        <f>WarehouseData[[#This Row],[stock_level]]/WarehouseData[[#This Row],[daily_demand]]</f>
        <v>31.069958847736626</v>
      </c>
      <c r="AB1348">
        <f>WarehouseData[[#This Row],[stock_level]]*WarehouseData[[#This Row],[unit_price]]</f>
        <v>54369.06</v>
      </c>
      <c r="AC1348">
        <f>WarehouseData[[#This Row],[stock_level]]*WarehouseData[[#This Row],[holding_cost_per_unit_day]]*30</f>
        <v>5164.2000000000007</v>
      </c>
      <c r="AD1348" t="str">
        <f>IF(WarehouseData[[#This Row],[order_fulfillment_rate]]&gt;=0.9,"Strong",IF(WarehouseData[[#This Row],[order_fulfillment_rate]]&gt;=0.8,"Moderate","Needs Attention"))</f>
        <v>Moderate</v>
      </c>
      <c r="AE1348" t="str">
        <f>IF(WarehouseData[[#This Row],[picking_time_seconds]]&gt;120,"Slow",IF(WarehouseData[[#This Row],[picking_time_seconds]]&gt;=60,"Average","Fast"))</f>
        <v>Slow</v>
      </c>
    </row>
    <row r="1349" spans="1:31" x14ac:dyDescent="0.25">
      <c r="A1349" t="s">
        <v>1487</v>
      </c>
      <c r="B1349" t="s">
        <v>36</v>
      </c>
      <c r="C1349">
        <v>373</v>
      </c>
      <c r="D1349">
        <v>21</v>
      </c>
      <c r="E1349">
        <v>12</v>
      </c>
      <c r="F1349">
        <v>8</v>
      </c>
      <c r="G1349">
        <v>23.74</v>
      </c>
      <c r="H1349">
        <v>6.86</v>
      </c>
      <c r="I1349">
        <v>0.53</v>
      </c>
      <c r="J1349" t="s">
        <v>158</v>
      </c>
      <c r="K1349" t="s">
        <v>52</v>
      </c>
      <c r="L1349">
        <v>67</v>
      </c>
      <c r="M1349">
        <v>0.79</v>
      </c>
      <c r="N1349">
        <v>118.92</v>
      </c>
      <c r="O1349">
        <v>0.38</v>
      </c>
      <c r="P1349">
        <v>6</v>
      </c>
      <c r="Q1349">
        <v>0.73</v>
      </c>
      <c r="R1349">
        <v>82</v>
      </c>
      <c r="S1349">
        <v>8.61</v>
      </c>
      <c r="T1349">
        <v>0.39</v>
      </c>
      <c r="U1349" s="1">
        <v>45337</v>
      </c>
      <c r="V1349">
        <v>17.59</v>
      </c>
      <c r="W1349">
        <v>0.58099999999999996</v>
      </c>
      <c r="X1349" t="str">
        <f>IF(WarehouseData[[#This Row],[stock_level]]&lt;=WarehouseData[[#This Row],[reorder_point]],"Low Stock","Sufficient Stock")</f>
        <v>Sufficient Stock</v>
      </c>
      <c r="Y1349">
        <f>WarehouseData[[#This Row],[daily_demand]]*WarehouseData[[#This Row],[lead_time_days]]</f>
        <v>189.92</v>
      </c>
      <c r="Z1349" t="str">
        <f>IF(WarehouseData[[#This Row],[stock_level]]&lt;=WarehouseData[[#This Row],[Demand During Lead Time]],"At Risk","Safe")</f>
        <v>Safe</v>
      </c>
      <c r="AA1349">
        <f>WarehouseData[[#This Row],[stock_level]]/WarehouseData[[#This Row],[daily_demand]]</f>
        <v>15.711878685762427</v>
      </c>
      <c r="AB1349">
        <f>WarehouseData[[#This Row],[stock_level]]*WarehouseData[[#This Row],[unit_price]]</f>
        <v>44357.16</v>
      </c>
      <c r="AC1349">
        <f>WarehouseData[[#This Row],[stock_level]]*WarehouseData[[#This Row],[holding_cost_per_unit_day]]*30</f>
        <v>4252.2000000000007</v>
      </c>
      <c r="AD1349" t="str">
        <f>IF(WarehouseData[[#This Row],[order_fulfillment_rate]]&gt;=0.9,"Strong",IF(WarehouseData[[#This Row],[order_fulfillment_rate]]&gt;=0.8,"Moderate","Needs Attention"))</f>
        <v>Needs Attention</v>
      </c>
      <c r="AE1349" t="str">
        <f>IF(WarehouseData[[#This Row],[picking_time_seconds]]&gt;120,"Slow",IF(WarehouseData[[#This Row],[picking_time_seconds]]&gt;=60,"Average","Fast"))</f>
        <v>Average</v>
      </c>
    </row>
    <row r="1350" spans="1:31" x14ac:dyDescent="0.25">
      <c r="A1350" t="s">
        <v>1488</v>
      </c>
      <c r="B1350" t="s">
        <v>73</v>
      </c>
      <c r="C1350">
        <v>160</v>
      </c>
      <c r="D1350">
        <v>78</v>
      </c>
      <c r="E1350">
        <v>12</v>
      </c>
      <c r="F1350">
        <v>8</v>
      </c>
      <c r="G1350">
        <v>23.05</v>
      </c>
      <c r="H1350">
        <v>3.05</v>
      </c>
      <c r="I1350">
        <v>0.87</v>
      </c>
      <c r="J1350" t="s">
        <v>122</v>
      </c>
      <c r="K1350" t="s">
        <v>46</v>
      </c>
      <c r="L1350">
        <v>155</v>
      </c>
      <c r="M1350">
        <v>2.29</v>
      </c>
      <c r="N1350">
        <v>69.319999999999993</v>
      </c>
      <c r="O1350">
        <v>1.26</v>
      </c>
      <c r="P1350">
        <v>6</v>
      </c>
      <c r="Q1350">
        <v>0.9</v>
      </c>
      <c r="R1350">
        <v>260</v>
      </c>
      <c r="S1350">
        <v>9.1199999999999992</v>
      </c>
      <c r="T1350">
        <v>0.36</v>
      </c>
      <c r="U1350" s="1">
        <v>45654</v>
      </c>
      <c r="V1350">
        <v>251.33</v>
      </c>
      <c r="W1350">
        <v>0.52800000000000002</v>
      </c>
      <c r="X1350" t="str">
        <f>IF(WarehouseData[[#This Row],[stock_level]]&lt;=WarehouseData[[#This Row],[reorder_point]],"Low Stock","Sufficient Stock")</f>
        <v>Sufficient Stock</v>
      </c>
      <c r="Y1350">
        <f>WarehouseData[[#This Row],[daily_demand]]*WarehouseData[[#This Row],[lead_time_days]]</f>
        <v>184.4</v>
      </c>
      <c r="Z1350" t="str">
        <f>IF(WarehouseData[[#This Row],[stock_level]]&lt;=WarehouseData[[#This Row],[Demand During Lead Time]],"At Risk","Safe")</f>
        <v>At Risk</v>
      </c>
      <c r="AA1350">
        <f>WarehouseData[[#This Row],[stock_level]]/WarehouseData[[#This Row],[daily_demand]]</f>
        <v>6.9414316702819958</v>
      </c>
      <c r="AB1350">
        <f>WarehouseData[[#This Row],[stock_level]]*WarehouseData[[#This Row],[unit_price]]</f>
        <v>11091.199999999999</v>
      </c>
      <c r="AC1350">
        <f>WarehouseData[[#This Row],[stock_level]]*WarehouseData[[#This Row],[holding_cost_per_unit_day]]*30</f>
        <v>6048</v>
      </c>
      <c r="AD1350" t="str">
        <f>IF(WarehouseData[[#This Row],[order_fulfillment_rate]]&gt;=0.9,"Strong",IF(WarehouseData[[#This Row],[order_fulfillment_rate]]&gt;=0.8,"Moderate","Needs Attention"))</f>
        <v>Strong</v>
      </c>
      <c r="AE1350" t="str">
        <f>IF(WarehouseData[[#This Row],[picking_time_seconds]]&gt;120,"Slow",IF(WarehouseData[[#This Row],[picking_time_seconds]]&gt;=60,"Average","Fast"))</f>
        <v>Slow</v>
      </c>
    </row>
    <row r="1351" spans="1:31" x14ac:dyDescent="0.25">
      <c r="A1351" t="s">
        <v>1489</v>
      </c>
      <c r="B1351" t="s">
        <v>73</v>
      </c>
      <c r="C1351">
        <v>265</v>
      </c>
      <c r="D1351">
        <v>63</v>
      </c>
      <c r="E1351">
        <v>10</v>
      </c>
      <c r="F1351">
        <v>2</v>
      </c>
      <c r="G1351">
        <v>29.6</v>
      </c>
      <c r="H1351">
        <v>4.4000000000000004</v>
      </c>
      <c r="I1351">
        <v>0.54</v>
      </c>
      <c r="J1351" t="s">
        <v>377</v>
      </c>
      <c r="K1351" t="s">
        <v>38</v>
      </c>
      <c r="L1351">
        <v>16</v>
      </c>
      <c r="M1351">
        <v>0.89</v>
      </c>
      <c r="N1351">
        <v>92.54</v>
      </c>
      <c r="O1351">
        <v>1.68</v>
      </c>
      <c r="P1351">
        <v>5</v>
      </c>
      <c r="Q1351">
        <v>0.97</v>
      </c>
      <c r="R1351">
        <v>862</v>
      </c>
      <c r="S1351">
        <v>12.45</v>
      </c>
      <c r="T1351">
        <v>0.4</v>
      </c>
      <c r="U1351" s="1">
        <v>45635</v>
      </c>
      <c r="V1351">
        <v>90.45</v>
      </c>
      <c r="W1351">
        <v>0.57199999999999995</v>
      </c>
      <c r="X1351" t="str">
        <f>IF(WarehouseData[[#This Row],[stock_level]]&lt;=WarehouseData[[#This Row],[reorder_point]],"Low Stock","Sufficient Stock")</f>
        <v>Sufficient Stock</v>
      </c>
      <c r="Y1351">
        <f>WarehouseData[[#This Row],[daily_demand]]*WarehouseData[[#This Row],[lead_time_days]]</f>
        <v>59.2</v>
      </c>
      <c r="Z1351" t="str">
        <f>IF(WarehouseData[[#This Row],[stock_level]]&lt;=WarehouseData[[#This Row],[Demand During Lead Time]],"At Risk","Safe")</f>
        <v>Safe</v>
      </c>
      <c r="AA1351">
        <f>WarehouseData[[#This Row],[stock_level]]/WarehouseData[[#This Row],[daily_demand]]</f>
        <v>8.9527027027027017</v>
      </c>
      <c r="AB1351">
        <f>WarehouseData[[#This Row],[stock_level]]*WarehouseData[[#This Row],[unit_price]]</f>
        <v>24523.100000000002</v>
      </c>
      <c r="AC1351">
        <f>WarehouseData[[#This Row],[stock_level]]*WarehouseData[[#This Row],[holding_cost_per_unit_day]]*30</f>
        <v>13356</v>
      </c>
      <c r="AD1351" t="str">
        <f>IF(WarehouseData[[#This Row],[order_fulfillment_rate]]&gt;=0.9,"Strong",IF(WarehouseData[[#This Row],[order_fulfillment_rate]]&gt;=0.8,"Moderate","Needs Attention"))</f>
        <v>Strong</v>
      </c>
      <c r="AE1351" t="str">
        <f>IF(WarehouseData[[#This Row],[picking_time_seconds]]&gt;120,"Slow",IF(WarehouseData[[#This Row],[picking_time_seconds]]&gt;=60,"Average","Fast"))</f>
        <v>Fast</v>
      </c>
    </row>
    <row r="1352" spans="1:31" x14ac:dyDescent="0.25">
      <c r="A1352" t="s">
        <v>1490</v>
      </c>
      <c r="B1352" t="s">
        <v>36</v>
      </c>
      <c r="C1352">
        <v>404</v>
      </c>
      <c r="D1352">
        <v>63</v>
      </c>
      <c r="E1352">
        <v>9</v>
      </c>
      <c r="F1352">
        <v>3</v>
      </c>
      <c r="G1352">
        <v>14.8</v>
      </c>
      <c r="H1352">
        <v>7.24</v>
      </c>
      <c r="I1352">
        <v>0.6</v>
      </c>
      <c r="J1352" t="s">
        <v>196</v>
      </c>
      <c r="K1352" t="s">
        <v>38</v>
      </c>
      <c r="L1352">
        <v>96</v>
      </c>
      <c r="M1352">
        <v>2.12</v>
      </c>
      <c r="N1352">
        <v>122.75</v>
      </c>
      <c r="O1352">
        <v>1.52</v>
      </c>
      <c r="P1352">
        <v>2</v>
      </c>
      <c r="Q1352">
        <v>0.83</v>
      </c>
      <c r="R1352">
        <v>743</v>
      </c>
      <c r="S1352">
        <v>8.1300000000000008</v>
      </c>
      <c r="T1352">
        <v>0.68</v>
      </c>
      <c r="U1352" s="1">
        <v>45619</v>
      </c>
      <c r="V1352">
        <v>247.06</v>
      </c>
      <c r="W1352">
        <v>0.61799999999999999</v>
      </c>
      <c r="X1352" t="str">
        <f>IF(WarehouseData[[#This Row],[stock_level]]&lt;=WarehouseData[[#This Row],[reorder_point]],"Low Stock","Sufficient Stock")</f>
        <v>Sufficient Stock</v>
      </c>
      <c r="Y1352">
        <f>WarehouseData[[#This Row],[daily_demand]]*WarehouseData[[#This Row],[lead_time_days]]</f>
        <v>44.400000000000006</v>
      </c>
      <c r="Z1352" t="str">
        <f>IF(WarehouseData[[#This Row],[stock_level]]&lt;=WarehouseData[[#This Row],[Demand During Lead Time]],"At Risk","Safe")</f>
        <v>Safe</v>
      </c>
      <c r="AA1352">
        <f>WarehouseData[[#This Row],[stock_level]]/WarehouseData[[#This Row],[daily_demand]]</f>
        <v>27.297297297297295</v>
      </c>
      <c r="AB1352">
        <f>WarehouseData[[#This Row],[stock_level]]*WarehouseData[[#This Row],[unit_price]]</f>
        <v>49591</v>
      </c>
      <c r="AC1352">
        <f>WarehouseData[[#This Row],[stock_level]]*WarehouseData[[#This Row],[holding_cost_per_unit_day]]*30</f>
        <v>18422.400000000001</v>
      </c>
      <c r="AD1352" t="str">
        <f>IF(WarehouseData[[#This Row],[order_fulfillment_rate]]&gt;=0.9,"Strong",IF(WarehouseData[[#This Row],[order_fulfillment_rate]]&gt;=0.8,"Moderate","Needs Attention"))</f>
        <v>Moderate</v>
      </c>
      <c r="AE1352" t="str">
        <f>IF(WarehouseData[[#This Row],[picking_time_seconds]]&gt;120,"Slow",IF(WarehouseData[[#This Row],[picking_time_seconds]]&gt;=60,"Average","Fast"))</f>
        <v>Average</v>
      </c>
    </row>
    <row r="1353" spans="1:31" x14ac:dyDescent="0.25">
      <c r="A1353" t="s">
        <v>1491</v>
      </c>
      <c r="B1353" t="s">
        <v>73</v>
      </c>
      <c r="C1353">
        <v>437</v>
      </c>
      <c r="D1353">
        <v>37</v>
      </c>
      <c r="E1353">
        <v>4</v>
      </c>
      <c r="F1353">
        <v>5</v>
      </c>
      <c r="G1353">
        <v>4.8</v>
      </c>
      <c r="H1353">
        <v>5.37</v>
      </c>
      <c r="I1353">
        <v>0.28000000000000003</v>
      </c>
      <c r="J1353" t="s">
        <v>207</v>
      </c>
      <c r="K1353" t="s">
        <v>52</v>
      </c>
      <c r="L1353">
        <v>106</v>
      </c>
      <c r="M1353">
        <v>3.07</v>
      </c>
      <c r="N1353">
        <v>137.54</v>
      </c>
      <c r="O1353">
        <v>1.35</v>
      </c>
      <c r="P1353">
        <v>5</v>
      </c>
      <c r="Q1353">
        <v>0.91</v>
      </c>
      <c r="R1353">
        <v>802</v>
      </c>
      <c r="S1353">
        <v>11.2</v>
      </c>
      <c r="T1353">
        <v>0.53</v>
      </c>
      <c r="U1353" s="1">
        <v>45463</v>
      </c>
      <c r="V1353">
        <v>57.03</v>
      </c>
      <c r="W1353">
        <v>0.60199999999999998</v>
      </c>
      <c r="X1353" t="str">
        <f>IF(WarehouseData[[#This Row],[stock_level]]&lt;=WarehouseData[[#This Row],[reorder_point]],"Low Stock","Sufficient Stock")</f>
        <v>Sufficient Stock</v>
      </c>
      <c r="Y1353">
        <f>WarehouseData[[#This Row],[daily_demand]]*WarehouseData[[#This Row],[lead_time_days]]</f>
        <v>24</v>
      </c>
      <c r="Z1353" t="str">
        <f>IF(WarehouseData[[#This Row],[stock_level]]&lt;=WarehouseData[[#This Row],[Demand During Lead Time]],"At Risk","Safe")</f>
        <v>Safe</v>
      </c>
      <c r="AA1353">
        <f>WarehouseData[[#This Row],[stock_level]]/WarehouseData[[#This Row],[daily_demand]]</f>
        <v>91.041666666666671</v>
      </c>
      <c r="AB1353">
        <f>WarehouseData[[#This Row],[stock_level]]*WarehouseData[[#This Row],[unit_price]]</f>
        <v>60104.979999999996</v>
      </c>
      <c r="AC1353">
        <f>WarehouseData[[#This Row],[stock_level]]*WarehouseData[[#This Row],[holding_cost_per_unit_day]]*30</f>
        <v>17698.5</v>
      </c>
      <c r="AD1353" t="str">
        <f>IF(WarehouseData[[#This Row],[order_fulfillment_rate]]&gt;=0.9,"Strong",IF(WarehouseData[[#This Row],[order_fulfillment_rate]]&gt;=0.8,"Moderate","Needs Attention"))</f>
        <v>Strong</v>
      </c>
      <c r="AE1353" t="str">
        <f>IF(WarehouseData[[#This Row],[picking_time_seconds]]&gt;120,"Slow",IF(WarehouseData[[#This Row],[picking_time_seconds]]&gt;=60,"Average","Fast"))</f>
        <v>Average</v>
      </c>
    </row>
    <row r="1354" spans="1:31" x14ac:dyDescent="0.25">
      <c r="A1354" t="s">
        <v>1492</v>
      </c>
      <c r="B1354" t="s">
        <v>73</v>
      </c>
      <c r="C1354">
        <v>112</v>
      </c>
      <c r="D1354">
        <v>65</v>
      </c>
      <c r="E1354">
        <v>3</v>
      </c>
      <c r="F1354">
        <v>6</v>
      </c>
      <c r="G1354">
        <v>8.11</v>
      </c>
      <c r="H1354">
        <v>9.34</v>
      </c>
      <c r="I1354">
        <v>0.81</v>
      </c>
      <c r="J1354" t="s">
        <v>316</v>
      </c>
      <c r="K1354" t="s">
        <v>46</v>
      </c>
      <c r="L1354">
        <v>54</v>
      </c>
      <c r="M1354">
        <v>4.45</v>
      </c>
      <c r="N1354">
        <v>58.09</v>
      </c>
      <c r="O1354">
        <v>0.43</v>
      </c>
      <c r="P1354">
        <v>1</v>
      </c>
      <c r="Q1354">
        <v>0.99</v>
      </c>
      <c r="R1354">
        <v>100</v>
      </c>
      <c r="S1354">
        <v>4.51</v>
      </c>
      <c r="T1354">
        <v>0.53</v>
      </c>
      <c r="U1354" s="1">
        <v>45520</v>
      </c>
      <c r="V1354">
        <v>110.58</v>
      </c>
      <c r="W1354">
        <v>0.70099999999999996</v>
      </c>
      <c r="X1354" t="str">
        <f>IF(WarehouseData[[#This Row],[stock_level]]&lt;=WarehouseData[[#This Row],[reorder_point]],"Low Stock","Sufficient Stock")</f>
        <v>Sufficient Stock</v>
      </c>
      <c r="Y1354">
        <f>WarehouseData[[#This Row],[daily_demand]]*WarehouseData[[#This Row],[lead_time_days]]</f>
        <v>48.66</v>
      </c>
      <c r="Z1354" t="str">
        <f>IF(WarehouseData[[#This Row],[stock_level]]&lt;=WarehouseData[[#This Row],[Demand During Lead Time]],"At Risk","Safe")</f>
        <v>Safe</v>
      </c>
      <c r="AA1354">
        <f>WarehouseData[[#This Row],[stock_level]]/WarehouseData[[#This Row],[daily_demand]]</f>
        <v>13.810110974106044</v>
      </c>
      <c r="AB1354">
        <f>WarehouseData[[#This Row],[stock_level]]*WarehouseData[[#This Row],[unit_price]]</f>
        <v>6506.08</v>
      </c>
      <c r="AC1354">
        <f>WarehouseData[[#This Row],[stock_level]]*WarehouseData[[#This Row],[holding_cost_per_unit_day]]*30</f>
        <v>1444.8</v>
      </c>
      <c r="AD1354" t="str">
        <f>IF(WarehouseData[[#This Row],[order_fulfillment_rate]]&gt;=0.9,"Strong",IF(WarehouseData[[#This Row],[order_fulfillment_rate]]&gt;=0.8,"Moderate","Needs Attention"))</f>
        <v>Strong</v>
      </c>
      <c r="AE1354" t="str">
        <f>IF(WarehouseData[[#This Row],[picking_time_seconds]]&gt;120,"Slow",IF(WarehouseData[[#This Row],[picking_time_seconds]]&gt;=60,"Average","Fast"))</f>
        <v>Fast</v>
      </c>
    </row>
    <row r="1355" spans="1:31" x14ac:dyDescent="0.25">
      <c r="A1355" t="s">
        <v>1493</v>
      </c>
      <c r="B1355" t="s">
        <v>73</v>
      </c>
      <c r="C1355">
        <v>451</v>
      </c>
      <c r="D1355">
        <v>78</v>
      </c>
      <c r="E1355">
        <v>5</v>
      </c>
      <c r="F1355">
        <v>3</v>
      </c>
      <c r="G1355">
        <v>35.26</v>
      </c>
      <c r="H1355">
        <v>7.5</v>
      </c>
      <c r="I1355">
        <v>0.42</v>
      </c>
      <c r="J1355" t="s">
        <v>41</v>
      </c>
      <c r="K1355" t="s">
        <v>46</v>
      </c>
      <c r="L1355">
        <v>25</v>
      </c>
      <c r="M1355">
        <v>1.77</v>
      </c>
      <c r="N1355">
        <v>143.28</v>
      </c>
      <c r="O1355">
        <v>0.31</v>
      </c>
      <c r="P1355">
        <v>9</v>
      </c>
      <c r="Q1355">
        <v>0.77</v>
      </c>
      <c r="R1355">
        <v>932</v>
      </c>
      <c r="S1355">
        <v>14.05</v>
      </c>
      <c r="T1355">
        <v>0.35</v>
      </c>
      <c r="U1355" s="1">
        <v>45297</v>
      </c>
      <c r="V1355">
        <v>26.23</v>
      </c>
      <c r="W1355">
        <v>0.6</v>
      </c>
      <c r="X1355" t="str">
        <f>IF(WarehouseData[[#This Row],[stock_level]]&lt;=WarehouseData[[#This Row],[reorder_point]],"Low Stock","Sufficient Stock")</f>
        <v>Sufficient Stock</v>
      </c>
      <c r="Y1355">
        <f>WarehouseData[[#This Row],[daily_demand]]*WarehouseData[[#This Row],[lead_time_days]]</f>
        <v>105.78</v>
      </c>
      <c r="Z1355" t="str">
        <f>IF(WarehouseData[[#This Row],[stock_level]]&lt;=WarehouseData[[#This Row],[Demand During Lead Time]],"At Risk","Safe")</f>
        <v>Safe</v>
      </c>
      <c r="AA1355">
        <f>WarehouseData[[#This Row],[stock_level]]/WarehouseData[[#This Row],[daily_demand]]</f>
        <v>12.790697674418606</v>
      </c>
      <c r="AB1355">
        <f>WarehouseData[[#This Row],[stock_level]]*WarehouseData[[#This Row],[unit_price]]</f>
        <v>64619.28</v>
      </c>
      <c r="AC1355">
        <f>WarehouseData[[#This Row],[stock_level]]*WarehouseData[[#This Row],[holding_cost_per_unit_day]]*30</f>
        <v>4194.3</v>
      </c>
      <c r="AD1355" t="str">
        <f>IF(WarehouseData[[#This Row],[order_fulfillment_rate]]&gt;=0.9,"Strong",IF(WarehouseData[[#This Row],[order_fulfillment_rate]]&gt;=0.8,"Moderate","Needs Attention"))</f>
        <v>Needs Attention</v>
      </c>
      <c r="AE1355" t="str">
        <f>IF(WarehouseData[[#This Row],[picking_time_seconds]]&gt;120,"Slow",IF(WarehouseData[[#This Row],[picking_time_seconds]]&gt;=60,"Average","Fast"))</f>
        <v>Fast</v>
      </c>
    </row>
    <row r="1356" spans="1:31" x14ac:dyDescent="0.25">
      <c r="A1356" t="s">
        <v>1494</v>
      </c>
      <c r="B1356" t="s">
        <v>32</v>
      </c>
      <c r="C1356">
        <v>258</v>
      </c>
      <c r="D1356">
        <v>86</v>
      </c>
      <c r="E1356">
        <v>7</v>
      </c>
      <c r="F1356">
        <v>2</v>
      </c>
      <c r="G1356">
        <v>2.1</v>
      </c>
      <c r="H1356">
        <v>5.86</v>
      </c>
      <c r="I1356">
        <v>0.96</v>
      </c>
      <c r="J1356" t="s">
        <v>131</v>
      </c>
      <c r="K1356" t="s">
        <v>46</v>
      </c>
      <c r="L1356">
        <v>73</v>
      </c>
      <c r="M1356">
        <v>3.31</v>
      </c>
      <c r="N1356">
        <v>185.42</v>
      </c>
      <c r="O1356">
        <v>0.1</v>
      </c>
      <c r="P1356">
        <v>0</v>
      </c>
      <c r="Q1356">
        <v>0.95</v>
      </c>
      <c r="R1356">
        <v>941</v>
      </c>
      <c r="S1356">
        <v>2.21</v>
      </c>
      <c r="T1356">
        <v>0.83</v>
      </c>
      <c r="U1356" s="1">
        <v>45427</v>
      </c>
      <c r="V1356">
        <v>67.89</v>
      </c>
      <c r="W1356">
        <v>0.77500000000000002</v>
      </c>
      <c r="X1356" t="str">
        <f>IF(WarehouseData[[#This Row],[stock_level]]&lt;=WarehouseData[[#This Row],[reorder_point]],"Low Stock","Sufficient Stock")</f>
        <v>Sufficient Stock</v>
      </c>
      <c r="Y1356">
        <f>WarehouseData[[#This Row],[daily_demand]]*WarehouseData[[#This Row],[lead_time_days]]</f>
        <v>4.2</v>
      </c>
      <c r="Z1356" t="str">
        <f>IF(WarehouseData[[#This Row],[stock_level]]&lt;=WarehouseData[[#This Row],[Demand During Lead Time]],"At Risk","Safe")</f>
        <v>Safe</v>
      </c>
      <c r="AA1356">
        <f>WarehouseData[[#This Row],[stock_level]]/WarehouseData[[#This Row],[daily_demand]]</f>
        <v>122.85714285714285</v>
      </c>
      <c r="AB1356">
        <f>WarehouseData[[#This Row],[stock_level]]*WarehouseData[[#This Row],[unit_price]]</f>
        <v>47838.359999999993</v>
      </c>
      <c r="AC1356">
        <f>WarehouseData[[#This Row],[stock_level]]*WarehouseData[[#This Row],[holding_cost_per_unit_day]]*30</f>
        <v>774</v>
      </c>
      <c r="AD1356" t="str">
        <f>IF(WarehouseData[[#This Row],[order_fulfillment_rate]]&gt;=0.9,"Strong",IF(WarehouseData[[#This Row],[order_fulfillment_rate]]&gt;=0.8,"Moderate","Needs Attention"))</f>
        <v>Strong</v>
      </c>
      <c r="AE1356" t="str">
        <f>IF(WarehouseData[[#This Row],[picking_time_seconds]]&gt;120,"Slow",IF(WarehouseData[[#This Row],[picking_time_seconds]]&gt;=60,"Average","Fast"))</f>
        <v>Average</v>
      </c>
    </row>
    <row r="1357" spans="1:31" x14ac:dyDescent="0.25">
      <c r="A1357" t="s">
        <v>1495</v>
      </c>
      <c r="B1357" t="s">
        <v>32</v>
      </c>
      <c r="C1357">
        <v>224</v>
      </c>
      <c r="D1357">
        <v>67</v>
      </c>
      <c r="E1357">
        <v>12</v>
      </c>
      <c r="F1357">
        <v>5</v>
      </c>
      <c r="G1357">
        <v>42.97</v>
      </c>
      <c r="H1357">
        <v>8.92</v>
      </c>
      <c r="I1357">
        <v>0.99</v>
      </c>
      <c r="J1357" t="s">
        <v>212</v>
      </c>
      <c r="K1357" t="s">
        <v>38</v>
      </c>
      <c r="L1357">
        <v>46</v>
      </c>
      <c r="M1357">
        <v>1.24</v>
      </c>
      <c r="N1357">
        <v>154.01</v>
      </c>
      <c r="O1357">
        <v>0.28999999999999998</v>
      </c>
      <c r="P1357">
        <v>7</v>
      </c>
      <c r="Q1357">
        <v>0.79</v>
      </c>
      <c r="R1357">
        <v>904</v>
      </c>
      <c r="S1357">
        <v>14.91</v>
      </c>
      <c r="T1357">
        <v>0.76</v>
      </c>
      <c r="U1357" s="1">
        <v>45399</v>
      </c>
      <c r="V1357">
        <v>184.81</v>
      </c>
      <c r="W1357">
        <v>0.74</v>
      </c>
      <c r="X1357" t="str">
        <f>IF(WarehouseData[[#This Row],[stock_level]]&lt;=WarehouseData[[#This Row],[reorder_point]],"Low Stock","Sufficient Stock")</f>
        <v>Sufficient Stock</v>
      </c>
      <c r="Y1357">
        <f>WarehouseData[[#This Row],[daily_demand]]*WarehouseData[[#This Row],[lead_time_days]]</f>
        <v>214.85</v>
      </c>
      <c r="Z1357" t="str">
        <f>IF(WarehouseData[[#This Row],[stock_level]]&lt;=WarehouseData[[#This Row],[Demand During Lead Time]],"At Risk","Safe")</f>
        <v>Safe</v>
      </c>
      <c r="AA1357">
        <f>WarehouseData[[#This Row],[stock_level]]/WarehouseData[[#This Row],[daily_demand]]</f>
        <v>5.2129392599488016</v>
      </c>
      <c r="AB1357">
        <f>WarehouseData[[#This Row],[stock_level]]*WarehouseData[[#This Row],[unit_price]]</f>
        <v>34498.239999999998</v>
      </c>
      <c r="AC1357">
        <f>WarehouseData[[#This Row],[stock_level]]*WarehouseData[[#This Row],[holding_cost_per_unit_day]]*30</f>
        <v>1948.7999999999997</v>
      </c>
      <c r="AD1357" t="str">
        <f>IF(WarehouseData[[#This Row],[order_fulfillment_rate]]&gt;=0.9,"Strong",IF(WarehouseData[[#This Row],[order_fulfillment_rate]]&gt;=0.8,"Moderate","Needs Attention"))</f>
        <v>Needs Attention</v>
      </c>
      <c r="AE1357" t="str">
        <f>IF(WarehouseData[[#This Row],[picking_time_seconds]]&gt;120,"Slow",IF(WarehouseData[[#This Row],[picking_time_seconds]]&gt;=60,"Average","Fast"))</f>
        <v>Fast</v>
      </c>
    </row>
    <row r="1358" spans="1:31" x14ac:dyDescent="0.25">
      <c r="A1358" t="s">
        <v>1496</v>
      </c>
      <c r="B1358" t="s">
        <v>40</v>
      </c>
      <c r="C1358">
        <v>67</v>
      </c>
      <c r="D1358">
        <v>87</v>
      </c>
      <c r="E1358">
        <v>13</v>
      </c>
      <c r="F1358">
        <v>4</v>
      </c>
      <c r="G1358">
        <v>35.03</v>
      </c>
      <c r="H1358">
        <v>6.82</v>
      </c>
      <c r="I1358">
        <v>0.92</v>
      </c>
      <c r="J1358" t="s">
        <v>217</v>
      </c>
      <c r="K1358" t="s">
        <v>46</v>
      </c>
      <c r="L1358">
        <v>162</v>
      </c>
      <c r="M1358">
        <v>2.09</v>
      </c>
      <c r="N1358">
        <v>26</v>
      </c>
      <c r="O1358">
        <v>1.56</v>
      </c>
      <c r="P1358">
        <v>2</v>
      </c>
      <c r="Q1358">
        <v>0.83</v>
      </c>
      <c r="R1358">
        <v>456</v>
      </c>
      <c r="S1358">
        <v>9.86</v>
      </c>
      <c r="T1358">
        <v>0.54</v>
      </c>
      <c r="U1358" s="1">
        <v>45419</v>
      </c>
      <c r="V1358">
        <v>230.84</v>
      </c>
      <c r="W1358">
        <v>0.60899999999999999</v>
      </c>
      <c r="X1358" t="str">
        <f>IF(WarehouseData[[#This Row],[stock_level]]&lt;=WarehouseData[[#This Row],[reorder_point]],"Low Stock","Sufficient Stock")</f>
        <v>Low Stock</v>
      </c>
      <c r="Y1358">
        <f>WarehouseData[[#This Row],[daily_demand]]*WarehouseData[[#This Row],[lead_time_days]]</f>
        <v>140.12</v>
      </c>
      <c r="Z1358" t="str">
        <f>IF(WarehouseData[[#This Row],[stock_level]]&lt;=WarehouseData[[#This Row],[Demand During Lead Time]],"At Risk","Safe")</f>
        <v>At Risk</v>
      </c>
      <c r="AA1358">
        <f>WarehouseData[[#This Row],[stock_level]]/WarehouseData[[#This Row],[daily_demand]]</f>
        <v>1.9126463031687124</v>
      </c>
      <c r="AB1358">
        <f>WarehouseData[[#This Row],[stock_level]]*WarehouseData[[#This Row],[unit_price]]</f>
        <v>1742</v>
      </c>
      <c r="AC1358">
        <f>WarehouseData[[#This Row],[stock_level]]*WarehouseData[[#This Row],[holding_cost_per_unit_day]]*30</f>
        <v>3135.6000000000004</v>
      </c>
      <c r="AD1358" t="str">
        <f>IF(WarehouseData[[#This Row],[order_fulfillment_rate]]&gt;=0.9,"Strong",IF(WarehouseData[[#This Row],[order_fulfillment_rate]]&gt;=0.8,"Moderate","Needs Attention"))</f>
        <v>Moderate</v>
      </c>
      <c r="AE1358" t="str">
        <f>IF(WarehouseData[[#This Row],[picking_time_seconds]]&gt;120,"Slow",IF(WarehouseData[[#This Row],[picking_time_seconds]]&gt;=60,"Average","Fast"))</f>
        <v>Slow</v>
      </c>
    </row>
    <row r="1359" spans="1:31" x14ac:dyDescent="0.25">
      <c r="A1359" t="s">
        <v>1497</v>
      </c>
      <c r="B1359" t="s">
        <v>48</v>
      </c>
      <c r="C1359">
        <v>452</v>
      </c>
      <c r="D1359">
        <v>84</v>
      </c>
      <c r="E1359">
        <v>14</v>
      </c>
      <c r="F1359">
        <v>5</v>
      </c>
      <c r="G1359">
        <v>38.64</v>
      </c>
      <c r="H1359">
        <v>6.65</v>
      </c>
      <c r="I1359">
        <v>0.18</v>
      </c>
      <c r="J1359" t="s">
        <v>146</v>
      </c>
      <c r="K1359" t="s">
        <v>38</v>
      </c>
      <c r="L1359">
        <v>18</v>
      </c>
      <c r="M1359">
        <v>4.76</v>
      </c>
      <c r="N1359">
        <v>99.13</v>
      </c>
      <c r="O1359">
        <v>1.8</v>
      </c>
      <c r="P1359">
        <v>7</v>
      </c>
      <c r="Q1359">
        <v>0.78</v>
      </c>
      <c r="R1359">
        <v>590</v>
      </c>
      <c r="S1359">
        <v>7.58</v>
      </c>
      <c r="T1359">
        <v>0.31</v>
      </c>
      <c r="U1359" s="1">
        <v>45646</v>
      </c>
      <c r="V1359">
        <v>274.26</v>
      </c>
      <c r="W1359">
        <v>0.39900000000000002</v>
      </c>
      <c r="X1359" t="str">
        <f>IF(WarehouseData[[#This Row],[stock_level]]&lt;=WarehouseData[[#This Row],[reorder_point]],"Low Stock","Sufficient Stock")</f>
        <v>Sufficient Stock</v>
      </c>
      <c r="Y1359">
        <f>WarehouseData[[#This Row],[daily_demand]]*WarehouseData[[#This Row],[lead_time_days]]</f>
        <v>193.2</v>
      </c>
      <c r="Z1359" t="str">
        <f>IF(WarehouseData[[#This Row],[stock_level]]&lt;=WarehouseData[[#This Row],[Demand During Lead Time]],"At Risk","Safe")</f>
        <v>Safe</v>
      </c>
      <c r="AA1359">
        <f>WarehouseData[[#This Row],[stock_level]]/WarehouseData[[#This Row],[daily_demand]]</f>
        <v>11.697722567287785</v>
      </c>
      <c r="AB1359">
        <f>WarehouseData[[#This Row],[stock_level]]*WarehouseData[[#This Row],[unit_price]]</f>
        <v>44806.759999999995</v>
      </c>
      <c r="AC1359">
        <f>WarehouseData[[#This Row],[stock_level]]*WarehouseData[[#This Row],[holding_cost_per_unit_day]]*30</f>
        <v>24408</v>
      </c>
      <c r="AD1359" t="str">
        <f>IF(WarehouseData[[#This Row],[order_fulfillment_rate]]&gt;=0.9,"Strong",IF(WarehouseData[[#This Row],[order_fulfillment_rate]]&gt;=0.8,"Moderate","Needs Attention"))</f>
        <v>Needs Attention</v>
      </c>
      <c r="AE1359" t="str">
        <f>IF(WarehouseData[[#This Row],[picking_time_seconds]]&gt;120,"Slow",IF(WarehouseData[[#This Row],[picking_time_seconds]]&gt;=60,"Average","Fast"))</f>
        <v>Fast</v>
      </c>
    </row>
    <row r="1360" spans="1:31" x14ac:dyDescent="0.25">
      <c r="A1360" t="s">
        <v>1498</v>
      </c>
      <c r="B1360" t="s">
        <v>36</v>
      </c>
      <c r="C1360">
        <v>264</v>
      </c>
      <c r="D1360">
        <v>51</v>
      </c>
      <c r="E1360">
        <v>3</v>
      </c>
      <c r="F1360">
        <v>7</v>
      </c>
      <c r="G1360">
        <v>41.96</v>
      </c>
      <c r="H1360">
        <v>2.84</v>
      </c>
      <c r="I1360">
        <v>0.4</v>
      </c>
      <c r="J1360" t="s">
        <v>124</v>
      </c>
      <c r="K1360" t="s">
        <v>38</v>
      </c>
      <c r="L1360">
        <v>165</v>
      </c>
      <c r="M1360">
        <v>3.86</v>
      </c>
      <c r="N1360">
        <v>92.7</v>
      </c>
      <c r="O1360">
        <v>0.56000000000000005</v>
      </c>
      <c r="P1360">
        <v>2</v>
      </c>
      <c r="Q1360">
        <v>0.83</v>
      </c>
      <c r="R1360">
        <v>567</v>
      </c>
      <c r="S1360">
        <v>5.35</v>
      </c>
      <c r="T1360">
        <v>0.77</v>
      </c>
      <c r="U1360" s="1">
        <v>45326</v>
      </c>
      <c r="V1360">
        <v>44.71</v>
      </c>
      <c r="W1360">
        <v>0.69499999999999995</v>
      </c>
      <c r="X1360" t="str">
        <f>IF(WarehouseData[[#This Row],[stock_level]]&lt;=WarehouseData[[#This Row],[reorder_point]],"Low Stock","Sufficient Stock")</f>
        <v>Sufficient Stock</v>
      </c>
      <c r="Y1360">
        <f>WarehouseData[[#This Row],[daily_demand]]*WarehouseData[[#This Row],[lead_time_days]]</f>
        <v>293.72000000000003</v>
      </c>
      <c r="Z1360" t="str">
        <f>IF(WarehouseData[[#This Row],[stock_level]]&lt;=WarehouseData[[#This Row],[Demand During Lead Time]],"At Risk","Safe")</f>
        <v>At Risk</v>
      </c>
      <c r="AA1360">
        <f>WarehouseData[[#This Row],[stock_level]]/WarehouseData[[#This Row],[daily_demand]]</f>
        <v>6.2917063870352719</v>
      </c>
      <c r="AB1360">
        <f>WarehouseData[[#This Row],[stock_level]]*WarehouseData[[#This Row],[unit_price]]</f>
        <v>24472.799999999999</v>
      </c>
      <c r="AC1360">
        <f>WarehouseData[[#This Row],[stock_level]]*WarehouseData[[#This Row],[holding_cost_per_unit_day]]*30</f>
        <v>4435.2</v>
      </c>
      <c r="AD1360" t="str">
        <f>IF(WarehouseData[[#This Row],[order_fulfillment_rate]]&gt;=0.9,"Strong",IF(WarehouseData[[#This Row],[order_fulfillment_rate]]&gt;=0.8,"Moderate","Needs Attention"))</f>
        <v>Moderate</v>
      </c>
      <c r="AE1360" t="str">
        <f>IF(WarehouseData[[#This Row],[picking_time_seconds]]&gt;120,"Slow",IF(WarehouseData[[#This Row],[picking_time_seconds]]&gt;=60,"Average","Fast"))</f>
        <v>Slow</v>
      </c>
    </row>
    <row r="1361" spans="1:31" x14ac:dyDescent="0.25">
      <c r="A1361" t="s">
        <v>1499</v>
      </c>
      <c r="B1361" t="s">
        <v>36</v>
      </c>
      <c r="C1361">
        <v>339</v>
      </c>
      <c r="D1361">
        <v>47</v>
      </c>
      <c r="E1361">
        <v>5</v>
      </c>
      <c r="F1361">
        <v>9</v>
      </c>
      <c r="G1361">
        <v>7.01</v>
      </c>
      <c r="H1361">
        <v>4.25</v>
      </c>
      <c r="I1361">
        <v>0.95</v>
      </c>
      <c r="J1361" t="s">
        <v>178</v>
      </c>
      <c r="K1361" t="s">
        <v>34</v>
      </c>
      <c r="L1361">
        <v>146</v>
      </c>
      <c r="M1361">
        <v>2.96</v>
      </c>
      <c r="N1361">
        <v>73.94</v>
      </c>
      <c r="O1361">
        <v>1.61</v>
      </c>
      <c r="P1361">
        <v>1</v>
      </c>
      <c r="Q1361">
        <v>0.7</v>
      </c>
      <c r="R1361">
        <v>984</v>
      </c>
      <c r="S1361">
        <v>6.67</v>
      </c>
      <c r="T1361">
        <v>0.92</v>
      </c>
      <c r="U1361" s="1">
        <v>45471</v>
      </c>
      <c r="V1361">
        <v>50.77</v>
      </c>
      <c r="W1361">
        <v>0.63200000000000001</v>
      </c>
      <c r="X1361" t="str">
        <f>IF(WarehouseData[[#This Row],[stock_level]]&lt;=WarehouseData[[#This Row],[reorder_point]],"Low Stock","Sufficient Stock")</f>
        <v>Sufficient Stock</v>
      </c>
      <c r="Y1361">
        <f>WarehouseData[[#This Row],[daily_demand]]*WarehouseData[[#This Row],[lead_time_days]]</f>
        <v>63.089999999999996</v>
      </c>
      <c r="Z1361" t="str">
        <f>IF(WarehouseData[[#This Row],[stock_level]]&lt;=WarehouseData[[#This Row],[Demand During Lead Time]],"At Risk","Safe")</f>
        <v>Safe</v>
      </c>
      <c r="AA1361">
        <f>WarehouseData[[#This Row],[stock_level]]/WarehouseData[[#This Row],[daily_demand]]</f>
        <v>48.359486447931531</v>
      </c>
      <c r="AB1361">
        <f>WarehouseData[[#This Row],[stock_level]]*WarehouseData[[#This Row],[unit_price]]</f>
        <v>25065.66</v>
      </c>
      <c r="AC1361">
        <f>WarehouseData[[#This Row],[stock_level]]*WarehouseData[[#This Row],[holding_cost_per_unit_day]]*30</f>
        <v>16373.700000000003</v>
      </c>
      <c r="AD1361" t="str">
        <f>IF(WarehouseData[[#This Row],[order_fulfillment_rate]]&gt;=0.9,"Strong",IF(WarehouseData[[#This Row],[order_fulfillment_rate]]&gt;=0.8,"Moderate","Needs Attention"))</f>
        <v>Needs Attention</v>
      </c>
      <c r="AE1361" t="str">
        <f>IF(WarehouseData[[#This Row],[picking_time_seconds]]&gt;120,"Slow",IF(WarehouseData[[#This Row],[picking_time_seconds]]&gt;=60,"Average","Fast"))</f>
        <v>Slow</v>
      </c>
    </row>
    <row r="1362" spans="1:31" x14ac:dyDescent="0.25">
      <c r="A1362" t="s">
        <v>1500</v>
      </c>
      <c r="B1362" t="s">
        <v>36</v>
      </c>
      <c r="C1362">
        <v>336</v>
      </c>
      <c r="D1362">
        <v>77</v>
      </c>
      <c r="E1362">
        <v>5</v>
      </c>
      <c r="F1362">
        <v>3</v>
      </c>
      <c r="G1362">
        <v>41.3</v>
      </c>
      <c r="H1362">
        <v>6.99</v>
      </c>
      <c r="I1362">
        <v>0.82</v>
      </c>
      <c r="J1362" t="s">
        <v>301</v>
      </c>
      <c r="K1362" t="s">
        <v>52</v>
      </c>
      <c r="L1362">
        <v>149</v>
      </c>
      <c r="M1362">
        <v>1.63</v>
      </c>
      <c r="N1362">
        <v>103.35</v>
      </c>
      <c r="O1362">
        <v>0.48</v>
      </c>
      <c r="P1362">
        <v>7</v>
      </c>
      <c r="Q1362">
        <v>0.79</v>
      </c>
      <c r="R1362">
        <v>182</v>
      </c>
      <c r="S1362">
        <v>11.95</v>
      </c>
      <c r="T1362">
        <v>0.34</v>
      </c>
      <c r="U1362" s="1">
        <v>45423</v>
      </c>
      <c r="V1362">
        <v>282.24</v>
      </c>
      <c r="W1362">
        <v>0.59699999999999998</v>
      </c>
      <c r="X1362" t="str">
        <f>IF(WarehouseData[[#This Row],[stock_level]]&lt;=WarehouseData[[#This Row],[reorder_point]],"Low Stock","Sufficient Stock")</f>
        <v>Sufficient Stock</v>
      </c>
      <c r="Y1362">
        <f>WarehouseData[[#This Row],[daily_demand]]*WarehouseData[[#This Row],[lead_time_days]]</f>
        <v>123.89999999999999</v>
      </c>
      <c r="Z1362" t="str">
        <f>IF(WarehouseData[[#This Row],[stock_level]]&lt;=WarehouseData[[#This Row],[Demand During Lead Time]],"At Risk","Safe")</f>
        <v>Safe</v>
      </c>
      <c r="AA1362">
        <f>WarehouseData[[#This Row],[stock_level]]/WarehouseData[[#This Row],[daily_demand]]</f>
        <v>8.1355932203389845</v>
      </c>
      <c r="AB1362">
        <f>WarehouseData[[#This Row],[stock_level]]*WarehouseData[[#This Row],[unit_price]]</f>
        <v>34725.599999999999</v>
      </c>
      <c r="AC1362">
        <f>WarehouseData[[#This Row],[stock_level]]*WarehouseData[[#This Row],[holding_cost_per_unit_day]]*30</f>
        <v>4838.3999999999996</v>
      </c>
      <c r="AD1362" t="str">
        <f>IF(WarehouseData[[#This Row],[order_fulfillment_rate]]&gt;=0.9,"Strong",IF(WarehouseData[[#This Row],[order_fulfillment_rate]]&gt;=0.8,"Moderate","Needs Attention"))</f>
        <v>Needs Attention</v>
      </c>
      <c r="AE1362" t="str">
        <f>IF(WarehouseData[[#This Row],[picking_time_seconds]]&gt;120,"Slow",IF(WarehouseData[[#This Row],[picking_time_seconds]]&gt;=60,"Average","Fast"))</f>
        <v>Slow</v>
      </c>
    </row>
    <row r="1363" spans="1:31" x14ac:dyDescent="0.25">
      <c r="A1363" t="s">
        <v>1501</v>
      </c>
      <c r="B1363" t="s">
        <v>40</v>
      </c>
      <c r="C1363">
        <v>432</v>
      </c>
      <c r="D1363">
        <v>62</v>
      </c>
      <c r="E1363">
        <v>7</v>
      </c>
      <c r="F1363">
        <v>2</v>
      </c>
      <c r="G1363">
        <v>25.73</v>
      </c>
      <c r="H1363">
        <v>8.9700000000000006</v>
      </c>
      <c r="I1363">
        <v>0.92</v>
      </c>
      <c r="J1363" t="s">
        <v>240</v>
      </c>
      <c r="K1363" t="s">
        <v>46</v>
      </c>
      <c r="L1363">
        <v>155</v>
      </c>
      <c r="M1363">
        <v>2.21</v>
      </c>
      <c r="N1363">
        <v>93.53</v>
      </c>
      <c r="O1363">
        <v>0.56999999999999995</v>
      </c>
      <c r="P1363">
        <v>2</v>
      </c>
      <c r="Q1363">
        <v>0.83</v>
      </c>
      <c r="R1363">
        <v>145</v>
      </c>
      <c r="S1363">
        <v>2.95</v>
      </c>
      <c r="T1363">
        <v>0.68</v>
      </c>
      <c r="U1363" s="1">
        <v>45347</v>
      </c>
      <c r="V1363">
        <v>232.13</v>
      </c>
      <c r="W1363">
        <v>0.64400000000000002</v>
      </c>
      <c r="X1363" t="str">
        <f>IF(WarehouseData[[#This Row],[stock_level]]&lt;=WarehouseData[[#This Row],[reorder_point]],"Low Stock","Sufficient Stock")</f>
        <v>Sufficient Stock</v>
      </c>
      <c r="Y1363">
        <f>WarehouseData[[#This Row],[daily_demand]]*WarehouseData[[#This Row],[lead_time_days]]</f>
        <v>51.46</v>
      </c>
      <c r="Z1363" t="str">
        <f>IF(WarehouseData[[#This Row],[stock_level]]&lt;=WarehouseData[[#This Row],[Demand During Lead Time]],"At Risk","Safe")</f>
        <v>Safe</v>
      </c>
      <c r="AA1363">
        <f>WarehouseData[[#This Row],[stock_level]]/WarehouseData[[#This Row],[daily_demand]]</f>
        <v>16.789739603575594</v>
      </c>
      <c r="AB1363">
        <f>WarehouseData[[#This Row],[stock_level]]*WarehouseData[[#This Row],[unit_price]]</f>
        <v>40404.959999999999</v>
      </c>
      <c r="AC1363">
        <f>WarehouseData[[#This Row],[stock_level]]*WarehouseData[[#This Row],[holding_cost_per_unit_day]]*30</f>
        <v>7387.2</v>
      </c>
      <c r="AD1363" t="str">
        <f>IF(WarehouseData[[#This Row],[order_fulfillment_rate]]&gt;=0.9,"Strong",IF(WarehouseData[[#This Row],[order_fulfillment_rate]]&gt;=0.8,"Moderate","Needs Attention"))</f>
        <v>Moderate</v>
      </c>
      <c r="AE1363" t="str">
        <f>IF(WarehouseData[[#This Row],[picking_time_seconds]]&gt;120,"Slow",IF(WarehouseData[[#This Row],[picking_time_seconds]]&gt;=60,"Average","Fast"))</f>
        <v>Slow</v>
      </c>
    </row>
    <row r="1364" spans="1:31" x14ac:dyDescent="0.25">
      <c r="A1364" t="s">
        <v>1502</v>
      </c>
      <c r="B1364" t="s">
        <v>32</v>
      </c>
      <c r="C1364">
        <v>314</v>
      </c>
      <c r="D1364">
        <v>42</v>
      </c>
      <c r="E1364">
        <v>5</v>
      </c>
      <c r="F1364">
        <v>3</v>
      </c>
      <c r="G1364">
        <v>44.39</v>
      </c>
      <c r="H1364">
        <v>3.5</v>
      </c>
      <c r="I1364">
        <v>0.62</v>
      </c>
      <c r="J1364" t="s">
        <v>49</v>
      </c>
      <c r="K1364" t="s">
        <v>38</v>
      </c>
      <c r="L1364">
        <v>99</v>
      </c>
      <c r="M1364">
        <v>1.21</v>
      </c>
      <c r="N1364">
        <v>11.17</v>
      </c>
      <c r="O1364">
        <v>0.53</v>
      </c>
      <c r="P1364">
        <v>7</v>
      </c>
      <c r="Q1364">
        <v>0.89</v>
      </c>
      <c r="R1364">
        <v>473</v>
      </c>
      <c r="S1364">
        <v>4.54</v>
      </c>
      <c r="T1364">
        <v>0.54</v>
      </c>
      <c r="U1364" s="1">
        <v>45292</v>
      </c>
      <c r="V1364">
        <v>166.53</v>
      </c>
      <c r="W1364">
        <v>0.55400000000000005</v>
      </c>
      <c r="X1364" t="str">
        <f>IF(WarehouseData[[#This Row],[stock_level]]&lt;=WarehouseData[[#This Row],[reorder_point]],"Low Stock","Sufficient Stock")</f>
        <v>Sufficient Stock</v>
      </c>
      <c r="Y1364">
        <f>WarehouseData[[#This Row],[daily_demand]]*WarehouseData[[#This Row],[lead_time_days]]</f>
        <v>133.17000000000002</v>
      </c>
      <c r="Z1364" t="str">
        <f>IF(WarehouseData[[#This Row],[stock_level]]&lt;=WarehouseData[[#This Row],[Demand During Lead Time]],"At Risk","Safe")</f>
        <v>Safe</v>
      </c>
      <c r="AA1364">
        <f>WarehouseData[[#This Row],[stock_level]]/WarehouseData[[#This Row],[daily_demand]]</f>
        <v>7.0736652399189008</v>
      </c>
      <c r="AB1364">
        <f>WarehouseData[[#This Row],[stock_level]]*WarehouseData[[#This Row],[unit_price]]</f>
        <v>3507.38</v>
      </c>
      <c r="AC1364">
        <f>WarehouseData[[#This Row],[stock_level]]*WarehouseData[[#This Row],[holding_cost_per_unit_day]]*30</f>
        <v>4992.6000000000004</v>
      </c>
      <c r="AD1364" t="str">
        <f>IF(WarehouseData[[#This Row],[order_fulfillment_rate]]&gt;=0.9,"Strong",IF(WarehouseData[[#This Row],[order_fulfillment_rate]]&gt;=0.8,"Moderate","Needs Attention"))</f>
        <v>Moderate</v>
      </c>
      <c r="AE1364" t="str">
        <f>IF(WarehouseData[[#This Row],[picking_time_seconds]]&gt;120,"Slow",IF(WarehouseData[[#This Row],[picking_time_seconds]]&gt;=60,"Average","Fast"))</f>
        <v>Average</v>
      </c>
    </row>
    <row r="1365" spans="1:31" x14ac:dyDescent="0.25">
      <c r="A1365" t="s">
        <v>1503</v>
      </c>
      <c r="B1365" t="s">
        <v>40</v>
      </c>
      <c r="C1365">
        <v>147</v>
      </c>
      <c r="D1365">
        <v>80</v>
      </c>
      <c r="E1365">
        <v>11</v>
      </c>
      <c r="F1365">
        <v>4</v>
      </c>
      <c r="G1365">
        <v>44.44</v>
      </c>
      <c r="H1365">
        <v>2.5499999999999998</v>
      </c>
      <c r="I1365">
        <v>0.53</v>
      </c>
      <c r="J1365" t="s">
        <v>281</v>
      </c>
      <c r="K1365" t="s">
        <v>52</v>
      </c>
      <c r="L1365">
        <v>83</v>
      </c>
      <c r="M1365">
        <v>2.09</v>
      </c>
      <c r="N1365">
        <v>54.95</v>
      </c>
      <c r="O1365">
        <v>0.2</v>
      </c>
      <c r="P1365">
        <v>1</v>
      </c>
      <c r="Q1365">
        <v>0.89</v>
      </c>
      <c r="R1365">
        <v>907</v>
      </c>
      <c r="S1365">
        <v>2.73</v>
      </c>
      <c r="T1365">
        <v>0.27</v>
      </c>
      <c r="U1365" s="1">
        <v>45316</v>
      </c>
      <c r="V1365">
        <v>148.25</v>
      </c>
      <c r="W1365">
        <v>0.628</v>
      </c>
      <c r="X1365" t="str">
        <f>IF(WarehouseData[[#This Row],[stock_level]]&lt;=WarehouseData[[#This Row],[reorder_point]],"Low Stock","Sufficient Stock")</f>
        <v>Sufficient Stock</v>
      </c>
      <c r="Y1365">
        <f>WarehouseData[[#This Row],[daily_demand]]*WarehouseData[[#This Row],[lead_time_days]]</f>
        <v>177.76</v>
      </c>
      <c r="Z1365" t="str">
        <f>IF(WarehouseData[[#This Row],[stock_level]]&lt;=WarehouseData[[#This Row],[Demand During Lead Time]],"At Risk","Safe")</f>
        <v>At Risk</v>
      </c>
      <c r="AA1365">
        <f>WarehouseData[[#This Row],[stock_level]]/WarehouseData[[#This Row],[daily_demand]]</f>
        <v>3.307830783078308</v>
      </c>
      <c r="AB1365">
        <f>WarehouseData[[#This Row],[stock_level]]*WarehouseData[[#This Row],[unit_price]]</f>
        <v>8077.6500000000005</v>
      </c>
      <c r="AC1365">
        <f>WarehouseData[[#This Row],[stock_level]]*WarehouseData[[#This Row],[holding_cost_per_unit_day]]*30</f>
        <v>882.00000000000011</v>
      </c>
      <c r="AD1365" t="str">
        <f>IF(WarehouseData[[#This Row],[order_fulfillment_rate]]&gt;=0.9,"Strong",IF(WarehouseData[[#This Row],[order_fulfillment_rate]]&gt;=0.8,"Moderate","Needs Attention"))</f>
        <v>Moderate</v>
      </c>
      <c r="AE1365" t="str">
        <f>IF(WarehouseData[[#This Row],[picking_time_seconds]]&gt;120,"Slow",IF(WarehouseData[[#This Row],[picking_time_seconds]]&gt;=60,"Average","Fast"))</f>
        <v>Average</v>
      </c>
    </row>
    <row r="1366" spans="1:31" x14ac:dyDescent="0.25">
      <c r="A1366" t="s">
        <v>1504</v>
      </c>
      <c r="B1366" t="s">
        <v>36</v>
      </c>
      <c r="C1366">
        <v>363</v>
      </c>
      <c r="D1366">
        <v>65</v>
      </c>
      <c r="E1366">
        <v>3</v>
      </c>
      <c r="F1366">
        <v>8</v>
      </c>
      <c r="G1366">
        <v>2.1800000000000002</v>
      </c>
      <c r="H1366">
        <v>6.14</v>
      </c>
      <c r="I1366">
        <v>0.2</v>
      </c>
      <c r="J1366" t="s">
        <v>418</v>
      </c>
      <c r="K1366" t="s">
        <v>38</v>
      </c>
      <c r="L1366">
        <v>134</v>
      </c>
      <c r="M1366">
        <v>1.18</v>
      </c>
      <c r="N1366">
        <v>50.62</v>
      </c>
      <c r="O1366">
        <v>0.47</v>
      </c>
      <c r="P1366">
        <v>3</v>
      </c>
      <c r="Q1366">
        <v>0.88</v>
      </c>
      <c r="R1366">
        <v>131</v>
      </c>
      <c r="S1366">
        <v>6.97</v>
      </c>
      <c r="T1366">
        <v>0.78</v>
      </c>
      <c r="U1366" s="1">
        <v>45489</v>
      </c>
      <c r="V1366">
        <v>55.74</v>
      </c>
      <c r="W1366">
        <v>0.71799999999999997</v>
      </c>
      <c r="X1366" t="str">
        <f>IF(WarehouseData[[#This Row],[stock_level]]&lt;=WarehouseData[[#This Row],[reorder_point]],"Low Stock","Sufficient Stock")</f>
        <v>Sufficient Stock</v>
      </c>
      <c r="Y1366">
        <f>WarehouseData[[#This Row],[daily_demand]]*WarehouseData[[#This Row],[lead_time_days]]</f>
        <v>17.440000000000001</v>
      </c>
      <c r="Z1366" t="str">
        <f>IF(WarehouseData[[#This Row],[stock_level]]&lt;=WarehouseData[[#This Row],[Demand During Lead Time]],"At Risk","Safe")</f>
        <v>Safe</v>
      </c>
      <c r="AA1366">
        <f>WarehouseData[[#This Row],[stock_level]]/WarehouseData[[#This Row],[daily_demand]]</f>
        <v>166.51376146788991</v>
      </c>
      <c r="AB1366">
        <f>WarehouseData[[#This Row],[stock_level]]*WarehouseData[[#This Row],[unit_price]]</f>
        <v>18375.059999999998</v>
      </c>
      <c r="AC1366">
        <f>WarehouseData[[#This Row],[stock_level]]*WarehouseData[[#This Row],[holding_cost_per_unit_day]]*30</f>
        <v>5118.2999999999993</v>
      </c>
      <c r="AD1366" t="str">
        <f>IF(WarehouseData[[#This Row],[order_fulfillment_rate]]&gt;=0.9,"Strong",IF(WarehouseData[[#This Row],[order_fulfillment_rate]]&gt;=0.8,"Moderate","Needs Attention"))</f>
        <v>Moderate</v>
      </c>
      <c r="AE1366" t="str">
        <f>IF(WarehouseData[[#This Row],[picking_time_seconds]]&gt;120,"Slow",IF(WarehouseData[[#This Row],[picking_time_seconds]]&gt;=60,"Average","Fast"))</f>
        <v>Slow</v>
      </c>
    </row>
    <row r="1367" spans="1:31" x14ac:dyDescent="0.25">
      <c r="A1367" t="s">
        <v>1505</v>
      </c>
      <c r="B1367" t="s">
        <v>48</v>
      </c>
      <c r="C1367">
        <v>301</v>
      </c>
      <c r="D1367">
        <v>81</v>
      </c>
      <c r="E1367">
        <v>6</v>
      </c>
      <c r="F1367">
        <v>4</v>
      </c>
      <c r="G1367">
        <v>19.760000000000002</v>
      </c>
      <c r="H1367">
        <v>1.1399999999999999</v>
      </c>
      <c r="I1367">
        <v>0.86</v>
      </c>
      <c r="J1367" t="s">
        <v>228</v>
      </c>
      <c r="K1367" t="s">
        <v>52</v>
      </c>
      <c r="L1367">
        <v>60</v>
      </c>
      <c r="M1367">
        <v>4.08</v>
      </c>
      <c r="N1367">
        <v>76.36</v>
      </c>
      <c r="O1367">
        <v>0.81</v>
      </c>
      <c r="P1367">
        <v>8</v>
      </c>
      <c r="Q1367">
        <v>0.79</v>
      </c>
      <c r="R1367">
        <v>838</v>
      </c>
      <c r="S1367">
        <v>6.42</v>
      </c>
      <c r="T1367">
        <v>0.26</v>
      </c>
      <c r="U1367" s="1">
        <v>45516</v>
      </c>
      <c r="V1367">
        <v>120</v>
      </c>
      <c r="W1367">
        <v>0.45500000000000002</v>
      </c>
      <c r="X1367" t="str">
        <f>IF(WarehouseData[[#This Row],[stock_level]]&lt;=WarehouseData[[#This Row],[reorder_point]],"Low Stock","Sufficient Stock")</f>
        <v>Sufficient Stock</v>
      </c>
      <c r="Y1367">
        <f>WarehouseData[[#This Row],[daily_demand]]*WarehouseData[[#This Row],[lead_time_days]]</f>
        <v>79.040000000000006</v>
      </c>
      <c r="Z1367" t="str">
        <f>IF(WarehouseData[[#This Row],[stock_level]]&lt;=WarehouseData[[#This Row],[Demand During Lead Time]],"At Risk","Safe")</f>
        <v>Safe</v>
      </c>
      <c r="AA1367">
        <f>WarehouseData[[#This Row],[stock_level]]/WarehouseData[[#This Row],[daily_demand]]</f>
        <v>15.232793522267205</v>
      </c>
      <c r="AB1367">
        <f>WarehouseData[[#This Row],[stock_level]]*WarehouseData[[#This Row],[unit_price]]</f>
        <v>22984.36</v>
      </c>
      <c r="AC1367">
        <f>WarehouseData[[#This Row],[stock_level]]*WarehouseData[[#This Row],[holding_cost_per_unit_day]]*30</f>
        <v>7314.3</v>
      </c>
      <c r="AD1367" t="str">
        <f>IF(WarehouseData[[#This Row],[order_fulfillment_rate]]&gt;=0.9,"Strong",IF(WarehouseData[[#This Row],[order_fulfillment_rate]]&gt;=0.8,"Moderate","Needs Attention"))</f>
        <v>Needs Attention</v>
      </c>
      <c r="AE1367" t="str">
        <f>IF(WarehouseData[[#This Row],[picking_time_seconds]]&gt;120,"Slow",IF(WarehouseData[[#This Row],[picking_time_seconds]]&gt;=60,"Average","Fast"))</f>
        <v>Average</v>
      </c>
    </row>
    <row r="1368" spans="1:31" x14ac:dyDescent="0.25">
      <c r="A1368" t="s">
        <v>1506</v>
      </c>
      <c r="B1368" t="s">
        <v>73</v>
      </c>
      <c r="C1368">
        <v>36</v>
      </c>
      <c r="D1368">
        <v>60</v>
      </c>
      <c r="E1368">
        <v>12</v>
      </c>
      <c r="F1368">
        <v>2</v>
      </c>
      <c r="G1368">
        <v>26.79</v>
      </c>
      <c r="H1368">
        <v>7.29</v>
      </c>
      <c r="I1368">
        <v>0.77</v>
      </c>
      <c r="J1368" t="s">
        <v>188</v>
      </c>
      <c r="K1368" t="s">
        <v>38</v>
      </c>
      <c r="L1368">
        <v>41</v>
      </c>
      <c r="M1368">
        <v>0.86</v>
      </c>
      <c r="N1368">
        <v>43.15</v>
      </c>
      <c r="O1368">
        <v>0.87</v>
      </c>
      <c r="P1368">
        <v>0</v>
      </c>
      <c r="Q1368">
        <v>0.98</v>
      </c>
      <c r="R1368">
        <v>364</v>
      </c>
      <c r="S1368">
        <v>10.08</v>
      </c>
      <c r="T1368">
        <v>0.76</v>
      </c>
      <c r="U1368" s="1">
        <v>45506</v>
      </c>
      <c r="V1368">
        <v>118.06</v>
      </c>
      <c r="W1368">
        <v>0.79500000000000004</v>
      </c>
      <c r="X1368" t="str">
        <f>IF(WarehouseData[[#This Row],[stock_level]]&lt;=WarehouseData[[#This Row],[reorder_point]],"Low Stock","Sufficient Stock")</f>
        <v>Low Stock</v>
      </c>
      <c r="Y1368">
        <f>WarehouseData[[#This Row],[daily_demand]]*WarehouseData[[#This Row],[lead_time_days]]</f>
        <v>53.58</v>
      </c>
      <c r="Z1368" t="str">
        <f>IF(WarehouseData[[#This Row],[stock_level]]&lt;=WarehouseData[[#This Row],[Demand During Lead Time]],"At Risk","Safe")</f>
        <v>At Risk</v>
      </c>
      <c r="AA1368">
        <f>WarehouseData[[#This Row],[stock_level]]/WarehouseData[[#This Row],[daily_demand]]</f>
        <v>1.3437849944008959</v>
      </c>
      <c r="AB1368">
        <f>WarehouseData[[#This Row],[stock_level]]*WarehouseData[[#This Row],[unit_price]]</f>
        <v>1553.3999999999999</v>
      </c>
      <c r="AC1368">
        <f>WarehouseData[[#This Row],[stock_level]]*WarehouseData[[#This Row],[holding_cost_per_unit_day]]*30</f>
        <v>939.6</v>
      </c>
      <c r="AD1368" t="str">
        <f>IF(WarehouseData[[#This Row],[order_fulfillment_rate]]&gt;=0.9,"Strong",IF(WarehouseData[[#This Row],[order_fulfillment_rate]]&gt;=0.8,"Moderate","Needs Attention"))</f>
        <v>Strong</v>
      </c>
      <c r="AE1368" t="str">
        <f>IF(WarehouseData[[#This Row],[picking_time_seconds]]&gt;120,"Slow",IF(WarehouseData[[#This Row],[picking_time_seconds]]&gt;=60,"Average","Fast"))</f>
        <v>Fast</v>
      </c>
    </row>
    <row r="1369" spans="1:31" x14ac:dyDescent="0.25">
      <c r="A1369" t="s">
        <v>1507</v>
      </c>
      <c r="B1369" t="s">
        <v>32</v>
      </c>
      <c r="C1369">
        <v>90</v>
      </c>
      <c r="D1369">
        <v>83</v>
      </c>
      <c r="E1369">
        <v>12</v>
      </c>
      <c r="F1369">
        <v>7</v>
      </c>
      <c r="G1369">
        <v>34.24</v>
      </c>
      <c r="H1369">
        <v>7.18</v>
      </c>
      <c r="I1369">
        <v>0.15</v>
      </c>
      <c r="J1369" t="s">
        <v>447</v>
      </c>
      <c r="K1369" t="s">
        <v>46</v>
      </c>
      <c r="L1369">
        <v>97</v>
      </c>
      <c r="M1369">
        <v>1.35</v>
      </c>
      <c r="N1369">
        <v>22.88</v>
      </c>
      <c r="O1369">
        <v>0.69</v>
      </c>
      <c r="P1369">
        <v>1</v>
      </c>
      <c r="Q1369">
        <v>0.82</v>
      </c>
      <c r="R1369">
        <v>778</v>
      </c>
      <c r="S1369">
        <v>14.94</v>
      </c>
      <c r="T1369">
        <v>0.42</v>
      </c>
      <c r="U1369" s="1">
        <v>45377</v>
      </c>
      <c r="V1369">
        <v>198.02</v>
      </c>
      <c r="W1369">
        <v>0.75800000000000001</v>
      </c>
      <c r="X1369" t="str">
        <f>IF(WarehouseData[[#This Row],[stock_level]]&lt;=WarehouseData[[#This Row],[reorder_point]],"Low Stock","Sufficient Stock")</f>
        <v>Sufficient Stock</v>
      </c>
      <c r="Y1369">
        <f>WarehouseData[[#This Row],[daily_demand]]*WarehouseData[[#This Row],[lead_time_days]]</f>
        <v>239.68</v>
      </c>
      <c r="Z1369" t="str">
        <f>IF(WarehouseData[[#This Row],[stock_level]]&lt;=WarehouseData[[#This Row],[Demand During Lead Time]],"At Risk","Safe")</f>
        <v>At Risk</v>
      </c>
      <c r="AA1369">
        <f>WarehouseData[[#This Row],[stock_level]]/WarehouseData[[#This Row],[daily_demand]]</f>
        <v>2.6285046728971961</v>
      </c>
      <c r="AB1369">
        <f>WarehouseData[[#This Row],[stock_level]]*WarehouseData[[#This Row],[unit_price]]</f>
        <v>2059.1999999999998</v>
      </c>
      <c r="AC1369">
        <f>WarehouseData[[#This Row],[stock_level]]*WarehouseData[[#This Row],[holding_cost_per_unit_day]]*30</f>
        <v>1862.9999999999998</v>
      </c>
      <c r="AD1369" t="str">
        <f>IF(WarehouseData[[#This Row],[order_fulfillment_rate]]&gt;=0.9,"Strong",IF(WarehouseData[[#This Row],[order_fulfillment_rate]]&gt;=0.8,"Moderate","Needs Attention"))</f>
        <v>Moderate</v>
      </c>
      <c r="AE1369" t="str">
        <f>IF(WarehouseData[[#This Row],[picking_time_seconds]]&gt;120,"Slow",IF(WarehouseData[[#This Row],[picking_time_seconds]]&gt;=60,"Average","Fast"))</f>
        <v>Average</v>
      </c>
    </row>
    <row r="1370" spans="1:31" x14ac:dyDescent="0.25">
      <c r="A1370" t="s">
        <v>1508</v>
      </c>
      <c r="B1370" t="s">
        <v>32</v>
      </c>
      <c r="C1370">
        <v>288</v>
      </c>
      <c r="D1370">
        <v>52</v>
      </c>
      <c r="E1370">
        <v>6</v>
      </c>
      <c r="F1370">
        <v>6</v>
      </c>
      <c r="G1370">
        <v>15.02</v>
      </c>
      <c r="H1370">
        <v>3.87</v>
      </c>
      <c r="I1370">
        <v>0.28999999999999998</v>
      </c>
      <c r="J1370" t="s">
        <v>196</v>
      </c>
      <c r="K1370" t="s">
        <v>34</v>
      </c>
      <c r="L1370">
        <v>145</v>
      </c>
      <c r="M1370">
        <v>3.61</v>
      </c>
      <c r="N1370">
        <v>47.36</v>
      </c>
      <c r="O1370">
        <v>1.08</v>
      </c>
      <c r="P1370">
        <v>1</v>
      </c>
      <c r="Q1370">
        <v>0.77</v>
      </c>
      <c r="R1370">
        <v>965</v>
      </c>
      <c r="S1370">
        <v>13.49</v>
      </c>
      <c r="T1370">
        <v>0.65</v>
      </c>
      <c r="U1370" s="1">
        <v>45503</v>
      </c>
      <c r="V1370">
        <v>183.68</v>
      </c>
      <c r="W1370">
        <v>0.73599999999999999</v>
      </c>
      <c r="X1370" t="str">
        <f>IF(WarehouseData[[#This Row],[stock_level]]&lt;=WarehouseData[[#This Row],[reorder_point]],"Low Stock","Sufficient Stock")</f>
        <v>Sufficient Stock</v>
      </c>
      <c r="Y1370">
        <f>WarehouseData[[#This Row],[daily_demand]]*WarehouseData[[#This Row],[lead_time_days]]</f>
        <v>90.12</v>
      </c>
      <c r="Z1370" t="str">
        <f>IF(WarehouseData[[#This Row],[stock_level]]&lt;=WarehouseData[[#This Row],[Demand During Lead Time]],"At Risk","Safe")</f>
        <v>Safe</v>
      </c>
      <c r="AA1370">
        <f>WarehouseData[[#This Row],[stock_level]]/WarehouseData[[#This Row],[daily_demand]]</f>
        <v>19.174434087882823</v>
      </c>
      <c r="AB1370">
        <f>WarehouseData[[#This Row],[stock_level]]*WarehouseData[[#This Row],[unit_price]]</f>
        <v>13639.68</v>
      </c>
      <c r="AC1370">
        <f>WarehouseData[[#This Row],[stock_level]]*WarehouseData[[#This Row],[holding_cost_per_unit_day]]*30</f>
        <v>9331.2000000000007</v>
      </c>
      <c r="AD1370" t="str">
        <f>IF(WarehouseData[[#This Row],[order_fulfillment_rate]]&gt;=0.9,"Strong",IF(WarehouseData[[#This Row],[order_fulfillment_rate]]&gt;=0.8,"Moderate","Needs Attention"))</f>
        <v>Needs Attention</v>
      </c>
      <c r="AE1370" t="str">
        <f>IF(WarehouseData[[#This Row],[picking_time_seconds]]&gt;120,"Slow",IF(WarehouseData[[#This Row],[picking_time_seconds]]&gt;=60,"Average","Fast"))</f>
        <v>Slow</v>
      </c>
    </row>
    <row r="1371" spans="1:31" x14ac:dyDescent="0.25">
      <c r="A1371" t="s">
        <v>1509</v>
      </c>
      <c r="B1371" t="s">
        <v>40</v>
      </c>
      <c r="C1371">
        <v>344</v>
      </c>
      <c r="D1371">
        <v>24</v>
      </c>
      <c r="E1371">
        <v>3</v>
      </c>
      <c r="F1371">
        <v>9</v>
      </c>
      <c r="G1371">
        <v>13.35</v>
      </c>
      <c r="H1371">
        <v>8.98</v>
      </c>
      <c r="I1371">
        <v>0.6</v>
      </c>
      <c r="J1371" t="s">
        <v>311</v>
      </c>
      <c r="K1371" t="s">
        <v>34</v>
      </c>
      <c r="L1371">
        <v>167</v>
      </c>
      <c r="M1371">
        <v>4.5599999999999996</v>
      </c>
      <c r="N1371">
        <v>172.3</v>
      </c>
      <c r="O1371">
        <v>0.82</v>
      </c>
      <c r="P1371">
        <v>8</v>
      </c>
      <c r="Q1371">
        <v>0.87</v>
      </c>
      <c r="R1371">
        <v>329</v>
      </c>
      <c r="S1371">
        <v>13.33</v>
      </c>
      <c r="T1371">
        <v>0.33</v>
      </c>
      <c r="U1371" s="1">
        <v>45544</v>
      </c>
      <c r="V1371">
        <v>27.32</v>
      </c>
      <c r="W1371">
        <v>0.57599999999999996</v>
      </c>
      <c r="X1371" t="str">
        <f>IF(WarehouseData[[#This Row],[stock_level]]&lt;=WarehouseData[[#This Row],[reorder_point]],"Low Stock","Sufficient Stock")</f>
        <v>Sufficient Stock</v>
      </c>
      <c r="Y1371">
        <f>WarehouseData[[#This Row],[daily_demand]]*WarehouseData[[#This Row],[lead_time_days]]</f>
        <v>120.14999999999999</v>
      </c>
      <c r="Z1371" t="str">
        <f>IF(WarehouseData[[#This Row],[stock_level]]&lt;=WarehouseData[[#This Row],[Demand During Lead Time]],"At Risk","Safe")</f>
        <v>Safe</v>
      </c>
      <c r="AA1371">
        <f>WarehouseData[[#This Row],[stock_level]]/WarehouseData[[#This Row],[daily_demand]]</f>
        <v>25.767790262172284</v>
      </c>
      <c r="AB1371">
        <f>WarehouseData[[#This Row],[stock_level]]*WarehouseData[[#This Row],[unit_price]]</f>
        <v>59271.200000000004</v>
      </c>
      <c r="AC1371">
        <f>WarehouseData[[#This Row],[stock_level]]*WarehouseData[[#This Row],[holding_cost_per_unit_day]]*30</f>
        <v>8462.4</v>
      </c>
      <c r="AD1371" t="str">
        <f>IF(WarehouseData[[#This Row],[order_fulfillment_rate]]&gt;=0.9,"Strong",IF(WarehouseData[[#This Row],[order_fulfillment_rate]]&gt;=0.8,"Moderate","Needs Attention"))</f>
        <v>Moderate</v>
      </c>
      <c r="AE1371" t="str">
        <f>IF(WarehouseData[[#This Row],[picking_time_seconds]]&gt;120,"Slow",IF(WarehouseData[[#This Row],[picking_time_seconds]]&gt;=60,"Average","Fast"))</f>
        <v>Slow</v>
      </c>
    </row>
    <row r="1372" spans="1:31" x14ac:dyDescent="0.25">
      <c r="A1372" t="s">
        <v>1510</v>
      </c>
      <c r="B1372" t="s">
        <v>32</v>
      </c>
      <c r="C1372">
        <v>301</v>
      </c>
      <c r="D1372">
        <v>47</v>
      </c>
      <c r="E1372">
        <v>4</v>
      </c>
      <c r="F1372">
        <v>9</v>
      </c>
      <c r="G1372">
        <v>19.68</v>
      </c>
      <c r="H1372">
        <v>5.27</v>
      </c>
      <c r="I1372">
        <v>0.72</v>
      </c>
      <c r="J1372" t="s">
        <v>142</v>
      </c>
      <c r="K1372" t="s">
        <v>34</v>
      </c>
      <c r="L1372">
        <v>35</v>
      </c>
      <c r="M1372">
        <v>4.84</v>
      </c>
      <c r="N1372">
        <v>161.44</v>
      </c>
      <c r="O1372">
        <v>1.94</v>
      </c>
      <c r="P1372">
        <v>9</v>
      </c>
      <c r="Q1372">
        <v>0.92</v>
      </c>
      <c r="R1372">
        <v>692</v>
      </c>
      <c r="S1372">
        <v>10.039999999999999</v>
      </c>
      <c r="T1372">
        <v>0.5</v>
      </c>
      <c r="U1372" s="1">
        <v>45485</v>
      </c>
      <c r="V1372">
        <v>256.06</v>
      </c>
      <c r="W1372">
        <v>0.44400000000000001</v>
      </c>
      <c r="X1372" t="str">
        <f>IF(WarehouseData[[#This Row],[stock_level]]&lt;=WarehouseData[[#This Row],[reorder_point]],"Low Stock","Sufficient Stock")</f>
        <v>Sufficient Stock</v>
      </c>
      <c r="Y1372">
        <f>WarehouseData[[#This Row],[daily_demand]]*WarehouseData[[#This Row],[lead_time_days]]</f>
        <v>177.12</v>
      </c>
      <c r="Z1372" t="str">
        <f>IF(WarehouseData[[#This Row],[stock_level]]&lt;=WarehouseData[[#This Row],[Demand During Lead Time]],"At Risk","Safe")</f>
        <v>Safe</v>
      </c>
      <c r="AA1372">
        <f>WarehouseData[[#This Row],[stock_level]]/WarehouseData[[#This Row],[daily_demand]]</f>
        <v>15.294715447154472</v>
      </c>
      <c r="AB1372">
        <f>WarehouseData[[#This Row],[stock_level]]*WarehouseData[[#This Row],[unit_price]]</f>
        <v>48593.440000000002</v>
      </c>
      <c r="AC1372">
        <f>WarehouseData[[#This Row],[stock_level]]*WarehouseData[[#This Row],[holding_cost_per_unit_day]]*30</f>
        <v>17518.199999999997</v>
      </c>
      <c r="AD1372" t="str">
        <f>IF(WarehouseData[[#This Row],[order_fulfillment_rate]]&gt;=0.9,"Strong",IF(WarehouseData[[#This Row],[order_fulfillment_rate]]&gt;=0.8,"Moderate","Needs Attention"))</f>
        <v>Strong</v>
      </c>
      <c r="AE1372" t="str">
        <f>IF(WarehouseData[[#This Row],[picking_time_seconds]]&gt;120,"Slow",IF(WarehouseData[[#This Row],[picking_time_seconds]]&gt;=60,"Average","Fast"))</f>
        <v>Fast</v>
      </c>
    </row>
    <row r="1373" spans="1:31" x14ac:dyDescent="0.25">
      <c r="A1373" t="s">
        <v>1511</v>
      </c>
      <c r="B1373" t="s">
        <v>36</v>
      </c>
      <c r="C1373">
        <v>324</v>
      </c>
      <c r="D1373">
        <v>24</v>
      </c>
      <c r="E1373">
        <v>13</v>
      </c>
      <c r="F1373">
        <v>5</v>
      </c>
      <c r="G1373">
        <v>25.55</v>
      </c>
      <c r="H1373">
        <v>6.63</v>
      </c>
      <c r="I1373">
        <v>0.22</v>
      </c>
      <c r="J1373" t="s">
        <v>565</v>
      </c>
      <c r="K1373" t="s">
        <v>38</v>
      </c>
      <c r="L1373">
        <v>161</v>
      </c>
      <c r="M1373">
        <v>4.26</v>
      </c>
      <c r="N1373">
        <v>94</v>
      </c>
      <c r="O1373">
        <v>1.63</v>
      </c>
      <c r="P1373">
        <v>4</v>
      </c>
      <c r="Q1373">
        <v>0.7</v>
      </c>
      <c r="R1373">
        <v>135</v>
      </c>
      <c r="S1373">
        <v>4.79</v>
      </c>
      <c r="T1373">
        <v>0.28000000000000003</v>
      </c>
      <c r="U1373" s="1">
        <v>45471</v>
      </c>
      <c r="V1373">
        <v>281.89</v>
      </c>
      <c r="W1373">
        <v>0.41699999999999998</v>
      </c>
      <c r="X1373" t="str">
        <f>IF(WarehouseData[[#This Row],[stock_level]]&lt;=WarehouseData[[#This Row],[reorder_point]],"Low Stock","Sufficient Stock")</f>
        <v>Sufficient Stock</v>
      </c>
      <c r="Y1373">
        <f>WarehouseData[[#This Row],[daily_demand]]*WarehouseData[[#This Row],[lead_time_days]]</f>
        <v>127.75</v>
      </c>
      <c r="Z1373" t="str">
        <f>IF(WarehouseData[[#This Row],[stock_level]]&lt;=WarehouseData[[#This Row],[Demand During Lead Time]],"At Risk","Safe")</f>
        <v>Safe</v>
      </c>
      <c r="AA1373">
        <f>WarehouseData[[#This Row],[stock_level]]/WarehouseData[[#This Row],[daily_demand]]</f>
        <v>12.681017612524462</v>
      </c>
      <c r="AB1373">
        <f>WarehouseData[[#This Row],[stock_level]]*WarehouseData[[#This Row],[unit_price]]</f>
        <v>30456</v>
      </c>
      <c r="AC1373">
        <f>WarehouseData[[#This Row],[stock_level]]*WarehouseData[[#This Row],[holding_cost_per_unit_day]]*30</f>
        <v>15843.6</v>
      </c>
      <c r="AD1373" t="str">
        <f>IF(WarehouseData[[#This Row],[order_fulfillment_rate]]&gt;=0.9,"Strong",IF(WarehouseData[[#This Row],[order_fulfillment_rate]]&gt;=0.8,"Moderate","Needs Attention"))</f>
        <v>Needs Attention</v>
      </c>
      <c r="AE1373" t="str">
        <f>IF(WarehouseData[[#This Row],[picking_time_seconds]]&gt;120,"Slow",IF(WarehouseData[[#This Row],[picking_time_seconds]]&gt;=60,"Average","Fast"))</f>
        <v>Slow</v>
      </c>
    </row>
    <row r="1374" spans="1:31" x14ac:dyDescent="0.25">
      <c r="A1374" t="s">
        <v>1512</v>
      </c>
      <c r="B1374" t="s">
        <v>36</v>
      </c>
      <c r="C1374">
        <v>470</v>
      </c>
      <c r="D1374">
        <v>14</v>
      </c>
      <c r="E1374">
        <v>3</v>
      </c>
      <c r="F1374">
        <v>5</v>
      </c>
      <c r="G1374">
        <v>47.61</v>
      </c>
      <c r="H1374">
        <v>2.4900000000000002</v>
      </c>
      <c r="I1374">
        <v>0.32</v>
      </c>
      <c r="J1374" t="s">
        <v>120</v>
      </c>
      <c r="K1374" t="s">
        <v>52</v>
      </c>
      <c r="L1374">
        <v>164</v>
      </c>
      <c r="M1374">
        <v>1.45</v>
      </c>
      <c r="N1374">
        <v>176.78</v>
      </c>
      <c r="O1374">
        <v>1.87</v>
      </c>
      <c r="P1374">
        <v>3</v>
      </c>
      <c r="Q1374">
        <v>0.78</v>
      </c>
      <c r="R1374">
        <v>889</v>
      </c>
      <c r="S1374">
        <v>6.38</v>
      </c>
      <c r="T1374">
        <v>0.56999999999999995</v>
      </c>
      <c r="U1374" s="1">
        <v>45571</v>
      </c>
      <c r="V1374">
        <v>236.26</v>
      </c>
      <c r="W1374">
        <v>0.50800000000000001</v>
      </c>
      <c r="X1374" t="str">
        <f>IF(WarehouseData[[#This Row],[stock_level]]&lt;=WarehouseData[[#This Row],[reorder_point]],"Low Stock","Sufficient Stock")</f>
        <v>Sufficient Stock</v>
      </c>
      <c r="Y1374">
        <f>WarehouseData[[#This Row],[daily_demand]]*WarehouseData[[#This Row],[lead_time_days]]</f>
        <v>238.05</v>
      </c>
      <c r="Z1374" t="str">
        <f>IF(WarehouseData[[#This Row],[stock_level]]&lt;=WarehouseData[[#This Row],[Demand During Lead Time]],"At Risk","Safe")</f>
        <v>Safe</v>
      </c>
      <c r="AA1374">
        <f>WarehouseData[[#This Row],[stock_level]]/WarehouseData[[#This Row],[daily_demand]]</f>
        <v>9.8718756563747121</v>
      </c>
      <c r="AB1374">
        <f>WarehouseData[[#This Row],[stock_level]]*WarehouseData[[#This Row],[unit_price]]</f>
        <v>83086.600000000006</v>
      </c>
      <c r="AC1374">
        <f>WarehouseData[[#This Row],[stock_level]]*WarehouseData[[#This Row],[holding_cost_per_unit_day]]*30</f>
        <v>26367.000000000004</v>
      </c>
      <c r="AD1374" t="str">
        <f>IF(WarehouseData[[#This Row],[order_fulfillment_rate]]&gt;=0.9,"Strong",IF(WarehouseData[[#This Row],[order_fulfillment_rate]]&gt;=0.8,"Moderate","Needs Attention"))</f>
        <v>Needs Attention</v>
      </c>
      <c r="AE1374" t="str">
        <f>IF(WarehouseData[[#This Row],[picking_time_seconds]]&gt;120,"Slow",IF(WarehouseData[[#This Row],[picking_time_seconds]]&gt;=60,"Average","Fast"))</f>
        <v>Slow</v>
      </c>
    </row>
    <row r="1375" spans="1:31" x14ac:dyDescent="0.25">
      <c r="A1375" t="s">
        <v>1513</v>
      </c>
      <c r="B1375" t="s">
        <v>40</v>
      </c>
      <c r="C1375">
        <v>26</v>
      </c>
      <c r="D1375">
        <v>92</v>
      </c>
      <c r="E1375">
        <v>8</v>
      </c>
      <c r="F1375">
        <v>4</v>
      </c>
      <c r="G1375">
        <v>38.340000000000003</v>
      </c>
      <c r="H1375">
        <v>4.46</v>
      </c>
      <c r="I1375">
        <v>0.27</v>
      </c>
      <c r="J1375" t="s">
        <v>150</v>
      </c>
      <c r="K1375" t="s">
        <v>46</v>
      </c>
      <c r="L1375">
        <v>176</v>
      </c>
      <c r="M1375">
        <v>1.79</v>
      </c>
      <c r="N1375">
        <v>54.21</v>
      </c>
      <c r="O1375">
        <v>1.1599999999999999</v>
      </c>
      <c r="P1375">
        <v>9</v>
      </c>
      <c r="Q1375">
        <v>0.95</v>
      </c>
      <c r="R1375">
        <v>415</v>
      </c>
      <c r="S1375">
        <v>4.5</v>
      </c>
      <c r="T1375">
        <v>0.37</v>
      </c>
      <c r="U1375" s="1">
        <v>45484</v>
      </c>
      <c r="V1375">
        <v>61.73</v>
      </c>
      <c r="W1375">
        <v>0.42799999999999999</v>
      </c>
      <c r="X1375" t="str">
        <f>IF(WarehouseData[[#This Row],[stock_level]]&lt;=WarehouseData[[#This Row],[reorder_point]],"Low Stock","Sufficient Stock")</f>
        <v>Low Stock</v>
      </c>
      <c r="Y1375">
        <f>WarehouseData[[#This Row],[daily_demand]]*WarehouseData[[#This Row],[lead_time_days]]</f>
        <v>153.36000000000001</v>
      </c>
      <c r="Z1375" t="str">
        <f>IF(WarehouseData[[#This Row],[stock_level]]&lt;=WarehouseData[[#This Row],[Demand During Lead Time]],"At Risk","Safe")</f>
        <v>At Risk</v>
      </c>
      <c r="AA1375">
        <f>WarehouseData[[#This Row],[stock_level]]/WarehouseData[[#This Row],[daily_demand]]</f>
        <v>0.67814293166405837</v>
      </c>
      <c r="AB1375">
        <f>WarehouseData[[#This Row],[stock_level]]*WarehouseData[[#This Row],[unit_price]]</f>
        <v>1409.46</v>
      </c>
      <c r="AC1375">
        <f>WarehouseData[[#This Row],[stock_level]]*WarehouseData[[#This Row],[holding_cost_per_unit_day]]*30</f>
        <v>904.8</v>
      </c>
      <c r="AD1375" t="str">
        <f>IF(WarehouseData[[#This Row],[order_fulfillment_rate]]&gt;=0.9,"Strong",IF(WarehouseData[[#This Row],[order_fulfillment_rate]]&gt;=0.8,"Moderate","Needs Attention"))</f>
        <v>Strong</v>
      </c>
      <c r="AE1375" t="str">
        <f>IF(WarehouseData[[#This Row],[picking_time_seconds]]&gt;120,"Slow",IF(WarehouseData[[#This Row],[picking_time_seconds]]&gt;=60,"Average","Fast"))</f>
        <v>Slow</v>
      </c>
    </row>
    <row r="1376" spans="1:31" x14ac:dyDescent="0.25">
      <c r="A1376" t="s">
        <v>1514</v>
      </c>
      <c r="B1376" t="s">
        <v>36</v>
      </c>
      <c r="C1376">
        <v>333</v>
      </c>
      <c r="D1376">
        <v>63</v>
      </c>
      <c r="E1376">
        <v>5</v>
      </c>
      <c r="F1376">
        <v>3</v>
      </c>
      <c r="G1376">
        <v>22.04</v>
      </c>
      <c r="H1376">
        <v>8.69</v>
      </c>
      <c r="I1376">
        <v>0.3</v>
      </c>
      <c r="J1376" t="s">
        <v>188</v>
      </c>
      <c r="K1376" t="s">
        <v>46</v>
      </c>
      <c r="L1376">
        <v>75</v>
      </c>
      <c r="M1376">
        <v>4.42</v>
      </c>
      <c r="N1376">
        <v>121</v>
      </c>
      <c r="O1376">
        <v>1.39</v>
      </c>
      <c r="P1376">
        <v>9</v>
      </c>
      <c r="Q1376">
        <v>0.85</v>
      </c>
      <c r="R1376">
        <v>874</v>
      </c>
      <c r="S1376">
        <v>2.89</v>
      </c>
      <c r="T1376">
        <v>0.35</v>
      </c>
      <c r="U1376" s="1">
        <v>45343</v>
      </c>
      <c r="V1376">
        <v>59.93</v>
      </c>
      <c r="W1376">
        <v>0.36</v>
      </c>
      <c r="X1376" t="str">
        <f>IF(WarehouseData[[#This Row],[stock_level]]&lt;=WarehouseData[[#This Row],[reorder_point]],"Low Stock","Sufficient Stock")</f>
        <v>Sufficient Stock</v>
      </c>
      <c r="Y1376">
        <f>WarehouseData[[#This Row],[daily_demand]]*WarehouseData[[#This Row],[lead_time_days]]</f>
        <v>66.12</v>
      </c>
      <c r="Z1376" t="str">
        <f>IF(WarehouseData[[#This Row],[stock_level]]&lt;=WarehouseData[[#This Row],[Demand During Lead Time]],"At Risk","Safe")</f>
        <v>Safe</v>
      </c>
      <c r="AA1376">
        <f>WarehouseData[[#This Row],[stock_level]]/WarehouseData[[#This Row],[daily_demand]]</f>
        <v>15.108892921960074</v>
      </c>
      <c r="AB1376">
        <f>WarehouseData[[#This Row],[stock_level]]*WarehouseData[[#This Row],[unit_price]]</f>
        <v>40293</v>
      </c>
      <c r="AC1376">
        <f>WarehouseData[[#This Row],[stock_level]]*WarehouseData[[#This Row],[holding_cost_per_unit_day]]*30</f>
        <v>13886.099999999999</v>
      </c>
      <c r="AD1376" t="str">
        <f>IF(WarehouseData[[#This Row],[order_fulfillment_rate]]&gt;=0.9,"Strong",IF(WarehouseData[[#This Row],[order_fulfillment_rate]]&gt;=0.8,"Moderate","Needs Attention"))</f>
        <v>Moderate</v>
      </c>
      <c r="AE1376" t="str">
        <f>IF(WarehouseData[[#This Row],[picking_time_seconds]]&gt;120,"Slow",IF(WarehouseData[[#This Row],[picking_time_seconds]]&gt;=60,"Average","Fast"))</f>
        <v>Average</v>
      </c>
    </row>
    <row r="1377" spans="1:31" x14ac:dyDescent="0.25">
      <c r="A1377" t="s">
        <v>1515</v>
      </c>
      <c r="B1377" t="s">
        <v>48</v>
      </c>
      <c r="C1377">
        <v>324</v>
      </c>
      <c r="D1377">
        <v>60</v>
      </c>
      <c r="E1377">
        <v>9</v>
      </c>
      <c r="F1377">
        <v>8</v>
      </c>
      <c r="G1377">
        <v>3.66</v>
      </c>
      <c r="H1377">
        <v>2.52</v>
      </c>
      <c r="I1377">
        <v>0.93</v>
      </c>
      <c r="J1377" t="s">
        <v>340</v>
      </c>
      <c r="K1377" t="s">
        <v>38</v>
      </c>
      <c r="L1377">
        <v>82</v>
      </c>
      <c r="M1377">
        <v>4.5</v>
      </c>
      <c r="N1377">
        <v>37.159999999999997</v>
      </c>
      <c r="O1377">
        <v>0.42</v>
      </c>
      <c r="P1377">
        <v>3</v>
      </c>
      <c r="Q1377">
        <v>0.82</v>
      </c>
      <c r="R1377">
        <v>415</v>
      </c>
      <c r="S1377">
        <v>7.1</v>
      </c>
      <c r="T1377">
        <v>0.28999999999999998</v>
      </c>
      <c r="U1377" s="1">
        <v>45537</v>
      </c>
      <c r="V1377">
        <v>220.57</v>
      </c>
      <c r="W1377">
        <v>0.61499999999999999</v>
      </c>
      <c r="X1377" t="str">
        <f>IF(WarehouseData[[#This Row],[stock_level]]&lt;=WarehouseData[[#This Row],[reorder_point]],"Low Stock","Sufficient Stock")</f>
        <v>Sufficient Stock</v>
      </c>
      <c r="Y1377">
        <f>WarehouseData[[#This Row],[daily_demand]]*WarehouseData[[#This Row],[lead_time_days]]</f>
        <v>29.28</v>
      </c>
      <c r="Z1377" t="str">
        <f>IF(WarehouseData[[#This Row],[stock_level]]&lt;=WarehouseData[[#This Row],[Demand During Lead Time]],"At Risk","Safe")</f>
        <v>Safe</v>
      </c>
      <c r="AA1377">
        <f>WarehouseData[[#This Row],[stock_level]]/WarehouseData[[#This Row],[daily_demand]]</f>
        <v>88.52459016393442</v>
      </c>
      <c r="AB1377">
        <f>WarehouseData[[#This Row],[stock_level]]*WarehouseData[[#This Row],[unit_price]]</f>
        <v>12039.839999999998</v>
      </c>
      <c r="AC1377">
        <f>WarehouseData[[#This Row],[stock_level]]*WarehouseData[[#This Row],[holding_cost_per_unit_day]]*30</f>
        <v>4082.3999999999996</v>
      </c>
      <c r="AD1377" t="str">
        <f>IF(WarehouseData[[#This Row],[order_fulfillment_rate]]&gt;=0.9,"Strong",IF(WarehouseData[[#This Row],[order_fulfillment_rate]]&gt;=0.8,"Moderate","Needs Attention"))</f>
        <v>Moderate</v>
      </c>
      <c r="AE1377" t="str">
        <f>IF(WarehouseData[[#This Row],[picking_time_seconds]]&gt;120,"Slow",IF(WarehouseData[[#This Row],[picking_time_seconds]]&gt;=60,"Average","Fast"))</f>
        <v>Average</v>
      </c>
    </row>
    <row r="1378" spans="1:31" x14ac:dyDescent="0.25">
      <c r="A1378" t="s">
        <v>1516</v>
      </c>
      <c r="B1378" t="s">
        <v>40</v>
      </c>
      <c r="C1378">
        <v>122</v>
      </c>
      <c r="D1378">
        <v>19</v>
      </c>
      <c r="E1378">
        <v>7</v>
      </c>
      <c r="F1378">
        <v>3</v>
      </c>
      <c r="G1378">
        <v>9.26</v>
      </c>
      <c r="H1378">
        <v>4.21</v>
      </c>
      <c r="I1378">
        <v>0.74</v>
      </c>
      <c r="J1378" t="s">
        <v>234</v>
      </c>
      <c r="K1378" t="s">
        <v>34</v>
      </c>
      <c r="L1378">
        <v>59</v>
      </c>
      <c r="M1378">
        <v>3.38</v>
      </c>
      <c r="N1378">
        <v>168.35</v>
      </c>
      <c r="O1378">
        <v>1.53</v>
      </c>
      <c r="P1378">
        <v>6</v>
      </c>
      <c r="Q1378">
        <v>0.98</v>
      </c>
      <c r="R1378">
        <v>142</v>
      </c>
      <c r="S1378">
        <v>13.57</v>
      </c>
      <c r="T1378">
        <v>0.81</v>
      </c>
      <c r="U1378" s="1">
        <v>45587</v>
      </c>
      <c r="V1378">
        <v>137.85</v>
      </c>
      <c r="W1378">
        <v>0.66600000000000004</v>
      </c>
      <c r="X1378" t="str">
        <f>IF(WarehouseData[[#This Row],[stock_level]]&lt;=WarehouseData[[#This Row],[reorder_point]],"Low Stock","Sufficient Stock")</f>
        <v>Sufficient Stock</v>
      </c>
      <c r="Y1378">
        <f>WarehouseData[[#This Row],[daily_demand]]*WarehouseData[[#This Row],[lead_time_days]]</f>
        <v>27.78</v>
      </c>
      <c r="Z1378" t="str">
        <f>IF(WarehouseData[[#This Row],[stock_level]]&lt;=WarehouseData[[#This Row],[Demand During Lead Time]],"At Risk","Safe")</f>
        <v>Safe</v>
      </c>
      <c r="AA1378">
        <f>WarehouseData[[#This Row],[stock_level]]/WarehouseData[[#This Row],[daily_demand]]</f>
        <v>13.174946004319654</v>
      </c>
      <c r="AB1378">
        <f>WarehouseData[[#This Row],[stock_level]]*WarehouseData[[#This Row],[unit_price]]</f>
        <v>20538.7</v>
      </c>
      <c r="AC1378">
        <f>WarehouseData[[#This Row],[stock_level]]*WarehouseData[[#This Row],[holding_cost_per_unit_day]]*30</f>
        <v>5599.8</v>
      </c>
      <c r="AD1378" t="str">
        <f>IF(WarehouseData[[#This Row],[order_fulfillment_rate]]&gt;=0.9,"Strong",IF(WarehouseData[[#This Row],[order_fulfillment_rate]]&gt;=0.8,"Moderate","Needs Attention"))</f>
        <v>Strong</v>
      </c>
      <c r="AE1378" t="str">
        <f>IF(WarehouseData[[#This Row],[picking_time_seconds]]&gt;120,"Slow",IF(WarehouseData[[#This Row],[picking_time_seconds]]&gt;=60,"Average","Fast"))</f>
        <v>Fast</v>
      </c>
    </row>
    <row r="1379" spans="1:31" x14ac:dyDescent="0.25">
      <c r="A1379" t="s">
        <v>1517</v>
      </c>
      <c r="B1379" t="s">
        <v>48</v>
      </c>
      <c r="C1379">
        <v>328</v>
      </c>
      <c r="D1379">
        <v>21</v>
      </c>
      <c r="E1379">
        <v>11</v>
      </c>
      <c r="F1379">
        <v>7</v>
      </c>
      <c r="G1379">
        <v>23.34</v>
      </c>
      <c r="H1379">
        <v>3.52</v>
      </c>
      <c r="I1379">
        <v>0.76</v>
      </c>
      <c r="J1379" t="s">
        <v>251</v>
      </c>
      <c r="K1379" t="s">
        <v>38</v>
      </c>
      <c r="L1379">
        <v>54</v>
      </c>
      <c r="M1379">
        <v>1.91</v>
      </c>
      <c r="N1379">
        <v>34.81</v>
      </c>
      <c r="O1379">
        <v>0.55000000000000004</v>
      </c>
      <c r="P1379">
        <v>2</v>
      </c>
      <c r="Q1379">
        <v>0.73</v>
      </c>
      <c r="R1379">
        <v>120</v>
      </c>
      <c r="S1379">
        <v>11.41</v>
      </c>
      <c r="T1379">
        <v>0.71</v>
      </c>
      <c r="U1379" s="1">
        <v>45625</v>
      </c>
      <c r="V1379">
        <v>235.85</v>
      </c>
      <c r="W1379">
        <v>0.745</v>
      </c>
      <c r="X1379" t="str">
        <f>IF(WarehouseData[[#This Row],[stock_level]]&lt;=WarehouseData[[#This Row],[reorder_point]],"Low Stock","Sufficient Stock")</f>
        <v>Sufficient Stock</v>
      </c>
      <c r="Y1379">
        <f>WarehouseData[[#This Row],[daily_demand]]*WarehouseData[[#This Row],[lead_time_days]]</f>
        <v>163.38</v>
      </c>
      <c r="Z1379" t="str">
        <f>IF(WarehouseData[[#This Row],[stock_level]]&lt;=WarehouseData[[#This Row],[Demand During Lead Time]],"At Risk","Safe")</f>
        <v>Safe</v>
      </c>
      <c r="AA1379">
        <f>WarehouseData[[#This Row],[stock_level]]/WarehouseData[[#This Row],[daily_demand]]</f>
        <v>14.053127677806341</v>
      </c>
      <c r="AB1379">
        <f>WarehouseData[[#This Row],[stock_level]]*WarehouseData[[#This Row],[unit_price]]</f>
        <v>11417.68</v>
      </c>
      <c r="AC1379">
        <f>WarehouseData[[#This Row],[stock_level]]*WarehouseData[[#This Row],[holding_cost_per_unit_day]]*30</f>
        <v>5412</v>
      </c>
      <c r="AD1379" t="str">
        <f>IF(WarehouseData[[#This Row],[order_fulfillment_rate]]&gt;=0.9,"Strong",IF(WarehouseData[[#This Row],[order_fulfillment_rate]]&gt;=0.8,"Moderate","Needs Attention"))</f>
        <v>Needs Attention</v>
      </c>
      <c r="AE1379" t="str">
        <f>IF(WarehouseData[[#This Row],[picking_time_seconds]]&gt;120,"Slow",IF(WarehouseData[[#This Row],[picking_time_seconds]]&gt;=60,"Average","Fast"))</f>
        <v>Fast</v>
      </c>
    </row>
    <row r="1380" spans="1:31" x14ac:dyDescent="0.25">
      <c r="A1380" t="s">
        <v>1518</v>
      </c>
      <c r="B1380" t="s">
        <v>73</v>
      </c>
      <c r="C1380">
        <v>212</v>
      </c>
      <c r="D1380">
        <v>13</v>
      </c>
      <c r="E1380">
        <v>9</v>
      </c>
      <c r="F1380">
        <v>6</v>
      </c>
      <c r="G1380">
        <v>40.880000000000003</v>
      </c>
      <c r="H1380">
        <v>1.94</v>
      </c>
      <c r="I1380">
        <v>0.81</v>
      </c>
      <c r="J1380" t="s">
        <v>240</v>
      </c>
      <c r="K1380" t="s">
        <v>52</v>
      </c>
      <c r="L1380">
        <v>96</v>
      </c>
      <c r="M1380">
        <v>1.51</v>
      </c>
      <c r="N1380">
        <v>16.05</v>
      </c>
      <c r="O1380">
        <v>0.38</v>
      </c>
      <c r="P1380">
        <v>8</v>
      </c>
      <c r="Q1380">
        <v>0.88</v>
      </c>
      <c r="R1380">
        <v>375</v>
      </c>
      <c r="S1380">
        <v>14.79</v>
      </c>
      <c r="T1380">
        <v>0.33</v>
      </c>
      <c r="U1380" s="1">
        <v>45643</v>
      </c>
      <c r="V1380">
        <v>31.89</v>
      </c>
      <c r="W1380">
        <v>0.64100000000000001</v>
      </c>
      <c r="X1380" t="str">
        <f>IF(WarehouseData[[#This Row],[stock_level]]&lt;=WarehouseData[[#This Row],[reorder_point]],"Low Stock","Sufficient Stock")</f>
        <v>Sufficient Stock</v>
      </c>
      <c r="Y1380">
        <f>WarehouseData[[#This Row],[daily_demand]]*WarehouseData[[#This Row],[lead_time_days]]</f>
        <v>245.28000000000003</v>
      </c>
      <c r="Z1380" t="str">
        <f>IF(WarehouseData[[#This Row],[stock_level]]&lt;=WarehouseData[[#This Row],[Demand During Lead Time]],"At Risk","Safe")</f>
        <v>At Risk</v>
      </c>
      <c r="AA1380">
        <f>WarehouseData[[#This Row],[stock_level]]/WarehouseData[[#This Row],[daily_demand]]</f>
        <v>5.1859099804305284</v>
      </c>
      <c r="AB1380">
        <f>WarehouseData[[#This Row],[stock_level]]*WarehouseData[[#This Row],[unit_price]]</f>
        <v>3402.6000000000004</v>
      </c>
      <c r="AC1380">
        <f>WarehouseData[[#This Row],[stock_level]]*WarehouseData[[#This Row],[holding_cost_per_unit_day]]*30</f>
        <v>2416.8000000000002</v>
      </c>
      <c r="AD1380" t="str">
        <f>IF(WarehouseData[[#This Row],[order_fulfillment_rate]]&gt;=0.9,"Strong",IF(WarehouseData[[#This Row],[order_fulfillment_rate]]&gt;=0.8,"Moderate","Needs Attention"))</f>
        <v>Moderate</v>
      </c>
      <c r="AE1380" t="str">
        <f>IF(WarehouseData[[#This Row],[picking_time_seconds]]&gt;120,"Slow",IF(WarehouseData[[#This Row],[picking_time_seconds]]&gt;=60,"Average","Fast"))</f>
        <v>Average</v>
      </c>
    </row>
    <row r="1381" spans="1:31" x14ac:dyDescent="0.25">
      <c r="A1381" t="s">
        <v>1519</v>
      </c>
      <c r="B1381" t="s">
        <v>48</v>
      </c>
      <c r="C1381">
        <v>260</v>
      </c>
      <c r="D1381">
        <v>27</v>
      </c>
      <c r="E1381">
        <v>6</v>
      </c>
      <c r="F1381">
        <v>9</v>
      </c>
      <c r="G1381">
        <v>19.649999999999999</v>
      </c>
      <c r="H1381">
        <v>3.25</v>
      </c>
      <c r="I1381">
        <v>0.42</v>
      </c>
      <c r="J1381" t="s">
        <v>77</v>
      </c>
      <c r="K1381" t="s">
        <v>34</v>
      </c>
      <c r="L1381">
        <v>42</v>
      </c>
      <c r="M1381">
        <v>4.34</v>
      </c>
      <c r="N1381">
        <v>61.95</v>
      </c>
      <c r="O1381">
        <v>0.18</v>
      </c>
      <c r="P1381">
        <v>4</v>
      </c>
      <c r="Q1381">
        <v>0.8</v>
      </c>
      <c r="R1381">
        <v>556</v>
      </c>
      <c r="S1381">
        <v>3.73</v>
      </c>
      <c r="T1381">
        <v>0.57999999999999996</v>
      </c>
      <c r="U1381" s="1">
        <v>45407</v>
      </c>
      <c r="V1381">
        <v>217.77</v>
      </c>
      <c r="W1381">
        <v>0.628</v>
      </c>
      <c r="X1381" t="str">
        <f>IF(WarehouseData[[#This Row],[stock_level]]&lt;=WarehouseData[[#This Row],[reorder_point]],"Low Stock","Sufficient Stock")</f>
        <v>Sufficient Stock</v>
      </c>
      <c r="Y1381">
        <f>WarehouseData[[#This Row],[daily_demand]]*WarehouseData[[#This Row],[lead_time_days]]</f>
        <v>176.85</v>
      </c>
      <c r="Z1381" t="str">
        <f>IF(WarehouseData[[#This Row],[stock_level]]&lt;=WarehouseData[[#This Row],[Demand During Lead Time]],"At Risk","Safe")</f>
        <v>Safe</v>
      </c>
      <c r="AA1381">
        <f>WarehouseData[[#This Row],[stock_level]]/WarehouseData[[#This Row],[daily_demand]]</f>
        <v>13.231552162849873</v>
      </c>
      <c r="AB1381">
        <f>WarehouseData[[#This Row],[stock_level]]*WarehouseData[[#This Row],[unit_price]]</f>
        <v>16107</v>
      </c>
      <c r="AC1381">
        <f>WarehouseData[[#This Row],[stock_level]]*WarehouseData[[#This Row],[holding_cost_per_unit_day]]*30</f>
        <v>1404</v>
      </c>
      <c r="AD1381" t="str">
        <f>IF(WarehouseData[[#This Row],[order_fulfillment_rate]]&gt;=0.9,"Strong",IF(WarehouseData[[#This Row],[order_fulfillment_rate]]&gt;=0.8,"Moderate","Needs Attention"))</f>
        <v>Moderate</v>
      </c>
      <c r="AE1381" t="str">
        <f>IF(WarehouseData[[#This Row],[picking_time_seconds]]&gt;120,"Slow",IF(WarehouseData[[#This Row],[picking_time_seconds]]&gt;=60,"Average","Fast"))</f>
        <v>Fast</v>
      </c>
    </row>
    <row r="1382" spans="1:31" x14ac:dyDescent="0.25">
      <c r="A1382" t="s">
        <v>1520</v>
      </c>
      <c r="B1382" t="s">
        <v>73</v>
      </c>
      <c r="C1382">
        <v>81</v>
      </c>
      <c r="D1382">
        <v>89</v>
      </c>
      <c r="E1382">
        <v>7</v>
      </c>
      <c r="F1382">
        <v>3</v>
      </c>
      <c r="G1382">
        <v>27.39</v>
      </c>
      <c r="H1382">
        <v>2.71</v>
      </c>
      <c r="I1382">
        <v>0.79</v>
      </c>
      <c r="J1382" t="s">
        <v>202</v>
      </c>
      <c r="K1382" t="s">
        <v>38</v>
      </c>
      <c r="L1382">
        <v>28</v>
      </c>
      <c r="M1382">
        <v>1.42</v>
      </c>
      <c r="N1382">
        <v>181.18</v>
      </c>
      <c r="O1382">
        <v>1</v>
      </c>
      <c r="P1382">
        <v>8</v>
      </c>
      <c r="Q1382">
        <v>0.72</v>
      </c>
      <c r="R1382">
        <v>375</v>
      </c>
      <c r="S1382">
        <v>8.01</v>
      </c>
      <c r="T1382">
        <v>0.73</v>
      </c>
      <c r="U1382" s="1">
        <v>45375</v>
      </c>
      <c r="V1382">
        <v>132.99</v>
      </c>
      <c r="W1382">
        <v>0.53700000000000003</v>
      </c>
      <c r="X1382" t="str">
        <f>IF(WarehouseData[[#This Row],[stock_level]]&lt;=WarehouseData[[#This Row],[reorder_point]],"Low Stock","Sufficient Stock")</f>
        <v>Low Stock</v>
      </c>
      <c r="Y1382">
        <f>WarehouseData[[#This Row],[daily_demand]]*WarehouseData[[#This Row],[lead_time_days]]</f>
        <v>82.17</v>
      </c>
      <c r="Z1382" t="str">
        <f>IF(WarehouseData[[#This Row],[stock_level]]&lt;=WarehouseData[[#This Row],[Demand During Lead Time]],"At Risk","Safe")</f>
        <v>At Risk</v>
      </c>
      <c r="AA1382">
        <f>WarehouseData[[#This Row],[stock_level]]/WarehouseData[[#This Row],[daily_demand]]</f>
        <v>2.9572836801752462</v>
      </c>
      <c r="AB1382">
        <f>WarehouseData[[#This Row],[stock_level]]*WarehouseData[[#This Row],[unit_price]]</f>
        <v>14675.58</v>
      </c>
      <c r="AC1382">
        <f>WarehouseData[[#This Row],[stock_level]]*WarehouseData[[#This Row],[holding_cost_per_unit_day]]*30</f>
        <v>2430</v>
      </c>
      <c r="AD1382" t="str">
        <f>IF(WarehouseData[[#This Row],[order_fulfillment_rate]]&gt;=0.9,"Strong",IF(WarehouseData[[#This Row],[order_fulfillment_rate]]&gt;=0.8,"Moderate","Needs Attention"))</f>
        <v>Needs Attention</v>
      </c>
      <c r="AE1382" t="str">
        <f>IF(WarehouseData[[#This Row],[picking_time_seconds]]&gt;120,"Slow",IF(WarehouseData[[#This Row],[picking_time_seconds]]&gt;=60,"Average","Fast"))</f>
        <v>Fast</v>
      </c>
    </row>
    <row r="1383" spans="1:31" x14ac:dyDescent="0.25">
      <c r="A1383" t="s">
        <v>1521</v>
      </c>
      <c r="B1383" t="s">
        <v>73</v>
      </c>
      <c r="C1383">
        <v>36</v>
      </c>
      <c r="D1383">
        <v>45</v>
      </c>
      <c r="E1383">
        <v>7</v>
      </c>
      <c r="F1383">
        <v>9</v>
      </c>
      <c r="G1383">
        <v>44.7</v>
      </c>
      <c r="H1383">
        <v>9.27</v>
      </c>
      <c r="I1383">
        <v>0.98</v>
      </c>
      <c r="J1383" t="s">
        <v>33</v>
      </c>
      <c r="K1383" t="s">
        <v>52</v>
      </c>
      <c r="L1383">
        <v>150</v>
      </c>
      <c r="M1383">
        <v>3.48</v>
      </c>
      <c r="N1383">
        <v>34.6</v>
      </c>
      <c r="O1383">
        <v>0.64</v>
      </c>
      <c r="P1383">
        <v>0</v>
      </c>
      <c r="Q1383">
        <v>0.76</v>
      </c>
      <c r="R1383">
        <v>893</v>
      </c>
      <c r="S1383">
        <v>12.1</v>
      </c>
      <c r="T1383">
        <v>0.9</v>
      </c>
      <c r="U1383" s="1">
        <v>45523</v>
      </c>
      <c r="V1383">
        <v>18.989999999999998</v>
      </c>
      <c r="W1383">
        <v>0.82899999999999996</v>
      </c>
      <c r="X1383" t="str">
        <f>IF(WarehouseData[[#This Row],[stock_level]]&lt;=WarehouseData[[#This Row],[reorder_point]],"Low Stock","Sufficient Stock")</f>
        <v>Low Stock</v>
      </c>
      <c r="Y1383">
        <f>WarehouseData[[#This Row],[daily_demand]]*WarehouseData[[#This Row],[lead_time_days]]</f>
        <v>402.3</v>
      </c>
      <c r="Z1383" t="str">
        <f>IF(WarehouseData[[#This Row],[stock_level]]&lt;=WarehouseData[[#This Row],[Demand During Lead Time]],"At Risk","Safe")</f>
        <v>At Risk</v>
      </c>
      <c r="AA1383">
        <f>WarehouseData[[#This Row],[stock_level]]/WarehouseData[[#This Row],[daily_demand]]</f>
        <v>0.80536912751677847</v>
      </c>
      <c r="AB1383">
        <f>WarehouseData[[#This Row],[stock_level]]*WarehouseData[[#This Row],[unit_price]]</f>
        <v>1245.6000000000001</v>
      </c>
      <c r="AC1383">
        <f>WarehouseData[[#This Row],[stock_level]]*WarehouseData[[#This Row],[holding_cost_per_unit_day]]*30</f>
        <v>691.19999999999993</v>
      </c>
      <c r="AD1383" t="str">
        <f>IF(WarehouseData[[#This Row],[order_fulfillment_rate]]&gt;=0.9,"Strong",IF(WarehouseData[[#This Row],[order_fulfillment_rate]]&gt;=0.8,"Moderate","Needs Attention"))</f>
        <v>Needs Attention</v>
      </c>
      <c r="AE1383" t="str">
        <f>IF(WarehouseData[[#This Row],[picking_time_seconds]]&gt;120,"Slow",IF(WarehouseData[[#This Row],[picking_time_seconds]]&gt;=60,"Average","Fast"))</f>
        <v>Slow</v>
      </c>
    </row>
    <row r="1384" spans="1:31" x14ac:dyDescent="0.25">
      <c r="A1384" t="s">
        <v>1522</v>
      </c>
      <c r="B1384" t="s">
        <v>48</v>
      </c>
      <c r="C1384">
        <v>190</v>
      </c>
      <c r="D1384">
        <v>34</v>
      </c>
      <c r="E1384">
        <v>13</v>
      </c>
      <c r="F1384">
        <v>5</v>
      </c>
      <c r="G1384">
        <v>45.78</v>
      </c>
      <c r="H1384">
        <v>7.54</v>
      </c>
      <c r="I1384">
        <v>0.73</v>
      </c>
      <c r="J1384" t="s">
        <v>283</v>
      </c>
      <c r="K1384" t="s">
        <v>34</v>
      </c>
      <c r="L1384">
        <v>122</v>
      </c>
      <c r="M1384">
        <v>4.8600000000000003</v>
      </c>
      <c r="N1384">
        <v>72.83</v>
      </c>
      <c r="O1384">
        <v>1.97</v>
      </c>
      <c r="P1384">
        <v>9</v>
      </c>
      <c r="Q1384">
        <v>0.89</v>
      </c>
      <c r="R1384">
        <v>240</v>
      </c>
      <c r="S1384">
        <v>7.45</v>
      </c>
      <c r="T1384">
        <v>0.25</v>
      </c>
      <c r="U1384" s="1">
        <v>45329</v>
      </c>
      <c r="V1384">
        <v>168.1</v>
      </c>
      <c r="W1384">
        <v>0.35</v>
      </c>
      <c r="X1384" t="str">
        <f>IF(WarehouseData[[#This Row],[stock_level]]&lt;=WarehouseData[[#This Row],[reorder_point]],"Low Stock","Sufficient Stock")</f>
        <v>Sufficient Stock</v>
      </c>
      <c r="Y1384">
        <f>WarehouseData[[#This Row],[daily_demand]]*WarehouseData[[#This Row],[lead_time_days]]</f>
        <v>228.9</v>
      </c>
      <c r="Z1384" t="str">
        <f>IF(WarehouseData[[#This Row],[stock_level]]&lt;=WarehouseData[[#This Row],[Demand During Lead Time]],"At Risk","Safe")</f>
        <v>At Risk</v>
      </c>
      <c r="AA1384">
        <f>WarehouseData[[#This Row],[stock_level]]/WarehouseData[[#This Row],[daily_demand]]</f>
        <v>4.150283966797728</v>
      </c>
      <c r="AB1384">
        <f>WarehouseData[[#This Row],[stock_level]]*WarehouseData[[#This Row],[unit_price]]</f>
        <v>13837.699999999999</v>
      </c>
      <c r="AC1384">
        <f>WarehouseData[[#This Row],[stock_level]]*WarehouseData[[#This Row],[holding_cost_per_unit_day]]*30</f>
        <v>11229</v>
      </c>
      <c r="AD1384" t="str">
        <f>IF(WarehouseData[[#This Row],[order_fulfillment_rate]]&gt;=0.9,"Strong",IF(WarehouseData[[#This Row],[order_fulfillment_rate]]&gt;=0.8,"Moderate","Needs Attention"))</f>
        <v>Moderate</v>
      </c>
      <c r="AE1384" t="str">
        <f>IF(WarehouseData[[#This Row],[picking_time_seconds]]&gt;120,"Slow",IF(WarehouseData[[#This Row],[picking_time_seconds]]&gt;=60,"Average","Fast"))</f>
        <v>Slow</v>
      </c>
    </row>
    <row r="1385" spans="1:31" x14ac:dyDescent="0.25">
      <c r="A1385" t="s">
        <v>1523</v>
      </c>
      <c r="B1385" t="s">
        <v>40</v>
      </c>
      <c r="C1385">
        <v>44</v>
      </c>
      <c r="D1385">
        <v>96</v>
      </c>
      <c r="E1385">
        <v>7</v>
      </c>
      <c r="F1385">
        <v>9</v>
      </c>
      <c r="G1385">
        <v>11.57</v>
      </c>
      <c r="H1385">
        <v>3.5</v>
      </c>
      <c r="I1385">
        <v>0.48</v>
      </c>
      <c r="J1385" t="s">
        <v>135</v>
      </c>
      <c r="K1385" t="s">
        <v>46</v>
      </c>
      <c r="L1385">
        <v>31</v>
      </c>
      <c r="M1385">
        <v>3.67</v>
      </c>
      <c r="N1385">
        <v>70.12</v>
      </c>
      <c r="O1385">
        <v>0.56999999999999995</v>
      </c>
      <c r="P1385">
        <v>7</v>
      </c>
      <c r="Q1385">
        <v>0.71</v>
      </c>
      <c r="R1385">
        <v>263</v>
      </c>
      <c r="S1385">
        <v>5.97</v>
      </c>
      <c r="T1385">
        <v>0.49</v>
      </c>
      <c r="U1385" s="1">
        <v>45309</v>
      </c>
      <c r="V1385">
        <v>212.72</v>
      </c>
      <c r="W1385">
        <v>0.52300000000000002</v>
      </c>
      <c r="X1385" t="str">
        <f>IF(WarehouseData[[#This Row],[stock_level]]&lt;=WarehouseData[[#This Row],[reorder_point]],"Low Stock","Sufficient Stock")</f>
        <v>Low Stock</v>
      </c>
      <c r="Y1385">
        <f>WarehouseData[[#This Row],[daily_demand]]*WarehouseData[[#This Row],[lead_time_days]]</f>
        <v>104.13</v>
      </c>
      <c r="Z1385" t="str">
        <f>IF(WarehouseData[[#This Row],[stock_level]]&lt;=WarehouseData[[#This Row],[Demand During Lead Time]],"At Risk","Safe")</f>
        <v>At Risk</v>
      </c>
      <c r="AA1385">
        <f>WarehouseData[[#This Row],[stock_level]]/WarehouseData[[#This Row],[daily_demand]]</f>
        <v>3.8029386343993083</v>
      </c>
      <c r="AB1385">
        <f>WarehouseData[[#This Row],[stock_level]]*WarehouseData[[#This Row],[unit_price]]</f>
        <v>3085.28</v>
      </c>
      <c r="AC1385">
        <f>WarehouseData[[#This Row],[stock_level]]*WarehouseData[[#This Row],[holding_cost_per_unit_day]]*30</f>
        <v>752.4</v>
      </c>
      <c r="AD1385" t="str">
        <f>IF(WarehouseData[[#This Row],[order_fulfillment_rate]]&gt;=0.9,"Strong",IF(WarehouseData[[#This Row],[order_fulfillment_rate]]&gt;=0.8,"Moderate","Needs Attention"))</f>
        <v>Needs Attention</v>
      </c>
      <c r="AE1385" t="str">
        <f>IF(WarehouseData[[#This Row],[picking_time_seconds]]&gt;120,"Slow",IF(WarehouseData[[#This Row],[picking_time_seconds]]&gt;=60,"Average","Fast"))</f>
        <v>Fast</v>
      </c>
    </row>
    <row r="1386" spans="1:31" x14ac:dyDescent="0.25">
      <c r="A1386" t="s">
        <v>1524</v>
      </c>
      <c r="B1386" t="s">
        <v>36</v>
      </c>
      <c r="C1386">
        <v>270</v>
      </c>
      <c r="D1386">
        <v>85</v>
      </c>
      <c r="E1386">
        <v>12</v>
      </c>
      <c r="F1386">
        <v>8</v>
      </c>
      <c r="G1386">
        <v>3.14</v>
      </c>
      <c r="H1386">
        <v>7.75</v>
      </c>
      <c r="I1386">
        <v>0.74</v>
      </c>
      <c r="J1386" t="s">
        <v>283</v>
      </c>
      <c r="K1386" t="s">
        <v>52</v>
      </c>
      <c r="L1386">
        <v>157</v>
      </c>
      <c r="M1386">
        <v>1.66</v>
      </c>
      <c r="N1386">
        <v>162.31</v>
      </c>
      <c r="O1386">
        <v>1.75</v>
      </c>
      <c r="P1386">
        <v>1</v>
      </c>
      <c r="Q1386">
        <v>0.88</v>
      </c>
      <c r="R1386">
        <v>96</v>
      </c>
      <c r="S1386">
        <v>12.42</v>
      </c>
      <c r="T1386">
        <v>0.69</v>
      </c>
      <c r="U1386" s="1">
        <v>45442</v>
      </c>
      <c r="V1386">
        <v>163.19</v>
      </c>
      <c r="W1386">
        <v>0.68500000000000005</v>
      </c>
      <c r="X1386" t="str">
        <f>IF(WarehouseData[[#This Row],[stock_level]]&lt;=WarehouseData[[#This Row],[reorder_point]],"Low Stock","Sufficient Stock")</f>
        <v>Sufficient Stock</v>
      </c>
      <c r="Y1386">
        <f>WarehouseData[[#This Row],[daily_demand]]*WarehouseData[[#This Row],[lead_time_days]]</f>
        <v>25.12</v>
      </c>
      <c r="Z1386" t="str">
        <f>IF(WarehouseData[[#This Row],[stock_level]]&lt;=WarehouseData[[#This Row],[Demand During Lead Time]],"At Risk","Safe")</f>
        <v>Safe</v>
      </c>
      <c r="AA1386">
        <f>WarehouseData[[#This Row],[stock_level]]/WarehouseData[[#This Row],[daily_demand]]</f>
        <v>85.987261146496806</v>
      </c>
      <c r="AB1386">
        <f>WarehouseData[[#This Row],[stock_level]]*WarehouseData[[#This Row],[unit_price]]</f>
        <v>43823.7</v>
      </c>
      <c r="AC1386">
        <f>WarehouseData[[#This Row],[stock_level]]*WarehouseData[[#This Row],[holding_cost_per_unit_day]]*30</f>
        <v>14175</v>
      </c>
      <c r="AD1386" t="str">
        <f>IF(WarehouseData[[#This Row],[order_fulfillment_rate]]&gt;=0.9,"Strong",IF(WarehouseData[[#This Row],[order_fulfillment_rate]]&gt;=0.8,"Moderate","Needs Attention"))</f>
        <v>Moderate</v>
      </c>
      <c r="AE1386" t="str">
        <f>IF(WarehouseData[[#This Row],[picking_time_seconds]]&gt;120,"Slow",IF(WarehouseData[[#This Row],[picking_time_seconds]]&gt;=60,"Average","Fast"))</f>
        <v>Slow</v>
      </c>
    </row>
    <row r="1387" spans="1:31" x14ac:dyDescent="0.25">
      <c r="A1387" t="s">
        <v>1525</v>
      </c>
      <c r="B1387" t="s">
        <v>36</v>
      </c>
      <c r="C1387">
        <v>272</v>
      </c>
      <c r="D1387">
        <v>45</v>
      </c>
      <c r="E1387">
        <v>11</v>
      </c>
      <c r="F1387">
        <v>9</v>
      </c>
      <c r="G1387">
        <v>15.97</v>
      </c>
      <c r="H1387">
        <v>0.71</v>
      </c>
      <c r="I1387">
        <v>0.91</v>
      </c>
      <c r="J1387" t="s">
        <v>183</v>
      </c>
      <c r="K1387" t="s">
        <v>46</v>
      </c>
      <c r="L1387">
        <v>106</v>
      </c>
      <c r="M1387">
        <v>1.77</v>
      </c>
      <c r="N1387">
        <v>90.09</v>
      </c>
      <c r="O1387">
        <v>0.7</v>
      </c>
      <c r="P1387">
        <v>7</v>
      </c>
      <c r="Q1387">
        <v>0.99</v>
      </c>
      <c r="R1387">
        <v>779</v>
      </c>
      <c r="S1387">
        <v>7.02</v>
      </c>
      <c r="T1387">
        <v>0.21</v>
      </c>
      <c r="U1387" s="1">
        <v>45302</v>
      </c>
      <c r="V1387">
        <v>45.64</v>
      </c>
      <c r="W1387">
        <v>0.52400000000000002</v>
      </c>
      <c r="X1387" t="str">
        <f>IF(WarehouseData[[#This Row],[stock_level]]&lt;=WarehouseData[[#This Row],[reorder_point]],"Low Stock","Sufficient Stock")</f>
        <v>Sufficient Stock</v>
      </c>
      <c r="Y1387">
        <f>WarehouseData[[#This Row],[daily_demand]]*WarehouseData[[#This Row],[lead_time_days]]</f>
        <v>143.73000000000002</v>
      </c>
      <c r="Z1387" t="str">
        <f>IF(WarehouseData[[#This Row],[stock_level]]&lt;=WarehouseData[[#This Row],[Demand During Lead Time]],"At Risk","Safe")</f>
        <v>Safe</v>
      </c>
      <c r="AA1387">
        <f>WarehouseData[[#This Row],[stock_level]]/WarehouseData[[#This Row],[daily_demand]]</f>
        <v>17.031934877896056</v>
      </c>
      <c r="AB1387">
        <f>WarehouseData[[#This Row],[stock_level]]*WarehouseData[[#This Row],[unit_price]]</f>
        <v>24504.48</v>
      </c>
      <c r="AC1387">
        <f>WarehouseData[[#This Row],[stock_level]]*WarehouseData[[#This Row],[holding_cost_per_unit_day]]*30</f>
        <v>5711.9999999999991</v>
      </c>
      <c r="AD1387" t="str">
        <f>IF(WarehouseData[[#This Row],[order_fulfillment_rate]]&gt;=0.9,"Strong",IF(WarehouseData[[#This Row],[order_fulfillment_rate]]&gt;=0.8,"Moderate","Needs Attention"))</f>
        <v>Strong</v>
      </c>
      <c r="AE1387" t="str">
        <f>IF(WarehouseData[[#This Row],[picking_time_seconds]]&gt;120,"Slow",IF(WarehouseData[[#This Row],[picking_time_seconds]]&gt;=60,"Average","Fast"))</f>
        <v>Average</v>
      </c>
    </row>
    <row r="1388" spans="1:31" x14ac:dyDescent="0.25">
      <c r="A1388" t="s">
        <v>1526</v>
      </c>
      <c r="B1388" t="s">
        <v>73</v>
      </c>
      <c r="C1388">
        <v>406</v>
      </c>
      <c r="D1388">
        <v>76</v>
      </c>
      <c r="E1388">
        <v>12</v>
      </c>
      <c r="F1388">
        <v>3</v>
      </c>
      <c r="G1388">
        <v>35.090000000000003</v>
      </c>
      <c r="H1388">
        <v>5.5</v>
      </c>
      <c r="I1388">
        <v>0.22</v>
      </c>
      <c r="J1388" t="s">
        <v>286</v>
      </c>
      <c r="K1388" t="s">
        <v>52</v>
      </c>
      <c r="L1388">
        <v>14</v>
      </c>
      <c r="M1388">
        <v>0.92</v>
      </c>
      <c r="N1388">
        <v>126.2</v>
      </c>
      <c r="O1388">
        <v>1.52</v>
      </c>
      <c r="P1388">
        <v>3</v>
      </c>
      <c r="Q1388">
        <v>0.94</v>
      </c>
      <c r="R1388">
        <v>138</v>
      </c>
      <c r="S1388">
        <v>13.78</v>
      </c>
      <c r="T1388">
        <v>0.39</v>
      </c>
      <c r="U1388" s="1">
        <v>45455</v>
      </c>
      <c r="V1388">
        <v>246.61</v>
      </c>
      <c r="W1388">
        <v>0.63800000000000001</v>
      </c>
      <c r="X1388" t="str">
        <f>IF(WarehouseData[[#This Row],[stock_level]]&lt;=WarehouseData[[#This Row],[reorder_point]],"Low Stock","Sufficient Stock")</f>
        <v>Sufficient Stock</v>
      </c>
      <c r="Y1388">
        <f>WarehouseData[[#This Row],[daily_demand]]*WarehouseData[[#This Row],[lead_time_days]]</f>
        <v>105.27000000000001</v>
      </c>
      <c r="Z1388" t="str">
        <f>IF(WarehouseData[[#This Row],[stock_level]]&lt;=WarehouseData[[#This Row],[Demand During Lead Time]],"At Risk","Safe")</f>
        <v>Safe</v>
      </c>
      <c r="AA1388">
        <f>WarehouseData[[#This Row],[stock_level]]/WarehouseData[[#This Row],[daily_demand]]</f>
        <v>11.570247933884296</v>
      </c>
      <c r="AB1388">
        <f>WarehouseData[[#This Row],[stock_level]]*WarehouseData[[#This Row],[unit_price]]</f>
        <v>51237.200000000004</v>
      </c>
      <c r="AC1388">
        <f>WarehouseData[[#This Row],[stock_level]]*WarehouseData[[#This Row],[holding_cost_per_unit_day]]*30</f>
        <v>18513.599999999999</v>
      </c>
      <c r="AD1388" t="str">
        <f>IF(WarehouseData[[#This Row],[order_fulfillment_rate]]&gt;=0.9,"Strong",IF(WarehouseData[[#This Row],[order_fulfillment_rate]]&gt;=0.8,"Moderate","Needs Attention"))</f>
        <v>Strong</v>
      </c>
      <c r="AE1388" t="str">
        <f>IF(WarehouseData[[#This Row],[picking_time_seconds]]&gt;120,"Slow",IF(WarehouseData[[#This Row],[picking_time_seconds]]&gt;=60,"Average","Fast"))</f>
        <v>Fast</v>
      </c>
    </row>
    <row r="1389" spans="1:31" x14ac:dyDescent="0.25">
      <c r="A1389" t="s">
        <v>1527</v>
      </c>
      <c r="B1389" t="s">
        <v>73</v>
      </c>
      <c r="C1389">
        <v>226</v>
      </c>
      <c r="D1389">
        <v>18</v>
      </c>
      <c r="E1389">
        <v>5</v>
      </c>
      <c r="F1389">
        <v>8</v>
      </c>
      <c r="G1389">
        <v>47.6</v>
      </c>
      <c r="H1389">
        <v>2.88</v>
      </c>
      <c r="I1389">
        <v>0.34</v>
      </c>
      <c r="J1389" t="s">
        <v>202</v>
      </c>
      <c r="K1389" t="s">
        <v>34</v>
      </c>
      <c r="L1389">
        <v>135</v>
      </c>
      <c r="M1389">
        <v>3.59</v>
      </c>
      <c r="N1389">
        <v>86.83</v>
      </c>
      <c r="O1389">
        <v>1.35</v>
      </c>
      <c r="P1389">
        <v>1</v>
      </c>
      <c r="Q1389">
        <v>0.8</v>
      </c>
      <c r="R1389">
        <v>836</v>
      </c>
      <c r="S1389">
        <v>4.76</v>
      </c>
      <c r="T1389">
        <v>0.8</v>
      </c>
      <c r="U1389" s="1">
        <v>45425</v>
      </c>
      <c r="V1389">
        <v>101.95</v>
      </c>
      <c r="W1389">
        <v>0.628</v>
      </c>
      <c r="X1389" t="str">
        <f>IF(WarehouseData[[#This Row],[stock_level]]&lt;=WarehouseData[[#This Row],[reorder_point]],"Low Stock","Sufficient Stock")</f>
        <v>Sufficient Stock</v>
      </c>
      <c r="Y1389">
        <f>WarehouseData[[#This Row],[daily_demand]]*WarehouseData[[#This Row],[lead_time_days]]</f>
        <v>380.8</v>
      </c>
      <c r="Z1389" t="str">
        <f>IF(WarehouseData[[#This Row],[stock_level]]&lt;=WarehouseData[[#This Row],[Demand During Lead Time]],"At Risk","Safe")</f>
        <v>At Risk</v>
      </c>
      <c r="AA1389">
        <f>WarehouseData[[#This Row],[stock_level]]/WarehouseData[[#This Row],[daily_demand]]</f>
        <v>4.7478991596638656</v>
      </c>
      <c r="AB1389">
        <f>WarehouseData[[#This Row],[stock_level]]*WarehouseData[[#This Row],[unit_price]]</f>
        <v>19623.579999999998</v>
      </c>
      <c r="AC1389">
        <f>WarehouseData[[#This Row],[stock_level]]*WarehouseData[[#This Row],[holding_cost_per_unit_day]]*30</f>
        <v>9153</v>
      </c>
      <c r="AD1389" t="str">
        <f>IF(WarehouseData[[#This Row],[order_fulfillment_rate]]&gt;=0.9,"Strong",IF(WarehouseData[[#This Row],[order_fulfillment_rate]]&gt;=0.8,"Moderate","Needs Attention"))</f>
        <v>Moderate</v>
      </c>
      <c r="AE1389" t="str">
        <f>IF(WarehouseData[[#This Row],[picking_time_seconds]]&gt;120,"Slow",IF(WarehouseData[[#This Row],[picking_time_seconds]]&gt;=60,"Average","Fast"))</f>
        <v>Slow</v>
      </c>
    </row>
    <row r="1390" spans="1:31" x14ac:dyDescent="0.25">
      <c r="A1390" t="s">
        <v>1528</v>
      </c>
      <c r="B1390" t="s">
        <v>40</v>
      </c>
      <c r="C1390">
        <v>48</v>
      </c>
      <c r="D1390">
        <v>70</v>
      </c>
      <c r="E1390">
        <v>8</v>
      </c>
      <c r="F1390">
        <v>9</v>
      </c>
      <c r="G1390">
        <v>4.7699999999999996</v>
      </c>
      <c r="H1390">
        <v>1.59</v>
      </c>
      <c r="I1390">
        <v>0.93</v>
      </c>
      <c r="J1390" t="s">
        <v>477</v>
      </c>
      <c r="K1390" t="s">
        <v>38</v>
      </c>
      <c r="L1390">
        <v>87</v>
      </c>
      <c r="M1390">
        <v>2.83</v>
      </c>
      <c r="N1390">
        <v>114.78</v>
      </c>
      <c r="O1390">
        <v>1.17</v>
      </c>
      <c r="P1390">
        <v>1</v>
      </c>
      <c r="Q1390">
        <v>0.74</v>
      </c>
      <c r="R1390">
        <v>276</v>
      </c>
      <c r="S1390">
        <v>13.55</v>
      </c>
      <c r="T1390">
        <v>0.48</v>
      </c>
      <c r="U1390" s="1">
        <v>45345</v>
      </c>
      <c r="V1390">
        <v>277.22000000000003</v>
      </c>
      <c r="W1390">
        <v>0.68799999999999994</v>
      </c>
      <c r="X1390" t="str">
        <f>IF(WarehouseData[[#This Row],[stock_level]]&lt;=WarehouseData[[#This Row],[reorder_point]],"Low Stock","Sufficient Stock")</f>
        <v>Low Stock</v>
      </c>
      <c r="Y1390">
        <f>WarehouseData[[#This Row],[daily_demand]]*WarehouseData[[#This Row],[lead_time_days]]</f>
        <v>42.929999999999993</v>
      </c>
      <c r="Z1390" t="str">
        <f>IF(WarehouseData[[#This Row],[stock_level]]&lt;=WarehouseData[[#This Row],[Demand During Lead Time]],"At Risk","Safe")</f>
        <v>Safe</v>
      </c>
      <c r="AA1390">
        <f>WarehouseData[[#This Row],[stock_level]]/WarehouseData[[#This Row],[daily_demand]]</f>
        <v>10.062893081761008</v>
      </c>
      <c r="AB1390">
        <f>WarehouseData[[#This Row],[stock_level]]*WarehouseData[[#This Row],[unit_price]]</f>
        <v>5509.4400000000005</v>
      </c>
      <c r="AC1390">
        <f>WarehouseData[[#This Row],[stock_level]]*WarehouseData[[#This Row],[holding_cost_per_unit_day]]*30</f>
        <v>1684.8</v>
      </c>
      <c r="AD1390" t="str">
        <f>IF(WarehouseData[[#This Row],[order_fulfillment_rate]]&gt;=0.9,"Strong",IF(WarehouseData[[#This Row],[order_fulfillment_rate]]&gt;=0.8,"Moderate","Needs Attention"))</f>
        <v>Needs Attention</v>
      </c>
      <c r="AE1390" t="str">
        <f>IF(WarehouseData[[#This Row],[picking_time_seconds]]&gt;120,"Slow",IF(WarehouseData[[#This Row],[picking_time_seconds]]&gt;=60,"Average","Fast"))</f>
        <v>Average</v>
      </c>
    </row>
    <row r="1391" spans="1:31" x14ac:dyDescent="0.25">
      <c r="A1391" t="s">
        <v>1529</v>
      </c>
      <c r="B1391" t="s">
        <v>32</v>
      </c>
      <c r="C1391">
        <v>136</v>
      </c>
      <c r="D1391">
        <v>62</v>
      </c>
      <c r="E1391">
        <v>10</v>
      </c>
      <c r="F1391">
        <v>6</v>
      </c>
      <c r="G1391">
        <v>2.4</v>
      </c>
      <c r="H1391">
        <v>8.9</v>
      </c>
      <c r="I1391">
        <v>0.95</v>
      </c>
      <c r="J1391" t="s">
        <v>59</v>
      </c>
      <c r="K1391" t="s">
        <v>38</v>
      </c>
      <c r="L1391">
        <v>169</v>
      </c>
      <c r="M1391">
        <v>1.43</v>
      </c>
      <c r="N1391">
        <v>21.86</v>
      </c>
      <c r="O1391">
        <v>0.89</v>
      </c>
      <c r="P1391">
        <v>5</v>
      </c>
      <c r="Q1391">
        <v>0.84</v>
      </c>
      <c r="R1391">
        <v>446</v>
      </c>
      <c r="S1391">
        <v>4.9000000000000004</v>
      </c>
      <c r="T1391">
        <v>0.27</v>
      </c>
      <c r="U1391" s="1">
        <v>45329</v>
      </c>
      <c r="V1391">
        <v>272.99</v>
      </c>
      <c r="W1391">
        <v>0.498</v>
      </c>
      <c r="X1391" t="str">
        <f>IF(WarehouseData[[#This Row],[stock_level]]&lt;=WarehouseData[[#This Row],[reorder_point]],"Low Stock","Sufficient Stock")</f>
        <v>Sufficient Stock</v>
      </c>
      <c r="Y1391">
        <f>WarehouseData[[#This Row],[daily_demand]]*WarehouseData[[#This Row],[lead_time_days]]</f>
        <v>14.399999999999999</v>
      </c>
      <c r="Z1391" t="str">
        <f>IF(WarehouseData[[#This Row],[stock_level]]&lt;=WarehouseData[[#This Row],[Demand During Lead Time]],"At Risk","Safe")</f>
        <v>Safe</v>
      </c>
      <c r="AA1391">
        <f>WarehouseData[[#This Row],[stock_level]]/WarehouseData[[#This Row],[daily_demand]]</f>
        <v>56.666666666666671</v>
      </c>
      <c r="AB1391">
        <f>WarehouseData[[#This Row],[stock_level]]*WarehouseData[[#This Row],[unit_price]]</f>
        <v>2972.96</v>
      </c>
      <c r="AC1391">
        <f>WarehouseData[[#This Row],[stock_level]]*WarehouseData[[#This Row],[holding_cost_per_unit_day]]*30</f>
        <v>3631.2000000000003</v>
      </c>
      <c r="AD1391" t="str">
        <f>IF(WarehouseData[[#This Row],[order_fulfillment_rate]]&gt;=0.9,"Strong",IF(WarehouseData[[#This Row],[order_fulfillment_rate]]&gt;=0.8,"Moderate","Needs Attention"))</f>
        <v>Moderate</v>
      </c>
      <c r="AE1391" t="str">
        <f>IF(WarehouseData[[#This Row],[picking_time_seconds]]&gt;120,"Slow",IF(WarehouseData[[#This Row],[picking_time_seconds]]&gt;=60,"Average","Fast"))</f>
        <v>Slow</v>
      </c>
    </row>
    <row r="1392" spans="1:31" x14ac:dyDescent="0.25">
      <c r="A1392" t="s">
        <v>1530</v>
      </c>
      <c r="B1392" t="s">
        <v>48</v>
      </c>
      <c r="C1392">
        <v>435</v>
      </c>
      <c r="D1392">
        <v>27</v>
      </c>
      <c r="E1392">
        <v>13</v>
      </c>
      <c r="F1392">
        <v>5</v>
      </c>
      <c r="G1392">
        <v>44.32</v>
      </c>
      <c r="H1392">
        <v>2.39</v>
      </c>
      <c r="I1392">
        <v>0.54</v>
      </c>
      <c r="J1392" t="s">
        <v>62</v>
      </c>
      <c r="K1392" t="s">
        <v>38</v>
      </c>
      <c r="L1392">
        <v>39</v>
      </c>
      <c r="M1392">
        <v>1.52</v>
      </c>
      <c r="N1392">
        <v>81.069999999999993</v>
      </c>
      <c r="O1392">
        <v>1.38</v>
      </c>
      <c r="P1392">
        <v>2</v>
      </c>
      <c r="Q1392">
        <v>0.82</v>
      </c>
      <c r="R1392">
        <v>266</v>
      </c>
      <c r="S1392">
        <v>5.05</v>
      </c>
      <c r="T1392">
        <v>0.7</v>
      </c>
      <c r="U1392" s="1">
        <v>45467</v>
      </c>
      <c r="V1392">
        <v>68.11</v>
      </c>
      <c r="W1392">
        <v>0.59299999999999997</v>
      </c>
      <c r="X1392" t="str">
        <f>IF(WarehouseData[[#This Row],[stock_level]]&lt;=WarehouseData[[#This Row],[reorder_point]],"Low Stock","Sufficient Stock")</f>
        <v>Sufficient Stock</v>
      </c>
      <c r="Y1392">
        <f>WarehouseData[[#This Row],[daily_demand]]*WarehouseData[[#This Row],[lead_time_days]]</f>
        <v>221.6</v>
      </c>
      <c r="Z1392" t="str">
        <f>IF(WarehouseData[[#This Row],[stock_level]]&lt;=WarehouseData[[#This Row],[Demand During Lead Time]],"At Risk","Safe")</f>
        <v>Safe</v>
      </c>
      <c r="AA1392">
        <f>WarehouseData[[#This Row],[stock_level]]/WarehouseData[[#This Row],[daily_demand]]</f>
        <v>9.8149819494584829</v>
      </c>
      <c r="AB1392">
        <f>WarehouseData[[#This Row],[stock_level]]*WarehouseData[[#This Row],[unit_price]]</f>
        <v>35265.449999999997</v>
      </c>
      <c r="AC1392">
        <f>WarehouseData[[#This Row],[stock_level]]*WarehouseData[[#This Row],[holding_cost_per_unit_day]]*30</f>
        <v>18009</v>
      </c>
      <c r="AD1392" t="str">
        <f>IF(WarehouseData[[#This Row],[order_fulfillment_rate]]&gt;=0.9,"Strong",IF(WarehouseData[[#This Row],[order_fulfillment_rate]]&gt;=0.8,"Moderate","Needs Attention"))</f>
        <v>Moderate</v>
      </c>
      <c r="AE1392" t="str">
        <f>IF(WarehouseData[[#This Row],[picking_time_seconds]]&gt;120,"Slow",IF(WarehouseData[[#This Row],[picking_time_seconds]]&gt;=60,"Average","Fast"))</f>
        <v>Fast</v>
      </c>
    </row>
    <row r="1393" spans="1:31" x14ac:dyDescent="0.25">
      <c r="A1393" t="s">
        <v>1531</v>
      </c>
      <c r="B1393" t="s">
        <v>73</v>
      </c>
      <c r="C1393">
        <v>301</v>
      </c>
      <c r="D1393">
        <v>52</v>
      </c>
      <c r="E1393">
        <v>11</v>
      </c>
      <c r="F1393">
        <v>9</v>
      </c>
      <c r="G1393">
        <v>37.659999999999997</v>
      </c>
      <c r="H1393">
        <v>8.31</v>
      </c>
      <c r="I1393">
        <v>0.44</v>
      </c>
      <c r="J1393" t="s">
        <v>106</v>
      </c>
      <c r="K1393" t="s">
        <v>38</v>
      </c>
      <c r="L1393">
        <v>100</v>
      </c>
      <c r="M1393">
        <v>0.54</v>
      </c>
      <c r="N1393">
        <v>172.47</v>
      </c>
      <c r="O1393">
        <v>0.87</v>
      </c>
      <c r="P1393">
        <v>9</v>
      </c>
      <c r="Q1393">
        <v>0.99</v>
      </c>
      <c r="R1393">
        <v>801</v>
      </c>
      <c r="S1393">
        <v>6.89</v>
      </c>
      <c r="T1393">
        <v>0.4</v>
      </c>
      <c r="U1393" s="1">
        <v>45379</v>
      </c>
      <c r="V1393">
        <v>148.15</v>
      </c>
      <c r="W1393">
        <v>0.503</v>
      </c>
      <c r="X1393" t="str">
        <f>IF(WarehouseData[[#This Row],[stock_level]]&lt;=WarehouseData[[#This Row],[reorder_point]],"Low Stock","Sufficient Stock")</f>
        <v>Sufficient Stock</v>
      </c>
      <c r="Y1393">
        <f>WarehouseData[[#This Row],[daily_demand]]*WarehouseData[[#This Row],[lead_time_days]]</f>
        <v>338.93999999999994</v>
      </c>
      <c r="Z1393" t="str">
        <f>IF(WarehouseData[[#This Row],[stock_level]]&lt;=WarehouseData[[#This Row],[Demand During Lead Time]],"At Risk","Safe")</f>
        <v>At Risk</v>
      </c>
      <c r="AA1393">
        <f>WarehouseData[[#This Row],[stock_level]]/WarehouseData[[#This Row],[daily_demand]]</f>
        <v>7.9925650557620829</v>
      </c>
      <c r="AB1393">
        <f>WarehouseData[[#This Row],[stock_level]]*WarehouseData[[#This Row],[unit_price]]</f>
        <v>51913.47</v>
      </c>
      <c r="AC1393">
        <f>WarehouseData[[#This Row],[stock_level]]*WarehouseData[[#This Row],[holding_cost_per_unit_day]]*30</f>
        <v>7856.1</v>
      </c>
      <c r="AD1393" t="str">
        <f>IF(WarehouseData[[#This Row],[order_fulfillment_rate]]&gt;=0.9,"Strong",IF(WarehouseData[[#This Row],[order_fulfillment_rate]]&gt;=0.8,"Moderate","Needs Attention"))</f>
        <v>Strong</v>
      </c>
      <c r="AE1393" t="str">
        <f>IF(WarehouseData[[#This Row],[picking_time_seconds]]&gt;120,"Slow",IF(WarehouseData[[#This Row],[picking_time_seconds]]&gt;=60,"Average","Fast"))</f>
        <v>Average</v>
      </c>
    </row>
    <row r="1394" spans="1:31" x14ac:dyDescent="0.25">
      <c r="A1394" t="s">
        <v>1532</v>
      </c>
      <c r="B1394" t="s">
        <v>36</v>
      </c>
      <c r="C1394">
        <v>399</v>
      </c>
      <c r="D1394">
        <v>44</v>
      </c>
      <c r="E1394">
        <v>9</v>
      </c>
      <c r="F1394">
        <v>8</v>
      </c>
      <c r="G1394">
        <v>49.62</v>
      </c>
      <c r="H1394">
        <v>4.43</v>
      </c>
      <c r="I1394">
        <v>0.35</v>
      </c>
      <c r="J1394" t="s">
        <v>192</v>
      </c>
      <c r="K1394" t="s">
        <v>52</v>
      </c>
      <c r="L1394">
        <v>163</v>
      </c>
      <c r="M1394">
        <v>4.9000000000000004</v>
      </c>
      <c r="N1394">
        <v>141.30000000000001</v>
      </c>
      <c r="O1394">
        <v>1.1399999999999999</v>
      </c>
      <c r="P1394">
        <v>2</v>
      </c>
      <c r="Q1394">
        <v>1</v>
      </c>
      <c r="R1394">
        <v>350</v>
      </c>
      <c r="S1394">
        <v>8.2200000000000006</v>
      </c>
      <c r="T1394">
        <v>0.76</v>
      </c>
      <c r="U1394" s="1">
        <v>45484</v>
      </c>
      <c r="V1394">
        <v>49.84</v>
      </c>
      <c r="W1394">
        <v>0.70799999999999996</v>
      </c>
      <c r="X1394" t="str">
        <f>IF(WarehouseData[[#This Row],[stock_level]]&lt;=WarehouseData[[#This Row],[reorder_point]],"Low Stock","Sufficient Stock")</f>
        <v>Sufficient Stock</v>
      </c>
      <c r="Y1394">
        <f>WarehouseData[[#This Row],[daily_demand]]*WarehouseData[[#This Row],[lead_time_days]]</f>
        <v>396.96</v>
      </c>
      <c r="Z1394" t="str">
        <f>IF(WarehouseData[[#This Row],[stock_level]]&lt;=WarehouseData[[#This Row],[Demand During Lead Time]],"At Risk","Safe")</f>
        <v>Safe</v>
      </c>
      <c r="AA1394">
        <f>WarehouseData[[#This Row],[stock_level]]/WarehouseData[[#This Row],[daily_demand]]</f>
        <v>8.0411124546553818</v>
      </c>
      <c r="AB1394">
        <f>WarehouseData[[#This Row],[stock_level]]*WarehouseData[[#This Row],[unit_price]]</f>
        <v>56378.700000000004</v>
      </c>
      <c r="AC1394">
        <f>WarehouseData[[#This Row],[stock_level]]*WarehouseData[[#This Row],[holding_cost_per_unit_day]]*30</f>
        <v>13645.8</v>
      </c>
      <c r="AD1394" t="str">
        <f>IF(WarehouseData[[#This Row],[order_fulfillment_rate]]&gt;=0.9,"Strong",IF(WarehouseData[[#This Row],[order_fulfillment_rate]]&gt;=0.8,"Moderate","Needs Attention"))</f>
        <v>Strong</v>
      </c>
      <c r="AE1394" t="str">
        <f>IF(WarehouseData[[#This Row],[picking_time_seconds]]&gt;120,"Slow",IF(WarehouseData[[#This Row],[picking_time_seconds]]&gt;=60,"Average","Fast"))</f>
        <v>Slow</v>
      </c>
    </row>
    <row r="1395" spans="1:31" x14ac:dyDescent="0.25">
      <c r="A1395" t="s">
        <v>1533</v>
      </c>
      <c r="B1395" t="s">
        <v>40</v>
      </c>
      <c r="C1395">
        <v>163</v>
      </c>
      <c r="D1395">
        <v>72</v>
      </c>
      <c r="E1395">
        <v>14</v>
      </c>
      <c r="F1395">
        <v>3</v>
      </c>
      <c r="G1395">
        <v>20.440000000000001</v>
      </c>
      <c r="H1395">
        <v>0.64</v>
      </c>
      <c r="I1395">
        <v>0.55000000000000004</v>
      </c>
      <c r="J1395" t="s">
        <v>377</v>
      </c>
      <c r="K1395" t="s">
        <v>38</v>
      </c>
      <c r="L1395">
        <v>91</v>
      </c>
      <c r="M1395">
        <v>4.2300000000000004</v>
      </c>
      <c r="N1395">
        <v>196.55</v>
      </c>
      <c r="O1395">
        <v>1.22</v>
      </c>
      <c r="P1395">
        <v>8</v>
      </c>
      <c r="Q1395">
        <v>0.82</v>
      </c>
      <c r="R1395">
        <v>465</v>
      </c>
      <c r="S1395">
        <v>6.86</v>
      </c>
      <c r="T1395">
        <v>0.92</v>
      </c>
      <c r="U1395" s="1">
        <v>45374</v>
      </c>
      <c r="V1395">
        <v>206.55</v>
      </c>
      <c r="W1395">
        <v>0.55700000000000005</v>
      </c>
      <c r="X1395" t="str">
        <f>IF(WarehouseData[[#This Row],[stock_level]]&lt;=WarehouseData[[#This Row],[reorder_point]],"Low Stock","Sufficient Stock")</f>
        <v>Sufficient Stock</v>
      </c>
      <c r="Y1395">
        <f>WarehouseData[[#This Row],[daily_demand]]*WarehouseData[[#This Row],[lead_time_days]]</f>
        <v>61.320000000000007</v>
      </c>
      <c r="Z1395" t="str">
        <f>IF(WarehouseData[[#This Row],[stock_level]]&lt;=WarehouseData[[#This Row],[Demand During Lead Time]],"At Risk","Safe")</f>
        <v>Safe</v>
      </c>
      <c r="AA1395">
        <f>WarehouseData[[#This Row],[stock_level]]/WarehouseData[[#This Row],[daily_demand]]</f>
        <v>7.9745596868884538</v>
      </c>
      <c r="AB1395">
        <f>WarehouseData[[#This Row],[stock_level]]*WarehouseData[[#This Row],[unit_price]]</f>
        <v>32037.65</v>
      </c>
      <c r="AC1395">
        <f>WarehouseData[[#This Row],[stock_level]]*WarehouseData[[#This Row],[holding_cost_per_unit_day]]*30</f>
        <v>5965.7999999999993</v>
      </c>
      <c r="AD1395" t="str">
        <f>IF(WarehouseData[[#This Row],[order_fulfillment_rate]]&gt;=0.9,"Strong",IF(WarehouseData[[#This Row],[order_fulfillment_rate]]&gt;=0.8,"Moderate","Needs Attention"))</f>
        <v>Moderate</v>
      </c>
      <c r="AE1395" t="str">
        <f>IF(WarehouseData[[#This Row],[picking_time_seconds]]&gt;120,"Slow",IF(WarehouseData[[#This Row],[picking_time_seconds]]&gt;=60,"Average","Fast"))</f>
        <v>Average</v>
      </c>
    </row>
    <row r="1396" spans="1:31" x14ac:dyDescent="0.25">
      <c r="A1396" t="s">
        <v>1534</v>
      </c>
      <c r="B1396" t="s">
        <v>48</v>
      </c>
      <c r="C1396">
        <v>44</v>
      </c>
      <c r="D1396">
        <v>87</v>
      </c>
      <c r="E1396">
        <v>5</v>
      </c>
      <c r="F1396">
        <v>5</v>
      </c>
      <c r="G1396">
        <v>21.39</v>
      </c>
      <c r="H1396">
        <v>7.46</v>
      </c>
      <c r="I1396">
        <v>0.94</v>
      </c>
      <c r="J1396" t="s">
        <v>126</v>
      </c>
      <c r="K1396" t="s">
        <v>38</v>
      </c>
      <c r="L1396">
        <v>97</v>
      </c>
      <c r="M1396">
        <v>2.27</v>
      </c>
      <c r="N1396">
        <v>159.69999999999999</v>
      </c>
      <c r="O1396">
        <v>0.61</v>
      </c>
      <c r="P1396">
        <v>4</v>
      </c>
      <c r="Q1396">
        <v>0.74</v>
      </c>
      <c r="R1396">
        <v>975</v>
      </c>
      <c r="S1396">
        <v>13.07</v>
      </c>
      <c r="T1396">
        <v>0.62</v>
      </c>
      <c r="U1396" s="1">
        <v>45330</v>
      </c>
      <c r="V1396">
        <v>257.06</v>
      </c>
      <c r="W1396">
        <v>0.70499999999999996</v>
      </c>
      <c r="X1396" t="str">
        <f>IF(WarehouseData[[#This Row],[stock_level]]&lt;=WarehouseData[[#This Row],[reorder_point]],"Low Stock","Sufficient Stock")</f>
        <v>Low Stock</v>
      </c>
      <c r="Y1396">
        <f>WarehouseData[[#This Row],[daily_demand]]*WarehouseData[[#This Row],[lead_time_days]]</f>
        <v>106.95</v>
      </c>
      <c r="Z1396" t="str">
        <f>IF(WarehouseData[[#This Row],[stock_level]]&lt;=WarehouseData[[#This Row],[Demand During Lead Time]],"At Risk","Safe")</f>
        <v>At Risk</v>
      </c>
      <c r="AA1396">
        <f>WarehouseData[[#This Row],[stock_level]]/WarehouseData[[#This Row],[daily_demand]]</f>
        <v>2.0570359981299671</v>
      </c>
      <c r="AB1396">
        <f>WarehouseData[[#This Row],[stock_level]]*WarehouseData[[#This Row],[unit_price]]</f>
        <v>7026.7999999999993</v>
      </c>
      <c r="AC1396">
        <f>WarehouseData[[#This Row],[stock_level]]*WarehouseData[[#This Row],[holding_cost_per_unit_day]]*30</f>
        <v>805.2</v>
      </c>
      <c r="AD1396" t="str">
        <f>IF(WarehouseData[[#This Row],[order_fulfillment_rate]]&gt;=0.9,"Strong",IF(WarehouseData[[#This Row],[order_fulfillment_rate]]&gt;=0.8,"Moderate","Needs Attention"))</f>
        <v>Needs Attention</v>
      </c>
      <c r="AE1396" t="str">
        <f>IF(WarehouseData[[#This Row],[picking_time_seconds]]&gt;120,"Slow",IF(WarehouseData[[#This Row],[picking_time_seconds]]&gt;=60,"Average","Fast"))</f>
        <v>Average</v>
      </c>
    </row>
    <row r="1397" spans="1:31" x14ac:dyDescent="0.25">
      <c r="A1397" t="s">
        <v>1535</v>
      </c>
      <c r="B1397" t="s">
        <v>40</v>
      </c>
      <c r="C1397">
        <v>329</v>
      </c>
      <c r="D1397">
        <v>13</v>
      </c>
      <c r="E1397">
        <v>3</v>
      </c>
      <c r="F1397">
        <v>4</v>
      </c>
      <c r="G1397">
        <v>9.44</v>
      </c>
      <c r="H1397">
        <v>6.17</v>
      </c>
      <c r="I1397">
        <v>0.23</v>
      </c>
      <c r="J1397" t="s">
        <v>66</v>
      </c>
      <c r="K1397" t="s">
        <v>52</v>
      </c>
      <c r="L1397">
        <v>141</v>
      </c>
      <c r="M1397">
        <v>4.76</v>
      </c>
      <c r="N1397">
        <v>95.79</v>
      </c>
      <c r="O1397">
        <v>0.75</v>
      </c>
      <c r="P1397">
        <v>6</v>
      </c>
      <c r="Q1397">
        <v>0.97</v>
      </c>
      <c r="R1397">
        <v>902</v>
      </c>
      <c r="S1397">
        <v>12.14</v>
      </c>
      <c r="T1397">
        <v>0.68</v>
      </c>
      <c r="U1397" s="1">
        <v>45572</v>
      </c>
      <c r="V1397">
        <v>198.03</v>
      </c>
      <c r="W1397">
        <v>0.69699999999999995</v>
      </c>
      <c r="X1397" t="str">
        <f>IF(WarehouseData[[#This Row],[stock_level]]&lt;=WarehouseData[[#This Row],[reorder_point]],"Low Stock","Sufficient Stock")</f>
        <v>Sufficient Stock</v>
      </c>
      <c r="Y1397">
        <f>WarehouseData[[#This Row],[daily_demand]]*WarehouseData[[#This Row],[lead_time_days]]</f>
        <v>37.76</v>
      </c>
      <c r="Z1397" t="str">
        <f>IF(WarehouseData[[#This Row],[stock_level]]&lt;=WarehouseData[[#This Row],[Demand During Lead Time]],"At Risk","Safe")</f>
        <v>Safe</v>
      </c>
      <c r="AA1397">
        <f>WarehouseData[[#This Row],[stock_level]]/WarehouseData[[#This Row],[daily_demand]]</f>
        <v>34.851694915254242</v>
      </c>
      <c r="AB1397">
        <f>WarehouseData[[#This Row],[stock_level]]*WarehouseData[[#This Row],[unit_price]]</f>
        <v>31514.910000000003</v>
      </c>
      <c r="AC1397">
        <f>WarehouseData[[#This Row],[stock_level]]*WarehouseData[[#This Row],[holding_cost_per_unit_day]]*30</f>
        <v>7402.5</v>
      </c>
      <c r="AD1397" t="str">
        <f>IF(WarehouseData[[#This Row],[order_fulfillment_rate]]&gt;=0.9,"Strong",IF(WarehouseData[[#This Row],[order_fulfillment_rate]]&gt;=0.8,"Moderate","Needs Attention"))</f>
        <v>Strong</v>
      </c>
      <c r="AE1397" t="str">
        <f>IF(WarehouseData[[#This Row],[picking_time_seconds]]&gt;120,"Slow",IF(WarehouseData[[#This Row],[picking_time_seconds]]&gt;=60,"Average","Fast"))</f>
        <v>Slow</v>
      </c>
    </row>
    <row r="1398" spans="1:31" x14ac:dyDescent="0.25">
      <c r="A1398" t="s">
        <v>1536</v>
      </c>
      <c r="B1398" t="s">
        <v>48</v>
      </c>
      <c r="C1398">
        <v>175</v>
      </c>
      <c r="D1398">
        <v>50</v>
      </c>
      <c r="E1398">
        <v>6</v>
      </c>
      <c r="F1398">
        <v>4</v>
      </c>
      <c r="G1398">
        <v>6.68</v>
      </c>
      <c r="H1398">
        <v>3.77</v>
      </c>
      <c r="I1398">
        <v>0.48</v>
      </c>
      <c r="J1398" t="s">
        <v>316</v>
      </c>
      <c r="K1398" t="s">
        <v>52</v>
      </c>
      <c r="L1398">
        <v>114</v>
      </c>
      <c r="M1398">
        <v>3.55</v>
      </c>
      <c r="N1398">
        <v>138.49</v>
      </c>
      <c r="O1398">
        <v>0.13</v>
      </c>
      <c r="P1398">
        <v>4</v>
      </c>
      <c r="Q1398">
        <v>0.94</v>
      </c>
      <c r="R1398">
        <v>943</v>
      </c>
      <c r="S1398">
        <v>5.34</v>
      </c>
      <c r="T1398">
        <v>0.61</v>
      </c>
      <c r="U1398" s="1">
        <v>45339</v>
      </c>
      <c r="V1398">
        <v>85.54</v>
      </c>
      <c r="W1398">
        <v>0.68799999999999994</v>
      </c>
      <c r="X1398" t="str">
        <f>IF(WarehouseData[[#This Row],[stock_level]]&lt;=WarehouseData[[#This Row],[reorder_point]],"Low Stock","Sufficient Stock")</f>
        <v>Sufficient Stock</v>
      </c>
      <c r="Y1398">
        <f>WarehouseData[[#This Row],[daily_demand]]*WarehouseData[[#This Row],[lead_time_days]]</f>
        <v>26.72</v>
      </c>
      <c r="Z1398" t="str">
        <f>IF(WarehouseData[[#This Row],[stock_level]]&lt;=WarehouseData[[#This Row],[Demand During Lead Time]],"At Risk","Safe")</f>
        <v>Safe</v>
      </c>
      <c r="AA1398">
        <f>WarehouseData[[#This Row],[stock_level]]/WarehouseData[[#This Row],[daily_demand]]</f>
        <v>26.197604790419163</v>
      </c>
      <c r="AB1398">
        <f>WarehouseData[[#This Row],[stock_level]]*WarehouseData[[#This Row],[unit_price]]</f>
        <v>24235.75</v>
      </c>
      <c r="AC1398">
        <f>WarehouseData[[#This Row],[stock_level]]*WarehouseData[[#This Row],[holding_cost_per_unit_day]]*30</f>
        <v>682.5</v>
      </c>
      <c r="AD1398" t="str">
        <f>IF(WarehouseData[[#This Row],[order_fulfillment_rate]]&gt;=0.9,"Strong",IF(WarehouseData[[#This Row],[order_fulfillment_rate]]&gt;=0.8,"Moderate","Needs Attention"))</f>
        <v>Strong</v>
      </c>
      <c r="AE1398" t="str">
        <f>IF(WarehouseData[[#This Row],[picking_time_seconds]]&gt;120,"Slow",IF(WarehouseData[[#This Row],[picking_time_seconds]]&gt;=60,"Average","Fast"))</f>
        <v>Average</v>
      </c>
    </row>
    <row r="1399" spans="1:31" x14ac:dyDescent="0.25">
      <c r="A1399" t="s">
        <v>1537</v>
      </c>
      <c r="B1399" t="s">
        <v>48</v>
      </c>
      <c r="C1399">
        <v>92</v>
      </c>
      <c r="D1399">
        <v>54</v>
      </c>
      <c r="E1399">
        <v>8</v>
      </c>
      <c r="F1399">
        <v>7</v>
      </c>
      <c r="G1399">
        <v>29.36</v>
      </c>
      <c r="H1399">
        <v>3.17</v>
      </c>
      <c r="I1399">
        <v>0.92</v>
      </c>
      <c r="J1399" t="s">
        <v>33</v>
      </c>
      <c r="K1399" t="s">
        <v>34</v>
      </c>
      <c r="L1399">
        <v>76</v>
      </c>
      <c r="M1399">
        <v>3.88</v>
      </c>
      <c r="N1399">
        <v>157.41999999999999</v>
      </c>
      <c r="O1399">
        <v>1.72</v>
      </c>
      <c r="P1399">
        <v>1</v>
      </c>
      <c r="Q1399">
        <v>0.85</v>
      </c>
      <c r="R1399">
        <v>219</v>
      </c>
      <c r="S1399">
        <v>8.16</v>
      </c>
      <c r="T1399">
        <v>0.85</v>
      </c>
      <c r="U1399" s="1">
        <v>45465</v>
      </c>
      <c r="V1399">
        <v>32.130000000000003</v>
      </c>
      <c r="W1399">
        <v>0.65700000000000003</v>
      </c>
      <c r="X1399" t="str">
        <f>IF(WarehouseData[[#This Row],[stock_level]]&lt;=WarehouseData[[#This Row],[reorder_point]],"Low Stock","Sufficient Stock")</f>
        <v>Sufficient Stock</v>
      </c>
      <c r="Y1399">
        <f>WarehouseData[[#This Row],[daily_demand]]*WarehouseData[[#This Row],[lead_time_days]]</f>
        <v>205.51999999999998</v>
      </c>
      <c r="Z1399" t="str">
        <f>IF(WarehouseData[[#This Row],[stock_level]]&lt;=WarehouseData[[#This Row],[Demand During Lead Time]],"At Risk","Safe")</f>
        <v>At Risk</v>
      </c>
      <c r="AA1399">
        <f>WarehouseData[[#This Row],[stock_level]]/WarehouseData[[#This Row],[daily_demand]]</f>
        <v>3.1335149863760217</v>
      </c>
      <c r="AB1399">
        <f>WarehouseData[[#This Row],[stock_level]]*WarehouseData[[#This Row],[unit_price]]</f>
        <v>14482.64</v>
      </c>
      <c r="AC1399">
        <f>WarehouseData[[#This Row],[stock_level]]*WarehouseData[[#This Row],[holding_cost_per_unit_day]]*30</f>
        <v>4747.2000000000007</v>
      </c>
      <c r="AD1399" t="str">
        <f>IF(WarehouseData[[#This Row],[order_fulfillment_rate]]&gt;=0.9,"Strong",IF(WarehouseData[[#This Row],[order_fulfillment_rate]]&gt;=0.8,"Moderate","Needs Attention"))</f>
        <v>Moderate</v>
      </c>
      <c r="AE1399" t="str">
        <f>IF(WarehouseData[[#This Row],[picking_time_seconds]]&gt;120,"Slow",IF(WarehouseData[[#This Row],[picking_time_seconds]]&gt;=60,"Average","Fast"))</f>
        <v>Average</v>
      </c>
    </row>
    <row r="1400" spans="1:31" x14ac:dyDescent="0.25">
      <c r="A1400" t="s">
        <v>1538</v>
      </c>
      <c r="B1400" t="s">
        <v>73</v>
      </c>
      <c r="C1400">
        <v>139</v>
      </c>
      <c r="D1400">
        <v>59</v>
      </c>
      <c r="E1400">
        <v>5</v>
      </c>
      <c r="F1400">
        <v>4</v>
      </c>
      <c r="G1400">
        <v>18.850000000000001</v>
      </c>
      <c r="H1400">
        <v>1.2</v>
      </c>
      <c r="I1400">
        <v>0.41</v>
      </c>
      <c r="J1400" t="s">
        <v>68</v>
      </c>
      <c r="K1400" t="s">
        <v>52</v>
      </c>
      <c r="L1400">
        <v>127</v>
      </c>
      <c r="M1400">
        <v>3.56</v>
      </c>
      <c r="N1400">
        <v>61.24</v>
      </c>
      <c r="O1400">
        <v>1.54</v>
      </c>
      <c r="P1400">
        <v>7</v>
      </c>
      <c r="Q1400">
        <v>0.81</v>
      </c>
      <c r="R1400">
        <v>414</v>
      </c>
      <c r="S1400">
        <v>7.03</v>
      </c>
      <c r="T1400">
        <v>0.39</v>
      </c>
      <c r="U1400" s="1">
        <v>45596</v>
      </c>
      <c r="V1400">
        <v>30.09</v>
      </c>
      <c r="W1400">
        <v>0.44</v>
      </c>
      <c r="X1400" t="str">
        <f>IF(WarehouseData[[#This Row],[stock_level]]&lt;=WarehouseData[[#This Row],[reorder_point]],"Low Stock","Sufficient Stock")</f>
        <v>Sufficient Stock</v>
      </c>
      <c r="Y1400">
        <f>WarehouseData[[#This Row],[daily_demand]]*WarehouseData[[#This Row],[lead_time_days]]</f>
        <v>75.400000000000006</v>
      </c>
      <c r="Z1400" t="str">
        <f>IF(WarehouseData[[#This Row],[stock_level]]&lt;=WarehouseData[[#This Row],[Demand During Lead Time]],"At Risk","Safe")</f>
        <v>Safe</v>
      </c>
      <c r="AA1400">
        <f>WarehouseData[[#This Row],[stock_level]]/WarehouseData[[#This Row],[daily_demand]]</f>
        <v>7.3740053050397876</v>
      </c>
      <c r="AB1400">
        <f>WarehouseData[[#This Row],[stock_level]]*WarehouseData[[#This Row],[unit_price]]</f>
        <v>8512.36</v>
      </c>
      <c r="AC1400">
        <f>WarehouseData[[#This Row],[stock_level]]*WarehouseData[[#This Row],[holding_cost_per_unit_day]]*30</f>
        <v>6421.8</v>
      </c>
      <c r="AD1400" t="str">
        <f>IF(WarehouseData[[#This Row],[order_fulfillment_rate]]&gt;=0.9,"Strong",IF(WarehouseData[[#This Row],[order_fulfillment_rate]]&gt;=0.8,"Moderate","Needs Attention"))</f>
        <v>Moderate</v>
      </c>
      <c r="AE1400" t="str">
        <f>IF(WarehouseData[[#This Row],[picking_time_seconds]]&gt;120,"Slow",IF(WarehouseData[[#This Row],[picking_time_seconds]]&gt;=60,"Average","Fast"))</f>
        <v>Slow</v>
      </c>
    </row>
    <row r="1401" spans="1:31" x14ac:dyDescent="0.25">
      <c r="A1401" t="s">
        <v>1539</v>
      </c>
      <c r="B1401" t="s">
        <v>40</v>
      </c>
      <c r="C1401">
        <v>331</v>
      </c>
      <c r="D1401">
        <v>88</v>
      </c>
      <c r="E1401">
        <v>3</v>
      </c>
      <c r="F1401">
        <v>3</v>
      </c>
      <c r="G1401">
        <v>4.9400000000000004</v>
      </c>
      <c r="H1401">
        <v>9.44</v>
      </c>
      <c r="I1401">
        <v>0.79</v>
      </c>
      <c r="J1401" t="s">
        <v>207</v>
      </c>
      <c r="K1401" t="s">
        <v>46</v>
      </c>
      <c r="L1401">
        <v>39</v>
      </c>
      <c r="M1401">
        <v>3.91</v>
      </c>
      <c r="N1401">
        <v>21.4</v>
      </c>
      <c r="O1401">
        <v>0.45</v>
      </c>
      <c r="P1401">
        <v>8</v>
      </c>
      <c r="Q1401">
        <v>0.83</v>
      </c>
      <c r="R1401">
        <v>281</v>
      </c>
      <c r="S1401">
        <v>1.78</v>
      </c>
      <c r="T1401">
        <v>0.52</v>
      </c>
      <c r="U1401" s="1">
        <v>45606</v>
      </c>
      <c r="V1401">
        <v>187.17</v>
      </c>
      <c r="W1401">
        <v>0.48899999999999999</v>
      </c>
      <c r="X1401" t="str">
        <f>IF(WarehouseData[[#This Row],[stock_level]]&lt;=WarehouseData[[#This Row],[reorder_point]],"Low Stock","Sufficient Stock")</f>
        <v>Sufficient Stock</v>
      </c>
      <c r="Y1401">
        <f>WarehouseData[[#This Row],[daily_demand]]*WarehouseData[[#This Row],[lead_time_days]]</f>
        <v>14.82</v>
      </c>
      <c r="Z1401" t="str">
        <f>IF(WarehouseData[[#This Row],[stock_level]]&lt;=WarehouseData[[#This Row],[Demand During Lead Time]],"At Risk","Safe")</f>
        <v>Safe</v>
      </c>
      <c r="AA1401">
        <f>WarehouseData[[#This Row],[stock_level]]/WarehouseData[[#This Row],[daily_demand]]</f>
        <v>67.004048582995949</v>
      </c>
      <c r="AB1401">
        <f>WarehouseData[[#This Row],[stock_level]]*WarehouseData[[#This Row],[unit_price]]</f>
        <v>7083.4</v>
      </c>
      <c r="AC1401">
        <f>WarehouseData[[#This Row],[stock_level]]*WarehouseData[[#This Row],[holding_cost_per_unit_day]]*30</f>
        <v>4468.5000000000009</v>
      </c>
      <c r="AD1401" t="str">
        <f>IF(WarehouseData[[#This Row],[order_fulfillment_rate]]&gt;=0.9,"Strong",IF(WarehouseData[[#This Row],[order_fulfillment_rate]]&gt;=0.8,"Moderate","Needs Attention"))</f>
        <v>Moderate</v>
      </c>
      <c r="AE1401" t="str">
        <f>IF(WarehouseData[[#This Row],[picking_time_seconds]]&gt;120,"Slow",IF(WarehouseData[[#This Row],[picking_time_seconds]]&gt;=60,"Average","Fast"))</f>
        <v>Fast</v>
      </c>
    </row>
    <row r="1402" spans="1:31" x14ac:dyDescent="0.25">
      <c r="A1402" t="s">
        <v>1540</v>
      </c>
      <c r="B1402" t="s">
        <v>40</v>
      </c>
      <c r="C1402">
        <v>340</v>
      </c>
      <c r="D1402">
        <v>37</v>
      </c>
      <c r="E1402">
        <v>8</v>
      </c>
      <c r="F1402">
        <v>6</v>
      </c>
      <c r="G1402">
        <v>44.46</v>
      </c>
      <c r="H1402">
        <v>5.19</v>
      </c>
      <c r="I1402">
        <v>0.45</v>
      </c>
      <c r="J1402" t="s">
        <v>283</v>
      </c>
      <c r="K1402" t="s">
        <v>34</v>
      </c>
      <c r="L1402">
        <v>120</v>
      </c>
      <c r="M1402">
        <v>1.27</v>
      </c>
      <c r="N1402">
        <v>87.11</v>
      </c>
      <c r="O1402">
        <v>0.79</v>
      </c>
      <c r="P1402">
        <v>1</v>
      </c>
      <c r="Q1402">
        <v>0.97</v>
      </c>
      <c r="R1402">
        <v>669</v>
      </c>
      <c r="S1402">
        <v>11.47</v>
      </c>
      <c r="T1402">
        <v>0.92</v>
      </c>
      <c r="U1402" s="1">
        <v>45539</v>
      </c>
      <c r="V1402">
        <v>286.47000000000003</v>
      </c>
      <c r="W1402">
        <v>0.83199999999999996</v>
      </c>
      <c r="X1402" t="str">
        <f>IF(WarehouseData[[#This Row],[stock_level]]&lt;=WarehouseData[[#This Row],[reorder_point]],"Low Stock","Sufficient Stock")</f>
        <v>Sufficient Stock</v>
      </c>
      <c r="Y1402">
        <f>WarehouseData[[#This Row],[daily_demand]]*WarehouseData[[#This Row],[lead_time_days]]</f>
        <v>266.76</v>
      </c>
      <c r="Z1402" t="str">
        <f>IF(WarehouseData[[#This Row],[stock_level]]&lt;=WarehouseData[[#This Row],[Demand During Lead Time]],"At Risk","Safe")</f>
        <v>Safe</v>
      </c>
      <c r="AA1402">
        <f>WarehouseData[[#This Row],[stock_level]]/WarehouseData[[#This Row],[daily_demand]]</f>
        <v>7.6473234367971212</v>
      </c>
      <c r="AB1402">
        <f>WarehouseData[[#This Row],[stock_level]]*WarehouseData[[#This Row],[unit_price]]</f>
        <v>29617.4</v>
      </c>
      <c r="AC1402">
        <f>WarehouseData[[#This Row],[stock_level]]*WarehouseData[[#This Row],[holding_cost_per_unit_day]]*30</f>
        <v>8058.0000000000009</v>
      </c>
      <c r="AD1402" t="str">
        <f>IF(WarehouseData[[#This Row],[order_fulfillment_rate]]&gt;=0.9,"Strong",IF(WarehouseData[[#This Row],[order_fulfillment_rate]]&gt;=0.8,"Moderate","Needs Attention"))</f>
        <v>Strong</v>
      </c>
      <c r="AE1402" t="str">
        <f>IF(WarehouseData[[#This Row],[picking_time_seconds]]&gt;120,"Slow",IF(WarehouseData[[#This Row],[picking_time_seconds]]&gt;=60,"Average","Fast"))</f>
        <v>Average</v>
      </c>
    </row>
    <row r="1403" spans="1:31" x14ac:dyDescent="0.25">
      <c r="A1403" t="s">
        <v>1541</v>
      </c>
      <c r="B1403" t="s">
        <v>36</v>
      </c>
      <c r="C1403">
        <v>112</v>
      </c>
      <c r="D1403">
        <v>51</v>
      </c>
      <c r="E1403">
        <v>3</v>
      </c>
      <c r="F1403">
        <v>5</v>
      </c>
      <c r="G1403">
        <v>10.72</v>
      </c>
      <c r="H1403">
        <v>1.31</v>
      </c>
      <c r="I1403">
        <v>0.82</v>
      </c>
      <c r="J1403" t="s">
        <v>135</v>
      </c>
      <c r="K1403" t="s">
        <v>34</v>
      </c>
      <c r="L1403">
        <v>153</v>
      </c>
      <c r="M1403">
        <v>3.03</v>
      </c>
      <c r="N1403">
        <v>37.49</v>
      </c>
      <c r="O1403">
        <v>0.9</v>
      </c>
      <c r="P1403">
        <v>1</v>
      </c>
      <c r="Q1403">
        <v>0.76</v>
      </c>
      <c r="R1403">
        <v>377</v>
      </c>
      <c r="S1403">
        <v>3.54</v>
      </c>
      <c r="T1403">
        <v>0.78</v>
      </c>
      <c r="U1403" s="1">
        <v>45652</v>
      </c>
      <c r="V1403">
        <v>211.63</v>
      </c>
      <c r="W1403">
        <v>0.64500000000000002</v>
      </c>
      <c r="X1403" t="str">
        <f>IF(WarehouseData[[#This Row],[stock_level]]&lt;=WarehouseData[[#This Row],[reorder_point]],"Low Stock","Sufficient Stock")</f>
        <v>Sufficient Stock</v>
      </c>
      <c r="Y1403">
        <f>WarehouseData[[#This Row],[daily_demand]]*WarehouseData[[#This Row],[lead_time_days]]</f>
        <v>53.6</v>
      </c>
      <c r="Z1403" t="str">
        <f>IF(WarehouseData[[#This Row],[stock_level]]&lt;=WarehouseData[[#This Row],[Demand During Lead Time]],"At Risk","Safe")</f>
        <v>Safe</v>
      </c>
      <c r="AA1403">
        <f>WarehouseData[[#This Row],[stock_level]]/WarehouseData[[#This Row],[daily_demand]]</f>
        <v>10.44776119402985</v>
      </c>
      <c r="AB1403">
        <f>WarehouseData[[#This Row],[stock_level]]*WarehouseData[[#This Row],[unit_price]]</f>
        <v>4198.88</v>
      </c>
      <c r="AC1403">
        <f>WarehouseData[[#This Row],[stock_level]]*WarehouseData[[#This Row],[holding_cost_per_unit_day]]*30</f>
        <v>3024</v>
      </c>
      <c r="AD1403" t="str">
        <f>IF(WarehouseData[[#This Row],[order_fulfillment_rate]]&gt;=0.9,"Strong",IF(WarehouseData[[#This Row],[order_fulfillment_rate]]&gt;=0.8,"Moderate","Needs Attention"))</f>
        <v>Needs Attention</v>
      </c>
      <c r="AE1403" t="str">
        <f>IF(WarehouseData[[#This Row],[picking_time_seconds]]&gt;120,"Slow",IF(WarehouseData[[#This Row],[picking_time_seconds]]&gt;=60,"Average","Fast"))</f>
        <v>Slow</v>
      </c>
    </row>
    <row r="1404" spans="1:31" x14ac:dyDescent="0.25">
      <c r="A1404" t="s">
        <v>1542</v>
      </c>
      <c r="B1404" t="s">
        <v>36</v>
      </c>
      <c r="C1404">
        <v>105</v>
      </c>
      <c r="D1404">
        <v>89</v>
      </c>
      <c r="E1404">
        <v>11</v>
      </c>
      <c r="F1404">
        <v>8</v>
      </c>
      <c r="G1404">
        <v>37.68</v>
      </c>
      <c r="H1404">
        <v>8.75</v>
      </c>
      <c r="I1404">
        <v>0.98</v>
      </c>
      <c r="J1404" t="s">
        <v>316</v>
      </c>
      <c r="K1404" t="s">
        <v>38</v>
      </c>
      <c r="L1404">
        <v>48</v>
      </c>
      <c r="M1404">
        <v>4.32</v>
      </c>
      <c r="N1404">
        <v>62.68</v>
      </c>
      <c r="O1404">
        <v>0.74</v>
      </c>
      <c r="P1404">
        <v>3</v>
      </c>
      <c r="Q1404">
        <v>0.94</v>
      </c>
      <c r="R1404">
        <v>282</v>
      </c>
      <c r="S1404">
        <v>14.08</v>
      </c>
      <c r="T1404">
        <v>0.46</v>
      </c>
      <c r="U1404" s="1">
        <v>45307</v>
      </c>
      <c r="V1404">
        <v>221.88</v>
      </c>
      <c r="W1404">
        <v>0.73399999999999999</v>
      </c>
      <c r="X1404" t="str">
        <f>IF(WarehouseData[[#This Row],[stock_level]]&lt;=WarehouseData[[#This Row],[reorder_point]],"Low Stock","Sufficient Stock")</f>
        <v>Sufficient Stock</v>
      </c>
      <c r="Y1404">
        <f>WarehouseData[[#This Row],[daily_demand]]*WarehouseData[[#This Row],[lead_time_days]]</f>
        <v>301.44</v>
      </c>
      <c r="Z1404" t="str">
        <f>IF(WarehouseData[[#This Row],[stock_level]]&lt;=WarehouseData[[#This Row],[Demand During Lead Time]],"At Risk","Safe")</f>
        <v>At Risk</v>
      </c>
      <c r="AA1404">
        <f>WarehouseData[[#This Row],[stock_level]]/WarehouseData[[#This Row],[daily_demand]]</f>
        <v>2.7866242038216562</v>
      </c>
      <c r="AB1404">
        <f>WarehouseData[[#This Row],[stock_level]]*WarehouseData[[#This Row],[unit_price]]</f>
        <v>6581.4</v>
      </c>
      <c r="AC1404">
        <f>WarehouseData[[#This Row],[stock_level]]*WarehouseData[[#This Row],[holding_cost_per_unit_day]]*30</f>
        <v>2331</v>
      </c>
      <c r="AD1404" t="str">
        <f>IF(WarehouseData[[#This Row],[order_fulfillment_rate]]&gt;=0.9,"Strong",IF(WarehouseData[[#This Row],[order_fulfillment_rate]]&gt;=0.8,"Moderate","Needs Attention"))</f>
        <v>Strong</v>
      </c>
      <c r="AE1404" t="str">
        <f>IF(WarehouseData[[#This Row],[picking_time_seconds]]&gt;120,"Slow",IF(WarehouseData[[#This Row],[picking_time_seconds]]&gt;=60,"Average","Fast"))</f>
        <v>Fast</v>
      </c>
    </row>
    <row r="1405" spans="1:31" x14ac:dyDescent="0.25">
      <c r="A1405" t="s">
        <v>1543</v>
      </c>
      <c r="B1405" t="s">
        <v>73</v>
      </c>
      <c r="C1405">
        <v>355</v>
      </c>
      <c r="D1405">
        <v>85</v>
      </c>
      <c r="E1405">
        <v>13</v>
      </c>
      <c r="F1405">
        <v>2</v>
      </c>
      <c r="G1405">
        <v>14.83</v>
      </c>
      <c r="H1405">
        <v>3.15</v>
      </c>
      <c r="I1405">
        <v>0.45</v>
      </c>
      <c r="J1405" t="s">
        <v>86</v>
      </c>
      <c r="K1405" t="s">
        <v>38</v>
      </c>
      <c r="L1405">
        <v>95</v>
      </c>
      <c r="M1405">
        <v>0.59</v>
      </c>
      <c r="N1405">
        <v>189.9</v>
      </c>
      <c r="O1405">
        <v>1.62</v>
      </c>
      <c r="P1405">
        <v>7</v>
      </c>
      <c r="Q1405">
        <v>0.71</v>
      </c>
      <c r="R1405">
        <v>731</v>
      </c>
      <c r="S1405">
        <v>6.57</v>
      </c>
      <c r="T1405">
        <v>0.87</v>
      </c>
      <c r="U1405" s="1">
        <v>45512</v>
      </c>
      <c r="V1405">
        <v>105.5</v>
      </c>
      <c r="W1405">
        <v>0.502</v>
      </c>
      <c r="X1405" t="str">
        <f>IF(WarehouseData[[#This Row],[stock_level]]&lt;=WarehouseData[[#This Row],[reorder_point]],"Low Stock","Sufficient Stock")</f>
        <v>Sufficient Stock</v>
      </c>
      <c r="Y1405">
        <f>WarehouseData[[#This Row],[daily_demand]]*WarehouseData[[#This Row],[lead_time_days]]</f>
        <v>29.66</v>
      </c>
      <c r="Z1405" t="str">
        <f>IF(WarehouseData[[#This Row],[stock_level]]&lt;=WarehouseData[[#This Row],[Demand During Lead Time]],"At Risk","Safe")</f>
        <v>Safe</v>
      </c>
      <c r="AA1405">
        <f>WarehouseData[[#This Row],[stock_level]]/WarehouseData[[#This Row],[daily_demand]]</f>
        <v>23.937963587322994</v>
      </c>
      <c r="AB1405">
        <f>WarehouseData[[#This Row],[stock_level]]*WarehouseData[[#This Row],[unit_price]]</f>
        <v>67414.5</v>
      </c>
      <c r="AC1405">
        <f>WarehouseData[[#This Row],[stock_level]]*WarehouseData[[#This Row],[holding_cost_per_unit_day]]*30</f>
        <v>17253</v>
      </c>
      <c r="AD1405" t="str">
        <f>IF(WarehouseData[[#This Row],[order_fulfillment_rate]]&gt;=0.9,"Strong",IF(WarehouseData[[#This Row],[order_fulfillment_rate]]&gt;=0.8,"Moderate","Needs Attention"))</f>
        <v>Needs Attention</v>
      </c>
      <c r="AE1405" t="str">
        <f>IF(WarehouseData[[#This Row],[picking_time_seconds]]&gt;120,"Slow",IF(WarehouseData[[#This Row],[picking_time_seconds]]&gt;=60,"Average","Fast"))</f>
        <v>Average</v>
      </c>
    </row>
    <row r="1406" spans="1:31" x14ac:dyDescent="0.25">
      <c r="A1406" t="s">
        <v>1544</v>
      </c>
      <c r="B1406" t="s">
        <v>73</v>
      </c>
      <c r="C1406">
        <v>444</v>
      </c>
      <c r="D1406">
        <v>78</v>
      </c>
      <c r="E1406">
        <v>14</v>
      </c>
      <c r="F1406">
        <v>4</v>
      </c>
      <c r="G1406">
        <v>40.83</v>
      </c>
      <c r="H1406">
        <v>2.4300000000000002</v>
      </c>
      <c r="I1406">
        <v>0.86</v>
      </c>
      <c r="J1406" t="s">
        <v>276</v>
      </c>
      <c r="K1406" t="s">
        <v>46</v>
      </c>
      <c r="L1406">
        <v>50</v>
      </c>
      <c r="M1406">
        <v>1.06</v>
      </c>
      <c r="N1406">
        <v>170.95</v>
      </c>
      <c r="O1406">
        <v>1.48</v>
      </c>
      <c r="P1406">
        <v>4</v>
      </c>
      <c r="Q1406">
        <v>0.98</v>
      </c>
      <c r="R1406">
        <v>696</v>
      </c>
      <c r="S1406">
        <v>9.7100000000000009</v>
      </c>
      <c r="T1406">
        <v>0.39</v>
      </c>
      <c r="U1406" s="1">
        <v>45626</v>
      </c>
      <c r="V1406">
        <v>179.95</v>
      </c>
      <c r="W1406">
        <v>0.57499999999999996</v>
      </c>
      <c r="X1406" t="str">
        <f>IF(WarehouseData[[#This Row],[stock_level]]&lt;=WarehouseData[[#This Row],[reorder_point]],"Low Stock","Sufficient Stock")</f>
        <v>Sufficient Stock</v>
      </c>
      <c r="Y1406">
        <f>WarehouseData[[#This Row],[daily_demand]]*WarehouseData[[#This Row],[lead_time_days]]</f>
        <v>163.32</v>
      </c>
      <c r="Z1406" t="str">
        <f>IF(WarehouseData[[#This Row],[stock_level]]&lt;=WarehouseData[[#This Row],[Demand During Lead Time]],"At Risk","Safe")</f>
        <v>Safe</v>
      </c>
      <c r="AA1406">
        <f>WarehouseData[[#This Row],[stock_level]]/WarehouseData[[#This Row],[daily_demand]]</f>
        <v>10.874357090374724</v>
      </c>
      <c r="AB1406">
        <f>WarehouseData[[#This Row],[stock_level]]*WarehouseData[[#This Row],[unit_price]]</f>
        <v>75901.799999999988</v>
      </c>
      <c r="AC1406">
        <f>WarehouseData[[#This Row],[stock_level]]*WarehouseData[[#This Row],[holding_cost_per_unit_day]]*30</f>
        <v>19713.599999999999</v>
      </c>
      <c r="AD1406" t="str">
        <f>IF(WarehouseData[[#This Row],[order_fulfillment_rate]]&gt;=0.9,"Strong",IF(WarehouseData[[#This Row],[order_fulfillment_rate]]&gt;=0.8,"Moderate","Needs Attention"))</f>
        <v>Strong</v>
      </c>
      <c r="AE1406" t="str">
        <f>IF(WarehouseData[[#This Row],[picking_time_seconds]]&gt;120,"Slow",IF(WarehouseData[[#This Row],[picking_time_seconds]]&gt;=60,"Average","Fast"))</f>
        <v>Fast</v>
      </c>
    </row>
    <row r="1407" spans="1:31" x14ac:dyDescent="0.25">
      <c r="A1407" t="s">
        <v>1545</v>
      </c>
      <c r="B1407" t="s">
        <v>32</v>
      </c>
      <c r="C1407">
        <v>383</v>
      </c>
      <c r="D1407">
        <v>10</v>
      </c>
      <c r="E1407">
        <v>3</v>
      </c>
      <c r="F1407">
        <v>4</v>
      </c>
      <c r="G1407">
        <v>6.8</v>
      </c>
      <c r="H1407">
        <v>3.17</v>
      </c>
      <c r="I1407">
        <v>0.99</v>
      </c>
      <c r="J1407" t="s">
        <v>466</v>
      </c>
      <c r="K1407" t="s">
        <v>38</v>
      </c>
      <c r="L1407">
        <v>40</v>
      </c>
      <c r="M1407">
        <v>1.61</v>
      </c>
      <c r="N1407">
        <v>122.57</v>
      </c>
      <c r="O1407">
        <v>1.56</v>
      </c>
      <c r="P1407">
        <v>4</v>
      </c>
      <c r="Q1407">
        <v>0.85</v>
      </c>
      <c r="R1407">
        <v>692</v>
      </c>
      <c r="S1407">
        <v>12.46</v>
      </c>
      <c r="T1407">
        <v>0.71</v>
      </c>
      <c r="U1407" s="1">
        <v>45376</v>
      </c>
      <c r="V1407">
        <v>101.81</v>
      </c>
      <c r="W1407">
        <v>0.64200000000000002</v>
      </c>
      <c r="X1407" t="str">
        <f>IF(WarehouseData[[#This Row],[stock_level]]&lt;=WarehouseData[[#This Row],[reorder_point]],"Low Stock","Sufficient Stock")</f>
        <v>Sufficient Stock</v>
      </c>
      <c r="Y1407">
        <f>WarehouseData[[#This Row],[daily_demand]]*WarehouseData[[#This Row],[lead_time_days]]</f>
        <v>27.2</v>
      </c>
      <c r="Z1407" t="str">
        <f>IF(WarehouseData[[#This Row],[stock_level]]&lt;=WarehouseData[[#This Row],[Demand During Lead Time]],"At Risk","Safe")</f>
        <v>Safe</v>
      </c>
      <c r="AA1407">
        <f>WarehouseData[[#This Row],[stock_level]]/WarehouseData[[#This Row],[daily_demand]]</f>
        <v>56.32352941176471</v>
      </c>
      <c r="AB1407">
        <f>WarehouseData[[#This Row],[stock_level]]*WarehouseData[[#This Row],[unit_price]]</f>
        <v>46944.31</v>
      </c>
      <c r="AC1407">
        <f>WarehouseData[[#This Row],[stock_level]]*WarehouseData[[#This Row],[holding_cost_per_unit_day]]*30</f>
        <v>17924.400000000001</v>
      </c>
      <c r="AD1407" t="str">
        <f>IF(WarehouseData[[#This Row],[order_fulfillment_rate]]&gt;=0.9,"Strong",IF(WarehouseData[[#This Row],[order_fulfillment_rate]]&gt;=0.8,"Moderate","Needs Attention"))</f>
        <v>Moderate</v>
      </c>
      <c r="AE1407" t="str">
        <f>IF(WarehouseData[[#This Row],[picking_time_seconds]]&gt;120,"Slow",IF(WarehouseData[[#This Row],[picking_time_seconds]]&gt;=60,"Average","Fast"))</f>
        <v>Fast</v>
      </c>
    </row>
    <row r="1408" spans="1:31" x14ac:dyDescent="0.25">
      <c r="A1408" t="s">
        <v>1546</v>
      </c>
      <c r="B1408" t="s">
        <v>36</v>
      </c>
      <c r="C1408">
        <v>454</v>
      </c>
      <c r="D1408">
        <v>48</v>
      </c>
      <c r="E1408">
        <v>8</v>
      </c>
      <c r="F1408">
        <v>2</v>
      </c>
      <c r="G1408">
        <v>38.049999999999997</v>
      </c>
      <c r="H1408">
        <v>5.86</v>
      </c>
      <c r="I1408">
        <v>0.99</v>
      </c>
      <c r="J1408" t="s">
        <v>57</v>
      </c>
      <c r="K1408" t="s">
        <v>52</v>
      </c>
      <c r="L1408">
        <v>150</v>
      </c>
      <c r="M1408">
        <v>1.83</v>
      </c>
      <c r="N1408">
        <v>86.24</v>
      </c>
      <c r="O1408">
        <v>1.82</v>
      </c>
      <c r="P1408">
        <v>6</v>
      </c>
      <c r="Q1408">
        <v>0.77</v>
      </c>
      <c r="R1408">
        <v>86</v>
      </c>
      <c r="S1408">
        <v>3.52</v>
      </c>
      <c r="T1408">
        <v>0.97</v>
      </c>
      <c r="U1408" s="1">
        <v>45602</v>
      </c>
      <c r="V1408">
        <v>271.48</v>
      </c>
      <c r="W1408">
        <v>0.49299999999999999</v>
      </c>
      <c r="X1408" t="str">
        <f>IF(WarehouseData[[#This Row],[stock_level]]&lt;=WarehouseData[[#This Row],[reorder_point]],"Low Stock","Sufficient Stock")</f>
        <v>Sufficient Stock</v>
      </c>
      <c r="Y1408">
        <f>WarehouseData[[#This Row],[daily_demand]]*WarehouseData[[#This Row],[lead_time_days]]</f>
        <v>76.099999999999994</v>
      </c>
      <c r="Z1408" t="str">
        <f>IF(WarehouseData[[#This Row],[stock_level]]&lt;=WarehouseData[[#This Row],[Demand During Lead Time]],"At Risk","Safe")</f>
        <v>Safe</v>
      </c>
      <c r="AA1408">
        <f>WarehouseData[[#This Row],[stock_level]]/WarehouseData[[#This Row],[daily_demand]]</f>
        <v>11.931668856767413</v>
      </c>
      <c r="AB1408">
        <f>WarehouseData[[#This Row],[stock_level]]*WarehouseData[[#This Row],[unit_price]]</f>
        <v>39152.959999999999</v>
      </c>
      <c r="AC1408">
        <f>WarehouseData[[#This Row],[stock_level]]*WarehouseData[[#This Row],[holding_cost_per_unit_day]]*30</f>
        <v>24788.399999999998</v>
      </c>
      <c r="AD1408" t="str">
        <f>IF(WarehouseData[[#This Row],[order_fulfillment_rate]]&gt;=0.9,"Strong",IF(WarehouseData[[#This Row],[order_fulfillment_rate]]&gt;=0.8,"Moderate","Needs Attention"))</f>
        <v>Needs Attention</v>
      </c>
      <c r="AE1408" t="str">
        <f>IF(WarehouseData[[#This Row],[picking_time_seconds]]&gt;120,"Slow",IF(WarehouseData[[#This Row],[picking_time_seconds]]&gt;=60,"Average","Fast"))</f>
        <v>Slow</v>
      </c>
    </row>
    <row r="1409" spans="1:31" x14ac:dyDescent="0.25">
      <c r="A1409" t="s">
        <v>1547</v>
      </c>
      <c r="B1409" t="s">
        <v>48</v>
      </c>
      <c r="C1409">
        <v>137</v>
      </c>
      <c r="D1409">
        <v>99</v>
      </c>
      <c r="E1409">
        <v>3</v>
      </c>
      <c r="F1409">
        <v>8</v>
      </c>
      <c r="G1409">
        <v>5.81</v>
      </c>
      <c r="H1409">
        <v>1.2</v>
      </c>
      <c r="I1409">
        <v>0.49</v>
      </c>
      <c r="J1409" t="s">
        <v>340</v>
      </c>
      <c r="K1409" t="s">
        <v>52</v>
      </c>
      <c r="L1409">
        <v>178</v>
      </c>
      <c r="M1409">
        <v>1.32</v>
      </c>
      <c r="N1409">
        <v>60.22</v>
      </c>
      <c r="O1409">
        <v>1.23</v>
      </c>
      <c r="P1409">
        <v>3</v>
      </c>
      <c r="Q1409">
        <v>0.7</v>
      </c>
      <c r="R1409">
        <v>820</v>
      </c>
      <c r="S1409">
        <v>8.58</v>
      </c>
      <c r="T1409">
        <v>0.66</v>
      </c>
      <c r="U1409" s="1">
        <v>45514</v>
      </c>
      <c r="V1409">
        <v>48.43</v>
      </c>
      <c r="W1409">
        <v>0.60299999999999998</v>
      </c>
      <c r="X1409" t="str">
        <f>IF(WarehouseData[[#This Row],[stock_level]]&lt;=WarehouseData[[#This Row],[reorder_point]],"Low Stock","Sufficient Stock")</f>
        <v>Sufficient Stock</v>
      </c>
      <c r="Y1409">
        <f>WarehouseData[[#This Row],[daily_demand]]*WarehouseData[[#This Row],[lead_time_days]]</f>
        <v>46.48</v>
      </c>
      <c r="Z1409" t="str">
        <f>IF(WarehouseData[[#This Row],[stock_level]]&lt;=WarehouseData[[#This Row],[Demand During Lead Time]],"At Risk","Safe")</f>
        <v>Safe</v>
      </c>
      <c r="AA1409">
        <f>WarehouseData[[#This Row],[stock_level]]/WarehouseData[[#This Row],[daily_demand]]</f>
        <v>23.58003442340792</v>
      </c>
      <c r="AB1409">
        <f>WarehouseData[[#This Row],[stock_level]]*WarehouseData[[#This Row],[unit_price]]</f>
        <v>8250.14</v>
      </c>
      <c r="AC1409">
        <f>WarehouseData[[#This Row],[stock_level]]*WarehouseData[[#This Row],[holding_cost_per_unit_day]]*30</f>
        <v>5055.2999999999993</v>
      </c>
      <c r="AD1409" t="str">
        <f>IF(WarehouseData[[#This Row],[order_fulfillment_rate]]&gt;=0.9,"Strong",IF(WarehouseData[[#This Row],[order_fulfillment_rate]]&gt;=0.8,"Moderate","Needs Attention"))</f>
        <v>Needs Attention</v>
      </c>
      <c r="AE1409" t="str">
        <f>IF(WarehouseData[[#This Row],[picking_time_seconds]]&gt;120,"Slow",IF(WarehouseData[[#This Row],[picking_time_seconds]]&gt;=60,"Average","Fast"))</f>
        <v>Slow</v>
      </c>
    </row>
    <row r="1410" spans="1:31" x14ac:dyDescent="0.25">
      <c r="A1410" t="s">
        <v>1548</v>
      </c>
      <c r="B1410" t="s">
        <v>40</v>
      </c>
      <c r="C1410">
        <v>252</v>
      </c>
      <c r="D1410">
        <v>26</v>
      </c>
      <c r="E1410">
        <v>14</v>
      </c>
      <c r="F1410">
        <v>8</v>
      </c>
      <c r="G1410">
        <v>22.9</v>
      </c>
      <c r="H1410">
        <v>5.08</v>
      </c>
      <c r="I1410">
        <v>0.54</v>
      </c>
      <c r="J1410" t="s">
        <v>120</v>
      </c>
      <c r="K1410" t="s">
        <v>38</v>
      </c>
      <c r="L1410">
        <v>165</v>
      </c>
      <c r="M1410">
        <v>3.31</v>
      </c>
      <c r="N1410">
        <v>118.58</v>
      </c>
      <c r="O1410">
        <v>1.27</v>
      </c>
      <c r="P1410">
        <v>8</v>
      </c>
      <c r="Q1410">
        <v>0.87</v>
      </c>
      <c r="R1410">
        <v>451</v>
      </c>
      <c r="S1410">
        <v>4.32</v>
      </c>
      <c r="T1410">
        <v>0.84</v>
      </c>
      <c r="U1410" s="1">
        <v>45372</v>
      </c>
      <c r="V1410">
        <v>193.29</v>
      </c>
      <c r="W1410">
        <v>0.51300000000000001</v>
      </c>
      <c r="X1410" t="str">
        <f>IF(WarehouseData[[#This Row],[stock_level]]&lt;=WarehouseData[[#This Row],[reorder_point]],"Low Stock","Sufficient Stock")</f>
        <v>Sufficient Stock</v>
      </c>
      <c r="Y1410">
        <f>WarehouseData[[#This Row],[daily_demand]]*WarehouseData[[#This Row],[lead_time_days]]</f>
        <v>183.2</v>
      </c>
      <c r="Z1410" t="str">
        <f>IF(WarehouseData[[#This Row],[stock_level]]&lt;=WarehouseData[[#This Row],[Demand During Lead Time]],"At Risk","Safe")</f>
        <v>Safe</v>
      </c>
      <c r="AA1410">
        <f>WarehouseData[[#This Row],[stock_level]]/WarehouseData[[#This Row],[daily_demand]]</f>
        <v>11.004366812227074</v>
      </c>
      <c r="AB1410">
        <f>WarehouseData[[#This Row],[stock_level]]*WarehouseData[[#This Row],[unit_price]]</f>
        <v>29882.16</v>
      </c>
      <c r="AC1410">
        <f>WarehouseData[[#This Row],[stock_level]]*WarehouseData[[#This Row],[holding_cost_per_unit_day]]*30</f>
        <v>9601.2000000000007</v>
      </c>
      <c r="AD1410" t="str">
        <f>IF(WarehouseData[[#This Row],[order_fulfillment_rate]]&gt;=0.9,"Strong",IF(WarehouseData[[#This Row],[order_fulfillment_rate]]&gt;=0.8,"Moderate","Needs Attention"))</f>
        <v>Moderate</v>
      </c>
      <c r="AE1410" t="str">
        <f>IF(WarehouseData[[#This Row],[picking_time_seconds]]&gt;120,"Slow",IF(WarehouseData[[#This Row],[picking_time_seconds]]&gt;=60,"Average","Fast"))</f>
        <v>Slow</v>
      </c>
    </row>
    <row r="1411" spans="1:31" x14ac:dyDescent="0.25">
      <c r="A1411" t="s">
        <v>1549</v>
      </c>
      <c r="B1411" t="s">
        <v>73</v>
      </c>
      <c r="C1411">
        <v>218</v>
      </c>
      <c r="D1411">
        <v>97</v>
      </c>
      <c r="E1411">
        <v>9</v>
      </c>
      <c r="F1411">
        <v>2</v>
      </c>
      <c r="G1411">
        <v>36.97</v>
      </c>
      <c r="H1411">
        <v>9.01</v>
      </c>
      <c r="I1411">
        <v>0.37</v>
      </c>
      <c r="J1411" t="s">
        <v>154</v>
      </c>
      <c r="K1411" t="s">
        <v>38</v>
      </c>
      <c r="L1411">
        <v>136</v>
      </c>
      <c r="M1411">
        <v>1.82</v>
      </c>
      <c r="N1411">
        <v>111.3</v>
      </c>
      <c r="O1411">
        <v>1.47</v>
      </c>
      <c r="P1411">
        <v>3</v>
      </c>
      <c r="Q1411">
        <v>0.77</v>
      </c>
      <c r="R1411">
        <v>685</v>
      </c>
      <c r="S1411">
        <v>8.14</v>
      </c>
      <c r="T1411">
        <v>0.79</v>
      </c>
      <c r="U1411" s="1">
        <v>45319</v>
      </c>
      <c r="V1411">
        <v>221.95</v>
      </c>
      <c r="W1411">
        <v>0.61399999999999999</v>
      </c>
      <c r="X1411" t="str">
        <f>IF(WarehouseData[[#This Row],[stock_level]]&lt;=WarehouseData[[#This Row],[reorder_point]],"Low Stock","Sufficient Stock")</f>
        <v>Sufficient Stock</v>
      </c>
      <c r="Y1411">
        <f>WarehouseData[[#This Row],[daily_demand]]*WarehouseData[[#This Row],[lead_time_days]]</f>
        <v>73.94</v>
      </c>
      <c r="Z1411" t="str">
        <f>IF(WarehouseData[[#This Row],[stock_level]]&lt;=WarehouseData[[#This Row],[Demand During Lead Time]],"At Risk","Safe")</f>
        <v>Safe</v>
      </c>
      <c r="AA1411">
        <f>WarehouseData[[#This Row],[stock_level]]/WarehouseData[[#This Row],[daily_demand]]</f>
        <v>5.8966729780903435</v>
      </c>
      <c r="AB1411">
        <f>WarehouseData[[#This Row],[stock_level]]*WarehouseData[[#This Row],[unit_price]]</f>
        <v>24263.399999999998</v>
      </c>
      <c r="AC1411">
        <f>WarehouseData[[#This Row],[stock_level]]*WarehouseData[[#This Row],[holding_cost_per_unit_day]]*30</f>
        <v>9613.7999999999993</v>
      </c>
      <c r="AD1411" t="str">
        <f>IF(WarehouseData[[#This Row],[order_fulfillment_rate]]&gt;=0.9,"Strong",IF(WarehouseData[[#This Row],[order_fulfillment_rate]]&gt;=0.8,"Moderate","Needs Attention"))</f>
        <v>Needs Attention</v>
      </c>
      <c r="AE1411" t="str">
        <f>IF(WarehouseData[[#This Row],[picking_time_seconds]]&gt;120,"Slow",IF(WarehouseData[[#This Row],[picking_time_seconds]]&gt;=60,"Average","Fast"))</f>
        <v>Slow</v>
      </c>
    </row>
    <row r="1412" spans="1:31" x14ac:dyDescent="0.25">
      <c r="A1412" t="s">
        <v>1550</v>
      </c>
      <c r="B1412" t="s">
        <v>40</v>
      </c>
      <c r="C1412">
        <v>225</v>
      </c>
      <c r="D1412">
        <v>44</v>
      </c>
      <c r="E1412">
        <v>5</v>
      </c>
      <c r="F1412">
        <v>8</v>
      </c>
      <c r="G1412">
        <v>9.49</v>
      </c>
      <c r="H1412">
        <v>2.29</v>
      </c>
      <c r="I1412">
        <v>0.38</v>
      </c>
      <c r="J1412" t="s">
        <v>124</v>
      </c>
      <c r="K1412" t="s">
        <v>52</v>
      </c>
      <c r="L1412">
        <v>73</v>
      </c>
      <c r="M1412">
        <v>1.21</v>
      </c>
      <c r="N1412">
        <v>158.35</v>
      </c>
      <c r="O1412">
        <v>1.39</v>
      </c>
      <c r="P1412">
        <v>7</v>
      </c>
      <c r="Q1412">
        <v>0.89</v>
      </c>
      <c r="R1412">
        <v>475</v>
      </c>
      <c r="S1412">
        <v>9.11</v>
      </c>
      <c r="T1412">
        <v>0.89</v>
      </c>
      <c r="U1412" s="1">
        <v>45343</v>
      </c>
      <c r="V1412">
        <v>212.56</v>
      </c>
      <c r="W1412">
        <v>0.59799999999999998</v>
      </c>
      <c r="X1412" t="str">
        <f>IF(WarehouseData[[#This Row],[stock_level]]&lt;=WarehouseData[[#This Row],[reorder_point]],"Low Stock","Sufficient Stock")</f>
        <v>Sufficient Stock</v>
      </c>
      <c r="Y1412">
        <f>WarehouseData[[#This Row],[daily_demand]]*WarehouseData[[#This Row],[lead_time_days]]</f>
        <v>75.92</v>
      </c>
      <c r="Z1412" t="str">
        <f>IF(WarehouseData[[#This Row],[stock_level]]&lt;=WarehouseData[[#This Row],[Demand During Lead Time]],"At Risk","Safe")</f>
        <v>Safe</v>
      </c>
      <c r="AA1412">
        <f>WarehouseData[[#This Row],[stock_level]]/WarehouseData[[#This Row],[daily_demand]]</f>
        <v>23.709167544783984</v>
      </c>
      <c r="AB1412">
        <f>WarehouseData[[#This Row],[stock_level]]*WarehouseData[[#This Row],[unit_price]]</f>
        <v>35628.75</v>
      </c>
      <c r="AC1412">
        <f>WarehouseData[[#This Row],[stock_level]]*WarehouseData[[#This Row],[holding_cost_per_unit_day]]*30</f>
        <v>9382.5</v>
      </c>
      <c r="AD1412" t="str">
        <f>IF(WarehouseData[[#This Row],[order_fulfillment_rate]]&gt;=0.9,"Strong",IF(WarehouseData[[#This Row],[order_fulfillment_rate]]&gt;=0.8,"Moderate","Needs Attention"))</f>
        <v>Moderate</v>
      </c>
      <c r="AE1412" t="str">
        <f>IF(WarehouseData[[#This Row],[picking_time_seconds]]&gt;120,"Slow",IF(WarehouseData[[#This Row],[picking_time_seconds]]&gt;=60,"Average","Fast"))</f>
        <v>Average</v>
      </c>
    </row>
    <row r="1413" spans="1:31" x14ac:dyDescent="0.25">
      <c r="A1413" t="s">
        <v>1551</v>
      </c>
      <c r="B1413" t="s">
        <v>40</v>
      </c>
      <c r="C1413">
        <v>432</v>
      </c>
      <c r="D1413">
        <v>55</v>
      </c>
      <c r="E1413">
        <v>8</v>
      </c>
      <c r="F1413">
        <v>3</v>
      </c>
      <c r="G1413">
        <v>15</v>
      </c>
      <c r="H1413">
        <v>3.65</v>
      </c>
      <c r="I1413">
        <v>0.54</v>
      </c>
      <c r="J1413" t="s">
        <v>154</v>
      </c>
      <c r="K1413" t="s">
        <v>34</v>
      </c>
      <c r="L1413">
        <v>126</v>
      </c>
      <c r="M1413">
        <v>4.58</v>
      </c>
      <c r="N1413">
        <v>186.32</v>
      </c>
      <c r="O1413">
        <v>1.75</v>
      </c>
      <c r="P1413">
        <v>2</v>
      </c>
      <c r="Q1413">
        <v>0.78</v>
      </c>
      <c r="R1413">
        <v>954</v>
      </c>
      <c r="S1413">
        <v>3.37</v>
      </c>
      <c r="T1413">
        <v>0.98</v>
      </c>
      <c r="U1413" s="1">
        <v>45461</v>
      </c>
      <c r="V1413">
        <v>84.62</v>
      </c>
      <c r="W1413">
        <v>0.58199999999999996</v>
      </c>
      <c r="X1413" t="str">
        <f>IF(WarehouseData[[#This Row],[stock_level]]&lt;=WarehouseData[[#This Row],[reorder_point]],"Low Stock","Sufficient Stock")</f>
        <v>Sufficient Stock</v>
      </c>
      <c r="Y1413">
        <f>WarehouseData[[#This Row],[daily_demand]]*WarehouseData[[#This Row],[lead_time_days]]</f>
        <v>45</v>
      </c>
      <c r="Z1413" t="str">
        <f>IF(WarehouseData[[#This Row],[stock_level]]&lt;=WarehouseData[[#This Row],[Demand During Lead Time]],"At Risk","Safe")</f>
        <v>Safe</v>
      </c>
      <c r="AA1413">
        <f>WarehouseData[[#This Row],[stock_level]]/WarehouseData[[#This Row],[daily_demand]]</f>
        <v>28.8</v>
      </c>
      <c r="AB1413">
        <f>WarehouseData[[#This Row],[stock_level]]*WarehouseData[[#This Row],[unit_price]]</f>
        <v>80490.239999999991</v>
      </c>
      <c r="AC1413">
        <f>WarehouseData[[#This Row],[stock_level]]*WarehouseData[[#This Row],[holding_cost_per_unit_day]]*30</f>
        <v>22680</v>
      </c>
      <c r="AD1413" t="str">
        <f>IF(WarehouseData[[#This Row],[order_fulfillment_rate]]&gt;=0.9,"Strong",IF(WarehouseData[[#This Row],[order_fulfillment_rate]]&gt;=0.8,"Moderate","Needs Attention"))</f>
        <v>Needs Attention</v>
      </c>
      <c r="AE1413" t="str">
        <f>IF(WarehouseData[[#This Row],[picking_time_seconds]]&gt;120,"Slow",IF(WarehouseData[[#This Row],[picking_time_seconds]]&gt;=60,"Average","Fast"))</f>
        <v>Slow</v>
      </c>
    </row>
    <row r="1414" spans="1:31" x14ac:dyDescent="0.25">
      <c r="A1414" t="s">
        <v>1552</v>
      </c>
      <c r="B1414" t="s">
        <v>32</v>
      </c>
      <c r="C1414">
        <v>358</v>
      </c>
      <c r="D1414">
        <v>51</v>
      </c>
      <c r="E1414">
        <v>9</v>
      </c>
      <c r="F1414">
        <v>8</v>
      </c>
      <c r="G1414">
        <v>43.37</v>
      </c>
      <c r="H1414">
        <v>4.26</v>
      </c>
      <c r="I1414">
        <v>0.28000000000000003</v>
      </c>
      <c r="J1414" t="s">
        <v>146</v>
      </c>
      <c r="K1414" t="s">
        <v>46</v>
      </c>
      <c r="L1414">
        <v>28</v>
      </c>
      <c r="M1414">
        <v>3.63</v>
      </c>
      <c r="N1414">
        <v>72.5</v>
      </c>
      <c r="O1414">
        <v>1.56</v>
      </c>
      <c r="P1414">
        <v>5</v>
      </c>
      <c r="Q1414">
        <v>0.73</v>
      </c>
      <c r="R1414">
        <v>457</v>
      </c>
      <c r="S1414">
        <v>9.1300000000000008</v>
      </c>
      <c r="T1414">
        <v>0.22</v>
      </c>
      <c r="U1414" s="1">
        <v>45397</v>
      </c>
      <c r="V1414">
        <v>150.94999999999999</v>
      </c>
      <c r="W1414">
        <v>0.45600000000000002</v>
      </c>
      <c r="X1414" t="str">
        <f>IF(WarehouseData[[#This Row],[stock_level]]&lt;=WarehouseData[[#This Row],[reorder_point]],"Low Stock","Sufficient Stock")</f>
        <v>Sufficient Stock</v>
      </c>
      <c r="Y1414">
        <f>WarehouseData[[#This Row],[daily_demand]]*WarehouseData[[#This Row],[lead_time_days]]</f>
        <v>346.96</v>
      </c>
      <c r="Z1414" t="str">
        <f>IF(WarehouseData[[#This Row],[stock_level]]&lt;=WarehouseData[[#This Row],[Demand During Lead Time]],"At Risk","Safe")</f>
        <v>Safe</v>
      </c>
      <c r="AA1414">
        <f>WarehouseData[[#This Row],[stock_level]]/WarehouseData[[#This Row],[daily_demand]]</f>
        <v>8.2545538390592572</v>
      </c>
      <c r="AB1414">
        <f>WarehouseData[[#This Row],[stock_level]]*WarehouseData[[#This Row],[unit_price]]</f>
        <v>25955</v>
      </c>
      <c r="AC1414">
        <f>WarehouseData[[#This Row],[stock_level]]*WarehouseData[[#This Row],[holding_cost_per_unit_day]]*30</f>
        <v>16754.400000000001</v>
      </c>
      <c r="AD1414" t="str">
        <f>IF(WarehouseData[[#This Row],[order_fulfillment_rate]]&gt;=0.9,"Strong",IF(WarehouseData[[#This Row],[order_fulfillment_rate]]&gt;=0.8,"Moderate","Needs Attention"))</f>
        <v>Needs Attention</v>
      </c>
      <c r="AE1414" t="str">
        <f>IF(WarehouseData[[#This Row],[picking_time_seconds]]&gt;120,"Slow",IF(WarehouseData[[#This Row],[picking_time_seconds]]&gt;=60,"Average","Fast"))</f>
        <v>Fast</v>
      </c>
    </row>
    <row r="1415" spans="1:31" x14ac:dyDescent="0.25">
      <c r="A1415" t="s">
        <v>1553</v>
      </c>
      <c r="B1415" t="s">
        <v>36</v>
      </c>
      <c r="C1415">
        <v>166</v>
      </c>
      <c r="D1415">
        <v>48</v>
      </c>
      <c r="E1415">
        <v>3</v>
      </c>
      <c r="F1415">
        <v>5</v>
      </c>
      <c r="G1415">
        <v>44.37</v>
      </c>
      <c r="H1415">
        <v>6.07</v>
      </c>
      <c r="I1415">
        <v>0.74</v>
      </c>
      <c r="J1415" t="s">
        <v>92</v>
      </c>
      <c r="K1415" t="s">
        <v>46</v>
      </c>
      <c r="L1415">
        <v>120</v>
      </c>
      <c r="M1415">
        <v>1.61</v>
      </c>
      <c r="N1415">
        <v>49.2</v>
      </c>
      <c r="O1415">
        <v>0.33</v>
      </c>
      <c r="P1415">
        <v>0</v>
      </c>
      <c r="Q1415">
        <v>0.85</v>
      </c>
      <c r="R1415">
        <v>824</v>
      </c>
      <c r="S1415">
        <v>7.37</v>
      </c>
      <c r="T1415">
        <v>0.22</v>
      </c>
      <c r="U1415" s="1">
        <v>45389</v>
      </c>
      <c r="V1415">
        <v>202.37</v>
      </c>
      <c r="W1415">
        <v>0.67900000000000005</v>
      </c>
      <c r="X1415" t="str">
        <f>IF(WarehouseData[[#This Row],[stock_level]]&lt;=WarehouseData[[#This Row],[reorder_point]],"Low Stock","Sufficient Stock")</f>
        <v>Sufficient Stock</v>
      </c>
      <c r="Y1415">
        <f>WarehouseData[[#This Row],[daily_demand]]*WarehouseData[[#This Row],[lead_time_days]]</f>
        <v>221.85</v>
      </c>
      <c r="Z1415" t="str">
        <f>IF(WarehouseData[[#This Row],[stock_level]]&lt;=WarehouseData[[#This Row],[Demand During Lead Time]],"At Risk","Safe")</f>
        <v>At Risk</v>
      </c>
      <c r="AA1415">
        <f>WarehouseData[[#This Row],[stock_level]]/WarehouseData[[#This Row],[daily_demand]]</f>
        <v>3.7412666215911656</v>
      </c>
      <c r="AB1415">
        <f>WarehouseData[[#This Row],[stock_level]]*WarehouseData[[#This Row],[unit_price]]</f>
        <v>8167.2000000000007</v>
      </c>
      <c r="AC1415">
        <f>WarehouseData[[#This Row],[stock_level]]*WarehouseData[[#This Row],[holding_cost_per_unit_day]]*30</f>
        <v>1643.4</v>
      </c>
      <c r="AD1415" t="str">
        <f>IF(WarehouseData[[#This Row],[order_fulfillment_rate]]&gt;=0.9,"Strong",IF(WarehouseData[[#This Row],[order_fulfillment_rate]]&gt;=0.8,"Moderate","Needs Attention"))</f>
        <v>Moderate</v>
      </c>
      <c r="AE1415" t="str">
        <f>IF(WarehouseData[[#This Row],[picking_time_seconds]]&gt;120,"Slow",IF(WarehouseData[[#This Row],[picking_time_seconds]]&gt;=60,"Average","Fast"))</f>
        <v>Average</v>
      </c>
    </row>
    <row r="1416" spans="1:31" x14ac:dyDescent="0.25">
      <c r="A1416" t="s">
        <v>1554</v>
      </c>
      <c r="B1416" t="s">
        <v>73</v>
      </c>
      <c r="C1416">
        <v>469</v>
      </c>
      <c r="D1416">
        <v>99</v>
      </c>
      <c r="E1416">
        <v>3</v>
      </c>
      <c r="F1416">
        <v>8</v>
      </c>
      <c r="G1416">
        <v>3.2</v>
      </c>
      <c r="H1416">
        <v>9.23</v>
      </c>
      <c r="I1416">
        <v>0.57999999999999996</v>
      </c>
      <c r="J1416" t="s">
        <v>146</v>
      </c>
      <c r="K1416" t="s">
        <v>34</v>
      </c>
      <c r="L1416">
        <v>123</v>
      </c>
      <c r="M1416">
        <v>2.12</v>
      </c>
      <c r="N1416">
        <v>86.53</v>
      </c>
      <c r="O1416">
        <v>1.86</v>
      </c>
      <c r="P1416">
        <v>6</v>
      </c>
      <c r="Q1416">
        <v>0.87</v>
      </c>
      <c r="R1416">
        <v>914</v>
      </c>
      <c r="S1416">
        <v>8.31</v>
      </c>
      <c r="T1416">
        <v>0.68</v>
      </c>
      <c r="U1416" s="1">
        <v>45501</v>
      </c>
      <c r="V1416">
        <v>279.97000000000003</v>
      </c>
      <c r="W1416">
        <v>0.51500000000000001</v>
      </c>
      <c r="X1416" t="str">
        <f>IF(WarehouseData[[#This Row],[stock_level]]&lt;=WarehouseData[[#This Row],[reorder_point]],"Low Stock","Sufficient Stock")</f>
        <v>Sufficient Stock</v>
      </c>
      <c r="Y1416">
        <f>WarehouseData[[#This Row],[daily_demand]]*WarehouseData[[#This Row],[lead_time_days]]</f>
        <v>25.6</v>
      </c>
      <c r="Z1416" t="str">
        <f>IF(WarehouseData[[#This Row],[stock_level]]&lt;=WarehouseData[[#This Row],[Demand During Lead Time]],"At Risk","Safe")</f>
        <v>Safe</v>
      </c>
      <c r="AA1416">
        <f>WarehouseData[[#This Row],[stock_level]]/WarehouseData[[#This Row],[daily_demand]]</f>
        <v>146.5625</v>
      </c>
      <c r="AB1416">
        <f>WarehouseData[[#This Row],[stock_level]]*WarehouseData[[#This Row],[unit_price]]</f>
        <v>40582.57</v>
      </c>
      <c r="AC1416">
        <f>WarehouseData[[#This Row],[stock_level]]*WarehouseData[[#This Row],[holding_cost_per_unit_day]]*30</f>
        <v>26170.2</v>
      </c>
      <c r="AD1416" t="str">
        <f>IF(WarehouseData[[#This Row],[order_fulfillment_rate]]&gt;=0.9,"Strong",IF(WarehouseData[[#This Row],[order_fulfillment_rate]]&gt;=0.8,"Moderate","Needs Attention"))</f>
        <v>Moderate</v>
      </c>
      <c r="AE1416" t="str">
        <f>IF(WarehouseData[[#This Row],[picking_time_seconds]]&gt;120,"Slow",IF(WarehouseData[[#This Row],[picking_time_seconds]]&gt;=60,"Average","Fast"))</f>
        <v>Slow</v>
      </c>
    </row>
    <row r="1417" spans="1:31" x14ac:dyDescent="0.25">
      <c r="A1417" t="s">
        <v>1555</v>
      </c>
      <c r="B1417" t="s">
        <v>40</v>
      </c>
      <c r="C1417">
        <v>444</v>
      </c>
      <c r="D1417">
        <v>58</v>
      </c>
      <c r="E1417">
        <v>7</v>
      </c>
      <c r="F1417">
        <v>9</v>
      </c>
      <c r="G1417">
        <v>9.24</v>
      </c>
      <c r="H1417">
        <v>4.25</v>
      </c>
      <c r="I1417">
        <v>0.91</v>
      </c>
      <c r="J1417" t="s">
        <v>334</v>
      </c>
      <c r="K1417" t="s">
        <v>46</v>
      </c>
      <c r="L1417">
        <v>34</v>
      </c>
      <c r="M1417">
        <v>3.83</v>
      </c>
      <c r="N1417">
        <v>93.13</v>
      </c>
      <c r="O1417">
        <v>1.4</v>
      </c>
      <c r="P1417">
        <v>6</v>
      </c>
      <c r="Q1417">
        <v>0.84</v>
      </c>
      <c r="R1417">
        <v>266</v>
      </c>
      <c r="S1417">
        <v>13.67</v>
      </c>
      <c r="T1417">
        <v>0.96</v>
      </c>
      <c r="U1417" s="1">
        <v>45648</v>
      </c>
      <c r="V1417">
        <v>154.9</v>
      </c>
      <c r="W1417">
        <v>0.68200000000000005</v>
      </c>
      <c r="X1417" t="str">
        <f>IF(WarehouseData[[#This Row],[stock_level]]&lt;=WarehouseData[[#This Row],[reorder_point]],"Low Stock","Sufficient Stock")</f>
        <v>Sufficient Stock</v>
      </c>
      <c r="Y1417">
        <f>WarehouseData[[#This Row],[daily_demand]]*WarehouseData[[#This Row],[lead_time_days]]</f>
        <v>83.16</v>
      </c>
      <c r="Z1417" t="str">
        <f>IF(WarehouseData[[#This Row],[stock_level]]&lt;=WarehouseData[[#This Row],[Demand During Lead Time]],"At Risk","Safe")</f>
        <v>Safe</v>
      </c>
      <c r="AA1417">
        <f>WarehouseData[[#This Row],[stock_level]]/WarehouseData[[#This Row],[daily_demand]]</f>
        <v>48.051948051948052</v>
      </c>
      <c r="AB1417">
        <f>WarehouseData[[#This Row],[stock_level]]*WarehouseData[[#This Row],[unit_price]]</f>
        <v>41349.72</v>
      </c>
      <c r="AC1417">
        <f>WarehouseData[[#This Row],[stock_level]]*WarehouseData[[#This Row],[holding_cost_per_unit_day]]*30</f>
        <v>18647.999999999996</v>
      </c>
      <c r="AD1417" t="str">
        <f>IF(WarehouseData[[#This Row],[order_fulfillment_rate]]&gt;=0.9,"Strong",IF(WarehouseData[[#This Row],[order_fulfillment_rate]]&gt;=0.8,"Moderate","Needs Attention"))</f>
        <v>Moderate</v>
      </c>
      <c r="AE1417" t="str">
        <f>IF(WarehouseData[[#This Row],[picking_time_seconds]]&gt;120,"Slow",IF(WarehouseData[[#This Row],[picking_time_seconds]]&gt;=60,"Average","Fast"))</f>
        <v>Fast</v>
      </c>
    </row>
    <row r="1418" spans="1:31" x14ac:dyDescent="0.25">
      <c r="A1418" t="s">
        <v>1556</v>
      </c>
      <c r="B1418" t="s">
        <v>73</v>
      </c>
      <c r="C1418">
        <v>448</v>
      </c>
      <c r="D1418">
        <v>71</v>
      </c>
      <c r="E1418">
        <v>8</v>
      </c>
      <c r="F1418">
        <v>9</v>
      </c>
      <c r="G1418">
        <v>6.76</v>
      </c>
      <c r="H1418">
        <v>1.1599999999999999</v>
      </c>
      <c r="I1418">
        <v>0.83</v>
      </c>
      <c r="J1418" t="s">
        <v>163</v>
      </c>
      <c r="K1418" t="s">
        <v>38</v>
      </c>
      <c r="L1418">
        <v>175</v>
      </c>
      <c r="M1418">
        <v>4.0599999999999996</v>
      </c>
      <c r="N1418">
        <v>17.579999999999998</v>
      </c>
      <c r="O1418">
        <v>0.34</v>
      </c>
      <c r="P1418">
        <v>1</v>
      </c>
      <c r="Q1418">
        <v>0.84</v>
      </c>
      <c r="R1418">
        <v>219</v>
      </c>
      <c r="S1418">
        <v>7.77</v>
      </c>
      <c r="T1418">
        <v>0.59</v>
      </c>
      <c r="U1418" s="1">
        <v>45575</v>
      </c>
      <c r="V1418">
        <v>97.15</v>
      </c>
      <c r="W1418">
        <v>0.73599999999999999</v>
      </c>
      <c r="X1418" t="str">
        <f>IF(WarehouseData[[#This Row],[stock_level]]&lt;=WarehouseData[[#This Row],[reorder_point]],"Low Stock","Sufficient Stock")</f>
        <v>Sufficient Stock</v>
      </c>
      <c r="Y1418">
        <f>WarehouseData[[#This Row],[daily_demand]]*WarehouseData[[#This Row],[lead_time_days]]</f>
        <v>60.839999999999996</v>
      </c>
      <c r="Z1418" t="str">
        <f>IF(WarehouseData[[#This Row],[stock_level]]&lt;=WarehouseData[[#This Row],[Demand During Lead Time]],"At Risk","Safe")</f>
        <v>Safe</v>
      </c>
      <c r="AA1418">
        <f>WarehouseData[[#This Row],[stock_level]]/WarehouseData[[#This Row],[daily_demand]]</f>
        <v>66.272189349112423</v>
      </c>
      <c r="AB1418">
        <f>WarehouseData[[#This Row],[stock_level]]*WarehouseData[[#This Row],[unit_price]]</f>
        <v>7875.8399999999992</v>
      </c>
      <c r="AC1418">
        <f>WarehouseData[[#This Row],[stock_level]]*WarehouseData[[#This Row],[holding_cost_per_unit_day]]*30</f>
        <v>4569.6000000000004</v>
      </c>
      <c r="AD1418" t="str">
        <f>IF(WarehouseData[[#This Row],[order_fulfillment_rate]]&gt;=0.9,"Strong",IF(WarehouseData[[#This Row],[order_fulfillment_rate]]&gt;=0.8,"Moderate","Needs Attention"))</f>
        <v>Moderate</v>
      </c>
      <c r="AE1418" t="str">
        <f>IF(WarehouseData[[#This Row],[picking_time_seconds]]&gt;120,"Slow",IF(WarehouseData[[#This Row],[picking_time_seconds]]&gt;=60,"Average","Fast"))</f>
        <v>Slow</v>
      </c>
    </row>
    <row r="1419" spans="1:31" x14ac:dyDescent="0.25">
      <c r="A1419" t="s">
        <v>1557</v>
      </c>
      <c r="B1419" t="s">
        <v>48</v>
      </c>
      <c r="C1419">
        <v>290</v>
      </c>
      <c r="D1419">
        <v>47</v>
      </c>
      <c r="E1419">
        <v>11</v>
      </c>
      <c r="F1419">
        <v>4</v>
      </c>
      <c r="G1419">
        <v>9.8000000000000007</v>
      </c>
      <c r="H1419">
        <v>3.81</v>
      </c>
      <c r="I1419">
        <v>0.39</v>
      </c>
      <c r="J1419" t="s">
        <v>236</v>
      </c>
      <c r="K1419" t="s">
        <v>38</v>
      </c>
      <c r="L1419">
        <v>130</v>
      </c>
      <c r="M1419">
        <v>1.29</v>
      </c>
      <c r="N1419">
        <v>173.72</v>
      </c>
      <c r="O1419">
        <v>1.57</v>
      </c>
      <c r="P1419">
        <v>4</v>
      </c>
      <c r="Q1419">
        <v>0.88</v>
      </c>
      <c r="R1419">
        <v>659</v>
      </c>
      <c r="S1419">
        <v>7.67</v>
      </c>
      <c r="T1419">
        <v>0.87</v>
      </c>
      <c r="U1419" s="1">
        <v>45568</v>
      </c>
      <c r="V1419">
        <v>122.09</v>
      </c>
      <c r="W1419">
        <v>0.61499999999999999</v>
      </c>
      <c r="X1419" t="str">
        <f>IF(WarehouseData[[#This Row],[stock_level]]&lt;=WarehouseData[[#This Row],[reorder_point]],"Low Stock","Sufficient Stock")</f>
        <v>Sufficient Stock</v>
      </c>
      <c r="Y1419">
        <f>WarehouseData[[#This Row],[daily_demand]]*WarehouseData[[#This Row],[lead_time_days]]</f>
        <v>39.200000000000003</v>
      </c>
      <c r="Z1419" t="str">
        <f>IF(WarehouseData[[#This Row],[stock_level]]&lt;=WarehouseData[[#This Row],[Demand During Lead Time]],"At Risk","Safe")</f>
        <v>Safe</v>
      </c>
      <c r="AA1419">
        <f>WarehouseData[[#This Row],[stock_level]]/WarehouseData[[#This Row],[daily_demand]]</f>
        <v>29.591836734693874</v>
      </c>
      <c r="AB1419">
        <f>WarehouseData[[#This Row],[stock_level]]*WarehouseData[[#This Row],[unit_price]]</f>
        <v>50378.8</v>
      </c>
      <c r="AC1419">
        <f>WarehouseData[[#This Row],[stock_level]]*WarehouseData[[#This Row],[holding_cost_per_unit_day]]*30</f>
        <v>13659</v>
      </c>
      <c r="AD1419" t="str">
        <f>IF(WarehouseData[[#This Row],[order_fulfillment_rate]]&gt;=0.9,"Strong",IF(WarehouseData[[#This Row],[order_fulfillment_rate]]&gt;=0.8,"Moderate","Needs Attention"))</f>
        <v>Moderate</v>
      </c>
      <c r="AE1419" t="str">
        <f>IF(WarehouseData[[#This Row],[picking_time_seconds]]&gt;120,"Slow",IF(WarehouseData[[#This Row],[picking_time_seconds]]&gt;=60,"Average","Fast"))</f>
        <v>Slow</v>
      </c>
    </row>
    <row r="1420" spans="1:31" x14ac:dyDescent="0.25">
      <c r="A1420" t="s">
        <v>1558</v>
      </c>
      <c r="B1420" t="s">
        <v>32</v>
      </c>
      <c r="C1420">
        <v>406</v>
      </c>
      <c r="D1420">
        <v>32</v>
      </c>
      <c r="E1420">
        <v>3</v>
      </c>
      <c r="F1420">
        <v>6</v>
      </c>
      <c r="G1420">
        <v>48.54</v>
      </c>
      <c r="H1420">
        <v>2.31</v>
      </c>
      <c r="I1420">
        <v>0.56000000000000005</v>
      </c>
      <c r="J1420" t="s">
        <v>45</v>
      </c>
      <c r="K1420" t="s">
        <v>38</v>
      </c>
      <c r="L1420">
        <v>108</v>
      </c>
      <c r="M1420">
        <v>4.71</v>
      </c>
      <c r="N1420">
        <v>199.16</v>
      </c>
      <c r="O1420">
        <v>0.78</v>
      </c>
      <c r="P1420">
        <v>3</v>
      </c>
      <c r="Q1420">
        <v>0.86</v>
      </c>
      <c r="R1420">
        <v>407</v>
      </c>
      <c r="S1420">
        <v>7.59</v>
      </c>
      <c r="T1420">
        <v>0.81</v>
      </c>
      <c r="U1420" s="1">
        <v>45427</v>
      </c>
      <c r="V1420">
        <v>166.98</v>
      </c>
      <c r="W1420">
        <v>0.69699999999999995</v>
      </c>
      <c r="X1420" t="str">
        <f>IF(WarehouseData[[#This Row],[stock_level]]&lt;=WarehouseData[[#This Row],[reorder_point]],"Low Stock","Sufficient Stock")</f>
        <v>Sufficient Stock</v>
      </c>
      <c r="Y1420">
        <f>WarehouseData[[#This Row],[daily_demand]]*WarehouseData[[#This Row],[lead_time_days]]</f>
        <v>291.24</v>
      </c>
      <c r="Z1420" t="str">
        <f>IF(WarehouseData[[#This Row],[stock_level]]&lt;=WarehouseData[[#This Row],[Demand During Lead Time]],"At Risk","Safe")</f>
        <v>Safe</v>
      </c>
      <c r="AA1420">
        <f>WarehouseData[[#This Row],[stock_level]]/WarehouseData[[#This Row],[daily_demand]]</f>
        <v>8.3642356819118255</v>
      </c>
      <c r="AB1420">
        <f>WarehouseData[[#This Row],[stock_level]]*WarehouseData[[#This Row],[unit_price]]</f>
        <v>80858.959999999992</v>
      </c>
      <c r="AC1420">
        <f>WarehouseData[[#This Row],[stock_level]]*WarehouseData[[#This Row],[holding_cost_per_unit_day]]*30</f>
        <v>9500.4</v>
      </c>
      <c r="AD1420" t="str">
        <f>IF(WarehouseData[[#This Row],[order_fulfillment_rate]]&gt;=0.9,"Strong",IF(WarehouseData[[#This Row],[order_fulfillment_rate]]&gt;=0.8,"Moderate","Needs Attention"))</f>
        <v>Moderate</v>
      </c>
      <c r="AE1420" t="str">
        <f>IF(WarehouseData[[#This Row],[picking_time_seconds]]&gt;120,"Slow",IF(WarehouseData[[#This Row],[picking_time_seconds]]&gt;=60,"Average","Fast"))</f>
        <v>Average</v>
      </c>
    </row>
    <row r="1421" spans="1:31" x14ac:dyDescent="0.25">
      <c r="A1421" t="s">
        <v>1559</v>
      </c>
      <c r="B1421" t="s">
        <v>48</v>
      </c>
      <c r="C1421">
        <v>158</v>
      </c>
      <c r="D1421">
        <v>31</v>
      </c>
      <c r="E1421">
        <v>6</v>
      </c>
      <c r="F1421">
        <v>3</v>
      </c>
      <c r="G1421">
        <v>28.03</v>
      </c>
      <c r="H1421">
        <v>6.69</v>
      </c>
      <c r="I1421">
        <v>0.78</v>
      </c>
      <c r="J1421" t="s">
        <v>286</v>
      </c>
      <c r="K1421" t="s">
        <v>46</v>
      </c>
      <c r="L1421">
        <v>99</v>
      </c>
      <c r="M1421">
        <v>4.03</v>
      </c>
      <c r="N1421">
        <v>185.41</v>
      </c>
      <c r="O1421">
        <v>1.63</v>
      </c>
      <c r="P1421">
        <v>9</v>
      </c>
      <c r="Q1421">
        <v>0.74</v>
      </c>
      <c r="R1421">
        <v>235</v>
      </c>
      <c r="S1421">
        <v>9.7200000000000006</v>
      </c>
      <c r="T1421">
        <v>0.6</v>
      </c>
      <c r="U1421" s="1">
        <v>45630</v>
      </c>
      <c r="V1421">
        <v>293.14</v>
      </c>
      <c r="W1421">
        <v>0.45500000000000002</v>
      </c>
      <c r="X1421" t="str">
        <f>IF(WarehouseData[[#This Row],[stock_level]]&lt;=WarehouseData[[#This Row],[reorder_point]],"Low Stock","Sufficient Stock")</f>
        <v>Sufficient Stock</v>
      </c>
      <c r="Y1421">
        <f>WarehouseData[[#This Row],[daily_demand]]*WarehouseData[[#This Row],[lead_time_days]]</f>
        <v>84.09</v>
      </c>
      <c r="Z1421" t="str">
        <f>IF(WarehouseData[[#This Row],[stock_level]]&lt;=WarehouseData[[#This Row],[Demand During Lead Time]],"At Risk","Safe")</f>
        <v>Safe</v>
      </c>
      <c r="AA1421">
        <f>WarehouseData[[#This Row],[stock_level]]/WarehouseData[[#This Row],[daily_demand]]</f>
        <v>5.6368176953264362</v>
      </c>
      <c r="AB1421">
        <f>WarehouseData[[#This Row],[stock_level]]*WarehouseData[[#This Row],[unit_price]]</f>
        <v>29294.78</v>
      </c>
      <c r="AC1421">
        <f>WarehouseData[[#This Row],[stock_level]]*WarehouseData[[#This Row],[holding_cost_per_unit_day]]*30</f>
        <v>7726.1999999999989</v>
      </c>
      <c r="AD1421" t="str">
        <f>IF(WarehouseData[[#This Row],[order_fulfillment_rate]]&gt;=0.9,"Strong",IF(WarehouseData[[#This Row],[order_fulfillment_rate]]&gt;=0.8,"Moderate","Needs Attention"))</f>
        <v>Needs Attention</v>
      </c>
      <c r="AE1421" t="str">
        <f>IF(WarehouseData[[#This Row],[picking_time_seconds]]&gt;120,"Slow",IF(WarehouseData[[#This Row],[picking_time_seconds]]&gt;=60,"Average","Fast"))</f>
        <v>Average</v>
      </c>
    </row>
    <row r="1422" spans="1:31" x14ac:dyDescent="0.25">
      <c r="A1422" t="s">
        <v>1560</v>
      </c>
      <c r="B1422" t="s">
        <v>73</v>
      </c>
      <c r="C1422">
        <v>200</v>
      </c>
      <c r="D1422">
        <v>13</v>
      </c>
      <c r="E1422">
        <v>12</v>
      </c>
      <c r="F1422">
        <v>3</v>
      </c>
      <c r="G1422">
        <v>23.94</v>
      </c>
      <c r="H1422">
        <v>0.78</v>
      </c>
      <c r="I1422">
        <v>0.27</v>
      </c>
      <c r="J1422" t="s">
        <v>228</v>
      </c>
      <c r="K1422" t="s">
        <v>34</v>
      </c>
      <c r="L1422">
        <v>12</v>
      </c>
      <c r="M1422">
        <v>4.3600000000000003</v>
      </c>
      <c r="N1422">
        <v>173.53</v>
      </c>
      <c r="O1422">
        <v>1.92</v>
      </c>
      <c r="P1422">
        <v>8</v>
      </c>
      <c r="Q1422">
        <v>0.76</v>
      </c>
      <c r="R1422">
        <v>774</v>
      </c>
      <c r="S1422">
        <v>6.15</v>
      </c>
      <c r="T1422">
        <v>0.61</v>
      </c>
      <c r="U1422" s="1">
        <v>45436</v>
      </c>
      <c r="V1422">
        <v>192.22</v>
      </c>
      <c r="W1422">
        <v>0.40400000000000003</v>
      </c>
      <c r="X1422" t="str">
        <f>IF(WarehouseData[[#This Row],[stock_level]]&lt;=WarehouseData[[#This Row],[reorder_point]],"Low Stock","Sufficient Stock")</f>
        <v>Sufficient Stock</v>
      </c>
      <c r="Y1422">
        <f>WarehouseData[[#This Row],[daily_demand]]*WarehouseData[[#This Row],[lead_time_days]]</f>
        <v>71.820000000000007</v>
      </c>
      <c r="Z1422" t="str">
        <f>IF(WarehouseData[[#This Row],[stock_level]]&lt;=WarehouseData[[#This Row],[Demand During Lead Time]],"At Risk","Safe")</f>
        <v>Safe</v>
      </c>
      <c r="AA1422">
        <f>WarehouseData[[#This Row],[stock_level]]/WarehouseData[[#This Row],[daily_demand]]</f>
        <v>8.3542188805346704</v>
      </c>
      <c r="AB1422">
        <f>WarehouseData[[#This Row],[stock_level]]*WarehouseData[[#This Row],[unit_price]]</f>
        <v>34706</v>
      </c>
      <c r="AC1422">
        <f>WarehouseData[[#This Row],[stock_level]]*WarehouseData[[#This Row],[holding_cost_per_unit_day]]*30</f>
        <v>11520</v>
      </c>
      <c r="AD1422" t="str">
        <f>IF(WarehouseData[[#This Row],[order_fulfillment_rate]]&gt;=0.9,"Strong",IF(WarehouseData[[#This Row],[order_fulfillment_rate]]&gt;=0.8,"Moderate","Needs Attention"))</f>
        <v>Needs Attention</v>
      </c>
      <c r="AE1422" t="str">
        <f>IF(WarehouseData[[#This Row],[picking_time_seconds]]&gt;120,"Slow",IF(WarehouseData[[#This Row],[picking_time_seconds]]&gt;=60,"Average","Fast"))</f>
        <v>Fast</v>
      </c>
    </row>
    <row r="1423" spans="1:31" x14ac:dyDescent="0.25">
      <c r="A1423" t="s">
        <v>1561</v>
      </c>
      <c r="B1423" t="s">
        <v>73</v>
      </c>
      <c r="C1423">
        <v>449</v>
      </c>
      <c r="D1423">
        <v>58</v>
      </c>
      <c r="E1423">
        <v>10</v>
      </c>
      <c r="F1423">
        <v>8</v>
      </c>
      <c r="G1423">
        <v>49.24</v>
      </c>
      <c r="H1423">
        <v>3.27</v>
      </c>
      <c r="I1423">
        <v>0.13</v>
      </c>
      <c r="J1423" t="s">
        <v>188</v>
      </c>
      <c r="K1423" t="s">
        <v>38</v>
      </c>
      <c r="L1423">
        <v>139</v>
      </c>
      <c r="M1423">
        <v>1.1499999999999999</v>
      </c>
      <c r="N1423">
        <v>198.59</v>
      </c>
      <c r="O1423">
        <v>0.57999999999999996</v>
      </c>
      <c r="P1423">
        <v>1</v>
      </c>
      <c r="Q1423">
        <v>0.74</v>
      </c>
      <c r="R1423">
        <v>919</v>
      </c>
      <c r="S1423">
        <v>12.22</v>
      </c>
      <c r="T1423">
        <v>0.55000000000000004</v>
      </c>
      <c r="U1423" s="1">
        <v>45444</v>
      </c>
      <c r="V1423">
        <v>54.87</v>
      </c>
      <c r="W1423">
        <v>0.74299999999999999</v>
      </c>
      <c r="X1423" t="str">
        <f>IF(WarehouseData[[#This Row],[stock_level]]&lt;=WarehouseData[[#This Row],[reorder_point]],"Low Stock","Sufficient Stock")</f>
        <v>Sufficient Stock</v>
      </c>
      <c r="Y1423">
        <f>WarehouseData[[#This Row],[daily_demand]]*WarehouseData[[#This Row],[lead_time_days]]</f>
        <v>393.92</v>
      </c>
      <c r="Z1423" t="str">
        <f>IF(WarehouseData[[#This Row],[stock_level]]&lt;=WarehouseData[[#This Row],[Demand During Lead Time]],"At Risk","Safe")</f>
        <v>Safe</v>
      </c>
      <c r="AA1423">
        <f>WarehouseData[[#This Row],[stock_level]]/WarehouseData[[#This Row],[daily_demand]]</f>
        <v>9.1186027619821282</v>
      </c>
      <c r="AB1423">
        <f>WarehouseData[[#This Row],[stock_level]]*WarehouseData[[#This Row],[unit_price]]</f>
        <v>89166.91</v>
      </c>
      <c r="AC1423">
        <f>WarehouseData[[#This Row],[stock_level]]*WarehouseData[[#This Row],[holding_cost_per_unit_day]]*30</f>
        <v>7812.5999999999985</v>
      </c>
      <c r="AD1423" t="str">
        <f>IF(WarehouseData[[#This Row],[order_fulfillment_rate]]&gt;=0.9,"Strong",IF(WarehouseData[[#This Row],[order_fulfillment_rate]]&gt;=0.8,"Moderate","Needs Attention"))</f>
        <v>Needs Attention</v>
      </c>
      <c r="AE1423" t="str">
        <f>IF(WarehouseData[[#This Row],[picking_time_seconds]]&gt;120,"Slow",IF(WarehouseData[[#This Row],[picking_time_seconds]]&gt;=60,"Average","Fast"))</f>
        <v>Slow</v>
      </c>
    </row>
    <row r="1424" spans="1:31" x14ac:dyDescent="0.25">
      <c r="A1424" t="s">
        <v>1562</v>
      </c>
      <c r="B1424" t="s">
        <v>36</v>
      </c>
      <c r="C1424">
        <v>49</v>
      </c>
      <c r="D1424">
        <v>68</v>
      </c>
      <c r="E1424">
        <v>12</v>
      </c>
      <c r="F1424">
        <v>6</v>
      </c>
      <c r="G1424">
        <v>28.29</v>
      </c>
      <c r="H1424">
        <v>5.68</v>
      </c>
      <c r="I1424">
        <v>0.87</v>
      </c>
      <c r="J1424" t="s">
        <v>215</v>
      </c>
      <c r="K1424" t="s">
        <v>34</v>
      </c>
      <c r="L1424">
        <v>14</v>
      </c>
      <c r="M1424">
        <v>1.1499999999999999</v>
      </c>
      <c r="N1424">
        <v>182.48</v>
      </c>
      <c r="O1424">
        <v>1.73</v>
      </c>
      <c r="P1424">
        <v>2</v>
      </c>
      <c r="Q1424">
        <v>0.91</v>
      </c>
      <c r="R1424">
        <v>873</v>
      </c>
      <c r="S1424">
        <v>5</v>
      </c>
      <c r="T1424">
        <v>0.4</v>
      </c>
      <c r="U1424" s="1">
        <v>45413</v>
      </c>
      <c r="V1424">
        <v>254.51</v>
      </c>
      <c r="W1424">
        <v>0.51600000000000001</v>
      </c>
      <c r="X1424" t="str">
        <f>IF(WarehouseData[[#This Row],[stock_level]]&lt;=WarehouseData[[#This Row],[reorder_point]],"Low Stock","Sufficient Stock")</f>
        <v>Low Stock</v>
      </c>
      <c r="Y1424">
        <f>WarehouseData[[#This Row],[daily_demand]]*WarehouseData[[#This Row],[lead_time_days]]</f>
        <v>169.74</v>
      </c>
      <c r="Z1424" t="str">
        <f>IF(WarehouseData[[#This Row],[stock_level]]&lt;=WarehouseData[[#This Row],[Demand During Lead Time]],"At Risk","Safe")</f>
        <v>At Risk</v>
      </c>
      <c r="AA1424">
        <f>WarehouseData[[#This Row],[stock_level]]/WarehouseData[[#This Row],[daily_demand]]</f>
        <v>1.7320607988688583</v>
      </c>
      <c r="AB1424">
        <f>WarehouseData[[#This Row],[stock_level]]*WarehouseData[[#This Row],[unit_price]]</f>
        <v>8941.5199999999986</v>
      </c>
      <c r="AC1424">
        <f>WarehouseData[[#This Row],[stock_level]]*WarehouseData[[#This Row],[holding_cost_per_unit_day]]*30</f>
        <v>2543.1</v>
      </c>
      <c r="AD1424" t="str">
        <f>IF(WarehouseData[[#This Row],[order_fulfillment_rate]]&gt;=0.9,"Strong",IF(WarehouseData[[#This Row],[order_fulfillment_rate]]&gt;=0.8,"Moderate","Needs Attention"))</f>
        <v>Strong</v>
      </c>
      <c r="AE1424" t="str">
        <f>IF(WarehouseData[[#This Row],[picking_time_seconds]]&gt;120,"Slow",IF(WarehouseData[[#This Row],[picking_time_seconds]]&gt;=60,"Average","Fast"))</f>
        <v>Fast</v>
      </c>
    </row>
    <row r="1425" spans="1:31" x14ac:dyDescent="0.25">
      <c r="A1425" t="s">
        <v>1563</v>
      </c>
      <c r="B1425" t="s">
        <v>40</v>
      </c>
      <c r="C1425">
        <v>76</v>
      </c>
      <c r="D1425">
        <v>82</v>
      </c>
      <c r="E1425">
        <v>11</v>
      </c>
      <c r="F1425">
        <v>6</v>
      </c>
      <c r="G1425">
        <v>33.39</v>
      </c>
      <c r="H1425">
        <v>3.13</v>
      </c>
      <c r="I1425">
        <v>0.22</v>
      </c>
      <c r="J1425" t="s">
        <v>245</v>
      </c>
      <c r="K1425" t="s">
        <v>52</v>
      </c>
      <c r="L1425">
        <v>29</v>
      </c>
      <c r="M1425">
        <v>1.87</v>
      </c>
      <c r="N1425">
        <v>140.79</v>
      </c>
      <c r="O1425">
        <v>1.57</v>
      </c>
      <c r="P1425">
        <v>0</v>
      </c>
      <c r="Q1425">
        <v>0.86</v>
      </c>
      <c r="R1425">
        <v>793</v>
      </c>
      <c r="S1425">
        <v>5.19</v>
      </c>
      <c r="T1425">
        <v>0.89</v>
      </c>
      <c r="U1425" s="1">
        <v>45341</v>
      </c>
      <c r="V1425">
        <v>62.62</v>
      </c>
      <c r="W1425">
        <v>0.66200000000000003</v>
      </c>
      <c r="X1425" t="str">
        <f>IF(WarehouseData[[#This Row],[stock_level]]&lt;=WarehouseData[[#This Row],[reorder_point]],"Low Stock","Sufficient Stock")</f>
        <v>Low Stock</v>
      </c>
      <c r="Y1425">
        <f>WarehouseData[[#This Row],[daily_demand]]*WarehouseData[[#This Row],[lead_time_days]]</f>
        <v>200.34</v>
      </c>
      <c r="Z1425" t="str">
        <f>IF(WarehouseData[[#This Row],[stock_level]]&lt;=WarehouseData[[#This Row],[Demand During Lead Time]],"At Risk","Safe")</f>
        <v>At Risk</v>
      </c>
      <c r="AA1425">
        <f>WarehouseData[[#This Row],[stock_level]]/WarehouseData[[#This Row],[daily_demand]]</f>
        <v>2.2761305780173706</v>
      </c>
      <c r="AB1425">
        <f>WarehouseData[[#This Row],[stock_level]]*WarehouseData[[#This Row],[unit_price]]</f>
        <v>10700.039999999999</v>
      </c>
      <c r="AC1425">
        <f>WarehouseData[[#This Row],[stock_level]]*WarehouseData[[#This Row],[holding_cost_per_unit_day]]*30</f>
        <v>3579.6000000000004</v>
      </c>
      <c r="AD1425" t="str">
        <f>IF(WarehouseData[[#This Row],[order_fulfillment_rate]]&gt;=0.9,"Strong",IF(WarehouseData[[#This Row],[order_fulfillment_rate]]&gt;=0.8,"Moderate","Needs Attention"))</f>
        <v>Moderate</v>
      </c>
      <c r="AE1425" t="str">
        <f>IF(WarehouseData[[#This Row],[picking_time_seconds]]&gt;120,"Slow",IF(WarehouseData[[#This Row],[picking_time_seconds]]&gt;=60,"Average","Fast"))</f>
        <v>Fast</v>
      </c>
    </row>
    <row r="1426" spans="1:31" x14ac:dyDescent="0.25">
      <c r="A1426" t="s">
        <v>1564</v>
      </c>
      <c r="B1426" t="s">
        <v>40</v>
      </c>
      <c r="C1426">
        <v>251</v>
      </c>
      <c r="D1426">
        <v>77</v>
      </c>
      <c r="E1426">
        <v>5</v>
      </c>
      <c r="F1426">
        <v>7</v>
      </c>
      <c r="G1426">
        <v>17.309999999999999</v>
      </c>
      <c r="H1426">
        <v>5.73</v>
      </c>
      <c r="I1426">
        <v>0.9</v>
      </c>
      <c r="J1426" t="s">
        <v>265</v>
      </c>
      <c r="K1426" t="s">
        <v>52</v>
      </c>
      <c r="L1426">
        <v>47</v>
      </c>
      <c r="M1426">
        <v>0.79</v>
      </c>
      <c r="N1426">
        <v>41.68</v>
      </c>
      <c r="O1426">
        <v>1.38</v>
      </c>
      <c r="P1426">
        <v>9</v>
      </c>
      <c r="Q1426">
        <v>0.83</v>
      </c>
      <c r="R1426">
        <v>963</v>
      </c>
      <c r="S1426">
        <v>9.24</v>
      </c>
      <c r="T1426">
        <v>0.37</v>
      </c>
      <c r="U1426" s="1">
        <v>45317</v>
      </c>
      <c r="V1426">
        <v>21.24</v>
      </c>
      <c r="W1426">
        <v>0.44500000000000001</v>
      </c>
      <c r="X1426" t="str">
        <f>IF(WarehouseData[[#This Row],[stock_level]]&lt;=WarehouseData[[#This Row],[reorder_point]],"Low Stock","Sufficient Stock")</f>
        <v>Sufficient Stock</v>
      </c>
      <c r="Y1426">
        <f>WarehouseData[[#This Row],[daily_demand]]*WarehouseData[[#This Row],[lead_time_days]]</f>
        <v>121.16999999999999</v>
      </c>
      <c r="Z1426" t="str">
        <f>IF(WarehouseData[[#This Row],[stock_level]]&lt;=WarehouseData[[#This Row],[Demand During Lead Time]],"At Risk","Safe")</f>
        <v>Safe</v>
      </c>
      <c r="AA1426">
        <f>WarehouseData[[#This Row],[stock_level]]/WarehouseData[[#This Row],[daily_demand]]</f>
        <v>14.500288850375506</v>
      </c>
      <c r="AB1426">
        <f>WarehouseData[[#This Row],[stock_level]]*WarehouseData[[#This Row],[unit_price]]</f>
        <v>10461.68</v>
      </c>
      <c r="AC1426">
        <f>WarehouseData[[#This Row],[stock_level]]*WarehouseData[[#This Row],[holding_cost_per_unit_day]]*30</f>
        <v>10391.4</v>
      </c>
      <c r="AD1426" t="str">
        <f>IF(WarehouseData[[#This Row],[order_fulfillment_rate]]&gt;=0.9,"Strong",IF(WarehouseData[[#This Row],[order_fulfillment_rate]]&gt;=0.8,"Moderate","Needs Attention"))</f>
        <v>Moderate</v>
      </c>
      <c r="AE1426" t="str">
        <f>IF(WarehouseData[[#This Row],[picking_time_seconds]]&gt;120,"Slow",IF(WarehouseData[[#This Row],[picking_time_seconds]]&gt;=60,"Average","Fast"))</f>
        <v>Fast</v>
      </c>
    </row>
    <row r="1427" spans="1:31" x14ac:dyDescent="0.25">
      <c r="A1427" t="s">
        <v>1565</v>
      </c>
      <c r="B1427" t="s">
        <v>48</v>
      </c>
      <c r="C1427">
        <v>165</v>
      </c>
      <c r="D1427">
        <v>80</v>
      </c>
      <c r="E1427">
        <v>13</v>
      </c>
      <c r="F1427">
        <v>6</v>
      </c>
      <c r="G1427">
        <v>19.72</v>
      </c>
      <c r="H1427">
        <v>1.59</v>
      </c>
      <c r="I1427">
        <v>0.92</v>
      </c>
      <c r="J1427" t="s">
        <v>81</v>
      </c>
      <c r="K1427" t="s">
        <v>52</v>
      </c>
      <c r="L1427">
        <v>110</v>
      </c>
      <c r="M1427">
        <v>0.91</v>
      </c>
      <c r="N1427">
        <v>39.71</v>
      </c>
      <c r="O1427">
        <v>0.83</v>
      </c>
      <c r="P1427">
        <v>4</v>
      </c>
      <c r="Q1427">
        <v>0.94</v>
      </c>
      <c r="R1427">
        <v>728</v>
      </c>
      <c r="S1427">
        <v>4.6399999999999997</v>
      </c>
      <c r="T1427">
        <v>0.93</v>
      </c>
      <c r="U1427" s="1">
        <v>45493</v>
      </c>
      <c r="V1427">
        <v>39.06</v>
      </c>
      <c r="W1427">
        <v>0.67300000000000004</v>
      </c>
      <c r="X1427" t="str">
        <f>IF(WarehouseData[[#This Row],[stock_level]]&lt;=WarehouseData[[#This Row],[reorder_point]],"Low Stock","Sufficient Stock")</f>
        <v>Sufficient Stock</v>
      </c>
      <c r="Y1427">
        <f>WarehouseData[[#This Row],[daily_demand]]*WarehouseData[[#This Row],[lead_time_days]]</f>
        <v>118.32</v>
      </c>
      <c r="Z1427" t="str">
        <f>IF(WarehouseData[[#This Row],[stock_level]]&lt;=WarehouseData[[#This Row],[Demand During Lead Time]],"At Risk","Safe")</f>
        <v>Safe</v>
      </c>
      <c r="AA1427">
        <f>WarehouseData[[#This Row],[stock_level]]/WarehouseData[[#This Row],[daily_demand]]</f>
        <v>8.3671399594320484</v>
      </c>
      <c r="AB1427">
        <f>WarehouseData[[#This Row],[stock_level]]*WarehouseData[[#This Row],[unit_price]]</f>
        <v>6552.1500000000005</v>
      </c>
      <c r="AC1427">
        <f>WarehouseData[[#This Row],[stock_level]]*WarehouseData[[#This Row],[holding_cost_per_unit_day]]*30</f>
        <v>4108.5</v>
      </c>
      <c r="AD1427" t="str">
        <f>IF(WarehouseData[[#This Row],[order_fulfillment_rate]]&gt;=0.9,"Strong",IF(WarehouseData[[#This Row],[order_fulfillment_rate]]&gt;=0.8,"Moderate","Needs Attention"))</f>
        <v>Strong</v>
      </c>
      <c r="AE1427" t="str">
        <f>IF(WarehouseData[[#This Row],[picking_time_seconds]]&gt;120,"Slow",IF(WarehouseData[[#This Row],[picking_time_seconds]]&gt;=60,"Average","Fast"))</f>
        <v>Average</v>
      </c>
    </row>
    <row r="1428" spans="1:31" x14ac:dyDescent="0.25">
      <c r="A1428" t="s">
        <v>1566</v>
      </c>
      <c r="B1428" t="s">
        <v>32</v>
      </c>
      <c r="C1428">
        <v>454</v>
      </c>
      <c r="D1428">
        <v>96</v>
      </c>
      <c r="E1428">
        <v>4</v>
      </c>
      <c r="F1428">
        <v>8</v>
      </c>
      <c r="G1428">
        <v>30.13</v>
      </c>
      <c r="H1428">
        <v>9.4600000000000009</v>
      </c>
      <c r="I1428">
        <v>0.51</v>
      </c>
      <c r="J1428" t="s">
        <v>245</v>
      </c>
      <c r="K1428" t="s">
        <v>46</v>
      </c>
      <c r="L1428">
        <v>137</v>
      </c>
      <c r="M1428">
        <v>1.1399999999999999</v>
      </c>
      <c r="N1428">
        <v>19.27</v>
      </c>
      <c r="O1428">
        <v>0.31</v>
      </c>
      <c r="P1428">
        <v>2</v>
      </c>
      <c r="Q1428">
        <v>0.8</v>
      </c>
      <c r="R1428">
        <v>867</v>
      </c>
      <c r="S1428">
        <v>2.2599999999999998</v>
      </c>
      <c r="T1428">
        <v>0.49</v>
      </c>
      <c r="U1428" s="1">
        <v>45584</v>
      </c>
      <c r="V1428">
        <v>237.98</v>
      </c>
      <c r="W1428">
        <v>0.61699999999999999</v>
      </c>
      <c r="X1428" t="str">
        <f>IF(WarehouseData[[#This Row],[stock_level]]&lt;=WarehouseData[[#This Row],[reorder_point]],"Low Stock","Sufficient Stock")</f>
        <v>Sufficient Stock</v>
      </c>
      <c r="Y1428">
        <f>WarehouseData[[#This Row],[daily_demand]]*WarehouseData[[#This Row],[lead_time_days]]</f>
        <v>241.04</v>
      </c>
      <c r="Z1428" t="str">
        <f>IF(WarehouseData[[#This Row],[stock_level]]&lt;=WarehouseData[[#This Row],[Demand During Lead Time]],"At Risk","Safe")</f>
        <v>Safe</v>
      </c>
      <c r="AA1428">
        <f>WarehouseData[[#This Row],[stock_level]]/WarehouseData[[#This Row],[daily_demand]]</f>
        <v>15.068038499834053</v>
      </c>
      <c r="AB1428">
        <f>WarehouseData[[#This Row],[stock_level]]*WarehouseData[[#This Row],[unit_price]]</f>
        <v>8748.58</v>
      </c>
      <c r="AC1428">
        <f>WarehouseData[[#This Row],[stock_level]]*WarehouseData[[#This Row],[holding_cost_per_unit_day]]*30</f>
        <v>4222.2000000000007</v>
      </c>
      <c r="AD1428" t="str">
        <f>IF(WarehouseData[[#This Row],[order_fulfillment_rate]]&gt;=0.9,"Strong",IF(WarehouseData[[#This Row],[order_fulfillment_rate]]&gt;=0.8,"Moderate","Needs Attention"))</f>
        <v>Moderate</v>
      </c>
      <c r="AE1428" t="str">
        <f>IF(WarehouseData[[#This Row],[picking_time_seconds]]&gt;120,"Slow",IF(WarehouseData[[#This Row],[picking_time_seconds]]&gt;=60,"Average","Fast"))</f>
        <v>Slow</v>
      </c>
    </row>
    <row r="1429" spans="1:31" x14ac:dyDescent="0.25">
      <c r="A1429" t="s">
        <v>1567</v>
      </c>
      <c r="B1429" t="s">
        <v>40</v>
      </c>
      <c r="C1429">
        <v>403</v>
      </c>
      <c r="D1429">
        <v>11</v>
      </c>
      <c r="E1429">
        <v>6</v>
      </c>
      <c r="F1429">
        <v>8</v>
      </c>
      <c r="G1429">
        <v>4.42</v>
      </c>
      <c r="H1429">
        <v>3.26</v>
      </c>
      <c r="I1429">
        <v>0.83</v>
      </c>
      <c r="J1429" t="s">
        <v>234</v>
      </c>
      <c r="K1429" t="s">
        <v>46</v>
      </c>
      <c r="L1429">
        <v>111</v>
      </c>
      <c r="M1429">
        <v>3.71</v>
      </c>
      <c r="N1429">
        <v>88.25</v>
      </c>
      <c r="O1429">
        <v>1.02</v>
      </c>
      <c r="P1429">
        <v>3</v>
      </c>
      <c r="Q1429">
        <v>0.87</v>
      </c>
      <c r="R1429">
        <v>210</v>
      </c>
      <c r="S1429">
        <v>3.88</v>
      </c>
      <c r="T1429">
        <v>0.22</v>
      </c>
      <c r="U1429" s="1">
        <v>45573</v>
      </c>
      <c r="V1429">
        <v>271.55</v>
      </c>
      <c r="W1429">
        <v>0.50800000000000001</v>
      </c>
      <c r="X1429" t="str">
        <f>IF(WarehouseData[[#This Row],[stock_level]]&lt;=WarehouseData[[#This Row],[reorder_point]],"Low Stock","Sufficient Stock")</f>
        <v>Sufficient Stock</v>
      </c>
      <c r="Y1429">
        <f>WarehouseData[[#This Row],[daily_demand]]*WarehouseData[[#This Row],[lead_time_days]]</f>
        <v>35.36</v>
      </c>
      <c r="Z1429" t="str">
        <f>IF(WarehouseData[[#This Row],[stock_level]]&lt;=WarehouseData[[#This Row],[Demand During Lead Time]],"At Risk","Safe")</f>
        <v>Safe</v>
      </c>
      <c r="AA1429">
        <f>WarehouseData[[#This Row],[stock_level]]/WarehouseData[[#This Row],[daily_demand]]</f>
        <v>91.17647058823529</v>
      </c>
      <c r="AB1429">
        <f>WarehouseData[[#This Row],[stock_level]]*WarehouseData[[#This Row],[unit_price]]</f>
        <v>35564.75</v>
      </c>
      <c r="AC1429">
        <f>WarehouseData[[#This Row],[stock_level]]*WarehouseData[[#This Row],[holding_cost_per_unit_day]]*30</f>
        <v>12331.8</v>
      </c>
      <c r="AD1429" t="str">
        <f>IF(WarehouseData[[#This Row],[order_fulfillment_rate]]&gt;=0.9,"Strong",IF(WarehouseData[[#This Row],[order_fulfillment_rate]]&gt;=0.8,"Moderate","Needs Attention"))</f>
        <v>Moderate</v>
      </c>
      <c r="AE1429" t="str">
        <f>IF(WarehouseData[[#This Row],[picking_time_seconds]]&gt;120,"Slow",IF(WarehouseData[[#This Row],[picking_time_seconds]]&gt;=60,"Average","Fast"))</f>
        <v>Average</v>
      </c>
    </row>
    <row r="1430" spans="1:31" x14ac:dyDescent="0.25">
      <c r="A1430" t="s">
        <v>1568</v>
      </c>
      <c r="B1430" t="s">
        <v>36</v>
      </c>
      <c r="C1430">
        <v>67</v>
      </c>
      <c r="D1430">
        <v>58</v>
      </c>
      <c r="E1430">
        <v>4</v>
      </c>
      <c r="F1430">
        <v>2</v>
      </c>
      <c r="G1430">
        <v>13.54</v>
      </c>
      <c r="H1430">
        <v>9.27</v>
      </c>
      <c r="I1430">
        <v>0.43</v>
      </c>
      <c r="J1430" t="s">
        <v>477</v>
      </c>
      <c r="K1430" t="s">
        <v>38</v>
      </c>
      <c r="L1430">
        <v>45</v>
      </c>
      <c r="M1430">
        <v>0.64</v>
      </c>
      <c r="N1430">
        <v>163.68</v>
      </c>
      <c r="O1430">
        <v>0.3</v>
      </c>
      <c r="P1430">
        <v>3</v>
      </c>
      <c r="Q1430">
        <v>0.72</v>
      </c>
      <c r="R1430">
        <v>333</v>
      </c>
      <c r="S1430">
        <v>13.79</v>
      </c>
      <c r="T1430">
        <v>0.33</v>
      </c>
      <c r="U1430" s="1">
        <v>45543</v>
      </c>
      <c r="V1430">
        <v>87.78</v>
      </c>
      <c r="W1430">
        <v>0.70399999999999996</v>
      </c>
      <c r="X1430" t="str">
        <f>IF(WarehouseData[[#This Row],[stock_level]]&lt;=WarehouseData[[#This Row],[reorder_point]],"Low Stock","Sufficient Stock")</f>
        <v>Sufficient Stock</v>
      </c>
      <c r="Y1430">
        <f>WarehouseData[[#This Row],[daily_demand]]*WarehouseData[[#This Row],[lead_time_days]]</f>
        <v>27.08</v>
      </c>
      <c r="Z1430" t="str">
        <f>IF(WarehouseData[[#This Row],[stock_level]]&lt;=WarehouseData[[#This Row],[Demand During Lead Time]],"At Risk","Safe")</f>
        <v>Safe</v>
      </c>
      <c r="AA1430">
        <f>WarehouseData[[#This Row],[stock_level]]/WarehouseData[[#This Row],[daily_demand]]</f>
        <v>4.9483013293943872</v>
      </c>
      <c r="AB1430">
        <f>WarehouseData[[#This Row],[stock_level]]*WarehouseData[[#This Row],[unit_price]]</f>
        <v>10966.560000000001</v>
      </c>
      <c r="AC1430">
        <f>WarehouseData[[#This Row],[stock_level]]*WarehouseData[[#This Row],[holding_cost_per_unit_day]]*30</f>
        <v>602.99999999999989</v>
      </c>
      <c r="AD1430" t="str">
        <f>IF(WarehouseData[[#This Row],[order_fulfillment_rate]]&gt;=0.9,"Strong",IF(WarehouseData[[#This Row],[order_fulfillment_rate]]&gt;=0.8,"Moderate","Needs Attention"))</f>
        <v>Needs Attention</v>
      </c>
      <c r="AE1430" t="str">
        <f>IF(WarehouseData[[#This Row],[picking_time_seconds]]&gt;120,"Slow",IF(WarehouseData[[#This Row],[picking_time_seconds]]&gt;=60,"Average","Fast"))</f>
        <v>Fast</v>
      </c>
    </row>
    <row r="1431" spans="1:31" x14ac:dyDescent="0.25">
      <c r="A1431" t="s">
        <v>1569</v>
      </c>
      <c r="B1431" t="s">
        <v>48</v>
      </c>
      <c r="C1431">
        <v>213</v>
      </c>
      <c r="D1431">
        <v>97</v>
      </c>
      <c r="E1431">
        <v>3</v>
      </c>
      <c r="F1431">
        <v>4</v>
      </c>
      <c r="G1431">
        <v>10.64</v>
      </c>
      <c r="H1431">
        <v>3.6</v>
      </c>
      <c r="I1431">
        <v>0.87</v>
      </c>
      <c r="J1431" t="s">
        <v>215</v>
      </c>
      <c r="K1431" t="s">
        <v>52</v>
      </c>
      <c r="L1431">
        <v>108</v>
      </c>
      <c r="M1431">
        <v>0.87</v>
      </c>
      <c r="N1431">
        <v>103.16</v>
      </c>
      <c r="O1431">
        <v>1.05</v>
      </c>
      <c r="P1431">
        <v>5</v>
      </c>
      <c r="Q1431">
        <v>0.92</v>
      </c>
      <c r="R1431">
        <v>233</v>
      </c>
      <c r="S1431">
        <v>1.1499999999999999</v>
      </c>
      <c r="T1431">
        <v>0.91</v>
      </c>
      <c r="U1431" s="1">
        <v>45370</v>
      </c>
      <c r="V1431">
        <v>154.44999999999999</v>
      </c>
      <c r="W1431">
        <v>0.57599999999999996</v>
      </c>
      <c r="X1431" t="str">
        <f>IF(WarehouseData[[#This Row],[stock_level]]&lt;=WarehouseData[[#This Row],[reorder_point]],"Low Stock","Sufficient Stock")</f>
        <v>Sufficient Stock</v>
      </c>
      <c r="Y1431">
        <f>WarehouseData[[#This Row],[daily_demand]]*WarehouseData[[#This Row],[lead_time_days]]</f>
        <v>42.56</v>
      </c>
      <c r="Z1431" t="str">
        <f>IF(WarehouseData[[#This Row],[stock_level]]&lt;=WarehouseData[[#This Row],[Demand During Lead Time]],"At Risk","Safe")</f>
        <v>Safe</v>
      </c>
      <c r="AA1431">
        <f>WarehouseData[[#This Row],[stock_level]]/WarehouseData[[#This Row],[daily_demand]]</f>
        <v>20.018796992481203</v>
      </c>
      <c r="AB1431">
        <f>WarehouseData[[#This Row],[stock_level]]*WarehouseData[[#This Row],[unit_price]]</f>
        <v>21973.079999999998</v>
      </c>
      <c r="AC1431">
        <f>WarehouseData[[#This Row],[stock_level]]*WarehouseData[[#This Row],[holding_cost_per_unit_day]]*30</f>
        <v>6709.5</v>
      </c>
      <c r="AD1431" t="str">
        <f>IF(WarehouseData[[#This Row],[order_fulfillment_rate]]&gt;=0.9,"Strong",IF(WarehouseData[[#This Row],[order_fulfillment_rate]]&gt;=0.8,"Moderate","Needs Attention"))</f>
        <v>Strong</v>
      </c>
      <c r="AE1431" t="str">
        <f>IF(WarehouseData[[#This Row],[picking_time_seconds]]&gt;120,"Slow",IF(WarehouseData[[#This Row],[picking_time_seconds]]&gt;=60,"Average","Fast"))</f>
        <v>Average</v>
      </c>
    </row>
    <row r="1432" spans="1:31" x14ac:dyDescent="0.25">
      <c r="A1432" t="s">
        <v>1570</v>
      </c>
      <c r="B1432" t="s">
        <v>48</v>
      </c>
      <c r="C1432">
        <v>243</v>
      </c>
      <c r="D1432">
        <v>40</v>
      </c>
      <c r="E1432">
        <v>14</v>
      </c>
      <c r="F1432">
        <v>9</v>
      </c>
      <c r="G1432">
        <v>1.78</v>
      </c>
      <c r="H1432">
        <v>7.93</v>
      </c>
      <c r="I1432">
        <v>0.84</v>
      </c>
      <c r="J1432" t="s">
        <v>77</v>
      </c>
      <c r="K1432" t="s">
        <v>34</v>
      </c>
      <c r="L1432">
        <v>122</v>
      </c>
      <c r="M1432">
        <v>4.75</v>
      </c>
      <c r="N1432">
        <v>79.599999999999994</v>
      </c>
      <c r="O1432">
        <v>1.66</v>
      </c>
      <c r="P1432">
        <v>9</v>
      </c>
      <c r="Q1432">
        <v>0.91</v>
      </c>
      <c r="R1432">
        <v>586</v>
      </c>
      <c r="S1432">
        <v>2.87</v>
      </c>
      <c r="T1432">
        <v>0.3</v>
      </c>
      <c r="U1432" s="1">
        <v>45319</v>
      </c>
      <c r="V1432">
        <v>183.19</v>
      </c>
      <c r="W1432">
        <v>0.33400000000000002</v>
      </c>
      <c r="X1432" t="str">
        <f>IF(WarehouseData[[#This Row],[stock_level]]&lt;=WarehouseData[[#This Row],[reorder_point]],"Low Stock","Sufficient Stock")</f>
        <v>Sufficient Stock</v>
      </c>
      <c r="Y1432">
        <f>WarehouseData[[#This Row],[daily_demand]]*WarehouseData[[#This Row],[lead_time_days]]</f>
        <v>16.02</v>
      </c>
      <c r="Z1432" t="str">
        <f>IF(WarehouseData[[#This Row],[stock_level]]&lt;=WarehouseData[[#This Row],[Demand During Lead Time]],"At Risk","Safe")</f>
        <v>Safe</v>
      </c>
      <c r="AA1432">
        <f>WarehouseData[[#This Row],[stock_level]]/WarehouseData[[#This Row],[daily_demand]]</f>
        <v>136.51685393258427</v>
      </c>
      <c r="AB1432">
        <f>WarehouseData[[#This Row],[stock_level]]*WarehouseData[[#This Row],[unit_price]]</f>
        <v>19342.8</v>
      </c>
      <c r="AC1432">
        <f>WarehouseData[[#This Row],[stock_level]]*WarehouseData[[#This Row],[holding_cost_per_unit_day]]*30</f>
        <v>12101.4</v>
      </c>
      <c r="AD1432" t="str">
        <f>IF(WarehouseData[[#This Row],[order_fulfillment_rate]]&gt;=0.9,"Strong",IF(WarehouseData[[#This Row],[order_fulfillment_rate]]&gt;=0.8,"Moderate","Needs Attention"))</f>
        <v>Strong</v>
      </c>
      <c r="AE1432" t="str">
        <f>IF(WarehouseData[[#This Row],[picking_time_seconds]]&gt;120,"Slow",IF(WarehouseData[[#This Row],[picking_time_seconds]]&gt;=60,"Average","Fast"))</f>
        <v>Slow</v>
      </c>
    </row>
    <row r="1433" spans="1:31" x14ac:dyDescent="0.25">
      <c r="A1433" t="s">
        <v>1571</v>
      </c>
      <c r="B1433" t="s">
        <v>36</v>
      </c>
      <c r="C1433">
        <v>155</v>
      </c>
      <c r="D1433">
        <v>49</v>
      </c>
      <c r="E1433">
        <v>5</v>
      </c>
      <c r="F1433">
        <v>7</v>
      </c>
      <c r="G1433">
        <v>27.31</v>
      </c>
      <c r="H1433">
        <v>2.84</v>
      </c>
      <c r="I1433">
        <v>0.17</v>
      </c>
      <c r="J1433" t="s">
        <v>81</v>
      </c>
      <c r="K1433" t="s">
        <v>46</v>
      </c>
      <c r="L1433">
        <v>46</v>
      </c>
      <c r="M1433">
        <v>0.88</v>
      </c>
      <c r="N1433">
        <v>30.75</v>
      </c>
      <c r="O1433">
        <v>2</v>
      </c>
      <c r="P1433">
        <v>6</v>
      </c>
      <c r="Q1433">
        <v>0.94</v>
      </c>
      <c r="R1433">
        <v>191</v>
      </c>
      <c r="S1433">
        <v>11.61</v>
      </c>
      <c r="T1433">
        <v>0.79</v>
      </c>
      <c r="U1433" s="1">
        <v>45476</v>
      </c>
      <c r="V1433">
        <v>131.41999999999999</v>
      </c>
      <c r="W1433">
        <v>0.58099999999999996</v>
      </c>
      <c r="X1433" t="str">
        <f>IF(WarehouseData[[#This Row],[stock_level]]&lt;=WarehouseData[[#This Row],[reorder_point]],"Low Stock","Sufficient Stock")</f>
        <v>Sufficient Stock</v>
      </c>
      <c r="Y1433">
        <f>WarehouseData[[#This Row],[daily_demand]]*WarehouseData[[#This Row],[lead_time_days]]</f>
        <v>191.17</v>
      </c>
      <c r="Z1433" t="str">
        <f>IF(WarehouseData[[#This Row],[stock_level]]&lt;=WarehouseData[[#This Row],[Demand During Lead Time]],"At Risk","Safe")</f>
        <v>At Risk</v>
      </c>
      <c r="AA1433">
        <f>WarehouseData[[#This Row],[stock_level]]/WarehouseData[[#This Row],[daily_demand]]</f>
        <v>5.6755767118271701</v>
      </c>
      <c r="AB1433">
        <f>WarehouseData[[#This Row],[stock_level]]*WarehouseData[[#This Row],[unit_price]]</f>
        <v>4766.25</v>
      </c>
      <c r="AC1433">
        <f>WarehouseData[[#This Row],[stock_level]]*WarehouseData[[#This Row],[holding_cost_per_unit_day]]*30</f>
        <v>9300</v>
      </c>
      <c r="AD1433" t="str">
        <f>IF(WarehouseData[[#This Row],[order_fulfillment_rate]]&gt;=0.9,"Strong",IF(WarehouseData[[#This Row],[order_fulfillment_rate]]&gt;=0.8,"Moderate","Needs Attention"))</f>
        <v>Strong</v>
      </c>
      <c r="AE1433" t="str">
        <f>IF(WarehouseData[[#This Row],[picking_time_seconds]]&gt;120,"Slow",IF(WarehouseData[[#This Row],[picking_time_seconds]]&gt;=60,"Average","Fast"))</f>
        <v>Fast</v>
      </c>
    </row>
    <row r="1434" spans="1:31" x14ac:dyDescent="0.25">
      <c r="A1434" t="s">
        <v>1572</v>
      </c>
      <c r="B1434" t="s">
        <v>32</v>
      </c>
      <c r="C1434">
        <v>41</v>
      </c>
      <c r="D1434">
        <v>57</v>
      </c>
      <c r="E1434">
        <v>9</v>
      </c>
      <c r="F1434">
        <v>8</v>
      </c>
      <c r="G1434">
        <v>28.49</v>
      </c>
      <c r="H1434">
        <v>6.86</v>
      </c>
      <c r="I1434">
        <v>0.62</v>
      </c>
      <c r="J1434" t="s">
        <v>124</v>
      </c>
      <c r="K1434" t="s">
        <v>34</v>
      </c>
      <c r="L1434">
        <v>63</v>
      </c>
      <c r="M1434">
        <v>2.92</v>
      </c>
      <c r="N1434">
        <v>19.829999999999998</v>
      </c>
      <c r="O1434">
        <v>0.48</v>
      </c>
      <c r="P1434">
        <v>6</v>
      </c>
      <c r="Q1434">
        <v>0.97</v>
      </c>
      <c r="R1434">
        <v>744</v>
      </c>
      <c r="S1434">
        <v>14.72</v>
      </c>
      <c r="T1434">
        <v>0.35</v>
      </c>
      <c r="U1434" s="1">
        <v>45293</v>
      </c>
      <c r="V1434">
        <v>28.94</v>
      </c>
      <c r="W1434">
        <v>0.69199999999999995</v>
      </c>
      <c r="X1434" t="str">
        <f>IF(WarehouseData[[#This Row],[stock_level]]&lt;=WarehouseData[[#This Row],[reorder_point]],"Low Stock","Sufficient Stock")</f>
        <v>Low Stock</v>
      </c>
      <c r="Y1434">
        <f>WarehouseData[[#This Row],[daily_demand]]*WarehouseData[[#This Row],[lead_time_days]]</f>
        <v>227.92</v>
      </c>
      <c r="Z1434" t="str">
        <f>IF(WarehouseData[[#This Row],[stock_level]]&lt;=WarehouseData[[#This Row],[Demand During Lead Time]],"At Risk","Safe")</f>
        <v>At Risk</v>
      </c>
      <c r="AA1434">
        <f>WarehouseData[[#This Row],[stock_level]]/WarehouseData[[#This Row],[daily_demand]]</f>
        <v>1.4391014391014392</v>
      </c>
      <c r="AB1434">
        <f>WarehouseData[[#This Row],[stock_level]]*WarehouseData[[#This Row],[unit_price]]</f>
        <v>813.03</v>
      </c>
      <c r="AC1434">
        <f>WarehouseData[[#This Row],[stock_level]]*WarehouseData[[#This Row],[holding_cost_per_unit_day]]*30</f>
        <v>590.4</v>
      </c>
      <c r="AD1434" t="str">
        <f>IF(WarehouseData[[#This Row],[order_fulfillment_rate]]&gt;=0.9,"Strong",IF(WarehouseData[[#This Row],[order_fulfillment_rate]]&gt;=0.8,"Moderate","Needs Attention"))</f>
        <v>Strong</v>
      </c>
      <c r="AE1434" t="str">
        <f>IF(WarehouseData[[#This Row],[picking_time_seconds]]&gt;120,"Slow",IF(WarehouseData[[#This Row],[picking_time_seconds]]&gt;=60,"Average","Fast"))</f>
        <v>Average</v>
      </c>
    </row>
    <row r="1435" spans="1:31" x14ac:dyDescent="0.25">
      <c r="A1435" t="s">
        <v>1573</v>
      </c>
      <c r="B1435" t="s">
        <v>36</v>
      </c>
      <c r="C1435">
        <v>25</v>
      </c>
      <c r="D1435">
        <v>60</v>
      </c>
      <c r="E1435">
        <v>3</v>
      </c>
      <c r="F1435">
        <v>2</v>
      </c>
      <c r="G1435">
        <v>19.809999999999999</v>
      </c>
      <c r="H1435">
        <v>3.58</v>
      </c>
      <c r="I1435">
        <v>0.68</v>
      </c>
      <c r="J1435" t="s">
        <v>51</v>
      </c>
      <c r="K1435" t="s">
        <v>34</v>
      </c>
      <c r="L1435">
        <v>158</v>
      </c>
      <c r="M1435">
        <v>3.39</v>
      </c>
      <c r="N1435">
        <v>85.84</v>
      </c>
      <c r="O1435">
        <v>0.49</v>
      </c>
      <c r="P1435">
        <v>7</v>
      </c>
      <c r="Q1435">
        <v>0.93</v>
      </c>
      <c r="R1435">
        <v>645</v>
      </c>
      <c r="S1435">
        <v>10.63</v>
      </c>
      <c r="T1435">
        <v>0.6</v>
      </c>
      <c r="U1435" s="1">
        <v>45510</v>
      </c>
      <c r="V1435">
        <v>26.43</v>
      </c>
      <c r="W1435">
        <v>0.65900000000000003</v>
      </c>
      <c r="X1435" t="str">
        <f>IF(WarehouseData[[#This Row],[stock_level]]&lt;=WarehouseData[[#This Row],[reorder_point]],"Low Stock","Sufficient Stock")</f>
        <v>Low Stock</v>
      </c>
      <c r="Y1435">
        <f>WarehouseData[[#This Row],[daily_demand]]*WarehouseData[[#This Row],[lead_time_days]]</f>
        <v>39.619999999999997</v>
      </c>
      <c r="Z1435" t="str">
        <f>IF(WarehouseData[[#This Row],[stock_level]]&lt;=WarehouseData[[#This Row],[Demand During Lead Time]],"At Risk","Safe")</f>
        <v>At Risk</v>
      </c>
      <c r="AA1435">
        <f>WarehouseData[[#This Row],[stock_level]]/WarehouseData[[#This Row],[daily_demand]]</f>
        <v>1.2619888944977284</v>
      </c>
      <c r="AB1435">
        <f>WarehouseData[[#This Row],[stock_level]]*WarehouseData[[#This Row],[unit_price]]</f>
        <v>2146</v>
      </c>
      <c r="AC1435">
        <f>WarehouseData[[#This Row],[stock_level]]*WarehouseData[[#This Row],[holding_cost_per_unit_day]]*30</f>
        <v>367.5</v>
      </c>
      <c r="AD1435" t="str">
        <f>IF(WarehouseData[[#This Row],[order_fulfillment_rate]]&gt;=0.9,"Strong",IF(WarehouseData[[#This Row],[order_fulfillment_rate]]&gt;=0.8,"Moderate","Needs Attention"))</f>
        <v>Strong</v>
      </c>
      <c r="AE1435" t="str">
        <f>IF(WarehouseData[[#This Row],[picking_time_seconds]]&gt;120,"Slow",IF(WarehouseData[[#This Row],[picking_time_seconds]]&gt;=60,"Average","Fast"))</f>
        <v>Slow</v>
      </c>
    </row>
    <row r="1436" spans="1:31" x14ac:dyDescent="0.25">
      <c r="A1436" t="s">
        <v>1574</v>
      </c>
      <c r="B1436" t="s">
        <v>32</v>
      </c>
      <c r="C1436">
        <v>223</v>
      </c>
      <c r="D1436">
        <v>52</v>
      </c>
      <c r="E1436">
        <v>4</v>
      </c>
      <c r="F1436">
        <v>7</v>
      </c>
      <c r="G1436">
        <v>14.17</v>
      </c>
      <c r="H1436">
        <v>5.34</v>
      </c>
      <c r="I1436">
        <v>0.1</v>
      </c>
      <c r="J1436" t="s">
        <v>33</v>
      </c>
      <c r="K1436" t="s">
        <v>38</v>
      </c>
      <c r="L1436">
        <v>158</v>
      </c>
      <c r="M1436">
        <v>4.8099999999999996</v>
      </c>
      <c r="N1436">
        <v>28.99</v>
      </c>
      <c r="O1436">
        <v>1.64</v>
      </c>
      <c r="P1436">
        <v>2</v>
      </c>
      <c r="Q1436">
        <v>0.95</v>
      </c>
      <c r="R1436">
        <v>280</v>
      </c>
      <c r="S1436">
        <v>13.91</v>
      </c>
      <c r="T1436">
        <v>0.36</v>
      </c>
      <c r="U1436" s="1">
        <v>45336</v>
      </c>
      <c r="V1436">
        <v>137.69999999999999</v>
      </c>
      <c r="W1436">
        <v>0.64300000000000002</v>
      </c>
      <c r="X1436" t="str">
        <f>IF(WarehouseData[[#This Row],[stock_level]]&lt;=WarehouseData[[#This Row],[reorder_point]],"Low Stock","Sufficient Stock")</f>
        <v>Sufficient Stock</v>
      </c>
      <c r="Y1436">
        <f>WarehouseData[[#This Row],[daily_demand]]*WarehouseData[[#This Row],[lead_time_days]]</f>
        <v>99.19</v>
      </c>
      <c r="Z1436" t="str">
        <f>IF(WarehouseData[[#This Row],[stock_level]]&lt;=WarehouseData[[#This Row],[Demand During Lead Time]],"At Risk","Safe")</f>
        <v>Safe</v>
      </c>
      <c r="AA1436">
        <f>WarehouseData[[#This Row],[stock_level]]/WarehouseData[[#This Row],[daily_demand]]</f>
        <v>15.737473535638673</v>
      </c>
      <c r="AB1436">
        <f>WarehouseData[[#This Row],[stock_level]]*WarehouseData[[#This Row],[unit_price]]</f>
        <v>6464.7699999999995</v>
      </c>
      <c r="AC1436">
        <f>WarehouseData[[#This Row],[stock_level]]*WarehouseData[[#This Row],[holding_cost_per_unit_day]]*30</f>
        <v>10971.599999999999</v>
      </c>
      <c r="AD1436" t="str">
        <f>IF(WarehouseData[[#This Row],[order_fulfillment_rate]]&gt;=0.9,"Strong",IF(WarehouseData[[#This Row],[order_fulfillment_rate]]&gt;=0.8,"Moderate","Needs Attention"))</f>
        <v>Strong</v>
      </c>
      <c r="AE1436" t="str">
        <f>IF(WarehouseData[[#This Row],[picking_time_seconds]]&gt;120,"Slow",IF(WarehouseData[[#This Row],[picking_time_seconds]]&gt;=60,"Average","Fast"))</f>
        <v>Slow</v>
      </c>
    </row>
    <row r="1437" spans="1:31" x14ac:dyDescent="0.25">
      <c r="A1437" t="s">
        <v>1575</v>
      </c>
      <c r="B1437" t="s">
        <v>36</v>
      </c>
      <c r="C1437">
        <v>258</v>
      </c>
      <c r="D1437">
        <v>64</v>
      </c>
      <c r="E1437">
        <v>3</v>
      </c>
      <c r="F1437">
        <v>4</v>
      </c>
      <c r="G1437">
        <v>32.950000000000003</v>
      </c>
      <c r="H1437">
        <v>6.9</v>
      </c>
      <c r="I1437">
        <v>0.98</v>
      </c>
      <c r="J1437" t="s">
        <v>156</v>
      </c>
      <c r="K1437" t="s">
        <v>38</v>
      </c>
      <c r="L1437">
        <v>101</v>
      </c>
      <c r="M1437">
        <v>4.55</v>
      </c>
      <c r="N1437">
        <v>29.67</v>
      </c>
      <c r="O1437">
        <v>0.99</v>
      </c>
      <c r="P1437">
        <v>4</v>
      </c>
      <c r="Q1437">
        <v>0.8</v>
      </c>
      <c r="R1437">
        <v>517</v>
      </c>
      <c r="S1437">
        <v>12.97</v>
      </c>
      <c r="T1437">
        <v>0.47</v>
      </c>
      <c r="U1437" s="1">
        <v>45442</v>
      </c>
      <c r="V1437">
        <v>241.38</v>
      </c>
      <c r="W1437">
        <v>0.64800000000000002</v>
      </c>
      <c r="X1437" t="str">
        <f>IF(WarehouseData[[#This Row],[stock_level]]&lt;=WarehouseData[[#This Row],[reorder_point]],"Low Stock","Sufficient Stock")</f>
        <v>Sufficient Stock</v>
      </c>
      <c r="Y1437">
        <f>WarehouseData[[#This Row],[daily_demand]]*WarehouseData[[#This Row],[lead_time_days]]</f>
        <v>131.80000000000001</v>
      </c>
      <c r="Z1437" t="str">
        <f>IF(WarehouseData[[#This Row],[stock_level]]&lt;=WarehouseData[[#This Row],[Demand During Lead Time]],"At Risk","Safe")</f>
        <v>Safe</v>
      </c>
      <c r="AA1437">
        <f>WarehouseData[[#This Row],[stock_level]]/WarehouseData[[#This Row],[daily_demand]]</f>
        <v>7.8300455235204849</v>
      </c>
      <c r="AB1437">
        <f>WarehouseData[[#This Row],[stock_level]]*WarehouseData[[#This Row],[unit_price]]</f>
        <v>7654.8600000000006</v>
      </c>
      <c r="AC1437">
        <f>WarehouseData[[#This Row],[stock_level]]*WarehouseData[[#This Row],[holding_cost_per_unit_day]]*30</f>
        <v>7662.5999999999995</v>
      </c>
      <c r="AD1437" t="str">
        <f>IF(WarehouseData[[#This Row],[order_fulfillment_rate]]&gt;=0.9,"Strong",IF(WarehouseData[[#This Row],[order_fulfillment_rate]]&gt;=0.8,"Moderate","Needs Attention"))</f>
        <v>Moderate</v>
      </c>
      <c r="AE1437" t="str">
        <f>IF(WarehouseData[[#This Row],[picking_time_seconds]]&gt;120,"Slow",IF(WarehouseData[[#This Row],[picking_time_seconds]]&gt;=60,"Average","Fast"))</f>
        <v>Average</v>
      </c>
    </row>
    <row r="1438" spans="1:31" x14ac:dyDescent="0.25">
      <c r="A1438" t="s">
        <v>1576</v>
      </c>
      <c r="B1438" t="s">
        <v>36</v>
      </c>
      <c r="C1438">
        <v>204</v>
      </c>
      <c r="D1438">
        <v>97</v>
      </c>
      <c r="E1438">
        <v>10</v>
      </c>
      <c r="F1438">
        <v>7</v>
      </c>
      <c r="G1438">
        <v>7.6</v>
      </c>
      <c r="H1438">
        <v>6.09</v>
      </c>
      <c r="I1438">
        <v>0.47</v>
      </c>
      <c r="J1438" t="s">
        <v>150</v>
      </c>
      <c r="K1438" t="s">
        <v>34</v>
      </c>
      <c r="L1438">
        <v>79</v>
      </c>
      <c r="M1438">
        <v>2.48</v>
      </c>
      <c r="N1438">
        <v>85.12</v>
      </c>
      <c r="O1438">
        <v>1.84</v>
      </c>
      <c r="P1438">
        <v>9</v>
      </c>
      <c r="Q1438">
        <v>0.8</v>
      </c>
      <c r="R1438">
        <v>952</v>
      </c>
      <c r="S1438">
        <v>7.72</v>
      </c>
      <c r="T1438">
        <v>0.3</v>
      </c>
      <c r="U1438" s="1">
        <v>45630</v>
      </c>
      <c r="V1438">
        <v>34.54</v>
      </c>
      <c r="W1438">
        <v>0.35899999999999999</v>
      </c>
      <c r="X1438" t="str">
        <f>IF(WarehouseData[[#This Row],[stock_level]]&lt;=WarehouseData[[#This Row],[reorder_point]],"Low Stock","Sufficient Stock")</f>
        <v>Sufficient Stock</v>
      </c>
      <c r="Y1438">
        <f>WarehouseData[[#This Row],[daily_demand]]*WarehouseData[[#This Row],[lead_time_days]]</f>
        <v>53.199999999999996</v>
      </c>
      <c r="Z1438" t="str">
        <f>IF(WarehouseData[[#This Row],[stock_level]]&lt;=WarehouseData[[#This Row],[Demand During Lead Time]],"At Risk","Safe")</f>
        <v>Safe</v>
      </c>
      <c r="AA1438">
        <f>WarehouseData[[#This Row],[stock_level]]/WarehouseData[[#This Row],[daily_demand]]</f>
        <v>26.842105263157897</v>
      </c>
      <c r="AB1438">
        <f>WarehouseData[[#This Row],[stock_level]]*WarehouseData[[#This Row],[unit_price]]</f>
        <v>17364.48</v>
      </c>
      <c r="AC1438">
        <f>WarehouseData[[#This Row],[stock_level]]*WarehouseData[[#This Row],[holding_cost_per_unit_day]]*30</f>
        <v>11260.800000000001</v>
      </c>
      <c r="AD1438" t="str">
        <f>IF(WarehouseData[[#This Row],[order_fulfillment_rate]]&gt;=0.9,"Strong",IF(WarehouseData[[#This Row],[order_fulfillment_rate]]&gt;=0.8,"Moderate","Needs Attention"))</f>
        <v>Moderate</v>
      </c>
      <c r="AE1438" t="str">
        <f>IF(WarehouseData[[#This Row],[picking_time_seconds]]&gt;120,"Slow",IF(WarehouseData[[#This Row],[picking_time_seconds]]&gt;=60,"Average","Fast"))</f>
        <v>Average</v>
      </c>
    </row>
    <row r="1439" spans="1:31" x14ac:dyDescent="0.25">
      <c r="A1439" t="s">
        <v>1577</v>
      </c>
      <c r="B1439" t="s">
        <v>73</v>
      </c>
      <c r="C1439">
        <v>379</v>
      </c>
      <c r="D1439">
        <v>58</v>
      </c>
      <c r="E1439">
        <v>7</v>
      </c>
      <c r="F1439">
        <v>2</v>
      </c>
      <c r="G1439">
        <v>26.41</v>
      </c>
      <c r="H1439">
        <v>5.97</v>
      </c>
      <c r="I1439">
        <v>0.56999999999999995</v>
      </c>
      <c r="J1439" t="s">
        <v>283</v>
      </c>
      <c r="K1439" t="s">
        <v>34</v>
      </c>
      <c r="L1439">
        <v>93</v>
      </c>
      <c r="M1439">
        <v>4.74</v>
      </c>
      <c r="N1439">
        <v>105.54</v>
      </c>
      <c r="O1439">
        <v>1.56</v>
      </c>
      <c r="P1439">
        <v>5</v>
      </c>
      <c r="Q1439">
        <v>0.98</v>
      </c>
      <c r="R1439">
        <v>437</v>
      </c>
      <c r="S1439">
        <v>5.67</v>
      </c>
      <c r="T1439">
        <v>0.64</v>
      </c>
      <c r="U1439" s="1">
        <v>45612</v>
      </c>
      <c r="V1439">
        <v>69.650000000000006</v>
      </c>
      <c r="W1439">
        <v>0.54400000000000004</v>
      </c>
      <c r="X1439" t="str">
        <f>IF(WarehouseData[[#This Row],[stock_level]]&lt;=WarehouseData[[#This Row],[reorder_point]],"Low Stock","Sufficient Stock")</f>
        <v>Sufficient Stock</v>
      </c>
      <c r="Y1439">
        <f>WarehouseData[[#This Row],[daily_demand]]*WarehouseData[[#This Row],[lead_time_days]]</f>
        <v>52.82</v>
      </c>
      <c r="Z1439" t="str">
        <f>IF(WarehouseData[[#This Row],[stock_level]]&lt;=WarehouseData[[#This Row],[Demand During Lead Time]],"At Risk","Safe")</f>
        <v>Safe</v>
      </c>
      <c r="AA1439">
        <f>WarehouseData[[#This Row],[stock_level]]/WarehouseData[[#This Row],[daily_demand]]</f>
        <v>14.350624763347216</v>
      </c>
      <c r="AB1439">
        <f>WarehouseData[[#This Row],[stock_level]]*WarehouseData[[#This Row],[unit_price]]</f>
        <v>39999.660000000003</v>
      </c>
      <c r="AC1439">
        <f>WarehouseData[[#This Row],[stock_level]]*WarehouseData[[#This Row],[holding_cost_per_unit_day]]*30</f>
        <v>17737.2</v>
      </c>
      <c r="AD1439" t="str">
        <f>IF(WarehouseData[[#This Row],[order_fulfillment_rate]]&gt;=0.9,"Strong",IF(WarehouseData[[#This Row],[order_fulfillment_rate]]&gt;=0.8,"Moderate","Needs Attention"))</f>
        <v>Strong</v>
      </c>
      <c r="AE1439" t="str">
        <f>IF(WarehouseData[[#This Row],[picking_time_seconds]]&gt;120,"Slow",IF(WarehouseData[[#This Row],[picking_time_seconds]]&gt;=60,"Average","Fast"))</f>
        <v>Average</v>
      </c>
    </row>
    <row r="1440" spans="1:31" x14ac:dyDescent="0.25">
      <c r="A1440" t="s">
        <v>1578</v>
      </c>
      <c r="B1440" t="s">
        <v>48</v>
      </c>
      <c r="C1440">
        <v>311</v>
      </c>
      <c r="D1440">
        <v>99</v>
      </c>
      <c r="E1440">
        <v>10</v>
      </c>
      <c r="F1440">
        <v>5</v>
      </c>
      <c r="G1440">
        <v>38.64</v>
      </c>
      <c r="H1440">
        <v>1.1200000000000001</v>
      </c>
      <c r="I1440">
        <v>0.28000000000000003</v>
      </c>
      <c r="J1440" t="s">
        <v>59</v>
      </c>
      <c r="K1440" t="s">
        <v>34</v>
      </c>
      <c r="L1440">
        <v>173</v>
      </c>
      <c r="M1440">
        <v>2.4500000000000002</v>
      </c>
      <c r="N1440">
        <v>45.47</v>
      </c>
      <c r="O1440">
        <v>1.5</v>
      </c>
      <c r="P1440">
        <v>5</v>
      </c>
      <c r="Q1440">
        <v>0.97</v>
      </c>
      <c r="R1440">
        <v>784</v>
      </c>
      <c r="S1440">
        <v>9.85</v>
      </c>
      <c r="T1440">
        <v>0.49</v>
      </c>
      <c r="U1440" s="1">
        <v>45599</v>
      </c>
      <c r="V1440">
        <v>88.23</v>
      </c>
      <c r="W1440">
        <v>0.57299999999999995</v>
      </c>
      <c r="X1440" t="str">
        <f>IF(WarehouseData[[#This Row],[stock_level]]&lt;=WarehouseData[[#This Row],[reorder_point]],"Low Stock","Sufficient Stock")</f>
        <v>Sufficient Stock</v>
      </c>
      <c r="Y1440">
        <f>WarehouseData[[#This Row],[daily_demand]]*WarehouseData[[#This Row],[lead_time_days]]</f>
        <v>193.2</v>
      </c>
      <c r="Z1440" t="str">
        <f>IF(WarehouseData[[#This Row],[stock_level]]&lt;=WarehouseData[[#This Row],[Demand During Lead Time]],"At Risk","Safe")</f>
        <v>Safe</v>
      </c>
      <c r="AA1440">
        <f>WarehouseData[[#This Row],[stock_level]]/WarehouseData[[#This Row],[daily_demand]]</f>
        <v>8.0486542443064177</v>
      </c>
      <c r="AB1440">
        <f>WarehouseData[[#This Row],[stock_level]]*WarehouseData[[#This Row],[unit_price]]</f>
        <v>14141.17</v>
      </c>
      <c r="AC1440">
        <f>WarehouseData[[#This Row],[stock_level]]*WarehouseData[[#This Row],[holding_cost_per_unit_day]]*30</f>
        <v>13995</v>
      </c>
      <c r="AD1440" t="str">
        <f>IF(WarehouseData[[#This Row],[order_fulfillment_rate]]&gt;=0.9,"Strong",IF(WarehouseData[[#This Row],[order_fulfillment_rate]]&gt;=0.8,"Moderate","Needs Attention"))</f>
        <v>Strong</v>
      </c>
      <c r="AE1440" t="str">
        <f>IF(WarehouseData[[#This Row],[picking_time_seconds]]&gt;120,"Slow",IF(WarehouseData[[#This Row],[picking_time_seconds]]&gt;=60,"Average","Fast"))</f>
        <v>Slow</v>
      </c>
    </row>
    <row r="1441" spans="1:31" x14ac:dyDescent="0.25">
      <c r="A1441" t="s">
        <v>1579</v>
      </c>
      <c r="B1441" t="s">
        <v>36</v>
      </c>
      <c r="C1441">
        <v>354</v>
      </c>
      <c r="D1441">
        <v>89</v>
      </c>
      <c r="E1441">
        <v>5</v>
      </c>
      <c r="F1441">
        <v>9</v>
      </c>
      <c r="G1441">
        <v>9.0500000000000007</v>
      </c>
      <c r="H1441">
        <v>2.87</v>
      </c>
      <c r="I1441">
        <v>0.65</v>
      </c>
      <c r="J1441" t="s">
        <v>263</v>
      </c>
      <c r="K1441" t="s">
        <v>34</v>
      </c>
      <c r="L1441">
        <v>20</v>
      </c>
      <c r="M1441">
        <v>3.51</v>
      </c>
      <c r="N1441">
        <v>140.08000000000001</v>
      </c>
      <c r="O1441">
        <v>0.28999999999999998</v>
      </c>
      <c r="P1441">
        <v>7</v>
      </c>
      <c r="Q1441">
        <v>0.86</v>
      </c>
      <c r="R1441">
        <v>207</v>
      </c>
      <c r="S1441">
        <v>8.4700000000000006</v>
      </c>
      <c r="T1441">
        <v>0.49</v>
      </c>
      <c r="U1441" s="1">
        <v>45537</v>
      </c>
      <c r="V1441">
        <v>172.15</v>
      </c>
      <c r="W1441">
        <v>0.61399999999999999</v>
      </c>
      <c r="X1441" t="str">
        <f>IF(WarehouseData[[#This Row],[stock_level]]&lt;=WarehouseData[[#This Row],[reorder_point]],"Low Stock","Sufficient Stock")</f>
        <v>Sufficient Stock</v>
      </c>
      <c r="Y1441">
        <f>WarehouseData[[#This Row],[daily_demand]]*WarehouseData[[#This Row],[lead_time_days]]</f>
        <v>81.45</v>
      </c>
      <c r="Z1441" t="str">
        <f>IF(WarehouseData[[#This Row],[stock_level]]&lt;=WarehouseData[[#This Row],[Demand During Lead Time]],"At Risk","Safe")</f>
        <v>Safe</v>
      </c>
      <c r="AA1441">
        <f>WarehouseData[[#This Row],[stock_level]]/WarehouseData[[#This Row],[daily_demand]]</f>
        <v>39.116022099447513</v>
      </c>
      <c r="AB1441">
        <f>WarehouseData[[#This Row],[stock_level]]*WarehouseData[[#This Row],[unit_price]]</f>
        <v>49588.320000000007</v>
      </c>
      <c r="AC1441">
        <f>WarehouseData[[#This Row],[stock_level]]*WarehouseData[[#This Row],[holding_cost_per_unit_day]]*30</f>
        <v>3079.7999999999997</v>
      </c>
      <c r="AD1441" t="str">
        <f>IF(WarehouseData[[#This Row],[order_fulfillment_rate]]&gt;=0.9,"Strong",IF(WarehouseData[[#This Row],[order_fulfillment_rate]]&gt;=0.8,"Moderate","Needs Attention"))</f>
        <v>Moderate</v>
      </c>
      <c r="AE1441" t="str">
        <f>IF(WarehouseData[[#This Row],[picking_time_seconds]]&gt;120,"Slow",IF(WarehouseData[[#This Row],[picking_time_seconds]]&gt;=60,"Average","Fast"))</f>
        <v>Fast</v>
      </c>
    </row>
    <row r="1442" spans="1:31" x14ac:dyDescent="0.25">
      <c r="A1442" t="s">
        <v>1580</v>
      </c>
      <c r="B1442" t="s">
        <v>36</v>
      </c>
      <c r="C1442">
        <v>239</v>
      </c>
      <c r="D1442">
        <v>66</v>
      </c>
      <c r="E1442">
        <v>14</v>
      </c>
      <c r="F1442">
        <v>8</v>
      </c>
      <c r="G1442">
        <v>37.909999999999997</v>
      </c>
      <c r="H1442">
        <v>5.93</v>
      </c>
      <c r="I1442">
        <v>0.83</v>
      </c>
      <c r="J1442" t="s">
        <v>289</v>
      </c>
      <c r="K1442" t="s">
        <v>52</v>
      </c>
      <c r="L1442">
        <v>97</v>
      </c>
      <c r="M1442">
        <v>1.67</v>
      </c>
      <c r="N1442">
        <v>89.55</v>
      </c>
      <c r="O1442">
        <v>0.17</v>
      </c>
      <c r="P1442">
        <v>4</v>
      </c>
      <c r="Q1442">
        <v>0.81</v>
      </c>
      <c r="R1442">
        <v>367</v>
      </c>
      <c r="S1442">
        <v>1.36</v>
      </c>
      <c r="T1442">
        <v>0.23</v>
      </c>
      <c r="U1442" s="1">
        <v>45394</v>
      </c>
      <c r="V1442">
        <v>22.53</v>
      </c>
      <c r="W1442">
        <v>0.52900000000000003</v>
      </c>
      <c r="X1442" t="str">
        <f>IF(WarehouseData[[#This Row],[stock_level]]&lt;=WarehouseData[[#This Row],[reorder_point]],"Low Stock","Sufficient Stock")</f>
        <v>Sufficient Stock</v>
      </c>
      <c r="Y1442">
        <f>WarehouseData[[#This Row],[daily_demand]]*WarehouseData[[#This Row],[lead_time_days]]</f>
        <v>303.27999999999997</v>
      </c>
      <c r="Z1442" t="str">
        <f>IF(WarehouseData[[#This Row],[stock_level]]&lt;=WarehouseData[[#This Row],[Demand During Lead Time]],"At Risk","Safe")</f>
        <v>At Risk</v>
      </c>
      <c r="AA1442">
        <f>WarehouseData[[#This Row],[stock_level]]/WarehouseData[[#This Row],[daily_demand]]</f>
        <v>6.3044051701398054</v>
      </c>
      <c r="AB1442">
        <f>WarehouseData[[#This Row],[stock_level]]*WarehouseData[[#This Row],[unit_price]]</f>
        <v>21402.45</v>
      </c>
      <c r="AC1442">
        <f>WarehouseData[[#This Row],[stock_level]]*WarehouseData[[#This Row],[holding_cost_per_unit_day]]*30</f>
        <v>1218.9000000000001</v>
      </c>
      <c r="AD1442" t="str">
        <f>IF(WarehouseData[[#This Row],[order_fulfillment_rate]]&gt;=0.9,"Strong",IF(WarehouseData[[#This Row],[order_fulfillment_rate]]&gt;=0.8,"Moderate","Needs Attention"))</f>
        <v>Moderate</v>
      </c>
      <c r="AE1442" t="str">
        <f>IF(WarehouseData[[#This Row],[picking_time_seconds]]&gt;120,"Slow",IF(WarehouseData[[#This Row],[picking_time_seconds]]&gt;=60,"Average","Fast"))</f>
        <v>Average</v>
      </c>
    </row>
    <row r="1443" spans="1:31" x14ac:dyDescent="0.25">
      <c r="A1443" t="s">
        <v>1581</v>
      </c>
      <c r="B1443" t="s">
        <v>40</v>
      </c>
      <c r="C1443">
        <v>135</v>
      </c>
      <c r="D1443">
        <v>86</v>
      </c>
      <c r="E1443">
        <v>9</v>
      </c>
      <c r="F1443">
        <v>9</v>
      </c>
      <c r="G1443">
        <v>38.28</v>
      </c>
      <c r="H1443">
        <v>0.67</v>
      </c>
      <c r="I1443">
        <v>0.63</v>
      </c>
      <c r="J1443" t="s">
        <v>166</v>
      </c>
      <c r="K1443" t="s">
        <v>34</v>
      </c>
      <c r="L1443">
        <v>96</v>
      </c>
      <c r="M1443">
        <v>3.36</v>
      </c>
      <c r="N1443">
        <v>27.47</v>
      </c>
      <c r="O1443">
        <v>0.7</v>
      </c>
      <c r="P1443">
        <v>4</v>
      </c>
      <c r="Q1443">
        <v>0.96</v>
      </c>
      <c r="R1443">
        <v>234</v>
      </c>
      <c r="S1443">
        <v>14.4</v>
      </c>
      <c r="T1443">
        <v>0.31</v>
      </c>
      <c r="U1443" s="1">
        <v>45341</v>
      </c>
      <c r="V1443">
        <v>259.41000000000003</v>
      </c>
      <c r="W1443">
        <v>0.69599999999999995</v>
      </c>
      <c r="X1443" t="str">
        <f>IF(WarehouseData[[#This Row],[stock_level]]&lt;=WarehouseData[[#This Row],[reorder_point]],"Low Stock","Sufficient Stock")</f>
        <v>Sufficient Stock</v>
      </c>
      <c r="Y1443">
        <f>WarehouseData[[#This Row],[daily_demand]]*WarehouseData[[#This Row],[lead_time_days]]</f>
        <v>344.52</v>
      </c>
      <c r="Z1443" t="str">
        <f>IF(WarehouseData[[#This Row],[stock_level]]&lt;=WarehouseData[[#This Row],[Demand During Lead Time]],"At Risk","Safe")</f>
        <v>At Risk</v>
      </c>
      <c r="AA1443">
        <f>WarehouseData[[#This Row],[stock_level]]/WarehouseData[[#This Row],[daily_demand]]</f>
        <v>3.5266457680250785</v>
      </c>
      <c r="AB1443">
        <f>WarehouseData[[#This Row],[stock_level]]*WarehouseData[[#This Row],[unit_price]]</f>
        <v>3708.45</v>
      </c>
      <c r="AC1443">
        <f>WarehouseData[[#This Row],[stock_level]]*WarehouseData[[#This Row],[holding_cost_per_unit_day]]*30</f>
        <v>2835</v>
      </c>
      <c r="AD1443" t="str">
        <f>IF(WarehouseData[[#This Row],[order_fulfillment_rate]]&gt;=0.9,"Strong",IF(WarehouseData[[#This Row],[order_fulfillment_rate]]&gt;=0.8,"Moderate","Needs Attention"))</f>
        <v>Strong</v>
      </c>
      <c r="AE1443" t="str">
        <f>IF(WarehouseData[[#This Row],[picking_time_seconds]]&gt;120,"Slow",IF(WarehouseData[[#This Row],[picking_time_seconds]]&gt;=60,"Average","Fast"))</f>
        <v>Average</v>
      </c>
    </row>
    <row r="1444" spans="1:31" x14ac:dyDescent="0.25">
      <c r="A1444" t="s">
        <v>1582</v>
      </c>
      <c r="B1444" t="s">
        <v>48</v>
      </c>
      <c r="C1444">
        <v>332</v>
      </c>
      <c r="D1444">
        <v>24</v>
      </c>
      <c r="E1444">
        <v>10</v>
      </c>
      <c r="F1444">
        <v>4</v>
      </c>
      <c r="G1444">
        <v>3.94</v>
      </c>
      <c r="H1444">
        <v>2.88</v>
      </c>
      <c r="I1444">
        <v>0.81</v>
      </c>
      <c r="J1444" t="s">
        <v>163</v>
      </c>
      <c r="K1444" t="s">
        <v>46</v>
      </c>
      <c r="L1444">
        <v>40</v>
      </c>
      <c r="M1444">
        <v>2.92</v>
      </c>
      <c r="N1444">
        <v>131.04</v>
      </c>
      <c r="O1444">
        <v>0.51</v>
      </c>
      <c r="P1444">
        <v>0</v>
      </c>
      <c r="Q1444">
        <v>0.8</v>
      </c>
      <c r="R1444">
        <v>470</v>
      </c>
      <c r="S1444">
        <v>8.98</v>
      </c>
      <c r="T1444">
        <v>0.77</v>
      </c>
      <c r="U1444" s="1">
        <v>45305</v>
      </c>
      <c r="V1444">
        <v>146.51</v>
      </c>
      <c r="W1444">
        <v>0.78300000000000003</v>
      </c>
      <c r="X1444" t="str">
        <f>IF(WarehouseData[[#This Row],[stock_level]]&lt;=WarehouseData[[#This Row],[reorder_point]],"Low Stock","Sufficient Stock")</f>
        <v>Sufficient Stock</v>
      </c>
      <c r="Y1444">
        <f>WarehouseData[[#This Row],[daily_demand]]*WarehouseData[[#This Row],[lead_time_days]]</f>
        <v>15.76</v>
      </c>
      <c r="Z1444" t="str">
        <f>IF(WarehouseData[[#This Row],[stock_level]]&lt;=WarehouseData[[#This Row],[Demand During Lead Time]],"At Risk","Safe")</f>
        <v>Safe</v>
      </c>
      <c r="AA1444">
        <f>WarehouseData[[#This Row],[stock_level]]/WarehouseData[[#This Row],[daily_demand]]</f>
        <v>84.263959390862951</v>
      </c>
      <c r="AB1444">
        <f>WarehouseData[[#This Row],[stock_level]]*WarehouseData[[#This Row],[unit_price]]</f>
        <v>43505.279999999999</v>
      </c>
      <c r="AC1444">
        <f>WarehouseData[[#This Row],[stock_level]]*WarehouseData[[#This Row],[holding_cost_per_unit_day]]*30</f>
        <v>5079.5999999999995</v>
      </c>
      <c r="AD1444" t="str">
        <f>IF(WarehouseData[[#This Row],[order_fulfillment_rate]]&gt;=0.9,"Strong",IF(WarehouseData[[#This Row],[order_fulfillment_rate]]&gt;=0.8,"Moderate","Needs Attention"))</f>
        <v>Moderate</v>
      </c>
      <c r="AE1444" t="str">
        <f>IF(WarehouseData[[#This Row],[picking_time_seconds]]&gt;120,"Slow",IF(WarehouseData[[#This Row],[picking_time_seconds]]&gt;=60,"Average","Fast"))</f>
        <v>Fast</v>
      </c>
    </row>
    <row r="1445" spans="1:31" x14ac:dyDescent="0.25">
      <c r="A1445" t="s">
        <v>1583</v>
      </c>
      <c r="B1445" t="s">
        <v>40</v>
      </c>
      <c r="C1445">
        <v>68</v>
      </c>
      <c r="D1445">
        <v>36</v>
      </c>
      <c r="E1445">
        <v>8</v>
      </c>
      <c r="F1445">
        <v>3</v>
      </c>
      <c r="G1445">
        <v>1.92</v>
      </c>
      <c r="H1445">
        <v>2.68</v>
      </c>
      <c r="I1445">
        <v>0.76</v>
      </c>
      <c r="J1445" t="s">
        <v>188</v>
      </c>
      <c r="K1445" t="s">
        <v>38</v>
      </c>
      <c r="L1445">
        <v>110</v>
      </c>
      <c r="M1445">
        <v>3.23</v>
      </c>
      <c r="N1445">
        <v>77.819999999999993</v>
      </c>
      <c r="O1445">
        <v>1.45</v>
      </c>
      <c r="P1445">
        <v>0</v>
      </c>
      <c r="Q1445">
        <v>0.75</v>
      </c>
      <c r="R1445">
        <v>232</v>
      </c>
      <c r="S1445">
        <v>13.24</v>
      </c>
      <c r="T1445">
        <v>0.43</v>
      </c>
      <c r="U1445" s="1">
        <v>45397</v>
      </c>
      <c r="V1445">
        <v>150.72</v>
      </c>
      <c r="W1445">
        <v>0.66800000000000004</v>
      </c>
      <c r="X1445" t="str">
        <f>IF(WarehouseData[[#This Row],[stock_level]]&lt;=WarehouseData[[#This Row],[reorder_point]],"Low Stock","Sufficient Stock")</f>
        <v>Sufficient Stock</v>
      </c>
      <c r="Y1445">
        <f>WarehouseData[[#This Row],[daily_demand]]*WarehouseData[[#This Row],[lead_time_days]]</f>
        <v>5.76</v>
      </c>
      <c r="Z1445" t="str">
        <f>IF(WarehouseData[[#This Row],[stock_level]]&lt;=WarehouseData[[#This Row],[Demand During Lead Time]],"At Risk","Safe")</f>
        <v>Safe</v>
      </c>
      <c r="AA1445">
        <f>WarehouseData[[#This Row],[stock_level]]/WarehouseData[[#This Row],[daily_demand]]</f>
        <v>35.416666666666671</v>
      </c>
      <c r="AB1445">
        <f>WarehouseData[[#This Row],[stock_level]]*WarehouseData[[#This Row],[unit_price]]</f>
        <v>5291.7599999999993</v>
      </c>
      <c r="AC1445">
        <f>WarehouseData[[#This Row],[stock_level]]*WarehouseData[[#This Row],[holding_cost_per_unit_day]]*30</f>
        <v>2958</v>
      </c>
      <c r="AD1445" t="str">
        <f>IF(WarehouseData[[#This Row],[order_fulfillment_rate]]&gt;=0.9,"Strong",IF(WarehouseData[[#This Row],[order_fulfillment_rate]]&gt;=0.8,"Moderate","Needs Attention"))</f>
        <v>Needs Attention</v>
      </c>
      <c r="AE1445" t="str">
        <f>IF(WarehouseData[[#This Row],[picking_time_seconds]]&gt;120,"Slow",IF(WarehouseData[[#This Row],[picking_time_seconds]]&gt;=60,"Average","Fast"))</f>
        <v>Average</v>
      </c>
    </row>
    <row r="1446" spans="1:31" x14ac:dyDescent="0.25">
      <c r="A1446" t="s">
        <v>1584</v>
      </c>
      <c r="B1446" t="s">
        <v>48</v>
      </c>
      <c r="C1446">
        <v>192</v>
      </c>
      <c r="D1446">
        <v>77</v>
      </c>
      <c r="E1446">
        <v>9</v>
      </c>
      <c r="F1446">
        <v>4</v>
      </c>
      <c r="G1446">
        <v>48.72</v>
      </c>
      <c r="H1446">
        <v>2.87</v>
      </c>
      <c r="I1446">
        <v>0.31</v>
      </c>
      <c r="J1446" t="s">
        <v>54</v>
      </c>
      <c r="K1446" t="s">
        <v>46</v>
      </c>
      <c r="L1446">
        <v>174</v>
      </c>
      <c r="M1446">
        <v>3.57</v>
      </c>
      <c r="N1446">
        <v>19.940000000000001</v>
      </c>
      <c r="O1446">
        <v>0.96</v>
      </c>
      <c r="P1446">
        <v>5</v>
      </c>
      <c r="Q1446">
        <v>0.89</v>
      </c>
      <c r="R1446">
        <v>646</v>
      </c>
      <c r="S1446">
        <v>11.28</v>
      </c>
      <c r="T1446">
        <v>0.55000000000000004</v>
      </c>
      <c r="U1446" s="1">
        <v>45379</v>
      </c>
      <c r="V1446">
        <v>104.69</v>
      </c>
      <c r="W1446">
        <v>0.64200000000000002</v>
      </c>
      <c r="X1446" t="str">
        <f>IF(WarehouseData[[#This Row],[stock_level]]&lt;=WarehouseData[[#This Row],[reorder_point]],"Low Stock","Sufficient Stock")</f>
        <v>Sufficient Stock</v>
      </c>
      <c r="Y1446">
        <f>WarehouseData[[#This Row],[daily_demand]]*WarehouseData[[#This Row],[lead_time_days]]</f>
        <v>194.88</v>
      </c>
      <c r="Z1446" t="str">
        <f>IF(WarehouseData[[#This Row],[stock_level]]&lt;=WarehouseData[[#This Row],[Demand During Lead Time]],"At Risk","Safe")</f>
        <v>At Risk</v>
      </c>
      <c r="AA1446">
        <f>WarehouseData[[#This Row],[stock_level]]/WarehouseData[[#This Row],[daily_demand]]</f>
        <v>3.9408866995073892</v>
      </c>
      <c r="AB1446">
        <f>WarehouseData[[#This Row],[stock_level]]*WarehouseData[[#This Row],[unit_price]]</f>
        <v>3828.4800000000005</v>
      </c>
      <c r="AC1446">
        <f>WarehouseData[[#This Row],[stock_level]]*WarehouseData[[#This Row],[holding_cost_per_unit_day]]*30</f>
        <v>5529.5999999999995</v>
      </c>
      <c r="AD1446" t="str">
        <f>IF(WarehouseData[[#This Row],[order_fulfillment_rate]]&gt;=0.9,"Strong",IF(WarehouseData[[#This Row],[order_fulfillment_rate]]&gt;=0.8,"Moderate","Needs Attention"))</f>
        <v>Moderate</v>
      </c>
      <c r="AE1446" t="str">
        <f>IF(WarehouseData[[#This Row],[picking_time_seconds]]&gt;120,"Slow",IF(WarehouseData[[#This Row],[picking_time_seconds]]&gt;=60,"Average","Fast"))</f>
        <v>Slow</v>
      </c>
    </row>
    <row r="1447" spans="1:31" x14ac:dyDescent="0.25">
      <c r="A1447" t="s">
        <v>1585</v>
      </c>
      <c r="B1447" t="s">
        <v>40</v>
      </c>
      <c r="C1447">
        <v>101</v>
      </c>
      <c r="D1447">
        <v>89</v>
      </c>
      <c r="E1447">
        <v>14</v>
      </c>
      <c r="F1447">
        <v>4</v>
      </c>
      <c r="G1447">
        <v>10.48</v>
      </c>
      <c r="H1447">
        <v>5.59</v>
      </c>
      <c r="I1447">
        <v>0.49</v>
      </c>
      <c r="J1447" t="s">
        <v>148</v>
      </c>
      <c r="K1447" t="s">
        <v>38</v>
      </c>
      <c r="L1447">
        <v>69</v>
      </c>
      <c r="M1447">
        <v>1.28</v>
      </c>
      <c r="N1447">
        <v>190.12</v>
      </c>
      <c r="O1447">
        <v>1.0900000000000001</v>
      </c>
      <c r="P1447">
        <v>9</v>
      </c>
      <c r="Q1447">
        <v>0.71</v>
      </c>
      <c r="R1447">
        <v>626</v>
      </c>
      <c r="S1447">
        <v>5.77</v>
      </c>
      <c r="T1447">
        <v>0.81</v>
      </c>
      <c r="U1447" s="1">
        <v>45618</v>
      </c>
      <c r="V1447">
        <v>71.48</v>
      </c>
      <c r="W1447">
        <v>0.49199999999999999</v>
      </c>
      <c r="X1447" t="str">
        <f>IF(WarehouseData[[#This Row],[stock_level]]&lt;=WarehouseData[[#This Row],[reorder_point]],"Low Stock","Sufficient Stock")</f>
        <v>Sufficient Stock</v>
      </c>
      <c r="Y1447">
        <f>WarehouseData[[#This Row],[daily_demand]]*WarehouseData[[#This Row],[lead_time_days]]</f>
        <v>41.92</v>
      </c>
      <c r="Z1447" t="str">
        <f>IF(WarehouseData[[#This Row],[stock_level]]&lt;=WarehouseData[[#This Row],[Demand During Lead Time]],"At Risk","Safe")</f>
        <v>Safe</v>
      </c>
      <c r="AA1447">
        <f>WarehouseData[[#This Row],[stock_level]]/WarehouseData[[#This Row],[daily_demand]]</f>
        <v>9.6374045801526709</v>
      </c>
      <c r="AB1447">
        <f>WarehouseData[[#This Row],[stock_level]]*WarehouseData[[#This Row],[unit_price]]</f>
        <v>19202.12</v>
      </c>
      <c r="AC1447">
        <f>WarehouseData[[#This Row],[stock_level]]*WarehouseData[[#This Row],[holding_cost_per_unit_day]]*30</f>
        <v>3302.7000000000003</v>
      </c>
      <c r="AD1447" t="str">
        <f>IF(WarehouseData[[#This Row],[order_fulfillment_rate]]&gt;=0.9,"Strong",IF(WarehouseData[[#This Row],[order_fulfillment_rate]]&gt;=0.8,"Moderate","Needs Attention"))</f>
        <v>Needs Attention</v>
      </c>
      <c r="AE1447" t="str">
        <f>IF(WarehouseData[[#This Row],[picking_time_seconds]]&gt;120,"Slow",IF(WarehouseData[[#This Row],[picking_time_seconds]]&gt;=60,"Average","Fast"))</f>
        <v>Average</v>
      </c>
    </row>
    <row r="1448" spans="1:31" x14ac:dyDescent="0.25">
      <c r="A1448" t="s">
        <v>1586</v>
      </c>
      <c r="B1448" t="s">
        <v>36</v>
      </c>
      <c r="C1448">
        <v>341</v>
      </c>
      <c r="D1448">
        <v>73</v>
      </c>
      <c r="E1448">
        <v>4</v>
      </c>
      <c r="F1448">
        <v>4</v>
      </c>
      <c r="G1448">
        <v>41.28</v>
      </c>
      <c r="H1448">
        <v>6.03</v>
      </c>
      <c r="I1448">
        <v>0.23</v>
      </c>
      <c r="J1448" t="s">
        <v>122</v>
      </c>
      <c r="K1448" t="s">
        <v>38</v>
      </c>
      <c r="L1448">
        <v>70</v>
      </c>
      <c r="M1448">
        <v>1.86</v>
      </c>
      <c r="N1448">
        <v>118.53</v>
      </c>
      <c r="O1448">
        <v>1.65</v>
      </c>
      <c r="P1448">
        <v>9</v>
      </c>
      <c r="Q1448">
        <v>0.81</v>
      </c>
      <c r="R1448">
        <v>101</v>
      </c>
      <c r="S1448">
        <v>13.62</v>
      </c>
      <c r="T1448">
        <v>0.56000000000000005</v>
      </c>
      <c r="U1448" s="1">
        <v>45441</v>
      </c>
      <c r="V1448">
        <v>115.46</v>
      </c>
      <c r="W1448">
        <v>0.51100000000000001</v>
      </c>
      <c r="X1448" t="str">
        <f>IF(WarehouseData[[#This Row],[stock_level]]&lt;=WarehouseData[[#This Row],[reorder_point]],"Low Stock","Sufficient Stock")</f>
        <v>Sufficient Stock</v>
      </c>
      <c r="Y1448">
        <f>WarehouseData[[#This Row],[daily_demand]]*WarehouseData[[#This Row],[lead_time_days]]</f>
        <v>165.12</v>
      </c>
      <c r="Z1448" t="str">
        <f>IF(WarehouseData[[#This Row],[stock_level]]&lt;=WarehouseData[[#This Row],[Demand During Lead Time]],"At Risk","Safe")</f>
        <v>Safe</v>
      </c>
      <c r="AA1448">
        <f>WarehouseData[[#This Row],[stock_level]]/WarehouseData[[#This Row],[daily_demand]]</f>
        <v>8.2606589147286815</v>
      </c>
      <c r="AB1448">
        <f>WarehouseData[[#This Row],[stock_level]]*WarehouseData[[#This Row],[unit_price]]</f>
        <v>40418.730000000003</v>
      </c>
      <c r="AC1448">
        <f>WarehouseData[[#This Row],[stock_level]]*WarehouseData[[#This Row],[holding_cost_per_unit_day]]*30</f>
        <v>16879.5</v>
      </c>
      <c r="AD1448" t="str">
        <f>IF(WarehouseData[[#This Row],[order_fulfillment_rate]]&gt;=0.9,"Strong",IF(WarehouseData[[#This Row],[order_fulfillment_rate]]&gt;=0.8,"Moderate","Needs Attention"))</f>
        <v>Moderate</v>
      </c>
      <c r="AE1448" t="str">
        <f>IF(WarehouseData[[#This Row],[picking_time_seconds]]&gt;120,"Slow",IF(WarehouseData[[#This Row],[picking_time_seconds]]&gt;=60,"Average","Fast"))</f>
        <v>Average</v>
      </c>
    </row>
    <row r="1449" spans="1:31" x14ac:dyDescent="0.25">
      <c r="A1449" t="s">
        <v>1587</v>
      </c>
      <c r="B1449" t="s">
        <v>36</v>
      </c>
      <c r="C1449">
        <v>352</v>
      </c>
      <c r="D1449">
        <v>39</v>
      </c>
      <c r="E1449">
        <v>10</v>
      </c>
      <c r="F1449">
        <v>5</v>
      </c>
      <c r="G1449">
        <v>28.53</v>
      </c>
      <c r="H1449">
        <v>9.14</v>
      </c>
      <c r="I1449">
        <v>0.14000000000000001</v>
      </c>
      <c r="J1449" t="s">
        <v>148</v>
      </c>
      <c r="K1449" t="s">
        <v>38</v>
      </c>
      <c r="L1449">
        <v>76</v>
      </c>
      <c r="M1449">
        <v>3.81</v>
      </c>
      <c r="N1449">
        <v>100.77</v>
      </c>
      <c r="O1449">
        <v>1.01</v>
      </c>
      <c r="P1449">
        <v>4</v>
      </c>
      <c r="Q1449">
        <v>0.94</v>
      </c>
      <c r="R1449">
        <v>52</v>
      </c>
      <c r="S1449">
        <v>12.07</v>
      </c>
      <c r="T1449">
        <v>0.38</v>
      </c>
      <c r="U1449" s="1">
        <v>45333</v>
      </c>
      <c r="V1449">
        <v>274.89</v>
      </c>
      <c r="W1449">
        <v>0.64400000000000002</v>
      </c>
      <c r="X1449" t="str">
        <f>IF(WarehouseData[[#This Row],[stock_level]]&lt;=WarehouseData[[#This Row],[reorder_point]],"Low Stock","Sufficient Stock")</f>
        <v>Sufficient Stock</v>
      </c>
      <c r="Y1449">
        <f>WarehouseData[[#This Row],[daily_demand]]*WarehouseData[[#This Row],[lead_time_days]]</f>
        <v>142.65</v>
      </c>
      <c r="Z1449" t="str">
        <f>IF(WarehouseData[[#This Row],[stock_level]]&lt;=WarehouseData[[#This Row],[Demand During Lead Time]],"At Risk","Safe")</f>
        <v>Safe</v>
      </c>
      <c r="AA1449">
        <f>WarehouseData[[#This Row],[stock_level]]/WarehouseData[[#This Row],[daily_demand]]</f>
        <v>12.3378899404136</v>
      </c>
      <c r="AB1449">
        <f>WarehouseData[[#This Row],[stock_level]]*WarehouseData[[#This Row],[unit_price]]</f>
        <v>35471.040000000001</v>
      </c>
      <c r="AC1449">
        <f>WarehouseData[[#This Row],[stock_level]]*WarehouseData[[#This Row],[holding_cost_per_unit_day]]*30</f>
        <v>10665.599999999999</v>
      </c>
      <c r="AD1449" t="str">
        <f>IF(WarehouseData[[#This Row],[order_fulfillment_rate]]&gt;=0.9,"Strong",IF(WarehouseData[[#This Row],[order_fulfillment_rate]]&gt;=0.8,"Moderate","Needs Attention"))</f>
        <v>Strong</v>
      </c>
      <c r="AE1449" t="str">
        <f>IF(WarehouseData[[#This Row],[picking_time_seconds]]&gt;120,"Slow",IF(WarehouseData[[#This Row],[picking_time_seconds]]&gt;=60,"Average","Fast"))</f>
        <v>Average</v>
      </c>
    </row>
    <row r="1450" spans="1:31" x14ac:dyDescent="0.25">
      <c r="A1450" t="s">
        <v>1588</v>
      </c>
      <c r="B1450" t="s">
        <v>73</v>
      </c>
      <c r="C1450">
        <v>64</v>
      </c>
      <c r="D1450">
        <v>45</v>
      </c>
      <c r="E1450">
        <v>7</v>
      </c>
      <c r="F1450">
        <v>8</v>
      </c>
      <c r="G1450">
        <v>13.96</v>
      </c>
      <c r="H1450">
        <v>4.17</v>
      </c>
      <c r="I1450">
        <v>0.16</v>
      </c>
      <c r="J1450" t="s">
        <v>190</v>
      </c>
      <c r="K1450" t="s">
        <v>46</v>
      </c>
      <c r="L1450">
        <v>166</v>
      </c>
      <c r="M1450">
        <v>1.24</v>
      </c>
      <c r="N1450">
        <v>173.24</v>
      </c>
      <c r="O1450">
        <v>1.1399999999999999</v>
      </c>
      <c r="P1450">
        <v>9</v>
      </c>
      <c r="Q1450">
        <v>0.79</v>
      </c>
      <c r="R1450">
        <v>126</v>
      </c>
      <c r="S1450">
        <v>7.02</v>
      </c>
      <c r="T1450">
        <v>0.64</v>
      </c>
      <c r="U1450" s="1">
        <v>45534</v>
      </c>
      <c r="V1450">
        <v>37.33</v>
      </c>
      <c r="W1450">
        <v>0.48599999999999999</v>
      </c>
      <c r="X1450" t="str">
        <f>IF(WarehouseData[[#This Row],[stock_level]]&lt;=WarehouseData[[#This Row],[reorder_point]],"Low Stock","Sufficient Stock")</f>
        <v>Sufficient Stock</v>
      </c>
      <c r="Y1450">
        <f>WarehouseData[[#This Row],[daily_demand]]*WarehouseData[[#This Row],[lead_time_days]]</f>
        <v>111.68</v>
      </c>
      <c r="Z1450" t="str">
        <f>IF(WarehouseData[[#This Row],[stock_level]]&lt;=WarehouseData[[#This Row],[Demand During Lead Time]],"At Risk","Safe")</f>
        <v>At Risk</v>
      </c>
      <c r="AA1450">
        <f>WarehouseData[[#This Row],[stock_level]]/WarehouseData[[#This Row],[daily_demand]]</f>
        <v>4.5845272206303722</v>
      </c>
      <c r="AB1450">
        <f>WarehouseData[[#This Row],[stock_level]]*WarehouseData[[#This Row],[unit_price]]</f>
        <v>11087.36</v>
      </c>
      <c r="AC1450">
        <f>WarehouseData[[#This Row],[stock_level]]*WarehouseData[[#This Row],[holding_cost_per_unit_day]]*30</f>
        <v>2188.7999999999997</v>
      </c>
      <c r="AD1450" t="str">
        <f>IF(WarehouseData[[#This Row],[order_fulfillment_rate]]&gt;=0.9,"Strong",IF(WarehouseData[[#This Row],[order_fulfillment_rate]]&gt;=0.8,"Moderate","Needs Attention"))</f>
        <v>Needs Attention</v>
      </c>
      <c r="AE1450" t="str">
        <f>IF(WarehouseData[[#This Row],[picking_time_seconds]]&gt;120,"Slow",IF(WarehouseData[[#This Row],[picking_time_seconds]]&gt;=60,"Average","Fast"))</f>
        <v>Slow</v>
      </c>
    </row>
    <row r="1451" spans="1:31" x14ac:dyDescent="0.25">
      <c r="A1451" t="s">
        <v>1589</v>
      </c>
      <c r="B1451" t="s">
        <v>40</v>
      </c>
      <c r="C1451">
        <v>354</v>
      </c>
      <c r="D1451">
        <v>76</v>
      </c>
      <c r="E1451">
        <v>9</v>
      </c>
      <c r="F1451">
        <v>2</v>
      </c>
      <c r="G1451">
        <v>7.37</v>
      </c>
      <c r="H1451">
        <v>9.3000000000000007</v>
      </c>
      <c r="I1451">
        <v>0.95</v>
      </c>
      <c r="J1451" t="s">
        <v>131</v>
      </c>
      <c r="K1451" t="s">
        <v>38</v>
      </c>
      <c r="L1451">
        <v>88</v>
      </c>
      <c r="M1451">
        <v>2.0499999999999998</v>
      </c>
      <c r="N1451">
        <v>187.98</v>
      </c>
      <c r="O1451">
        <v>1.7</v>
      </c>
      <c r="P1451">
        <v>5</v>
      </c>
      <c r="Q1451">
        <v>0.98</v>
      </c>
      <c r="R1451">
        <v>696</v>
      </c>
      <c r="S1451">
        <v>12.77</v>
      </c>
      <c r="T1451">
        <v>0.84</v>
      </c>
      <c r="U1451" s="1">
        <v>45351</v>
      </c>
      <c r="V1451">
        <v>27.61</v>
      </c>
      <c r="W1451">
        <v>0.66400000000000003</v>
      </c>
      <c r="X1451" t="str">
        <f>IF(WarehouseData[[#This Row],[stock_level]]&lt;=WarehouseData[[#This Row],[reorder_point]],"Low Stock","Sufficient Stock")</f>
        <v>Sufficient Stock</v>
      </c>
      <c r="Y1451">
        <f>WarehouseData[[#This Row],[daily_demand]]*WarehouseData[[#This Row],[lead_time_days]]</f>
        <v>14.74</v>
      </c>
      <c r="Z1451" t="str">
        <f>IF(WarehouseData[[#This Row],[stock_level]]&lt;=WarehouseData[[#This Row],[Demand During Lead Time]],"At Risk","Safe")</f>
        <v>Safe</v>
      </c>
      <c r="AA1451">
        <f>WarehouseData[[#This Row],[stock_level]]/WarehouseData[[#This Row],[daily_demand]]</f>
        <v>48.032564450474901</v>
      </c>
      <c r="AB1451">
        <f>WarehouseData[[#This Row],[stock_level]]*WarehouseData[[#This Row],[unit_price]]</f>
        <v>66544.92</v>
      </c>
      <c r="AC1451">
        <f>WarehouseData[[#This Row],[stock_level]]*WarehouseData[[#This Row],[holding_cost_per_unit_day]]*30</f>
        <v>18054</v>
      </c>
      <c r="AD1451" t="str">
        <f>IF(WarehouseData[[#This Row],[order_fulfillment_rate]]&gt;=0.9,"Strong",IF(WarehouseData[[#This Row],[order_fulfillment_rate]]&gt;=0.8,"Moderate","Needs Attention"))</f>
        <v>Strong</v>
      </c>
      <c r="AE1451" t="str">
        <f>IF(WarehouseData[[#This Row],[picking_time_seconds]]&gt;120,"Slow",IF(WarehouseData[[#This Row],[picking_time_seconds]]&gt;=60,"Average","Fast"))</f>
        <v>Average</v>
      </c>
    </row>
    <row r="1452" spans="1:31" x14ac:dyDescent="0.25">
      <c r="A1452" t="s">
        <v>1590</v>
      </c>
      <c r="B1452" t="s">
        <v>32</v>
      </c>
      <c r="C1452">
        <v>39</v>
      </c>
      <c r="D1452">
        <v>95</v>
      </c>
      <c r="E1452">
        <v>3</v>
      </c>
      <c r="F1452">
        <v>8</v>
      </c>
      <c r="G1452">
        <v>25.34</v>
      </c>
      <c r="H1452">
        <v>6.69</v>
      </c>
      <c r="I1452">
        <v>0.99</v>
      </c>
      <c r="J1452" t="s">
        <v>338</v>
      </c>
      <c r="K1452" t="s">
        <v>34</v>
      </c>
      <c r="L1452">
        <v>80</v>
      </c>
      <c r="M1452">
        <v>3.5</v>
      </c>
      <c r="N1452">
        <v>51.86</v>
      </c>
      <c r="O1452">
        <v>0.92</v>
      </c>
      <c r="P1452">
        <v>8</v>
      </c>
      <c r="Q1452">
        <v>0.99</v>
      </c>
      <c r="R1452">
        <v>887</v>
      </c>
      <c r="S1452">
        <v>4.8</v>
      </c>
      <c r="T1452">
        <v>0.68</v>
      </c>
      <c r="U1452" s="1">
        <v>45449</v>
      </c>
      <c r="V1452">
        <v>43.19</v>
      </c>
      <c r="W1452">
        <v>0.54600000000000004</v>
      </c>
      <c r="X1452" t="str">
        <f>IF(WarehouseData[[#This Row],[stock_level]]&lt;=WarehouseData[[#This Row],[reorder_point]],"Low Stock","Sufficient Stock")</f>
        <v>Low Stock</v>
      </c>
      <c r="Y1452">
        <f>WarehouseData[[#This Row],[daily_demand]]*WarehouseData[[#This Row],[lead_time_days]]</f>
        <v>202.72</v>
      </c>
      <c r="Z1452" t="str">
        <f>IF(WarehouseData[[#This Row],[stock_level]]&lt;=WarehouseData[[#This Row],[Demand During Lead Time]],"At Risk","Safe")</f>
        <v>At Risk</v>
      </c>
      <c r="AA1452">
        <f>WarehouseData[[#This Row],[stock_level]]/WarehouseData[[#This Row],[daily_demand]]</f>
        <v>1.5390686661404893</v>
      </c>
      <c r="AB1452">
        <f>WarehouseData[[#This Row],[stock_level]]*WarehouseData[[#This Row],[unit_price]]</f>
        <v>2022.54</v>
      </c>
      <c r="AC1452">
        <f>WarehouseData[[#This Row],[stock_level]]*WarehouseData[[#This Row],[holding_cost_per_unit_day]]*30</f>
        <v>1076.4000000000001</v>
      </c>
      <c r="AD1452" t="str">
        <f>IF(WarehouseData[[#This Row],[order_fulfillment_rate]]&gt;=0.9,"Strong",IF(WarehouseData[[#This Row],[order_fulfillment_rate]]&gt;=0.8,"Moderate","Needs Attention"))</f>
        <v>Strong</v>
      </c>
      <c r="AE1452" t="str">
        <f>IF(WarehouseData[[#This Row],[picking_time_seconds]]&gt;120,"Slow",IF(WarehouseData[[#This Row],[picking_time_seconds]]&gt;=60,"Average","Fast"))</f>
        <v>Average</v>
      </c>
    </row>
    <row r="1453" spans="1:31" x14ac:dyDescent="0.25">
      <c r="A1453" t="s">
        <v>1591</v>
      </c>
      <c r="B1453" t="s">
        <v>73</v>
      </c>
      <c r="C1453">
        <v>467</v>
      </c>
      <c r="D1453">
        <v>95</v>
      </c>
      <c r="E1453">
        <v>7</v>
      </c>
      <c r="F1453">
        <v>3</v>
      </c>
      <c r="G1453">
        <v>20.96</v>
      </c>
      <c r="H1453">
        <v>9.17</v>
      </c>
      <c r="I1453">
        <v>0.19</v>
      </c>
      <c r="J1453" t="s">
        <v>377</v>
      </c>
      <c r="K1453" t="s">
        <v>34</v>
      </c>
      <c r="L1453">
        <v>76</v>
      </c>
      <c r="M1453">
        <v>4.72</v>
      </c>
      <c r="N1453">
        <v>163.93</v>
      </c>
      <c r="O1453">
        <v>0.26</v>
      </c>
      <c r="P1453">
        <v>7</v>
      </c>
      <c r="Q1453">
        <v>0.94</v>
      </c>
      <c r="R1453">
        <v>631</v>
      </c>
      <c r="S1453">
        <v>10.39</v>
      </c>
      <c r="T1453">
        <v>0.54</v>
      </c>
      <c r="U1453" s="1">
        <v>45495</v>
      </c>
      <c r="V1453">
        <v>235.32</v>
      </c>
      <c r="W1453">
        <v>0.66900000000000004</v>
      </c>
      <c r="X1453" t="str">
        <f>IF(WarehouseData[[#This Row],[stock_level]]&lt;=WarehouseData[[#This Row],[reorder_point]],"Low Stock","Sufficient Stock")</f>
        <v>Sufficient Stock</v>
      </c>
      <c r="Y1453">
        <f>WarehouseData[[#This Row],[daily_demand]]*WarehouseData[[#This Row],[lead_time_days]]</f>
        <v>62.88</v>
      </c>
      <c r="Z1453" t="str">
        <f>IF(WarehouseData[[#This Row],[stock_level]]&lt;=WarehouseData[[#This Row],[Demand During Lead Time]],"At Risk","Safe")</f>
        <v>Safe</v>
      </c>
      <c r="AA1453">
        <f>WarehouseData[[#This Row],[stock_level]]/WarehouseData[[#This Row],[daily_demand]]</f>
        <v>22.280534351145036</v>
      </c>
      <c r="AB1453">
        <f>WarehouseData[[#This Row],[stock_level]]*WarehouseData[[#This Row],[unit_price]]</f>
        <v>76555.31</v>
      </c>
      <c r="AC1453">
        <f>WarehouseData[[#This Row],[stock_level]]*WarehouseData[[#This Row],[holding_cost_per_unit_day]]*30</f>
        <v>3642.6</v>
      </c>
      <c r="AD1453" t="str">
        <f>IF(WarehouseData[[#This Row],[order_fulfillment_rate]]&gt;=0.9,"Strong",IF(WarehouseData[[#This Row],[order_fulfillment_rate]]&gt;=0.8,"Moderate","Needs Attention"))</f>
        <v>Strong</v>
      </c>
      <c r="AE1453" t="str">
        <f>IF(WarehouseData[[#This Row],[picking_time_seconds]]&gt;120,"Slow",IF(WarehouseData[[#This Row],[picking_time_seconds]]&gt;=60,"Average","Fast"))</f>
        <v>Average</v>
      </c>
    </row>
    <row r="1454" spans="1:31" x14ac:dyDescent="0.25">
      <c r="A1454" t="s">
        <v>1592</v>
      </c>
      <c r="B1454" t="s">
        <v>40</v>
      </c>
      <c r="C1454">
        <v>240</v>
      </c>
      <c r="D1454">
        <v>58</v>
      </c>
      <c r="E1454">
        <v>3</v>
      </c>
      <c r="F1454">
        <v>2</v>
      </c>
      <c r="G1454">
        <v>35.25</v>
      </c>
      <c r="H1454">
        <v>8.42</v>
      </c>
      <c r="I1454">
        <v>0.4</v>
      </c>
      <c r="J1454" t="s">
        <v>70</v>
      </c>
      <c r="K1454" t="s">
        <v>52</v>
      </c>
      <c r="L1454">
        <v>137</v>
      </c>
      <c r="M1454">
        <v>0.84</v>
      </c>
      <c r="N1454">
        <v>167.91</v>
      </c>
      <c r="O1454">
        <v>1.0900000000000001</v>
      </c>
      <c r="P1454">
        <v>6</v>
      </c>
      <c r="Q1454">
        <v>1</v>
      </c>
      <c r="R1454">
        <v>723</v>
      </c>
      <c r="S1454">
        <v>2.6</v>
      </c>
      <c r="T1454">
        <v>0.3</v>
      </c>
      <c r="U1454" s="1">
        <v>45533</v>
      </c>
      <c r="V1454">
        <v>24.04</v>
      </c>
      <c r="W1454">
        <v>0.46600000000000003</v>
      </c>
      <c r="X1454" t="str">
        <f>IF(WarehouseData[[#This Row],[stock_level]]&lt;=WarehouseData[[#This Row],[reorder_point]],"Low Stock","Sufficient Stock")</f>
        <v>Sufficient Stock</v>
      </c>
      <c r="Y1454">
        <f>WarehouseData[[#This Row],[daily_demand]]*WarehouseData[[#This Row],[lead_time_days]]</f>
        <v>70.5</v>
      </c>
      <c r="Z1454" t="str">
        <f>IF(WarehouseData[[#This Row],[stock_level]]&lt;=WarehouseData[[#This Row],[Demand During Lead Time]],"At Risk","Safe")</f>
        <v>Safe</v>
      </c>
      <c r="AA1454">
        <f>WarehouseData[[#This Row],[stock_level]]/WarehouseData[[#This Row],[daily_demand]]</f>
        <v>6.8085106382978724</v>
      </c>
      <c r="AB1454">
        <f>WarehouseData[[#This Row],[stock_level]]*WarehouseData[[#This Row],[unit_price]]</f>
        <v>40298.400000000001</v>
      </c>
      <c r="AC1454">
        <f>WarehouseData[[#This Row],[stock_level]]*WarehouseData[[#This Row],[holding_cost_per_unit_day]]*30</f>
        <v>7848.0000000000009</v>
      </c>
      <c r="AD1454" t="str">
        <f>IF(WarehouseData[[#This Row],[order_fulfillment_rate]]&gt;=0.9,"Strong",IF(WarehouseData[[#This Row],[order_fulfillment_rate]]&gt;=0.8,"Moderate","Needs Attention"))</f>
        <v>Strong</v>
      </c>
      <c r="AE1454" t="str">
        <f>IF(WarehouseData[[#This Row],[picking_time_seconds]]&gt;120,"Slow",IF(WarehouseData[[#This Row],[picking_time_seconds]]&gt;=60,"Average","Fast"))</f>
        <v>Slow</v>
      </c>
    </row>
    <row r="1455" spans="1:31" x14ac:dyDescent="0.25">
      <c r="A1455" t="s">
        <v>1593</v>
      </c>
      <c r="B1455" t="s">
        <v>40</v>
      </c>
      <c r="C1455">
        <v>142</v>
      </c>
      <c r="D1455">
        <v>85</v>
      </c>
      <c r="E1455">
        <v>14</v>
      </c>
      <c r="F1455">
        <v>7</v>
      </c>
      <c r="G1455">
        <v>45.3</v>
      </c>
      <c r="H1455">
        <v>7.03</v>
      </c>
      <c r="I1455">
        <v>0.2</v>
      </c>
      <c r="J1455" t="s">
        <v>251</v>
      </c>
      <c r="K1455" t="s">
        <v>52</v>
      </c>
      <c r="L1455">
        <v>120</v>
      </c>
      <c r="M1455">
        <v>2.82</v>
      </c>
      <c r="N1455">
        <v>20.34</v>
      </c>
      <c r="O1455">
        <v>1.2</v>
      </c>
      <c r="P1455">
        <v>6</v>
      </c>
      <c r="Q1455">
        <v>0.86</v>
      </c>
      <c r="R1455">
        <v>657</v>
      </c>
      <c r="S1455">
        <v>13.12</v>
      </c>
      <c r="T1455">
        <v>0.4</v>
      </c>
      <c r="U1455" s="1">
        <v>45542</v>
      </c>
      <c r="V1455">
        <v>106.62</v>
      </c>
      <c r="W1455">
        <v>0.58699999999999997</v>
      </c>
      <c r="X1455" t="str">
        <f>IF(WarehouseData[[#This Row],[stock_level]]&lt;=WarehouseData[[#This Row],[reorder_point]],"Low Stock","Sufficient Stock")</f>
        <v>Sufficient Stock</v>
      </c>
      <c r="Y1455">
        <f>WarehouseData[[#This Row],[daily_demand]]*WarehouseData[[#This Row],[lead_time_days]]</f>
        <v>317.09999999999997</v>
      </c>
      <c r="Z1455" t="str">
        <f>IF(WarehouseData[[#This Row],[stock_level]]&lt;=WarehouseData[[#This Row],[Demand During Lead Time]],"At Risk","Safe")</f>
        <v>At Risk</v>
      </c>
      <c r="AA1455">
        <f>WarehouseData[[#This Row],[stock_level]]/WarehouseData[[#This Row],[daily_demand]]</f>
        <v>3.1346578366445916</v>
      </c>
      <c r="AB1455">
        <f>WarehouseData[[#This Row],[stock_level]]*WarehouseData[[#This Row],[unit_price]]</f>
        <v>2888.28</v>
      </c>
      <c r="AC1455">
        <f>WarehouseData[[#This Row],[stock_level]]*WarehouseData[[#This Row],[holding_cost_per_unit_day]]*30</f>
        <v>5112</v>
      </c>
      <c r="AD1455" t="str">
        <f>IF(WarehouseData[[#This Row],[order_fulfillment_rate]]&gt;=0.9,"Strong",IF(WarehouseData[[#This Row],[order_fulfillment_rate]]&gt;=0.8,"Moderate","Needs Attention"))</f>
        <v>Moderate</v>
      </c>
      <c r="AE1455" t="str">
        <f>IF(WarehouseData[[#This Row],[picking_time_seconds]]&gt;120,"Slow",IF(WarehouseData[[#This Row],[picking_time_seconds]]&gt;=60,"Average","Fast"))</f>
        <v>Average</v>
      </c>
    </row>
    <row r="1456" spans="1:31" x14ac:dyDescent="0.25">
      <c r="A1456" t="s">
        <v>1594</v>
      </c>
      <c r="B1456" t="s">
        <v>73</v>
      </c>
      <c r="C1456">
        <v>253</v>
      </c>
      <c r="D1456">
        <v>64</v>
      </c>
      <c r="E1456">
        <v>10</v>
      </c>
      <c r="F1456">
        <v>7</v>
      </c>
      <c r="G1456">
        <v>40.46</v>
      </c>
      <c r="H1456">
        <v>3.88</v>
      </c>
      <c r="I1456">
        <v>0.85</v>
      </c>
      <c r="J1456" t="s">
        <v>152</v>
      </c>
      <c r="K1456" t="s">
        <v>52</v>
      </c>
      <c r="L1456">
        <v>25</v>
      </c>
      <c r="M1456">
        <v>0.87</v>
      </c>
      <c r="N1456">
        <v>145.27000000000001</v>
      </c>
      <c r="O1456">
        <v>1.07</v>
      </c>
      <c r="P1456">
        <v>5</v>
      </c>
      <c r="Q1456">
        <v>0.87</v>
      </c>
      <c r="R1456">
        <v>65</v>
      </c>
      <c r="S1456">
        <v>11.21</v>
      </c>
      <c r="T1456">
        <v>0.96</v>
      </c>
      <c r="U1456" s="1">
        <v>45630</v>
      </c>
      <c r="V1456">
        <v>133.21</v>
      </c>
      <c r="W1456">
        <v>0.70799999999999996</v>
      </c>
      <c r="X1456" t="str">
        <f>IF(WarehouseData[[#This Row],[stock_level]]&lt;=WarehouseData[[#This Row],[reorder_point]],"Low Stock","Sufficient Stock")</f>
        <v>Sufficient Stock</v>
      </c>
      <c r="Y1456">
        <f>WarehouseData[[#This Row],[daily_demand]]*WarehouseData[[#This Row],[lead_time_days]]</f>
        <v>283.22000000000003</v>
      </c>
      <c r="Z1456" t="str">
        <f>IF(WarehouseData[[#This Row],[stock_level]]&lt;=WarehouseData[[#This Row],[Demand During Lead Time]],"At Risk","Safe")</f>
        <v>At Risk</v>
      </c>
      <c r="AA1456">
        <f>WarehouseData[[#This Row],[stock_level]]/WarehouseData[[#This Row],[daily_demand]]</f>
        <v>6.2530894710825509</v>
      </c>
      <c r="AB1456">
        <f>WarehouseData[[#This Row],[stock_level]]*WarehouseData[[#This Row],[unit_price]]</f>
        <v>36753.310000000005</v>
      </c>
      <c r="AC1456">
        <f>WarehouseData[[#This Row],[stock_level]]*WarehouseData[[#This Row],[holding_cost_per_unit_day]]*30</f>
        <v>8121.3000000000011</v>
      </c>
      <c r="AD1456" t="str">
        <f>IF(WarehouseData[[#This Row],[order_fulfillment_rate]]&gt;=0.9,"Strong",IF(WarehouseData[[#This Row],[order_fulfillment_rate]]&gt;=0.8,"Moderate","Needs Attention"))</f>
        <v>Moderate</v>
      </c>
      <c r="AE1456" t="str">
        <f>IF(WarehouseData[[#This Row],[picking_time_seconds]]&gt;120,"Slow",IF(WarehouseData[[#This Row],[picking_time_seconds]]&gt;=60,"Average","Fast"))</f>
        <v>Fast</v>
      </c>
    </row>
    <row r="1457" spans="1:31" x14ac:dyDescent="0.25">
      <c r="A1457" t="s">
        <v>1595</v>
      </c>
      <c r="B1457" t="s">
        <v>36</v>
      </c>
      <c r="C1457">
        <v>240</v>
      </c>
      <c r="D1457">
        <v>94</v>
      </c>
      <c r="E1457">
        <v>6</v>
      </c>
      <c r="F1457">
        <v>7</v>
      </c>
      <c r="G1457">
        <v>14.45</v>
      </c>
      <c r="H1457">
        <v>2.79</v>
      </c>
      <c r="I1457">
        <v>0.55000000000000004</v>
      </c>
      <c r="J1457" t="s">
        <v>133</v>
      </c>
      <c r="K1457" t="s">
        <v>34</v>
      </c>
      <c r="L1457">
        <v>54</v>
      </c>
      <c r="M1457">
        <v>2.21</v>
      </c>
      <c r="N1457">
        <v>21.96</v>
      </c>
      <c r="O1457">
        <v>0.59</v>
      </c>
      <c r="P1457">
        <v>5</v>
      </c>
      <c r="Q1457">
        <v>0.95</v>
      </c>
      <c r="R1457">
        <v>279</v>
      </c>
      <c r="S1457">
        <v>3.14</v>
      </c>
      <c r="T1457">
        <v>0.82</v>
      </c>
      <c r="U1457" s="1">
        <v>45427</v>
      </c>
      <c r="V1457">
        <v>157.06</v>
      </c>
      <c r="W1457">
        <v>0.63700000000000001</v>
      </c>
      <c r="X1457" t="str">
        <f>IF(WarehouseData[[#This Row],[stock_level]]&lt;=WarehouseData[[#This Row],[reorder_point]],"Low Stock","Sufficient Stock")</f>
        <v>Sufficient Stock</v>
      </c>
      <c r="Y1457">
        <f>WarehouseData[[#This Row],[daily_demand]]*WarehouseData[[#This Row],[lead_time_days]]</f>
        <v>101.14999999999999</v>
      </c>
      <c r="Z1457" t="str">
        <f>IF(WarehouseData[[#This Row],[stock_level]]&lt;=WarehouseData[[#This Row],[Demand During Lead Time]],"At Risk","Safe")</f>
        <v>Safe</v>
      </c>
      <c r="AA1457">
        <f>WarehouseData[[#This Row],[stock_level]]/WarehouseData[[#This Row],[daily_demand]]</f>
        <v>16.60899653979239</v>
      </c>
      <c r="AB1457">
        <f>WarehouseData[[#This Row],[stock_level]]*WarehouseData[[#This Row],[unit_price]]</f>
        <v>5270.4000000000005</v>
      </c>
      <c r="AC1457">
        <f>WarehouseData[[#This Row],[stock_level]]*WarehouseData[[#This Row],[holding_cost_per_unit_day]]*30</f>
        <v>4248</v>
      </c>
      <c r="AD1457" t="str">
        <f>IF(WarehouseData[[#This Row],[order_fulfillment_rate]]&gt;=0.9,"Strong",IF(WarehouseData[[#This Row],[order_fulfillment_rate]]&gt;=0.8,"Moderate","Needs Attention"))</f>
        <v>Strong</v>
      </c>
      <c r="AE1457" t="str">
        <f>IF(WarehouseData[[#This Row],[picking_time_seconds]]&gt;120,"Slow",IF(WarehouseData[[#This Row],[picking_time_seconds]]&gt;=60,"Average","Fast"))</f>
        <v>Fast</v>
      </c>
    </row>
    <row r="1458" spans="1:31" x14ac:dyDescent="0.25">
      <c r="A1458" t="s">
        <v>1596</v>
      </c>
      <c r="B1458" t="s">
        <v>40</v>
      </c>
      <c r="C1458">
        <v>342</v>
      </c>
      <c r="D1458">
        <v>65</v>
      </c>
      <c r="E1458">
        <v>6</v>
      </c>
      <c r="F1458">
        <v>2</v>
      </c>
      <c r="G1458">
        <v>44.07</v>
      </c>
      <c r="H1458">
        <v>2.61</v>
      </c>
      <c r="I1458">
        <v>0.66</v>
      </c>
      <c r="J1458" t="s">
        <v>353</v>
      </c>
      <c r="K1458" t="s">
        <v>46</v>
      </c>
      <c r="L1458">
        <v>43</v>
      </c>
      <c r="M1458">
        <v>1.29</v>
      </c>
      <c r="N1458">
        <v>122.99</v>
      </c>
      <c r="O1458">
        <v>0.53</v>
      </c>
      <c r="P1458">
        <v>0</v>
      </c>
      <c r="Q1458">
        <v>0.85</v>
      </c>
      <c r="R1458">
        <v>953</v>
      </c>
      <c r="S1458">
        <v>1.3</v>
      </c>
      <c r="T1458">
        <v>0.27</v>
      </c>
      <c r="U1458" s="1">
        <v>45338</v>
      </c>
      <c r="V1458">
        <v>10.93</v>
      </c>
      <c r="W1458">
        <v>0.58799999999999997</v>
      </c>
      <c r="X1458" t="str">
        <f>IF(WarehouseData[[#This Row],[stock_level]]&lt;=WarehouseData[[#This Row],[reorder_point]],"Low Stock","Sufficient Stock")</f>
        <v>Sufficient Stock</v>
      </c>
      <c r="Y1458">
        <f>WarehouseData[[#This Row],[daily_demand]]*WarehouseData[[#This Row],[lead_time_days]]</f>
        <v>88.14</v>
      </c>
      <c r="Z1458" t="str">
        <f>IF(WarehouseData[[#This Row],[stock_level]]&lt;=WarehouseData[[#This Row],[Demand During Lead Time]],"At Risk","Safe")</f>
        <v>Safe</v>
      </c>
      <c r="AA1458">
        <f>WarehouseData[[#This Row],[stock_level]]/WarehouseData[[#This Row],[daily_demand]]</f>
        <v>7.760381211708645</v>
      </c>
      <c r="AB1458">
        <f>WarehouseData[[#This Row],[stock_level]]*WarehouseData[[#This Row],[unit_price]]</f>
        <v>42062.58</v>
      </c>
      <c r="AC1458">
        <f>WarehouseData[[#This Row],[stock_level]]*WarehouseData[[#This Row],[holding_cost_per_unit_day]]*30</f>
        <v>5437.8</v>
      </c>
      <c r="AD1458" t="str">
        <f>IF(WarehouseData[[#This Row],[order_fulfillment_rate]]&gt;=0.9,"Strong",IF(WarehouseData[[#This Row],[order_fulfillment_rate]]&gt;=0.8,"Moderate","Needs Attention"))</f>
        <v>Moderate</v>
      </c>
      <c r="AE1458" t="str">
        <f>IF(WarehouseData[[#This Row],[picking_time_seconds]]&gt;120,"Slow",IF(WarehouseData[[#This Row],[picking_time_seconds]]&gt;=60,"Average","Fast"))</f>
        <v>Fast</v>
      </c>
    </row>
    <row r="1459" spans="1:31" x14ac:dyDescent="0.25">
      <c r="A1459" t="s">
        <v>1597</v>
      </c>
      <c r="B1459" t="s">
        <v>36</v>
      </c>
      <c r="C1459">
        <v>358</v>
      </c>
      <c r="D1459">
        <v>77</v>
      </c>
      <c r="E1459">
        <v>4</v>
      </c>
      <c r="F1459">
        <v>6</v>
      </c>
      <c r="G1459">
        <v>41.84</v>
      </c>
      <c r="H1459">
        <v>9.5500000000000007</v>
      </c>
      <c r="I1459">
        <v>0.59</v>
      </c>
      <c r="J1459" t="s">
        <v>64</v>
      </c>
      <c r="K1459" t="s">
        <v>52</v>
      </c>
      <c r="L1459">
        <v>53</v>
      </c>
      <c r="M1459">
        <v>3.42</v>
      </c>
      <c r="N1459">
        <v>137.15</v>
      </c>
      <c r="O1459">
        <v>0.8</v>
      </c>
      <c r="P1459">
        <v>6</v>
      </c>
      <c r="Q1459">
        <v>0.82</v>
      </c>
      <c r="R1459">
        <v>966</v>
      </c>
      <c r="S1459">
        <v>6.46</v>
      </c>
      <c r="T1459">
        <v>0.2</v>
      </c>
      <c r="U1459" s="1">
        <v>45620</v>
      </c>
      <c r="V1459">
        <v>151.16</v>
      </c>
      <c r="W1459">
        <v>0.49</v>
      </c>
      <c r="X1459" t="str">
        <f>IF(WarehouseData[[#This Row],[stock_level]]&lt;=WarehouseData[[#This Row],[reorder_point]],"Low Stock","Sufficient Stock")</f>
        <v>Sufficient Stock</v>
      </c>
      <c r="Y1459">
        <f>WarehouseData[[#This Row],[daily_demand]]*WarehouseData[[#This Row],[lead_time_days]]</f>
        <v>251.04000000000002</v>
      </c>
      <c r="Z1459" t="str">
        <f>IF(WarehouseData[[#This Row],[stock_level]]&lt;=WarehouseData[[#This Row],[Demand During Lead Time]],"At Risk","Safe")</f>
        <v>Safe</v>
      </c>
      <c r="AA1459">
        <f>WarehouseData[[#This Row],[stock_level]]/WarehouseData[[#This Row],[daily_demand]]</f>
        <v>8.5564053537284881</v>
      </c>
      <c r="AB1459">
        <f>WarehouseData[[#This Row],[stock_level]]*WarehouseData[[#This Row],[unit_price]]</f>
        <v>49099.700000000004</v>
      </c>
      <c r="AC1459">
        <f>WarehouseData[[#This Row],[stock_level]]*WarehouseData[[#This Row],[holding_cost_per_unit_day]]*30</f>
        <v>8592.0000000000018</v>
      </c>
      <c r="AD1459" t="str">
        <f>IF(WarehouseData[[#This Row],[order_fulfillment_rate]]&gt;=0.9,"Strong",IF(WarehouseData[[#This Row],[order_fulfillment_rate]]&gt;=0.8,"Moderate","Needs Attention"))</f>
        <v>Moderate</v>
      </c>
      <c r="AE1459" t="str">
        <f>IF(WarehouseData[[#This Row],[picking_time_seconds]]&gt;120,"Slow",IF(WarehouseData[[#This Row],[picking_time_seconds]]&gt;=60,"Average","Fast"))</f>
        <v>Fast</v>
      </c>
    </row>
    <row r="1460" spans="1:31" x14ac:dyDescent="0.25">
      <c r="A1460" t="s">
        <v>1598</v>
      </c>
      <c r="B1460" t="s">
        <v>73</v>
      </c>
      <c r="C1460">
        <v>22</v>
      </c>
      <c r="D1460">
        <v>53</v>
      </c>
      <c r="E1460">
        <v>7</v>
      </c>
      <c r="F1460">
        <v>5</v>
      </c>
      <c r="G1460">
        <v>46.53</v>
      </c>
      <c r="H1460">
        <v>9.61</v>
      </c>
      <c r="I1460">
        <v>0.74</v>
      </c>
      <c r="J1460" t="s">
        <v>146</v>
      </c>
      <c r="K1460" t="s">
        <v>34</v>
      </c>
      <c r="L1460">
        <v>126</v>
      </c>
      <c r="M1460">
        <v>3.91</v>
      </c>
      <c r="N1460">
        <v>79.739999999999995</v>
      </c>
      <c r="O1460">
        <v>0.42</v>
      </c>
      <c r="P1460">
        <v>4</v>
      </c>
      <c r="Q1460">
        <v>0.88</v>
      </c>
      <c r="R1460">
        <v>938</v>
      </c>
      <c r="S1460">
        <v>10.45</v>
      </c>
      <c r="T1460">
        <v>0.34</v>
      </c>
      <c r="U1460" s="1">
        <v>45570</v>
      </c>
      <c r="V1460">
        <v>66.53</v>
      </c>
      <c r="W1460">
        <v>0.66100000000000003</v>
      </c>
      <c r="X1460" t="str">
        <f>IF(WarehouseData[[#This Row],[stock_level]]&lt;=WarehouseData[[#This Row],[reorder_point]],"Low Stock","Sufficient Stock")</f>
        <v>Low Stock</v>
      </c>
      <c r="Y1460">
        <f>WarehouseData[[#This Row],[daily_demand]]*WarehouseData[[#This Row],[lead_time_days]]</f>
        <v>232.65</v>
      </c>
      <c r="Z1460" t="str">
        <f>IF(WarehouseData[[#This Row],[stock_level]]&lt;=WarehouseData[[#This Row],[Demand During Lead Time]],"At Risk","Safe")</f>
        <v>At Risk</v>
      </c>
      <c r="AA1460">
        <f>WarehouseData[[#This Row],[stock_level]]/WarehouseData[[#This Row],[daily_demand]]</f>
        <v>0.47281323877068554</v>
      </c>
      <c r="AB1460">
        <f>WarehouseData[[#This Row],[stock_level]]*WarehouseData[[#This Row],[unit_price]]</f>
        <v>1754.28</v>
      </c>
      <c r="AC1460">
        <f>WarehouseData[[#This Row],[stock_level]]*WarehouseData[[#This Row],[holding_cost_per_unit_day]]*30</f>
        <v>277.2</v>
      </c>
      <c r="AD1460" t="str">
        <f>IF(WarehouseData[[#This Row],[order_fulfillment_rate]]&gt;=0.9,"Strong",IF(WarehouseData[[#This Row],[order_fulfillment_rate]]&gt;=0.8,"Moderate","Needs Attention"))</f>
        <v>Moderate</v>
      </c>
      <c r="AE1460" t="str">
        <f>IF(WarehouseData[[#This Row],[picking_time_seconds]]&gt;120,"Slow",IF(WarehouseData[[#This Row],[picking_time_seconds]]&gt;=60,"Average","Fast"))</f>
        <v>Slow</v>
      </c>
    </row>
    <row r="1461" spans="1:31" x14ac:dyDescent="0.25">
      <c r="A1461" t="s">
        <v>1599</v>
      </c>
      <c r="B1461" t="s">
        <v>36</v>
      </c>
      <c r="C1461">
        <v>201</v>
      </c>
      <c r="D1461">
        <v>40</v>
      </c>
      <c r="E1461">
        <v>3</v>
      </c>
      <c r="F1461">
        <v>6</v>
      </c>
      <c r="G1461">
        <v>23.47</v>
      </c>
      <c r="H1461">
        <v>7.39</v>
      </c>
      <c r="I1461">
        <v>0.39</v>
      </c>
      <c r="J1461" t="s">
        <v>212</v>
      </c>
      <c r="K1461" t="s">
        <v>38</v>
      </c>
      <c r="L1461">
        <v>134</v>
      </c>
      <c r="M1461">
        <v>1.61</v>
      </c>
      <c r="N1461">
        <v>177.35</v>
      </c>
      <c r="O1461">
        <v>1.37</v>
      </c>
      <c r="P1461">
        <v>6</v>
      </c>
      <c r="Q1461">
        <v>0.9</v>
      </c>
      <c r="R1461">
        <v>316</v>
      </c>
      <c r="S1461">
        <v>4.96</v>
      </c>
      <c r="T1461">
        <v>0.96</v>
      </c>
      <c r="U1461" s="1">
        <v>45490</v>
      </c>
      <c r="V1461">
        <v>38.380000000000003</v>
      </c>
      <c r="W1461">
        <v>0.58099999999999996</v>
      </c>
      <c r="X1461" t="str">
        <f>IF(WarehouseData[[#This Row],[stock_level]]&lt;=WarehouseData[[#This Row],[reorder_point]],"Low Stock","Sufficient Stock")</f>
        <v>Sufficient Stock</v>
      </c>
      <c r="Y1461">
        <f>WarehouseData[[#This Row],[daily_demand]]*WarehouseData[[#This Row],[lead_time_days]]</f>
        <v>140.82</v>
      </c>
      <c r="Z1461" t="str">
        <f>IF(WarehouseData[[#This Row],[stock_level]]&lt;=WarehouseData[[#This Row],[Demand During Lead Time]],"At Risk","Safe")</f>
        <v>Safe</v>
      </c>
      <c r="AA1461">
        <f>WarehouseData[[#This Row],[stock_level]]/WarehouseData[[#This Row],[daily_demand]]</f>
        <v>8.5641244141457182</v>
      </c>
      <c r="AB1461">
        <f>WarehouseData[[#This Row],[stock_level]]*WarehouseData[[#This Row],[unit_price]]</f>
        <v>35647.35</v>
      </c>
      <c r="AC1461">
        <f>WarehouseData[[#This Row],[stock_level]]*WarehouseData[[#This Row],[holding_cost_per_unit_day]]*30</f>
        <v>8261.1</v>
      </c>
      <c r="AD1461" t="str">
        <f>IF(WarehouseData[[#This Row],[order_fulfillment_rate]]&gt;=0.9,"Strong",IF(WarehouseData[[#This Row],[order_fulfillment_rate]]&gt;=0.8,"Moderate","Needs Attention"))</f>
        <v>Strong</v>
      </c>
      <c r="AE1461" t="str">
        <f>IF(WarehouseData[[#This Row],[picking_time_seconds]]&gt;120,"Slow",IF(WarehouseData[[#This Row],[picking_time_seconds]]&gt;=60,"Average","Fast"))</f>
        <v>Slow</v>
      </c>
    </row>
    <row r="1462" spans="1:31" x14ac:dyDescent="0.25">
      <c r="A1462" t="s">
        <v>1600</v>
      </c>
      <c r="B1462" t="s">
        <v>48</v>
      </c>
      <c r="C1462">
        <v>225</v>
      </c>
      <c r="D1462">
        <v>67</v>
      </c>
      <c r="E1462">
        <v>11</v>
      </c>
      <c r="F1462">
        <v>8</v>
      </c>
      <c r="G1462">
        <v>38.659999999999997</v>
      </c>
      <c r="H1462">
        <v>8.9</v>
      </c>
      <c r="I1462">
        <v>0.22</v>
      </c>
      <c r="J1462" t="s">
        <v>245</v>
      </c>
      <c r="K1462" t="s">
        <v>46</v>
      </c>
      <c r="L1462">
        <v>112</v>
      </c>
      <c r="M1462">
        <v>3.71</v>
      </c>
      <c r="N1462">
        <v>162.1</v>
      </c>
      <c r="O1462">
        <v>1.27</v>
      </c>
      <c r="P1462">
        <v>5</v>
      </c>
      <c r="Q1462">
        <v>0.93</v>
      </c>
      <c r="R1462">
        <v>355</v>
      </c>
      <c r="S1462">
        <v>14.63</v>
      </c>
      <c r="T1462">
        <v>0.66</v>
      </c>
      <c r="U1462" s="1">
        <v>45386</v>
      </c>
      <c r="V1462">
        <v>164.66</v>
      </c>
      <c r="W1462">
        <v>0.68600000000000005</v>
      </c>
      <c r="X1462" t="str">
        <f>IF(WarehouseData[[#This Row],[stock_level]]&lt;=WarehouseData[[#This Row],[reorder_point]],"Low Stock","Sufficient Stock")</f>
        <v>Sufficient Stock</v>
      </c>
      <c r="Y1462">
        <f>WarehouseData[[#This Row],[daily_demand]]*WarehouseData[[#This Row],[lead_time_days]]</f>
        <v>309.27999999999997</v>
      </c>
      <c r="Z1462" t="str">
        <f>IF(WarehouseData[[#This Row],[stock_level]]&lt;=WarehouseData[[#This Row],[Demand During Lead Time]],"At Risk","Safe")</f>
        <v>At Risk</v>
      </c>
      <c r="AA1462">
        <f>WarehouseData[[#This Row],[stock_level]]/WarehouseData[[#This Row],[daily_demand]]</f>
        <v>5.8199689601655464</v>
      </c>
      <c r="AB1462">
        <f>WarehouseData[[#This Row],[stock_level]]*WarehouseData[[#This Row],[unit_price]]</f>
        <v>36472.5</v>
      </c>
      <c r="AC1462">
        <f>WarehouseData[[#This Row],[stock_level]]*WarehouseData[[#This Row],[holding_cost_per_unit_day]]*30</f>
        <v>8572.5</v>
      </c>
      <c r="AD1462" t="str">
        <f>IF(WarehouseData[[#This Row],[order_fulfillment_rate]]&gt;=0.9,"Strong",IF(WarehouseData[[#This Row],[order_fulfillment_rate]]&gt;=0.8,"Moderate","Needs Attention"))</f>
        <v>Strong</v>
      </c>
      <c r="AE1462" t="str">
        <f>IF(WarehouseData[[#This Row],[picking_time_seconds]]&gt;120,"Slow",IF(WarehouseData[[#This Row],[picking_time_seconds]]&gt;=60,"Average","Fast"))</f>
        <v>Average</v>
      </c>
    </row>
    <row r="1463" spans="1:31" x14ac:dyDescent="0.25">
      <c r="A1463" t="s">
        <v>1601</v>
      </c>
      <c r="B1463" t="s">
        <v>32</v>
      </c>
      <c r="C1463">
        <v>339</v>
      </c>
      <c r="D1463">
        <v>96</v>
      </c>
      <c r="E1463">
        <v>7</v>
      </c>
      <c r="F1463">
        <v>7</v>
      </c>
      <c r="G1463">
        <v>29.99</v>
      </c>
      <c r="H1463">
        <v>9.23</v>
      </c>
      <c r="I1463">
        <v>0.12</v>
      </c>
      <c r="J1463" t="s">
        <v>95</v>
      </c>
      <c r="K1463" t="s">
        <v>46</v>
      </c>
      <c r="L1463">
        <v>129</v>
      </c>
      <c r="M1463">
        <v>2.5099999999999998</v>
      </c>
      <c r="N1463">
        <v>185.93</v>
      </c>
      <c r="O1463">
        <v>1.3</v>
      </c>
      <c r="P1463">
        <v>7</v>
      </c>
      <c r="Q1463">
        <v>0.9</v>
      </c>
      <c r="R1463">
        <v>904</v>
      </c>
      <c r="S1463">
        <v>14.09</v>
      </c>
      <c r="T1463">
        <v>0.87</v>
      </c>
      <c r="U1463" s="1">
        <v>45481</v>
      </c>
      <c r="V1463">
        <v>225.8</v>
      </c>
      <c r="W1463">
        <v>0.67200000000000004</v>
      </c>
      <c r="X1463" t="str">
        <f>IF(WarehouseData[[#This Row],[stock_level]]&lt;=WarehouseData[[#This Row],[reorder_point]],"Low Stock","Sufficient Stock")</f>
        <v>Sufficient Stock</v>
      </c>
      <c r="Y1463">
        <f>WarehouseData[[#This Row],[daily_demand]]*WarehouseData[[#This Row],[lead_time_days]]</f>
        <v>209.92999999999998</v>
      </c>
      <c r="Z1463" t="str">
        <f>IF(WarehouseData[[#This Row],[stock_level]]&lt;=WarehouseData[[#This Row],[Demand During Lead Time]],"At Risk","Safe")</f>
        <v>Safe</v>
      </c>
      <c r="AA1463">
        <f>WarehouseData[[#This Row],[stock_level]]/WarehouseData[[#This Row],[daily_demand]]</f>
        <v>11.303767922640882</v>
      </c>
      <c r="AB1463">
        <f>WarehouseData[[#This Row],[stock_level]]*WarehouseData[[#This Row],[unit_price]]</f>
        <v>63030.270000000004</v>
      </c>
      <c r="AC1463">
        <f>WarehouseData[[#This Row],[stock_level]]*WarehouseData[[#This Row],[holding_cost_per_unit_day]]*30</f>
        <v>13221</v>
      </c>
      <c r="AD1463" t="str">
        <f>IF(WarehouseData[[#This Row],[order_fulfillment_rate]]&gt;=0.9,"Strong",IF(WarehouseData[[#This Row],[order_fulfillment_rate]]&gt;=0.8,"Moderate","Needs Attention"))</f>
        <v>Strong</v>
      </c>
      <c r="AE1463" t="str">
        <f>IF(WarehouseData[[#This Row],[picking_time_seconds]]&gt;120,"Slow",IF(WarehouseData[[#This Row],[picking_time_seconds]]&gt;=60,"Average","Fast"))</f>
        <v>Slow</v>
      </c>
    </row>
    <row r="1464" spans="1:31" x14ac:dyDescent="0.25">
      <c r="A1464" t="s">
        <v>1602</v>
      </c>
      <c r="B1464" t="s">
        <v>40</v>
      </c>
      <c r="C1464">
        <v>59</v>
      </c>
      <c r="D1464">
        <v>62</v>
      </c>
      <c r="E1464">
        <v>8</v>
      </c>
      <c r="F1464">
        <v>5</v>
      </c>
      <c r="G1464">
        <v>16.21</v>
      </c>
      <c r="H1464">
        <v>5.36</v>
      </c>
      <c r="I1464">
        <v>0.5</v>
      </c>
      <c r="J1464" t="s">
        <v>311</v>
      </c>
      <c r="K1464" t="s">
        <v>34</v>
      </c>
      <c r="L1464">
        <v>179</v>
      </c>
      <c r="M1464">
        <v>1.78</v>
      </c>
      <c r="N1464">
        <v>69.83</v>
      </c>
      <c r="O1464">
        <v>0.53</v>
      </c>
      <c r="P1464">
        <v>2</v>
      </c>
      <c r="Q1464">
        <v>0.92</v>
      </c>
      <c r="R1464">
        <v>55</v>
      </c>
      <c r="S1464">
        <v>9.3699999999999992</v>
      </c>
      <c r="T1464">
        <v>0.56999999999999995</v>
      </c>
      <c r="U1464" s="1">
        <v>45487</v>
      </c>
      <c r="V1464">
        <v>281.08</v>
      </c>
      <c r="W1464">
        <v>0.73</v>
      </c>
      <c r="X1464" t="str">
        <f>IF(WarehouseData[[#This Row],[stock_level]]&lt;=WarehouseData[[#This Row],[reorder_point]],"Low Stock","Sufficient Stock")</f>
        <v>Low Stock</v>
      </c>
      <c r="Y1464">
        <f>WarehouseData[[#This Row],[daily_demand]]*WarehouseData[[#This Row],[lead_time_days]]</f>
        <v>81.050000000000011</v>
      </c>
      <c r="Z1464" t="str">
        <f>IF(WarehouseData[[#This Row],[stock_level]]&lt;=WarehouseData[[#This Row],[Demand During Lead Time]],"At Risk","Safe")</f>
        <v>At Risk</v>
      </c>
      <c r="AA1464">
        <f>WarehouseData[[#This Row],[stock_level]]/WarehouseData[[#This Row],[daily_demand]]</f>
        <v>3.639728562615669</v>
      </c>
      <c r="AB1464">
        <f>WarehouseData[[#This Row],[stock_level]]*WarehouseData[[#This Row],[unit_price]]</f>
        <v>4119.97</v>
      </c>
      <c r="AC1464">
        <f>WarehouseData[[#This Row],[stock_level]]*WarehouseData[[#This Row],[holding_cost_per_unit_day]]*30</f>
        <v>938.10000000000014</v>
      </c>
      <c r="AD1464" t="str">
        <f>IF(WarehouseData[[#This Row],[order_fulfillment_rate]]&gt;=0.9,"Strong",IF(WarehouseData[[#This Row],[order_fulfillment_rate]]&gt;=0.8,"Moderate","Needs Attention"))</f>
        <v>Strong</v>
      </c>
      <c r="AE1464" t="str">
        <f>IF(WarehouseData[[#This Row],[picking_time_seconds]]&gt;120,"Slow",IF(WarehouseData[[#This Row],[picking_time_seconds]]&gt;=60,"Average","Fast"))</f>
        <v>Slow</v>
      </c>
    </row>
    <row r="1465" spans="1:31" x14ac:dyDescent="0.25">
      <c r="A1465" t="s">
        <v>1603</v>
      </c>
      <c r="B1465" t="s">
        <v>32</v>
      </c>
      <c r="C1465">
        <v>78</v>
      </c>
      <c r="D1465">
        <v>93</v>
      </c>
      <c r="E1465">
        <v>4</v>
      </c>
      <c r="F1465">
        <v>2</v>
      </c>
      <c r="G1465">
        <v>49.73</v>
      </c>
      <c r="H1465">
        <v>6.48</v>
      </c>
      <c r="I1465">
        <v>0.92</v>
      </c>
      <c r="J1465" t="s">
        <v>86</v>
      </c>
      <c r="K1465" t="s">
        <v>34</v>
      </c>
      <c r="L1465">
        <v>44</v>
      </c>
      <c r="M1465">
        <v>2.86</v>
      </c>
      <c r="N1465">
        <v>14.09</v>
      </c>
      <c r="O1465">
        <v>0.56999999999999995</v>
      </c>
      <c r="P1465">
        <v>7</v>
      </c>
      <c r="Q1465">
        <v>0.9</v>
      </c>
      <c r="R1465">
        <v>159</v>
      </c>
      <c r="S1465">
        <v>5.42</v>
      </c>
      <c r="T1465">
        <v>0.86</v>
      </c>
      <c r="U1465" s="1">
        <v>45481</v>
      </c>
      <c r="V1465">
        <v>274.67</v>
      </c>
      <c r="W1465">
        <v>0.627</v>
      </c>
      <c r="X1465" t="str">
        <f>IF(WarehouseData[[#This Row],[stock_level]]&lt;=WarehouseData[[#This Row],[reorder_point]],"Low Stock","Sufficient Stock")</f>
        <v>Low Stock</v>
      </c>
      <c r="Y1465">
        <f>WarehouseData[[#This Row],[daily_demand]]*WarehouseData[[#This Row],[lead_time_days]]</f>
        <v>99.46</v>
      </c>
      <c r="Z1465" t="str">
        <f>IF(WarehouseData[[#This Row],[stock_level]]&lt;=WarehouseData[[#This Row],[Demand During Lead Time]],"At Risk","Safe")</f>
        <v>At Risk</v>
      </c>
      <c r="AA1465">
        <f>WarehouseData[[#This Row],[stock_level]]/WarehouseData[[#This Row],[daily_demand]]</f>
        <v>1.5684697365775186</v>
      </c>
      <c r="AB1465">
        <f>WarehouseData[[#This Row],[stock_level]]*WarehouseData[[#This Row],[unit_price]]</f>
        <v>1099.02</v>
      </c>
      <c r="AC1465">
        <f>WarehouseData[[#This Row],[stock_level]]*WarehouseData[[#This Row],[holding_cost_per_unit_day]]*30</f>
        <v>1333.7999999999997</v>
      </c>
      <c r="AD1465" t="str">
        <f>IF(WarehouseData[[#This Row],[order_fulfillment_rate]]&gt;=0.9,"Strong",IF(WarehouseData[[#This Row],[order_fulfillment_rate]]&gt;=0.8,"Moderate","Needs Attention"))</f>
        <v>Strong</v>
      </c>
      <c r="AE1465" t="str">
        <f>IF(WarehouseData[[#This Row],[picking_time_seconds]]&gt;120,"Slow",IF(WarehouseData[[#This Row],[picking_time_seconds]]&gt;=60,"Average","Fast"))</f>
        <v>Fast</v>
      </c>
    </row>
    <row r="1466" spans="1:31" x14ac:dyDescent="0.25">
      <c r="A1466" t="s">
        <v>1604</v>
      </c>
      <c r="B1466" t="s">
        <v>36</v>
      </c>
      <c r="C1466">
        <v>458</v>
      </c>
      <c r="D1466">
        <v>88</v>
      </c>
      <c r="E1466">
        <v>12</v>
      </c>
      <c r="F1466">
        <v>7</v>
      </c>
      <c r="G1466">
        <v>2.88</v>
      </c>
      <c r="H1466">
        <v>4.4800000000000004</v>
      </c>
      <c r="I1466">
        <v>0.37</v>
      </c>
      <c r="J1466" t="s">
        <v>353</v>
      </c>
      <c r="K1466" t="s">
        <v>38</v>
      </c>
      <c r="L1466">
        <v>135</v>
      </c>
      <c r="M1466">
        <v>2.21</v>
      </c>
      <c r="N1466">
        <v>164.18</v>
      </c>
      <c r="O1466">
        <v>1.6</v>
      </c>
      <c r="P1466">
        <v>6</v>
      </c>
      <c r="Q1466">
        <v>0.84</v>
      </c>
      <c r="R1466">
        <v>192</v>
      </c>
      <c r="S1466">
        <v>13.55</v>
      </c>
      <c r="T1466">
        <v>0.23</v>
      </c>
      <c r="U1466" s="1">
        <v>45387</v>
      </c>
      <c r="V1466">
        <v>125.71</v>
      </c>
      <c r="W1466">
        <v>0.51500000000000001</v>
      </c>
      <c r="X1466" t="str">
        <f>IF(WarehouseData[[#This Row],[stock_level]]&lt;=WarehouseData[[#This Row],[reorder_point]],"Low Stock","Sufficient Stock")</f>
        <v>Sufficient Stock</v>
      </c>
      <c r="Y1466">
        <f>WarehouseData[[#This Row],[daily_demand]]*WarehouseData[[#This Row],[lead_time_days]]</f>
        <v>20.16</v>
      </c>
      <c r="Z1466" t="str">
        <f>IF(WarehouseData[[#This Row],[stock_level]]&lt;=WarehouseData[[#This Row],[Demand During Lead Time]],"At Risk","Safe")</f>
        <v>Safe</v>
      </c>
      <c r="AA1466">
        <f>WarehouseData[[#This Row],[stock_level]]/WarehouseData[[#This Row],[daily_demand]]</f>
        <v>159.02777777777777</v>
      </c>
      <c r="AB1466">
        <f>WarehouseData[[#This Row],[stock_level]]*WarehouseData[[#This Row],[unit_price]]</f>
        <v>75194.44</v>
      </c>
      <c r="AC1466">
        <f>WarehouseData[[#This Row],[stock_level]]*WarehouseData[[#This Row],[holding_cost_per_unit_day]]*30</f>
        <v>21984.000000000004</v>
      </c>
      <c r="AD1466" t="str">
        <f>IF(WarehouseData[[#This Row],[order_fulfillment_rate]]&gt;=0.9,"Strong",IF(WarehouseData[[#This Row],[order_fulfillment_rate]]&gt;=0.8,"Moderate","Needs Attention"))</f>
        <v>Moderate</v>
      </c>
      <c r="AE1466" t="str">
        <f>IF(WarehouseData[[#This Row],[picking_time_seconds]]&gt;120,"Slow",IF(WarehouseData[[#This Row],[picking_time_seconds]]&gt;=60,"Average","Fast"))</f>
        <v>Slow</v>
      </c>
    </row>
    <row r="1467" spans="1:31" x14ac:dyDescent="0.25">
      <c r="A1467" t="s">
        <v>1605</v>
      </c>
      <c r="B1467" t="s">
        <v>40</v>
      </c>
      <c r="C1467">
        <v>81</v>
      </c>
      <c r="D1467">
        <v>32</v>
      </c>
      <c r="E1467">
        <v>12</v>
      </c>
      <c r="F1467">
        <v>2</v>
      </c>
      <c r="G1467">
        <v>8.9499999999999993</v>
      </c>
      <c r="H1467">
        <v>4.4800000000000004</v>
      </c>
      <c r="I1467">
        <v>0.28000000000000003</v>
      </c>
      <c r="J1467" t="s">
        <v>62</v>
      </c>
      <c r="K1467" t="s">
        <v>38</v>
      </c>
      <c r="L1467">
        <v>84</v>
      </c>
      <c r="M1467">
        <v>1.53</v>
      </c>
      <c r="N1467">
        <v>52.37</v>
      </c>
      <c r="O1467">
        <v>1.41</v>
      </c>
      <c r="P1467">
        <v>0</v>
      </c>
      <c r="Q1467">
        <v>0.74</v>
      </c>
      <c r="R1467">
        <v>956</v>
      </c>
      <c r="S1467">
        <v>12.25</v>
      </c>
      <c r="T1467">
        <v>0.54</v>
      </c>
      <c r="U1467" s="1">
        <v>45520</v>
      </c>
      <c r="V1467">
        <v>214.18</v>
      </c>
      <c r="W1467">
        <v>0.67800000000000005</v>
      </c>
      <c r="X1467" t="str">
        <f>IF(WarehouseData[[#This Row],[stock_level]]&lt;=WarehouseData[[#This Row],[reorder_point]],"Low Stock","Sufficient Stock")</f>
        <v>Sufficient Stock</v>
      </c>
      <c r="Y1467">
        <f>WarehouseData[[#This Row],[daily_demand]]*WarehouseData[[#This Row],[lead_time_days]]</f>
        <v>17.899999999999999</v>
      </c>
      <c r="Z1467" t="str">
        <f>IF(WarehouseData[[#This Row],[stock_level]]&lt;=WarehouseData[[#This Row],[Demand During Lead Time]],"At Risk","Safe")</f>
        <v>Safe</v>
      </c>
      <c r="AA1467">
        <f>WarehouseData[[#This Row],[stock_level]]/WarehouseData[[#This Row],[daily_demand]]</f>
        <v>9.050279329608939</v>
      </c>
      <c r="AB1467">
        <f>WarehouseData[[#This Row],[stock_level]]*WarehouseData[[#This Row],[unit_price]]</f>
        <v>4241.9699999999993</v>
      </c>
      <c r="AC1467">
        <f>WarehouseData[[#This Row],[stock_level]]*WarehouseData[[#This Row],[holding_cost_per_unit_day]]*30</f>
        <v>3426.2999999999997</v>
      </c>
      <c r="AD1467" t="str">
        <f>IF(WarehouseData[[#This Row],[order_fulfillment_rate]]&gt;=0.9,"Strong",IF(WarehouseData[[#This Row],[order_fulfillment_rate]]&gt;=0.8,"Moderate","Needs Attention"))</f>
        <v>Needs Attention</v>
      </c>
      <c r="AE1467" t="str">
        <f>IF(WarehouseData[[#This Row],[picking_time_seconds]]&gt;120,"Slow",IF(WarehouseData[[#This Row],[picking_time_seconds]]&gt;=60,"Average","Fast"))</f>
        <v>Average</v>
      </c>
    </row>
    <row r="1468" spans="1:31" x14ac:dyDescent="0.25">
      <c r="A1468" t="s">
        <v>1606</v>
      </c>
      <c r="B1468" t="s">
        <v>36</v>
      </c>
      <c r="C1468">
        <v>151</v>
      </c>
      <c r="D1468">
        <v>37</v>
      </c>
      <c r="E1468">
        <v>3</v>
      </c>
      <c r="F1468">
        <v>5</v>
      </c>
      <c r="G1468">
        <v>44.73</v>
      </c>
      <c r="H1468">
        <v>0.87</v>
      </c>
      <c r="I1468">
        <v>0.93</v>
      </c>
      <c r="J1468" t="s">
        <v>152</v>
      </c>
      <c r="K1468" t="s">
        <v>38</v>
      </c>
      <c r="L1468">
        <v>93</v>
      </c>
      <c r="M1468">
        <v>3.91</v>
      </c>
      <c r="N1468">
        <v>98.76</v>
      </c>
      <c r="O1468">
        <v>1.76</v>
      </c>
      <c r="P1468">
        <v>2</v>
      </c>
      <c r="Q1468">
        <v>0.94</v>
      </c>
      <c r="R1468">
        <v>716</v>
      </c>
      <c r="S1468">
        <v>2.21</v>
      </c>
      <c r="T1468">
        <v>0.5</v>
      </c>
      <c r="U1468" s="1">
        <v>45314</v>
      </c>
      <c r="V1468">
        <v>211.73</v>
      </c>
      <c r="W1468">
        <v>0.501</v>
      </c>
      <c r="X1468" t="str">
        <f>IF(WarehouseData[[#This Row],[stock_level]]&lt;=WarehouseData[[#This Row],[reorder_point]],"Low Stock","Sufficient Stock")</f>
        <v>Sufficient Stock</v>
      </c>
      <c r="Y1468">
        <f>WarehouseData[[#This Row],[daily_demand]]*WarehouseData[[#This Row],[lead_time_days]]</f>
        <v>223.64999999999998</v>
      </c>
      <c r="Z1468" t="str">
        <f>IF(WarehouseData[[#This Row],[stock_level]]&lt;=WarehouseData[[#This Row],[Demand During Lead Time]],"At Risk","Safe")</f>
        <v>At Risk</v>
      </c>
      <c r="AA1468">
        <f>WarehouseData[[#This Row],[stock_level]]/WarehouseData[[#This Row],[daily_demand]]</f>
        <v>3.3758104180639394</v>
      </c>
      <c r="AB1468">
        <f>WarehouseData[[#This Row],[stock_level]]*WarehouseData[[#This Row],[unit_price]]</f>
        <v>14912.76</v>
      </c>
      <c r="AC1468">
        <f>WarehouseData[[#This Row],[stock_level]]*WarehouseData[[#This Row],[holding_cost_per_unit_day]]*30</f>
        <v>7972.7999999999993</v>
      </c>
      <c r="AD1468" t="str">
        <f>IF(WarehouseData[[#This Row],[order_fulfillment_rate]]&gt;=0.9,"Strong",IF(WarehouseData[[#This Row],[order_fulfillment_rate]]&gt;=0.8,"Moderate","Needs Attention"))</f>
        <v>Strong</v>
      </c>
      <c r="AE1468" t="str">
        <f>IF(WarehouseData[[#This Row],[picking_time_seconds]]&gt;120,"Slow",IF(WarehouseData[[#This Row],[picking_time_seconds]]&gt;=60,"Average","Fast"))</f>
        <v>Average</v>
      </c>
    </row>
    <row r="1469" spans="1:31" x14ac:dyDescent="0.25">
      <c r="A1469" t="s">
        <v>1607</v>
      </c>
      <c r="B1469" t="s">
        <v>48</v>
      </c>
      <c r="C1469">
        <v>79</v>
      </c>
      <c r="D1469">
        <v>25</v>
      </c>
      <c r="E1469">
        <v>6</v>
      </c>
      <c r="F1469">
        <v>2</v>
      </c>
      <c r="G1469">
        <v>3.97</v>
      </c>
      <c r="H1469">
        <v>4.62</v>
      </c>
      <c r="I1469">
        <v>0.19</v>
      </c>
      <c r="J1469" t="s">
        <v>281</v>
      </c>
      <c r="K1469" t="s">
        <v>46</v>
      </c>
      <c r="L1469">
        <v>167</v>
      </c>
      <c r="M1469">
        <v>4.09</v>
      </c>
      <c r="N1469">
        <v>165.29</v>
      </c>
      <c r="O1469">
        <v>0.87</v>
      </c>
      <c r="P1469">
        <v>9</v>
      </c>
      <c r="Q1469">
        <v>0.71</v>
      </c>
      <c r="R1469">
        <v>256</v>
      </c>
      <c r="S1469">
        <v>7.67</v>
      </c>
      <c r="T1469">
        <v>0.99</v>
      </c>
      <c r="U1469" s="1">
        <v>45426</v>
      </c>
      <c r="V1469">
        <v>129.51</v>
      </c>
      <c r="W1469">
        <v>0.57499999999999996</v>
      </c>
      <c r="X1469" t="str">
        <f>IF(WarehouseData[[#This Row],[stock_level]]&lt;=WarehouseData[[#This Row],[reorder_point]],"Low Stock","Sufficient Stock")</f>
        <v>Sufficient Stock</v>
      </c>
      <c r="Y1469">
        <f>WarehouseData[[#This Row],[daily_demand]]*WarehouseData[[#This Row],[lead_time_days]]</f>
        <v>7.94</v>
      </c>
      <c r="Z1469" t="str">
        <f>IF(WarehouseData[[#This Row],[stock_level]]&lt;=WarehouseData[[#This Row],[Demand During Lead Time]],"At Risk","Safe")</f>
        <v>Safe</v>
      </c>
      <c r="AA1469">
        <f>WarehouseData[[#This Row],[stock_level]]/WarehouseData[[#This Row],[daily_demand]]</f>
        <v>19.899244332493701</v>
      </c>
      <c r="AB1469">
        <f>WarehouseData[[#This Row],[stock_level]]*WarehouseData[[#This Row],[unit_price]]</f>
        <v>13057.91</v>
      </c>
      <c r="AC1469">
        <f>WarehouseData[[#This Row],[stock_level]]*WarehouseData[[#This Row],[holding_cost_per_unit_day]]*30</f>
        <v>2061.9</v>
      </c>
      <c r="AD1469" t="str">
        <f>IF(WarehouseData[[#This Row],[order_fulfillment_rate]]&gt;=0.9,"Strong",IF(WarehouseData[[#This Row],[order_fulfillment_rate]]&gt;=0.8,"Moderate","Needs Attention"))</f>
        <v>Needs Attention</v>
      </c>
      <c r="AE1469" t="str">
        <f>IF(WarehouseData[[#This Row],[picking_time_seconds]]&gt;120,"Slow",IF(WarehouseData[[#This Row],[picking_time_seconds]]&gt;=60,"Average","Fast"))</f>
        <v>Slow</v>
      </c>
    </row>
    <row r="1470" spans="1:31" x14ac:dyDescent="0.25">
      <c r="A1470" t="s">
        <v>1608</v>
      </c>
      <c r="B1470" t="s">
        <v>73</v>
      </c>
      <c r="C1470">
        <v>391</v>
      </c>
      <c r="D1470">
        <v>46</v>
      </c>
      <c r="E1470">
        <v>9</v>
      </c>
      <c r="F1470">
        <v>2</v>
      </c>
      <c r="G1470">
        <v>44.45</v>
      </c>
      <c r="H1470">
        <v>6.9</v>
      </c>
      <c r="I1470">
        <v>0.15</v>
      </c>
      <c r="J1470" t="s">
        <v>79</v>
      </c>
      <c r="K1470" t="s">
        <v>46</v>
      </c>
      <c r="L1470">
        <v>62</v>
      </c>
      <c r="M1470">
        <v>4.0999999999999996</v>
      </c>
      <c r="N1470">
        <v>51.07</v>
      </c>
      <c r="O1470">
        <v>1.1399999999999999</v>
      </c>
      <c r="P1470">
        <v>3</v>
      </c>
      <c r="Q1470">
        <v>1</v>
      </c>
      <c r="R1470">
        <v>478</v>
      </c>
      <c r="S1470">
        <v>14.74</v>
      </c>
      <c r="T1470">
        <v>0.44</v>
      </c>
      <c r="U1470" s="1">
        <v>45517</v>
      </c>
      <c r="V1470">
        <v>38.479999999999997</v>
      </c>
      <c r="W1470">
        <v>0.71099999999999997</v>
      </c>
      <c r="X1470" t="str">
        <f>IF(WarehouseData[[#This Row],[stock_level]]&lt;=WarehouseData[[#This Row],[reorder_point]],"Low Stock","Sufficient Stock")</f>
        <v>Sufficient Stock</v>
      </c>
      <c r="Y1470">
        <f>WarehouseData[[#This Row],[daily_demand]]*WarehouseData[[#This Row],[lead_time_days]]</f>
        <v>88.9</v>
      </c>
      <c r="Z1470" t="str">
        <f>IF(WarehouseData[[#This Row],[stock_level]]&lt;=WarehouseData[[#This Row],[Demand During Lead Time]],"At Risk","Safe")</f>
        <v>Safe</v>
      </c>
      <c r="AA1470">
        <f>WarehouseData[[#This Row],[stock_level]]/WarehouseData[[#This Row],[daily_demand]]</f>
        <v>8.7964004499437571</v>
      </c>
      <c r="AB1470">
        <f>WarehouseData[[#This Row],[stock_level]]*WarehouseData[[#This Row],[unit_price]]</f>
        <v>19968.37</v>
      </c>
      <c r="AC1470">
        <f>WarehouseData[[#This Row],[stock_level]]*WarehouseData[[#This Row],[holding_cost_per_unit_day]]*30</f>
        <v>13372.199999999999</v>
      </c>
      <c r="AD1470" t="str">
        <f>IF(WarehouseData[[#This Row],[order_fulfillment_rate]]&gt;=0.9,"Strong",IF(WarehouseData[[#This Row],[order_fulfillment_rate]]&gt;=0.8,"Moderate","Needs Attention"))</f>
        <v>Strong</v>
      </c>
      <c r="AE1470" t="str">
        <f>IF(WarehouseData[[#This Row],[picking_time_seconds]]&gt;120,"Slow",IF(WarehouseData[[#This Row],[picking_time_seconds]]&gt;=60,"Average","Fast"))</f>
        <v>Average</v>
      </c>
    </row>
    <row r="1471" spans="1:31" x14ac:dyDescent="0.25">
      <c r="A1471" t="s">
        <v>1609</v>
      </c>
      <c r="B1471" t="s">
        <v>40</v>
      </c>
      <c r="C1471">
        <v>350</v>
      </c>
      <c r="D1471">
        <v>30</v>
      </c>
      <c r="E1471">
        <v>8</v>
      </c>
      <c r="F1471">
        <v>3</v>
      </c>
      <c r="G1471">
        <v>36.049999999999997</v>
      </c>
      <c r="H1471">
        <v>4.51</v>
      </c>
      <c r="I1471">
        <v>0.89</v>
      </c>
      <c r="J1471" t="s">
        <v>185</v>
      </c>
      <c r="K1471" t="s">
        <v>52</v>
      </c>
      <c r="L1471">
        <v>67</v>
      </c>
      <c r="M1471">
        <v>2.2200000000000002</v>
      </c>
      <c r="N1471">
        <v>69.260000000000005</v>
      </c>
      <c r="O1471">
        <v>1.5</v>
      </c>
      <c r="P1471">
        <v>8</v>
      </c>
      <c r="Q1471">
        <v>0.95</v>
      </c>
      <c r="R1471">
        <v>215</v>
      </c>
      <c r="S1471">
        <v>7.35</v>
      </c>
      <c r="T1471">
        <v>0.53</v>
      </c>
      <c r="U1471" s="1">
        <v>45530</v>
      </c>
      <c r="V1471">
        <v>120.78</v>
      </c>
      <c r="W1471">
        <v>0.48399999999999999</v>
      </c>
      <c r="X1471" t="str">
        <f>IF(WarehouseData[[#This Row],[stock_level]]&lt;=WarehouseData[[#This Row],[reorder_point]],"Low Stock","Sufficient Stock")</f>
        <v>Sufficient Stock</v>
      </c>
      <c r="Y1471">
        <f>WarehouseData[[#This Row],[daily_demand]]*WarehouseData[[#This Row],[lead_time_days]]</f>
        <v>108.14999999999999</v>
      </c>
      <c r="Z1471" t="str">
        <f>IF(WarehouseData[[#This Row],[stock_level]]&lt;=WarehouseData[[#This Row],[Demand During Lead Time]],"At Risk","Safe")</f>
        <v>Safe</v>
      </c>
      <c r="AA1471">
        <f>WarehouseData[[#This Row],[stock_level]]/WarehouseData[[#This Row],[daily_demand]]</f>
        <v>9.7087378640776709</v>
      </c>
      <c r="AB1471">
        <f>WarehouseData[[#This Row],[stock_level]]*WarehouseData[[#This Row],[unit_price]]</f>
        <v>24241</v>
      </c>
      <c r="AC1471">
        <f>WarehouseData[[#This Row],[stock_level]]*WarehouseData[[#This Row],[holding_cost_per_unit_day]]*30</f>
        <v>15750</v>
      </c>
      <c r="AD1471" t="str">
        <f>IF(WarehouseData[[#This Row],[order_fulfillment_rate]]&gt;=0.9,"Strong",IF(WarehouseData[[#This Row],[order_fulfillment_rate]]&gt;=0.8,"Moderate","Needs Attention"))</f>
        <v>Strong</v>
      </c>
      <c r="AE1471" t="str">
        <f>IF(WarehouseData[[#This Row],[picking_time_seconds]]&gt;120,"Slow",IF(WarehouseData[[#This Row],[picking_time_seconds]]&gt;=60,"Average","Fast"))</f>
        <v>Average</v>
      </c>
    </row>
    <row r="1472" spans="1:31" x14ac:dyDescent="0.25">
      <c r="A1472" t="s">
        <v>1610</v>
      </c>
      <c r="B1472" t="s">
        <v>48</v>
      </c>
      <c r="C1472">
        <v>141</v>
      </c>
      <c r="D1472">
        <v>88</v>
      </c>
      <c r="E1472">
        <v>12</v>
      </c>
      <c r="F1472">
        <v>8</v>
      </c>
      <c r="G1472">
        <v>2.8</v>
      </c>
      <c r="H1472">
        <v>8.7899999999999991</v>
      </c>
      <c r="I1472">
        <v>0.73</v>
      </c>
      <c r="J1472" t="s">
        <v>196</v>
      </c>
      <c r="K1472" t="s">
        <v>52</v>
      </c>
      <c r="L1472">
        <v>165</v>
      </c>
      <c r="M1472">
        <v>1.26</v>
      </c>
      <c r="N1472">
        <v>93.43</v>
      </c>
      <c r="O1472">
        <v>1.95</v>
      </c>
      <c r="P1472">
        <v>5</v>
      </c>
      <c r="Q1472">
        <v>0.9</v>
      </c>
      <c r="R1472">
        <v>309</v>
      </c>
      <c r="S1472">
        <v>14.06</v>
      </c>
      <c r="T1472">
        <v>0.81</v>
      </c>
      <c r="U1472" s="1">
        <v>45426</v>
      </c>
      <c r="V1472">
        <v>297.77999999999997</v>
      </c>
      <c r="W1472">
        <v>0.63400000000000001</v>
      </c>
      <c r="X1472" t="str">
        <f>IF(WarehouseData[[#This Row],[stock_level]]&lt;=WarehouseData[[#This Row],[reorder_point]],"Low Stock","Sufficient Stock")</f>
        <v>Sufficient Stock</v>
      </c>
      <c r="Y1472">
        <f>WarehouseData[[#This Row],[daily_demand]]*WarehouseData[[#This Row],[lead_time_days]]</f>
        <v>22.4</v>
      </c>
      <c r="Z1472" t="str">
        <f>IF(WarehouseData[[#This Row],[stock_level]]&lt;=WarehouseData[[#This Row],[Demand During Lead Time]],"At Risk","Safe")</f>
        <v>Safe</v>
      </c>
      <c r="AA1472">
        <f>WarehouseData[[#This Row],[stock_level]]/WarehouseData[[#This Row],[daily_demand]]</f>
        <v>50.357142857142861</v>
      </c>
      <c r="AB1472">
        <f>WarehouseData[[#This Row],[stock_level]]*WarehouseData[[#This Row],[unit_price]]</f>
        <v>13173.630000000001</v>
      </c>
      <c r="AC1472">
        <f>WarehouseData[[#This Row],[stock_level]]*WarehouseData[[#This Row],[holding_cost_per_unit_day]]*30</f>
        <v>8248.5</v>
      </c>
      <c r="AD1472" t="str">
        <f>IF(WarehouseData[[#This Row],[order_fulfillment_rate]]&gt;=0.9,"Strong",IF(WarehouseData[[#This Row],[order_fulfillment_rate]]&gt;=0.8,"Moderate","Needs Attention"))</f>
        <v>Strong</v>
      </c>
      <c r="AE1472" t="str">
        <f>IF(WarehouseData[[#This Row],[picking_time_seconds]]&gt;120,"Slow",IF(WarehouseData[[#This Row],[picking_time_seconds]]&gt;=60,"Average","Fast"))</f>
        <v>Slow</v>
      </c>
    </row>
    <row r="1473" spans="1:31" x14ac:dyDescent="0.25">
      <c r="A1473" t="s">
        <v>1611</v>
      </c>
      <c r="B1473" t="s">
        <v>48</v>
      </c>
      <c r="C1473">
        <v>498</v>
      </c>
      <c r="D1473">
        <v>26</v>
      </c>
      <c r="E1473">
        <v>3</v>
      </c>
      <c r="F1473">
        <v>6</v>
      </c>
      <c r="G1473">
        <v>22.04</v>
      </c>
      <c r="H1473">
        <v>3.66</v>
      </c>
      <c r="I1473">
        <v>0.48</v>
      </c>
      <c r="J1473" t="s">
        <v>283</v>
      </c>
      <c r="K1473" t="s">
        <v>52</v>
      </c>
      <c r="L1473">
        <v>152</v>
      </c>
      <c r="M1473">
        <v>4.28</v>
      </c>
      <c r="N1473">
        <v>61.65</v>
      </c>
      <c r="O1473">
        <v>1.98</v>
      </c>
      <c r="P1473">
        <v>6</v>
      </c>
      <c r="Q1473">
        <v>0.99</v>
      </c>
      <c r="R1473">
        <v>734</v>
      </c>
      <c r="S1473">
        <v>14.68</v>
      </c>
      <c r="T1473">
        <v>0.9</v>
      </c>
      <c r="U1473" s="1">
        <v>45407</v>
      </c>
      <c r="V1473">
        <v>170.96</v>
      </c>
      <c r="W1473">
        <v>0.65600000000000003</v>
      </c>
      <c r="X1473" t="str">
        <f>IF(WarehouseData[[#This Row],[stock_level]]&lt;=WarehouseData[[#This Row],[reorder_point]],"Low Stock","Sufficient Stock")</f>
        <v>Sufficient Stock</v>
      </c>
      <c r="Y1473">
        <f>WarehouseData[[#This Row],[daily_demand]]*WarehouseData[[#This Row],[lead_time_days]]</f>
        <v>132.24</v>
      </c>
      <c r="Z1473" t="str">
        <f>IF(WarehouseData[[#This Row],[stock_level]]&lt;=WarehouseData[[#This Row],[Demand During Lead Time]],"At Risk","Safe")</f>
        <v>Safe</v>
      </c>
      <c r="AA1473">
        <f>WarehouseData[[#This Row],[stock_level]]/WarehouseData[[#This Row],[daily_demand]]</f>
        <v>22.595281306715066</v>
      </c>
      <c r="AB1473">
        <f>WarehouseData[[#This Row],[stock_level]]*WarehouseData[[#This Row],[unit_price]]</f>
        <v>30701.7</v>
      </c>
      <c r="AC1473">
        <f>WarehouseData[[#This Row],[stock_level]]*WarehouseData[[#This Row],[holding_cost_per_unit_day]]*30</f>
        <v>29581.199999999997</v>
      </c>
      <c r="AD1473" t="str">
        <f>IF(WarehouseData[[#This Row],[order_fulfillment_rate]]&gt;=0.9,"Strong",IF(WarehouseData[[#This Row],[order_fulfillment_rate]]&gt;=0.8,"Moderate","Needs Attention"))</f>
        <v>Strong</v>
      </c>
      <c r="AE1473" t="str">
        <f>IF(WarehouseData[[#This Row],[picking_time_seconds]]&gt;120,"Slow",IF(WarehouseData[[#This Row],[picking_time_seconds]]&gt;=60,"Average","Fast"))</f>
        <v>Slow</v>
      </c>
    </row>
    <row r="1474" spans="1:31" x14ac:dyDescent="0.25">
      <c r="A1474" t="s">
        <v>1612</v>
      </c>
      <c r="B1474" t="s">
        <v>40</v>
      </c>
      <c r="C1474">
        <v>126</v>
      </c>
      <c r="D1474">
        <v>46</v>
      </c>
      <c r="E1474">
        <v>3</v>
      </c>
      <c r="F1474">
        <v>9</v>
      </c>
      <c r="G1474">
        <v>37.97</v>
      </c>
      <c r="H1474">
        <v>1.76</v>
      </c>
      <c r="I1474">
        <v>0.78</v>
      </c>
      <c r="J1474" t="s">
        <v>466</v>
      </c>
      <c r="K1474" t="s">
        <v>46</v>
      </c>
      <c r="L1474">
        <v>175</v>
      </c>
      <c r="M1474">
        <v>1.98</v>
      </c>
      <c r="N1474">
        <v>97.65</v>
      </c>
      <c r="O1474">
        <v>2</v>
      </c>
      <c r="P1474">
        <v>4</v>
      </c>
      <c r="Q1474">
        <v>0.88</v>
      </c>
      <c r="R1474">
        <v>443</v>
      </c>
      <c r="S1474">
        <v>6.42</v>
      </c>
      <c r="T1474">
        <v>0.9</v>
      </c>
      <c r="U1474" s="1">
        <v>45429</v>
      </c>
      <c r="V1474">
        <v>109</v>
      </c>
      <c r="W1474">
        <v>0.56200000000000006</v>
      </c>
      <c r="X1474" t="str">
        <f>IF(WarehouseData[[#This Row],[stock_level]]&lt;=WarehouseData[[#This Row],[reorder_point]],"Low Stock","Sufficient Stock")</f>
        <v>Sufficient Stock</v>
      </c>
      <c r="Y1474">
        <f>WarehouseData[[#This Row],[daily_demand]]*WarehouseData[[#This Row],[lead_time_days]]</f>
        <v>341.73</v>
      </c>
      <c r="Z1474" t="str">
        <f>IF(WarehouseData[[#This Row],[stock_level]]&lt;=WarehouseData[[#This Row],[Demand During Lead Time]],"At Risk","Safe")</f>
        <v>At Risk</v>
      </c>
      <c r="AA1474">
        <f>WarehouseData[[#This Row],[stock_level]]/WarehouseData[[#This Row],[daily_demand]]</f>
        <v>3.3184092704766921</v>
      </c>
      <c r="AB1474">
        <f>WarehouseData[[#This Row],[stock_level]]*WarehouseData[[#This Row],[unit_price]]</f>
        <v>12303.900000000001</v>
      </c>
      <c r="AC1474">
        <f>WarehouseData[[#This Row],[stock_level]]*WarehouseData[[#This Row],[holding_cost_per_unit_day]]*30</f>
        <v>7560</v>
      </c>
      <c r="AD1474" t="str">
        <f>IF(WarehouseData[[#This Row],[order_fulfillment_rate]]&gt;=0.9,"Strong",IF(WarehouseData[[#This Row],[order_fulfillment_rate]]&gt;=0.8,"Moderate","Needs Attention"))</f>
        <v>Moderate</v>
      </c>
      <c r="AE1474" t="str">
        <f>IF(WarehouseData[[#This Row],[picking_time_seconds]]&gt;120,"Slow",IF(WarehouseData[[#This Row],[picking_time_seconds]]&gt;=60,"Average","Fast"))</f>
        <v>Slow</v>
      </c>
    </row>
    <row r="1475" spans="1:31" x14ac:dyDescent="0.25">
      <c r="A1475" t="s">
        <v>1613</v>
      </c>
      <c r="B1475" t="s">
        <v>36</v>
      </c>
      <c r="C1475">
        <v>115</v>
      </c>
      <c r="D1475">
        <v>86</v>
      </c>
      <c r="E1475">
        <v>10</v>
      </c>
      <c r="F1475">
        <v>6</v>
      </c>
      <c r="G1475">
        <v>29.57</v>
      </c>
      <c r="H1475">
        <v>8.2100000000000009</v>
      </c>
      <c r="I1475">
        <v>0.77</v>
      </c>
      <c r="J1475" t="s">
        <v>146</v>
      </c>
      <c r="K1475" t="s">
        <v>38</v>
      </c>
      <c r="L1475">
        <v>59</v>
      </c>
      <c r="M1475">
        <v>3.87</v>
      </c>
      <c r="N1475">
        <v>11.82</v>
      </c>
      <c r="O1475">
        <v>1.79</v>
      </c>
      <c r="P1475">
        <v>2</v>
      </c>
      <c r="Q1475">
        <v>0.72</v>
      </c>
      <c r="R1475">
        <v>170</v>
      </c>
      <c r="S1475">
        <v>14.5</v>
      </c>
      <c r="T1475">
        <v>0.52</v>
      </c>
      <c r="U1475" s="1">
        <v>45580</v>
      </c>
      <c r="V1475">
        <v>225.71</v>
      </c>
      <c r="W1475">
        <v>0.622</v>
      </c>
      <c r="X1475" t="str">
        <f>IF(WarehouseData[[#This Row],[stock_level]]&lt;=WarehouseData[[#This Row],[reorder_point]],"Low Stock","Sufficient Stock")</f>
        <v>Sufficient Stock</v>
      </c>
      <c r="Y1475">
        <f>WarehouseData[[#This Row],[daily_demand]]*WarehouseData[[#This Row],[lead_time_days]]</f>
        <v>177.42000000000002</v>
      </c>
      <c r="Z1475" t="str">
        <f>IF(WarehouseData[[#This Row],[stock_level]]&lt;=WarehouseData[[#This Row],[Demand During Lead Time]],"At Risk","Safe")</f>
        <v>At Risk</v>
      </c>
      <c r="AA1475">
        <f>WarehouseData[[#This Row],[stock_level]]/WarehouseData[[#This Row],[daily_demand]]</f>
        <v>3.8890767669935746</v>
      </c>
      <c r="AB1475">
        <f>WarehouseData[[#This Row],[stock_level]]*WarehouseData[[#This Row],[unit_price]]</f>
        <v>1359.3</v>
      </c>
      <c r="AC1475">
        <f>WarehouseData[[#This Row],[stock_level]]*WarehouseData[[#This Row],[holding_cost_per_unit_day]]*30</f>
        <v>6175.5</v>
      </c>
      <c r="AD1475" t="str">
        <f>IF(WarehouseData[[#This Row],[order_fulfillment_rate]]&gt;=0.9,"Strong",IF(WarehouseData[[#This Row],[order_fulfillment_rate]]&gt;=0.8,"Moderate","Needs Attention"))</f>
        <v>Needs Attention</v>
      </c>
      <c r="AE1475" t="str">
        <f>IF(WarehouseData[[#This Row],[picking_time_seconds]]&gt;120,"Slow",IF(WarehouseData[[#This Row],[picking_time_seconds]]&gt;=60,"Average","Fast"))</f>
        <v>Fast</v>
      </c>
    </row>
    <row r="1476" spans="1:31" x14ac:dyDescent="0.25">
      <c r="A1476" t="s">
        <v>1614</v>
      </c>
      <c r="B1476" t="s">
        <v>48</v>
      </c>
      <c r="C1476">
        <v>366</v>
      </c>
      <c r="D1476">
        <v>28</v>
      </c>
      <c r="E1476">
        <v>6</v>
      </c>
      <c r="F1476">
        <v>6</v>
      </c>
      <c r="G1476">
        <v>46.86</v>
      </c>
      <c r="H1476">
        <v>6.9</v>
      </c>
      <c r="I1476">
        <v>0.14000000000000001</v>
      </c>
      <c r="J1476" t="s">
        <v>245</v>
      </c>
      <c r="K1476" t="s">
        <v>52</v>
      </c>
      <c r="L1476">
        <v>150</v>
      </c>
      <c r="M1476">
        <v>4.18</v>
      </c>
      <c r="N1476">
        <v>50.32</v>
      </c>
      <c r="O1476">
        <v>1.32</v>
      </c>
      <c r="P1476">
        <v>4</v>
      </c>
      <c r="Q1476">
        <v>0.87</v>
      </c>
      <c r="R1476">
        <v>999</v>
      </c>
      <c r="S1476">
        <v>2.93</v>
      </c>
      <c r="T1476">
        <v>0.96</v>
      </c>
      <c r="U1476" s="1">
        <v>45323</v>
      </c>
      <c r="V1476">
        <v>209.03</v>
      </c>
      <c r="W1476">
        <v>0.59299999999999997</v>
      </c>
      <c r="X1476" t="str">
        <f>IF(WarehouseData[[#This Row],[stock_level]]&lt;=WarehouseData[[#This Row],[reorder_point]],"Low Stock","Sufficient Stock")</f>
        <v>Sufficient Stock</v>
      </c>
      <c r="Y1476">
        <f>WarehouseData[[#This Row],[daily_demand]]*WarehouseData[[#This Row],[lead_time_days]]</f>
        <v>281.15999999999997</v>
      </c>
      <c r="Z1476" t="str">
        <f>IF(WarehouseData[[#This Row],[stock_level]]&lt;=WarehouseData[[#This Row],[Demand During Lead Time]],"At Risk","Safe")</f>
        <v>Safe</v>
      </c>
      <c r="AA1476">
        <f>WarehouseData[[#This Row],[stock_level]]/WarehouseData[[#This Row],[daily_demand]]</f>
        <v>7.8104993597951342</v>
      </c>
      <c r="AB1476">
        <f>WarehouseData[[#This Row],[stock_level]]*WarehouseData[[#This Row],[unit_price]]</f>
        <v>18417.12</v>
      </c>
      <c r="AC1476">
        <f>WarehouseData[[#This Row],[stock_level]]*WarehouseData[[#This Row],[holding_cost_per_unit_day]]*30</f>
        <v>14493.6</v>
      </c>
      <c r="AD1476" t="str">
        <f>IF(WarehouseData[[#This Row],[order_fulfillment_rate]]&gt;=0.9,"Strong",IF(WarehouseData[[#This Row],[order_fulfillment_rate]]&gt;=0.8,"Moderate","Needs Attention"))</f>
        <v>Moderate</v>
      </c>
      <c r="AE1476" t="str">
        <f>IF(WarehouseData[[#This Row],[picking_time_seconds]]&gt;120,"Slow",IF(WarehouseData[[#This Row],[picking_time_seconds]]&gt;=60,"Average","Fast"))</f>
        <v>Slow</v>
      </c>
    </row>
    <row r="1477" spans="1:31" x14ac:dyDescent="0.25">
      <c r="A1477" t="s">
        <v>1615</v>
      </c>
      <c r="B1477" t="s">
        <v>32</v>
      </c>
      <c r="C1477">
        <v>433</v>
      </c>
      <c r="D1477">
        <v>39</v>
      </c>
      <c r="E1477">
        <v>7</v>
      </c>
      <c r="F1477">
        <v>4</v>
      </c>
      <c r="G1477">
        <v>43.51</v>
      </c>
      <c r="H1477">
        <v>2.8</v>
      </c>
      <c r="I1477">
        <v>0.71</v>
      </c>
      <c r="J1477" t="s">
        <v>110</v>
      </c>
      <c r="K1477" t="s">
        <v>38</v>
      </c>
      <c r="L1477">
        <v>120</v>
      </c>
      <c r="M1477">
        <v>3.96</v>
      </c>
      <c r="N1477">
        <v>168.19</v>
      </c>
      <c r="O1477">
        <v>0.11</v>
      </c>
      <c r="P1477">
        <v>6</v>
      </c>
      <c r="Q1477">
        <v>0.78</v>
      </c>
      <c r="R1477">
        <v>462</v>
      </c>
      <c r="S1477">
        <v>3.24</v>
      </c>
      <c r="T1477">
        <v>0.72</v>
      </c>
      <c r="U1477" s="1">
        <v>45369</v>
      </c>
      <c r="V1477">
        <v>177.85</v>
      </c>
      <c r="W1477">
        <v>0.61199999999999999</v>
      </c>
      <c r="X1477" t="str">
        <f>IF(WarehouseData[[#This Row],[stock_level]]&lt;=WarehouseData[[#This Row],[reorder_point]],"Low Stock","Sufficient Stock")</f>
        <v>Sufficient Stock</v>
      </c>
      <c r="Y1477">
        <f>WarehouseData[[#This Row],[daily_demand]]*WarehouseData[[#This Row],[lead_time_days]]</f>
        <v>174.04</v>
      </c>
      <c r="Z1477" t="str">
        <f>IF(WarehouseData[[#This Row],[stock_level]]&lt;=WarehouseData[[#This Row],[Demand During Lead Time]],"At Risk","Safe")</f>
        <v>Safe</v>
      </c>
      <c r="AA1477">
        <f>WarehouseData[[#This Row],[stock_level]]/WarehouseData[[#This Row],[daily_demand]]</f>
        <v>9.951735233279706</v>
      </c>
      <c r="AB1477">
        <f>WarehouseData[[#This Row],[stock_level]]*WarehouseData[[#This Row],[unit_price]]</f>
        <v>72826.27</v>
      </c>
      <c r="AC1477">
        <f>WarehouseData[[#This Row],[stock_level]]*WarehouseData[[#This Row],[holding_cost_per_unit_day]]*30</f>
        <v>1428.9</v>
      </c>
      <c r="AD1477" t="str">
        <f>IF(WarehouseData[[#This Row],[order_fulfillment_rate]]&gt;=0.9,"Strong",IF(WarehouseData[[#This Row],[order_fulfillment_rate]]&gt;=0.8,"Moderate","Needs Attention"))</f>
        <v>Needs Attention</v>
      </c>
      <c r="AE1477" t="str">
        <f>IF(WarehouseData[[#This Row],[picking_time_seconds]]&gt;120,"Slow",IF(WarehouseData[[#This Row],[picking_time_seconds]]&gt;=60,"Average","Fast"))</f>
        <v>Average</v>
      </c>
    </row>
    <row r="1478" spans="1:31" x14ac:dyDescent="0.25">
      <c r="A1478" t="s">
        <v>1616</v>
      </c>
      <c r="B1478" t="s">
        <v>48</v>
      </c>
      <c r="C1478">
        <v>254</v>
      </c>
      <c r="D1478">
        <v>54</v>
      </c>
      <c r="E1478">
        <v>9</v>
      </c>
      <c r="F1478">
        <v>3</v>
      </c>
      <c r="G1478">
        <v>17.3</v>
      </c>
      <c r="H1478">
        <v>5.6</v>
      </c>
      <c r="I1478">
        <v>0.68</v>
      </c>
      <c r="J1478" t="s">
        <v>37</v>
      </c>
      <c r="K1478" t="s">
        <v>38</v>
      </c>
      <c r="L1478">
        <v>172</v>
      </c>
      <c r="M1478">
        <v>2.25</v>
      </c>
      <c r="N1478">
        <v>88.56</v>
      </c>
      <c r="O1478">
        <v>1.43</v>
      </c>
      <c r="P1478">
        <v>8</v>
      </c>
      <c r="Q1478">
        <v>0.81</v>
      </c>
      <c r="R1478">
        <v>189</v>
      </c>
      <c r="S1478">
        <v>4.87</v>
      </c>
      <c r="T1478">
        <v>0.88</v>
      </c>
      <c r="U1478" s="1">
        <v>45648</v>
      </c>
      <c r="V1478">
        <v>194.86</v>
      </c>
      <c r="W1478">
        <v>0.5</v>
      </c>
      <c r="X1478" t="str">
        <f>IF(WarehouseData[[#This Row],[stock_level]]&lt;=WarehouseData[[#This Row],[reorder_point]],"Low Stock","Sufficient Stock")</f>
        <v>Sufficient Stock</v>
      </c>
      <c r="Y1478">
        <f>WarehouseData[[#This Row],[daily_demand]]*WarehouseData[[#This Row],[lead_time_days]]</f>
        <v>51.900000000000006</v>
      </c>
      <c r="Z1478" t="str">
        <f>IF(WarehouseData[[#This Row],[stock_level]]&lt;=WarehouseData[[#This Row],[Demand During Lead Time]],"At Risk","Safe")</f>
        <v>Safe</v>
      </c>
      <c r="AA1478">
        <f>WarehouseData[[#This Row],[stock_level]]/WarehouseData[[#This Row],[daily_demand]]</f>
        <v>14.682080924855491</v>
      </c>
      <c r="AB1478">
        <f>WarehouseData[[#This Row],[stock_level]]*WarehouseData[[#This Row],[unit_price]]</f>
        <v>22494.240000000002</v>
      </c>
      <c r="AC1478">
        <f>WarehouseData[[#This Row],[stock_level]]*WarehouseData[[#This Row],[holding_cost_per_unit_day]]*30</f>
        <v>10896.599999999999</v>
      </c>
      <c r="AD1478" t="str">
        <f>IF(WarehouseData[[#This Row],[order_fulfillment_rate]]&gt;=0.9,"Strong",IF(WarehouseData[[#This Row],[order_fulfillment_rate]]&gt;=0.8,"Moderate","Needs Attention"))</f>
        <v>Moderate</v>
      </c>
      <c r="AE1478" t="str">
        <f>IF(WarehouseData[[#This Row],[picking_time_seconds]]&gt;120,"Slow",IF(WarehouseData[[#This Row],[picking_time_seconds]]&gt;=60,"Average","Fast"))</f>
        <v>Slow</v>
      </c>
    </row>
    <row r="1479" spans="1:31" x14ac:dyDescent="0.25">
      <c r="A1479" t="s">
        <v>1617</v>
      </c>
      <c r="B1479" t="s">
        <v>36</v>
      </c>
      <c r="C1479">
        <v>405</v>
      </c>
      <c r="D1479">
        <v>27</v>
      </c>
      <c r="E1479">
        <v>10</v>
      </c>
      <c r="F1479">
        <v>9</v>
      </c>
      <c r="G1479">
        <v>5.15</v>
      </c>
      <c r="H1479">
        <v>4.32</v>
      </c>
      <c r="I1479">
        <v>0.97</v>
      </c>
      <c r="J1479" t="s">
        <v>202</v>
      </c>
      <c r="K1479" t="s">
        <v>38</v>
      </c>
      <c r="L1479">
        <v>120</v>
      </c>
      <c r="M1479">
        <v>4.72</v>
      </c>
      <c r="N1479">
        <v>130.91999999999999</v>
      </c>
      <c r="O1479">
        <v>0.55000000000000004</v>
      </c>
      <c r="P1479">
        <v>8</v>
      </c>
      <c r="Q1479">
        <v>0.84</v>
      </c>
      <c r="R1479">
        <v>217</v>
      </c>
      <c r="S1479">
        <v>7.55</v>
      </c>
      <c r="T1479">
        <v>0.94</v>
      </c>
      <c r="U1479" s="1">
        <v>45633</v>
      </c>
      <c r="V1479">
        <v>179.63</v>
      </c>
      <c r="W1479">
        <v>0.64200000000000002</v>
      </c>
      <c r="X1479" t="str">
        <f>IF(WarehouseData[[#This Row],[stock_level]]&lt;=WarehouseData[[#This Row],[reorder_point]],"Low Stock","Sufficient Stock")</f>
        <v>Sufficient Stock</v>
      </c>
      <c r="Y1479">
        <f>WarehouseData[[#This Row],[daily_demand]]*WarehouseData[[#This Row],[lead_time_days]]</f>
        <v>46.35</v>
      </c>
      <c r="Z1479" t="str">
        <f>IF(WarehouseData[[#This Row],[stock_level]]&lt;=WarehouseData[[#This Row],[Demand During Lead Time]],"At Risk","Safe")</f>
        <v>Safe</v>
      </c>
      <c r="AA1479">
        <f>WarehouseData[[#This Row],[stock_level]]/WarehouseData[[#This Row],[daily_demand]]</f>
        <v>78.640776699029118</v>
      </c>
      <c r="AB1479">
        <f>WarehouseData[[#This Row],[stock_level]]*WarehouseData[[#This Row],[unit_price]]</f>
        <v>53022.6</v>
      </c>
      <c r="AC1479">
        <f>WarehouseData[[#This Row],[stock_level]]*WarehouseData[[#This Row],[holding_cost_per_unit_day]]*30</f>
        <v>6682.5000000000009</v>
      </c>
      <c r="AD1479" t="str">
        <f>IF(WarehouseData[[#This Row],[order_fulfillment_rate]]&gt;=0.9,"Strong",IF(WarehouseData[[#This Row],[order_fulfillment_rate]]&gt;=0.8,"Moderate","Needs Attention"))</f>
        <v>Moderate</v>
      </c>
      <c r="AE1479" t="str">
        <f>IF(WarehouseData[[#This Row],[picking_time_seconds]]&gt;120,"Slow",IF(WarehouseData[[#This Row],[picking_time_seconds]]&gt;=60,"Average","Fast"))</f>
        <v>Average</v>
      </c>
    </row>
    <row r="1480" spans="1:31" x14ac:dyDescent="0.25">
      <c r="A1480" t="s">
        <v>1618</v>
      </c>
      <c r="B1480" t="s">
        <v>36</v>
      </c>
      <c r="C1480">
        <v>81</v>
      </c>
      <c r="D1480">
        <v>87</v>
      </c>
      <c r="E1480">
        <v>12</v>
      </c>
      <c r="F1480">
        <v>7</v>
      </c>
      <c r="G1480">
        <v>47.27</v>
      </c>
      <c r="H1480">
        <v>9.42</v>
      </c>
      <c r="I1480">
        <v>0.97</v>
      </c>
      <c r="J1480" t="s">
        <v>192</v>
      </c>
      <c r="K1480" t="s">
        <v>52</v>
      </c>
      <c r="L1480">
        <v>161</v>
      </c>
      <c r="M1480">
        <v>3.47</v>
      </c>
      <c r="N1480">
        <v>54.13</v>
      </c>
      <c r="O1480">
        <v>0.21</v>
      </c>
      <c r="P1480">
        <v>7</v>
      </c>
      <c r="Q1480">
        <v>0.93</v>
      </c>
      <c r="R1480">
        <v>133</v>
      </c>
      <c r="S1480">
        <v>3.53</v>
      </c>
      <c r="T1480">
        <v>0.39</v>
      </c>
      <c r="U1480" s="1">
        <v>45341</v>
      </c>
      <c r="V1480">
        <v>287.32</v>
      </c>
      <c r="W1480">
        <v>0.55000000000000004</v>
      </c>
      <c r="X1480" t="str">
        <f>IF(WarehouseData[[#This Row],[stock_level]]&lt;=WarehouseData[[#This Row],[reorder_point]],"Low Stock","Sufficient Stock")</f>
        <v>Low Stock</v>
      </c>
      <c r="Y1480">
        <f>WarehouseData[[#This Row],[daily_demand]]*WarehouseData[[#This Row],[lead_time_days]]</f>
        <v>330.89000000000004</v>
      </c>
      <c r="Z1480" t="str">
        <f>IF(WarehouseData[[#This Row],[stock_level]]&lt;=WarehouseData[[#This Row],[Demand During Lead Time]],"At Risk","Safe")</f>
        <v>At Risk</v>
      </c>
      <c r="AA1480">
        <f>WarehouseData[[#This Row],[stock_level]]/WarehouseData[[#This Row],[daily_demand]]</f>
        <v>1.7135603977152527</v>
      </c>
      <c r="AB1480">
        <f>WarehouseData[[#This Row],[stock_level]]*WarehouseData[[#This Row],[unit_price]]</f>
        <v>4384.5300000000007</v>
      </c>
      <c r="AC1480">
        <f>WarehouseData[[#This Row],[stock_level]]*WarehouseData[[#This Row],[holding_cost_per_unit_day]]*30</f>
        <v>510.29999999999995</v>
      </c>
      <c r="AD1480" t="str">
        <f>IF(WarehouseData[[#This Row],[order_fulfillment_rate]]&gt;=0.9,"Strong",IF(WarehouseData[[#This Row],[order_fulfillment_rate]]&gt;=0.8,"Moderate","Needs Attention"))</f>
        <v>Strong</v>
      </c>
      <c r="AE1480" t="str">
        <f>IF(WarehouseData[[#This Row],[picking_time_seconds]]&gt;120,"Slow",IF(WarehouseData[[#This Row],[picking_time_seconds]]&gt;=60,"Average","Fast"))</f>
        <v>Slow</v>
      </c>
    </row>
    <row r="1481" spans="1:31" x14ac:dyDescent="0.25">
      <c r="A1481" t="s">
        <v>1619</v>
      </c>
      <c r="B1481" t="s">
        <v>32</v>
      </c>
      <c r="C1481">
        <v>275</v>
      </c>
      <c r="D1481">
        <v>71</v>
      </c>
      <c r="E1481">
        <v>9</v>
      </c>
      <c r="F1481">
        <v>7</v>
      </c>
      <c r="G1481">
        <v>26.35</v>
      </c>
      <c r="H1481">
        <v>6.27</v>
      </c>
      <c r="I1481">
        <v>0.44</v>
      </c>
      <c r="J1481" t="s">
        <v>240</v>
      </c>
      <c r="K1481" t="s">
        <v>52</v>
      </c>
      <c r="L1481">
        <v>129</v>
      </c>
      <c r="M1481">
        <v>3.09</v>
      </c>
      <c r="N1481">
        <v>133.47999999999999</v>
      </c>
      <c r="O1481">
        <v>1.42</v>
      </c>
      <c r="P1481">
        <v>4</v>
      </c>
      <c r="Q1481">
        <v>0.85</v>
      </c>
      <c r="R1481">
        <v>470</v>
      </c>
      <c r="S1481">
        <v>5.76</v>
      </c>
      <c r="T1481">
        <v>0.6</v>
      </c>
      <c r="U1481" s="1">
        <v>45335</v>
      </c>
      <c r="V1481">
        <v>157.65</v>
      </c>
      <c r="W1481">
        <v>0.54500000000000004</v>
      </c>
      <c r="X1481" t="str">
        <f>IF(WarehouseData[[#This Row],[stock_level]]&lt;=WarehouseData[[#This Row],[reorder_point]],"Low Stock","Sufficient Stock")</f>
        <v>Sufficient Stock</v>
      </c>
      <c r="Y1481">
        <f>WarehouseData[[#This Row],[daily_demand]]*WarehouseData[[#This Row],[lead_time_days]]</f>
        <v>184.45000000000002</v>
      </c>
      <c r="Z1481" t="str">
        <f>IF(WarehouseData[[#This Row],[stock_level]]&lt;=WarehouseData[[#This Row],[Demand During Lead Time]],"At Risk","Safe")</f>
        <v>Safe</v>
      </c>
      <c r="AA1481">
        <f>WarehouseData[[#This Row],[stock_level]]/WarehouseData[[#This Row],[daily_demand]]</f>
        <v>10.436432637571157</v>
      </c>
      <c r="AB1481">
        <f>WarehouseData[[#This Row],[stock_level]]*WarehouseData[[#This Row],[unit_price]]</f>
        <v>36707</v>
      </c>
      <c r="AC1481">
        <f>WarehouseData[[#This Row],[stock_level]]*WarehouseData[[#This Row],[holding_cost_per_unit_day]]*30</f>
        <v>11715</v>
      </c>
      <c r="AD1481" t="str">
        <f>IF(WarehouseData[[#This Row],[order_fulfillment_rate]]&gt;=0.9,"Strong",IF(WarehouseData[[#This Row],[order_fulfillment_rate]]&gt;=0.8,"Moderate","Needs Attention"))</f>
        <v>Moderate</v>
      </c>
      <c r="AE1481" t="str">
        <f>IF(WarehouseData[[#This Row],[picking_time_seconds]]&gt;120,"Slow",IF(WarehouseData[[#This Row],[picking_time_seconds]]&gt;=60,"Average","Fast"))</f>
        <v>Slow</v>
      </c>
    </row>
    <row r="1482" spans="1:31" x14ac:dyDescent="0.25">
      <c r="A1482" t="s">
        <v>1620</v>
      </c>
      <c r="B1482" t="s">
        <v>48</v>
      </c>
      <c r="C1482">
        <v>68</v>
      </c>
      <c r="D1482">
        <v>45</v>
      </c>
      <c r="E1482">
        <v>4</v>
      </c>
      <c r="F1482">
        <v>7</v>
      </c>
      <c r="G1482">
        <v>4.6500000000000004</v>
      </c>
      <c r="H1482">
        <v>2</v>
      </c>
      <c r="I1482">
        <v>0.63</v>
      </c>
      <c r="J1482" t="s">
        <v>263</v>
      </c>
      <c r="K1482" t="s">
        <v>38</v>
      </c>
      <c r="L1482">
        <v>74</v>
      </c>
      <c r="M1482">
        <v>3.64</v>
      </c>
      <c r="N1482">
        <v>200</v>
      </c>
      <c r="O1482">
        <v>1.54</v>
      </c>
      <c r="P1482">
        <v>6</v>
      </c>
      <c r="Q1482">
        <v>0.84</v>
      </c>
      <c r="R1482">
        <v>755</v>
      </c>
      <c r="S1482">
        <v>2.4500000000000002</v>
      </c>
      <c r="T1482">
        <v>0.67</v>
      </c>
      <c r="U1482" s="1">
        <v>45634</v>
      </c>
      <c r="V1482">
        <v>181.16</v>
      </c>
      <c r="W1482">
        <v>0.46100000000000002</v>
      </c>
      <c r="X1482" t="str">
        <f>IF(WarehouseData[[#This Row],[stock_level]]&lt;=WarehouseData[[#This Row],[reorder_point]],"Low Stock","Sufficient Stock")</f>
        <v>Sufficient Stock</v>
      </c>
      <c r="Y1482">
        <f>WarehouseData[[#This Row],[daily_demand]]*WarehouseData[[#This Row],[lead_time_days]]</f>
        <v>32.550000000000004</v>
      </c>
      <c r="Z1482" t="str">
        <f>IF(WarehouseData[[#This Row],[stock_level]]&lt;=WarehouseData[[#This Row],[Demand During Lead Time]],"At Risk","Safe")</f>
        <v>Safe</v>
      </c>
      <c r="AA1482">
        <f>WarehouseData[[#This Row],[stock_level]]/WarehouseData[[#This Row],[daily_demand]]</f>
        <v>14.623655913978494</v>
      </c>
      <c r="AB1482">
        <f>WarehouseData[[#This Row],[stock_level]]*WarehouseData[[#This Row],[unit_price]]</f>
        <v>13600</v>
      </c>
      <c r="AC1482">
        <f>WarehouseData[[#This Row],[stock_level]]*WarehouseData[[#This Row],[holding_cost_per_unit_day]]*30</f>
        <v>3141.6</v>
      </c>
      <c r="AD1482" t="str">
        <f>IF(WarehouseData[[#This Row],[order_fulfillment_rate]]&gt;=0.9,"Strong",IF(WarehouseData[[#This Row],[order_fulfillment_rate]]&gt;=0.8,"Moderate","Needs Attention"))</f>
        <v>Moderate</v>
      </c>
      <c r="AE1482" t="str">
        <f>IF(WarehouseData[[#This Row],[picking_time_seconds]]&gt;120,"Slow",IF(WarehouseData[[#This Row],[picking_time_seconds]]&gt;=60,"Average","Fast"))</f>
        <v>Average</v>
      </c>
    </row>
    <row r="1483" spans="1:31" x14ac:dyDescent="0.25">
      <c r="A1483" t="s">
        <v>1621</v>
      </c>
      <c r="B1483" t="s">
        <v>36</v>
      </c>
      <c r="C1483">
        <v>412</v>
      </c>
      <c r="D1483">
        <v>93</v>
      </c>
      <c r="E1483">
        <v>6</v>
      </c>
      <c r="F1483">
        <v>6</v>
      </c>
      <c r="G1483">
        <v>41.01</v>
      </c>
      <c r="H1483">
        <v>5.27</v>
      </c>
      <c r="I1483">
        <v>0.23</v>
      </c>
      <c r="J1483" t="s">
        <v>51</v>
      </c>
      <c r="K1483" t="s">
        <v>52</v>
      </c>
      <c r="L1483">
        <v>115</v>
      </c>
      <c r="M1483">
        <v>0.7</v>
      </c>
      <c r="N1483">
        <v>123.1</v>
      </c>
      <c r="O1483">
        <v>1.35</v>
      </c>
      <c r="P1483">
        <v>3</v>
      </c>
      <c r="Q1483">
        <v>0.79</v>
      </c>
      <c r="R1483">
        <v>837</v>
      </c>
      <c r="S1483">
        <v>7.02</v>
      </c>
      <c r="T1483">
        <v>0.84</v>
      </c>
      <c r="U1483" s="1">
        <v>45468</v>
      </c>
      <c r="V1483">
        <v>146.78</v>
      </c>
      <c r="W1483">
        <v>0.625</v>
      </c>
      <c r="X1483" t="str">
        <f>IF(WarehouseData[[#This Row],[stock_level]]&lt;=WarehouseData[[#This Row],[reorder_point]],"Low Stock","Sufficient Stock")</f>
        <v>Sufficient Stock</v>
      </c>
      <c r="Y1483">
        <f>WarehouseData[[#This Row],[daily_demand]]*WarehouseData[[#This Row],[lead_time_days]]</f>
        <v>246.06</v>
      </c>
      <c r="Z1483" t="str">
        <f>IF(WarehouseData[[#This Row],[stock_level]]&lt;=WarehouseData[[#This Row],[Demand During Lead Time]],"At Risk","Safe")</f>
        <v>Safe</v>
      </c>
      <c r="AA1483">
        <f>WarehouseData[[#This Row],[stock_level]]/WarehouseData[[#This Row],[daily_demand]]</f>
        <v>10.046330163374787</v>
      </c>
      <c r="AB1483">
        <f>WarehouseData[[#This Row],[stock_level]]*WarehouseData[[#This Row],[unit_price]]</f>
        <v>50717.2</v>
      </c>
      <c r="AC1483">
        <f>WarehouseData[[#This Row],[stock_level]]*WarehouseData[[#This Row],[holding_cost_per_unit_day]]*30</f>
        <v>16686</v>
      </c>
      <c r="AD1483" t="str">
        <f>IF(WarehouseData[[#This Row],[order_fulfillment_rate]]&gt;=0.9,"Strong",IF(WarehouseData[[#This Row],[order_fulfillment_rate]]&gt;=0.8,"Moderate","Needs Attention"))</f>
        <v>Needs Attention</v>
      </c>
      <c r="AE1483" t="str">
        <f>IF(WarehouseData[[#This Row],[picking_time_seconds]]&gt;120,"Slow",IF(WarehouseData[[#This Row],[picking_time_seconds]]&gt;=60,"Average","Fast"))</f>
        <v>Average</v>
      </c>
    </row>
    <row r="1484" spans="1:31" x14ac:dyDescent="0.25">
      <c r="A1484" t="s">
        <v>1622</v>
      </c>
      <c r="B1484" t="s">
        <v>40</v>
      </c>
      <c r="C1484">
        <v>367</v>
      </c>
      <c r="D1484">
        <v>61</v>
      </c>
      <c r="E1484">
        <v>12</v>
      </c>
      <c r="F1484">
        <v>8</v>
      </c>
      <c r="G1484">
        <v>43.56</v>
      </c>
      <c r="H1484">
        <v>8.69</v>
      </c>
      <c r="I1484">
        <v>0.16</v>
      </c>
      <c r="J1484" t="s">
        <v>59</v>
      </c>
      <c r="K1484" t="s">
        <v>34</v>
      </c>
      <c r="L1484">
        <v>100</v>
      </c>
      <c r="M1484">
        <v>2.2599999999999998</v>
      </c>
      <c r="N1484">
        <v>129.38999999999999</v>
      </c>
      <c r="O1484">
        <v>0.79</v>
      </c>
      <c r="P1484">
        <v>9</v>
      </c>
      <c r="Q1484">
        <v>0.86</v>
      </c>
      <c r="R1484">
        <v>317</v>
      </c>
      <c r="S1484">
        <v>12.58</v>
      </c>
      <c r="T1484">
        <v>0.52</v>
      </c>
      <c r="U1484" s="1">
        <v>45569</v>
      </c>
      <c r="V1484">
        <v>184.06</v>
      </c>
      <c r="W1484">
        <v>0.58499999999999996</v>
      </c>
      <c r="X1484" t="str">
        <f>IF(WarehouseData[[#This Row],[stock_level]]&lt;=WarehouseData[[#This Row],[reorder_point]],"Low Stock","Sufficient Stock")</f>
        <v>Sufficient Stock</v>
      </c>
      <c r="Y1484">
        <f>WarehouseData[[#This Row],[daily_demand]]*WarehouseData[[#This Row],[lead_time_days]]</f>
        <v>348.48</v>
      </c>
      <c r="Z1484" t="str">
        <f>IF(WarehouseData[[#This Row],[stock_level]]&lt;=WarehouseData[[#This Row],[Demand During Lead Time]],"At Risk","Safe")</f>
        <v>Safe</v>
      </c>
      <c r="AA1484">
        <f>WarehouseData[[#This Row],[stock_level]]/WarehouseData[[#This Row],[daily_demand]]</f>
        <v>8.4251606978879696</v>
      </c>
      <c r="AB1484">
        <f>WarehouseData[[#This Row],[stock_level]]*WarehouseData[[#This Row],[unit_price]]</f>
        <v>47486.13</v>
      </c>
      <c r="AC1484">
        <f>WarehouseData[[#This Row],[stock_level]]*WarehouseData[[#This Row],[holding_cost_per_unit_day]]*30</f>
        <v>8697.9</v>
      </c>
      <c r="AD1484" t="str">
        <f>IF(WarehouseData[[#This Row],[order_fulfillment_rate]]&gt;=0.9,"Strong",IF(WarehouseData[[#This Row],[order_fulfillment_rate]]&gt;=0.8,"Moderate","Needs Attention"))</f>
        <v>Moderate</v>
      </c>
      <c r="AE1484" t="str">
        <f>IF(WarehouseData[[#This Row],[picking_time_seconds]]&gt;120,"Slow",IF(WarehouseData[[#This Row],[picking_time_seconds]]&gt;=60,"Average","Fast"))</f>
        <v>Average</v>
      </c>
    </row>
    <row r="1485" spans="1:31" x14ac:dyDescent="0.25">
      <c r="A1485" t="s">
        <v>1623</v>
      </c>
      <c r="B1485" t="s">
        <v>73</v>
      </c>
      <c r="C1485">
        <v>178</v>
      </c>
      <c r="D1485">
        <v>28</v>
      </c>
      <c r="E1485">
        <v>14</v>
      </c>
      <c r="F1485">
        <v>6</v>
      </c>
      <c r="G1485">
        <v>32.33</v>
      </c>
      <c r="H1485">
        <v>6.88</v>
      </c>
      <c r="I1485">
        <v>0.49</v>
      </c>
      <c r="J1485" t="s">
        <v>289</v>
      </c>
      <c r="K1485" t="s">
        <v>52</v>
      </c>
      <c r="L1485">
        <v>155</v>
      </c>
      <c r="M1485">
        <v>4.47</v>
      </c>
      <c r="N1485">
        <v>31.19</v>
      </c>
      <c r="O1485">
        <v>1.07</v>
      </c>
      <c r="P1485">
        <v>4</v>
      </c>
      <c r="Q1485">
        <v>0.77</v>
      </c>
      <c r="R1485">
        <v>87</v>
      </c>
      <c r="S1485">
        <v>9.33</v>
      </c>
      <c r="T1485">
        <v>0.37</v>
      </c>
      <c r="U1485" s="1">
        <v>45503</v>
      </c>
      <c r="V1485">
        <v>268.33999999999997</v>
      </c>
      <c r="W1485">
        <v>0.56499999999999995</v>
      </c>
      <c r="X1485" t="str">
        <f>IF(WarehouseData[[#This Row],[stock_level]]&lt;=WarehouseData[[#This Row],[reorder_point]],"Low Stock","Sufficient Stock")</f>
        <v>Sufficient Stock</v>
      </c>
      <c r="Y1485">
        <f>WarehouseData[[#This Row],[daily_demand]]*WarehouseData[[#This Row],[lead_time_days]]</f>
        <v>193.98</v>
      </c>
      <c r="Z1485" t="str">
        <f>IF(WarehouseData[[#This Row],[stock_level]]&lt;=WarehouseData[[#This Row],[Demand During Lead Time]],"At Risk","Safe")</f>
        <v>At Risk</v>
      </c>
      <c r="AA1485">
        <f>WarehouseData[[#This Row],[stock_level]]/WarehouseData[[#This Row],[daily_demand]]</f>
        <v>5.5057222394061247</v>
      </c>
      <c r="AB1485">
        <f>WarehouseData[[#This Row],[stock_level]]*WarehouseData[[#This Row],[unit_price]]</f>
        <v>5551.8200000000006</v>
      </c>
      <c r="AC1485">
        <f>WarehouseData[[#This Row],[stock_level]]*WarehouseData[[#This Row],[holding_cost_per_unit_day]]*30</f>
        <v>5713.8</v>
      </c>
      <c r="AD1485" t="str">
        <f>IF(WarehouseData[[#This Row],[order_fulfillment_rate]]&gt;=0.9,"Strong",IF(WarehouseData[[#This Row],[order_fulfillment_rate]]&gt;=0.8,"Moderate","Needs Attention"))</f>
        <v>Needs Attention</v>
      </c>
      <c r="AE1485" t="str">
        <f>IF(WarehouseData[[#This Row],[picking_time_seconds]]&gt;120,"Slow",IF(WarehouseData[[#This Row],[picking_time_seconds]]&gt;=60,"Average","Fast"))</f>
        <v>Slow</v>
      </c>
    </row>
    <row r="1486" spans="1:31" x14ac:dyDescent="0.25">
      <c r="A1486" t="s">
        <v>1624</v>
      </c>
      <c r="B1486" t="s">
        <v>73</v>
      </c>
      <c r="C1486">
        <v>143</v>
      </c>
      <c r="D1486">
        <v>53</v>
      </c>
      <c r="E1486">
        <v>3</v>
      </c>
      <c r="F1486">
        <v>9</v>
      </c>
      <c r="G1486">
        <v>22.93</v>
      </c>
      <c r="H1486">
        <v>8.5</v>
      </c>
      <c r="I1486">
        <v>0.72</v>
      </c>
      <c r="J1486" t="s">
        <v>59</v>
      </c>
      <c r="K1486" t="s">
        <v>38</v>
      </c>
      <c r="L1486">
        <v>35</v>
      </c>
      <c r="M1486">
        <v>1.22</v>
      </c>
      <c r="N1486">
        <v>86.64</v>
      </c>
      <c r="O1486">
        <v>1.88</v>
      </c>
      <c r="P1486">
        <v>3</v>
      </c>
      <c r="Q1486">
        <v>0.78</v>
      </c>
      <c r="R1486">
        <v>975</v>
      </c>
      <c r="S1486">
        <v>12.34</v>
      </c>
      <c r="T1486">
        <v>0.79</v>
      </c>
      <c r="U1486" s="1">
        <v>45593</v>
      </c>
      <c r="V1486">
        <v>108.53</v>
      </c>
      <c r="W1486">
        <v>0.63100000000000001</v>
      </c>
      <c r="X1486" t="str">
        <f>IF(WarehouseData[[#This Row],[stock_level]]&lt;=WarehouseData[[#This Row],[reorder_point]],"Low Stock","Sufficient Stock")</f>
        <v>Sufficient Stock</v>
      </c>
      <c r="Y1486">
        <f>WarehouseData[[#This Row],[daily_demand]]*WarehouseData[[#This Row],[lead_time_days]]</f>
        <v>206.37</v>
      </c>
      <c r="Z1486" t="str">
        <f>IF(WarehouseData[[#This Row],[stock_level]]&lt;=WarehouseData[[#This Row],[Demand During Lead Time]],"At Risk","Safe")</f>
        <v>At Risk</v>
      </c>
      <c r="AA1486">
        <f>WarehouseData[[#This Row],[stock_level]]/WarehouseData[[#This Row],[daily_demand]]</f>
        <v>6.2363715656345402</v>
      </c>
      <c r="AB1486">
        <f>WarehouseData[[#This Row],[stock_level]]*WarehouseData[[#This Row],[unit_price]]</f>
        <v>12389.52</v>
      </c>
      <c r="AC1486">
        <f>WarehouseData[[#This Row],[stock_level]]*WarehouseData[[#This Row],[holding_cost_per_unit_day]]*30</f>
        <v>8065.1999999999989</v>
      </c>
      <c r="AD1486" t="str">
        <f>IF(WarehouseData[[#This Row],[order_fulfillment_rate]]&gt;=0.9,"Strong",IF(WarehouseData[[#This Row],[order_fulfillment_rate]]&gt;=0.8,"Moderate","Needs Attention"))</f>
        <v>Needs Attention</v>
      </c>
      <c r="AE1486" t="str">
        <f>IF(WarehouseData[[#This Row],[picking_time_seconds]]&gt;120,"Slow",IF(WarehouseData[[#This Row],[picking_time_seconds]]&gt;=60,"Average","Fast"))</f>
        <v>Fast</v>
      </c>
    </row>
    <row r="1487" spans="1:31" x14ac:dyDescent="0.25">
      <c r="A1487" t="s">
        <v>1625</v>
      </c>
      <c r="B1487" t="s">
        <v>73</v>
      </c>
      <c r="C1487">
        <v>336</v>
      </c>
      <c r="D1487">
        <v>16</v>
      </c>
      <c r="E1487">
        <v>12</v>
      </c>
      <c r="F1487">
        <v>8</v>
      </c>
      <c r="G1487">
        <v>33.450000000000003</v>
      </c>
      <c r="H1487">
        <v>2.88</v>
      </c>
      <c r="I1487">
        <v>0.61</v>
      </c>
      <c r="J1487" t="s">
        <v>236</v>
      </c>
      <c r="K1487" t="s">
        <v>38</v>
      </c>
      <c r="L1487">
        <v>166</v>
      </c>
      <c r="M1487">
        <v>2.36</v>
      </c>
      <c r="N1487">
        <v>173.54</v>
      </c>
      <c r="O1487">
        <v>1.49</v>
      </c>
      <c r="P1487">
        <v>2</v>
      </c>
      <c r="Q1487">
        <v>0.93</v>
      </c>
      <c r="R1487">
        <v>352</v>
      </c>
      <c r="S1487">
        <v>2.9</v>
      </c>
      <c r="T1487">
        <v>0.67</v>
      </c>
      <c r="U1487" s="1">
        <v>45408</v>
      </c>
      <c r="V1487">
        <v>153.81</v>
      </c>
      <c r="W1487">
        <v>0.56999999999999995</v>
      </c>
      <c r="X1487" t="str">
        <f>IF(WarehouseData[[#This Row],[stock_level]]&lt;=WarehouseData[[#This Row],[reorder_point]],"Low Stock","Sufficient Stock")</f>
        <v>Sufficient Stock</v>
      </c>
      <c r="Y1487">
        <f>WarehouseData[[#This Row],[daily_demand]]*WarehouseData[[#This Row],[lead_time_days]]</f>
        <v>267.60000000000002</v>
      </c>
      <c r="Z1487" t="str">
        <f>IF(WarehouseData[[#This Row],[stock_level]]&lt;=WarehouseData[[#This Row],[Demand During Lead Time]],"At Risk","Safe")</f>
        <v>Safe</v>
      </c>
      <c r="AA1487">
        <f>WarehouseData[[#This Row],[stock_level]]/WarehouseData[[#This Row],[daily_demand]]</f>
        <v>10.044843049327353</v>
      </c>
      <c r="AB1487">
        <f>WarehouseData[[#This Row],[stock_level]]*WarehouseData[[#This Row],[unit_price]]</f>
        <v>58309.439999999995</v>
      </c>
      <c r="AC1487">
        <f>WarehouseData[[#This Row],[stock_level]]*WarehouseData[[#This Row],[holding_cost_per_unit_day]]*30</f>
        <v>15019.199999999999</v>
      </c>
      <c r="AD1487" t="str">
        <f>IF(WarehouseData[[#This Row],[order_fulfillment_rate]]&gt;=0.9,"Strong",IF(WarehouseData[[#This Row],[order_fulfillment_rate]]&gt;=0.8,"Moderate","Needs Attention"))</f>
        <v>Strong</v>
      </c>
      <c r="AE1487" t="str">
        <f>IF(WarehouseData[[#This Row],[picking_time_seconds]]&gt;120,"Slow",IF(WarehouseData[[#This Row],[picking_time_seconds]]&gt;=60,"Average","Fast"))</f>
        <v>Slow</v>
      </c>
    </row>
    <row r="1488" spans="1:31" x14ac:dyDescent="0.25">
      <c r="A1488" t="s">
        <v>1626</v>
      </c>
      <c r="B1488" t="s">
        <v>48</v>
      </c>
      <c r="C1488">
        <v>226</v>
      </c>
      <c r="D1488">
        <v>53</v>
      </c>
      <c r="E1488">
        <v>11</v>
      </c>
      <c r="F1488">
        <v>3</v>
      </c>
      <c r="G1488">
        <v>35.630000000000003</v>
      </c>
      <c r="H1488">
        <v>8.94</v>
      </c>
      <c r="I1488">
        <v>0.49</v>
      </c>
      <c r="J1488" t="s">
        <v>84</v>
      </c>
      <c r="K1488" t="s">
        <v>46</v>
      </c>
      <c r="L1488">
        <v>81</v>
      </c>
      <c r="M1488">
        <v>2.3199999999999998</v>
      </c>
      <c r="N1488">
        <v>168.51</v>
      </c>
      <c r="O1488">
        <v>1.06</v>
      </c>
      <c r="P1488">
        <v>0</v>
      </c>
      <c r="Q1488">
        <v>0.8</v>
      </c>
      <c r="R1488">
        <v>387</v>
      </c>
      <c r="S1488">
        <v>6.59</v>
      </c>
      <c r="T1488">
        <v>0.92</v>
      </c>
      <c r="U1488" s="1">
        <v>45575</v>
      </c>
      <c r="V1488">
        <v>140.1</v>
      </c>
      <c r="W1488">
        <v>0.72599999999999998</v>
      </c>
      <c r="X1488" t="str">
        <f>IF(WarehouseData[[#This Row],[stock_level]]&lt;=WarehouseData[[#This Row],[reorder_point]],"Low Stock","Sufficient Stock")</f>
        <v>Sufficient Stock</v>
      </c>
      <c r="Y1488">
        <f>WarehouseData[[#This Row],[daily_demand]]*WarehouseData[[#This Row],[lead_time_days]]</f>
        <v>106.89000000000001</v>
      </c>
      <c r="Z1488" t="str">
        <f>IF(WarehouseData[[#This Row],[stock_level]]&lt;=WarehouseData[[#This Row],[Demand During Lead Time]],"At Risk","Safe")</f>
        <v>Safe</v>
      </c>
      <c r="AA1488">
        <f>WarehouseData[[#This Row],[stock_level]]/WarehouseData[[#This Row],[daily_demand]]</f>
        <v>6.3429694078024133</v>
      </c>
      <c r="AB1488">
        <f>WarehouseData[[#This Row],[stock_level]]*WarehouseData[[#This Row],[unit_price]]</f>
        <v>38083.259999999995</v>
      </c>
      <c r="AC1488">
        <f>WarehouseData[[#This Row],[stock_level]]*WarehouseData[[#This Row],[holding_cost_per_unit_day]]*30</f>
        <v>7186.8</v>
      </c>
      <c r="AD1488" t="str">
        <f>IF(WarehouseData[[#This Row],[order_fulfillment_rate]]&gt;=0.9,"Strong",IF(WarehouseData[[#This Row],[order_fulfillment_rate]]&gt;=0.8,"Moderate","Needs Attention"))</f>
        <v>Moderate</v>
      </c>
      <c r="AE1488" t="str">
        <f>IF(WarehouseData[[#This Row],[picking_time_seconds]]&gt;120,"Slow",IF(WarehouseData[[#This Row],[picking_time_seconds]]&gt;=60,"Average","Fast"))</f>
        <v>Average</v>
      </c>
    </row>
    <row r="1489" spans="1:31" x14ac:dyDescent="0.25">
      <c r="A1489" t="s">
        <v>1627</v>
      </c>
      <c r="B1489" t="s">
        <v>32</v>
      </c>
      <c r="C1489">
        <v>67</v>
      </c>
      <c r="D1489">
        <v>77</v>
      </c>
      <c r="E1489">
        <v>5</v>
      </c>
      <c r="F1489">
        <v>8</v>
      </c>
      <c r="G1489">
        <v>44.76</v>
      </c>
      <c r="H1489">
        <v>7.68</v>
      </c>
      <c r="I1489">
        <v>0.84</v>
      </c>
      <c r="J1489" t="s">
        <v>152</v>
      </c>
      <c r="K1489" t="s">
        <v>46</v>
      </c>
      <c r="L1489">
        <v>53</v>
      </c>
      <c r="M1489">
        <v>2.1</v>
      </c>
      <c r="N1489">
        <v>109.26</v>
      </c>
      <c r="O1489">
        <v>1.23</v>
      </c>
      <c r="P1489">
        <v>4</v>
      </c>
      <c r="Q1489">
        <v>0.72</v>
      </c>
      <c r="R1489">
        <v>803</v>
      </c>
      <c r="S1489">
        <v>1.55</v>
      </c>
      <c r="T1489">
        <v>0.72</v>
      </c>
      <c r="U1489" s="1">
        <v>45323</v>
      </c>
      <c r="V1489">
        <v>125.41</v>
      </c>
      <c r="W1489">
        <v>0.50600000000000001</v>
      </c>
      <c r="X1489" t="str">
        <f>IF(WarehouseData[[#This Row],[stock_level]]&lt;=WarehouseData[[#This Row],[reorder_point]],"Low Stock","Sufficient Stock")</f>
        <v>Low Stock</v>
      </c>
      <c r="Y1489">
        <f>WarehouseData[[#This Row],[daily_demand]]*WarehouseData[[#This Row],[lead_time_days]]</f>
        <v>358.08</v>
      </c>
      <c r="Z1489" t="str">
        <f>IF(WarehouseData[[#This Row],[stock_level]]&lt;=WarehouseData[[#This Row],[Demand During Lead Time]],"At Risk","Safe")</f>
        <v>At Risk</v>
      </c>
      <c r="AA1489">
        <f>WarehouseData[[#This Row],[stock_level]]/WarehouseData[[#This Row],[daily_demand]]</f>
        <v>1.4968722073279714</v>
      </c>
      <c r="AB1489">
        <f>WarehouseData[[#This Row],[stock_level]]*WarehouseData[[#This Row],[unit_price]]</f>
        <v>7320.42</v>
      </c>
      <c r="AC1489">
        <f>WarehouseData[[#This Row],[stock_level]]*WarehouseData[[#This Row],[holding_cost_per_unit_day]]*30</f>
        <v>2472.2999999999997</v>
      </c>
      <c r="AD1489" t="str">
        <f>IF(WarehouseData[[#This Row],[order_fulfillment_rate]]&gt;=0.9,"Strong",IF(WarehouseData[[#This Row],[order_fulfillment_rate]]&gt;=0.8,"Moderate","Needs Attention"))</f>
        <v>Needs Attention</v>
      </c>
      <c r="AE1489" t="str">
        <f>IF(WarehouseData[[#This Row],[picking_time_seconds]]&gt;120,"Slow",IF(WarehouseData[[#This Row],[picking_time_seconds]]&gt;=60,"Average","Fast"))</f>
        <v>Fast</v>
      </c>
    </row>
    <row r="1490" spans="1:31" x14ac:dyDescent="0.25">
      <c r="A1490" t="s">
        <v>1628</v>
      </c>
      <c r="B1490" t="s">
        <v>36</v>
      </c>
      <c r="C1490">
        <v>428</v>
      </c>
      <c r="D1490">
        <v>43</v>
      </c>
      <c r="E1490">
        <v>14</v>
      </c>
      <c r="F1490">
        <v>9</v>
      </c>
      <c r="G1490">
        <v>47.84</v>
      </c>
      <c r="H1490">
        <v>7.42</v>
      </c>
      <c r="I1490">
        <v>0.81</v>
      </c>
      <c r="J1490" t="s">
        <v>64</v>
      </c>
      <c r="K1490" t="s">
        <v>38</v>
      </c>
      <c r="L1490">
        <v>99</v>
      </c>
      <c r="M1490">
        <v>3.03</v>
      </c>
      <c r="N1490">
        <v>181.66</v>
      </c>
      <c r="O1490">
        <v>1.86</v>
      </c>
      <c r="P1490">
        <v>1</v>
      </c>
      <c r="Q1490">
        <v>0.8</v>
      </c>
      <c r="R1490">
        <v>379</v>
      </c>
      <c r="S1490">
        <v>6.18</v>
      </c>
      <c r="T1490">
        <v>0.21</v>
      </c>
      <c r="U1490" s="1">
        <v>45490</v>
      </c>
      <c r="V1490">
        <v>248.1</v>
      </c>
      <c r="W1490">
        <v>0.47799999999999998</v>
      </c>
      <c r="X1490" t="str">
        <f>IF(WarehouseData[[#This Row],[stock_level]]&lt;=WarehouseData[[#This Row],[reorder_point]],"Low Stock","Sufficient Stock")</f>
        <v>Sufficient Stock</v>
      </c>
      <c r="Y1490">
        <f>WarehouseData[[#This Row],[daily_demand]]*WarehouseData[[#This Row],[lead_time_days]]</f>
        <v>430.56000000000006</v>
      </c>
      <c r="Z1490" t="str">
        <f>IF(WarehouseData[[#This Row],[stock_level]]&lt;=WarehouseData[[#This Row],[Demand During Lead Time]],"At Risk","Safe")</f>
        <v>At Risk</v>
      </c>
      <c r="AA1490">
        <f>WarehouseData[[#This Row],[stock_level]]/WarehouseData[[#This Row],[daily_demand]]</f>
        <v>8.9464882943143813</v>
      </c>
      <c r="AB1490">
        <f>WarehouseData[[#This Row],[stock_level]]*WarehouseData[[#This Row],[unit_price]]</f>
        <v>77750.48</v>
      </c>
      <c r="AC1490">
        <f>WarehouseData[[#This Row],[stock_level]]*WarehouseData[[#This Row],[holding_cost_per_unit_day]]*30</f>
        <v>23882.400000000001</v>
      </c>
      <c r="AD1490" t="str">
        <f>IF(WarehouseData[[#This Row],[order_fulfillment_rate]]&gt;=0.9,"Strong",IF(WarehouseData[[#This Row],[order_fulfillment_rate]]&gt;=0.8,"Moderate","Needs Attention"))</f>
        <v>Moderate</v>
      </c>
      <c r="AE1490" t="str">
        <f>IF(WarehouseData[[#This Row],[picking_time_seconds]]&gt;120,"Slow",IF(WarehouseData[[#This Row],[picking_time_seconds]]&gt;=60,"Average","Fast"))</f>
        <v>Average</v>
      </c>
    </row>
    <row r="1491" spans="1:31" x14ac:dyDescent="0.25">
      <c r="A1491" t="s">
        <v>1629</v>
      </c>
      <c r="B1491" t="s">
        <v>40</v>
      </c>
      <c r="C1491">
        <v>439</v>
      </c>
      <c r="D1491">
        <v>75</v>
      </c>
      <c r="E1491">
        <v>5</v>
      </c>
      <c r="F1491">
        <v>2</v>
      </c>
      <c r="G1491">
        <v>26.2</v>
      </c>
      <c r="H1491">
        <v>3.79</v>
      </c>
      <c r="I1491">
        <v>0.76</v>
      </c>
      <c r="J1491" t="s">
        <v>236</v>
      </c>
      <c r="K1491" t="s">
        <v>34</v>
      </c>
      <c r="L1491">
        <v>142</v>
      </c>
      <c r="M1491">
        <v>4.9800000000000004</v>
      </c>
      <c r="N1491">
        <v>37.159999999999997</v>
      </c>
      <c r="O1491">
        <v>0.85</v>
      </c>
      <c r="P1491">
        <v>5</v>
      </c>
      <c r="Q1491">
        <v>0.89</v>
      </c>
      <c r="R1491">
        <v>248</v>
      </c>
      <c r="S1491">
        <v>9.6</v>
      </c>
      <c r="T1491">
        <v>0.97</v>
      </c>
      <c r="U1491" s="1">
        <v>45559</v>
      </c>
      <c r="V1491">
        <v>77.260000000000005</v>
      </c>
      <c r="W1491">
        <v>0.71499999999999997</v>
      </c>
      <c r="X1491" t="str">
        <f>IF(WarehouseData[[#This Row],[stock_level]]&lt;=WarehouseData[[#This Row],[reorder_point]],"Low Stock","Sufficient Stock")</f>
        <v>Sufficient Stock</v>
      </c>
      <c r="Y1491">
        <f>WarehouseData[[#This Row],[daily_demand]]*WarehouseData[[#This Row],[lead_time_days]]</f>
        <v>52.4</v>
      </c>
      <c r="Z1491" t="str">
        <f>IF(WarehouseData[[#This Row],[stock_level]]&lt;=WarehouseData[[#This Row],[Demand During Lead Time]],"At Risk","Safe")</f>
        <v>Safe</v>
      </c>
      <c r="AA1491">
        <f>WarehouseData[[#This Row],[stock_level]]/WarehouseData[[#This Row],[daily_demand]]</f>
        <v>16.755725190839694</v>
      </c>
      <c r="AB1491">
        <f>WarehouseData[[#This Row],[stock_level]]*WarehouseData[[#This Row],[unit_price]]</f>
        <v>16313.239999999998</v>
      </c>
      <c r="AC1491">
        <f>WarehouseData[[#This Row],[stock_level]]*WarehouseData[[#This Row],[holding_cost_per_unit_day]]*30</f>
        <v>11194.5</v>
      </c>
      <c r="AD1491" t="str">
        <f>IF(WarehouseData[[#This Row],[order_fulfillment_rate]]&gt;=0.9,"Strong",IF(WarehouseData[[#This Row],[order_fulfillment_rate]]&gt;=0.8,"Moderate","Needs Attention"))</f>
        <v>Moderate</v>
      </c>
      <c r="AE1491" t="str">
        <f>IF(WarehouseData[[#This Row],[picking_time_seconds]]&gt;120,"Slow",IF(WarehouseData[[#This Row],[picking_time_seconds]]&gt;=60,"Average","Fast"))</f>
        <v>Slow</v>
      </c>
    </row>
    <row r="1492" spans="1:31" x14ac:dyDescent="0.25">
      <c r="A1492" t="s">
        <v>1630</v>
      </c>
      <c r="B1492" t="s">
        <v>40</v>
      </c>
      <c r="C1492">
        <v>155</v>
      </c>
      <c r="D1492">
        <v>78</v>
      </c>
      <c r="E1492">
        <v>12</v>
      </c>
      <c r="F1492">
        <v>6</v>
      </c>
      <c r="G1492">
        <v>40.130000000000003</v>
      </c>
      <c r="H1492">
        <v>8.93</v>
      </c>
      <c r="I1492">
        <v>0.17</v>
      </c>
      <c r="J1492" t="s">
        <v>286</v>
      </c>
      <c r="K1492" t="s">
        <v>46</v>
      </c>
      <c r="L1492">
        <v>170</v>
      </c>
      <c r="M1492">
        <v>1.65</v>
      </c>
      <c r="N1492">
        <v>135.06</v>
      </c>
      <c r="O1492">
        <v>0.28999999999999998</v>
      </c>
      <c r="P1492">
        <v>4</v>
      </c>
      <c r="Q1492">
        <v>0.94</v>
      </c>
      <c r="R1492">
        <v>859</v>
      </c>
      <c r="S1492">
        <v>8.9600000000000009</v>
      </c>
      <c r="T1492">
        <v>0.67</v>
      </c>
      <c r="U1492" s="1">
        <v>45506</v>
      </c>
      <c r="V1492">
        <v>154.97999999999999</v>
      </c>
      <c r="W1492">
        <v>0.73199999999999998</v>
      </c>
      <c r="X1492" t="str">
        <f>IF(WarehouseData[[#This Row],[stock_level]]&lt;=WarehouseData[[#This Row],[reorder_point]],"Low Stock","Sufficient Stock")</f>
        <v>Sufficient Stock</v>
      </c>
      <c r="Y1492">
        <f>WarehouseData[[#This Row],[daily_demand]]*WarehouseData[[#This Row],[lead_time_days]]</f>
        <v>240.78000000000003</v>
      </c>
      <c r="Z1492" t="str">
        <f>IF(WarehouseData[[#This Row],[stock_level]]&lt;=WarehouseData[[#This Row],[Demand During Lead Time]],"At Risk","Safe")</f>
        <v>At Risk</v>
      </c>
      <c r="AA1492">
        <f>WarehouseData[[#This Row],[stock_level]]/WarehouseData[[#This Row],[daily_demand]]</f>
        <v>3.8624470470969348</v>
      </c>
      <c r="AB1492">
        <f>WarehouseData[[#This Row],[stock_level]]*WarehouseData[[#This Row],[unit_price]]</f>
        <v>20934.3</v>
      </c>
      <c r="AC1492">
        <f>WarehouseData[[#This Row],[stock_level]]*WarehouseData[[#This Row],[holding_cost_per_unit_day]]*30</f>
        <v>1348.4999999999998</v>
      </c>
      <c r="AD1492" t="str">
        <f>IF(WarehouseData[[#This Row],[order_fulfillment_rate]]&gt;=0.9,"Strong",IF(WarehouseData[[#This Row],[order_fulfillment_rate]]&gt;=0.8,"Moderate","Needs Attention"))</f>
        <v>Strong</v>
      </c>
      <c r="AE1492" t="str">
        <f>IF(WarehouseData[[#This Row],[picking_time_seconds]]&gt;120,"Slow",IF(WarehouseData[[#This Row],[picking_time_seconds]]&gt;=60,"Average","Fast"))</f>
        <v>Slow</v>
      </c>
    </row>
    <row r="1493" spans="1:31" x14ac:dyDescent="0.25">
      <c r="A1493" t="s">
        <v>1631</v>
      </c>
      <c r="B1493" t="s">
        <v>48</v>
      </c>
      <c r="C1493">
        <v>220</v>
      </c>
      <c r="D1493">
        <v>64</v>
      </c>
      <c r="E1493">
        <v>11</v>
      </c>
      <c r="F1493">
        <v>7</v>
      </c>
      <c r="G1493">
        <v>48.26</v>
      </c>
      <c r="H1493">
        <v>6.56</v>
      </c>
      <c r="I1493">
        <v>0.82</v>
      </c>
      <c r="J1493" t="s">
        <v>129</v>
      </c>
      <c r="K1493" t="s">
        <v>38</v>
      </c>
      <c r="L1493">
        <v>133</v>
      </c>
      <c r="M1493">
        <v>3.67</v>
      </c>
      <c r="N1493">
        <v>57.29</v>
      </c>
      <c r="O1493">
        <v>0.72</v>
      </c>
      <c r="P1493">
        <v>1</v>
      </c>
      <c r="Q1493">
        <v>0.99</v>
      </c>
      <c r="R1493">
        <v>54</v>
      </c>
      <c r="S1493">
        <v>1.84</v>
      </c>
      <c r="T1493">
        <v>0.68</v>
      </c>
      <c r="U1493" s="1">
        <v>45566</v>
      </c>
      <c r="V1493">
        <v>278.14</v>
      </c>
      <c r="W1493">
        <v>0.66700000000000004</v>
      </c>
      <c r="X1493" t="str">
        <f>IF(WarehouseData[[#This Row],[stock_level]]&lt;=WarehouseData[[#This Row],[reorder_point]],"Low Stock","Sufficient Stock")</f>
        <v>Sufficient Stock</v>
      </c>
      <c r="Y1493">
        <f>WarehouseData[[#This Row],[daily_demand]]*WarehouseData[[#This Row],[lead_time_days]]</f>
        <v>337.82</v>
      </c>
      <c r="Z1493" t="str">
        <f>IF(WarehouseData[[#This Row],[stock_level]]&lt;=WarehouseData[[#This Row],[Demand During Lead Time]],"At Risk","Safe")</f>
        <v>At Risk</v>
      </c>
      <c r="AA1493">
        <f>WarehouseData[[#This Row],[stock_level]]/WarehouseData[[#This Row],[daily_demand]]</f>
        <v>4.5586406962287613</v>
      </c>
      <c r="AB1493">
        <f>WarehouseData[[#This Row],[stock_level]]*WarehouseData[[#This Row],[unit_price]]</f>
        <v>12603.8</v>
      </c>
      <c r="AC1493">
        <f>WarehouseData[[#This Row],[stock_level]]*WarehouseData[[#This Row],[holding_cost_per_unit_day]]*30</f>
        <v>4752</v>
      </c>
      <c r="AD1493" t="str">
        <f>IF(WarehouseData[[#This Row],[order_fulfillment_rate]]&gt;=0.9,"Strong",IF(WarehouseData[[#This Row],[order_fulfillment_rate]]&gt;=0.8,"Moderate","Needs Attention"))</f>
        <v>Strong</v>
      </c>
      <c r="AE1493" t="str">
        <f>IF(WarehouseData[[#This Row],[picking_time_seconds]]&gt;120,"Slow",IF(WarehouseData[[#This Row],[picking_time_seconds]]&gt;=60,"Average","Fast"))</f>
        <v>Slow</v>
      </c>
    </row>
    <row r="1494" spans="1:31" x14ac:dyDescent="0.25">
      <c r="A1494" t="s">
        <v>1632</v>
      </c>
      <c r="B1494" t="s">
        <v>73</v>
      </c>
      <c r="C1494">
        <v>269</v>
      </c>
      <c r="D1494">
        <v>19</v>
      </c>
      <c r="E1494">
        <v>12</v>
      </c>
      <c r="F1494">
        <v>2</v>
      </c>
      <c r="G1494">
        <v>8.41</v>
      </c>
      <c r="H1494">
        <v>8.59</v>
      </c>
      <c r="I1494">
        <v>0.93</v>
      </c>
      <c r="J1494" t="s">
        <v>137</v>
      </c>
      <c r="K1494" t="s">
        <v>46</v>
      </c>
      <c r="L1494">
        <v>14</v>
      </c>
      <c r="M1494">
        <v>3.91</v>
      </c>
      <c r="N1494">
        <v>132.66</v>
      </c>
      <c r="O1494">
        <v>0.89</v>
      </c>
      <c r="P1494">
        <v>7</v>
      </c>
      <c r="Q1494">
        <v>0.92</v>
      </c>
      <c r="R1494">
        <v>481</v>
      </c>
      <c r="S1494">
        <v>1.87</v>
      </c>
      <c r="T1494">
        <v>0.93</v>
      </c>
      <c r="U1494" s="1">
        <v>45643</v>
      </c>
      <c r="V1494">
        <v>56.76</v>
      </c>
      <c r="W1494">
        <v>0.56599999999999995</v>
      </c>
      <c r="X1494" t="str">
        <f>IF(WarehouseData[[#This Row],[stock_level]]&lt;=WarehouseData[[#This Row],[reorder_point]],"Low Stock","Sufficient Stock")</f>
        <v>Sufficient Stock</v>
      </c>
      <c r="Y1494">
        <f>WarehouseData[[#This Row],[daily_demand]]*WarehouseData[[#This Row],[lead_time_days]]</f>
        <v>16.82</v>
      </c>
      <c r="Z1494" t="str">
        <f>IF(WarehouseData[[#This Row],[stock_level]]&lt;=WarehouseData[[#This Row],[Demand During Lead Time]],"At Risk","Safe")</f>
        <v>Safe</v>
      </c>
      <c r="AA1494">
        <f>WarehouseData[[#This Row],[stock_level]]/WarehouseData[[#This Row],[daily_demand]]</f>
        <v>31.985731272294885</v>
      </c>
      <c r="AB1494">
        <f>WarehouseData[[#This Row],[stock_level]]*WarehouseData[[#This Row],[unit_price]]</f>
        <v>35685.54</v>
      </c>
      <c r="AC1494">
        <f>WarehouseData[[#This Row],[stock_level]]*WarehouseData[[#This Row],[holding_cost_per_unit_day]]*30</f>
        <v>7182.3</v>
      </c>
      <c r="AD1494" t="str">
        <f>IF(WarehouseData[[#This Row],[order_fulfillment_rate]]&gt;=0.9,"Strong",IF(WarehouseData[[#This Row],[order_fulfillment_rate]]&gt;=0.8,"Moderate","Needs Attention"))</f>
        <v>Strong</v>
      </c>
      <c r="AE1494" t="str">
        <f>IF(WarehouseData[[#This Row],[picking_time_seconds]]&gt;120,"Slow",IF(WarehouseData[[#This Row],[picking_time_seconds]]&gt;=60,"Average","Fast"))</f>
        <v>Fast</v>
      </c>
    </row>
    <row r="1495" spans="1:31" x14ac:dyDescent="0.25">
      <c r="A1495" t="s">
        <v>1633</v>
      </c>
      <c r="B1495" t="s">
        <v>48</v>
      </c>
      <c r="C1495">
        <v>333</v>
      </c>
      <c r="D1495">
        <v>51</v>
      </c>
      <c r="E1495">
        <v>5</v>
      </c>
      <c r="F1495">
        <v>6</v>
      </c>
      <c r="G1495">
        <v>1.9</v>
      </c>
      <c r="H1495">
        <v>3.93</v>
      </c>
      <c r="I1495">
        <v>0.15</v>
      </c>
      <c r="J1495" t="s">
        <v>139</v>
      </c>
      <c r="K1495" t="s">
        <v>46</v>
      </c>
      <c r="L1495">
        <v>136</v>
      </c>
      <c r="M1495">
        <v>3.13</v>
      </c>
      <c r="N1495">
        <v>26.61</v>
      </c>
      <c r="O1495">
        <v>0.62</v>
      </c>
      <c r="P1495">
        <v>4</v>
      </c>
      <c r="Q1495">
        <v>0.83</v>
      </c>
      <c r="R1495">
        <v>420</v>
      </c>
      <c r="S1495">
        <v>5.27</v>
      </c>
      <c r="T1495">
        <v>0.73</v>
      </c>
      <c r="U1495" s="1">
        <v>45535</v>
      </c>
      <c r="V1495">
        <v>11.35</v>
      </c>
      <c r="W1495">
        <v>0.64</v>
      </c>
      <c r="X1495" t="str">
        <f>IF(WarehouseData[[#This Row],[stock_level]]&lt;=WarehouseData[[#This Row],[reorder_point]],"Low Stock","Sufficient Stock")</f>
        <v>Sufficient Stock</v>
      </c>
      <c r="Y1495">
        <f>WarehouseData[[#This Row],[daily_demand]]*WarehouseData[[#This Row],[lead_time_days]]</f>
        <v>11.399999999999999</v>
      </c>
      <c r="Z1495" t="str">
        <f>IF(WarehouseData[[#This Row],[stock_level]]&lt;=WarehouseData[[#This Row],[Demand During Lead Time]],"At Risk","Safe")</f>
        <v>Safe</v>
      </c>
      <c r="AA1495">
        <f>WarehouseData[[#This Row],[stock_level]]/WarehouseData[[#This Row],[daily_demand]]</f>
        <v>175.26315789473685</v>
      </c>
      <c r="AB1495">
        <f>WarehouseData[[#This Row],[stock_level]]*WarehouseData[[#This Row],[unit_price]]</f>
        <v>8861.1299999999992</v>
      </c>
      <c r="AC1495">
        <f>WarehouseData[[#This Row],[stock_level]]*WarehouseData[[#This Row],[holding_cost_per_unit_day]]*30</f>
        <v>6193.8</v>
      </c>
      <c r="AD1495" t="str">
        <f>IF(WarehouseData[[#This Row],[order_fulfillment_rate]]&gt;=0.9,"Strong",IF(WarehouseData[[#This Row],[order_fulfillment_rate]]&gt;=0.8,"Moderate","Needs Attention"))</f>
        <v>Moderate</v>
      </c>
      <c r="AE1495" t="str">
        <f>IF(WarehouseData[[#This Row],[picking_time_seconds]]&gt;120,"Slow",IF(WarehouseData[[#This Row],[picking_time_seconds]]&gt;=60,"Average","Fast"))</f>
        <v>Slow</v>
      </c>
    </row>
    <row r="1496" spans="1:31" x14ac:dyDescent="0.25">
      <c r="A1496" t="s">
        <v>1634</v>
      </c>
      <c r="B1496" t="s">
        <v>32</v>
      </c>
      <c r="C1496">
        <v>376</v>
      </c>
      <c r="D1496">
        <v>50</v>
      </c>
      <c r="E1496">
        <v>10</v>
      </c>
      <c r="F1496">
        <v>5</v>
      </c>
      <c r="G1496">
        <v>43.58</v>
      </c>
      <c r="H1496">
        <v>1.88</v>
      </c>
      <c r="I1496">
        <v>0.46</v>
      </c>
      <c r="J1496" t="s">
        <v>135</v>
      </c>
      <c r="K1496" t="s">
        <v>38</v>
      </c>
      <c r="L1496">
        <v>122</v>
      </c>
      <c r="M1496">
        <v>0.94</v>
      </c>
      <c r="N1496">
        <v>189.29</v>
      </c>
      <c r="O1496">
        <v>1.1100000000000001</v>
      </c>
      <c r="P1496">
        <v>1</v>
      </c>
      <c r="Q1496">
        <v>0.79</v>
      </c>
      <c r="R1496">
        <v>944</v>
      </c>
      <c r="S1496">
        <v>11.8</v>
      </c>
      <c r="T1496">
        <v>0.57999999999999996</v>
      </c>
      <c r="U1496" s="1">
        <v>45585</v>
      </c>
      <c r="V1496">
        <v>86.91</v>
      </c>
      <c r="W1496">
        <v>0.7</v>
      </c>
      <c r="X1496" t="str">
        <f>IF(WarehouseData[[#This Row],[stock_level]]&lt;=WarehouseData[[#This Row],[reorder_point]],"Low Stock","Sufficient Stock")</f>
        <v>Sufficient Stock</v>
      </c>
      <c r="Y1496">
        <f>WarehouseData[[#This Row],[daily_demand]]*WarehouseData[[#This Row],[lead_time_days]]</f>
        <v>217.89999999999998</v>
      </c>
      <c r="Z1496" t="str">
        <f>IF(WarehouseData[[#This Row],[stock_level]]&lt;=WarehouseData[[#This Row],[Demand During Lead Time]],"At Risk","Safe")</f>
        <v>Safe</v>
      </c>
      <c r="AA1496">
        <f>WarehouseData[[#This Row],[stock_level]]/WarehouseData[[#This Row],[daily_demand]]</f>
        <v>8.627810922441487</v>
      </c>
      <c r="AB1496">
        <f>WarehouseData[[#This Row],[stock_level]]*WarehouseData[[#This Row],[unit_price]]</f>
        <v>71173.039999999994</v>
      </c>
      <c r="AC1496">
        <f>WarehouseData[[#This Row],[stock_level]]*WarehouseData[[#This Row],[holding_cost_per_unit_day]]*30</f>
        <v>12520.800000000001</v>
      </c>
      <c r="AD1496" t="str">
        <f>IF(WarehouseData[[#This Row],[order_fulfillment_rate]]&gt;=0.9,"Strong",IF(WarehouseData[[#This Row],[order_fulfillment_rate]]&gt;=0.8,"Moderate","Needs Attention"))</f>
        <v>Needs Attention</v>
      </c>
      <c r="AE1496" t="str">
        <f>IF(WarehouseData[[#This Row],[picking_time_seconds]]&gt;120,"Slow",IF(WarehouseData[[#This Row],[picking_time_seconds]]&gt;=60,"Average","Fast"))</f>
        <v>Slow</v>
      </c>
    </row>
    <row r="1497" spans="1:31" x14ac:dyDescent="0.25">
      <c r="A1497" t="s">
        <v>1635</v>
      </c>
      <c r="B1497" t="s">
        <v>32</v>
      </c>
      <c r="C1497">
        <v>387</v>
      </c>
      <c r="D1497">
        <v>86</v>
      </c>
      <c r="E1497">
        <v>4</v>
      </c>
      <c r="F1497">
        <v>4</v>
      </c>
      <c r="G1497">
        <v>10.57</v>
      </c>
      <c r="H1497">
        <v>3.66</v>
      </c>
      <c r="I1497">
        <v>0.99</v>
      </c>
      <c r="J1497" t="s">
        <v>178</v>
      </c>
      <c r="K1497" t="s">
        <v>52</v>
      </c>
      <c r="L1497">
        <v>120</v>
      </c>
      <c r="M1497">
        <v>3.08</v>
      </c>
      <c r="N1497">
        <v>159.4</v>
      </c>
      <c r="O1497">
        <v>0.68</v>
      </c>
      <c r="P1497">
        <v>0</v>
      </c>
      <c r="Q1497">
        <v>0.74</v>
      </c>
      <c r="R1497">
        <v>916</v>
      </c>
      <c r="S1497">
        <v>1.29</v>
      </c>
      <c r="T1497">
        <v>0.28999999999999998</v>
      </c>
      <c r="U1497" s="1">
        <v>45412</v>
      </c>
      <c r="V1497">
        <v>277.47000000000003</v>
      </c>
      <c r="W1497">
        <v>0.55500000000000005</v>
      </c>
      <c r="X1497" t="str">
        <f>IF(WarehouseData[[#This Row],[stock_level]]&lt;=WarehouseData[[#This Row],[reorder_point]],"Low Stock","Sufficient Stock")</f>
        <v>Sufficient Stock</v>
      </c>
      <c r="Y1497">
        <f>WarehouseData[[#This Row],[daily_demand]]*WarehouseData[[#This Row],[lead_time_days]]</f>
        <v>42.28</v>
      </c>
      <c r="Z1497" t="str">
        <f>IF(WarehouseData[[#This Row],[stock_level]]&lt;=WarehouseData[[#This Row],[Demand During Lead Time]],"At Risk","Safe")</f>
        <v>Safe</v>
      </c>
      <c r="AA1497">
        <f>WarehouseData[[#This Row],[stock_level]]/WarehouseData[[#This Row],[daily_demand]]</f>
        <v>36.613055818353828</v>
      </c>
      <c r="AB1497">
        <f>WarehouseData[[#This Row],[stock_level]]*WarehouseData[[#This Row],[unit_price]]</f>
        <v>61687.8</v>
      </c>
      <c r="AC1497">
        <f>WarehouseData[[#This Row],[stock_level]]*WarehouseData[[#This Row],[holding_cost_per_unit_day]]*30</f>
        <v>7894.8000000000011</v>
      </c>
      <c r="AD1497" t="str">
        <f>IF(WarehouseData[[#This Row],[order_fulfillment_rate]]&gt;=0.9,"Strong",IF(WarehouseData[[#This Row],[order_fulfillment_rate]]&gt;=0.8,"Moderate","Needs Attention"))</f>
        <v>Needs Attention</v>
      </c>
      <c r="AE1497" t="str">
        <f>IF(WarehouseData[[#This Row],[picking_time_seconds]]&gt;120,"Slow",IF(WarehouseData[[#This Row],[picking_time_seconds]]&gt;=60,"Average","Fast"))</f>
        <v>Average</v>
      </c>
    </row>
    <row r="1498" spans="1:31" x14ac:dyDescent="0.25">
      <c r="A1498" t="s">
        <v>1636</v>
      </c>
      <c r="B1498" t="s">
        <v>36</v>
      </c>
      <c r="C1498">
        <v>448</v>
      </c>
      <c r="D1498">
        <v>78</v>
      </c>
      <c r="E1498">
        <v>5</v>
      </c>
      <c r="F1498">
        <v>6</v>
      </c>
      <c r="G1498">
        <v>3.08</v>
      </c>
      <c r="H1498">
        <v>4.83</v>
      </c>
      <c r="I1498">
        <v>0.64</v>
      </c>
      <c r="J1498" t="s">
        <v>59</v>
      </c>
      <c r="K1498" t="s">
        <v>34</v>
      </c>
      <c r="L1498">
        <v>173</v>
      </c>
      <c r="M1498">
        <v>4.79</v>
      </c>
      <c r="N1498">
        <v>48.18</v>
      </c>
      <c r="O1498">
        <v>0.3</v>
      </c>
      <c r="P1498">
        <v>1</v>
      </c>
      <c r="Q1498">
        <v>0.89</v>
      </c>
      <c r="R1498">
        <v>152</v>
      </c>
      <c r="S1498">
        <v>9.6199999999999992</v>
      </c>
      <c r="T1498">
        <v>0.97</v>
      </c>
      <c r="U1498" s="1">
        <v>45535</v>
      </c>
      <c r="V1498">
        <v>35.409999999999997</v>
      </c>
      <c r="W1498">
        <v>0.85</v>
      </c>
      <c r="X1498" t="str">
        <f>IF(WarehouseData[[#This Row],[stock_level]]&lt;=WarehouseData[[#This Row],[reorder_point]],"Low Stock","Sufficient Stock")</f>
        <v>Sufficient Stock</v>
      </c>
      <c r="Y1498">
        <f>WarehouseData[[#This Row],[daily_demand]]*WarehouseData[[#This Row],[lead_time_days]]</f>
        <v>18.48</v>
      </c>
      <c r="Z1498" t="str">
        <f>IF(WarehouseData[[#This Row],[stock_level]]&lt;=WarehouseData[[#This Row],[Demand During Lead Time]],"At Risk","Safe")</f>
        <v>Safe</v>
      </c>
      <c r="AA1498">
        <f>WarehouseData[[#This Row],[stock_level]]/WarehouseData[[#This Row],[daily_demand]]</f>
        <v>145.45454545454544</v>
      </c>
      <c r="AB1498">
        <f>WarehouseData[[#This Row],[stock_level]]*WarehouseData[[#This Row],[unit_price]]</f>
        <v>21584.639999999999</v>
      </c>
      <c r="AC1498">
        <f>WarehouseData[[#This Row],[stock_level]]*WarehouseData[[#This Row],[holding_cost_per_unit_day]]*30</f>
        <v>4032</v>
      </c>
      <c r="AD1498" t="str">
        <f>IF(WarehouseData[[#This Row],[order_fulfillment_rate]]&gt;=0.9,"Strong",IF(WarehouseData[[#This Row],[order_fulfillment_rate]]&gt;=0.8,"Moderate","Needs Attention"))</f>
        <v>Moderate</v>
      </c>
      <c r="AE1498" t="str">
        <f>IF(WarehouseData[[#This Row],[picking_time_seconds]]&gt;120,"Slow",IF(WarehouseData[[#This Row],[picking_time_seconds]]&gt;=60,"Average","Fast"))</f>
        <v>Slow</v>
      </c>
    </row>
    <row r="1499" spans="1:31" x14ac:dyDescent="0.25">
      <c r="A1499" t="s">
        <v>1637</v>
      </c>
      <c r="B1499" t="s">
        <v>36</v>
      </c>
      <c r="C1499">
        <v>337</v>
      </c>
      <c r="D1499">
        <v>19</v>
      </c>
      <c r="E1499">
        <v>4</v>
      </c>
      <c r="F1499">
        <v>5</v>
      </c>
      <c r="G1499">
        <v>8.84</v>
      </c>
      <c r="H1499">
        <v>5.57</v>
      </c>
      <c r="I1499">
        <v>0.56000000000000005</v>
      </c>
      <c r="J1499" t="s">
        <v>245</v>
      </c>
      <c r="K1499" t="s">
        <v>52</v>
      </c>
      <c r="L1499">
        <v>86</v>
      </c>
      <c r="M1499">
        <v>2.04</v>
      </c>
      <c r="N1499">
        <v>131.08000000000001</v>
      </c>
      <c r="O1499">
        <v>0.46</v>
      </c>
      <c r="P1499">
        <v>0</v>
      </c>
      <c r="Q1499">
        <v>0.85</v>
      </c>
      <c r="R1499">
        <v>484</v>
      </c>
      <c r="S1499">
        <v>3.57</v>
      </c>
      <c r="T1499">
        <v>0.26</v>
      </c>
      <c r="U1499" s="1">
        <v>45445</v>
      </c>
      <c r="V1499">
        <v>49.75</v>
      </c>
      <c r="W1499">
        <v>0.624</v>
      </c>
      <c r="X1499" t="str">
        <f>IF(WarehouseData[[#This Row],[stock_level]]&lt;=WarehouseData[[#This Row],[reorder_point]],"Low Stock","Sufficient Stock")</f>
        <v>Sufficient Stock</v>
      </c>
      <c r="Y1499">
        <f>WarehouseData[[#This Row],[daily_demand]]*WarehouseData[[#This Row],[lead_time_days]]</f>
        <v>44.2</v>
      </c>
      <c r="Z1499" t="str">
        <f>IF(WarehouseData[[#This Row],[stock_level]]&lt;=WarehouseData[[#This Row],[Demand During Lead Time]],"At Risk","Safe")</f>
        <v>Safe</v>
      </c>
      <c r="AA1499">
        <f>WarehouseData[[#This Row],[stock_level]]/WarehouseData[[#This Row],[daily_demand]]</f>
        <v>38.122171945701361</v>
      </c>
      <c r="AB1499">
        <f>WarehouseData[[#This Row],[stock_level]]*WarehouseData[[#This Row],[unit_price]]</f>
        <v>44173.960000000006</v>
      </c>
      <c r="AC1499">
        <f>WarehouseData[[#This Row],[stock_level]]*WarehouseData[[#This Row],[holding_cost_per_unit_day]]*30</f>
        <v>4650.6000000000004</v>
      </c>
      <c r="AD1499" t="str">
        <f>IF(WarehouseData[[#This Row],[order_fulfillment_rate]]&gt;=0.9,"Strong",IF(WarehouseData[[#This Row],[order_fulfillment_rate]]&gt;=0.8,"Moderate","Needs Attention"))</f>
        <v>Moderate</v>
      </c>
      <c r="AE1499" t="str">
        <f>IF(WarehouseData[[#This Row],[picking_time_seconds]]&gt;120,"Slow",IF(WarehouseData[[#This Row],[picking_time_seconds]]&gt;=60,"Average","Fast"))</f>
        <v>Average</v>
      </c>
    </row>
    <row r="1500" spans="1:31" x14ac:dyDescent="0.25">
      <c r="A1500" t="s">
        <v>1638</v>
      </c>
      <c r="B1500" t="s">
        <v>32</v>
      </c>
      <c r="C1500">
        <v>314</v>
      </c>
      <c r="D1500">
        <v>19</v>
      </c>
      <c r="E1500">
        <v>3</v>
      </c>
      <c r="F1500">
        <v>9</v>
      </c>
      <c r="G1500">
        <v>19.82</v>
      </c>
      <c r="H1500">
        <v>5.35</v>
      </c>
      <c r="I1500">
        <v>0.26</v>
      </c>
      <c r="J1500" t="s">
        <v>59</v>
      </c>
      <c r="K1500" t="s">
        <v>38</v>
      </c>
      <c r="L1500">
        <v>22</v>
      </c>
      <c r="M1500">
        <v>3.38</v>
      </c>
      <c r="N1500">
        <v>154.24</v>
      </c>
      <c r="O1500">
        <v>1.84</v>
      </c>
      <c r="P1500">
        <v>9</v>
      </c>
      <c r="Q1500">
        <v>0.9</v>
      </c>
      <c r="R1500">
        <v>957</v>
      </c>
      <c r="S1500">
        <v>14.22</v>
      </c>
      <c r="T1500">
        <v>0.34</v>
      </c>
      <c r="U1500" s="1">
        <v>45332</v>
      </c>
      <c r="V1500">
        <v>102.9</v>
      </c>
      <c r="W1500">
        <v>0.47399999999999998</v>
      </c>
      <c r="X1500" t="str">
        <f>IF(WarehouseData[[#This Row],[stock_level]]&lt;=WarehouseData[[#This Row],[reorder_point]],"Low Stock","Sufficient Stock")</f>
        <v>Sufficient Stock</v>
      </c>
      <c r="Y1500">
        <f>WarehouseData[[#This Row],[daily_demand]]*WarehouseData[[#This Row],[lead_time_days]]</f>
        <v>178.38</v>
      </c>
      <c r="Z1500" t="str">
        <f>IF(WarehouseData[[#This Row],[stock_level]]&lt;=WarehouseData[[#This Row],[Demand During Lead Time]],"At Risk","Safe")</f>
        <v>Safe</v>
      </c>
      <c r="AA1500">
        <f>WarehouseData[[#This Row],[stock_level]]/WarehouseData[[#This Row],[daily_demand]]</f>
        <v>15.842583249243189</v>
      </c>
      <c r="AB1500">
        <f>WarehouseData[[#This Row],[stock_level]]*WarehouseData[[#This Row],[unit_price]]</f>
        <v>48431.360000000001</v>
      </c>
      <c r="AC1500">
        <f>WarehouseData[[#This Row],[stock_level]]*WarehouseData[[#This Row],[holding_cost_per_unit_day]]*30</f>
        <v>17332.8</v>
      </c>
      <c r="AD1500" t="str">
        <f>IF(WarehouseData[[#This Row],[order_fulfillment_rate]]&gt;=0.9,"Strong",IF(WarehouseData[[#This Row],[order_fulfillment_rate]]&gt;=0.8,"Moderate","Needs Attention"))</f>
        <v>Strong</v>
      </c>
      <c r="AE1500" t="str">
        <f>IF(WarehouseData[[#This Row],[picking_time_seconds]]&gt;120,"Slow",IF(WarehouseData[[#This Row],[picking_time_seconds]]&gt;=60,"Average","Fast"))</f>
        <v>Fast</v>
      </c>
    </row>
    <row r="1501" spans="1:31" x14ac:dyDescent="0.25">
      <c r="A1501" t="s">
        <v>1639</v>
      </c>
      <c r="B1501" t="s">
        <v>32</v>
      </c>
      <c r="C1501">
        <v>499</v>
      </c>
      <c r="D1501">
        <v>69</v>
      </c>
      <c r="E1501">
        <v>4</v>
      </c>
      <c r="F1501">
        <v>3</v>
      </c>
      <c r="G1501">
        <v>11.74</v>
      </c>
      <c r="H1501">
        <v>5.69</v>
      </c>
      <c r="I1501">
        <v>0.61</v>
      </c>
      <c r="J1501" t="s">
        <v>129</v>
      </c>
      <c r="K1501" t="s">
        <v>38</v>
      </c>
      <c r="L1501">
        <v>162</v>
      </c>
      <c r="M1501">
        <v>4.82</v>
      </c>
      <c r="N1501">
        <v>49.79</v>
      </c>
      <c r="O1501">
        <v>1.3</v>
      </c>
      <c r="P1501">
        <v>9</v>
      </c>
      <c r="Q1501">
        <v>0.77</v>
      </c>
      <c r="R1501">
        <v>699</v>
      </c>
      <c r="S1501">
        <v>7.02</v>
      </c>
      <c r="T1501">
        <v>0.86</v>
      </c>
      <c r="U1501" s="1">
        <v>45494</v>
      </c>
      <c r="V1501">
        <v>233.21</v>
      </c>
      <c r="W1501">
        <v>0.51</v>
      </c>
      <c r="X1501" t="str">
        <f>IF(WarehouseData[[#This Row],[stock_level]]&lt;=WarehouseData[[#This Row],[reorder_point]],"Low Stock","Sufficient Stock")</f>
        <v>Sufficient Stock</v>
      </c>
      <c r="Y1501">
        <f>WarehouseData[[#This Row],[daily_demand]]*WarehouseData[[#This Row],[lead_time_days]]</f>
        <v>35.22</v>
      </c>
      <c r="Z1501" t="str">
        <f>IF(WarehouseData[[#This Row],[stock_level]]&lt;=WarehouseData[[#This Row],[Demand During Lead Time]],"At Risk","Safe")</f>
        <v>Safe</v>
      </c>
      <c r="AA1501">
        <f>WarehouseData[[#This Row],[stock_level]]/WarehouseData[[#This Row],[daily_demand]]</f>
        <v>42.504258943781942</v>
      </c>
      <c r="AB1501">
        <f>WarehouseData[[#This Row],[stock_level]]*WarehouseData[[#This Row],[unit_price]]</f>
        <v>24845.21</v>
      </c>
      <c r="AC1501">
        <f>WarehouseData[[#This Row],[stock_level]]*WarehouseData[[#This Row],[holding_cost_per_unit_day]]*30</f>
        <v>19461</v>
      </c>
      <c r="AD1501" t="str">
        <f>IF(WarehouseData[[#This Row],[order_fulfillment_rate]]&gt;=0.9,"Strong",IF(WarehouseData[[#This Row],[order_fulfillment_rate]]&gt;=0.8,"Moderate","Needs Attention"))</f>
        <v>Needs Attention</v>
      </c>
      <c r="AE1501" t="str">
        <f>IF(WarehouseData[[#This Row],[picking_time_seconds]]&gt;120,"Slow",IF(WarehouseData[[#This Row],[picking_time_seconds]]&gt;=60,"Average","Fast"))</f>
        <v>Slow</v>
      </c>
    </row>
    <row r="1502" spans="1:31" x14ac:dyDescent="0.25">
      <c r="A1502" t="s">
        <v>1640</v>
      </c>
      <c r="B1502" t="s">
        <v>32</v>
      </c>
      <c r="C1502">
        <v>333</v>
      </c>
      <c r="D1502">
        <v>60</v>
      </c>
      <c r="E1502">
        <v>10</v>
      </c>
      <c r="F1502">
        <v>5</v>
      </c>
      <c r="G1502">
        <v>15.96</v>
      </c>
      <c r="H1502">
        <v>8.5</v>
      </c>
      <c r="I1502">
        <v>0.5</v>
      </c>
      <c r="J1502" t="s">
        <v>251</v>
      </c>
      <c r="K1502" t="s">
        <v>34</v>
      </c>
      <c r="L1502">
        <v>67</v>
      </c>
      <c r="M1502">
        <v>4.09</v>
      </c>
      <c r="N1502">
        <v>27.73</v>
      </c>
      <c r="O1502">
        <v>0.7</v>
      </c>
      <c r="P1502">
        <v>2</v>
      </c>
      <c r="Q1502">
        <v>0.8</v>
      </c>
      <c r="R1502">
        <v>854</v>
      </c>
      <c r="S1502">
        <v>1.67</v>
      </c>
      <c r="T1502">
        <v>0.59</v>
      </c>
      <c r="U1502" s="1">
        <v>45309</v>
      </c>
      <c r="V1502">
        <v>227.87</v>
      </c>
      <c r="W1502">
        <v>0.59</v>
      </c>
      <c r="X1502" t="str">
        <f>IF(WarehouseData[[#This Row],[stock_level]]&lt;=WarehouseData[[#This Row],[reorder_point]],"Low Stock","Sufficient Stock")</f>
        <v>Sufficient Stock</v>
      </c>
      <c r="Y1502">
        <f>WarehouseData[[#This Row],[daily_demand]]*WarehouseData[[#This Row],[lead_time_days]]</f>
        <v>79.800000000000011</v>
      </c>
      <c r="Z1502" t="str">
        <f>IF(WarehouseData[[#This Row],[stock_level]]&lt;=WarehouseData[[#This Row],[Demand During Lead Time]],"At Risk","Safe")</f>
        <v>Safe</v>
      </c>
      <c r="AA1502">
        <f>WarehouseData[[#This Row],[stock_level]]/WarehouseData[[#This Row],[daily_demand]]</f>
        <v>20.864661654135336</v>
      </c>
      <c r="AB1502">
        <f>WarehouseData[[#This Row],[stock_level]]*WarehouseData[[#This Row],[unit_price]]</f>
        <v>9234.09</v>
      </c>
      <c r="AC1502">
        <f>WarehouseData[[#This Row],[stock_level]]*WarehouseData[[#This Row],[holding_cost_per_unit_day]]*30</f>
        <v>6993</v>
      </c>
      <c r="AD1502" t="str">
        <f>IF(WarehouseData[[#This Row],[order_fulfillment_rate]]&gt;=0.9,"Strong",IF(WarehouseData[[#This Row],[order_fulfillment_rate]]&gt;=0.8,"Moderate","Needs Attention"))</f>
        <v>Moderate</v>
      </c>
      <c r="AE1502" t="str">
        <f>IF(WarehouseData[[#This Row],[picking_time_seconds]]&gt;120,"Slow",IF(WarehouseData[[#This Row],[picking_time_seconds]]&gt;=60,"Average","Fast"))</f>
        <v>Average</v>
      </c>
    </row>
    <row r="1503" spans="1:31" x14ac:dyDescent="0.25">
      <c r="A1503" t="s">
        <v>1641</v>
      </c>
      <c r="B1503" t="s">
        <v>48</v>
      </c>
      <c r="C1503">
        <v>228</v>
      </c>
      <c r="D1503">
        <v>30</v>
      </c>
      <c r="E1503">
        <v>11</v>
      </c>
      <c r="F1503">
        <v>3</v>
      </c>
      <c r="G1503">
        <v>48.79</v>
      </c>
      <c r="H1503">
        <v>2.12</v>
      </c>
      <c r="I1503">
        <v>0.21</v>
      </c>
      <c r="J1503" t="s">
        <v>120</v>
      </c>
      <c r="K1503" t="s">
        <v>38</v>
      </c>
      <c r="L1503">
        <v>139</v>
      </c>
      <c r="M1503">
        <v>3.6</v>
      </c>
      <c r="N1503">
        <v>76.84</v>
      </c>
      <c r="O1503">
        <v>0.8</v>
      </c>
      <c r="P1503">
        <v>2</v>
      </c>
      <c r="Q1503">
        <v>0.79</v>
      </c>
      <c r="R1503">
        <v>430</v>
      </c>
      <c r="S1503">
        <v>10.99</v>
      </c>
      <c r="T1503">
        <v>0.34</v>
      </c>
      <c r="U1503" s="1">
        <v>45549</v>
      </c>
      <c r="V1503">
        <v>35.25</v>
      </c>
      <c r="W1503">
        <v>0.65300000000000002</v>
      </c>
      <c r="X1503" t="str">
        <f>IF(WarehouseData[[#This Row],[stock_level]]&lt;=WarehouseData[[#This Row],[reorder_point]],"Low Stock","Sufficient Stock")</f>
        <v>Sufficient Stock</v>
      </c>
      <c r="Y1503">
        <f>WarehouseData[[#This Row],[daily_demand]]*WarehouseData[[#This Row],[lead_time_days]]</f>
        <v>146.37</v>
      </c>
      <c r="Z1503" t="str">
        <f>IF(WarehouseData[[#This Row],[stock_level]]&lt;=WarehouseData[[#This Row],[Demand During Lead Time]],"At Risk","Safe")</f>
        <v>Safe</v>
      </c>
      <c r="AA1503">
        <f>WarehouseData[[#This Row],[stock_level]]/WarehouseData[[#This Row],[daily_demand]]</f>
        <v>4.6730887476941998</v>
      </c>
      <c r="AB1503">
        <f>WarehouseData[[#This Row],[stock_level]]*WarehouseData[[#This Row],[unit_price]]</f>
        <v>17519.52</v>
      </c>
      <c r="AC1503">
        <f>WarehouseData[[#This Row],[stock_level]]*WarehouseData[[#This Row],[holding_cost_per_unit_day]]*30</f>
        <v>5472</v>
      </c>
      <c r="AD1503" t="str">
        <f>IF(WarehouseData[[#This Row],[order_fulfillment_rate]]&gt;=0.9,"Strong",IF(WarehouseData[[#This Row],[order_fulfillment_rate]]&gt;=0.8,"Moderate","Needs Attention"))</f>
        <v>Needs Attention</v>
      </c>
      <c r="AE1503" t="str">
        <f>IF(WarehouseData[[#This Row],[picking_time_seconds]]&gt;120,"Slow",IF(WarehouseData[[#This Row],[picking_time_seconds]]&gt;=60,"Average","Fast"))</f>
        <v>Slow</v>
      </c>
    </row>
    <row r="1504" spans="1:31" x14ac:dyDescent="0.25">
      <c r="A1504" t="s">
        <v>1642</v>
      </c>
      <c r="B1504" t="s">
        <v>32</v>
      </c>
      <c r="C1504">
        <v>374</v>
      </c>
      <c r="D1504">
        <v>17</v>
      </c>
      <c r="E1504">
        <v>4</v>
      </c>
      <c r="F1504">
        <v>6</v>
      </c>
      <c r="G1504">
        <v>35.520000000000003</v>
      </c>
      <c r="H1504">
        <v>3.5</v>
      </c>
      <c r="I1504">
        <v>0.52</v>
      </c>
      <c r="J1504" t="s">
        <v>33</v>
      </c>
      <c r="K1504" t="s">
        <v>46</v>
      </c>
      <c r="L1504">
        <v>97</v>
      </c>
      <c r="M1504">
        <v>4.87</v>
      </c>
      <c r="N1504">
        <v>35.79</v>
      </c>
      <c r="O1504">
        <v>1.04</v>
      </c>
      <c r="P1504">
        <v>9</v>
      </c>
      <c r="Q1504">
        <v>0.94</v>
      </c>
      <c r="R1504">
        <v>115</v>
      </c>
      <c r="S1504">
        <v>7.78</v>
      </c>
      <c r="T1504">
        <v>0.43</v>
      </c>
      <c r="U1504" s="1">
        <v>45584</v>
      </c>
      <c r="V1504">
        <v>280.81</v>
      </c>
      <c r="W1504">
        <v>0.49399999999999999</v>
      </c>
      <c r="X1504" t="str">
        <f>IF(WarehouseData[[#This Row],[stock_level]]&lt;=WarehouseData[[#This Row],[reorder_point]],"Low Stock","Sufficient Stock")</f>
        <v>Sufficient Stock</v>
      </c>
      <c r="Y1504">
        <f>WarehouseData[[#This Row],[daily_demand]]*WarehouseData[[#This Row],[lead_time_days]]</f>
        <v>213.12</v>
      </c>
      <c r="Z1504" t="str">
        <f>IF(WarehouseData[[#This Row],[stock_level]]&lt;=WarehouseData[[#This Row],[Demand During Lead Time]],"At Risk","Safe")</f>
        <v>Safe</v>
      </c>
      <c r="AA1504">
        <f>WarehouseData[[#This Row],[stock_level]]/WarehouseData[[#This Row],[daily_demand]]</f>
        <v>10.529279279279278</v>
      </c>
      <c r="AB1504">
        <f>WarehouseData[[#This Row],[stock_level]]*WarehouseData[[#This Row],[unit_price]]</f>
        <v>13385.46</v>
      </c>
      <c r="AC1504">
        <f>WarehouseData[[#This Row],[stock_level]]*WarehouseData[[#This Row],[holding_cost_per_unit_day]]*30</f>
        <v>11668.800000000001</v>
      </c>
      <c r="AD1504" t="str">
        <f>IF(WarehouseData[[#This Row],[order_fulfillment_rate]]&gt;=0.9,"Strong",IF(WarehouseData[[#This Row],[order_fulfillment_rate]]&gt;=0.8,"Moderate","Needs Attention"))</f>
        <v>Strong</v>
      </c>
      <c r="AE1504" t="str">
        <f>IF(WarehouseData[[#This Row],[picking_time_seconds]]&gt;120,"Slow",IF(WarehouseData[[#This Row],[picking_time_seconds]]&gt;=60,"Average","Fast"))</f>
        <v>Average</v>
      </c>
    </row>
    <row r="1505" spans="1:31" x14ac:dyDescent="0.25">
      <c r="A1505" t="s">
        <v>1643</v>
      </c>
      <c r="B1505" t="s">
        <v>40</v>
      </c>
      <c r="C1505">
        <v>230</v>
      </c>
      <c r="D1505">
        <v>74</v>
      </c>
      <c r="E1505">
        <v>9</v>
      </c>
      <c r="F1505">
        <v>3</v>
      </c>
      <c r="G1505">
        <v>35.9</v>
      </c>
      <c r="H1505">
        <v>8.94</v>
      </c>
      <c r="I1505">
        <v>0.25</v>
      </c>
      <c r="J1505" t="s">
        <v>178</v>
      </c>
      <c r="K1505" t="s">
        <v>34</v>
      </c>
      <c r="L1505">
        <v>45</v>
      </c>
      <c r="M1505">
        <v>1.27</v>
      </c>
      <c r="N1505">
        <v>117.49</v>
      </c>
      <c r="O1505">
        <v>1.38</v>
      </c>
      <c r="P1505">
        <v>0</v>
      </c>
      <c r="Q1505">
        <v>0.75</v>
      </c>
      <c r="R1505">
        <v>628</v>
      </c>
      <c r="S1505">
        <v>13.34</v>
      </c>
      <c r="T1505">
        <v>1</v>
      </c>
      <c r="U1505" s="1">
        <v>45556</v>
      </c>
      <c r="V1505">
        <v>79.260000000000005</v>
      </c>
      <c r="W1505">
        <v>0.79</v>
      </c>
      <c r="X1505" t="str">
        <f>IF(WarehouseData[[#This Row],[stock_level]]&lt;=WarehouseData[[#This Row],[reorder_point]],"Low Stock","Sufficient Stock")</f>
        <v>Sufficient Stock</v>
      </c>
      <c r="Y1505">
        <f>WarehouseData[[#This Row],[daily_demand]]*WarehouseData[[#This Row],[lead_time_days]]</f>
        <v>107.69999999999999</v>
      </c>
      <c r="Z1505" t="str">
        <f>IF(WarehouseData[[#This Row],[stock_level]]&lt;=WarehouseData[[#This Row],[Demand During Lead Time]],"At Risk","Safe")</f>
        <v>Safe</v>
      </c>
      <c r="AA1505">
        <f>WarehouseData[[#This Row],[stock_level]]/WarehouseData[[#This Row],[daily_demand]]</f>
        <v>6.4066852367688023</v>
      </c>
      <c r="AB1505">
        <f>WarehouseData[[#This Row],[stock_level]]*WarehouseData[[#This Row],[unit_price]]</f>
        <v>27022.699999999997</v>
      </c>
      <c r="AC1505">
        <f>WarehouseData[[#This Row],[stock_level]]*WarehouseData[[#This Row],[holding_cost_per_unit_day]]*30</f>
        <v>9522</v>
      </c>
      <c r="AD1505" t="str">
        <f>IF(WarehouseData[[#This Row],[order_fulfillment_rate]]&gt;=0.9,"Strong",IF(WarehouseData[[#This Row],[order_fulfillment_rate]]&gt;=0.8,"Moderate","Needs Attention"))</f>
        <v>Needs Attention</v>
      </c>
      <c r="AE1505" t="str">
        <f>IF(WarehouseData[[#This Row],[picking_time_seconds]]&gt;120,"Slow",IF(WarehouseData[[#This Row],[picking_time_seconds]]&gt;=60,"Average","Fast"))</f>
        <v>Fast</v>
      </c>
    </row>
    <row r="1506" spans="1:31" x14ac:dyDescent="0.25">
      <c r="A1506" t="s">
        <v>1644</v>
      </c>
      <c r="B1506" t="s">
        <v>73</v>
      </c>
      <c r="C1506">
        <v>211</v>
      </c>
      <c r="D1506">
        <v>87</v>
      </c>
      <c r="E1506">
        <v>7</v>
      </c>
      <c r="F1506">
        <v>5</v>
      </c>
      <c r="G1506">
        <v>5.64</v>
      </c>
      <c r="H1506">
        <v>5.82</v>
      </c>
      <c r="I1506">
        <v>0.76</v>
      </c>
      <c r="J1506" t="s">
        <v>57</v>
      </c>
      <c r="K1506" t="s">
        <v>52</v>
      </c>
      <c r="L1506">
        <v>34</v>
      </c>
      <c r="M1506">
        <v>3.98</v>
      </c>
      <c r="N1506">
        <v>90.58</v>
      </c>
      <c r="O1506">
        <v>1.21</v>
      </c>
      <c r="P1506">
        <v>6</v>
      </c>
      <c r="Q1506">
        <v>0.88</v>
      </c>
      <c r="R1506">
        <v>319</v>
      </c>
      <c r="S1506">
        <v>10.130000000000001</v>
      </c>
      <c r="T1506">
        <v>0.67</v>
      </c>
      <c r="U1506" s="1">
        <v>45584</v>
      </c>
      <c r="V1506">
        <v>91.38</v>
      </c>
      <c r="W1506">
        <v>0.60399999999999998</v>
      </c>
      <c r="X1506" t="str">
        <f>IF(WarehouseData[[#This Row],[stock_level]]&lt;=WarehouseData[[#This Row],[reorder_point]],"Low Stock","Sufficient Stock")</f>
        <v>Sufficient Stock</v>
      </c>
      <c r="Y1506">
        <f>WarehouseData[[#This Row],[daily_demand]]*WarehouseData[[#This Row],[lead_time_days]]</f>
        <v>28.2</v>
      </c>
      <c r="Z1506" t="str">
        <f>IF(WarehouseData[[#This Row],[stock_level]]&lt;=WarehouseData[[#This Row],[Demand During Lead Time]],"At Risk","Safe")</f>
        <v>Safe</v>
      </c>
      <c r="AA1506">
        <f>WarehouseData[[#This Row],[stock_level]]/WarehouseData[[#This Row],[daily_demand]]</f>
        <v>37.411347517730498</v>
      </c>
      <c r="AB1506">
        <f>WarehouseData[[#This Row],[stock_level]]*WarehouseData[[#This Row],[unit_price]]</f>
        <v>19112.38</v>
      </c>
      <c r="AC1506">
        <f>WarehouseData[[#This Row],[stock_level]]*WarehouseData[[#This Row],[holding_cost_per_unit_day]]*30</f>
        <v>7659.3</v>
      </c>
      <c r="AD1506" t="str">
        <f>IF(WarehouseData[[#This Row],[order_fulfillment_rate]]&gt;=0.9,"Strong",IF(WarehouseData[[#This Row],[order_fulfillment_rate]]&gt;=0.8,"Moderate","Needs Attention"))</f>
        <v>Moderate</v>
      </c>
      <c r="AE1506" t="str">
        <f>IF(WarehouseData[[#This Row],[picking_time_seconds]]&gt;120,"Slow",IF(WarehouseData[[#This Row],[picking_time_seconds]]&gt;=60,"Average","Fast"))</f>
        <v>Fast</v>
      </c>
    </row>
    <row r="1507" spans="1:31" x14ac:dyDescent="0.25">
      <c r="A1507" t="s">
        <v>1645</v>
      </c>
      <c r="B1507" t="s">
        <v>32</v>
      </c>
      <c r="C1507">
        <v>63</v>
      </c>
      <c r="D1507">
        <v>94</v>
      </c>
      <c r="E1507">
        <v>5</v>
      </c>
      <c r="F1507">
        <v>8</v>
      </c>
      <c r="G1507">
        <v>36.869999999999997</v>
      </c>
      <c r="H1507">
        <v>6.04</v>
      </c>
      <c r="I1507">
        <v>0.98</v>
      </c>
      <c r="J1507" t="s">
        <v>59</v>
      </c>
      <c r="K1507" t="s">
        <v>34</v>
      </c>
      <c r="L1507">
        <v>43</v>
      </c>
      <c r="M1507">
        <v>2.33</v>
      </c>
      <c r="N1507">
        <v>97.86</v>
      </c>
      <c r="O1507">
        <v>1.87</v>
      </c>
      <c r="P1507">
        <v>9</v>
      </c>
      <c r="Q1507">
        <v>0.72</v>
      </c>
      <c r="R1507">
        <v>96</v>
      </c>
      <c r="S1507">
        <v>10.7</v>
      </c>
      <c r="T1507">
        <v>0.52</v>
      </c>
      <c r="U1507" s="1">
        <v>45638</v>
      </c>
      <c r="V1507">
        <v>122.06</v>
      </c>
      <c r="W1507">
        <v>0.42399999999999999</v>
      </c>
      <c r="X1507" t="str">
        <f>IF(WarehouseData[[#This Row],[stock_level]]&lt;=WarehouseData[[#This Row],[reorder_point]],"Low Stock","Sufficient Stock")</f>
        <v>Low Stock</v>
      </c>
      <c r="Y1507">
        <f>WarehouseData[[#This Row],[daily_demand]]*WarehouseData[[#This Row],[lead_time_days]]</f>
        <v>294.95999999999998</v>
      </c>
      <c r="Z1507" t="str">
        <f>IF(WarehouseData[[#This Row],[stock_level]]&lt;=WarehouseData[[#This Row],[Demand During Lead Time]],"At Risk","Safe")</f>
        <v>At Risk</v>
      </c>
      <c r="AA1507">
        <f>WarehouseData[[#This Row],[stock_level]]/WarehouseData[[#This Row],[daily_demand]]</f>
        <v>1.7087062652563061</v>
      </c>
      <c r="AB1507">
        <f>WarehouseData[[#This Row],[stock_level]]*WarehouseData[[#This Row],[unit_price]]</f>
        <v>6165.18</v>
      </c>
      <c r="AC1507">
        <f>WarehouseData[[#This Row],[stock_level]]*WarehouseData[[#This Row],[holding_cost_per_unit_day]]*30</f>
        <v>3534.3</v>
      </c>
      <c r="AD1507" t="str">
        <f>IF(WarehouseData[[#This Row],[order_fulfillment_rate]]&gt;=0.9,"Strong",IF(WarehouseData[[#This Row],[order_fulfillment_rate]]&gt;=0.8,"Moderate","Needs Attention"))</f>
        <v>Needs Attention</v>
      </c>
      <c r="AE1507" t="str">
        <f>IF(WarehouseData[[#This Row],[picking_time_seconds]]&gt;120,"Slow",IF(WarehouseData[[#This Row],[picking_time_seconds]]&gt;=60,"Average","Fast"))</f>
        <v>Fast</v>
      </c>
    </row>
    <row r="1508" spans="1:31" x14ac:dyDescent="0.25">
      <c r="A1508" t="s">
        <v>1646</v>
      </c>
      <c r="B1508" t="s">
        <v>73</v>
      </c>
      <c r="C1508">
        <v>48</v>
      </c>
      <c r="D1508">
        <v>39</v>
      </c>
      <c r="E1508">
        <v>11</v>
      </c>
      <c r="F1508">
        <v>4</v>
      </c>
      <c r="G1508">
        <v>37.229999999999997</v>
      </c>
      <c r="H1508">
        <v>5.04</v>
      </c>
      <c r="I1508">
        <v>0.52</v>
      </c>
      <c r="J1508" t="s">
        <v>77</v>
      </c>
      <c r="K1508" t="s">
        <v>52</v>
      </c>
      <c r="L1508">
        <v>149</v>
      </c>
      <c r="M1508">
        <v>2.12</v>
      </c>
      <c r="N1508">
        <v>113.14</v>
      </c>
      <c r="O1508">
        <v>1.29</v>
      </c>
      <c r="P1508">
        <v>6</v>
      </c>
      <c r="Q1508">
        <v>0.86</v>
      </c>
      <c r="R1508">
        <v>965</v>
      </c>
      <c r="S1508">
        <v>11.74</v>
      </c>
      <c r="T1508">
        <v>0.9</v>
      </c>
      <c r="U1508" s="1">
        <v>45609</v>
      </c>
      <c r="V1508">
        <v>194</v>
      </c>
      <c r="W1508">
        <v>0.66</v>
      </c>
      <c r="X1508" t="str">
        <f>IF(WarehouseData[[#This Row],[stock_level]]&lt;=WarehouseData[[#This Row],[reorder_point]],"Low Stock","Sufficient Stock")</f>
        <v>Sufficient Stock</v>
      </c>
      <c r="Y1508">
        <f>WarehouseData[[#This Row],[daily_demand]]*WarehouseData[[#This Row],[lead_time_days]]</f>
        <v>148.91999999999999</v>
      </c>
      <c r="Z1508" t="str">
        <f>IF(WarehouseData[[#This Row],[stock_level]]&lt;=WarehouseData[[#This Row],[Demand During Lead Time]],"At Risk","Safe")</f>
        <v>At Risk</v>
      </c>
      <c r="AA1508">
        <f>WarehouseData[[#This Row],[stock_level]]/WarehouseData[[#This Row],[daily_demand]]</f>
        <v>1.2892828364222402</v>
      </c>
      <c r="AB1508">
        <f>WarehouseData[[#This Row],[stock_level]]*WarehouseData[[#This Row],[unit_price]]</f>
        <v>5430.72</v>
      </c>
      <c r="AC1508">
        <f>WarehouseData[[#This Row],[stock_level]]*WarehouseData[[#This Row],[holding_cost_per_unit_day]]*30</f>
        <v>1857.6000000000001</v>
      </c>
      <c r="AD1508" t="str">
        <f>IF(WarehouseData[[#This Row],[order_fulfillment_rate]]&gt;=0.9,"Strong",IF(WarehouseData[[#This Row],[order_fulfillment_rate]]&gt;=0.8,"Moderate","Needs Attention"))</f>
        <v>Moderate</v>
      </c>
      <c r="AE1508" t="str">
        <f>IF(WarehouseData[[#This Row],[picking_time_seconds]]&gt;120,"Slow",IF(WarehouseData[[#This Row],[picking_time_seconds]]&gt;=60,"Average","Fast"))</f>
        <v>Slow</v>
      </c>
    </row>
    <row r="1509" spans="1:31" x14ac:dyDescent="0.25">
      <c r="A1509" t="s">
        <v>1647</v>
      </c>
      <c r="B1509" t="s">
        <v>48</v>
      </c>
      <c r="C1509">
        <v>78</v>
      </c>
      <c r="D1509">
        <v>94</v>
      </c>
      <c r="E1509">
        <v>8</v>
      </c>
      <c r="F1509">
        <v>2</v>
      </c>
      <c r="G1509">
        <v>33.33</v>
      </c>
      <c r="H1509">
        <v>5.72</v>
      </c>
      <c r="I1509">
        <v>0.67</v>
      </c>
      <c r="J1509" t="s">
        <v>357</v>
      </c>
      <c r="K1509" t="s">
        <v>38</v>
      </c>
      <c r="L1509">
        <v>28</v>
      </c>
      <c r="M1509">
        <v>2.84</v>
      </c>
      <c r="N1509">
        <v>196.59</v>
      </c>
      <c r="O1509">
        <v>1.83</v>
      </c>
      <c r="P1509">
        <v>8</v>
      </c>
      <c r="Q1509">
        <v>0.72</v>
      </c>
      <c r="R1509">
        <v>414</v>
      </c>
      <c r="S1509">
        <v>6.88</v>
      </c>
      <c r="T1509">
        <v>0.57999999999999996</v>
      </c>
      <c r="U1509" s="1">
        <v>45367</v>
      </c>
      <c r="V1509">
        <v>161.18</v>
      </c>
      <c r="W1509">
        <v>0.40899999999999997</v>
      </c>
      <c r="X1509" t="str">
        <f>IF(WarehouseData[[#This Row],[stock_level]]&lt;=WarehouseData[[#This Row],[reorder_point]],"Low Stock","Sufficient Stock")</f>
        <v>Low Stock</v>
      </c>
      <c r="Y1509">
        <f>WarehouseData[[#This Row],[daily_demand]]*WarehouseData[[#This Row],[lead_time_days]]</f>
        <v>66.66</v>
      </c>
      <c r="Z1509" t="str">
        <f>IF(WarehouseData[[#This Row],[stock_level]]&lt;=WarehouseData[[#This Row],[Demand During Lead Time]],"At Risk","Safe")</f>
        <v>Safe</v>
      </c>
      <c r="AA1509">
        <f>WarehouseData[[#This Row],[stock_level]]/WarehouseData[[#This Row],[daily_demand]]</f>
        <v>2.3402340234023402</v>
      </c>
      <c r="AB1509">
        <f>WarehouseData[[#This Row],[stock_level]]*WarehouseData[[#This Row],[unit_price]]</f>
        <v>15334.02</v>
      </c>
      <c r="AC1509">
        <f>WarehouseData[[#This Row],[stock_level]]*WarehouseData[[#This Row],[holding_cost_per_unit_day]]*30</f>
        <v>4282.2000000000007</v>
      </c>
      <c r="AD1509" t="str">
        <f>IF(WarehouseData[[#This Row],[order_fulfillment_rate]]&gt;=0.9,"Strong",IF(WarehouseData[[#This Row],[order_fulfillment_rate]]&gt;=0.8,"Moderate","Needs Attention"))</f>
        <v>Needs Attention</v>
      </c>
      <c r="AE1509" t="str">
        <f>IF(WarehouseData[[#This Row],[picking_time_seconds]]&gt;120,"Slow",IF(WarehouseData[[#This Row],[picking_time_seconds]]&gt;=60,"Average","Fast"))</f>
        <v>Fast</v>
      </c>
    </row>
    <row r="1510" spans="1:31" x14ac:dyDescent="0.25">
      <c r="A1510" t="s">
        <v>1648</v>
      </c>
      <c r="B1510" t="s">
        <v>73</v>
      </c>
      <c r="C1510">
        <v>90</v>
      </c>
      <c r="D1510">
        <v>58</v>
      </c>
      <c r="E1510">
        <v>13</v>
      </c>
      <c r="F1510">
        <v>2</v>
      </c>
      <c r="G1510">
        <v>12.19</v>
      </c>
      <c r="H1510">
        <v>2.38</v>
      </c>
      <c r="I1510">
        <v>0.49</v>
      </c>
      <c r="J1510" t="s">
        <v>41</v>
      </c>
      <c r="K1510" t="s">
        <v>52</v>
      </c>
      <c r="L1510">
        <v>123</v>
      </c>
      <c r="M1510">
        <v>0.65</v>
      </c>
      <c r="N1510">
        <v>160.6</v>
      </c>
      <c r="O1510">
        <v>0.11</v>
      </c>
      <c r="P1510">
        <v>4</v>
      </c>
      <c r="Q1510">
        <v>0.75</v>
      </c>
      <c r="R1510">
        <v>930</v>
      </c>
      <c r="S1510">
        <v>12.1</v>
      </c>
      <c r="T1510">
        <v>0.45</v>
      </c>
      <c r="U1510" s="1">
        <v>45353</v>
      </c>
      <c r="V1510">
        <v>279.3</v>
      </c>
      <c r="W1510">
        <v>0.71</v>
      </c>
      <c r="X1510" t="str">
        <f>IF(WarehouseData[[#This Row],[stock_level]]&lt;=WarehouseData[[#This Row],[reorder_point]],"Low Stock","Sufficient Stock")</f>
        <v>Sufficient Stock</v>
      </c>
      <c r="Y1510">
        <f>WarehouseData[[#This Row],[daily_demand]]*WarehouseData[[#This Row],[lead_time_days]]</f>
        <v>24.38</v>
      </c>
      <c r="Z1510" t="str">
        <f>IF(WarehouseData[[#This Row],[stock_level]]&lt;=WarehouseData[[#This Row],[Demand During Lead Time]],"At Risk","Safe")</f>
        <v>Safe</v>
      </c>
      <c r="AA1510">
        <f>WarehouseData[[#This Row],[stock_level]]/WarehouseData[[#This Row],[daily_demand]]</f>
        <v>7.3831009023789997</v>
      </c>
      <c r="AB1510">
        <f>WarehouseData[[#This Row],[stock_level]]*WarehouseData[[#This Row],[unit_price]]</f>
        <v>14454</v>
      </c>
      <c r="AC1510">
        <f>WarehouseData[[#This Row],[stock_level]]*WarehouseData[[#This Row],[holding_cost_per_unit_day]]*30</f>
        <v>297</v>
      </c>
      <c r="AD1510" t="str">
        <f>IF(WarehouseData[[#This Row],[order_fulfillment_rate]]&gt;=0.9,"Strong",IF(WarehouseData[[#This Row],[order_fulfillment_rate]]&gt;=0.8,"Moderate","Needs Attention"))</f>
        <v>Needs Attention</v>
      </c>
      <c r="AE1510" t="str">
        <f>IF(WarehouseData[[#This Row],[picking_time_seconds]]&gt;120,"Slow",IF(WarehouseData[[#This Row],[picking_time_seconds]]&gt;=60,"Average","Fast"))</f>
        <v>Slow</v>
      </c>
    </row>
    <row r="1511" spans="1:31" x14ac:dyDescent="0.25">
      <c r="A1511" t="s">
        <v>1649</v>
      </c>
      <c r="B1511" t="s">
        <v>48</v>
      </c>
      <c r="C1511">
        <v>111</v>
      </c>
      <c r="D1511">
        <v>18</v>
      </c>
      <c r="E1511">
        <v>3</v>
      </c>
      <c r="F1511">
        <v>4</v>
      </c>
      <c r="G1511">
        <v>21.73</v>
      </c>
      <c r="H1511">
        <v>5.7</v>
      </c>
      <c r="I1511">
        <v>0.22</v>
      </c>
      <c r="J1511" t="s">
        <v>150</v>
      </c>
      <c r="K1511" t="s">
        <v>52</v>
      </c>
      <c r="L1511">
        <v>115</v>
      </c>
      <c r="M1511">
        <v>1.91</v>
      </c>
      <c r="N1511">
        <v>129.6</v>
      </c>
      <c r="O1511">
        <v>1.79</v>
      </c>
      <c r="P1511">
        <v>3</v>
      </c>
      <c r="Q1511">
        <v>0.73</v>
      </c>
      <c r="R1511">
        <v>229</v>
      </c>
      <c r="S1511">
        <v>1.71</v>
      </c>
      <c r="T1511">
        <v>0.33</v>
      </c>
      <c r="U1511" s="1">
        <v>45521</v>
      </c>
      <c r="V1511">
        <v>173.74</v>
      </c>
      <c r="W1511">
        <v>0.39600000000000002</v>
      </c>
      <c r="X1511" t="str">
        <f>IF(WarehouseData[[#This Row],[stock_level]]&lt;=WarehouseData[[#This Row],[reorder_point]],"Low Stock","Sufficient Stock")</f>
        <v>Sufficient Stock</v>
      </c>
      <c r="Y1511">
        <f>WarehouseData[[#This Row],[daily_demand]]*WarehouseData[[#This Row],[lead_time_days]]</f>
        <v>86.92</v>
      </c>
      <c r="Z1511" t="str">
        <f>IF(WarehouseData[[#This Row],[stock_level]]&lt;=WarehouseData[[#This Row],[Demand During Lead Time]],"At Risk","Safe")</f>
        <v>Safe</v>
      </c>
      <c r="AA1511">
        <f>WarehouseData[[#This Row],[stock_level]]/WarehouseData[[#This Row],[daily_demand]]</f>
        <v>5.108145421076852</v>
      </c>
      <c r="AB1511">
        <f>WarehouseData[[#This Row],[stock_level]]*WarehouseData[[#This Row],[unit_price]]</f>
        <v>14385.599999999999</v>
      </c>
      <c r="AC1511">
        <f>WarehouseData[[#This Row],[stock_level]]*WarehouseData[[#This Row],[holding_cost_per_unit_day]]*30</f>
        <v>5960.7</v>
      </c>
      <c r="AD1511" t="str">
        <f>IF(WarehouseData[[#This Row],[order_fulfillment_rate]]&gt;=0.9,"Strong",IF(WarehouseData[[#This Row],[order_fulfillment_rate]]&gt;=0.8,"Moderate","Needs Attention"))</f>
        <v>Needs Attention</v>
      </c>
      <c r="AE1511" t="str">
        <f>IF(WarehouseData[[#This Row],[picking_time_seconds]]&gt;120,"Slow",IF(WarehouseData[[#This Row],[picking_time_seconds]]&gt;=60,"Average","Fast"))</f>
        <v>Average</v>
      </c>
    </row>
    <row r="1512" spans="1:31" x14ac:dyDescent="0.25">
      <c r="A1512" t="s">
        <v>1650</v>
      </c>
      <c r="B1512" t="s">
        <v>40</v>
      </c>
      <c r="C1512">
        <v>284</v>
      </c>
      <c r="D1512">
        <v>26</v>
      </c>
      <c r="E1512">
        <v>7</v>
      </c>
      <c r="F1512">
        <v>7</v>
      </c>
      <c r="G1512">
        <v>42.47</v>
      </c>
      <c r="H1512">
        <v>9.9700000000000006</v>
      </c>
      <c r="I1512">
        <v>0.97</v>
      </c>
      <c r="J1512" t="s">
        <v>84</v>
      </c>
      <c r="K1512" t="s">
        <v>52</v>
      </c>
      <c r="L1512">
        <v>46</v>
      </c>
      <c r="M1512">
        <v>1.25</v>
      </c>
      <c r="N1512">
        <v>79.099999999999994</v>
      </c>
      <c r="O1512">
        <v>1.47</v>
      </c>
      <c r="P1512">
        <v>4</v>
      </c>
      <c r="Q1512">
        <v>0.8</v>
      </c>
      <c r="R1512">
        <v>117</v>
      </c>
      <c r="S1512">
        <v>11.72</v>
      </c>
      <c r="T1512">
        <v>0.8</v>
      </c>
      <c r="U1512" s="1">
        <v>45380</v>
      </c>
      <c r="V1512">
        <v>258.54000000000002</v>
      </c>
      <c r="W1512">
        <v>0.64900000000000002</v>
      </c>
      <c r="X1512" t="str">
        <f>IF(WarehouseData[[#This Row],[stock_level]]&lt;=WarehouseData[[#This Row],[reorder_point]],"Low Stock","Sufficient Stock")</f>
        <v>Sufficient Stock</v>
      </c>
      <c r="Y1512">
        <f>WarehouseData[[#This Row],[daily_demand]]*WarehouseData[[#This Row],[lead_time_days]]</f>
        <v>297.28999999999996</v>
      </c>
      <c r="Z1512" t="str">
        <f>IF(WarehouseData[[#This Row],[stock_level]]&lt;=WarehouseData[[#This Row],[Demand During Lead Time]],"At Risk","Safe")</f>
        <v>At Risk</v>
      </c>
      <c r="AA1512">
        <f>WarehouseData[[#This Row],[stock_level]]/WarehouseData[[#This Row],[daily_demand]]</f>
        <v>6.6870732281610552</v>
      </c>
      <c r="AB1512">
        <f>WarehouseData[[#This Row],[stock_level]]*WarehouseData[[#This Row],[unit_price]]</f>
        <v>22464.399999999998</v>
      </c>
      <c r="AC1512">
        <f>WarehouseData[[#This Row],[stock_level]]*WarehouseData[[#This Row],[holding_cost_per_unit_day]]*30</f>
        <v>12524.400000000001</v>
      </c>
      <c r="AD1512" t="str">
        <f>IF(WarehouseData[[#This Row],[order_fulfillment_rate]]&gt;=0.9,"Strong",IF(WarehouseData[[#This Row],[order_fulfillment_rate]]&gt;=0.8,"Moderate","Needs Attention"))</f>
        <v>Moderate</v>
      </c>
      <c r="AE1512" t="str">
        <f>IF(WarehouseData[[#This Row],[picking_time_seconds]]&gt;120,"Slow",IF(WarehouseData[[#This Row],[picking_time_seconds]]&gt;=60,"Average","Fast"))</f>
        <v>Fast</v>
      </c>
    </row>
    <row r="1513" spans="1:31" x14ac:dyDescent="0.25">
      <c r="A1513" t="s">
        <v>1651</v>
      </c>
      <c r="B1513" t="s">
        <v>48</v>
      </c>
      <c r="C1513">
        <v>402</v>
      </c>
      <c r="D1513">
        <v>78</v>
      </c>
      <c r="E1513">
        <v>9</v>
      </c>
      <c r="F1513">
        <v>2</v>
      </c>
      <c r="G1513">
        <v>33.840000000000003</v>
      </c>
      <c r="H1513">
        <v>5.88</v>
      </c>
      <c r="I1513">
        <v>0.22</v>
      </c>
      <c r="J1513" t="s">
        <v>212</v>
      </c>
      <c r="K1513" t="s">
        <v>34</v>
      </c>
      <c r="L1513">
        <v>116</v>
      </c>
      <c r="M1513">
        <v>1.1200000000000001</v>
      </c>
      <c r="N1513">
        <v>15.14</v>
      </c>
      <c r="O1513">
        <v>0.43</v>
      </c>
      <c r="P1513">
        <v>7</v>
      </c>
      <c r="Q1513">
        <v>0.8</v>
      </c>
      <c r="R1513">
        <v>164</v>
      </c>
      <c r="S1513">
        <v>9.91</v>
      </c>
      <c r="T1513">
        <v>0.68</v>
      </c>
      <c r="U1513" s="1">
        <v>45377</v>
      </c>
      <c r="V1513">
        <v>32.68</v>
      </c>
      <c r="W1513">
        <v>0.64500000000000002</v>
      </c>
      <c r="X1513" t="str">
        <f>IF(WarehouseData[[#This Row],[stock_level]]&lt;=WarehouseData[[#This Row],[reorder_point]],"Low Stock","Sufficient Stock")</f>
        <v>Sufficient Stock</v>
      </c>
      <c r="Y1513">
        <f>WarehouseData[[#This Row],[daily_demand]]*WarehouseData[[#This Row],[lead_time_days]]</f>
        <v>67.680000000000007</v>
      </c>
      <c r="Z1513" t="str">
        <f>IF(WarehouseData[[#This Row],[stock_level]]&lt;=WarehouseData[[#This Row],[Demand During Lead Time]],"At Risk","Safe")</f>
        <v>Safe</v>
      </c>
      <c r="AA1513">
        <f>WarehouseData[[#This Row],[stock_level]]/WarehouseData[[#This Row],[daily_demand]]</f>
        <v>11.879432624113473</v>
      </c>
      <c r="AB1513">
        <f>WarehouseData[[#This Row],[stock_level]]*WarehouseData[[#This Row],[unit_price]]</f>
        <v>6086.2800000000007</v>
      </c>
      <c r="AC1513">
        <f>WarehouseData[[#This Row],[stock_level]]*WarehouseData[[#This Row],[holding_cost_per_unit_day]]*30</f>
        <v>5185.7999999999993</v>
      </c>
      <c r="AD1513" t="str">
        <f>IF(WarehouseData[[#This Row],[order_fulfillment_rate]]&gt;=0.9,"Strong",IF(WarehouseData[[#This Row],[order_fulfillment_rate]]&gt;=0.8,"Moderate","Needs Attention"))</f>
        <v>Moderate</v>
      </c>
      <c r="AE1513" t="str">
        <f>IF(WarehouseData[[#This Row],[picking_time_seconds]]&gt;120,"Slow",IF(WarehouseData[[#This Row],[picking_time_seconds]]&gt;=60,"Average","Fast"))</f>
        <v>Average</v>
      </c>
    </row>
    <row r="1514" spans="1:31" x14ac:dyDescent="0.25">
      <c r="A1514" t="s">
        <v>1652</v>
      </c>
      <c r="B1514" t="s">
        <v>48</v>
      </c>
      <c r="C1514">
        <v>239</v>
      </c>
      <c r="D1514">
        <v>67</v>
      </c>
      <c r="E1514">
        <v>6</v>
      </c>
      <c r="F1514">
        <v>9</v>
      </c>
      <c r="G1514">
        <v>36.909999999999997</v>
      </c>
      <c r="H1514">
        <v>0.92</v>
      </c>
      <c r="I1514">
        <v>0.2</v>
      </c>
      <c r="J1514" t="s">
        <v>565</v>
      </c>
      <c r="K1514" t="s">
        <v>46</v>
      </c>
      <c r="L1514">
        <v>138</v>
      </c>
      <c r="M1514">
        <v>2.02</v>
      </c>
      <c r="N1514">
        <v>32.14</v>
      </c>
      <c r="O1514">
        <v>0.6</v>
      </c>
      <c r="P1514">
        <v>7</v>
      </c>
      <c r="Q1514">
        <v>0.95</v>
      </c>
      <c r="R1514">
        <v>75</v>
      </c>
      <c r="S1514">
        <v>8.93</v>
      </c>
      <c r="T1514">
        <v>0.27</v>
      </c>
      <c r="U1514" s="1">
        <v>45400</v>
      </c>
      <c r="V1514">
        <v>258.20999999999998</v>
      </c>
      <c r="W1514">
        <v>0.56299999999999994</v>
      </c>
      <c r="X1514" t="str">
        <f>IF(WarehouseData[[#This Row],[stock_level]]&lt;=WarehouseData[[#This Row],[reorder_point]],"Low Stock","Sufficient Stock")</f>
        <v>Sufficient Stock</v>
      </c>
      <c r="Y1514">
        <f>WarehouseData[[#This Row],[daily_demand]]*WarehouseData[[#This Row],[lead_time_days]]</f>
        <v>332.18999999999994</v>
      </c>
      <c r="Z1514" t="str">
        <f>IF(WarehouseData[[#This Row],[stock_level]]&lt;=WarehouseData[[#This Row],[Demand During Lead Time]],"At Risk","Safe")</f>
        <v>At Risk</v>
      </c>
      <c r="AA1514">
        <f>WarehouseData[[#This Row],[stock_level]]/WarehouseData[[#This Row],[daily_demand]]</f>
        <v>6.4752099701977786</v>
      </c>
      <c r="AB1514">
        <f>WarehouseData[[#This Row],[stock_level]]*WarehouseData[[#This Row],[unit_price]]</f>
        <v>7681.46</v>
      </c>
      <c r="AC1514">
        <f>WarehouseData[[#This Row],[stock_level]]*WarehouseData[[#This Row],[holding_cost_per_unit_day]]*30</f>
        <v>4302</v>
      </c>
      <c r="AD1514" t="str">
        <f>IF(WarehouseData[[#This Row],[order_fulfillment_rate]]&gt;=0.9,"Strong",IF(WarehouseData[[#This Row],[order_fulfillment_rate]]&gt;=0.8,"Moderate","Needs Attention"))</f>
        <v>Strong</v>
      </c>
      <c r="AE1514" t="str">
        <f>IF(WarehouseData[[#This Row],[picking_time_seconds]]&gt;120,"Slow",IF(WarehouseData[[#This Row],[picking_time_seconds]]&gt;=60,"Average","Fast"))</f>
        <v>Slow</v>
      </c>
    </row>
    <row r="1515" spans="1:31" x14ac:dyDescent="0.25">
      <c r="A1515" t="s">
        <v>1653</v>
      </c>
      <c r="B1515" t="s">
        <v>36</v>
      </c>
      <c r="C1515">
        <v>409</v>
      </c>
      <c r="D1515">
        <v>66</v>
      </c>
      <c r="E1515">
        <v>10</v>
      </c>
      <c r="F1515">
        <v>6</v>
      </c>
      <c r="G1515">
        <v>29.78</v>
      </c>
      <c r="H1515">
        <v>8.07</v>
      </c>
      <c r="I1515">
        <v>0.51</v>
      </c>
      <c r="J1515" t="s">
        <v>51</v>
      </c>
      <c r="K1515" t="s">
        <v>52</v>
      </c>
      <c r="L1515">
        <v>69</v>
      </c>
      <c r="M1515">
        <v>4.1100000000000003</v>
      </c>
      <c r="N1515">
        <v>148.86000000000001</v>
      </c>
      <c r="O1515">
        <v>1.1299999999999999</v>
      </c>
      <c r="P1515">
        <v>3</v>
      </c>
      <c r="Q1515">
        <v>0.77</v>
      </c>
      <c r="R1515">
        <v>608</v>
      </c>
      <c r="S1515">
        <v>5.45</v>
      </c>
      <c r="T1515">
        <v>0.67</v>
      </c>
      <c r="U1515" s="1">
        <v>45390</v>
      </c>
      <c r="V1515">
        <v>67.34</v>
      </c>
      <c r="W1515">
        <v>0.58799999999999997</v>
      </c>
      <c r="X1515" t="str">
        <f>IF(WarehouseData[[#This Row],[stock_level]]&lt;=WarehouseData[[#This Row],[reorder_point]],"Low Stock","Sufficient Stock")</f>
        <v>Sufficient Stock</v>
      </c>
      <c r="Y1515">
        <f>WarehouseData[[#This Row],[daily_demand]]*WarehouseData[[#This Row],[lead_time_days]]</f>
        <v>178.68</v>
      </c>
      <c r="Z1515" t="str">
        <f>IF(WarehouseData[[#This Row],[stock_level]]&lt;=WarehouseData[[#This Row],[Demand During Lead Time]],"At Risk","Safe")</f>
        <v>Safe</v>
      </c>
      <c r="AA1515">
        <f>WarehouseData[[#This Row],[stock_level]]/WarehouseData[[#This Row],[daily_demand]]</f>
        <v>13.734049697783746</v>
      </c>
      <c r="AB1515">
        <f>WarehouseData[[#This Row],[stock_level]]*WarehouseData[[#This Row],[unit_price]]</f>
        <v>60883.740000000005</v>
      </c>
      <c r="AC1515">
        <f>WarehouseData[[#This Row],[stock_level]]*WarehouseData[[#This Row],[holding_cost_per_unit_day]]*30</f>
        <v>13865.099999999999</v>
      </c>
      <c r="AD1515" t="str">
        <f>IF(WarehouseData[[#This Row],[order_fulfillment_rate]]&gt;=0.9,"Strong",IF(WarehouseData[[#This Row],[order_fulfillment_rate]]&gt;=0.8,"Moderate","Needs Attention"))</f>
        <v>Needs Attention</v>
      </c>
      <c r="AE1515" t="str">
        <f>IF(WarehouseData[[#This Row],[picking_time_seconds]]&gt;120,"Slow",IF(WarehouseData[[#This Row],[picking_time_seconds]]&gt;=60,"Average","Fast"))</f>
        <v>Average</v>
      </c>
    </row>
    <row r="1516" spans="1:31" x14ac:dyDescent="0.25">
      <c r="A1516" t="s">
        <v>1654</v>
      </c>
      <c r="B1516" t="s">
        <v>32</v>
      </c>
      <c r="C1516">
        <v>432</v>
      </c>
      <c r="D1516">
        <v>71</v>
      </c>
      <c r="E1516">
        <v>12</v>
      </c>
      <c r="F1516">
        <v>7</v>
      </c>
      <c r="G1516">
        <v>23.03</v>
      </c>
      <c r="H1516">
        <v>4.2699999999999996</v>
      </c>
      <c r="I1516">
        <v>0.69</v>
      </c>
      <c r="J1516" t="s">
        <v>190</v>
      </c>
      <c r="K1516" t="s">
        <v>34</v>
      </c>
      <c r="L1516">
        <v>76</v>
      </c>
      <c r="M1516">
        <v>1.4</v>
      </c>
      <c r="N1516">
        <v>80.150000000000006</v>
      </c>
      <c r="O1516">
        <v>0.34</v>
      </c>
      <c r="P1516">
        <v>7</v>
      </c>
      <c r="Q1516">
        <v>0.73</v>
      </c>
      <c r="R1516">
        <v>256</v>
      </c>
      <c r="S1516">
        <v>2.6</v>
      </c>
      <c r="T1516">
        <v>0.33</v>
      </c>
      <c r="U1516" s="1">
        <v>45356</v>
      </c>
      <c r="V1516">
        <v>115.14</v>
      </c>
      <c r="W1516">
        <v>0.47299999999999998</v>
      </c>
      <c r="X1516" t="str">
        <f>IF(WarehouseData[[#This Row],[stock_level]]&lt;=WarehouseData[[#This Row],[reorder_point]],"Low Stock","Sufficient Stock")</f>
        <v>Sufficient Stock</v>
      </c>
      <c r="Y1516">
        <f>WarehouseData[[#This Row],[daily_demand]]*WarehouseData[[#This Row],[lead_time_days]]</f>
        <v>161.21</v>
      </c>
      <c r="Z1516" t="str">
        <f>IF(WarehouseData[[#This Row],[stock_level]]&lt;=WarehouseData[[#This Row],[Demand During Lead Time]],"At Risk","Safe")</f>
        <v>Safe</v>
      </c>
      <c r="AA1516">
        <f>WarehouseData[[#This Row],[stock_level]]/WarehouseData[[#This Row],[daily_demand]]</f>
        <v>18.758141554494138</v>
      </c>
      <c r="AB1516">
        <f>WarehouseData[[#This Row],[stock_level]]*WarehouseData[[#This Row],[unit_price]]</f>
        <v>34624.800000000003</v>
      </c>
      <c r="AC1516">
        <f>WarehouseData[[#This Row],[stock_level]]*WarehouseData[[#This Row],[holding_cost_per_unit_day]]*30</f>
        <v>4406.4000000000005</v>
      </c>
      <c r="AD1516" t="str">
        <f>IF(WarehouseData[[#This Row],[order_fulfillment_rate]]&gt;=0.9,"Strong",IF(WarehouseData[[#This Row],[order_fulfillment_rate]]&gt;=0.8,"Moderate","Needs Attention"))</f>
        <v>Needs Attention</v>
      </c>
      <c r="AE1516" t="str">
        <f>IF(WarehouseData[[#This Row],[picking_time_seconds]]&gt;120,"Slow",IF(WarehouseData[[#This Row],[picking_time_seconds]]&gt;=60,"Average","Fast"))</f>
        <v>Average</v>
      </c>
    </row>
    <row r="1517" spans="1:31" x14ac:dyDescent="0.25">
      <c r="A1517" t="s">
        <v>1655</v>
      </c>
      <c r="B1517" t="s">
        <v>32</v>
      </c>
      <c r="C1517">
        <v>461</v>
      </c>
      <c r="D1517">
        <v>61</v>
      </c>
      <c r="E1517">
        <v>7</v>
      </c>
      <c r="F1517">
        <v>6</v>
      </c>
      <c r="G1517">
        <v>38.19</v>
      </c>
      <c r="H1517">
        <v>1.96</v>
      </c>
      <c r="I1517">
        <v>0.42</v>
      </c>
      <c r="J1517" t="s">
        <v>160</v>
      </c>
      <c r="K1517" t="s">
        <v>34</v>
      </c>
      <c r="L1517">
        <v>88</v>
      </c>
      <c r="M1517">
        <v>2.89</v>
      </c>
      <c r="N1517">
        <v>73.540000000000006</v>
      </c>
      <c r="O1517">
        <v>1.59</v>
      </c>
      <c r="P1517">
        <v>3</v>
      </c>
      <c r="Q1517">
        <v>0.88</v>
      </c>
      <c r="R1517">
        <v>122</v>
      </c>
      <c r="S1517">
        <v>10.06</v>
      </c>
      <c r="T1517">
        <v>0.99</v>
      </c>
      <c r="U1517" s="1">
        <v>45313</v>
      </c>
      <c r="V1517">
        <v>102.77</v>
      </c>
      <c r="W1517">
        <v>0.68899999999999995</v>
      </c>
      <c r="X1517" t="str">
        <f>IF(WarehouseData[[#This Row],[stock_level]]&lt;=WarehouseData[[#This Row],[reorder_point]],"Low Stock","Sufficient Stock")</f>
        <v>Sufficient Stock</v>
      </c>
      <c r="Y1517">
        <f>WarehouseData[[#This Row],[daily_demand]]*WarehouseData[[#This Row],[lead_time_days]]</f>
        <v>229.14</v>
      </c>
      <c r="Z1517" t="str">
        <f>IF(WarehouseData[[#This Row],[stock_level]]&lt;=WarehouseData[[#This Row],[Demand During Lead Time]],"At Risk","Safe")</f>
        <v>Safe</v>
      </c>
      <c r="AA1517">
        <f>WarehouseData[[#This Row],[stock_level]]/WarehouseData[[#This Row],[daily_demand]]</f>
        <v>12.071222833202409</v>
      </c>
      <c r="AB1517">
        <f>WarehouseData[[#This Row],[stock_level]]*WarehouseData[[#This Row],[unit_price]]</f>
        <v>33901.94</v>
      </c>
      <c r="AC1517">
        <f>WarehouseData[[#This Row],[stock_level]]*WarehouseData[[#This Row],[holding_cost_per_unit_day]]*30</f>
        <v>21989.7</v>
      </c>
      <c r="AD1517" t="str">
        <f>IF(WarehouseData[[#This Row],[order_fulfillment_rate]]&gt;=0.9,"Strong",IF(WarehouseData[[#This Row],[order_fulfillment_rate]]&gt;=0.8,"Moderate","Needs Attention"))</f>
        <v>Moderate</v>
      </c>
      <c r="AE1517" t="str">
        <f>IF(WarehouseData[[#This Row],[picking_time_seconds]]&gt;120,"Slow",IF(WarehouseData[[#This Row],[picking_time_seconds]]&gt;=60,"Average","Fast"))</f>
        <v>Average</v>
      </c>
    </row>
    <row r="1518" spans="1:31" x14ac:dyDescent="0.25">
      <c r="A1518" t="s">
        <v>1656</v>
      </c>
      <c r="B1518" t="s">
        <v>40</v>
      </c>
      <c r="C1518">
        <v>420</v>
      </c>
      <c r="D1518">
        <v>70</v>
      </c>
      <c r="E1518">
        <v>11</v>
      </c>
      <c r="F1518">
        <v>5</v>
      </c>
      <c r="G1518">
        <v>4.33</v>
      </c>
      <c r="H1518">
        <v>8.69</v>
      </c>
      <c r="I1518">
        <v>0.27</v>
      </c>
      <c r="J1518" t="s">
        <v>33</v>
      </c>
      <c r="K1518" t="s">
        <v>46</v>
      </c>
      <c r="L1518">
        <v>120</v>
      </c>
      <c r="M1518">
        <v>3.87</v>
      </c>
      <c r="N1518">
        <v>178.91</v>
      </c>
      <c r="O1518">
        <v>1.6</v>
      </c>
      <c r="P1518">
        <v>3</v>
      </c>
      <c r="Q1518">
        <v>0.91</v>
      </c>
      <c r="R1518">
        <v>308</v>
      </c>
      <c r="S1518">
        <v>7.6</v>
      </c>
      <c r="T1518">
        <v>0.41</v>
      </c>
      <c r="U1518" s="1">
        <v>45508</v>
      </c>
      <c r="V1518">
        <v>107.81</v>
      </c>
      <c r="W1518">
        <v>0.54500000000000004</v>
      </c>
      <c r="X1518" t="str">
        <f>IF(WarehouseData[[#This Row],[stock_level]]&lt;=WarehouseData[[#This Row],[reorder_point]],"Low Stock","Sufficient Stock")</f>
        <v>Sufficient Stock</v>
      </c>
      <c r="Y1518">
        <f>WarehouseData[[#This Row],[daily_demand]]*WarehouseData[[#This Row],[lead_time_days]]</f>
        <v>21.65</v>
      </c>
      <c r="Z1518" t="str">
        <f>IF(WarehouseData[[#This Row],[stock_level]]&lt;=WarehouseData[[#This Row],[Demand During Lead Time]],"At Risk","Safe")</f>
        <v>Safe</v>
      </c>
      <c r="AA1518">
        <f>WarehouseData[[#This Row],[stock_level]]/WarehouseData[[#This Row],[daily_demand]]</f>
        <v>96.997690531177824</v>
      </c>
      <c r="AB1518">
        <f>WarehouseData[[#This Row],[stock_level]]*WarehouseData[[#This Row],[unit_price]]</f>
        <v>75142.2</v>
      </c>
      <c r="AC1518">
        <f>WarehouseData[[#This Row],[stock_level]]*WarehouseData[[#This Row],[holding_cost_per_unit_day]]*30</f>
        <v>20160</v>
      </c>
      <c r="AD1518" t="str">
        <f>IF(WarehouseData[[#This Row],[order_fulfillment_rate]]&gt;=0.9,"Strong",IF(WarehouseData[[#This Row],[order_fulfillment_rate]]&gt;=0.8,"Moderate","Needs Attention"))</f>
        <v>Strong</v>
      </c>
      <c r="AE1518" t="str">
        <f>IF(WarehouseData[[#This Row],[picking_time_seconds]]&gt;120,"Slow",IF(WarehouseData[[#This Row],[picking_time_seconds]]&gt;=60,"Average","Fast"))</f>
        <v>Average</v>
      </c>
    </row>
    <row r="1519" spans="1:31" x14ac:dyDescent="0.25">
      <c r="A1519" t="s">
        <v>1657</v>
      </c>
      <c r="B1519" t="s">
        <v>40</v>
      </c>
      <c r="C1519">
        <v>419</v>
      </c>
      <c r="D1519">
        <v>49</v>
      </c>
      <c r="E1519">
        <v>11</v>
      </c>
      <c r="F1519">
        <v>9</v>
      </c>
      <c r="G1519">
        <v>33.979999999999997</v>
      </c>
      <c r="H1519">
        <v>2.38</v>
      </c>
      <c r="I1519">
        <v>0.84</v>
      </c>
      <c r="J1519" t="s">
        <v>202</v>
      </c>
      <c r="K1519" t="s">
        <v>34</v>
      </c>
      <c r="L1519">
        <v>57</v>
      </c>
      <c r="M1519">
        <v>1.58</v>
      </c>
      <c r="N1519">
        <v>102.06</v>
      </c>
      <c r="O1519">
        <v>0.67</v>
      </c>
      <c r="P1519">
        <v>7</v>
      </c>
      <c r="Q1519">
        <v>0.79</v>
      </c>
      <c r="R1519">
        <v>435</v>
      </c>
      <c r="S1519">
        <v>4.05</v>
      </c>
      <c r="T1519">
        <v>0.76</v>
      </c>
      <c r="U1519" s="1">
        <v>45332</v>
      </c>
      <c r="V1519">
        <v>276.42</v>
      </c>
      <c r="W1519">
        <v>0.55700000000000005</v>
      </c>
      <c r="X1519" t="str">
        <f>IF(WarehouseData[[#This Row],[stock_level]]&lt;=WarehouseData[[#This Row],[reorder_point]],"Low Stock","Sufficient Stock")</f>
        <v>Sufficient Stock</v>
      </c>
      <c r="Y1519">
        <f>WarehouseData[[#This Row],[daily_demand]]*WarehouseData[[#This Row],[lead_time_days]]</f>
        <v>305.82</v>
      </c>
      <c r="Z1519" t="str">
        <f>IF(WarehouseData[[#This Row],[stock_level]]&lt;=WarehouseData[[#This Row],[Demand During Lead Time]],"At Risk","Safe")</f>
        <v>Safe</v>
      </c>
      <c r="AA1519">
        <f>WarehouseData[[#This Row],[stock_level]]/WarehouseData[[#This Row],[daily_demand]]</f>
        <v>12.33078281341966</v>
      </c>
      <c r="AB1519">
        <f>WarehouseData[[#This Row],[stock_level]]*WarehouseData[[#This Row],[unit_price]]</f>
        <v>42763.14</v>
      </c>
      <c r="AC1519">
        <f>WarehouseData[[#This Row],[stock_level]]*WarehouseData[[#This Row],[holding_cost_per_unit_day]]*30</f>
        <v>8421.9000000000015</v>
      </c>
      <c r="AD1519" t="str">
        <f>IF(WarehouseData[[#This Row],[order_fulfillment_rate]]&gt;=0.9,"Strong",IF(WarehouseData[[#This Row],[order_fulfillment_rate]]&gt;=0.8,"Moderate","Needs Attention"))</f>
        <v>Needs Attention</v>
      </c>
      <c r="AE1519" t="str">
        <f>IF(WarehouseData[[#This Row],[picking_time_seconds]]&gt;120,"Slow",IF(WarehouseData[[#This Row],[picking_time_seconds]]&gt;=60,"Average","Fast"))</f>
        <v>Fast</v>
      </c>
    </row>
    <row r="1520" spans="1:31" x14ac:dyDescent="0.25">
      <c r="A1520" t="s">
        <v>1658</v>
      </c>
      <c r="B1520" t="s">
        <v>32</v>
      </c>
      <c r="C1520">
        <v>234</v>
      </c>
      <c r="D1520">
        <v>47</v>
      </c>
      <c r="E1520">
        <v>11</v>
      </c>
      <c r="F1520">
        <v>5</v>
      </c>
      <c r="G1520">
        <v>49.86</v>
      </c>
      <c r="H1520">
        <v>9.25</v>
      </c>
      <c r="I1520">
        <v>0.43</v>
      </c>
      <c r="J1520" t="s">
        <v>92</v>
      </c>
      <c r="K1520" t="s">
        <v>38</v>
      </c>
      <c r="L1520">
        <v>156</v>
      </c>
      <c r="M1520">
        <v>4.66</v>
      </c>
      <c r="N1520">
        <v>180.92</v>
      </c>
      <c r="O1520">
        <v>0.23</v>
      </c>
      <c r="P1520">
        <v>1</v>
      </c>
      <c r="Q1520">
        <v>0.88</v>
      </c>
      <c r="R1520">
        <v>986</v>
      </c>
      <c r="S1520">
        <v>1.61</v>
      </c>
      <c r="T1520">
        <v>0.72</v>
      </c>
      <c r="U1520" s="1">
        <v>45641</v>
      </c>
      <c r="V1520">
        <v>138.06</v>
      </c>
      <c r="W1520">
        <v>0.69799999999999995</v>
      </c>
      <c r="X1520" t="str">
        <f>IF(WarehouseData[[#This Row],[stock_level]]&lt;=WarehouseData[[#This Row],[reorder_point]],"Low Stock","Sufficient Stock")</f>
        <v>Sufficient Stock</v>
      </c>
      <c r="Y1520">
        <f>WarehouseData[[#This Row],[daily_demand]]*WarehouseData[[#This Row],[lead_time_days]]</f>
        <v>249.3</v>
      </c>
      <c r="Z1520" t="str">
        <f>IF(WarehouseData[[#This Row],[stock_level]]&lt;=WarehouseData[[#This Row],[Demand During Lead Time]],"At Risk","Safe")</f>
        <v>At Risk</v>
      </c>
      <c r="AA1520">
        <f>WarehouseData[[#This Row],[stock_level]]/WarehouseData[[#This Row],[daily_demand]]</f>
        <v>4.6931407942238268</v>
      </c>
      <c r="AB1520">
        <f>WarehouseData[[#This Row],[stock_level]]*WarehouseData[[#This Row],[unit_price]]</f>
        <v>42335.28</v>
      </c>
      <c r="AC1520">
        <f>WarehouseData[[#This Row],[stock_level]]*WarehouseData[[#This Row],[holding_cost_per_unit_day]]*30</f>
        <v>1614.6</v>
      </c>
      <c r="AD1520" t="str">
        <f>IF(WarehouseData[[#This Row],[order_fulfillment_rate]]&gt;=0.9,"Strong",IF(WarehouseData[[#This Row],[order_fulfillment_rate]]&gt;=0.8,"Moderate","Needs Attention"))</f>
        <v>Moderate</v>
      </c>
      <c r="AE1520" t="str">
        <f>IF(WarehouseData[[#This Row],[picking_time_seconds]]&gt;120,"Slow",IF(WarehouseData[[#This Row],[picking_time_seconds]]&gt;=60,"Average","Fast"))</f>
        <v>Slow</v>
      </c>
    </row>
    <row r="1521" spans="1:31" x14ac:dyDescent="0.25">
      <c r="A1521" t="s">
        <v>1659</v>
      </c>
      <c r="B1521" t="s">
        <v>36</v>
      </c>
      <c r="C1521">
        <v>498</v>
      </c>
      <c r="D1521">
        <v>52</v>
      </c>
      <c r="E1521">
        <v>3</v>
      </c>
      <c r="F1521">
        <v>7</v>
      </c>
      <c r="G1521">
        <v>39.229999999999997</v>
      </c>
      <c r="H1521">
        <v>4.7</v>
      </c>
      <c r="I1521">
        <v>0.27</v>
      </c>
      <c r="J1521" t="s">
        <v>316</v>
      </c>
      <c r="K1521" t="s">
        <v>38</v>
      </c>
      <c r="L1521">
        <v>97</v>
      </c>
      <c r="M1521">
        <v>4.4000000000000004</v>
      </c>
      <c r="N1521">
        <v>178.46</v>
      </c>
      <c r="O1521">
        <v>1.98</v>
      </c>
      <c r="P1521">
        <v>3</v>
      </c>
      <c r="Q1521">
        <v>0.93</v>
      </c>
      <c r="R1521">
        <v>79</v>
      </c>
      <c r="S1521">
        <v>8.5399999999999991</v>
      </c>
      <c r="T1521">
        <v>0.75</v>
      </c>
      <c r="U1521" s="1">
        <v>45514</v>
      </c>
      <c r="V1521">
        <v>87.71</v>
      </c>
      <c r="W1521">
        <v>0.59199999999999997</v>
      </c>
      <c r="X1521" t="str">
        <f>IF(WarehouseData[[#This Row],[stock_level]]&lt;=WarehouseData[[#This Row],[reorder_point]],"Low Stock","Sufficient Stock")</f>
        <v>Sufficient Stock</v>
      </c>
      <c r="Y1521">
        <f>WarehouseData[[#This Row],[daily_demand]]*WarehouseData[[#This Row],[lead_time_days]]</f>
        <v>274.60999999999996</v>
      </c>
      <c r="Z1521" t="str">
        <f>IF(WarehouseData[[#This Row],[stock_level]]&lt;=WarehouseData[[#This Row],[Demand During Lead Time]],"At Risk","Safe")</f>
        <v>Safe</v>
      </c>
      <c r="AA1521">
        <f>WarehouseData[[#This Row],[stock_level]]/WarehouseData[[#This Row],[daily_demand]]</f>
        <v>12.694366556206985</v>
      </c>
      <c r="AB1521">
        <f>WarehouseData[[#This Row],[stock_level]]*WarehouseData[[#This Row],[unit_price]]</f>
        <v>88873.08</v>
      </c>
      <c r="AC1521">
        <f>WarehouseData[[#This Row],[stock_level]]*WarehouseData[[#This Row],[holding_cost_per_unit_day]]*30</f>
        <v>29581.199999999997</v>
      </c>
      <c r="AD1521" t="str">
        <f>IF(WarehouseData[[#This Row],[order_fulfillment_rate]]&gt;=0.9,"Strong",IF(WarehouseData[[#This Row],[order_fulfillment_rate]]&gt;=0.8,"Moderate","Needs Attention"))</f>
        <v>Strong</v>
      </c>
      <c r="AE1521" t="str">
        <f>IF(WarehouseData[[#This Row],[picking_time_seconds]]&gt;120,"Slow",IF(WarehouseData[[#This Row],[picking_time_seconds]]&gt;=60,"Average","Fast"))</f>
        <v>Average</v>
      </c>
    </row>
    <row r="1522" spans="1:31" x14ac:dyDescent="0.25">
      <c r="A1522" t="s">
        <v>1660</v>
      </c>
      <c r="B1522" t="s">
        <v>32</v>
      </c>
      <c r="C1522">
        <v>406</v>
      </c>
      <c r="D1522">
        <v>72</v>
      </c>
      <c r="E1522">
        <v>4</v>
      </c>
      <c r="F1522">
        <v>7</v>
      </c>
      <c r="G1522">
        <v>15.24</v>
      </c>
      <c r="H1522">
        <v>7.56</v>
      </c>
      <c r="I1522">
        <v>0.43</v>
      </c>
      <c r="J1522" t="s">
        <v>90</v>
      </c>
      <c r="K1522" t="s">
        <v>38</v>
      </c>
      <c r="L1522">
        <v>49</v>
      </c>
      <c r="M1522">
        <v>1.63</v>
      </c>
      <c r="N1522">
        <v>25.23</v>
      </c>
      <c r="O1522">
        <v>0.57999999999999996</v>
      </c>
      <c r="P1522">
        <v>0</v>
      </c>
      <c r="Q1522">
        <v>0.8</v>
      </c>
      <c r="R1522">
        <v>470</v>
      </c>
      <c r="S1522">
        <v>2.77</v>
      </c>
      <c r="T1522">
        <v>0.54</v>
      </c>
      <c r="U1522" s="1">
        <v>45395</v>
      </c>
      <c r="V1522">
        <v>95.38</v>
      </c>
      <c r="W1522">
        <v>0.64700000000000002</v>
      </c>
      <c r="X1522" t="str">
        <f>IF(WarehouseData[[#This Row],[stock_level]]&lt;=WarehouseData[[#This Row],[reorder_point]],"Low Stock","Sufficient Stock")</f>
        <v>Sufficient Stock</v>
      </c>
      <c r="Y1522">
        <f>WarehouseData[[#This Row],[daily_demand]]*WarehouseData[[#This Row],[lead_time_days]]</f>
        <v>106.68</v>
      </c>
      <c r="Z1522" t="str">
        <f>IF(WarehouseData[[#This Row],[stock_level]]&lt;=WarehouseData[[#This Row],[Demand During Lead Time]],"At Risk","Safe")</f>
        <v>Safe</v>
      </c>
      <c r="AA1522">
        <f>WarehouseData[[#This Row],[stock_level]]/WarehouseData[[#This Row],[daily_demand]]</f>
        <v>26.640419947506562</v>
      </c>
      <c r="AB1522">
        <f>WarehouseData[[#This Row],[stock_level]]*WarehouseData[[#This Row],[unit_price]]</f>
        <v>10243.380000000001</v>
      </c>
      <c r="AC1522">
        <f>WarehouseData[[#This Row],[stock_level]]*WarehouseData[[#This Row],[holding_cost_per_unit_day]]*30</f>
        <v>7064.4</v>
      </c>
      <c r="AD1522" t="str">
        <f>IF(WarehouseData[[#This Row],[order_fulfillment_rate]]&gt;=0.9,"Strong",IF(WarehouseData[[#This Row],[order_fulfillment_rate]]&gt;=0.8,"Moderate","Needs Attention"))</f>
        <v>Moderate</v>
      </c>
      <c r="AE1522" t="str">
        <f>IF(WarehouseData[[#This Row],[picking_time_seconds]]&gt;120,"Slow",IF(WarehouseData[[#This Row],[picking_time_seconds]]&gt;=60,"Average","Fast"))</f>
        <v>Fast</v>
      </c>
    </row>
    <row r="1523" spans="1:31" x14ac:dyDescent="0.25">
      <c r="A1523" t="s">
        <v>1661</v>
      </c>
      <c r="B1523" t="s">
        <v>36</v>
      </c>
      <c r="C1523">
        <v>296</v>
      </c>
      <c r="D1523">
        <v>28</v>
      </c>
      <c r="E1523">
        <v>5</v>
      </c>
      <c r="F1523">
        <v>9</v>
      </c>
      <c r="G1523">
        <v>14.61</v>
      </c>
      <c r="H1523">
        <v>5.7</v>
      </c>
      <c r="I1523">
        <v>0.28999999999999998</v>
      </c>
      <c r="J1523" t="s">
        <v>418</v>
      </c>
      <c r="K1523" t="s">
        <v>46</v>
      </c>
      <c r="L1523">
        <v>143</v>
      </c>
      <c r="M1523">
        <v>4.95</v>
      </c>
      <c r="N1523">
        <v>189.62</v>
      </c>
      <c r="O1523">
        <v>0.23</v>
      </c>
      <c r="P1523">
        <v>0</v>
      </c>
      <c r="Q1523">
        <v>0.86</v>
      </c>
      <c r="R1523">
        <v>52</v>
      </c>
      <c r="S1523">
        <v>14.01</v>
      </c>
      <c r="T1523">
        <v>0.26</v>
      </c>
      <c r="U1523" s="1">
        <v>45613</v>
      </c>
      <c r="V1523">
        <v>242.97</v>
      </c>
      <c r="W1523">
        <v>0.78800000000000003</v>
      </c>
      <c r="X1523" t="str">
        <f>IF(WarehouseData[[#This Row],[stock_level]]&lt;=WarehouseData[[#This Row],[reorder_point]],"Low Stock","Sufficient Stock")</f>
        <v>Sufficient Stock</v>
      </c>
      <c r="Y1523">
        <f>WarehouseData[[#This Row],[daily_demand]]*WarehouseData[[#This Row],[lead_time_days]]</f>
        <v>131.49</v>
      </c>
      <c r="Z1523" t="str">
        <f>IF(WarehouseData[[#This Row],[stock_level]]&lt;=WarehouseData[[#This Row],[Demand During Lead Time]],"At Risk","Safe")</f>
        <v>Safe</v>
      </c>
      <c r="AA1523">
        <f>WarehouseData[[#This Row],[stock_level]]/WarehouseData[[#This Row],[daily_demand]]</f>
        <v>20.260095824777551</v>
      </c>
      <c r="AB1523">
        <f>WarehouseData[[#This Row],[stock_level]]*WarehouseData[[#This Row],[unit_price]]</f>
        <v>56127.520000000004</v>
      </c>
      <c r="AC1523">
        <f>WarehouseData[[#This Row],[stock_level]]*WarehouseData[[#This Row],[holding_cost_per_unit_day]]*30</f>
        <v>2042.3999999999999</v>
      </c>
      <c r="AD1523" t="str">
        <f>IF(WarehouseData[[#This Row],[order_fulfillment_rate]]&gt;=0.9,"Strong",IF(WarehouseData[[#This Row],[order_fulfillment_rate]]&gt;=0.8,"Moderate","Needs Attention"))</f>
        <v>Moderate</v>
      </c>
      <c r="AE1523" t="str">
        <f>IF(WarehouseData[[#This Row],[picking_time_seconds]]&gt;120,"Slow",IF(WarehouseData[[#This Row],[picking_time_seconds]]&gt;=60,"Average","Fast"))</f>
        <v>Slow</v>
      </c>
    </row>
    <row r="1524" spans="1:31" x14ac:dyDescent="0.25">
      <c r="A1524" t="s">
        <v>1662</v>
      </c>
      <c r="B1524" t="s">
        <v>40</v>
      </c>
      <c r="C1524">
        <v>83</v>
      </c>
      <c r="D1524">
        <v>59</v>
      </c>
      <c r="E1524">
        <v>6</v>
      </c>
      <c r="F1524">
        <v>9</v>
      </c>
      <c r="G1524">
        <v>33.69</v>
      </c>
      <c r="H1524">
        <v>2.94</v>
      </c>
      <c r="I1524">
        <v>0.56999999999999995</v>
      </c>
      <c r="J1524" t="s">
        <v>37</v>
      </c>
      <c r="K1524" t="s">
        <v>34</v>
      </c>
      <c r="L1524">
        <v>105</v>
      </c>
      <c r="M1524">
        <v>3.51</v>
      </c>
      <c r="N1524">
        <v>24.62</v>
      </c>
      <c r="O1524">
        <v>0.73</v>
      </c>
      <c r="P1524">
        <v>7</v>
      </c>
      <c r="Q1524">
        <v>0.74</v>
      </c>
      <c r="R1524">
        <v>570</v>
      </c>
      <c r="S1524">
        <v>3.11</v>
      </c>
      <c r="T1524">
        <v>0.98</v>
      </c>
      <c r="U1524" s="1">
        <v>45367</v>
      </c>
      <c r="V1524">
        <v>166.34</v>
      </c>
      <c r="W1524">
        <v>0.57199999999999995</v>
      </c>
      <c r="X1524" t="str">
        <f>IF(WarehouseData[[#This Row],[stock_level]]&lt;=WarehouseData[[#This Row],[reorder_point]],"Low Stock","Sufficient Stock")</f>
        <v>Sufficient Stock</v>
      </c>
      <c r="Y1524">
        <f>WarehouseData[[#This Row],[daily_demand]]*WarehouseData[[#This Row],[lead_time_days]]</f>
        <v>303.20999999999998</v>
      </c>
      <c r="Z1524" t="str">
        <f>IF(WarehouseData[[#This Row],[stock_level]]&lt;=WarehouseData[[#This Row],[Demand During Lead Time]],"At Risk","Safe")</f>
        <v>At Risk</v>
      </c>
      <c r="AA1524">
        <f>WarehouseData[[#This Row],[stock_level]]/WarehouseData[[#This Row],[daily_demand]]</f>
        <v>2.4636390620362127</v>
      </c>
      <c r="AB1524">
        <f>WarehouseData[[#This Row],[stock_level]]*WarehouseData[[#This Row],[unit_price]]</f>
        <v>2043.46</v>
      </c>
      <c r="AC1524">
        <f>WarehouseData[[#This Row],[stock_level]]*WarehouseData[[#This Row],[holding_cost_per_unit_day]]*30</f>
        <v>1817.6999999999998</v>
      </c>
      <c r="AD1524" t="str">
        <f>IF(WarehouseData[[#This Row],[order_fulfillment_rate]]&gt;=0.9,"Strong",IF(WarehouseData[[#This Row],[order_fulfillment_rate]]&gt;=0.8,"Moderate","Needs Attention"))</f>
        <v>Needs Attention</v>
      </c>
      <c r="AE1524" t="str">
        <f>IF(WarehouseData[[#This Row],[picking_time_seconds]]&gt;120,"Slow",IF(WarehouseData[[#This Row],[picking_time_seconds]]&gt;=60,"Average","Fast"))</f>
        <v>Average</v>
      </c>
    </row>
    <row r="1525" spans="1:31" x14ac:dyDescent="0.25">
      <c r="A1525" t="s">
        <v>1663</v>
      </c>
      <c r="B1525" t="s">
        <v>73</v>
      </c>
      <c r="C1525">
        <v>365</v>
      </c>
      <c r="D1525">
        <v>42</v>
      </c>
      <c r="E1525">
        <v>12</v>
      </c>
      <c r="F1525">
        <v>7</v>
      </c>
      <c r="G1525">
        <v>44.9</v>
      </c>
      <c r="H1525">
        <v>6.88</v>
      </c>
      <c r="I1525">
        <v>0.7</v>
      </c>
      <c r="J1525" t="s">
        <v>54</v>
      </c>
      <c r="K1525" t="s">
        <v>38</v>
      </c>
      <c r="L1525">
        <v>172</v>
      </c>
      <c r="M1525">
        <v>1.79</v>
      </c>
      <c r="N1525">
        <v>193.07</v>
      </c>
      <c r="O1525">
        <v>1.94</v>
      </c>
      <c r="P1525">
        <v>3</v>
      </c>
      <c r="Q1525">
        <v>0.71</v>
      </c>
      <c r="R1525">
        <v>569</v>
      </c>
      <c r="S1525">
        <v>1.45</v>
      </c>
      <c r="T1525">
        <v>0.35</v>
      </c>
      <c r="U1525" s="1">
        <v>45596</v>
      </c>
      <c r="V1525">
        <v>140.35</v>
      </c>
      <c r="W1525">
        <v>0.377</v>
      </c>
      <c r="X1525" t="str">
        <f>IF(WarehouseData[[#This Row],[stock_level]]&lt;=WarehouseData[[#This Row],[reorder_point]],"Low Stock","Sufficient Stock")</f>
        <v>Sufficient Stock</v>
      </c>
      <c r="Y1525">
        <f>WarehouseData[[#This Row],[daily_demand]]*WarehouseData[[#This Row],[lead_time_days]]</f>
        <v>314.3</v>
      </c>
      <c r="Z1525" t="str">
        <f>IF(WarehouseData[[#This Row],[stock_level]]&lt;=WarehouseData[[#This Row],[Demand During Lead Time]],"At Risk","Safe")</f>
        <v>Safe</v>
      </c>
      <c r="AA1525">
        <f>WarehouseData[[#This Row],[stock_level]]/WarehouseData[[#This Row],[daily_demand]]</f>
        <v>8.1291759465478837</v>
      </c>
      <c r="AB1525">
        <f>WarehouseData[[#This Row],[stock_level]]*WarehouseData[[#This Row],[unit_price]]</f>
        <v>70470.55</v>
      </c>
      <c r="AC1525">
        <f>WarehouseData[[#This Row],[stock_level]]*WarehouseData[[#This Row],[holding_cost_per_unit_day]]*30</f>
        <v>21243</v>
      </c>
      <c r="AD1525" t="str">
        <f>IF(WarehouseData[[#This Row],[order_fulfillment_rate]]&gt;=0.9,"Strong",IF(WarehouseData[[#This Row],[order_fulfillment_rate]]&gt;=0.8,"Moderate","Needs Attention"))</f>
        <v>Needs Attention</v>
      </c>
      <c r="AE1525" t="str">
        <f>IF(WarehouseData[[#This Row],[picking_time_seconds]]&gt;120,"Slow",IF(WarehouseData[[#This Row],[picking_time_seconds]]&gt;=60,"Average","Fast"))</f>
        <v>Slow</v>
      </c>
    </row>
    <row r="1526" spans="1:31" x14ac:dyDescent="0.25">
      <c r="A1526" t="s">
        <v>1664</v>
      </c>
      <c r="B1526" t="s">
        <v>40</v>
      </c>
      <c r="C1526">
        <v>311</v>
      </c>
      <c r="D1526">
        <v>22</v>
      </c>
      <c r="E1526">
        <v>11</v>
      </c>
      <c r="F1526">
        <v>7</v>
      </c>
      <c r="G1526">
        <v>29.32</v>
      </c>
      <c r="H1526">
        <v>9.6</v>
      </c>
      <c r="I1526">
        <v>0.82</v>
      </c>
      <c r="J1526" t="s">
        <v>131</v>
      </c>
      <c r="K1526" t="s">
        <v>52</v>
      </c>
      <c r="L1526">
        <v>70</v>
      </c>
      <c r="M1526">
        <v>3.56</v>
      </c>
      <c r="N1526">
        <v>96</v>
      </c>
      <c r="O1526">
        <v>1.61</v>
      </c>
      <c r="P1526">
        <v>5</v>
      </c>
      <c r="Q1526">
        <v>0.99</v>
      </c>
      <c r="R1526">
        <v>570</v>
      </c>
      <c r="S1526">
        <v>4.67</v>
      </c>
      <c r="T1526">
        <v>0.82</v>
      </c>
      <c r="U1526" s="1">
        <v>45424</v>
      </c>
      <c r="V1526">
        <v>278.77999999999997</v>
      </c>
      <c r="W1526">
        <v>0.56299999999999994</v>
      </c>
      <c r="X1526" t="str">
        <f>IF(WarehouseData[[#This Row],[stock_level]]&lt;=WarehouseData[[#This Row],[reorder_point]],"Low Stock","Sufficient Stock")</f>
        <v>Sufficient Stock</v>
      </c>
      <c r="Y1526">
        <f>WarehouseData[[#This Row],[daily_demand]]*WarehouseData[[#This Row],[lead_time_days]]</f>
        <v>205.24</v>
      </c>
      <c r="Z1526" t="str">
        <f>IF(WarehouseData[[#This Row],[stock_level]]&lt;=WarehouseData[[#This Row],[Demand During Lead Time]],"At Risk","Safe")</f>
        <v>Safe</v>
      </c>
      <c r="AA1526">
        <f>WarehouseData[[#This Row],[stock_level]]/WarehouseData[[#This Row],[daily_demand]]</f>
        <v>10.607094133697135</v>
      </c>
      <c r="AB1526">
        <f>WarehouseData[[#This Row],[stock_level]]*WarehouseData[[#This Row],[unit_price]]</f>
        <v>29856</v>
      </c>
      <c r="AC1526">
        <f>WarehouseData[[#This Row],[stock_level]]*WarehouseData[[#This Row],[holding_cost_per_unit_day]]*30</f>
        <v>15021.300000000001</v>
      </c>
      <c r="AD1526" t="str">
        <f>IF(WarehouseData[[#This Row],[order_fulfillment_rate]]&gt;=0.9,"Strong",IF(WarehouseData[[#This Row],[order_fulfillment_rate]]&gt;=0.8,"Moderate","Needs Attention"))</f>
        <v>Strong</v>
      </c>
      <c r="AE1526" t="str">
        <f>IF(WarehouseData[[#This Row],[picking_time_seconds]]&gt;120,"Slow",IF(WarehouseData[[#This Row],[picking_time_seconds]]&gt;=60,"Average","Fast"))</f>
        <v>Average</v>
      </c>
    </row>
    <row r="1527" spans="1:31" x14ac:dyDescent="0.25">
      <c r="A1527" t="s">
        <v>1665</v>
      </c>
      <c r="B1527" t="s">
        <v>40</v>
      </c>
      <c r="C1527">
        <v>264</v>
      </c>
      <c r="D1527">
        <v>87</v>
      </c>
      <c r="E1527">
        <v>12</v>
      </c>
      <c r="F1527">
        <v>3</v>
      </c>
      <c r="G1527">
        <v>26.84</v>
      </c>
      <c r="H1527">
        <v>7.81</v>
      </c>
      <c r="I1527">
        <v>0.3</v>
      </c>
      <c r="J1527" t="s">
        <v>70</v>
      </c>
      <c r="K1527" t="s">
        <v>34</v>
      </c>
      <c r="L1527">
        <v>14</v>
      </c>
      <c r="M1527">
        <v>3.5</v>
      </c>
      <c r="N1527">
        <v>154.56</v>
      </c>
      <c r="O1527">
        <v>1.01</v>
      </c>
      <c r="P1527">
        <v>4</v>
      </c>
      <c r="Q1527">
        <v>0.79</v>
      </c>
      <c r="R1527">
        <v>937</v>
      </c>
      <c r="S1527">
        <v>3.45</v>
      </c>
      <c r="T1527">
        <v>0.31</v>
      </c>
      <c r="U1527" s="1">
        <v>45455</v>
      </c>
      <c r="V1527">
        <v>279.7</v>
      </c>
      <c r="W1527">
        <v>0.48499999999999999</v>
      </c>
      <c r="X1527" t="str">
        <f>IF(WarehouseData[[#This Row],[stock_level]]&lt;=WarehouseData[[#This Row],[reorder_point]],"Low Stock","Sufficient Stock")</f>
        <v>Sufficient Stock</v>
      </c>
      <c r="Y1527">
        <f>WarehouseData[[#This Row],[daily_demand]]*WarehouseData[[#This Row],[lead_time_days]]</f>
        <v>80.52</v>
      </c>
      <c r="Z1527" t="str">
        <f>IF(WarehouseData[[#This Row],[stock_level]]&lt;=WarehouseData[[#This Row],[Demand During Lead Time]],"At Risk","Safe")</f>
        <v>Safe</v>
      </c>
      <c r="AA1527">
        <f>WarehouseData[[#This Row],[stock_level]]/WarehouseData[[#This Row],[daily_demand]]</f>
        <v>9.8360655737704921</v>
      </c>
      <c r="AB1527">
        <f>WarehouseData[[#This Row],[stock_level]]*WarehouseData[[#This Row],[unit_price]]</f>
        <v>40803.840000000004</v>
      </c>
      <c r="AC1527">
        <f>WarehouseData[[#This Row],[stock_level]]*WarehouseData[[#This Row],[holding_cost_per_unit_day]]*30</f>
        <v>7999.2</v>
      </c>
      <c r="AD1527" t="str">
        <f>IF(WarehouseData[[#This Row],[order_fulfillment_rate]]&gt;=0.9,"Strong",IF(WarehouseData[[#This Row],[order_fulfillment_rate]]&gt;=0.8,"Moderate","Needs Attention"))</f>
        <v>Needs Attention</v>
      </c>
      <c r="AE1527" t="str">
        <f>IF(WarehouseData[[#This Row],[picking_time_seconds]]&gt;120,"Slow",IF(WarehouseData[[#This Row],[picking_time_seconds]]&gt;=60,"Average","Fast"))</f>
        <v>Fast</v>
      </c>
    </row>
    <row r="1528" spans="1:31" x14ac:dyDescent="0.25">
      <c r="A1528" t="s">
        <v>1666</v>
      </c>
      <c r="B1528" t="s">
        <v>48</v>
      </c>
      <c r="C1528">
        <v>489</v>
      </c>
      <c r="D1528">
        <v>71</v>
      </c>
      <c r="E1528">
        <v>8</v>
      </c>
      <c r="F1528">
        <v>8</v>
      </c>
      <c r="G1528">
        <v>8.86</v>
      </c>
      <c r="H1528">
        <v>6.24</v>
      </c>
      <c r="I1528">
        <v>0.25</v>
      </c>
      <c r="J1528" t="s">
        <v>316</v>
      </c>
      <c r="K1528" t="s">
        <v>38</v>
      </c>
      <c r="L1528">
        <v>46</v>
      </c>
      <c r="M1528">
        <v>3.23</v>
      </c>
      <c r="N1528">
        <v>144.16999999999999</v>
      </c>
      <c r="O1528">
        <v>0.68</v>
      </c>
      <c r="P1528">
        <v>9</v>
      </c>
      <c r="Q1528">
        <v>0.78</v>
      </c>
      <c r="R1528">
        <v>450</v>
      </c>
      <c r="S1528">
        <v>12.08</v>
      </c>
      <c r="T1528">
        <v>0.42</v>
      </c>
      <c r="U1528" s="1">
        <v>45326</v>
      </c>
      <c r="V1528">
        <v>229.27</v>
      </c>
      <c r="W1528">
        <v>0.55300000000000005</v>
      </c>
      <c r="X1528" t="str">
        <f>IF(WarehouseData[[#This Row],[stock_level]]&lt;=WarehouseData[[#This Row],[reorder_point]],"Low Stock","Sufficient Stock")</f>
        <v>Sufficient Stock</v>
      </c>
      <c r="Y1528">
        <f>WarehouseData[[#This Row],[daily_demand]]*WarehouseData[[#This Row],[lead_time_days]]</f>
        <v>70.88</v>
      </c>
      <c r="Z1528" t="str">
        <f>IF(WarehouseData[[#This Row],[stock_level]]&lt;=WarehouseData[[#This Row],[Demand During Lead Time]],"At Risk","Safe")</f>
        <v>Safe</v>
      </c>
      <c r="AA1528">
        <f>WarehouseData[[#This Row],[stock_level]]/WarehouseData[[#This Row],[daily_demand]]</f>
        <v>55.191873589164786</v>
      </c>
      <c r="AB1528">
        <f>WarehouseData[[#This Row],[stock_level]]*WarehouseData[[#This Row],[unit_price]]</f>
        <v>70499.12999999999</v>
      </c>
      <c r="AC1528">
        <f>WarehouseData[[#This Row],[stock_level]]*WarehouseData[[#This Row],[holding_cost_per_unit_day]]*30</f>
        <v>9975.6</v>
      </c>
      <c r="AD1528" t="str">
        <f>IF(WarehouseData[[#This Row],[order_fulfillment_rate]]&gt;=0.9,"Strong",IF(WarehouseData[[#This Row],[order_fulfillment_rate]]&gt;=0.8,"Moderate","Needs Attention"))</f>
        <v>Needs Attention</v>
      </c>
      <c r="AE1528" t="str">
        <f>IF(WarehouseData[[#This Row],[picking_time_seconds]]&gt;120,"Slow",IF(WarehouseData[[#This Row],[picking_time_seconds]]&gt;=60,"Average","Fast"))</f>
        <v>Fast</v>
      </c>
    </row>
    <row r="1529" spans="1:31" x14ac:dyDescent="0.25">
      <c r="A1529" t="s">
        <v>1667</v>
      </c>
      <c r="B1529" t="s">
        <v>48</v>
      </c>
      <c r="C1529">
        <v>81</v>
      </c>
      <c r="D1529">
        <v>52</v>
      </c>
      <c r="E1529">
        <v>3</v>
      </c>
      <c r="F1529">
        <v>7</v>
      </c>
      <c r="G1529">
        <v>36.06</v>
      </c>
      <c r="H1529">
        <v>9.91</v>
      </c>
      <c r="I1529">
        <v>0.12</v>
      </c>
      <c r="J1529" t="s">
        <v>234</v>
      </c>
      <c r="K1529" t="s">
        <v>34</v>
      </c>
      <c r="L1529">
        <v>148</v>
      </c>
      <c r="M1529">
        <v>3.7</v>
      </c>
      <c r="N1529">
        <v>108.51</v>
      </c>
      <c r="O1529">
        <v>0.9</v>
      </c>
      <c r="P1529">
        <v>5</v>
      </c>
      <c r="Q1529">
        <v>0.99</v>
      </c>
      <c r="R1529">
        <v>713</v>
      </c>
      <c r="S1529">
        <v>5.05</v>
      </c>
      <c r="T1529">
        <v>0.65</v>
      </c>
      <c r="U1529" s="1">
        <v>45336</v>
      </c>
      <c r="V1529">
        <v>160.22</v>
      </c>
      <c r="W1529">
        <v>0.60499999999999998</v>
      </c>
      <c r="X1529" t="str">
        <f>IF(WarehouseData[[#This Row],[stock_level]]&lt;=WarehouseData[[#This Row],[reorder_point]],"Low Stock","Sufficient Stock")</f>
        <v>Sufficient Stock</v>
      </c>
      <c r="Y1529">
        <f>WarehouseData[[#This Row],[daily_demand]]*WarehouseData[[#This Row],[lead_time_days]]</f>
        <v>252.42000000000002</v>
      </c>
      <c r="Z1529" t="str">
        <f>IF(WarehouseData[[#This Row],[stock_level]]&lt;=WarehouseData[[#This Row],[Demand During Lead Time]],"At Risk","Safe")</f>
        <v>At Risk</v>
      </c>
      <c r="AA1529">
        <f>WarehouseData[[#This Row],[stock_level]]/WarehouseData[[#This Row],[daily_demand]]</f>
        <v>2.2462562396006653</v>
      </c>
      <c r="AB1529">
        <f>WarehouseData[[#This Row],[stock_level]]*WarehouseData[[#This Row],[unit_price]]</f>
        <v>8789.3100000000013</v>
      </c>
      <c r="AC1529">
        <f>WarehouseData[[#This Row],[stock_level]]*WarehouseData[[#This Row],[holding_cost_per_unit_day]]*30</f>
        <v>2187</v>
      </c>
      <c r="AD1529" t="str">
        <f>IF(WarehouseData[[#This Row],[order_fulfillment_rate]]&gt;=0.9,"Strong",IF(WarehouseData[[#This Row],[order_fulfillment_rate]]&gt;=0.8,"Moderate","Needs Attention"))</f>
        <v>Strong</v>
      </c>
      <c r="AE1529" t="str">
        <f>IF(WarehouseData[[#This Row],[picking_time_seconds]]&gt;120,"Slow",IF(WarehouseData[[#This Row],[picking_time_seconds]]&gt;=60,"Average","Fast"))</f>
        <v>Slow</v>
      </c>
    </row>
    <row r="1530" spans="1:31" x14ac:dyDescent="0.25">
      <c r="A1530" t="s">
        <v>1668</v>
      </c>
      <c r="B1530" t="s">
        <v>48</v>
      </c>
      <c r="C1530">
        <v>445</v>
      </c>
      <c r="D1530">
        <v>58</v>
      </c>
      <c r="E1530">
        <v>14</v>
      </c>
      <c r="F1530">
        <v>9</v>
      </c>
      <c r="G1530">
        <v>35.409999999999997</v>
      </c>
      <c r="H1530">
        <v>3.02</v>
      </c>
      <c r="I1530">
        <v>0.31</v>
      </c>
      <c r="J1530" t="s">
        <v>37</v>
      </c>
      <c r="K1530" t="s">
        <v>38</v>
      </c>
      <c r="L1530">
        <v>115</v>
      </c>
      <c r="M1530">
        <v>1.71</v>
      </c>
      <c r="N1530">
        <v>127.7</v>
      </c>
      <c r="O1530">
        <v>0.13</v>
      </c>
      <c r="P1530">
        <v>3</v>
      </c>
      <c r="Q1530">
        <v>0.92</v>
      </c>
      <c r="R1530">
        <v>703</v>
      </c>
      <c r="S1530">
        <v>4.43</v>
      </c>
      <c r="T1530">
        <v>0.53</v>
      </c>
      <c r="U1530" s="1">
        <v>45490</v>
      </c>
      <c r="V1530">
        <v>43.82</v>
      </c>
      <c r="W1530">
        <v>0.67600000000000005</v>
      </c>
      <c r="X1530" t="str">
        <f>IF(WarehouseData[[#This Row],[stock_level]]&lt;=WarehouseData[[#This Row],[reorder_point]],"Low Stock","Sufficient Stock")</f>
        <v>Sufficient Stock</v>
      </c>
      <c r="Y1530">
        <f>WarehouseData[[#This Row],[daily_demand]]*WarehouseData[[#This Row],[lead_time_days]]</f>
        <v>318.68999999999994</v>
      </c>
      <c r="Z1530" t="str">
        <f>IF(WarehouseData[[#This Row],[stock_level]]&lt;=WarehouseData[[#This Row],[Demand During Lead Time]],"At Risk","Safe")</f>
        <v>Safe</v>
      </c>
      <c r="AA1530">
        <f>WarehouseData[[#This Row],[stock_level]]/WarehouseData[[#This Row],[daily_demand]]</f>
        <v>12.567071448743294</v>
      </c>
      <c r="AB1530">
        <f>WarehouseData[[#This Row],[stock_level]]*WarehouseData[[#This Row],[unit_price]]</f>
        <v>56826.5</v>
      </c>
      <c r="AC1530">
        <f>WarehouseData[[#This Row],[stock_level]]*WarehouseData[[#This Row],[holding_cost_per_unit_day]]*30</f>
        <v>1735.5</v>
      </c>
      <c r="AD1530" t="str">
        <f>IF(WarehouseData[[#This Row],[order_fulfillment_rate]]&gt;=0.9,"Strong",IF(WarehouseData[[#This Row],[order_fulfillment_rate]]&gt;=0.8,"Moderate","Needs Attention"))</f>
        <v>Strong</v>
      </c>
      <c r="AE1530" t="str">
        <f>IF(WarehouseData[[#This Row],[picking_time_seconds]]&gt;120,"Slow",IF(WarehouseData[[#This Row],[picking_time_seconds]]&gt;=60,"Average","Fast"))</f>
        <v>Average</v>
      </c>
    </row>
    <row r="1531" spans="1:31" x14ac:dyDescent="0.25">
      <c r="A1531" t="s">
        <v>1669</v>
      </c>
      <c r="B1531" t="s">
        <v>48</v>
      </c>
      <c r="C1531">
        <v>351</v>
      </c>
      <c r="D1531">
        <v>45</v>
      </c>
      <c r="E1531">
        <v>11</v>
      </c>
      <c r="F1531">
        <v>8</v>
      </c>
      <c r="G1531">
        <v>48.38</v>
      </c>
      <c r="H1531">
        <v>1.0900000000000001</v>
      </c>
      <c r="I1531">
        <v>0.12</v>
      </c>
      <c r="J1531" t="s">
        <v>122</v>
      </c>
      <c r="K1531" t="s">
        <v>52</v>
      </c>
      <c r="L1531">
        <v>108</v>
      </c>
      <c r="M1531">
        <v>4.91</v>
      </c>
      <c r="N1531">
        <v>190.48</v>
      </c>
      <c r="O1531">
        <v>1.46</v>
      </c>
      <c r="P1531">
        <v>3</v>
      </c>
      <c r="Q1531">
        <v>0.88</v>
      </c>
      <c r="R1531">
        <v>999</v>
      </c>
      <c r="S1531">
        <v>14.93</v>
      </c>
      <c r="T1531">
        <v>0.97</v>
      </c>
      <c r="U1531" s="1">
        <v>45576</v>
      </c>
      <c r="V1531">
        <v>215.31</v>
      </c>
      <c r="W1531">
        <v>0.76300000000000001</v>
      </c>
      <c r="X1531" t="str">
        <f>IF(WarehouseData[[#This Row],[stock_level]]&lt;=WarehouseData[[#This Row],[reorder_point]],"Low Stock","Sufficient Stock")</f>
        <v>Sufficient Stock</v>
      </c>
      <c r="Y1531">
        <f>WarehouseData[[#This Row],[daily_demand]]*WarehouseData[[#This Row],[lead_time_days]]</f>
        <v>387.04</v>
      </c>
      <c r="Z1531" t="str">
        <f>IF(WarehouseData[[#This Row],[stock_level]]&lt;=WarehouseData[[#This Row],[Demand During Lead Time]],"At Risk","Safe")</f>
        <v>At Risk</v>
      </c>
      <c r="AA1531">
        <f>WarehouseData[[#This Row],[stock_level]]/WarehouseData[[#This Row],[daily_demand]]</f>
        <v>7.2550640760644889</v>
      </c>
      <c r="AB1531">
        <f>WarehouseData[[#This Row],[stock_level]]*WarehouseData[[#This Row],[unit_price]]</f>
        <v>66858.48</v>
      </c>
      <c r="AC1531">
        <f>WarehouseData[[#This Row],[stock_level]]*WarehouseData[[#This Row],[holding_cost_per_unit_day]]*30</f>
        <v>15373.800000000001</v>
      </c>
      <c r="AD1531" t="str">
        <f>IF(WarehouseData[[#This Row],[order_fulfillment_rate]]&gt;=0.9,"Strong",IF(WarehouseData[[#This Row],[order_fulfillment_rate]]&gt;=0.8,"Moderate","Needs Attention"))</f>
        <v>Moderate</v>
      </c>
      <c r="AE1531" t="str">
        <f>IF(WarehouseData[[#This Row],[picking_time_seconds]]&gt;120,"Slow",IF(WarehouseData[[#This Row],[picking_time_seconds]]&gt;=60,"Average","Fast"))</f>
        <v>Average</v>
      </c>
    </row>
    <row r="1532" spans="1:31" x14ac:dyDescent="0.25">
      <c r="A1532" t="s">
        <v>1670</v>
      </c>
      <c r="B1532" t="s">
        <v>36</v>
      </c>
      <c r="C1532">
        <v>189</v>
      </c>
      <c r="D1532">
        <v>19</v>
      </c>
      <c r="E1532">
        <v>8</v>
      </c>
      <c r="F1532">
        <v>7</v>
      </c>
      <c r="G1532">
        <v>15.71</v>
      </c>
      <c r="H1532">
        <v>0.81</v>
      </c>
      <c r="I1532">
        <v>0.41</v>
      </c>
      <c r="J1532" t="s">
        <v>340</v>
      </c>
      <c r="K1532" t="s">
        <v>34</v>
      </c>
      <c r="L1532">
        <v>177</v>
      </c>
      <c r="M1532">
        <v>4.3600000000000003</v>
      </c>
      <c r="N1532">
        <v>186.2</v>
      </c>
      <c r="O1532">
        <v>0.28999999999999998</v>
      </c>
      <c r="P1532">
        <v>6</v>
      </c>
      <c r="Q1532">
        <v>0.91</v>
      </c>
      <c r="R1532">
        <v>897</v>
      </c>
      <c r="S1532">
        <v>3.1</v>
      </c>
      <c r="T1532">
        <v>0.88</v>
      </c>
      <c r="U1532" s="1">
        <v>45495</v>
      </c>
      <c r="V1532">
        <v>246.38</v>
      </c>
      <c r="W1532">
        <v>0.65</v>
      </c>
      <c r="X1532" t="str">
        <f>IF(WarehouseData[[#This Row],[stock_level]]&lt;=WarehouseData[[#This Row],[reorder_point]],"Low Stock","Sufficient Stock")</f>
        <v>Sufficient Stock</v>
      </c>
      <c r="Y1532">
        <f>WarehouseData[[#This Row],[daily_demand]]*WarehouseData[[#This Row],[lead_time_days]]</f>
        <v>109.97</v>
      </c>
      <c r="Z1532" t="str">
        <f>IF(WarehouseData[[#This Row],[stock_level]]&lt;=WarehouseData[[#This Row],[Demand During Lead Time]],"At Risk","Safe")</f>
        <v>Safe</v>
      </c>
      <c r="AA1532">
        <f>WarehouseData[[#This Row],[stock_level]]/WarehouseData[[#This Row],[daily_demand]]</f>
        <v>12.030553787396562</v>
      </c>
      <c r="AB1532">
        <f>WarehouseData[[#This Row],[stock_level]]*WarehouseData[[#This Row],[unit_price]]</f>
        <v>35191.799999999996</v>
      </c>
      <c r="AC1532">
        <f>WarehouseData[[#This Row],[stock_level]]*WarehouseData[[#This Row],[holding_cost_per_unit_day]]*30</f>
        <v>1644.3</v>
      </c>
      <c r="AD1532" t="str">
        <f>IF(WarehouseData[[#This Row],[order_fulfillment_rate]]&gt;=0.9,"Strong",IF(WarehouseData[[#This Row],[order_fulfillment_rate]]&gt;=0.8,"Moderate","Needs Attention"))</f>
        <v>Strong</v>
      </c>
      <c r="AE1532" t="str">
        <f>IF(WarehouseData[[#This Row],[picking_time_seconds]]&gt;120,"Slow",IF(WarehouseData[[#This Row],[picking_time_seconds]]&gt;=60,"Average","Fast"))</f>
        <v>Slow</v>
      </c>
    </row>
    <row r="1533" spans="1:31" x14ac:dyDescent="0.25">
      <c r="A1533" t="s">
        <v>1671</v>
      </c>
      <c r="B1533" t="s">
        <v>32</v>
      </c>
      <c r="C1533">
        <v>464</v>
      </c>
      <c r="D1533">
        <v>15</v>
      </c>
      <c r="E1533">
        <v>6</v>
      </c>
      <c r="F1533">
        <v>5</v>
      </c>
      <c r="G1533">
        <v>38.07</v>
      </c>
      <c r="H1533">
        <v>7.25</v>
      </c>
      <c r="I1533">
        <v>0.23</v>
      </c>
      <c r="J1533" t="s">
        <v>137</v>
      </c>
      <c r="K1533" t="s">
        <v>38</v>
      </c>
      <c r="L1533">
        <v>17</v>
      </c>
      <c r="M1533">
        <v>3.86</v>
      </c>
      <c r="N1533">
        <v>134.32</v>
      </c>
      <c r="O1533">
        <v>1.0900000000000001</v>
      </c>
      <c r="P1533">
        <v>0</v>
      </c>
      <c r="Q1533">
        <v>0.91</v>
      </c>
      <c r="R1533">
        <v>323</v>
      </c>
      <c r="S1533">
        <v>2.19</v>
      </c>
      <c r="T1533">
        <v>0.94</v>
      </c>
      <c r="U1533" s="1">
        <v>45574</v>
      </c>
      <c r="V1533">
        <v>257.08999999999997</v>
      </c>
      <c r="W1533">
        <v>0.69</v>
      </c>
      <c r="X1533" t="str">
        <f>IF(WarehouseData[[#This Row],[stock_level]]&lt;=WarehouseData[[#This Row],[reorder_point]],"Low Stock","Sufficient Stock")</f>
        <v>Sufficient Stock</v>
      </c>
      <c r="Y1533">
        <f>WarehouseData[[#This Row],[daily_demand]]*WarehouseData[[#This Row],[lead_time_days]]</f>
        <v>190.35</v>
      </c>
      <c r="Z1533" t="str">
        <f>IF(WarehouseData[[#This Row],[stock_level]]&lt;=WarehouseData[[#This Row],[Demand During Lead Time]],"At Risk","Safe")</f>
        <v>Safe</v>
      </c>
      <c r="AA1533">
        <f>WarehouseData[[#This Row],[stock_level]]/WarehouseData[[#This Row],[daily_demand]]</f>
        <v>12.188074599422118</v>
      </c>
      <c r="AB1533">
        <f>WarehouseData[[#This Row],[stock_level]]*WarehouseData[[#This Row],[unit_price]]</f>
        <v>62324.479999999996</v>
      </c>
      <c r="AC1533">
        <f>WarehouseData[[#This Row],[stock_level]]*WarehouseData[[#This Row],[holding_cost_per_unit_day]]*30</f>
        <v>15172.800000000001</v>
      </c>
      <c r="AD1533" t="str">
        <f>IF(WarehouseData[[#This Row],[order_fulfillment_rate]]&gt;=0.9,"Strong",IF(WarehouseData[[#This Row],[order_fulfillment_rate]]&gt;=0.8,"Moderate","Needs Attention"))</f>
        <v>Strong</v>
      </c>
      <c r="AE1533" t="str">
        <f>IF(WarehouseData[[#This Row],[picking_time_seconds]]&gt;120,"Slow",IF(WarehouseData[[#This Row],[picking_time_seconds]]&gt;=60,"Average","Fast"))</f>
        <v>Fast</v>
      </c>
    </row>
    <row r="1534" spans="1:31" x14ac:dyDescent="0.25">
      <c r="A1534" t="s">
        <v>1672</v>
      </c>
      <c r="B1534" t="s">
        <v>73</v>
      </c>
      <c r="C1534">
        <v>288</v>
      </c>
      <c r="D1534">
        <v>66</v>
      </c>
      <c r="E1534">
        <v>6</v>
      </c>
      <c r="F1534">
        <v>6</v>
      </c>
      <c r="G1534">
        <v>22.27</v>
      </c>
      <c r="H1534">
        <v>8.39</v>
      </c>
      <c r="I1534">
        <v>0.62</v>
      </c>
      <c r="J1534" t="s">
        <v>54</v>
      </c>
      <c r="K1534" t="s">
        <v>38</v>
      </c>
      <c r="L1534">
        <v>96</v>
      </c>
      <c r="M1534">
        <v>0.62</v>
      </c>
      <c r="N1534">
        <v>134.97</v>
      </c>
      <c r="O1534">
        <v>1.18</v>
      </c>
      <c r="P1534">
        <v>8</v>
      </c>
      <c r="Q1534">
        <v>0.93</v>
      </c>
      <c r="R1534">
        <v>521</v>
      </c>
      <c r="S1534">
        <v>5.28</v>
      </c>
      <c r="T1534">
        <v>0.71</v>
      </c>
      <c r="U1534" s="1">
        <v>45458</v>
      </c>
      <c r="V1534">
        <v>178.74</v>
      </c>
      <c r="W1534">
        <v>0.52</v>
      </c>
      <c r="X1534" t="str">
        <f>IF(WarehouseData[[#This Row],[stock_level]]&lt;=WarehouseData[[#This Row],[reorder_point]],"Low Stock","Sufficient Stock")</f>
        <v>Sufficient Stock</v>
      </c>
      <c r="Y1534">
        <f>WarehouseData[[#This Row],[daily_demand]]*WarehouseData[[#This Row],[lead_time_days]]</f>
        <v>133.62</v>
      </c>
      <c r="Z1534" t="str">
        <f>IF(WarehouseData[[#This Row],[stock_level]]&lt;=WarehouseData[[#This Row],[Demand During Lead Time]],"At Risk","Safe")</f>
        <v>Safe</v>
      </c>
      <c r="AA1534">
        <f>WarehouseData[[#This Row],[stock_level]]/WarehouseData[[#This Row],[daily_demand]]</f>
        <v>12.93219577907499</v>
      </c>
      <c r="AB1534">
        <f>WarehouseData[[#This Row],[stock_level]]*WarehouseData[[#This Row],[unit_price]]</f>
        <v>38871.360000000001</v>
      </c>
      <c r="AC1534">
        <f>WarehouseData[[#This Row],[stock_level]]*WarehouseData[[#This Row],[holding_cost_per_unit_day]]*30</f>
        <v>10195.199999999999</v>
      </c>
      <c r="AD1534" t="str">
        <f>IF(WarehouseData[[#This Row],[order_fulfillment_rate]]&gt;=0.9,"Strong",IF(WarehouseData[[#This Row],[order_fulfillment_rate]]&gt;=0.8,"Moderate","Needs Attention"))</f>
        <v>Strong</v>
      </c>
      <c r="AE1534" t="str">
        <f>IF(WarehouseData[[#This Row],[picking_time_seconds]]&gt;120,"Slow",IF(WarehouseData[[#This Row],[picking_time_seconds]]&gt;=60,"Average","Fast"))</f>
        <v>Average</v>
      </c>
    </row>
    <row r="1535" spans="1:31" x14ac:dyDescent="0.25">
      <c r="A1535" t="s">
        <v>1673</v>
      </c>
      <c r="B1535" t="s">
        <v>40</v>
      </c>
      <c r="C1535">
        <v>286</v>
      </c>
      <c r="D1535">
        <v>10</v>
      </c>
      <c r="E1535">
        <v>5</v>
      </c>
      <c r="F1535">
        <v>8</v>
      </c>
      <c r="G1535">
        <v>28.37</v>
      </c>
      <c r="H1535">
        <v>6.53</v>
      </c>
      <c r="I1535">
        <v>0.45</v>
      </c>
      <c r="J1535" t="s">
        <v>276</v>
      </c>
      <c r="K1535" t="s">
        <v>52</v>
      </c>
      <c r="L1535">
        <v>93</v>
      </c>
      <c r="M1535">
        <v>3.16</v>
      </c>
      <c r="N1535">
        <v>56.92</v>
      </c>
      <c r="O1535">
        <v>0.1</v>
      </c>
      <c r="P1535">
        <v>9</v>
      </c>
      <c r="Q1535">
        <v>0.72</v>
      </c>
      <c r="R1535">
        <v>984</v>
      </c>
      <c r="S1535">
        <v>6.67</v>
      </c>
      <c r="T1535">
        <v>0.38</v>
      </c>
      <c r="U1535" s="1">
        <v>45433</v>
      </c>
      <c r="V1535">
        <v>188.88</v>
      </c>
      <c r="W1535">
        <v>0.51900000000000002</v>
      </c>
      <c r="X1535" t="str">
        <f>IF(WarehouseData[[#This Row],[stock_level]]&lt;=WarehouseData[[#This Row],[reorder_point]],"Low Stock","Sufficient Stock")</f>
        <v>Sufficient Stock</v>
      </c>
      <c r="Y1535">
        <f>WarehouseData[[#This Row],[daily_demand]]*WarehouseData[[#This Row],[lead_time_days]]</f>
        <v>226.96</v>
      </c>
      <c r="Z1535" t="str">
        <f>IF(WarehouseData[[#This Row],[stock_level]]&lt;=WarehouseData[[#This Row],[Demand During Lead Time]],"At Risk","Safe")</f>
        <v>Safe</v>
      </c>
      <c r="AA1535">
        <f>WarehouseData[[#This Row],[stock_level]]/WarehouseData[[#This Row],[daily_demand]]</f>
        <v>10.081071554458935</v>
      </c>
      <c r="AB1535">
        <f>WarehouseData[[#This Row],[stock_level]]*WarehouseData[[#This Row],[unit_price]]</f>
        <v>16279.12</v>
      </c>
      <c r="AC1535">
        <f>WarehouseData[[#This Row],[stock_level]]*WarehouseData[[#This Row],[holding_cost_per_unit_day]]*30</f>
        <v>858</v>
      </c>
      <c r="AD1535" t="str">
        <f>IF(WarehouseData[[#This Row],[order_fulfillment_rate]]&gt;=0.9,"Strong",IF(WarehouseData[[#This Row],[order_fulfillment_rate]]&gt;=0.8,"Moderate","Needs Attention"))</f>
        <v>Needs Attention</v>
      </c>
      <c r="AE1535" t="str">
        <f>IF(WarehouseData[[#This Row],[picking_time_seconds]]&gt;120,"Slow",IF(WarehouseData[[#This Row],[picking_time_seconds]]&gt;=60,"Average","Fast"))</f>
        <v>Average</v>
      </c>
    </row>
    <row r="1536" spans="1:31" x14ac:dyDescent="0.25">
      <c r="A1536" t="s">
        <v>1674</v>
      </c>
      <c r="B1536" t="s">
        <v>36</v>
      </c>
      <c r="C1536">
        <v>73</v>
      </c>
      <c r="D1536">
        <v>80</v>
      </c>
      <c r="E1536">
        <v>9</v>
      </c>
      <c r="F1536">
        <v>5</v>
      </c>
      <c r="G1536">
        <v>41.01</v>
      </c>
      <c r="H1536">
        <v>9.1</v>
      </c>
      <c r="I1536">
        <v>0.18</v>
      </c>
      <c r="J1536" t="s">
        <v>135</v>
      </c>
      <c r="K1536" t="s">
        <v>52</v>
      </c>
      <c r="L1536">
        <v>20</v>
      </c>
      <c r="M1536">
        <v>3.68</v>
      </c>
      <c r="N1536">
        <v>167.44</v>
      </c>
      <c r="O1536">
        <v>1.96</v>
      </c>
      <c r="P1536">
        <v>2</v>
      </c>
      <c r="Q1536">
        <v>0.82</v>
      </c>
      <c r="R1536">
        <v>421</v>
      </c>
      <c r="S1536">
        <v>11.65</v>
      </c>
      <c r="T1536">
        <v>0.61</v>
      </c>
      <c r="U1536" s="1">
        <v>45558</v>
      </c>
      <c r="V1536">
        <v>215.69</v>
      </c>
      <c r="W1536">
        <v>0.60499999999999998</v>
      </c>
      <c r="X1536" t="str">
        <f>IF(WarehouseData[[#This Row],[stock_level]]&lt;=WarehouseData[[#This Row],[reorder_point]],"Low Stock","Sufficient Stock")</f>
        <v>Low Stock</v>
      </c>
      <c r="Y1536">
        <f>WarehouseData[[#This Row],[daily_demand]]*WarehouseData[[#This Row],[lead_time_days]]</f>
        <v>205.04999999999998</v>
      </c>
      <c r="Z1536" t="str">
        <f>IF(WarehouseData[[#This Row],[stock_level]]&lt;=WarehouseData[[#This Row],[Demand During Lead Time]],"At Risk","Safe")</f>
        <v>At Risk</v>
      </c>
      <c r="AA1536">
        <f>WarehouseData[[#This Row],[stock_level]]/WarehouseData[[#This Row],[daily_demand]]</f>
        <v>1.7800536454523288</v>
      </c>
      <c r="AB1536">
        <f>WarehouseData[[#This Row],[stock_level]]*WarehouseData[[#This Row],[unit_price]]</f>
        <v>12223.119999999999</v>
      </c>
      <c r="AC1536">
        <f>WarehouseData[[#This Row],[stock_level]]*WarehouseData[[#This Row],[holding_cost_per_unit_day]]*30</f>
        <v>4292.3999999999996</v>
      </c>
      <c r="AD1536" t="str">
        <f>IF(WarehouseData[[#This Row],[order_fulfillment_rate]]&gt;=0.9,"Strong",IF(WarehouseData[[#This Row],[order_fulfillment_rate]]&gt;=0.8,"Moderate","Needs Attention"))</f>
        <v>Moderate</v>
      </c>
      <c r="AE1536" t="str">
        <f>IF(WarehouseData[[#This Row],[picking_time_seconds]]&gt;120,"Slow",IF(WarehouseData[[#This Row],[picking_time_seconds]]&gt;=60,"Average","Fast"))</f>
        <v>Fast</v>
      </c>
    </row>
    <row r="1537" spans="1:31" x14ac:dyDescent="0.25">
      <c r="A1537" t="s">
        <v>1675</v>
      </c>
      <c r="B1537" t="s">
        <v>73</v>
      </c>
      <c r="C1537">
        <v>35</v>
      </c>
      <c r="D1537">
        <v>67</v>
      </c>
      <c r="E1537">
        <v>5</v>
      </c>
      <c r="F1537">
        <v>2</v>
      </c>
      <c r="G1537">
        <v>11.88</v>
      </c>
      <c r="H1537">
        <v>7.13</v>
      </c>
      <c r="I1537">
        <v>0.46</v>
      </c>
      <c r="J1537" t="s">
        <v>178</v>
      </c>
      <c r="K1537" t="s">
        <v>38</v>
      </c>
      <c r="L1537">
        <v>80</v>
      </c>
      <c r="M1537">
        <v>4.34</v>
      </c>
      <c r="N1537">
        <v>130.19</v>
      </c>
      <c r="O1537">
        <v>0.67</v>
      </c>
      <c r="P1537">
        <v>3</v>
      </c>
      <c r="Q1537">
        <v>0.79</v>
      </c>
      <c r="R1537">
        <v>480</v>
      </c>
      <c r="S1537">
        <v>14.38</v>
      </c>
      <c r="T1537">
        <v>0.81</v>
      </c>
      <c r="U1537" s="1">
        <v>45526</v>
      </c>
      <c r="V1537">
        <v>263.44</v>
      </c>
      <c r="W1537">
        <v>0.78500000000000003</v>
      </c>
      <c r="X1537" t="str">
        <f>IF(WarehouseData[[#This Row],[stock_level]]&lt;=WarehouseData[[#This Row],[reorder_point]],"Low Stock","Sufficient Stock")</f>
        <v>Low Stock</v>
      </c>
      <c r="Y1537">
        <f>WarehouseData[[#This Row],[daily_demand]]*WarehouseData[[#This Row],[lead_time_days]]</f>
        <v>23.76</v>
      </c>
      <c r="Z1537" t="str">
        <f>IF(WarehouseData[[#This Row],[stock_level]]&lt;=WarehouseData[[#This Row],[Demand During Lead Time]],"At Risk","Safe")</f>
        <v>Safe</v>
      </c>
      <c r="AA1537">
        <f>WarehouseData[[#This Row],[stock_level]]/WarehouseData[[#This Row],[daily_demand]]</f>
        <v>2.9461279461279459</v>
      </c>
      <c r="AB1537">
        <f>WarehouseData[[#This Row],[stock_level]]*WarehouseData[[#This Row],[unit_price]]</f>
        <v>4556.6499999999996</v>
      </c>
      <c r="AC1537">
        <f>WarehouseData[[#This Row],[stock_level]]*WarehouseData[[#This Row],[holding_cost_per_unit_day]]*30</f>
        <v>703.50000000000011</v>
      </c>
      <c r="AD1537" t="str">
        <f>IF(WarehouseData[[#This Row],[order_fulfillment_rate]]&gt;=0.9,"Strong",IF(WarehouseData[[#This Row],[order_fulfillment_rate]]&gt;=0.8,"Moderate","Needs Attention"))</f>
        <v>Needs Attention</v>
      </c>
      <c r="AE1537" t="str">
        <f>IF(WarehouseData[[#This Row],[picking_time_seconds]]&gt;120,"Slow",IF(WarehouseData[[#This Row],[picking_time_seconds]]&gt;=60,"Average","Fast"))</f>
        <v>Average</v>
      </c>
    </row>
    <row r="1538" spans="1:31" x14ac:dyDescent="0.25">
      <c r="A1538" t="s">
        <v>1676</v>
      </c>
      <c r="B1538" t="s">
        <v>36</v>
      </c>
      <c r="C1538">
        <v>27</v>
      </c>
      <c r="D1538">
        <v>30</v>
      </c>
      <c r="E1538">
        <v>4</v>
      </c>
      <c r="F1538">
        <v>9</v>
      </c>
      <c r="G1538">
        <v>17.8</v>
      </c>
      <c r="H1538">
        <v>4.0199999999999996</v>
      </c>
      <c r="I1538">
        <v>0.28999999999999998</v>
      </c>
      <c r="J1538" t="s">
        <v>183</v>
      </c>
      <c r="K1538" t="s">
        <v>38</v>
      </c>
      <c r="L1538">
        <v>103</v>
      </c>
      <c r="M1538">
        <v>4.76</v>
      </c>
      <c r="N1538">
        <v>166.99</v>
      </c>
      <c r="O1538">
        <v>0.25</v>
      </c>
      <c r="P1538">
        <v>8</v>
      </c>
      <c r="Q1538">
        <v>0.72</v>
      </c>
      <c r="R1538">
        <v>588</v>
      </c>
      <c r="S1538">
        <v>11.69</v>
      </c>
      <c r="T1538">
        <v>0.25</v>
      </c>
      <c r="U1538" s="1">
        <v>45298</v>
      </c>
      <c r="V1538">
        <v>23.17</v>
      </c>
      <c r="W1538">
        <v>0.56499999999999995</v>
      </c>
      <c r="X1538" t="str">
        <f>IF(WarehouseData[[#This Row],[stock_level]]&lt;=WarehouseData[[#This Row],[reorder_point]],"Low Stock","Sufficient Stock")</f>
        <v>Low Stock</v>
      </c>
      <c r="Y1538">
        <f>WarehouseData[[#This Row],[daily_demand]]*WarehouseData[[#This Row],[lead_time_days]]</f>
        <v>160.20000000000002</v>
      </c>
      <c r="Z1538" t="str">
        <f>IF(WarehouseData[[#This Row],[stock_level]]&lt;=WarehouseData[[#This Row],[Demand During Lead Time]],"At Risk","Safe")</f>
        <v>At Risk</v>
      </c>
      <c r="AA1538">
        <f>WarehouseData[[#This Row],[stock_level]]/WarehouseData[[#This Row],[daily_demand]]</f>
        <v>1.5168539325842696</v>
      </c>
      <c r="AB1538">
        <f>WarehouseData[[#This Row],[stock_level]]*WarehouseData[[#This Row],[unit_price]]</f>
        <v>4508.7300000000005</v>
      </c>
      <c r="AC1538">
        <f>WarehouseData[[#This Row],[stock_level]]*WarehouseData[[#This Row],[holding_cost_per_unit_day]]*30</f>
        <v>202.5</v>
      </c>
      <c r="AD1538" t="str">
        <f>IF(WarehouseData[[#This Row],[order_fulfillment_rate]]&gt;=0.9,"Strong",IF(WarehouseData[[#This Row],[order_fulfillment_rate]]&gt;=0.8,"Moderate","Needs Attention"))</f>
        <v>Needs Attention</v>
      </c>
      <c r="AE1538" t="str">
        <f>IF(WarehouseData[[#This Row],[picking_time_seconds]]&gt;120,"Slow",IF(WarehouseData[[#This Row],[picking_time_seconds]]&gt;=60,"Average","Fast"))</f>
        <v>Average</v>
      </c>
    </row>
    <row r="1539" spans="1:31" x14ac:dyDescent="0.25">
      <c r="A1539" t="s">
        <v>1677</v>
      </c>
      <c r="B1539" t="s">
        <v>36</v>
      </c>
      <c r="C1539">
        <v>123</v>
      </c>
      <c r="D1539">
        <v>89</v>
      </c>
      <c r="E1539">
        <v>12</v>
      </c>
      <c r="F1539">
        <v>3</v>
      </c>
      <c r="G1539">
        <v>38.89</v>
      </c>
      <c r="H1539">
        <v>2.2200000000000002</v>
      </c>
      <c r="I1539">
        <v>0.71</v>
      </c>
      <c r="J1539" t="s">
        <v>245</v>
      </c>
      <c r="K1539" t="s">
        <v>46</v>
      </c>
      <c r="L1539">
        <v>132</v>
      </c>
      <c r="M1539">
        <v>4.62</v>
      </c>
      <c r="N1539">
        <v>134.99</v>
      </c>
      <c r="O1539">
        <v>1.72</v>
      </c>
      <c r="P1539">
        <v>4</v>
      </c>
      <c r="Q1539">
        <v>0.82</v>
      </c>
      <c r="R1539">
        <v>397</v>
      </c>
      <c r="S1539">
        <v>11.17</v>
      </c>
      <c r="T1539">
        <v>0.89</v>
      </c>
      <c r="U1539" s="1">
        <v>45650</v>
      </c>
      <c r="V1539">
        <v>173.33</v>
      </c>
      <c r="W1539">
        <v>0.63900000000000001</v>
      </c>
      <c r="X1539" t="str">
        <f>IF(WarehouseData[[#This Row],[stock_level]]&lt;=WarehouseData[[#This Row],[reorder_point]],"Low Stock","Sufficient Stock")</f>
        <v>Sufficient Stock</v>
      </c>
      <c r="Y1539">
        <f>WarehouseData[[#This Row],[daily_demand]]*WarehouseData[[#This Row],[lead_time_days]]</f>
        <v>116.67</v>
      </c>
      <c r="Z1539" t="str">
        <f>IF(WarehouseData[[#This Row],[stock_level]]&lt;=WarehouseData[[#This Row],[Demand During Lead Time]],"At Risk","Safe")</f>
        <v>Safe</v>
      </c>
      <c r="AA1539">
        <f>WarehouseData[[#This Row],[stock_level]]/WarehouseData[[#This Row],[daily_demand]]</f>
        <v>3.1627667780920543</v>
      </c>
      <c r="AB1539">
        <f>WarehouseData[[#This Row],[stock_level]]*WarehouseData[[#This Row],[unit_price]]</f>
        <v>16603.77</v>
      </c>
      <c r="AC1539">
        <f>WarehouseData[[#This Row],[stock_level]]*WarehouseData[[#This Row],[holding_cost_per_unit_day]]*30</f>
        <v>6346.8</v>
      </c>
      <c r="AD1539" t="str">
        <f>IF(WarehouseData[[#This Row],[order_fulfillment_rate]]&gt;=0.9,"Strong",IF(WarehouseData[[#This Row],[order_fulfillment_rate]]&gt;=0.8,"Moderate","Needs Attention"))</f>
        <v>Moderate</v>
      </c>
      <c r="AE1539" t="str">
        <f>IF(WarehouseData[[#This Row],[picking_time_seconds]]&gt;120,"Slow",IF(WarehouseData[[#This Row],[picking_time_seconds]]&gt;=60,"Average","Fast"))</f>
        <v>Slow</v>
      </c>
    </row>
    <row r="1540" spans="1:31" x14ac:dyDescent="0.25">
      <c r="A1540" t="s">
        <v>1678</v>
      </c>
      <c r="B1540" t="s">
        <v>40</v>
      </c>
      <c r="C1540">
        <v>78</v>
      </c>
      <c r="D1540">
        <v>65</v>
      </c>
      <c r="E1540">
        <v>10</v>
      </c>
      <c r="F1540">
        <v>3</v>
      </c>
      <c r="G1540">
        <v>28.95</v>
      </c>
      <c r="H1540">
        <v>9.2799999999999994</v>
      </c>
      <c r="I1540">
        <v>0.43</v>
      </c>
      <c r="J1540" t="s">
        <v>92</v>
      </c>
      <c r="K1540" t="s">
        <v>46</v>
      </c>
      <c r="L1540">
        <v>150</v>
      </c>
      <c r="M1540">
        <v>2.33</v>
      </c>
      <c r="N1540">
        <v>66.87</v>
      </c>
      <c r="O1540">
        <v>0.39</v>
      </c>
      <c r="P1540">
        <v>3</v>
      </c>
      <c r="Q1540">
        <v>0.88</v>
      </c>
      <c r="R1540">
        <v>120</v>
      </c>
      <c r="S1540">
        <v>14.88</v>
      </c>
      <c r="T1540">
        <v>0.71</v>
      </c>
      <c r="U1540" s="1">
        <v>45611</v>
      </c>
      <c r="V1540">
        <v>117.04</v>
      </c>
      <c r="W1540">
        <v>0.81699999999999995</v>
      </c>
      <c r="X1540" t="str">
        <f>IF(WarehouseData[[#This Row],[stock_level]]&lt;=WarehouseData[[#This Row],[reorder_point]],"Low Stock","Sufficient Stock")</f>
        <v>Sufficient Stock</v>
      </c>
      <c r="Y1540">
        <f>WarehouseData[[#This Row],[daily_demand]]*WarehouseData[[#This Row],[lead_time_days]]</f>
        <v>86.85</v>
      </c>
      <c r="Z1540" t="str">
        <f>IF(WarehouseData[[#This Row],[stock_level]]&lt;=WarehouseData[[#This Row],[Demand During Lead Time]],"At Risk","Safe")</f>
        <v>At Risk</v>
      </c>
      <c r="AA1540">
        <f>WarehouseData[[#This Row],[stock_level]]/WarehouseData[[#This Row],[daily_demand]]</f>
        <v>2.6943005181347153</v>
      </c>
      <c r="AB1540">
        <f>WarehouseData[[#This Row],[stock_level]]*WarehouseData[[#This Row],[unit_price]]</f>
        <v>5215.8600000000006</v>
      </c>
      <c r="AC1540">
        <f>WarehouseData[[#This Row],[stock_level]]*WarehouseData[[#This Row],[holding_cost_per_unit_day]]*30</f>
        <v>912.6</v>
      </c>
      <c r="AD1540" t="str">
        <f>IF(WarehouseData[[#This Row],[order_fulfillment_rate]]&gt;=0.9,"Strong",IF(WarehouseData[[#This Row],[order_fulfillment_rate]]&gt;=0.8,"Moderate","Needs Attention"))</f>
        <v>Moderate</v>
      </c>
      <c r="AE1540" t="str">
        <f>IF(WarehouseData[[#This Row],[picking_time_seconds]]&gt;120,"Slow",IF(WarehouseData[[#This Row],[picking_time_seconds]]&gt;=60,"Average","Fast"))</f>
        <v>Slow</v>
      </c>
    </row>
    <row r="1541" spans="1:31" x14ac:dyDescent="0.25">
      <c r="A1541" t="s">
        <v>1679</v>
      </c>
      <c r="B1541" t="s">
        <v>32</v>
      </c>
      <c r="C1541">
        <v>332</v>
      </c>
      <c r="D1541">
        <v>96</v>
      </c>
      <c r="E1541">
        <v>6</v>
      </c>
      <c r="F1541">
        <v>6</v>
      </c>
      <c r="G1541">
        <v>5.53</v>
      </c>
      <c r="H1541">
        <v>1.48</v>
      </c>
      <c r="I1541">
        <v>0.23</v>
      </c>
      <c r="J1541" t="s">
        <v>62</v>
      </c>
      <c r="K1541" t="s">
        <v>34</v>
      </c>
      <c r="L1541">
        <v>115</v>
      </c>
      <c r="M1541">
        <v>4.53</v>
      </c>
      <c r="N1541">
        <v>46</v>
      </c>
      <c r="O1541">
        <v>0.15</v>
      </c>
      <c r="P1541">
        <v>5</v>
      </c>
      <c r="Q1541">
        <v>0.75</v>
      </c>
      <c r="R1541">
        <v>531</v>
      </c>
      <c r="S1541">
        <v>11.72</v>
      </c>
      <c r="T1541">
        <v>0.78</v>
      </c>
      <c r="U1541" s="1">
        <v>45592</v>
      </c>
      <c r="V1541">
        <v>251.62</v>
      </c>
      <c r="W1541">
        <v>0.747</v>
      </c>
      <c r="X1541" t="str">
        <f>IF(WarehouseData[[#This Row],[stock_level]]&lt;=WarehouseData[[#This Row],[reorder_point]],"Low Stock","Sufficient Stock")</f>
        <v>Sufficient Stock</v>
      </c>
      <c r="Y1541">
        <f>WarehouseData[[#This Row],[daily_demand]]*WarehouseData[[#This Row],[lead_time_days]]</f>
        <v>33.18</v>
      </c>
      <c r="Z1541" t="str">
        <f>IF(WarehouseData[[#This Row],[stock_level]]&lt;=WarehouseData[[#This Row],[Demand During Lead Time]],"At Risk","Safe")</f>
        <v>Safe</v>
      </c>
      <c r="AA1541">
        <f>WarehouseData[[#This Row],[stock_level]]/WarehouseData[[#This Row],[daily_demand]]</f>
        <v>60.036166365280287</v>
      </c>
      <c r="AB1541">
        <f>WarehouseData[[#This Row],[stock_level]]*WarehouseData[[#This Row],[unit_price]]</f>
        <v>15272</v>
      </c>
      <c r="AC1541">
        <f>WarehouseData[[#This Row],[stock_level]]*WarehouseData[[#This Row],[holding_cost_per_unit_day]]*30</f>
        <v>1494</v>
      </c>
      <c r="AD1541" t="str">
        <f>IF(WarehouseData[[#This Row],[order_fulfillment_rate]]&gt;=0.9,"Strong",IF(WarehouseData[[#This Row],[order_fulfillment_rate]]&gt;=0.8,"Moderate","Needs Attention"))</f>
        <v>Needs Attention</v>
      </c>
      <c r="AE1541" t="str">
        <f>IF(WarehouseData[[#This Row],[picking_time_seconds]]&gt;120,"Slow",IF(WarehouseData[[#This Row],[picking_time_seconds]]&gt;=60,"Average","Fast"))</f>
        <v>Average</v>
      </c>
    </row>
    <row r="1542" spans="1:31" x14ac:dyDescent="0.25">
      <c r="A1542" t="s">
        <v>1680</v>
      </c>
      <c r="B1542" t="s">
        <v>48</v>
      </c>
      <c r="C1542">
        <v>59</v>
      </c>
      <c r="D1542">
        <v>29</v>
      </c>
      <c r="E1542">
        <v>10</v>
      </c>
      <c r="F1542">
        <v>7</v>
      </c>
      <c r="G1542">
        <v>22.08</v>
      </c>
      <c r="H1542">
        <v>5.66</v>
      </c>
      <c r="I1542">
        <v>0.41</v>
      </c>
      <c r="J1542" t="s">
        <v>95</v>
      </c>
      <c r="K1542" t="s">
        <v>34</v>
      </c>
      <c r="L1542">
        <v>58</v>
      </c>
      <c r="M1542">
        <v>0.5</v>
      </c>
      <c r="N1542">
        <v>24.62</v>
      </c>
      <c r="O1542">
        <v>1.04</v>
      </c>
      <c r="P1542">
        <v>0</v>
      </c>
      <c r="Q1542">
        <v>0.79</v>
      </c>
      <c r="R1542">
        <v>780</v>
      </c>
      <c r="S1542">
        <v>2.95</v>
      </c>
      <c r="T1542">
        <v>0.76</v>
      </c>
      <c r="U1542" s="1">
        <v>45559</v>
      </c>
      <c r="V1542">
        <v>48.81</v>
      </c>
      <c r="W1542">
        <v>0.64500000000000002</v>
      </c>
      <c r="X1542" t="str">
        <f>IF(WarehouseData[[#This Row],[stock_level]]&lt;=WarehouseData[[#This Row],[reorder_point]],"Low Stock","Sufficient Stock")</f>
        <v>Sufficient Stock</v>
      </c>
      <c r="Y1542">
        <f>WarehouseData[[#This Row],[daily_demand]]*WarehouseData[[#This Row],[lead_time_days]]</f>
        <v>154.56</v>
      </c>
      <c r="Z1542" t="str">
        <f>IF(WarehouseData[[#This Row],[stock_level]]&lt;=WarehouseData[[#This Row],[Demand During Lead Time]],"At Risk","Safe")</f>
        <v>At Risk</v>
      </c>
      <c r="AA1542">
        <f>WarehouseData[[#This Row],[stock_level]]/WarehouseData[[#This Row],[daily_demand]]</f>
        <v>2.6721014492753623</v>
      </c>
      <c r="AB1542">
        <f>WarehouseData[[#This Row],[stock_level]]*WarehouseData[[#This Row],[unit_price]]</f>
        <v>1452.5800000000002</v>
      </c>
      <c r="AC1542">
        <f>WarehouseData[[#This Row],[stock_level]]*WarehouseData[[#This Row],[holding_cost_per_unit_day]]*30</f>
        <v>1840.8</v>
      </c>
      <c r="AD1542" t="str">
        <f>IF(WarehouseData[[#This Row],[order_fulfillment_rate]]&gt;=0.9,"Strong",IF(WarehouseData[[#This Row],[order_fulfillment_rate]]&gt;=0.8,"Moderate","Needs Attention"))</f>
        <v>Needs Attention</v>
      </c>
      <c r="AE1542" t="str">
        <f>IF(WarehouseData[[#This Row],[picking_time_seconds]]&gt;120,"Slow",IF(WarehouseData[[#This Row],[picking_time_seconds]]&gt;=60,"Average","Fast"))</f>
        <v>Fast</v>
      </c>
    </row>
    <row r="1543" spans="1:31" x14ac:dyDescent="0.25">
      <c r="A1543" t="s">
        <v>1681</v>
      </c>
      <c r="B1543" t="s">
        <v>32</v>
      </c>
      <c r="C1543">
        <v>256</v>
      </c>
      <c r="D1543">
        <v>63</v>
      </c>
      <c r="E1543">
        <v>3</v>
      </c>
      <c r="F1543">
        <v>5</v>
      </c>
      <c r="G1543">
        <v>29.75</v>
      </c>
      <c r="H1543">
        <v>3.48</v>
      </c>
      <c r="I1543">
        <v>0.3</v>
      </c>
      <c r="J1543" t="s">
        <v>66</v>
      </c>
      <c r="K1543" t="s">
        <v>46</v>
      </c>
      <c r="L1543">
        <v>16</v>
      </c>
      <c r="M1543">
        <v>2.08</v>
      </c>
      <c r="N1543">
        <v>121.34</v>
      </c>
      <c r="O1543">
        <v>0.35</v>
      </c>
      <c r="P1543">
        <v>9</v>
      </c>
      <c r="Q1543">
        <v>0.89</v>
      </c>
      <c r="R1543">
        <v>851</v>
      </c>
      <c r="S1543">
        <v>7.46</v>
      </c>
      <c r="T1543">
        <v>0.88</v>
      </c>
      <c r="U1543" s="1">
        <v>45506</v>
      </c>
      <c r="V1543">
        <v>273.81</v>
      </c>
      <c r="W1543">
        <v>0.63800000000000001</v>
      </c>
      <c r="X1543" t="str">
        <f>IF(WarehouseData[[#This Row],[stock_level]]&lt;=WarehouseData[[#This Row],[reorder_point]],"Low Stock","Sufficient Stock")</f>
        <v>Sufficient Stock</v>
      </c>
      <c r="Y1543">
        <f>WarehouseData[[#This Row],[daily_demand]]*WarehouseData[[#This Row],[lead_time_days]]</f>
        <v>148.75</v>
      </c>
      <c r="Z1543" t="str">
        <f>IF(WarehouseData[[#This Row],[stock_level]]&lt;=WarehouseData[[#This Row],[Demand During Lead Time]],"At Risk","Safe")</f>
        <v>Safe</v>
      </c>
      <c r="AA1543">
        <f>WarehouseData[[#This Row],[stock_level]]/WarehouseData[[#This Row],[daily_demand]]</f>
        <v>8.6050420168067223</v>
      </c>
      <c r="AB1543">
        <f>WarehouseData[[#This Row],[stock_level]]*WarehouseData[[#This Row],[unit_price]]</f>
        <v>31063.040000000001</v>
      </c>
      <c r="AC1543">
        <f>WarehouseData[[#This Row],[stock_level]]*WarehouseData[[#This Row],[holding_cost_per_unit_day]]*30</f>
        <v>2688</v>
      </c>
      <c r="AD1543" t="str">
        <f>IF(WarehouseData[[#This Row],[order_fulfillment_rate]]&gt;=0.9,"Strong",IF(WarehouseData[[#This Row],[order_fulfillment_rate]]&gt;=0.8,"Moderate","Needs Attention"))</f>
        <v>Moderate</v>
      </c>
      <c r="AE1543" t="str">
        <f>IF(WarehouseData[[#This Row],[picking_time_seconds]]&gt;120,"Slow",IF(WarehouseData[[#This Row],[picking_time_seconds]]&gt;=60,"Average","Fast"))</f>
        <v>Fast</v>
      </c>
    </row>
    <row r="1544" spans="1:31" x14ac:dyDescent="0.25">
      <c r="A1544" t="s">
        <v>1682</v>
      </c>
      <c r="B1544" t="s">
        <v>40</v>
      </c>
      <c r="C1544">
        <v>462</v>
      </c>
      <c r="D1544">
        <v>34</v>
      </c>
      <c r="E1544">
        <v>7</v>
      </c>
      <c r="F1544">
        <v>2</v>
      </c>
      <c r="G1544">
        <v>45.57</v>
      </c>
      <c r="H1544">
        <v>3.08</v>
      </c>
      <c r="I1544">
        <v>0.82</v>
      </c>
      <c r="J1544" t="s">
        <v>245</v>
      </c>
      <c r="K1544" t="s">
        <v>38</v>
      </c>
      <c r="L1544">
        <v>110</v>
      </c>
      <c r="M1544">
        <v>1.01</v>
      </c>
      <c r="N1544">
        <v>63.97</v>
      </c>
      <c r="O1544">
        <v>1.97</v>
      </c>
      <c r="P1544">
        <v>0</v>
      </c>
      <c r="Q1544">
        <v>0.87</v>
      </c>
      <c r="R1544">
        <v>305</v>
      </c>
      <c r="S1544">
        <v>8.0500000000000007</v>
      </c>
      <c r="T1544">
        <v>0.27</v>
      </c>
      <c r="U1544" s="1">
        <v>45349</v>
      </c>
      <c r="V1544">
        <v>45.96</v>
      </c>
      <c r="W1544">
        <v>0.53800000000000003</v>
      </c>
      <c r="X1544" t="str">
        <f>IF(WarehouseData[[#This Row],[stock_level]]&lt;=WarehouseData[[#This Row],[reorder_point]],"Low Stock","Sufficient Stock")</f>
        <v>Sufficient Stock</v>
      </c>
      <c r="Y1544">
        <f>WarehouseData[[#This Row],[daily_demand]]*WarehouseData[[#This Row],[lead_time_days]]</f>
        <v>91.14</v>
      </c>
      <c r="Z1544" t="str">
        <f>IF(WarehouseData[[#This Row],[stock_level]]&lt;=WarehouseData[[#This Row],[Demand During Lead Time]],"At Risk","Safe")</f>
        <v>Safe</v>
      </c>
      <c r="AA1544">
        <f>WarehouseData[[#This Row],[stock_level]]/WarehouseData[[#This Row],[daily_demand]]</f>
        <v>10.138248847926267</v>
      </c>
      <c r="AB1544">
        <f>WarehouseData[[#This Row],[stock_level]]*WarehouseData[[#This Row],[unit_price]]</f>
        <v>29554.14</v>
      </c>
      <c r="AC1544">
        <f>WarehouseData[[#This Row],[stock_level]]*WarehouseData[[#This Row],[holding_cost_per_unit_day]]*30</f>
        <v>27304.2</v>
      </c>
      <c r="AD1544" t="str">
        <f>IF(WarehouseData[[#This Row],[order_fulfillment_rate]]&gt;=0.9,"Strong",IF(WarehouseData[[#This Row],[order_fulfillment_rate]]&gt;=0.8,"Moderate","Needs Attention"))</f>
        <v>Moderate</v>
      </c>
      <c r="AE1544" t="str">
        <f>IF(WarehouseData[[#This Row],[picking_time_seconds]]&gt;120,"Slow",IF(WarehouseData[[#This Row],[picking_time_seconds]]&gt;=60,"Average","Fast"))</f>
        <v>Average</v>
      </c>
    </row>
    <row r="1545" spans="1:31" x14ac:dyDescent="0.25">
      <c r="A1545" t="s">
        <v>1683</v>
      </c>
      <c r="B1545" t="s">
        <v>40</v>
      </c>
      <c r="C1545">
        <v>405</v>
      </c>
      <c r="D1545">
        <v>37</v>
      </c>
      <c r="E1545">
        <v>11</v>
      </c>
      <c r="F1545">
        <v>5</v>
      </c>
      <c r="G1545">
        <v>10.24</v>
      </c>
      <c r="H1545">
        <v>6.64</v>
      </c>
      <c r="I1545">
        <v>0.99</v>
      </c>
      <c r="J1545" t="s">
        <v>133</v>
      </c>
      <c r="K1545" t="s">
        <v>52</v>
      </c>
      <c r="L1545">
        <v>162</v>
      </c>
      <c r="M1545">
        <v>4.47</v>
      </c>
      <c r="N1545">
        <v>129.80000000000001</v>
      </c>
      <c r="O1545">
        <v>0.12</v>
      </c>
      <c r="P1545">
        <v>4</v>
      </c>
      <c r="Q1545">
        <v>0.96</v>
      </c>
      <c r="R1545">
        <v>152</v>
      </c>
      <c r="S1545">
        <v>5.27</v>
      </c>
      <c r="T1545">
        <v>0.5</v>
      </c>
      <c r="U1545" s="1">
        <v>45504</v>
      </c>
      <c r="V1545">
        <v>35.9</v>
      </c>
      <c r="W1545">
        <v>0.67</v>
      </c>
      <c r="X1545" t="str">
        <f>IF(WarehouseData[[#This Row],[stock_level]]&lt;=WarehouseData[[#This Row],[reorder_point]],"Low Stock","Sufficient Stock")</f>
        <v>Sufficient Stock</v>
      </c>
      <c r="Y1545">
        <f>WarehouseData[[#This Row],[daily_demand]]*WarehouseData[[#This Row],[lead_time_days]]</f>
        <v>51.2</v>
      </c>
      <c r="Z1545" t="str">
        <f>IF(WarehouseData[[#This Row],[stock_level]]&lt;=WarehouseData[[#This Row],[Demand During Lead Time]],"At Risk","Safe")</f>
        <v>Safe</v>
      </c>
      <c r="AA1545">
        <f>WarehouseData[[#This Row],[stock_level]]/WarehouseData[[#This Row],[daily_demand]]</f>
        <v>39.55078125</v>
      </c>
      <c r="AB1545">
        <f>WarehouseData[[#This Row],[stock_level]]*WarehouseData[[#This Row],[unit_price]]</f>
        <v>52569.000000000007</v>
      </c>
      <c r="AC1545">
        <f>WarehouseData[[#This Row],[stock_level]]*WarehouseData[[#This Row],[holding_cost_per_unit_day]]*30</f>
        <v>1458</v>
      </c>
      <c r="AD1545" t="str">
        <f>IF(WarehouseData[[#This Row],[order_fulfillment_rate]]&gt;=0.9,"Strong",IF(WarehouseData[[#This Row],[order_fulfillment_rate]]&gt;=0.8,"Moderate","Needs Attention"))</f>
        <v>Strong</v>
      </c>
      <c r="AE1545" t="str">
        <f>IF(WarehouseData[[#This Row],[picking_time_seconds]]&gt;120,"Slow",IF(WarehouseData[[#This Row],[picking_time_seconds]]&gt;=60,"Average","Fast"))</f>
        <v>Slow</v>
      </c>
    </row>
    <row r="1546" spans="1:31" x14ac:dyDescent="0.25">
      <c r="A1546" t="s">
        <v>1684</v>
      </c>
      <c r="B1546" t="s">
        <v>40</v>
      </c>
      <c r="C1546">
        <v>113</v>
      </c>
      <c r="D1546">
        <v>14</v>
      </c>
      <c r="E1546">
        <v>3</v>
      </c>
      <c r="F1546">
        <v>9</v>
      </c>
      <c r="G1546">
        <v>40.49</v>
      </c>
      <c r="H1546">
        <v>2.7</v>
      </c>
      <c r="I1546">
        <v>0.12</v>
      </c>
      <c r="J1546" t="s">
        <v>113</v>
      </c>
      <c r="K1546" t="s">
        <v>34</v>
      </c>
      <c r="L1546">
        <v>160</v>
      </c>
      <c r="M1546">
        <v>4.68</v>
      </c>
      <c r="N1546">
        <v>21.14</v>
      </c>
      <c r="O1546">
        <v>0.2</v>
      </c>
      <c r="P1546">
        <v>4</v>
      </c>
      <c r="Q1546">
        <v>0.94</v>
      </c>
      <c r="R1546">
        <v>196</v>
      </c>
      <c r="S1546">
        <v>3.3</v>
      </c>
      <c r="T1546">
        <v>0.6</v>
      </c>
      <c r="U1546" s="1">
        <v>45368</v>
      </c>
      <c r="V1546">
        <v>110.48</v>
      </c>
      <c r="W1546">
        <v>0.65200000000000002</v>
      </c>
      <c r="X1546" t="str">
        <f>IF(WarehouseData[[#This Row],[stock_level]]&lt;=WarehouseData[[#This Row],[reorder_point]],"Low Stock","Sufficient Stock")</f>
        <v>Sufficient Stock</v>
      </c>
      <c r="Y1546">
        <f>WarehouseData[[#This Row],[daily_demand]]*WarehouseData[[#This Row],[lead_time_days]]</f>
        <v>364.41</v>
      </c>
      <c r="Z1546" t="str">
        <f>IF(WarehouseData[[#This Row],[stock_level]]&lt;=WarehouseData[[#This Row],[Demand During Lead Time]],"At Risk","Safe")</f>
        <v>At Risk</v>
      </c>
      <c r="AA1546">
        <f>WarehouseData[[#This Row],[stock_level]]/WarehouseData[[#This Row],[daily_demand]]</f>
        <v>2.79081254630773</v>
      </c>
      <c r="AB1546">
        <f>WarehouseData[[#This Row],[stock_level]]*WarehouseData[[#This Row],[unit_price]]</f>
        <v>2388.8200000000002</v>
      </c>
      <c r="AC1546">
        <f>WarehouseData[[#This Row],[stock_level]]*WarehouseData[[#This Row],[holding_cost_per_unit_day]]*30</f>
        <v>678</v>
      </c>
      <c r="AD1546" t="str">
        <f>IF(WarehouseData[[#This Row],[order_fulfillment_rate]]&gt;=0.9,"Strong",IF(WarehouseData[[#This Row],[order_fulfillment_rate]]&gt;=0.8,"Moderate","Needs Attention"))</f>
        <v>Strong</v>
      </c>
      <c r="AE1546" t="str">
        <f>IF(WarehouseData[[#This Row],[picking_time_seconds]]&gt;120,"Slow",IF(WarehouseData[[#This Row],[picking_time_seconds]]&gt;=60,"Average","Fast"))</f>
        <v>Slow</v>
      </c>
    </row>
    <row r="1547" spans="1:31" x14ac:dyDescent="0.25">
      <c r="A1547" t="s">
        <v>1685</v>
      </c>
      <c r="B1547" t="s">
        <v>73</v>
      </c>
      <c r="C1547">
        <v>241</v>
      </c>
      <c r="D1547">
        <v>30</v>
      </c>
      <c r="E1547">
        <v>13</v>
      </c>
      <c r="F1547">
        <v>9</v>
      </c>
      <c r="G1547">
        <v>7.4</v>
      </c>
      <c r="H1547">
        <v>9.2100000000000009</v>
      </c>
      <c r="I1547">
        <v>0.72</v>
      </c>
      <c r="J1547" t="s">
        <v>95</v>
      </c>
      <c r="K1547" t="s">
        <v>38</v>
      </c>
      <c r="L1547">
        <v>60</v>
      </c>
      <c r="M1547">
        <v>1.65</v>
      </c>
      <c r="N1547">
        <v>81.38</v>
      </c>
      <c r="O1547">
        <v>1.68</v>
      </c>
      <c r="P1547">
        <v>8</v>
      </c>
      <c r="Q1547">
        <v>0.99</v>
      </c>
      <c r="R1547">
        <v>951</v>
      </c>
      <c r="S1547">
        <v>10.96</v>
      </c>
      <c r="T1547">
        <v>0.64</v>
      </c>
      <c r="U1547" s="1">
        <v>45367</v>
      </c>
      <c r="V1547">
        <v>298.47000000000003</v>
      </c>
      <c r="W1547">
        <v>0.54400000000000004</v>
      </c>
      <c r="X1547" t="str">
        <f>IF(WarehouseData[[#This Row],[stock_level]]&lt;=WarehouseData[[#This Row],[reorder_point]],"Low Stock","Sufficient Stock")</f>
        <v>Sufficient Stock</v>
      </c>
      <c r="Y1547">
        <f>WarehouseData[[#This Row],[daily_demand]]*WarehouseData[[#This Row],[lead_time_days]]</f>
        <v>66.600000000000009</v>
      </c>
      <c r="Z1547" t="str">
        <f>IF(WarehouseData[[#This Row],[stock_level]]&lt;=WarehouseData[[#This Row],[Demand During Lead Time]],"At Risk","Safe")</f>
        <v>Safe</v>
      </c>
      <c r="AA1547">
        <f>WarehouseData[[#This Row],[stock_level]]/WarehouseData[[#This Row],[daily_demand]]</f>
        <v>32.567567567567565</v>
      </c>
      <c r="AB1547">
        <f>WarehouseData[[#This Row],[stock_level]]*WarehouseData[[#This Row],[unit_price]]</f>
        <v>19612.579999999998</v>
      </c>
      <c r="AC1547">
        <f>WarehouseData[[#This Row],[stock_level]]*WarehouseData[[#This Row],[holding_cost_per_unit_day]]*30</f>
        <v>12146.4</v>
      </c>
      <c r="AD1547" t="str">
        <f>IF(WarehouseData[[#This Row],[order_fulfillment_rate]]&gt;=0.9,"Strong",IF(WarehouseData[[#This Row],[order_fulfillment_rate]]&gt;=0.8,"Moderate","Needs Attention"))</f>
        <v>Strong</v>
      </c>
      <c r="AE1547" t="str">
        <f>IF(WarehouseData[[#This Row],[picking_time_seconds]]&gt;120,"Slow",IF(WarehouseData[[#This Row],[picking_time_seconds]]&gt;=60,"Average","Fast"))</f>
        <v>Average</v>
      </c>
    </row>
    <row r="1548" spans="1:31" x14ac:dyDescent="0.25">
      <c r="A1548" t="s">
        <v>1686</v>
      </c>
      <c r="B1548" t="s">
        <v>32</v>
      </c>
      <c r="C1548">
        <v>223</v>
      </c>
      <c r="D1548">
        <v>27</v>
      </c>
      <c r="E1548">
        <v>6</v>
      </c>
      <c r="F1548">
        <v>7</v>
      </c>
      <c r="G1548">
        <v>12.87</v>
      </c>
      <c r="H1548">
        <v>4.3600000000000003</v>
      </c>
      <c r="I1548">
        <v>0.34</v>
      </c>
      <c r="J1548" t="s">
        <v>90</v>
      </c>
      <c r="K1548" t="s">
        <v>52</v>
      </c>
      <c r="L1548">
        <v>14</v>
      </c>
      <c r="M1548">
        <v>2.15</v>
      </c>
      <c r="N1548">
        <v>59.51</v>
      </c>
      <c r="O1548">
        <v>0.56000000000000005</v>
      </c>
      <c r="P1548">
        <v>0</v>
      </c>
      <c r="Q1548">
        <v>0.88</v>
      </c>
      <c r="R1548">
        <v>719</v>
      </c>
      <c r="S1548">
        <v>4.88</v>
      </c>
      <c r="T1548">
        <v>0.95</v>
      </c>
      <c r="U1548" s="1">
        <v>45582</v>
      </c>
      <c r="V1548">
        <v>193.8</v>
      </c>
      <c r="W1548">
        <v>0.77500000000000002</v>
      </c>
      <c r="X1548" t="str">
        <f>IF(WarehouseData[[#This Row],[stock_level]]&lt;=WarehouseData[[#This Row],[reorder_point]],"Low Stock","Sufficient Stock")</f>
        <v>Sufficient Stock</v>
      </c>
      <c r="Y1548">
        <f>WarehouseData[[#This Row],[daily_demand]]*WarehouseData[[#This Row],[lead_time_days]]</f>
        <v>90.089999999999989</v>
      </c>
      <c r="Z1548" t="str">
        <f>IF(WarehouseData[[#This Row],[stock_level]]&lt;=WarehouseData[[#This Row],[Demand During Lead Time]],"At Risk","Safe")</f>
        <v>Safe</v>
      </c>
      <c r="AA1548">
        <f>WarehouseData[[#This Row],[stock_level]]/WarehouseData[[#This Row],[daily_demand]]</f>
        <v>17.327117327117328</v>
      </c>
      <c r="AB1548">
        <f>WarehouseData[[#This Row],[stock_level]]*WarehouseData[[#This Row],[unit_price]]</f>
        <v>13270.73</v>
      </c>
      <c r="AC1548">
        <f>WarehouseData[[#This Row],[stock_level]]*WarehouseData[[#This Row],[holding_cost_per_unit_day]]*30</f>
        <v>3746.4</v>
      </c>
      <c r="AD1548" t="str">
        <f>IF(WarehouseData[[#This Row],[order_fulfillment_rate]]&gt;=0.9,"Strong",IF(WarehouseData[[#This Row],[order_fulfillment_rate]]&gt;=0.8,"Moderate","Needs Attention"))</f>
        <v>Moderate</v>
      </c>
      <c r="AE1548" t="str">
        <f>IF(WarehouseData[[#This Row],[picking_time_seconds]]&gt;120,"Slow",IF(WarehouseData[[#This Row],[picking_time_seconds]]&gt;=60,"Average","Fast"))</f>
        <v>Fast</v>
      </c>
    </row>
    <row r="1549" spans="1:31" x14ac:dyDescent="0.25">
      <c r="A1549" t="s">
        <v>1687</v>
      </c>
      <c r="B1549" t="s">
        <v>32</v>
      </c>
      <c r="C1549">
        <v>157</v>
      </c>
      <c r="D1549">
        <v>56</v>
      </c>
      <c r="E1549">
        <v>8</v>
      </c>
      <c r="F1549">
        <v>7</v>
      </c>
      <c r="G1549">
        <v>12.92</v>
      </c>
      <c r="H1549">
        <v>6.94</v>
      </c>
      <c r="I1549">
        <v>0.16</v>
      </c>
      <c r="J1549" t="s">
        <v>122</v>
      </c>
      <c r="K1549" t="s">
        <v>52</v>
      </c>
      <c r="L1549">
        <v>22</v>
      </c>
      <c r="M1549">
        <v>4.93</v>
      </c>
      <c r="N1549">
        <v>80.36</v>
      </c>
      <c r="O1549">
        <v>1.83</v>
      </c>
      <c r="P1549">
        <v>2</v>
      </c>
      <c r="Q1549">
        <v>0.91</v>
      </c>
      <c r="R1549">
        <v>909</v>
      </c>
      <c r="S1549">
        <v>9.75</v>
      </c>
      <c r="T1549">
        <v>0.23</v>
      </c>
      <c r="U1549" s="1">
        <v>45593</v>
      </c>
      <c r="V1549">
        <v>17.670000000000002</v>
      </c>
      <c r="W1549">
        <v>0.53500000000000003</v>
      </c>
      <c r="X1549" t="str">
        <f>IF(WarehouseData[[#This Row],[stock_level]]&lt;=WarehouseData[[#This Row],[reorder_point]],"Low Stock","Sufficient Stock")</f>
        <v>Sufficient Stock</v>
      </c>
      <c r="Y1549">
        <f>WarehouseData[[#This Row],[daily_demand]]*WarehouseData[[#This Row],[lead_time_days]]</f>
        <v>90.44</v>
      </c>
      <c r="Z1549" t="str">
        <f>IF(WarehouseData[[#This Row],[stock_level]]&lt;=WarehouseData[[#This Row],[Demand During Lead Time]],"At Risk","Safe")</f>
        <v>Safe</v>
      </c>
      <c r="AA1549">
        <f>WarehouseData[[#This Row],[stock_level]]/WarehouseData[[#This Row],[daily_demand]]</f>
        <v>12.15170278637771</v>
      </c>
      <c r="AB1549">
        <f>WarehouseData[[#This Row],[stock_level]]*WarehouseData[[#This Row],[unit_price]]</f>
        <v>12616.52</v>
      </c>
      <c r="AC1549">
        <f>WarehouseData[[#This Row],[stock_level]]*WarehouseData[[#This Row],[holding_cost_per_unit_day]]*30</f>
        <v>8619.2999999999993</v>
      </c>
      <c r="AD1549" t="str">
        <f>IF(WarehouseData[[#This Row],[order_fulfillment_rate]]&gt;=0.9,"Strong",IF(WarehouseData[[#This Row],[order_fulfillment_rate]]&gt;=0.8,"Moderate","Needs Attention"))</f>
        <v>Strong</v>
      </c>
      <c r="AE1549" t="str">
        <f>IF(WarehouseData[[#This Row],[picking_time_seconds]]&gt;120,"Slow",IF(WarehouseData[[#This Row],[picking_time_seconds]]&gt;=60,"Average","Fast"))</f>
        <v>Fast</v>
      </c>
    </row>
    <row r="1550" spans="1:31" x14ac:dyDescent="0.25">
      <c r="A1550" t="s">
        <v>1688</v>
      </c>
      <c r="B1550" t="s">
        <v>36</v>
      </c>
      <c r="C1550">
        <v>319</v>
      </c>
      <c r="D1550">
        <v>79</v>
      </c>
      <c r="E1550">
        <v>12</v>
      </c>
      <c r="F1550">
        <v>9</v>
      </c>
      <c r="G1550">
        <v>44</v>
      </c>
      <c r="H1550">
        <v>7.41</v>
      </c>
      <c r="I1550">
        <v>0.11</v>
      </c>
      <c r="J1550" t="s">
        <v>332</v>
      </c>
      <c r="K1550" t="s">
        <v>38</v>
      </c>
      <c r="L1550">
        <v>51</v>
      </c>
      <c r="M1550">
        <v>3.05</v>
      </c>
      <c r="N1550">
        <v>20.309999999999999</v>
      </c>
      <c r="O1550">
        <v>0.69</v>
      </c>
      <c r="P1550">
        <v>2</v>
      </c>
      <c r="Q1550">
        <v>0.96</v>
      </c>
      <c r="R1550">
        <v>189</v>
      </c>
      <c r="S1550">
        <v>5.52</v>
      </c>
      <c r="T1550">
        <v>0.89</v>
      </c>
      <c r="U1550" s="1">
        <v>45590</v>
      </c>
      <c r="V1550">
        <v>82.29</v>
      </c>
      <c r="W1550">
        <v>0.73499999999999999</v>
      </c>
      <c r="X1550" t="str">
        <f>IF(WarehouseData[[#This Row],[stock_level]]&lt;=WarehouseData[[#This Row],[reorder_point]],"Low Stock","Sufficient Stock")</f>
        <v>Sufficient Stock</v>
      </c>
      <c r="Y1550">
        <f>WarehouseData[[#This Row],[daily_demand]]*WarehouseData[[#This Row],[lead_time_days]]</f>
        <v>396</v>
      </c>
      <c r="Z1550" t="str">
        <f>IF(WarehouseData[[#This Row],[stock_level]]&lt;=WarehouseData[[#This Row],[Demand During Lead Time]],"At Risk","Safe")</f>
        <v>At Risk</v>
      </c>
      <c r="AA1550">
        <f>WarehouseData[[#This Row],[stock_level]]/WarehouseData[[#This Row],[daily_demand]]</f>
        <v>7.25</v>
      </c>
      <c r="AB1550">
        <f>WarehouseData[[#This Row],[stock_level]]*WarehouseData[[#This Row],[unit_price]]</f>
        <v>6478.8899999999994</v>
      </c>
      <c r="AC1550">
        <f>WarehouseData[[#This Row],[stock_level]]*WarehouseData[[#This Row],[holding_cost_per_unit_day]]*30</f>
        <v>6603.2999999999993</v>
      </c>
      <c r="AD1550" t="str">
        <f>IF(WarehouseData[[#This Row],[order_fulfillment_rate]]&gt;=0.9,"Strong",IF(WarehouseData[[#This Row],[order_fulfillment_rate]]&gt;=0.8,"Moderate","Needs Attention"))</f>
        <v>Strong</v>
      </c>
      <c r="AE1550" t="str">
        <f>IF(WarehouseData[[#This Row],[picking_time_seconds]]&gt;120,"Slow",IF(WarehouseData[[#This Row],[picking_time_seconds]]&gt;=60,"Average","Fast"))</f>
        <v>Fast</v>
      </c>
    </row>
    <row r="1551" spans="1:31" x14ac:dyDescent="0.25">
      <c r="A1551" t="s">
        <v>1689</v>
      </c>
      <c r="B1551" t="s">
        <v>36</v>
      </c>
      <c r="C1551">
        <v>414</v>
      </c>
      <c r="D1551">
        <v>66</v>
      </c>
      <c r="E1551">
        <v>10</v>
      </c>
      <c r="F1551">
        <v>4</v>
      </c>
      <c r="G1551">
        <v>10.75</v>
      </c>
      <c r="H1551">
        <v>6.99</v>
      </c>
      <c r="I1551">
        <v>0.89</v>
      </c>
      <c r="J1551" t="s">
        <v>565</v>
      </c>
      <c r="K1551" t="s">
        <v>38</v>
      </c>
      <c r="L1551">
        <v>134</v>
      </c>
      <c r="M1551">
        <v>2.74</v>
      </c>
      <c r="N1551">
        <v>147.59</v>
      </c>
      <c r="O1551">
        <v>0.23</v>
      </c>
      <c r="P1551">
        <v>3</v>
      </c>
      <c r="Q1551">
        <v>0.95</v>
      </c>
      <c r="R1551">
        <v>704</v>
      </c>
      <c r="S1551">
        <v>8.09</v>
      </c>
      <c r="T1551">
        <v>0.64</v>
      </c>
      <c r="U1551" s="1">
        <v>45343</v>
      </c>
      <c r="V1551">
        <v>53.26</v>
      </c>
      <c r="W1551">
        <v>0.74299999999999999</v>
      </c>
      <c r="X1551" t="str">
        <f>IF(WarehouseData[[#This Row],[stock_level]]&lt;=WarehouseData[[#This Row],[reorder_point]],"Low Stock","Sufficient Stock")</f>
        <v>Sufficient Stock</v>
      </c>
      <c r="Y1551">
        <f>WarehouseData[[#This Row],[daily_demand]]*WarehouseData[[#This Row],[lead_time_days]]</f>
        <v>43</v>
      </c>
      <c r="Z1551" t="str">
        <f>IF(WarehouseData[[#This Row],[stock_level]]&lt;=WarehouseData[[#This Row],[Demand During Lead Time]],"At Risk","Safe")</f>
        <v>Safe</v>
      </c>
      <c r="AA1551">
        <f>WarehouseData[[#This Row],[stock_level]]/WarehouseData[[#This Row],[daily_demand]]</f>
        <v>38.511627906976742</v>
      </c>
      <c r="AB1551">
        <f>WarehouseData[[#This Row],[stock_level]]*WarehouseData[[#This Row],[unit_price]]</f>
        <v>61102.26</v>
      </c>
      <c r="AC1551">
        <f>WarehouseData[[#This Row],[stock_level]]*WarehouseData[[#This Row],[holding_cost_per_unit_day]]*30</f>
        <v>2856.6</v>
      </c>
      <c r="AD1551" t="str">
        <f>IF(WarehouseData[[#This Row],[order_fulfillment_rate]]&gt;=0.9,"Strong",IF(WarehouseData[[#This Row],[order_fulfillment_rate]]&gt;=0.8,"Moderate","Needs Attention"))</f>
        <v>Strong</v>
      </c>
      <c r="AE1551" t="str">
        <f>IF(WarehouseData[[#This Row],[picking_time_seconds]]&gt;120,"Slow",IF(WarehouseData[[#This Row],[picking_time_seconds]]&gt;=60,"Average","Fast"))</f>
        <v>Slow</v>
      </c>
    </row>
    <row r="1552" spans="1:31" x14ac:dyDescent="0.25">
      <c r="A1552" t="s">
        <v>1690</v>
      </c>
      <c r="B1552" t="s">
        <v>36</v>
      </c>
      <c r="C1552">
        <v>226</v>
      </c>
      <c r="D1552">
        <v>28</v>
      </c>
      <c r="E1552">
        <v>5</v>
      </c>
      <c r="F1552">
        <v>9</v>
      </c>
      <c r="G1552">
        <v>39.56</v>
      </c>
      <c r="H1552">
        <v>9.08</v>
      </c>
      <c r="I1552">
        <v>0.42</v>
      </c>
      <c r="J1552" t="s">
        <v>418</v>
      </c>
      <c r="K1552" t="s">
        <v>34</v>
      </c>
      <c r="L1552">
        <v>142</v>
      </c>
      <c r="M1552">
        <v>2.75</v>
      </c>
      <c r="N1552">
        <v>32.17</v>
      </c>
      <c r="O1552">
        <v>0.12</v>
      </c>
      <c r="P1552">
        <v>6</v>
      </c>
      <c r="Q1552">
        <v>0.92</v>
      </c>
      <c r="R1552">
        <v>670</v>
      </c>
      <c r="S1552">
        <v>5.72</v>
      </c>
      <c r="T1552">
        <v>0.64</v>
      </c>
      <c r="U1552" s="1">
        <v>45346</v>
      </c>
      <c r="V1552">
        <v>10.29</v>
      </c>
      <c r="W1552">
        <v>0.65600000000000003</v>
      </c>
      <c r="X1552" t="str">
        <f>IF(WarehouseData[[#This Row],[stock_level]]&lt;=WarehouseData[[#This Row],[reorder_point]],"Low Stock","Sufficient Stock")</f>
        <v>Sufficient Stock</v>
      </c>
      <c r="Y1552">
        <f>WarehouseData[[#This Row],[daily_demand]]*WarehouseData[[#This Row],[lead_time_days]]</f>
        <v>356.04</v>
      </c>
      <c r="Z1552" t="str">
        <f>IF(WarehouseData[[#This Row],[stock_level]]&lt;=WarehouseData[[#This Row],[Demand During Lead Time]],"At Risk","Safe")</f>
        <v>At Risk</v>
      </c>
      <c r="AA1552">
        <f>WarehouseData[[#This Row],[stock_level]]/WarehouseData[[#This Row],[daily_demand]]</f>
        <v>5.7128412537917086</v>
      </c>
      <c r="AB1552">
        <f>WarehouseData[[#This Row],[stock_level]]*WarehouseData[[#This Row],[unit_price]]</f>
        <v>7270.42</v>
      </c>
      <c r="AC1552">
        <f>WarehouseData[[#This Row],[stock_level]]*WarehouseData[[#This Row],[holding_cost_per_unit_day]]*30</f>
        <v>813.59999999999991</v>
      </c>
      <c r="AD1552" t="str">
        <f>IF(WarehouseData[[#This Row],[order_fulfillment_rate]]&gt;=0.9,"Strong",IF(WarehouseData[[#This Row],[order_fulfillment_rate]]&gt;=0.8,"Moderate","Needs Attention"))</f>
        <v>Strong</v>
      </c>
      <c r="AE1552" t="str">
        <f>IF(WarehouseData[[#This Row],[picking_time_seconds]]&gt;120,"Slow",IF(WarehouseData[[#This Row],[picking_time_seconds]]&gt;=60,"Average","Fast"))</f>
        <v>Slow</v>
      </c>
    </row>
    <row r="1553" spans="1:31" x14ac:dyDescent="0.25">
      <c r="A1553" t="s">
        <v>1691</v>
      </c>
      <c r="B1553" t="s">
        <v>40</v>
      </c>
      <c r="C1553">
        <v>355</v>
      </c>
      <c r="D1553">
        <v>74</v>
      </c>
      <c r="E1553">
        <v>7</v>
      </c>
      <c r="F1553">
        <v>5</v>
      </c>
      <c r="G1553">
        <v>23.63</v>
      </c>
      <c r="H1553">
        <v>2.7</v>
      </c>
      <c r="I1553">
        <v>1</v>
      </c>
      <c r="J1553" t="s">
        <v>45</v>
      </c>
      <c r="K1553" t="s">
        <v>46</v>
      </c>
      <c r="L1553">
        <v>160</v>
      </c>
      <c r="M1553">
        <v>3.63</v>
      </c>
      <c r="N1553">
        <v>12.74</v>
      </c>
      <c r="O1553">
        <v>0.64</v>
      </c>
      <c r="P1553">
        <v>6</v>
      </c>
      <c r="Q1553">
        <v>0.85</v>
      </c>
      <c r="R1553">
        <v>472</v>
      </c>
      <c r="S1553">
        <v>6.76</v>
      </c>
      <c r="T1553">
        <v>0.46</v>
      </c>
      <c r="U1553" s="1">
        <v>45580</v>
      </c>
      <c r="V1553">
        <v>159.33000000000001</v>
      </c>
      <c r="W1553">
        <v>0.56799999999999995</v>
      </c>
      <c r="X1553" t="str">
        <f>IF(WarehouseData[[#This Row],[stock_level]]&lt;=WarehouseData[[#This Row],[reorder_point]],"Low Stock","Sufficient Stock")</f>
        <v>Sufficient Stock</v>
      </c>
      <c r="Y1553">
        <f>WarehouseData[[#This Row],[daily_demand]]*WarehouseData[[#This Row],[lead_time_days]]</f>
        <v>118.14999999999999</v>
      </c>
      <c r="Z1553" t="str">
        <f>IF(WarehouseData[[#This Row],[stock_level]]&lt;=WarehouseData[[#This Row],[Demand During Lead Time]],"At Risk","Safe")</f>
        <v>Safe</v>
      </c>
      <c r="AA1553">
        <f>WarehouseData[[#This Row],[stock_level]]/WarehouseData[[#This Row],[daily_demand]]</f>
        <v>15.02327549724926</v>
      </c>
      <c r="AB1553">
        <f>WarehouseData[[#This Row],[stock_level]]*WarehouseData[[#This Row],[unit_price]]</f>
        <v>4522.7</v>
      </c>
      <c r="AC1553">
        <f>WarehouseData[[#This Row],[stock_level]]*WarehouseData[[#This Row],[holding_cost_per_unit_day]]*30</f>
        <v>6816.0000000000009</v>
      </c>
      <c r="AD1553" t="str">
        <f>IF(WarehouseData[[#This Row],[order_fulfillment_rate]]&gt;=0.9,"Strong",IF(WarehouseData[[#This Row],[order_fulfillment_rate]]&gt;=0.8,"Moderate","Needs Attention"))</f>
        <v>Moderate</v>
      </c>
      <c r="AE1553" t="str">
        <f>IF(WarehouseData[[#This Row],[picking_time_seconds]]&gt;120,"Slow",IF(WarehouseData[[#This Row],[picking_time_seconds]]&gt;=60,"Average","Fast"))</f>
        <v>Slow</v>
      </c>
    </row>
    <row r="1554" spans="1:31" x14ac:dyDescent="0.25">
      <c r="A1554" t="s">
        <v>1692</v>
      </c>
      <c r="B1554" t="s">
        <v>32</v>
      </c>
      <c r="C1554">
        <v>100</v>
      </c>
      <c r="D1554">
        <v>12</v>
      </c>
      <c r="E1554">
        <v>9</v>
      </c>
      <c r="F1554">
        <v>6</v>
      </c>
      <c r="G1554">
        <v>49.96</v>
      </c>
      <c r="H1554">
        <v>1.32</v>
      </c>
      <c r="I1554">
        <v>0.5</v>
      </c>
      <c r="J1554" t="s">
        <v>70</v>
      </c>
      <c r="K1554" t="s">
        <v>38</v>
      </c>
      <c r="L1554">
        <v>71</v>
      </c>
      <c r="M1554">
        <v>4.8</v>
      </c>
      <c r="N1554">
        <v>189.79</v>
      </c>
      <c r="O1554">
        <v>1</v>
      </c>
      <c r="P1554">
        <v>9</v>
      </c>
      <c r="Q1554">
        <v>0.78</v>
      </c>
      <c r="R1554">
        <v>920</v>
      </c>
      <c r="S1554">
        <v>11.25</v>
      </c>
      <c r="T1554">
        <v>0.71</v>
      </c>
      <c r="U1554" s="1">
        <v>45343</v>
      </c>
      <c r="V1554">
        <v>120.52</v>
      </c>
      <c r="W1554">
        <v>0.56799999999999995</v>
      </c>
      <c r="X1554" t="str">
        <f>IF(WarehouseData[[#This Row],[stock_level]]&lt;=WarehouseData[[#This Row],[reorder_point]],"Low Stock","Sufficient Stock")</f>
        <v>Sufficient Stock</v>
      </c>
      <c r="Y1554">
        <f>WarehouseData[[#This Row],[daily_demand]]*WarehouseData[[#This Row],[lead_time_days]]</f>
        <v>299.76</v>
      </c>
      <c r="Z1554" t="str">
        <f>IF(WarehouseData[[#This Row],[stock_level]]&lt;=WarehouseData[[#This Row],[Demand During Lead Time]],"At Risk","Safe")</f>
        <v>At Risk</v>
      </c>
      <c r="AA1554">
        <f>WarehouseData[[#This Row],[stock_level]]/WarehouseData[[#This Row],[daily_demand]]</f>
        <v>2.0016012810248198</v>
      </c>
      <c r="AB1554">
        <f>WarehouseData[[#This Row],[stock_level]]*WarehouseData[[#This Row],[unit_price]]</f>
        <v>18979</v>
      </c>
      <c r="AC1554">
        <f>WarehouseData[[#This Row],[stock_level]]*WarehouseData[[#This Row],[holding_cost_per_unit_day]]*30</f>
        <v>3000</v>
      </c>
      <c r="AD1554" t="str">
        <f>IF(WarehouseData[[#This Row],[order_fulfillment_rate]]&gt;=0.9,"Strong",IF(WarehouseData[[#This Row],[order_fulfillment_rate]]&gt;=0.8,"Moderate","Needs Attention"))</f>
        <v>Needs Attention</v>
      </c>
      <c r="AE1554" t="str">
        <f>IF(WarehouseData[[#This Row],[picking_time_seconds]]&gt;120,"Slow",IF(WarehouseData[[#This Row],[picking_time_seconds]]&gt;=60,"Average","Fast"))</f>
        <v>Average</v>
      </c>
    </row>
    <row r="1555" spans="1:31" x14ac:dyDescent="0.25">
      <c r="A1555" t="s">
        <v>1693</v>
      </c>
      <c r="B1555" t="s">
        <v>40</v>
      </c>
      <c r="C1555">
        <v>237</v>
      </c>
      <c r="D1555">
        <v>51</v>
      </c>
      <c r="E1555">
        <v>3</v>
      </c>
      <c r="F1555">
        <v>5</v>
      </c>
      <c r="G1555">
        <v>42.12</v>
      </c>
      <c r="H1555">
        <v>1.03</v>
      </c>
      <c r="I1555">
        <v>0.27</v>
      </c>
      <c r="J1555" t="s">
        <v>207</v>
      </c>
      <c r="K1555" t="s">
        <v>46</v>
      </c>
      <c r="L1555">
        <v>138</v>
      </c>
      <c r="M1555">
        <v>2.15</v>
      </c>
      <c r="N1555">
        <v>46.65</v>
      </c>
      <c r="O1555">
        <v>0.1</v>
      </c>
      <c r="P1555">
        <v>4</v>
      </c>
      <c r="Q1555">
        <v>0.96</v>
      </c>
      <c r="R1555">
        <v>881</v>
      </c>
      <c r="S1555">
        <v>13.37</v>
      </c>
      <c r="T1555">
        <v>0.72</v>
      </c>
      <c r="U1555" s="1">
        <v>45438</v>
      </c>
      <c r="V1555">
        <v>187.85</v>
      </c>
      <c r="W1555">
        <v>0.82399999999999995</v>
      </c>
      <c r="X1555" t="str">
        <f>IF(WarehouseData[[#This Row],[stock_level]]&lt;=WarehouseData[[#This Row],[reorder_point]],"Low Stock","Sufficient Stock")</f>
        <v>Sufficient Stock</v>
      </c>
      <c r="Y1555">
        <f>WarehouseData[[#This Row],[daily_demand]]*WarehouseData[[#This Row],[lead_time_days]]</f>
        <v>210.6</v>
      </c>
      <c r="Z1555" t="str">
        <f>IF(WarehouseData[[#This Row],[stock_level]]&lt;=WarehouseData[[#This Row],[Demand During Lead Time]],"At Risk","Safe")</f>
        <v>Safe</v>
      </c>
      <c r="AA1555">
        <f>WarehouseData[[#This Row],[stock_level]]/WarehouseData[[#This Row],[daily_demand]]</f>
        <v>5.6267806267806275</v>
      </c>
      <c r="AB1555">
        <f>WarehouseData[[#This Row],[stock_level]]*WarehouseData[[#This Row],[unit_price]]</f>
        <v>11056.05</v>
      </c>
      <c r="AC1555">
        <f>WarehouseData[[#This Row],[stock_level]]*WarehouseData[[#This Row],[holding_cost_per_unit_day]]*30</f>
        <v>711.00000000000011</v>
      </c>
      <c r="AD1555" t="str">
        <f>IF(WarehouseData[[#This Row],[order_fulfillment_rate]]&gt;=0.9,"Strong",IF(WarehouseData[[#This Row],[order_fulfillment_rate]]&gt;=0.8,"Moderate","Needs Attention"))</f>
        <v>Strong</v>
      </c>
      <c r="AE1555" t="str">
        <f>IF(WarehouseData[[#This Row],[picking_time_seconds]]&gt;120,"Slow",IF(WarehouseData[[#This Row],[picking_time_seconds]]&gt;=60,"Average","Fast"))</f>
        <v>Slow</v>
      </c>
    </row>
    <row r="1556" spans="1:31" x14ac:dyDescent="0.25">
      <c r="A1556" t="s">
        <v>1694</v>
      </c>
      <c r="B1556" t="s">
        <v>73</v>
      </c>
      <c r="C1556">
        <v>21</v>
      </c>
      <c r="D1556">
        <v>30</v>
      </c>
      <c r="E1556">
        <v>9</v>
      </c>
      <c r="F1556">
        <v>3</v>
      </c>
      <c r="G1556">
        <v>37.25</v>
      </c>
      <c r="H1556">
        <v>8.84</v>
      </c>
      <c r="I1556">
        <v>0.8</v>
      </c>
      <c r="J1556" t="s">
        <v>178</v>
      </c>
      <c r="K1556" t="s">
        <v>34</v>
      </c>
      <c r="L1556">
        <v>83</v>
      </c>
      <c r="M1556">
        <v>1.28</v>
      </c>
      <c r="N1556">
        <v>167.33</v>
      </c>
      <c r="O1556">
        <v>1.2</v>
      </c>
      <c r="P1556">
        <v>8</v>
      </c>
      <c r="Q1556">
        <v>0.93</v>
      </c>
      <c r="R1556">
        <v>113</v>
      </c>
      <c r="S1556">
        <v>8.1199999999999992</v>
      </c>
      <c r="T1556">
        <v>0.35</v>
      </c>
      <c r="U1556" s="1">
        <v>45566</v>
      </c>
      <c r="V1556">
        <v>72.75</v>
      </c>
      <c r="W1556">
        <v>0.48399999999999999</v>
      </c>
      <c r="X1556" t="str">
        <f>IF(WarehouseData[[#This Row],[stock_level]]&lt;=WarehouseData[[#This Row],[reorder_point]],"Low Stock","Sufficient Stock")</f>
        <v>Low Stock</v>
      </c>
      <c r="Y1556">
        <f>WarehouseData[[#This Row],[daily_demand]]*WarehouseData[[#This Row],[lead_time_days]]</f>
        <v>111.75</v>
      </c>
      <c r="Z1556" t="str">
        <f>IF(WarehouseData[[#This Row],[stock_level]]&lt;=WarehouseData[[#This Row],[Demand During Lead Time]],"At Risk","Safe")</f>
        <v>At Risk</v>
      </c>
      <c r="AA1556">
        <f>WarehouseData[[#This Row],[stock_level]]/WarehouseData[[#This Row],[daily_demand]]</f>
        <v>0.56375838926174493</v>
      </c>
      <c r="AB1556">
        <f>WarehouseData[[#This Row],[stock_level]]*WarehouseData[[#This Row],[unit_price]]</f>
        <v>3513.9300000000003</v>
      </c>
      <c r="AC1556">
        <f>WarehouseData[[#This Row],[stock_level]]*WarehouseData[[#This Row],[holding_cost_per_unit_day]]*30</f>
        <v>756</v>
      </c>
      <c r="AD1556" t="str">
        <f>IF(WarehouseData[[#This Row],[order_fulfillment_rate]]&gt;=0.9,"Strong",IF(WarehouseData[[#This Row],[order_fulfillment_rate]]&gt;=0.8,"Moderate","Needs Attention"))</f>
        <v>Strong</v>
      </c>
      <c r="AE1556" t="str">
        <f>IF(WarehouseData[[#This Row],[picking_time_seconds]]&gt;120,"Slow",IF(WarehouseData[[#This Row],[picking_time_seconds]]&gt;=60,"Average","Fast"))</f>
        <v>Average</v>
      </c>
    </row>
    <row r="1557" spans="1:31" x14ac:dyDescent="0.25">
      <c r="A1557" t="s">
        <v>1695</v>
      </c>
      <c r="B1557" t="s">
        <v>36</v>
      </c>
      <c r="C1557">
        <v>197</v>
      </c>
      <c r="D1557">
        <v>49</v>
      </c>
      <c r="E1557">
        <v>14</v>
      </c>
      <c r="F1557">
        <v>2</v>
      </c>
      <c r="G1557">
        <v>43.67</v>
      </c>
      <c r="H1557">
        <v>9.75</v>
      </c>
      <c r="I1557">
        <v>0.93</v>
      </c>
      <c r="J1557" t="s">
        <v>75</v>
      </c>
      <c r="K1557" t="s">
        <v>46</v>
      </c>
      <c r="L1557">
        <v>123</v>
      </c>
      <c r="M1557">
        <v>1.33</v>
      </c>
      <c r="N1557">
        <v>193.25</v>
      </c>
      <c r="O1557">
        <v>0.73</v>
      </c>
      <c r="P1557">
        <v>6</v>
      </c>
      <c r="Q1557">
        <v>0.95</v>
      </c>
      <c r="R1557">
        <v>320</v>
      </c>
      <c r="S1557">
        <v>9.5399999999999991</v>
      </c>
      <c r="T1557">
        <v>0.74</v>
      </c>
      <c r="U1557" s="1">
        <v>45468</v>
      </c>
      <c r="V1557">
        <v>251.01</v>
      </c>
      <c r="W1557">
        <v>0.67200000000000004</v>
      </c>
      <c r="X1557" t="str">
        <f>IF(WarehouseData[[#This Row],[stock_level]]&lt;=WarehouseData[[#This Row],[reorder_point]],"Low Stock","Sufficient Stock")</f>
        <v>Sufficient Stock</v>
      </c>
      <c r="Y1557">
        <f>WarehouseData[[#This Row],[daily_demand]]*WarehouseData[[#This Row],[lead_time_days]]</f>
        <v>87.34</v>
      </c>
      <c r="Z1557" t="str">
        <f>IF(WarehouseData[[#This Row],[stock_level]]&lt;=WarehouseData[[#This Row],[Demand During Lead Time]],"At Risk","Safe")</f>
        <v>Safe</v>
      </c>
      <c r="AA1557">
        <f>WarehouseData[[#This Row],[stock_level]]/WarehouseData[[#This Row],[daily_demand]]</f>
        <v>4.5111060224410346</v>
      </c>
      <c r="AB1557">
        <f>WarehouseData[[#This Row],[stock_level]]*WarehouseData[[#This Row],[unit_price]]</f>
        <v>38070.25</v>
      </c>
      <c r="AC1557">
        <f>WarehouseData[[#This Row],[stock_level]]*WarehouseData[[#This Row],[holding_cost_per_unit_day]]*30</f>
        <v>4314.3</v>
      </c>
      <c r="AD1557" t="str">
        <f>IF(WarehouseData[[#This Row],[order_fulfillment_rate]]&gt;=0.9,"Strong",IF(WarehouseData[[#This Row],[order_fulfillment_rate]]&gt;=0.8,"Moderate","Needs Attention"))</f>
        <v>Strong</v>
      </c>
      <c r="AE1557" t="str">
        <f>IF(WarehouseData[[#This Row],[picking_time_seconds]]&gt;120,"Slow",IF(WarehouseData[[#This Row],[picking_time_seconds]]&gt;=60,"Average","Fast"))</f>
        <v>Slow</v>
      </c>
    </row>
    <row r="1558" spans="1:31" x14ac:dyDescent="0.25">
      <c r="A1558" t="s">
        <v>1696</v>
      </c>
      <c r="B1558" t="s">
        <v>40</v>
      </c>
      <c r="C1558">
        <v>415</v>
      </c>
      <c r="D1558">
        <v>76</v>
      </c>
      <c r="E1558">
        <v>13</v>
      </c>
      <c r="F1558">
        <v>8</v>
      </c>
      <c r="G1558">
        <v>32.07</v>
      </c>
      <c r="H1558">
        <v>3.37</v>
      </c>
      <c r="I1558">
        <v>0.83</v>
      </c>
      <c r="J1558" t="s">
        <v>377</v>
      </c>
      <c r="K1558" t="s">
        <v>46</v>
      </c>
      <c r="L1558">
        <v>63</v>
      </c>
      <c r="M1558">
        <v>0.59</v>
      </c>
      <c r="N1558">
        <v>111.48</v>
      </c>
      <c r="O1558">
        <v>0.84</v>
      </c>
      <c r="P1558">
        <v>1</v>
      </c>
      <c r="Q1558">
        <v>0.74</v>
      </c>
      <c r="R1558">
        <v>747</v>
      </c>
      <c r="S1558">
        <v>13.1</v>
      </c>
      <c r="T1558">
        <v>0.41</v>
      </c>
      <c r="U1558" s="1">
        <v>45502</v>
      </c>
      <c r="V1558">
        <v>121.12</v>
      </c>
      <c r="W1558">
        <v>0.70099999999999996</v>
      </c>
      <c r="X1558" t="str">
        <f>IF(WarehouseData[[#This Row],[stock_level]]&lt;=WarehouseData[[#This Row],[reorder_point]],"Low Stock","Sufficient Stock")</f>
        <v>Sufficient Stock</v>
      </c>
      <c r="Y1558">
        <f>WarehouseData[[#This Row],[daily_demand]]*WarehouseData[[#This Row],[lead_time_days]]</f>
        <v>256.56</v>
      </c>
      <c r="Z1558" t="str">
        <f>IF(WarehouseData[[#This Row],[stock_level]]&lt;=WarehouseData[[#This Row],[Demand During Lead Time]],"At Risk","Safe")</f>
        <v>Safe</v>
      </c>
      <c r="AA1558">
        <f>WarehouseData[[#This Row],[stock_level]]/WarehouseData[[#This Row],[daily_demand]]</f>
        <v>12.940442781415653</v>
      </c>
      <c r="AB1558">
        <f>WarehouseData[[#This Row],[stock_level]]*WarehouseData[[#This Row],[unit_price]]</f>
        <v>46264.200000000004</v>
      </c>
      <c r="AC1558">
        <f>WarehouseData[[#This Row],[stock_level]]*WarehouseData[[#This Row],[holding_cost_per_unit_day]]*30</f>
        <v>10457.999999999998</v>
      </c>
      <c r="AD1558" t="str">
        <f>IF(WarehouseData[[#This Row],[order_fulfillment_rate]]&gt;=0.9,"Strong",IF(WarehouseData[[#This Row],[order_fulfillment_rate]]&gt;=0.8,"Moderate","Needs Attention"))</f>
        <v>Needs Attention</v>
      </c>
      <c r="AE1558" t="str">
        <f>IF(WarehouseData[[#This Row],[picking_time_seconds]]&gt;120,"Slow",IF(WarehouseData[[#This Row],[picking_time_seconds]]&gt;=60,"Average","Fast"))</f>
        <v>Average</v>
      </c>
    </row>
    <row r="1559" spans="1:31" x14ac:dyDescent="0.25">
      <c r="A1559" t="s">
        <v>1697</v>
      </c>
      <c r="B1559" t="s">
        <v>40</v>
      </c>
      <c r="C1559">
        <v>390</v>
      </c>
      <c r="D1559">
        <v>34</v>
      </c>
      <c r="E1559">
        <v>10</v>
      </c>
      <c r="F1559">
        <v>6</v>
      </c>
      <c r="G1559">
        <v>42.34</v>
      </c>
      <c r="H1559">
        <v>7.09</v>
      </c>
      <c r="I1559">
        <v>0.77</v>
      </c>
      <c r="J1559" t="s">
        <v>377</v>
      </c>
      <c r="K1559" t="s">
        <v>52</v>
      </c>
      <c r="L1559">
        <v>125</v>
      </c>
      <c r="M1559">
        <v>3</v>
      </c>
      <c r="N1559">
        <v>109.96</v>
      </c>
      <c r="O1559">
        <v>0.6</v>
      </c>
      <c r="P1559">
        <v>2</v>
      </c>
      <c r="Q1559">
        <v>0.79</v>
      </c>
      <c r="R1559">
        <v>917</v>
      </c>
      <c r="S1559">
        <v>3.01</v>
      </c>
      <c r="T1559">
        <v>0.75</v>
      </c>
      <c r="U1559" s="1">
        <v>45427</v>
      </c>
      <c r="V1559">
        <v>150.04</v>
      </c>
      <c r="W1559">
        <v>0.64800000000000002</v>
      </c>
      <c r="X1559" t="str">
        <f>IF(WarehouseData[[#This Row],[stock_level]]&lt;=WarehouseData[[#This Row],[reorder_point]],"Low Stock","Sufficient Stock")</f>
        <v>Sufficient Stock</v>
      </c>
      <c r="Y1559">
        <f>WarehouseData[[#This Row],[daily_demand]]*WarehouseData[[#This Row],[lead_time_days]]</f>
        <v>254.04000000000002</v>
      </c>
      <c r="Z1559" t="str">
        <f>IF(WarehouseData[[#This Row],[stock_level]]&lt;=WarehouseData[[#This Row],[Demand During Lead Time]],"At Risk","Safe")</f>
        <v>Safe</v>
      </c>
      <c r="AA1559">
        <f>WarehouseData[[#This Row],[stock_level]]/WarehouseData[[#This Row],[daily_demand]]</f>
        <v>9.2111478507321678</v>
      </c>
      <c r="AB1559">
        <f>WarehouseData[[#This Row],[stock_level]]*WarehouseData[[#This Row],[unit_price]]</f>
        <v>42884.399999999994</v>
      </c>
      <c r="AC1559">
        <f>WarehouseData[[#This Row],[stock_level]]*WarehouseData[[#This Row],[holding_cost_per_unit_day]]*30</f>
        <v>7020</v>
      </c>
      <c r="AD1559" t="str">
        <f>IF(WarehouseData[[#This Row],[order_fulfillment_rate]]&gt;=0.9,"Strong",IF(WarehouseData[[#This Row],[order_fulfillment_rate]]&gt;=0.8,"Moderate","Needs Attention"))</f>
        <v>Needs Attention</v>
      </c>
      <c r="AE1559" t="str">
        <f>IF(WarehouseData[[#This Row],[picking_time_seconds]]&gt;120,"Slow",IF(WarehouseData[[#This Row],[picking_time_seconds]]&gt;=60,"Average","Fast"))</f>
        <v>Slow</v>
      </c>
    </row>
    <row r="1560" spans="1:31" x14ac:dyDescent="0.25">
      <c r="A1560" t="s">
        <v>1698</v>
      </c>
      <c r="B1560" t="s">
        <v>73</v>
      </c>
      <c r="C1560">
        <v>365</v>
      </c>
      <c r="D1560">
        <v>64</v>
      </c>
      <c r="E1560">
        <v>10</v>
      </c>
      <c r="F1560">
        <v>4</v>
      </c>
      <c r="G1560">
        <v>13.8</v>
      </c>
      <c r="H1560">
        <v>0.57999999999999996</v>
      </c>
      <c r="I1560">
        <v>0.4</v>
      </c>
      <c r="J1560" t="s">
        <v>340</v>
      </c>
      <c r="K1560" t="s">
        <v>34</v>
      </c>
      <c r="L1560">
        <v>140</v>
      </c>
      <c r="M1560">
        <v>4.68</v>
      </c>
      <c r="N1560">
        <v>79.81</v>
      </c>
      <c r="O1560">
        <v>1.1100000000000001</v>
      </c>
      <c r="P1560">
        <v>6</v>
      </c>
      <c r="Q1560">
        <v>0.83</v>
      </c>
      <c r="R1560">
        <v>884</v>
      </c>
      <c r="S1560">
        <v>3.27</v>
      </c>
      <c r="T1560">
        <v>0.69</v>
      </c>
      <c r="U1560" s="1">
        <v>45488</v>
      </c>
      <c r="V1560">
        <v>222.42</v>
      </c>
      <c r="W1560">
        <v>0.51700000000000002</v>
      </c>
      <c r="X1560" t="str">
        <f>IF(WarehouseData[[#This Row],[stock_level]]&lt;=WarehouseData[[#This Row],[reorder_point]],"Low Stock","Sufficient Stock")</f>
        <v>Sufficient Stock</v>
      </c>
      <c r="Y1560">
        <f>WarehouseData[[#This Row],[daily_demand]]*WarehouseData[[#This Row],[lead_time_days]]</f>
        <v>55.2</v>
      </c>
      <c r="Z1560" t="str">
        <f>IF(WarehouseData[[#This Row],[stock_level]]&lt;=WarehouseData[[#This Row],[Demand During Lead Time]],"At Risk","Safe")</f>
        <v>Safe</v>
      </c>
      <c r="AA1560">
        <f>WarehouseData[[#This Row],[stock_level]]/WarehouseData[[#This Row],[daily_demand]]</f>
        <v>26.44927536231884</v>
      </c>
      <c r="AB1560">
        <f>WarehouseData[[#This Row],[stock_level]]*WarehouseData[[#This Row],[unit_price]]</f>
        <v>29130.65</v>
      </c>
      <c r="AC1560">
        <f>WarehouseData[[#This Row],[stock_level]]*WarehouseData[[#This Row],[holding_cost_per_unit_day]]*30</f>
        <v>12154.500000000002</v>
      </c>
      <c r="AD1560" t="str">
        <f>IF(WarehouseData[[#This Row],[order_fulfillment_rate]]&gt;=0.9,"Strong",IF(WarehouseData[[#This Row],[order_fulfillment_rate]]&gt;=0.8,"Moderate","Needs Attention"))</f>
        <v>Moderate</v>
      </c>
      <c r="AE1560" t="str">
        <f>IF(WarehouseData[[#This Row],[picking_time_seconds]]&gt;120,"Slow",IF(WarehouseData[[#This Row],[picking_time_seconds]]&gt;=60,"Average","Fast"))</f>
        <v>Slow</v>
      </c>
    </row>
    <row r="1561" spans="1:31" x14ac:dyDescent="0.25">
      <c r="A1561" t="s">
        <v>1699</v>
      </c>
      <c r="B1561" t="s">
        <v>48</v>
      </c>
      <c r="C1561">
        <v>298</v>
      </c>
      <c r="D1561">
        <v>93</v>
      </c>
      <c r="E1561">
        <v>11</v>
      </c>
      <c r="F1561">
        <v>2</v>
      </c>
      <c r="G1561">
        <v>5.79</v>
      </c>
      <c r="H1561">
        <v>2.29</v>
      </c>
      <c r="I1561">
        <v>0.16</v>
      </c>
      <c r="J1561" t="s">
        <v>152</v>
      </c>
      <c r="K1561" t="s">
        <v>38</v>
      </c>
      <c r="L1561">
        <v>92</v>
      </c>
      <c r="M1561">
        <v>3.71</v>
      </c>
      <c r="N1561">
        <v>90.86</v>
      </c>
      <c r="O1561">
        <v>0.54</v>
      </c>
      <c r="P1561">
        <v>4</v>
      </c>
      <c r="Q1561">
        <v>0.95</v>
      </c>
      <c r="R1561">
        <v>562</v>
      </c>
      <c r="S1561">
        <v>6.03</v>
      </c>
      <c r="T1561">
        <v>0.77</v>
      </c>
      <c r="U1561" s="1">
        <v>45627</v>
      </c>
      <c r="V1561">
        <v>58.19</v>
      </c>
      <c r="W1561">
        <v>0.69</v>
      </c>
      <c r="X1561" t="str">
        <f>IF(WarehouseData[[#This Row],[stock_level]]&lt;=WarehouseData[[#This Row],[reorder_point]],"Low Stock","Sufficient Stock")</f>
        <v>Sufficient Stock</v>
      </c>
      <c r="Y1561">
        <f>WarehouseData[[#This Row],[daily_demand]]*WarehouseData[[#This Row],[lead_time_days]]</f>
        <v>11.58</v>
      </c>
      <c r="Z1561" t="str">
        <f>IF(WarehouseData[[#This Row],[stock_level]]&lt;=WarehouseData[[#This Row],[Demand During Lead Time]],"At Risk","Safe")</f>
        <v>Safe</v>
      </c>
      <c r="AA1561">
        <f>WarehouseData[[#This Row],[stock_level]]/WarehouseData[[#This Row],[daily_demand]]</f>
        <v>51.468048359240072</v>
      </c>
      <c r="AB1561">
        <f>WarehouseData[[#This Row],[stock_level]]*WarehouseData[[#This Row],[unit_price]]</f>
        <v>27076.28</v>
      </c>
      <c r="AC1561">
        <f>WarehouseData[[#This Row],[stock_level]]*WarehouseData[[#This Row],[holding_cost_per_unit_day]]*30</f>
        <v>4827.6000000000004</v>
      </c>
      <c r="AD1561" t="str">
        <f>IF(WarehouseData[[#This Row],[order_fulfillment_rate]]&gt;=0.9,"Strong",IF(WarehouseData[[#This Row],[order_fulfillment_rate]]&gt;=0.8,"Moderate","Needs Attention"))</f>
        <v>Strong</v>
      </c>
      <c r="AE1561" t="str">
        <f>IF(WarehouseData[[#This Row],[picking_time_seconds]]&gt;120,"Slow",IF(WarehouseData[[#This Row],[picking_time_seconds]]&gt;=60,"Average","Fast"))</f>
        <v>Average</v>
      </c>
    </row>
    <row r="1562" spans="1:31" x14ac:dyDescent="0.25">
      <c r="A1562" t="s">
        <v>1700</v>
      </c>
      <c r="B1562" t="s">
        <v>32</v>
      </c>
      <c r="C1562">
        <v>165</v>
      </c>
      <c r="D1562">
        <v>61</v>
      </c>
      <c r="E1562">
        <v>8</v>
      </c>
      <c r="F1562">
        <v>2</v>
      </c>
      <c r="G1562">
        <v>31.18</v>
      </c>
      <c r="H1562">
        <v>7.05</v>
      </c>
      <c r="I1562">
        <v>0.28000000000000003</v>
      </c>
      <c r="J1562" t="s">
        <v>122</v>
      </c>
      <c r="K1562" t="s">
        <v>46</v>
      </c>
      <c r="L1562">
        <v>139</v>
      </c>
      <c r="M1562">
        <v>4.97</v>
      </c>
      <c r="N1562">
        <v>101.59</v>
      </c>
      <c r="O1562">
        <v>0.36</v>
      </c>
      <c r="P1562">
        <v>6</v>
      </c>
      <c r="Q1562">
        <v>0.97</v>
      </c>
      <c r="R1562">
        <v>56</v>
      </c>
      <c r="S1562">
        <v>5.33</v>
      </c>
      <c r="T1562">
        <v>0.22</v>
      </c>
      <c r="U1562" s="1">
        <v>45540</v>
      </c>
      <c r="V1562">
        <v>86.08</v>
      </c>
      <c r="W1562">
        <v>0.55300000000000005</v>
      </c>
      <c r="X1562" t="str">
        <f>IF(WarehouseData[[#This Row],[stock_level]]&lt;=WarehouseData[[#This Row],[reorder_point]],"Low Stock","Sufficient Stock")</f>
        <v>Sufficient Stock</v>
      </c>
      <c r="Y1562">
        <f>WarehouseData[[#This Row],[daily_demand]]*WarehouseData[[#This Row],[lead_time_days]]</f>
        <v>62.36</v>
      </c>
      <c r="Z1562" t="str">
        <f>IF(WarehouseData[[#This Row],[stock_level]]&lt;=WarehouseData[[#This Row],[Demand During Lead Time]],"At Risk","Safe")</f>
        <v>Safe</v>
      </c>
      <c r="AA1562">
        <f>WarehouseData[[#This Row],[stock_level]]/WarehouseData[[#This Row],[daily_demand]]</f>
        <v>5.2918537524053884</v>
      </c>
      <c r="AB1562">
        <f>WarehouseData[[#This Row],[stock_level]]*WarehouseData[[#This Row],[unit_price]]</f>
        <v>16762.350000000002</v>
      </c>
      <c r="AC1562">
        <f>WarehouseData[[#This Row],[stock_level]]*WarehouseData[[#This Row],[holding_cost_per_unit_day]]*30</f>
        <v>1782</v>
      </c>
      <c r="AD1562" t="str">
        <f>IF(WarehouseData[[#This Row],[order_fulfillment_rate]]&gt;=0.9,"Strong",IF(WarehouseData[[#This Row],[order_fulfillment_rate]]&gt;=0.8,"Moderate","Needs Attention"))</f>
        <v>Strong</v>
      </c>
      <c r="AE1562" t="str">
        <f>IF(WarehouseData[[#This Row],[picking_time_seconds]]&gt;120,"Slow",IF(WarehouseData[[#This Row],[picking_time_seconds]]&gt;=60,"Average","Fast"))</f>
        <v>Slow</v>
      </c>
    </row>
    <row r="1563" spans="1:31" x14ac:dyDescent="0.25">
      <c r="A1563" t="s">
        <v>1701</v>
      </c>
      <c r="B1563" t="s">
        <v>48</v>
      </c>
      <c r="C1563">
        <v>337</v>
      </c>
      <c r="D1563">
        <v>53</v>
      </c>
      <c r="E1563">
        <v>14</v>
      </c>
      <c r="F1563">
        <v>8</v>
      </c>
      <c r="G1563">
        <v>22.3</v>
      </c>
      <c r="H1563">
        <v>1.1299999999999999</v>
      </c>
      <c r="I1563">
        <v>0.5</v>
      </c>
      <c r="J1563" t="s">
        <v>188</v>
      </c>
      <c r="K1563" t="s">
        <v>34</v>
      </c>
      <c r="L1563">
        <v>58</v>
      </c>
      <c r="M1563">
        <v>4.59</v>
      </c>
      <c r="N1563">
        <v>38.9</v>
      </c>
      <c r="O1563">
        <v>1.79</v>
      </c>
      <c r="P1563">
        <v>8</v>
      </c>
      <c r="Q1563">
        <v>0.79</v>
      </c>
      <c r="R1563">
        <v>442</v>
      </c>
      <c r="S1563">
        <v>14.81</v>
      </c>
      <c r="T1563">
        <v>0.3</v>
      </c>
      <c r="U1563" s="1">
        <v>45584</v>
      </c>
      <c r="V1563">
        <v>54.88</v>
      </c>
      <c r="W1563">
        <v>0.47599999999999998</v>
      </c>
      <c r="X1563" t="str">
        <f>IF(WarehouseData[[#This Row],[stock_level]]&lt;=WarehouseData[[#This Row],[reorder_point]],"Low Stock","Sufficient Stock")</f>
        <v>Sufficient Stock</v>
      </c>
      <c r="Y1563">
        <f>WarehouseData[[#This Row],[daily_demand]]*WarehouseData[[#This Row],[lead_time_days]]</f>
        <v>178.4</v>
      </c>
      <c r="Z1563" t="str">
        <f>IF(WarehouseData[[#This Row],[stock_level]]&lt;=WarehouseData[[#This Row],[Demand During Lead Time]],"At Risk","Safe")</f>
        <v>Safe</v>
      </c>
      <c r="AA1563">
        <f>WarehouseData[[#This Row],[stock_level]]/WarehouseData[[#This Row],[daily_demand]]</f>
        <v>15.112107623318385</v>
      </c>
      <c r="AB1563">
        <f>WarehouseData[[#This Row],[stock_level]]*WarehouseData[[#This Row],[unit_price]]</f>
        <v>13109.3</v>
      </c>
      <c r="AC1563">
        <f>WarehouseData[[#This Row],[stock_level]]*WarehouseData[[#This Row],[holding_cost_per_unit_day]]*30</f>
        <v>18096.900000000001</v>
      </c>
      <c r="AD1563" t="str">
        <f>IF(WarehouseData[[#This Row],[order_fulfillment_rate]]&gt;=0.9,"Strong",IF(WarehouseData[[#This Row],[order_fulfillment_rate]]&gt;=0.8,"Moderate","Needs Attention"))</f>
        <v>Needs Attention</v>
      </c>
      <c r="AE1563" t="str">
        <f>IF(WarehouseData[[#This Row],[picking_time_seconds]]&gt;120,"Slow",IF(WarehouseData[[#This Row],[picking_time_seconds]]&gt;=60,"Average","Fast"))</f>
        <v>Fast</v>
      </c>
    </row>
    <row r="1564" spans="1:31" x14ac:dyDescent="0.25">
      <c r="A1564" t="s">
        <v>1702</v>
      </c>
      <c r="B1564" t="s">
        <v>36</v>
      </c>
      <c r="C1564">
        <v>243</v>
      </c>
      <c r="D1564">
        <v>94</v>
      </c>
      <c r="E1564">
        <v>8</v>
      </c>
      <c r="F1564">
        <v>3</v>
      </c>
      <c r="G1564">
        <v>21.9</v>
      </c>
      <c r="H1564">
        <v>4.95</v>
      </c>
      <c r="I1564">
        <v>0.96</v>
      </c>
      <c r="J1564" t="s">
        <v>178</v>
      </c>
      <c r="K1564" t="s">
        <v>52</v>
      </c>
      <c r="L1564">
        <v>40</v>
      </c>
      <c r="M1564">
        <v>2.71</v>
      </c>
      <c r="N1564">
        <v>79.3</v>
      </c>
      <c r="O1564">
        <v>0.84</v>
      </c>
      <c r="P1564">
        <v>8</v>
      </c>
      <c r="Q1564">
        <v>0.91</v>
      </c>
      <c r="R1564">
        <v>50</v>
      </c>
      <c r="S1564">
        <v>8.9</v>
      </c>
      <c r="T1564">
        <v>0.87</v>
      </c>
      <c r="U1564" s="1">
        <v>45603</v>
      </c>
      <c r="V1564">
        <v>232.74</v>
      </c>
      <c r="W1564">
        <v>0.63100000000000001</v>
      </c>
      <c r="X1564" t="str">
        <f>IF(WarehouseData[[#This Row],[stock_level]]&lt;=WarehouseData[[#This Row],[reorder_point]],"Low Stock","Sufficient Stock")</f>
        <v>Sufficient Stock</v>
      </c>
      <c r="Y1564">
        <f>WarehouseData[[#This Row],[daily_demand]]*WarehouseData[[#This Row],[lead_time_days]]</f>
        <v>65.699999999999989</v>
      </c>
      <c r="Z1564" t="str">
        <f>IF(WarehouseData[[#This Row],[stock_level]]&lt;=WarehouseData[[#This Row],[Demand During Lead Time]],"At Risk","Safe")</f>
        <v>Safe</v>
      </c>
      <c r="AA1564">
        <f>WarehouseData[[#This Row],[stock_level]]/WarehouseData[[#This Row],[daily_demand]]</f>
        <v>11.095890410958905</v>
      </c>
      <c r="AB1564">
        <f>WarehouseData[[#This Row],[stock_level]]*WarehouseData[[#This Row],[unit_price]]</f>
        <v>19269.899999999998</v>
      </c>
      <c r="AC1564">
        <f>WarehouseData[[#This Row],[stock_level]]*WarehouseData[[#This Row],[holding_cost_per_unit_day]]*30</f>
        <v>6123.6</v>
      </c>
      <c r="AD1564" t="str">
        <f>IF(WarehouseData[[#This Row],[order_fulfillment_rate]]&gt;=0.9,"Strong",IF(WarehouseData[[#This Row],[order_fulfillment_rate]]&gt;=0.8,"Moderate","Needs Attention"))</f>
        <v>Strong</v>
      </c>
      <c r="AE1564" t="str">
        <f>IF(WarehouseData[[#This Row],[picking_time_seconds]]&gt;120,"Slow",IF(WarehouseData[[#This Row],[picking_time_seconds]]&gt;=60,"Average","Fast"))</f>
        <v>Fast</v>
      </c>
    </row>
    <row r="1565" spans="1:31" x14ac:dyDescent="0.25">
      <c r="A1565" t="s">
        <v>1703</v>
      </c>
      <c r="B1565" t="s">
        <v>40</v>
      </c>
      <c r="C1565">
        <v>388</v>
      </c>
      <c r="D1565">
        <v>65</v>
      </c>
      <c r="E1565">
        <v>4</v>
      </c>
      <c r="F1565">
        <v>3</v>
      </c>
      <c r="G1565">
        <v>26.81</v>
      </c>
      <c r="H1565">
        <v>6.79</v>
      </c>
      <c r="I1565">
        <v>0.75</v>
      </c>
      <c r="J1565" t="s">
        <v>62</v>
      </c>
      <c r="K1565" t="s">
        <v>52</v>
      </c>
      <c r="L1565">
        <v>83</v>
      </c>
      <c r="M1565">
        <v>2.69</v>
      </c>
      <c r="N1565">
        <v>165.06</v>
      </c>
      <c r="O1565">
        <v>0.25</v>
      </c>
      <c r="P1565">
        <v>2</v>
      </c>
      <c r="Q1565">
        <v>0.72</v>
      </c>
      <c r="R1565">
        <v>310</v>
      </c>
      <c r="S1565">
        <v>8.33</v>
      </c>
      <c r="T1565">
        <v>0.5</v>
      </c>
      <c r="U1565" s="1">
        <v>45534</v>
      </c>
      <c r="V1565">
        <v>38.28</v>
      </c>
      <c r="W1565">
        <v>0.69</v>
      </c>
      <c r="X1565" t="str">
        <f>IF(WarehouseData[[#This Row],[stock_level]]&lt;=WarehouseData[[#This Row],[reorder_point]],"Low Stock","Sufficient Stock")</f>
        <v>Sufficient Stock</v>
      </c>
      <c r="Y1565">
        <f>WarehouseData[[#This Row],[daily_demand]]*WarehouseData[[#This Row],[lead_time_days]]</f>
        <v>80.429999999999993</v>
      </c>
      <c r="Z1565" t="str">
        <f>IF(WarehouseData[[#This Row],[stock_level]]&lt;=WarehouseData[[#This Row],[Demand During Lead Time]],"At Risk","Safe")</f>
        <v>Safe</v>
      </c>
      <c r="AA1565">
        <f>WarehouseData[[#This Row],[stock_level]]/WarehouseData[[#This Row],[daily_demand]]</f>
        <v>14.472211861245805</v>
      </c>
      <c r="AB1565">
        <f>WarehouseData[[#This Row],[stock_level]]*WarehouseData[[#This Row],[unit_price]]</f>
        <v>64043.28</v>
      </c>
      <c r="AC1565">
        <f>WarehouseData[[#This Row],[stock_level]]*WarehouseData[[#This Row],[holding_cost_per_unit_day]]*30</f>
        <v>2910</v>
      </c>
      <c r="AD1565" t="str">
        <f>IF(WarehouseData[[#This Row],[order_fulfillment_rate]]&gt;=0.9,"Strong",IF(WarehouseData[[#This Row],[order_fulfillment_rate]]&gt;=0.8,"Moderate","Needs Attention"))</f>
        <v>Needs Attention</v>
      </c>
      <c r="AE1565" t="str">
        <f>IF(WarehouseData[[#This Row],[picking_time_seconds]]&gt;120,"Slow",IF(WarehouseData[[#This Row],[picking_time_seconds]]&gt;=60,"Average","Fast"))</f>
        <v>Average</v>
      </c>
    </row>
    <row r="1566" spans="1:31" x14ac:dyDescent="0.25">
      <c r="A1566" t="s">
        <v>1704</v>
      </c>
      <c r="B1566" t="s">
        <v>73</v>
      </c>
      <c r="C1566">
        <v>403</v>
      </c>
      <c r="D1566">
        <v>64</v>
      </c>
      <c r="E1566">
        <v>5</v>
      </c>
      <c r="F1566">
        <v>3</v>
      </c>
      <c r="G1566">
        <v>18.71</v>
      </c>
      <c r="H1566">
        <v>7.78</v>
      </c>
      <c r="I1566">
        <v>0.85</v>
      </c>
      <c r="J1566" t="s">
        <v>190</v>
      </c>
      <c r="K1566" t="s">
        <v>46</v>
      </c>
      <c r="L1566">
        <v>126</v>
      </c>
      <c r="M1566">
        <v>3.33</v>
      </c>
      <c r="N1566">
        <v>44.66</v>
      </c>
      <c r="O1566">
        <v>0.54</v>
      </c>
      <c r="P1566">
        <v>7</v>
      </c>
      <c r="Q1566">
        <v>0.82</v>
      </c>
      <c r="R1566">
        <v>96</v>
      </c>
      <c r="S1566">
        <v>9.1</v>
      </c>
      <c r="T1566">
        <v>0.87</v>
      </c>
      <c r="U1566" s="1">
        <v>45311</v>
      </c>
      <c r="V1566">
        <v>151.81</v>
      </c>
      <c r="W1566">
        <v>0.66500000000000004</v>
      </c>
      <c r="X1566" t="str">
        <f>IF(WarehouseData[[#This Row],[stock_level]]&lt;=WarehouseData[[#This Row],[reorder_point]],"Low Stock","Sufficient Stock")</f>
        <v>Sufficient Stock</v>
      </c>
      <c r="Y1566">
        <f>WarehouseData[[#This Row],[daily_demand]]*WarehouseData[[#This Row],[lead_time_days]]</f>
        <v>56.13</v>
      </c>
      <c r="Z1566" t="str">
        <f>IF(WarehouseData[[#This Row],[stock_level]]&lt;=WarehouseData[[#This Row],[Demand During Lead Time]],"At Risk","Safe")</f>
        <v>Safe</v>
      </c>
      <c r="AA1566">
        <f>WarehouseData[[#This Row],[stock_level]]/WarehouseData[[#This Row],[daily_demand]]</f>
        <v>21.539283805451628</v>
      </c>
      <c r="AB1566">
        <f>WarehouseData[[#This Row],[stock_level]]*WarehouseData[[#This Row],[unit_price]]</f>
        <v>17997.98</v>
      </c>
      <c r="AC1566">
        <f>WarehouseData[[#This Row],[stock_level]]*WarehouseData[[#This Row],[holding_cost_per_unit_day]]*30</f>
        <v>6528.6</v>
      </c>
      <c r="AD1566" t="str">
        <f>IF(WarehouseData[[#This Row],[order_fulfillment_rate]]&gt;=0.9,"Strong",IF(WarehouseData[[#This Row],[order_fulfillment_rate]]&gt;=0.8,"Moderate","Needs Attention"))</f>
        <v>Moderate</v>
      </c>
      <c r="AE1566" t="str">
        <f>IF(WarehouseData[[#This Row],[picking_time_seconds]]&gt;120,"Slow",IF(WarehouseData[[#This Row],[picking_time_seconds]]&gt;=60,"Average","Fast"))</f>
        <v>Slow</v>
      </c>
    </row>
    <row r="1567" spans="1:31" x14ac:dyDescent="0.25">
      <c r="A1567" t="s">
        <v>1705</v>
      </c>
      <c r="B1567" t="s">
        <v>73</v>
      </c>
      <c r="C1567">
        <v>81</v>
      </c>
      <c r="D1567">
        <v>96</v>
      </c>
      <c r="E1567">
        <v>6</v>
      </c>
      <c r="F1567">
        <v>6</v>
      </c>
      <c r="G1567">
        <v>31.68</v>
      </c>
      <c r="H1567">
        <v>4.8099999999999996</v>
      </c>
      <c r="I1567">
        <v>0.35</v>
      </c>
      <c r="J1567" t="s">
        <v>124</v>
      </c>
      <c r="K1567" t="s">
        <v>46</v>
      </c>
      <c r="L1567">
        <v>12</v>
      </c>
      <c r="M1567">
        <v>1</v>
      </c>
      <c r="N1567">
        <v>148.66999999999999</v>
      </c>
      <c r="O1567">
        <v>0.69</v>
      </c>
      <c r="P1567">
        <v>5</v>
      </c>
      <c r="Q1567">
        <v>0.85</v>
      </c>
      <c r="R1567">
        <v>917</v>
      </c>
      <c r="S1567">
        <v>13.25</v>
      </c>
      <c r="T1567">
        <v>0.25</v>
      </c>
      <c r="U1567" s="1">
        <v>45380</v>
      </c>
      <c r="V1567">
        <v>227.47</v>
      </c>
      <c r="W1567">
        <v>0.628</v>
      </c>
      <c r="X1567" t="str">
        <f>IF(WarehouseData[[#This Row],[stock_level]]&lt;=WarehouseData[[#This Row],[reorder_point]],"Low Stock","Sufficient Stock")</f>
        <v>Low Stock</v>
      </c>
      <c r="Y1567">
        <f>WarehouseData[[#This Row],[daily_demand]]*WarehouseData[[#This Row],[lead_time_days]]</f>
        <v>190.07999999999998</v>
      </c>
      <c r="Z1567" t="str">
        <f>IF(WarehouseData[[#This Row],[stock_level]]&lt;=WarehouseData[[#This Row],[Demand During Lead Time]],"At Risk","Safe")</f>
        <v>At Risk</v>
      </c>
      <c r="AA1567">
        <f>WarehouseData[[#This Row],[stock_level]]/WarehouseData[[#This Row],[daily_demand]]</f>
        <v>2.5568181818181817</v>
      </c>
      <c r="AB1567">
        <f>WarehouseData[[#This Row],[stock_level]]*WarehouseData[[#This Row],[unit_price]]</f>
        <v>12042.269999999999</v>
      </c>
      <c r="AC1567">
        <f>WarehouseData[[#This Row],[stock_level]]*WarehouseData[[#This Row],[holding_cost_per_unit_day]]*30</f>
        <v>1676.6999999999998</v>
      </c>
      <c r="AD1567" t="str">
        <f>IF(WarehouseData[[#This Row],[order_fulfillment_rate]]&gt;=0.9,"Strong",IF(WarehouseData[[#This Row],[order_fulfillment_rate]]&gt;=0.8,"Moderate","Needs Attention"))</f>
        <v>Moderate</v>
      </c>
      <c r="AE1567" t="str">
        <f>IF(WarehouseData[[#This Row],[picking_time_seconds]]&gt;120,"Slow",IF(WarehouseData[[#This Row],[picking_time_seconds]]&gt;=60,"Average","Fast"))</f>
        <v>Fast</v>
      </c>
    </row>
    <row r="1568" spans="1:31" x14ac:dyDescent="0.25">
      <c r="A1568" t="s">
        <v>1706</v>
      </c>
      <c r="B1568" t="s">
        <v>32</v>
      </c>
      <c r="C1568">
        <v>313</v>
      </c>
      <c r="D1568">
        <v>79</v>
      </c>
      <c r="E1568">
        <v>6</v>
      </c>
      <c r="F1568">
        <v>5</v>
      </c>
      <c r="G1568">
        <v>2.5</v>
      </c>
      <c r="H1568">
        <v>6.49</v>
      </c>
      <c r="I1568">
        <v>0.72</v>
      </c>
      <c r="J1568" t="s">
        <v>217</v>
      </c>
      <c r="K1568" t="s">
        <v>38</v>
      </c>
      <c r="L1568">
        <v>133</v>
      </c>
      <c r="M1568">
        <v>3.23</v>
      </c>
      <c r="N1568">
        <v>133.80000000000001</v>
      </c>
      <c r="O1568">
        <v>1.56</v>
      </c>
      <c r="P1568">
        <v>3</v>
      </c>
      <c r="Q1568">
        <v>0.93</v>
      </c>
      <c r="R1568">
        <v>827</v>
      </c>
      <c r="S1568">
        <v>4.41</v>
      </c>
      <c r="T1568">
        <v>0.82</v>
      </c>
      <c r="U1568" s="1">
        <v>45433</v>
      </c>
      <c r="V1568">
        <v>157.25</v>
      </c>
      <c r="W1568">
        <v>0.59299999999999997</v>
      </c>
      <c r="X1568" t="str">
        <f>IF(WarehouseData[[#This Row],[stock_level]]&lt;=WarehouseData[[#This Row],[reorder_point]],"Low Stock","Sufficient Stock")</f>
        <v>Sufficient Stock</v>
      </c>
      <c r="Y1568">
        <f>WarehouseData[[#This Row],[daily_demand]]*WarehouseData[[#This Row],[lead_time_days]]</f>
        <v>12.5</v>
      </c>
      <c r="Z1568" t="str">
        <f>IF(WarehouseData[[#This Row],[stock_level]]&lt;=WarehouseData[[#This Row],[Demand During Lead Time]],"At Risk","Safe")</f>
        <v>Safe</v>
      </c>
      <c r="AA1568">
        <f>WarehouseData[[#This Row],[stock_level]]/WarehouseData[[#This Row],[daily_demand]]</f>
        <v>125.2</v>
      </c>
      <c r="AB1568">
        <f>WarehouseData[[#This Row],[stock_level]]*WarehouseData[[#This Row],[unit_price]]</f>
        <v>41879.4</v>
      </c>
      <c r="AC1568">
        <f>WarehouseData[[#This Row],[stock_level]]*WarehouseData[[#This Row],[holding_cost_per_unit_day]]*30</f>
        <v>14648.400000000001</v>
      </c>
      <c r="AD1568" t="str">
        <f>IF(WarehouseData[[#This Row],[order_fulfillment_rate]]&gt;=0.9,"Strong",IF(WarehouseData[[#This Row],[order_fulfillment_rate]]&gt;=0.8,"Moderate","Needs Attention"))</f>
        <v>Strong</v>
      </c>
      <c r="AE1568" t="str">
        <f>IF(WarehouseData[[#This Row],[picking_time_seconds]]&gt;120,"Slow",IF(WarehouseData[[#This Row],[picking_time_seconds]]&gt;=60,"Average","Fast"))</f>
        <v>Slow</v>
      </c>
    </row>
    <row r="1569" spans="1:31" x14ac:dyDescent="0.25">
      <c r="A1569" t="s">
        <v>1707</v>
      </c>
      <c r="B1569" t="s">
        <v>48</v>
      </c>
      <c r="C1569">
        <v>258</v>
      </c>
      <c r="D1569">
        <v>86</v>
      </c>
      <c r="E1569">
        <v>10</v>
      </c>
      <c r="F1569">
        <v>2</v>
      </c>
      <c r="G1569">
        <v>48.52</v>
      </c>
      <c r="H1569">
        <v>5.63</v>
      </c>
      <c r="I1569">
        <v>0.88</v>
      </c>
      <c r="J1569" t="s">
        <v>236</v>
      </c>
      <c r="K1569" t="s">
        <v>34</v>
      </c>
      <c r="L1569">
        <v>172</v>
      </c>
      <c r="M1569">
        <v>2.59</v>
      </c>
      <c r="N1569">
        <v>20.89</v>
      </c>
      <c r="O1569">
        <v>0.14000000000000001</v>
      </c>
      <c r="P1569">
        <v>3</v>
      </c>
      <c r="Q1569">
        <v>0.97</v>
      </c>
      <c r="R1569">
        <v>51</v>
      </c>
      <c r="S1569">
        <v>8.15</v>
      </c>
      <c r="T1569">
        <v>0.27</v>
      </c>
      <c r="U1569" s="1">
        <v>45498</v>
      </c>
      <c r="V1569">
        <v>157.52000000000001</v>
      </c>
      <c r="W1569">
        <v>0.68300000000000005</v>
      </c>
      <c r="X1569" t="str">
        <f>IF(WarehouseData[[#This Row],[stock_level]]&lt;=WarehouseData[[#This Row],[reorder_point]],"Low Stock","Sufficient Stock")</f>
        <v>Sufficient Stock</v>
      </c>
      <c r="Y1569">
        <f>WarehouseData[[#This Row],[daily_demand]]*WarehouseData[[#This Row],[lead_time_days]]</f>
        <v>97.04</v>
      </c>
      <c r="Z1569" t="str">
        <f>IF(WarehouseData[[#This Row],[stock_level]]&lt;=WarehouseData[[#This Row],[Demand During Lead Time]],"At Risk","Safe")</f>
        <v>Safe</v>
      </c>
      <c r="AA1569">
        <f>WarehouseData[[#This Row],[stock_level]]/WarehouseData[[#This Row],[daily_demand]]</f>
        <v>5.3173948887056879</v>
      </c>
      <c r="AB1569">
        <f>WarehouseData[[#This Row],[stock_level]]*WarehouseData[[#This Row],[unit_price]]</f>
        <v>5389.62</v>
      </c>
      <c r="AC1569">
        <f>WarehouseData[[#This Row],[stock_level]]*WarehouseData[[#This Row],[holding_cost_per_unit_day]]*30</f>
        <v>1083.6000000000001</v>
      </c>
      <c r="AD1569" t="str">
        <f>IF(WarehouseData[[#This Row],[order_fulfillment_rate]]&gt;=0.9,"Strong",IF(WarehouseData[[#This Row],[order_fulfillment_rate]]&gt;=0.8,"Moderate","Needs Attention"))</f>
        <v>Strong</v>
      </c>
      <c r="AE1569" t="str">
        <f>IF(WarehouseData[[#This Row],[picking_time_seconds]]&gt;120,"Slow",IF(WarehouseData[[#This Row],[picking_time_seconds]]&gt;=60,"Average","Fast"))</f>
        <v>Slow</v>
      </c>
    </row>
    <row r="1570" spans="1:31" x14ac:dyDescent="0.25">
      <c r="A1570" t="s">
        <v>1708</v>
      </c>
      <c r="B1570" t="s">
        <v>32</v>
      </c>
      <c r="C1570">
        <v>214</v>
      </c>
      <c r="D1570">
        <v>96</v>
      </c>
      <c r="E1570">
        <v>3</v>
      </c>
      <c r="F1570">
        <v>5</v>
      </c>
      <c r="G1570">
        <v>46.31</v>
      </c>
      <c r="H1570">
        <v>1</v>
      </c>
      <c r="I1570">
        <v>0.53</v>
      </c>
      <c r="J1570" t="s">
        <v>45</v>
      </c>
      <c r="K1570" t="s">
        <v>38</v>
      </c>
      <c r="L1570">
        <v>94</v>
      </c>
      <c r="M1570">
        <v>3.39</v>
      </c>
      <c r="N1570">
        <v>14.26</v>
      </c>
      <c r="O1570">
        <v>1.01</v>
      </c>
      <c r="P1570">
        <v>3</v>
      </c>
      <c r="Q1570">
        <v>0.8</v>
      </c>
      <c r="R1570">
        <v>584</v>
      </c>
      <c r="S1570">
        <v>4.79</v>
      </c>
      <c r="T1570">
        <v>0.56999999999999995</v>
      </c>
      <c r="U1570" s="1">
        <v>45365</v>
      </c>
      <c r="V1570">
        <v>28.47</v>
      </c>
      <c r="W1570">
        <v>0.57699999999999996</v>
      </c>
      <c r="X1570" t="str">
        <f>IF(WarehouseData[[#This Row],[stock_level]]&lt;=WarehouseData[[#This Row],[reorder_point]],"Low Stock","Sufficient Stock")</f>
        <v>Sufficient Stock</v>
      </c>
      <c r="Y1570">
        <f>WarehouseData[[#This Row],[daily_demand]]*WarehouseData[[#This Row],[lead_time_days]]</f>
        <v>231.55</v>
      </c>
      <c r="Z1570" t="str">
        <f>IF(WarehouseData[[#This Row],[stock_level]]&lt;=WarehouseData[[#This Row],[Demand During Lead Time]],"At Risk","Safe")</f>
        <v>At Risk</v>
      </c>
      <c r="AA1570">
        <f>WarehouseData[[#This Row],[stock_level]]/WarehouseData[[#This Row],[daily_demand]]</f>
        <v>4.6210321744763547</v>
      </c>
      <c r="AB1570">
        <f>WarehouseData[[#This Row],[stock_level]]*WarehouseData[[#This Row],[unit_price]]</f>
        <v>3051.64</v>
      </c>
      <c r="AC1570">
        <f>WarehouseData[[#This Row],[stock_level]]*WarehouseData[[#This Row],[holding_cost_per_unit_day]]*30</f>
        <v>6484.2000000000007</v>
      </c>
      <c r="AD1570" t="str">
        <f>IF(WarehouseData[[#This Row],[order_fulfillment_rate]]&gt;=0.9,"Strong",IF(WarehouseData[[#This Row],[order_fulfillment_rate]]&gt;=0.8,"Moderate","Needs Attention"))</f>
        <v>Moderate</v>
      </c>
      <c r="AE1570" t="str">
        <f>IF(WarehouseData[[#This Row],[picking_time_seconds]]&gt;120,"Slow",IF(WarehouseData[[#This Row],[picking_time_seconds]]&gt;=60,"Average","Fast"))</f>
        <v>Average</v>
      </c>
    </row>
    <row r="1571" spans="1:31" x14ac:dyDescent="0.25">
      <c r="A1571" t="s">
        <v>1709</v>
      </c>
      <c r="B1571" t="s">
        <v>40</v>
      </c>
      <c r="C1571">
        <v>185</v>
      </c>
      <c r="D1571">
        <v>82</v>
      </c>
      <c r="E1571">
        <v>12</v>
      </c>
      <c r="F1571">
        <v>5</v>
      </c>
      <c r="G1571">
        <v>46.83</v>
      </c>
      <c r="H1571">
        <v>7.56</v>
      </c>
      <c r="I1571">
        <v>0.49</v>
      </c>
      <c r="J1571" t="s">
        <v>156</v>
      </c>
      <c r="K1571" t="s">
        <v>38</v>
      </c>
      <c r="L1571">
        <v>173</v>
      </c>
      <c r="M1571">
        <v>3.04</v>
      </c>
      <c r="N1571">
        <v>76.98</v>
      </c>
      <c r="O1571">
        <v>0.87</v>
      </c>
      <c r="P1571">
        <v>6</v>
      </c>
      <c r="Q1571">
        <v>0.86</v>
      </c>
      <c r="R1571">
        <v>408</v>
      </c>
      <c r="S1571">
        <v>11.93</v>
      </c>
      <c r="T1571">
        <v>0.95</v>
      </c>
      <c r="U1571" s="1">
        <v>45608</v>
      </c>
      <c r="V1571">
        <v>237.03</v>
      </c>
      <c r="W1571">
        <v>0.71399999999999997</v>
      </c>
      <c r="X1571" t="str">
        <f>IF(WarehouseData[[#This Row],[stock_level]]&lt;=WarehouseData[[#This Row],[reorder_point]],"Low Stock","Sufficient Stock")</f>
        <v>Sufficient Stock</v>
      </c>
      <c r="Y1571">
        <f>WarehouseData[[#This Row],[daily_demand]]*WarehouseData[[#This Row],[lead_time_days]]</f>
        <v>234.14999999999998</v>
      </c>
      <c r="Z1571" t="str">
        <f>IF(WarehouseData[[#This Row],[stock_level]]&lt;=WarehouseData[[#This Row],[Demand During Lead Time]],"At Risk","Safe")</f>
        <v>At Risk</v>
      </c>
      <c r="AA1571">
        <f>WarehouseData[[#This Row],[stock_level]]/WarehouseData[[#This Row],[daily_demand]]</f>
        <v>3.9504591074097801</v>
      </c>
      <c r="AB1571">
        <f>WarehouseData[[#This Row],[stock_level]]*WarehouseData[[#This Row],[unit_price]]</f>
        <v>14241.300000000001</v>
      </c>
      <c r="AC1571">
        <f>WarehouseData[[#This Row],[stock_level]]*WarehouseData[[#This Row],[holding_cost_per_unit_day]]*30</f>
        <v>4828.5</v>
      </c>
      <c r="AD1571" t="str">
        <f>IF(WarehouseData[[#This Row],[order_fulfillment_rate]]&gt;=0.9,"Strong",IF(WarehouseData[[#This Row],[order_fulfillment_rate]]&gt;=0.8,"Moderate","Needs Attention"))</f>
        <v>Moderate</v>
      </c>
      <c r="AE1571" t="str">
        <f>IF(WarehouseData[[#This Row],[picking_time_seconds]]&gt;120,"Slow",IF(WarehouseData[[#This Row],[picking_time_seconds]]&gt;=60,"Average","Fast"))</f>
        <v>Slow</v>
      </c>
    </row>
    <row r="1572" spans="1:31" x14ac:dyDescent="0.25">
      <c r="A1572" t="s">
        <v>1710</v>
      </c>
      <c r="B1572" t="s">
        <v>32</v>
      </c>
      <c r="C1572">
        <v>470</v>
      </c>
      <c r="D1572">
        <v>90</v>
      </c>
      <c r="E1572">
        <v>6</v>
      </c>
      <c r="F1572">
        <v>3</v>
      </c>
      <c r="G1572">
        <v>18.89</v>
      </c>
      <c r="H1572">
        <v>2.14</v>
      </c>
      <c r="I1572">
        <v>0.75</v>
      </c>
      <c r="J1572" t="s">
        <v>139</v>
      </c>
      <c r="K1572" t="s">
        <v>52</v>
      </c>
      <c r="L1572">
        <v>73</v>
      </c>
      <c r="M1572">
        <v>1.9</v>
      </c>
      <c r="N1572">
        <v>141.51</v>
      </c>
      <c r="O1572">
        <v>1.94</v>
      </c>
      <c r="P1572">
        <v>5</v>
      </c>
      <c r="Q1572">
        <v>0.89</v>
      </c>
      <c r="R1572">
        <v>526</v>
      </c>
      <c r="S1572">
        <v>11.88</v>
      </c>
      <c r="T1572">
        <v>0.26</v>
      </c>
      <c r="U1572" s="1">
        <v>45603</v>
      </c>
      <c r="V1572">
        <v>185.16</v>
      </c>
      <c r="W1572">
        <v>0.49399999999999999</v>
      </c>
      <c r="X1572" t="str">
        <f>IF(WarehouseData[[#This Row],[stock_level]]&lt;=WarehouseData[[#This Row],[reorder_point]],"Low Stock","Sufficient Stock")</f>
        <v>Sufficient Stock</v>
      </c>
      <c r="Y1572">
        <f>WarehouseData[[#This Row],[daily_demand]]*WarehouseData[[#This Row],[lead_time_days]]</f>
        <v>56.67</v>
      </c>
      <c r="Z1572" t="str">
        <f>IF(WarehouseData[[#This Row],[stock_level]]&lt;=WarehouseData[[#This Row],[Demand During Lead Time]],"At Risk","Safe")</f>
        <v>Safe</v>
      </c>
      <c r="AA1572">
        <f>WarehouseData[[#This Row],[stock_level]]/WarehouseData[[#This Row],[daily_demand]]</f>
        <v>24.880889359449444</v>
      </c>
      <c r="AB1572">
        <f>WarehouseData[[#This Row],[stock_level]]*WarehouseData[[#This Row],[unit_price]]</f>
        <v>66509.7</v>
      </c>
      <c r="AC1572">
        <f>WarehouseData[[#This Row],[stock_level]]*WarehouseData[[#This Row],[holding_cost_per_unit_day]]*30</f>
        <v>27354</v>
      </c>
      <c r="AD1572" t="str">
        <f>IF(WarehouseData[[#This Row],[order_fulfillment_rate]]&gt;=0.9,"Strong",IF(WarehouseData[[#This Row],[order_fulfillment_rate]]&gt;=0.8,"Moderate","Needs Attention"))</f>
        <v>Moderate</v>
      </c>
      <c r="AE1572" t="str">
        <f>IF(WarehouseData[[#This Row],[picking_time_seconds]]&gt;120,"Slow",IF(WarehouseData[[#This Row],[picking_time_seconds]]&gt;=60,"Average","Fast"))</f>
        <v>Average</v>
      </c>
    </row>
    <row r="1573" spans="1:31" x14ac:dyDescent="0.25">
      <c r="A1573" t="s">
        <v>1711</v>
      </c>
      <c r="B1573" t="s">
        <v>73</v>
      </c>
      <c r="C1573">
        <v>241</v>
      </c>
      <c r="D1573">
        <v>75</v>
      </c>
      <c r="E1573">
        <v>13</v>
      </c>
      <c r="F1573">
        <v>5</v>
      </c>
      <c r="G1573">
        <v>27.06</v>
      </c>
      <c r="H1573">
        <v>0.8</v>
      </c>
      <c r="I1573">
        <v>0.6</v>
      </c>
      <c r="J1573" t="s">
        <v>135</v>
      </c>
      <c r="K1573" t="s">
        <v>34</v>
      </c>
      <c r="L1573">
        <v>169</v>
      </c>
      <c r="M1573">
        <v>3.23</v>
      </c>
      <c r="N1573">
        <v>72.78</v>
      </c>
      <c r="O1573">
        <v>0.44</v>
      </c>
      <c r="P1573">
        <v>1</v>
      </c>
      <c r="Q1573">
        <v>0.8</v>
      </c>
      <c r="R1573">
        <v>964</v>
      </c>
      <c r="S1573">
        <v>14.4</v>
      </c>
      <c r="T1573">
        <v>0.48</v>
      </c>
      <c r="U1573" s="1">
        <v>45640</v>
      </c>
      <c r="V1573">
        <v>203.58</v>
      </c>
      <c r="W1573">
        <v>0.78400000000000003</v>
      </c>
      <c r="X1573" t="str">
        <f>IF(WarehouseData[[#This Row],[stock_level]]&lt;=WarehouseData[[#This Row],[reorder_point]],"Low Stock","Sufficient Stock")</f>
        <v>Sufficient Stock</v>
      </c>
      <c r="Y1573">
        <f>WarehouseData[[#This Row],[daily_demand]]*WarehouseData[[#This Row],[lead_time_days]]</f>
        <v>135.29999999999998</v>
      </c>
      <c r="Z1573" t="str">
        <f>IF(WarehouseData[[#This Row],[stock_level]]&lt;=WarehouseData[[#This Row],[Demand During Lead Time]],"At Risk","Safe")</f>
        <v>Safe</v>
      </c>
      <c r="AA1573">
        <f>WarehouseData[[#This Row],[stock_level]]/WarehouseData[[#This Row],[daily_demand]]</f>
        <v>8.9061345158906136</v>
      </c>
      <c r="AB1573">
        <f>WarehouseData[[#This Row],[stock_level]]*WarehouseData[[#This Row],[unit_price]]</f>
        <v>17539.98</v>
      </c>
      <c r="AC1573">
        <f>WarehouseData[[#This Row],[stock_level]]*WarehouseData[[#This Row],[holding_cost_per_unit_day]]*30</f>
        <v>3181.2000000000003</v>
      </c>
      <c r="AD1573" t="str">
        <f>IF(WarehouseData[[#This Row],[order_fulfillment_rate]]&gt;=0.9,"Strong",IF(WarehouseData[[#This Row],[order_fulfillment_rate]]&gt;=0.8,"Moderate","Needs Attention"))</f>
        <v>Moderate</v>
      </c>
      <c r="AE1573" t="str">
        <f>IF(WarehouseData[[#This Row],[picking_time_seconds]]&gt;120,"Slow",IF(WarehouseData[[#This Row],[picking_time_seconds]]&gt;=60,"Average","Fast"))</f>
        <v>Slow</v>
      </c>
    </row>
    <row r="1574" spans="1:31" x14ac:dyDescent="0.25">
      <c r="A1574" t="s">
        <v>1712</v>
      </c>
      <c r="B1574" t="s">
        <v>73</v>
      </c>
      <c r="C1574">
        <v>80</v>
      </c>
      <c r="D1574">
        <v>28</v>
      </c>
      <c r="E1574">
        <v>14</v>
      </c>
      <c r="F1574">
        <v>2</v>
      </c>
      <c r="G1574">
        <v>47.75</v>
      </c>
      <c r="H1574">
        <v>4.79</v>
      </c>
      <c r="I1574">
        <v>0.99</v>
      </c>
      <c r="J1574" t="s">
        <v>64</v>
      </c>
      <c r="K1574" t="s">
        <v>38</v>
      </c>
      <c r="L1574">
        <v>27</v>
      </c>
      <c r="M1574">
        <v>2.15</v>
      </c>
      <c r="N1574">
        <v>136.87</v>
      </c>
      <c r="O1574">
        <v>1.29</v>
      </c>
      <c r="P1574">
        <v>4</v>
      </c>
      <c r="Q1574">
        <v>1</v>
      </c>
      <c r="R1574">
        <v>471</v>
      </c>
      <c r="S1574">
        <v>7.26</v>
      </c>
      <c r="T1574">
        <v>0.61</v>
      </c>
      <c r="U1574" s="1">
        <v>45647</v>
      </c>
      <c r="V1574">
        <v>232.08</v>
      </c>
      <c r="W1574">
        <v>0.61</v>
      </c>
      <c r="X1574" t="str">
        <f>IF(WarehouseData[[#This Row],[stock_level]]&lt;=WarehouseData[[#This Row],[reorder_point]],"Low Stock","Sufficient Stock")</f>
        <v>Sufficient Stock</v>
      </c>
      <c r="Y1574">
        <f>WarehouseData[[#This Row],[daily_demand]]*WarehouseData[[#This Row],[lead_time_days]]</f>
        <v>95.5</v>
      </c>
      <c r="Z1574" t="str">
        <f>IF(WarehouseData[[#This Row],[stock_level]]&lt;=WarehouseData[[#This Row],[Demand During Lead Time]],"At Risk","Safe")</f>
        <v>At Risk</v>
      </c>
      <c r="AA1574">
        <f>WarehouseData[[#This Row],[stock_level]]/WarehouseData[[#This Row],[daily_demand]]</f>
        <v>1.6753926701570681</v>
      </c>
      <c r="AB1574">
        <f>WarehouseData[[#This Row],[stock_level]]*WarehouseData[[#This Row],[unit_price]]</f>
        <v>10949.6</v>
      </c>
      <c r="AC1574">
        <f>WarehouseData[[#This Row],[stock_level]]*WarehouseData[[#This Row],[holding_cost_per_unit_day]]*30</f>
        <v>3096</v>
      </c>
      <c r="AD1574" t="str">
        <f>IF(WarehouseData[[#This Row],[order_fulfillment_rate]]&gt;=0.9,"Strong",IF(WarehouseData[[#This Row],[order_fulfillment_rate]]&gt;=0.8,"Moderate","Needs Attention"))</f>
        <v>Strong</v>
      </c>
      <c r="AE1574" t="str">
        <f>IF(WarehouseData[[#This Row],[picking_time_seconds]]&gt;120,"Slow",IF(WarehouseData[[#This Row],[picking_time_seconds]]&gt;=60,"Average","Fast"))</f>
        <v>Fast</v>
      </c>
    </row>
    <row r="1575" spans="1:31" x14ac:dyDescent="0.25">
      <c r="A1575" t="s">
        <v>1713</v>
      </c>
      <c r="B1575" t="s">
        <v>36</v>
      </c>
      <c r="C1575">
        <v>148</v>
      </c>
      <c r="D1575">
        <v>92</v>
      </c>
      <c r="E1575">
        <v>13</v>
      </c>
      <c r="F1575">
        <v>2</v>
      </c>
      <c r="G1575">
        <v>45.21</v>
      </c>
      <c r="H1575">
        <v>8.7200000000000006</v>
      </c>
      <c r="I1575">
        <v>0.48</v>
      </c>
      <c r="J1575" t="s">
        <v>163</v>
      </c>
      <c r="K1575" t="s">
        <v>52</v>
      </c>
      <c r="L1575">
        <v>43</v>
      </c>
      <c r="M1575">
        <v>1.38</v>
      </c>
      <c r="N1575">
        <v>136.44</v>
      </c>
      <c r="O1575">
        <v>0.48</v>
      </c>
      <c r="P1575">
        <v>4</v>
      </c>
      <c r="Q1575">
        <v>0.96</v>
      </c>
      <c r="R1575">
        <v>864</v>
      </c>
      <c r="S1575">
        <v>3.22</v>
      </c>
      <c r="T1575">
        <v>0.92</v>
      </c>
      <c r="U1575" s="1">
        <v>45497</v>
      </c>
      <c r="V1575">
        <v>172.58</v>
      </c>
      <c r="W1575">
        <v>0.69099999999999995</v>
      </c>
      <c r="X1575" t="str">
        <f>IF(WarehouseData[[#This Row],[stock_level]]&lt;=WarehouseData[[#This Row],[reorder_point]],"Low Stock","Sufficient Stock")</f>
        <v>Sufficient Stock</v>
      </c>
      <c r="Y1575">
        <f>WarehouseData[[#This Row],[daily_demand]]*WarehouseData[[#This Row],[lead_time_days]]</f>
        <v>90.42</v>
      </c>
      <c r="Z1575" t="str">
        <f>IF(WarehouseData[[#This Row],[stock_level]]&lt;=WarehouseData[[#This Row],[Demand During Lead Time]],"At Risk","Safe")</f>
        <v>Safe</v>
      </c>
      <c r="AA1575">
        <f>WarehouseData[[#This Row],[stock_level]]/WarehouseData[[#This Row],[daily_demand]]</f>
        <v>3.2736120327361204</v>
      </c>
      <c r="AB1575">
        <f>WarehouseData[[#This Row],[stock_level]]*WarehouseData[[#This Row],[unit_price]]</f>
        <v>20193.12</v>
      </c>
      <c r="AC1575">
        <f>WarehouseData[[#This Row],[stock_level]]*WarehouseData[[#This Row],[holding_cost_per_unit_day]]*30</f>
        <v>2131.1999999999998</v>
      </c>
      <c r="AD1575" t="str">
        <f>IF(WarehouseData[[#This Row],[order_fulfillment_rate]]&gt;=0.9,"Strong",IF(WarehouseData[[#This Row],[order_fulfillment_rate]]&gt;=0.8,"Moderate","Needs Attention"))</f>
        <v>Strong</v>
      </c>
      <c r="AE1575" t="str">
        <f>IF(WarehouseData[[#This Row],[picking_time_seconds]]&gt;120,"Slow",IF(WarehouseData[[#This Row],[picking_time_seconds]]&gt;=60,"Average","Fast"))</f>
        <v>Fast</v>
      </c>
    </row>
    <row r="1576" spans="1:31" x14ac:dyDescent="0.25">
      <c r="A1576" t="s">
        <v>1714</v>
      </c>
      <c r="B1576" t="s">
        <v>36</v>
      </c>
      <c r="C1576">
        <v>497</v>
      </c>
      <c r="D1576">
        <v>16</v>
      </c>
      <c r="E1576">
        <v>13</v>
      </c>
      <c r="F1576">
        <v>7</v>
      </c>
      <c r="G1576">
        <v>39.72</v>
      </c>
      <c r="H1576">
        <v>1.93</v>
      </c>
      <c r="I1576">
        <v>0.26</v>
      </c>
      <c r="J1576" t="s">
        <v>75</v>
      </c>
      <c r="K1576" t="s">
        <v>46</v>
      </c>
      <c r="L1576">
        <v>65</v>
      </c>
      <c r="M1576">
        <v>3.54</v>
      </c>
      <c r="N1576">
        <v>163.25</v>
      </c>
      <c r="O1576">
        <v>1.1399999999999999</v>
      </c>
      <c r="P1576">
        <v>5</v>
      </c>
      <c r="Q1576">
        <v>0.79</v>
      </c>
      <c r="R1576">
        <v>645</v>
      </c>
      <c r="S1576">
        <v>13.55</v>
      </c>
      <c r="T1576">
        <v>0.47</v>
      </c>
      <c r="U1576" s="1">
        <v>45311</v>
      </c>
      <c r="V1576">
        <v>157.5</v>
      </c>
      <c r="W1576">
        <v>0.61899999999999999</v>
      </c>
      <c r="X1576" t="str">
        <f>IF(WarehouseData[[#This Row],[stock_level]]&lt;=WarehouseData[[#This Row],[reorder_point]],"Low Stock","Sufficient Stock")</f>
        <v>Sufficient Stock</v>
      </c>
      <c r="Y1576">
        <f>WarehouseData[[#This Row],[daily_demand]]*WarehouseData[[#This Row],[lead_time_days]]</f>
        <v>278.03999999999996</v>
      </c>
      <c r="Z1576" t="str">
        <f>IF(WarehouseData[[#This Row],[stock_level]]&lt;=WarehouseData[[#This Row],[Demand During Lead Time]],"At Risk","Safe")</f>
        <v>Safe</v>
      </c>
      <c r="AA1576">
        <f>WarehouseData[[#This Row],[stock_level]]/WarehouseData[[#This Row],[daily_demand]]</f>
        <v>12.512588116817724</v>
      </c>
      <c r="AB1576">
        <f>WarehouseData[[#This Row],[stock_level]]*WarehouseData[[#This Row],[unit_price]]</f>
        <v>81135.25</v>
      </c>
      <c r="AC1576">
        <f>WarehouseData[[#This Row],[stock_level]]*WarehouseData[[#This Row],[holding_cost_per_unit_day]]*30</f>
        <v>16997.399999999998</v>
      </c>
      <c r="AD1576" t="str">
        <f>IF(WarehouseData[[#This Row],[order_fulfillment_rate]]&gt;=0.9,"Strong",IF(WarehouseData[[#This Row],[order_fulfillment_rate]]&gt;=0.8,"Moderate","Needs Attention"))</f>
        <v>Needs Attention</v>
      </c>
      <c r="AE1576" t="str">
        <f>IF(WarehouseData[[#This Row],[picking_time_seconds]]&gt;120,"Slow",IF(WarehouseData[[#This Row],[picking_time_seconds]]&gt;=60,"Average","Fast"))</f>
        <v>Average</v>
      </c>
    </row>
    <row r="1577" spans="1:31" x14ac:dyDescent="0.25">
      <c r="A1577" t="s">
        <v>1715</v>
      </c>
      <c r="B1577" t="s">
        <v>40</v>
      </c>
      <c r="C1577">
        <v>192</v>
      </c>
      <c r="D1577">
        <v>72</v>
      </c>
      <c r="E1577">
        <v>6</v>
      </c>
      <c r="F1577">
        <v>4</v>
      </c>
      <c r="G1577">
        <v>20.96</v>
      </c>
      <c r="H1577">
        <v>0.62</v>
      </c>
      <c r="I1577">
        <v>0.52</v>
      </c>
      <c r="J1577" t="s">
        <v>190</v>
      </c>
      <c r="K1577" t="s">
        <v>38</v>
      </c>
      <c r="L1577">
        <v>76</v>
      </c>
      <c r="M1577">
        <v>1.88</v>
      </c>
      <c r="N1577">
        <v>28.9</v>
      </c>
      <c r="O1577">
        <v>1.1499999999999999</v>
      </c>
      <c r="P1577">
        <v>6</v>
      </c>
      <c r="Q1577">
        <v>0.85</v>
      </c>
      <c r="R1577">
        <v>253</v>
      </c>
      <c r="S1577">
        <v>13.47</v>
      </c>
      <c r="T1577">
        <v>0.85</v>
      </c>
      <c r="U1577" s="1">
        <v>45494</v>
      </c>
      <c r="V1577">
        <v>202.32</v>
      </c>
      <c r="W1577">
        <v>0.68500000000000005</v>
      </c>
      <c r="X1577" t="str">
        <f>IF(WarehouseData[[#This Row],[stock_level]]&lt;=WarehouseData[[#This Row],[reorder_point]],"Low Stock","Sufficient Stock")</f>
        <v>Sufficient Stock</v>
      </c>
      <c r="Y1577">
        <f>WarehouseData[[#This Row],[daily_demand]]*WarehouseData[[#This Row],[lead_time_days]]</f>
        <v>83.84</v>
      </c>
      <c r="Z1577" t="str">
        <f>IF(WarehouseData[[#This Row],[stock_level]]&lt;=WarehouseData[[#This Row],[Demand During Lead Time]],"At Risk","Safe")</f>
        <v>Safe</v>
      </c>
      <c r="AA1577">
        <f>WarehouseData[[#This Row],[stock_level]]/WarehouseData[[#This Row],[daily_demand]]</f>
        <v>9.1603053435114496</v>
      </c>
      <c r="AB1577">
        <f>WarehouseData[[#This Row],[stock_level]]*WarehouseData[[#This Row],[unit_price]]</f>
        <v>5548.7999999999993</v>
      </c>
      <c r="AC1577">
        <f>WarehouseData[[#This Row],[stock_level]]*WarehouseData[[#This Row],[holding_cost_per_unit_day]]*30</f>
        <v>6623.9999999999991</v>
      </c>
      <c r="AD1577" t="str">
        <f>IF(WarehouseData[[#This Row],[order_fulfillment_rate]]&gt;=0.9,"Strong",IF(WarehouseData[[#This Row],[order_fulfillment_rate]]&gt;=0.8,"Moderate","Needs Attention"))</f>
        <v>Moderate</v>
      </c>
      <c r="AE1577" t="str">
        <f>IF(WarehouseData[[#This Row],[picking_time_seconds]]&gt;120,"Slow",IF(WarehouseData[[#This Row],[picking_time_seconds]]&gt;=60,"Average","Fast"))</f>
        <v>Average</v>
      </c>
    </row>
    <row r="1578" spans="1:31" x14ac:dyDescent="0.25">
      <c r="A1578" t="s">
        <v>1716</v>
      </c>
      <c r="B1578" t="s">
        <v>48</v>
      </c>
      <c r="C1578">
        <v>499</v>
      </c>
      <c r="D1578">
        <v>51</v>
      </c>
      <c r="E1578">
        <v>3</v>
      </c>
      <c r="F1578">
        <v>6</v>
      </c>
      <c r="G1578">
        <v>28.65</v>
      </c>
      <c r="H1578">
        <v>1.54</v>
      </c>
      <c r="I1578">
        <v>0.31</v>
      </c>
      <c r="J1578" t="s">
        <v>33</v>
      </c>
      <c r="K1578" t="s">
        <v>46</v>
      </c>
      <c r="L1578">
        <v>100</v>
      </c>
      <c r="M1578">
        <v>4.5</v>
      </c>
      <c r="N1578">
        <v>119.65</v>
      </c>
      <c r="O1578">
        <v>0.24</v>
      </c>
      <c r="P1578">
        <v>7</v>
      </c>
      <c r="Q1578">
        <v>0.77</v>
      </c>
      <c r="R1578">
        <v>276</v>
      </c>
      <c r="S1578">
        <v>4.29</v>
      </c>
      <c r="T1578">
        <v>0.77</v>
      </c>
      <c r="U1578" s="1">
        <v>45461</v>
      </c>
      <c r="V1578">
        <v>271</v>
      </c>
      <c r="W1578">
        <v>0.60099999999999998</v>
      </c>
      <c r="X1578" t="str">
        <f>IF(WarehouseData[[#This Row],[stock_level]]&lt;=WarehouseData[[#This Row],[reorder_point]],"Low Stock","Sufficient Stock")</f>
        <v>Sufficient Stock</v>
      </c>
      <c r="Y1578">
        <f>WarehouseData[[#This Row],[daily_demand]]*WarehouseData[[#This Row],[lead_time_days]]</f>
        <v>171.89999999999998</v>
      </c>
      <c r="Z1578" t="str">
        <f>IF(WarehouseData[[#This Row],[stock_level]]&lt;=WarehouseData[[#This Row],[Demand During Lead Time]],"At Risk","Safe")</f>
        <v>Safe</v>
      </c>
      <c r="AA1578">
        <f>WarehouseData[[#This Row],[stock_level]]/WarehouseData[[#This Row],[daily_demand]]</f>
        <v>17.417102966841188</v>
      </c>
      <c r="AB1578">
        <f>WarehouseData[[#This Row],[stock_level]]*WarehouseData[[#This Row],[unit_price]]</f>
        <v>59705.350000000006</v>
      </c>
      <c r="AC1578">
        <f>WarehouseData[[#This Row],[stock_level]]*WarehouseData[[#This Row],[holding_cost_per_unit_day]]*30</f>
        <v>3592.7999999999997</v>
      </c>
      <c r="AD1578" t="str">
        <f>IF(WarehouseData[[#This Row],[order_fulfillment_rate]]&gt;=0.9,"Strong",IF(WarehouseData[[#This Row],[order_fulfillment_rate]]&gt;=0.8,"Moderate","Needs Attention"))</f>
        <v>Needs Attention</v>
      </c>
      <c r="AE1578" t="str">
        <f>IF(WarehouseData[[#This Row],[picking_time_seconds]]&gt;120,"Slow",IF(WarehouseData[[#This Row],[picking_time_seconds]]&gt;=60,"Average","Fast"))</f>
        <v>Average</v>
      </c>
    </row>
    <row r="1579" spans="1:31" x14ac:dyDescent="0.25">
      <c r="A1579" t="s">
        <v>1717</v>
      </c>
      <c r="B1579" t="s">
        <v>32</v>
      </c>
      <c r="C1579">
        <v>175</v>
      </c>
      <c r="D1579">
        <v>51</v>
      </c>
      <c r="E1579">
        <v>5</v>
      </c>
      <c r="F1579">
        <v>5</v>
      </c>
      <c r="G1579">
        <v>39.85</v>
      </c>
      <c r="H1579">
        <v>3.95</v>
      </c>
      <c r="I1579">
        <v>0.61</v>
      </c>
      <c r="J1579" t="s">
        <v>273</v>
      </c>
      <c r="K1579" t="s">
        <v>34</v>
      </c>
      <c r="L1579">
        <v>76</v>
      </c>
      <c r="M1579">
        <v>1.4</v>
      </c>
      <c r="N1579">
        <v>21.87</v>
      </c>
      <c r="O1579">
        <v>0.97</v>
      </c>
      <c r="P1579">
        <v>9</v>
      </c>
      <c r="Q1579">
        <v>0.85</v>
      </c>
      <c r="R1579">
        <v>997</v>
      </c>
      <c r="S1579">
        <v>4.87</v>
      </c>
      <c r="T1579">
        <v>0.45</v>
      </c>
      <c r="U1579" s="1">
        <v>45645</v>
      </c>
      <c r="V1579">
        <v>195.16</v>
      </c>
      <c r="W1579">
        <v>0.44800000000000001</v>
      </c>
      <c r="X1579" t="str">
        <f>IF(WarehouseData[[#This Row],[stock_level]]&lt;=WarehouseData[[#This Row],[reorder_point]],"Low Stock","Sufficient Stock")</f>
        <v>Sufficient Stock</v>
      </c>
      <c r="Y1579">
        <f>WarehouseData[[#This Row],[daily_demand]]*WarehouseData[[#This Row],[lead_time_days]]</f>
        <v>199.25</v>
      </c>
      <c r="Z1579" t="str">
        <f>IF(WarehouseData[[#This Row],[stock_level]]&lt;=WarehouseData[[#This Row],[Demand During Lead Time]],"At Risk","Safe")</f>
        <v>At Risk</v>
      </c>
      <c r="AA1579">
        <f>WarehouseData[[#This Row],[stock_level]]/WarehouseData[[#This Row],[daily_demand]]</f>
        <v>4.3914680050188206</v>
      </c>
      <c r="AB1579">
        <f>WarehouseData[[#This Row],[stock_level]]*WarehouseData[[#This Row],[unit_price]]</f>
        <v>3827.25</v>
      </c>
      <c r="AC1579">
        <f>WarehouseData[[#This Row],[stock_level]]*WarehouseData[[#This Row],[holding_cost_per_unit_day]]*30</f>
        <v>5092.5</v>
      </c>
      <c r="AD1579" t="str">
        <f>IF(WarehouseData[[#This Row],[order_fulfillment_rate]]&gt;=0.9,"Strong",IF(WarehouseData[[#This Row],[order_fulfillment_rate]]&gt;=0.8,"Moderate","Needs Attention"))</f>
        <v>Moderate</v>
      </c>
      <c r="AE1579" t="str">
        <f>IF(WarehouseData[[#This Row],[picking_time_seconds]]&gt;120,"Slow",IF(WarehouseData[[#This Row],[picking_time_seconds]]&gt;=60,"Average","Fast"))</f>
        <v>Average</v>
      </c>
    </row>
    <row r="1580" spans="1:31" x14ac:dyDescent="0.25">
      <c r="A1580" t="s">
        <v>1718</v>
      </c>
      <c r="B1580" t="s">
        <v>40</v>
      </c>
      <c r="C1580">
        <v>424</v>
      </c>
      <c r="D1580">
        <v>68</v>
      </c>
      <c r="E1580">
        <v>7</v>
      </c>
      <c r="F1580">
        <v>6</v>
      </c>
      <c r="G1580">
        <v>14.38</v>
      </c>
      <c r="H1580">
        <v>6.01</v>
      </c>
      <c r="I1580">
        <v>0.21</v>
      </c>
      <c r="J1580" t="s">
        <v>334</v>
      </c>
      <c r="K1580" t="s">
        <v>38</v>
      </c>
      <c r="L1580">
        <v>119</v>
      </c>
      <c r="M1580">
        <v>3.2</v>
      </c>
      <c r="N1580">
        <v>43.43</v>
      </c>
      <c r="O1580">
        <v>0.98</v>
      </c>
      <c r="P1580">
        <v>7</v>
      </c>
      <c r="Q1580">
        <v>0.9</v>
      </c>
      <c r="R1580">
        <v>813</v>
      </c>
      <c r="S1580">
        <v>5.39</v>
      </c>
      <c r="T1580">
        <v>0.47</v>
      </c>
      <c r="U1580" s="1">
        <v>45413</v>
      </c>
      <c r="V1580">
        <v>238.61</v>
      </c>
      <c r="W1580">
        <v>0.50800000000000001</v>
      </c>
      <c r="X1580" t="str">
        <f>IF(WarehouseData[[#This Row],[stock_level]]&lt;=WarehouseData[[#This Row],[reorder_point]],"Low Stock","Sufficient Stock")</f>
        <v>Sufficient Stock</v>
      </c>
      <c r="Y1580">
        <f>WarehouseData[[#This Row],[daily_demand]]*WarehouseData[[#This Row],[lead_time_days]]</f>
        <v>86.28</v>
      </c>
      <c r="Z1580" t="str">
        <f>IF(WarehouseData[[#This Row],[stock_level]]&lt;=WarehouseData[[#This Row],[Demand During Lead Time]],"At Risk","Safe")</f>
        <v>Safe</v>
      </c>
      <c r="AA1580">
        <f>WarehouseData[[#This Row],[stock_level]]/WarehouseData[[#This Row],[daily_demand]]</f>
        <v>29.48539638386648</v>
      </c>
      <c r="AB1580">
        <f>WarehouseData[[#This Row],[stock_level]]*WarehouseData[[#This Row],[unit_price]]</f>
        <v>18414.32</v>
      </c>
      <c r="AC1580">
        <f>WarehouseData[[#This Row],[stock_level]]*WarehouseData[[#This Row],[holding_cost_per_unit_day]]*30</f>
        <v>12465.599999999999</v>
      </c>
      <c r="AD1580" t="str">
        <f>IF(WarehouseData[[#This Row],[order_fulfillment_rate]]&gt;=0.9,"Strong",IF(WarehouseData[[#This Row],[order_fulfillment_rate]]&gt;=0.8,"Moderate","Needs Attention"))</f>
        <v>Strong</v>
      </c>
      <c r="AE1580" t="str">
        <f>IF(WarehouseData[[#This Row],[picking_time_seconds]]&gt;120,"Slow",IF(WarehouseData[[#This Row],[picking_time_seconds]]&gt;=60,"Average","Fast"))</f>
        <v>Average</v>
      </c>
    </row>
    <row r="1581" spans="1:31" x14ac:dyDescent="0.25">
      <c r="A1581" t="s">
        <v>1719</v>
      </c>
      <c r="B1581" t="s">
        <v>36</v>
      </c>
      <c r="C1581">
        <v>397</v>
      </c>
      <c r="D1581">
        <v>29</v>
      </c>
      <c r="E1581">
        <v>8</v>
      </c>
      <c r="F1581">
        <v>6</v>
      </c>
      <c r="G1581">
        <v>31.7</v>
      </c>
      <c r="H1581">
        <v>2.33</v>
      </c>
      <c r="I1581">
        <v>0.95</v>
      </c>
      <c r="J1581" t="s">
        <v>265</v>
      </c>
      <c r="K1581" t="s">
        <v>46</v>
      </c>
      <c r="L1581">
        <v>176</v>
      </c>
      <c r="M1581">
        <v>3.07</v>
      </c>
      <c r="N1581">
        <v>71.849999999999994</v>
      </c>
      <c r="O1581">
        <v>0.71</v>
      </c>
      <c r="P1581">
        <v>4</v>
      </c>
      <c r="Q1581">
        <v>0.73</v>
      </c>
      <c r="R1581">
        <v>866</v>
      </c>
      <c r="S1581">
        <v>7.32</v>
      </c>
      <c r="T1581">
        <v>0.35</v>
      </c>
      <c r="U1581" s="1">
        <v>45317</v>
      </c>
      <c r="V1581">
        <v>149.28</v>
      </c>
      <c r="W1581">
        <v>0.56299999999999994</v>
      </c>
      <c r="X1581" t="str">
        <f>IF(WarehouseData[[#This Row],[stock_level]]&lt;=WarehouseData[[#This Row],[reorder_point]],"Low Stock","Sufficient Stock")</f>
        <v>Sufficient Stock</v>
      </c>
      <c r="Y1581">
        <f>WarehouseData[[#This Row],[daily_demand]]*WarehouseData[[#This Row],[lead_time_days]]</f>
        <v>190.2</v>
      </c>
      <c r="Z1581" t="str">
        <f>IF(WarehouseData[[#This Row],[stock_level]]&lt;=WarehouseData[[#This Row],[Demand During Lead Time]],"At Risk","Safe")</f>
        <v>Safe</v>
      </c>
      <c r="AA1581">
        <f>WarehouseData[[#This Row],[stock_level]]/WarehouseData[[#This Row],[daily_demand]]</f>
        <v>12.523659305993691</v>
      </c>
      <c r="AB1581">
        <f>WarehouseData[[#This Row],[stock_level]]*WarehouseData[[#This Row],[unit_price]]</f>
        <v>28524.449999999997</v>
      </c>
      <c r="AC1581">
        <f>WarehouseData[[#This Row],[stock_level]]*WarehouseData[[#This Row],[holding_cost_per_unit_day]]*30</f>
        <v>8456.1</v>
      </c>
      <c r="AD1581" t="str">
        <f>IF(WarehouseData[[#This Row],[order_fulfillment_rate]]&gt;=0.9,"Strong",IF(WarehouseData[[#This Row],[order_fulfillment_rate]]&gt;=0.8,"Moderate","Needs Attention"))</f>
        <v>Needs Attention</v>
      </c>
      <c r="AE1581" t="str">
        <f>IF(WarehouseData[[#This Row],[picking_time_seconds]]&gt;120,"Slow",IF(WarehouseData[[#This Row],[picking_time_seconds]]&gt;=60,"Average","Fast"))</f>
        <v>Slow</v>
      </c>
    </row>
    <row r="1582" spans="1:31" x14ac:dyDescent="0.25">
      <c r="A1582" t="s">
        <v>1720</v>
      </c>
      <c r="B1582" t="s">
        <v>32</v>
      </c>
      <c r="C1582">
        <v>129</v>
      </c>
      <c r="D1582">
        <v>82</v>
      </c>
      <c r="E1582">
        <v>11</v>
      </c>
      <c r="F1582">
        <v>6</v>
      </c>
      <c r="G1582">
        <v>41.57</v>
      </c>
      <c r="H1582">
        <v>8.1199999999999992</v>
      </c>
      <c r="I1582">
        <v>0.87</v>
      </c>
      <c r="J1582" t="s">
        <v>401</v>
      </c>
      <c r="K1582" t="s">
        <v>46</v>
      </c>
      <c r="L1582">
        <v>175</v>
      </c>
      <c r="M1582">
        <v>1.39</v>
      </c>
      <c r="N1582">
        <v>144.4</v>
      </c>
      <c r="O1582">
        <v>0.63</v>
      </c>
      <c r="P1582">
        <v>1</v>
      </c>
      <c r="Q1582">
        <v>0.96</v>
      </c>
      <c r="R1582">
        <v>200</v>
      </c>
      <c r="S1582">
        <v>12.61</v>
      </c>
      <c r="T1582">
        <v>0.75</v>
      </c>
      <c r="U1582" s="1">
        <v>45535</v>
      </c>
      <c r="V1582">
        <v>180.98</v>
      </c>
      <c r="W1582">
        <v>0.82699999999999996</v>
      </c>
      <c r="X1582" t="str">
        <f>IF(WarehouseData[[#This Row],[stock_level]]&lt;=WarehouseData[[#This Row],[reorder_point]],"Low Stock","Sufficient Stock")</f>
        <v>Sufficient Stock</v>
      </c>
      <c r="Y1582">
        <f>WarehouseData[[#This Row],[daily_demand]]*WarehouseData[[#This Row],[lead_time_days]]</f>
        <v>249.42000000000002</v>
      </c>
      <c r="Z1582" t="str">
        <f>IF(WarehouseData[[#This Row],[stock_level]]&lt;=WarehouseData[[#This Row],[Demand During Lead Time]],"At Risk","Safe")</f>
        <v>At Risk</v>
      </c>
      <c r="AA1582">
        <f>WarehouseData[[#This Row],[stock_level]]/WarehouseData[[#This Row],[daily_demand]]</f>
        <v>3.1031994226605724</v>
      </c>
      <c r="AB1582">
        <f>WarehouseData[[#This Row],[stock_level]]*WarehouseData[[#This Row],[unit_price]]</f>
        <v>18627.600000000002</v>
      </c>
      <c r="AC1582">
        <f>WarehouseData[[#This Row],[stock_level]]*WarehouseData[[#This Row],[holding_cost_per_unit_day]]*30</f>
        <v>2438.1</v>
      </c>
      <c r="AD1582" t="str">
        <f>IF(WarehouseData[[#This Row],[order_fulfillment_rate]]&gt;=0.9,"Strong",IF(WarehouseData[[#This Row],[order_fulfillment_rate]]&gt;=0.8,"Moderate","Needs Attention"))</f>
        <v>Strong</v>
      </c>
      <c r="AE1582" t="str">
        <f>IF(WarehouseData[[#This Row],[picking_time_seconds]]&gt;120,"Slow",IF(WarehouseData[[#This Row],[picking_time_seconds]]&gt;=60,"Average","Fast"))</f>
        <v>Slow</v>
      </c>
    </row>
    <row r="1583" spans="1:31" x14ac:dyDescent="0.25">
      <c r="A1583" t="s">
        <v>1721</v>
      </c>
      <c r="B1583" t="s">
        <v>36</v>
      </c>
      <c r="C1583">
        <v>288</v>
      </c>
      <c r="D1583">
        <v>26</v>
      </c>
      <c r="E1583">
        <v>11</v>
      </c>
      <c r="F1583">
        <v>8</v>
      </c>
      <c r="G1583">
        <v>35.67</v>
      </c>
      <c r="H1583">
        <v>7.66</v>
      </c>
      <c r="I1583">
        <v>0.24</v>
      </c>
      <c r="J1583" t="s">
        <v>49</v>
      </c>
      <c r="K1583" t="s">
        <v>34</v>
      </c>
      <c r="L1583">
        <v>49</v>
      </c>
      <c r="M1583">
        <v>2.48</v>
      </c>
      <c r="N1583">
        <v>195.04</v>
      </c>
      <c r="O1583">
        <v>0.53</v>
      </c>
      <c r="P1583">
        <v>9</v>
      </c>
      <c r="Q1583">
        <v>0.88</v>
      </c>
      <c r="R1583">
        <v>296</v>
      </c>
      <c r="S1583">
        <v>3.02</v>
      </c>
      <c r="T1583">
        <v>0.65</v>
      </c>
      <c r="U1583" s="1">
        <v>45429</v>
      </c>
      <c r="V1583">
        <v>62.24</v>
      </c>
      <c r="W1583">
        <v>0.51300000000000001</v>
      </c>
      <c r="X1583" t="str">
        <f>IF(WarehouseData[[#This Row],[stock_level]]&lt;=WarehouseData[[#This Row],[reorder_point]],"Low Stock","Sufficient Stock")</f>
        <v>Sufficient Stock</v>
      </c>
      <c r="Y1583">
        <f>WarehouseData[[#This Row],[daily_demand]]*WarehouseData[[#This Row],[lead_time_days]]</f>
        <v>285.36</v>
      </c>
      <c r="Z1583" t="str">
        <f>IF(WarehouseData[[#This Row],[stock_level]]&lt;=WarehouseData[[#This Row],[Demand During Lead Time]],"At Risk","Safe")</f>
        <v>Safe</v>
      </c>
      <c r="AA1583">
        <f>WarehouseData[[#This Row],[stock_level]]/WarehouseData[[#This Row],[daily_demand]]</f>
        <v>8.0740117746005051</v>
      </c>
      <c r="AB1583">
        <f>WarehouseData[[#This Row],[stock_level]]*WarehouseData[[#This Row],[unit_price]]</f>
        <v>56171.519999999997</v>
      </c>
      <c r="AC1583">
        <f>WarehouseData[[#This Row],[stock_level]]*WarehouseData[[#This Row],[holding_cost_per_unit_day]]*30</f>
        <v>4579.2000000000007</v>
      </c>
      <c r="AD1583" t="str">
        <f>IF(WarehouseData[[#This Row],[order_fulfillment_rate]]&gt;=0.9,"Strong",IF(WarehouseData[[#This Row],[order_fulfillment_rate]]&gt;=0.8,"Moderate","Needs Attention"))</f>
        <v>Moderate</v>
      </c>
      <c r="AE1583" t="str">
        <f>IF(WarehouseData[[#This Row],[picking_time_seconds]]&gt;120,"Slow",IF(WarehouseData[[#This Row],[picking_time_seconds]]&gt;=60,"Average","Fast"))</f>
        <v>Fast</v>
      </c>
    </row>
    <row r="1584" spans="1:31" x14ac:dyDescent="0.25">
      <c r="A1584" t="s">
        <v>1722</v>
      </c>
      <c r="B1584" t="s">
        <v>32</v>
      </c>
      <c r="C1584">
        <v>430</v>
      </c>
      <c r="D1584">
        <v>36</v>
      </c>
      <c r="E1584">
        <v>11</v>
      </c>
      <c r="F1584">
        <v>9</v>
      </c>
      <c r="G1584">
        <v>24.49</v>
      </c>
      <c r="H1584">
        <v>7.11</v>
      </c>
      <c r="I1584">
        <v>0.26</v>
      </c>
      <c r="J1584" t="s">
        <v>353</v>
      </c>
      <c r="K1584" t="s">
        <v>52</v>
      </c>
      <c r="L1584">
        <v>156</v>
      </c>
      <c r="M1584">
        <v>3.54</v>
      </c>
      <c r="N1584">
        <v>75.08</v>
      </c>
      <c r="O1584">
        <v>0.11</v>
      </c>
      <c r="P1584">
        <v>7</v>
      </c>
      <c r="Q1584">
        <v>1</v>
      </c>
      <c r="R1584">
        <v>867</v>
      </c>
      <c r="S1584">
        <v>10.81</v>
      </c>
      <c r="T1584">
        <v>0.32</v>
      </c>
      <c r="U1584" s="1">
        <v>45482</v>
      </c>
      <c r="V1584">
        <v>151.66999999999999</v>
      </c>
      <c r="W1584">
        <v>0.65700000000000003</v>
      </c>
      <c r="X1584" t="str">
        <f>IF(WarehouseData[[#This Row],[stock_level]]&lt;=WarehouseData[[#This Row],[reorder_point]],"Low Stock","Sufficient Stock")</f>
        <v>Sufficient Stock</v>
      </c>
      <c r="Y1584">
        <f>WarehouseData[[#This Row],[daily_demand]]*WarehouseData[[#This Row],[lead_time_days]]</f>
        <v>220.41</v>
      </c>
      <c r="Z1584" t="str">
        <f>IF(WarehouseData[[#This Row],[stock_level]]&lt;=WarehouseData[[#This Row],[Demand During Lead Time]],"At Risk","Safe")</f>
        <v>Safe</v>
      </c>
      <c r="AA1584">
        <f>WarehouseData[[#This Row],[stock_level]]/WarehouseData[[#This Row],[daily_demand]]</f>
        <v>17.55818701510821</v>
      </c>
      <c r="AB1584">
        <f>WarehouseData[[#This Row],[stock_level]]*WarehouseData[[#This Row],[unit_price]]</f>
        <v>32284.399999999998</v>
      </c>
      <c r="AC1584">
        <f>WarehouseData[[#This Row],[stock_level]]*WarehouseData[[#This Row],[holding_cost_per_unit_day]]*30</f>
        <v>1419</v>
      </c>
      <c r="AD1584" t="str">
        <f>IF(WarehouseData[[#This Row],[order_fulfillment_rate]]&gt;=0.9,"Strong",IF(WarehouseData[[#This Row],[order_fulfillment_rate]]&gt;=0.8,"Moderate","Needs Attention"))</f>
        <v>Strong</v>
      </c>
      <c r="AE1584" t="str">
        <f>IF(WarehouseData[[#This Row],[picking_time_seconds]]&gt;120,"Slow",IF(WarehouseData[[#This Row],[picking_time_seconds]]&gt;=60,"Average","Fast"))</f>
        <v>Slow</v>
      </c>
    </row>
    <row r="1585" spans="1:31" x14ac:dyDescent="0.25">
      <c r="A1585" t="s">
        <v>1723</v>
      </c>
      <c r="B1585" t="s">
        <v>48</v>
      </c>
      <c r="C1585">
        <v>375</v>
      </c>
      <c r="D1585">
        <v>56</v>
      </c>
      <c r="E1585">
        <v>13</v>
      </c>
      <c r="F1585">
        <v>7</v>
      </c>
      <c r="G1585">
        <v>29.65</v>
      </c>
      <c r="H1585">
        <v>5.13</v>
      </c>
      <c r="I1585">
        <v>0.56000000000000005</v>
      </c>
      <c r="J1585" t="s">
        <v>228</v>
      </c>
      <c r="K1585" t="s">
        <v>52</v>
      </c>
      <c r="L1585">
        <v>142</v>
      </c>
      <c r="M1585">
        <v>1.93</v>
      </c>
      <c r="N1585">
        <v>109.02</v>
      </c>
      <c r="O1585">
        <v>0.1</v>
      </c>
      <c r="P1585">
        <v>5</v>
      </c>
      <c r="Q1585">
        <v>0.71</v>
      </c>
      <c r="R1585">
        <v>66</v>
      </c>
      <c r="S1585">
        <v>5.94</v>
      </c>
      <c r="T1585">
        <v>0.7</v>
      </c>
      <c r="U1585" s="1">
        <v>45302</v>
      </c>
      <c r="V1585">
        <v>53.18</v>
      </c>
      <c r="W1585">
        <v>0.65100000000000002</v>
      </c>
      <c r="X1585" t="str">
        <f>IF(WarehouseData[[#This Row],[stock_level]]&lt;=WarehouseData[[#This Row],[reorder_point]],"Low Stock","Sufficient Stock")</f>
        <v>Sufficient Stock</v>
      </c>
      <c r="Y1585">
        <f>WarehouseData[[#This Row],[daily_demand]]*WarehouseData[[#This Row],[lead_time_days]]</f>
        <v>207.54999999999998</v>
      </c>
      <c r="Z1585" t="str">
        <f>IF(WarehouseData[[#This Row],[stock_level]]&lt;=WarehouseData[[#This Row],[Demand During Lead Time]],"At Risk","Safe")</f>
        <v>Safe</v>
      </c>
      <c r="AA1585">
        <f>WarehouseData[[#This Row],[stock_level]]/WarehouseData[[#This Row],[daily_demand]]</f>
        <v>12.647554806070827</v>
      </c>
      <c r="AB1585">
        <f>WarehouseData[[#This Row],[stock_level]]*WarehouseData[[#This Row],[unit_price]]</f>
        <v>40882.5</v>
      </c>
      <c r="AC1585">
        <f>WarehouseData[[#This Row],[stock_level]]*WarehouseData[[#This Row],[holding_cost_per_unit_day]]*30</f>
        <v>1125</v>
      </c>
      <c r="AD1585" t="str">
        <f>IF(WarehouseData[[#This Row],[order_fulfillment_rate]]&gt;=0.9,"Strong",IF(WarehouseData[[#This Row],[order_fulfillment_rate]]&gt;=0.8,"Moderate","Needs Attention"))</f>
        <v>Needs Attention</v>
      </c>
      <c r="AE1585" t="str">
        <f>IF(WarehouseData[[#This Row],[picking_time_seconds]]&gt;120,"Slow",IF(WarehouseData[[#This Row],[picking_time_seconds]]&gt;=60,"Average","Fast"))</f>
        <v>Slow</v>
      </c>
    </row>
    <row r="1586" spans="1:31" x14ac:dyDescent="0.25">
      <c r="A1586" t="s">
        <v>1724</v>
      </c>
      <c r="B1586" t="s">
        <v>40</v>
      </c>
      <c r="C1586">
        <v>410</v>
      </c>
      <c r="D1586">
        <v>11</v>
      </c>
      <c r="E1586">
        <v>3</v>
      </c>
      <c r="F1586">
        <v>6</v>
      </c>
      <c r="G1586">
        <v>49.45</v>
      </c>
      <c r="H1586">
        <v>3.97</v>
      </c>
      <c r="I1586">
        <v>0.8</v>
      </c>
      <c r="J1586" t="s">
        <v>181</v>
      </c>
      <c r="K1586" t="s">
        <v>38</v>
      </c>
      <c r="L1586">
        <v>151</v>
      </c>
      <c r="M1586">
        <v>1.01</v>
      </c>
      <c r="N1586">
        <v>59.22</v>
      </c>
      <c r="O1586">
        <v>1.22</v>
      </c>
      <c r="P1586">
        <v>2</v>
      </c>
      <c r="Q1586">
        <v>0.95</v>
      </c>
      <c r="R1586">
        <v>353</v>
      </c>
      <c r="S1586">
        <v>3.74</v>
      </c>
      <c r="T1586">
        <v>0.6</v>
      </c>
      <c r="U1586" s="1">
        <v>45464</v>
      </c>
      <c r="V1586">
        <v>145.44</v>
      </c>
      <c r="W1586">
        <v>0.59799999999999998</v>
      </c>
      <c r="X1586" t="str">
        <f>IF(WarehouseData[[#This Row],[stock_level]]&lt;=WarehouseData[[#This Row],[reorder_point]],"Low Stock","Sufficient Stock")</f>
        <v>Sufficient Stock</v>
      </c>
      <c r="Y1586">
        <f>WarehouseData[[#This Row],[daily_demand]]*WarehouseData[[#This Row],[lead_time_days]]</f>
        <v>296.70000000000005</v>
      </c>
      <c r="Z1586" t="str">
        <f>IF(WarehouseData[[#This Row],[stock_level]]&lt;=WarehouseData[[#This Row],[Demand During Lead Time]],"At Risk","Safe")</f>
        <v>Safe</v>
      </c>
      <c r="AA1586">
        <f>WarehouseData[[#This Row],[stock_level]]/WarehouseData[[#This Row],[daily_demand]]</f>
        <v>8.2912032355915066</v>
      </c>
      <c r="AB1586">
        <f>WarehouseData[[#This Row],[stock_level]]*WarehouseData[[#This Row],[unit_price]]</f>
        <v>24280.2</v>
      </c>
      <c r="AC1586">
        <f>WarehouseData[[#This Row],[stock_level]]*WarehouseData[[#This Row],[holding_cost_per_unit_day]]*30</f>
        <v>15006</v>
      </c>
      <c r="AD1586" t="str">
        <f>IF(WarehouseData[[#This Row],[order_fulfillment_rate]]&gt;=0.9,"Strong",IF(WarehouseData[[#This Row],[order_fulfillment_rate]]&gt;=0.8,"Moderate","Needs Attention"))</f>
        <v>Strong</v>
      </c>
      <c r="AE1586" t="str">
        <f>IF(WarehouseData[[#This Row],[picking_time_seconds]]&gt;120,"Slow",IF(WarehouseData[[#This Row],[picking_time_seconds]]&gt;=60,"Average","Fast"))</f>
        <v>Slow</v>
      </c>
    </row>
    <row r="1587" spans="1:31" x14ac:dyDescent="0.25">
      <c r="A1587" t="s">
        <v>1725</v>
      </c>
      <c r="B1587" t="s">
        <v>32</v>
      </c>
      <c r="C1587">
        <v>297</v>
      </c>
      <c r="D1587">
        <v>72</v>
      </c>
      <c r="E1587">
        <v>14</v>
      </c>
      <c r="F1587">
        <v>9</v>
      </c>
      <c r="G1587">
        <v>30.5</v>
      </c>
      <c r="H1587">
        <v>4.07</v>
      </c>
      <c r="I1587">
        <v>0.3</v>
      </c>
      <c r="J1587" t="s">
        <v>160</v>
      </c>
      <c r="K1587" t="s">
        <v>46</v>
      </c>
      <c r="L1587">
        <v>100</v>
      </c>
      <c r="M1587">
        <v>3.27</v>
      </c>
      <c r="N1587">
        <v>138.34</v>
      </c>
      <c r="O1587">
        <v>0.65</v>
      </c>
      <c r="P1587">
        <v>3</v>
      </c>
      <c r="Q1587">
        <v>0.94</v>
      </c>
      <c r="R1587">
        <v>938</v>
      </c>
      <c r="S1587">
        <v>5.74</v>
      </c>
      <c r="T1587">
        <v>0.27</v>
      </c>
      <c r="U1587" s="1">
        <v>45447</v>
      </c>
      <c r="V1587">
        <v>28.84</v>
      </c>
      <c r="W1587">
        <v>0.59399999999999997</v>
      </c>
      <c r="X1587" t="str">
        <f>IF(WarehouseData[[#This Row],[stock_level]]&lt;=WarehouseData[[#This Row],[reorder_point]],"Low Stock","Sufficient Stock")</f>
        <v>Sufficient Stock</v>
      </c>
      <c r="Y1587">
        <f>WarehouseData[[#This Row],[daily_demand]]*WarehouseData[[#This Row],[lead_time_days]]</f>
        <v>274.5</v>
      </c>
      <c r="Z1587" t="str">
        <f>IF(WarehouseData[[#This Row],[stock_level]]&lt;=WarehouseData[[#This Row],[Demand During Lead Time]],"At Risk","Safe")</f>
        <v>Safe</v>
      </c>
      <c r="AA1587">
        <f>WarehouseData[[#This Row],[stock_level]]/WarehouseData[[#This Row],[daily_demand]]</f>
        <v>9.7377049180327866</v>
      </c>
      <c r="AB1587">
        <f>WarehouseData[[#This Row],[stock_level]]*WarehouseData[[#This Row],[unit_price]]</f>
        <v>41086.980000000003</v>
      </c>
      <c r="AC1587">
        <f>WarehouseData[[#This Row],[stock_level]]*WarehouseData[[#This Row],[holding_cost_per_unit_day]]*30</f>
        <v>5791.5</v>
      </c>
      <c r="AD1587" t="str">
        <f>IF(WarehouseData[[#This Row],[order_fulfillment_rate]]&gt;=0.9,"Strong",IF(WarehouseData[[#This Row],[order_fulfillment_rate]]&gt;=0.8,"Moderate","Needs Attention"))</f>
        <v>Strong</v>
      </c>
      <c r="AE1587" t="str">
        <f>IF(WarehouseData[[#This Row],[picking_time_seconds]]&gt;120,"Slow",IF(WarehouseData[[#This Row],[picking_time_seconds]]&gt;=60,"Average","Fast"))</f>
        <v>Average</v>
      </c>
    </row>
    <row r="1588" spans="1:31" x14ac:dyDescent="0.25">
      <c r="A1588" t="s">
        <v>1726</v>
      </c>
      <c r="B1588" t="s">
        <v>73</v>
      </c>
      <c r="C1588">
        <v>93</v>
      </c>
      <c r="D1588">
        <v>71</v>
      </c>
      <c r="E1588">
        <v>11</v>
      </c>
      <c r="F1588">
        <v>9</v>
      </c>
      <c r="G1588">
        <v>39.5</v>
      </c>
      <c r="H1588">
        <v>5.28</v>
      </c>
      <c r="I1588">
        <v>0.15</v>
      </c>
      <c r="J1588" t="s">
        <v>104</v>
      </c>
      <c r="K1588" t="s">
        <v>52</v>
      </c>
      <c r="L1588">
        <v>58</v>
      </c>
      <c r="M1588">
        <v>1.51</v>
      </c>
      <c r="N1588">
        <v>79.650000000000006</v>
      </c>
      <c r="O1588">
        <v>0.42</v>
      </c>
      <c r="P1588">
        <v>0</v>
      </c>
      <c r="Q1588">
        <v>0.74</v>
      </c>
      <c r="R1588">
        <v>563</v>
      </c>
      <c r="S1588">
        <v>8.4700000000000006</v>
      </c>
      <c r="T1588">
        <v>0.96</v>
      </c>
      <c r="U1588" s="1">
        <v>45451</v>
      </c>
      <c r="V1588">
        <v>177.1</v>
      </c>
      <c r="W1588">
        <v>0.81100000000000005</v>
      </c>
      <c r="X1588" t="str">
        <f>IF(WarehouseData[[#This Row],[stock_level]]&lt;=WarehouseData[[#This Row],[reorder_point]],"Low Stock","Sufficient Stock")</f>
        <v>Sufficient Stock</v>
      </c>
      <c r="Y1588">
        <f>WarehouseData[[#This Row],[daily_demand]]*WarehouseData[[#This Row],[lead_time_days]]</f>
        <v>355.5</v>
      </c>
      <c r="Z1588" t="str">
        <f>IF(WarehouseData[[#This Row],[stock_level]]&lt;=WarehouseData[[#This Row],[Demand During Lead Time]],"At Risk","Safe")</f>
        <v>At Risk</v>
      </c>
      <c r="AA1588">
        <f>WarehouseData[[#This Row],[stock_level]]/WarehouseData[[#This Row],[daily_demand]]</f>
        <v>2.3544303797468356</v>
      </c>
      <c r="AB1588">
        <f>WarehouseData[[#This Row],[stock_level]]*WarehouseData[[#This Row],[unit_price]]</f>
        <v>7407.4500000000007</v>
      </c>
      <c r="AC1588">
        <f>WarehouseData[[#This Row],[stock_level]]*WarehouseData[[#This Row],[holding_cost_per_unit_day]]*30</f>
        <v>1171.8</v>
      </c>
      <c r="AD1588" t="str">
        <f>IF(WarehouseData[[#This Row],[order_fulfillment_rate]]&gt;=0.9,"Strong",IF(WarehouseData[[#This Row],[order_fulfillment_rate]]&gt;=0.8,"Moderate","Needs Attention"))</f>
        <v>Needs Attention</v>
      </c>
      <c r="AE1588" t="str">
        <f>IF(WarehouseData[[#This Row],[picking_time_seconds]]&gt;120,"Slow",IF(WarehouseData[[#This Row],[picking_time_seconds]]&gt;=60,"Average","Fast"))</f>
        <v>Fast</v>
      </c>
    </row>
    <row r="1589" spans="1:31" x14ac:dyDescent="0.25">
      <c r="A1589" t="s">
        <v>1727</v>
      </c>
      <c r="B1589" t="s">
        <v>73</v>
      </c>
      <c r="C1589">
        <v>456</v>
      </c>
      <c r="D1589">
        <v>28</v>
      </c>
      <c r="E1589">
        <v>10</v>
      </c>
      <c r="F1589">
        <v>7</v>
      </c>
      <c r="G1589">
        <v>36.6</v>
      </c>
      <c r="H1589">
        <v>1.23</v>
      </c>
      <c r="I1589">
        <v>0.59</v>
      </c>
      <c r="J1589" t="s">
        <v>144</v>
      </c>
      <c r="K1589" t="s">
        <v>38</v>
      </c>
      <c r="L1589">
        <v>73</v>
      </c>
      <c r="M1589">
        <v>3.57</v>
      </c>
      <c r="N1589">
        <v>101.5</v>
      </c>
      <c r="O1589">
        <v>1.4</v>
      </c>
      <c r="P1589">
        <v>2</v>
      </c>
      <c r="Q1589">
        <v>0.8</v>
      </c>
      <c r="R1589">
        <v>246</v>
      </c>
      <c r="S1589">
        <v>13.9</v>
      </c>
      <c r="T1589">
        <v>0.87</v>
      </c>
      <c r="U1589" s="1">
        <v>45435</v>
      </c>
      <c r="V1589">
        <v>93.15</v>
      </c>
      <c r="W1589">
        <v>0.73899999999999999</v>
      </c>
      <c r="X1589" t="str">
        <f>IF(WarehouseData[[#This Row],[stock_level]]&lt;=WarehouseData[[#This Row],[reorder_point]],"Low Stock","Sufficient Stock")</f>
        <v>Sufficient Stock</v>
      </c>
      <c r="Y1589">
        <f>WarehouseData[[#This Row],[daily_demand]]*WarehouseData[[#This Row],[lead_time_days]]</f>
        <v>256.2</v>
      </c>
      <c r="Z1589" t="str">
        <f>IF(WarehouseData[[#This Row],[stock_level]]&lt;=WarehouseData[[#This Row],[Demand During Lead Time]],"At Risk","Safe")</f>
        <v>Safe</v>
      </c>
      <c r="AA1589">
        <f>WarehouseData[[#This Row],[stock_level]]/WarehouseData[[#This Row],[daily_demand]]</f>
        <v>12.459016393442623</v>
      </c>
      <c r="AB1589">
        <f>WarehouseData[[#This Row],[stock_level]]*WarehouseData[[#This Row],[unit_price]]</f>
        <v>46284</v>
      </c>
      <c r="AC1589">
        <f>WarehouseData[[#This Row],[stock_level]]*WarehouseData[[#This Row],[holding_cost_per_unit_day]]*30</f>
        <v>19152</v>
      </c>
      <c r="AD1589" t="str">
        <f>IF(WarehouseData[[#This Row],[order_fulfillment_rate]]&gt;=0.9,"Strong",IF(WarehouseData[[#This Row],[order_fulfillment_rate]]&gt;=0.8,"Moderate","Needs Attention"))</f>
        <v>Moderate</v>
      </c>
      <c r="AE1589" t="str">
        <f>IF(WarehouseData[[#This Row],[picking_time_seconds]]&gt;120,"Slow",IF(WarehouseData[[#This Row],[picking_time_seconds]]&gt;=60,"Average","Fast"))</f>
        <v>Average</v>
      </c>
    </row>
    <row r="1590" spans="1:31" x14ac:dyDescent="0.25">
      <c r="A1590" t="s">
        <v>1728</v>
      </c>
      <c r="B1590" t="s">
        <v>32</v>
      </c>
      <c r="C1590">
        <v>482</v>
      </c>
      <c r="D1590">
        <v>26</v>
      </c>
      <c r="E1590">
        <v>4</v>
      </c>
      <c r="F1590">
        <v>2</v>
      </c>
      <c r="G1590">
        <v>35.369999999999997</v>
      </c>
      <c r="H1590">
        <v>6.98</v>
      </c>
      <c r="I1590">
        <v>0.72</v>
      </c>
      <c r="J1590" t="s">
        <v>181</v>
      </c>
      <c r="K1590" t="s">
        <v>46</v>
      </c>
      <c r="L1590">
        <v>121</v>
      </c>
      <c r="M1590">
        <v>4.28</v>
      </c>
      <c r="N1590">
        <v>117.88</v>
      </c>
      <c r="O1590">
        <v>1.1000000000000001</v>
      </c>
      <c r="P1590">
        <v>3</v>
      </c>
      <c r="Q1590">
        <v>0.97</v>
      </c>
      <c r="R1590">
        <v>495</v>
      </c>
      <c r="S1590">
        <v>9.8000000000000007</v>
      </c>
      <c r="T1590">
        <v>0.26</v>
      </c>
      <c r="U1590" s="1">
        <v>45543</v>
      </c>
      <c r="V1590">
        <v>254.08</v>
      </c>
      <c r="W1590">
        <v>0.60699999999999998</v>
      </c>
      <c r="X1590" t="str">
        <f>IF(WarehouseData[[#This Row],[stock_level]]&lt;=WarehouseData[[#This Row],[reorder_point]],"Low Stock","Sufficient Stock")</f>
        <v>Sufficient Stock</v>
      </c>
      <c r="Y1590">
        <f>WarehouseData[[#This Row],[daily_demand]]*WarehouseData[[#This Row],[lead_time_days]]</f>
        <v>70.739999999999995</v>
      </c>
      <c r="Z1590" t="str">
        <f>IF(WarehouseData[[#This Row],[stock_level]]&lt;=WarehouseData[[#This Row],[Demand During Lead Time]],"At Risk","Safe")</f>
        <v>Safe</v>
      </c>
      <c r="AA1590">
        <f>WarehouseData[[#This Row],[stock_level]]/WarehouseData[[#This Row],[daily_demand]]</f>
        <v>13.627367825841109</v>
      </c>
      <c r="AB1590">
        <f>WarehouseData[[#This Row],[stock_level]]*WarehouseData[[#This Row],[unit_price]]</f>
        <v>56818.159999999996</v>
      </c>
      <c r="AC1590">
        <f>WarehouseData[[#This Row],[stock_level]]*WarehouseData[[#This Row],[holding_cost_per_unit_day]]*30</f>
        <v>15906.000000000002</v>
      </c>
      <c r="AD1590" t="str">
        <f>IF(WarehouseData[[#This Row],[order_fulfillment_rate]]&gt;=0.9,"Strong",IF(WarehouseData[[#This Row],[order_fulfillment_rate]]&gt;=0.8,"Moderate","Needs Attention"))</f>
        <v>Strong</v>
      </c>
      <c r="AE1590" t="str">
        <f>IF(WarehouseData[[#This Row],[picking_time_seconds]]&gt;120,"Slow",IF(WarehouseData[[#This Row],[picking_time_seconds]]&gt;=60,"Average","Fast"))</f>
        <v>Slow</v>
      </c>
    </row>
    <row r="1591" spans="1:31" x14ac:dyDescent="0.25">
      <c r="A1591" t="s">
        <v>1729</v>
      </c>
      <c r="B1591" t="s">
        <v>32</v>
      </c>
      <c r="C1591">
        <v>226</v>
      </c>
      <c r="D1591">
        <v>78</v>
      </c>
      <c r="E1591">
        <v>13</v>
      </c>
      <c r="F1591">
        <v>8</v>
      </c>
      <c r="G1591">
        <v>36.1</v>
      </c>
      <c r="H1591">
        <v>3.84</v>
      </c>
      <c r="I1591">
        <v>0.32</v>
      </c>
      <c r="J1591" t="s">
        <v>66</v>
      </c>
      <c r="K1591" t="s">
        <v>38</v>
      </c>
      <c r="L1591">
        <v>109</v>
      </c>
      <c r="M1591">
        <v>1.06</v>
      </c>
      <c r="N1591">
        <v>140.38999999999999</v>
      </c>
      <c r="O1591">
        <v>1.84</v>
      </c>
      <c r="P1591">
        <v>1</v>
      </c>
      <c r="Q1591">
        <v>0.86</v>
      </c>
      <c r="R1591">
        <v>390</v>
      </c>
      <c r="S1591">
        <v>9.5</v>
      </c>
      <c r="T1591">
        <v>0.95</v>
      </c>
      <c r="U1591" s="1">
        <v>45648</v>
      </c>
      <c r="V1591">
        <v>119.12</v>
      </c>
      <c r="W1591">
        <v>0.68500000000000005</v>
      </c>
      <c r="X1591" t="str">
        <f>IF(WarehouseData[[#This Row],[stock_level]]&lt;=WarehouseData[[#This Row],[reorder_point]],"Low Stock","Sufficient Stock")</f>
        <v>Sufficient Stock</v>
      </c>
      <c r="Y1591">
        <f>WarehouseData[[#This Row],[daily_demand]]*WarehouseData[[#This Row],[lead_time_days]]</f>
        <v>288.8</v>
      </c>
      <c r="Z1591" t="str">
        <f>IF(WarehouseData[[#This Row],[stock_level]]&lt;=WarehouseData[[#This Row],[Demand During Lead Time]],"At Risk","Safe")</f>
        <v>At Risk</v>
      </c>
      <c r="AA1591">
        <f>WarehouseData[[#This Row],[stock_level]]/WarehouseData[[#This Row],[daily_demand]]</f>
        <v>6.2603878116343488</v>
      </c>
      <c r="AB1591">
        <f>WarehouseData[[#This Row],[stock_level]]*WarehouseData[[#This Row],[unit_price]]</f>
        <v>31728.139999999996</v>
      </c>
      <c r="AC1591">
        <f>WarehouseData[[#This Row],[stock_level]]*WarehouseData[[#This Row],[holding_cost_per_unit_day]]*30</f>
        <v>12475.2</v>
      </c>
      <c r="AD1591" t="str">
        <f>IF(WarehouseData[[#This Row],[order_fulfillment_rate]]&gt;=0.9,"Strong",IF(WarehouseData[[#This Row],[order_fulfillment_rate]]&gt;=0.8,"Moderate","Needs Attention"))</f>
        <v>Moderate</v>
      </c>
      <c r="AE1591" t="str">
        <f>IF(WarehouseData[[#This Row],[picking_time_seconds]]&gt;120,"Slow",IF(WarehouseData[[#This Row],[picking_time_seconds]]&gt;=60,"Average","Fast"))</f>
        <v>Average</v>
      </c>
    </row>
    <row r="1592" spans="1:31" x14ac:dyDescent="0.25">
      <c r="A1592" t="s">
        <v>1730</v>
      </c>
      <c r="B1592" t="s">
        <v>32</v>
      </c>
      <c r="C1592">
        <v>407</v>
      </c>
      <c r="D1592">
        <v>48</v>
      </c>
      <c r="E1592">
        <v>3</v>
      </c>
      <c r="F1592">
        <v>5</v>
      </c>
      <c r="G1592">
        <v>23.27</v>
      </c>
      <c r="H1592">
        <v>2.64</v>
      </c>
      <c r="I1592">
        <v>0.77</v>
      </c>
      <c r="J1592" t="s">
        <v>75</v>
      </c>
      <c r="K1592" t="s">
        <v>34</v>
      </c>
      <c r="L1592">
        <v>113</v>
      </c>
      <c r="M1592">
        <v>2.4700000000000002</v>
      </c>
      <c r="N1592">
        <v>21.41</v>
      </c>
      <c r="O1592">
        <v>1.68</v>
      </c>
      <c r="P1592">
        <v>5</v>
      </c>
      <c r="Q1592">
        <v>0.82</v>
      </c>
      <c r="R1592">
        <v>830</v>
      </c>
      <c r="S1592">
        <v>2.52</v>
      </c>
      <c r="T1592">
        <v>0.93</v>
      </c>
      <c r="U1592" s="1">
        <v>45642</v>
      </c>
      <c r="V1592">
        <v>276.14999999999998</v>
      </c>
      <c r="W1592">
        <v>0.51600000000000001</v>
      </c>
      <c r="X1592" t="str">
        <f>IF(WarehouseData[[#This Row],[stock_level]]&lt;=WarehouseData[[#This Row],[reorder_point]],"Low Stock","Sufficient Stock")</f>
        <v>Sufficient Stock</v>
      </c>
      <c r="Y1592">
        <f>WarehouseData[[#This Row],[daily_demand]]*WarehouseData[[#This Row],[lead_time_days]]</f>
        <v>116.35</v>
      </c>
      <c r="Z1592" t="str">
        <f>IF(WarehouseData[[#This Row],[stock_level]]&lt;=WarehouseData[[#This Row],[Demand During Lead Time]],"At Risk","Safe")</f>
        <v>Safe</v>
      </c>
      <c r="AA1592">
        <f>WarehouseData[[#This Row],[stock_level]]/WarehouseData[[#This Row],[daily_demand]]</f>
        <v>17.490330898152127</v>
      </c>
      <c r="AB1592">
        <f>WarehouseData[[#This Row],[stock_level]]*WarehouseData[[#This Row],[unit_price]]</f>
        <v>8713.8700000000008</v>
      </c>
      <c r="AC1592">
        <f>WarehouseData[[#This Row],[stock_level]]*WarehouseData[[#This Row],[holding_cost_per_unit_day]]*30</f>
        <v>20512.8</v>
      </c>
      <c r="AD1592" t="str">
        <f>IF(WarehouseData[[#This Row],[order_fulfillment_rate]]&gt;=0.9,"Strong",IF(WarehouseData[[#This Row],[order_fulfillment_rate]]&gt;=0.8,"Moderate","Needs Attention"))</f>
        <v>Moderate</v>
      </c>
      <c r="AE1592" t="str">
        <f>IF(WarehouseData[[#This Row],[picking_time_seconds]]&gt;120,"Slow",IF(WarehouseData[[#This Row],[picking_time_seconds]]&gt;=60,"Average","Fast"))</f>
        <v>Average</v>
      </c>
    </row>
    <row r="1593" spans="1:31" x14ac:dyDescent="0.25">
      <c r="A1593" t="s">
        <v>1731</v>
      </c>
      <c r="B1593" t="s">
        <v>73</v>
      </c>
      <c r="C1593">
        <v>499</v>
      </c>
      <c r="D1593">
        <v>91</v>
      </c>
      <c r="E1593">
        <v>3</v>
      </c>
      <c r="F1593">
        <v>7</v>
      </c>
      <c r="G1593">
        <v>24.23</v>
      </c>
      <c r="H1593">
        <v>3.14</v>
      </c>
      <c r="I1593">
        <v>0.96</v>
      </c>
      <c r="J1593" t="s">
        <v>77</v>
      </c>
      <c r="K1593" t="s">
        <v>38</v>
      </c>
      <c r="L1593">
        <v>172</v>
      </c>
      <c r="M1593">
        <v>2.5</v>
      </c>
      <c r="N1593">
        <v>115.43</v>
      </c>
      <c r="O1593">
        <v>1.48</v>
      </c>
      <c r="P1593">
        <v>7</v>
      </c>
      <c r="Q1593">
        <v>0.97</v>
      </c>
      <c r="R1593">
        <v>110</v>
      </c>
      <c r="S1593">
        <v>2.12</v>
      </c>
      <c r="T1593">
        <v>0.23</v>
      </c>
      <c r="U1593" s="1">
        <v>45342</v>
      </c>
      <c r="V1593">
        <v>147.13999999999999</v>
      </c>
      <c r="W1593">
        <v>0.38</v>
      </c>
      <c r="X1593" t="str">
        <f>IF(WarehouseData[[#This Row],[stock_level]]&lt;=WarehouseData[[#This Row],[reorder_point]],"Low Stock","Sufficient Stock")</f>
        <v>Sufficient Stock</v>
      </c>
      <c r="Y1593">
        <f>WarehouseData[[#This Row],[daily_demand]]*WarehouseData[[#This Row],[lead_time_days]]</f>
        <v>169.61</v>
      </c>
      <c r="Z1593" t="str">
        <f>IF(WarehouseData[[#This Row],[stock_level]]&lt;=WarehouseData[[#This Row],[Demand During Lead Time]],"At Risk","Safe")</f>
        <v>Safe</v>
      </c>
      <c r="AA1593">
        <f>WarehouseData[[#This Row],[stock_level]]/WarehouseData[[#This Row],[daily_demand]]</f>
        <v>20.594304581097813</v>
      </c>
      <c r="AB1593">
        <f>WarehouseData[[#This Row],[stock_level]]*WarehouseData[[#This Row],[unit_price]]</f>
        <v>57599.570000000007</v>
      </c>
      <c r="AC1593">
        <f>WarehouseData[[#This Row],[stock_level]]*WarehouseData[[#This Row],[holding_cost_per_unit_day]]*30</f>
        <v>22155.599999999999</v>
      </c>
      <c r="AD1593" t="str">
        <f>IF(WarehouseData[[#This Row],[order_fulfillment_rate]]&gt;=0.9,"Strong",IF(WarehouseData[[#This Row],[order_fulfillment_rate]]&gt;=0.8,"Moderate","Needs Attention"))</f>
        <v>Strong</v>
      </c>
      <c r="AE1593" t="str">
        <f>IF(WarehouseData[[#This Row],[picking_time_seconds]]&gt;120,"Slow",IF(WarehouseData[[#This Row],[picking_time_seconds]]&gt;=60,"Average","Fast"))</f>
        <v>Slow</v>
      </c>
    </row>
    <row r="1594" spans="1:31" x14ac:dyDescent="0.25">
      <c r="A1594" t="s">
        <v>1732</v>
      </c>
      <c r="B1594" t="s">
        <v>73</v>
      </c>
      <c r="C1594">
        <v>298</v>
      </c>
      <c r="D1594">
        <v>80</v>
      </c>
      <c r="E1594">
        <v>14</v>
      </c>
      <c r="F1594">
        <v>4</v>
      </c>
      <c r="G1594">
        <v>23.93</v>
      </c>
      <c r="H1594">
        <v>2.21</v>
      </c>
      <c r="I1594">
        <v>0.22</v>
      </c>
      <c r="J1594" t="s">
        <v>401</v>
      </c>
      <c r="K1594" t="s">
        <v>34</v>
      </c>
      <c r="L1594">
        <v>14</v>
      </c>
      <c r="M1594">
        <v>3.35</v>
      </c>
      <c r="N1594">
        <v>91.92</v>
      </c>
      <c r="O1594">
        <v>0.34</v>
      </c>
      <c r="P1594">
        <v>5</v>
      </c>
      <c r="Q1594">
        <v>0.73</v>
      </c>
      <c r="R1594">
        <v>316</v>
      </c>
      <c r="S1594">
        <v>2.81</v>
      </c>
      <c r="T1594">
        <v>0.36</v>
      </c>
      <c r="U1594" s="1">
        <v>45408</v>
      </c>
      <c r="V1594">
        <v>256.17</v>
      </c>
      <c r="W1594">
        <v>0.52100000000000002</v>
      </c>
      <c r="X1594" t="str">
        <f>IF(WarehouseData[[#This Row],[stock_level]]&lt;=WarehouseData[[#This Row],[reorder_point]],"Low Stock","Sufficient Stock")</f>
        <v>Sufficient Stock</v>
      </c>
      <c r="Y1594">
        <f>WarehouseData[[#This Row],[daily_demand]]*WarehouseData[[#This Row],[lead_time_days]]</f>
        <v>95.72</v>
      </c>
      <c r="Z1594" t="str">
        <f>IF(WarehouseData[[#This Row],[stock_level]]&lt;=WarehouseData[[#This Row],[Demand During Lead Time]],"At Risk","Safe")</f>
        <v>Safe</v>
      </c>
      <c r="AA1594">
        <f>WarehouseData[[#This Row],[stock_level]]/WarehouseData[[#This Row],[daily_demand]]</f>
        <v>12.452987881320519</v>
      </c>
      <c r="AB1594">
        <f>WarehouseData[[#This Row],[stock_level]]*WarehouseData[[#This Row],[unit_price]]</f>
        <v>27392.16</v>
      </c>
      <c r="AC1594">
        <f>WarehouseData[[#This Row],[stock_level]]*WarehouseData[[#This Row],[holding_cost_per_unit_day]]*30</f>
        <v>3039.6000000000004</v>
      </c>
      <c r="AD1594" t="str">
        <f>IF(WarehouseData[[#This Row],[order_fulfillment_rate]]&gt;=0.9,"Strong",IF(WarehouseData[[#This Row],[order_fulfillment_rate]]&gt;=0.8,"Moderate","Needs Attention"))</f>
        <v>Needs Attention</v>
      </c>
      <c r="AE1594" t="str">
        <f>IF(WarehouseData[[#This Row],[picking_time_seconds]]&gt;120,"Slow",IF(WarehouseData[[#This Row],[picking_time_seconds]]&gt;=60,"Average","Fast"))</f>
        <v>Fast</v>
      </c>
    </row>
    <row r="1595" spans="1:31" x14ac:dyDescent="0.25">
      <c r="A1595" t="s">
        <v>1733</v>
      </c>
      <c r="B1595" t="s">
        <v>32</v>
      </c>
      <c r="C1595">
        <v>394</v>
      </c>
      <c r="D1595">
        <v>90</v>
      </c>
      <c r="E1595">
        <v>8</v>
      </c>
      <c r="F1595">
        <v>9</v>
      </c>
      <c r="G1595">
        <v>2.63</v>
      </c>
      <c r="H1595">
        <v>9.06</v>
      </c>
      <c r="I1595">
        <v>0.56000000000000005</v>
      </c>
      <c r="J1595" t="s">
        <v>215</v>
      </c>
      <c r="K1595" t="s">
        <v>46</v>
      </c>
      <c r="L1595">
        <v>128</v>
      </c>
      <c r="M1595">
        <v>2</v>
      </c>
      <c r="N1595">
        <v>35.42</v>
      </c>
      <c r="O1595">
        <v>1.37</v>
      </c>
      <c r="P1595">
        <v>9</v>
      </c>
      <c r="Q1595">
        <v>0.84</v>
      </c>
      <c r="R1595">
        <v>146</v>
      </c>
      <c r="S1595">
        <v>2.34</v>
      </c>
      <c r="T1595">
        <v>0.76</v>
      </c>
      <c r="U1595" s="1">
        <v>45360</v>
      </c>
      <c r="V1595">
        <v>96.21</v>
      </c>
      <c r="W1595">
        <v>0.434</v>
      </c>
      <c r="X1595" t="str">
        <f>IF(WarehouseData[[#This Row],[stock_level]]&lt;=WarehouseData[[#This Row],[reorder_point]],"Low Stock","Sufficient Stock")</f>
        <v>Sufficient Stock</v>
      </c>
      <c r="Y1595">
        <f>WarehouseData[[#This Row],[daily_demand]]*WarehouseData[[#This Row],[lead_time_days]]</f>
        <v>23.669999999999998</v>
      </c>
      <c r="Z1595" t="str">
        <f>IF(WarehouseData[[#This Row],[stock_level]]&lt;=WarehouseData[[#This Row],[Demand During Lead Time]],"At Risk","Safe")</f>
        <v>Safe</v>
      </c>
      <c r="AA1595">
        <f>WarehouseData[[#This Row],[stock_level]]/WarehouseData[[#This Row],[daily_demand]]</f>
        <v>149.80988593155894</v>
      </c>
      <c r="AB1595">
        <f>WarehouseData[[#This Row],[stock_level]]*WarehouseData[[#This Row],[unit_price]]</f>
        <v>13955.480000000001</v>
      </c>
      <c r="AC1595">
        <f>WarehouseData[[#This Row],[stock_level]]*WarehouseData[[#This Row],[holding_cost_per_unit_day]]*30</f>
        <v>16193.400000000003</v>
      </c>
      <c r="AD1595" t="str">
        <f>IF(WarehouseData[[#This Row],[order_fulfillment_rate]]&gt;=0.9,"Strong",IF(WarehouseData[[#This Row],[order_fulfillment_rate]]&gt;=0.8,"Moderate","Needs Attention"))</f>
        <v>Moderate</v>
      </c>
      <c r="AE1595" t="str">
        <f>IF(WarehouseData[[#This Row],[picking_time_seconds]]&gt;120,"Slow",IF(WarehouseData[[#This Row],[picking_time_seconds]]&gt;=60,"Average","Fast"))</f>
        <v>Slow</v>
      </c>
    </row>
    <row r="1596" spans="1:31" x14ac:dyDescent="0.25">
      <c r="A1596" t="s">
        <v>1734</v>
      </c>
      <c r="B1596" t="s">
        <v>36</v>
      </c>
      <c r="C1596">
        <v>345</v>
      </c>
      <c r="D1596">
        <v>48</v>
      </c>
      <c r="E1596">
        <v>11</v>
      </c>
      <c r="F1596">
        <v>6</v>
      </c>
      <c r="G1596">
        <v>12.81</v>
      </c>
      <c r="H1596">
        <v>2.11</v>
      </c>
      <c r="I1596">
        <v>0.15</v>
      </c>
      <c r="J1596" t="s">
        <v>240</v>
      </c>
      <c r="K1596" t="s">
        <v>46</v>
      </c>
      <c r="L1596">
        <v>97</v>
      </c>
      <c r="M1596">
        <v>2.38</v>
      </c>
      <c r="N1596">
        <v>49.53</v>
      </c>
      <c r="O1596">
        <v>1.42</v>
      </c>
      <c r="P1596">
        <v>2</v>
      </c>
      <c r="Q1596">
        <v>0.9</v>
      </c>
      <c r="R1596">
        <v>332</v>
      </c>
      <c r="S1596">
        <v>9.07</v>
      </c>
      <c r="T1596">
        <v>0.95</v>
      </c>
      <c r="U1596" s="1">
        <v>45445</v>
      </c>
      <c r="V1596">
        <v>140.96</v>
      </c>
      <c r="W1596">
        <v>0.70899999999999996</v>
      </c>
      <c r="X1596" t="str">
        <f>IF(WarehouseData[[#This Row],[stock_level]]&lt;=WarehouseData[[#This Row],[reorder_point]],"Low Stock","Sufficient Stock")</f>
        <v>Sufficient Stock</v>
      </c>
      <c r="Y1596">
        <f>WarehouseData[[#This Row],[daily_demand]]*WarehouseData[[#This Row],[lead_time_days]]</f>
        <v>76.86</v>
      </c>
      <c r="Z1596" t="str">
        <f>IF(WarehouseData[[#This Row],[stock_level]]&lt;=WarehouseData[[#This Row],[Demand During Lead Time]],"At Risk","Safe")</f>
        <v>Safe</v>
      </c>
      <c r="AA1596">
        <f>WarehouseData[[#This Row],[stock_level]]/WarehouseData[[#This Row],[daily_demand]]</f>
        <v>26.93208430913349</v>
      </c>
      <c r="AB1596">
        <f>WarehouseData[[#This Row],[stock_level]]*WarehouseData[[#This Row],[unit_price]]</f>
        <v>17087.850000000002</v>
      </c>
      <c r="AC1596">
        <f>WarehouseData[[#This Row],[stock_level]]*WarehouseData[[#This Row],[holding_cost_per_unit_day]]*30</f>
        <v>14697</v>
      </c>
      <c r="AD1596" t="str">
        <f>IF(WarehouseData[[#This Row],[order_fulfillment_rate]]&gt;=0.9,"Strong",IF(WarehouseData[[#This Row],[order_fulfillment_rate]]&gt;=0.8,"Moderate","Needs Attention"))</f>
        <v>Strong</v>
      </c>
      <c r="AE1596" t="str">
        <f>IF(WarehouseData[[#This Row],[picking_time_seconds]]&gt;120,"Slow",IF(WarehouseData[[#This Row],[picking_time_seconds]]&gt;=60,"Average","Fast"))</f>
        <v>Average</v>
      </c>
    </row>
    <row r="1597" spans="1:31" x14ac:dyDescent="0.25">
      <c r="A1597" t="s">
        <v>1735</v>
      </c>
      <c r="B1597" t="s">
        <v>36</v>
      </c>
      <c r="C1597">
        <v>491</v>
      </c>
      <c r="D1597">
        <v>45</v>
      </c>
      <c r="E1597">
        <v>9</v>
      </c>
      <c r="F1597">
        <v>9</v>
      </c>
      <c r="G1597">
        <v>8.57</v>
      </c>
      <c r="H1597">
        <v>8.89</v>
      </c>
      <c r="I1597">
        <v>0.28999999999999998</v>
      </c>
      <c r="J1597" t="s">
        <v>273</v>
      </c>
      <c r="K1597" t="s">
        <v>46</v>
      </c>
      <c r="L1597">
        <v>176</v>
      </c>
      <c r="M1597">
        <v>0.55000000000000004</v>
      </c>
      <c r="N1597">
        <v>177.94</v>
      </c>
      <c r="O1597">
        <v>1.55</v>
      </c>
      <c r="P1597">
        <v>8</v>
      </c>
      <c r="Q1597">
        <v>0.88</v>
      </c>
      <c r="R1597">
        <v>296</v>
      </c>
      <c r="S1597">
        <v>7.34</v>
      </c>
      <c r="T1597">
        <v>0.86</v>
      </c>
      <c r="U1597" s="1">
        <v>45518</v>
      </c>
      <c r="V1597">
        <v>193.76</v>
      </c>
      <c r="W1597">
        <v>0.53100000000000003</v>
      </c>
      <c r="X1597" t="str">
        <f>IF(WarehouseData[[#This Row],[stock_level]]&lt;=WarehouseData[[#This Row],[reorder_point]],"Low Stock","Sufficient Stock")</f>
        <v>Sufficient Stock</v>
      </c>
      <c r="Y1597">
        <f>WarehouseData[[#This Row],[daily_demand]]*WarehouseData[[#This Row],[lead_time_days]]</f>
        <v>77.13</v>
      </c>
      <c r="Z1597" t="str">
        <f>IF(WarehouseData[[#This Row],[stock_level]]&lt;=WarehouseData[[#This Row],[Demand During Lead Time]],"At Risk","Safe")</f>
        <v>Safe</v>
      </c>
      <c r="AA1597">
        <f>WarehouseData[[#This Row],[stock_level]]/WarehouseData[[#This Row],[daily_demand]]</f>
        <v>57.2928821470245</v>
      </c>
      <c r="AB1597">
        <f>WarehouseData[[#This Row],[stock_level]]*WarehouseData[[#This Row],[unit_price]]</f>
        <v>87368.54</v>
      </c>
      <c r="AC1597">
        <f>WarehouseData[[#This Row],[stock_level]]*WarehouseData[[#This Row],[holding_cost_per_unit_day]]*30</f>
        <v>22831.500000000004</v>
      </c>
      <c r="AD1597" t="str">
        <f>IF(WarehouseData[[#This Row],[order_fulfillment_rate]]&gt;=0.9,"Strong",IF(WarehouseData[[#This Row],[order_fulfillment_rate]]&gt;=0.8,"Moderate","Needs Attention"))</f>
        <v>Moderate</v>
      </c>
      <c r="AE1597" t="str">
        <f>IF(WarehouseData[[#This Row],[picking_time_seconds]]&gt;120,"Slow",IF(WarehouseData[[#This Row],[picking_time_seconds]]&gt;=60,"Average","Fast"))</f>
        <v>Slow</v>
      </c>
    </row>
    <row r="1598" spans="1:31" x14ac:dyDescent="0.25">
      <c r="A1598" t="s">
        <v>1736</v>
      </c>
      <c r="B1598" t="s">
        <v>48</v>
      </c>
      <c r="C1598">
        <v>359</v>
      </c>
      <c r="D1598">
        <v>49</v>
      </c>
      <c r="E1598">
        <v>7</v>
      </c>
      <c r="F1598">
        <v>8</v>
      </c>
      <c r="G1598">
        <v>44.44</v>
      </c>
      <c r="H1598">
        <v>5.94</v>
      </c>
      <c r="I1598">
        <v>0.18</v>
      </c>
      <c r="J1598" t="s">
        <v>102</v>
      </c>
      <c r="K1598" t="s">
        <v>38</v>
      </c>
      <c r="L1598">
        <v>136</v>
      </c>
      <c r="M1598">
        <v>1.05</v>
      </c>
      <c r="N1598">
        <v>175.64</v>
      </c>
      <c r="O1598">
        <v>0.6</v>
      </c>
      <c r="P1598">
        <v>3</v>
      </c>
      <c r="Q1598">
        <v>0.78</v>
      </c>
      <c r="R1598">
        <v>84</v>
      </c>
      <c r="S1598">
        <v>1.07</v>
      </c>
      <c r="T1598">
        <v>0.43</v>
      </c>
      <c r="U1598" s="1">
        <v>45456</v>
      </c>
      <c r="V1598">
        <v>85.01</v>
      </c>
      <c r="W1598">
        <v>0.53600000000000003</v>
      </c>
      <c r="X1598" t="str">
        <f>IF(WarehouseData[[#This Row],[stock_level]]&lt;=WarehouseData[[#This Row],[reorder_point]],"Low Stock","Sufficient Stock")</f>
        <v>Sufficient Stock</v>
      </c>
      <c r="Y1598">
        <f>WarehouseData[[#This Row],[daily_demand]]*WarehouseData[[#This Row],[lead_time_days]]</f>
        <v>355.52</v>
      </c>
      <c r="Z1598" t="str">
        <f>IF(WarehouseData[[#This Row],[stock_level]]&lt;=WarehouseData[[#This Row],[Demand During Lead Time]],"At Risk","Safe")</f>
        <v>Safe</v>
      </c>
      <c r="AA1598">
        <f>WarehouseData[[#This Row],[stock_level]]/WarehouseData[[#This Row],[daily_demand]]</f>
        <v>8.0783078307830785</v>
      </c>
      <c r="AB1598">
        <f>WarehouseData[[#This Row],[stock_level]]*WarehouseData[[#This Row],[unit_price]]</f>
        <v>63054.759999999995</v>
      </c>
      <c r="AC1598">
        <f>WarehouseData[[#This Row],[stock_level]]*WarehouseData[[#This Row],[holding_cost_per_unit_day]]*30</f>
        <v>6462</v>
      </c>
      <c r="AD1598" t="str">
        <f>IF(WarehouseData[[#This Row],[order_fulfillment_rate]]&gt;=0.9,"Strong",IF(WarehouseData[[#This Row],[order_fulfillment_rate]]&gt;=0.8,"Moderate","Needs Attention"))</f>
        <v>Needs Attention</v>
      </c>
      <c r="AE1598" t="str">
        <f>IF(WarehouseData[[#This Row],[picking_time_seconds]]&gt;120,"Slow",IF(WarehouseData[[#This Row],[picking_time_seconds]]&gt;=60,"Average","Fast"))</f>
        <v>Slow</v>
      </c>
    </row>
    <row r="1599" spans="1:31" x14ac:dyDescent="0.25">
      <c r="A1599" t="s">
        <v>1737</v>
      </c>
      <c r="B1599" t="s">
        <v>40</v>
      </c>
      <c r="C1599">
        <v>376</v>
      </c>
      <c r="D1599">
        <v>54</v>
      </c>
      <c r="E1599">
        <v>13</v>
      </c>
      <c r="F1599">
        <v>4</v>
      </c>
      <c r="G1599">
        <v>14.47</v>
      </c>
      <c r="H1599">
        <v>8.74</v>
      </c>
      <c r="I1599">
        <v>0.46</v>
      </c>
      <c r="J1599" t="s">
        <v>45</v>
      </c>
      <c r="K1599" t="s">
        <v>46</v>
      </c>
      <c r="L1599">
        <v>33</v>
      </c>
      <c r="M1599">
        <v>3.06</v>
      </c>
      <c r="N1599">
        <v>16.329999999999998</v>
      </c>
      <c r="O1599">
        <v>1.32</v>
      </c>
      <c r="P1599">
        <v>5</v>
      </c>
      <c r="Q1599">
        <v>0.87</v>
      </c>
      <c r="R1599">
        <v>835</v>
      </c>
      <c r="S1599">
        <v>5.91</v>
      </c>
      <c r="T1599">
        <v>0.23</v>
      </c>
      <c r="U1599" s="1">
        <v>45429</v>
      </c>
      <c r="V1599">
        <v>200.63</v>
      </c>
      <c r="W1599">
        <v>0.46700000000000003</v>
      </c>
      <c r="X1599" t="str">
        <f>IF(WarehouseData[[#This Row],[stock_level]]&lt;=WarehouseData[[#This Row],[reorder_point]],"Low Stock","Sufficient Stock")</f>
        <v>Sufficient Stock</v>
      </c>
      <c r="Y1599">
        <f>WarehouseData[[#This Row],[daily_demand]]*WarehouseData[[#This Row],[lead_time_days]]</f>
        <v>57.88</v>
      </c>
      <c r="Z1599" t="str">
        <f>IF(WarehouseData[[#This Row],[stock_level]]&lt;=WarehouseData[[#This Row],[Demand During Lead Time]],"At Risk","Safe")</f>
        <v>Safe</v>
      </c>
      <c r="AA1599">
        <f>WarehouseData[[#This Row],[stock_level]]/WarehouseData[[#This Row],[daily_demand]]</f>
        <v>25.984796129923978</v>
      </c>
      <c r="AB1599">
        <f>WarehouseData[[#This Row],[stock_level]]*WarehouseData[[#This Row],[unit_price]]</f>
        <v>6140.079999999999</v>
      </c>
      <c r="AC1599">
        <f>WarehouseData[[#This Row],[stock_level]]*WarehouseData[[#This Row],[holding_cost_per_unit_day]]*30</f>
        <v>14889.600000000002</v>
      </c>
      <c r="AD1599" t="str">
        <f>IF(WarehouseData[[#This Row],[order_fulfillment_rate]]&gt;=0.9,"Strong",IF(WarehouseData[[#This Row],[order_fulfillment_rate]]&gt;=0.8,"Moderate","Needs Attention"))</f>
        <v>Moderate</v>
      </c>
      <c r="AE1599" t="str">
        <f>IF(WarehouseData[[#This Row],[picking_time_seconds]]&gt;120,"Slow",IF(WarehouseData[[#This Row],[picking_time_seconds]]&gt;=60,"Average","Fast"))</f>
        <v>Fast</v>
      </c>
    </row>
    <row r="1600" spans="1:31" x14ac:dyDescent="0.25">
      <c r="A1600" t="s">
        <v>1738</v>
      </c>
      <c r="B1600" t="s">
        <v>36</v>
      </c>
      <c r="C1600">
        <v>359</v>
      </c>
      <c r="D1600">
        <v>13</v>
      </c>
      <c r="E1600">
        <v>4</v>
      </c>
      <c r="F1600">
        <v>2</v>
      </c>
      <c r="G1600">
        <v>7.78</v>
      </c>
      <c r="H1600">
        <v>5</v>
      </c>
      <c r="I1600">
        <v>0.84</v>
      </c>
      <c r="J1600" t="s">
        <v>240</v>
      </c>
      <c r="K1600" t="s">
        <v>46</v>
      </c>
      <c r="L1600">
        <v>177</v>
      </c>
      <c r="M1600">
        <v>1.47</v>
      </c>
      <c r="N1600">
        <v>140.99</v>
      </c>
      <c r="O1600">
        <v>1.27</v>
      </c>
      <c r="P1600">
        <v>3</v>
      </c>
      <c r="Q1600">
        <v>0.91</v>
      </c>
      <c r="R1600">
        <v>518</v>
      </c>
      <c r="S1600">
        <v>2.78</v>
      </c>
      <c r="T1600">
        <v>0.57999999999999996</v>
      </c>
      <c r="U1600" s="1">
        <v>45505</v>
      </c>
      <c r="V1600">
        <v>93.69</v>
      </c>
      <c r="W1600">
        <v>0.54800000000000004</v>
      </c>
      <c r="X1600" t="str">
        <f>IF(WarehouseData[[#This Row],[stock_level]]&lt;=WarehouseData[[#This Row],[reorder_point]],"Low Stock","Sufficient Stock")</f>
        <v>Sufficient Stock</v>
      </c>
      <c r="Y1600">
        <f>WarehouseData[[#This Row],[daily_demand]]*WarehouseData[[#This Row],[lead_time_days]]</f>
        <v>15.56</v>
      </c>
      <c r="Z1600" t="str">
        <f>IF(WarehouseData[[#This Row],[stock_level]]&lt;=WarehouseData[[#This Row],[Demand During Lead Time]],"At Risk","Safe")</f>
        <v>Safe</v>
      </c>
      <c r="AA1600">
        <f>WarehouseData[[#This Row],[stock_level]]/WarehouseData[[#This Row],[daily_demand]]</f>
        <v>46.1439588688946</v>
      </c>
      <c r="AB1600">
        <f>WarehouseData[[#This Row],[stock_level]]*WarehouseData[[#This Row],[unit_price]]</f>
        <v>50615.41</v>
      </c>
      <c r="AC1600">
        <f>WarehouseData[[#This Row],[stock_level]]*WarehouseData[[#This Row],[holding_cost_per_unit_day]]*30</f>
        <v>13677.9</v>
      </c>
      <c r="AD1600" t="str">
        <f>IF(WarehouseData[[#This Row],[order_fulfillment_rate]]&gt;=0.9,"Strong",IF(WarehouseData[[#This Row],[order_fulfillment_rate]]&gt;=0.8,"Moderate","Needs Attention"))</f>
        <v>Strong</v>
      </c>
      <c r="AE1600" t="str">
        <f>IF(WarehouseData[[#This Row],[picking_time_seconds]]&gt;120,"Slow",IF(WarehouseData[[#This Row],[picking_time_seconds]]&gt;=60,"Average","Fast"))</f>
        <v>Slow</v>
      </c>
    </row>
    <row r="1601" spans="1:31" x14ac:dyDescent="0.25">
      <c r="A1601" t="s">
        <v>1739</v>
      </c>
      <c r="B1601" t="s">
        <v>73</v>
      </c>
      <c r="C1601">
        <v>223</v>
      </c>
      <c r="D1601">
        <v>34</v>
      </c>
      <c r="E1601">
        <v>3</v>
      </c>
      <c r="F1601">
        <v>2</v>
      </c>
      <c r="G1601">
        <v>6.87</v>
      </c>
      <c r="H1601">
        <v>9.31</v>
      </c>
      <c r="I1601">
        <v>0.62</v>
      </c>
      <c r="J1601" t="s">
        <v>353</v>
      </c>
      <c r="K1601" t="s">
        <v>34</v>
      </c>
      <c r="L1601">
        <v>116</v>
      </c>
      <c r="M1601">
        <v>1.1499999999999999</v>
      </c>
      <c r="N1601">
        <v>115.3</v>
      </c>
      <c r="O1601">
        <v>0.83</v>
      </c>
      <c r="P1601">
        <v>3</v>
      </c>
      <c r="Q1601">
        <v>0.88</v>
      </c>
      <c r="R1601">
        <v>117</v>
      </c>
      <c r="S1601">
        <v>14.83</v>
      </c>
      <c r="T1601">
        <v>0.27</v>
      </c>
      <c r="U1601" s="1">
        <v>45601</v>
      </c>
      <c r="V1601">
        <v>150.44</v>
      </c>
      <c r="W1601">
        <v>0.68500000000000005</v>
      </c>
      <c r="X1601" t="str">
        <f>IF(WarehouseData[[#This Row],[stock_level]]&lt;=WarehouseData[[#This Row],[reorder_point]],"Low Stock","Sufficient Stock")</f>
        <v>Sufficient Stock</v>
      </c>
      <c r="Y1601">
        <f>WarehouseData[[#This Row],[daily_demand]]*WarehouseData[[#This Row],[lead_time_days]]</f>
        <v>13.74</v>
      </c>
      <c r="Z1601" t="str">
        <f>IF(WarehouseData[[#This Row],[stock_level]]&lt;=WarehouseData[[#This Row],[Demand During Lead Time]],"At Risk","Safe")</f>
        <v>Safe</v>
      </c>
      <c r="AA1601">
        <f>WarehouseData[[#This Row],[stock_level]]/WarehouseData[[#This Row],[daily_demand]]</f>
        <v>32.459970887918487</v>
      </c>
      <c r="AB1601">
        <f>WarehouseData[[#This Row],[stock_level]]*WarehouseData[[#This Row],[unit_price]]</f>
        <v>25711.899999999998</v>
      </c>
      <c r="AC1601">
        <f>WarehouseData[[#This Row],[stock_level]]*WarehouseData[[#This Row],[holding_cost_per_unit_day]]*30</f>
        <v>5552.7</v>
      </c>
      <c r="AD1601" t="str">
        <f>IF(WarehouseData[[#This Row],[order_fulfillment_rate]]&gt;=0.9,"Strong",IF(WarehouseData[[#This Row],[order_fulfillment_rate]]&gt;=0.8,"Moderate","Needs Attention"))</f>
        <v>Moderate</v>
      </c>
      <c r="AE1601" t="str">
        <f>IF(WarehouseData[[#This Row],[picking_time_seconds]]&gt;120,"Slow",IF(WarehouseData[[#This Row],[picking_time_seconds]]&gt;=60,"Average","Fast"))</f>
        <v>Average</v>
      </c>
    </row>
    <row r="1602" spans="1:31" x14ac:dyDescent="0.25">
      <c r="A1602" t="s">
        <v>1740</v>
      </c>
      <c r="B1602" t="s">
        <v>36</v>
      </c>
      <c r="C1602">
        <v>180</v>
      </c>
      <c r="D1602">
        <v>78</v>
      </c>
      <c r="E1602">
        <v>4</v>
      </c>
      <c r="F1602">
        <v>3</v>
      </c>
      <c r="G1602">
        <v>35.299999999999997</v>
      </c>
      <c r="H1602">
        <v>2.5099999999999998</v>
      </c>
      <c r="I1602">
        <v>0.3</v>
      </c>
      <c r="J1602" t="s">
        <v>62</v>
      </c>
      <c r="K1602" t="s">
        <v>46</v>
      </c>
      <c r="L1602">
        <v>59</v>
      </c>
      <c r="M1602">
        <v>1.96</v>
      </c>
      <c r="N1602">
        <v>188.57</v>
      </c>
      <c r="O1602">
        <v>1.36</v>
      </c>
      <c r="P1602">
        <v>1</v>
      </c>
      <c r="Q1602">
        <v>0.91</v>
      </c>
      <c r="R1602">
        <v>238</v>
      </c>
      <c r="S1602">
        <v>7.44</v>
      </c>
      <c r="T1602">
        <v>0.4</v>
      </c>
      <c r="U1602" s="1">
        <v>45622</v>
      </c>
      <c r="V1602">
        <v>16.78</v>
      </c>
      <c r="W1602">
        <v>0.60499999999999998</v>
      </c>
      <c r="X1602" t="str">
        <f>IF(WarehouseData[[#This Row],[stock_level]]&lt;=WarehouseData[[#This Row],[reorder_point]],"Low Stock","Sufficient Stock")</f>
        <v>Sufficient Stock</v>
      </c>
      <c r="Y1602">
        <f>WarehouseData[[#This Row],[daily_demand]]*WarehouseData[[#This Row],[lead_time_days]]</f>
        <v>105.89999999999999</v>
      </c>
      <c r="Z1602" t="str">
        <f>IF(WarehouseData[[#This Row],[stock_level]]&lt;=WarehouseData[[#This Row],[Demand During Lead Time]],"At Risk","Safe")</f>
        <v>Safe</v>
      </c>
      <c r="AA1602">
        <f>WarehouseData[[#This Row],[stock_level]]/WarehouseData[[#This Row],[daily_demand]]</f>
        <v>5.0991501416430598</v>
      </c>
      <c r="AB1602">
        <f>WarehouseData[[#This Row],[stock_level]]*WarehouseData[[#This Row],[unit_price]]</f>
        <v>33942.6</v>
      </c>
      <c r="AC1602">
        <f>WarehouseData[[#This Row],[stock_level]]*WarehouseData[[#This Row],[holding_cost_per_unit_day]]*30</f>
        <v>7344</v>
      </c>
      <c r="AD1602" t="str">
        <f>IF(WarehouseData[[#This Row],[order_fulfillment_rate]]&gt;=0.9,"Strong",IF(WarehouseData[[#This Row],[order_fulfillment_rate]]&gt;=0.8,"Moderate","Needs Attention"))</f>
        <v>Strong</v>
      </c>
      <c r="AE1602" t="str">
        <f>IF(WarehouseData[[#This Row],[picking_time_seconds]]&gt;120,"Slow",IF(WarehouseData[[#This Row],[picking_time_seconds]]&gt;=60,"Average","Fast"))</f>
        <v>Fast</v>
      </c>
    </row>
    <row r="1603" spans="1:31" x14ac:dyDescent="0.25">
      <c r="A1603" t="s">
        <v>1741</v>
      </c>
      <c r="B1603" t="s">
        <v>48</v>
      </c>
      <c r="C1603">
        <v>47</v>
      </c>
      <c r="D1603">
        <v>39</v>
      </c>
      <c r="E1603">
        <v>3</v>
      </c>
      <c r="F1603">
        <v>6</v>
      </c>
      <c r="G1603">
        <v>1.3</v>
      </c>
      <c r="H1603">
        <v>5.77</v>
      </c>
      <c r="I1603">
        <v>0.14000000000000001</v>
      </c>
      <c r="J1603" t="s">
        <v>283</v>
      </c>
      <c r="K1603" t="s">
        <v>46</v>
      </c>
      <c r="L1603">
        <v>67</v>
      </c>
      <c r="M1603">
        <v>1.24</v>
      </c>
      <c r="N1603">
        <v>182.52</v>
      </c>
      <c r="O1603">
        <v>0.26</v>
      </c>
      <c r="P1603">
        <v>9</v>
      </c>
      <c r="Q1603">
        <v>0.78</v>
      </c>
      <c r="R1603">
        <v>90</v>
      </c>
      <c r="S1603">
        <v>6.97</v>
      </c>
      <c r="T1603">
        <v>0.71</v>
      </c>
      <c r="U1603" s="1">
        <v>45337</v>
      </c>
      <c r="V1603">
        <v>32.67</v>
      </c>
      <c r="W1603">
        <v>0.58499999999999996</v>
      </c>
      <c r="X1603" t="str">
        <f>IF(WarehouseData[[#This Row],[stock_level]]&lt;=WarehouseData[[#This Row],[reorder_point]],"Low Stock","Sufficient Stock")</f>
        <v>Sufficient Stock</v>
      </c>
      <c r="Y1603">
        <f>WarehouseData[[#This Row],[daily_demand]]*WarehouseData[[#This Row],[lead_time_days]]</f>
        <v>7.8000000000000007</v>
      </c>
      <c r="Z1603" t="str">
        <f>IF(WarehouseData[[#This Row],[stock_level]]&lt;=WarehouseData[[#This Row],[Demand During Lead Time]],"At Risk","Safe")</f>
        <v>Safe</v>
      </c>
      <c r="AA1603">
        <f>WarehouseData[[#This Row],[stock_level]]/WarehouseData[[#This Row],[daily_demand]]</f>
        <v>36.153846153846153</v>
      </c>
      <c r="AB1603">
        <f>WarehouseData[[#This Row],[stock_level]]*WarehouseData[[#This Row],[unit_price]]</f>
        <v>8578.44</v>
      </c>
      <c r="AC1603">
        <f>WarehouseData[[#This Row],[stock_level]]*WarehouseData[[#This Row],[holding_cost_per_unit_day]]*30</f>
        <v>366.6</v>
      </c>
      <c r="AD1603" t="str">
        <f>IF(WarehouseData[[#This Row],[order_fulfillment_rate]]&gt;=0.9,"Strong",IF(WarehouseData[[#This Row],[order_fulfillment_rate]]&gt;=0.8,"Moderate","Needs Attention"))</f>
        <v>Needs Attention</v>
      </c>
      <c r="AE1603" t="str">
        <f>IF(WarehouseData[[#This Row],[picking_time_seconds]]&gt;120,"Slow",IF(WarehouseData[[#This Row],[picking_time_seconds]]&gt;=60,"Average","Fast"))</f>
        <v>Average</v>
      </c>
    </row>
    <row r="1604" spans="1:31" x14ac:dyDescent="0.25">
      <c r="A1604" t="s">
        <v>1742</v>
      </c>
      <c r="B1604" t="s">
        <v>48</v>
      </c>
      <c r="C1604">
        <v>411</v>
      </c>
      <c r="D1604">
        <v>85</v>
      </c>
      <c r="E1604">
        <v>5</v>
      </c>
      <c r="F1604">
        <v>3</v>
      </c>
      <c r="G1604">
        <v>24.09</v>
      </c>
      <c r="H1604">
        <v>1.7</v>
      </c>
      <c r="I1604">
        <v>0.6</v>
      </c>
      <c r="J1604" t="s">
        <v>311</v>
      </c>
      <c r="K1604" t="s">
        <v>46</v>
      </c>
      <c r="L1604">
        <v>10</v>
      </c>
      <c r="M1604">
        <v>0.77</v>
      </c>
      <c r="N1604">
        <v>120.12</v>
      </c>
      <c r="O1604">
        <v>1.32</v>
      </c>
      <c r="P1604">
        <v>1</v>
      </c>
      <c r="Q1604">
        <v>0.95</v>
      </c>
      <c r="R1604">
        <v>657</v>
      </c>
      <c r="S1604">
        <v>10.02</v>
      </c>
      <c r="T1604">
        <v>0.6</v>
      </c>
      <c r="U1604" s="1">
        <v>45388</v>
      </c>
      <c r="V1604">
        <v>75.86</v>
      </c>
      <c r="W1604">
        <v>0.69199999999999995</v>
      </c>
      <c r="X1604" t="str">
        <f>IF(WarehouseData[[#This Row],[stock_level]]&lt;=WarehouseData[[#This Row],[reorder_point]],"Low Stock","Sufficient Stock")</f>
        <v>Sufficient Stock</v>
      </c>
      <c r="Y1604">
        <f>WarehouseData[[#This Row],[daily_demand]]*WarehouseData[[#This Row],[lead_time_days]]</f>
        <v>72.27</v>
      </c>
      <c r="Z1604" t="str">
        <f>IF(WarehouseData[[#This Row],[stock_level]]&lt;=WarehouseData[[#This Row],[Demand During Lead Time]],"At Risk","Safe")</f>
        <v>Safe</v>
      </c>
      <c r="AA1604">
        <f>WarehouseData[[#This Row],[stock_level]]/WarehouseData[[#This Row],[daily_demand]]</f>
        <v>17.061021170610211</v>
      </c>
      <c r="AB1604">
        <f>WarehouseData[[#This Row],[stock_level]]*WarehouseData[[#This Row],[unit_price]]</f>
        <v>49369.32</v>
      </c>
      <c r="AC1604">
        <f>WarehouseData[[#This Row],[stock_level]]*WarehouseData[[#This Row],[holding_cost_per_unit_day]]*30</f>
        <v>16275.599999999999</v>
      </c>
      <c r="AD1604" t="str">
        <f>IF(WarehouseData[[#This Row],[order_fulfillment_rate]]&gt;=0.9,"Strong",IF(WarehouseData[[#This Row],[order_fulfillment_rate]]&gt;=0.8,"Moderate","Needs Attention"))</f>
        <v>Strong</v>
      </c>
      <c r="AE1604" t="str">
        <f>IF(WarehouseData[[#This Row],[picking_time_seconds]]&gt;120,"Slow",IF(WarehouseData[[#This Row],[picking_time_seconds]]&gt;=60,"Average","Fast"))</f>
        <v>Fast</v>
      </c>
    </row>
    <row r="1605" spans="1:31" x14ac:dyDescent="0.25">
      <c r="A1605" t="s">
        <v>1743</v>
      </c>
      <c r="B1605" t="s">
        <v>40</v>
      </c>
      <c r="C1605">
        <v>276</v>
      </c>
      <c r="D1605">
        <v>77</v>
      </c>
      <c r="E1605">
        <v>8</v>
      </c>
      <c r="F1605">
        <v>8</v>
      </c>
      <c r="G1605">
        <v>6.82</v>
      </c>
      <c r="H1605">
        <v>4.75</v>
      </c>
      <c r="I1605">
        <v>0.22</v>
      </c>
      <c r="J1605" t="s">
        <v>37</v>
      </c>
      <c r="K1605" t="s">
        <v>52</v>
      </c>
      <c r="L1605">
        <v>176</v>
      </c>
      <c r="M1605">
        <v>1.78</v>
      </c>
      <c r="N1605">
        <v>36.4</v>
      </c>
      <c r="O1605">
        <v>1.25</v>
      </c>
      <c r="P1605">
        <v>1</v>
      </c>
      <c r="Q1605">
        <v>0.83</v>
      </c>
      <c r="R1605">
        <v>732</v>
      </c>
      <c r="S1605">
        <v>6</v>
      </c>
      <c r="T1605">
        <v>0.5</v>
      </c>
      <c r="U1605" s="1">
        <v>45518</v>
      </c>
      <c r="V1605">
        <v>243.88</v>
      </c>
      <c r="W1605">
        <v>0.60099999999999998</v>
      </c>
      <c r="X1605" t="str">
        <f>IF(WarehouseData[[#This Row],[stock_level]]&lt;=WarehouseData[[#This Row],[reorder_point]],"Low Stock","Sufficient Stock")</f>
        <v>Sufficient Stock</v>
      </c>
      <c r="Y1605">
        <f>WarehouseData[[#This Row],[daily_demand]]*WarehouseData[[#This Row],[lead_time_days]]</f>
        <v>54.56</v>
      </c>
      <c r="Z1605" t="str">
        <f>IF(WarehouseData[[#This Row],[stock_level]]&lt;=WarehouseData[[#This Row],[Demand During Lead Time]],"At Risk","Safe")</f>
        <v>Safe</v>
      </c>
      <c r="AA1605">
        <f>WarehouseData[[#This Row],[stock_level]]/WarehouseData[[#This Row],[daily_demand]]</f>
        <v>40.469208211143695</v>
      </c>
      <c r="AB1605">
        <f>WarehouseData[[#This Row],[stock_level]]*WarehouseData[[#This Row],[unit_price]]</f>
        <v>10046.4</v>
      </c>
      <c r="AC1605">
        <f>WarehouseData[[#This Row],[stock_level]]*WarehouseData[[#This Row],[holding_cost_per_unit_day]]*30</f>
        <v>10350</v>
      </c>
      <c r="AD1605" t="str">
        <f>IF(WarehouseData[[#This Row],[order_fulfillment_rate]]&gt;=0.9,"Strong",IF(WarehouseData[[#This Row],[order_fulfillment_rate]]&gt;=0.8,"Moderate","Needs Attention"))</f>
        <v>Moderate</v>
      </c>
      <c r="AE1605" t="str">
        <f>IF(WarehouseData[[#This Row],[picking_time_seconds]]&gt;120,"Slow",IF(WarehouseData[[#This Row],[picking_time_seconds]]&gt;=60,"Average","Fast"))</f>
        <v>Slow</v>
      </c>
    </row>
    <row r="1606" spans="1:31" x14ac:dyDescent="0.25">
      <c r="A1606" t="s">
        <v>1744</v>
      </c>
      <c r="B1606" t="s">
        <v>36</v>
      </c>
      <c r="C1606">
        <v>184</v>
      </c>
      <c r="D1606">
        <v>97</v>
      </c>
      <c r="E1606">
        <v>10</v>
      </c>
      <c r="F1606">
        <v>4</v>
      </c>
      <c r="G1606">
        <v>42.63</v>
      </c>
      <c r="H1606">
        <v>5.91</v>
      </c>
      <c r="I1606">
        <v>0.41</v>
      </c>
      <c r="J1606" t="s">
        <v>163</v>
      </c>
      <c r="K1606" t="s">
        <v>46</v>
      </c>
      <c r="L1606">
        <v>147</v>
      </c>
      <c r="M1606">
        <v>1.24</v>
      </c>
      <c r="N1606">
        <v>97.36</v>
      </c>
      <c r="O1606">
        <v>0.5</v>
      </c>
      <c r="P1606">
        <v>1</v>
      </c>
      <c r="Q1606">
        <v>1</v>
      </c>
      <c r="R1606">
        <v>994</v>
      </c>
      <c r="S1606">
        <v>11.02</v>
      </c>
      <c r="T1606">
        <v>0.94</v>
      </c>
      <c r="U1606" s="1">
        <v>45400</v>
      </c>
      <c r="V1606">
        <v>201.51</v>
      </c>
      <c r="W1606">
        <v>0.86499999999999999</v>
      </c>
      <c r="X1606" t="str">
        <f>IF(WarehouseData[[#This Row],[stock_level]]&lt;=WarehouseData[[#This Row],[reorder_point]],"Low Stock","Sufficient Stock")</f>
        <v>Sufficient Stock</v>
      </c>
      <c r="Y1606">
        <f>WarehouseData[[#This Row],[daily_demand]]*WarehouseData[[#This Row],[lead_time_days]]</f>
        <v>170.52</v>
      </c>
      <c r="Z1606" t="str">
        <f>IF(WarehouseData[[#This Row],[stock_level]]&lt;=WarehouseData[[#This Row],[Demand During Lead Time]],"At Risk","Safe")</f>
        <v>Safe</v>
      </c>
      <c r="AA1606">
        <f>WarehouseData[[#This Row],[stock_level]]/WarehouseData[[#This Row],[daily_demand]]</f>
        <v>4.3162092423176164</v>
      </c>
      <c r="AB1606">
        <f>WarehouseData[[#This Row],[stock_level]]*WarehouseData[[#This Row],[unit_price]]</f>
        <v>17914.240000000002</v>
      </c>
      <c r="AC1606">
        <f>WarehouseData[[#This Row],[stock_level]]*WarehouseData[[#This Row],[holding_cost_per_unit_day]]*30</f>
        <v>2760</v>
      </c>
      <c r="AD1606" t="str">
        <f>IF(WarehouseData[[#This Row],[order_fulfillment_rate]]&gt;=0.9,"Strong",IF(WarehouseData[[#This Row],[order_fulfillment_rate]]&gt;=0.8,"Moderate","Needs Attention"))</f>
        <v>Strong</v>
      </c>
      <c r="AE1606" t="str">
        <f>IF(WarehouseData[[#This Row],[picking_time_seconds]]&gt;120,"Slow",IF(WarehouseData[[#This Row],[picking_time_seconds]]&gt;=60,"Average","Fast"))</f>
        <v>Slow</v>
      </c>
    </row>
    <row r="1607" spans="1:31" x14ac:dyDescent="0.25">
      <c r="A1607" t="s">
        <v>1745</v>
      </c>
      <c r="B1607" t="s">
        <v>73</v>
      </c>
      <c r="C1607">
        <v>82</v>
      </c>
      <c r="D1607">
        <v>38</v>
      </c>
      <c r="E1607">
        <v>5</v>
      </c>
      <c r="F1607">
        <v>9</v>
      </c>
      <c r="G1607">
        <v>47.96</v>
      </c>
      <c r="H1607">
        <v>6.25</v>
      </c>
      <c r="I1607">
        <v>0.56000000000000005</v>
      </c>
      <c r="J1607" t="s">
        <v>41</v>
      </c>
      <c r="K1607" t="s">
        <v>38</v>
      </c>
      <c r="L1607">
        <v>11</v>
      </c>
      <c r="M1607">
        <v>4.0999999999999996</v>
      </c>
      <c r="N1607">
        <v>147.78</v>
      </c>
      <c r="O1607">
        <v>1.65</v>
      </c>
      <c r="P1607">
        <v>7</v>
      </c>
      <c r="Q1607">
        <v>0.71</v>
      </c>
      <c r="R1607">
        <v>956</v>
      </c>
      <c r="S1607">
        <v>13.67</v>
      </c>
      <c r="T1607">
        <v>0.35</v>
      </c>
      <c r="U1607" s="1">
        <v>45500</v>
      </c>
      <c r="V1607">
        <v>269.10000000000002</v>
      </c>
      <c r="W1607">
        <v>0.48899999999999999</v>
      </c>
      <c r="X1607" t="str">
        <f>IF(WarehouseData[[#This Row],[stock_level]]&lt;=WarehouseData[[#This Row],[reorder_point]],"Low Stock","Sufficient Stock")</f>
        <v>Sufficient Stock</v>
      </c>
      <c r="Y1607">
        <f>WarehouseData[[#This Row],[daily_demand]]*WarehouseData[[#This Row],[lead_time_days]]</f>
        <v>431.64</v>
      </c>
      <c r="Z1607" t="str">
        <f>IF(WarehouseData[[#This Row],[stock_level]]&lt;=WarehouseData[[#This Row],[Demand During Lead Time]],"At Risk","Safe")</f>
        <v>At Risk</v>
      </c>
      <c r="AA1607">
        <f>WarehouseData[[#This Row],[stock_level]]/WarehouseData[[#This Row],[daily_demand]]</f>
        <v>1.7097581317764803</v>
      </c>
      <c r="AB1607">
        <f>WarehouseData[[#This Row],[stock_level]]*WarehouseData[[#This Row],[unit_price]]</f>
        <v>12117.960000000001</v>
      </c>
      <c r="AC1607">
        <f>WarehouseData[[#This Row],[stock_level]]*WarehouseData[[#This Row],[holding_cost_per_unit_day]]*30</f>
        <v>4058.9999999999995</v>
      </c>
      <c r="AD1607" t="str">
        <f>IF(WarehouseData[[#This Row],[order_fulfillment_rate]]&gt;=0.9,"Strong",IF(WarehouseData[[#This Row],[order_fulfillment_rate]]&gt;=0.8,"Moderate","Needs Attention"))</f>
        <v>Needs Attention</v>
      </c>
      <c r="AE1607" t="str">
        <f>IF(WarehouseData[[#This Row],[picking_time_seconds]]&gt;120,"Slow",IF(WarehouseData[[#This Row],[picking_time_seconds]]&gt;=60,"Average","Fast"))</f>
        <v>Fast</v>
      </c>
    </row>
    <row r="1608" spans="1:31" x14ac:dyDescent="0.25">
      <c r="A1608" t="s">
        <v>1746</v>
      </c>
      <c r="B1608" t="s">
        <v>73</v>
      </c>
      <c r="C1608">
        <v>41</v>
      </c>
      <c r="D1608">
        <v>82</v>
      </c>
      <c r="E1608">
        <v>12</v>
      </c>
      <c r="F1608">
        <v>5</v>
      </c>
      <c r="G1608">
        <v>47.98</v>
      </c>
      <c r="H1608">
        <v>3.97</v>
      </c>
      <c r="I1608">
        <v>0.91</v>
      </c>
      <c r="J1608" t="s">
        <v>353</v>
      </c>
      <c r="K1608" t="s">
        <v>34</v>
      </c>
      <c r="L1608">
        <v>72</v>
      </c>
      <c r="M1608">
        <v>0.78</v>
      </c>
      <c r="N1608">
        <v>190.83</v>
      </c>
      <c r="O1608">
        <v>1.76</v>
      </c>
      <c r="P1608">
        <v>9</v>
      </c>
      <c r="Q1608">
        <v>0.81</v>
      </c>
      <c r="R1608">
        <v>116</v>
      </c>
      <c r="S1608">
        <v>7.98</v>
      </c>
      <c r="T1608">
        <v>0.59</v>
      </c>
      <c r="U1608" s="1">
        <v>45540</v>
      </c>
      <c r="V1608">
        <v>272.37</v>
      </c>
      <c r="W1608">
        <v>0.43</v>
      </c>
      <c r="X1608" t="str">
        <f>IF(WarehouseData[[#This Row],[stock_level]]&lt;=WarehouseData[[#This Row],[reorder_point]],"Low Stock","Sufficient Stock")</f>
        <v>Low Stock</v>
      </c>
      <c r="Y1608">
        <f>WarehouseData[[#This Row],[daily_demand]]*WarehouseData[[#This Row],[lead_time_days]]</f>
        <v>239.89999999999998</v>
      </c>
      <c r="Z1608" t="str">
        <f>IF(WarehouseData[[#This Row],[stock_level]]&lt;=WarehouseData[[#This Row],[Demand During Lead Time]],"At Risk","Safe")</f>
        <v>At Risk</v>
      </c>
      <c r="AA1608">
        <f>WarehouseData[[#This Row],[stock_level]]/WarehouseData[[#This Row],[daily_demand]]</f>
        <v>0.85452271779908295</v>
      </c>
      <c r="AB1608">
        <f>WarehouseData[[#This Row],[stock_level]]*WarehouseData[[#This Row],[unit_price]]</f>
        <v>7824.0300000000007</v>
      </c>
      <c r="AC1608">
        <f>WarehouseData[[#This Row],[stock_level]]*WarehouseData[[#This Row],[holding_cost_per_unit_day]]*30</f>
        <v>2164.7999999999997</v>
      </c>
      <c r="AD1608" t="str">
        <f>IF(WarehouseData[[#This Row],[order_fulfillment_rate]]&gt;=0.9,"Strong",IF(WarehouseData[[#This Row],[order_fulfillment_rate]]&gt;=0.8,"Moderate","Needs Attention"))</f>
        <v>Moderate</v>
      </c>
      <c r="AE1608" t="str">
        <f>IF(WarehouseData[[#This Row],[picking_time_seconds]]&gt;120,"Slow",IF(WarehouseData[[#This Row],[picking_time_seconds]]&gt;=60,"Average","Fast"))</f>
        <v>Average</v>
      </c>
    </row>
    <row r="1609" spans="1:31" x14ac:dyDescent="0.25">
      <c r="A1609" t="s">
        <v>1747</v>
      </c>
      <c r="B1609" t="s">
        <v>32</v>
      </c>
      <c r="C1609">
        <v>89</v>
      </c>
      <c r="D1609">
        <v>77</v>
      </c>
      <c r="E1609">
        <v>11</v>
      </c>
      <c r="F1609">
        <v>3</v>
      </c>
      <c r="G1609">
        <v>22.66</v>
      </c>
      <c r="H1609">
        <v>1.23</v>
      </c>
      <c r="I1609">
        <v>0.17</v>
      </c>
      <c r="J1609" t="s">
        <v>286</v>
      </c>
      <c r="K1609" t="s">
        <v>46</v>
      </c>
      <c r="L1609">
        <v>25</v>
      </c>
      <c r="M1609">
        <v>3.86</v>
      </c>
      <c r="N1609">
        <v>79.13</v>
      </c>
      <c r="O1609">
        <v>0.5</v>
      </c>
      <c r="P1609">
        <v>3</v>
      </c>
      <c r="Q1609">
        <v>0.75</v>
      </c>
      <c r="R1609">
        <v>996</v>
      </c>
      <c r="S1609">
        <v>6.36</v>
      </c>
      <c r="T1609">
        <v>0.66</v>
      </c>
      <c r="U1609" s="1">
        <v>45556</v>
      </c>
      <c r="V1609">
        <v>118.65</v>
      </c>
      <c r="W1609">
        <v>0.65700000000000003</v>
      </c>
      <c r="X1609" t="str">
        <f>IF(WarehouseData[[#This Row],[stock_level]]&lt;=WarehouseData[[#This Row],[reorder_point]],"Low Stock","Sufficient Stock")</f>
        <v>Sufficient Stock</v>
      </c>
      <c r="Y1609">
        <f>WarehouseData[[#This Row],[daily_demand]]*WarehouseData[[#This Row],[lead_time_days]]</f>
        <v>67.98</v>
      </c>
      <c r="Z1609" t="str">
        <f>IF(WarehouseData[[#This Row],[stock_level]]&lt;=WarehouseData[[#This Row],[Demand During Lead Time]],"At Risk","Safe")</f>
        <v>Safe</v>
      </c>
      <c r="AA1609">
        <f>WarehouseData[[#This Row],[stock_level]]/WarehouseData[[#This Row],[daily_demand]]</f>
        <v>3.9276257722859667</v>
      </c>
      <c r="AB1609">
        <f>WarehouseData[[#This Row],[stock_level]]*WarehouseData[[#This Row],[unit_price]]</f>
        <v>7042.57</v>
      </c>
      <c r="AC1609">
        <f>WarehouseData[[#This Row],[stock_level]]*WarehouseData[[#This Row],[holding_cost_per_unit_day]]*30</f>
        <v>1335</v>
      </c>
      <c r="AD1609" t="str">
        <f>IF(WarehouseData[[#This Row],[order_fulfillment_rate]]&gt;=0.9,"Strong",IF(WarehouseData[[#This Row],[order_fulfillment_rate]]&gt;=0.8,"Moderate","Needs Attention"))</f>
        <v>Needs Attention</v>
      </c>
      <c r="AE1609" t="str">
        <f>IF(WarehouseData[[#This Row],[picking_time_seconds]]&gt;120,"Slow",IF(WarehouseData[[#This Row],[picking_time_seconds]]&gt;=60,"Average","Fast"))</f>
        <v>Fast</v>
      </c>
    </row>
    <row r="1610" spans="1:31" x14ac:dyDescent="0.25">
      <c r="A1610" t="s">
        <v>1748</v>
      </c>
      <c r="B1610" t="s">
        <v>73</v>
      </c>
      <c r="C1610">
        <v>400</v>
      </c>
      <c r="D1610">
        <v>60</v>
      </c>
      <c r="E1610">
        <v>12</v>
      </c>
      <c r="F1610">
        <v>2</v>
      </c>
      <c r="G1610">
        <v>32.58</v>
      </c>
      <c r="H1610">
        <v>6.73</v>
      </c>
      <c r="I1610">
        <v>0.7</v>
      </c>
      <c r="J1610" t="s">
        <v>124</v>
      </c>
      <c r="K1610" t="s">
        <v>38</v>
      </c>
      <c r="L1610">
        <v>46</v>
      </c>
      <c r="M1610">
        <v>2.2200000000000002</v>
      </c>
      <c r="N1610">
        <v>159.09</v>
      </c>
      <c r="O1610">
        <v>0.24</v>
      </c>
      <c r="P1610">
        <v>3</v>
      </c>
      <c r="Q1610">
        <v>0.87</v>
      </c>
      <c r="R1610">
        <v>357</v>
      </c>
      <c r="S1610">
        <v>8.31</v>
      </c>
      <c r="T1610">
        <v>0.46</v>
      </c>
      <c r="U1610" s="1">
        <v>45483</v>
      </c>
      <c r="V1610">
        <v>116.58</v>
      </c>
      <c r="W1610">
        <v>0.69299999999999995</v>
      </c>
      <c r="X1610" t="str">
        <f>IF(WarehouseData[[#This Row],[stock_level]]&lt;=WarehouseData[[#This Row],[reorder_point]],"Low Stock","Sufficient Stock")</f>
        <v>Sufficient Stock</v>
      </c>
      <c r="Y1610">
        <f>WarehouseData[[#This Row],[daily_demand]]*WarehouseData[[#This Row],[lead_time_days]]</f>
        <v>65.16</v>
      </c>
      <c r="Z1610" t="str">
        <f>IF(WarehouseData[[#This Row],[stock_level]]&lt;=WarehouseData[[#This Row],[Demand During Lead Time]],"At Risk","Safe")</f>
        <v>Safe</v>
      </c>
      <c r="AA1610">
        <f>WarehouseData[[#This Row],[stock_level]]/WarehouseData[[#This Row],[daily_demand]]</f>
        <v>12.277470841006753</v>
      </c>
      <c r="AB1610">
        <f>WarehouseData[[#This Row],[stock_level]]*WarehouseData[[#This Row],[unit_price]]</f>
        <v>63636</v>
      </c>
      <c r="AC1610">
        <f>WarehouseData[[#This Row],[stock_level]]*WarehouseData[[#This Row],[holding_cost_per_unit_day]]*30</f>
        <v>2880</v>
      </c>
      <c r="AD1610" t="str">
        <f>IF(WarehouseData[[#This Row],[order_fulfillment_rate]]&gt;=0.9,"Strong",IF(WarehouseData[[#This Row],[order_fulfillment_rate]]&gt;=0.8,"Moderate","Needs Attention"))</f>
        <v>Moderate</v>
      </c>
      <c r="AE1610" t="str">
        <f>IF(WarehouseData[[#This Row],[picking_time_seconds]]&gt;120,"Slow",IF(WarehouseData[[#This Row],[picking_time_seconds]]&gt;=60,"Average","Fast"))</f>
        <v>Fast</v>
      </c>
    </row>
    <row r="1611" spans="1:31" x14ac:dyDescent="0.25">
      <c r="A1611" t="s">
        <v>1749</v>
      </c>
      <c r="B1611" t="s">
        <v>40</v>
      </c>
      <c r="C1611">
        <v>424</v>
      </c>
      <c r="D1611">
        <v>33</v>
      </c>
      <c r="E1611">
        <v>7</v>
      </c>
      <c r="F1611">
        <v>6</v>
      </c>
      <c r="G1611">
        <v>30.39</v>
      </c>
      <c r="H1611">
        <v>5.14</v>
      </c>
      <c r="I1611">
        <v>0.11</v>
      </c>
      <c r="J1611" t="s">
        <v>340</v>
      </c>
      <c r="K1611" t="s">
        <v>34</v>
      </c>
      <c r="L1611">
        <v>25</v>
      </c>
      <c r="M1611">
        <v>3.54</v>
      </c>
      <c r="N1611">
        <v>139.83000000000001</v>
      </c>
      <c r="O1611">
        <v>1.25</v>
      </c>
      <c r="P1611">
        <v>9</v>
      </c>
      <c r="Q1611">
        <v>0.77</v>
      </c>
      <c r="R1611">
        <v>168</v>
      </c>
      <c r="S1611">
        <v>9.4499999999999993</v>
      </c>
      <c r="T1611">
        <v>0.76</v>
      </c>
      <c r="U1611" s="1">
        <v>45320</v>
      </c>
      <c r="V1611">
        <v>252.37</v>
      </c>
      <c r="W1611">
        <v>0.52700000000000002</v>
      </c>
      <c r="X1611" t="str">
        <f>IF(WarehouseData[[#This Row],[stock_level]]&lt;=WarehouseData[[#This Row],[reorder_point]],"Low Stock","Sufficient Stock")</f>
        <v>Sufficient Stock</v>
      </c>
      <c r="Y1611">
        <f>WarehouseData[[#This Row],[daily_demand]]*WarehouseData[[#This Row],[lead_time_days]]</f>
        <v>182.34</v>
      </c>
      <c r="Z1611" t="str">
        <f>IF(WarehouseData[[#This Row],[stock_level]]&lt;=WarehouseData[[#This Row],[Demand During Lead Time]],"At Risk","Safe")</f>
        <v>Safe</v>
      </c>
      <c r="AA1611">
        <f>WarehouseData[[#This Row],[stock_level]]/WarehouseData[[#This Row],[daily_demand]]</f>
        <v>13.951957880881869</v>
      </c>
      <c r="AB1611">
        <f>WarehouseData[[#This Row],[stock_level]]*WarehouseData[[#This Row],[unit_price]]</f>
        <v>59287.920000000006</v>
      </c>
      <c r="AC1611">
        <f>WarehouseData[[#This Row],[stock_level]]*WarehouseData[[#This Row],[holding_cost_per_unit_day]]*30</f>
        <v>15900</v>
      </c>
      <c r="AD1611" t="str">
        <f>IF(WarehouseData[[#This Row],[order_fulfillment_rate]]&gt;=0.9,"Strong",IF(WarehouseData[[#This Row],[order_fulfillment_rate]]&gt;=0.8,"Moderate","Needs Attention"))</f>
        <v>Needs Attention</v>
      </c>
      <c r="AE1611" t="str">
        <f>IF(WarehouseData[[#This Row],[picking_time_seconds]]&gt;120,"Slow",IF(WarehouseData[[#This Row],[picking_time_seconds]]&gt;=60,"Average","Fast"))</f>
        <v>Fast</v>
      </c>
    </row>
    <row r="1612" spans="1:31" x14ac:dyDescent="0.25">
      <c r="A1612" t="s">
        <v>1750</v>
      </c>
      <c r="B1612" t="s">
        <v>40</v>
      </c>
      <c r="C1612">
        <v>115</v>
      </c>
      <c r="D1612">
        <v>23</v>
      </c>
      <c r="E1612">
        <v>9</v>
      </c>
      <c r="F1612">
        <v>9</v>
      </c>
      <c r="G1612">
        <v>18.149999999999999</v>
      </c>
      <c r="H1612">
        <v>1.8</v>
      </c>
      <c r="I1612">
        <v>0.67</v>
      </c>
      <c r="J1612" t="s">
        <v>66</v>
      </c>
      <c r="K1612" t="s">
        <v>34</v>
      </c>
      <c r="L1612">
        <v>96</v>
      </c>
      <c r="M1612">
        <v>0.74</v>
      </c>
      <c r="N1612">
        <v>24.88</v>
      </c>
      <c r="O1612">
        <v>1.01</v>
      </c>
      <c r="P1612">
        <v>9</v>
      </c>
      <c r="Q1612">
        <v>0.92</v>
      </c>
      <c r="R1612">
        <v>902</v>
      </c>
      <c r="S1612">
        <v>12.87</v>
      </c>
      <c r="T1612">
        <v>0.89</v>
      </c>
      <c r="U1612" s="1">
        <v>45555</v>
      </c>
      <c r="V1612">
        <v>133.66999999999999</v>
      </c>
      <c r="W1612">
        <v>0.65300000000000002</v>
      </c>
      <c r="X1612" t="str">
        <f>IF(WarehouseData[[#This Row],[stock_level]]&lt;=WarehouseData[[#This Row],[reorder_point]],"Low Stock","Sufficient Stock")</f>
        <v>Sufficient Stock</v>
      </c>
      <c r="Y1612">
        <f>WarehouseData[[#This Row],[daily_demand]]*WarehouseData[[#This Row],[lead_time_days]]</f>
        <v>163.35</v>
      </c>
      <c r="Z1612" t="str">
        <f>IF(WarehouseData[[#This Row],[stock_level]]&lt;=WarehouseData[[#This Row],[Demand During Lead Time]],"At Risk","Safe")</f>
        <v>At Risk</v>
      </c>
      <c r="AA1612">
        <f>WarehouseData[[#This Row],[stock_level]]/WarehouseData[[#This Row],[daily_demand]]</f>
        <v>6.336088154269973</v>
      </c>
      <c r="AB1612">
        <f>WarehouseData[[#This Row],[stock_level]]*WarehouseData[[#This Row],[unit_price]]</f>
        <v>2861.2</v>
      </c>
      <c r="AC1612">
        <f>WarehouseData[[#This Row],[stock_level]]*WarehouseData[[#This Row],[holding_cost_per_unit_day]]*30</f>
        <v>3484.5</v>
      </c>
      <c r="AD1612" t="str">
        <f>IF(WarehouseData[[#This Row],[order_fulfillment_rate]]&gt;=0.9,"Strong",IF(WarehouseData[[#This Row],[order_fulfillment_rate]]&gt;=0.8,"Moderate","Needs Attention"))</f>
        <v>Strong</v>
      </c>
      <c r="AE1612" t="str">
        <f>IF(WarehouseData[[#This Row],[picking_time_seconds]]&gt;120,"Slow",IF(WarehouseData[[#This Row],[picking_time_seconds]]&gt;=60,"Average","Fast"))</f>
        <v>Average</v>
      </c>
    </row>
    <row r="1613" spans="1:31" x14ac:dyDescent="0.25">
      <c r="A1613" t="s">
        <v>1751</v>
      </c>
      <c r="B1613" t="s">
        <v>73</v>
      </c>
      <c r="C1613">
        <v>182</v>
      </c>
      <c r="D1613">
        <v>78</v>
      </c>
      <c r="E1613">
        <v>10</v>
      </c>
      <c r="F1613">
        <v>4</v>
      </c>
      <c r="G1613">
        <v>22.76</v>
      </c>
      <c r="H1613">
        <v>9.39</v>
      </c>
      <c r="I1613">
        <v>0.6</v>
      </c>
      <c r="J1613" t="s">
        <v>212</v>
      </c>
      <c r="K1613" t="s">
        <v>38</v>
      </c>
      <c r="L1613">
        <v>99</v>
      </c>
      <c r="M1613">
        <v>4.6399999999999997</v>
      </c>
      <c r="N1613">
        <v>116.02</v>
      </c>
      <c r="O1613">
        <v>0.91</v>
      </c>
      <c r="P1613">
        <v>2</v>
      </c>
      <c r="Q1613">
        <v>0.96</v>
      </c>
      <c r="R1613">
        <v>732</v>
      </c>
      <c r="S1613">
        <v>6.52</v>
      </c>
      <c r="T1613">
        <v>0.63</v>
      </c>
      <c r="U1613" s="1">
        <v>45373</v>
      </c>
      <c r="V1613">
        <v>258.58999999999997</v>
      </c>
      <c r="W1613">
        <v>0.67400000000000004</v>
      </c>
      <c r="X1613" t="str">
        <f>IF(WarehouseData[[#This Row],[stock_level]]&lt;=WarehouseData[[#This Row],[reorder_point]],"Low Stock","Sufficient Stock")</f>
        <v>Sufficient Stock</v>
      </c>
      <c r="Y1613">
        <f>WarehouseData[[#This Row],[daily_demand]]*WarehouseData[[#This Row],[lead_time_days]]</f>
        <v>91.04</v>
      </c>
      <c r="Z1613" t="str">
        <f>IF(WarehouseData[[#This Row],[stock_level]]&lt;=WarehouseData[[#This Row],[Demand During Lead Time]],"At Risk","Safe")</f>
        <v>Safe</v>
      </c>
      <c r="AA1613">
        <f>WarehouseData[[#This Row],[stock_level]]/WarehouseData[[#This Row],[daily_demand]]</f>
        <v>7.9964850615114234</v>
      </c>
      <c r="AB1613">
        <f>WarehouseData[[#This Row],[stock_level]]*WarehouseData[[#This Row],[unit_price]]</f>
        <v>21115.64</v>
      </c>
      <c r="AC1613">
        <f>WarehouseData[[#This Row],[stock_level]]*WarehouseData[[#This Row],[holding_cost_per_unit_day]]*30</f>
        <v>4968.6000000000004</v>
      </c>
      <c r="AD1613" t="str">
        <f>IF(WarehouseData[[#This Row],[order_fulfillment_rate]]&gt;=0.9,"Strong",IF(WarehouseData[[#This Row],[order_fulfillment_rate]]&gt;=0.8,"Moderate","Needs Attention"))</f>
        <v>Strong</v>
      </c>
      <c r="AE1613" t="str">
        <f>IF(WarehouseData[[#This Row],[picking_time_seconds]]&gt;120,"Slow",IF(WarehouseData[[#This Row],[picking_time_seconds]]&gt;=60,"Average","Fast"))</f>
        <v>Average</v>
      </c>
    </row>
    <row r="1614" spans="1:31" x14ac:dyDescent="0.25">
      <c r="A1614" t="s">
        <v>1752</v>
      </c>
      <c r="B1614" t="s">
        <v>73</v>
      </c>
      <c r="C1614">
        <v>98</v>
      </c>
      <c r="D1614">
        <v>27</v>
      </c>
      <c r="E1614">
        <v>5</v>
      </c>
      <c r="F1614">
        <v>7</v>
      </c>
      <c r="G1614">
        <v>4.1500000000000004</v>
      </c>
      <c r="H1614">
        <v>9.58</v>
      </c>
      <c r="I1614">
        <v>0.83</v>
      </c>
      <c r="J1614" t="s">
        <v>334</v>
      </c>
      <c r="K1614" t="s">
        <v>38</v>
      </c>
      <c r="L1614">
        <v>89</v>
      </c>
      <c r="M1614">
        <v>3.95</v>
      </c>
      <c r="N1614">
        <v>44.87</v>
      </c>
      <c r="O1614">
        <v>1.55</v>
      </c>
      <c r="P1614">
        <v>4</v>
      </c>
      <c r="Q1614">
        <v>0.76</v>
      </c>
      <c r="R1614">
        <v>235</v>
      </c>
      <c r="S1614">
        <v>1.72</v>
      </c>
      <c r="T1614">
        <v>0.83</v>
      </c>
      <c r="U1614" s="1">
        <v>45325</v>
      </c>
      <c r="V1614">
        <v>156.72</v>
      </c>
      <c r="W1614">
        <v>0.50600000000000001</v>
      </c>
      <c r="X1614" t="str">
        <f>IF(WarehouseData[[#This Row],[stock_level]]&lt;=WarehouseData[[#This Row],[reorder_point]],"Low Stock","Sufficient Stock")</f>
        <v>Sufficient Stock</v>
      </c>
      <c r="Y1614">
        <f>WarehouseData[[#This Row],[daily_demand]]*WarehouseData[[#This Row],[lead_time_days]]</f>
        <v>29.050000000000004</v>
      </c>
      <c r="Z1614" t="str">
        <f>IF(WarehouseData[[#This Row],[stock_level]]&lt;=WarehouseData[[#This Row],[Demand During Lead Time]],"At Risk","Safe")</f>
        <v>Safe</v>
      </c>
      <c r="AA1614">
        <f>WarehouseData[[#This Row],[stock_level]]/WarehouseData[[#This Row],[daily_demand]]</f>
        <v>23.6144578313253</v>
      </c>
      <c r="AB1614">
        <f>WarehouseData[[#This Row],[stock_level]]*WarehouseData[[#This Row],[unit_price]]</f>
        <v>4397.2599999999993</v>
      </c>
      <c r="AC1614">
        <f>WarehouseData[[#This Row],[stock_level]]*WarehouseData[[#This Row],[holding_cost_per_unit_day]]*30</f>
        <v>4557</v>
      </c>
      <c r="AD1614" t="str">
        <f>IF(WarehouseData[[#This Row],[order_fulfillment_rate]]&gt;=0.9,"Strong",IF(WarehouseData[[#This Row],[order_fulfillment_rate]]&gt;=0.8,"Moderate","Needs Attention"))</f>
        <v>Needs Attention</v>
      </c>
      <c r="AE1614" t="str">
        <f>IF(WarehouseData[[#This Row],[picking_time_seconds]]&gt;120,"Slow",IF(WarehouseData[[#This Row],[picking_time_seconds]]&gt;=60,"Average","Fast"))</f>
        <v>Average</v>
      </c>
    </row>
    <row r="1615" spans="1:31" x14ac:dyDescent="0.25">
      <c r="A1615" t="s">
        <v>1753</v>
      </c>
      <c r="B1615" t="s">
        <v>32</v>
      </c>
      <c r="C1615">
        <v>24</v>
      </c>
      <c r="D1615">
        <v>51</v>
      </c>
      <c r="E1615">
        <v>4</v>
      </c>
      <c r="F1615">
        <v>8</v>
      </c>
      <c r="G1615">
        <v>39.99</v>
      </c>
      <c r="H1615">
        <v>8.64</v>
      </c>
      <c r="I1615">
        <v>0.57999999999999996</v>
      </c>
      <c r="J1615" t="s">
        <v>311</v>
      </c>
      <c r="K1615" t="s">
        <v>52</v>
      </c>
      <c r="L1615">
        <v>36</v>
      </c>
      <c r="M1615">
        <v>1.1299999999999999</v>
      </c>
      <c r="N1615">
        <v>139.87</v>
      </c>
      <c r="O1615">
        <v>1.94</v>
      </c>
      <c r="P1615">
        <v>3</v>
      </c>
      <c r="Q1615">
        <v>0.75</v>
      </c>
      <c r="R1615">
        <v>119</v>
      </c>
      <c r="S1615">
        <v>9.83</v>
      </c>
      <c r="T1615">
        <v>0.25</v>
      </c>
      <c r="U1615" s="1">
        <v>45451</v>
      </c>
      <c r="V1615">
        <v>133.16999999999999</v>
      </c>
      <c r="W1615">
        <v>0.47699999999999998</v>
      </c>
      <c r="X1615" t="str">
        <f>IF(WarehouseData[[#This Row],[stock_level]]&lt;=WarehouseData[[#This Row],[reorder_point]],"Low Stock","Sufficient Stock")</f>
        <v>Low Stock</v>
      </c>
      <c r="Y1615">
        <f>WarehouseData[[#This Row],[daily_demand]]*WarehouseData[[#This Row],[lead_time_days]]</f>
        <v>319.92</v>
      </c>
      <c r="Z1615" t="str">
        <f>IF(WarehouseData[[#This Row],[stock_level]]&lt;=WarehouseData[[#This Row],[Demand During Lead Time]],"At Risk","Safe")</f>
        <v>At Risk</v>
      </c>
      <c r="AA1615">
        <f>WarehouseData[[#This Row],[stock_level]]/WarehouseData[[#This Row],[daily_demand]]</f>
        <v>0.60015003750937734</v>
      </c>
      <c r="AB1615">
        <f>WarehouseData[[#This Row],[stock_level]]*WarehouseData[[#This Row],[unit_price]]</f>
        <v>3356.88</v>
      </c>
      <c r="AC1615">
        <f>WarehouseData[[#This Row],[stock_level]]*WarehouseData[[#This Row],[holding_cost_per_unit_day]]*30</f>
        <v>1396.8000000000002</v>
      </c>
      <c r="AD1615" t="str">
        <f>IF(WarehouseData[[#This Row],[order_fulfillment_rate]]&gt;=0.9,"Strong",IF(WarehouseData[[#This Row],[order_fulfillment_rate]]&gt;=0.8,"Moderate","Needs Attention"))</f>
        <v>Needs Attention</v>
      </c>
      <c r="AE1615" t="str">
        <f>IF(WarehouseData[[#This Row],[picking_time_seconds]]&gt;120,"Slow",IF(WarehouseData[[#This Row],[picking_time_seconds]]&gt;=60,"Average","Fast"))</f>
        <v>Fast</v>
      </c>
    </row>
    <row r="1616" spans="1:31" x14ac:dyDescent="0.25">
      <c r="A1616" t="s">
        <v>1754</v>
      </c>
      <c r="B1616" t="s">
        <v>73</v>
      </c>
      <c r="C1616">
        <v>335</v>
      </c>
      <c r="D1616">
        <v>66</v>
      </c>
      <c r="E1616">
        <v>4</v>
      </c>
      <c r="F1616">
        <v>8</v>
      </c>
      <c r="G1616">
        <v>12.8</v>
      </c>
      <c r="H1616">
        <v>8.52</v>
      </c>
      <c r="I1616">
        <v>0.42</v>
      </c>
      <c r="J1616" t="s">
        <v>129</v>
      </c>
      <c r="K1616" t="s">
        <v>52</v>
      </c>
      <c r="L1616">
        <v>120</v>
      </c>
      <c r="M1616">
        <v>1.48</v>
      </c>
      <c r="N1616">
        <v>125.92</v>
      </c>
      <c r="O1616">
        <v>1.01</v>
      </c>
      <c r="P1616">
        <v>6</v>
      </c>
      <c r="Q1616">
        <v>0.96</v>
      </c>
      <c r="R1616">
        <v>806</v>
      </c>
      <c r="S1616">
        <v>14.82</v>
      </c>
      <c r="T1616">
        <v>0.32</v>
      </c>
      <c r="U1616" s="1">
        <v>45655</v>
      </c>
      <c r="V1616">
        <v>90.93</v>
      </c>
      <c r="W1616">
        <v>0.63300000000000001</v>
      </c>
      <c r="X1616" t="str">
        <f>IF(WarehouseData[[#This Row],[stock_level]]&lt;=WarehouseData[[#This Row],[reorder_point]],"Low Stock","Sufficient Stock")</f>
        <v>Sufficient Stock</v>
      </c>
      <c r="Y1616">
        <f>WarehouseData[[#This Row],[daily_demand]]*WarehouseData[[#This Row],[lead_time_days]]</f>
        <v>102.4</v>
      </c>
      <c r="Z1616" t="str">
        <f>IF(WarehouseData[[#This Row],[stock_level]]&lt;=WarehouseData[[#This Row],[Demand During Lead Time]],"At Risk","Safe")</f>
        <v>Safe</v>
      </c>
      <c r="AA1616">
        <f>WarehouseData[[#This Row],[stock_level]]/WarehouseData[[#This Row],[daily_demand]]</f>
        <v>26.171875</v>
      </c>
      <c r="AB1616">
        <f>WarehouseData[[#This Row],[stock_level]]*WarehouseData[[#This Row],[unit_price]]</f>
        <v>42183.199999999997</v>
      </c>
      <c r="AC1616">
        <f>WarehouseData[[#This Row],[stock_level]]*WarehouseData[[#This Row],[holding_cost_per_unit_day]]*30</f>
        <v>10150.5</v>
      </c>
      <c r="AD1616" t="str">
        <f>IF(WarehouseData[[#This Row],[order_fulfillment_rate]]&gt;=0.9,"Strong",IF(WarehouseData[[#This Row],[order_fulfillment_rate]]&gt;=0.8,"Moderate","Needs Attention"))</f>
        <v>Strong</v>
      </c>
      <c r="AE1616" t="str">
        <f>IF(WarehouseData[[#This Row],[picking_time_seconds]]&gt;120,"Slow",IF(WarehouseData[[#This Row],[picking_time_seconds]]&gt;=60,"Average","Fast"))</f>
        <v>Average</v>
      </c>
    </row>
    <row r="1617" spans="1:31" x14ac:dyDescent="0.25">
      <c r="A1617" t="s">
        <v>1755</v>
      </c>
      <c r="B1617" t="s">
        <v>32</v>
      </c>
      <c r="C1617">
        <v>139</v>
      </c>
      <c r="D1617">
        <v>92</v>
      </c>
      <c r="E1617">
        <v>7</v>
      </c>
      <c r="F1617">
        <v>2</v>
      </c>
      <c r="G1617">
        <v>23.57</v>
      </c>
      <c r="H1617">
        <v>1.44</v>
      </c>
      <c r="I1617">
        <v>0.32</v>
      </c>
      <c r="J1617" t="s">
        <v>265</v>
      </c>
      <c r="K1617" t="s">
        <v>46</v>
      </c>
      <c r="L1617">
        <v>73</v>
      </c>
      <c r="M1617">
        <v>3.4</v>
      </c>
      <c r="N1617">
        <v>194.88</v>
      </c>
      <c r="O1617">
        <v>0.11</v>
      </c>
      <c r="P1617">
        <v>9</v>
      </c>
      <c r="Q1617">
        <v>0.81</v>
      </c>
      <c r="R1617">
        <v>974</v>
      </c>
      <c r="S1617">
        <v>12.96</v>
      </c>
      <c r="T1617">
        <v>0.56999999999999995</v>
      </c>
      <c r="U1617" s="1">
        <v>45551</v>
      </c>
      <c r="V1617">
        <v>46.68</v>
      </c>
      <c r="W1617">
        <v>0.65800000000000003</v>
      </c>
      <c r="X1617" t="str">
        <f>IF(WarehouseData[[#This Row],[stock_level]]&lt;=WarehouseData[[#This Row],[reorder_point]],"Low Stock","Sufficient Stock")</f>
        <v>Sufficient Stock</v>
      </c>
      <c r="Y1617">
        <f>WarehouseData[[#This Row],[daily_demand]]*WarehouseData[[#This Row],[lead_time_days]]</f>
        <v>47.14</v>
      </c>
      <c r="Z1617" t="str">
        <f>IF(WarehouseData[[#This Row],[stock_level]]&lt;=WarehouseData[[#This Row],[Demand During Lead Time]],"At Risk","Safe")</f>
        <v>Safe</v>
      </c>
      <c r="AA1617">
        <f>WarehouseData[[#This Row],[stock_level]]/WarehouseData[[#This Row],[daily_demand]]</f>
        <v>5.8973271107339835</v>
      </c>
      <c r="AB1617">
        <f>WarehouseData[[#This Row],[stock_level]]*WarehouseData[[#This Row],[unit_price]]</f>
        <v>27088.32</v>
      </c>
      <c r="AC1617">
        <f>WarehouseData[[#This Row],[stock_level]]*WarehouseData[[#This Row],[holding_cost_per_unit_day]]*30</f>
        <v>458.70000000000005</v>
      </c>
      <c r="AD1617" t="str">
        <f>IF(WarehouseData[[#This Row],[order_fulfillment_rate]]&gt;=0.9,"Strong",IF(WarehouseData[[#This Row],[order_fulfillment_rate]]&gt;=0.8,"Moderate","Needs Attention"))</f>
        <v>Moderate</v>
      </c>
      <c r="AE1617" t="str">
        <f>IF(WarehouseData[[#This Row],[picking_time_seconds]]&gt;120,"Slow",IF(WarehouseData[[#This Row],[picking_time_seconds]]&gt;=60,"Average","Fast"))</f>
        <v>Average</v>
      </c>
    </row>
    <row r="1618" spans="1:31" x14ac:dyDescent="0.25">
      <c r="A1618" t="s">
        <v>1756</v>
      </c>
      <c r="B1618" t="s">
        <v>32</v>
      </c>
      <c r="C1618">
        <v>321</v>
      </c>
      <c r="D1618">
        <v>21</v>
      </c>
      <c r="E1618">
        <v>3</v>
      </c>
      <c r="F1618">
        <v>7</v>
      </c>
      <c r="G1618">
        <v>24.55</v>
      </c>
      <c r="H1618">
        <v>9.94</v>
      </c>
      <c r="I1618">
        <v>0.18</v>
      </c>
      <c r="J1618" t="s">
        <v>353</v>
      </c>
      <c r="K1618" t="s">
        <v>52</v>
      </c>
      <c r="L1618">
        <v>106</v>
      </c>
      <c r="M1618">
        <v>4.6500000000000004</v>
      </c>
      <c r="N1618">
        <v>187.72</v>
      </c>
      <c r="O1618">
        <v>1.23</v>
      </c>
      <c r="P1618">
        <v>6</v>
      </c>
      <c r="Q1618">
        <v>0.83</v>
      </c>
      <c r="R1618">
        <v>720</v>
      </c>
      <c r="S1618">
        <v>11.62</v>
      </c>
      <c r="T1618">
        <v>0.94</v>
      </c>
      <c r="U1618" s="1">
        <v>45498</v>
      </c>
      <c r="V1618">
        <v>162.51</v>
      </c>
      <c r="W1618">
        <v>0.66600000000000004</v>
      </c>
      <c r="X1618" t="str">
        <f>IF(WarehouseData[[#This Row],[stock_level]]&lt;=WarehouseData[[#This Row],[reorder_point]],"Low Stock","Sufficient Stock")</f>
        <v>Sufficient Stock</v>
      </c>
      <c r="Y1618">
        <f>WarehouseData[[#This Row],[daily_demand]]*WarehouseData[[#This Row],[lead_time_days]]</f>
        <v>171.85</v>
      </c>
      <c r="Z1618" t="str">
        <f>IF(WarehouseData[[#This Row],[stock_level]]&lt;=WarehouseData[[#This Row],[Demand During Lead Time]],"At Risk","Safe")</f>
        <v>Safe</v>
      </c>
      <c r="AA1618">
        <f>WarehouseData[[#This Row],[stock_level]]/WarehouseData[[#This Row],[daily_demand]]</f>
        <v>13.075356415478614</v>
      </c>
      <c r="AB1618">
        <f>WarehouseData[[#This Row],[stock_level]]*WarehouseData[[#This Row],[unit_price]]</f>
        <v>60258.12</v>
      </c>
      <c r="AC1618">
        <f>WarehouseData[[#This Row],[stock_level]]*WarehouseData[[#This Row],[holding_cost_per_unit_day]]*30</f>
        <v>11844.9</v>
      </c>
      <c r="AD1618" t="str">
        <f>IF(WarehouseData[[#This Row],[order_fulfillment_rate]]&gt;=0.9,"Strong",IF(WarehouseData[[#This Row],[order_fulfillment_rate]]&gt;=0.8,"Moderate","Needs Attention"))</f>
        <v>Moderate</v>
      </c>
      <c r="AE1618" t="str">
        <f>IF(WarehouseData[[#This Row],[picking_time_seconds]]&gt;120,"Slow",IF(WarehouseData[[#This Row],[picking_time_seconds]]&gt;=60,"Average","Fast"))</f>
        <v>Average</v>
      </c>
    </row>
    <row r="1619" spans="1:31" x14ac:dyDescent="0.25">
      <c r="A1619" t="s">
        <v>1757</v>
      </c>
      <c r="B1619" t="s">
        <v>73</v>
      </c>
      <c r="C1619">
        <v>197</v>
      </c>
      <c r="D1619">
        <v>91</v>
      </c>
      <c r="E1619">
        <v>4</v>
      </c>
      <c r="F1619">
        <v>8</v>
      </c>
      <c r="G1619">
        <v>28.47</v>
      </c>
      <c r="H1619">
        <v>4.3</v>
      </c>
      <c r="I1619">
        <v>0.57999999999999996</v>
      </c>
      <c r="J1619" t="s">
        <v>43</v>
      </c>
      <c r="K1619" t="s">
        <v>38</v>
      </c>
      <c r="L1619">
        <v>169</v>
      </c>
      <c r="M1619">
        <v>2.5099999999999998</v>
      </c>
      <c r="N1619">
        <v>11.78</v>
      </c>
      <c r="O1619">
        <v>1.34</v>
      </c>
      <c r="P1619">
        <v>5</v>
      </c>
      <c r="Q1619">
        <v>0.77</v>
      </c>
      <c r="R1619">
        <v>333</v>
      </c>
      <c r="S1619">
        <v>3.47</v>
      </c>
      <c r="T1619">
        <v>0.63</v>
      </c>
      <c r="U1619" s="1">
        <v>45361</v>
      </c>
      <c r="V1619">
        <v>104.32</v>
      </c>
      <c r="W1619">
        <v>0.49199999999999999</v>
      </c>
      <c r="X1619" t="str">
        <f>IF(WarehouseData[[#This Row],[stock_level]]&lt;=WarehouseData[[#This Row],[reorder_point]],"Low Stock","Sufficient Stock")</f>
        <v>Sufficient Stock</v>
      </c>
      <c r="Y1619">
        <f>WarehouseData[[#This Row],[daily_demand]]*WarehouseData[[#This Row],[lead_time_days]]</f>
        <v>227.76</v>
      </c>
      <c r="Z1619" t="str">
        <f>IF(WarehouseData[[#This Row],[stock_level]]&lt;=WarehouseData[[#This Row],[Demand During Lead Time]],"At Risk","Safe")</f>
        <v>At Risk</v>
      </c>
      <c r="AA1619">
        <f>WarehouseData[[#This Row],[stock_level]]/WarehouseData[[#This Row],[daily_demand]]</f>
        <v>6.919564453811029</v>
      </c>
      <c r="AB1619">
        <f>WarehouseData[[#This Row],[stock_level]]*WarehouseData[[#This Row],[unit_price]]</f>
        <v>2320.66</v>
      </c>
      <c r="AC1619">
        <f>WarehouseData[[#This Row],[stock_level]]*WarehouseData[[#This Row],[holding_cost_per_unit_day]]*30</f>
        <v>7919.4000000000005</v>
      </c>
      <c r="AD1619" t="str">
        <f>IF(WarehouseData[[#This Row],[order_fulfillment_rate]]&gt;=0.9,"Strong",IF(WarehouseData[[#This Row],[order_fulfillment_rate]]&gt;=0.8,"Moderate","Needs Attention"))</f>
        <v>Needs Attention</v>
      </c>
      <c r="AE1619" t="str">
        <f>IF(WarehouseData[[#This Row],[picking_time_seconds]]&gt;120,"Slow",IF(WarehouseData[[#This Row],[picking_time_seconds]]&gt;=60,"Average","Fast"))</f>
        <v>Slow</v>
      </c>
    </row>
    <row r="1620" spans="1:31" x14ac:dyDescent="0.25">
      <c r="A1620" t="s">
        <v>1758</v>
      </c>
      <c r="B1620" t="s">
        <v>48</v>
      </c>
      <c r="C1620">
        <v>195</v>
      </c>
      <c r="D1620">
        <v>26</v>
      </c>
      <c r="E1620">
        <v>11</v>
      </c>
      <c r="F1620">
        <v>5</v>
      </c>
      <c r="G1620">
        <v>41.08</v>
      </c>
      <c r="H1620">
        <v>2.0499999999999998</v>
      </c>
      <c r="I1620">
        <v>0.9</v>
      </c>
      <c r="J1620" t="s">
        <v>95</v>
      </c>
      <c r="K1620" t="s">
        <v>52</v>
      </c>
      <c r="L1620">
        <v>146</v>
      </c>
      <c r="M1620">
        <v>2.69</v>
      </c>
      <c r="N1620">
        <v>25.21</v>
      </c>
      <c r="O1620">
        <v>1.67</v>
      </c>
      <c r="P1620">
        <v>6</v>
      </c>
      <c r="Q1620">
        <v>0.83</v>
      </c>
      <c r="R1620">
        <v>668</v>
      </c>
      <c r="S1620">
        <v>11.48</v>
      </c>
      <c r="T1620">
        <v>0.55000000000000004</v>
      </c>
      <c r="U1620" s="1">
        <v>45560</v>
      </c>
      <c r="V1620">
        <v>82.34</v>
      </c>
      <c r="W1620">
        <v>0.54200000000000004</v>
      </c>
      <c r="X1620" t="str">
        <f>IF(WarehouseData[[#This Row],[stock_level]]&lt;=WarehouseData[[#This Row],[reorder_point]],"Low Stock","Sufficient Stock")</f>
        <v>Sufficient Stock</v>
      </c>
      <c r="Y1620">
        <f>WarehouseData[[#This Row],[daily_demand]]*WarehouseData[[#This Row],[lead_time_days]]</f>
        <v>205.39999999999998</v>
      </c>
      <c r="Z1620" t="str">
        <f>IF(WarehouseData[[#This Row],[stock_level]]&lt;=WarehouseData[[#This Row],[Demand During Lead Time]],"At Risk","Safe")</f>
        <v>At Risk</v>
      </c>
      <c r="AA1620">
        <f>WarehouseData[[#This Row],[stock_level]]/WarehouseData[[#This Row],[daily_demand]]</f>
        <v>4.7468354430379751</v>
      </c>
      <c r="AB1620">
        <f>WarehouseData[[#This Row],[stock_level]]*WarehouseData[[#This Row],[unit_price]]</f>
        <v>4915.95</v>
      </c>
      <c r="AC1620">
        <f>WarehouseData[[#This Row],[stock_level]]*WarehouseData[[#This Row],[holding_cost_per_unit_day]]*30</f>
        <v>9769.5</v>
      </c>
      <c r="AD1620" t="str">
        <f>IF(WarehouseData[[#This Row],[order_fulfillment_rate]]&gt;=0.9,"Strong",IF(WarehouseData[[#This Row],[order_fulfillment_rate]]&gt;=0.8,"Moderate","Needs Attention"))</f>
        <v>Moderate</v>
      </c>
      <c r="AE1620" t="str">
        <f>IF(WarehouseData[[#This Row],[picking_time_seconds]]&gt;120,"Slow",IF(WarehouseData[[#This Row],[picking_time_seconds]]&gt;=60,"Average","Fast"))</f>
        <v>Slow</v>
      </c>
    </row>
    <row r="1621" spans="1:31" x14ac:dyDescent="0.25">
      <c r="A1621" t="s">
        <v>1759</v>
      </c>
      <c r="B1621" t="s">
        <v>48</v>
      </c>
      <c r="C1621">
        <v>409</v>
      </c>
      <c r="D1621">
        <v>39</v>
      </c>
      <c r="E1621">
        <v>9</v>
      </c>
      <c r="F1621">
        <v>9</v>
      </c>
      <c r="G1621">
        <v>34.9</v>
      </c>
      <c r="H1621">
        <v>8.2100000000000009</v>
      </c>
      <c r="I1621">
        <v>0.56000000000000005</v>
      </c>
      <c r="J1621" t="s">
        <v>281</v>
      </c>
      <c r="K1621" t="s">
        <v>34</v>
      </c>
      <c r="L1621">
        <v>20</v>
      </c>
      <c r="M1621">
        <v>1.57</v>
      </c>
      <c r="N1621">
        <v>156.13999999999999</v>
      </c>
      <c r="O1621">
        <v>0.48</v>
      </c>
      <c r="P1621">
        <v>6</v>
      </c>
      <c r="Q1621">
        <v>0.77</v>
      </c>
      <c r="R1621">
        <v>995</v>
      </c>
      <c r="S1621">
        <v>2.14</v>
      </c>
      <c r="T1621">
        <v>0.68</v>
      </c>
      <c r="U1621" s="1">
        <v>45583</v>
      </c>
      <c r="V1621">
        <v>59.2</v>
      </c>
      <c r="W1621">
        <v>0.55100000000000005</v>
      </c>
      <c r="X1621" t="str">
        <f>IF(WarehouseData[[#This Row],[stock_level]]&lt;=WarehouseData[[#This Row],[reorder_point]],"Low Stock","Sufficient Stock")</f>
        <v>Sufficient Stock</v>
      </c>
      <c r="Y1621">
        <f>WarehouseData[[#This Row],[daily_demand]]*WarehouseData[[#This Row],[lead_time_days]]</f>
        <v>314.09999999999997</v>
      </c>
      <c r="Z1621" t="str">
        <f>IF(WarehouseData[[#This Row],[stock_level]]&lt;=WarehouseData[[#This Row],[Demand During Lead Time]],"At Risk","Safe")</f>
        <v>Safe</v>
      </c>
      <c r="AA1621">
        <f>WarehouseData[[#This Row],[stock_level]]/WarehouseData[[#This Row],[daily_demand]]</f>
        <v>11.71919770773639</v>
      </c>
      <c r="AB1621">
        <f>WarehouseData[[#This Row],[stock_level]]*WarehouseData[[#This Row],[unit_price]]</f>
        <v>63861.259999999995</v>
      </c>
      <c r="AC1621">
        <f>WarehouseData[[#This Row],[stock_level]]*WarehouseData[[#This Row],[holding_cost_per_unit_day]]*30</f>
        <v>5889.5999999999995</v>
      </c>
      <c r="AD1621" t="str">
        <f>IF(WarehouseData[[#This Row],[order_fulfillment_rate]]&gt;=0.9,"Strong",IF(WarehouseData[[#This Row],[order_fulfillment_rate]]&gt;=0.8,"Moderate","Needs Attention"))</f>
        <v>Needs Attention</v>
      </c>
      <c r="AE1621" t="str">
        <f>IF(WarehouseData[[#This Row],[picking_time_seconds]]&gt;120,"Slow",IF(WarehouseData[[#This Row],[picking_time_seconds]]&gt;=60,"Average","Fast"))</f>
        <v>Fast</v>
      </c>
    </row>
    <row r="1622" spans="1:31" x14ac:dyDescent="0.25">
      <c r="A1622" t="s">
        <v>1760</v>
      </c>
      <c r="B1622" t="s">
        <v>32</v>
      </c>
      <c r="C1622">
        <v>236</v>
      </c>
      <c r="D1622">
        <v>97</v>
      </c>
      <c r="E1622">
        <v>8</v>
      </c>
      <c r="F1622">
        <v>6</v>
      </c>
      <c r="G1622">
        <v>33.49</v>
      </c>
      <c r="H1622">
        <v>2.64</v>
      </c>
      <c r="I1622">
        <v>0.77</v>
      </c>
      <c r="J1622" t="s">
        <v>37</v>
      </c>
      <c r="K1622" t="s">
        <v>38</v>
      </c>
      <c r="L1622">
        <v>79</v>
      </c>
      <c r="M1622">
        <v>2.2200000000000002</v>
      </c>
      <c r="N1622">
        <v>140.27000000000001</v>
      </c>
      <c r="O1622">
        <v>1.1000000000000001</v>
      </c>
      <c r="P1622">
        <v>7</v>
      </c>
      <c r="Q1622">
        <v>0.9</v>
      </c>
      <c r="R1622">
        <v>597</v>
      </c>
      <c r="S1622">
        <v>7.91</v>
      </c>
      <c r="T1622">
        <v>0.3</v>
      </c>
      <c r="U1622" s="1">
        <v>45306</v>
      </c>
      <c r="V1622">
        <v>122.7</v>
      </c>
      <c r="W1622">
        <v>0.495</v>
      </c>
      <c r="X1622" t="str">
        <f>IF(WarehouseData[[#This Row],[stock_level]]&lt;=WarehouseData[[#This Row],[reorder_point]],"Low Stock","Sufficient Stock")</f>
        <v>Sufficient Stock</v>
      </c>
      <c r="Y1622">
        <f>WarehouseData[[#This Row],[daily_demand]]*WarehouseData[[#This Row],[lead_time_days]]</f>
        <v>200.94</v>
      </c>
      <c r="Z1622" t="str">
        <f>IF(WarehouseData[[#This Row],[stock_level]]&lt;=WarehouseData[[#This Row],[Demand During Lead Time]],"At Risk","Safe")</f>
        <v>Safe</v>
      </c>
      <c r="AA1622">
        <f>WarehouseData[[#This Row],[stock_level]]/WarehouseData[[#This Row],[daily_demand]]</f>
        <v>7.0468796655718124</v>
      </c>
      <c r="AB1622">
        <f>WarehouseData[[#This Row],[stock_level]]*WarehouseData[[#This Row],[unit_price]]</f>
        <v>33103.72</v>
      </c>
      <c r="AC1622">
        <f>WarehouseData[[#This Row],[stock_level]]*WarehouseData[[#This Row],[holding_cost_per_unit_day]]*30</f>
        <v>7788.0000000000009</v>
      </c>
      <c r="AD1622" t="str">
        <f>IF(WarehouseData[[#This Row],[order_fulfillment_rate]]&gt;=0.9,"Strong",IF(WarehouseData[[#This Row],[order_fulfillment_rate]]&gt;=0.8,"Moderate","Needs Attention"))</f>
        <v>Strong</v>
      </c>
      <c r="AE1622" t="str">
        <f>IF(WarehouseData[[#This Row],[picking_time_seconds]]&gt;120,"Slow",IF(WarehouseData[[#This Row],[picking_time_seconds]]&gt;=60,"Average","Fast"))</f>
        <v>Average</v>
      </c>
    </row>
    <row r="1623" spans="1:31" x14ac:dyDescent="0.25">
      <c r="A1623" t="s">
        <v>1761</v>
      </c>
      <c r="B1623" t="s">
        <v>73</v>
      </c>
      <c r="C1623">
        <v>75</v>
      </c>
      <c r="D1623">
        <v>84</v>
      </c>
      <c r="E1623">
        <v>11</v>
      </c>
      <c r="F1623">
        <v>9</v>
      </c>
      <c r="G1623">
        <v>26.81</v>
      </c>
      <c r="H1623">
        <v>5.5</v>
      </c>
      <c r="I1623">
        <v>0.37</v>
      </c>
      <c r="J1623" t="s">
        <v>245</v>
      </c>
      <c r="K1623" t="s">
        <v>46</v>
      </c>
      <c r="L1623">
        <v>167</v>
      </c>
      <c r="M1623">
        <v>1.79</v>
      </c>
      <c r="N1623">
        <v>162.18</v>
      </c>
      <c r="O1623">
        <v>0.95</v>
      </c>
      <c r="P1623">
        <v>0</v>
      </c>
      <c r="Q1623">
        <v>0.85</v>
      </c>
      <c r="R1623">
        <v>397</v>
      </c>
      <c r="S1623">
        <v>6.19</v>
      </c>
      <c r="T1623">
        <v>0.72</v>
      </c>
      <c r="U1623" s="1">
        <v>45380</v>
      </c>
      <c r="V1623">
        <v>171.2</v>
      </c>
      <c r="W1623">
        <v>0.70199999999999996</v>
      </c>
      <c r="X1623" t="str">
        <f>IF(WarehouseData[[#This Row],[stock_level]]&lt;=WarehouseData[[#This Row],[reorder_point]],"Low Stock","Sufficient Stock")</f>
        <v>Low Stock</v>
      </c>
      <c r="Y1623">
        <f>WarehouseData[[#This Row],[daily_demand]]*WarehouseData[[#This Row],[lead_time_days]]</f>
        <v>241.29</v>
      </c>
      <c r="Z1623" t="str">
        <f>IF(WarehouseData[[#This Row],[stock_level]]&lt;=WarehouseData[[#This Row],[Demand During Lead Time]],"At Risk","Safe")</f>
        <v>At Risk</v>
      </c>
      <c r="AA1623">
        <f>WarehouseData[[#This Row],[stock_level]]/WarehouseData[[#This Row],[daily_demand]]</f>
        <v>2.7974636329727716</v>
      </c>
      <c r="AB1623">
        <f>WarehouseData[[#This Row],[stock_level]]*WarehouseData[[#This Row],[unit_price]]</f>
        <v>12163.5</v>
      </c>
      <c r="AC1623">
        <f>WarehouseData[[#This Row],[stock_level]]*WarehouseData[[#This Row],[holding_cost_per_unit_day]]*30</f>
        <v>2137.5</v>
      </c>
      <c r="AD1623" t="str">
        <f>IF(WarehouseData[[#This Row],[order_fulfillment_rate]]&gt;=0.9,"Strong",IF(WarehouseData[[#This Row],[order_fulfillment_rate]]&gt;=0.8,"Moderate","Needs Attention"))</f>
        <v>Moderate</v>
      </c>
      <c r="AE1623" t="str">
        <f>IF(WarehouseData[[#This Row],[picking_time_seconds]]&gt;120,"Slow",IF(WarehouseData[[#This Row],[picking_time_seconds]]&gt;=60,"Average","Fast"))</f>
        <v>Slow</v>
      </c>
    </row>
    <row r="1624" spans="1:31" x14ac:dyDescent="0.25">
      <c r="A1624" t="s">
        <v>1762</v>
      </c>
      <c r="B1624" t="s">
        <v>48</v>
      </c>
      <c r="C1624">
        <v>385</v>
      </c>
      <c r="D1624">
        <v>32</v>
      </c>
      <c r="E1624">
        <v>9</v>
      </c>
      <c r="F1624">
        <v>5</v>
      </c>
      <c r="G1624">
        <v>5.7</v>
      </c>
      <c r="H1624">
        <v>1.72</v>
      </c>
      <c r="I1624">
        <v>0.5</v>
      </c>
      <c r="J1624" t="s">
        <v>160</v>
      </c>
      <c r="K1624" t="s">
        <v>34</v>
      </c>
      <c r="L1624">
        <v>152</v>
      </c>
      <c r="M1624">
        <v>2.08</v>
      </c>
      <c r="N1624">
        <v>60.69</v>
      </c>
      <c r="O1624">
        <v>1.36</v>
      </c>
      <c r="P1624">
        <v>2</v>
      </c>
      <c r="Q1624">
        <v>0.94</v>
      </c>
      <c r="R1624">
        <v>964</v>
      </c>
      <c r="S1624">
        <v>13.67</v>
      </c>
      <c r="T1624">
        <v>0.28000000000000003</v>
      </c>
      <c r="U1624" s="1">
        <v>45390</v>
      </c>
      <c r="V1624">
        <v>252.74</v>
      </c>
      <c r="W1624">
        <v>0.65</v>
      </c>
      <c r="X1624" t="str">
        <f>IF(WarehouseData[[#This Row],[stock_level]]&lt;=WarehouseData[[#This Row],[reorder_point]],"Low Stock","Sufficient Stock")</f>
        <v>Sufficient Stock</v>
      </c>
      <c r="Y1624">
        <f>WarehouseData[[#This Row],[daily_demand]]*WarehouseData[[#This Row],[lead_time_days]]</f>
        <v>28.5</v>
      </c>
      <c r="Z1624" t="str">
        <f>IF(WarehouseData[[#This Row],[stock_level]]&lt;=WarehouseData[[#This Row],[Demand During Lead Time]],"At Risk","Safe")</f>
        <v>Safe</v>
      </c>
      <c r="AA1624">
        <f>WarehouseData[[#This Row],[stock_level]]/WarehouseData[[#This Row],[daily_demand]]</f>
        <v>67.543859649122808</v>
      </c>
      <c r="AB1624">
        <f>WarehouseData[[#This Row],[stock_level]]*WarehouseData[[#This Row],[unit_price]]</f>
        <v>23365.649999999998</v>
      </c>
      <c r="AC1624">
        <f>WarehouseData[[#This Row],[stock_level]]*WarehouseData[[#This Row],[holding_cost_per_unit_day]]*30</f>
        <v>15708</v>
      </c>
      <c r="AD1624" t="str">
        <f>IF(WarehouseData[[#This Row],[order_fulfillment_rate]]&gt;=0.9,"Strong",IF(WarehouseData[[#This Row],[order_fulfillment_rate]]&gt;=0.8,"Moderate","Needs Attention"))</f>
        <v>Strong</v>
      </c>
      <c r="AE1624" t="str">
        <f>IF(WarehouseData[[#This Row],[picking_time_seconds]]&gt;120,"Slow",IF(WarehouseData[[#This Row],[picking_time_seconds]]&gt;=60,"Average","Fast"))</f>
        <v>Slow</v>
      </c>
    </row>
    <row r="1625" spans="1:31" x14ac:dyDescent="0.25">
      <c r="A1625" t="s">
        <v>1763</v>
      </c>
      <c r="B1625" t="s">
        <v>73</v>
      </c>
      <c r="C1625">
        <v>206</v>
      </c>
      <c r="D1625">
        <v>90</v>
      </c>
      <c r="E1625">
        <v>13</v>
      </c>
      <c r="F1625">
        <v>8</v>
      </c>
      <c r="G1625">
        <v>20.7</v>
      </c>
      <c r="H1625">
        <v>5.01</v>
      </c>
      <c r="I1625">
        <v>0.39</v>
      </c>
      <c r="J1625" t="s">
        <v>357</v>
      </c>
      <c r="K1625" t="s">
        <v>34</v>
      </c>
      <c r="L1625">
        <v>57</v>
      </c>
      <c r="M1625">
        <v>0.59</v>
      </c>
      <c r="N1625">
        <v>171.37</v>
      </c>
      <c r="O1625">
        <v>0.22</v>
      </c>
      <c r="P1625">
        <v>2</v>
      </c>
      <c r="Q1625">
        <v>0.79</v>
      </c>
      <c r="R1625">
        <v>244</v>
      </c>
      <c r="S1625">
        <v>3.24</v>
      </c>
      <c r="T1625">
        <v>0.66</v>
      </c>
      <c r="U1625" s="1">
        <v>45394</v>
      </c>
      <c r="V1625">
        <v>247.86</v>
      </c>
      <c r="W1625">
        <v>0.67100000000000004</v>
      </c>
      <c r="X1625" t="str">
        <f>IF(WarehouseData[[#This Row],[stock_level]]&lt;=WarehouseData[[#This Row],[reorder_point]],"Low Stock","Sufficient Stock")</f>
        <v>Sufficient Stock</v>
      </c>
      <c r="Y1625">
        <f>WarehouseData[[#This Row],[daily_demand]]*WarehouseData[[#This Row],[lead_time_days]]</f>
        <v>165.6</v>
      </c>
      <c r="Z1625" t="str">
        <f>IF(WarehouseData[[#This Row],[stock_level]]&lt;=WarehouseData[[#This Row],[Demand During Lead Time]],"At Risk","Safe")</f>
        <v>Safe</v>
      </c>
      <c r="AA1625">
        <f>WarehouseData[[#This Row],[stock_level]]/WarehouseData[[#This Row],[daily_demand]]</f>
        <v>9.9516908212560384</v>
      </c>
      <c r="AB1625">
        <f>WarehouseData[[#This Row],[stock_level]]*WarehouseData[[#This Row],[unit_price]]</f>
        <v>35302.22</v>
      </c>
      <c r="AC1625">
        <f>WarehouseData[[#This Row],[stock_level]]*WarehouseData[[#This Row],[holding_cost_per_unit_day]]*30</f>
        <v>1359.6</v>
      </c>
      <c r="AD1625" t="str">
        <f>IF(WarehouseData[[#This Row],[order_fulfillment_rate]]&gt;=0.9,"Strong",IF(WarehouseData[[#This Row],[order_fulfillment_rate]]&gt;=0.8,"Moderate","Needs Attention"))</f>
        <v>Needs Attention</v>
      </c>
      <c r="AE1625" t="str">
        <f>IF(WarehouseData[[#This Row],[picking_time_seconds]]&gt;120,"Slow",IF(WarehouseData[[#This Row],[picking_time_seconds]]&gt;=60,"Average","Fast"))</f>
        <v>Fast</v>
      </c>
    </row>
    <row r="1626" spans="1:31" x14ac:dyDescent="0.25">
      <c r="A1626" t="s">
        <v>1764</v>
      </c>
      <c r="B1626" t="s">
        <v>73</v>
      </c>
      <c r="C1626">
        <v>251</v>
      </c>
      <c r="D1626">
        <v>10</v>
      </c>
      <c r="E1626">
        <v>7</v>
      </c>
      <c r="F1626">
        <v>5</v>
      </c>
      <c r="G1626">
        <v>47.91</v>
      </c>
      <c r="H1626">
        <v>5.8</v>
      </c>
      <c r="I1626">
        <v>0.2</v>
      </c>
      <c r="J1626" t="s">
        <v>98</v>
      </c>
      <c r="K1626" t="s">
        <v>34</v>
      </c>
      <c r="L1626">
        <v>103</v>
      </c>
      <c r="M1626">
        <v>0.68</v>
      </c>
      <c r="N1626">
        <v>94.06</v>
      </c>
      <c r="O1626">
        <v>1.78</v>
      </c>
      <c r="P1626">
        <v>4</v>
      </c>
      <c r="Q1626">
        <v>0.85</v>
      </c>
      <c r="R1626">
        <v>829</v>
      </c>
      <c r="S1626">
        <v>12.04</v>
      </c>
      <c r="T1626">
        <v>0.77</v>
      </c>
      <c r="U1626" s="1">
        <v>45321</v>
      </c>
      <c r="V1626">
        <v>257.97000000000003</v>
      </c>
      <c r="W1626">
        <v>0.627</v>
      </c>
      <c r="X1626" t="str">
        <f>IF(WarehouseData[[#This Row],[stock_level]]&lt;=WarehouseData[[#This Row],[reorder_point]],"Low Stock","Sufficient Stock")</f>
        <v>Sufficient Stock</v>
      </c>
      <c r="Y1626">
        <f>WarehouseData[[#This Row],[daily_demand]]*WarehouseData[[#This Row],[lead_time_days]]</f>
        <v>239.54999999999998</v>
      </c>
      <c r="Z1626" t="str">
        <f>IF(WarehouseData[[#This Row],[stock_level]]&lt;=WarehouseData[[#This Row],[Demand During Lead Time]],"At Risk","Safe")</f>
        <v>Safe</v>
      </c>
      <c r="AA1626">
        <f>WarehouseData[[#This Row],[stock_level]]/WarehouseData[[#This Row],[daily_demand]]</f>
        <v>5.2389897724900862</v>
      </c>
      <c r="AB1626">
        <f>WarehouseData[[#This Row],[stock_level]]*WarehouseData[[#This Row],[unit_price]]</f>
        <v>23609.06</v>
      </c>
      <c r="AC1626">
        <f>WarehouseData[[#This Row],[stock_level]]*WarehouseData[[#This Row],[holding_cost_per_unit_day]]*30</f>
        <v>13403.400000000001</v>
      </c>
      <c r="AD1626" t="str">
        <f>IF(WarehouseData[[#This Row],[order_fulfillment_rate]]&gt;=0.9,"Strong",IF(WarehouseData[[#This Row],[order_fulfillment_rate]]&gt;=0.8,"Moderate","Needs Attention"))</f>
        <v>Moderate</v>
      </c>
      <c r="AE1626" t="str">
        <f>IF(WarehouseData[[#This Row],[picking_time_seconds]]&gt;120,"Slow",IF(WarehouseData[[#This Row],[picking_time_seconds]]&gt;=60,"Average","Fast"))</f>
        <v>Average</v>
      </c>
    </row>
    <row r="1627" spans="1:31" x14ac:dyDescent="0.25">
      <c r="A1627" t="s">
        <v>1765</v>
      </c>
      <c r="B1627" t="s">
        <v>73</v>
      </c>
      <c r="C1627">
        <v>274</v>
      </c>
      <c r="D1627">
        <v>88</v>
      </c>
      <c r="E1627">
        <v>11</v>
      </c>
      <c r="F1627">
        <v>9</v>
      </c>
      <c r="G1627">
        <v>49.78</v>
      </c>
      <c r="H1627">
        <v>4.74</v>
      </c>
      <c r="I1627">
        <v>0.48</v>
      </c>
      <c r="J1627" t="s">
        <v>215</v>
      </c>
      <c r="K1627" t="s">
        <v>38</v>
      </c>
      <c r="L1627">
        <v>85</v>
      </c>
      <c r="M1627">
        <v>3.56</v>
      </c>
      <c r="N1627">
        <v>59.76</v>
      </c>
      <c r="O1627">
        <v>1.07</v>
      </c>
      <c r="P1627">
        <v>9</v>
      </c>
      <c r="Q1627">
        <v>0.78</v>
      </c>
      <c r="R1627">
        <v>533</v>
      </c>
      <c r="S1627">
        <v>1.68</v>
      </c>
      <c r="T1627">
        <v>0.53</v>
      </c>
      <c r="U1627" s="1">
        <v>45419</v>
      </c>
      <c r="V1627">
        <v>177.11</v>
      </c>
      <c r="W1627">
        <v>0.39700000000000002</v>
      </c>
      <c r="X1627" t="str">
        <f>IF(WarehouseData[[#This Row],[stock_level]]&lt;=WarehouseData[[#This Row],[reorder_point]],"Low Stock","Sufficient Stock")</f>
        <v>Sufficient Stock</v>
      </c>
      <c r="Y1627">
        <f>WarehouseData[[#This Row],[daily_demand]]*WarehouseData[[#This Row],[lead_time_days]]</f>
        <v>448.02</v>
      </c>
      <c r="Z1627" t="str">
        <f>IF(WarehouseData[[#This Row],[stock_level]]&lt;=WarehouseData[[#This Row],[Demand During Lead Time]],"At Risk","Safe")</f>
        <v>At Risk</v>
      </c>
      <c r="AA1627">
        <f>WarehouseData[[#This Row],[stock_level]]/WarehouseData[[#This Row],[daily_demand]]</f>
        <v>5.5042185616713537</v>
      </c>
      <c r="AB1627">
        <f>WarehouseData[[#This Row],[stock_level]]*WarehouseData[[#This Row],[unit_price]]</f>
        <v>16374.24</v>
      </c>
      <c r="AC1627">
        <f>WarehouseData[[#This Row],[stock_level]]*WarehouseData[[#This Row],[holding_cost_per_unit_day]]*30</f>
        <v>8795.4</v>
      </c>
      <c r="AD1627" t="str">
        <f>IF(WarehouseData[[#This Row],[order_fulfillment_rate]]&gt;=0.9,"Strong",IF(WarehouseData[[#This Row],[order_fulfillment_rate]]&gt;=0.8,"Moderate","Needs Attention"))</f>
        <v>Needs Attention</v>
      </c>
      <c r="AE1627" t="str">
        <f>IF(WarehouseData[[#This Row],[picking_time_seconds]]&gt;120,"Slow",IF(WarehouseData[[#This Row],[picking_time_seconds]]&gt;=60,"Average","Fast"))</f>
        <v>Average</v>
      </c>
    </row>
    <row r="1628" spans="1:31" x14ac:dyDescent="0.25">
      <c r="A1628" t="s">
        <v>1766</v>
      </c>
      <c r="B1628" t="s">
        <v>36</v>
      </c>
      <c r="C1628">
        <v>432</v>
      </c>
      <c r="D1628">
        <v>41</v>
      </c>
      <c r="E1628">
        <v>8</v>
      </c>
      <c r="F1628">
        <v>8</v>
      </c>
      <c r="G1628">
        <v>36.79</v>
      </c>
      <c r="H1628">
        <v>1.1599999999999999</v>
      </c>
      <c r="I1628">
        <v>0.79</v>
      </c>
      <c r="J1628" t="s">
        <v>152</v>
      </c>
      <c r="K1628" t="s">
        <v>38</v>
      </c>
      <c r="L1628">
        <v>69</v>
      </c>
      <c r="M1628">
        <v>3.57</v>
      </c>
      <c r="N1628">
        <v>12.02</v>
      </c>
      <c r="O1628">
        <v>1.77</v>
      </c>
      <c r="P1628">
        <v>6</v>
      </c>
      <c r="Q1628">
        <v>0.98</v>
      </c>
      <c r="R1628">
        <v>637</v>
      </c>
      <c r="S1628">
        <v>10.82</v>
      </c>
      <c r="T1628">
        <v>0.93</v>
      </c>
      <c r="U1628" s="1">
        <v>45308</v>
      </c>
      <c r="V1628">
        <v>172.27</v>
      </c>
      <c r="W1628">
        <v>0.629</v>
      </c>
      <c r="X1628" t="str">
        <f>IF(WarehouseData[[#This Row],[stock_level]]&lt;=WarehouseData[[#This Row],[reorder_point]],"Low Stock","Sufficient Stock")</f>
        <v>Sufficient Stock</v>
      </c>
      <c r="Y1628">
        <f>WarehouseData[[#This Row],[daily_demand]]*WarehouseData[[#This Row],[lead_time_days]]</f>
        <v>294.32</v>
      </c>
      <c r="Z1628" t="str">
        <f>IF(WarehouseData[[#This Row],[stock_level]]&lt;=WarehouseData[[#This Row],[Demand During Lead Time]],"At Risk","Safe")</f>
        <v>Safe</v>
      </c>
      <c r="AA1628">
        <f>WarehouseData[[#This Row],[stock_level]]/WarehouseData[[#This Row],[daily_demand]]</f>
        <v>11.742321282957326</v>
      </c>
      <c r="AB1628">
        <f>WarehouseData[[#This Row],[stock_level]]*WarehouseData[[#This Row],[unit_price]]</f>
        <v>5192.6399999999994</v>
      </c>
      <c r="AC1628">
        <f>WarehouseData[[#This Row],[stock_level]]*WarehouseData[[#This Row],[holding_cost_per_unit_day]]*30</f>
        <v>22939.200000000001</v>
      </c>
      <c r="AD1628" t="str">
        <f>IF(WarehouseData[[#This Row],[order_fulfillment_rate]]&gt;=0.9,"Strong",IF(WarehouseData[[#This Row],[order_fulfillment_rate]]&gt;=0.8,"Moderate","Needs Attention"))</f>
        <v>Strong</v>
      </c>
      <c r="AE1628" t="str">
        <f>IF(WarehouseData[[#This Row],[picking_time_seconds]]&gt;120,"Slow",IF(WarehouseData[[#This Row],[picking_time_seconds]]&gt;=60,"Average","Fast"))</f>
        <v>Average</v>
      </c>
    </row>
    <row r="1629" spans="1:31" x14ac:dyDescent="0.25">
      <c r="A1629" t="s">
        <v>1767</v>
      </c>
      <c r="B1629" t="s">
        <v>73</v>
      </c>
      <c r="C1629">
        <v>474</v>
      </c>
      <c r="D1629">
        <v>18</v>
      </c>
      <c r="E1629">
        <v>8</v>
      </c>
      <c r="F1629">
        <v>6</v>
      </c>
      <c r="G1629">
        <v>12.15</v>
      </c>
      <c r="H1629">
        <v>5.1100000000000003</v>
      </c>
      <c r="I1629">
        <v>0.46</v>
      </c>
      <c r="J1629" t="s">
        <v>259</v>
      </c>
      <c r="K1629" t="s">
        <v>46</v>
      </c>
      <c r="L1629">
        <v>77</v>
      </c>
      <c r="M1629">
        <v>1.99</v>
      </c>
      <c r="N1629">
        <v>175.56</v>
      </c>
      <c r="O1629">
        <v>0.75</v>
      </c>
      <c r="P1629">
        <v>9</v>
      </c>
      <c r="Q1629">
        <v>0.86</v>
      </c>
      <c r="R1629">
        <v>329</v>
      </c>
      <c r="S1629">
        <v>5.1100000000000003</v>
      </c>
      <c r="T1629">
        <v>0.32</v>
      </c>
      <c r="U1629" s="1">
        <v>45525</v>
      </c>
      <c r="V1629">
        <v>272.49</v>
      </c>
      <c r="W1629">
        <v>0.44900000000000001</v>
      </c>
      <c r="X1629" t="str">
        <f>IF(WarehouseData[[#This Row],[stock_level]]&lt;=WarehouseData[[#This Row],[reorder_point]],"Low Stock","Sufficient Stock")</f>
        <v>Sufficient Stock</v>
      </c>
      <c r="Y1629">
        <f>WarehouseData[[#This Row],[daily_demand]]*WarehouseData[[#This Row],[lead_time_days]]</f>
        <v>72.900000000000006</v>
      </c>
      <c r="Z1629" t="str">
        <f>IF(WarehouseData[[#This Row],[stock_level]]&lt;=WarehouseData[[#This Row],[Demand During Lead Time]],"At Risk","Safe")</f>
        <v>Safe</v>
      </c>
      <c r="AA1629">
        <f>WarehouseData[[#This Row],[stock_level]]/WarehouseData[[#This Row],[daily_demand]]</f>
        <v>39.012345679012341</v>
      </c>
      <c r="AB1629">
        <f>WarehouseData[[#This Row],[stock_level]]*WarehouseData[[#This Row],[unit_price]]</f>
        <v>83215.44</v>
      </c>
      <c r="AC1629">
        <f>WarehouseData[[#This Row],[stock_level]]*WarehouseData[[#This Row],[holding_cost_per_unit_day]]*30</f>
        <v>10665</v>
      </c>
      <c r="AD1629" t="str">
        <f>IF(WarehouseData[[#This Row],[order_fulfillment_rate]]&gt;=0.9,"Strong",IF(WarehouseData[[#This Row],[order_fulfillment_rate]]&gt;=0.8,"Moderate","Needs Attention"))</f>
        <v>Moderate</v>
      </c>
      <c r="AE1629" t="str">
        <f>IF(WarehouseData[[#This Row],[picking_time_seconds]]&gt;120,"Slow",IF(WarehouseData[[#This Row],[picking_time_seconds]]&gt;=60,"Average","Fast"))</f>
        <v>Average</v>
      </c>
    </row>
    <row r="1630" spans="1:31" x14ac:dyDescent="0.25">
      <c r="A1630" t="s">
        <v>1768</v>
      </c>
      <c r="B1630" t="s">
        <v>36</v>
      </c>
      <c r="C1630">
        <v>123</v>
      </c>
      <c r="D1630">
        <v>24</v>
      </c>
      <c r="E1630">
        <v>13</v>
      </c>
      <c r="F1630">
        <v>6</v>
      </c>
      <c r="G1630">
        <v>5.99</v>
      </c>
      <c r="H1630">
        <v>4.95</v>
      </c>
      <c r="I1630">
        <v>0.69</v>
      </c>
      <c r="J1630" t="s">
        <v>66</v>
      </c>
      <c r="K1630" t="s">
        <v>52</v>
      </c>
      <c r="L1630">
        <v>66</v>
      </c>
      <c r="M1630">
        <v>4.4800000000000004</v>
      </c>
      <c r="N1630">
        <v>111.72</v>
      </c>
      <c r="O1630">
        <v>1.34</v>
      </c>
      <c r="P1630">
        <v>5</v>
      </c>
      <c r="Q1630">
        <v>0.75</v>
      </c>
      <c r="R1630">
        <v>882</v>
      </c>
      <c r="S1630">
        <v>14.66</v>
      </c>
      <c r="T1630">
        <v>0.34</v>
      </c>
      <c r="U1630" s="1">
        <v>45317</v>
      </c>
      <c r="V1630">
        <v>93.68</v>
      </c>
      <c r="W1630">
        <v>0.57899999999999996</v>
      </c>
      <c r="X1630" t="str">
        <f>IF(WarehouseData[[#This Row],[stock_level]]&lt;=WarehouseData[[#This Row],[reorder_point]],"Low Stock","Sufficient Stock")</f>
        <v>Sufficient Stock</v>
      </c>
      <c r="Y1630">
        <f>WarehouseData[[#This Row],[daily_demand]]*WarehouseData[[#This Row],[lead_time_days]]</f>
        <v>35.94</v>
      </c>
      <c r="Z1630" t="str">
        <f>IF(WarehouseData[[#This Row],[stock_level]]&lt;=WarehouseData[[#This Row],[Demand During Lead Time]],"At Risk","Safe")</f>
        <v>Safe</v>
      </c>
      <c r="AA1630">
        <f>WarehouseData[[#This Row],[stock_level]]/WarehouseData[[#This Row],[daily_demand]]</f>
        <v>20.534223706176959</v>
      </c>
      <c r="AB1630">
        <f>WarehouseData[[#This Row],[stock_level]]*WarehouseData[[#This Row],[unit_price]]</f>
        <v>13741.56</v>
      </c>
      <c r="AC1630">
        <f>WarehouseData[[#This Row],[stock_level]]*WarehouseData[[#This Row],[holding_cost_per_unit_day]]*30</f>
        <v>4944.6000000000004</v>
      </c>
      <c r="AD1630" t="str">
        <f>IF(WarehouseData[[#This Row],[order_fulfillment_rate]]&gt;=0.9,"Strong",IF(WarehouseData[[#This Row],[order_fulfillment_rate]]&gt;=0.8,"Moderate","Needs Attention"))</f>
        <v>Needs Attention</v>
      </c>
      <c r="AE1630" t="str">
        <f>IF(WarehouseData[[#This Row],[picking_time_seconds]]&gt;120,"Slow",IF(WarehouseData[[#This Row],[picking_time_seconds]]&gt;=60,"Average","Fast"))</f>
        <v>Average</v>
      </c>
    </row>
    <row r="1631" spans="1:31" x14ac:dyDescent="0.25">
      <c r="A1631" t="s">
        <v>1769</v>
      </c>
      <c r="B1631" t="s">
        <v>32</v>
      </c>
      <c r="C1631">
        <v>96</v>
      </c>
      <c r="D1631">
        <v>37</v>
      </c>
      <c r="E1631">
        <v>6</v>
      </c>
      <c r="F1631">
        <v>7</v>
      </c>
      <c r="G1631">
        <v>21.32</v>
      </c>
      <c r="H1631">
        <v>2.99</v>
      </c>
      <c r="I1631">
        <v>0.78</v>
      </c>
      <c r="J1631" t="s">
        <v>57</v>
      </c>
      <c r="K1631" t="s">
        <v>52</v>
      </c>
      <c r="L1631">
        <v>73</v>
      </c>
      <c r="M1631">
        <v>1.7</v>
      </c>
      <c r="N1631">
        <v>195.32</v>
      </c>
      <c r="O1631">
        <v>1.92</v>
      </c>
      <c r="P1631">
        <v>3</v>
      </c>
      <c r="Q1631">
        <v>0.78</v>
      </c>
      <c r="R1631">
        <v>397</v>
      </c>
      <c r="S1631">
        <v>10.4</v>
      </c>
      <c r="T1631">
        <v>0.61</v>
      </c>
      <c r="U1631" s="1">
        <v>45476</v>
      </c>
      <c r="V1631">
        <v>52.18</v>
      </c>
      <c r="W1631">
        <v>0.56499999999999995</v>
      </c>
      <c r="X1631" t="str">
        <f>IF(WarehouseData[[#This Row],[stock_level]]&lt;=WarehouseData[[#This Row],[reorder_point]],"Low Stock","Sufficient Stock")</f>
        <v>Sufficient Stock</v>
      </c>
      <c r="Y1631">
        <f>WarehouseData[[#This Row],[daily_demand]]*WarehouseData[[#This Row],[lead_time_days]]</f>
        <v>149.24</v>
      </c>
      <c r="Z1631" t="str">
        <f>IF(WarehouseData[[#This Row],[stock_level]]&lt;=WarehouseData[[#This Row],[Demand During Lead Time]],"At Risk","Safe")</f>
        <v>At Risk</v>
      </c>
      <c r="AA1631">
        <f>WarehouseData[[#This Row],[stock_level]]/WarehouseData[[#This Row],[daily_demand]]</f>
        <v>4.5028142589118199</v>
      </c>
      <c r="AB1631">
        <f>WarehouseData[[#This Row],[stock_level]]*WarehouseData[[#This Row],[unit_price]]</f>
        <v>18750.72</v>
      </c>
      <c r="AC1631">
        <f>WarehouseData[[#This Row],[stock_level]]*WarehouseData[[#This Row],[holding_cost_per_unit_day]]*30</f>
        <v>5529.5999999999995</v>
      </c>
      <c r="AD1631" t="str">
        <f>IF(WarehouseData[[#This Row],[order_fulfillment_rate]]&gt;=0.9,"Strong",IF(WarehouseData[[#This Row],[order_fulfillment_rate]]&gt;=0.8,"Moderate","Needs Attention"))</f>
        <v>Needs Attention</v>
      </c>
      <c r="AE1631" t="str">
        <f>IF(WarehouseData[[#This Row],[picking_time_seconds]]&gt;120,"Slow",IF(WarehouseData[[#This Row],[picking_time_seconds]]&gt;=60,"Average","Fast"))</f>
        <v>Average</v>
      </c>
    </row>
    <row r="1632" spans="1:31" x14ac:dyDescent="0.25">
      <c r="A1632" t="s">
        <v>1770</v>
      </c>
      <c r="B1632" t="s">
        <v>48</v>
      </c>
      <c r="C1632">
        <v>249</v>
      </c>
      <c r="D1632">
        <v>33</v>
      </c>
      <c r="E1632">
        <v>14</v>
      </c>
      <c r="F1632">
        <v>5</v>
      </c>
      <c r="G1632">
        <v>42.97</v>
      </c>
      <c r="H1632">
        <v>9.26</v>
      </c>
      <c r="I1632">
        <v>0.39</v>
      </c>
      <c r="J1632" t="s">
        <v>98</v>
      </c>
      <c r="K1632" t="s">
        <v>52</v>
      </c>
      <c r="L1632">
        <v>89</v>
      </c>
      <c r="M1632">
        <v>2.2799999999999998</v>
      </c>
      <c r="N1632">
        <v>145.79</v>
      </c>
      <c r="O1632">
        <v>1.89</v>
      </c>
      <c r="P1632">
        <v>5</v>
      </c>
      <c r="Q1632">
        <v>0.72</v>
      </c>
      <c r="R1632">
        <v>641</v>
      </c>
      <c r="S1632">
        <v>5.32</v>
      </c>
      <c r="T1632">
        <v>0.95</v>
      </c>
      <c r="U1632" s="1">
        <v>45652</v>
      </c>
      <c r="V1632">
        <v>34</v>
      </c>
      <c r="W1632">
        <v>0.51600000000000001</v>
      </c>
      <c r="X1632" t="str">
        <f>IF(WarehouseData[[#This Row],[stock_level]]&lt;=WarehouseData[[#This Row],[reorder_point]],"Low Stock","Sufficient Stock")</f>
        <v>Sufficient Stock</v>
      </c>
      <c r="Y1632">
        <f>WarehouseData[[#This Row],[daily_demand]]*WarehouseData[[#This Row],[lead_time_days]]</f>
        <v>214.85</v>
      </c>
      <c r="Z1632" t="str">
        <f>IF(WarehouseData[[#This Row],[stock_level]]&lt;=WarehouseData[[#This Row],[Demand During Lead Time]],"At Risk","Safe")</f>
        <v>Safe</v>
      </c>
      <c r="AA1632">
        <f>WarehouseData[[#This Row],[stock_level]]/WarehouseData[[#This Row],[daily_demand]]</f>
        <v>5.7947405166395161</v>
      </c>
      <c r="AB1632">
        <f>WarehouseData[[#This Row],[stock_level]]*WarehouseData[[#This Row],[unit_price]]</f>
        <v>36301.71</v>
      </c>
      <c r="AC1632">
        <f>WarehouseData[[#This Row],[stock_level]]*WarehouseData[[#This Row],[holding_cost_per_unit_day]]*30</f>
        <v>14118.3</v>
      </c>
      <c r="AD1632" t="str">
        <f>IF(WarehouseData[[#This Row],[order_fulfillment_rate]]&gt;=0.9,"Strong",IF(WarehouseData[[#This Row],[order_fulfillment_rate]]&gt;=0.8,"Moderate","Needs Attention"))</f>
        <v>Needs Attention</v>
      </c>
      <c r="AE1632" t="str">
        <f>IF(WarehouseData[[#This Row],[picking_time_seconds]]&gt;120,"Slow",IF(WarehouseData[[#This Row],[picking_time_seconds]]&gt;=60,"Average","Fast"))</f>
        <v>Average</v>
      </c>
    </row>
    <row r="1633" spans="1:31" x14ac:dyDescent="0.25">
      <c r="A1633" t="s">
        <v>1771</v>
      </c>
      <c r="B1633" t="s">
        <v>48</v>
      </c>
      <c r="C1633">
        <v>421</v>
      </c>
      <c r="D1633">
        <v>69</v>
      </c>
      <c r="E1633">
        <v>3</v>
      </c>
      <c r="F1633">
        <v>4</v>
      </c>
      <c r="G1633">
        <v>36.369999999999997</v>
      </c>
      <c r="H1633">
        <v>4.47</v>
      </c>
      <c r="I1633">
        <v>0.82</v>
      </c>
      <c r="J1633" t="s">
        <v>79</v>
      </c>
      <c r="K1633" t="s">
        <v>52</v>
      </c>
      <c r="L1633">
        <v>96</v>
      </c>
      <c r="M1633">
        <v>3.79</v>
      </c>
      <c r="N1633">
        <v>25.28</v>
      </c>
      <c r="O1633">
        <v>1.89</v>
      </c>
      <c r="P1633">
        <v>6</v>
      </c>
      <c r="Q1633">
        <v>0.71</v>
      </c>
      <c r="R1633">
        <v>966</v>
      </c>
      <c r="S1633">
        <v>4.3</v>
      </c>
      <c r="T1633">
        <v>0.51</v>
      </c>
      <c r="U1633" s="1">
        <v>45393</v>
      </c>
      <c r="V1633">
        <v>265.5</v>
      </c>
      <c r="W1633">
        <v>0.39200000000000002</v>
      </c>
      <c r="X1633" t="str">
        <f>IF(WarehouseData[[#This Row],[stock_level]]&lt;=WarehouseData[[#This Row],[reorder_point]],"Low Stock","Sufficient Stock")</f>
        <v>Sufficient Stock</v>
      </c>
      <c r="Y1633">
        <f>WarehouseData[[#This Row],[daily_demand]]*WarehouseData[[#This Row],[lead_time_days]]</f>
        <v>145.47999999999999</v>
      </c>
      <c r="Z1633" t="str">
        <f>IF(WarehouseData[[#This Row],[stock_level]]&lt;=WarehouseData[[#This Row],[Demand During Lead Time]],"At Risk","Safe")</f>
        <v>Safe</v>
      </c>
      <c r="AA1633">
        <f>WarehouseData[[#This Row],[stock_level]]/WarehouseData[[#This Row],[daily_demand]]</f>
        <v>11.575474291998901</v>
      </c>
      <c r="AB1633">
        <f>WarehouseData[[#This Row],[stock_level]]*WarehouseData[[#This Row],[unit_price]]</f>
        <v>10642.880000000001</v>
      </c>
      <c r="AC1633">
        <f>WarehouseData[[#This Row],[stock_level]]*WarehouseData[[#This Row],[holding_cost_per_unit_day]]*30</f>
        <v>23870.699999999997</v>
      </c>
      <c r="AD1633" t="str">
        <f>IF(WarehouseData[[#This Row],[order_fulfillment_rate]]&gt;=0.9,"Strong",IF(WarehouseData[[#This Row],[order_fulfillment_rate]]&gt;=0.8,"Moderate","Needs Attention"))</f>
        <v>Needs Attention</v>
      </c>
      <c r="AE1633" t="str">
        <f>IF(WarehouseData[[#This Row],[picking_time_seconds]]&gt;120,"Slow",IF(WarehouseData[[#This Row],[picking_time_seconds]]&gt;=60,"Average","Fast"))</f>
        <v>Average</v>
      </c>
    </row>
    <row r="1634" spans="1:31" x14ac:dyDescent="0.25">
      <c r="A1634" t="s">
        <v>1772</v>
      </c>
      <c r="B1634" t="s">
        <v>48</v>
      </c>
      <c r="C1634">
        <v>277</v>
      </c>
      <c r="D1634">
        <v>44</v>
      </c>
      <c r="E1634">
        <v>7</v>
      </c>
      <c r="F1634">
        <v>7</v>
      </c>
      <c r="G1634">
        <v>44.31</v>
      </c>
      <c r="H1634">
        <v>8.7100000000000009</v>
      </c>
      <c r="I1634">
        <v>0.41</v>
      </c>
      <c r="J1634" t="s">
        <v>51</v>
      </c>
      <c r="K1634" t="s">
        <v>34</v>
      </c>
      <c r="L1634">
        <v>176</v>
      </c>
      <c r="M1634">
        <v>3.85</v>
      </c>
      <c r="N1634">
        <v>121.76</v>
      </c>
      <c r="O1634">
        <v>0.18</v>
      </c>
      <c r="P1634">
        <v>3</v>
      </c>
      <c r="Q1634">
        <v>0.86</v>
      </c>
      <c r="R1634">
        <v>527</v>
      </c>
      <c r="S1634">
        <v>9.9499999999999993</v>
      </c>
      <c r="T1634">
        <v>0.94</v>
      </c>
      <c r="U1634" s="1">
        <v>45432</v>
      </c>
      <c r="V1634">
        <v>117.81</v>
      </c>
      <c r="W1634">
        <v>0.81499999999999995</v>
      </c>
      <c r="X1634" t="str">
        <f>IF(WarehouseData[[#This Row],[stock_level]]&lt;=WarehouseData[[#This Row],[reorder_point]],"Low Stock","Sufficient Stock")</f>
        <v>Sufficient Stock</v>
      </c>
      <c r="Y1634">
        <f>WarehouseData[[#This Row],[daily_demand]]*WarehouseData[[#This Row],[lead_time_days]]</f>
        <v>310.17</v>
      </c>
      <c r="Z1634" t="str">
        <f>IF(WarehouseData[[#This Row],[stock_level]]&lt;=WarehouseData[[#This Row],[Demand During Lead Time]],"At Risk","Safe")</f>
        <v>At Risk</v>
      </c>
      <c r="AA1634">
        <f>WarehouseData[[#This Row],[stock_level]]/WarehouseData[[#This Row],[daily_demand]]</f>
        <v>6.25141051681336</v>
      </c>
      <c r="AB1634">
        <f>WarehouseData[[#This Row],[stock_level]]*WarehouseData[[#This Row],[unit_price]]</f>
        <v>33727.520000000004</v>
      </c>
      <c r="AC1634">
        <f>WarehouseData[[#This Row],[stock_level]]*WarehouseData[[#This Row],[holding_cost_per_unit_day]]*30</f>
        <v>1495.8</v>
      </c>
      <c r="AD1634" t="str">
        <f>IF(WarehouseData[[#This Row],[order_fulfillment_rate]]&gt;=0.9,"Strong",IF(WarehouseData[[#This Row],[order_fulfillment_rate]]&gt;=0.8,"Moderate","Needs Attention"))</f>
        <v>Moderate</v>
      </c>
      <c r="AE1634" t="str">
        <f>IF(WarehouseData[[#This Row],[picking_time_seconds]]&gt;120,"Slow",IF(WarehouseData[[#This Row],[picking_time_seconds]]&gt;=60,"Average","Fast"))</f>
        <v>Slow</v>
      </c>
    </row>
    <row r="1635" spans="1:31" x14ac:dyDescent="0.25">
      <c r="A1635" t="s">
        <v>1773</v>
      </c>
      <c r="B1635" t="s">
        <v>48</v>
      </c>
      <c r="C1635">
        <v>283</v>
      </c>
      <c r="D1635">
        <v>95</v>
      </c>
      <c r="E1635">
        <v>13</v>
      </c>
      <c r="F1635">
        <v>6</v>
      </c>
      <c r="G1635">
        <v>31.17</v>
      </c>
      <c r="H1635">
        <v>1.54</v>
      </c>
      <c r="I1635">
        <v>0.33</v>
      </c>
      <c r="J1635" t="s">
        <v>565</v>
      </c>
      <c r="K1635" t="s">
        <v>38</v>
      </c>
      <c r="L1635">
        <v>129</v>
      </c>
      <c r="M1635">
        <v>4.38</v>
      </c>
      <c r="N1635">
        <v>13.25</v>
      </c>
      <c r="O1635">
        <v>0.87</v>
      </c>
      <c r="P1635">
        <v>7</v>
      </c>
      <c r="Q1635">
        <v>0.8</v>
      </c>
      <c r="R1635">
        <v>147</v>
      </c>
      <c r="S1635">
        <v>4.82</v>
      </c>
      <c r="T1635">
        <v>0.75</v>
      </c>
      <c r="U1635" s="1">
        <v>45480</v>
      </c>
      <c r="V1635">
        <v>154.63</v>
      </c>
      <c r="W1635">
        <v>0.54700000000000004</v>
      </c>
      <c r="X1635" t="str">
        <f>IF(WarehouseData[[#This Row],[stock_level]]&lt;=WarehouseData[[#This Row],[reorder_point]],"Low Stock","Sufficient Stock")</f>
        <v>Sufficient Stock</v>
      </c>
      <c r="Y1635">
        <f>WarehouseData[[#This Row],[daily_demand]]*WarehouseData[[#This Row],[lead_time_days]]</f>
        <v>187.02</v>
      </c>
      <c r="Z1635" t="str">
        <f>IF(WarehouseData[[#This Row],[stock_level]]&lt;=WarehouseData[[#This Row],[Demand During Lead Time]],"At Risk","Safe")</f>
        <v>Safe</v>
      </c>
      <c r="AA1635">
        <f>WarehouseData[[#This Row],[stock_level]]/WarehouseData[[#This Row],[daily_demand]]</f>
        <v>9.0792428617260175</v>
      </c>
      <c r="AB1635">
        <f>WarehouseData[[#This Row],[stock_level]]*WarehouseData[[#This Row],[unit_price]]</f>
        <v>3749.75</v>
      </c>
      <c r="AC1635">
        <f>WarehouseData[[#This Row],[stock_level]]*WarehouseData[[#This Row],[holding_cost_per_unit_day]]*30</f>
        <v>7386.3</v>
      </c>
      <c r="AD1635" t="str">
        <f>IF(WarehouseData[[#This Row],[order_fulfillment_rate]]&gt;=0.9,"Strong",IF(WarehouseData[[#This Row],[order_fulfillment_rate]]&gt;=0.8,"Moderate","Needs Attention"))</f>
        <v>Moderate</v>
      </c>
      <c r="AE1635" t="str">
        <f>IF(WarehouseData[[#This Row],[picking_time_seconds]]&gt;120,"Slow",IF(WarehouseData[[#This Row],[picking_time_seconds]]&gt;=60,"Average","Fast"))</f>
        <v>Slow</v>
      </c>
    </row>
    <row r="1636" spans="1:31" x14ac:dyDescent="0.25">
      <c r="A1636" t="s">
        <v>1774</v>
      </c>
      <c r="B1636" t="s">
        <v>48</v>
      </c>
      <c r="C1636">
        <v>350</v>
      </c>
      <c r="D1636">
        <v>36</v>
      </c>
      <c r="E1636">
        <v>11</v>
      </c>
      <c r="F1636">
        <v>2</v>
      </c>
      <c r="G1636">
        <v>7.39</v>
      </c>
      <c r="H1636">
        <v>3.53</v>
      </c>
      <c r="I1636">
        <v>0.3</v>
      </c>
      <c r="J1636" t="s">
        <v>131</v>
      </c>
      <c r="K1636" t="s">
        <v>52</v>
      </c>
      <c r="L1636">
        <v>152</v>
      </c>
      <c r="M1636">
        <v>0.63</v>
      </c>
      <c r="N1636">
        <v>115.98</v>
      </c>
      <c r="O1636">
        <v>0.22</v>
      </c>
      <c r="P1636">
        <v>4</v>
      </c>
      <c r="Q1636">
        <v>0.99</v>
      </c>
      <c r="R1636">
        <v>331</v>
      </c>
      <c r="S1636">
        <v>3.62</v>
      </c>
      <c r="T1636">
        <v>0.83</v>
      </c>
      <c r="U1636" s="1">
        <v>45529</v>
      </c>
      <c r="V1636">
        <v>242.89</v>
      </c>
      <c r="W1636">
        <v>0.71</v>
      </c>
      <c r="X1636" t="str">
        <f>IF(WarehouseData[[#This Row],[stock_level]]&lt;=WarehouseData[[#This Row],[reorder_point]],"Low Stock","Sufficient Stock")</f>
        <v>Sufficient Stock</v>
      </c>
      <c r="Y1636">
        <f>WarehouseData[[#This Row],[daily_demand]]*WarehouseData[[#This Row],[lead_time_days]]</f>
        <v>14.78</v>
      </c>
      <c r="Z1636" t="str">
        <f>IF(WarehouseData[[#This Row],[stock_level]]&lt;=WarehouseData[[#This Row],[Demand During Lead Time]],"At Risk","Safe")</f>
        <v>Safe</v>
      </c>
      <c r="AA1636">
        <f>WarehouseData[[#This Row],[stock_level]]/WarehouseData[[#This Row],[daily_demand]]</f>
        <v>47.361299052774022</v>
      </c>
      <c r="AB1636">
        <f>WarehouseData[[#This Row],[stock_level]]*WarehouseData[[#This Row],[unit_price]]</f>
        <v>40593</v>
      </c>
      <c r="AC1636">
        <f>WarehouseData[[#This Row],[stock_level]]*WarehouseData[[#This Row],[holding_cost_per_unit_day]]*30</f>
        <v>2310</v>
      </c>
      <c r="AD1636" t="str">
        <f>IF(WarehouseData[[#This Row],[order_fulfillment_rate]]&gt;=0.9,"Strong",IF(WarehouseData[[#This Row],[order_fulfillment_rate]]&gt;=0.8,"Moderate","Needs Attention"))</f>
        <v>Strong</v>
      </c>
      <c r="AE1636" t="str">
        <f>IF(WarehouseData[[#This Row],[picking_time_seconds]]&gt;120,"Slow",IF(WarehouseData[[#This Row],[picking_time_seconds]]&gt;=60,"Average","Fast"))</f>
        <v>Slow</v>
      </c>
    </row>
    <row r="1637" spans="1:31" x14ac:dyDescent="0.25">
      <c r="A1637" t="s">
        <v>1775</v>
      </c>
      <c r="B1637" t="s">
        <v>48</v>
      </c>
      <c r="C1637">
        <v>201</v>
      </c>
      <c r="D1637">
        <v>92</v>
      </c>
      <c r="E1637">
        <v>10</v>
      </c>
      <c r="F1637">
        <v>8</v>
      </c>
      <c r="G1637">
        <v>6.63</v>
      </c>
      <c r="H1637">
        <v>2.1800000000000002</v>
      </c>
      <c r="I1637">
        <v>0.28000000000000003</v>
      </c>
      <c r="J1637" t="s">
        <v>133</v>
      </c>
      <c r="K1637" t="s">
        <v>34</v>
      </c>
      <c r="L1637">
        <v>88</v>
      </c>
      <c r="M1637">
        <v>1.33</v>
      </c>
      <c r="N1637">
        <v>76.540000000000006</v>
      </c>
      <c r="O1637">
        <v>0.69</v>
      </c>
      <c r="P1637">
        <v>2</v>
      </c>
      <c r="Q1637">
        <v>0.75</v>
      </c>
      <c r="R1637">
        <v>679</v>
      </c>
      <c r="S1637">
        <v>10.07</v>
      </c>
      <c r="T1637">
        <v>0.95</v>
      </c>
      <c r="U1637" s="1">
        <v>45550</v>
      </c>
      <c r="V1637">
        <v>118.22</v>
      </c>
      <c r="W1637">
        <v>0.76500000000000001</v>
      </c>
      <c r="X1637" t="str">
        <f>IF(WarehouseData[[#This Row],[stock_level]]&lt;=WarehouseData[[#This Row],[reorder_point]],"Low Stock","Sufficient Stock")</f>
        <v>Sufficient Stock</v>
      </c>
      <c r="Y1637">
        <f>WarehouseData[[#This Row],[daily_demand]]*WarehouseData[[#This Row],[lead_time_days]]</f>
        <v>53.04</v>
      </c>
      <c r="Z1637" t="str">
        <f>IF(WarehouseData[[#This Row],[stock_level]]&lt;=WarehouseData[[#This Row],[Demand During Lead Time]],"At Risk","Safe")</f>
        <v>Safe</v>
      </c>
      <c r="AA1637">
        <f>WarehouseData[[#This Row],[stock_level]]/WarehouseData[[#This Row],[daily_demand]]</f>
        <v>30.316742081447963</v>
      </c>
      <c r="AB1637">
        <f>WarehouseData[[#This Row],[stock_level]]*WarehouseData[[#This Row],[unit_price]]</f>
        <v>15384.54</v>
      </c>
      <c r="AC1637">
        <f>WarehouseData[[#This Row],[stock_level]]*WarehouseData[[#This Row],[holding_cost_per_unit_day]]*30</f>
        <v>4160.7</v>
      </c>
      <c r="AD1637" t="str">
        <f>IF(WarehouseData[[#This Row],[order_fulfillment_rate]]&gt;=0.9,"Strong",IF(WarehouseData[[#This Row],[order_fulfillment_rate]]&gt;=0.8,"Moderate","Needs Attention"))</f>
        <v>Needs Attention</v>
      </c>
      <c r="AE1637" t="str">
        <f>IF(WarehouseData[[#This Row],[picking_time_seconds]]&gt;120,"Slow",IF(WarehouseData[[#This Row],[picking_time_seconds]]&gt;=60,"Average","Fast"))</f>
        <v>Average</v>
      </c>
    </row>
    <row r="1638" spans="1:31" x14ac:dyDescent="0.25">
      <c r="A1638" t="s">
        <v>1776</v>
      </c>
      <c r="B1638" t="s">
        <v>48</v>
      </c>
      <c r="C1638">
        <v>400</v>
      </c>
      <c r="D1638">
        <v>85</v>
      </c>
      <c r="E1638">
        <v>10</v>
      </c>
      <c r="F1638">
        <v>7</v>
      </c>
      <c r="G1638">
        <v>3.35</v>
      </c>
      <c r="H1638">
        <v>4.38</v>
      </c>
      <c r="I1638">
        <v>0.76</v>
      </c>
      <c r="J1638" t="s">
        <v>163</v>
      </c>
      <c r="K1638" t="s">
        <v>38</v>
      </c>
      <c r="L1638">
        <v>165</v>
      </c>
      <c r="M1638">
        <v>3.38</v>
      </c>
      <c r="N1638">
        <v>132.22999999999999</v>
      </c>
      <c r="O1638">
        <v>0.43</v>
      </c>
      <c r="P1638">
        <v>1</v>
      </c>
      <c r="Q1638">
        <v>0.94</v>
      </c>
      <c r="R1638">
        <v>468</v>
      </c>
      <c r="S1638">
        <v>11.14</v>
      </c>
      <c r="T1638">
        <v>0.66</v>
      </c>
      <c r="U1638" s="1">
        <v>45495</v>
      </c>
      <c r="V1638">
        <v>261.70999999999998</v>
      </c>
      <c r="W1638">
        <v>0.80600000000000005</v>
      </c>
      <c r="X1638" t="str">
        <f>IF(WarehouseData[[#This Row],[stock_level]]&lt;=WarehouseData[[#This Row],[reorder_point]],"Low Stock","Sufficient Stock")</f>
        <v>Sufficient Stock</v>
      </c>
      <c r="Y1638">
        <f>WarehouseData[[#This Row],[daily_demand]]*WarehouseData[[#This Row],[lead_time_days]]</f>
        <v>23.45</v>
      </c>
      <c r="Z1638" t="str">
        <f>IF(WarehouseData[[#This Row],[stock_level]]&lt;=WarehouseData[[#This Row],[Demand During Lead Time]],"At Risk","Safe")</f>
        <v>Safe</v>
      </c>
      <c r="AA1638">
        <f>WarehouseData[[#This Row],[stock_level]]/WarehouseData[[#This Row],[daily_demand]]</f>
        <v>119.40298507462687</v>
      </c>
      <c r="AB1638">
        <f>WarehouseData[[#This Row],[stock_level]]*WarehouseData[[#This Row],[unit_price]]</f>
        <v>52891.999999999993</v>
      </c>
      <c r="AC1638">
        <f>WarehouseData[[#This Row],[stock_level]]*WarehouseData[[#This Row],[holding_cost_per_unit_day]]*30</f>
        <v>5160</v>
      </c>
      <c r="AD1638" t="str">
        <f>IF(WarehouseData[[#This Row],[order_fulfillment_rate]]&gt;=0.9,"Strong",IF(WarehouseData[[#This Row],[order_fulfillment_rate]]&gt;=0.8,"Moderate","Needs Attention"))</f>
        <v>Strong</v>
      </c>
      <c r="AE1638" t="str">
        <f>IF(WarehouseData[[#This Row],[picking_time_seconds]]&gt;120,"Slow",IF(WarehouseData[[#This Row],[picking_time_seconds]]&gt;=60,"Average","Fast"))</f>
        <v>Slow</v>
      </c>
    </row>
    <row r="1639" spans="1:31" x14ac:dyDescent="0.25">
      <c r="A1639" t="s">
        <v>1777</v>
      </c>
      <c r="B1639" t="s">
        <v>32</v>
      </c>
      <c r="C1639">
        <v>275</v>
      </c>
      <c r="D1639">
        <v>29</v>
      </c>
      <c r="E1639">
        <v>7</v>
      </c>
      <c r="F1639">
        <v>3</v>
      </c>
      <c r="G1639">
        <v>28.79</v>
      </c>
      <c r="H1639">
        <v>1.56</v>
      </c>
      <c r="I1639">
        <v>0.9</v>
      </c>
      <c r="J1639" t="s">
        <v>379</v>
      </c>
      <c r="K1639" t="s">
        <v>38</v>
      </c>
      <c r="L1639">
        <v>45</v>
      </c>
      <c r="M1639">
        <v>2.02</v>
      </c>
      <c r="N1639">
        <v>112.9</v>
      </c>
      <c r="O1639">
        <v>1.28</v>
      </c>
      <c r="P1639">
        <v>0</v>
      </c>
      <c r="Q1639">
        <v>0.79</v>
      </c>
      <c r="R1639">
        <v>272</v>
      </c>
      <c r="S1639">
        <v>4.33</v>
      </c>
      <c r="T1639">
        <v>0.71</v>
      </c>
      <c r="U1639" s="1">
        <v>45617</v>
      </c>
      <c r="V1639">
        <v>103.29</v>
      </c>
      <c r="W1639">
        <v>0.63</v>
      </c>
      <c r="X1639" t="str">
        <f>IF(WarehouseData[[#This Row],[stock_level]]&lt;=WarehouseData[[#This Row],[reorder_point]],"Low Stock","Sufficient Stock")</f>
        <v>Sufficient Stock</v>
      </c>
      <c r="Y1639">
        <f>WarehouseData[[#This Row],[daily_demand]]*WarehouseData[[#This Row],[lead_time_days]]</f>
        <v>86.37</v>
      </c>
      <c r="Z1639" t="str">
        <f>IF(WarehouseData[[#This Row],[stock_level]]&lt;=WarehouseData[[#This Row],[Demand During Lead Time]],"At Risk","Safe")</f>
        <v>Safe</v>
      </c>
      <c r="AA1639">
        <f>WarehouseData[[#This Row],[stock_level]]/WarehouseData[[#This Row],[daily_demand]]</f>
        <v>9.551927752691908</v>
      </c>
      <c r="AB1639">
        <f>WarehouseData[[#This Row],[stock_level]]*WarehouseData[[#This Row],[unit_price]]</f>
        <v>31047.5</v>
      </c>
      <c r="AC1639">
        <f>WarehouseData[[#This Row],[stock_level]]*WarehouseData[[#This Row],[holding_cost_per_unit_day]]*30</f>
        <v>10560</v>
      </c>
      <c r="AD1639" t="str">
        <f>IF(WarehouseData[[#This Row],[order_fulfillment_rate]]&gt;=0.9,"Strong",IF(WarehouseData[[#This Row],[order_fulfillment_rate]]&gt;=0.8,"Moderate","Needs Attention"))</f>
        <v>Needs Attention</v>
      </c>
      <c r="AE1639" t="str">
        <f>IF(WarehouseData[[#This Row],[picking_time_seconds]]&gt;120,"Slow",IF(WarehouseData[[#This Row],[picking_time_seconds]]&gt;=60,"Average","Fast"))</f>
        <v>Fast</v>
      </c>
    </row>
    <row r="1640" spans="1:31" x14ac:dyDescent="0.25">
      <c r="A1640" t="s">
        <v>1778</v>
      </c>
      <c r="B1640" t="s">
        <v>73</v>
      </c>
      <c r="C1640">
        <v>57</v>
      </c>
      <c r="D1640">
        <v>74</v>
      </c>
      <c r="E1640">
        <v>14</v>
      </c>
      <c r="F1640">
        <v>4</v>
      </c>
      <c r="G1640">
        <v>12.9</v>
      </c>
      <c r="H1640">
        <v>4.6900000000000004</v>
      </c>
      <c r="I1640">
        <v>0.31</v>
      </c>
      <c r="J1640" t="s">
        <v>316</v>
      </c>
      <c r="K1640" t="s">
        <v>38</v>
      </c>
      <c r="L1640">
        <v>63</v>
      </c>
      <c r="M1640">
        <v>0.7</v>
      </c>
      <c r="N1640">
        <v>59.66</v>
      </c>
      <c r="O1640">
        <v>1.58</v>
      </c>
      <c r="P1640">
        <v>3</v>
      </c>
      <c r="Q1640">
        <v>0.77</v>
      </c>
      <c r="R1640">
        <v>301</v>
      </c>
      <c r="S1640">
        <v>8.5</v>
      </c>
      <c r="T1640">
        <v>0.66</v>
      </c>
      <c r="U1640" s="1">
        <v>45355</v>
      </c>
      <c r="V1640">
        <v>222.39</v>
      </c>
      <c r="W1640">
        <v>0.58099999999999996</v>
      </c>
      <c r="X1640" t="str">
        <f>IF(WarehouseData[[#This Row],[stock_level]]&lt;=WarehouseData[[#This Row],[reorder_point]],"Low Stock","Sufficient Stock")</f>
        <v>Low Stock</v>
      </c>
      <c r="Y1640">
        <f>WarehouseData[[#This Row],[daily_demand]]*WarehouseData[[#This Row],[lead_time_days]]</f>
        <v>51.6</v>
      </c>
      <c r="Z1640" t="str">
        <f>IF(WarehouseData[[#This Row],[stock_level]]&lt;=WarehouseData[[#This Row],[Demand During Lead Time]],"At Risk","Safe")</f>
        <v>Safe</v>
      </c>
      <c r="AA1640">
        <f>WarehouseData[[#This Row],[stock_level]]/WarehouseData[[#This Row],[daily_demand]]</f>
        <v>4.4186046511627906</v>
      </c>
      <c r="AB1640">
        <f>WarehouseData[[#This Row],[stock_level]]*WarehouseData[[#This Row],[unit_price]]</f>
        <v>3400.62</v>
      </c>
      <c r="AC1640">
        <f>WarehouseData[[#This Row],[stock_level]]*WarehouseData[[#This Row],[holding_cost_per_unit_day]]*30</f>
        <v>2701.8</v>
      </c>
      <c r="AD1640" t="str">
        <f>IF(WarehouseData[[#This Row],[order_fulfillment_rate]]&gt;=0.9,"Strong",IF(WarehouseData[[#This Row],[order_fulfillment_rate]]&gt;=0.8,"Moderate","Needs Attention"))</f>
        <v>Needs Attention</v>
      </c>
      <c r="AE1640" t="str">
        <f>IF(WarehouseData[[#This Row],[picking_time_seconds]]&gt;120,"Slow",IF(WarehouseData[[#This Row],[picking_time_seconds]]&gt;=60,"Average","Fast"))</f>
        <v>Average</v>
      </c>
    </row>
    <row r="1641" spans="1:31" x14ac:dyDescent="0.25">
      <c r="A1641" t="s">
        <v>1779</v>
      </c>
      <c r="B1641" t="s">
        <v>40</v>
      </c>
      <c r="C1641">
        <v>195</v>
      </c>
      <c r="D1641">
        <v>94</v>
      </c>
      <c r="E1641">
        <v>11</v>
      </c>
      <c r="F1641">
        <v>8</v>
      </c>
      <c r="G1641">
        <v>36.979999999999997</v>
      </c>
      <c r="H1641">
        <v>3.86</v>
      </c>
      <c r="I1641">
        <v>0.18</v>
      </c>
      <c r="J1641" t="s">
        <v>135</v>
      </c>
      <c r="K1641" t="s">
        <v>34</v>
      </c>
      <c r="L1641">
        <v>154</v>
      </c>
      <c r="M1641">
        <v>3.14</v>
      </c>
      <c r="N1641">
        <v>40.85</v>
      </c>
      <c r="O1641">
        <v>1.08</v>
      </c>
      <c r="P1641">
        <v>1</v>
      </c>
      <c r="Q1641">
        <v>0.99</v>
      </c>
      <c r="R1641">
        <v>129</v>
      </c>
      <c r="S1641">
        <v>10.29</v>
      </c>
      <c r="T1641">
        <v>0.83</v>
      </c>
      <c r="U1641" s="1">
        <v>45640</v>
      </c>
      <c r="V1641">
        <v>203.54</v>
      </c>
      <c r="W1641">
        <v>0.77300000000000002</v>
      </c>
      <c r="X1641" t="str">
        <f>IF(WarehouseData[[#This Row],[stock_level]]&lt;=WarehouseData[[#This Row],[reorder_point]],"Low Stock","Sufficient Stock")</f>
        <v>Sufficient Stock</v>
      </c>
      <c r="Y1641">
        <f>WarehouseData[[#This Row],[daily_demand]]*WarehouseData[[#This Row],[lead_time_days]]</f>
        <v>295.83999999999997</v>
      </c>
      <c r="Z1641" t="str">
        <f>IF(WarehouseData[[#This Row],[stock_level]]&lt;=WarehouseData[[#This Row],[Demand During Lead Time]],"At Risk","Safe")</f>
        <v>At Risk</v>
      </c>
      <c r="AA1641">
        <f>WarehouseData[[#This Row],[stock_level]]/WarehouseData[[#This Row],[daily_demand]]</f>
        <v>5.2731206057328288</v>
      </c>
      <c r="AB1641">
        <f>WarehouseData[[#This Row],[stock_level]]*WarehouseData[[#This Row],[unit_price]]</f>
        <v>7965.75</v>
      </c>
      <c r="AC1641">
        <f>WarehouseData[[#This Row],[stock_level]]*WarehouseData[[#This Row],[holding_cost_per_unit_day]]*30</f>
        <v>6318.0000000000009</v>
      </c>
      <c r="AD1641" t="str">
        <f>IF(WarehouseData[[#This Row],[order_fulfillment_rate]]&gt;=0.9,"Strong",IF(WarehouseData[[#This Row],[order_fulfillment_rate]]&gt;=0.8,"Moderate","Needs Attention"))</f>
        <v>Strong</v>
      </c>
      <c r="AE1641" t="str">
        <f>IF(WarehouseData[[#This Row],[picking_time_seconds]]&gt;120,"Slow",IF(WarehouseData[[#This Row],[picking_time_seconds]]&gt;=60,"Average","Fast"))</f>
        <v>Slow</v>
      </c>
    </row>
    <row r="1642" spans="1:31" x14ac:dyDescent="0.25">
      <c r="A1642" t="s">
        <v>1780</v>
      </c>
      <c r="B1642" t="s">
        <v>36</v>
      </c>
      <c r="C1642">
        <v>46</v>
      </c>
      <c r="D1642">
        <v>58</v>
      </c>
      <c r="E1642">
        <v>5</v>
      </c>
      <c r="F1642">
        <v>7</v>
      </c>
      <c r="G1642">
        <v>34.630000000000003</v>
      </c>
      <c r="H1642">
        <v>2.62</v>
      </c>
      <c r="I1642">
        <v>0.38</v>
      </c>
      <c r="J1642" t="s">
        <v>190</v>
      </c>
      <c r="K1642" t="s">
        <v>52</v>
      </c>
      <c r="L1642">
        <v>109</v>
      </c>
      <c r="M1642">
        <v>2.27</v>
      </c>
      <c r="N1642">
        <v>86.9</v>
      </c>
      <c r="O1642">
        <v>1.61</v>
      </c>
      <c r="P1642">
        <v>2</v>
      </c>
      <c r="Q1642">
        <v>0.94</v>
      </c>
      <c r="R1642">
        <v>875</v>
      </c>
      <c r="S1642">
        <v>14.19</v>
      </c>
      <c r="T1642">
        <v>0.42</v>
      </c>
      <c r="U1642" s="1">
        <v>45307</v>
      </c>
      <c r="V1642">
        <v>68.39</v>
      </c>
      <c r="W1642">
        <v>0.66</v>
      </c>
      <c r="X1642" t="str">
        <f>IF(WarehouseData[[#This Row],[stock_level]]&lt;=WarehouseData[[#This Row],[reorder_point]],"Low Stock","Sufficient Stock")</f>
        <v>Low Stock</v>
      </c>
      <c r="Y1642">
        <f>WarehouseData[[#This Row],[daily_demand]]*WarehouseData[[#This Row],[lead_time_days]]</f>
        <v>242.41000000000003</v>
      </c>
      <c r="Z1642" t="str">
        <f>IF(WarehouseData[[#This Row],[stock_level]]&lt;=WarehouseData[[#This Row],[Demand During Lead Time]],"At Risk","Safe")</f>
        <v>At Risk</v>
      </c>
      <c r="AA1642">
        <f>WarehouseData[[#This Row],[stock_level]]/WarehouseData[[#This Row],[daily_demand]]</f>
        <v>1.3283280392723071</v>
      </c>
      <c r="AB1642">
        <f>WarehouseData[[#This Row],[stock_level]]*WarehouseData[[#This Row],[unit_price]]</f>
        <v>3997.4</v>
      </c>
      <c r="AC1642">
        <f>WarehouseData[[#This Row],[stock_level]]*WarehouseData[[#This Row],[holding_cost_per_unit_day]]*30</f>
        <v>2221.8000000000002</v>
      </c>
      <c r="AD1642" t="str">
        <f>IF(WarehouseData[[#This Row],[order_fulfillment_rate]]&gt;=0.9,"Strong",IF(WarehouseData[[#This Row],[order_fulfillment_rate]]&gt;=0.8,"Moderate","Needs Attention"))</f>
        <v>Strong</v>
      </c>
      <c r="AE1642" t="str">
        <f>IF(WarehouseData[[#This Row],[picking_time_seconds]]&gt;120,"Slow",IF(WarehouseData[[#This Row],[picking_time_seconds]]&gt;=60,"Average","Fast"))</f>
        <v>Average</v>
      </c>
    </row>
    <row r="1643" spans="1:31" x14ac:dyDescent="0.25">
      <c r="A1643" t="s">
        <v>1781</v>
      </c>
      <c r="B1643" t="s">
        <v>40</v>
      </c>
      <c r="C1643">
        <v>295</v>
      </c>
      <c r="D1643">
        <v>10</v>
      </c>
      <c r="E1643">
        <v>5</v>
      </c>
      <c r="F1643">
        <v>6</v>
      </c>
      <c r="G1643">
        <v>16.59</v>
      </c>
      <c r="H1643">
        <v>6.6</v>
      </c>
      <c r="I1643">
        <v>0.69</v>
      </c>
      <c r="J1643" t="s">
        <v>41</v>
      </c>
      <c r="K1643" t="s">
        <v>38</v>
      </c>
      <c r="L1643">
        <v>95</v>
      </c>
      <c r="M1643">
        <v>2.14</v>
      </c>
      <c r="N1643">
        <v>197.5</v>
      </c>
      <c r="O1643">
        <v>0.12</v>
      </c>
      <c r="P1643">
        <v>0</v>
      </c>
      <c r="Q1643">
        <v>0.89</v>
      </c>
      <c r="R1643">
        <v>731</v>
      </c>
      <c r="S1643">
        <v>12.25</v>
      </c>
      <c r="T1643">
        <v>0.83</v>
      </c>
      <c r="U1643" s="1">
        <v>45415</v>
      </c>
      <c r="V1643">
        <v>46.1</v>
      </c>
      <c r="W1643">
        <v>0.89500000000000002</v>
      </c>
      <c r="X1643" t="str">
        <f>IF(WarehouseData[[#This Row],[stock_level]]&lt;=WarehouseData[[#This Row],[reorder_point]],"Low Stock","Sufficient Stock")</f>
        <v>Sufficient Stock</v>
      </c>
      <c r="Y1643">
        <f>WarehouseData[[#This Row],[daily_demand]]*WarehouseData[[#This Row],[lead_time_days]]</f>
        <v>99.539999999999992</v>
      </c>
      <c r="Z1643" t="str">
        <f>IF(WarehouseData[[#This Row],[stock_level]]&lt;=WarehouseData[[#This Row],[Demand During Lead Time]],"At Risk","Safe")</f>
        <v>Safe</v>
      </c>
      <c r="AA1643">
        <f>WarehouseData[[#This Row],[stock_level]]/WarehouseData[[#This Row],[daily_demand]]</f>
        <v>17.781796262808921</v>
      </c>
      <c r="AB1643">
        <f>WarehouseData[[#This Row],[stock_level]]*WarehouseData[[#This Row],[unit_price]]</f>
        <v>58262.5</v>
      </c>
      <c r="AC1643">
        <f>WarehouseData[[#This Row],[stock_level]]*WarehouseData[[#This Row],[holding_cost_per_unit_day]]*30</f>
        <v>1062</v>
      </c>
      <c r="AD1643" t="str">
        <f>IF(WarehouseData[[#This Row],[order_fulfillment_rate]]&gt;=0.9,"Strong",IF(WarehouseData[[#This Row],[order_fulfillment_rate]]&gt;=0.8,"Moderate","Needs Attention"))</f>
        <v>Moderate</v>
      </c>
      <c r="AE1643" t="str">
        <f>IF(WarehouseData[[#This Row],[picking_time_seconds]]&gt;120,"Slow",IF(WarehouseData[[#This Row],[picking_time_seconds]]&gt;=60,"Average","Fast"))</f>
        <v>Average</v>
      </c>
    </row>
    <row r="1644" spans="1:31" x14ac:dyDescent="0.25">
      <c r="A1644" t="s">
        <v>1782</v>
      </c>
      <c r="B1644" t="s">
        <v>40</v>
      </c>
      <c r="C1644">
        <v>159</v>
      </c>
      <c r="D1644">
        <v>19</v>
      </c>
      <c r="E1644">
        <v>3</v>
      </c>
      <c r="F1644">
        <v>9</v>
      </c>
      <c r="G1644">
        <v>9.66</v>
      </c>
      <c r="H1644">
        <v>9.5299999999999994</v>
      </c>
      <c r="I1644">
        <v>0.43</v>
      </c>
      <c r="J1644" t="s">
        <v>217</v>
      </c>
      <c r="K1644" t="s">
        <v>34</v>
      </c>
      <c r="L1644">
        <v>31</v>
      </c>
      <c r="M1644">
        <v>1.69</v>
      </c>
      <c r="N1644">
        <v>92.78</v>
      </c>
      <c r="O1644">
        <v>1.66</v>
      </c>
      <c r="P1644">
        <v>5</v>
      </c>
      <c r="Q1644">
        <v>0.91</v>
      </c>
      <c r="R1644">
        <v>462</v>
      </c>
      <c r="S1644">
        <v>6.89</v>
      </c>
      <c r="T1644">
        <v>0.77</v>
      </c>
      <c r="U1644" s="1">
        <v>45482</v>
      </c>
      <c r="V1644">
        <v>42.35</v>
      </c>
      <c r="W1644">
        <v>0.56200000000000006</v>
      </c>
      <c r="X1644" t="str">
        <f>IF(WarehouseData[[#This Row],[stock_level]]&lt;=WarehouseData[[#This Row],[reorder_point]],"Low Stock","Sufficient Stock")</f>
        <v>Sufficient Stock</v>
      </c>
      <c r="Y1644">
        <f>WarehouseData[[#This Row],[daily_demand]]*WarehouseData[[#This Row],[lead_time_days]]</f>
        <v>86.94</v>
      </c>
      <c r="Z1644" t="str">
        <f>IF(WarehouseData[[#This Row],[stock_level]]&lt;=WarehouseData[[#This Row],[Demand During Lead Time]],"At Risk","Safe")</f>
        <v>Safe</v>
      </c>
      <c r="AA1644">
        <f>WarehouseData[[#This Row],[stock_level]]/WarehouseData[[#This Row],[daily_demand]]</f>
        <v>16.459627329192546</v>
      </c>
      <c r="AB1644">
        <f>WarehouseData[[#This Row],[stock_level]]*WarehouseData[[#This Row],[unit_price]]</f>
        <v>14752.02</v>
      </c>
      <c r="AC1644">
        <f>WarehouseData[[#This Row],[stock_level]]*WarehouseData[[#This Row],[holding_cost_per_unit_day]]*30</f>
        <v>7918.2</v>
      </c>
      <c r="AD1644" t="str">
        <f>IF(WarehouseData[[#This Row],[order_fulfillment_rate]]&gt;=0.9,"Strong",IF(WarehouseData[[#This Row],[order_fulfillment_rate]]&gt;=0.8,"Moderate","Needs Attention"))</f>
        <v>Strong</v>
      </c>
      <c r="AE1644" t="str">
        <f>IF(WarehouseData[[#This Row],[picking_time_seconds]]&gt;120,"Slow",IF(WarehouseData[[#This Row],[picking_time_seconds]]&gt;=60,"Average","Fast"))</f>
        <v>Fast</v>
      </c>
    </row>
    <row r="1645" spans="1:31" x14ac:dyDescent="0.25">
      <c r="A1645" t="s">
        <v>1783</v>
      </c>
      <c r="B1645" t="s">
        <v>73</v>
      </c>
      <c r="C1645">
        <v>318</v>
      </c>
      <c r="D1645">
        <v>56</v>
      </c>
      <c r="E1645">
        <v>11</v>
      </c>
      <c r="F1645">
        <v>6</v>
      </c>
      <c r="G1645">
        <v>6.02</v>
      </c>
      <c r="H1645">
        <v>2.4700000000000002</v>
      </c>
      <c r="I1645">
        <v>0.59</v>
      </c>
      <c r="J1645" t="s">
        <v>466</v>
      </c>
      <c r="K1645" t="s">
        <v>38</v>
      </c>
      <c r="L1645">
        <v>84</v>
      </c>
      <c r="M1645">
        <v>0.53</v>
      </c>
      <c r="N1645">
        <v>152.27000000000001</v>
      </c>
      <c r="O1645">
        <v>0.44</v>
      </c>
      <c r="P1645">
        <v>3</v>
      </c>
      <c r="Q1645">
        <v>1</v>
      </c>
      <c r="R1645">
        <v>718</v>
      </c>
      <c r="S1645">
        <v>12.82</v>
      </c>
      <c r="T1645">
        <v>0.68</v>
      </c>
      <c r="U1645" s="1">
        <v>45542</v>
      </c>
      <c r="V1645">
        <v>198.77</v>
      </c>
      <c r="W1645">
        <v>0.80300000000000005</v>
      </c>
      <c r="X1645" t="str">
        <f>IF(WarehouseData[[#This Row],[stock_level]]&lt;=WarehouseData[[#This Row],[reorder_point]],"Low Stock","Sufficient Stock")</f>
        <v>Sufficient Stock</v>
      </c>
      <c r="Y1645">
        <f>WarehouseData[[#This Row],[daily_demand]]*WarehouseData[[#This Row],[lead_time_days]]</f>
        <v>36.119999999999997</v>
      </c>
      <c r="Z1645" t="str">
        <f>IF(WarehouseData[[#This Row],[stock_level]]&lt;=WarehouseData[[#This Row],[Demand During Lead Time]],"At Risk","Safe")</f>
        <v>Safe</v>
      </c>
      <c r="AA1645">
        <f>WarehouseData[[#This Row],[stock_level]]/WarehouseData[[#This Row],[daily_demand]]</f>
        <v>52.823920265780735</v>
      </c>
      <c r="AB1645">
        <f>WarehouseData[[#This Row],[stock_level]]*WarehouseData[[#This Row],[unit_price]]</f>
        <v>48421.86</v>
      </c>
      <c r="AC1645">
        <f>WarehouseData[[#This Row],[stock_level]]*WarehouseData[[#This Row],[holding_cost_per_unit_day]]*30</f>
        <v>4197.5999999999995</v>
      </c>
      <c r="AD1645" t="str">
        <f>IF(WarehouseData[[#This Row],[order_fulfillment_rate]]&gt;=0.9,"Strong",IF(WarehouseData[[#This Row],[order_fulfillment_rate]]&gt;=0.8,"Moderate","Needs Attention"))</f>
        <v>Strong</v>
      </c>
      <c r="AE1645" t="str">
        <f>IF(WarehouseData[[#This Row],[picking_time_seconds]]&gt;120,"Slow",IF(WarehouseData[[#This Row],[picking_time_seconds]]&gt;=60,"Average","Fast"))</f>
        <v>Average</v>
      </c>
    </row>
    <row r="1646" spans="1:31" x14ac:dyDescent="0.25">
      <c r="A1646" t="s">
        <v>1784</v>
      </c>
      <c r="B1646" t="s">
        <v>73</v>
      </c>
      <c r="C1646">
        <v>464</v>
      </c>
      <c r="D1646">
        <v>68</v>
      </c>
      <c r="E1646">
        <v>8</v>
      </c>
      <c r="F1646">
        <v>4</v>
      </c>
      <c r="G1646">
        <v>37.130000000000003</v>
      </c>
      <c r="H1646">
        <v>7.26</v>
      </c>
      <c r="I1646">
        <v>0.77</v>
      </c>
      <c r="J1646" t="s">
        <v>223</v>
      </c>
      <c r="K1646" t="s">
        <v>46</v>
      </c>
      <c r="L1646">
        <v>45</v>
      </c>
      <c r="M1646">
        <v>1.32</v>
      </c>
      <c r="N1646">
        <v>20.82</v>
      </c>
      <c r="O1646">
        <v>0.98</v>
      </c>
      <c r="P1646">
        <v>4</v>
      </c>
      <c r="Q1646">
        <v>0.88</v>
      </c>
      <c r="R1646">
        <v>442</v>
      </c>
      <c r="S1646">
        <v>7.18</v>
      </c>
      <c r="T1646">
        <v>0.23</v>
      </c>
      <c r="U1646" s="1">
        <v>45596</v>
      </c>
      <c r="V1646">
        <v>13.75</v>
      </c>
      <c r="W1646">
        <v>0.54</v>
      </c>
      <c r="X1646" t="str">
        <f>IF(WarehouseData[[#This Row],[stock_level]]&lt;=WarehouseData[[#This Row],[reorder_point]],"Low Stock","Sufficient Stock")</f>
        <v>Sufficient Stock</v>
      </c>
      <c r="Y1646">
        <f>WarehouseData[[#This Row],[daily_demand]]*WarehouseData[[#This Row],[lead_time_days]]</f>
        <v>148.52000000000001</v>
      </c>
      <c r="Z1646" t="str">
        <f>IF(WarehouseData[[#This Row],[stock_level]]&lt;=WarehouseData[[#This Row],[Demand During Lead Time]],"At Risk","Safe")</f>
        <v>Safe</v>
      </c>
      <c r="AA1646">
        <f>WarehouseData[[#This Row],[stock_level]]/WarehouseData[[#This Row],[daily_demand]]</f>
        <v>12.496633450040397</v>
      </c>
      <c r="AB1646">
        <f>WarehouseData[[#This Row],[stock_level]]*WarehouseData[[#This Row],[unit_price]]</f>
        <v>9660.48</v>
      </c>
      <c r="AC1646">
        <f>WarehouseData[[#This Row],[stock_level]]*WarehouseData[[#This Row],[holding_cost_per_unit_day]]*30</f>
        <v>13641.599999999999</v>
      </c>
      <c r="AD1646" t="str">
        <f>IF(WarehouseData[[#This Row],[order_fulfillment_rate]]&gt;=0.9,"Strong",IF(WarehouseData[[#This Row],[order_fulfillment_rate]]&gt;=0.8,"Moderate","Needs Attention"))</f>
        <v>Moderate</v>
      </c>
      <c r="AE1646" t="str">
        <f>IF(WarehouseData[[#This Row],[picking_time_seconds]]&gt;120,"Slow",IF(WarehouseData[[#This Row],[picking_time_seconds]]&gt;=60,"Average","Fast"))</f>
        <v>Fast</v>
      </c>
    </row>
    <row r="1647" spans="1:31" x14ac:dyDescent="0.25">
      <c r="A1647" t="s">
        <v>1785</v>
      </c>
      <c r="B1647" t="s">
        <v>73</v>
      </c>
      <c r="C1647">
        <v>306</v>
      </c>
      <c r="D1647">
        <v>71</v>
      </c>
      <c r="E1647">
        <v>4</v>
      </c>
      <c r="F1647">
        <v>3</v>
      </c>
      <c r="G1647">
        <v>23.07</v>
      </c>
      <c r="H1647">
        <v>7.55</v>
      </c>
      <c r="I1647">
        <v>0.47</v>
      </c>
      <c r="J1647" t="s">
        <v>68</v>
      </c>
      <c r="K1647" t="s">
        <v>46</v>
      </c>
      <c r="L1647">
        <v>38</v>
      </c>
      <c r="M1647">
        <v>2.63</v>
      </c>
      <c r="N1647">
        <v>81.98</v>
      </c>
      <c r="O1647">
        <v>0.94</v>
      </c>
      <c r="P1647">
        <v>7</v>
      </c>
      <c r="Q1647">
        <v>0.73</v>
      </c>
      <c r="R1647">
        <v>383</v>
      </c>
      <c r="S1647">
        <v>2.82</v>
      </c>
      <c r="T1647">
        <v>0.82</v>
      </c>
      <c r="U1647" s="1">
        <v>45520</v>
      </c>
      <c r="V1647">
        <v>201.6</v>
      </c>
      <c r="W1647">
        <v>0.51400000000000001</v>
      </c>
      <c r="X1647" t="str">
        <f>IF(WarehouseData[[#This Row],[stock_level]]&lt;=WarehouseData[[#This Row],[reorder_point]],"Low Stock","Sufficient Stock")</f>
        <v>Sufficient Stock</v>
      </c>
      <c r="Y1647">
        <f>WarehouseData[[#This Row],[daily_demand]]*WarehouseData[[#This Row],[lead_time_days]]</f>
        <v>69.210000000000008</v>
      </c>
      <c r="Z1647" t="str">
        <f>IF(WarehouseData[[#This Row],[stock_level]]&lt;=WarehouseData[[#This Row],[Demand During Lead Time]],"At Risk","Safe")</f>
        <v>Safe</v>
      </c>
      <c r="AA1647">
        <f>WarehouseData[[#This Row],[stock_level]]/WarehouseData[[#This Row],[daily_demand]]</f>
        <v>13.263979193758127</v>
      </c>
      <c r="AB1647">
        <f>WarehouseData[[#This Row],[stock_level]]*WarehouseData[[#This Row],[unit_price]]</f>
        <v>25085.88</v>
      </c>
      <c r="AC1647">
        <f>WarehouseData[[#This Row],[stock_level]]*WarehouseData[[#This Row],[holding_cost_per_unit_day]]*30</f>
        <v>8629.1999999999989</v>
      </c>
      <c r="AD1647" t="str">
        <f>IF(WarehouseData[[#This Row],[order_fulfillment_rate]]&gt;=0.9,"Strong",IF(WarehouseData[[#This Row],[order_fulfillment_rate]]&gt;=0.8,"Moderate","Needs Attention"))</f>
        <v>Needs Attention</v>
      </c>
      <c r="AE1647" t="str">
        <f>IF(WarehouseData[[#This Row],[picking_time_seconds]]&gt;120,"Slow",IF(WarehouseData[[#This Row],[picking_time_seconds]]&gt;=60,"Average","Fast"))</f>
        <v>Fast</v>
      </c>
    </row>
    <row r="1648" spans="1:31" x14ac:dyDescent="0.25">
      <c r="A1648" t="s">
        <v>1786</v>
      </c>
      <c r="B1648" t="s">
        <v>48</v>
      </c>
      <c r="C1648">
        <v>110</v>
      </c>
      <c r="D1648">
        <v>95</v>
      </c>
      <c r="E1648">
        <v>10</v>
      </c>
      <c r="F1648">
        <v>7</v>
      </c>
      <c r="G1648">
        <v>16.850000000000001</v>
      </c>
      <c r="H1648">
        <v>5.23</v>
      </c>
      <c r="I1648">
        <v>1</v>
      </c>
      <c r="J1648" t="s">
        <v>188</v>
      </c>
      <c r="K1648" t="s">
        <v>34</v>
      </c>
      <c r="L1648">
        <v>179</v>
      </c>
      <c r="M1648">
        <v>1.74</v>
      </c>
      <c r="N1648">
        <v>120.26</v>
      </c>
      <c r="O1648">
        <v>1.76</v>
      </c>
      <c r="P1648">
        <v>3</v>
      </c>
      <c r="Q1648">
        <v>0.72</v>
      </c>
      <c r="R1648">
        <v>938</v>
      </c>
      <c r="S1648">
        <v>5.78</v>
      </c>
      <c r="T1648">
        <v>0.31</v>
      </c>
      <c r="U1648" s="1">
        <v>45382</v>
      </c>
      <c r="V1648">
        <v>236.77</v>
      </c>
      <c r="W1648">
        <v>0.44700000000000001</v>
      </c>
      <c r="X1648" t="str">
        <f>IF(WarehouseData[[#This Row],[stock_level]]&lt;=WarehouseData[[#This Row],[reorder_point]],"Low Stock","Sufficient Stock")</f>
        <v>Sufficient Stock</v>
      </c>
      <c r="Y1648">
        <f>WarehouseData[[#This Row],[daily_demand]]*WarehouseData[[#This Row],[lead_time_days]]</f>
        <v>117.95000000000002</v>
      </c>
      <c r="Z1648" t="str">
        <f>IF(WarehouseData[[#This Row],[stock_level]]&lt;=WarehouseData[[#This Row],[Demand During Lead Time]],"At Risk","Safe")</f>
        <v>At Risk</v>
      </c>
      <c r="AA1648">
        <f>WarehouseData[[#This Row],[stock_level]]/WarehouseData[[#This Row],[daily_demand]]</f>
        <v>6.5281899109792283</v>
      </c>
      <c r="AB1648">
        <f>WarehouseData[[#This Row],[stock_level]]*WarehouseData[[#This Row],[unit_price]]</f>
        <v>13228.6</v>
      </c>
      <c r="AC1648">
        <f>WarehouseData[[#This Row],[stock_level]]*WarehouseData[[#This Row],[holding_cost_per_unit_day]]*30</f>
        <v>5808</v>
      </c>
      <c r="AD1648" t="str">
        <f>IF(WarehouseData[[#This Row],[order_fulfillment_rate]]&gt;=0.9,"Strong",IF(WarehouseData[[#This Row],[order_fulfillment_rate]]&gt;=0.8,"Moderate","Needs Attention"))</f>
        <v>Needs Attention</v>
      </c>
      <c r="AE1648" t="str">
        <f>IF(WarehouseData[[#This Row],[picking_time_seconds]]&gt;120,"Slow",IF(WarehouseData[[#This Row],[picking_time_seconds]]&gt;=60,"Average","Fast"))</f>
        <v>Slow</v>
      </c>
    </row>
    <row r="1649" spans="1:31" x14ac:dyDescent="0.25">
      <c r="A1649" t="s">
        <v>1787</v>
      </c>
      <c r="B1649" t="s">
        <v>32</v>
      </c>
      <c r="C1649">
        <v>499</v>
      </c>
      <c r="D1649">
        <v>27</v>
      </c>
      <c r="E1649">
        <v>14</v>
      </c>
      <c r="F1649">
        <v>9</v>
      </c>
      <c r="G1649">
        <v>42.98</v>
      </c>
      <c r="H1649">
        <v>9.0299999999999994</v>
      </c>
      <c r="I1649">
        <v>0.37</v>
      </c>
      <c r="J1649" t="s">
        <v>57</v>
      </c>
      <c r="K1649" t="s">
        <v>52</v>
      </c>
      <c r="L1649">
        <v>169</v>
      </c>
      <c r="M1649">
        <v>4.43</v>
      </c>
      <c r="N1649">
        <v>152.72999999999999</v>
      </c>
      <c r="O1649">
        <v>1.94</v>
      </c>
      <c r="P1649">
        <v>5</v>
      </c>
      <c r="Q1649">
        <v>0.9</v>
      </c>
      <c r="R1649">
        <v>377</v>
      </c>
      <c r="S1649">
        <v>12.27</v>
      </c>
      <c r="T1649">
        <v>0.97</v>
      </c>
      <c r="U1649" s="1">
        <v>45534</v>
      </c>
      <c r="V1649">
        <v>97.73</v>
      </c>
      <c r="W1649">
        <v>0.64400000000000002</v>
      </c>
      <c r="X1649" t="str">
        <f>IF(WarehouseData[[#This Row],[stock_level]]&lt;=WarehouseData[[#This Row],[reorder_point]],"Low Stock","Sufficient Stock")</f>
        <v>Sufficient Stock</v>
      </c>
      <c r="Y1649">
        <f>WarehouseData[[#This Row],[daily_demand]]*WarehouseData[[#This Row],[lead_time_days]]</f>
        <v>386.82</v>
      </c>
      <c r="Z1649" t="str">
        <f>IF(WarehouseData[[#This Row],[stock_level]]&lt;=WarehouseData[[#This Row],[Demand During Lead Time]],"At Risk","Safe")</f>
        <v>Safe</v>
      </c>
      <c r="AA1649">
        <f>WarehouseData[[#This Row],[stock_level]]/WarehouseData[[#This Row],[daily_demand]]</f>
        <v>11.610051186598419</v>
      </c>
      <c r="AB1649">
        <f>WarehouseData[[#This Row],[stock_level]]*WarehouseData[[#This Row],[unit_price]]</f>
        <v>76212.26999999999</v>
      </c>
      <c r="AC1649">
        <f>WarehouseData[[#This Row],[stock_level]]*WarehouseData[[#This Row],[holding_cost_per_unit_day]]*30</f>
        <v>29041.8</v>
      </c>
      <c r="AD1649" t="str">
        <f>IF(WarehouseData[[#This Row],[order_fulfillment_rate]]&gt;=0.9,"Strong",IF(WarehouseData[[#This Row],[order_fulfillment_rate]]&gt;=0.8,"Moderate","Needs Attention"))</f>
        <v>Strong</v>
      </c>
      <c r="AE1649" t="str">
        <f>IF(WarehouseData[[#This Row],[picking_time_seconds]]&gt;120,"Slow",IF(WarehouseData[[#This Row],[picking_time_seconds]]&gt;=60,"Average","Fast"))</f>
        <v>Slow</v>
      </c>
    </row>
    <row r="1650" spans="1:31" x14ac:dyDescent="0.25">
      <c r="A1650" t="s">
        <v>1788</v>
      </c>
      <c r="B1650" t="s">
        <v>48</v>
      </c>
      <c r="C1650">
        <v>80</v>
      </c>
      <c r="D1650">
        <v>55</v>
      </c>
      <c r="E1650">
        <v>11</v>
      </c>
      <c r="F1650">
        <v>7</v>
      </c>
      <c r="G1650">
        <v>30.09</v>
      </c>
      <c r="H1650">
        <v>9.68</v>
      </c>
      <c r="I1650">
        <v>0.98</v>
      </c>
      <c r="J1650" t="s">
        <v>332</v>
      </c>
      <c r="K1650" t="s">
        <v>52</v>
      </c>
      <c r="L1650">
        <v>151</v>
      </c>
      <c r="M1650">
        <v>1.1399999999999999</v>
      </c>
      <c r="N1650">
        <v>110.39</v>
      </c>
      <c r="O1650">
        <v>0.57999999999999996</v>
      </c>
      <c r="P1650">
        <v>2</v>
      </c>
      <c r="Q1650">
        <v>0.9</v>
      </c>
      <c r="R1650">
        <v>51</v>
      </c>
      <c r="S1650">
        <v>14.38</v>
      </c>
      <c r="T1650">
        <v>0.27</v>
      </c>
      <c r="U1650" s="1">
        <v>45592</v>
      </c>
      <c r="V1650">
        <v>226.25</v>
      </c>
      <c r="W1650">
        <v>0.72799999999999998</v>
      </c>
      <c r="X1650" t="str">
        <f>IF(WarehouseData[[#This Row],[stock_level]]&lt;=WarehouseData[[#This Row],[reorder_point]],"Low Stock","Sufficient Stock")</f>
        <v>Sufficient Stock</v>
      </c>
      <c r="Y1650">
        <f>WarehouseData[[#This Row],[daily_demand]]*WarehouseData[[#This Row],[lead_time_days]]</f>
        <v>210.63</v>
      </c>
      <c r="Z1650" t="str">
        <f>IF(WarehouseData[[#This Row],[stock_level]]&lt;=WarehouseData[[#This Row],[Demand During Lead Time]],"At Risk","Safe")</f>
        <v>At Risk</v>
      </c>
      <c r="AA1650">
        <f>WarehouseData[[#This Row],[stock_level]]/WarehouseData[[#This Row],[daily_demand]]</f>
        <v>2.6586905948820205</v>
      </c>
      <c r="AB1650">
        <f>WarehouseData[[#This Row],[stock_level]]*WarehouseData[[#This Row],[unit_price]]</f>
        <v>8831.2000000000007</v>
      </c>
      <c r="AC1650">
        <f>WarehouseData[[#This Row],[stock_level]]*WarehouseData[[#This Row],[holding_cost_per_unit_day]]*30</f>
        <v>1392</v>
      </c>
      <c r="AD1650" t="str">
        <f>IF(WarehouseData[[#This Row],[order_fulfillment_rate]]&gt;=0.9,"Strong",IF(WarehouseData[[#This Row],[order_fulfillment_rate]]&gt;=0.8,"Moderate","Needs Attention"))</f>
        <v>Strong</v>
      </c>
      <c r="AE1650" t="str">
        <f>IF(WarehouseData[[#This Row],[picking_time_seconds]]&gt;120,"Slow",IF(WarehouseData[[#This Row],[picking_time_seconds]]&gt;=60,"Average","Fast"))</f>
        <v>Slow</v>
      </c>
    </row>
    <row r="1651" spans="1:31" x14ac:dyDescent="0.25">
      <c r="A1651" t="s">
        <v>1789</v>
      </c>
      <c r="B1651" t="s">
        <v>32</v>
      </c>
      <c r="C1651">
        <v>477</v>
      </c>
      <c r="D1651">
        <v>41</v>
      </c>
      <c r="E1651">
        <v>11</v>
      </c>
      <c r="F1651">
        <v>5</v>
      </c>
      <c r="G1651">
        <v>26.38</v>
      </c>
      <c r="H1651">
        <v>3.94</v>
      </c>
      <c r="I1651">
        <v>0.28000000000000003</v>
      </c>
      <c r="J1651" t="s">
        <v>88</v>
      </c>
      <c r="K1651" t="s">
        <v>38</v>
      </c>
      <c r="L1651">
        <v>27</v>
      </c>
      <c r="M1651">
        <v>4.4400000000000004</v>
      </c>
      <c r="N1651">
        <v>107.91</v>
      </c>
      <c r="O1651">
        <v>0.23</v>
      </c>
      <c r="P1651">
        <v>7</v>
      </c>
      <c r="Q1651">
        <v>0.92</v>
      </c>
      <c r="R1651">
        <v>252</v>
      </c>
      <c r="S1651">
        <v>14.77</v>
      </c>
      <c r="T1651">
        <v>0.78</v>
      </c>
      <c r="U1651" s="1">
        <v>45574</v>
      </c>
      <c r="V1651">
        <v>57.96</v>
      </c>
      <c r="W1651">
        <v>0.77400000000000002</v>
      </c>
      <c r="X1651" t="str">
        <f>IF(WarehouseData[[#This Row],[stock_level]]&lt;=WarehouseData[[#This Row],[reorder_point]],"Low Stock","Sufficient Stock")</f>
        <v>Sufficient Stock</v>
      </c>
      <c r="Y1651">
        <f>WarehouseData[[#This Row],[daily_demand]]*WarehouseData[[#This Row],[lead_time_days]]</f>
        <v>131.9</v>
      </c>
      <c r="Z1651" t="str">
        <f>IF(WarehouseData[[#This Row],[stock_level]]&lt;=WarehouseData[[#This Row],[Demand During Lead Time]],"At Risk","Safe")</f>
        <v>Safe</v>
      </c>
      <c r="AA1651">
        <f>WarehouseData[[#This Row],[stock_level]]/WarehouseData[[#This Row],[daily_demand]]</f>
        <v>18.081880212282034</v>
      </c>
      <c r="AB1651">
        <f>WarehouseData[[#This Row],[stock_level]]*WarehouseData[[#This Row],[unit_price]]</f>
        <v>51473.07</v>
      </c>
      <c r="AC1651">
        <f>WarehouseData[[#This Row],[stock_level]]*WarehouseData[[#This Row],[holding_cost_per_unit_day]]*30</f>
        <v>3291.3</v>
      </c>
      <c r="AD1651" t="str">
        <f>IF(WarehouseData[[#This Row],[order_fulfillment_rate]]&gt;=0.9,"Strong",IF(WarehouseData[[#This Row],[order_fulfillment_rate]]&gt;=0.8,"Moderate","Needs Attention"))</f>
        <v>Strong</v>
      </c>
      <c r="AE1651" t="str">
        <f>IF(WarehouseData[[#This Row],[picking_time_seconds]]&gt;120,"Slow",IF(WarehouseData[[#This Row],[picking_time_seconds]]&gt;=60,"Average","Fast"))</f>
        <v>Fast</v>
      </c>
    </row>
    <row r="1652" spans="1:31" x14ac:dyDescent="0.25">
      <c r="A1652" t="s">
        <v>1790</v>
      </c>
      <c r="B1652" t="s">
        <v>32</v>
      </c>
      <c r="C1652">
        <v>470</v>
      </c>
      <c r="D1652">
        <v>36</v>
      </c>
      <c r="E1652">
        <v>4</v>
      </c>
      <c r="F1652">
        <v>2</v>
      </c>
      <c r="G1652">
        <v>37.43</v>
      </c>
      <c r="H1652">
        <v>6.68</v>
      </c>
      <c r="I1652">
        <v>0.2</v>
      </c>
      <c r="J1652" t="s">
        <v>377</v>
      </c>
      <c r="K1652" t="s">
        <v>52</v>
      </c>
      <c r="L1652">
        <v>47</v>
      </c>
      <c r="M1652">
        <v>2.3199999999999998</v>
      </c>
      <c r="N1652">
        <v>155.13999999999999</v>
      </c>
      <c r="O1652">
        <v>1.34</v>
      </c>
      <c r="P1652">
        <v>2</v>
      </c>
      <c r="Q1652">
        <v>0.73</v>
      </c>
      <c r="R1652">
        <v>307</v>
      </c>
      <c r="S1652">
        <v>9.9499999999999993</v>
      </c>
      <c r="T1652">
        <v>0.49</v>
      </c>
      <c r="U1652" s="1">
        <v>45471</v>
      </c>
      <c r="V1652">
        <v>288.54000000000002</v>
      </c>
      <c r="W1652">
        <v>0.60299999999999998</v>
      </c>
      <c r="X1652" t="str">
        <f>IF(WarehouseData[[#This Row],[stock_level]]&lt;=WarehouseData[[#This Row],[reorder_point]],"Low Stock","Sufficient Stock")</f>
        <v>Sufficient Stock</v>
      </c>
      <c r="Y1652">
        <f>WarehouseData[[#This Row],[daily_demand]]*WarehouseData[[#This Row],[lead_time_days]]</f>
        <v>74.86</v>
      </c>
      <c r="Z1652" t="str">
        <f>IF(WarehouseData[[#This Row],[stock_level]]&lt;=WarehouseData[[#This Row],[Demand During Lead Time]],"At Risk","Safe")</f>
        <v>Safe</v>
      </c>
      <c r="AA1652">
        <f>WarehouseData[[#This Row],[stock_level]]/WarehouseData[[#This Row],[daily_demand]]</f>
        <v>12.556772642265562</v>
      </c>
      <c r="AB1652">
        <f>WarehouseData[[#This Row],[stock_level]]*WarehouseData[[#This Row],[unit_price]]</f>
        <v>72915.799999999988</v>
      </c>
      <c r="AC1652">
        <f>WarehouseData[[#This Row],[stock_level]]*WarehouseData[[#This Row],[holding_cost_per_unit_day]]*30</f>
        <v>18894.000000000004</v>
      </c>
      <c r="AD1652" t="str">
        <f>IF(WarehouseData[[#This Row],[order_fulfillment_rate]]&gt;=0.9,"Strong",IF(WarehouseData[[#This Row],[order_fulfillment_rate]]&gt;=0.8,"Moderate","Needs Attention"))</f>
        <v>Needs Attention</v>
      </c>
      <c r="AE1652" t="str">
        <f>IF(WarehouseData[[#This Row],[picking_time_seconds]]&gt;120,"Slow",IF(WarehouseData[[#This Row],[picking_time_seconds]]&gt;=60,"Average","Fast"))</f>
        <v>Fast</v>
      </c>
    </row>
    <row r="1653" spans="1:31" x14ac:dyDescent="0.25">
      <c r="A1653" t="s">
        <v>1791</v>
      </c>
      <c r="B1653" t="s">
        <v>40</v>
      </c>
      <c r="C1653">
        <v>384</v>
      </c>
      <c r="D1653">
        <v>27</v>
      </c>
      <c r="E1653">
        <v>4</v>
      </c>
      <c r="F1653">
        <v>6</v>
      </c>
      <c r="G1653">
        <v>40.96</v>
      </c>
      <c r="H1653">
        <v>6.79</v>
      </c>
      <c r="I1653">
        <v>0.78</v>
      </c>
      <c r="J1653" t="s">
        <v>192</v>
      </c>
      <c r="K1653" t="s">
        <v>52</v>
      </c>
      <c r="L1653">
        <v>110</v>
      </c>
      <c r="M1653">
        <v>1.74</v>
      </c>
      <c r="N1653">
        <v>69.52</v>
      </c>
      <c r="O1653">
        <v>1.06</v>
      </c>
      <c r="P1653">
        <v>6</v>
      </c>
      <c r="Q1653">
        <v>0.98</v>
      </c>
      <c r="R1653">
        <v>812</v>
      </c>
      <c r="S1653">
        <v>7.7</v>
      </c>
      <c r="T1653">
        <v>0.79</v>
      </c>
      <c r="U1653" s="1">
        <v>45468</v>
      </c>
      <c r="V1653">
        <v>77.3</v>
      </c>
      <c r="W1653">
        <v>0.63100000000000001</v>
      </c>
      <c r="X1653" t="str">
        <f>IF(WarehouseData[[#This Row],[stock_level]]&lt;=WarehouseData[[#This Row],[reorder_point]],"Low Stock","Sufficient Stock")</f>
        <v>Sufficient Stock</v>
      </c>
      <c r="Y1653">
        <f>WarehouseData[[#This Row],[daily_demand]]*WarehouseData[[#This Row],[lead_time_days]]</f>
        <v>245.76</v>
      </c>
      <c r="Z1653" t="str">
        <f>IF(WarehouseData[[#This Row],[stock_level]]&lt;=WarehouseData[[#This Row],[Demand During Lead Time]],"At Risk","Safe")</f>
        <v>Safe</v>
      </c>
      <c r="AA1653">
        <f>WarehouseData[[#This Row],[stock_level]]/WarehouseData[[#This Row],[daily_demand]]</f>
        <v>9.375</v>
      </c>
      <c r="AB1653">
        <f>WarehouseData[[#This Row],[stock_level]]*WarehouseData[[#This Row],[unit_price]]</f>
        <v>26695.68</v>
      </c>
      <c r="AC1653">
        <f>WarehouseData[[#This Row],[stock_level]]*WarehouseData[[#This Row],[holding_cost_per_unit_day]]*30</f>
        <v>12211.2</v>
      </c>
      <c r="AD1653" t="str">
        <f>IF(WarehouseData[[#This Row],[order_fulfillment_rate]]&gt;=0.9,"Strong",IF(WarehouseData[[#This Row],[order_fulfillment_rate]]&gt;=0.8,"Moderate","Needs Attention"))</f>
        <v>Strong</v>
      </c>
      <c r="AE1653" t="str">
        <f>IF(WarehouseData[[#This Row],[picking_time_seconds]]&gt;120,"Slow",IF(WarehouseData[[#This Row],[picking_time_seconds]]&gt;=60,"Average","Fast"))</f>
        <v>Average</v>
      </c>
    </row>
    <row r="1654" spans="1:31" x14ac:dyDescent="0.25">
      <c r="A1654" t="s">
        <v>1792</v>
      </c>
      <c r="B1654" t="s">
        <v>40</v>
      </c>
      <c r="C1654">
        <v>366</v>
      </c>
      <c r="D1654">
        <v>48</v>
      </c>
      <c r="E1654">
        <v>9</v>
      </c>
      <c r="F1654">
        <v>7</v>
      </c>
      <c r="G1654">
        <v>34.619999999999997</v>
      </c>
      <c r="H1654">
        <v>4.33</v>
      </c>
      <c r="I1654">
        <v>0.73</v>
      </c>
      <c r="J1654" t="s">
        <v>142</v>
      </c>
      <c r="K1654" t="s">
        <v>46</v>
      </c>
      <c r="L1654">
        <v>43</v>
      </c>
      <c r="M1654">
        <v>1.87</v>
      </c>
      <c r="N1654">
        <v>27.22</v>
      </c>
      <c r="O1654">
        <v>1.17</v>
      </c>
      <c r="P1654">
        <v>6</v>
      </c>
      <c r="Q1654">
        <v>0.87</v>
      </c>
      <c r="R1654">
        <v>416</v>
      </c>
      <c r="S1654">
        <v>3.27</v>
      </c>
      <c r="T1654">
        <v>0.62</v>
      </c>
      <c r="U1654" s="1">
        <v>45375</v>
      </c>
      <c r="V1654">
        <v>151.63</v>
      </c>
      <c r="W1654">
        <v>0.505</v>
      </c>
      <c r="X1654" t="str">
        <f>IF(WarehouseData[[#This Row],[stock_level]]&lt;=WarehouseData[[#This Row],[reorder_point]],"Low Stock","Sufficient Stock")</f>
        <v>Sufficient Stock</v>
      </c>
      <c r="Y1654">
        <f>WarehouseData[[#This Row],[daily_demand]]*WarehouseData[[#This Row],[lead_time_days]]</f>
        <v>242.33999999999997</v>
      </c>
      <c r="Z1654" t="str">
        <f>IF(WarehouseData[[#This Row],[stock_level]]&lt;=WarehouseData[[#This Row],[Demand During Lead Time]],"At Risk","Safe")</f>
        <v>Safe</v>
      </c>
      <c r="AA1654">
        <f>WarehouseData[[#This Row],[stock_level]]/WarehouseData[[#This Row],[daily_demand]]</f>
        <v>10.571923743500868</v>
      </c>
      <c r="AB1654">
        <f>WarehouseData[[#This Row],[stock_level]]*WarehouseData[[#This Row],[unit_price]]</f>
        <v>9962.52</v>
      </c>
      <c r="AC1654">
        <f>WarehouseData[[#This Row],[stock_level]]*WarehouseData[[#This Row],[holding_cost_per_unit_day]]*30</f>
        <v>12846.599999999999</v>
      </c>
      <c r="AD1654" t="str">
        <f>IF(WarehouseData[[#This Row],[order_fulfillment_rate]]&gt;=0.9,"Strong",IF(WarehouseData[[#This Row],[order_fulfillment_rate]]&gt;=0.8,"Moderate","Needs Attention"))</f>
        <v>Moderate</v>
      </c>
      <c r="AE1654" t="str">
        <f>IF(WarehouseData[[#This Row],[picking_time_seconds]]&gt;120,"Slow",IF(WarehouseData[[#This Row],[picking_time_seconds]]&gt;=60,"Average","Fast"))</f>
        <v>Fast</v>
      </c>
    </row>
    <row r="1655" spans="1:31" x14ac:dyDescent="0.25">
      <c r="A1655" t="s">
        <v>1793</v>
      </c>
      <c r="B1655" t="s">
        <v>32</v>
      </c>
      <c r="C1655">
        <v>182</v>
      </c>
      <c r="D1655">
        <v>58</v>
      </c>
      <c r="E1655">
        <v>13</v>
      </c>
      <c r="F1655">
        <v>7</v>
      </c>
      <c r="G1655">
        <v>22.56</v>
      </c>
      <c r="H1655">
        <v>3.51</v>
      </c>
      <c r="I1655">
        <v>0.83</v>
      </c>
      <c r="J1655" t="s">
        <v>212</v>
      </c>
      <c r="K1655" t="s">
        <v>34</v>
      </c>
      <c r="L1655">
        <v>130</v>
      </c>
      <c r="M1655">
        <v>1.99</v>
      </c>
      <c r="N1655">
        <v>75.959999999999994</v>
      </c>
      <c r="O1655">
        <v>0.19</v>
      </c>
      <c r="P1655">
        <v>2</v>
      </c>
      <c r="Q1655">
        <v>0.89</v>
      </c>
      <c r="R1655">
        <v>195</v>
      </c>
      <c r="S1655">
        <v>2.44</v>
      </c>
      <c r="T1655">
        <v>0.7</v>
      </c>
      <c r="U1655" s="1">
        <v>45424</v>
      </c>
      <c r="V1655">
        <v>294.33999999999997</v>
      </c>
      <c r="W1655">
        <v>0.69199999999999995</v>
      </c>
      <c r="X1655" t="str">
        <f>IF(WarehouseData[[#This Row],[stock_level]]&lt;=WarehouseData[[#This Row],[reorder_point]],"Low Stock","Sufficient Stock")</f>
        <v>Sufficient Stock</v>
      </c>
      <c r="Y1655">
        <f>WarehouseData[[#This Row],[daily_demand]]*WarehouseData[[#This Row],[lead_time_days]]</f>
        <v>157.91999999999999</v>
      </c>
      <c r="Z1655" t="str">
        <f>IF(WarehouseData[[#This Row],[stock_level]]&lt;=WarehouseData[[#This Row],[Demand During Lead Time]],"At Risk","Safe")</f>
        <v>Safe</v>
      </c>
      <c r="AA1655">
        <f>WarehouseData[[#This Row],[stock_level]]/WarehouseData[[#This Row],[daily_demand]]</f>
        <v>8.0673758865248235</v>
      </c>
      <c r="AB1655">
        <f>WarehouseData[[#This Row],[stock_level]]*WarehouseData[[#This Row],[unit_price]]</f>
        <v>13824.72</v>
      </c>
      <c r="AC1655">
        <f>WarehouseData[[#This Row],[stock_level]]*WarehouseData[[#This Row],[holding_cost_per_unit_day]]*30</f>
        <v>1037.3999999999999</v>
      </c>
      <c r="AD1655" t="str">
        <f>IF(WarehouseData[[#This Row],[order_fulfillment_rate]]&gt;=0.9,"Strong",IF(WarehouseData[[#This Row],[order_fulfillment_rate]]&gt;=0.8,"Moderate","Needs Attention"))</f>
        <v>Moderate</v>
      </c>
      <c r="AE1655" t="str">
        <f>IF(WarehouseData[[#This Row],[picking_time_seconds]]&gt;120,"Slow",IF(WarehouseData[[#This Row],[picking_time_seconds]]&gt;=60,"Average","Fast"))</f>
        <v>Slow</v>
      </c>
    </row>
    <row r="1656" spans="1:31" x14ac:dyDescent="0.25">
      <c r="A1656" t="s">
        <v>1794</v>
      </c>
      <c r="B1656" t="s">
        <v>32</v>
      </c>
      <c r="C1656">
        <v>370</v>
      </c>
      <c r="D1656">
        <v>91</v>
      </c>
      <c r="E1656">
        <v>6</v>
      </c>
      <c r="F1656">
        <v>8</v>
      </c>
      <c r="G1656">
        <v>19.59</v>
      </c>
      <c r="H1656">
        <v>9.3699999999999992</v>
      </c>
      <c r="I1656">
        <v>0.41</v>
      </c>
      <c r="J1656" t="s">
        <v>81</v>
      </c>
      <c r="K1656" t="s">
        <v>46</v>
      </c>
      <c r="L1656">
        <v>96</v>
      </c>
      <c r="M1656">
        <v>2.78</v>
      </c>
      <c r="N1656">
        <v>40.21</v>
      </c>
      <c r="O1656">
        <v>1.57</v>
      </c>
      <c r="P1656">
        <v>2</v>
      </c>
      <c r="Q1656">
        <v>0.71</v>
      </c>
      <c r="R1656">
        <v>886</v>
      </c>
      <c r="S1656">
        <v>8.26</v>
      </c>
      <c r="T1656">
        <v>0.26</v>
      </c>
      <c r="U1656" s="1">
        <v>45644</v>
      </c>
      <c r="V1656">
        <v>273.07</v>
      </c>
      <c r="W1656">
        <v>0.50700000000000001</v>
      </c>
      <c r="X1656" t="str">
        <f>IF(WarehouseData[[#This Row],[stock_level]]&lt;=WarehouseData[[#This Row],[reorder_point]],"Low Stock","Sufficient Stock")</f>
        <v>Sufficient Stock</v>
      </c>
      <c r="Y1656">
        <f>WarehouseData[[#This Row],[daily_demand]]*WarehouseData[[#This Row],[lead_time_days]]</f>
        <v>156.72</v>
      </c>
      <c r="Z1656" t="str">
        <f>IF(WarehouseData[[#This Row],[stock_level]]&lt;=WarehouseData[[#This Row],[Demand During Lead Time]],"At Risk","Safe")</f>
        <v>Safe</v>
      </c>
      <c r="AA1656">
        <f>WarehouseData[[#This Row],[stock_level]]/WarehouseData[[#This Row],[daily_demand]]</f>
        <v>18.887187340479837</v>
      </c>
      <c r="AB1656">
        <f>WarehouseData[[#This Row],[stock_level]]*WarehouseData[[#This Row],[unit_price]]</f>
        <v>14877.7</v>
      </c>
      <c r="AC1656">
        <f>WarehouseData[[#This Row],[stock_level]]*WarehouseData[[#This Row],[holding_cost_per_unit_day]]*30</f>
        <v>17427</v>
      </c>
      <c r="AD1656" t="str">
        <f>IF(WarehouseData[[#This Row],[order_fulfillment_rate]]&gt;=0.9,"Strong",IF(WarehouseData[[#This Row],[order_fulfillment_rate]]&gt;=0.8,"Moderate","Needs Attention"))</f>
        <v>Needs Attention</v>
      </c>
      <c r="AE1656" t="str">
        <f>IF(WarehouseData[[#This Row],[picking_time_seconds]]&gt;120,"Slow",IF(WarehouseData[[#This Row],[picking_time_seconds]]&gt;=60,"Average","Fast"))</f>
        <v>Average</v>
      </c>
    </row>
    <row r="1657" spans="1:31" x14ac:dyDescent="0.25">
      <c r="A1657" t="s">
        <v>1795</v>
      </c>
      <c r="B1657" t="s">
        <v>48</v>
      </c>
      <c r="C1657">
        <v>162</v>
      </c>
      <c r="D1657">
        <v>53</v>
      </c>
      <c r="E1657">
        <v>3</v>
      </c>
      <c r="F1657">
        <v>8</v>
      </c>
      <c r="G1657">
        <v>38.81</v>
      </c>
      <c r="H1657">
        <v>8</v>
      </c>
      <c r="I1657">
        <v>0.94</v>
      </c>
      <c r="J1657" t="s">
        <v>240</v>
      </c>
      <c r="K1657" t="s">
        <v>34</v>
      </c>
      <c r="L1657">
        <v>169</v>
      </c>
      <c r="M1657">
        <v>2.09</v>
      </c>
      <c r="N1657">
        <v>193.53</v>
      </c>
      <c r="O1657">
        <v>0.54</v>
      </c>
      <c r="P1657">
        <v>9</v>
      </c>
      <c r="Q1657">
        <v>0.99</v>
      </c>
      <c r="R1657">
        <v>427</v>
      </c>
      <c r="S1657">
        <v>11.19</v>
      </c>
      <c r="T1657">
        <v>0.97</v>
      </c>
      <c r="U1657" s="1">
        <v>45338</v>
      </c>
      <c r="V1657">
        <v>201.24</v>
      </c>
      <c r="W1657">
        <v>0.70699999999999996</v>
      </c>
      <c r="X1657" t="str">
        <f>IF(WarehouseData[[#This Row],[stock_level]]&lt;=WarehouseData[[#This Row],[reorder_point]],"Low Stock","Sufficient Stock")</f>
        <v>Sufficient Stock</v>
      </c>
      <c r="Y1657">
        <f>WarehouseData[[#This Row],[daily_demand]]*WarehouseData[[#This Row],[lead_time_days]]</f>
        <v>310.48</v>
      </c>
      <c r="Z1657" t="str">
        <f>IF(WarehouseData[[#This Row],[stock_level]]&lt;=WarehouseData[[#This Row],[Demand During Lead Time]],"At Risk","Safe")</f>
        <v>At Risk</v>
      </c>
      <c r="AA1657">
        <f>WarehouseData[[#This Row],[stock_level]]/WarehouseData[[#This Row],[daily_demand]]</f>
        <v>4.1741819118783816</v>
      </c>
      <c r="AB1657">
        <f>WarehouseData[[#This Row],[stock_level]]*WarehouseData[[#This Row],[unit_price]]</f>
        <v>31351.86</v>
      </c>
      <c r="AC1657">
        <f>WarehouseData[[#This Row],[stock_level]]*WarehouseData[[#This Row],[holding_cost_per_unit_day]]*30</f>
        <v>2624.4</v>
      </c>
      <c r="AD1657" t="str">
        <f>IF(WarehouseData[[#This Row],[order_fulfillment_rate]]&gt;=0.9,"Strong",IF(WarehouseData[[#This Row],[order_fulfillment_rate]]&gt;=0.8,"Moderate","Needs Attention"))</f>
        <v>Strong</v>
      </c>
      <c r="AE1657" t="str">
        <f>IF(WarehouseData[[#This Row],[picking_time_seconds]]&gt;120,"Slow",IF(WarehouseData[[#This Row],[picking_time_seconds]]&gt;=60,"Average","Fast"))</f>
        <v>Slow</v>
      </c>
    </row>
    <row r="1658" spans="1:31" x14ac:dyDescent="0.25">
      <c r="A1658" t="s">
        <v>1796</v>
      </c>
      <c r="B1658" t="s">
        <v>48</v>
      </c>
      <c r="C1658">
        <v>419</v>
      </c>
      <c r="D1658">
        <v>81</v>
      </c>
      <c r="E1658">
        <v>10</v>
      </c>
      <c r="F1658">
        <v>7</v>
      </c>
      <c r="G1658">
        <v>26.38</v>
      </c>
      <c r="H1658">
        <v>1.59</v>
      </c>
      <c r="I1658">
        <v>0.21</v>
      </c>
      <c r="J1658" t="s">
        <v>160</v>
      </c>
      <c r="K1658" t="s">
        <v>38</v>
      </c>
      <c r="L1658">
        <v>119</v>
      </c>
      <c r="M1658">
        <v>3.41</v>
      </c>
      <c r="N1658">
        <v>119.73</v>
      </c>
      <c r="O1658">
        <v>0.74</v>
      </c>
      <c r="P1658">
        <v>9</v>
      </c>
      <c r="Q1658">
        <v>0.87</v>
      </c>
      <c r="R1658">
        <v>490</v>
      </c>
      <c r="S1658">
        <v>5.53</v>
      </c>
      <c r="T1658">
        <v>0.2</v>
      </c>
      <c r="U1658" s="1">
        <v>45437</v>
      </c>
      <c r="V1658">
        <v>117.07</v>
      </c>
      <c r="W1658">
        <v>0.434</v>
      </c>
      <c r="X1658" t="str">
        <f>IF(WarehouseData[[#This Row],[stock_level]]&lt;=WarehouseData[[#This Row],[reorder_point]],"Low Stock","Sufficient Stock")</f>
        <v>Sufficient Stock</v>
      </c>
      <c r="Y1658">
        <f>WarehouseData[[#This Row],[daily_demand]]*WarehouseData[[#This Row],[lead_time_days]]</f>
        <v>184.66</v>
      </c>
      <c r="Z1658" t="str">
        <f>IF(WarehouseData[[#This Row],[stock_level]]&lt;=WarehouseData[[#This Row],[Demand During Lead Time]],"At Risk","Safe")</f>
        <v>Safe</v>
      </c>
      <c r="AA1658">
        <f>WarehouseData[[#This Row],[stock_level]]/WarehouseData[[#This Row],[daily_demand]]</f>
        <v>15.883244882486734</v>
      </c>
      <c r="AB1658">
        <f>WarehouseData[[#This Row],[stock_level]]*WarehouseData[[#This Row],[unit_price]]</f>
        <v>50166.87</v>
      </c>
      <c r="AC1658">
        <f>WarehouseData[[#This Row],[stock_level]]*WarehouseData[[#This Row],[holding_cost_per_unit_day]]*30</f>
        <v>9301.7999999999993</v>
      </c>
      <c r="AD1658" t="str">
        <f>IF(WarehouseData[[#This Row],[order_fulfillment_rate]]&gt;=0.9,"Strong",IF(WarehouseData[[#This Row],[order_fulfillment_rate]]&gt;=0.8,"Moderate","Needs Attention"))</f>
        <v>Moderate</v>
      </c>
      <c r="AE1658" t="str">
        <f>IF(WarehouseData[[#This Row],[picking_time_seconds]]&gt;120,"Slow",IF(WarehouseData[[#This Row],[picking_time_seconds]]&gt;=60,"Average","Fast"))</f>
        <v>Average</v>
      </c>
    </row>
    <row r="1659" spans="1:31" x14ac:dyDescent="0.25">
      <c r="A1659" t="s">
        <v>1797</v>
      </c>
      <c r="B1659" t="s">
        <v>40</v>
      </c>
      <c r="C1659">
        <v>272</v>
      </c>
      <c r="D1659">
        <v>63</v>
      </c>
      <c r="E1659">
        <v>4</v>
      </c>
      <c r="F1659">
        <v>3</v>
      </c>
      <c r="G1659">
        <v>35.51</v>
      </c>
      <c r="H1659">
        <v>1.64</v>
      </c>
      <c r="I1659">
        <v>0.13</v>
      </c>
      <c r="J1659" t="s">
        <v>353</v>
      </c>
      <c r="K1659" t="s">
        <v>46</v>
      </c>
      <c r="L1659">
        <v>76</v>
      </c>
      <c r="M1659">
        <v>2.41</v>
      </c>
      <c r="N1659">
        <v>94.85</v>
      </c>
      <c r="O1659">
        <v>0.53</v>
      </c>
      <c r="P1659">
        <v>7</v>
      </c>
      <c r="Q1659">
        <v>0.87</v>
      </c>
      <c r="R1659">
        <v>504</v>
      </c>
      <c r="S1659">
        <v>10.45</v>
      </c>
      <c r="T1659">
        <v>0.95</v>
      </c>
      <c r="U1659" s="1">
        <v>45306</v>
      </c>
      <c r="V1659">
        <v>213.03</v>
      </c>
      <c r="W1659">
        <v>0.71</v>
      </c>
      <c r="X1659" t="str">
        <f>IF(WarehouseData[[#This Row],[stock_level]]&lt;=WarehouseData[[#This Row],[reorder_point]],"Low Stock","Sufficient Stock")</f>
        <v>Sufficient Stock</v>
      </c>
      <c r="Y1659">
        <f>WarehouseData[[#This Row],[daily_demand]]*WarehouseData[[#This Row],[lead_time_days]]</f>
        <v>106.53</v>
      </c>
      <c r="Z1659" t="str">
        <f>IF(WarehouseData[[#This Row],[stock_level]]&lt;=WarehouseData[[#This Row],[Demand During Lead Time]],"At Risk","Safe")</f>
        <v>Safe</v>
      </c>
      <c r="AA1659">
        <f>WarehouseData[[#This Row],[stock_level]]/WarehouseData[[#This Row],[daily_demand]]</f>
        <v>7.6598141368628561</v>
      </c>
      <c r="AB1659">
        <f>WarehouseData[[#This Row],[stock_level]]*WarehouseData[[#This Row],[unit_price]]</f>
        <v>25799.199999999997</v>
      </c>
      <c r="AC1659">
        <f>WarehouseData[[#This Row],[stock_level]]*WarehouseData[[#This Row],[holding_cost_per_unit_day]]*30</f>
        <v>4324.8</v>
      </c>
      <c r="AD1659" t="str">
        <f>IF(WarehouseData[[#This Row],[order_fulfillment_rate]]&gt;=0.9,"Strong",IF(WarehouseData[[#This Row],[order_fulfillment_rate]]&gt;=0.8,"Moderate","Needs Attention"))</f>
        <v>Moderate</v>
      </c>
      <c r="AE1659" t="str">
        <f>IF(WarehouseData[[#This Row],[picking_time_seconds]]&gt;120,"Slow",IF(WarehouseData[[#This Row],[picking_time_seconds]]&gt;=60,"Average","Fast"))</f>
        <v>Average</v>
      </c>
    </row>
    <row r="1660" spans="1:31" x14ac:dyDescent="0.25">
      <c r="A1660" t="s">
        <v>1798</v>
      </c>
      <c r="B1660" t="s">
        <v>73</v>
      </c>
      <c r="C1660">
        <v>288</v>
      </c>
      <c r="D1660">
        <v>43</v>
      </c>
      <c r="E1660">
        <v>5</v>
      </c>
      <c r="F1660">
        <v>2</v>
      </c>
      <c r="G1660">
        <v>44.63</v>
      </c>
      <c r="H1660">
        <v>9.26</v>
      </c>
      <c r="I1660">
        <v>0.37</v>
      </c>
      <c r="J1660" t="s">
        <v>45</v>
      </c>
      <c r="K1660" t="s">
        <v>34</v>
      </c>
      <c r="L1660">
        <v>52</v>
      </c>
      <c r="M1660">
        <v>3.52</v>
      </c>
      <c r="N1660">
        <v>183.29</v>
      </c>
      <c r="O1660">
        <v>1.9</v>
      </c>
      <c r="P1660">
        <v>2</v>
      </c>
      <c r="Q1660">
        <v>0.98</v>
      </c>
      <c r="R1660">
        <v>456</v>
      </c>
      <c r="S1660">
        <v>8.99</v>
      </c>
      <c r="T1660">
        <v>0.65</v>
      </c>
      <c r="U1660" s="1">
        <v>45489</v>
      </c>
      <c r="V1660">
        <v>143.47999999999999</v>
      </c>
      <c r="W1660">
        <v>0.61599999999999999</v>
      </c>
      <c r="X1660" t="str">
        <f>IF(WarehouseData[[#This Row],[stock_level]]&lt;=WarehouseData[[#This Row],[reorder_point]],"Low Stock","Sufficient Stock")</f>
        <v>Sufficient Stock</v>
      </c>
      <c r="Y1660">
        <f>WarehouseData[[#This Row],[daily_demand]]*WarehouseData[[#This Row],[lead_time_days]]</f>
        <v>89.26</v>
      </c>
      <c r="Z1660" t="str">
        <f>IF(WarehouseData[[#This Row],[stock_level]]&lt;=WarehouseData[[#This Row],[Demand During Lead Time]],"At Risk","Safe")</f>
        <v>Safe</v>
      </c>
      <c r="AA1660">
        <f>WarehouseData[[#This Row],[stock_level]]/WarehouseData[[#This Row],[daily_demand]]</f>
        <v>6.4530584808424827</v>
      </c>
      <c r="AB1660">
        <f>WarehouseData[[#This Row],[stock_level]]*WarehouseData[[#This Row],[unit_price]]</f>
        <v>52787.519999999997</v>
      </c>
      <c r="AC1660">
        <f>WarehouseData[[#This Row],[stock_level]]*WarehouseData[[#This Row],[holding_cost_per_unit_day]]*30</f>
        <v>16415.999999999996</v>
      </c>
      <c r="AD1660" t="str">
        <f>IF(WarehouseData[[#This Row],[order_fulfillment_rate]]&gt;=0.9,"Strong",IF(WarehouseData[[#This Row],[order_fulfillment_rate]]&gt;=0.8,"Moderate","Needs Attention"))</f>
        <v>Strong</v>
      </c>
      <c r="AE1660" t="str">
        <f>IF(WarehouseData[[#This Row],[picking_time_seconds]]&gt;120,"Slow",IF(WarehouseData[[#This Row],[picking_time_seconds]]&gt;=60,"Average","Fast"))</f>
        <v>Fast</v>
      </c>
    </row>
    <row r="1661" spans="1:31" x14ac:dyDescent="0.25">
      <c r="A1661" t="s">
        <v>1799</v>
      </c>
      <c r="B1661" t="s">
        <v>32</v>
      </c>
      <c r="C1661">
        <v>388</v>
      </c>
      <c r="D1661">
        <v>80</v>
      </c>
      <c r="E1661">
        <v>7</v>
      </c>
      <c r="F1661">
        <v>7</v>
      </c>
      <c r="G1661">
        <v>45.88</v>
      </c>
      <c r="H1661">
        <v>1.27</v>
      </c>
      <c r="I1661">
        <v>0.82</v>
      </c>
      <c r="J1661" t="s">
        <v>150</v>
      </c>
      <c r="K1661" t="s">
        <v>52</v>
      </c>
      <c r="L1661">
        <v>132</v>
      </c>
      <c r="M1661">
        <v>3.22</v>
      </c>
      <c r="N1661">
        <v>181.07</v>
      </c>
      <c r="O1661">
        <v>0.42</v>
      </c>
      <c r="P1661">
        <v>1</v>
      </c>
      <c r="Q1661">
        <v>0.98</v>
      </c>
      <c r="R1661">
        <v>836</v>
      </c>
      <c r="S1661">
        <v>14.17</v>
      </c>
      <c r="T1661">
        <v>0.41</v>
      </c>
      <c r="U1661" s="1">
        <v>45317</v>
      </c>
      <c r="V1661">
        <v>41.56</v>
      </c>
      <c r="W1661">
        <v>0.80500000000000005</v>
      </c>
      <c r="X1661" t="str">
        <f>IF(WarehouseData[[#This Row],[stock_level]]&lt;=WarehouseData[[#This Row],[reorder_point]],"Low Stock","Sufficient Stock")</f>
        <v>Sufficient Stock</v>
      </c>
      <c r="Y1661">
        <f>WarehouseData[[#This Row],[daily_demand]]*WarehouseData[[#This Row],[lead_time_days]]</f>
        <v>321.16000000000003</v>
      </c>
      <c r="Z1661" t="str">
        <f>IF(WarehouseData[[#This Row],[stock_level]]&lt;=WarehouseData[[#This Row],[Demand During Lead Time]],"At Risk","Safe")</f>
        <v>Safe</v>
      </c>
      <c r="AA1661">
        <f>WarehouseData[[#This Row],[stock_level]]/WarehouseData[[#This Row],[daily_demand]]</f>
        <v>8.4568439407149079</v>
      </c>
      <c r="AB1661">
        <f>WarehouseData[[#This Row],[stock_level]]*WarehouseData[[#This Row],[unit_price]]</f>
        <v>70255.16</v>
      </c>
      <c r="AC1661">
        <f>WarehouseData[[#This Row],[stock_level]]*WarehouseData[[#This Row],[holding_cost_per_unit_day]]*30</f>
        <v>4888.8</v>
      </c>
      <c r="AD1661" t="str">
        <f>IF(WarehouseData[[#This Row],[order_fulfillment_rate]]&gt;=0.9,"Strong",IF(WarehouseData[[#This Row],[order_fulfillment_rate]]&gt;=0.8,"Moderate","Needs Attention"))</f>
        <v>Strong</v>
      </c>
      <c r="AE1661" t="str">
        <f>IF(WarehouseData[[#This Row],[picking_time_seconds]]&gt;120,"Slow",IF(WarehouseData[[#This Row],[picking_time_seconds]]&gt;=60,"Average","Fast"))</f>
        <v>Slow</v>
      </c>
    </row>
    <row r="1662" spans="1:31" x14ac:dyDescent="0.25">
      <c r="A1662" t="s">
        <v>1800</v>
      </c>
      <c r="B1662" t="s">
        <v>48</v>
      </c>
      <c r="C1662">
        <v>310</v>
      </c>
      <c r="D1662">
        <v>45</v>
      </c>
      <c r="E1662">
        <v>5</v>
      </c>
      <c r="F1662">
        <v>4</v>
      </c>
      <c r="G1662">
        <v>14.61</v>
      </c>
      <c r="H1662">
        <v>7.04</v>
      </c>
      <c r="I1662">
        <v>0.71</v>
      </c>
      <c r="J1662" t="s">
        <v>33</v>
      </c>
      <c r="K1662" t="s">
        <v>34</v>
      </c>
      <c r="L1662">
        <v>31</v>
      </c>
      <c r="M1662">
        <v>1.6</v>
      </c>
      <c r="N1662">
        <v>88.98</v>
      </c>
      <c r="O1662">
        <v>1.49</v>
      </c>
      <c r="P1662">
        <v>4</v>
      </c>
      <c r="Q1662">
        <v>0.77</v>
      </c>
      <c r="R1662">
        <v>68</v>
      </c>
      <c r="S1662">
        <v>3.93</v>
      </c>
      <c r="T1662">
        <v>0.71</v>
      </c>
      <c r="U1662" s="1">
        <v>45375</v>
      </c>
      <c r="V1662">
        <v>240.83</v>
      </c>
      <c r="W1662">
        <v>0.51900000000000002</v>
      </c>
      <c r="X1662" t="str">
        <f>IF(WarehouseData[[#This Row],[stock_level]]&lt;=WarehouseData[[#This Row],[reorder_point]],"Low Stock","Sufficient Stock")</f>
        <v>Sufficient Stock</v>
      </c>
      <c r="Y1662">
        <f>WarehouseData[[#This Row],[daily_demand]]*WarehouseData[[#This Row],[lead_time_days]]</f>
        <v>58.44</v>
      </c>
      <c r="Z1662" t="str">
        <f>IF(WarehouseData[[#This Row],[stock_level]]&lt;=WarehouseData[[#This Row],[Demand During Lead Time]],"At Risk","Safe")</f>
        <v>Safe</v>
      </c>
      <c r="AA1662">
        <f>WarehouseData[[#This Row],[stock_level]]/WarehouseData[[#This Row],[daily_demand]]</f>
        <v>21.218343600273787</v>
      </c>
      <c r="AB1662">
        <f>WarehouseData[[#This Row],[stock_level]]*WarehouseData[[#This Row],[unit_price]]</f>
        <v>27583.800000000003</v>
      </c>
      <c r="AC1662">
        <f>WarehouseData[[#This Row],[stock_level]]*WarehouseData[[#This Row],[holding_cost_per_unit_day]]*30</f>
        <v>13857</v>
      </c>
      <c r="AD1662" t="str">
        <f>IF(WarehouseData[[#This Row],[order_fulfillment_rate]]&gt;=0.9,"Strong",IF(WarehouseData[[#This Row],[order_fulfillment_rate]]&gt;=0.8,"Moderate","Needs Attention"))</f>
        <v>Needs Attention</v>
      </c>
      <c r="AE1662" t="str">
        <f>IF(WarehouseData[[#This Row],[picking_time_seconds]]&gt;120,"Slow",IF(WarehouseData[[#This Row],[picking_time_seconds]]&gt;=60,"Average","Fast"))</f>
        <v>Fast</v>
      </c>
    </row>
    <row r="1663" spans="1:31" x14ac:dyDescent="0.25">
      <c r="A1663" t="s">
        <v>1801</v>
      </c>
      <c r="B1663" t="s">
        <v>40</v>
      </c>
      <c r="C1663">
        <v>478</v>
      </c>
      <c r="D1663">
        <v>27</v>
      </c>
      <c r="E1663">
        <v>9</v>
      </c>
      <c r="F1663">
        <v>6</v>
      </c>
      <c r="G1663">
        <v>10.210000000000001</v>
      </c>
      <c r="H1663">
        <v>2.65</v>
      </c>
      <c r="I1663">
        <v>0.49</v>
      </c>
      <c r="J1663" t="s">
        <v>251</v>
      </c>
      <c r="K1663" t="s">
        <v>52</v>
      </c>
      <c r="L1663">
        <v>96</v>
      </c>
      <c r="M1663">
        <v>4.16</v>
      </c>
      <c r="N1663">
        <v>176.2</v>
      </c>
      <c r="O1663">
        <v>0.56999999999999995</v>
      </c>
      <c r="P1663">
        <v>6</v>
      </c>
      <c r="Q1663">
        <v>0.98</v>
      </c>
      <c r="R1663">
        <v>929</v>
      </c>
      <c r="S1663">
        <v>9.27</v>
      </c>
      <c r="T1663">
        <v>0.74</v>
      </c>
      <c r="U1663" s="1">
        <v>45584</v>
      </c>
      <c r="V1663">
        <v>262.77</v>
      </c>
      <c r="W1663">
        <v>0.69099999999999995</v>
      </c>
      <c r="X1663" t="str">
        <f>IF(WarehouseData[[#This Row],[stock_level]]&lt;=WarehouseData[[#This Row],[reorder_point]],"Low Stock","Sufficient Stock")</f>
        <v>Sufficient Stock</v>
      </c>
      <c r="Y1663">
        <f>WarehouseData[[#This Row],[daily_demand]]*WarehouseData[[#This Row],[lead_time_days]]</f>
        <v>61.260000000000005</v>
      </c>
      <c r="Z1663" t="str">
        <f>IF(WarehouseData[[#This Row],[stock_level]]&lt;=WarehouseData[[#This Row],[Demand During Lead Time]],"At Risk","Safe")</f>
        <v>Safe</v>
      </c>
      <c r="AA1663">
        <f>WarehouseData[[#This Row],[stock_level]]/WarehouseData[[#This Row],[daily_demand]]</f>
        <v>46.816846229187071</v>
      </c>
      <c r="AB1663">
        <f>WarehouseData[[#This Row],[stock_level]]*WarehouseData[[#This Row],[unit_price]]</f>
        <v>84223.599999999991</v>
      </c>
      <c r="AC1663">
        <f>WarehouseData[[#This Row],[stock_level]]*WarehouseData[[#This Row],[holding_cost_per_unit_day]]*30</f>
        <v>8173.7999999999993</v>
      </c>
      <c r="AD1663" t="str">
        <f>IF(WarehouseData[[#This Row],[order_fulfillment_rate]]&gt;=0.9,"Strong",IF(WarehouseData[[#This Row],[order_fulfillment_rate]]&gt;=0.8,"Moderate","Needs Attention"))</f>
        <v>Strong</v>
      </c>
      <c r="AE1663" t="str">
        <f>IF(WarehouseData[[#This Row],[picking_time_seconds]]&gt;120,"Slow",IF(WarehouseData[[#This Row],[picking_time_seconds]]&gt;=60,"Average","Fast"))</f>
        <v>Average</v>
      </c>
    </row>
    <row r="1664" spans="1:31" x14ac:dyDescent="0.25">
      <c r="A1664" t="s">
        <v>1802</v>
      </c>
      <c r="B1664" t="s">
        <v>48</v>
      </c>
      <c r="C1664">
        <v>206</v>
      </c>
      <c r="D1664">
        <v>47</v>
      </c>
      <c r="E1664">
        <v>9</v>
      </c>
      <c r="F1664">
        <v>5</v>
      </c>
      <c r="G1664">
        <v>13.8</v>
      </c>
      <c r="H1664">
        <v>0.83</v>
      </c>
      <c r="I1664">
        <v>0.33</v>
      </c>
      <c r="J1664" t="s">
        <v>144</v>
      </c>
      <c r="K1664" t="s">
        <v>38</v>
      </c>
      <c r="L1664">
        <v>86</v>
      </c>
      <c r="M1664">
        <v>4.0999999999999996</v>
      </c>
      <c r="N1664">
        <v>22.16</v>
      </c>
      <c r="O1664">
        <v>0.91</v>
      </c>
      <c r="P1664">
        <v>7</v>
      </c>
      <c r="Q1664">
        <v>0.92</v>
      </c>
      <c r="R1664">
        <v>482</v>
      </c>
      <c r="S1664">
        <v>6.79</v>
      </c>
      <c r="T1664">
        <v>0.78</v>
      </c>
      <c r="U1664" s="1">
        <v>45401</v>
      </c>
      <c r="V1664">
        <v>128.21</v>
      </c>
      <c r="W1664">
        <v>0.6</v>
      </c>
      <c r="X1664" t="str">
        <f>IF(WarehouseData[[#This Row],[stock_level]]&lt;=WarehouseData[[#This Row],[reorder_point]],"Low Stock","Sufficient Stock")</f>
        <v>Sufficient Stock</v>
      </c>
      <c r="Y1664">
        <f>WarehouseData[[#This Row],[daily_demand]]*WarehouseData[[#This Row],[lead_time_days]]</f>
        <v>69</v>
      </c>
      <c r="Z1664" t="str">
        <f>IF(WarehouseData[[#This Row],[stock_level]]&lt;=WarehouseData[[#This Row],[Demand During Lead Time]],"At Risk","Safe")</f>
        <v>Safe</v>
      </c>
      <c r="AA1664">
        <f>WarehouseData[[#This Row],[stock_level]]/WarehouseData[[#This Row],[daily_demand]]</f>
        <v>14.927536231884057</v>
      </c>
      <c r="AB1664">
        <f>WarehouseData[[#This Row],[stock_level]]*WarehouseData[[#This Row],[unit_price]]</f>
        <v>4564.96</v>
      </c>
      <c r="AC1664">
        <f>WarehouseData[[#This Row],[stock_level]]*WarehouseData[[#This Row],[holding_cost_per_unit_day]]*30</f>
        <v>5623.8</v>
      </c>
      <c r="AD1664" t="str">
        <f>IF(WarehouseData[[#This Row],[order_fulfillment_rate]]&gt;=0.9,"Strong",IF(WarehouseData[[#This Row],[order_fulfillment_rate]]&gt;=0.8,"Moderate","Needs Attention"))</f>
        <v>Strong</v>
      </c>
      <c r="AE1664" t="str">
        <f>IF(WarehouseData[[#This Row],[picking_time_seconds]]&gt;120,"Slow",IF(WarehouseData[[#This Row],[picking_time_seconds]]&gt;=60,"Average","Fast"))</f>
        <v>Average</v>
      </c>
    </row>
    <row r="1665" spans="1:31" x14ac:dyDescent="0.25">
      <c r="A1665" t="s">
        <v>1803</v>
      </c>
      <c r="B1665" t="s">
        <v>32</v>
      </c>
      <c r="C1665">
        <v>424</v>
      </c>
      <c r="D1665">
        <v>68</v>
      </c>
      <c r="E1665">
        <v>4</v>
      </c>
      <c r="F1665">
        <v>8</v>
      </c>
      <c r="G1665">
        <v>37.82</v>
      </c>
      <c r="H1665">
        <v>1.07</v>
      </c>
      <c r="I1665">
        <v>0.15</v>
      </c>
      <c r="J1665" t="s">
        <v>88</v>
      </c>
      <c r="K1665" t="s">
        <v>52</v>
      </c>
      <c r="L1665">
        <v>134</v>
      </c>
      <c r="M1665">
        <v>4.95</v>
      </c>
      <c r="N1665">
        <v>178.29</v>
      </c>
      <c r="O1665">
        <v>1.99</v>
      </c>
      <c r="P1665">
        <v>0</v>
      </c>
      <c r="Q1665">
        <v>0.71</v>
      </c>
      <c r="R1665">
        <v>478</v>
      </c>
      <c r="S1665">
        <v>4.66</v>
      </c>
      <c r="T1665">
        <v>0.21</v>
      </c>
      <c r="U1665" s="1">
        <v>45405</v>
      </c>
      <c r="V1665">
        <v>203.06</v>
      </c>
      <c r="W1665">
        <v>0.44700000000000001</v>
      </c>
      <c r="X1665" t="str">
        <f>IF(WarehouseData[[#This Row],[stock_level]]&lt;=WarehouseData[[#This Row],[reorder_point]],"Low Stock","Sufficient Stock")</f>
        <v>Sufficient Stock</v>
      </c>
      <c r="Y1665">
        <f>WarehouseData[[#This Row],[daily_demand]]*WarehouseData[[#This Row],[lead_time_days]]</f>
        <v>302.56</v>
      </c>
      <c r="Z1665" t="str">
        <f>IF(WarehouseData[[#This Row],[stock_level]]&lt;=WarehouseData[[#This Row],[Demand During Lead Time]],"At Risk","Safe")</f>
        <v>Safe</v>
      </c>
      <c r="AA1665">
        <f>WarehouseData[[#This Row],[stock_level]]/WarehouseData[[#This Row],[daily_demand]]</f>
        <v>11.210999471179271</v>
      </c>
      <c r="AB1665">
        <f>WarehouseData[[#This Row],[stock_level]]*WarehouseData[[#This Row],[unit_price]]</f>
        <v>75594.959999999992</v>
      </c>
      <c r="AC1665">
        <f>WarehouseData[[#This Row],[stock_level]]*WarehouseData[[#This Row],[holding_cost_per_unit_day]]*30</f>
        <v>25312.799999999999</v>
      </c>
      <c r="AD1665" t="str">
        <f>IF(WarehouseData[[#This Row],[order_fulfillment_rate]]&gt;=0.9,"Strong",IF(WarehouseData[[#This Row],[order_fulfillment_rate]]&gt;=0.8,"Moderate","Needs Attention"))</f>
        <v>Needs Attention</v>
      </c>
      <c r="AE1665" t="str">
        <f>IF(WarehouseData[[#This Row],[picking_time_seconds]]&gt;120,"Slow",IF(WarehouseData[[#This Row],[picking_time_seconds]]&gt;=60,"Average","Fast"))</f>
        <v>Slow</v>
      </c>
    </row>
    <row r="1666" spans="1:31" x14ac:dyDescent="0.25">
      <c r="A1666" t="s">
        <v>1804</v>
      </c>
      <c r="B1666" t="s">
        <v>32</v>
      </c>
      <c r="C1666">
        <v>457</v>
      </c>
      <c r="D1666">
        <v>18</v>
      </c>
      <c r="E1666">
        <v>9</v>
      </c>
      <c r="F1666">
        <v>4</v>
      </c>
      <c r="G1666">
        <v>19.13</v>
      </c>
      <c r="H1666">
        <v>4.05</v>
      </c>
      <c r="I1666">
        <v>0.4</v>
      </c>
      <c r="J1666" t="s">
        <v>212</v>
      </c>
      <c r="K1666" t="s">
        <v>34</v>
      </c>
      <c r="L1666">
        <v>105</v>
      </c>
      <c r="M1666">
        <v>1.29</v>
      </c>
      <c r="N1666">
        <v>69.010000000000005</v>
      </c>
      <c r="O1666">
        <v>0.28999999999999998</v>
      </c>
      <c r="P1666">
        <v>1</v>
      </c>
      <c r="Q1666">
        <v>0.77</v>
      </c>
      <c r="R1666">
        <v>301</v>
      </c>
      <c r="S1666">
        <v>6</v>
      </c>
      <c r="T1666">
        <v>0.99</v>
      </c>
      <c r="U1666" s="1">
        <v>45623</v>
      </c>
      <c r="V1666">
        <v>18.809999999999999</v>
      </c>
      <c r="W1666">
        <v>0.78300000000000003</v>
      </c>
      <c r="X1666" t="str">
        <f>IF(WarehouseData[[#This Row],[stock_level]]&lt;=WarehouseData[[#This Row],[reorder_point]],"Low Stock","Sufficient Stock")</f>
        <v>Sufficient Stock</v>
      </c>
      <c r="Y1666">
        <f>WarehouseData[[#This Row],[daily_demand]]*WarehouseData[[#This Row],[lead_time_days]]</f>
        <v>76.52</v>
      </c>
      <c r="Z1666" t="str">
        <f>IF(WarehouseData[[#This Row],[stock_level]]&lt;=WarehouseData[[#This Row],[Demand During Lead Time]],"At Risk","Safe")</f>
        <v>Safe</v>
      </c>
      <c r="AA1666">
        <f>WarehouseData[[#This Row],[stock_level]]/WarehouseData[[#This Row],[daily_demand]]</f>
        <v>23.889179299529538</v>
      </c>
      <c r="AB1666">
        <f>WarehouseData[[#This Row],[stock_level]]*WarehouseData[[#This Row],[unit_price]]</f>
        <v>31537.570000000003</v>
      </c>
      <c r="AC1666">
        <f>WarehouseData[[#This Row],[stock_level]]*WarehouseData[[#This Row],[holding_cost_per_unit_day]]*30</f>
        <v>3975.9</v>
      </c>
      <c r="AD1666" t="str">
        <f>IF(WarehouseData[[#This Row],[order_fulfillment_rate]]&gt;=0.9,"Strong",IF(WarehouseData[[#This Row],[order_fulfillment_rate]]&gt;=0.8,"Moderate","Needs Attention"))</f>
        <v>Needs Attention</v>
      </c>
      <c r="AE1666" t="str">
        <f>IF(WarehouseData[[#This Row],[picking_time_seconds]]&gt;120,"Slow",IF(WarehouseData[[#This Row],[picking_time_seconds]]&gt;=60,"Average","Fast"))</f>
        <v>Average</v>
      </c>
    </row>
    <row r="1667" spans="1:31" x14ac:dyDescent="0.25">
      <c r="A1667" t="s">
        <v>1805</v>
      </c>
      <c r="B1667" t="s">
        <v>36</v>
      </c>
      <c r="C1667">
        <v>478</v>
      </c>
      <c r="D1667">
        <v>82</v>
      </c>
      <c r="E1667">
        <v>13</v>
      </c>
      <c r="F1667">
        <v>6</v>
      </c>
      <c r="G1667">
        <v>9.5</v>
      </c>
      <c r="H1667">
        <v>1.24</v>
      </c>
      <c r="I1667">
        <v>0.51</v>
      </c>
      <c r="J1667" t="s">
        <v>120</v>
      </c>
      <c r="K1667" t="s">
        <v>46</v>
      </c>
      <c r="L1667">
        <v>131</v>
      </c>
      <c r="M1667">
        <v>4.32</v>
      </c>
      <c r="N1667">
        <v>117.37</v>
      </c>
      <c r="O1667">
        <v>1.77</v>
      </c>
      <c r="P1667">
        <v>6</v>
      </c>
      <c r="Q1667">
        <v>0.82</v>
      </c>
      <c r="R1667">
        <v>845</v>
      </c>
      <c r="S1667">
        <v>5.12</v>
      </c>
      <c r="T1667">
        <v>0.69</v>
      </c>
      <c r="U1667" s="1">
        <v>45407</v>
      </c>
      <c r="V1667">
        <v>67.2</v>
      </c>
      <c r="W1667">
        <v>0.47299999999999998</v>
      </c>
      <c r="X1667" t="str">
        <f>IF(WarehouseData[[#This Row],[stock_level]]&lt;=WarehouseData[[#This Row],[reorder_point]],"Low Stock","Sufficient Stock")</f>
        <v>Sufficient Stock</v>
      </c>
      <c r="Y1667">
        <f>WarehouseData[[#This Row],[daily_demand]]*WarehouseData[[#This Row],[lead_time_days]]</f>
        <v>57</v>
      </c>
      <c r="Z1667" t="str">
        <f>IF(WarehouseData[[#This Row],[stock_level]]&lt;=WarehouseData[[#This Row],[Demand During Lead Time]],"At Risk","Safe")</f>
        <v>Safe</v>
      </c>
      <c r="AA1667">
        <f>WarehouseData[[#This Row],[stock_level]]/WarehouseData[[#This Row],[daily_demand]]</f>
        <v>50.315789473684212</v>
      </c>
      <c r="AB1667">
        <f>WarehouseData[[#This Row],[stock_level]]*WarehouseData[[#This Row],[unit_price]]</f>
        <v>56102.86</v>
      </c>
      <c r="AC1667">
        <f>WarehouseData[[#This Row],[stock_level]]*WarehouseData[[#This Row],[holding_cost_per_unit_day]]*30</f>
        <v>25381.800000000003</v>
      </c>
      <c r="AD1667" t="str">
        <f>IF(WarehouseData[[#This Row],[order_fulfillment_rate]]&gt;=0.9,"Strong",IF(WarehouseData[[#This Row],[order_fulfillment_rate]]&gt;=0.8,"Moderate","Needs Attention"))</f>
        <v>Moderate</v>
      </c>
      <c r="AE1667" t="str">
        <f>IF(WarehouseData[[#This Row],[picking_time_seconds]]&gt;120,"Slow",IF(WarehouseData[[#This Row],[picking_time_seconds]]&gt;=60,"Average","Fast"))</f>
        <v>Slow</v>
      </c>
    </row>
    <row r="1668" spans="1:31" x14ac:dyDescent="0.25">
      <c r="A1668" t="s">
        <v>1806</v>
      </c>
      <c r="B1668" t="s">
        <v>73</v>
      </c>
      <c r="C1668">
        <v>433</v>
      </c>
      <c r="D1668">
        <v>81</v>
      </c>
      <c r="E1668">
        <v>8</v>
      </c>
      <c r="F1668">
        <v>9</v>
      </c>
      <c r="G1668">
        <v>5.82</v>
      </c>
      <c r="H1668">
        <v>6.17</v>
      </c>
      <c r="I1668">
        <v>0.72</v>
      </c>
      <c r="J1668" t="s">
        <v>273</v>
      </c>
      <c r="K1668" t="s">
        <v>34</v>
      </c>
      <c r="L1668">
        <v>166</v>
      </c>
      <c r="M1668">
        <v>4.42</v>
      </c>
      <c r="N1668">
        <v>61.24</v>
      </c>
      <c r="O1668">
        <v>1.9</v>
      </c>
      <c r="P1668">
        <v>8</v>
      </c>
      <c r="Q1668">
        <v>0.87</v>
      </c>
      <c r="R1668">
        <v>892</v>
      </c>
      <c r="S1668">
        <v>8.39</v>
      </c>
      <c r="T1668">
        <v>0.5</v>
      </c>
      <c r="U1668" s="1">
        <v>45638</v>
      </c>
      <c r="V1668">
        <v>175.38</v>
      </c>
      <c r="W1668">
        <v>0.436</v>
      </c>
      <c r="X1668" t="str">
        <f>IF(WarehouseData[[#This Row],[stock_level]]&lt;=WarehouseData[[#This Row],[reorder_point]],"Low Stock","Sufficient Stock")</f>
        <v>Sufficient Stock</v>
      </c>
      <c r="Y1668">
        <f>WarehouseData[[#This Row],[daily_demand]]*WarehouseData[[#This Row],[lead_time_days]]</f>
        <v>52.38</v>
      </c>
      <c r="Z1668" t="str">
        <f>IF(WarehouseData[[#This Row],[stock_level]]&lt;=WarehouseData[[#This Row],[Demand During Lead Time]],"At Risk","Safe")</f>
        <v>Safe</v>
      </c>
      <c r="AA1668">
        <f>WarehouseData[[#This Row],[stock_level]]/WarehouseData[[#This Row],[daily_demand]]</f>
        <v>74.398625429553263</v>
      </c>
      <c r="AB1668">
        <f>WarehouseData[[#This Row],[stock_level]]*WarehouseData[[#This Row],[unit_price]]</f>
        <v>26516.920000000002</v>
      </c>
      <c r="AC1668">
        <f>WarehouseData[[#This Row],[stock_level]]*WarehouseData[[#This Row],[holding_cost_per_unit_day]]*30</f>
        <v>24680.999999999996</v>
      </c>
      <c r="AD1668" t="str">
        <f>IF(WarehouseData[[#This Row],[order_fulfillment_rate]]&gt;=0.9,"Strong",IF(WarehouseData[[#This Row],[order_fulfillment_rate]]&gt;=0.8,"Moderate","Needs Attention"))</f>
        <v>Moderate</v>
      </c>
      <c r="AE1668" t="str">
        <f>IF(WarehouseData[[#This Row],[picking_time_seconds]]&gt;120,"Slow",IF(WarehouseData[[#This Row],[picking_time_seconds]]&gt;=60,"Average","Fast"))</f>
        <v>Slow</v>
      </c>
    </row>
    <row r="1669" spans="1:31" x14ac:dyDescent="0.25">
      <c r="A1669" t="s">
        <v>1807</v>
      </c>
      <c r="B1669" t="s">
        <v>36</v>
      </c>
      <c r="C1669">
        <v>323</v>
      </c>
      <c r="D1669">
        <v>60</v>
      </c>
      <c r="E1669">
        <v>12</v>
      </c>
      <c r="F1669">
        <v>8</v>
      </c>
      <c r="G1669">
        <v>17.04</v>
      </c>
      <c r="H1669">
        <v>6.65</v>
      </c>
      <c r="I1669">
        <v>0.68</v>
      </c>
      <c r="J1669" t="s">
        <v>281</v>
      </c>
      <c r="K1669" t="s">
        <v>46</v>
      </c>
      <c r="L1669">
        <v>49</v>
      </c>
      <c r="M1669">
        <v>3.39</v>
      </c>
      <c r="N1669">
        <v>197.11</v>
      </c>
      <c r="O1669">
        <v>1.43</v>
      </c>
      <c r="P1669">
        <v>2</v>
      </c>
      <c r="Q1669">
        <v>0.91</v>
      </c>
      <c r="R1669">
        <v>611</v>
      </c>
      <c r="S1669">
        <v>8.81</v>
      </c>
      <c r="T1669">
        <v>0.66</v>
      </c>
      <c r="U1669" s="1">
        <v>45397</v>
      </c>
      <c r="V1669">
        <v>89.48</v>
      </c>
      <c r="W1669">
        <v>0.64800000000000002</v>
      </c>
      <c r="X1669" t="str">
        <f>IF(WarehouseData[[#This Row],[stock_level]]&lt;=WarehouseData[[#This Row],[reorder_point]],"Low Stock","Sufficient Stock")</f>
        <v>Sufficient Stock</v>
      </c>
      <c r="Y1669">
        <f>WarehouseData[[#This Row],[daily_demand]]*WarehouseData[[#This Row],[lead_time_days]]</f>
        <v>136.32</v>
      </c>
      <c r="Z1669" t="str">
        <f>IF(WarehouseData[[#This Row],[stock_level]]&lt;=WarehouseData[[#This Row],[Demand During Lead Time]],"At Risk","Safe")</f>
        <v>Safe</v>
      </c>
      <c r="AA1669">
        <f>WarehouseData[[#This Row],[stock_level]]/WarehouseData[[#This Row],[daily_demand]]</f>
        <v>18.955399061032864</v>
      </c>
      <c r="AB1669">
        <f>WarehouseData[[#This Row],[stock_level]]*WarehouseData[[#This Row],[unit_price]]</f>
        <v>63666.530000000006</v>
      </c>
      <c r="AC1669">
        <f>WarehouseData[[#This Row],[stock_level]]*WarehouseData[[#This Row],[holding_cost_per_unit_day]]*30</f>
        <v>13856.699999999999</v>
      </c>
      <c r="AD1669" t="str">
        <f>IF(WarehouseData[[#This Row],[order_fulfillment_rate]]&gt;=0.9,"Strong",IF(WarehouseData[[#This Row],[order_fulfillment_rate]]&gt;=0.8,"Moderate","Needs Attention"))</f>
        <v>Strong</v>
      </c>
      <c r="AE1669" t="str">
        <f>IF(WarehouseData[[#This Row],[picking_time_seconds]]&gt;120,"Slow",IF(WarehouseData[[#This Row],[picking_time_seconds]]&gt;=60,"Average","Fast"))</f>
        <v>Fast</v>
      </c>
    </row>
    <row r="1670" spans="1:31" x14ac:dyDescent="0.25">
      <c r="A1670" t="s">
        <v>1808</v>
      </c>
      <c r="B1670" t="s">
        <v>40</v>
      </c>
      <c r="C1670">
        <v>310</v>
      </c>
      <c r="D1670">
        <v>44</v>
      </c>
      <c r="E1670">
        <v>11</v>
      </c>
      <c r="F1670">
        <v>3</v>
      </c>
      <c r="G1670">
        <v>7.67</v>
      </c>
      <c r="H1670">
        <v>4.05</v>
      </c>
      <c r="I1670">
        <v>0.95</v>
      </c>
      <c r="J1670" t="s">
        <v>146</v>
      </c>
      <c r="K1670" t="s">
        <v>34</v>
      </c>
      <c r="L1670">
        <v>113</v>
      </c>
      <c r="M1670">
        <v>2.78</v>
      </c>
      <c r="N1670">
        <v>23.64</v>
      </c>
      <c r="O1670">
        <v>0.12</v>
      </c>
      <c r="P1670">
        <v>7</v>
      </c>
      <c r="Q1670">
        <v>0.76</v>
      </c>
      <c r="R1670">
        <v>956</v>
      </c>
      <c r="S1670">
        <v>13.12</v>
      </c>
      <c r="T1670">
        <v>0.34</v>
      </c>
      <c r="U1670" s="1">
        <v>45429</v>
      </c>
      <c r="V1670">
        <v>283.87</v>
      </c>
      <c r="W1670">
        <v>0.64300000000000002</v>
      </c>
      <c r="X1670" t="str">
        <f>IF(WarehouseData[[#This Row],[stock_level]]&lt;=WarehouseData[[#This Row],[reorder_point]],"Low Stock","Sufficient Stock")</f>
        <v>Sufficient Stock</v>
      </c>
      <c r="Y1670">
        <f>WarehouseData[[#This Row],[daily_demand]]*WarehouseData[[#This Row],[lead_time_days]]</f>
        <v>23.009999999999998</v>
      </c>
      <c r="Z1670" t="str">
        <f>IF(WarehouseData[[#This Row],[stock_level]]&lt;=WarehouseData[[#This Row],[Demand During Lead Time]],"At Risk","Safe")</f>
        <v>Safe</v>
      </c>
      <c r="AA1670">
        <f>WarehouseData[[#This Row],[stock_level]]/WarehouseData[[#This Row],[daily_demand]]</f>
        <v>40.41720990873533</v>
      </c>
      <c r="AB1670">
        <f>WarehouseData[[#This Row],[stock_level]]*WarehouseData[[#This Row],[unit_price]]</f>
        <v>7328.4000000000005</v>
      </c>
      <c r="AC1670">
        <f>WarehouseData[[#This Row],[stock_level]]*WarehouseData[[#This Row],[holding_cost_per_unit_day]]*30</f>
        <v>1115.9999999999998</v>
      </c>
      <c r="AD1670" t="str">
        <f>IF(WarehouseData[[#This Row],[order_fulfillment_rate]]&gt;=0.9,"Strong",IF(WarehouseData[[#This Row],[order_fulfillment_rate]]&gt;=0.8,"Moderate","Needs Attention"))</f>
        <v>Needs Attention</v>
      </c>
      <c r="AE1670" t="str">
        <f>IF(WarehouseData[[#This Row],[picking_time_seconds]]&gt;120,"Slow",IF(WarehouseData[[#This Row],[picking_time_seconds]]&gt;=60,"Average","Fast"))</f>
        <v>Average</v>
      </c>
    </row>
    <row r="1671" spans="1:31" x14ac:dyDescent="0.25">
      <c r="A1671" t="s">
        <v>1809</v>
      </c>
      <c r="B1671" t="s">
        <v>48</v>
      </c>
      <c r="C1671">
        <v>105</v>
      </c>
      <c r="D1671">
        <v>91</v>
      </c>
      <c r="E1671">
        <v>11</v>
      </c>
      <c r="F1671">
        <v>8</v>
      </c>
      <c r="G1671">
        <v>8.66</v>
      </c>
      <c r="H1671">
        <v>7.56</v>
      </c>
      <c r="I1671">
        <v>0.19</v>
      </c>
      <c r="J1671" t="s">
        <v>135</v>
      </c>
      <c r="K1671" t="s">
        <v>34</v>
      </c>
      <c r="L1671">
        <v>128</v>
      </c>
      <c r="M1671">
        <v>4.8099999999999996</v>
      </c>
      <c r="N1671">
        <v>94.92</v>
      </c>
      <c r="O1671">
        <v>1.66</v>
      </c>
      <c r="P1671">
        <v>9</v>
      </c>
      <c r="Q1671">
        <v>0.95</v>
      </c>
      <c r="R1671">
        <v>872</v>
      </c>
      <c r="S1671">
        <v>11.94</v>
      </c>
      <c r="T1671">
        <v>0.4</v>
      </c>
      <c r="U1671" s="1">
        <v>45625</v>
      </c>
      <c r="V1671">
        <v>252.74</v>
      </c>
      <c r="W1671">
        <v>0.48299999999999998</v>
      </c>
      <c r="X1671" t="str">
        <f>IF(WarehouseData[[#This Row],[stock_level]]&lt;=WarehouseData[[#This Row],[reorder_point]],"Low Stock","Sufficient Stock")</f>
        <v>Sufficient Stock</v>
      </c>
      <c r="Y1671">
        <f>WarehouseData[[#This Row],[daily_demand]]*WarehouseData[[#This Row],[lead_time_days]]</f>
        <v>69.28</v>
      </c>
      <c r="Z1671" t="str">
        <f>IF(WarehouseData[[#This Row],[stock_level]]&lt;=WarehouseData[[#This Row],[Demand During Lead Time]],"At Risk","Safe")</f>
        <v>Safe</v>
      </c>
      <c r="AA1671">
        <f>WarehouseData[[#This Row],[stock_level]]/WarehouseData[[#This Row],[daily_demand]]</f>
        <v>12.124711316397228</v>
      </c>
      <c r="AB1671">
        <f>WarehouseData[[#This Row],[stock_level]]*WarehouseData[[#This Row],[unit_price]]</f>
        <v>9966.6</v>
      </c>
      <c r="AC1671">
        <f>WarehouseData[[#This Row],[stock_level]]*WarehouseData[[#This Row],[holding_cost_per_unit_day]]*30</f>
        <v>5228.9999999999991</v>
      </c>
      <c r="AD1671" t="str">
        <f>IF(WarehouseData[[#This Row],[order_fulfillment_rate]]&gt;=0.9,"Strong",IF(WarehouseData[[#This Row],[order_fulfillment_rate]]&gt;=0.8,"Moderate","Needs Attention"))</f>
        <v>Strong</v>
      </c>
      <c r="AE1671" t="str">
        <f>IF(WarehouseData[[#This Row],[picking_time_seconds]]&gt;120,"Slow",IF(WarehouseData[[#This Row],[picking_time_seconds]]&gt;=60,"Average","Fast"))</f>
        <v>Slow</v>
      </c>
    </row>
    <row r="1672" spans="1:31" x14ac:dyDescent="0.25">
      <c r="A1672" t="s">
        <v>1810</v>
      </c>
      <c r="B1672" t="s">
        <v>40</v>
      </c>
      <c r="C1672">
        <v>185</v>
      </c>
      <c r="D1672">
        <v>14</v>
      </c>
      <c r="E1672">
        <v>4</v>
      </c>
      <c r="F1672">
        <v>2</v>
      </c>
      <c r="G1672">
        <v>34.51</v>
      </c>
      <c r="H1672">
        <v>5.16</v>
      </c>
      <c r="I1672">
        <v>0.4</v>
      </c>
      <c r="J1672" t="s">
        <v>79</v>
      </c>
      <c r="K1672" t="s">
        <v>38</v>
      </c>
      <c r="L1672">
        <v>147</v>
      </c>
      <c r="M1672">
        <v>4.88</v>
      </c>
      <c r="N1672">
        <v>127.99</v>
      </c>
      <c r="O1672">
        <v>1.78</v>
      </c>
      <c r="P1672">
        <v>2</v>
      </c>
      <c r="Q1672">
        <v>0.95</v>
      </c>
      <c r="R1672">
        <v>698</v>
      </c>
      <c r="S1672">
        <v>5.24</v>
      </c>
      <c r="T1672">
        <v>0.27</v>
      </c>
      <c r="U1672" s="1">
        <v>45501</v>
      </c>
      <c r="V1672">
        <v>199.95</v>
      </c>
      <c r="W1672">
        <v>0.496</v>
      </c>
      <c r="X1672" t="str">
        <f>IF(WarehouseData[[#This Row],[stock_level]]&lt;=WarehouseData[[#This Row],[reorder_point]],"Low Stock","Sufficient Stock")</f>
        <v>Sufficient Stock</v>
      </c>
      <c r="Y1672">
        <f>WarehouseData[[#This Row],[daily_demand]]*WarehouseData[[#This Row],[lead_time_days]]</f>
        <v>69.02</v>
      </c>
      <c r="Z1672" t="str">
        <f>IF(WarehouseData[[#This Row],[stock_level]]&lt;=WarehouseData[[#This Row],[Demand During Lead Time]],"At Risk","Safe")</f>
        <v>Safe</v>
      </c>
      <c r="AA1672">
        <f>WarehouseData[[#This Row],[stock_level]]/WarehouseData[[#This Row],[daily_demand]]</f>
        <v>5.360764995653434</v>
      </c>
      <c r="AB1672">
        <f>WarehouseData[[#This Row],[stock_level]]*WarehouseData[[#This Row],[unit_price]]</f>
        <v>23678.149999999998</v>
      </c>
      <c r="AC1672">
        <f>WarehouseData[[#This Row],[stock_level]]*WarehouseData[[#This Row],[holding_cost_per_unit_day]]*30</f>
        <v>9879</v>
      </c>
      <c r="AD1672" t="str">
        <f>IF(WarehouseData[[#This Row],[order_fulfillment_rate]]&gt;=0.9,"Strong",IF(WarehouseData[[#This Row],[order_fulfillment_rate]]&gt;=0.8,"Moderate","Needs Attention"))</f>
        <v>Strong</v>
      </c>
      <c r="AE1672" t="str">
        <f>IF(WarehouseData[[#This Row],[picking_time_seconds]]&gt;120,"Slow",IF(WarehouseData[[#This Row],[picking_time_seconds]]&gt;=60,"Average","Fast"))</f>
        <v>Slow</v>
      </c>
    </row>
    <row r="1673" spans="1:31" x14ac:dyDescent="0.25">
      <c r="A1673" t="s">
        <v>1811</v>
      </c>
      <c r="B1673" t="s">
        <v>32</v>
      </c>
      <c r="C1673">
        <v>434</v>
      </c>
      <c r="D1673">
        <v>23</v>
      </c>
      <c r="E1673">
        <v>9</v>
      </c>
      <c r="F1673">
        <v>2</v>
      </c>
      <c r="G1673">
        <v>1.97</v>
      </c>
      <c r="H1673">
        <v>4.59</v>
      </c>
      <c r="I1673">
        <v>0.53</v>
      </c>
      <c r="J1673" t="s">
        <v>81</v>
      </c>
      <c r="K1673" t="s">
        <v>52</v>
      </c>
      <c r="L1673">
        <v>129</v>
      </c>
      <c r="M1673">
        <v>3.39</v>
      </c>
      <c r="N1673">
        <v>126.97</v>
      </c>
      <c r="O1673">
        <v>1.96</v>
      </c>
      <c r="P1673">
        <v>3</v>
      </c>
      <c r="Q1673">
        <v>0.89</v>
      </c>
      <c r="R1673">
        <v>959</v>
      </c>
      <c r="S1673">
        <v>14.04</v>
      </c>
      <c r="T1673">
        <v>0.9</v>
      </c>
      <c r="U1673" s="1">
        <v>45554</v>
      </c>
      <c r="V1673">
        <v>299.66000000000003</v>
      </c>
      <c r="W1673">
        <v>0.68899999999999995</v>
      </c>
      <c r="X1673" t="str">
        <f>IF(WarehouseData[[#This Row],[stock_level]]&lt;=WarehouseData[[#This Row],[reorder_point]],"Low Stock","Sufficient Stock")</f>
        <v>Sufficient Stock</v>
      </c>
      <c r="Y1673">
        <f>WarehouseData[[#This Row],[daily_demand]]*WarehouseData[[#This Row],[lead_time_days]]</f>
        <v>3.94</v>
      </c>
      <c r="Z1673" t="str">
        <f>IF(WarehouseData[[#This Row],[stock_level]]&lt;=WarehouseData[[#This Row],[Demand During Lead Time]],"At Risk","Safe")</f>
        <v>Safe</v>
      </c>
      <c r="AA1673">
        <f>WarehouseData[[#This Row],[stock_level]]/WarehouseData[[#This Row],[daily_demand]]</f>
        <v>220.30456852791878</v>
      </c>
      <c r="AB1673">
        <f>WarehouseData[[#This Row],[stock_level]]*WarehouseData[[#This Row],[unit_price]]</f>
        <v>55104.979999999996</v>
      </c>
      <c r="AC1673">
        <f>WarehouseData[[#This Row],[stock_level]]*WarehouseData[[#This Row],[holding_cost_per_unit_day]]*30</f>
        <v>25519.200000000001</v>
      </c>
      <c r="AD1673" t="str">
        <f>IF(WarehouseData[[#This Row],[order_fulfillment_rate]]&gt;=0.9,"Strong",IF(WarehouseData[[#This Row],[order_fulfillment_rate]]&gt;=0.8,"Moderate","Needs Attention"))</f>
        <v>Moderate</v>
      </c>
      <c r="AE1673" t="str">
        <f>IF(WarehouseData[[#This Row],[picking_time_seconds]]&gt;120,"Slow",IF(WarehouseData[[#This Row],[picking_time_seconds]]&gt;=60,"Average","Fast"))</f>
        <v>Slow</v>
      </c>
    </row>
    <row r="1674" spans="1:31" x14ac:dyDescent="0.25">
      <c r="A1674" t="s">
        <v>1812</v>
      </c>
      <c r="B1674" t="s">
        <v>36</v>
      </c>
      <c r="C1674">
        <v>481</v>
      </c>
      <c r="D1674">
        <v>39</v>
      </c>
      <c r="E1674">
        <v>7</v>
      </c>
      <c r="F1674">
        <v>6</v>
      </c>
      <c r="G1674">
        <v>6.76</v>
      </c>
      <c r="H1674">
        <v>4.37</v>
      </c>
      <c r="I1674">
        <v>0.7</v>
      </c>
      <c r="J1674" t="s">
        <v>301</v>
      </c>
      <c r="K1674" t="s">
        <v>34</v>
      </c>
      <c r="L1674">
        <v>26</v>
      </c>
      <c r="M1674">
        <v>2.12</v>
      </c>
      <c r="N1674">
        <v>150.36000000000001</v>
      </c>
      <c r="O1674">
        <v>1.69</v>
      </c>
      <c r="P1674">
        <v>1</v>
      </c>
      <c r="Q1674">
        <v>0.98</v>
      </c>
      <c r="R1674">
        <v>787</v>
      </c>
      <c r="S1674">
        <v>13.16</v>
      </c>
      <c r="T1674">
        <v>0.4</v>
      </c>
      <c r="U1674" s="1">
        <v>45302</v>
      </c>
      <c r="V1674">
        <v>80.540000000000006</v>
      </c>
      <c r="W1674">
        <v>0.66200000000000003</v>
      </c>
      <c r="X1674" t="str">
        <f>IF(WarehouseData[[#This Row],[stock_level]]&lt;=WarehouseData[[#This Row],[reorder_point]],"Low Stock","Sufficient Stock")</f>
        <v>Sufficient Stock</v>
      </c>
      <c r="Y1674">
        <f>WarehouseData[[#This Row],[daily_demand]]*WarehouseData[[#This Row],[lead_time_days]]</f>
        <v>40.56</v>
      </c>
      <c r="Z1674" t="str">
        <f>IF(WarehouseData[[#This Row],[stock_level]]&lt;=WarehouseData[[#This Row],[Demand During Lead Time]],"At Risk","Safe")</f>
        <v>Safe</v>
      </c>
      <c r="AA1674">
        <f>WarehouseData[[#This Row],[stock_level]]/WarehouseData[[#This Row],[daily_demand]]</f>
        <v>71.15384615384616</v>
      </c>
      <c r="AB1674">
        <f>WarehouseData[[#This Row],[stock_level]]*WarehouseData[[#This Row],[unit_price]]</f>
        <v>72323.16</v>
      </c>
      <c r="AC1674">
        <f>WarehouseData[[#This Row],[stock_level]]*WarehouseData[[#This Row],[holding_cost_per_unit_day]]*30</f>
        <v>24386.7</v>
      </c>
      <c r="AD1674" t="str">
        <f>IF(WarehouseData[[#This Row],[order_fulfillment_rate]]&gt;=0.9,"Strong",IF(WarehouseData[[#This Row],[order_fulfillment_rate]]&gt;=0.8,"Moderate","Needs Attention"))</f>
        <v>Strong</v>
      </c>
      <c r="AE1674" t="str">
        <f>IF(WarehouseData[[#This Row],[picking_time_seconds]]&gt;120,"Slow",IF(WarehouseData[[#This Row],[picking_time_seconds]]&gt;=60,"Average","Fast"))</f>
        <v>Fast</v>
      </c>
    </row>
    <row r="1675" spans="1:31" x14ac:dyDescent="0.25">
      <c r="A1675" t="s">
        <v>1813</v>
      </c>
      <c r="B1675" t="s">
        <v>36</v>
      </c>
      <c r="C1675">
        <v>427</v>
      </c>
      <c r="D1675">
        <v>13</v>
      </c>
      <c r="E1675">
        <v>8</v>
      </c>
      <c r="F1675">
        <v>4</v>
      </c>
      <c r="G1675">
        <v>42.37</v>
      </c>
      <c r="H1675">
        <v>4.5999999999999996</v>
      </c>
      <c r="I1675">
        <v>0.55000000000000004</v>
      </c>
      <c r="J1675" t="s">
        <v>122</v>
      </c>
      <c r="K1675" t="s">
        <v>46</v>
      </c>
      <c r="L1675">
        <v>111</v>
      </c>
      <c r="M1675">
        <v>4.18</v>
      </c>
      <c r="N1675">
        <v>147.63999999999999</v>
      </c>
      <c r="O1675">
        <v>0.95</v>
      </c>
      <c r="P1675">
        <v>8</v>
      </c>
      <c r="Q1675">
        <v>0.94</v>
      </c>
      <c r="R1675">
        <v>270</v>
      </c>
      <c r="S1675">
        <v>9.76</v>
      </c>
      <c r="T1675">
        <v>0.79</v>
      </c>
      <c r="U1675" s="1">
        <v>45641</v>
      </c>
      <c r="V1675">
        <v>276.55</v>
      </c>
      <c r="W1675">
        <v>0.621</v>
      </c>
      <c r="X1675" t="str">
        <f>IF(WarehouseData[[#This Row],[stock_level]]&lt;=WarehouseData[[#This Row],[reorder_point]],"Low Stock","Sufficient Stock")</f>
        <v>Sufficient Stock</v>
      </c>
      <c r="Y1675">
        <f>WarehouseData[[#This Row],[daily_demand]]*WarehouseData[[#This Row],[lead_time_days]]</f>
        <v>169.48</v>
      </c>
      <c r="Z1675" t="str">
        <f>IF(WarehouseData[[#This Row],[stock_level]]&lt;=WarehouseData[[#This Row],[Demand During Lead Time]],"At Risk","Safe")</f>
        <v>Safe</v>
      </c>
      <c r="AA1675">
        <f>WarehouseData[[#This Row],[stock_level]]/WarehouseData[[#This Row],[daily_demand]]</f>
        <v>10.077885296200142</v>
      </c>
      <c r="AB1675">
        <f>WarehouseData[[#This Row],[stock_level]]*WarehouseData[[#This Row],[unit_price]]</f>
        <v>63042.279999999992</v>
      </c>
      <c r="AC1675">
        <f>WarehouseData[[#This Row],[stock_level]]*WarehouseData[[#This Row],[holding_cost_per_unit_day]]*30</f>
        <v>12169.5</v>
      </c>
      <c r="AD1675" t="str">
        <f>IF(WarehouseData[[#This Row],[order_fulfillment_rate]]&gt;=0.9,"Strong",IF(WarehouseData[[#This Row],[order_fulfillment_rate]]&gt;=0.8,"Moderate","Needs Attention"))</f>
        <v>Strong</v>
      </c>
      <c r="AE1675" t="str">
        <f>IF(WarehouseData[[#This Row],[picking_time_seconds]]&gt;120,"Slow",IF(WarehouseData[[#This Row],[picking_time_seconds]]&gt;=60,"Average","Fast"))</f>
        <v>Average</v>
      </c>
    </row>
    <row r="1676" spans="1:31" x14ac:dyDescent="0.25">
      <c r="A1676" t="s">
        <v>1814</v>
      </c>
      <c r="B1676" t="s">
        <v>36</v>
      </c>
      <c r="C1676">
        <v>133</v>
      </c>
      <c r="D1676">
        <v>48</v>
      </c>
      <c r="E1676">
        <v>3</v>
      </c>
      <c r="F1676">
        <v>5</v>
      </c>
      <c r="G1676">
        <v>42.4</v>
      </c>
      <c r="H1676">
        <v>9.69</v>
      </c>
      <c r="I1676">
        <v>0.92</v>
      </c>
      <c r="J1676" t="s">
        <v>92</v>
      </c>
      <c r="K1676" t="s">
        <v>52</v>
      </c>
      <c r="L1676">
        <v>139</v>
      </c>
      <c r="M1676">
        <v>0.9</v>
      </c>
      <c r="N1676">
        <v>160.69999999999999</v>
      </c>
      <c r="O1676">
        <v>1.41</v>
      </c>
      <c r="P1676">
        <v>4</v>
      </c>
      <c r="Q1676">
        <v>0.77</v>
      </c>
      <c r="R1676">
        <v>162</v>
      </c>
      <c r="S1676">
        <v>1.26</v>
      </c>
      <c r="T1676">
        <v>0.42</v>
      </c>
      <c r="U1676" s="1">
        <v>45296</v>
      </c>
      <c r="V1676">
        <v>98.33</v>
      </c>
      <c r="W1676">
        <v>0.434</v>
      </c>
      <c r="X1676" t="str">
        <f>IF(WarehouseData[[#This Row],[stock_level]]&lt;=WarehouseData[[#This Row],[reorder_point]],"Low Stock","Sufficient Stock")</f>
        <v>Sufficient Stock</v>
      </c>
      <c r="Y1676">
        <f>WarehouseData[[#This Row],[daily_demand]]*WarehouseData[[#This Row],[lead_time_days]]</f>
        <v>212</v>
      </c>
      <c r="Z1676" t="str">
        <f>IF(WarehouseData[[#This Row],[stock_level]]&lt;=WarehouseData[[#This Row],[Demand During Lead Time]],"At Risk","Safe")</f>
        <v>At Risk</v>
      </c>
      <c r="AA1676">
        <f>WarehouseData[[#This Row],[stock_level]]/WarehouseData[[#This Row],[daily_demand]]</f>
        <v>3.1367924528301887</v>
      </c>
      <c r="AB1676">
        <f>WarehouseData[[#This Row],[stock_level]]*WarehouseData[[#This Row],[unit_price]]</f>
        <v>21373.1</v>
      </c>
      <c r="AC1676">
        <f>WarehouseData[[#This Row],[stock_level]]*WarehouseData[[#This Row],[holding_cost_per_unit_day]]*30</f>
        <v>5625.9</v>
      </c>
      <c r="AD1676" t="str">
        <f>IF(WarehouseData[[#This Row],[order_fulfillment_rate]]&gt;=0.9,"Strong",IF(WarehouseData[[#This Row],[order_fulfillment_rate]]&gt;=0.8,"Moderate","Needs Attention"))</f>
        <v>Needs Attention</v>
      </c>
      <c r="AE1676" t="str">
        <f>IF(WarehouseData[[#This Row],[picking_time_seconds]]&gt;120,"Slow",IF(WarehouseData[[#This Row],[picking_time_seconds]]&gt;=60,"Average","Fast"))</f>
        <v>Slow</v>
      </c>
    </row>
    <row r="1677" spans="1:31" x14ac:dyDescent="0.25">
      <c r="A1677" t="s">
        <v>1815</v>
      </c>
      <c r="B1677" t="s">
        <v>40</v>
      </c>
      <c r="C1677">
        <v>452</v>
      </c>
      <c r="D1677">
        <v>93</v>
      </c>
      <c r="E1677">
        <v>9</v>
      </c>
      <c r="F1677">
        <v>3</v>
      </c>
      <c r="G1677">
        <v>17.13</v>
      </c>
      <c r="H1677">
        <v>6.97</v>
      </c>
      <c r="I1677">
        <v>0.65</v>
      </c>
      <c r="J1677" t="s">
        <v>37</v>
      </c>
      <c r="K1677" t="s">
        <v>38</v>
      </c>
      <c r="L1677">
        <v>154</v>
      </c>
      <c r="M1677">
        <v>1.81</v>
      </c>
      <c r="N1677">
        <v>54.51</v>
      </c>
      <c r="O1677">
        <v>1.02</v>
      </c>
      <c r="P1677">
        <v>4</v>
      </c>
      <c r="Q1677">
        <v>0.94</v>
      </c>
      <c r="R1677">
        <v>198</v>
      </c>
      <c r="S1677">
        <v>3.93</v>
      </c>
      <c r="T1677">
        <v>0.32</v>
      </c>
      <c r="U1677" s="1">
        <v>45534</v>
      </c>
      <c r="V1677">
        <v>183.01</v>
      </c>
      <c r="W1677">
        <v>0.52200000000000002</v>
      </c>
      <c r="X1677" t="str">
        <f>IF(WarehouseData[[#This Row],[stock_level]]&lt;=WarehouseData[[#This Row],[reorder_point]],"Low Stock","Sufficient Stock")</f>
        <v>Sufficient Stock</v>
      </c>
      <c r="Y1677">
        <f>WarehouseData[[#This Row],[daily_demand]]*WarehouseData[[#This Row],[lead_time_days]]</f>
        <v>51.39</v>
      </c>
      <c r="Z1677" t="str">
        <f>IF(WarehouseData[[#This Row],[stock_level]]&lt;=WarehouseData[[#This Row],[Demand During Lead Time]],"At Risk","Safe")</f>
        <v>Safe</v>
      </c>
      <c r="AA1677">
        <f>WarehouseData[[#This Row],[stock_level]]/WarehouseData[[#This Row],[daily_demand]]</f>
        <v>26.386456509048454</v>
      </c>
      <c r="AB1677">
        <f>WarehouseData[[#This Row],[stock_level]]*WarehouseData[[#This Row],[unit_price]]</f>
        <v>24638.52</v>
      </c>
      <c r="AC1677">
        <f>WarehouseData[[#This Row],[stock_level]]*WarehouseData[[#This Row],[holding_cost_per_unit_day]]*30</f>
        <v>13831.2</v>
      </c>
      <c r="AD1677" t="str">
        <f>IF(WarehouseData[[#This Row],[order_fulfillment_rate]]&gt;=0.9,"Strong",IF(WarehouseData[[#This Row],[order_fulfillment_rate]]&gt;=0.8,"Moderate","Needs Attention"))</f>
        <v>Strong</v>
      </c>
      <c r="AE1677" t="str">
        <f>IF(WarehouseData[[#This Row],[picking_time_seconds]]&gt;120,"Slow",IF(WarehouseData[[#This Row],[picking_time_seconds]]&gt;=60,"Average","Fast"))</f>
        <v>Slow</v>
      </c>
    </row>
    <row r="1678" spans="1:31" x14ac:dyDescent="0.25">
      <c r="A1678" t="s">
        <v>1816</v>
      </c>
      <c r="B1678" t="s">
        <v>32</v>
      </c>
      <c r="C1678">
        <v>499</v>
      </c>
      <c r="D1678">
        <v>73</v>
      </c>
      <c r="E1678">
        <v>8</v>
      </c>
      <c r="F1678">
        <v>6</v>
      </c>
      <c r="G1678">
        <v>5.31</v>
      </c>
      <c r="H1678">
        <v>3.49</v>
      </c>
      <c r="I1678">
        <v>0.14000000000000001</v>
      </c>
      <c r="J1678" t="s">
        <v>90</v>
      </c>
      <c r="K1678" t="s">
        <v>52</v>
      </c>
      <c r="L1678">
        <v>117</v>
      </c>
      <c r="M1678">
        <v>4.93</v>
      </c>
      <c r="N1678">
        <v>80.400000000000006</v>
      </c>
      <c r="O1678">
        <v>0.77</v>
      </c>
      <c r="P1678">
        <v>3</v>
      </c>
      <c r="Q1678">
        <v>0.99</v>
      </c>
      <c r="R1678">
        <v>609</v>
      </c>
      <c r="S1678">
        <v>12.05</v>
      </c>
      <c r="T1678">
        <v>0.28999999999999998</v>
      </c>
      <c r="U1678" s="1">
        <v>45359</v>
      </c>
      <c r="V1678">
        <v>135.97</v>
      </c>
      <c r="W1678">
        <v>0.68</v>
      </c>
      <c r="X1678" t="str">
        <f>IF(WarehouseData[[#This Row],[stock_level]]&lt;=WarehouseData[[#This Row],[reorder_point]],"Low Stock","Sufficient Stock")</f>
        <v>Sufficient Stock</v>
      </c>
      <c r="Y1678">
        <f>WarehouseData[[#This Row],[daily_demand]]*WarehouseData[[#This Row],[lead_time_days]]</f>
        <v>31.86</v>
      </c>
      <c r="Z1678" t="str">
        <f>IF(WarehouseData[[#This Row],[stock_level]]&lt;=WarehouseData[[#This Row],[Demand During Lead Time]],"At Risk","Safe")</f>
        <v>Safe</v>
      </c>
      <c r="AA1678">
        <f>WarehouseData[[#This Row],[stock_level]]/WarehouseData[[#This Row],[daily_demand]]</f>
        <v>93.973634651600761</v>
      </c>
      <c r="AB1678">
        <f>WarehouseData[[#This Row],[stock_level]]*WarehouseData[[#This Row],[unit_price]]</f>
        <v>40119.600000000006</v>
      </c>
      <c r="AC1678">
        <f>WarehouseData[[#This Row],[stock_level]]*WarehouseData[[#This Row],[holding_cost_per_unit_day]]*30</f>
        <v>11526.900000000001</v>
      </c>
      <c r="AD1678" t="str">
        <f>IF(WarehouseData[[#This Row],[order_fulfillment_rate]]&gt;=0.9,"Strong",IF(WarehouseData[[#This Row],[order_fulfillment_rate]]&gt;=0.8,"Moderate","Needs Attention"))</f>
        <v>Strong</v>
      </c>
      <c r="AE1678" t="str">
        <f>IF(WarehouseData[[#This Row],[picking_time_seconds]]&gt;120,"Slow",IF(WarehouseData[[#This Row],[picking_time_seconds]]&gt;=60,"Average","Fast"))</f>
        <v>Average</v>
      </c>
    </row>
    <row r="1679" spans="1:31" x14ac:dyDescent="0.25">
      <c r="A1679" t="s">
        <v>1817</v>
      </c>
      <c r="B1679" t="s">
        <v>48</v>
      </c>
      <c r="C1679">
        <v>375</v>
      </c>
      <c r="D1679">
        <v>34</v>
      </c>
      <c r="E1679">
        <v>6</v>
      </c>
      <c r="F1679">
        <v>9</v>
      </c>
      <c r="G1679">
        <v>35.54</v>
      </c>
      <c r="H1679">
        <v>7.47</v>
      </c>
      <c r="I1679">
        <v>0.2</v>
      </c>
      <c r="J1679" t="s">
        <v>90</v>
      </c>
      <c r="K1679" t="s">
        <v>34</v>
      </c>
      <c r="L1679">
        <v>99</v>
      </c>
      <c r="M1679">
        <v>4.16</v>
      </c>
      <c r="N1679">
        <v>82.59</v>
      </c>
      <c r="O1679">
        <v>1.29</v>
      </c>
      <c r="P1679">
        <v>4</v>
      </c>
      <c r="Q1679">
        <v>0.74</v>
      </c>
      <c r="R1679">
        <v>107</v>
      </c>
      <c r="S1679">
        <v>7.35</v>
      </c>
      <c r="T1679">
        <v>0.89</v>
      </c>
      <c r="U1679" s="1">
        <v>45623</v>
      </c>
      <c r="V1679">
        <v>138.53</v>
      </c>
      <c r="W1679">
        <v>0.61499999999999999</v>
      </c>
      <c r="X1679" t="str">
        <f>IF(WarehouseData[[#This Row],[stock_level]]&lt;=WarehouseData[[#This Row],[reorder_point]],"Low Stock","Sufficient Stock")</f>
        <v>Sufficient Stock</v>
      </c>
      <c r="Y1679">
        <f>WarehouseData[[#This Row],[daily_demand]]*WarehouseData[[#This Row],[lead_time_days]]</f>
        <v>319.86</v>
      </c>
      <c r="Z1679" t="str">
        <f>IF(WarehouseData[[#This Row],[stock_level]]&lt;=WarehouseData[[#This Row],[Demand During Lead Time]],"At Risk","Safe")</f>
        <v>Safe</v>
      </c>
      <c r="AA1679">
        <f>WarehouseData[[#This Row],[stock_level]]/WarehouseData[[#This Row],[daily_demand]]</f>
        <v>10.551491277433877</v>
      </c>
      <c r="AB1679">
        <f>WarehouseData[[#This Row],[stock_level]]*WarehouseData[[#This Row],[unit_price]]</f>
        <v>30971.25</v>
      </c>
      <c r="AC1679">
        <f>WarehouseData[[#This Row],[stock_level]]*WarehouseData[[#This Row],[holding_cost_per_unit_day]]*30</f>
        <v>14512.5</v>
      </c>
      <c r="AD1679" t="str">
        <f>IF(WarehouseData[[#This Row],[order_fulfillment_rate]]&gt;=0.9,"Strong",IF(WarehouseData[[#This Row],[order_fulfillment_rate]]&gt;=0.8,"Moderate","Needs Attention"))</f>
        <v>Needs Attention</v>
      </c>
      <c r="AE1679" t="str">
        <f>IF(WarehouseData[[#This Row],[picking_time_seconds]]&gt;120,"Slow",IF(WarehouseData[[#This Row],[picking_time_seconds]]&gt;=60,"Average","Fast"))</f>
        <v>Average</v>
      </c>
    </row>
    <row r="1680" spans="1:31" x14ac:dyDescent="0.25">
      <c r="A1680" t="s">
        <v>1818</v>
      </c>
      <c r="B1680" t="s">
        <v>48</v>
      </c>
      <c r="C1680">
        <v>435</v>
      </c>
      <c r="D1680">
        <v>37</v>
      </c>
      <c r="E1680">
        <v>3</v>
      </c>
      <c r="F1680">
        <v>3</v>
      </c>
      <c r="G1680">
        <v>18.649999999999999</v>
      </c>
      <c r="H1680">
        <v>3.64</v>
      </c>
      <c r="I1680">
        <v>0.78</v>
      </c>
      <c r="J1680" t="s">
        <v>166</v>
      </c>
      <c r="K1680" t="s">
        <v>46</v>
      </c>
      <c r="L1680">
        <v>128</v>
      </c>
      <c r="M1680">
        <v>4.7300000000000004</v>
      </c>
      <c r="N1680">
        <v>191.61</v>
      </c>
      <c r="O1680">
        <v>1.56</v>
      </c>
      <c r="P1680">
        <v>0</v>
      </c>
      <c r="Q1680">
        <v>0.99</v>
      </c>
      <c r="R1680">
        <v>246</v>
      </c>
      <c r="S1680">
        <v>2.76</v>
      </c>
      <c r="T1680">
        <v>0.3</v>
      </c>
      <c r="U1680" s="1">
        <v>45380</v>
      </c>
      <c r="V1680">
        <v>231.13</v>
      </c>
      <c r="W1680">
        <v>0.53900000000000003</v>
      </c>
      <c r="X1680" t="str">
        <f>IF(WarehouseData[[#This Row],[stock_level]]&lt;=WarehouseData[[#This Row],[reorder_point]],"Low Stock","Sufficient Stock")</f>
        <v>Sufficient Stock</v>
      </c>
      <c r="Y1680">
        <f>WarehouseData[[#This Row],[daily_demand]]*WarehouseData[[#This Row],[lead_time_days]]</f>
        <v>55.949999999999996</v>
      </c>
      <c r="Z1680" t="str">
        <f>IF(WarehouseData[[#This Row],[stock_level]]&lt;=WarehouseData[[#This Row],[Demand During Lead Time]],"At Risk","Safe")</f>
        <v>Safe</v>
      </c>
      <c r="AA1680">
        <f>WarehouseData[[#This Row],[stock_level]]/WarehouseData[[#This Row],[daily_demand]]</f>
        <v>23.324396782841823</v>
      </c>
      <c r="AB1680">
        <f>WarehouseData[[#This Row],[stock_level]]*WarehouseData[[#This Row],[unit_price]]</f>
        <v>83350.350000000006</v>
      </c>
      <c r="AC1680">
        <f>WarehouseData[[#This Row],[stock_level]]*WarehouseData[[#This Row],[holding_cost_per_unit_day]]*30</f>
        <v>20358</v>
      </c>
      <c r="AD1680" t="str">
        <f>IF(WarehouseData[[#This Row],[order_fulfillment_rate]]&gt;=0.9,"Strong",IF(WarehouseData[[#This Row],[order_fulfillment_rate]]&gt;=0.8,"Moderate","Needs Attention"))</f>
        <v>Strong</v>
      </c>
      <c r="AE1680" t="str">
        <f>IF(WarehouseData[[#This Row],[picking_time_seconds]]&gt;120,"Slow",IF(WarehouseData[[#This Row],[picking_time_seconds]]&gt;=60,"Average","Fast"))</f>
        <v>Slow</v>
      </c>
    </row>
    <row r="1681" spans="1:31" x14ac:dyDescent="0.25">
      <c r="A1681" t="s">
        <v>1819</v>
      </c>
      <c r="B1681" t="s">
        <v>40</v>
      </c>
      <c r="C1681">
        <v>202</v>
      </c>
      <c r="D1681">
        <v>85</v>
      </c>
      <c r="E1681">
        <v>11</v>
      </c>
      <c r="F1681">
        <v>2</v>
      </c>
      <c r="G1681">
        <v>3.23</v>
      </c>
      <c r="H1681">
        <v>1.69</v>
      </c>
      <c r="I1681">
        <v>0.74</v>
      </c>
      <c r="J1681" t="s">
        <v>144</v>
      </c>
      <c r="K1681" t="s">
        <v>46</v>
      </c>
      <c r="L1681">
        <v>175</v>
      </c>
      <c r="M1681">
        <v>3.18</v>
      </c>
      <c r="N1681">
        <v>87.77</v>
      </c>
      <c r="O1681">
        <v>1.31</v>
      </c>
      <c r="P1681">
        <v>9</v>
      </c>
      <c r="Q1681">
        <v>0.71</v>
      </c>
      <c r="R1681">
        <v>786</v>
      </c>
      <c r="S1681">
        <v>6.72</v>
      </c>
      <c r="T1681">
        <v>0.27</v>
      </c>
      <c r="U1681" s="1">
        <v>45599</v>
      </c>
      <c r="V1681">
        <v>110.79</v>
      </c>
      <c r="W1681">
        <v>0.375</v>
      </c>
      <c r="X1681" t="str">
        <f>IF(WarehouseData[[#This Row],[stock_level]]&lt;=WarehouseData[[#This Row],[reorder_point]],"Low Stock","Sufficient Stock")</f>
        <v>Sufficient Stock</v>
      </c>
      <c r="Y1681">
        <f>WarehouseData[[#This Row],[daily_demand]]*WarehouseData[[#This Row],[lead_time_days]]</f>
        <v>6.46</v>
      </c>
      <c r="Z1681" t="str">
        <f>IF(WarehouseData[[#This Row],[stock_level]]&lt;=WarehouseData[[#This Row],[Demand During Lead Time]],"At Risk","Safe")</f>
        <v>Safe</v>
      </c>
      <c r="AA1681">
        <f>WarehouseData[[#This Row],[stock_level]]/WarehouseData[[#This Row],[daily_demand]]</f>
        <v>62.538699690402474</v>
      </c>
      <c r="AB1681">
        <f>WarehouseData[[#This Row],[stock_level]]*WarehouseData[[#This Row],[unit_price]]</f>
        <v>17729.54</v>
      </c>
      <c r="AC1681">
        <f>WarehouseData[[#This Row],[stock_level]]*WarehouseData[[#This Row],[holding_cost_per_unit_day]]*30</f>
        <v>7938.6</v>
      </c>
      <c r="AD1681" t="str">
        <f>IF(WarehouseData[[#This Row],[order_fulfillment_rate]]&gt;=0.9,"Strong",IF(WarehouseData[[#This Row],[order_fulfillment_rate]]&gt;=0.8,"Moderate","Needs Attention"))</f>
        <v>Needs Attention</v>
      </c>
      <c r="AE1681" t="str">
        <f>IF(WarehouseData[[#This Row],[picking_time_seconds]]&gt;120,"Slow",IF(WarehouseData[[#This Row],[picking_time_seconds]]&gt;=60,"Average","Fast"))</f>
        <v>Slow</v>
      </c>
    </row>
    <row r="1682" spans="1:31" x14ac:dyDescent="0.25">
      <c r="A1682" t="s">
        <v>1820</v>
      </c>
      <c r="B1682" t="s">
        <v>36</v>
      </c>
      <c r="C1682">
        <v>226</v>
      </c>
      <c r="D1682">
        <v>75</v>
      </c>
      <c r="E1682">
        <v>6</v>
      </c>
      <c r="F1682">
        <v>7</v>
      </c>
      <c r="G1682">
        <v>8.73</v>
      </c>
      <c r="H1682">
        <v>5.0199999999999996</v>
      </c>
      <c r="I1682">
        <v>0.24</v>
      </c>
      <c r="J1682" t="s">
        <v>289</v>
      </c>
      <c r="K1682" t="s">
        <v>52</v>
      </c>
      <c r="L1682">
        <v>174</v>
      </c>
      <c r="M1682">
        <v>2.33</v>
      </c>
      <c r="N1682">
        <v>52.16</v>
      </c>
      <c r="O1682">
        <v>1.67</v>
      </c>
      <c r="P1682">
        <v>9</v>
      </c>
      <c r="Q1682">
        <v>0.86</v>
      </c>
      <c r="R1682">
        <v>698</v>
      </c>
      <c r="S1682">
        <v>3.97</v>
      </c>
      <c r="T1682">
        <v>0.21</v>
      </c>
      <c r="U1682" s="1">
        <v>45296</v>
      </c>
      <c r="V1682">
        <v>157.18</v>
      </c>
      <c r="W1682">
        <v>0.32</v>
      </c>
      <c r="X1682" t="str">
        <f>IF(WarehouseData[[#This Row],[stock_level]]&lt;=WarehouseData[[#This Row],[reorder_point]],"Low Stock","Sufficient Stock")</f>
        <v>Sufficient Stock</v>
      </c>
      <c r="Y1682">
        <f>WarehouseData[[#This Row],[daily_demand]]*WarehouseData[[#This Row],[lead_time_days]]</f>
        <v>61.11</v>
      </c>
      <c r="Z1682" t="str">
        <f>IF(WarehouseData[[#This Row],[stock_level]]&lt;=WarehouseData[[#This Row],[Demand During Lead Time]],"At Risk","Safe")</f>
        <v>Safe</v>
      </c>
      <c r="AA1682">
        <f>WarehouseData[[#This Row],[stock_level]]/WarehouseData[[#This Row],[daily_demand]]</f>
        <v>25.88774341351661</v>
      </c>
      <c r="AB1682">
        <f>WarehouseData[[#This Row],[stock_level]]*WarehouseData[[#This Row],[unit_price]]</f>
        <v>11788.16</v>
      </c>
      <c r="AC1682">
        <f>WarehouseData[[#This Row],[stock_level]]*WarehouseData[[#This Row],[holding_cost_per_unit_day]]*30</f>
        <v>11322.599999999999</v>
      </c>
      <c r="AD1682" t="str">
        <f>IF(WarehouseData[[#This Row],[order_fulfillment_rate]]&gt;=0.9,"Strong",IF(WarehouseData[[#This Row],[order_fulfillment_rate]]&gt;=0.8,"Moderate","Needs Attention"))</f>
        <v>Moderate</v>
      </c>
      <c r="AE1682" t="str">
        <f>IF(WarehouseData[[#This Row],[picking_time_seconds]]&gt;120,"Slow",IF(WarehouseData[[#This Row],[picking_time_seconds]]&gt;=60,"Average","Fast"))</f>
        <v>Slow</v>
      </c>
    </row>
    <row r="1683" spans="1:31" x14ac:dyDescent="0.25">
      <c r="A1683" t="s">
        <v>1821</v>
      </c>
      <c r="B1683" t="s">
        <v>73</v>
      </c>
      <c r="C1683">
        <v>275</v>
      </c>
      <c r="D1683">
        <v>87</v>
      </c>
      <c r="E1683">
        <v>4</v>
      </c>
      <c r="F1683">
        <v>7</v>
      </c>
      <c r="G1683">
        <v>7.72</v>
      </c>
      <c r="H1683">
        <v>7.63</v>
      </c>
      <c r="I1683">
        <v>0.15</v>
      </c>
      <c r="J1683" t="s">
        <v>75</v>
      </c>
      <c r="K1683" t="s">
        <v>46</v>
      </c>
      <c r="L1683">
        <v>72</v>
      </c>
      <c r="M1683">
        <v>4.91</v>
      </c>
      <c r="N1683">
        <v>130.15</v>
      </c>
      <c r="O1683">
        <v>0.44</v>
      </c>
      <c r="P1683">
        <v>5</v>
      </c>
      <c r="Q1683">
        <v>0.93</v>
      </c>
      <c r="R1683">
        <v>756</v>
      </c>
      <c r="S1683">
        <v>13.5</v>
      </c>
      <c r="T1683">
        <v>0.49</v>
      </c>
      <c r="U1683" s="1">
        <v>45406</v>
      </c>
      <c r="V1683">
        <v>71.400000000000006</v>
      </c>
      <c r="W1683">
        <v>0.72</v>
      </c>
      <c r="X1683" t="str">
        <f>IF(WarehouseData[[#This Row],[stock_level]]&lt;=WarehouseData[[#This Row],[reorder_point]],"Low Stock","Sufficient Stock")</f>
        <v>Sufficient Stock</v>
      </c>
      <c r="Y1683">
        <f>WarehouseData[[#This Row],[daily_demand]]*WarehouseData[[#This Row],[lead_time_days]]</f>
        <v>54.04</v>
      </c>
      <c r="Z1683" t="str">
        <f>IF(WarehouseData[[#This Row],[stock_level]]&lt;=WarehouseData[[#This Row],[Demand During Lead Time]],"At Risk","Safe")</f>
        <v>Safe</v>
      </c>
      <c r="AA1683">
        <f>WarehouseData[[#This Row],[stock_level]]/WarehouseData[[#This Row],[daily_demand]]</f>
        <v>35.62176165803109</v>
      </c>
      <c r="AB1683">
        <f>WarehouseData[[#This Row],[stock_level]]*WarehouseData[[#This Row],[unit_price]]</f>
        <v>35791.25</v>
      </c>
      <c r="AC1683">
        <f>WarehouseData[[#This Row],[stock_level]]*WarehouseData[[#This Row],[holding_cost_per_unit_day]]*30</f>
        <v>3630</v>
      </c>
      <c r="AD1683" t="str">
        <f>IF(WarehouseData[[#This Row],[order_fulfillment_rate]]&gt;=0.9,"Strong",IF(WarehouseData[[#This Row],[order_fulfillment_rate]]&gt;=0.8,"Moderate","Needs Attention"))</f>
        <v>Strong</v>
      </c>
      <c r="AE1683" t="str">
        <f>IF(WarehouseData[[#This Row],[picking_time_seconds]]&gt;120,"Slow",IF(WarehouseData[[#This Row],[picking_time_seconds]]&gt;=60,"Average","Fast"))</f>
        <v>Average</v>
      </c>
    </row>
    <row r="1684" spans="1:31" x14ac:dyDescent="0.25">
      <c r="A1684" t="s">
        <v>1822</v>
      </c>
      <c r="B1684" t="s">
        <v>40</v>
      </c>
      <c r="C1684">
        <v>254</v>
      </c>
      <c r="D1684">
        <v>31</v>
      </c>
      <c r="E1684">
        <v>10</v>
      </c>
      <c r="F1684">
        <v>5</v>
      </c>
      <c r="G1684">
        <v>29.87</v>
      </c>
      <c r="H1684">
        <v>4.09</v>
      </c>
      <c r="I1684">
        <v>0.62</v>
      </c>
      <c r="J1684" t="s">
        <v>301</v>
      </c>
      <c r="K1684" t="s">
        <v>34</v>
      </c>
      <c r="L1684">
        <v>14</v>
      </c>
      <c r="M1684">
        <v>1.89</v>
      </c>
      <c r="N1684">
        <v>91.18</v>
      </c>
      <c r="O1684">
        <v>0.81</v>
      </c>
      <c r="P1684">
        <v>3</v>
      </c>
      <c r="Q1684">
        <v>0.94</v>
      </c>
      <c r="R1684">
        <v>767</v>
      </c>
      <c r="S1684">
        <v>13.45</v>
      </c>
      <c r="T1684">
        <v>0.95</v>
      </c>
      <c r="U1684" s="1">
        <v>45421</v>
      </c>
      <c r="V1684">
        <v>231.41</v>
      </c>
      <c r="W1684">
        <v>0.81599999999999995</v>
      </c>
      <c r="X1684" t="str">
        <f>IF(WarehouseData[[#This Row],[stock_level]]&lt;=WarehouseData[[#This Row],[reorder_point]],"Low Stock","Sufficient Stock")</f>
        <v>Sufficient Stock</v>
      </c>
      <c r="Y1684">
        <f>WarehouseData[[#This Row],[daily_demand]]*WarehouseData[[#This Row],[lead_time_days]]</f>
        <v>149.35</v>
      </c>
      <c r="Z1684" t="str">
        <f>IF(WarehouseData[[#This Row],[stock_level]]&lt;=WarehouseData[[#This Row],[Demand During Lead Time]],"At Risk","Safe")</f>
        <v>Safe</v>
      </c>
      <c r="AA1684">
        <f>WarehouseData[[#This Row],[stock_level]]/WarehouseData[[#This Row],[daily_demand]]</f>
        <v>8.5035152326749248</v>
      </c>
      <c r="AB1684">
        <f>WarehouseData[[#This Row],[stock_level]]*WarehouseData[[#This Row],[unit_price]]</f>
        <v>23159.72</v>
      </c>
      <c r="AC1684">
        <f>WarehouseData[[#This Row],[stock_level]]*WarehouseData[[#This Row],[holding_cost_per_unit_day]]*30</f>
        <v>6172.2000000000007</v>
      </c>
      <c r="AD1684" t="str">
        <f>IF(WarehouseData[[#This Row],[order_fulfillment_rate]]&gt;=0.9,"Strong",IF(WarehouseData[[#This Row],[order_fulfillment_rate]]&gt;=0.8,"Moderate","Needs Attention"))</f>
        <v>Strong</v>
      </c>
      <c r="AE1684" t="str">
        <f>IF(WarehouseData[[#This Row],[picking_time_seconds]]&gt;120,"Slow",IF(WarehouseData[[#This Row],[picking_time_seconds]]&gt;=60,"Average","Fast"))</f>
        <v>Fast</v>
      </c>
    </row>
    <row r="1685" spans="1:31" x14ac:dyDescent="0.25">
      <c r="A1685" t="s">
        <v>1823</v>
      </c>
      <c r="B1685" t="s">
        <v>40</v>
      </c>
      <c r="C1685">
        <v>461</v>
      </c>
      <c r="D1685">
        <v>40</v>
      </c>
      <c r="E1685">
        <v>4</v>
      </c>
      <c r="F1685">
        <v>3</v>
      </c>
      <c r="G1685">
        <v>45.01</v>
      </c>
      <c r="H1685">
        <v>8.76</v>
      </c>
      <c r="I1685">
        <v>0.67</v>
      </c>
      <c r="J1685" t="s">
        <v>98</v>
      </c>
      <c r="K1685" t="s">
        <v>46</v>
      </c>
      <c r="L1685">
        <v>34</v>
      </c>
      <c r="M1685">
        <v>3.91</v>
      </c>
      <c r="N1685">
        <v>57.52</v>
      </c>
      <c r="O1685">
        <v>0.69</v>
      </c>
      <c r="P1685">
        <v>3</v>
      </c>
      <c r="Q1685">
        <v>0.92</v>
      </c>
      <c r="R1685">
        <v>67</v>
      </c>
      <c r="S1685">
        <v>6.42</v>
      </c>
      <c r="T1685">
        <v>0.93</v>
      </c>
      <c r="U1685" s="1">
        <v>45603</v>
      </c>
      <c r="V1685">
        <v>170.06</v>
      </c>
      <c r="W1685">
        <v>0.72699999999999998</v>
      </c>
      <c r="X1685" t="str">
        <f>IF(WarehouseData[[#This Row],[stock_level]]&lt;=WarehouseData[[#This Row],[reorder_point]],"Low Stock","Sufficient Stock")</f>
        <v>Sufficient Stock</v>
      </c>
      <c r="Y1685">
        <f>WarehouseData[[#This Row],[daily_demand]]*WarehouseData[[#This Row],[lead_time_days]]</f>
        <v>135.03</v>
      </c>
      <c r="Z1685" t="str">
        <f>IF(WarehouseData[[#This Row],[stock_level]]&lt;=WarehouseData[[#This Row],[Demand During Lead Time]],"At Risk","Safe")</f>
        <v>Safe</v>
      </c>
      <c r="AA1685">
        <f>WarehouseData[[#This Row],[stock_level]]/WarehouseData[[#This Row],[daily_demand]]</f>
        <v>10.242168407020662</v>
      </c>
      <c r="AB1685">
        <f>WarehouseData[[#This Row],[stock_level]]*WarehouseData[[#This Row],[unit_price]]</f>
        <v>26516.720000000001</v>
      </c>
      <c r="AC1685">
        <f>WarehouseData[[#This Row],[stock_level]]*WarehouseData[[#This Row],[holding_cost_per_unit_day]]*30</f>
        <v>9542.6999999999989</v>
      </c>
      <c r="AD1685" t="str">
        <f>IF(WarehouseData[[#This Row],[order_fulfillment_rate]]&gt;=0.9,"Strong",IF(WarehouseData[[#This Row],[order_fulfillment_rate]]&gt;=0.8,"Moderate","Needs Attention"))</f>
        <v>Strong</v>
      </c>
      <c r="AE1685" t="str">
        <f>IF(WarehouseData[[#This Row],[picking_time_seconds]]&gt;120,"Slow",IF(WarehouseData[[#This Row],[picking_time_seconds]]&gt;=60,"Average","Fast"))</f>
        <v>Fast</v>
      </c>
    </row>
    <row r="1686" spans="1:31" x14ac:dyDescent="0.25">
      <c r="A1686" t="s">
        <v>1824</v>
      </c>
      <c r="B1686" t="s">
        <v>32</v>
      </c>
      <c r="C1686">
        <v>374</v>
      </c>
      <c r="D1686">
        <v>32</v>
      </c>
      <c r="E1686">
        <v>7</v>
      </c>
      <c r="F1686">
        <v>6</v>
      </c>
      <c r="G1686">
        <v>39.86</v>
      </c>
      <c r="H1686">
        <v>4.18</v>
      </c>
      <c r="I1686">
        <v>0.22</v>
      </c>
      <c r="J1686" t="s">
        <v>77</v>
      </c>
      <c r="K1686" t="s">
        <v>46</v>
      </c>
      <c r="L1686">
        <v>82</v>
      </c>
      <c r="M1686">
        <v>3.01</v>
      </c>
      <c r="N1686">
        <v>145.88</v>
      </c>
      <c r="O1686">
        <v>0.47</v>
      </c>
      <c r="P1686">
        <v>4</v>
      </c>
      <c r="Q1686">
        <v>0.86</v>
      </c>
      <c r="R1686">
        <v>829</v>
      </c>
      <c r="S1686">
        <v>2.92</v>
      </c>
      <c r="T1686">
        <v>0.28999999999999998</v>
      </c>
      <c r="U1686" s="1">
        <v>45448</v>
      </c>
      <c r="V1686">
        <v>83.97</v>
      </c>
      <c r="W1686">
        <v>0.54200000000000004</v>
      </c>
      <c r="X1686" t="str">
        <f>IF(WarehouseData[[#This Row],[stock_level]]&lt;=WarehouseData[[#This Row],[reorder_point]],"Low Stock","Sufficient Stock")</f>
        <v>Sufficient Stock</v>
      </c>
      <c r="Y1686">
        <f>WarehouseData[[#This Row],[daily_demand]]*WarehouseData[[#This Row],[lead_time_days]]</f>
        <v>239.16</v>
      </c>
      <c r="Z1686" t="str">
        <f>IF(WarehouseData[[#This Row],[stock_level]]&lt;=WarehouseData[[#This Row],[Demand During Lead Time]],"At Risk","Safe")</f>
        <v>Safe</v>
      </c>
      <c r="AA1686">
        <f>WarehouseData[[#This Row],[stock_level]]/WarehouseData[[#This Row],[daily_demand]]</f>
        <v>9.3828399397892621</v>
      </c>
      <c r="AB1686">
        <f>WarehouseData[[#This Row],[stock_level]]*WarehouseData[[#This Row],[unit_price]]</f>
        <v>54559.119999999995</v>
      </c>
      <c r="AC1686">
        <f>WarehouseData[[#This Row],[stock_level]]*WarehouseData[[#This Row],[holding_cost_per_unit_day]]*30</f>
        <v>5273.4</v>
      </c>
      <c r="AD1686" t="str">
        <f>IF(WarehouseData[[#This Row],[order_fulfillment_rate]]&gt;=0.9,"Strong",IF(WarehouseData[[#This Row],[order_fulfillment_rate]]&gt;=0.8,"Moderate","Needs Attention"))</f>
        <v>Moderate</v>
      </c>
      <c r="AE1686" t="str">
        <f>IF(WarehouseData[[#This Row],[picking_time_seconds]]&gt;120,"Slow",IF(WarehouseData[[#This Row],[picking_time_seconds]]&gt;=60,"Average","Fast"))</f>
        <v>Average</v>
      </c>
    </row>
    <row r="1687" spans="1:31" x14ac:dyDescent="0.25">
      <c r="A1687" t="s">
        <v>1825</v>
      </c>
      <c r="B1687" t="s">
        <v>48</v>
      </c>
      <c r="C1687">
        <v>22</v>
      </c>
      <c r="D1687">
        <v>57</v>
      </c>
      <c r="E1687">
        <v>13</v>
      </c>
      <c r="F1687">
        <v>5</v>
      </c>
      <c r="G1687">
        <v>27.78</v>
      </c>
      <c r="H1687">
        <v>3.82</v>
      </c>
      <c r="I1687">
        <v>0.53</v>
      </c>
      <c r="J1687" t="s">
        <v>418</v>
      </c>
      <c r="K1687" t="s">
        <v>46</v>
      </c>
      <c r="L1687">
        <v>133</v>
      </c>
      <c r="M1687">
        <v>1.53</v>
      </c>
      <c r="N1687">
        <v>46.47</v>
      </c>
      <c r="O1687">
        <v>0.94</v>
      </c>
      <c r="P1687">
        <v>0</v>
      </c>
      <c r="Q1687">
        <v>0.9</v>
      </c>
      <c r="R1687">
        <v>264</v>
      </c>
      <c r="S1687">
        <v>6.02</v>
      </c>
      <c r="T1687">
        <v>0.21</v>
      </c>
      <c r="U1687" s="1">
        <v>45656</v>
      </c>
      <c r="V1687">
        <v>87.12</v>
      </c>
      <c r="W1687">
        <v>0.60799999999999998</v>
      </c>
      <c r="X1687" t="str">
        <f>IF(WarehouseData[[#This Row],[stock_level]]&lt;=WarehouseData[[#This Row],[reorder_point]],"Low Stock","Sufficient Stock")</f>
        <v>Low Stock</v>
      </c>
      <c r="Y1687">
        <f>WarehouseData[[#This Row],[daily_demand]]*WarehouseData[[#This Row],[lead_time_days]]</f>
        <v>138.9</v>
      </c>
      <c r="Z1687" t="str">
        <f>IF(WarehouseData[[#This Row],[stock_level]]&lt;=WarehouseData[[#This Row],[Demand During Lead Time]],"At Risk","Safe")</f>
        <v>At Risk</v>
      </c>
      <c r="AA1687">
        <f>WarehouseData[[#This Row],[stock_level]]/WarehouseData[[#This Row],[daily_demand]]</f>
        <v>0.79193664506839445</v>
      </c>
      <c r="AB1687">
        <f>WarehouseData[[#This Row],[stock_level]]*WarehouseData[[#This Row],[unit_price]]</f>
        <v>1022.3399999999999</v>
      </c>
      <c r="AC1687">
        <f>WarehouseData[[#This Row],[stock_level]]*WarehouseData[[#This Row],[holding_cost_per_unit_day]]*30</f>
        <v>620.4</v>
      </c>
      <c r="AD1687" t="str">
        <f>IF(WarehouseData[[#This Row],[order_fulfillment_rate]]&gt;=0.9,"Strong",IF(WarehouseData[[#This Row],[order_fulfillment_rate]]&gt;=0.8,"Moderate","Needs Attention"))</f>
        <v>Strong</v>
      </c>
      <c r="AE1687" t="str">
        <f>IF(WarehouseData[[#This Row],[picking_time_seconds]]&gt;120,"Slow",IF(WarehouseData[[#This Row],[picking_time_seconds]]&gt;=60,"Average","Fast"))</f>
        <v>Slow</v>
      </c>
    </row>
    <row r="1688" spans="1:31" x14ac:dyDescent="0.25">
      <c r="A1688" t="s">
        <v>1826</v>
      </c>
      <c r="B1688" t="s">
        <v>40</v>
      </c>
      <c r="C1688">
        <v>227</v>
      </c>
      <c r="D1688">
        <v>29</v>
      </c>
      <c r="E1688">
        <v>8</v>
      </c>
      <c r="F1688">
        <v>8</v>
      </c>
      <c r="G1688">
        <v>21.69</v>
      </c>
      <c r="H1688">
        <v>9.98</v>
      </c>
      <c r="I1688">
        <v>0.38</v>
      </c>
      <c r="J1688" t="s">
        <v>110</v>
      </c>
      <c r="K1688" t="s">
        <v>34</v>
      </c>
      <c r="L1688">
        <v>31</v>
      </c>
      <c r="M1688">
        <v>0.57999999999999996</v>
      </c>
      <c r="N1688">
        <v>130.34</v>
      </c>
      <c r="O1688">
        <v>1.9</v>
      </c>
      <c r="P1688">
        <v>3</v>
      </c>
      <c r="Q1688">
        <v>0.91</v>
      </c>
      <c r="R1688">
        <v>767</v>
      </c>
      <c r="S1688">
        <v>2.8</v>
      </c>
      <c r="T1688">
        <v>0.8</v>
      </c>
      <c r="U1688" s="1">
        <v>45655</v>
      </c>
      <c r="V1688">
        <v>95.13</v>
      </c>
      <c r="W1688">
        <v>0.52900000000000003</v>
      </c>
      <c r="X1688" t="str">
        <f>IF(WarehouseData[[#This Row],[stock_level]]&lt;=WarehouseData[[#This Row],[reorder_point]],"Low Stock","Sufficient Stock")</f>
        <v>Sufficient Stock</v>
      </c>
      <c r="Y1688">
        <f>WarehouseData[[#This Row],[daily_demand]]*WarehouseData[[#This Row],[lead_time_days]]</f>
        <v>173.52</v>
      </c>
      <c r="Z1688" t="str">
        <f>IF(WarehouseData[[#This Row],[stock_level]]&lt;=WarehouseData[[#This Row],[Demand During Lead Time]],"At Risk","Safe")</f>
        <v>Safe</v>
      </c>
      <c r="AA1688">
        <f>WarehouseData[[#This Row],[stock_level]]/WarehouseData[[#This Row],[daily_demand]]</f>
        <v>10.465652374366067</v>
      </c>
      <c r="AB1688">
        <f>WarehouseData[[#This Row],[stock_level]]*WarehouseData[[#This Row],[unit_price]]</f>
        <v>29587.18</v>
      </c>
      <c r="AC1688">
        <f>WarehouseData[[#This Row],[stock_level]]*WarehouseData[[#This Row],[holding_cost_per_unit_day]]*30</f>
        <v>12938.999999999998</v>
      </c>
      <c r="AD1688" t="str">
        <f>IF(WarehouseData[[#This Row],[order_fulfillment_rate]]&gt;=0.9,"Strong",IF(WarehouseData[[#This Row],[order_fulfillment_rate]]&gt;=0.8,"Moderate","Needs Attention"))</f>
        <v>Strong</v>
      </c>
      <c r="AE1688" t="str">
        <f>IF(WarehouseData[[#This Row],[picking_time_seconds]]&gt;120,"Slow",IF(WarehouseData[[#This Row],[picking_time_seconds]]&gt;=60,"Average","Fast"))</f>
        <v>Fast</v>
      </c>
    </row>
    <row r="1689" spans="1:31" x14ac:dyDescent="0.25">
      <c r="A1689" t="s">
        <v>1827</v>
      </c>
      <c r="B1689" t="s">
        <v>40</v>
      </c>
      <c r="C1689">
        <v>216</v>
      </c>
      <c r="D1689">
        <v>47</v>
      </c>
      <c r="E1689">
        <v>13</v>
      </c>
      <c r="F1689">
        <v>8</v>
      </c>
      <c r="G1689">
        <v>31.32</v>
      </c>
      <c r="H1689">
        <v>5.08</v>
      </c>
      <c r="I1689">
        <v>0.94</v>
      </c>
      <c r="J1689" t="s">
        <v>135</v>
      </c>
      <c r="K1689" t="s">
        <v>38</v>
      </c>
      <c r="L1689">
        <v>102</v>
      </c>
      <c r="M1689">
        <v>2.23</v>
      </c>
      <c r="N1689">
        <v>91.8</v>
      </c>
      <c r="O1689">
        <v>1.1200000000000001</v>
      </c>
      <c r="P1689">
        <v>9</v>
      </c>
      <c r="Q1689">
        <v>0.85</v>
      </c>
      <c r="R1689">
        <v>685</v>
      </c>
      <c r="S1689">
        <v>5.26</v>
      </c>
      <c r="T1689">
        <v>0.45</v>
      </c>
      <c r="U1689" s="1">
        <v>45621</v>
      </c>
      <c r="V1689">
        <v>212.79</v>
      </c>
      <c r="W1689">
        <v>0.438</v>
      </c>
      <c r="X1689" t="str">
        <f>IF(WarehouseData[[#This Row],[stock_level]]&lt;=WarehouseData[[#This Row],[reorder_point]],"Low Stock","Sufficient Stock")</f>
        <v>Sufficient Stock</v>
      </c>
      <c r="Y1689">
        <f>WarehouseData[[#This Row],[daily_demand]]*WarehouseData[[#This Row],[lead_time_days]]</f>
        <v>250.56</v>
      </c>
      <c r="Z1689" t="str">
        <f>IF(WarehouseData[[#This Row],[stock_level]]&lt;=WarehouseData[[#This Row],[Demand During Lead Time]],"At Risk","Safe")</f>
        <v>At Risk</v>
      </c>
      <c r="AA1689">
        <f>WarehouseData[[#This Row],[stock_level]]/WarehouseData[[#This Row],[daily_demand]]</f>
        <v>6.8965517241379306</v>
      </c>
      <c r="AB1689">
        <f>WarehouseData[[#This Row],[stock_level]]*WarehouseData[[#This Row],[unit_price]]</f>
        <v>19828.8</v>
      </c>
      <c r="AC1689">
        <f>WarehouseData[[#This Row],[stock_level]]*WarehouseData[[#This Row],[holding_cost_per_unit_day]]*30</f>
        <v>7257.6</v>
      </c>
      <c r="AD1689" t="str">
        <f>IF(WarehouseData[[#This Row],[order_fulfillment_rate]]&gt;=0.9,"Strong",IF(WarehouseData[[#This Row],[order_fulfillment_rate]]&gt;=0.8,"Moderate","Needs Attention"))</f>
        <v>Moderate</v>
      </c>
      <c r="AE1689" t="str">
        <f>IF(WarehouseData[[#This Row],[picking_time_seconds]]&gt;120,"Slow",IF(WarehouseData[[#This Row],[picking_time_seconds]]&gt;=60,"Average","Fast"))</f>
        <v>Average</v>
      </c>
    </row>
    <row r="1690" spans="1:31" x14ac:dyDescent="0.25">
      <c r="A1690" t="s">
        <v>1828</v>
      </c>
      <c r="B1690" t="s">
        <v>36</v>
      </c>
      <c r="C1690">
        <v>360</v>
      </c>
      <c r="D1690">
        <v>64</v>
      </c>
      <c r="E1690">
        <v>10</v>
      </c>
      <c r="F1690">
        <v>9</v>
      </c>
      <c r="G1690">
        <v>22.75</v>
      </c>
      <c r="H1690">
        <v>8.15</v>
      </c>
      <c r="I1690">
        <v>0.3</v>
      </c>
      <c r="J1690" t="s">
        <v>223</v>
      </c>
      <c r="K1690" t="s">
        <v>46</v>
      </c>
      <c r="L1690">
        <v>44</v>
      </c>
      <c r="M1690">
        <v>2.96</v>
      </c>
      <c r="N1690">
        <v>70.64</v>
      </c>
      <c r="O1690">
        <v>0.64</v>
      </c>
      <c r="P1690">
        <v>2</v>
      </c>
      <c r="Q1690">
        <v>0.88</v>
      </c>
      <c r="R1690">
        <v>65</v>
      </c>
      <c r="S1690">
        <v>11.8</v>
      </c>
      <c r="T1690">
        <v>0.87</v>
      </c>
      <c r="U1690" s="1">
        <v>45432</v>
      </c>
      <c r="V1690">
        <v>182.58</v>
      </c>
      <c r="W1690">
        <v>0.80300000000000005</v>
      </c>
      <c r="X1690" t="str">
        <f>IF(WarehouseData[[#This Row],[stock_level]]&lt;=WarehouseData[[#This Row],[reorder_point]],"Low Stock","Sufficient Stock")</f>
        <v>Sufficient Stock</v>
      </c>
      <c r="Y1690">
        <f>WarehouseData[[#This Row],[daily_demand]]*WarehouseData[[#This Row],[lead_time_days]]</f>
        <v>204.75</v>
      </c>
      <c r="Z1690" t="str">
        <f>IF(WarehouseData[[#This Row],[stock_level]]&lt;=WarehouseData[[#This Row],[Demand During Lead Time]],"At Risk","Safe")</f>
        <v>Safe</v>
      </c>
      <c r="AA1690">
        <f>WarehouseData[[#This Row],[stock_level]]/WarehouseData[[#This Row],[daily_demand]]</f>
        <v>15.824175824175825</v>
      </c>
      <c r="AB1690">
        <f>WarehouseData[[#This Row],[stock_level]]*WarehouseData[[#This Row],[unit_price]]</f>
        <v>25430.400000000001</v>
      </c>
      <c r="AC1690">
        <f>WarehouseData[[#This Row],[stock_level]]*WarehouseData[[#This Row],[holding_cost_per_unit_day]]*30</f>
        <v>6912</v>
      </c>
      <c r="AD1690" t="str">
        <f>IF(WarehouseData[[#This Row],[order_fulfillment_rate]]&gt;=0.9,"Strong",IF(WarehouseData[[#This Row],[order_fulfillment_rate]]&gt;=0.8,"Moderate","Needs Attention"))</f>
        <v>Moderate</v>
      </c>
      <c r="AE1690" t="str">
        <f>IF(WarehouseData[[#This Row],[picking_time_seconds]]&gt;120,"Slow",IF(WarehouseData[[#This Row],[picking_time_seconds]]&gt;=60,"Average","Fast"))</f>
        <v>Fast</v>
      </c>
    </row>
    <row r="1691" spans="1:31" x14ac:dyDescent="0.25">
      <c r="A1691" t="s">
        <v>1829</v>
      </c>
      <c r="B1691" t="s">
        <v>36</v>
      </c>
      <c r="C1691">
        <v>144</v>
      </c>
      <c r="D1691">
        <v>77</v>
      </c>
      <c r="E1691">
        <v>13</v>
      </c>
      <c r="F1691">
        <v>4</v>
      </c>
      <c r="G1691">
        <v>13.06</v>
      </c>
      <c r="H1691">
        <v>8.15</v>
      </c>
      <c r="I1691">
        <v>0.76</v>
      </c>
      <c r="J1691" t="s">
        <v>95</v>
      </c>
      <c r="K1691" t="s">
        <v>38</v>
      </c>
      <c r="L1691">
        <v>64</v>
      </c>
      <c r="M1691">
        <v>1.32</v>
      </c>
      <c r="N1691">
        <v>189.74</v>
      </c>
      <c r="O1691">
        <v>0.77</v>
      </c>
      <c r="P1691">
        <v>4</v>
      </c>
      <c r="Q1691">
        <v>0.95</v>
      </c>
      <c r="R1691">
        <v>726</v>
      </c>
      <c r="S1691">
        <v>5.09</v>
      </c>
      <c r="T1691">
        <v>0.37</v>
      </c>
      <c r="U1691" s="1">
        <v>45508</v>
      </c>
      <c r="V1691">
        <v>248.45</v>
      </c>
      <c r="W1691">
        <v>0.57499999999999996</v>
      </c>
      <c r="X1691" t="str">
        <f>IF(WarehouseData[[#This Row],[stock_level]]&lt;=WarehouseData[[#This Row],[reorder_point]],"Low Stock","Sufficient Stock")</f>
        <v>Sufficient Stock</v>
      </c>
      <c r="Y1691">
        <f>WarehouseData[[#This Row],[daily_demand]]*WarehouseData[[#This Row],[lead_time_days]]</f>
        <v>52.24</v>
      </c>
      <c r="Z1691" t="str">
        <f>IF(WarehouseData[[#This Row],[stock_level]]&lt;=WarehouseData[[#This Row],[Demand During Lead Time]],"At Risk","Safe")</f>
        <v>Safe</v>
      </c>
      <c r="AA1691">
        <f>WarehouseData[[#This Row],[stock_level]]/WarehouseData[[#This Row],[daily_demand]]</f>
        <v>11.026033690658499</v>
      </c>
      <c r="AB1691">
        <f>WarehouseData[[#This Row],[stock_level]]*WarehouseData[[#This Row],[unit_price]]</f>
        <v>27322.560000000001</v>
      </c>
      <c r="AC1691">
        <f>WarehouseData[[#This Row],[stock_level]]*WarehouseData[[#This Row],[holding_cost_per_unit_day]]*30</f>
        <v>3326.3999999999996</v>
      </c>
      <c r="AD1691" t="str">
        <f>IF(WarehouseData[[#This Row],[order_fulfillment_rate]]&gt;=0.9,"Strong",IF(WarehouseData[[#This Row],[order_fulfillment_rate]]&gt;=0.8,"Moderate","Needs Attention"))</f>
        <v>Strong</v>
      </c>
      <c r="AE1691" t="str">
        <f>IF(WarehouseData[[#This Row],[picking_time_seconds]]&gt;120,"Slow",IF(WarehouseData[[#This Row],[picking_time_seconds]]&gt;=60,"Average","Fast"))</f>
        <v>Average</v>
      </c>
    </row>
    <row r="1692" spans="1:31" x14ac:dyDescent="0.25">
      <c r="A1692" t="s">
        <v>1830</v>
      </c>
      <c r="B1692" t="s">
        <v>73</v>
      </c>
      <c r="C1692">
        <v>157</v>
      </c>
      <c r="D1692">
        <v>88</v>
      </c>
      <c r="E1692">
        <v>3</v>
      </c>
      <c r="F1692">
        <v>7</v>
      </c>
      <c r="G1692">
        <v>34.28</v>
      </c>
      <c r="H1692">
        <v>9.3000000000000007</v>
      </c>
      <c r="I1692">
        <v>0.56999999999999995</v>
      </c>
      <c r="J1692" t="s">
        <v>133</v>
      </c>
      <c r="K1692" t="s">
        <v>52</v>
      </c>
      <c r="L1692">
        <v>137</v>
      </c>
      <c r="M1692">
        <v>2.37</v>
      </c>
      <c r="N1692">
        <v>71.64</v>
      </c>
      <c r="O1692">
        <v>1.26</v>
      </c>
      <c r="P1692">
        <v>9</v>
      </c>
      <c r="Q1692">
        <v>0.79</v>
      </c>
      <c r="R1692">
        <v>709</v>
      </c>
      <c r="S1692">
        <v>8.6199999999999992</v>
      </c>
      <c r="T1692">
        <v>0.59</v>
      </c>
      <c r="U1692" s="1">
        <v>45484</v>
      </c>
      <c r="V1692">
        <v>175.74</v>
      </c>
      <c r="W1692">
        <v>0.48499999999999999</v>
      </c>
      <c r="X1692" t="str">
        <f>IF(WarehouseData[[#This Row],[stock_level]]&lt;=WarehouseData[[#This Row],[reorder_point]],"Low Stock","Sufficient Stock")</f>
        <v>Sufficient Stock</v>
      </c>
      <c r="Y1692">
        <f>WarehouseData[[#This Row],[daily_demand]]*WarehouseData[[#This Row],[lead_time_days]]</f>
        <v>239.96</v>
      </c>
      <c r="Z1692" t="str">
        <f>IF(WarehouseData[[#This Row],[stock_level]]&lt;=WarehouseData[[#This Row],[Demand During Lead Time]],"At Risk","Safe")</f>
        <v>At Risk</v>
      </c>
      <c r="AA1692">
        <f>WarehouseData[[#This Row],[stock_level]]/WarehouseData[[#This Row],[daily_demand]]</f>
        <v>4.5799299883313882</v>
      </c>
      <c r="AB1692">
        <f>WarehouseData[[#This Row],[stock_level]]*WarehouseData[[#This Row],[unit_price]]</f>
        <v>11247.48</v>
      </c>
      <c r="AC1692">
        <f>WarehouseData[[#This Row],[stock_level]]*WarehouseData[[#This Row],[holding_cost_per_unit_day]]*30</f>
        <v>5934.5999999999995</v>
      </c>
      <c r="AD1692" t="str">
        <f>IF(WarehouseData[[#This Row],[order_fulfillment_rate]]&gt;=0.9,"Strong",IF(WarehouseData[[#This Row],[order_fulfillment_rate]]&gt;=0.8,"Moderate","Needs Attention"))</f>
        <v>Needs Attention</v>
      </c>
      <c r="AE1692" t="str">
        <f>IF(WarehouseData[[#This Row],[picking_time_seconds]]&gt;120,"Slow",IF(WarehouseData[[#This Row],[picking_time_seconds]]&gt;=60,"Average","Fast"))</f>
        <v>Slow</v>
      </c>
    </row>
    <row r="1693" spans="1:31" x14ac:dyDescent="0.25">
      <c r="A1693" t="s">
        <v>1831</v>
      </c>
      <c r="B1693" t="s">
        <v>32</v>
      </c>
      <c r="C1693">
        <v>358</v>
      </c>
      <c r="D1693">
        <v>97</v>
      </c>
      <c r="E1693">
        <v>3</v>
      </c>
      <c r="F1693">
        <v>6</v>
      </c>
      <c r="G1693">
        <v>43.79</v>
      </c>
      <c r="H1693">
        <v>1.31</v>
      </c>
      <c r="I1693">
        <v>0.11</v>
      </c>
      <c r="J1693" t="s">
        <v>122</v>
      </c>
      <c r="K1693" t="s">
        <v>52</v>
      </c>
      <c r="L1693">
        <v>29</v>
      </c>
      <c r="M1693">
        <v>3.27</v>
      </c>
      <c r="N1693">
        <v>76.03</v>
      </c>
      <c r="O1693">
        <v>0.77</v>
      </c>
      <c r="P1693">
        <v>4</v>
      </c>
      <c r="Q1693">
        <v>0.86</v>
      </c>
      <c r="R1693">
        <v>837</v>
      </c>
      <c r="S1693">
        <v>2.66</v>
      </c>
      <c r="T1693">
        <v>0.23</v>
      </c>
      <c r="U1693" s="1">
        <v>45470</v>
      </c>
      <c r="V1693">
        <v>98.93</v>
      </c>
      <c r="W1693">
        <v>0.496</v>
      </c>
      <c r="X1693" t="str">
        <f>IF(WarehouseData[[#This Row],[stock_level]]&lt;=WarehouseData[[#This Row],[reorder_point]],"Low Stock","Sufficient Stock")</f>
        <v>Sufficient Stock</v>
      </c>
      <c r="Y1693">
        <f>WarehouseData[[#This Row],[daily_demand]]*WarehouseData[[#This Row],[lead_time_days]]</f>
        <v>262.74</v>
      </c>
      <c r="Z1693" t="str">
        <f>IF(WarehouseData[[#This Row],[stock_level]]&lt;=WarehouseData[[#This Row],[Demand During Lead Time]],"At Risk","Safe")</f>
        <v>Safe</v>
      </c>
      <c r="AA1693">
        <f>WarehouseData[[#This Row],[stock_level]]/WarehouseData[[#This Row],[daily_demand]]</f>
        <v>8.1753825074217854</v>
      </c>
      <c r="AB1693">
        <f>WarehouseData[[#This Row],[stock_level]]*WarehouseData[[#This Row],[unit_price]]</f>
        <v>27218.74</v>
      </c>
      <c r="AC1693">
        <f>WarehouseData[[#This Row],[stock_level]]*WarehouseData[[#This Row],[holding_cost_per_unit_day]]*30</f>
        <v>8269.8000000000011</v>
      </c>
      <c r="AD1693" t="str">
        <f>IF(WarehouseData[[#This Row],[order_fulfillment_rate]]&gt;=0.9,"Strong",IF(WarehouseData[[#This Row],[order_fulfillment_rate]]&gt;=0.8,"Moderate","Needs Attention"))</f>
        <v>Moderate</v>
      </c>
      <c r="AE1693" t="str">
        <f>IF(WarehouseData[[#This Row],[picking_time_seconds]]&gt;120,"Slow",IF(WarehouseData[[#This Row],[picking_time_seconds]]&gt;=60,"Average","Fast"))</f>
        <v>Fast</v>
      </c>
    </row>
    <row r="1694" spans="1:31" x14ac:dyDescent="0.25">
      <c r="A1694" t="s">
        <v>1832</v>
      </c>
      <c r="B1694" t="s">
        <v>73</v>
      </c>
      <c r="C1694">
        <v>44</v>
      </c>
      <c r="D1694">
        <v>98</v>
      </c>
      <c r="E1694">
        <v>14</v>
      </c>
      <c r="F1694">
        <v>3</v>
      </c>
      <c r="G1694">
        <v>19.27</v>
      </c>
      <c r="H1694">
        <v>3.08</v>
      </c>
      <c r="I1694">
        <v>0.56999999999999995</v>
      </c>
      <c r="J1694" t="s">
        <v>221</v>
      </c>
      <c r="K1694" t="s">
        <v>34</v>
      </c>
      <c r="L1694">
        <v>14</v>
      </c>
      <c r="M1694">
        <v>3.72</v>
      </c>
      <c r="N1694">
        <v>175.42</v>
      </c>
      <c r="O1694">
        <v>1.1200000000000001</v>
      </c>
      <c r="P1694">
        <v>7</v>
      </c>
      <c r="Q1694">
        <v>0.7</v>
      </c>
      <c r="R1694">
        <v>448</v>
      </c>
      <c r="S1694">
        <v>5.87</v>
      </c>
      <c r="T1694">
        <v>0.92</v>
      </c>
      <c r="U1694" s="1">
        <v>45527</v>
      </c>
      <c r="V1694">
        <v>289.23</v>
      </c>
      <c r="W1694">
        <v>0.55000000000000004</v>
      </c>
      <c r="X1694" t="str">
        <f>IF(WarehouseData[[#This Row],[stock_level]]&lt;=WarehouseData[[#This Row],[reorder_point]],"Low Stock","Sufficient Stock")</f>
        <v>Low Stock</v>
      </c>
      <c r="Y1694">
        <f>WarehouseData[[#This Row],[daily_demand]]*WarehouseData[[#This Row],[lead_time_days]]</f>
        <v>57.81</v>
      </c>
      <c r="Z1694" t="str">
        <f>IF(WarehouseData[[#This Row],[stock_level]]&lt;=WarehouseData[[#This Row],[Demand During Lead Time]],"At Risk","Safe")</f>
        <v>At Risk</v>
      </c>
      <c r="AA1694">
        <f>WarehouseData[[#This Row],[stock_level]]/WarehouseData[[#This Row],[daily_demand]]</f>
        <v>2.2833419823559939</v>
      </c>
      <c r="AB1694">
        <f>WarehouseData[[#This Row],[stock_level]]*WarehouseData[[#This Row],[unit_price]]</f>
        <v>7718.48</v>
      </c>
      <c r="AC1694">
        <f>WarehouseData[[#This Row],[stock_level]]*WarehouseData[[#This Row],[holding_cost_per_unit_day]]*30</f>
        <v>1478.4</v>
      </c>
      <c r="AD1694" t="str">
        <f>IF(WarehouseData[[#This Row],[order_fulfillment_rate]]&gt;=0.9,"Strong",IF(WarehouseData[[#This Row],[order_fulfillment_rate]]&gt;=0.8,"Moderate","Needs Attention"))</f>
        <v>Needs Attention</v>
      </c>
      <c r="AE1694" t="str">
        <f>IF(WarehouseData[[#This Row],[picking_time_seconds]]&gt;120,"Slow",IF(WarehouseData[[#This Row],[picking_time_seconds]]&gt;=60,"Average","Fast"))</f>
        <v>Fast</v>
      </c>
    </row>
    <row r="1695" spans="1:31" x14ac:dyDescent="0.25">
      <c r="A1695" t="s">
        <v>1833</v>
      </c>
      <c r="B1695" t="s">
        <v>36</v>
      </c>
      <c r="C1695">
        <v>87</v>
      </c>
      <c r="D1695">
        <v>10</v>
      </c>
      <c r="E1695">
        <v>6</v>
      </c>
      <c r="F1695">
        <v>5</v>
      </c>
      <c r="G1695">
        <v>42.24</v>
      </c>
      <c r="H1695">
        <v>7.79</v>
      </c>
      <c r="I1695">
        <v>0.19</v>
      </c>
      <c r="J1695" t="s">
        <v>68</v>
      </c>
      <c r="K1695" t="s">
        <v>34</v>
      </c>
      <c r="L1695">
        <v>176</v>
      </c>
      <c r="M1695">
        <v>0.74</v>
      </c>
      <c r="N1695">
        <v>34.520000000000003</v>
      </c>
      <c r="O1695">
        <v>0.62</v>
      </c>
      <c r="P1695">
        <v>0</v>
      </c>
      <c r="Q1695">
        <v>0.91</v>
      </c>
      <c r="R1695">
        <v>282</v>
      </c>
      <c r="S1695">
        <v>1.55</v>
      </c>
      <c r="T1695">
        <v>0.34</v>
      </c>
      <c r="U1695" s="1">
        <v>45421</v>
      </c>
      <c r="V1695">
        <v>266.97000000000003</v>
      </c>
      <c r="W1695">
        <v>0.60899999999999999</v>
      </c>
      <c r="X1695" t="str">
        <f>IF(WarehouseData[[#This Row],[stock_level]]&lt;=WarehouseData[[#This Row],[reorder_point]],"Low Stock","Sufficient Stock")</f>
        <v>Sufficient Stock</v>
      </c>
      <c r="Y1695">
        <f>WarehouseData[[#This Row],[daily_demand]]*WarehouseData[[#This Row],[lead_time_days]]</f>
        <v>211.20000000000002</v>
      </c>
      <c r="Z1695" t="str">
        <f>IF(WarehouseData[[#This Row],[stock_level]]&lt;=WarehouseData[[#This Row],[Demand During Lead Time]],"At Risk","Safe")</f>
        <v>At Risk</v>
      </c>
      <c r="AA1695">
        <f>WarehouseData[[#This Row],[stock_level]]/WarehouseData[[#This Row],[daily_demand]]</f>
        <v>2.0596590909090908</v>
      </c>
      <c r="AB1695">
        <f>WarehouseData[[#This Row],[stock_level]]*WarehouseData[[#This Row],[unit_price]]</f>
        <v>3003.2400000000002</v>
      </c>
      <c r="AC1695">
        <f>WarehouseData[[#This Row],[stock_level]]*WarehouseData[[#This Row],[holding_cost_per_unit_day]]*30</f>
        <v>1618.1999999999998</v>
      </c>
      <c r="AD1695" t="str">
        <f>IF(WarehouseData[[#This Row],[order_fulfillment_rate]]&gt;=0.9,"Strong",IF(WarehouseData[[#This Row],[order_fulfillment_rate]]&gt;=0.8,"Moderate","Needs Attention"))</f>
        <v>Strong</v>
      </c>
      <c r="AE1695" t="str">
        <f>IF(WarehouseData[[#This Row],[picking_time_seconds]]&gt;120,"Slow",IF(WarehouseData[[#This Row],[picking_time_seconds]]&gt;=60,"Average","Fast"))</f>
        <v>Slow</v>
      </c>
    </row>
    <row r="1696" spans="1:31" x14ac:dyDescent="0.25">
      <c r="A1696" t="s">
        <v>1834</v>
      </c>
      <c r="B1696" t="s">
        <v>48</v>
      </c>
      <c r="C1696">
        <v>80</v>
      </c>
      <c r="D1696">
        <v>16</v>
      </c>
      <c r="E1696">
        <v>7</v>
      </c>
      <c r="F1696">
        <v>6</v>
      </c>
      <c r="G1696">
        <v>22.12</v>
      </c>
      <c r="H1696">
        <v>5.84</v>
      </c>
      <c r="I1696">
        <v>0.69</v>
      </c>
      <c r="J1696" t="s">
        <v>221</v>
      </c>
      <c r="K1696" t="s">
        <v>34</v>
      </c>
      <c r="L1696">
        <v>72</v>
      </c>
      <c r="M1696">
        <v>3.49</v>
      </c>
      <c r="N1696">
        <v>30.53</v>
      </c>
      <c r="O1696">
        <v>0.76</v>
      </c>
      <c r="P1696">
        <v>2</v>
      </c>
      <c r="Q1696">
        <v>0.76</v>
      </c>
      <c r="R1696">
        <v>74</v>
      </c>
      <c r="S1696">
        <v>8.67</v>
      </c>
      <c r="T1696">
        <v>0.44</v>
      </c>
      <c r="U1696" s="1">
        <v>45403</v>
      </c>
      <c r="V1696">
        <v>90.86</v>
      </c>
      <c r="W1696">
        <v>0.64</v>
      </c>
      <c r="X1696" t="str">
        <f>IF(WarehouseData[[#This Row],[stock_level]]&lt;=WarehouseData[[#This Row],[reorder_point]],"Low Stock","Sufficient Stock")</f>
        <v>Sufficient Stock</v>
      </c>
      <c r="Y1696">
        <f>WarehouseData[[#This Row],[daily_demand]]*WarehouseData[[#This Row],[lead_time_days]]</f>
        <v>132.72</v>
      </c>
      <c r="Z1696" t="str">
        <f>IF(WarehouseData[[#This Row],[stock_level]]&lt;=WarehouseData[[#This Row],[Demand During Lead Time]],"At Risk","Safe")</f>
        <v>At Risk</v>
      </c>
      <c r="AA1696">
        <f>WarehouseData[[#This Row],[stock_level]]/WarehouseData[[#This Row],[daily_demand]]</f>
        <v>3.6166365280289328</v>
      </c>
      <c r="AB1696">
        <f>WarehouseData[[#This Row],[stock_level]]*WarehouseData[[#This Row],[unit_price]]</f>
        <v>2442.4</v>
      </c>
      <c r="AC1696">
        <f>WarehouseData[[#This Row],[stock_level]]*WarehouseData[[#This Row],[holding_cost_per_unit_day]]*30</f>
        <v>1824</v>
      </c>
      <c r="AD1696" t="str">
        <f>IF(WarehouseData[[#This Row],[order_fulfillment_rate]]&gt;=0.9,"Strong",IF(WarehouseData[[#This Row],[order_fulfillment_rate]]&gt;=0.8,"Moderate","Needs Attention"))</f>
        <v>Needs Attention</v>
      </c>
      <c r="AE1696" t="str">
        <f>IF(WarehouseData[[#This Row],[picking_time_seconds]]&gt;120,"Slow",IF(WarehouseData[[#This Row],[picking_time_seconds]]&gt;=60,"Average","Fast"))</f>
        <v>Average</v>
      </c>
    </row>
    <row r="1697" spans="1:31" x14ac:dyDescent="0.25">
      <c r="A1697" t="s">
        <v>1835</v>
      </c>
      <c r="B1697" t="s">
        <v>36</v>
      </c>
      <c r="C1697">
        <v>48</v>
      </c>
      <c r="D1697">
        <v>66</v>
      </c>
      <c r="E1697">
        <v>11</v>
      </c>
      <c r="F1697">
        <v>5</v>
      </c>
      <c r="G1697">
        <v>20.67</v>
      </c>
      <c r="H1697">
        <v>5.82</v>
      </c>
      <c r="I1697">
        <v>0.61</v>
      </c>
      <c r="J1697" t="s">
        <v>183</v>
      </c>
      <c r="K1697" t="s">
        <v>34</v>
      </c>
      <c r="L1697">
        <v>41</v>
      </c>
      <c r="M1697">
        <v>0.76</v>
      </c>
      <c r="N1697">
        <v>63.71</v>
      </c>
      <c r="O1697">
        <v>1.44</v>
      </c>
      <c r="P1697">
        <v>4</v>
      </c>
      <c r="Q1697">
        <v>0.84</v>
      </c>
      <c r="R1697">
        <v>450</v>
      </c>
      <c r="S1697">
        <v>5.87</v>
      </c>
      <c r="T1697">
        <v>0.57999999999999996</v>
      </c>
      <c r="U1697" s="1">
        <v>45530</v>
      </c>
      <c r="V1697">
        <v>274.68</v>
      </c>
      <c r="W1697">
        <v>0.53800000000000003</v>
      </c>
      <c r="X1697" t="str">
        <f>IF(WarehouseData[[#This Row],[stock_level]]&lt;=WarehouseData[[#This Row],[reorder_point]],"Low Stock","Sufficient Stock")</f>
        <v>Low Stock</v>
      </c>
      <c r="Y1697">
        <f>WarehouseData[[#This Row],[daily_demand]]*WarehouseData[[#This Row],[lead_time_days]]</f>
        <v>103.35000000000001</v>
      </c>
      <c r="Z1697" t="str">
        <f>IF(WarehouseData[[#This Row],[stock_level]]&lt;=WarehouseData[[#This Row],[Demand During Lead Time]],"At Risk","Safe")</f>
        <v>At Risk</v>
      </c>
      <c r="AA1697">
        <f>WarehouseData[[#This Row],[stock_level]]/WarehouseData[[#This Row],[daily_demand]]</f>
        <v>2.3222060957910013</v>
      </c>
      <c r="AB1697">
        <f>WarehouseData[[#This Row],[stock_level]]*WarehouseData[[#This Row],[unit_price]]</f>
        <v>3058.08</v>
      </c>
      <c r="AC1697">
        <f>WarehouseData[[#This Row],[stock_level]]*WarehouseData[[#This Row],[holding_cost_per_unit_day]]*30</f>
        <v>2073.6000000000004</v>
      </c>
      <c r="AD1697" t="str">
        <f>IF(WarehouseData[[#This Row],[order_fulfillment_rate]]&gt;=0.9,"Strong",IF(WarehouseData[[#This Row],[order_fulfillment_rate]]&gt;=0.8,"Moderate","Needs Attention"))</f>
        <v>Moderate</v>
      </c>
      <c r="AE1697" t="str">
        <f>IF(WarehouseData[[#This Row],[picking_time_seconds]]&gt;120,"Slow",IF(WarehouseData[[#This Row],[picking_time_seconds]]&gt;=60,"Average","Fast"))</f>
        <v>Fast</v>
      </c>
    </row>
    <row r="1698" spans="1:31" x14ac:dyDescent="0.25">
      <c r="A1698" t="s">
        <v>1836</v>
      </c>
      <c r="B1698" t="s">
        <v>32</v>
      </c>
      <c r="C1698">
        <v>402</v>
      </c>
      <c r="D1698">
        <v>21</v>
      </c>
      <c r="E1698">
        <v>13</v>
      </c>
      <c r="F1698">
        <v>5</v>
      </c>
      <c r="G1698">
        <v>2.39</v>
      </c>
      <c r="H1698">
        <v>2.08</v>
      </c>
      <c r="I1698">
        <v>0.11</v>
      </c>
      <c r="J1698" t="s">
        <v>283</v>
      </c>
      <c r="K1698" t="s">
        <v>38</v>
      </c>
      <c r="L1698">
        <v>83</v>
      </c>
      <c r="M1698">
        <v>0.63</v>
      </c>
      <c r="N1698">
        <v>122.41</v>
      </c>
      <c r="O1698">
        <v>1.21</v>
      </c>
      <c r="P1698">
        <v>2</v>
      </c>
      <c r="Q1698">
        <v>0.76</v>
      </c>
      <c r="R1698">
        <v>829</v>
      </c>
      <c r="S1698">
        <v>13.21</v>
      </c>
      <c r="T1698">
        <v>0.42</v>
      </c>
      <c r="U1698" s="1">
        <v>45446</v>
      </c>
      <c r="V1698">
        <v>218.84</v>
      </c>
      <c r="W1698">
        <v>0.65100000000000002</v>
      </c>
      <c r="X1698" t="str">
        <f>IF(WarehouseData[[#This Row],[stock_level]]&lt;=WarehouseData[[#This Row],[reorder_point]],"Low Stock","Sufficient Stock")</f>
        <v>Sufficient Stock</v>
      </c>
      <c r="Y1698">
        <f>WarehouseData[[#This Row],[daily_demand]]*WarehouseData[[#This Row],[lead_time_days]]</f>
        <v>11.950000000000001</v>
      </c>
      <c r="Z1698" t="str">
        <f>IF(WarehouseData[[#This Row],[stock_level]]&lt;=WarehouseData[[#This Row],[Demand During Lead Time]],"At Risk","Safe")</f>
        <v>Safe</v>
      </c>
      <c r="AA1698">
        <f>WarehouseData[[#This Row],[stock_level]]/WarehouseData[[#This Row],[daily_demand]]</f>
        <v>168.20083682008368</v>
      </c>
      <c r="AB1698">
        <f>WarehouseData[[#This Row],[stock_level]]*WarehouseData[[#This Row],[unit_price]]</f>
        <v>49208.82</v>
      </c>
      <c r="AC1698">
        <f>WarehouseData[[#This Row],[stock_level]]*WarehouseData[[#This Row],[holding_cost_per_unit_day]]*30</f>
        <v>14592.599999999999</v>
      </c>
      <c r="AD1698" t="str">
        <f>IF(WarehouseData[[#This Row],[order_fulfillment_rate]]&gt;=0.9,"Strong",IF(WarehouseData[[#This Row],[order_fulfillment_rate]]&gt;=0.8,"Moderate","Needs Attention"))</f>
        <v>Needs Attention</v>
      </c>
      <c r="AE1698" t="str">
        <f>IF(WarehouseData[[#This Row],[picking_time_seconds]]&gt;120,"Slow",IF(WarehouseData[[#This Row],[picking_time_seconds]]&gt;=60,"Average","Fast"))</f>
        <v>Average</v>
      </c>
    </row>
    <row r="1699" spans="1:31" x14ac:dyDescent="0.25">
      <c r="A1699" t="s">
        <v>1837</v>
      </c>
      <c r="B1699" t="s">
        <v>36</v>
      </c>
      <c r="C1699">
        <v>38</v>
      </c>
      <c r="D1699">
        <v>14</v>
      </c>
      <c r="E1699">
        <v>9</v>
      </c>
      <c r="F1699">
        <v>5</v>
      </c>
      <c r="G1699">
        <v>35.07</v>
      </c>
      <c r="H1699">
        <v>3.17</v>
      </c>
      <c r="I1699">
        <v>0.28000000000000003</v>
      </c>
      <c r="J1699" t="s">
        <v>178</v>
      </c>
      <c r="K1699" t="s">
        <v>34</v>
      </c>
      <c r="L1699">
        <v>177</v>
      </c>
      <c r="M1699">
        <v>1.19</v>
      </c>
      <c r="N1699">
        <v>83.02</v>
      </c>
      <c r="O1699">
        <v>0.28000000000000003</v>
      </c>
      <c r="P1699">
        <v>5</v>
      </c>
      <c r="Q1699">
        <v>0.71</v>
      </c>
      <c r="R1699">
        <v>414</v>
      </c>
      <c r="S1699">
        <v>6.5</v>
      </c>
      <c r="T1699">
        <v>0.23</v>
      </c>
      <c r="U1699" s="1">
        <v>45638</v>
      </c>
      <c r="V1699">
        <v>130.26</v>
      </c>
      <c r="W1699">
        <v>0.54700000000000004</v>
      </c>
      <c r="X1699" t="str">
        <f>IF(WarehouseData[[#This Row],[stock_level]]&lt;=WarehouseData[[#This Row],[reorder_point]],"Low Stock","Sufficient Stock")</f>
        <v>Sufficient Stock</v>
      </c>
      <c r="Y1699">
        <f>WarehouseData[[#This Row],[daily_demand]]*WarehouseData[[#This Row],[lead_time_days]]</f>
        <v>175.35</v>
      </c>
      <c r="Z1699" t="str">
        <f>IF(WarehouseData[[#This Row],[stock_level]]&lt;=WarehouseData[[#This Row],[Demand During Lead Time]],"At Risk","Safe")</f>
        <v>At Risk</v>
      </c>
      <c r="AA1699">
        <f>WarehouseData[[#This Row],[stock_level]]/WarehouseData[[#This Row],[daily_demand]]</f>
        <v>1.0835471913316224</v>
      </c>
      <c r="AB1699">
        <f>WarehouseData[[#This Row],[stock_level]]*WarehouseData[[#This Row],[unit_price]]</f>
        <v>3154.7599999999998</v>
      </c>
      <c r="AC1699">
        <f>WarehouseData[[#This Row],[stock_level]]*WarehouseData[[#This Row],[holding_cost_per_unit_day]]*30</f>
        <v>319.20000000000005</v>
      </c>
      <c r="AD1699" t="str">
        <f>IF(WarehouseData[[#This Row],[order_fulfillment_rate]]&gt;=0.9,"Strong",IF(WarehouseData[[#This Row],[order_fulfillment_rate]]&gt;=0.8,"Moderate","Needs Attention"))</f>
        <v>Needs Attention</v>
      </c>
      <c r="AE1699" t="str">
        <f>IF(WarehouseData[[#This Row],[picking_time_seconds]]&gt;120,"Slow",IF(WarehouseData[[#This Row],[picking_time_seconds]]&gt;=60,"Average","Fast"))</f>
        <v>Slow</v>
      </c>
    </row>
    <row r="1700" spans="1:31" x14ac:dyDescent="0.25">
      <c r="A1700" t="s">
        <v>1838</v>
      </c>
      <c r="B1700" t="s">
        <v>32</v>
      </c>
      <c r="C1700">
        <v>190</v>
      </c>
      <c r="D1700">
        <v>59</v>
      </c>
      <c r="E1700">
        <v>9</v>
      </c>
      <c r="F1700">
        <v>3</v>
      </c>
      <c r="G1700">
        <v>40.57</v>
      </c>
      <c r="H1700">
        <v>5.45</v>
      </c>
      <c r="I1700">
        <v>0.8</v>
      </c>
      <c r="J1700" t="s">
        <v>113</v>
      </c>
      <c r="K1700" t="s">
        <v>38</v>
      </c>
      <c r="L1700">
        <v>154</v>
      </c>
      <c r="M1700">
        <v>3.44</v>
      </c>
      <c r="N1700">
        <v>125.63</v>
      </c>
      <c r="O1700">
        <v>1.95</v>
      </c>
      <c r="P1700">
        <v>9</v>
      </c>
      <c r="Q1700">
        <v>0.84</v>
      </c>
      <c r="R1700">
        <v>987</v>
      </c>
      <c r="S1700">
        <v>8.81</v>
      </c>
      <c r="T1700">
        <v>0.22</v>
      </c>
      <c r="U1700" s="1">
        <v>45558</v>
      </c>
      <c r="V1700">
        <v>145.38999999999999</v>
      </c>
      <c r="W1700">
        <v>0.35399999999999998</v>
      </c>
      <c r="X1700" t="str">
        <f>IF(WarehouseData[[#This Row],[stock_level]]&lt;=WarehouseData[[#This Row],[reorder_point]],"Low Stock","Sufficient Stock")</f>
        <v>Sufficient Stock</v>
      </c>
      <c r="Y1700">
        <f>WarehouseData[[#This Row],[daily_demand]]*WarehouseData[[#This Row],[lead_time_days]]</f>
        <v>121.71000000000001</v>
      </c>
      <c r="Z1700" t="str">
        <f>IF(WarehouseData[[#This Row],[stock_level]]&lt;=WarehouseData[[#This Row],[Demand During Lead Time]],"At Risk","Safe")</f>
        <v>Safe</v>
      </c>
      <c r="AA1700">
        <f>WarehouseData[[#This Row],[stock_level]]/WarehouseData[[#This Row],[daily_demand]]</f>
        <v>4.6832634951934926</v>
      </c>
      <c r="AB1700">
        <f>WarehouseData[[#This Row],[stock_level]]*WarehouseData[[#This Row],[unit_price]]</f>
        <v>23869.7</v>
      </c>
      <c r="AC1700">
        <f>WarehouseData[[#This Row],[stock_level]]*WarehouseData[[#This Row],[holding_cost_per_unit_day]]*30</f>
        <v>11115</v>
      </c>
      <c r="AD1700" t="str">
        <f>IF(WarehouseData[[#This Row],[order_fulfillment_rate]]&gt;=0.9,"Strong",IF(WarehouseData[[#This Row],[order_fulfillment_rate]]&gt;=0.8,"Moderate","Needs Attention"))</f>
        <v>Moderate</v>
      </c>
      <c r="AE1700" t="str">
        <f>IF(WarehouseData[[#This Row],[picking_time_seconds]]&gt;120,"Slow",IF(WarehouseData[[#This Row],[picking_time_seconds]]&gt;=60,"Average","Fast"))</f>
        <v>Slow</v>
      </c>
    </row>
    <row r="1701" spans="1:31" x14ac:dyDescent="0.25">
      <c r="A1701" t="s">
        <v>1839</v>
      </c>
      <c r="B1701" t="s">
        <v>32</v>
      </c>
      <c r="C1701">
        <v>469</v>
      </c>
      <c r="D1701">
        <v>51</v>
      </c>
      <c r="E1701">
        <v>10</v>
      </c>
      <c r="F1701">
        <v>6</v>
      </c>
      <c r="G1701">
        <v>33.51</v>
      </c>
      <c r="H1701">
        <v>3.13</v>
      </c>
      <c r="I1701">
        <v>0.35</v>
      </c>
      <c r="J1701" t="s">
        <v>188</v>
      </c>
      <c r="K1701" t="s">
        <v>46</v>
      </c>
      <c r="L1701">
        <v>110</v>
      </c>
      <c r="M1701">
        <v>0.74</v>
      </c>
      <c r="N1701">
        <v>40.35</v>
      </c>
      <c r="O1701">
        <v>0.19</v>
      </c>
      <c r="P1701">
        <v>2</v>
      </c>
      <c r="Q1701">
        <v>0.83</v>
      </c>
      <c r="R1701">
        <v>344</v>
      </c>
      <c r="S1701">
        <v>14.67</v>
      </c>
      <c r="T1701">
        <v>0.96</v>
      </c>
      <c r="U1701" s="1">
        <v>45611</v>
      </c>
      <c r="V1701">
        <v>139.44999999999999</v>
      </c>
      <c r="W1701">
        <v>0.89500000000000002</v>
      </c>
      <c r="X1701" t="str">
        <f>IF(WarehouseData[[#This Row],[stock_level]]&lt;=WarehouseData[[#This Row],[reorder_point]],"Low Stock","Sufficient Stock")</f>
        <v>Sufficient Stock</v>
      </c>
      <c r="Y1701">
        <f>WarehouseData[[#This Row],[daily_demand]]*WarehouseData[[#This Row],[lead_time_days]]</f>
        <v>201.06</v>
      </c>
      <c r="Z1701" t="str">
        <f>IF(WarehouseData[[#This Row],[stock_level]]&lt;=WarehouseData[[#This Row],[Demand During Lead Time]],"At Risk","Safe")</f>
        <v>Safe</v>
      </c>
      <c r="AA1701">
        <f>WarehouseData[[#This Row],[stock_level]]/WarehouseData[[#This Row],[daily_demand]]</f>
        <v>13.995822142643988</v>
      </c>
      <c r="AB1701">
        <f>WarehouseData[[#This Row],[stock_level]]*WarehouseData[[#This Row],[unit_price]]</f>
        <v>18924.150000000001</v>
      </c>
      <c r="AC1701">
        <f>WarehouseData[[#This Row],[stock_level]]*WarehouseData[[#This Row],[holding_cost_per_unit_day]]*30</f>
        <v>2673.3</v>
      </c>
      <c r="AD1701" t="str">
        <f>IF(WarehouseData[[#This Row],[order_fulfillment_rate]]&gt;=0.9,"Strong",IF(WarehouseData[[#This Row],[order_fulfillment_rate]]&gt;=0.8,"Moderate","Needs Attention"))</f>
        <v>Moderate</v>
      </c>
      <c r="AE1701" t="str">
        <f>IF(WarehouseData[[#This Row],[picking_time_seconds]]&gt;120,"Slow",IF(WarehouseData[[#This Row],[picking_time_seconds]]&gt;=60,"Average","Fast"))</f>
        <v>Average</v>
      </c>
    </row>
    <row r="1702" spans="1:31" x14ac:dyDescent="0.25">
      <c r="A1702" t="s">
        <v>1840</v>
      </c>
      <c r="B1702" t="s">
        <v>32</v>
      </c>
      <c r="C1702">
        <v>93</v>
      </c>
      <c r="D1702">
        <v>21</v>
      </c>
      <c r="E1702">
        <v>7</v>
      </c>
      <c r="F1702">
        <v>2</v>
      </c>
      <c r="G1702">
        <v>8.42</v>
      </c>
      <c r="H1702">
        <v>2.5</v>
      </c>
      <c r="I1702">
        <v>0.55000000000000004</v>
      </c>
      <c r="J1702" t="s">
        <v>357</v>
      </c>
      <c r="K1702" t="s">
        <v>46</v>
      </c>
      <c r="L1702">
        <v>88</v>
      </c>
      <c r="M1702">
        <v>0.59</v>
      </c>
      <c r="N1702">
        <v>59.68</v>
      </c>
      <c r="O1702">
        <v>0.26</v>
      </c>
      <c r="P1702">
        <v>5</v>
      </c>
      <c r="Q1702">
        <v>0.83</v>
      </c>
      <c r="R1702">
        <v>486</v>
      </c>
      <c r="S1702">
        <v>10</v>
      </c>
      <c r="T1702">
        <v>0.46</v>
      </c>
      <c r="U1702" s="1">
        <v>45495</v>
      </c>
      <c r="V1702">
        <v>241.09</v>
      </c>
      <c r="W1702">
        <v>0.66500000000000004</v>
      </c>
      <c r="X1702" t="str">
        <f>IF(WarehouseData[[#This Row],[stock_level]]&lt;=WarehouseData[[#This Row],[reorder_point]],"Low Stock","Sufficient Stock")</f>
        <v>Sufficient Stock</v>
      </c>
      <c r="Y1702">
        <f>WarehouseData[[#This Row],[daily_demand]]*WarehouseData[[#This Row],[lead_time_days]]</f>
        <v>16.84</v>
      </c>
      <c r="Z1702" t="str">
        <f>IF(WarehouseData[[#This Row],[stock_level]]&lt;=WarehouseData[[#This Row],[Demand During Lead Time]],"At Risk","Safe")</f>
        <v>Safe</v>
      </c>
      <c r="AA1702">
        <f>WarehouseData[[#This Row],[stock_level]]/WarehouseData[[#This Row],[daily_demand]]</f>
        <v>11.045130641330166</v>
      </c>
      <c r="AB1702">
        <f>WarehouseData[[#This Row],[stock_level]]*WarehouseData[[#This Row],[unit_price]]</f>
        <v>5550.24</v>
      </c>
      <c r="AC1702">
        <f>WarehouseData[[#This Row],[stock_level]]*WarehouseData[[#This Row],[holding_cost_per_unit_day]]*30</f>
        <v>725.4</v>
      </c>
      <c r="AD1702" t="str">
        <f>IF(WarehouseData[[#This Row],[order_fulfillment_rate]]&gt;=0.9,"Strong",IF(WarehouseData[[#This Row],[order_fulfillment_rate]]&gt;=0.8,"Moderate","Needs Attention"))</f>
        <v>Moderate</v>
      </c>
      <c r="AE1702" t="str">
        <f>IF(WarehouseData[[#This Row],[picking_time_seconds]]&gt;120,"Slow",IF(WarehouseData[[#This Row],[picking_time_seconds]]&gt;=60,"Average","Fast"))</f>
        <v>Average</v>
      </c>
    </row>
    <row r="1703" spans="1:31" x14ac:dyDescent="0.25">
      <c r="A1703" t="s">
        <v>1841</v>
      </c>
      <c r="B1703" t="s">
        <v>32</v>
      </c>
      <c r="C1703">
        <v>80</v>
      </c>
      <c r="D1703">
        <v>27</v>
      </c>
      <c r="E1703">
        <v>7</v>
      </c>
      <c r="F1703">
        <v>2</v>
      </c>
      <c r="G1703">
        <v>6.06</v>
      </c>
      <c r="H1703">
        <v>1.33</v>
      </c>
      <c r="I1703">
        <v>0.38</v>
      </c>
      <c r="J1703" t="s">
        <v>160</v>
      </c>
      <c r="K1703" t="s">
        <v>52</v>
      </c>
      <c r="L1703">
        <v>169</v>
      </c>
      <c r="M1703">
        <v>1.03</v>
      </c>
      <c r="N1703">
        <v>117.38</v>
      </c>
      <c r="O1703">
        <v>1.43</v>
      </c>
      <c r="P1703">
        <v>7</v>
      </c>
      <c r="Q1703">
        <v>0.76</v>
      </c>
      <c r="R1703">
        <v>120</v>
      </c>
      <c r="S1703">
        <v>8.01</v>
      </c>
      <c r="T1703">
        <v>0.47</v>
      </c>
      <c r="U1703" s="1">
        <v>45591</v>
      </c>
      <c r="V1703">
        <v>60.9</v>
      </c>
      <c r="W1703">
        <v>0.47</v>
      </c>
      <c r="X1703" t="str">
        <f>IF(WarehouseData[[#This Row],[stock_level]]&lt;=WarehouseData[[#This Row],[reorder_point]],"Low Stock","Sufficient Stock")</f>
        <v>Sufficient Stock</v>
      </c>
      <c r="Y1703">
        <f>WarehouseData[[#This Row],[daily_demand]]*WarehouseData[[#This Row],[lead_time_days]]</f>
        <v>12.12</v>
      </c>
      <c r="Z1703" t="str">
        <f>IF(WarehouseData[[#This Row],[stock_level]]&lt;=WarehouseData[[#This Row],[Demand During Lead Time]],"At Risk","Safe")</f>
        <v>Safe</v>
      </c>
      <c r="AA1703">
        <f>WarehouseData[[#This Row],[stock_level]]/WarehouseData[[#This Row],[daily_demand]]</f>
        <v>13.201320132013203</v>
      </c>
      <c r="AB1703">
        <f>WarehouseData[[#This Row],[stock_level]]*WarehouseData[[#This Row],[unit_price]]</f>
        <v>9390.4</v>
      </c>
      <c r="AC1703">
        <f>WarehouseData[[#This Row],[stock_level]]*WarehouseData[[#This Row],[holding_cost_per_unit_day]]*30</f>
        <v>3431.9999999999995</v>
      </c>
      <c r="AD1703" t="str">
        <f>IF(WarehouseData[[#This Row],[order_fulfillment_rate]]&gt;=0.9,"Strong",IF(WarehouseData[[#This Row],[order_fulfillment_rate]]&gt;=0.8,"Moderate","Needs Attention"))</f>
        <v>Needs Attention</v>
      </c>
      <c r="AE1703" t="str">
        <f>IF(WarehouseData[[#This Row],[picking_time_seconds]]&gt;120,"Slow",IF(WarehouseData[[#This Row],[picking_time_seconds]]&gt;=60,"Average","Fast"))</f>
        <v>Slow</v>
      </c>
    </row>
    <row r="1704" spans="1:31" x14ac:dyDescent="0.25">
      <c r="A1704" t="s">
        <v>1842</v>
      </c>
      <c r="B1704" t="s">
        <v>32</v>
      </c>
      <c r="C1704">
        <v>446</v>
      </c>
      <c r="D1704">
        <v>75</v>
      </c>
      <c r="E1704">
        <v>3</v>
      </c>
      <c r="F1704">
        <v>3</v>
      </c>
      <c r="G1704">
        <v>29.07</v>
      </c>
      <c r="H1704">
        <v>1.98</v>
      </c>
      <c r="I1704">
        <v>0.93</v>
      </c>
      <c r="J1704" t="s">
        <v>64</v>
      </c>
      <c r="K1704" t="s">
        <v>52</v>
      </c>
      <c r="L1704">
        <v>32</v>
      </c>
      <c r="M1704">
        <v>4.7699999999999996</v>
      </c>
      <c r="N1704">
        <v>51.26</v>
      </c>
      <c r="O1704">
        <v>1.45</v>
      </c>
      <c r="P1704">
        <v>3</v>
      </c>
      <c r="Q1704">
        <v>0.98</v>
      </c>
      <c r="R1704">
        <v>761</v>
      </c>
      <c r="S1704">
        <v>2.37</v>
      </c>
      <c r="T1704">
        <v>0.94</v>
      </c>
      <c r="U1704" s="1">
        <v>45344</v>
      </c>
      <c r="V1704">
        <v>27.01</v>
      </c>
      <c r="W1704">
        <v>0.61099999999999999</v>
      </c>
      <c r="X1704" t="str">
        <f>IF(WarehouseData[[#This Row],[stock_level]]&lt;=WarehouseData[[#This Row],[reorder_point]],"Low Stock","Sufficient Stock")</f>
        <v>Sufficient Stock</v>
      </c>
      <c r="Y1704">
        <f>WarehouseData[[#This Row],[daily_demand]]*WarehouseData[[#This Row],[lead_time_days]]</f>
        <v>87.210000000000008</v>
      </c>
      <c r="Z1704" t="str">
        <f>IF(WarehouseData[[#This Row],[stock_level]]&lt;=WarehouseData[[#This Row],[Demand During Lead Time]],"At Risk","Safe")</f>
        <v>Safe</v>
      </c>
      <c r="AA1704">
        <f>WarehouseData[[#This Row],[stock_level]]/WarehouseData[[#This Row],[daily_demand]]</f>
        <v>15.342277261781906</v>
      </c>
      <c r="AB1704">
        <f>WarehouseData[[#This Row],[stock_level]]*WarehouseData[[#This Row],[unit_price]]</f>
        <v>22861.96</v>
      </c>
      <c r="AC1704">
        <f>WarehouseData[[#This Row],[stock_level]]*WarehouseData[[#This Row],[holding_cost_per_unit_day]]*30</f>
        <v>19400.999999999996</v>
      </c>
      <c r="AD1704" t="str">
        <f>IF(WarehouseData[[#This Row],[order_fulfillment_rate]]&gt;=0.9,"Strong",IF(WarehouseData[[#This Row],[order_fulfillment_rate]]&gt;=0.8,"Moderate","Needs Attention"))</f>
        <v>Strong</v>
      </c>
      <c r="AE1704" t="str">
        <f>IF(WarehouseData[[#This Row],[picking_time_seconds]]&gt;120,"Slow",IF(WarehouseData[[#This Row],[picking_time_seconds]]&gt;=60,"Average","Fast"))</f>
        <v>Fast</v>
      </c>
    </row>
    <row r="1705" spans="1:31" x14ac:dyDescent="0.25">
      <c r="A1705" t="s">
        <v>1843</v>
      </c>
      <c r="B1705" t="s">
        <v>48</v>
      </c>
      <c r="C1705">
        <v>172</v>
      </c>
      <c r="D1705">
        <v>83</v>
      </c>
      <c r="E1705">
        <v>11</v>
      </c>
      <c r="F1705">
        <v>8</v>
      </c>
      <c r="G1705">
        <v>20.67</v>
      </c>
      <c r="H1705">
        <v>7.8</v>
      </c>
      <c r="I1705">
        <v>0.57999999999999996</v>
      </c>
      <c r="J1705" t="s">
        <v>142</v>
      </c>
      <c r="K1705" t="s">
        <v>38</v>
      </c>
      <c r="L1705">
        <v>65</v>
      </c>
      <c r="M1705">
        <v>4.58</v>
      </c>
      <c r="N1705">
        <v>90.33</v>
      </c>
      <c r="O1705">
        <v>0.14000000000000001</v>
      </c>
      <c r="P1705">
        <v>7</v>
      </c>
      <c r="Q1705">
        <v>0.7</v>
      </c>
      <c r="R1705">
        <v>608</v>
      </c>
      <c r="S1705">
        <v>12.49</v>
      </c>
      <c r="T1705">
        <v>0.87</v>
      </c>
      <c r="U1705" s="1">
        <v>45295</v>
      </c>
      <c r="V1705">
        <v>154.55000000000001</v>
      </c>
      <c r="W1705">
        <v>0.72699999999999998</v>
      </c>
      <c r="X1705" t="str">
        <f>IF(WarehouseData[[#This Row],[stock_level]]&lt;=WarehouseData[[#This Row],[reorder_point]],"Low Stock","Sufficient Stock")</f>
        <v>Sufficient Stock</v>
      </c>
      <c r="Y1705">
        <f>WarehouseData[[#This Row],[daily_demand]]*WarehouseData[[#This Row],[lead_time_days]]</f>
        <v>165.36</v>
      </c>
      <c r="Z1705" t="str">
        <f>IF(WarehouseData[[#This Row],[stock_level]]&lt;=WarehouseData[[#This Row],[Demand During Lead Time]],"At Risk","Safe")</f>
        <v>Safe</v>
      </c>
      <c r="AA1705">
        <f>WarehouseData[[#This Row],[stock_level]]/WarehouseData[[#This Row],[daily_demand]]</f>
        <v>8.3212385099177553</v>
      </c>
      <c r="AB1705">
        <f>WarehouseData[[#This Row],[stock_level]]*WarehouseData[[#This Row],[unit_price]]</f>
        <v>15536.76</v>
      </c>
      <c r="AC1705">
        <f>WarehouseData[[#This Row],[stock_level]]*WarehouseData[[#This Row],[holding_cost_per_unit_day]]*30</f>
        <v>722.40000000000009</v>
      </c>
      <c r="AD1705" t="str">
        <f>IF(WarehouseData[[#This Row],[order_fulfillment_rate]]&gt;=0.9,"Strong",IF(WarehouseData[[#This Row],[order_fulfillment_rate]]&gt;=0.8,"Moderate","Needs Attention"))</f>
        <v>Needs Attention</v>
      </c>
      <c r="AE1705" t="str">
        <f>IF(WarehouseData[[#This Row],[picking_time_seconds]]&gt;120,"Slow",IF(WarehouseData[[#This Row],[picking_time_seconds]]&gt;=60,"Average","Fast"))</f>
        <v>Average</v>
      </c>
    </row>
    <row r="1706" spans="1:31" x14ac:dyDescent="0.25">
      <c r="A1706" t="s">
        <v>1844</v>
      </c>
      <c r="B1706" t="s">
        <v>73</v>
      </c>
      <c r="C1706">
        <v>295</v>
      </c>
      <c r="D1706">
        <v>88</v>
      </c>
      <c r="E1706">
        <v>8</v>
      </c>
      <c r="F1706">
        <v>3</v>
      </c>
      <c r="G1706">
        <v>22.03</v>
      </c>
      <c r="H1706">
        <v>7.33</v>
      </c>
      <c r="I1706">
        <v>0.73</v>
      </c>
      <c r="J1706" t="s">
        <v>64</v>
      </c>
      <c r="K1706" t="s">
        <v>34</v>
      </c>
      <c r="L1706">
        <v>146</v>
      </c>
      <c r="M1706">
        <v>0.89</v>
      </c>
      <c r="N1706">
        <v>118.8</v>
      </c>
      <c r="O1706">
        <v>1.32</v>
      </c>
      <c r="P1706">
        <v>6</v>
      </c>
      <c r="Q1706">
        <v>0.97</v>
      </c>
      <c r="R1706">
        <v>74</v>
      </c>
      <c r="S1706">
        <v>9.99</v>
      </c>
      <c r="T1706">
        <v>0.75</v>
      </c>
      <c r="U1706" s="1">
        <v>45553</v>
      </c>
      <c r="V1706">
        <v>94.22</v>
      </c>
      <c r="W1706">
        <v>0.625</v>
      </c>
      <c r="X1706" t="str">
        <f>IF(WarehouseData[[#This Row],[stock_level]]&lt;=WarehouseData[[#This Row],[reorder_point]],"Low Stock","Sufficient Stock")</f>
        <v>Sufficient Stock</v>
      </c>
      <c r="Y1706">
        <f>WarehouseData[[#This Row],[daily_demand]]*WarehouseData[[#This Row],[lead_time_days]]</f>
        <v>66.09</v>
      </c>
      <c r="Z1706" t="str">
        <f>IF(WarehouseData[[#This Row],[stock_level]]&lt;=WarehouseData[[#This Row],[Demand During Lead Time]],"At Risk","Safe")</f>
        <v>Safe</v>
      </c>
      <c r="AA1706">
        <f>WarehouseData[[#This Row],[stock_level]]/WarehouseData[[#This Row],[daily_demand]]</f>
        <v>13.390830685428959</v>
      </c>
      <c r="AB1706">
        <f>WarehouseData[[#This Row],[stock_level]]*WarehouseData[[#This Row],[unit_price]]</f>
        <v>35046</v>
      </c>
      <c r="AC1706">
        <f>WarehouseData[[#This Row],[stock_level]]*WarehouseData[[#This Row],[holding_cost_per_unit_day]]*30</f>
        <v>11682.000000000002</v>
      </c>
      <c r="AD1706" t="str">
        <f>IF(WarehouseData[[#This Row],[order_fulfillment_rate]]&gt;=0.9,"Strong",IF(WarehouseData[[#This Row],[order_fulfillment_rate]]&gt;=0.8,"Moderate","Needs Attention"))</f>
        <v>Strong</v>
      </c>
      <c r="AE1706" t="str">
        <f>IF(WarehouseData[[#This Row],[picking_time_seconds]]&gt;120,"Slow",IF(WarehouseData[[#This Row],[picking_time_seconds]]&gt;=60,"Average","Fast"))</f>
        <v>Slow</v>
      </c>
    </row>
    <row r="1707" spans="1:31" x14ac:dyDescent="0.25">
      <c r="A1707" t="s">
        <v>1845</v>
      </c>
      <c r="B1707" t="s">
        <v>40</v>
      </c>
      <c r="C1707">
        <v>67</v>
      </c>
      <c r="D1707">
        <v>26</v>
      </c>
      <c r="E1707">
        <v>11</v>
      </c>
      <c r="F1707">
        <v>7</v>
      </c>
      <c r="G1707">
        <v>48.42</v>
      </c>
      <c r="H1707">
        <v>0.94</v>
      </c>
      <c r="I1707">
        <v>0.18</v>
      </c>
      <c r="J1707" t="s">
        <v>301</v>
      </c>
      <c r="K1707" t="s">
        <v>52</v>
      </c>
      <c r="L1707">
        <v>115</v>
      </c>
      <c r="M1707">
        <v>1.87</v>
      </c>
      <c r="N1707">
        <v>194.99</v>
      </c>
      <c r="O1707">
        <v>0.16</v>
      </c>
      <c r="P1707">
        <v>3</v>
      </c>
      <c r="Q1707">
        <v>0.92</v>
      </c>
      <c r="R1707">
        <v>774</v>
      </c>
      <c r="S1707">
        <v>2.52</v>
      </c>
      <c r="T1707">
        <v>0.73</v>
      </c>
      <c r="U1707" s="1">
        <v>45631</v>
      </c>
      <c r="V1707">
        <v>173.54</v>
      </c>
      <c r="W1707">
        <v>0.68799999999999994</v>
      </c>
      <c r="X1707" t="str">
        <f>IF(WarehouseData[[#This Row],[stock_level]]&lt;=WarehouseData[[#This Row],[reorder_point]],"Low Stock","Sufficient Stock")</f>
        <v>Sufficient Stock</v>
      </c>
      <c r="Y1707">
        <f>WarehouseData[[#This Row],[daily_demand]]*WarehouseData[[#This Row],[lead_time_days]]</f>
        <v>338.94</v>
      </c>
      <c r="Z1707" t="str">
        <f>IF(WarehouseData[[#This Row],[stock_level]]&lt;=WarehouseData[[#This Row],[Demand During Lead Time]],"At Risk","Safe")</f>
        <v>At Risk</v>
      </c>
      <c r="AA1707">
        <f>WarehouseData[[#This Row],[stock_level]]/WarehouseData[[#This Row],[daily_demand]]</f>
        <v>1.3837257331681123</v>
      </c>
      <c r="AB1707">
        <f>WarehouseData[[#This Row],[stock_level]]*WarehouseData[[#This Row],[unit_price]]</f>
        <v>13064.33</v>
      </c>
      <c r="AC1707">
        <f>WarehouseData[[#This Row],[stock_level]]*WarehouseData[[#This Row],[holding_cost_per_unit_day]]*30</f>
        <v>321.60000000000002</v>
      </c>
      <c r="AD1707" t="str">
        <f>IF(WarehouseData[[#This Row],[order_fulfillment_rate]]&gt;=0.9,"Strong",IF(WarehouseData[[#This Row],[order_fulfillment_rate]]&gt;=0.8,"Moderate","Needs Attention"))</f>
        <v>Strong</v>
      </c>
      <c r="AE1707" t="str">
        <f>IF(WarehouseData[[#This Row],[picking_time_seconds]]&gt;120,"Slow",IF(WarehouseData[[#This Row],[picking_time_seconds]]&gt;=60,"Average","Fast"))</f>
        <v>Average</v>
      </c>
    </row>
    <row r="1708" spans="1:31" x14ac:dyDescent="0.25">
      <c r="A1708" t="s">
        <v>1846</v>
      </c>
      <c r="B1708" t="s">
        <v>73</v>
      </c>
      <c r="C1708">
        <v>230</v>
      </c>
      <c r="D1708">
        <v>77</v>
      </c>
      <c r="E1708">
        <v>5</v>
      </c>
      <c r="F1708">
        <v>5</v>
      </c>
      <c r="G1708">
        <v>36.47</v>
      </c>
      <c r="H1708">
        <v>2.4300000000000002</v>
      </c>
      <c r="I1708">
        <v>0.14000000000000001</v>
      </c>
      <c r="J1708" t="s">
        <v>122</v>
      </c>
      <c r="K1708" t="s">
        <v>38</v>
      </c>
      <c r="L1708">
        <v>78</v>
      </c>
      <c r="M1708">
        <v>4.76</v>
      </c>
      <c r="N1708">
        <v>25.18</v>
      </c>
      <c r="O1708">
        <v>1.93</v>
      </c>
      <c r="P1708">
        <v>2</v>
      </c>
      <c r="Q1708">
        <v>0.75</v>
      </c>
      <c r="R1708">
        <v>995</v>
      </c>
      <c r="S1708">
        <v>4.4400000000000004</v>
      </c>
      <c r="T1708">
        <v>0.84</v>
      </c>
      <c r="U1708" s="1">
        <v>45483</v>
      </c>
      <c r="V1708">
        <v>293.68</v>
      </c>
      <c r="W1708">
        <v>0.54400000000000004</v>
      </c>
      <c r="X1708" t="str">
        <f>IF(WarehouseData[[#This Row],[stock_level]]&lt;=WarehouseData[[#This Row],[reorder_point]],"Low Stock","Sufficient Stock")</f>
        <v>Sufficient Stock</v>
      </c>
      <c r="Y1708">
        <f>WarehouseData[[#This Row],[daily_demand]]*WarehouseData[[#This Row],[lead_time_days]]</f>
        <v>182.35</v>
      </c>
      <c r="Z1708" t="str">
        <f>IF(WarehouseData[[#This Row],[stock_level]]&lt;=WarehouseData[[#This Row],[Demand During Lead Time]],"At Risk","Safe")</f>
        <v>Safe</v>
      </c>
      <c r="AA1708">
        <f>WarehouseData[[#This Row],[stock_level]]/WarehouseData[[#This Row],[daily_demand]]</f>
        <v>6.3065533315053468</v>
      </c>
      <c r="AB1708">
        <f>WarehouseData[[#This Row],[stock_level]]*WarehouseData[[#This Row],[unit_price]]</f>
        <v>5791.4</v>
      </c>
      <c r="AC1708">
        <f>WarehouseData[[#This Row],[stock_level]]*WarehouseData[[#This Row],[holding_cost_per_unit_day]]*30</f>
        <v>13317</v>
      </c>
      <c r="AD1708" t="str">
        <f>IF(WarehouseData[[#This Row],[order_fulfillment_rate]]&gt;=0.9,"Strong",IF(WarehouseData[[#This Row],[order_fulfillment_rate]]&gt;=0.8,"Moderate","Needs Attention"))</f>
        <v>Needs Attention</v>
      </c>
      <c r="AE1708" t="str">
        <f>IF(WarehouseData[[#This Row],[picking_time_seconds]]&gt;120,"Slow",IF(WarehouseData[[#This Row],[picking_time_seconds]]&gt;=60,"Average","Fast"))</f>
        <v>Average</v>
      </c>
    </row>
    <row r="1709" spans="1:31" x14ac:dyDescent="0.25">
      <c r="A1709" t="s">
        <v>1847</v>
      </c>
      <c r="B1709" t="s">
        <v>32</v>
      </c>
      <c r="C1709">
        <v>362</v>
      </c>
      <c r="D1709">
        <v>80</v>
      </c>
      <c r="E1709">
        <v>7</v>
      </c>
      <c r="F1709">
        <v>6</v>
      </c>
      <c r="G1709">
        <v>21.18</v>
      </c>
      <c r="H1709">
        <v>5.82</v>
      </c>
      <c r="I1709">
        <v>0.33</v>
      </c>
      <c r="J1709" t="s">
        <v>245</v>
      </c>
      <c r="K1709" t="s">
        <v>52</v>
      </c>
      <c r="L1709">
        <v>31</v>
      </c>
      <c r="M1709">
        <v>0.94</v>
      </c>
      <c r="N1709">
        <v>97.48</v>
      </c>
      <c r="O1709">
        <v>1.42</v>
      </c>
      <c r="P1709">
        <v>4</v>
      </c>
      <c r="Q1709">
        <v>0.84</v>
      </c>
      <c r="R1709">
        <v>423</v>
      </c>
      <c r="S1709">
        <v>8.5299999999999994</v>
      </c>
      <c r="T1709">
        <v>0.34</v>
      </c>
      <c r="U1709" s="1">
        <v>45579</v>
      </c>
      <c r="V1709">
        <v>204.72</v>
      </c>
      <c r="W1709">
        <v>0.52800000000000002</v>
      </c>
      <c r="X1709" t="str">
        <f>IF(WarehouseData[[#This Row],[stock_level]]&lt;=WarehouseData[[#This Row],[reorder_point]],"Low Stock","Sufficient Stock")</f>
        <v>Sufficient Stock</v>
      </c>
      <c r="Y1709">
        <f>WarehouseData[[#This Row],[daily_demand]]*WarehouseData[[#This Row],[lead_time_days]]</f>
        <v>127.08</v>
      </c>
      <c r="Z1709" t="str">
        <f>IF(WarehouseData[[#This Row],[stock_level]]&lt;=WarehouseData[[#This Row],[Demand During Lead Time]],"At Risk","Safe")</f>
        <v>Safe</v>
      </c>
      <c r="AA1709">
        <f>WarehouseData[[#This Row],[stock_level]]/WarehouseData[[#This Row],[daily_demand]]</f>
        <v>17.091595845136922</v>
      </c>
      <c r="AB1709">
        <f>WarehouseData[[#This Row],[stock_level]]*WarehouseData[[#This Row],[unit_price]]</f>
        <v>35287.760000000002</v>
      </c>
      <c r="AC1709">
        <f>WarehouseData[[#This Row],[stock_level]]*WarehouseData[[#This Row],[holding_cost_per_unit_day]]*30</f>
        <v>15421.199999999999</v>
      </c>
      <c r="AD1709" t="str">
        <f>IF(WarehouseData[[#This Row],[order_fulfillment_rate]]&gt;=0.9,"Strong",IF(WarehouseData[[#This Row],[order_fulfillment_rate]]&gt;=0.8,"Moderate","Needs Attention"))</f>
        <v>Moderate</v>
      </c>
      <c r="AE1709" t="str">
        <f>IF(WarehouseData[[#This Row],[picking_time_seconds]]&gt;120,"Slow",IF(WarehouseData[[#This Row],[picking_time_seconds]]&gt;=60,"Average","Fast"))</f>
        <v>Fast</v>
      </c>
    </row>
    <row r="1710" spans="1:31" x14ac:dyDescent="0.25">
      <c r="A1710" t="s">
        <v>1848</v>
      </c>
      <c r="B1710" t="s">
        <v>48</v>
      </c>
      <c r="C1710">
        <v>427</v>
      </c>
      <c r="D1710">
        <v>71</v>
      </c>
      <c r="E1710">
        <v>4</v>
      </c>
      <c r="F1710">
        <v>6</v>
      </c>
      <c r="G1710">
        <v>1.94</v>
      </c>
      <c r="H1710">
        <v>3.56</v>
      </c>
      <c r="I1710">
        <v>0.38</v>
      </c>
      <c r="J1710" t="s">
        <v>43</v>
      </c>
      <c r="K1710" t="s">
        <v>34</v>
      </c>
      <c r="L1710">
        <v>41</v>
      </c>
      <c r="M1710">
        <v>0.93</v>
      </c>
      <c r="N1710">
        <v>85.29</v>
      </c>
      <c r="O1710">
        <v>0.45</v>
      </c>
      <c r="P1710">
        <v>4</v>
      </c>
      <c r="Q1710">
        <v>1</v>
      </c>
      <c r="R1710">
        <v>594</v>
      </c>
      <c r="S1710">
        <v>1.63</v>
      </c>
      <c r="T1710">
        <v>0.73</v>
      </c>
      <c r="U1710" s="1">
        <v>45623</v>
      </c>
      <c r="V1710">
        <v>288.17</v>
      </c>
      <c r="W1710">
        <v>0.64300000000000002</v>
      </c>
      <c r="X1710" t="str">
        <f>IF(WarehouseData[[#This Row],[stock_level]]&lt;=WarehouseData[[#This Row],[reorder_point]],"Low Stock","Sufficient Stock")</f>
        <v>Sufficient Stock</v>
      </c>
      <c r="Y1710">
        <f>WarehouseData[[#This Row],[daily_demand]]*WarehouseData[[#This Row],[lead_time_days]]</f>
        <v>11.64</v>
      </c>
      <c r="Z1710" t="str">
        <f>IF(WarehouseData[[#This Row],[stock_level]]&lt;=WarehouseData[[#This Row],[Demand During Lead Time]],"At Risk","Safe")</f>
        <v>Safe</v>
      </c>
      <c r="AA1710">
        <f>WarehouseData[[#This Row],[stock_level]]/WarehouseData[[#This Row],[daily_demand]]</f>
        <v>220.10309278350516</v>
      </c>
      <c r="AB1710">
        <f>WarehouseData[[#This Row],[stock_level]]*WarehouseData[[#This Row],[unit_price]]</f>
        <v>36418.83</v>
      </c>
      <c r="AC1710">
        <f>WarehouseData[[#This Row],[stock_level]]*WarehouseData[[#This Row],[holding_cost_per_unit_day]]*30</f>
        <v>5764.5</v>
      </c>
      <c r="AD1710" t="str">
        <f>IF(WarehouseData[[#This Row],[order_fulfillment_rate]]&gt;=0.9,"Strong",IF(WarehouseData[[#This Row],[order_fulfillment_rate]]&gt;=0.8,"Moderate","Needs Attention"))</f>
        <v>Strong</v>
      </c>
      <c r="AE1710" t="str">
        <f>IF(WarehouseData[[#This Row],[picking_time_seconds]]&gt;120,"Slow",IF(WarehouseData[[#This Row],[picking_time_seconds]]&gt;=60,"Average","Fast"))</f>
        <v>Fast</v>
      </c>
    </row>
    <row r="1711" spans="1:31" x14ac:dyDescent="0.25">
      <c r="A1711" t="s">
        <v>1849</v>
      </c>
      <c r="B1711" t="s">
        <v>36</v>
      </c>
      <c r="C1711">
        <v>158</v>
      </c>
      <c r="D1711">
        <v>50</v>
      </c>
      <c r="E1711">
        <v>12</v>
      </c>
      <c r="F1711">
        <v>4</v>
      </c>
      <c r="G1711">
        <v>2.67</v>
      </c>
      <c r="H1711">
        <v>8.32</v>
      </c>
      <c r="I1711">
        <v>0.72</v>
      </c>
      <c r="J1711" t="s">
        <v>178</v>
      </c>
      <c r="K1711" t="s">
        <v>38</v>
      </c>
      <c r="L1711">
        <v>11</v>
      </c>
      <c r="M1711">
        <v>0.89</v>
      </c>
      <c r="N1711">
        <v>166.61</v>
      </c>
      <c r="O1711">
        <v>0.4</v>
      </c>
      <c r="P1711">
        <v>6</v>
      </c>
      <c r="Q1711">
        <v>0.89</v>
      </c>
      <c r="R1711">
        <v>507</v>
      </c>
      <c r="S1711">
        <v>11.06</v>
      </c>
      <c r="T1711">
        <v>0.28000000000000003</v>
      </c>
      <c r="U1711" s="1">
        <v>45596</v>
      </c>
      <c r="V1711">
        <v>222.3</v>
      </c>
      <c r="W1711">
        <v>0.621</v>
      </c>
      <c r="X1711" t="str">
        <f>IF(WarehouseData[[#This Row],[stock_level]]&lt;=WarehouseData[[#This Row],[reorder_point]],"Low Stock","Sufficient Stock")</f>
        <v>Sufficient Stock</v>
      </c>
      <c r="Y1711">
        <f>WarehouseData[[#This Row],[daily_demand]]*WarehouseData[[#This Row],[lead_time_days]]</f>
        <v>10.68</v>
      </c>
      <c r="Z1711" t="str">
        <f>IF(WarehouseData[[#This Row],[stock_level]]&lt;=WarehouseData[[#This Row],[Demand During Lead Time]],"At Risk","Safe")</f>
        <v>Safe</v>
      </c>
      <c r="AA1711">
        <f>WarehouseData[[#This Row],[stock_level]]/WarehouseData[[#This Row],[daily_demand]]</f>
        <v>59.176029962546821</v>
      </c>
      <c r="AB1711">
        <f>WarehouseData[[#This Row],[stock_level]]*WarehouseData[[#This Row],[unit_price]]</f>
        <v>26324.38</v>
      </c>
      <c r="AC1711">
        <f>WarehouseData[[#This Row],[stock_level]]*WarehouseData[[#This Row],[holding_cost_per_unit_day]]*30</f>
        <v>1896</v>
      </c>
      <c r="AD1711" t="str">
        <f>IF(WarehouseData[[#This Row],[order_fulfillment_rate]]&gt;=0.9,"Strong",IF(WarehouseData[[#This Row],[order_fulfillment_rate]]&gt;=0.8,"Moderate","Needs Attention"))</f>
        <v>Moderate</v>
      </c>
      <c r="AE1711" t="str">
        <f>IF(WarehouseData[[#This Row],[picking_time_seconds]]&gt;120,"Slow",IF(WarehouseData[[#This Row],[picking_time_seconds]]&gt;=60,"Average","Fast"))</f>
        <v>Fast</v>
      </c>
    </row>
    <row r="1712" spans="1:31" x14ac:dyDescent="0.25">
      <c r="A1712" t="s">
        <v>1850</v>
      </c>
      <c r="B1712" t="s">
        <v>48</v>
      </c>
      <c r="C1712">
        <v>129</v>
      </c>
      <c r="D1712">
        <v>43</v>
      </c>
      <c r="E1712">
        <v>7</v>
      </c>
      <c r="F1712">
        <v>4</v>
      </c>
      <c r="G1712">
        <v>34.56</v>
      </c>
      <c r="H1712">
        <v>7.96</v>
      </c>
      <c r="I1712">
        <v>0.61</v>
      </c>
      <c r="J1712" t="s">
        <v>353</v>
      </c>
      <c r="K1712" t="s">
        <v>52</v>
      </c>
      <c r="L1712">
        <v>132</v>
      </c>
      <c r="M1712">
        <v>4.8899999999999997</v>
      </c>
      <c r="N1712">
        <v>181.06</v>
      </c>
      <c r="O1712">
        <v>1.18</v>
      </c>
      <c r="P1712">
        <v>0</v>
      </c>
      <c r="Q1712">
        <v>0.74</v>
      </c>
      <c r="R1712">
        <v>263</v>
      </c>
      <c r="S1712">
        <v>4.1900000000000004</v>
      </c>
      <c r="T1712">
        <v>0.3</v>
      </c>
      <c r="U1712" s="1">
        <v>45603</v>
      </c>
      <c r="V1712">
        <v>32.020000000000003</v>
      </c>
      <c r="W1712">
        <v>0.54600000000000004</v>
      </c>
      <c r="X1712" t="str">
        <f>IF(WarehouseData[[#This Row],[stock_level]]&lt;=WarehouseData[[#This Row],[reorder_point]],"Low Stock","Sufficient Stock")</f>
        <v>Sufficient Stock</v>
      </c>
      <c r="Y1712">
        <f>WarehouseData[[#This Row],[daily_demand]]*WarehouseData[[#This Row],[lead_time_days]]</f>
        <v>138.24</v>
      </c>
      <c r="Z1712" t="str">
        <f>IF(WarehouseData[[#This Row],[stock_level]]&lt;=WarehouseData[[#This Row],[Demand During Lead Time]],"At Risk","Safe")</f>
        <v>At Risk</v>
      </c>
      <c r="AA1712">
        <f>WarehouseData[[#This Row],[stock_level]]/WarehouseData[[#This Row],[daily_demand]]</f>
        <v>3.7326388888888888</v>
      </c>
      <c r="AB1712">
        <f>WarehouseData[[#This Row],[stock_level]]*WarehouseData[[#This Row],[unit_price]]</f>
        <v>23356.74</v>
      </c>
      <c r="AC1712">
        <f>WarehouseData[[#This Row],[stock_level]]*WarehouseData[[#This Row],[holding_cost_per_unit_day]]*30</f>
        <v>4566.6000000000004</v>
      </c>
      <c r="AD1712" t="str">
        <f>IF(WarehouseData[[#This Row],[order_fulfillment_rate]]&gt;=0.9,"Strong",IF(WarehouseData[[#This Row],[order_fulfillment_rate]]&gt;=0.8,"Moderate","Needs Attention"))</f>
        <v>Needs Attention</v>
      </c>
      <c r="AE1712" t="str">
        <f>IF(WarehouseData[[#This Row],[picking_time_seconds]]&gt;120,"Slow",IF(WarehouseData[[#This Row],[picking_time_seconds]]&gt;=60,"Average","Fast"))</f>
        <v>Slow</v>
      </c>
    </row>
    <row r="1713" spans="1:31" x14ac:dyDescent="0.25">
      <c r="A1713" t="s">
        <v>1851</v>
      </c>
      <c r="B1713" t="s">
        <v>32</v>
      </c>
      <c r="C1713">
        <v>202</v>
      </c>
      <c r="D1713">
        <v>79</v>
      </c>
      <c r="E1713">
        <v>10</v>
      </c>
      <c r="F1713">
        <v>9</v>
      </c>
      <c r="G1713">
        <v>42.05</v>
      </c>
      <c r="H1713">
        <v>8.9700000000000006</v>
      </c>
      <c r="I1713">
        <v>0.44</v>
      </c>
      <c r="J1713" t="s">
        <v>84</v>
      </c>
      <c r="K1713" t="s">
        <v>34</v>
      </c>
      <c r="L1713">
        <v>94</v>
      </c>
      <c r="M1713">
        <v>3.84</v>
      </c>
      <c r="N1713">
        <v>182.33</v>
      </c>
      <c r="O1713">
        <v>1.3</v>
      </c>
      <c r="P1713">
        <v>8</v>
      </c>
      <c r="Q1713">
        <v>0.84</v>
      </c>
      <c r="R1713">
        <v>260</v>
      </c>
      <c r="S1713">
        <v>7.86</v>
      </c>
      <c r="T1713">
        <v>0.39</v>
      </c>
      <c r="U1713" s="1">
        <v>45436</v>
      </c>
      <c r="V1713">
        <v>267.89999999999998</v>
      </c>
      <c r="W1713">
        <v>0.46100000000000002</v>
      </c>
      <c r="X1713" t="str">
        <f>IF(WarehouseData[[#This Row],[stock_level]]&lt;=WarehouseData[[#This Row],[reorder_point]],"Low Stock","Sufficient Stock")</f>
        <v>Sufficient Stock</v>
      </c>
      <c r="Y1713">
        <f>WarehouseData[[#This Row],[daily_demand]]*WarehouseData[[#This Row],[lead_time_days]]</f>
        <v>378.45</v>
      </c>
      <c r="Z1713" t="str">
        <f>IF(WarehouseData[[#This Row],[stock_level]]&lt;=WarehouseData[[#This Row],[Demand During Lead Time]],"At Risk","Safe")</f>
        <v>At Risk</v>
      </c>
      <c r="AA1713">
        <f>WarehouseData[[#This Row],[stock_level]]/WarehouseData[[#This Row],[daily_demand]]</f>
        <v>4.8038049940546967</v>
      </c>
      <c r="AB1713">
        <f>WarehouseData[[#This Row],[stock_level]]*WarehouseData[[#This Row],[unit_price]]</f>
        <v>36830.660000000003</v>
      </c>
      <c r="AC1713">
        <f>WarehouseData[[#This Row],[stock_level]]*WarehouseData[[#This Row],[holding_cost_per_unit_day]]*30</f>
        <v>7878.0000000000009</v>
      </c>
      <c r="AD1713" t="str">
        <f>IF(WarehouseData[[#This Row],[order_fulfillment_rate]]&gt;=0.9,"Strong",IF(WarehouseData[[#This Row],[order_fulfillment_rate]]&gt;=0.8,"Moderate","Needs Attention"))</f>
        <v>Moderate</v>
      </c>
      <c r="AE1713" t="str">
        <f>IF(WarehouseData[[#This Row],[picking_time_seconds]]&gt;120,"Slow",IF(WarehouseData[[#This Row],[picking_time_seconds]]&gt;=60,"Average","Fast"))</f>
        <v>Average</v>
      </c>
    </row>
    <row r="1714" spans="1:31" x14ac:dyDescent="0.25">
      <c r="A1714" t="s">
        <v>1852</v>
      </c>
      <c r="B1714" t="s">
        <v>48</v>
      </c>
      <c r="C1714">
        <v>47</v>
      </c>
      <c r="D1714">
        <v>54</v>
      </c>
      <c r="E1714">
        <v>13</v>
      </c>
      <c r="F1714">
        <v>2</v>
      </c>
      <c r="G1714">
        <v>35.68</v>
      </c>
      <c r="H1714">
        <v>5.85</v>
      </c>
      <c r="I1714">
        <v>0.69</v>
      </c>
      <c r="J1714" t="s">
        <v>217</v>
      </c>
      <c r="K1714" t="s">
        <v>38</v>
      </c>
      <c r="L1714">
        <v>23</v>
      </c>
      <c r="M1714">
        <v>1.47</v>
      </c>
      <c r="N1714">
        <v>81.28</v>
      </c>
      <c r="O1714">
        <v>1.68</v>
      </c>
      <c r="P1714">
        <v>1</v>
      </c>
      <c r="Q1714">
        <v>0.84</v>
      </c>
      <c r="R1714">
        <v>590</v>
      </c>
      <c r="S1714">
        <v>4.38</v>
      </c>
      <c r="T1714">
        <v>0.77</v>
      </c>
      <c r="U1714" s="1">
        <v>45444</v>
      </c>
      <c r="V1714">
        <v>67.69</v>
      </c>
      <c r="W1714">
        <v>0.59199999999999997</v>
      </c>
      <c r="X1714" t="str">
        <f>IF(WarehouseData[[#This Row],[stock_level]]&lt;=WarehouseData[[#This Row],[reorder_point]],"Low Stock","Sufficient Stock")</f>
        <v>Low Stock</v>
      </c>
      <c r="Y1714">
        <f>WarehouseData[[#This Row],[daily_demand]]*WarehouseData[[#This Row],[lead_time_days]]</f>
        <v>71.36</v>
      </c>
      <c r="Z1714" t="str">
        <f>IF(WarehouseData[[#This Row],[stock_level]]&lt;=WarehouseData[[#This Row],[Demand During Lead Time]],"At Risk","Safe")</f>
        <v>At Risk</v>
      </c>
      <c r="AA1714">
        <f>WarehouseData[[#This Row],[stock_level]]/WarehouseData[[#This Row],[daily_demand]]</f>
        <v>1.3172645739910314</v>
      </c>
      <c r="AB1714">
        <f>WarehouseData[[#This Row],[stock_level]]*WarehouseData[[#This Row],[unit_price]]</f>
        <v>3820.16</v>
      </c>
      <c r="AC1714">
        <f>WarehouseData[[#This Row],[stock_level]]*WarehouseData[[#This Row],[holding_cost_per_unit_day]]*30</f>
        <v>2368.7999999999997</v>
      </c>
      <c r="AD1714" t="str">
        <f>IF(WarehouseData[[#This Row],[order_fulfillment_rate]]&gt;=0.9,"Strong",IF(WarehouseData[[#This Row],[order_fulfillment_rate]]&gt;=0.8,"Moderate","Needs Attention"))</f>
        <v>Moderate</v>
      </c>
      <c r="AE1714" t="str">
        <f>IF(WarehouseData[[#This Row],[picking_time_seconds]]&gt;120,"Slow",IF(WarehouseData[[#This Row],[picking_time_seconds]]&gt;=60,"Average","Fast"))</f>
        <v>Fast</v>
      </c>
    </row>
    <row r="1715" spans="1:31" x14ac:dyDescent="0.25">
      <c r="A1715" t="s">
        <v>1853</v>
      </c>
      <c r="B1715" t="s">
        <v>48</v>
      </c>
      <c r="C1715">
        <v>216</v>
      </c>
      <c r="D1715">
        <v>67</v>
      </c>
      <c r="E1715">
        <v>4</v>
      </c>
      <c r="F1715">
        <v>4</v>
      </c>
      <c r="G1715">
        <v>20.89</v>
      </c>
      <c r="H1715">
        <v>3.84</v>
      </c>
      <c r="I1715">
        <v>0.25</v>
      </c>
      <c r="J1715" t="s">
        <v>66</v>
      </c>
      <c r="K1715" t="s">
        <v>38</v>
      </c>
      <c r="L1715">
        <v>46</v>
      </c>
      <c r="M1715">
        <v>0.71</v>
      </c>
      <c r="N1715">
        <v>67.88</v>
      </c>
      <c r="O1715">
        <v>1.82</v>
      </c>
      <c r="P1715">
        <v>8</v>
      </c>
      <c r="Q1715">
        <v>0.94</v>
      </c>
      <c r="R1715">
        <v>820</v>
      </c>
      <c r="S1715">
        <v>7.85</v>
      </c>
      <c r="T1715">
        <v>0.91</v>
      </c>
      <c r="U1715" s="1">
        <v>45642</v>
      </c>
      <c r="V1715">
        <v>260.79000000000002</v>
      </c>
      <c r="W1715">
        <v>0.53300000000000003</v>
      </c>
      <c r="X1715" t="str">
        <f>IF(WarehouseData[[#This Row],[stock_level]]&lt;=WarehouseData[[#This Row],[reorder_point]],"Low Stock","Sufficient Stock")</f>
        <v>Sufficient Stock</v>
      </c>
      <c r="Y1715">
        <f>WarehouseData[[#This Row],[daily_demand]]*WarehouseData[[#This Row],[lead_time_days]]</f>
        <v>83.56</v>
      </c>
      <c r="Z1715" t="str">
        <f>IF(WarehouseData[[#This Row],[stock_level]]&lt;=WarehouseData[[#This Row],[Demand During Lead Time]],"At Risk","Safe")</f>
        <v>Safe</v>
      </c>
      <c r="AA1715">
        <f>WarehouseData[[#This Row],[stock_level]]/WarehouseData[[#This Row],[daily_demand]]</f>
        <v>10.339875538535184</v>
      </c>
      <c r="AB1715">
        <f>WarehouseData[[#This Row],[stock_level]]*WarehouseData[[#This Row],[unit_price]]</f>
        <v>14662.079999999998</v>
      </c>
      <c r="AC1715">
        <f>WarehouseData[[#This Row],[stock_level]]*WarehouseData[[#This Row],[holding_cost_per_unit_day]]*30</f>
        <v>11793.6</v>
      </c>
      <c r="AD1715" t="str">
        <f>IF(WarehouseData[[#This Row],[order_fulfillment_rate]]&gt;=0.9,"Strong",IF(WarehouseData[[#This Row],[order_fulfillment_rate]]&gt;=0.8,"Moderate","Needs Attention"))</f>
        <v>Strong</v>
      </c>
      <c r="AE1715" t="str">
        <f>IF(WarehouseData[[#This Row],[picking_time_seconds]]&gt;120,"Slow",IF(WarehouseData[[#This Row],[picking_time_seconds]]&gt;=60,"Average","Fast"))</f>
        <v>Fast</v>
      </c>
    </row>
    <row r="1716" spans="1:31" x14ac:dyDescent="0.25">
      <c r="A1716" t="s">
        <v>1854</v>
      </c>
      <c r="B1716" t="s">
        <v>32</v>
      </c>
      <c r="C1716">
        <v>210</v>
      </c>
      <c r="D1716">
        <v>60</v>
      </c>
      <c r="E1716">
        <v>10</v>
      </c>
      <c r="F1716">
        <v>4</v>
      </c>
      <c r="G1716">
        <v>2.5299999999999998</v>
      </c>
      <c r="H1716">
        <v>6.26</v>
      </c>
      <c r="I1716">
        <v>0.16</v>
      </c>
      <c r="J1716" t="s">
        <v>84</v>
      </c>
      <c r="K1716" t="s">
        <v>38</v>
      </c>
      <c r="L1716">
        <v>36</v>
      </c>
      <c r="M1716">
        <v>4.84</v>
      </c>
      <c r="N1716">
        <v>95.34</v>
      </c>
      <c r="O1716">
        <v>0.85</v>
      </c>
      <c r="P1716">
        <v>8</v>
      </c>
      <c r="Q1716">
        <v>0.97</v>
      </c>
      <c r="R1716">
        <v>88</v>
      </c>
      <c r="S1716">
        <v>3.66</v>
      </c>
      <c r="T1716">
        <v>0.75</v>
      </c>
      <c r="U1716" s="1">
        <v>45347</v>
      </c>
      <c r="V1716">
        <v>227.23</v>
      </c>
      <c r="W1716">
        <v>0.54800000000000004</v>
      </c>
      <c r="X1716" t="str">
        <f>IF(WarehouseData[[#This Row],[stock_level]]&lt;=WarehouseData[[#This Row],[reorder_point]],"Low Stock","Sufficient Stock")</f>
        <v>Sufficient Stock</v>
      </c>
      <c r="Y1716">
        <f>WarehouseData[[#This Row],[daily_demand]]*WarehouseData[[#This Row],[lead_time_days]]</f>
        <v>10.119999999999999</v>
      </c>
      <c r="Z1716" t="str">
        <f>IF(WarehouseData[[#This Row],[stock_level]]&lt;=WarehouseData[[#This Row],[Demand During Lead Time]],"At Risk","Safe")</f>
        <v>Safe</v>
      </c>
      <c r="AA1716">
        <f>WarehouseData[[#This Row],[stock_level]]/WarehouseData[[#This Row],[daily_demand]]</f>
        <v>83.003952569169968</v>
      </c>
      <c r="AB1716">
        <f>WarehouseData[[#This Row],[stock_level]]*WarehouseData[[#This Row],[unit_price]]</f>
        <v>20021.400000000001</v>
      </c>
      <c r="AC1716">
        <f>WarehouseData[[#This Row],[stock_level]]*WarehouseData[[#This Row],[holding_cost_per_unit_day]]*30</f>
        <v>5355</v>
      </c>
      <c r="AD1716" t="str">
        <f>IF(WarehouseData[[#This Row],[order_fulfillment_rate]]&gt;=0.9,"Strong",IF(WarehouseData[[#This Row],[order_fulfillment_rate]]&gt;=0.8,"Moderate","Needs Attention"))</f>
        <v>Strong</v>
      </c>
      <c r="AE1716" t="str">
        <f>IF(WarehouseData[[#This Row],[picking_time_seconds]]&gt;120,"Slow",IF(WarehouseData[[#This Row],[picking_time_seconds]]&gt;=60,"Average","Fast"))</f>
        <v>Fast</v>
      </c>
    </row>
    <row r="1717" spans="1:31" x14ac:dyDescent="0.25">
      <c r="A1717" t="s">
        <v>1855</v>
      </c>
      <c r="B1717" t="s">
        <v>48</v>
      </c>
      <c r="C1717">
        <v>334</v>
      </c>
      <c r="D1717">
        <v>43</v>
      </c>
      <c r="E1717">
        <v>6</v>
      </c>
      <c r="F1717">
        <v>2</v>
      </c>
      <c r="G1717">
        <v>48.4</v>
      </c>
      <c r="H1717">
        <v>1.35</v>
      </c>
      <c r="I1717">
        <v>0.87</v>
      </c>
      <c r="J1717" t="s">
        <v>84</v>
      </c>
      <c r="K1717" t="s">
        <v>46</v>
      </c>
      <c r="L1717">
        <v>161</v>
      </c>
      <c r="M1717">
        <v>2.41</v>
      </c>
      <c r="N1717">
        <v>75.36</v>
      </c>
      <c r="O1717">
        <v>1.7</v>
      </c>
      <c r="P1717">
        <v>2</v>
      </c>
      <c r="Q1717">
        <v>0.72</v>
      </c>
      <c r="R1717">
        <v>309</v>
      </c>
      <c r="S1717">
        <v>9.31</v>
      </c>
      <c r="T1717">
        <v>0.53</v>
      </c>
      <c r="U1717" s="1">
        <v>45538</v>
      </c>
      <c r="V1717">
        <v>253.2</v>
      </c>
      <c r="W1717">
        <v>0.56399999999999995</v>
      </c>
      <c r="X1717" t="str">
        <f>IF(WarehouseData[[#This Row],[stock_level]]&lt;=WarehouseData[[#This Row],[reorder_point]],"Low Stock","Sufficient Stock")</f>
        <v>Sufficient Stock</v>
      </c>
      <c r="Y1717">
        <f>WarehouseData[[#This Row],[daily_demand]]*WarehouseData[[#This Row],[lead_time_days]]</f>
        <v>96.8</v>
      </c>
      <c r="Z1717" t="str">
        <f>IF(WarehouseData[[#This Row],[stock_level]]&lt;=WarehouseData[[#This Row],[Demand During Lead Time]],"At Risk","Safe")</f>
        <v>Safe</v>
      </c>
      <c r="AA1717">
        <f>WarehouseData[[#This Row],[stock_level]]/WarehouseData[[#This Row],[daily_demand]]</f>
        <v>6.9008264462809921</v>
      </c>
      <c r="AB1717">
        <f>WarehouseData[[#This Row],[stock_level]]*WarehouseData[[#This Row],[unit_price]]</f>
        <v>25170.240000000002</v>
      </c>
      <c r="AC1717">
        <f>WarehouseData[[#This Row],[stock_level]]*WarehouseData[[#This Row],[holding_cost_per_unit_day]]*30</f>
        <v>17034</v>
      </c>
      <c r="AD1717" t="str">
        <f>IF(WarehouseData[[#This Row],[order_fulfillment_rate]]&gt;=0.9,"Strong",IF(WarehouseData[[#This Row],[order_fulfillment_rate]]&gt;=0.8,"Moderate","Needs Attention"))</f>
        <v>Needs Attention</v>
      </c>
      <c r="AE1717" t="str">
        <f>IF(WarehouseData[[#This Row],[picking_time_seconds]]&gt;120,"Slow",IF(WarehouseData[[#This Row],[picking_time_seconds]]&gt;=60,"Average","Fast"))</f>
        <v>Slow</v>
      </c>
    </row>
    <row r="1718" spans="1:31" x14ac:dyDescent="0.25">
      <c r="A1718" t="s">
        <v>1856</v>
      </c>
      <c r="B1718" t="s">
        <v>40</v>
      </c>
      <c r="C1718">
        <v>408</v>
      </c>
      <c r="D1718">
        <v>53</v>
      </c>
      <c r="E1718">
        <v>12</v>
      </c>
      <c r="F1718">
        <v>7</v>
      </c>
      <c r="G1718">
        <v>49.33</v>
      </c>
      <c r="H1718">
        <v>0.59</v>
      </c>
      <c r="I1718">
        <v>0.61</v>
      </c>
      <c r="J1718" t="s">
        <v>401</v>
      </c>
      <c r="K1718" t="s">
        <v>38</v>
      </c>
      <c r="L1718">
        <v>73</v>
      </c>
      <c r="M1718">
        <v>3.19</v>
      </c>
      <c r="N1718">
        <v>146.58000000000001</v>
      </c>
      <c r="O1718">
        <v>1.1299999999999999</v>
      </c>
      <c r="P1718">
        <v>6</v>
      </c>
      <c r="Q1718">
        <v>0.79</v>
      </c>
      <c r="R1718">
        <v>726</v>
      </c>
      <c r="S1718">
        <v>13.75</v>
      </c>
      <c r="T1718">
        <v>0.61</v>
      </c>
      <c r="U1718" s="1">
        <v>45324</v>
      </c>
      <c r="V1718">
        <v>83.54</v>
      </c>
      <c r="W1718">
        <v>0.63</v>
      </c>
      <c r="X1718" t="str">
        <f>IF(WarehouseData[[#This Row],[stock_level]]&lt;=WarehouseData[[#This Row],[reorder_point]],"Low Stock","Sufficient Stock")</f>
        <v>Sufficient Stock</v>
      </c>
      <c r="Y1718">
        <f>WarehouseData[[#This Row],[daily_demand]]*WarehouseData[[#This Row],[lead_time_days]]</f>
        <v>345.31</v>
      </c>
      <c r="Z1718" t="str">
        <f>IF(WarehouseData[[#This Row],[stock_level]]&lt;=WarehouseData[[#This Row],[Demand During Lead Time]],"At Risk","Safe")</f>
        <v>Safe</v>
      </c>
      <c r="AA1718">
        <f>WarehouseData[[#This Row],[stock_level]]/WarehouseData[[#This Row],[daily_demand]]</f>
        <v>8.270829110075006</v>
      </c>
      <c r="AB1718">
        <f>WarehouseData[[#This Row],[stock_level]]*WarehouseData[[#This Row],[unit_price]]</f>
        <v>59804.640000000007</v>
      </c>
      <c r="AC1718">
        <f>WarehouseData[[#This Row],[stock_level]]*WarehouseData[[#This Row],[holding_cost_per_unit_day]]*30</f>
        <v>13831.199999999999</v>
      </c>
      <c r="AD1718" t="str">
        <f>IF(WarehouseData[[#This Row],[order_fulfillment_rate]]&gt;=0.9,"Strong",IF(WarehouseData[[#This Row],[order_fulfillment_rate]]&gt;=0.8,"Moderate","Needs Attention"))</f>
        <v>Needs Attention</v>
      </c>
      <c r="AE1718" t="str">
        <f>IF(WarehouseData[[#This Row],[picking_time_seconds]]&gt;120,"Slow",IF(WarehouseData[[#This Row],[picking_time_seconds]]&gt;=60,"Average","Fast"))</f>
        <v>Average</v>
      </c>
    </row>
    <row r="1719" spans="1:31" x14ac:dyDescent="0.25">
      <c r="A1719" t="s">
        <v>1857</v>
      </c>
      <c r="B1719" t="s">
        <v>40</v>
      </c>
      <c r="C1719">
        <v>70</v>
      </c>
      <c r="D1719">
        <v>24</v>
      </c>
      <c r="E1719">
        <v>12</v>
      </c>
      <c r="F1719">
        <v>8</v>
      </c>
      <c r="G1719">
        <v>27.92</v>
      </c>
      <c r="H1719">
        <v>0.66</v>
      </c>
      <c r="I1719">
        <v>0.68</v>
      </c>
      <c r="J1719" t="s">
        <v>183</v>
      </c>
      <c r="K1719" t="s">
        <v>52</v>
      </c>
      <c r="L1719">
        <v>79</v>
      </c>
      <c r="M1719">
        <v>1.76</v>
      </c>
      <c r="N1719">
        <v>50.58</v>
      </c>
      <c r="O1719">
        <v>0.99</v>
      </c>
      <c r="P1719">
        <v>2</v>
      </c>
      <c r="Q1719">
        <v>0.79</v>
      </c>
      <c r="R1719">
        <v>144</v>
      </c>
      <c r="S1719">
        <v>12.3</v>
      </c>
      <c r="T1719">
        <v>0.77</v>
      </c>
      <c r="U1719" s="1">
        <v>45464</v>
      </c>
      <c r="V1719">
        <v>244.15</v>
      </c>
      <c r="W1719">
        <v>0.73699999999999999</v>
      </c>
      <c r="X1719" t="str">
        <f>IF(WarehouseData[[#This Row],[stock_level]]&lt;=WarehouseData[[#This Row],[reorder_point]],"Low Stock","Sufficient Stock")</f>
        <v>Sufficient Stock</v>
      </c>
      <c r="Y1719">
        <f>WarehouseData[[#This Row],[daily_demand]]*WarehouseData[[#This Row],[lead_time_days]]</f>
        <v>223.36</v>
      </c>
      <c r="Z1719" t="str">
        <f>IF(WarehouseData[[#This Row],[stock_level]]&lt;=WarehouseData[[#This Row],[Demand During Lead Time]],"At Risk","Safe")</f>
        <v>At Risk</v>
      </c>
      <c r="AA1719">
        <f>WarehouseData[[#This Row],[stock_level]]/WarehouseData[[#This Row],[daily_demand]]</f>
        <v>2.5071633237822346</v>
      </c>
      <c r="AB1719">
        <f>WarehouseData[[#This Row],[stock_level]]*WarehouseData[[#This Row],[unit_price]]</f>
        <v>3540.6</v>
      </c>
      <c r="AC1719">
        <f>WarehouseData[[#This Row],[stock_level]]*WarehouseData[[#This Row],[holding_cost_per_unit_day]]*30</f>
        <v>2079</v>
      </c>
      <c r="AD1719" t="str">
        <f>IF(WarehouseData[[#This Row],[order_fulfillment_rate]]&gt;=0.9,"Strong",IF(WarehouseData[[#This Row],[order_fulfillment_rate]]&gt;=0.8,"Moderate","Needs Attention"))</f>
        <v>Needs Attention</v>
      </c>
      <c r="AE1719" t="str">
        <f>IF(WarehouseData[[#This Row],[picking_time_seconds]]&gt;120,"Slow",IF(WarehouseData[[#This Row],[picking_time_seconds]]&gt;=60,"Average","Fast"))</f>
        <v>Average</v>
      </c>
    </row>
    <row r="1720" spans="1:31" x14ac:dyDescent="0.25">
      <c r="A1720" t="s">
        <v>1858</v>
      </c>
      <c r="B1720" t="s">
        <v>48</v>
      </c>
      <c r="C1720">
        <v>168</v>
      </c>
      <c r="D1720">
        <v>87</v>
      </c>
      <c r="E1720">
        <v>3</v>
      </c>
      <c r="F1720">
        <v>2</v>
      </c>
      <c r="G1720">
        <v>4.46</v>
      </c>
      <c r="H1720">
        <v>4.37</v>
      </c>
      <c r="I1720">
        <v>0.38</v>
      </c>
      <c r="J1720" t="s">
        <v>139</v>
      </c>
      <c r="K1720" t="s">
        <v>38</v>
      </c>
      <c r="L1720">
        <v>163</v>
      </c>
      <c r="M1720">
        <v>3.91</v>
      </c>
      <c r="N1720">
        <v>135.15</v>
      </c>
      <c r="O1720">
        <v>1.43</v>
      </c>
      <c r="P1720">
        <v>7</v>
      </c>
      <c r="Q1720">
        <v>1</v>
      </c>
      <c r="R1720">
        <v>439</v>
      </c>
      <c r="S1720">
        <v>4.38</v>
      </c>
      <c r="T1720">
        <v>0.69</v>
      </c>
      <c r="U1720" s="1">
        <v>45433</v>
      </c>
      <c r="V1720">
        <v>187</v>
      </c>
      <c r="W1720">
        <v>0.51300000000000001</v>
      </c>
      <c r="X1720" t="str">
        <f>IF(WarehouseData[[#This Row],[stock_level]]&lt;=WarehouseData[[#This Row],[reorder_point]],"Low Stock","Sufficient Stock")</f>
        <v>Sufficient Stock</v>
      </c>
      <c r="Y1720">
        <f>WarehouseData[[#This Row],[daily_demand]]*WarehouseData[[#This Row],[lead_time_days]]</f>
        <v>8.92</v>
      </c>
      <c r="Z1720" t="str">
        <f>IF(WarehouseData[[#This Row],[stock_level]]&lt;=WarehouseData[[#This Row],[Demand During Lead Time]],"At Risk","Safe")</f>
        <v>Safe</v>
      </c>
      <c r="AA1720">
        <f>WarehouseData[[#This Row],[stock_level]]/WarehouseData[[#This Row],[daily_demand]]</f>
        <v>37.668161434977577</v>
      </c>
      <c r="AB1720">
        <f>WarehouseData[[#This Row],[stock_level]]*WarehouseData[[#This Row],[unit_price]]</f>
        <v>22705.200000000001</v>
      </c>
      <c r="AC1720">
        <f>WarehouseData[[#This Row],[stock_level]]*WarehouseData[[#This Row],[holding_cost_per_unit_day]]*30</f>
        <v>7207.2</v>
      </c>
      <c r="AD1720" t="str">
        <f>IF(WarehouseData[[#This Row],[order_fulfillment_rate]]&gt;=0.9,"Strong",IF(WarehouseData[[#This Row],[order_fulfillment_rate]]&gt;=0.8,"Moderate","Needs Attention"))</f>
        <v>Strong</v>
      </c>
      <c r="AE1720" t="str">
        <f>IF(WarehouseData[[#This Row],[picking_time_seconds]]&gt;120,"Slow",IF(WarehouseData[[#This Row],[picking_time_seconds]]&gt;=60,"Average","Fast"))</f>
        <v>Slow</v>
      </c>
    </row>
    <row r="1721" spans="1:31" x14ac:dyDescent="0.25">
      <c r="A1721" t="s">
        <v>1859</v>
      </c>
      <c r="B1721" t="s">
        <v>36</v>
      </c>
      <c r="C1721">
        <v>287</v>
      </c>
      <c r="D1721">
        <v>79</v>
      </c>
      <c r="E1721">
        <v>7</v>
      </c>
      <c r="F1721">
        <v>8</v>
      </c>
      <c r="G1721">
        <v>27.51</v>
      </c>
      <c r="H1721">
        <v>2.67</v>
      </c>
      <c r="I1721">
        <v>0.43</v>
      </c>
      <c r="J1721" t="s">
        <v>418</v>
      </c>
      <c r="K1721" t="s">
        <v>38</v>
      </c>
      <c r="L1721">
        <v>24</v>
      </c>
      <c r="M1721">
        <v>1.39</v>
      </c>
      <c r="N1721">
        <v>186.13</v>
      </c>
      <c r="O1721">
        <v>0.3</v>
      </c>
      <c r="P1721">
        <v>7</v>
      </c>
      <c r="Q1721">
        <v>0.87</v>
      </c>
      <c r="R1721">
        <v>269</v>
      </c>
      <c r="S1721">
        <v>7.97</v>
      </c>
      <c r="T1721">
        <v>0.62</v>
      </c>
      <c r="U1721" s="1">
        <v>45619</v>
      </c>
      <c r="V1721">
        <v>33.74</v>
      </c>
      <c r="W1721">
        <v>0.63400000000000001</v>
      </c>
      <c r="X1721" t="str">
        <f>IF(WarehouseData[[#This Row],[stock_level]]&lt;=WarehouseData[[#This Row],[reorder_point]],"Low Stock","Sufficient Stock")</f>
        <v>Sufficient Stock</v>
      </c>
      <c r="Y1721">
        <f>WarehouseData[[#This Row],[daily_demand]]*WarehouseData[[#This Row],[lead_time_days]]</f>
        <v>220.08</v>
      </c>
      <c r="Z1721" t="str">
        <f>IF(WarehouseData[[#This Row],[stock_level]]&lt;=WarehouseData[[#This Row],[Demand During Lead Time]],"At Risk","Safe")</f>
        <v>Safe</v>
      </c>
      <c r="AA1721">
        <f>WarehouseData[[#This Row],[stock_level]]/WarehouseData[[#This Row],[daily_demand]]</f>
        <v>10.432569974554706</v>
      </c>
      <c r="AB1721">
        <f>WarehouseData[[#This Row],[stock_level]]*WarehouseData[[#This Row],[unit_price]]</f>
        <v>53419.31</v>
      </c>
      <c r="AC1721">
        <f>WarehouseData[[#This Row],[stock_level]]*WarehouseData[[#This Row],[holding_cost_per_unit_day]]*30</f>
        <v>2583</v>
      </c>
      <c r="AD1721" t="str">
        <f>IF(WarehouseData[[#This Row],[order_fulfillment_rate]]&gt;=0.9,"Strong",IF(WarehouseData[[#This Row],[order_fulfillment_rate]]&gt;=0.8,"Moderate","Needs Attention"))</f>
        <v>Moderate</v>
      </c>
      <c r="AE1721" t="str">
        <f>IF(WarehouseData[[#This Row],[picking_time_seconds]]&gt;120,"Slow",IF(WarehouseData[[#This Row],[picking_time_seconds]]&gt;=60,"Average","Fast"))</f>
        <v>Fast</v>
      </c>
    </row>
    <row r="1722" spans="1:31" x14ac:dyDescent="0.25">
      <c r="A1722" t="s">
        <v>1860</v>
      </c>
      <c r="B1722" t="s">
        <v>32</v>
      </c>
      <c r="C1722">
        <v>69</v>
      </c>
      <c r="D1722">
        <v>59</v>
      </c>
      <c r="E1722">
        <v>3</v>
      </c>
      <c r="F1722">
        <v>9</v>
      </c>
      <c r="G1722">
        <v>44.72</v>
      </c>
      <c r="H1722">
        <v>1.99</v>
      </c>
      <c r="I1722">
        <v>0.17</v>
      </c>
      <c r="J1722" t="s">
        <v>124</v>
      </c>
      <c r="K1722" t="s">
        <v>38</v>
      </c>
      <c r="L1722">
        <v>38</v>
      </c>
      <c r="M1722">
        <v>4.04</v>
      </c>
      <c r="N1722">
        <v>63.18</v>
      </c>
      <c r="O1722">
        <v>0.6</v>
      </c>
      <c r="P1722">
        <v>2</v>
      </c>
      <c r="Q1722">
        <v>0.96</v>
      </c>
      <c r="R1722">
        <v>955</v>
      </c>
      <c r="S1722">
        <v>6.92</v>
      </c>
      <c r="T1722">
        <v>0.39</v>
      </c>
      <c r="U1722" s="1">
        <v>45458</v>
      </c>
      <c r="V1722">
        <v>267.85000000000002</v>
      </c>
      <c r="W1722">
        <v>0.66200000000000003</v>
      </c>
      <c r="X1722" t="str">
        <f>IF(WarehouseData[[#This Row],[stock_level]]&lt;=WarehouseData[[#This Row],[reorder_point]],"Low Stock","Sufficient Stock")</f>
        <v>Sufficient Stock</v>
      </c>
      <c r="Y1722">
        <f>WarehouseData[[#This Row],[daily_demand]]*WarehouseData[[#This Row],[lead_time_days]]</f>
        <v>402.48</v>
      </c>
      <c r="Z1722" t="str">
        <f>IF(WarehouseData[[#This Row],[stock_level]]&lt;=WarehouseData[[#This Row],[Demand During Lead Time]],"At Risk","Safe")</f>
        <v>At Risk</v>
      </c>
      <c r="AA1722">
        <f>WarehouseData[[#This Row],[stock_level]]/WarehouseData[[#This Row],[daily_demand]]</f>
        <v>1.5429338103756709</v>
      </c>
      <c r="AB1722">
        <f>WarehouseData[[#This Row],[stock_level]]*WarehouseData[[#This Row],[unit_price]]</f>
        <v>4359.42</v>
      </c>
      <c r="AC1722">
        <f>WarehouseData[[#This Row],[stock_level]]*WarehouseData[[#This Row],[holding_cost_per_unit_day]]*30</f>
        <v>1242</v>
      </c>
      <c r="AD1722" t="str">
        <f>IF(WarehouseData[[#This Row],[order_fulfillment_rate]]&gt;=0.9,"Strong",IF(WarehouseData[[#This Row],[order_fulfillment_rate]]&gt;=0.8,"Moderate","Needs Attention"))</f>
        <v>Strong</v>
      </c>
      <c r="AE1722" t="str">
        <f>IF(WarehouseData[[#This Row],[picking_time_seconds]]&gt;120,"Slow",IF(WarehouseData[[#This Row],[picking_time_seconds]]&gt;=60,"Average","Fast"))</f>
        <v>Fast</v>
      </c>
    </row>
    <row r="1723" spans="1:31" x14ac:dyDescent="0.25">
      <c r="A1723" t="s">
        <v>1861</v>
      </c>
      <c r="B1723" t="s">
        <v>40</v>
      </c>
      <c r="C1723">
        <v>407</v>
      </c>
      <c r="D1723">
        <v>41</v>
      </c>
      <c r="E1723">
        <v>9</v>
      </c>
      <c r="F1723">
        <v>4</v>
      </c>
      <c r="G1723">
        <v>34.32</v>
      </c>
      <c r="H1723">
        <v>6.35</v>
      </c>
      <c r="I1723">
        <v>0.87</v>
      </c>
      <c r="J1723" t="s">
        <v>183</v>
      </c>
      <c r="K1723" t="s">
        <v>38</v>
      </c>
      <c r="L1723">
        <v>83</v>
      </c>
      <c r="M1723">
        <v>1.54</v>
      </c>
      <c r="N1723">
        <v>138.61000000000001</v>
      </c>
      <c r="O1723">
        <v>1.65</v>
      </c>
      <c r="P1723">
        <v>4</v>
      </c>
      <c r="Q1723">
        <v>0.83</v>
      </c>
      <c r="R1723">
        <v>317</v>
      </c>
      <c r="S1723">
        <v>14.52</v>
      </c>
      <c r="T1723">
        <v>0.69</v>
      </c>
      <c r="U1723" s="1">
        <v>45433</v>
      </c>
      <c r="V1723">
        <v>264.27999999999997</v>
      </c>
      <c r="W1723">
        <v>0.65300000000000002</v>
      </c>
      <c r="X1723" t="str">
        <f>IF(WarehouseData[[#This Row],[stock_level]]&lt;=WarehouseData[[#This Row],[reorder_point]],"Low Stock","Sufficient Stock")</f>
        <v>Sufficient Stock</v>
      </c>
      <c r="Y1723">
        <f>WarehouseData[[#This Row],[daily_demand]]*WarehouseData[[#This Row],[lead_time_days]]</f>
        <v>137.28</v>
      </c>
      <c r="Z1723" t="str">
        <f>IF(WarehouseData[[#This Row],[stock_level]]&lt;=WarehouseData[[#This Row],[Demand During Lead Time]],"At Risk","Safe")</f>
        <v>Safe</v>
      </c>
      <c r="AA1723">
        <f>WarehouseData[[#This Row],[stock_level]]/WarehouseData[[#This Row],[daily_demand]]</f>
        <v>11.858974358974359</v>
      </c>
      <c r="AB1723">
        <f>WarehouseData[[#This Row],[stock_level]]*WarehouseData[[#This Row],[unit_price]]</f>
        <v>56414.270000000004</v>
      </c>
      <c r="AC1723">
        <f>WarehouseData[[#This Row],[stock_level]]*WarehouseData[[#This Row],[holding_cost_per_unit_day]]*30</f>
        <v>20146.5</v>
      </c>
      <c r="AD1723" t="str">
        <f>IF(WarehouseData[[#This Row],[order_fulfillment_rate]]&gt;=0.9,"Strong",IF(WarehouseData[[#This Row],[order_fulfillment_rate]]&gt;=0.8,"Moderate","Needs Attention"))</f>
        <v>Moderate</v>
      </c>
      <c r="AE1723" t="str">
        <f>IF(WarehouseData[[#This Row],[picking_time_seconds]]&gt;120,"Slow",IF(WarehouseData[[#This Row],[picking_time_seconds]]&gt;=60,"Average","Fast"))</f>
        <v>Average</v>
      </c>
    </row>
    <row r="1724" spans="1:31" x14ac:dyDescent="0.25">
      <c r="A1724" t="s">
        <v>1862</v>
      </c>
      <c r="B1724" t="s">
        <v>36</v>
      </c>
      <c r="C1724">
        <v>265</v>
      </c>
      <c r="D1724">
        <v>76</v>
      </c>
      <c r="E1724">
        <v>10</v>
      </c>
      <c r="F1724">
        <v>6</v>
      </c>
      <c r="G1724">
        <v>36.28</v>
      </c>
      <c r="H1724">
        <v>9.9499999999999993</v>
      </c>
      <c r="I1724">
        <v>0.63</v>
      </c>
      <c r="J1724" t="s">
        <v>263</v>
      </c>
      <c r="K1724" t="s">
        <v>38</v>
      </c>
      <c r="L1724">
        <v>37</v>
      </c>
      <c r="M1724">
        <v>0.94</v>
      </c>
      <c r="N1724">
        <v>37.28</v>
      </c>
      <c r="O1724">
        <v>1.06</v>
      </c>
      <c r="P1724">
        <v>6</v>
      </c>
      <c r="Q1724">
        <v>0.92</v>
      </c>
      <c r="R1724">
        <v>543</v>
      </c>
      <c r="S1724">
        <v>12.18</v>
      </c>
      <c r="T1724">
        <v>0.21</v>
      </c>
      <c r="U1724" s="1">
        <v>45425</v>
      </c>
      <c r="V1724">
        <v>175.88</v>
      </c>
      <c r="W1724">
        <v>0.56200000000000006</v>
      </c>
      <c r="X1724" t="str">
        <f>IF(WarehouseData[[#This Row],[stock_level]]&lt;=WarehouseData[[#This Row],[reorder_point]],"Low Stock","Sufficient Stock")</f>
        <v>Sufficient Stock</v>
      </c>
      <c r="Y1724">
        <f>WarehouseData[[#This Row],[daily_demand]]*WarehouseData[[#This Row],[lead_time_days]]</f>
        <v>217.68</v>
      </c>
      <c r="Z1724" t="str">
        <f>IF(WarehouseData[[#This Row],[stock_level]]&lt;=WarehouseData[[#This Row],[Demand During Lead Time]],"At Risk","Safe")</f>
        <v>Safe</v>
      </c>
      <c r="AA1724">
        <f>WarehouseData[[#This Row],[stock_level]]/WarehouseData[[#This Row],[daily_demand]]</f>
        <v>7.3042998897464164</v>
      </c>
      <c r="AB1724">
        <f>WarehouseData[[#This Row],[stock_level]]*WarehouseData[[#This Row],[unit_price]]</f>
        <v>9879.2000000000007</v>
      </c>
      <c r="AC1724">
        <f>WarehouseData[[#This Row],[stock_level]]*WarehouseData[[#This Row],[holding_cost_per_unit_day]]*30</f>
        <v>8427.0000000000018</v>
      </c>
      <c r="AD1724" t="str">
        <f>IF(WarehouseData[[#This Row],[order_fulfillment_rate]]&gt;=0.9,"Strong",IF(WarehouseData[[#This Row],[order_fulfillment_rate]]&gt;=0.8,"Moderate","Needs Attention"))</f>
        <v>Strong</v>
      </c>
      <c r="AE1724" t="str">
        <f>IF(WarehouseData[[#This Row],[picking_time_seconds]]&gt;120,"Slow",IF(WarehouseData[[#This Row],[picking_time_seconds]]&gt;=60,"Average","Fast"))</f>
        <v>Fast</v>
      </c>
    </row>
    <row r="1725" spans="1:31" x14ac:dyDescent="0.25">
      <c r="A1725" t="s">
        <v>1863</v>
      </c>
      <c r="B1725" t="s">
        <v>48</v>
      </c>
      <c r="C1725">
        <v>132</v>
      </c>
      <c r="D1725">
        <v>12</v>
      </c>
      <c r="E1725">
        <v>5</v>
      </c>
      <c r="F1725">
        <v>4</v>
      </c>
      <c r="G1725">
        <v>5.16</v>
      </c>
      <c r="H1725">
        <v>2.19</v>
      </c>
      <c r="I1725">
        <v>0.18</v>
      </c>
      <c r="J1725" t="s">
        <v>68</v>
      </c>
      <c r="K1725" t="s">
        <v>46</v>
      </c>
      <c r="L1725">
        <v>68</v>
      </c>
      <c r="M1725">
        <v>2.65</v>
      </c>
      <c r="N1725">
        <v>33.06</v>
      </c>
      <c r="O1725">
        <v>1.83</v>
      </c>
      <c r="P1725">
        <v>0</v>
      </c>
      <c r="Q1725">
        <v>0.79</v>
      </c>
      <c r="R1725">
        <v>679</v>
      </c>
      <c r="S1725">
        <v>2.5</v>
      </c>
      <c r="T1725">
        <v>0.65</v>
      </c>
      <c r="U1725" s="1">
        <v>45627</v>
      </c>
      <c r="V1725">
        <v>141.26</v>
      </c>
      <c r="W1725">
        <v>0.53800000000000003</v>
      </c>
      <c r="X1725" t="str">
        <f>IF(WarehouseData[[#This Row],[stock_level]]&lt;=WarehouseData[[#This Row],[reorder_point]],"Low Stock","Sufficient Stock")</f>
        <v>Sufficient Stock</v>
      </c>
      <c r="Y1725">
        <f>WarehouseData[[#This Row],[daily_demand]]*WarehouseData[[#This Row],[lead_time_days]]</f>
        <v>20.64</v>
      </c>
      <c r="Z1725" t="str">
        <f>IF(WarehouseData[[#This Row],[stock_level]]&lt;=WarehouseData[[#This Row],[Demand During Lead Time]],"At Risk","Safe")</f>
        <v>Safe</v>
      </c>
      <c r="AA1725">
        <f>WarehouseData[[#This Row],[stock_level]]/WarehouseData[[#This Row],[daily_demand]]</f>
        <v>25.581395348837209</v>
      </c>
      <c r="AB1725">
        <f>WarehouseData[[#This Row],[stock_level]]*WarehouseData[[#This Row],[unit_price]]</f>
        <v>4363.92</v>
      </c>
      <c r="AC1725">
        <f>WarehouseData[[#This Row],[stock_level]]*WarehouseData[[#This Row],[holding_cost_per_unit_day]]*30</f>
        <v>7246.8</v>
      </c>
      <c r="AD1725" t="str">
        <f>IF(WarehouseData[[#This Row],[order_fulfillment_rate]]&gt;=0.9,"Strong",IF(WarehouseData[[#This Row],[order_fulfillment_rate]]&gt;=0.8,"Moderate","Needs Attention"))</f>
        <v>Needs Attention</v>
      </c>
      <c r="AE1725" t="str">
        <f>IF(WarehouseData[[#This Row],[picking_time_seconds]]&gt;120,"Slow",IF(WarehouseData[[#This Row],[picking_time_seconds]]&gt;=60,"Average","Fast"))</f>
        <v>Average</v>
      </c>
    </row>
    <row r="1726" spans="1:31" x14ac:dyDescent="0.25">
      <c r="A1726" t="s">
        <v>1864</v>
      </c>
      <c r="B1726" t="s">
        <v>36</v>
      </c>
      <c r="C1726">
        <v>189</v>
      </c>
      <c r="D1726">
        <v>95</v>
      </c>
      <c r="E1726">
        <v>5</v>
      </c>
      <c r="F1726">
        <v>5</v>
      </c>
      <c r="G1726">
        <v>6.22</v>
      </c>
      <c r="H1726">
        <v>5.69</v>
      </c>
      <c r="I1726">
        <v>0.82</v>
      </c>
      <c r="J1726" t="s">
        <v>289</v>
      </c>
      <c r="K1726" t="s">
        <v>34</v>
      </c>
      <c r="L1726">
        <v>82</v>
      </c>
      <c r="M1726">
        <v>4.16</v>
      </c>
      <c r="N1726">
        <v>31.97</v>
      </c>
      <c r="O1726">
        <v>0.27</v>
      </c>
      <c r="P1726">
        <v>2</v>
      </c>
      <c r="Q1726">
        <v>0.97</v>
      </c>
      <c r="R1726">
        <v>115</v>
      </c>
      <c r="S1726">
        <v>3.36</v>
      </c>
      <c r="T1726">
        <v>0.86</v>
      </c>
      <c r="U1726" s="1">
        <v>45656</v>
      </c>
      <c r="V1726">
        <v>126.16</v>
      </c>
      <c r="W1726">
        <v>0.74399999999999999</v>
      </c>
      <c r="X1726" t="str">
        <f>IF(WarehouseData[[#This Row],[stock_level]]&lt;=WarehouseData[[#This Row],[reorder_point]],"Low Stock","Sufficient Stock")</f>
        <v>Sufficient Stock</v>
      </c>
      <c r="Y1726">
        <f>WarehouseData[[#This Row],[daily_demand]]*WarehouseData[[#This Row],[lead_time_days]]</f>
        <v>31.099999999999998</v>
      </c>
      <c r="Z1726" t="str">
        <f>IF(WarehouseData[[#This Row],[stock_level]]&lt;=WarehouseData[[#This Row],[Demand During Lead Time]],"At Risk","Safe")</f>
        <v>Safe</v>
      </c>
      <c r="AA1726">
        <f>WarehouseData[[#This Row],[stock_level]]/WarehouseData[[#This Row],[daily_demand]]</f>
        <v>30.385852090032156</v>
      </c>
      <c r="AB1726">
        <f>WarehouseData[[#This Row],[stock_level]]*WarehouseData[[#This Row],[unit_price]]</f>
        <v>6042.33</v>
      </c>
      <c r="AC1726">
        <f>WarehouseData[[#This Row],[stock_level]]*WarehouseData[[#This Row],[holding_cost_per_unit_day]]*30</f>
        <v>1530.9</v>
      </c>
      <c r="AD1726" t="str">
        <f>IF(WarehouseData[[#This Row],[order_fulfillment_rate]]&gt;=0.9,"Strong",IF(WarehouseData[[#This Row],[order_fulfillment_rate]]&gt;=0.8,"Moderate","Needs Attention"))</f>
        <v>Strong</v>
      </c>
      <c r="AE1726" t="str">
        <f>IF(WarehouseData[[#This Row],[picking_time_seconds]]&gt;120,"Slow",IF(WarehouseData[[#This Row],[picking_time_seconds]]&gt;=60,"Average","Fast"))</f>
        <v>Average</v>
      </c>
    </row>
    <row r="1727" spans="1:31" x14ac:dyDescent="0.25">
      <c r="A1727" t="s">
        <v>1865</v>
      </c>
      <c r="B1727" t="s">
        <v>73</v>
      </c>
      <c r="C1727">
        <v>487</v>
      </c>
      <c r="D1727">
        <v>95</v>
      </c>
      <c r="E1727">
        <v>9</v>
      </c>
      <c r="F1727">
        <v>9</v>
      </c>
      <c r="G1727">
        <v>7.24</v>
      </c>
      <c r="H1727">
        <v>1.64</v>
      </c>
      <c r="I1727">
        <v>0.5</v>
      </c>
      <c r="J1727" t="s">
        <v>265</v>
      </c>
      <c r="K1727" t="s">
        <v>46</v>
      </c>
      <c r="L1727">
        <v>158</v>
      </c>
      <c r="M1727">
        <v>2.23</v>
      </c>
      <c r="N1727">
        <v>36.32</v>
      </c>
      <c r="O1727">
        <v>0.7</v>
      </c>
      <c r="P1727">
        <v>0</v>
      </c>
      <c r="Q1727">
        <v>0.84</v>
      </c>
      <c r="R1727">
        <v>436</v>
      </c>
      <c r="S1727">
        <v>10.83</v>
      </c>
      <c r="T1727">
        <v>0.34</v>
      </c>
      <c r="U1727" s="1">
        <v>45625</v>
      </c>
      <c r="V1727">
        <v>184.79</v>
      </c>
      <c r="W1727">
        <v>0.71</v>
      </c>
      <c r="X1727" t="str">
        <f>IF(WarehouseData[[#This Row],[stock_level]]&lt;=WarehouseData[[#This Row],[reorder_point]],"Low Stock","Sufficient Stock")</f>
        <v>Sufficient Stock</v>
      </c>
      <c r="Y1727">
        <f>WarehouseData[[#This Row],[daily_demand]]*WarehouseData[[#This Row],[lead_time_days]]</f>
        <v>65.16</v>
      </c>
      <c r="Z1727" t="str">
        <f>IF(WarehouseData[[#This Row],[stock_level]]&lt;=WarehouseData[[#This Row],[Demand During Lead Time]],"At Risk","Safe")</f>
        <v>Safe</v>
      </c>
      <c r="AA1727">
        <f>WarehouseData[[#This Row],[stock_level]]/WarehouseData[[#This Row],[daily_demand]]</f>
        <v>67.265193370165747</v>
      </c>
      <c r="AB1727">
        <f>WarehouseData[[#This Row],[stock_level]]*WarehouseData[[#This Row],[unit_price]]</f>
        <v>17687.84</v>
      </c>
      <c r="AC1727">
        <f>WarehouseData[[#This Row],[stock_level]]*WarehouseData[[#This Row],[holding_cost_per_unit_day]]*30</f>
        <v>10227</v>
      </c>
      <c r="AD1727" t="str">
        <f>IF(WarehouseData[[#This Row],[order_fulfillment_rate]]&gt;=0.9,"Strong",IF(WarehouseData[[#This Row],[order_fulfillment_rate]]&gt;=0.8,"Moderate","Needs Attention"))</f>
        <v>Moderate</v>
      </c>
      <c r="AE1727" t="str">
        <f>IF(WarehouseData[[#This Row],[picking_time_seconds]]&gt;120,"Slow",IF(WarehouseData[[#This Row],[picking_time_seconds]]&gt;=60,"Average","Fast"))</f>
        <v>Slow</v>
      </c>
    </row>
    <row r="1728" spans="1:31" x14ac:dyDescent="0.25">
      <c r="A1728" t="s">
        <v>1866</v>
      </c>
      <c r="B1728" t="s">
        <v>40</v>
      </c>
      <c r="C1728">
        <v>185</v>
      </c>
      <c r="D1728">
        <v>83</v>
      </c>
      <c r="E1728">
        <v>6</v>
      </c>
      <c r="F1728">
        <v>8</v>
      </c>
      <c r="G1728">
        <v>45.31</v>
      </c>
      <c r="H1728">
        <v>9.3800000000000008</v>
      </c>
      <c r="I1728">
        <v>0.79</v>
      </c>
      <c r="J1728" t="s">
        <v>477</v>
      </c>
      <c r="K1728" t="s">
        <v>52</v>
      </c>
      <c r="L1728">
        <v>19</v>
      </c>
      <c r="M1728">
        <v>0.63</v>
      </c>
      <c r="N1728">
        <v>51.07</v>
      </c>
      <c r="O1728">
        <v>0.78</v>
      </c>
      <c r="P1728">
        <v>1</v>
      </c>
      <c r="Q1728">
        <v>0.94</v>
      </c>
      <c r="R1728">
        <v>242</v>
      </c>
      <c r="S1728">
        <v>3.24</v>
      </c>
      <c r="T1728">
        <v>0.28999999999999998</v>
      </c>
      <c r="U1728" s="1">
        <v>45444</v>
      </c>
      <c r="V1728">
        <v>254.09</v>
      </c>
      <c r="W1728">
        <v>0.59099999999999997</v>
      </c>
      <c r="X1728" t="str">
        <f>IF(WarehouseData[[#This Row],[stock_level]]&lt;=WarehouseData[[#This Row],[reorder_point]],"Low Stock","Sufficient Stock")</f>
        <v>Sufficient Stock</v>
      </c>
      <c r="Y1728">
        <f>WarehouseData[[#This Row],[daily_demand]]*WarehouseData[[#This Row],[lead_time_days]]</f>
        <v>362.48</v>
      </c>
      <c r="Z1728" t="str">
        <f>IF(WarehouseData[[#This Row],[stock_level]]&lt;=WarehouseData[[#This Row],[Demand During Lead Time]],"At Risk","Safe")</f>
        <v>At Risk</v>
      </c>
      <c r="AA1728">
        <f>WarehouseData[[#This Row],[stock_level]]/WarehouseData[[#This Row],[daily_demand]]</f>
        <v>4.0829838887662762</v>
      </c>
      <c r="AB1728">
        <f>WarehouseData[[#This Row],[stock_level]]*WarehouseData[[#This Row],[unit_price]]</f>
        <v>9447.9500000000007</v>
      </c>
      <c r="AC1728">
        <f>WarehouseData[[#This Row],[stock_level]]*WarehouseData[[#This Row],[holding_cost_per_unit_day]]*30</f>
        <v>4329</v>
      </c>
      <c r="AD1728" t="str">
        <f>IF(WarehouseData[[#This Row],[order_fulfillment_rate]]&gt;=0.9,"Strong",IF(WarehouseData[[#This Row],[order_fulfillment_rate]]&gt;=0.8,"Moderate","Needs Attention"))</f>
        <v>Strong</v>
      </c>
      <c r="AE1728" t="str">
        <f>IF(WarehouseData[[#This Row],[picking_time_seconds]]&gt;120,"Slow",IF(WarehouseData[[#This Row],[picking_time_seconds]]&gt;=60,"Average","Fast"))</f>
        <v>Fast</v>
      </c>
    </row>
    <row r="1729" spans="1:31" x14ac:dyDescent="0.25">
      <c r="A1729" t="s">
        <v>1867</v>
      </c>
      <c r="B1729" t="s">
        <v>48</v>
      </c>
      <c r="C1729">
        <v>428</v>
      </c>
      <c r="D1729">
        <v>60</v>
      </c>
      <c r="E1729">
        <v>5</v>
      </c>
      <c r="F1729">
        <v>8</v>
      </c>
      <c r="G1729">
        <v>26.77</v>
      </c>
      <c r="H1729">
        <v>3.27</v>
      </c>
      <c r="I1729">
        <v>0.11</v>
      </c>
      <c r="J1729" t="s">
        <v>273</v>
      </c>
      <c r="K1729" t="s">
        <v>34</v>
      </c>
      <c r="L1729">
        <v>141</v>
      </c>
      <c r="M1729">
        <v>2.99</v>
      </c>
      <c r="N1729">
        <v>116.94</v>
      </c>
      <c r="O1729">
        <v>0.9</v>
      </c>
      <c r="P1729">
        <v>6</v>
      </c>
      <c r="Q1729">
        <v>0.78</v>
      </c>
      <c r="R1729">
        <v>369</v>
      </c>
      <c r="S1729">
        <v>14.31</v>
      </c>
      <c r="T1729">
        <v>0.98</v>
      </c>
      <c r="U1729" s="1">
        <v>45388</v>
      </c>
      <c r="V1729">
        <v>174.12</v>
      </c>
      <c r="W1729">
        <v>0.73299999999999998</v>
      </c>
      <c r="X1729" t="str">
        <f>IF(WarehouseData[[#This Row],[stock_level]]&lt;=WarehouseData[[#This Row],[reorder_point]],"Low Stock","Sufficient Stock")</f>
        <v>Sufficient Stock</v>
      </c>
      <c r="Y1729">
        <f>WarehouseData[[#This Row],[daily_demand]]*WarehouseData[[#This Row],[lead_time_days]]</f>
        <v>214.16</v>
      </c>
      <c r="Z1729" t="str">
        <f>IF(WarehouseData[[#This Row],[stock_level]]&lt;=WarehouseData[[#This Row],[Demand During Lead Time]],"At Risk","Safe")</f>
        <v>Safe</v>
      </c>
      <c r="AA1729">
        <f>WarehouseData[[#This Row],[stock_level]]/WarehouseData[[#This Row],[daily_demand]]</f>
        <v>15.988046320508031</v>
      </c>
      <c r="AB1729">
        <f>WarehouseData[[#This Row],[stock_level]]*WarehouseData[[#This Row],[unit_price]]</f>
        <v>50050.32</v>
      </c>
      <c r="AC1729">
        <f>WarehouseData[[#This Row],[stock_level]]*WarehouseData[[#This Row],[holding_cost_per_unit_day]]*30</f>
        <v>11556</v>
      </c>
      <c r="AD1729" t="str">
        <f>IF(WarehouseData[[#This Row],[order_fulfillment_rate]]&gt;=0.9,"Strong",IF(WarehouseData[[#This Row],[order_fulfillment_rate]]&gt;=0.8,"Moderate","Needs Attention"))</f>
        <v>Needs Attention</v>
      </c>
      <c r="AE1729" t="str">
        <f>IF(WarehouseData[[#This Row],[picking_time_seconds]]&gt;120,"Slow",IF(WarehouseData[[#This Row],[picking_time_seconds]]&gt;=60,"Average","Fast"))</f>
        <v>Slow</v>
      </c>
    </row>
    <row r="1730" spans="1:31" x14ac:dyDescent="0.25">
      <c r="A1730" t="s">
        <v>1868</v>
      </c>
      <c r="B1730" t="s">
        <v>32</v>
      </c>
      <c r="C1730">
        <v>33</v>
      </c>
      <c r="D1730">
        <v>76</v>
      </c>
      <c r="E1730">
        <v>10</v>
      </c>
      <c r="F1730">
        <v>5</v>
      </c>
      <c r="G1730">
        <v>39.79</v>
      </c>
      <c r="H1730">
        <v>8.84</v>
      </c>
      <c r="I1730">
        <v>0.13</v>
      </c>
      <c r="J1730" t="s">
        <v>338</v>
      </c>
      <c r="K1730" t="s">
        <v>52</v>
      </c>
      <c r="L1730">
        <v>71</v>
      </c>
      <c r="M1730">
        <v>3.56</v>
      </c>
      <c r="N1730">
        <v>155.72999999999999</v>
      </c>
      <c r="O1730">
        <v>1.97</v>
      </c>
      <c r="P1730">
        <v>6</v>
      </c>
      <c r="Q1730">
        <v>0.91</v>
      </c>
      <c r="R1730">
        <v>596</v>
      </c>
      <c r="S1730">
        <v>14.9</v>
      </c>
      <c r="T1730">
        <v>0.87</v>
      </c>
      <c r="U1730" s="1">
        <v>45368</v>
      </c>
      <c r="V1730">
        <v>47.6</v>
      </c>
      <c r="W1730">
        <v>0.63800000000000001</v>
      </c>
      <c r="X1730" t="str">
        <f>IF(WarehouseData[[#This Row],[stock_level]]&lt;=WarehouseData[[#This Row],[reorder_point]],"Low Stock","Sufficient Stock")</f>
        <v>Low Stock</v>
      </c>
      <c r="Y1730">
        <f>WarehouseData[[#This Row],[daily_demand]]*WarehouseData[[#This Row],[lead_time_days]]</f>
        <v>198.95</v>
      </c>
      <c r="Z1730" t="str">
        <f>IF(WarehouseData[[#This Row],[stock_level]]&lt;=WarehouseData[[#This Row],[Demand During Lead Time]],"At Risk","Safe")</f>
        <v>At Risk</v>
      </c>
      <c r="AA1730">
        <f>WarehouseData[[#This Row],[stock_level]]/WarehouseData[[#This Row],[daily_demand]]</f>
        <v>0.8293541090726313</v>
      </c>
      <c r="AB1730">
        <f>WarehouseData[[#This Row],[stock_level]]*WarehouseData[[#This Row],[unit_price]]</f>
        <v>5139.0899999999992</v>
      </c>
      <c r="AC1730">
        <f>WarehouseData[[#This Row],[stock_level]]*WarehouseData[[#This Row],[holding_cost_per_unit_day]]*30</f>
        <v>1950.3000000000002</v>
      </c>
      <c r="AD1730" t="str">
        <f>IF(WarehouseData[[#This Row],[order_fulfillment_rate]]&gt;=0.9,"Strong",IF(WarehouseData[[#This Row],[order_fulfillment_rate]]&gt;=0.8,"Moderate","Needs Attention"))</f>
        <v>Strong</v>
      </c>
      <c r="AE1730" t="str">
        <f>IF(WarehouseData[[#This Row],[picking_time_seconds]]&gt;120,"Slow",IF(WarehouseData[[#This Row],[picking_time_seconds]]&gt;=60,"Average","Fast"))</f>
        <v>Average</v>
      </c>
    </row>
    <row r="1731" spans="1:31" x14ac:dyDescent="0.25">
      <c r="A1731" t="s">
        <v>1869</v>
      </c>
      <c r="B1731" t="s">
        <v>48</v>
      </c>
      <c r="C1731">
        <v>222</v>
      </c>
      <c r="D1731">
        <v>85</v>
      </c>
      <c r="E1731">
        <v>5</v>
      </c>
      <c r="F1731">
        <v>5</v>
      </c>
      <c r="G1731">
        <v>6.65</v>
      </c>
      <c r="H1731">
        <v>3.19</v>
      </c>
      <c r="I1731">
        <v>0.25</v>
      </c>
      <c r="J1731" t="s">
        <v>124</v>
      </c>
      <c r="K1731" t="s">
        <v>38</v>
      </c>
      <c r="L1731">
        <v>141</v>
      </c>
      <c r="M1731">
        <v>3.83</v>
      </c>
      <c r="N1731">
        <v>34.1</v>
      </c>
      <c r="O1731">
        <v>0.69</v>
      </c>
      <c r="P1731">
        <v>2</v>
      </c>
      <c r="Q1731">
        <v>0.82</v>
      </c>
      <c r="R1731">
        <v>969</v>
      </c>
      <c r="S1731">
        <v>11.9</v>
      </c>
      <c r="T1731">
        <v>0.44</v>
      </c>
      <c r="U1731" s="1">
        <v>45556</v>
      </c>
      <c r="V1731">
        <v>98.79</v>
      </c>
      <c r="W1731">
        <v>0.70199999999999996</v>
      </c>
      <c r="X1731" t="str">
        <f>IF(WarehouseData[[#This Row],[stock_level]]&lt;=WarehouseData[[#This Row],[reorder_point]],"Low Stock","Sufficient Stock")</f>
        <v>Sufficient Stock</v>
      </c>
      <c r="Y1731">
        <f>WarehouseData[[#This Row],[daily_demand]]*WarehouseData[[#This Row],[lead_time_days]]</f>
        <v>33.25</v>
      </c>
      <c r="Z1731" t="str">
        <f>IF(WarehouseData[[#This Row],[stock_level]]&lt;=WarehouseData[[#This Row],[Demand During Lead Time]],"At Risk","Safe")</f>
        <v>Safe</v>
      </c>
      <c r="AA1731">
        <f>WarehouseData[[#This Row],[stock_level]]/WarehouseData[[#This Row],[daily_demand]]</f>
        <v>33.383458646616539</v>
      </c>
      <c r="AB1731">
        <f>WarehouseData[[#This Row],[stock_level]]*WarehouseData[[#This Row],[unit_price]]</f>
        <v>7570.2000000000007</v>
      </c>
      <c r="AC1731">
        <f>WarehouseData[[#This Row],[stock_level]]*WarehouseData[[#This Row],[holding_cost_per_unit_day]]*30</f>
        <v>4595.3999999999996</v>
      </c>
      <c r="AD1731" t="str">
        <f>IF(WarehouseData[[#This Row],[order_fulfillment_rate]]&gt;=0.9,"Strong",IF(WarehouseData[[#This Row],[order_fulfillment_rate]]&gt;=0.8,"Moderate","Needs Attention"))</f>
        <v>Moderate</v>
      </c>
      <c r="AE1731" t="str">
        <f>IF(WarehouseData[[#This Row],[picking_time_seconds]]&gt;120,"Slow",IF(WarehouseData[[#This Row],[picking_time_seconds]]&gt;=60,"Average","Fast"))</f>
        <v>Slow</v>
      </c>
    </row>
    <row r="1732" spans="1:31" x14ac:dyDescent="0.25">
      <c r="A1732" t="s">
        <v>1870</v>
      </c>
      <c r="B1732" t="s">
        <v>32</v>
      </c>
      <c r="C1732">
        <v>307</v>
      </c>
      <c r="D1732">
        <v>57</v>
      </c>
      <c r="E1732">
        <v>9</v>
      </c>
      <c r="F1732">
        <v>7</v>
      </c>
      <c r="G1732">
        <v>46.45</v>
      </c>
      <c r="H1732">
        <v>8.16</v>
      </c>
      <c r="I1732">
        <v>0.28999999999999998</v>
      </c>
      <c r="J1732" t="s">
        <v>57</v>
      </c>
      <c r="K1732" t="s">
        <v>52</v>
      </c>
      <c r="L1732">
        <v>136</v>
      </c>
      <c r="M1732">
        <v>2.31</v>
      </c>
      <c r="N1732">
        <v>175.3</v>
      </c>
      <c r="O1732">
        <v>1.0900000000000001</v>
      </c>
      <c r="P1732">
        <v>5</v>
      </c>
      <c r="Q1732">
        <v>0.71</v>
      </c>
      <c r="R1732">
        <v>224</v>
      </c>
      <c r="S1732">
        <v>1.38</v>
      </c>
      <c r="T1732">
        <v>0.37</v>
      </c>
      <c r="U1732" s="1">
        <v>45415</v>
      </c>
      <c r="V1732">
        <v>203.79</v>
      </c>
      <c r="W1732">
        <v>0.42499999999999999</v>
      </c>
      <c r="X1732" t="str">
        <f>IF(WarehouseData[[#This Row],[stock_level]]&lt;=WarehouseData[[#This Row],[reorder_point]],"Low Stock","Sufficient Stock")</f>
        <v>Sufficient Stock</v>
      </c>
      <c r="Y1732">
        <f>WarehouseData[[#This Row],[daily_demand]]*WarehouseData[[#This Row],[lead_time_days]]</f>
        <v>325.15000000000003</v>
      </c>
      <c r="Z1732" t="str">
        <f>IF(WarehouseData[[#This Row],[stock_level]]&lt;=WarehouseData[[#This Row],[Demand During Lead Time]],"At Risk","Safe")</f>
        <v>At Risk</v>
      </c>
      <c r="AA1732">
        <f>WarehouseData[[#This Row],[stock_level]]/WarehouseData[[#This Row],[daily_demand]]</f>
        <v>6.6092572658772868</v>
      </c>
      <c r="AB1732">
        <f>WarehouseData[[#This Row],[stock_level]]*WarehouseData[[#This Row],[unit_price]]</f>
        <v>53817.100000000006</v>
      </c>
      <c r="AC1732">
        <f>WarehouseData[[#This Row],[stock_level]]*WarehouseData[[#This Row],[holding_cost_per_unit_day]]*30</f>
        <v>10038.900000000001</v>
      </c>
      <c r="AD1732" t="str">
        <f>IF(WarehouseData[[#This Row],[order_fulfillment_rate]]&gt;=0.9,"Strong",IF(WarehouseData[[#This Row],[order_fulfillment_rate]]&gt;=0.8,"Moderate","Needs Attention"))</f>
        <v>Needs Attention</v>
      </c>
      <c r="AE1732" t="str">
        <f>IF(WarehouseData[[#This Row],[picking_time_seconds]]&gt;120,"Slow",IF(WarehouseData[[#This Row],[picking_time_seconds]]&gt;=60,"Average","Fast"))</f>
        <v>Slow</v>
      </c>
    </row>
    <row r="1733" spans="1:31" x14ac:dyDescent="0.25">
      <c r="A1733" t="s">
        <v>1871</v>
      </c>
      <c r="B1733" t="s">
        <v>48</v>
      </c>
      <c r="C1733">
        <v>414</v>
      </c>
      <c r="D1733">
        <v>26</v>
      </c>
      <c r="E1733">
        <v>4</v>
      </c>
      <c r="F1733">
        <v>3</v>
      </c>
      <c r="G1733">
        <v>41.24</v>
      </c>
      <c r="H1733">
        <v>2.4900000000000002</v>
      </c>
      <c r="I1733">
        <v>0.79</v>
      </c>
      <c r="J1733" t="s">
        <v>154</v>
      </c>
      <c r="K1733" t="s">
        <v>46</v>
      </c>
      <c r="L1733">
        <v>15</v>
      </c>
      <c r="M1733">
        <v>0.94</v>
      </c>
      <c r="N1733">
        <v>170.12</v>
      </c>
      <c r="O1733">
        <v>1.1200000000000001</v>
      </c>
      <c r="P1733">
        <v>5</v>
      </c>
      <c r="Q1733">
        <v>0.82</v>
      </c>
      <c r="R1733">
        <v>161</v>
      </c>
      <c r="S1733">
        <v>7.76</v>
      </c>
      <c r="T1733">
        <v>0.47</v>
      </c>
      <c r="U1733" s="1">
        <v>45321</v>
      </c>
      <c r="V1733">
        <v>197.58</v>
      </c>
      <c r="W1733">
        <v>0.54900000000000004</v>
      </c>
      <c r="X1733" t="str">
        <f>IF(WarehouseData[[#This Row],[stock_level]]&lt;=WarehouseData[[#This Row],[reorder_point]],"Low Stock","Sufficient Stock")</f>
        <v>Sufficient Stock</v>
      </c>
      <c r="Y1733">
        <f>WarehouseData[[#This Row],[daily_demand]]*WarehouseData[[#This Row],[lead_time_days]]</f>
        <v>123.72</v>
      </c>
      <c r="Z1733" t="str">
        <f>IF(WarehouseData[[#This Row],[stock_level]]&lt;=WarehouseData[[#This Row],[Demand During Lead Time]],"At Risk","Safe")</f>
        <v>Safe</v>
      </c>
      <c r="AA1733">
        <f>WarehouseData[[#This Row],[stock_level]]/WarehouseData[[#This Row],[daily_demand]]</f>
        <v>10.038797284190107</v>
      </c>
      <c r="AB1733">
        <f>WarehouseData[[#This Row],[stock_level]]*WarehouseData[[#This Row],[unit_price]]</f>
        <v>70429.680000000008</v>
      </c>
      <c r="AC1733">
        <f>WarehouseData[[#This Row],[stock_level]]*WarehouseData[[#This Row],[holding_cost_per_unit_day]]*30</f>
        <v>13910.400000000001</v>
      </c>
      <c r="AD1733" t="str">
        <f>IF(WarehouseData[[#This Row],[order_fulfillment_rate]]&gt;=0.9,"Strong",IF(WarehouseData[[#This Row],[order_fulfillment_rate]]&gt;=0.8,"Moderate","Needs Attention"))</f>
        <v>Moderate</v>
      </c>
      <c r="AE1733" t="str">
        <f>IF(WarehouseData[[#This Row],[picking_time_seconds]]&gt;120,"Slow",IF(WarehouseData[[#This Row],[picking_time_seconds]]&gt;=60,"Average","Fast"))</f>
        <v>Fast</v>
      </c>
    </row>
    <row r="1734" spans="1:31" x14ac:dyDescent="0.25">
      <c r="A1734" t="s">
        <v>1872</v>
      </c>
      <c r="B1734" t="s">
        <v>36</v>
      </c>
      <c r="C1734">
        <v>208</v>
      </c>
      <c r="D1734">
        <v>16</v>
      </c>
      <c r="E1734">
        <v>13</v>
      </c>
      <c r="F1734">
        <v>5</v>
      </c>
      <c r="G1734">
        <v>12.01</v>
      </c>
      <c r="H1734">
        <v>3.28</v>
      </c>
      <c r="I1734">
        <v>0.74</v>
      </c>
      <c r="J1734" t="s">
        <v>79</v>
      </c>
      <c r="K1734" t="s">
        <v>46</v>
      </c>
      <c r="L1734">
        <v>89</v>
      </c>
      <c r="M1734">
        <v>3.13</v>
      </c>
      <c r="N1734">
        <v>148.19999999999999</v>
      </c>
      <c r="O1734">
        <v>1.56</v>
      </c>
      <c r="P1734">
        <v>1</v>
      </c>
      <c r="Q1734">
        <v>0.87</v>
      </c>
      <c r="R1734">
        <v>357</v>
      </c>
      <c r="S1734">
        <v>6.69</v>
      </c>
      <c r="T1734">
        <v>0.54</v>
      </c>
      <c r="U1734" s="1">
        <v>45599</v>
      </c>
      <c r="V1734">
        <v>160.47999999999999</v>
      </c>
      <c r="W1734">
        <v>0.59499999999999997</v>
      </c>
      <c r="X1734" t="str">
        <f>IF(WarehouseData[[#This Row],[stock_level]]&lt;=WarehouseData[[#This Row],[reorder_point]],"Low Stock","Sufficient Stock")</f>
        <v>Sufficient Stock</v>
      </c>
      <c r="Y1734">
        <f>WarehouseData[[#This Row],[daily_demand]]*WarehouseData[[#This Row],[lead_time_days]]</f>
        <v>60.05</v>
      </c>
      <c r="Z1734" t="str">
        <f>IF(WarehouseData[[#This Row],[stock_level]]&lt;=WarehouseData[[#This Row],[Demand During Lead Time]],"At Risk","Safe")</f>
        <v>Safe</v>
      </c>
      <c r="AA1734">
        <f>WarehouseData[[#This Row],[stock_level]]/WarehouseData[[#This Row],[daily_demand]]</f>
        <v>17.318900915903413</v>
      </c>
      <c r="AB1734">
        <f>WarehouseData[[#This Row],[stock_level]]*WarehouseData[[#This Row],[unit_price]]</f>
        <v>30825.599999999999</v>
      </c>
      <c r="AC1734">
        <f>WarehouseData[[#This Row],[stock_level]]*WarehouseData[[#This Row],[holding_cost_per_unit_day]]*30</f>
        <v>9734.4000000000015</v>
      </c>
      <c r="AD1734" t="str">
        <f>IF(WarehouseData[[#This Row],[order_fulfillment_rate]]&gt;=0.9,"Strong",IF(WarehouseData[[#This Row],[order_fulfillment_rate]]&gt;=0.8,"Moderate","Needs Attention"))</f>
        <v>Moderate</v>
      </c>
      <c r="AE1734" t="str">
        <f>IF(WarehouseData[[#This Row],[picking_time_seconds]]&gt;120,"Slow",IF(WarehouseData[[#This Row],[picking_time_seconds]]&gt;=60,"Average","Fast"))</f>
        <v>Average</v>
      </c>
    </row>
    <row r="1735" spans="1:31" x14ac:dyDescent="0.25">
      <c r="A1735" t="s">
        <v>1873</v>
      </c>
      <c r="B1735" t="s">
        <v>36</v>
      </c>
      <c r="C1735">
        <v>421</v>
      </c>
      <c r="D1735">
        <v>22</v>
      </c>
      <c r="E1735">
        <v>13</v>
      </c>
      <c r="F1735">
        <v>8</v>
      </c>
      <c r="G1735">
        <v>43.83</v>
      </c>
      <c r="H1735">
        <v>2.33</v>
      </c>
      <c r="I1735">
        <v>0.65</v>
      </c>
      <c r="J1735" t="s">
        <v>75</v>
      </c>
      <c r="K1735" t="s">
        <v>38</v>
      </c>
      <c r="L1735">
        <v>81</v>
      </c>
      <c r="M1735">
        <v>1.98</v>
      </c>
      <c r="N1735">
        <v>90.93</v>
      </c>
      <c r="O1735">
        <v>1.08</v>
      </c>
      <c r="P1735">
        <v>8</v>
      </c>
      <c r="Q1735">
        <v>0.75</v>
      </c>
      <c r="R1735">
        <v>851</v>
      </c>
      <c r="S1735">
        <v>12.19</v>
      </c>
      <c r="T1735">
        <v>0.86</v>
      </c>
      <c r="U1735" s="1">
        <v>45498</v>
      </c>
      <c r="V1735">
        <v>79.739999999999995</v>
      </c>
      <c r="W1735">
        <v>0.61699999999999999</v>
      </c>
      <c r="X1735" t="str">
        <f>IF(WarehouseData[[#This Row],[stock_level]]&lt;=WarehouseData[[#This Row],[reorder_point]],"Low Stock","Sufficient Stock")</f>
        <v>Sufficient Stock</v>
      </c>
      <c r="Y1735">
        <f>WarehouseData[[#This Row],[daily_demand]]*WarehouseData[[#This Row],[lead_time_days]]</f>
        <v>350.64</v>
      </c>
      <c r="Z1735" t="str">
        <f>IF(WarehouseData[[#This Row],[stock_level]]&lt;=WarehouseData[[#This Row],[Demand During Lead Time]],"At Risk","Safe")</f>
        <v>Safe</v>
      </c>
      <c r="AA1735">
        <f>WarehouseData[[#This Row],[stock_level]]/WarehouseData[[#This Row],[daily_demand]]</f>
        <v>9.6052931781884556</v>
      </c>
      <c r="AB1735">
        <f>WarehouseData[[#This Row],[stock_level]]*WarehouseData[[#This Row],[unit_price]]</f>
        <v>38281.530000000006</v>
      </c>
      <c r="AC1735">
        <f>WarehouseData[[#This Row],[stock_level]]*WarehouseData[[#This Row],[holding_cost_per_unit_day]]*30</f>
        <v>13640.4</v>
      </c>
      <c r="AD1735" t="str">
        <f>IF(WarehouseData[[#This Row],[order_fulfillment_rate]]&gt;=0.9,"Strong",IF(WarehouseData[[#This Row],[order_fulfillment_rate]]&gt;=0.8,"Moderate","Needs Attention"))</f>
        <v>Needs Attention</v>
      </c>
      <c r="AE1735" t="str">
        <f>IF(WarehouseData[[#This Row],[picking_time_seconds]]&gt;120,"Slow",IF(WarehouseData[[#This Row],[picking_time_seconds]]&gt;=60,"Average","Fast"))</f>
        <v>Average</v>
      </c>
    </row>
    <row r="1736" spans="1:31" x14ac:dyDescent="0.25">
      <c r="A1736" t="s">
        <v>1874</v>
      </c>
      <c r="B1736" t="s">
        <v>36</v>
      </c>
      <c r="C1736">
        <v>174</v>
      </c>
      <c r="D1736">
        <v>75</v>
      </c>
      <c r="E1736">
        <v>3</v>
      </c>
      <c r="F1736">
        <v>6</v>
      </c>
      <c r="G1736">
        <v>13.91</v>
      </c>
      <c r="H1736">
        <v>3.01</v>
      </c>
      <c r="I1736">
        <v>0.9</v>
      </c>
      <c r="J1736" t="s">
        <v>113</v>
      </c>
      <c r="K1736" t="s">
        <v>38</v>
      </c>
      <c r="L1736">
        <v>25</v>
      </c>
      <c r="M1736">
        <v>4.76</v>
      </c>
      <c r="N1736">
        <v>10.3</v>
      </c>
      <c r="O1736">
        <v>1.25</v>
      </c>
      <c r="P1736">
        <v>7</v>
      </c>
      <c r="Q1736">
        <v>0.76</v>
      </c>
      <c r="R1736">
        <v>389</v>
      </c>
      <c r="S1736">
        <v>5.0199999999999996</v>
      </c>
      <c r="T1736">
        <v>0.39</v>
      </c>
      <c r="U1736" s="1">
        <v>45630</v>
      </c>
      <c r="V1736">
        <v>88.47</v>
      </c>
      <c r="W1736">
        <v>0.432</v>
      </c>
      <c r="X1736" t="str">
        <f>IF(WarehouseData[[#This Row],[stock_level]]&lt;=WarehouseData[[#This Row],[reorder_point]],"Low Stock","Sufficient Stock")</f>
        <v>Sufficient Stock</v>
      </c>
      <c r="Y1736">
        <f>WarehouseData[[#This Row],[daily_demand]]*WarehouseData[[#This Row],[lead_time_days]]</f>
        <v>83.460000000000008</v>
      </c>
      <c r="Z1736" t="str">
        <f>IF(WarehouseData[[#This Row],[stock_level]]&lt;=WarehouseData[[#This Row],[Demand During Lead Time]],"At Risk","Safe")</f>
        <v>Safe</v>
      </c>
      <c r="AA1736">
        <f>WarehouseData[[#This Row],[stock_level]]/WarehouseData[[#This Row],[daily_demand]]</f>
        <v>12.508986340762041</v>
      </c>
      <c r="AB1736">
        <f>WarehouseData[[#This Row],[stock_level]]*WarehouseData[[#This Row],[unit_price]]</f>
        <v>1792.2</v>
      </c>
      <c r="AC1736">
        <f>WarehouseData[[#This Row],[stock_level]]*WarehouseData[[#This Row],[holding_cost_per_unit_day]]*30</f>
        <v>6525</v>
      </c>
      <c r="AD1736" t="str">
        <f>IF(WarehouseData[[#This Row],[order_fulfillment_rate]]&gt;=0.9,"Strong",IF(WarehouseData[[#This Row],[order_fulfillment_rate]]&gt;=0.8,"Moderate","Needs Attention"))</f>
        <v>Needs Attention</v>
      </c>
      <c r="AE1736" t="str">
        <f>IF(WarehouseData[[#This Row],[picking_time_seconds]]&gt;120,"Slow",IF(WarehouseData[[#This Row],[picking_time_seconds]]&gt;=60,"Average","Fast"))</f>
        <v>Fast</v>
      </c>
    </row>
    <row r="1737" spans="1:31" x14ac:dyDescent="0.25">
      <c r="A1737" t="s">
        <v>1875</v>
      </c>
      <c r="B1737" t="s">
        <v>73</v>
      </c>
      <c r="C1737">
        <v>74</v>
      </c>
      <c r="D1737">
        <v>13</v>
      </c>
      <c r="E1737">
        <v>14</v>
      </c>
      <c r="F1737">
        <v>8</v>
      </c>
      <c r="G1737">
        <v>11.06</v>
      </c>
      <c r="H1737">
        <v>8.43</v>
      </c>
      <c r="I1737">
        <v>0.32</v>
      </c>
      <c r="J1737" t="s">
        <v>163</v>
      </c>
      <c r="K1737" t="s">
        <v>34</v>
      </c>
      <c r="L1737">
        <v>47</v>
      </c>
      <c r="M1737">
        <v>2.76</v>
      </c>
      <c r="N1737">
        <v>149.61000000000001</v>
      </c>
      <c r="O1737">
        <v>1.53</v>
      </c>
      <c r="P1737">
        <v>1</v>
      </c>
      <c r="Q1737">
        <v>0.84</v>
      </c>
      <c r="R1737">
        <v>129</v>
      </c>
      <c r="S1737">
        <v>6.41</v>
      </c>
      <c r="T1737">
        <v>0.78</v>
      </c>
      <c r="U1737" s="1">
        <v>45455</v>
      </c>
      <c r="V1737">
        <v>150.43</v>
      </c>
      <c r="W1737">
        <v>0.63600000000000001</v>
      </c>
      <c r="X1737" t="str">
        <f>IF(WarehouseData[[#This Row],[stock_level]]&lt;=WarehouseData[[#This Row],[reorder_point]],"Low Stock","Sufficient Stock")</f>
        <v>Sufficient Stock</v>
      </c>
      <c r="Y1737">
        <f>WarehouseData[[#This Row],[daily_demand]]*WarehouseData[[#This Row],[lead_time_days]]</f>
        <v>88.48</v>
      </c>
      <c r="Z1737" t="str">
        <f>IF(WarehouseData[[#This Row],[stock_level]]&lt;=WarehouseData[[#This Row],[Demand During Lead Time]],"At Risk","Safe")</f>
        <v>At Risk</v>
      </c>
      <c r="AA1737">
        <f>WarehouseData[[#This Row],[stock_level]]/WarehouseData[[#This Row],[daily_demand]]</f>
        <v>6.6907775768535256</v>
      </c>
      <c r="AB1737">
        <f>WarehouseData[[#This Row],[stock_level]]*WarehouseData[[#This Row],[unit_price]]</f>
        <v>11071.140000000001</v>
      </c>
      <c r="AC1737">
        <f>WarehouseData[[#This Row],[stock_level]]*WarehouseData[[#This Row],[holding_cost_per_unit_day]]*30</f>
        <v>3396.6</v>
      </c>
      <c r="AD1737" t="str">
        <f>IF(WarehouseData[[#This Row],[order_fulfillment_rate]]&gt;=0.9,"Strong",IF(WarehouseData[[#This Row],[order_fulfillment_rate]]&gt;=0.8,"Moderate","Needs Attention"))</f>
        <v>Moderate</v>
      </c>
      <c r="AE1737" t="str">
        <f>IF(WarehouseData[[#This Row],[picking_time_seconds]]&gt;120,"Slow",IF(WarehouseData[[#This Row],[picking_time_seconds]]&gt;=60,"Average","Fast"))</f>
        <v>Fast</v>
      </c>
    </row>
    <row r="1738" spans="1:31" x14ac:dyDescent="0.25">
      <c r="A1738" t="s">
        <v>1876</v>
      </c>
      <c r="B1738" t="s">
        <v>32</v>
      </c>
      <c r="C1738">
        <v>201</v>
      </c>
      <c r="D1738">
        <v>19</v>
      </c>
      <c r="E1738">
        <v>8</v>
      </c>
      <c r="F1738">
        <v>8</v>
      </c>
      <c r="G1738">
        <v>13.95</v>
      </c>
      <c r="H1738">
        <v>6.57</v>
      </c>
      <c r="I1738">
        <v>0.91</v>
      </c>
      <c r="J1738" t="s">
        <v>466</v>
      </c>
      <c r="K1738" t="s">
        <v>46</v>
      </c>
      <c r="L1738">
        <v>74</v>
      </c>
      <c r="M1738">
        <v>2.63</v>
      </c>
      <c r="N1738">
        <v>177.01</v>
      </c>
      <c r="O1738">
        <v>0.28999999999999998</v>
      </c>
      <c r="P1738">
        <v>3</v>
      </c>
      <c r="Q1738">
        <v>0.8</v>
      </c>
      <c r="R1738">
        <v>527</v>
      </c>
      <c r="S1738">
        <v>2.31</v>
      </c>
      <c r="T1738">
        <v>0.94</v>
      </c>
      <c r="U1738" s="1">
        <v>45640</v>
      </c>
      <c r="V1738">
        <v>124.4</v>
      </c>
      <c r="W1738">
        <v>0.69</v>
      </c>
      <c r="X1738" t="str">
        <f>IF(WarehouseData[[#This Row],[stock_level]]&lt;=WarehouseData[[#This Row],[reorder_point]],"Low Stock","Sufficient Stock")</f>
        <v>Sufficient Stock</v>
      </c>
      <c r="Y1738">
        <f>WarehouseData[[#This Row],[daily_demand]]*WarehouseData[[#This Row],[lead_time_days]]</f>
        <v>111.6</v>
      </c>
      <c r="Z1738" t="str">
        <f>IF(WarehouseData[[#This Row],[stock_level]]&lt;=WarehouseData[[#This Row],[Demand During Lead Time]],"At Risk","Safe")</f>
        <v>Safe</v>
      </c>
      <c r="AA1738">
        <f>WarehouseData[[#This Row],[stock_level]]/WarehouseData[[#This Row],[daily_demand]]</f>
        <v>14.408602150537636</v>
      </c>
      <c r="AB1738">
        <f>WarehouseData[[#This Row],[stock_level]]*WarehouseData[[#This Row],[unit_price]]</f>
        <v>35579.009999999995</v>
      </c>
      <c r="AC1738">
        <f>WarehouseData[[#This Row],[stock_level]]*WarehouseData[[#This Row],[holding_cost_per_unit_day]]*30</f>
        <v>1748.7</v>
      </c>
      <c r="AD1738" t="str">
        <f>IF(WarehouseData[[#This Row],[order_fulfillment_rate]]&gt;=0.9,"Strong",IF(WarehouseData[[#This Row],[order_fulfillment_rate]]&gt;=0.8,"Moderate","Needs Attention"))</f>
        <v>Moderate</v>
      </c>
      <c r="AE1738" t="str">
        <f>IF(WarehouseData[[#This Row],[picking_time_seconds]]&gt;120,"Slow",IF(WarehouseData[[#This Row],[picking_time_seconds]]&gt;=60,"Average","Fast"))</f>
        <v>Average</v>
      </c>
    </row>
    <row r="1739" spans="1:31" x14ac:dyDescent="0.25">
      <c r="A1739" t="s">
        <v>1877</v>
      </c>
      <c r="B1739" t="s">
        <v>36</v>
      </c>
      <c r="C1739">
        <v>229</v>
      </c>
      <c r="D1739">
        <v>97</v>
      </c>
      <c r="E1739">
        <v>10</v>
      </c>
      <c r="F1739">
        <v>7</v>
      </c>
      <c r="G1739">
        <v>45.59</v>
      </c>
      <c r="H1739">
        <v>4.3600000000000003</v>
      </c>
      <c r="I1739">
        <v>0.92</v>
      </c>
      <c r="J1739" t="s">
        <v>51</v>
      </c>
      <c r="K1739" t="s">
        <v>46</v>
      </c>
      <c r="L1739">
        <v>135</v>
      </c>
      <c r="M1739">
        <v>1.89</v>
      </c>
      <c r="N1739">
        <v>73.7</v>
      </c>
      <c r="O1739">
        <v>1.93</v>
      </c>
      <c r="P1739">
        <v>8</v>
      </c>
      <c r="Q1739">
        <v>0.83</v>
      </c>
      <c r="R1739">
        <v>160</v>
      </c>
      <c r="S1739">
        <v>5.8</v>
      </c>
      <c r="T1739">
        <v>0.5</v>
      </c>
      <c r="U1739" s="1">
        <v>45363</v>
      </c>
      <c r="V1739">
        <v>101.62</v>
      </c>
      <c r="W1739">
        <v>0.39</v>
      </c>
      <c r="X1739" t="str">
        <f>IF(WarehouseData[[#This Row],[stock_level]]&lt;=WarehouseData[[#This Row],[reorder_point]],"Low Stock","Sufficient Stock")</f>
        <v>Sufficient Stock</v>
      </c>
      <c r="Y1739">
        <f>WarehouseData[[#This Row],[daily_demand]]*WarehouseData[[#This Row],[lead_time_days]]</f>
        <v>319.13</v>
      </c>
      <c r="Z1739" t="str">
        <f>IF(WarehouseData[[#This Row],[stock_level]]&lt;=WarehouseData[[#This Row],[Demand During Lead Time]],"At Risk","Safe")</f>
        <v>At Risk</v>
      </c>
      <c r="AA1739">
        <f>WarehouseData[[#This Row],[stock_level]]/WarehouseData[[#This Row],[daily_demand]]</f>
        <v>5.0230313665277473</v>
      </c>
      <c r="AB1739">
        <f>WarehouseData[[#This Row],[stock_level]]*WarehouseData[[#This Row],[unit_price]]</f>
        <v>16877.3</v>
      </c>
      <c r="AC1739">
        <f>WarehouseData[[#This Row],[stock_level]]*WarehouseData[[#This Row],[holding_cost_per_unit_day]]*30</f>
        <v>13259.099999999999</v>
      </c>
      <c r="AD1739" t="str">
        <f>IF(WarehouseData[[#This Row],[order_fulfillment_rate]]&gt;=0.9,"Strong",IF(WarehouseData[[#This Row],[order_fulfillment_rate]]&gt;=0.8,"Moderate","Needs Attention"))</f>
        <v>Moderate</v>
      </c>
      <c r="AE1739" t="str">
        <f>IF(WarehouseData[[#This Row],[picking_time_seconds]]&gt;120,"Slow",IF(WarehouseData[[#This Row],[picking_time_seconds]]&gt;=60,"Average","Fast"))</f>
        <v>Slow</v>
      </c>
    </row>
    <row r="1740" spans="1:31" x14ac:dyDescent="0.25">
      <c r="A1740" t="s">
        <v>1878</v>
      </c>
      <c r="B1740" t="s">
        <v>73</v>
      </c>
      <c r="C1740">
        <v>395</v>
      </c>
      <c r="D1740">
        <v>26</v>
      </c>
      <c r="E1740">
        <v>3</v>
      </c>
      <c r="F1740">
        <v>3</v>
      </c>
      <c r="G1740">
        <v>45.86</v>
      </c>
      <c r="H1740">
        <v>9.73</v>
      </c>
      <c r="I1740">
        <v>0.49</v>
      </c>
      <c r="J1740" t="s">
        <v>57</v>
      </c>
      <c r="K1740" t="s">
        <v>34</v>
      </c>
      <c r="L1740">
        <v>92</v>
      </c>
      <c r="M1740">
        <v>2.02</v>
      </c>
      <c r="N1740">
        <v>146.41999999999999</v>
      </c>
      <c r="O1740">
        <v>1.71</v>
      </c>
      <c r="P1740">
        <v>3</v>
      </c>
      <c r="Q1740">
        <v>0.84</v>
      </c>
      <c r="R1740">
        <v>536</v>
      </c>
      <c r="S1740">
        <v>14.63</v>
      </c>
      <c r="T1740">
        <v>0.22</v>
      </c>
      <c r="U1740" s="1">
        <v>45305</v>
      </c>
      <c r="V1740">
        <v>250.54</v>
      </c>
      <c r="W1740">
        <v>0.57599999999999996</v>
      </c>
      <c r="X1740" t="str">
        <f>IF(WarehouseData[[#This Row],[stock_level]]&lt;=WarehouseData[[#This Row],[reorder_point]],"Low Stock","Sufficient Stock")</f>
        <v>Sufficient Stock</v>
      </c>
      <c r="Y1740">
        <f>WarehouseData[[#This Row],[daily_demand]]*WarehouseData[[#This Row],[lead_time_days]]</f>
        <v>137.57999999999998</v>
      </c>
      <c r="Z1740" t="str">
        <f>IF(WarehouseData[[#This Row],[stock_level]]&lt;=WarehouseData[[#This Row],[Demand During Lead Time]],"At Risk","Safe")</f>
        <v>Safe</v>
      </c>
      <c r="AA1740">
        <f>WarehouseData[[#This Row],[stock_level]]/WarehouseData[[#This Row],[daily_demand]]</f>
        <v>8.6131705189707812</v>
      </c>
      <c r="AB1740">
        <f>WarehouseData[[#This Row],[stock_level]]*WarehouseData[[#This Row],[unit_price]]</f>
        <v>57835.899999999994</v>
      </c>
      <c r="AC1740">
        <f>WarehouseData[[#This Row],[stock_level]]*WarehouseData[[#This Row],[holding_cost_per_unit_day]]*30</f>
        <v>20263.499999999996</v>
      </c>
      <c r="AD1740" t="str">
        <f>IF(WarehouseData[[#This Row],[order_fulfillment_rate]]&gt;=0.9,"Strong",IF(WarehouseData[[#This Row],[order_fulfillment_rate]]&gt;=0.8,"Moderate","Needs Attention"))</f>
        <v>Moderate</v>
      </c>
      <c r="AE1740" t="str">
        <f>IF(WarehouseData[[#This Row],[picking_time_seconds]]&gt;120,"Slow",IF(WarehouseData[[#This Row],[picking_time_seconds]]&gt;=60,"Average","Fast"))</f>
        <v>Average</v>
      </c>
    </row>
    <row r="1741" spans="1:31" x14ac:dyDescent="0.25">
      <c r="A1741" t="s">
        <v>1879</v>
      </c>
      <c r="B1741" t="s">
        <v>32</v>
      </c>
      <c r="C1741">
        <v>490</v>
      </c>
      <c r="D1741">
        <v>61</v>
      </c>
      <c r="E1741">
        <v>12</v>
      </c>
      <c r="F1741">
        <v>3</v>
      </c>
      <c r="G1741">
        <v>17.12</v>
      </c>
      <c r="H1741">
        <v>4.92</v>
      </c>
      <c r="I1741">
        <v>0.18</v>
      </c>
      <c r="J1741" t="s">
        <v>126</v>
      </c>
      <c r="K1741" t="s">
        <v>46</v>
      </c>
      <c r="L1741">
        <v>26</v>
      </c>
      <c r="M1741">
        <v>2.81</v>
      </c>
      <c r="N1741">
        <v>21.79</v>
      </c>
      <c r="O1741">
        <v>0.84</v>
      </c>
      <c r="P1741">
        <v>6</v>
      </c>
      <c r="Q1741">
        <v>0.74</v>
      </c>
      <c r="R1741">
        <v>970</v>
      </c>
      <c r="S1741">
        <v>14.19</v>
      </c>
      <c r="T1741">
        <v>0.86</v>
      </c>
      <c r="U1741" s="1">
        <v>45627</v>
      </c>
      <c r="V1741">
        <v>156.16999999999999</v>
      </c>
      <c r="W1741">
        <v>0.70499999999999996</v>
      </c>
      <c r="X1741" t="str">
        <f>IF(WarehouseData[[#This Row],[stock_level]]&lt;=WarehouseData[[#This Row],[reorder_point]],"Low Stock","Sufficient Stock")</f>
        <v>Sufficient Stock</v>
      </c>
      <c r="Y1741">
        <f>WarehouseData[[#This Row],[daily_demand]]*WarehouseData[[#This Row],[lead_time_days]]</f>
        <v>51.36</v>
      </c>
      <c r="Z1741" t="str">
        <f>IF(WarehouseData[[#This Row],[stock_level]]&lt;=WarehouseData[[#This Row],[Demand During Lead Time]],"At Risk","Safe")</f>
        <v>Safe</v>
      </c>
      <c r="AA1741">
        <f>WarehouseData[[#This Row],[stock_level]]/WarehouseData[[#This Row],[daily_demand]]</f>
        <v>28.621495327102803</v>
      </c>
      <c r="AB1741">
        <f>WarehouseData[[#This Row],[stock_level]]*WarehouseData[[#This Row],[unit_price]]</f>
        <v>10677.1</v>
      </c>
      <c r="AC1741">
        <f>WarehouseData[[#This Row],[stock_level]]*WarehouseData[[#This Row],[holding_cost_per_unit_day]]*30</f>
        <v>12347.999999999998</v>
      </c>
      <c r="AD1741" t="str">
        <f>IF(WarehouseData[[#This Row],[order_fulfillment_rate]]&gt;=0.9,"Strong",IF(WarehouseData[[#This Row],[order_fulfillment_rate]]&gt;=0.8,"Moderate","Needs Attention"))</f>
        <v>Needs Attention</v>
      </c>
      <c r="AE1741" t="str">
        <f>IF(WarehouseData[[#This Row],[picking_time_seconds]]&gt;120,"Slow",IF(WarehouseData[[#This Row],[picking_time_seconds]]&gt;=60,"Average","Fast"))</f>
        <v>Fast</v>
      </c>
    </row>
    <row r="1742" spans="1:31" x14ac:dyDescent="0.25">
      <c r="A1742" t="s">
        <v>1880</v>
      </c>
      <c r="B1742" t="s">
        <v>48</v>
      </c>
      <c r="C1742">
        <v>94</v>
      </c>
      <c r="D1742">
        <v>15</v>
      </c>
      <c r="E1742">
        <v>14</v>
      </c>
      <c r="F1742">
        <v>5</v>
      </c>
      <c r="G1742">
        <v>35.57</v>
      </c>
      <c r="H1742">
        <v>9.7100000000000009</v>
      </c>
      <c r="I1742">
        <v>0.75</v>
      </c>
      <c r="J1742" t="s">
        <v>84</v>
      </c>
      <c r="K1742" t="s">
        <v>34</v>
      </c>
      <c r="L1742">
        <v>122</v>
      </c>
      <c r="M1742">
        <v>1.88</v>
      </c>
      <c r="N1742">
        <v>144.80000000000001</v>
      </c>
      <c r="O1742">
        <v>1.48</v>
      </c>
      <c r="P1742">
        <v>4</v>
      </c>
      <c r="Q1742">
        <v>0.75</v>
      </c>
      <c r="R1742">
        <v>502</v>
      </c>
      <c r="S1742">
        <v>11.5</v>
      </c>
      <c r="T1742">
        <v>0.77</v>
      </c>
      <c r="U1742" s="1">
        <v>45546</v>
      </c>
      <c r="V1742">
        <v>155.88999999999999</v>
      </c>
      <c r="W1742">
        <v>0.629</v>
      </c>
      <c r="X1742" t="str">
        <f>IF(WarehouseData[[#This Row],[stock_level]]&lt;=WarehouseData[[#This Row],[reorder_point]],"Low Stock","Sufficient Stock")</f>
        <v>Sufficient Stock</v>
      </c>
      <c r="Y1742">
        <f>WarehouseData[[#This Row],[daily_demand]]*WarehouseData[[#This Row],[lead_time_days]]</f>
        <v>177.85</v>
      </c>
      <c r="Z1742" t="str">
        <f>IF(WarehouseData[[#This Row],[stock_level]]&lt;=WarehouseData[[#This Row],[Demand During Lead Time]],"At Risk","Safe")</f>
        <v>At Risk</v>
      </c>
      <c r="AA1742">
        <f>WarehouseData[[#This Row],[stock_level]]/WarehouseData[[#This Row],[daily_demand]]</f>
        <v>2.6426764127073374</v>
      </c>
      <c r="AB1742">
        <f>WarehouseData[[#This Row],[stock_level]]*WarehouseData[[#This Row],[unit_price]]</f>
        <v>13611.2</v>
      </c>
      <c r="AC1742">
        <f>WarehouseData[[#This Row],[stock_level]]*WarehouseData[[#This Row],[holding_cost_per_unit_day]]*30</f>
        <v>4173.6000000000004</v>
      </c>
      <c r="AD1742" t="str">
        <f>IF(WarehouseData[[#This Row],[order_fulfillment_rate]]&gt;=0.9,"Strong",IF(WarehouseData[[#This Row],[order_fulfillment_rate]]&gt;=0.8,"Moderate","Needs Attention"))</f>
        <v>Needs Attention</v>
      </c>
      <c r="AE1742" t="str">
        <f>IF(WarehouseData[[#This Row],[picking_time_seconds]]&gt;120,"Slow",IF(WarehouseData[[#This Row],[picking_time_seconds]]&gt;=60,"Average","Fast"))</f>
        <v>Slow</v>
      </c>
    </row>
    <row r="1743" spans="1:31" x14ac:dyDescent="0.25">
      <c r="A1743" t="s">
        <v>1881</v>
      </c>
      <c r="B1743" t="s">
        <v>73</v>
      </c>
      <c r="C1743">
        <v>296</v>
      </c>
      <c r="D1743">
        <v>92</v>
      </c>
      <c r="E1743">
        <v>11</v>
      </c>
      <c r="F1743">
        <v>9</v>
      </c>
      <c r="G1743">
        <v>34.11</v>
      </c>
      <c r="H1743">
        <v>2.37</v>
      </c>
      <c r="I1743">
        <v>0.4</v>
      </c>
      <c r="J1743" t="s">
        <v>178</v>
      </c>
      <c r="K1743" t="s">
        <v>46</v>
      </c>
      <c r="L1743">
        <v>165</v>
      </c>
      <c r="M1743">
        <v>4.5199999999999996</v>
      </c>
      <c r="N1743">
        <v>22.98</v>
      </c>
      <c r="O1743">
        <v>1.55</v>
      </c>
      <c r="P1743">
        <v>9</v>
      </c>
      <c r="Q1743">
        <v>0.95</v>
      </c>
      <c r="R1743">
        <v>462</v>
      </c>
      <c r="S1743">
        <v>13.7</v>
      </c>
      <c r="T1743">
        <v>0.32</v>
      </c>
      <c r="U1743" s="1">
        <v>45443</v>
      </c>
      <c r="V1743">
        <v>134.13999999999999</v>
      </c>
      <c r="W1743">
        <v>0.502</v>
      </c>
      <c r="X1743" t="str">
        <f>IF(WarehouseData[[#This Row],[stock_level]]&lt;=WarehouseData[[#This Row],[reorder_point]],"Low Stock","Sufficient Stock")</f>
        <v>Sufficient Stock</v>
      </c>
      <c r="Y1743">
        <f>WarehouseData[[#This Row],[daily_demand]]*WarehouseData[[#This Row],[lead_time_days]]</f>
        <v>306.99</v>
      </c>
      <c r="Z1743" t="str">
        <f>IF(WarehouseData[[#This Row],[stock_level]]&lt;=WarehouseData[[#This Row],[Demand During Lead Time]],"At Risk","Safe")</f>
        <v>At Risk</v>
      </c>
      <c r="AA1743">
        <f>WarehouseData[[#This Row],[stock_level]]/WarehouseData[[#This Row],[daily_demand]]</f>
        <v>8.6778070946936392</v>
      </c>
      <c r="AB1743">
        <f>WarehouseData[[#This Row],[stock_level]]*WarehouseData[[#This Row],[unit_price]]</f>
        <v>6802.08</v>
      </c>
      <c r="AC1743">
        <f>WarehouseData[[#This Row],[stock_level]]*WarehouseData[[#This Row],[holding_cost_per_unit_day]]*30</f>
        <v>13764</v>
      </c>
      <c r="AD1743" t="str">
        <f>IF(WarehouseData[[#This Row],[order_fulfillment_rate]]&gt;=0.9,"Strong",IF(WarehouseData[[#This Row],[order_fulfillment_rate]]&gt;=0.8,"Moderate","Needs Attention"))</f>
        <v>Strong</v>
      </c>
      <c r="AE1743" t="str">
        <f>IF(WarehouseData[[#This Row],[picking_time_seconds]]&gt;120,"Slow",IF(WarehouseData[[#This Row],[picking_time_seconds]]&gt;=60,"Average","Fast"))</f>
        <v>Slow</v>
      </c>
    </row>
    <row r="1744" spans="1:31" x14ac:dyDescent="0.25">
      <c r="A1744" t="s">
        <v>1882</v>
      </c>
      <c r="B1744" t="s">
        <v>40</v>
      </c>
      <c r="C1744">
        <v>447</v>
      </c>
      <c r="D1744">
        <v>78</v>
      </c>
      <c r="E1744">
        <v>5</v>
      </c>
      <c r="F1744">
        <v>4</v>
      </c>
      <c r="G1744">
        <v>40.520000000000003</v>
      </c>
      <c r="H1744">
        <v>9.09</v>
      </c>
      <c r="I1744">
        <v>0.82</v>
      </c>
      <c r="J1744" t="s">
        <v>37</v>
      </c>
      <c r="K1744" t="s">
        <v>52</v>
      </c>
      <c r="L1744">
        <v>149</v>
      </c>
      <c r="M1744">
        <v>2.48</v>
      </c>
      <c r="N1744">
        <v>121.57</v>
      </c>
      <c r="O1744">
        <v>1.72</v>
      </c>
      <c r="P1744">
        <v>5</v>
      </c>
      <c r="Q1744">
        <v>0.75</v>
      </c>
      <c r="R1744">
        <v>653</v>
      </c>
      <c r="S1744">
        <v>3.96</v>
      </c>
      <c r="T1744">
        <v>0.68</v>
      </c>
      <c r="U1744" s="1">
        <v>45424</v>
      </c>
      <c r="V1744">
        <v>207.46</v>
      </c>
      <c r="W1744">
        <v>0.46700000000000003</v>
      </c>
      <c r="X1744" t="str">
        <f>IF(WarehouseData[[#This Row],[stock_level]]&lt;=WarehouseData[[#This Row],[reorder_point]],"Low Stock","Sufficient Stock")</f>
        <v>Sufficient Stock</v>
      </c>
      <c r="Y1744">
        <f>WarehouseData[[#This Row],[daily_demand]]*WarehouseData[[#This Row],[lead_time_days]]</f>
        <v>162.08000000000001</v>
      </c>
      <c r="Z1744" t="str">
        <f>IF(WarehouseData[[#This Row],[stock_level]]&lt;=WarehouseData[[#This Row],[Demand During Lead Time]],"At Risk","Safe")</f>
        <v>Safe</v>
      </c>
      <c r="AA1744">
        <f>WarehouseData[[#This Row],[stock_level]]/WarehouseData[[#This Row],[daily_demand]]</f>
        <v>11.031589338598222</v>
      </c>
      <c r="AB1744">
        <f>WarehouseData[[#This Row],[stock_level]]*WarehouseData[[#This Row],[unit_price]]</f>
        <v>54341.789999999994</v>
      </c>
      <c r="AC1744">
        <f>WarehouseData[[#This Row],[stock_level]]*WarehouseData[[#This Row],[holding_cost_per_unit_day]]*30</f>
        <v>23065.200000000001</v>
      </c>
      <c r="AD1744" t="str">
        <f>IF(WarehouseData[[#This Row],[order_fulfillment_rate]]&gt;=0.9,"Strong",IF(WarehouseData[[#This Row],[order_fulfillment_rate]]&gt;=0.8,"Moderate","Needs Attention"))</f>
        <v>Needs Attention</v>
      </c>
      <c r="AE1744" t="str">
        <f>IF(WarehouseData[[#This Row],[picking_time_seconds]]&gt;120,"Slow",IF(WarehouseData[[#This Row],[picking_time_seconds]]&gt;=60,"Average","Fast"))</f>
        <v>Slow</v>
      </c>
    </row>
    <row r="1745" spans="1:31" x14ac:dyDescent="0.25">
      <c r="A1745" t="s">
        <v>1883</v>
      </c>
      <c r="B1745" t="s">
        <v>73</v>
      </c>
      <c r="C1745">
        <v>152</v>
      </c>
      <c r="D1745">
        <v>83</v>
      </c>
      <c r="E1745">
        <v>5</v>
      </c>
      <c r="F1745">
        <v>8</v>
      </c>
      <c r="G1745">
        <v>15.53</v>
      </c>
      <c r="H1745">
        <v>0.63</v>
      </c>
      <c r="I1745">
        <v>0.25</v>
      </c>
      <c r="J1745" t="s">
        <v>104</v>
      </c>
      <c r="K1745" t="s">
        <v>52</v>
      </c>
      <c r="L1745">
        <v>79</v>
      </c>
      <c r="M1745">
        <v>1.81</v>
      </c>
      <c r="N1745">
        <v>123.54</v>
      </c>
      <c r="O1745">
        <v>0.46</v>
      </c>
      <c r="P1745">
        <v>0</v>
      </c>
      <c r="Q1745">
        <v>0.9</v>
      </c>
      <c r="R1745">
        <v>998</v>
      </c>
      <c r="S1745">
        <v>9.7100000000000009</v>
      </c>
      <c r="T1745">
        <v>0.86</v>
      </c>
      <c r="U1745" s="1">
        <v>45506</v>
      </c>
      <c r="V1745">
        <v>60.94</v>
      </c>
      <c r="W1745">
        <v>0.83499999999999996</v>
      </c>
      <c r="X1745" t="str">
        <f>IF(WarehouseData[[#This Row],[stock_level]]&lt;=WarehouseData[[#This Row],[reorder_point]],"Low Stock","Sufficient Stock")</f>
        <v>Sufficient Stock</v>
      </c>
      <c r="Y1745">
        <f>WarehouseData[[#This Row],[daily_demand]]*WarehouseData[[#This Row],[lead_time_days]]</f>
        <v>124.24</v>
      </c>
      <c r="Z1745" t="str">
        <f>IF(WarehouseData[[#This Row],[stock_level]]&lt;=WarehouseData[[#This Row],[Demand During Lead Time]],"At Risk","Safe")</f>
        <v>Safe</v>
      </c>
      <c r="AA1745">
        <f>WarehouseData[[#This Row],[stock_level]]/WarehouseData[[#This Row],[daily_demand]]</f>
        <v>9.787508048937541</v>
      </c>
      <c r="AB1745">
        <f>WarehouseData[[#This Row],[stock_level]]*WarehouseData[[#This Row],[unit_price]]</f>
        <v>18778.080000000002</v>
      </c>
      <c r="AC1745">
        <f>WarehouseData[[#This Row],[stock_level]]*WarehouseData[[#This Row],[holding_cost_per_unit_day]]*30</f>
        <v>2097.6</v>
      </c>
      <c r="AD1745" t="str">
        <f>IF(WarehouseData[[#This Row],[order_fulfillment_rate]]&gt;=0.9,"Strong",IF(WarehouseData[[#This Row],[order_fulfillment_rate]]&gt;=0.8,"Moderate","Needs Attention"))</f>
        <v>Strong</v>
      </c>
      <c r="AE1745" t="str">
        <f>IF(WarehouseData[[#This Row],[picking_time_seconds]]&gt;120,"Slow",IF(WarehouseData[[#This Row],[picking_time_seconds]]&gt;=60,"Average","Fast"))</f>
        <v>Average</v>
      </c>
    </row>
    <row r="1746" spans="1:31" x14ac:dyDescent="0.25">
      <c r="A1746" t="s">
        <v>1884</v>
      </c>
      <c r="B1746" t="s">
        <v>73</v>
      </c>
      <c r="C1746">
        <v>362</v>
      </c>
      <c r="D1746">
        <v>18</v>
      </c>
      <c r="E1746">
        <v>6</v>
      </c>
      <c r="F1746">
        <v>2</v>
      </c>
      <c r="G1746">
        <v>26</v>
      </c>
      <c r="H1746">
        <v>5.68</v>
      </c>
      <c r="I1746">
        <v>0.59</v>
      </c>
      <c r="J1746" t="s">
        <v>45</v>
      </c>
      <c r="K1746" t="s">
        <v>34</v>
      </c>
      <c r="L1746">
        <v>80</v>
      </c>
      <c r="M1746">
        <v>1.2</v>
      </c>
      <c r="N1746">
        <v>67.41</v>
      </c>
      <c r="O1746">
        <v>1.44</v>
      </c>
      <c r="P1746">
        <v>3</v>
      </c>
      <c r="Q1746">
        <v>0.83</v>
      </c>
      <c r="R1746">
        <v>235</v>
      </c>
      <c r="S1746">
        <v>8</v>
      </c>
      <c r="T1746">
        <v>0.34</v>
      </c>
      <c r="U1746" s="1">
        <v>45499</v>
      </c>
      <c r="V1746">
        <v>283.64</v>
      </c>
      <c r="W1746">
        <v>0.53700000000000003</v>
      </c>
      <c r="X1746" t="str">
        <f>IF(WarehouseData[[#This Row],[stock_level]]&lt;=WarehouseData[[#This Row],[reorder_point]],"Low Stock","Sufficient Stock")</f>
        <v>Sufficient Stock</v>
      </c>
      <c r="Y1746">
        <f>WarehouseData[[#This Row],[daily_demand]]*WarehouseData[[#This Row],[lead_time_days]]</f>
        <v>52</v>
      </c>
      <c r="Z1746" t="str">
        <f>IF(WarehouseData[[#This Row],[stock_level]]&lt;=WarehouseData[[#This Row],[Demand During Lead Time]],"At Risk","Safe")</f>
        <v>Safe</v>
      </c>
      <c r="AA1746">
        <f>WarehouseData[[#This Row],[stock_level]]/WarehouseData[[#This Row],[daily_demand]]</f>
        <v>13.923076923076923</v>
      </c>
      <c r="AB1746">
        <f>WarehouseData[[#This Row],[stock_level]]*WarehouseData[[#This Row],[unit_price]]</f>
        <v>24402.42</v>
      </c>
      <c r="AC1746">
        <f>WarehouseData[[#This Row],[stock_level]]*WarehouseData[[#This Row],[holding_cost_per_unit_day]]*30</f>
        <v>15638.4</v>
      </c>
      <c r="AD1746" t="str">
        <f>IF(WarehouseData[[#This Row],[order_fulfillment_rate]]&gt;=0.9,"Strong",IF(WarehouseData[[#This Row],[order_fulfillment_rate]]&gt;=0.8,"Moderate","Needs Attention"))</f>
        <v>Moderate</v>
      </c>
      <c r="AE1746" t="str">
        <f>IF(WarehouseData[[#This Row],[picking_time_seconds]]&gt;120,"Slow",IF(WarehouseData[[#This Row],[picking_time_seconds]]&gt;=60,"Average","Fast"))</f>
        <v>Average</v>
      </c>
    </row>
    <row r="1747" spans="1:31" x14ac:dyDescent="0.25">
      <c r="A1747" t="s">
        <v>1885</v>
      </c>
      <c r="B1747" t="s">
        <v>32</v>
      </c>
      <c r="C1747">
        <v>444</v>
      </c>
      <c r="D1747">
        <v>86</v>
      </c>
      <c r="E1747">
        <v>13</v>
      </c>
      <c r="F1747">
        <v>4</v>
      </c>
      <c r="G1747">
        <v>33.72</v>
      </c>
      <c r="H1747">
        <v>4.5199999999999996</v>
      </c>
      <c r="I1747">
        <v>0.56000000000000005</v>
      </c>
      <c r="J1747" t="s">
        <v>154</v>
      </c>
      <c r="K1747" t="s">
        <v>34</v>
      </c>
      <c r="L1747">
        <v>140</v>
      </c>
      <c r="M1747">
        <v>3.53</v>
      </c>
      <c r="N1747">
        <v>25.03</v>
      </c>
      <c r="O1747">
        <v>0.16</v>
      </c>
      <c r="P1747">
        <v>4</v>
      </c>
      <c r="Q1747">
        <v>0.99</v>
      </c>
      <c r="R1747">
        <v>602</v>
      </c>
      <c r="S1747">
        <v>6.92</v>
      </c>
      <c r="T1747">
        <v>0.38</v>
      </c>
      <c r="U1747" s="1">
        <v>45490</v>
      </c>
      <c r="V1747">
        <v>40.340000000000003</v>
      </c>
      <c r="W1747">
        <v>0.67</v>
      </c>
      <c r="X1747" t="str">
        <f>IF(WarehouseData[[#This Row],[stock_level]]&lt;=WarehouseData[[#This Row],[reorder_point]],"Low Stock","Sufficient Stock")</f>
        <v>Sufficient Stock</v>
      </c>
      <c r="Y1747">
        <f>WarehouseData[[#This Row],[daily_demand]]*WarehouseData[[#This Row],[lead_time_days]]</f>
        <v>134.88</v>
      </c>
      <c r="Z1747" t="str">
        <f>IF(WarehouseData[[#This Row],[stock_level]]&lt;=WarehouseData[[#This Row],[Demand During Lead Time]],"At Risk","Safe")</f>
        <v>Safe</v>
      </c>
      <c r="AA1747">
        <f>WarehouseData[[#This Row],[stock_level]]/WarehouseData[[#This Row],[daily_demand]]</f>
        <v>13.167259786476869</v>
      </c>
      <c r="AB1747">
        <f>WarehouseData[[#This Row],[stock_level]]*WarehouseData[[#This Row],[unit_price]]</f>
        <v>11113.32</v>
      </c>
      <c r="AC1747">
        <f>WarehouseData[[#This Row],[stock_level]]*WarehouseData[[#This Row],[holding_cost_per_unit_day]]*30</f>
        <v>2131.2000000000003</v>
      </c>
      <c r="AD1747" t="str">
        <f>IF(WarehouseData[[#This Row],[order_fulfillment_rate]]&gt;=0.9,"Strong",IF(WarehouseData[[#This Row],[order_fulfillment_rate]]&gt;=0.8,"Moderate","Needs Attention"))</f>
        <v>Strong</v>
      </c>
      <c r="AE1747" t="str">
        <f>IF(WarehouseData[[#This Row],[picking_time_seconds]]&gt;120,"Slow",IF(WarehouseData[[#This Row],[picking_time_seconds]]&gt;=60,"Average","Fast"))</f>
        <v>Slow</v>
      </c>
    </row>
    <row r="1748" spans="1:31" x14ac:dyDescent="0.25">
      <c r="A1748" t="s">
        <v>1886</v>
      </c>
      <c r="B1748" t="s">
        <v>48</v>
      </c>
      <c r="C1748">
        <v>78</v>
      </c>
      <c r="D1748">
        <v>92</v>
      </c>
      <c r="E1748">
        <v>3</v>
      </c>
      <c r="F1748">
        <v>4</v>
      </c>
      <c r="G1748">
        <v>2.29</v>
      </c>
      <c r="H1748">
        <v>5.49</v>
      </c>
      <c r="I1748">
        <v>0.19</v>
      </c>
      <c r="J1748" t="s">
        <v>51</v>
      </c>
      <c r="K1748" t="s">
        <v>38</v>
      </c>
      <c r="L1748">
        <v>58</v>
      </c>
      <c r="M1748">
        <v>0.62</v>
      </c>
      <c r="N1748">
        <v>190.37</v>
      </c>
      <c r="O1748">
        <v>0.32</v>
      </c>
      <c r="P1748">
        <v>5</v>
      </c>
      <c r="Q1748">
        <v>0.72</v>
      </c>
      <c r="R1748">
        <v>136</v>
      </c>
      <c r="S1748">
        <v>5.55</v>
      </c>
      <c r="T1748">
        <v>0.36</v>
      </c>
      <c r="U1748" s="1">
        <v>45310</v>
      </c>
      <c r="V1748">
        <v>215.99</v>
      </c>
      <c r="W1748">
        <v>0.55800000000000005</v>
      </c>
      <c r="X1748" t="str">
        <f>IF(WarehouseData[[#This Row],[stock_level]]&lt;=WarehouseData[[#This Row],[reorder_point]],"Low Stock","Sufficient Stock")</f>
        <v>Low Stock</v>
      </c>
      <c r="Y1748">
        <f>WarehouseData[[#This Row],[daily_demand]]*WarehouseData[[#This Row],[lead_time_days]]</f>
        <v>9.16</v>
      </c>
      <c r="Z1748" t="str">
        <f>IF(WarehouseData[[#This Row],[stock_level]]&lt;=WarehouseData[[#This Row],[Demand During Lead Time]],"At Risk","Safe")</f>
        <v>Safe</v>
      </c>
      <c r="AA1748">
        <f>WarehouseData[[#This Row],[stock_level]]/WarehouseData[[#This Row],[daily_demand]]</f>
        <v>34.061135371179041</v>
      </c>
      <c r="AB1748">
        <f>WarehouseData[[#This Row],[stock_level]]*WarehouseData[[#This Row],[unit_price]]</f>
        <v>14848.86</v>
      </c>
      <c r="AC1748">
        <f>WarehouseData[[#This Row],[stock_level]]*WarehouseData[[#This Row],[holding_cost_per_unit_day]]*30</f>
        <v>748.80000000000007</v>
      </c>
      <c r="AD1748" t="str">
        <f>IF(WarehouseData[[#This Row],[order_fulfillment_rate]]&gt;=0.9,"Strong",IF(WarehouseData[[#This Row],[order_fulfillment_rate]]&gt;=0.8,"Moderate","Needs Attention"))</f>
        <v>Needs Attention</v>
      </c>
      <c r="AE1748" t="str">
        <f>IF(WarehouseData[[#This Row],[picking_time_seconds]]&gt;120,"Slow",IF(WarehouseData[[#This Row],[picking_time_seconds]]&gt;=60,"Average","Fast"))</f>
        <v>Fast</v>
      </c>
    </row>
    <row r="1749" spans="1:31" x14ac:dyDescent="0.25">
      <c r="A1749" t="s">
        <v>1887</v>
      </c>
      <c r="B1749" t="s">
        <v>40</v>
      </c>
      <c r="C1749">
        <v>364</v>
      </c>
      <c r="D1749">
        <v>30</v>
      </c>
      <c r="E1749">
        <v>11</v>
      </c>
      <c r="F1749">
        <v>3</v>
      </c>
      <c r="G1749">
        <v>19.46</v>
      </c>
      <c r="H1749">
        <v>5.76</v>
      </c>
      <c r="I1749">
        <v>0.43</v>
      </c>
      <c r="J1749" t="s">
        <v>68</v>
      </c>
      <c r="K1749" t="s">
        <v>46</v>
      </c>
      <c r="L1749">
        <v>30</v>
      </c>
      <c r="M1749">
        <v>2.52</v>
      </c>
      <c r="N1749">
        <v>111.76</v>
      </c>
      <c r="O1749">
        <v>1.57</v>
      </c>
      <c r="P1749">
        <v>5</v>
      </c>
      <c r="Q1749">
        <v>0.95</v>
      </c>
      <c r="R1749">
        <v>273</v>
      </c>
      <c r="S1749">
        <v>13.13</v>
      </c>
      <c r="T1749">
        <v>1</v>
      </c>
      <c r="U1749" s="1">
        <v>45590</v>
      </c>
      <c r="V1749">
        <v>214.25</v>
      </c>
      <c r="W1749">
        <v>0.70799999999999996</v>
      </c>
      <c r="X1749" t="str">
        <f>IF(WarehouseData[[#This Row],[stock_level]]&lt;=WarehouseData[[#This Row],[reorder_point]],"Low Stock","Sufficient Stock")</f>
        <v>Sufficient Stock</v>
      </c>
      <c r="Y1749">
        <f>WarehouseData[[#This Row],[daily_demand]]*WarehouseData[[#This Row],[lead_time_days]]</f>
        <v>58.38</v>
      </c>
      <c r="Z1749" t="str">
        <f>IF(WarehouseData[[#This Row],[stock_level]]&lt;=WarehouseData[[#This Row],[Demand During Lead Time]],"At Risk","Safe")</f>
        <v>Safe</v>
      </c>
      <c r="AA1749">
        <f>WarehouseData[[#This Row],[stock_level]]/WarehouseData[[#This Row],[daily_demand]]</f>
        <v>18.705035971223023</v>
      </c>
      <c r="AB1749">
        <f>WarehouseData[[#This Row],[stock_level]]*WarehouseData[[#This Row],[unit_price]]</f>
        <v>40680.639999999999</v>
      </c>
      <c r="AC1749">
        <f>WarehouseData[[#This Row],[stock_level]]*WarehouseData[[#This Row],[holding_cost_per_unit_day]]*30</f>
        <v>17144.400000000001</v>
      </c>
      <c r="AD1749" t="str">
        <f>IF(WarehouseData[[#This Row],[order_fulfillment_rate]]&gt;=0.9,"Strong",IF(WarehouseData[[#This Row],[order_fulfillment_rate]]&gt;=0.8,"Moderate","Needs Attention"))</f>
        <v>Strong</v>
      </c>
      <c r="AE1749" t="str">
        <f>IF(WarehouseData[[#This Row],[picking_time_seconds]]&gt;120,"Slow",IF(WarehouseData[[#This Row],[picking_time_seconds]]&gt;=60,"Average","Fast"))</f>
        <v>Fast</v>
      </c>
    </row>
    <row r="1750" spans="1:31" x14ac:dyDescent="0.25">
      <c r="A1750" t="s">
        <v>1888</v>
      </c>
      <c r="B1750" t="s">
        <v>36</v>
      </c>
      <c r="C1750">
        <v>201</v>
      </c>
      <c r="D1750">
        <v>33</v>
      </c>
      <c r="E1750">
        <v>13</v>
      </c>
      <c r="F1750">
        <v>3</v>
      </c>
      <c r="G1750">
        <v>35.1</v>
      </c>
      <c r="H1750">
        <v>4.2</v>
      </c>
      <c r="I1750">
        <v>0.18</v>
      </c>
      <c r="J1750" t="s">
        <v>84</v>
      </c>
      <c r="K1750" t="s">
        <v>52</v>
      </c>
      <c r="L1750">
        <v>145</v>
      </c>
      <c r="M1750">
        <v>2.98</v>
      </c>
      <c r="N1750">
        <v>120.15</v>
      </c>
      <c r="O1750">
        <v>1.64</v>
      </c>
      <c r="P1750">
        <v>4</v>
      </c>
      <c r="Q1750">
        <v>0.85</v>
      </c>
      <c r="R1750">
        <v>100</v>
      </c>
      <c r="S1750">
        <v>7.78</v>
      </c>
      <c r="T1750">
        <v>0.38</v>
      </c>
      <c r="U1750" s="1">
        <v>45654</v>
      </c>
      <c r="V1750">
        <v>43.04</v>
      </c>
      <c r="W1750">
        <v>0.50600000000000001</v>
      </c>
      <c r="X1750" t="str">
        <f>IF(WarehouseData[[#This Row],[stock_level]]&lt;=WarehouseData[[#This Row],[reorder_point]],"Low Stock","Sufficient Stock")</f>
        <v>Sufficient Stock</v>
      </c>
      <c r="Y1750">
        <f>WarehouseData[[#This Row],[daily_demand]]*WarehouseData[[#This Row],[lead_time_days]]</f>
        <v>105.30000000000001</v>
      </c>
      <c r="Z1750" t="str">
        <f>IF(WarehouseData[[#This Row],[stock_level]]&lt;=WarehouseData[[#This Row],[Demand During Lead Time]],"At Risk","Safe")</f>
        <v>Safe</v>
      </c>
      <c r="AA1750">
        <f>WarehouseData[[#This Row],[stock_level]]/WarehouseData[[#This Row],[daily_demand]]</f>
        <v>5.7264957264957266</v>
      </c>
      <c r="AB1750">
        <f>WarehouseData[[#This Row],[stock_level]]*WarehouseData[[#This Row],[unit_price]]</f>
        <v>24150.15</v>
      </c>
      <c r="AC1750">
        <f>WarehouseData[[#This Row],[stock_level]]*WarehouseData[[#This Row],[holding_cost_per_unit_day]]*30</f>
        <v>9889.1999999999989</v>
      </c>
      <c r="AD1750" t="str">
        <f>IF(WarehouseData[[#This Row],[order_fulfillment_rate]]&gt;=0.9,"Strong",IF(WarehouseData[[#This Row],[order_fulfillment_rate]]&gt;=0.8,"Moderate","Needs Attention"))</f>
        <v>Moderate</v>
      </c>
      <c r="AE1750" t="str">
        <f>IF(WarehouseData[[#This Row],[picking_time_seconds]]&gt;120,"Slow",IF(WarehouseData[[#This Row],[picking_time_seconds]]&gt;=60,"Average","Fast"))</f>
        <v>Slow</v>
      </c>
    </row>
    <row r="1751" spans="1:31" x14ac:dyDescent="0.25">
      <c r="A1751" t="s">
        <v>1889</v>
      </c>
      <c r="B1751" t="s">
        <v>36</v>
      </c>
      <c r="C1751">
        <v>477</v>
      </c>
      <c r="D1751">
        <v>13</v>
      </c>
      <c r="E1751">
        <v>5</v>
      </c>
      <c r="F1751">
        <v>7</v>
      </c>
      <c r="G1751">
        <v>13.38</v>
      </c>
      <c r="H1751">
        <v>9.98</v>
      </c>
      <c r="I1751">
        <v>0.52</v>
      </c>
      <c r="J1751" t="s">
        <v>166</v>
      </c>
      <c r="K1751" t="s">
        <v>38</v>
      </c>
      <c r="L1751">
        <v>73</v>
      </c>
      <c r="M1751">
        <v>2.0299999999999998</v>
      </c>
      <c r="N1751">
        <v>126.85</v>
      </c>
      <c r="O1751">
        <v>1.23</v>
      </c>
      <c r="P1751">
        <v>2</v>
      </c>
      <c r="Q1751">
        <v>0.7</v>
      </c>
      <c r="R1751">
        <v>175</v>
      </c>
      <c r="S1751">
        <v>11.14</v>
      </c>
      <c r="T1751">
        <v>0.41</v>
      </c>
      <c r="U1751" s="1">
        <v>45584</v>
      </c>
      <c r="V1751">
        <v>297.98</v>
      </c>
      <c r="W1751">
        <v>0.60799999999999998</v>
      </c>
      <c r="X1751" t="str">
        <f>IF(WarehouseData[[#This Row],[stock_level]]&lt;=WarehouseData[[#This Row],[reorder_point]],"Low Stock","Sufficient Stock")</f>
        <v>Sufficient Stock</v>
      </c>
      <c r="Y1751">
        <f>WarehouseData[[#This Row],[daily_demand]]*WarehouseData[[#This Row],[lead_time_days]]</f>
        <v>93.660000000000011</v>
      </c>
      <c r="Z1751" t="str">
        <f>IF(WarehouseData[[#This Row],[stock_level]]&lt;=WarehouseData[[#This Row],[Demand During Lead Time]],"At Risk","Safe")</f>
        <v>Safe</v>
      </c>
      <c r="AA1751">
        <f>WarehouseData[[#This Row],[stock_level]]/WarehouseData[[#This Row],[daily_demand]]</f>
        <v>35.650224215246638</v>
      </c>
      <c r="AB1751">
        <f>WarehouseData[[#This Row],[stock_level]]*WarehouseData[[#This Row],[unit_price]]</f>
        <v>60507.45</v>
      </c>
      <c r="AC1751">
        <f>WarehouseData[[#This Row],[stock_level]]*WarehouseData[[#This Row],[holding_cost_per_unit_day]]*30</f>
        <v>17601.300000000003</v>
      </c>
      <c r="AD1751" t="str">
        <f>IF(WarehouseData[[#This Row],[order_fulfillment_rate]]&gt;=0.9,"Strong",IF(WarehouseData[[#This Row],[order_fulfillment_rate]]&gt;=0.8,"Moderate","Needs Attention"))</f>
        <v>Needs Attention</v>
      </c>
      <c r="AE1751" t="str">
        <f>IF(WarehouseData[[#This Row],[picking_time_seconds]]&gt;120,"Slow",IF(WarehouseData[[#This Row],[picking_time_seconds]]&gt;=60,"Average","Fast"))</f>
        <v>Average</v>
      </c>
    </row>
    <row r="1752" spans="1:31" x14ac:dyDescent="0.25">
      <c r="A1752" t="s">
        <v>1890</v>
      </c>
      <c r="B1752" t="s">
        <v>73</v>
      </c>
      <c r="C1752">
        <v>425</v>
      </c>
      <c r="D1752">
        <v>33</v>
      </c>
      <c r="E1752">
        <v>12</v>
      </c>
      <c r="F1752">
        <v>7</v>
      </c>
      <c r="G1752">
        <v>47.93</v>
      </c>
      <c r="H1752">
        <v>9.7799999999999994</v>
      </c>
      <c r="I1752">
        <v>0.86</v>
      </c>
      <c r="J1752" t="s">
        <v>150</v>
      </c>
      <c r="K1752" t="s">
        <v>46</v>
      </c>
      <c r="L1752">
        <v>167</v>
      </c>
      <c r="M1752">
        <v>3.87</v>
      </c>
      <c r="N1752">
        <v>179.3</v>
      </c>
      <c r="O1752">
        <v>1.21</v>
      </c>
      <c r="P1752">
        <v>1</v>
      </c>
      <c r="Q1752">
        <v>0.78</v>
      </c>
      <c r="R1752">
        <v>195</v>
      </c>
      <c r="S1752">
        <v>10.88</v>
      </c>
      <c r="T1752">
        <v>0.24</v>
      </c>
      <c r="U1752" s="1">
        <v>45389</v>
      </c>
      <c r="V1752">
        <v>19.95</v>
      </c>
      <c r="W1752">
        <v>0.60799999999999998</v>
      </c>
      <c r="X1752" t="str">
        <f>IF(WarehouseData[[#This Row],[stock_level]]&lt;=WarehouseData[[#This Row],[reorder_point]],"Low Stock","Sufficient Stock")</f>
        <v>Sufficient Stock</v>
      </c>
      <c r="Y1752">
        <f>WarehouseData[[#This Row],[daily_demand]]*WarehouseData[[#This Row],[lead_time_days]]</f>
        <v>335.51</v>
      </c>
      <c r="Z1752" t="str">
        <f>IF(WarehouseData[[#This Row],[stock_level]]&lt;=WarehouseData[[#This Row],[Demand During Lead Time]],"At Risk","Safe")</f>
        <v>Safe</v>
      </c>
      <c r="AA1752">
        <f>WarehouseData[[#This Row],[stock_level]]/WarehouseData[[#This Row],[daily_demand]]</f>
        <v>8.8670978510327565</v>
      </c>
      <c r="AB1752">
        <f>WarehouseData[[#This Row],[stock_level]]*WarehouseData[[#This Row],[unit_price]]</f>
        <v>76202.5</v>
      </c>
      <c r="AC1752">
        <f>WarehouseData[[#This Row],[stock_level]]*WarehouseData[[#This Row],[holding_cost_per_unit_day]]*30</f>
        <v>15427.5</v>
      </c>
      <c r="AD1752" t="str">
        <f>IF(WarehouseData[[#This Row],[order_fulfillment_rate]]&gt;=0.9,"Strong",IF(WarehouseData[[#This Row],[order_fulfillment_rate]]&gt;=0.8,"Moderate","Needs Attention"))</f>
        <v>Needs Attention</v>
      </c>
      <c r="AE1752" t="str">
        <f>IF(WarehouseData[[#This Row],[picking_time_seconds]]&gt;120,"Slow",IF(WarehouseData[[#This Row],[picking_time_seconds]]&gt;=60,"Average","Fast"))</f>
        <v>Slow</v>
      </c>
    </row>
    <row r="1753" spans="1:31" x14ac:dyDescent="0.25">
      <c r="A1753" t="s">
        <v>1891</v>
      </c>
      <c r="B1753" t="s">
        <v>32</v>
      </c>
      <c r="C1753">
        <v>358</v>
      </c>
      <c r="D1753">
        <v>68</v>
      </c>
      <c r="E1753">
        <v>6</v>
      </c>
      <c r="F1753">
        <v>3</v>
      </c>
      <c r="G1753">
        <v>2.48</v>
      </c>
      <c r="H1753">
        <v>9.64</v>
      </c>
      <c r="I1753">
        <v>0.34</v>
      </c>
      <c r="J1753" t="s">
        <v>565</v>
      </c>
      <c r="K1753" t="s">
        <v>52</v>
      </c>
      <c r="L1753">
        <v>41</v>
      </c>
      <c r="M1753">
        <v>3.54</v>
      </c>
      <c r="N1753">
        <v>21.45</v>
      </c>
      <c r="O1753">
        <v>1.52</v>
      </c>
      <c r="P1753">
        <v>6</v>
      </c>
      <c r="Q1753">
        <v>0.82</v>
      </c>
      <c r="R1753">
        <v>90</v>
      </c>
      <c r="S1753">
        <v>2.9</v>
      </c>
      <c r="T1753">
        <v>0.99</v>
      </c>
      <c r="U1753" s="1">
        <v>45467</v>
      </c>
      <c r="V1753">
        <v>115.76</v>
      </c>
      <c r="W1753">
        <v>0.52900000000000003</v>
      </c>
      <c r="X1753" t="str">
        <f>IF(WarehouseData[[#This Row],[stock_level]]&lt;=WarehouseData[[#This Row],[reorder_point]],"Low Stock","Sufficient Stock")</f>
        <v>Sufficient Stock</v>
      </c>
      <c r="Y1753">
        <f>WarehouseData[[#This Row],[daily_demand]]*WarehouseData[[#This Row],[lead_time_days]]</f>
        <v>7.4399999999999995</v>
      </c>
      <c r="Z1753" t="str">
        <f>IF(WarehouseData[[#This Row],[stock_level]]&lt;=WarehouseData[[#This Row],[Demand During Lead Time]],"At Risk","Safe")</f>
        <v>Safe</v>
      </c>
      <c r="AA1753">
        <f>WarehouseData[[#This Row],[stock_level]]/WarehouseData[[#This Row],[daily_demand]]</f>
        <v>144.35483870967741</v>
      </c>
      <c r="AB1753">
        <f>WarehouseData[[#This Row],[stock_level]]*WarehouseData[[#This Row],[unit_price]]</f>
        <v>7679.0999999999995</v>
      </c>
      <c r="AC1753">
        <f>WarehouseData[[#This Row],[stock_level]]*WarehouseData[[#This Row],[holding_cost_per_unit_day]]*30</f>
        <v>16324.8</v>
      </c>
      <c r="AD1753" t="str">
        <f>IF(WarehouseData[[#This Row],[order_fulfillment_rate]]&gt;=0.9,"Strong",IF(WarehouseData[[#This Row],[order_fulfillment_rate]]&gt;=0.8,"Moderate","Needs Attention"))</f>
        <v>Moderate</v>
      </c>
      <c r="AE1753" t="str">
        <f>IF(WarehouseData[[#This Row],[picking_time_seconds]]&gt;120,"Slow",IF(WarehouseData[[#This Row],[picking_time_seconds]]&gt;=60,"Average","Fast"))</f>
        <v>Fast</v>
      </c>
    </row>
    <row r="1754" spans="1:31" x14ac:dyDescent="0.25">
      <c r="A1754" t="s">
        <v>1892</v>
      </c>
      <c r="B1754" t="s">
        <v>32</v>
      </c>
      <c r="C1754">
        <v>340</v>
      </c>
      <c r="D1754">
        <v>12</v>
      </c>
      <c r="E1754">
        <v>3</v>
      </c>
      <c r="F1754">
        <v>6</v>
      </c>
      <c r="G1754">
        <v>47.95</v>
      </c>
      <c r="H1754">
        <v>9.8000000000000007</v>
      </c>
      <c r="I1754">
        <v>0.79</v>
      </c>
      <c r="J1754" t="s">
        <v>59</v>
      </c>
      <c r="K1754" t="s">
        <v>46</v>
      </c>
      <c r="L1754">
        <v>29</v>
      </c>
      <c r="M1754">
        <v>4.87</v>
      </c>
      <c r="N1754">
        <v>179.72</v>
      </c>
      <c r="O1754">
        <v>1.82</v>
      </c>
      <c r="P1754">
        <v>0</v>
      </c>
      <c r="Q1754">
        <v>0.79</v>
      </c>
      <c r="R1754">
        <v>404</v>
      </c>
      <c r="S1754">
        <v>1.69</v>
      </c>
      <c r="T1754">
        <v>0.4</v>
      </c>
      <c r="U1754" s="1">
        <v>45405</v>
      </c>
      <c r="V1754">
        <v>133.18</v>
      </c>
      <c r="W1754">
        <v>0.47899999999999998</v>
      </c>
      <c r="X1754" t="str">
        <f>IF(WarehouseData[[#This Row],[stock_level]]&lt;=WarehouseData[[#This Row],[reorder_point]],"Low Stock","Sufficient Stock")</f>
        <v>Sufficient Stock</v>
      </c>
      <c r="Y1754">
        <f>WarehouseData[[#This Row],[daily_demand]]*WarehouseData[[#This Row],[lead_time_days]]</f>
        <v>287.70000000000005</v>
      </c>
      <c r="Z1754" t="str">
        <f>IF(WarehouseData[[#This Row],[stock_level]]&lt;=WarehouseData[[#This Row],[Demand During Lead Time]],"At Risk","Safe")</f>
        <v>Safe</v>
      </c>
      <c r="AA1754">
        <f>WarehouseData[[#This Row],[stock_level]]/WarehouseData[[#This Row],[daily_demand]]</f>
        <v>7.0907194994786229</v>
      </c>
      <c r="AB1754">
        <f>WarehouseData[[#This Row],[stock_level]]*WarehouseData[[#This Row],[unit_price]]</f>
        <v>61104.800000000003</v>
      </c>
      <c r="AC1754">
        <f>WarehouseData[[#This Row],[stock_level]]*WarehouseData[[#This Row],[holding_cost_per_unit_day]]*30</f>
        <v>18564.000000000004</v>
      </c>
      <c r="AD1754" t="str">
        <f>IF(WarehouseData[[#This Row],[order_fulfillment_rate]]&gt;=0.9,"Strong",IF(WarehouseData[[#This Row],[order_fulfillment_rate]]&gt;=0.8,"Moderate","Needs Attention"))</f>
        <v>Needs Attention</v>
      </c>
      <c r="AE1754" t="str">
        <f>IF(WarehouseData[[#This Row],[picking_time_seconds]]&gt;120,"Slow",IF(WarehouseData[[#This Row],[picking_time_seconds]]&gt;=60,"Average","Fast"))</f>
        <v>Fast</v>
      </c>
    </row>
    <row r="1755" spans="1:31" x14ac:dyDescent="0.25">
      <c r="A1755" t="s">
        <v>1893</v>
      </c>
      <c r="B1755" t="s">
        <v>36</v>
      </c>
      <c r="C1755">
        <v>83</v>
      </c>
      <c r="D1755">
        <v>77</v>
      </c>
      <c r="E1755">
        <v>6</v>
      </c>
      <c r="F1755">
        <v>6</v>
      </c>
      <c r="G1755">
        <v>11.62</v>
      </c>
      <c r="H1755">
        <v>8.0299999999999994</v>
      </c>
      <c r="I1755">
        <v>0.27</v>
      </c>
      <c r="J1755" t="s">
        <v>190</v>
      </c>
      <c r="K1755" t="s">
        <v>34</v>
      </c>
      <c r="L1755">
        <v>25</v>
      </c>
      <c r="M1755">
        <v>2.79</v>
      </c>
      <c r="N1755">
        <v>55.54</v>
      </c>
      <c r="O1755">
        <v>0.9</v>
      </c>
      <c r="P1755">
        <v>4</v>
      </c>
      <c r="Q1755">
        <v>0.81</v>
      </c>
      <c r="R1755">
        <v>494</v>
      </c>
      <c r="S1755">
        <v>12.76</v>
      </c>
      <c r="T1755">
        <v>0.78</v>
      </c>
      <c r="U1755" s="1">
        <v>45643</v>
      </c>
      <c r="V1755">
        <v>242.81</v>
      </c>
      <c r="W1755">
        <v>0.71799999999999997</v>
      </c>
      <c r="X1755" t="str">
        <f>IF(WarehouseData[[#This Row],[stock_level]]&lt;=WarehouseData[[#This Row],[reorder_point]],"Low Stock","Sufficient Stock")</f>
        <v>Sufficient Stock</v>
      </c>
      <c r="Y1755">
        <f>WarehouseData[[#This Row],[daily_demand]]*WarehouseData[[#This Row],[lead_time_days]]</f>
        <v>69.72</v>
      </c>
      <c r="Z1755" t="str">
        <f>IF(WarehouseData[[#This Row],[stock_level]]&lt;=WarehouseData[[#This Row],[Demand During Lead Time]],"At Risk","Safe")</f>
        <v>Safe</v>
      </c>
      <c r="AA1755">
        <f>WarehouseData[[#This Row],[stock_level]]/WarehouseData[[#This Row],[daily_demand]]</f>
        <v>7.1428571428571432</v>
      </c>
      <c r="AB1755">
        <f>WarehouseData[[#This Row],[stock_level]]*WarehouseData[[#This Row],[unit_price]]</f>
        <v>4609.82</v>
      </c>
      <c r="AC1755">
        <f>WarehouseData[[#This Row],[stock_level]]*WarehouseData[[#This Row],[holding_cost_per_unit_day]]*30</f>
        <v>2241</v>
      </c>
      <c r="AD1755" t="str">
        <f>IF(WarehouseData[[#This Row],[order_fulfillment_rate]]&gt;=0.9,"Strong",IF(WarehouseData[[#This Row],[order_fulfillment_rate]]&gt;=0.8,"Moderate","Needs Attention"))</f>
        <v>Moderate</v>
      </c>
      <c r="AE1755" t="str">
        <f>IF(WarehouseData[[#This Row],[picking_time_seconds]]&gt;120,"Slow",IF(WarehouseData[[#This Row],[picking_time_seconds]]&gt;=60,"Average","Fast"))</f>
        <v>Fast</v>
      </c>
    </row>
    <row r="1756" spans="1:31" x14ac:dyDescent="0.25">
      <c r="A1756" t="s">
        <v>1894</v>
      </c>
      <c r="B1756" t="s">
        <v>40</v>
      </c>
      <c r="C1756">
        <v>346</v>
      </c>
      <c r="D1756">
        <v>49</v>
      </c>
      <c r="E1756">
        <v>3</v>
      </c>
      <c r="F1756">
        <v>2</v>
      </c>
      <c r="G1756">
        <v>3.39</v>
      </c>
      <c r="H1756">
        <v>9.89</v>
      </c>
      <c r="I1756">
        <v>0.71</v>
      </c>
      <c r="J1756" t="s">
        <v>84</v>
      </c>
      <c r="K1756" t="s">
        <v>52</v>
      </c>
      <c r="L1756">
        <v>162</v>
      </c>
      <c r="M1756">
        <v>2.92</v>
      </c>
      <c r="N1756">
        <v>24.81</v>
      </c>
      <c r="O1756">
        <v>0.32</v>
      </c>
      <c r="P1756">
        <v>3</v>
      </c>
      <c r="Q1756">
        <v>0.98</v>
      </c>
      <c r="R1756">
        <v>412</v>
      </c>
      <c r="S1756">
        <v>7.86</v>
      </c>
      <c r="T1756">
        <v>0.22</v>
      </c>
      <c r="U1756" s="1">
        <v>45565</v>
      </c>
      <c r="V1756">
        <v>18.649999999999999</v>
      </c>
      <c r="W1756">
        <v>0.65300000000000002</v>
      </c>
      <c r="X1756" t="str">
        <f>IF(WarehouseData[[#This Row],[stock_level]]&lt;=WarehouseData[[#This Row],[reorder_point]],"Low Stock","Sufficient Stock")</f>
        <v>Sufficient Stock</v>
      </c>
      <c r="Y1756">
        <f>WarehouseData[[#This Row],[daily_demand]]*WarehouseData[[#This Row],[lead_time_days]]</f>
        <v>6.78</v>
      </c>
      <c r="Z1756" t="str">
        <f>IF(WarehouseData[[#This Row],[stock_level]]&lt;=WarehouseData[[#This Row],[Demand During Lead Time]],"At Risk","Safe")</f>
        <v>Safe</v>
      </c>
      <c r="AA1756">
        <f>WarehouseData[[#This Row],[stock_level]]/WarehouseData[[#This Row],[daily_demand]]</f>
        <v>102.06489675516224</v>
      </c>
      <c r="AB1756">
        <f>WarehouseData[[#This Row],[stock_level]]*WarehouseData[[#This Row],[unit_price]]</f>
        <v>8584.26</v>
      </c>
      <c r="AC1756">
        <f>WarehouseData[[#This Row],[stock_level]]*WarehouseData[[#This Row],[holding_cost_per_unit_day]]*30</f>
        <v>3321.6</v>
      </c>
      <c r="AD1756" t="str">
        <f>IF(WarehouseData[[#This Row],[order_fulfillment_rate]]&gt;=0.9,"Strong",IF(WarehouseData[[#This Row],[order_fulfillment_rate]]&gt;=0.8,"Moderate","Needs Attention"))</f>
        <v>Strong</v>
      </c>
      <c r="AE1756" t="str">
        <f>IF(WarehouseData[[#This Row],[picking_time_seconds]]&gt;120,"Slow",IF(WarehouseData[[#This Row],[picking_time_seconds]]&gt;=60,"Average","Fast"))</f>
        <v>Slow</v>
      </c>
    </row>
    <row r="1757" spans="1:31" x14ac:dyDescent="0.25">
      <c r="A1757" t="s">
        <v>1895</v>
      </c>
      <c r="B1757" t="s">
        <v>48</v>
      </c>
      <c r="C1757">
        <v>279</v>
      </c>
      <c r="D1757">
        <v>57</v>
      </c>
      <c r="E1757">
        <v>7</v>
      </c>
      <c r="F1757">
        <v>3</v>
      </c>
      <c r="G1757">
        <v>15.33</v>
      </c>
      <c r="H1757">
        <v>8.98</v>
      </c>
      <c r="I1757">
        <v>0.92</v>
      </c>
      <c r="J1757" t="s">
        <v>41</v>
      </c>
      <c r="K1757" t="s">
        <v>52</v>
      </c>
      <c r="L1757">
        <v>69</v>
      </c>
      <c r="M1757">
        <v>1.61</v>
      </c>
      <c r="N1757">
        <v>134.88</v>
      </c>
      <c r="O1757">
        <v>1.69</v>
      </c>
      <c r="P1757">
        <v>6</v>
      </c>
      <c r="Q1757">
        <v>0.81</v>
      </c>
      <c r="R1757">
        <v>585</v>
      </c>
      <c r="S1757">
        <v>12.34</v>
      </c>
      <c r="T1757">
        <v>0.83</v>
      </c>
      <c r="U1757" s="1">
        <v>45618</v>
      </c>
      <c r="V1757">
        <v>171.54</v>
      </c>
      <c r="W1757">
        <v>0.60399999999999998</v>
      </c>
      <c r="X1757" t="str">
        <f>IF(WarehouseData[[#This Row],[stock_level]]&lt;=WarehouseData[[#This Row],[reorder_point]],"Low Stock","Sufficient Stock")</f>
        <v>Sufficient Stock</v>
      </c>
      <c r="Y1757">
        <f>WarehouseData[[#This Row],[daily_demand]]*WarehouseData[[#This Row],[lead_time_days]]</f>
        <v>45.99</v>
      </c>
      <c r="Z1757" t="str">
        <f>IF(WarehouseData[[#This Row],[stock_level]]&lt;=WarehouseData[[#This Row],[Demand During Lead Time]],"At Risk","Safe")</f>
        <v>Safe</v>
      </c>
      <c r="AA1757">
        <f>WarehouseData[[#This Row],[stock_level]]/WarehouseData[[#This Row],[daily_demand]]</f>
        <v>18.199608610567516</v>
      </c>
      <c r="AB1757">
        <f>WarehouseData[[#This Row],[stock_level]]*WarehouseData[[#This Row],[unit_price]]</f>
        <v>37631.519999999997</v>
      </c>
      <c r="AC1757">
        <f>WarehouseData[[#This Row],[stock_level]]*WarehouseData[[#This Row],[holding_cost_per_unit_day]]*30</f>
        <v>14145.3</v>
      </c>
      <c r="AD1757" t="str">
        <f>IF(WarehouseData[[#This Row],[order_fulfillment_rate]]&gt;=0.9,"Strong",IF(WarehouseData[[#This Row],[order_fulfillment_rate]]&gt;=0.8,"Moderate","Needs Attention"))</f>
        <v>Moderate</v>
      </c>
      <c r="AE1757" t="str">
        <f>IF(WarehouseData[[#This Row],[picking_time_seconds]]&gt;120,"Slow",IF(WarehouseData[[#This Row],[picking_time_seconds]]&gt;=60,"Average","Fast"))</f>
        <v>Average</v>
      </c>
    </row>
    <row r="1758" spans="1:31" x14ac:dyDescent="0.25">
      <c r="A1758" t="s">
        <v>1896</v>
      </c>
      <c r="B1758" t="s">
        <v>40</v>
      </c>
      <c r="C1758">
        <v>212</v>
      </c>
      <c r="D1758">
        <v>63</v>
      </c>
      <c r="E1758">
        <v>7</v>
      </c>
      <c r="F1758">
        <v>5</v>
      </c>
      <c r="G1758">
        <v>39.53</v>
      </c>
      <c r="H1758">
        <v>4.45</v>
      </c>
      <c r="I1758">
        <v>0.39</v>
      </c>
      <c r="J1758" t="s">
        <v>81</v>
      </c>
      <c r="K1758" t="s">
        <v>38</v>
      </c>
      <c r="L1758">
        <v>146</v>
      </c>
      <c r="M1758">
        <v>2.23</v>
      </c>
      <c r="N1758">
        <v>195.63</v>
      </c>
      <c r="O1758">
        <v>0.75</v>
      </c>
      <c r="P1758">
        <v>1</v>
      </c>
      <c r="Q1758">
        <v>0.83</v>
      </c>
      <c r="R1758">
        <v>864</v>
      </c>
      <c r="S1758">
        <v>5.16</v>
      </c>
      <c r="T1758">
        <v>0.8</v>
      </c>
      <c r="U1758" s="1">
        <v>45535</v>
      </c>
      <c r="V1758">
        <v>69.16</v>
      </c>
      <c r="W1758">
        <v>0.7</v>
      </c>
      <c r="X1758" t="str">
        <f>IF(WarehouseData[[#This Row],[stock_level]]&lt;=WarehouseData[[#This Row],[reorder_point]],"Low Stock","Sufficient Stock")</f>
        <v>Sufficient Stock</v>
      </c>
      <c r="Y1758">
        <f>WarehouseData[[#This Row],[daily_demand]]*WarehouseData[[#This Row],[lead_time_days]]</f>
        <v>197.65</v>
      </c>
      <c r="Z1758" t="str">
        <f>IF(WarehouseData[[#This Row],[stock_level]]&lt;=WarehouseData[[#This Row],[Demand During Lead Time]],"At Risk","Safe")</f>
        <v>Safe</v>
      </c>
      <c r="AA1758">
        <f>WarehouseData[[#This Row],[stock_level]]/WarehouseData[[#This Row],[daily_demand]]</f>
        <v>5.3630154313179865</v>
      </c>
      <c r="AB1758">
        <f>WarehouseData[[#This Row],[stock_level]]*WarehouseData[[#This Row],[unit_price]]</f>
        <v>41473.56</v>
      </c>
      <c r="AC1758">
        <f>WarehouseData[[#This Row],[stock_level]]*WarehouseData[[#This Row],[holding_cost_per_unit_day]]*30</f>
        <v>4770</v>
      </c>
      <c r="AD1758" t="str">
        <f>IF(WarehouseData[[#This Row],[order_fulfillment_rate]]&gt;=0.9,"Strong",IF(WarehouseData[[#This Row],[order_fulfillment_rate]]&gt;=0.8,"Moderate","Needs Attention"))</f>
        <v>Moderate</v>
      </c>
      <c r="AE1758" t="str">
        <f>IF(WarehouseData[[#This Row],[picking_time_seconds]]&gt;120,"Slow",IF(WarehouseData[[#This Row],[picking_time_seconds]]&gt;=60,"Average","Fast"))</f>
        <v>Slow</v>
      </c>
    </row>
    <row r="1759" spans="1:31" x14ac:dyDescent="0.25">
      <c r="A1759" t="s">
        <v>1897</v>
      </c>
      <c r="B1759" t="s">
        <v>48</v>
      </c>
      <c r="C1759">
        <v>162</v>
      </c>
      <c r="D1759">
        <v>44</v>
      </c>
      <c r="E1759">
        <v>13</v>
      </c>
      <c r="F1759">
        <v>7</v>
      </c>
      <c r="G1759">
        <v>37.869999999999997</v>
      </c>
      <c r="H1759">
        <v>7.96</v>
      </c>
      <c r="I1759">
        <v>0.91</v>
      </c>
      <c r="J1759" t="s">
        <v>163</v>
      </c>
      <c r="K1759" t="s">
        <v>46</v>
      </c>
      <c r="L1759">
        <v>112</v>
      </c>
      <c r="M1759">
        <v>0.62</v>
      </c>
      <c r="N1759">
        <v>20.88</v>
      </c>
      <c r="O1759">
        <v>0.35</v>
      </c>
      <c r="P1759">
        <v>7</v>
      </c>
      <c r="Q1759">
        <v>0.93</v>
      </c>
      <c r="R1759">
        <v>333</v>
      </c>
      <c r="S1759">
        <v>13.07</v>
      </c>
      <c r="T1759">
        <v>0.27</v>
      </c>
      <c r="U1759" s="1">
        <v>45635</v>
      </c>
      <c r="V1759">
        <v>176.05</v>
      </c>
      <c r="W1759">
        <v>0.63900000000000001</v>
      </c>
      <c r="X1759" t="str">
        <f>IF(WarehouseData[[#This Row],[stock_level]]&lt;=WarehouseData[[#This Row],[reorder_point]],"Low Stock","Sufficient Stock")</f>
        <v>Sufficient Stock</v>
      </c>
      <c r="Y1759">
        <f>WarehouseData[[#This Row],[daily_demand]]*WarehouseData[[#This Row],[lead_time_days]]</f>
        <v>265.08999999999997</v>
      </c>
      <c r="Z1759" t="str">
        <f>IF(WarehouseData[[#This Row],[stock_level]]&lt;=WarehouseData[[#This Row],[Demand During Lead Time]],"At Risk","Safe")</f>
        <v>At Risk</v>
      </c>
      <c r="AA1759">
        <f>WarehouseData[[#This Row],[stock_level]]/WarehouseData[[#This Row],[daily_demand]]</f>
        <v>4.2777924478479008</v>
      </c>
      <c r="AB1759">
        <f>WarehouseData[[#This Row],[stock_level]]*WarehouseData[[#This Row],[unit_price]]</f>
        <v>3382.56</v>
      </c>
      <c r="AC1759">
        <f>WarehouseData[[#This Row],[stock_level]]*WarehouseData[[#This Row],[holding_cost_per_unit_day]]*30</f>
        <v>1700.9999999999998</v>
      </c>
      <c r="AD1759" t="str">
        <f>IF(WarehouseData[[#This Row],[order_fulfillment_rate]]&gt;=0.9,"Strong",IF(WarehouseData[[#This Row],[order_fulfillment_rate]]&gt;=0.8,"Moderate","Needs Attention"))</f>
        <v>Strong</v>
      </c>
      <c r="AE1759" t="str">
        <f>IF(WarehouseData[[#This Row],[picking_time_seconds]]&gt;120,"Slow",IF(WarehouseData[[#This Row],[picking_time_seconds]]&gt;=60,"Average","Fast"))</f>
        <v>Average</v>
      </c>
    </row>
    <row r="1760" spans="1:31" x14ac:dyDescent="0.25">
      <c r="A1760" t="s">
        <v>1898</v>
      </c>
      <c r="B1760" t="s">
        <v>36</v>
      </c>
      <c r="C1760">
        <v>123</v>
      </c>
      <c r="D1760">
        <v>65</v>
      </c>
      <c r="E1760">
        <v>9</v>
      </c>
      <c r="F1760">
        <v>3</v>
      </c>
      <c r="G1760">
        <v>11.23</v>
      </c>
      <c r="H1760">
        <v>9.16</v>
      </c>
      <c r="I1760">
        <v>0.55000000000000004</v>
      </c>
      <c r="J1760" t="s">
        <v>207</v>
      </c>
      <c r="K1760" t="s">
        <v>34</v>
      </c>
      <c r="L1760">
        <v>70</v>
      </c>
      <c r="M1760">
        <v>3.6</v>
      </c>
      <c r="N1760">
        <v>90.96</v>
      </c>
      <c r="O1760">
        <v>1.27</v>
      </c>
      <c r="P1760">
        <v>8</v>
      </c>
      <c r="Q1760">
        <v>0.94</v>
      </c>
      <c r="R1760">
        <v>85</v>
      </c>
      <c r="S1760">
        <v>12.63</v>
      </c>
      <c r="T1760">
        <v>0.3</v>
      </c>
      <c r="U1760" s="1">
        <v>45475</v>
      </c>
      <c r="V1760">
        <v>197.44</v>
      </c>
      <c r="W1760">
        <v>0.52900000000000003</v>
      </c>
      <c r="X1760" t="str">
        <f>IF(WarehouseData[[#This Row],[stock_level]]&lt;=WarehouseData[[#This Row],[reorder_point]],"Low Stock","Sufficient Stock")</f>
        <v>Sufficient Stock</v>
      </c>
      <c r="Y1760">
        <f>WarehouseData[[#This Row],[daily_demand]]*WarehouseData[[#This Row],[lead_time_days]]</f>
        <v>33.69</v>
      </c>
      <c r="Z1760" t="str">
        <f>IF(WarehouseData[[#This Row],[stock_level]]&lt;=WarehouseData[[#This Row],[Demand During Lead Time]],"At Risk","Safe")</f>
        <v>Safe</v>
      </c>
      <c r="AA1760">
        <f>WarehouseData[[#This Row],[stock_level]]/WarehouseData[[#This Row],[daily_demand]]</f>
        <v>10.952804986642921</v>
      </c>
      <c r="AB1760">
        <f>WarehouseData[[#This Row],[stock_level]]*WarehouseData[[#This Row],[unit_price]]</f>
        <v>11188.08</v>
      </c>
      <c r="AC1760">
        <f>WarehouseData[[#This Row],[stock_level]]*WarehouseData[[#This Row],[holding_cost_per_unit_day]]*30</f>
        <v>4686.3</v>
      </c>
      <c r="AD1760" t="str">
        <f>IF(WarehouseData[[#This Row],[order_fulfillment_rate]]&gt;=0.9,"Strong",IF(WarehouseData[[#This Row],[order_fulfillment_rate]]&gt;=0.8,"Moderate","Needs Attention"))</f>
        <v>Strong</v>
      </c>
      <c r="AE1760" t="str">
        <f>IF(WarehouseData[[#This Row],[picking_time_seconds]]&gt;120,"Slow",IF(WarehouseData[[#This Row],[picking_time_seconds]]&gt;=60,"Average","Fast"))</f>
        <v>Average</v>
      </c>
    </row>
    <row r="1761" spans="1:31" x14ac:dyDescent="0.25">
      <c r="A1761" t="s">
        <v>1899</v>
      </c>
      <c r="B1761" t="s">
        <v>48</v>
      </c>
      <c r="C1761">
        <v>479</v>
      </c>
      <c r="D1761">
        <v>98</v>
      </c>
      <c r="E1761">
        <v>10</v>
      </c>
      <c r="F1761">
        <v>6</v>
      </c>
      <c r="G1761">
        <v>10.64</v>
      </c>
      <c r="H1761">
        <v>7.27</v>
      </c>
      <c r="I1761">
        <v>0.39</v>
      </c>
      <c r="J1761" t="s">
        <v>185</v>
      </c>
      <c r="K1761" t="s">
        <v>34</v>
      </c>
      <c r="L1761">
        <v>177</v>
      </c>
      <c r="M1761">
        <v>1.9</v>
      </c>
      <c r="N1761">
        <v>110.66</v>
      </c>
      <c r="O1761">
        <v>1.2</v>
      </c>
      <c r="P1761">
        <v>9</v>
      </c>
      <c r="Q1761">
        <v>0.73</v>
      </c>
      <c r="R1761">
        <v>326</v>
      </c>
      <c r="S1761">
        <v>6.34</v>
      </c>
      <c r="T1761">
        <v>0.44</v>
      </c>
      <c r="U1761" s="1">
        <v>45551</v>
      </c>
      <c r="V1761">
        <v>19.899999999999999</v>
      </c>
      <c r="W1761">
        <v>0.41899999999999998</v>
      </c>
      <c r="X1761" t="str">
        <f>IF(WarehouseData[[#This Row],[stock_level]]&lt;=WarehouseData[[#This Row],[reorder_point]],"Low Stock","Sufficient Stock")</f>
        <v>Sufficient Stock</v>
      </c>
      <c r="Y1761">
        <f>WarehouseData[[#This Row],[daily_demand]]*WarehouseData[[#This Row],[lead_time_days]]</f>
        <v>63.84</v>
      </c>
      <c r="Z1761" t="str">
        <f>IF(WarehouseData[[#This Row],[stock_level]]&lt;=WarehouseData[[#This Row],[Demand During Lead Time]],"At Risk","Safe")</f>
        <v>Safe</v>
      </c>
      <c r="AA1761">
        <f>WarehouseData[[#This Row],[stock_level]]/WarehouseData[[#This Row],[daily_demand]]</f>
        <v>45.018796992481199</v>
      </c>
      <c r="AB1761">
        <f>WarehouseData[[#This Row],[stock_level]]*WarehouseData[[#This Row],[unit_price]]</f>
        <v>53006.14</v>
      </c>
      <c r="AC1761">
        <f>WarehouseData[[#This Row],[stock_level]]*WarehouseData[[#This Row],[holding_cost_per_unit_day]]*30</f>
        <v>17244</v>
      </c>
      <c r="AD1761" t="str">
        <f>IF(WarehouseData[[#This Row],[order_fulfillment_rate]]&gt;=0.9,"Strong",IF(WarehouseData[[#This Row],[order_fulfillment_rate]]&gt;=0.8,"Moderate","Needs Attention"))</f>
        <v>Needs Attention</v>
      </c>
      <c r="AE1761" t="str">
        <f>IF(WarehouseData[[#This Row],[picking_time_seconds]]&gt;120,"Slow",IF(WarehouseData[[#This Row],[picking_time_seconds]]&gt;=60,"Average","Fast"))</f>
        <v>Slow</v>
      </c>
    </row>
    <row r="1762" spans="1:31" x14ac:dyDescent="0.25">
      <c r="A1762" t="s">
        <v>1900</v>
      </c>
      <c r="B1762" t="s">
        <v>32</v>
      </c>
      <c r="C1762">
        <v>425</v>
      </c>
      <c r="D1762">
        <v>49</v>
      </c>
      <c r="E1762">
        <v>6</v>
      </c>
      <c r="F1762">
        <v>3</v>
      </c>
      <c r="G1762">
        <v>32.49</v>
      </c>
      <c r="H1762">
        <v>4.5199999999999996</v>
      </c>
      <c r="I1762">
        <v>0.91</v>
      </c>
      <c r="J1762" t="s">
        <v>41</v>
      </c>
      <c r="K1762" t="s">
        <v>46</v>
      </c>
      <c r="L1762">
        <v>113</v>
      </c>
      <c r="M1762">
        <v>2.93</v>
      </c>
      <c r="N1762">
        <v>57.9</v>
      </c>
      <c r="O1762">
        <v>1</v>
      </c>
      <c r="P1762">
        <v>0</v>
      </c>
      <c r="Q1762">
        <v>0.91</v>
      </c>
      <c r="R1762">
        <v>745</v>
      </c>
      <c r="S1762">
        <v>6.76</v>
      </c>
      <c r="T1762">
        <v>0.48</v>
      </c>
      <c r="U1762" s="1">
        <v>45445</v>
      </c>
      <c r="V1762">
        <v>29.56</v>
      </c>
      <c r="W1762">
        <v>0.66800000000000004</v>
      </c>
      <c r="X1762" t="str">
        <f>IF(WarehouseData[[#This Row],[stock_level]]&lt;=WarehouseData[[#This Row],[reorder_point]],"Low Stock","Sufficient Stock")</f>
        <v>Sufficient Stock</v>
      </c>
      <c r="Y1762">
        <f>WarehouseData[[#This Row],[daily_demand]]*WarehouseData[[#This Row],[lead_time_days]]</f>
        <v>97.47</v>
      </c>
      <c r="Z1762" t="str">
        <f>IF(WarehouseData[[#This Row],[stock_level]]&lt;=WarehouseData[[#This Row],[Demand During Lead Time]],"At Risk","Safe")</f>
        <v>Safe</v>
      </c>
      <c r="AA1762">
        <f>WarehouseData[[#This Row],[stock_level]]/WarehouseData[[#This Row],[daily_demand]]</f>
        <v>13.080947983995074</v>
      </c>
      <c r="AB1762">
        <f>WarehouseData[[#This Row],[stock_level]]*WarehouseData[[#This Row],[unit_price]]</f>
        <v>24607.5</v>
      </c>
      <c r="AC1762">
        <f>WarehouseData[[#This Row],[stock_level]]*WarehouseData[[#This Row],[holding_cost_per_unit_day]]*30</f>
        <v>12750</v>
      </c>
      <c r="AD1762" t="str">
        <f>IF(WarehouseData[[#This Row],[order_fulfillment_rate]]&gt;=0.9,"Strong",IF(WarehouseData[[#This Row],[order_fulfillment_rate]]&gt;=0.8,"Moderate","Needs Attention"))</f>
        <v>Strong</v>
      </c>
      <c r="AE1762" t="str">
        <f>IF(WarehouseData[[#This Row],[picking_time_seconds]]&gt;120,"Slow",IF(WarehouseData[[#This Row],[picking_time_seconds]]&gt;=60,"Average","Fast"))</f>
        <v>Average</v>
      </c>
    </row>
    <row r="1763" spans="1:31" x14ac:dyDescent="0.25">
      <c r="A1763" t="s">
        <v>1901</v>
      </c>
      <c r="B1763" t="s">
        <v>73</v>
      </c>
      <c r="C1763">
        <v>233</v>
      </c>
      <c r="D1763">
        <v>86</v>
      </c>
      <c r="E1763">
        <v>9</v>
      </c>
      <c r="F1763">
        <v>6</v>
      </c>
      <c r="G1763">
        <v>23.45</v>
      </c>
      <c r="H1763">
        <v>1.1299999999999999</v>
      </c>
      <c r="I1763">
        <v>0.13</v>
      </c>
      <c r="J1763" t="s">
        <v>447</v>
      </c>
      <c r="K1763" t="s">
        <v>46</v>
      </c>
      <c r="L1763">
        <v>70</v>
      </c>
      <c r="M1763">
        <v>1.65</v>
      </c>
      <c r="N1763">
        <v>196.75</v>
      </c>
      <c r="O1763">
        <v>1.73</v>
      </c>
      <c r="P1763">
        <v>4</v>
      </c>
      <c r="Q1763">
        <v>0.84</v>
      </c>
      <c r="R1763">
        <v>374</v>
      </c>
      <c r="S1763">
        <v>5.91</v>
      </c>
      <c r="T1763">
        <v>0.83</v>
      </c>
      <c r="U1763" s="1">
        <v>45379</v>
      </c>
      <c r="V1763">
        <v>34.72</v>
      </c>
      <c r="W1763">
        <v>0.56000000000000005</v>
      </c>
      <c r="X1763" t="str">
        <f>IF(WarehouseData[[#This Row],[stock_level]]&lt;=WarehouseData[[#This Row],[reorder_point]],"Low Stock","Sufficient Stock")</f>
        <v>Sufficient Stock</v>
      </c>
      <c r="Y1763">
        <f>WarehouseData[[#This Row],[daily_demand]]*WarehouseData[[#This Row],[lead_time_days]]</f>
        <v>140.69999999999999</v>
      </c>
      <c r="Z1763" t="str">
        <f>IF(WarehouseData[[#This Row],[stock_level]]&lt;=WarehouseData[[#This Row],[Demand During Lead Time]],"At Risk","Safe")</f>
        <v>Safe</v>
      </c>
      <c r="AA1763">
        <f>WarehouseData[[#This Row],[stock_level]]/WarehouseData[[#This Row],[daily_demand]]</f>
        <v>9.9360341151385931</v>
      </c>
      <c r="AB1763">
        <f>WarehouseData[[#This Row],[stock_level]]*WarehouseData[[#This Row],[unit_price]]</f>
        <v>45842.75</v>
      </c>
      <c r="AC1763">
        <f>WarehouseData[[#This Row],[stock_level]]*WarehouseData[[#This Row],[holding_cost_per_unit_day]]*30</f>
        <v>12092.699999999999</v>
      </c>
      <c r="AD1763" t="str">
        <f>IF(WarehouseData[[#This Row],[order_fulfillment_rate]]&gt;=0.9,"Strong",IF(WarehouseData[[#This Row],[order_fulfillment_rate]]&gt;=0.8,"Moderate","Needs Attention"))</f>
        <v>Moderate</v>
      </c>
      <c r="AE1763" t="str">
        <f>IF(WarehouseData[[#This Row],[picking_time_seconds]]&gt;120,"Slow",IF(WarehouseData[[#This Row],[picking_time_seconds]]&gt;=60,"Average","Fast"))</f>
        <v>Average</v>
      </c>
    </row>
    <row r="1764" spans="1:31" x14ac:dyDescent="0.25">
      <c r="A1764" t="s">
        <v>1902</v>
      </c>
      <c r="B1764" t="s">
        <v>73</v>
      </c>
      <c r="C1764">
        <v>261</v>
      </c>
      <c r="D1764">
        <v>77</v>
      </c>
      <c r="E1764">
        <v>6</v>
      </c>
      <c r="F1764">
        <v>3</v>
      </c>
      <c r="G1764">
        <v>39.82</v>
      </c>
      <c r="H1764">
        <v>8.19</v>
      </c>
      <c r="I1764">
        <v>0.13</v>
      </c>
      <c r="J1764" t="s">
        <v>185</v>
      </c>
      <c r="K1764" t="s">
        <v>34</v>
      </c>
      <c r="L1764">
        <v>85</v>
      </c>
      <c r="M1764">
        <v>3.29</v>
      </c>
      <c r="N1764">
        <v>131.78</v>
      </c>
      <c r="O1764">
        <v>0.62</v>
      </c>
      <c r="P1764">
        <v>3</v>
      </c>
      <c r="Q1764">
        <v>0.74</v>
      </c>
      <c r="R1764">
        <v>715</v>
      </c>
      <c r="S1764">
        <v>1.49</v>
      </c>
      <c r="T1764">
        <v>0.25</v>
      </c>
      <c r="U1764" s="1">
        <v>45628</v>
      </c>
      <c r="V1764">
        <v>257.16000000000003</v>
      </c>
      <c r="W1764">
        <v>0.496</v>
      </c>
      <c r="X1764" t="str">
        <f>IF(WarehouseData[[#This Row],[stock_level]]&lt;=WarehouseData[[#This Row],[reorder_point]],"Low Stock","Sufficient Stock")</f>
        <v>Sufficient Stock</v>
      </c>
      <c r="Y1764">
        <f>WarehouseData[[#This Row],[daily_demand]]*WarehouseData[[#This Row],[lead_time_days]]</f>
        <v>119.46000000000001</v>
      </c>
      <c r="Z1764" t="str">
        <f>IF(WarehouseData[[#This Row],[stock_level]]&lt;=WarehouseData[[#This Row],[Demand During Lead Time]],"At Risk","Safe")</f>
        <v>Safe</v>
      </c>
      <c r="AA1764">
        <f>WarehouseData[[#This Row],[stock_level]]/WarehouseData[[#This Row],[daily_demand]]</f>
        <v>6.5544952285283777</v>
      </c>
      <c r="AB1764">
        <f>WarehouseData[[#This Row],[stock_level]]*WarehouseData[[#This Row],[unit_price]]</f>
        <v>34394.58</v>
      </c>
      <c r="AC1764">
        <f>WarehouseData[[#This Row],[stock_level]]*WarehouseData[[#This Row],[holding_cost_per_unit_day]]*30</f>
        <v>4854.5999999999995</v>
      </c>
      <c r="AD1764" t="str">
        <f>IF(WarehouseData[[#This Row],[order_fulfillment_rate]]&gt;=0.9,"Strong",IF(WarehouseData[[#This Row],[order_fulfillment_rate]]&gt;=0.8,"Moderate","Needs Attention"))</f>
        <v>Needs Attention</v>
      </c>
      <c r="AE1764" t="str">
        <f>IF(WarehouseData[[#This Row],[picking_time_seconds]]&gt;120,"Slow",IF(WarehouseData[[#This Row],[picking_time_seconds]]&gt;=60,"Average","Fast"))</f>
        <v>Average</v>
      </c>
    </row>
    <row r="1765" spans="1:31" x14ac:dyDescent="0.25">
      <c r="A1765" t="s">
        <v>1903</v>
      </c>
      <c r="B1765" t="s">
        <v>36</v>
      </c>
      <c r="C1765">
        <v>450</v>
      </c>
      <c r="D1765">
        <v>55</v>
      </c>
      <c r="E1765">
        <v>5</v>
      </c>
      <c r="F1765">
        <v>8</v>
      </c>
      <c r="G1765">
        <v>2.1800000000000002</v>
      </c>
      <c r="H1765">
        <v>9.5500000000000007</v>
      </c>
      <c r="I1765">
        <v>0.64</v>
      </c>
      <c r="J1765" t="s">
        <v>92</v>
      </c>
      <c r="K1765" t="s">
        <v>46</v>
      </c>
      <c r="L1765">
        <v>24</v>
      </c>
      <c r="M1765">
        <v>2.5099999999999998</v>
      </c>
      <c r="N1765">
        <v>170.43</v>
      </c>
      <c r="O1765">
        <v>0.13</v>
      </c>
      <c r="P1765">
        <v>4</v>
      </c>
      <c r="Q1765">
        <v>0.78</v>
      </c>
      <c r="R1765">
        <v>231</v>
      </c>
      <c r="S1765">
        <v>10.63</v>
      </c>
      <c r="T1765">
        <v>0.72</v>
      </c>
      <c r="U1765" s="1">
        <v>45577</v>
      </c>
      <c r="V1765">
        <v>278.73</v>
      </c>
      <c r="W1765">
        <v>0.749</v>
      </c>
      <c r="X1765" t="str">
        <f>IF(WarehouseData[[#This Row],[stock_level]]&lt;=WarehouseData[[#This Row],[reorder_point]],"Low Stock","Sufficient Stock")</f>
        <v>Sufficient Stock</v>
      </c>
      <c r="Y1765">
        <f>WarehouseData[[#This Row],[daily_demand]]*WarehouseData[[#This Row],[lead_time_days]]</f>
        <v>17.440000000000001</v>
      </c>
      <c r="Z1765" t="str">
        <f>IF(WarehouseData[[#This Row],[stock_level]]&lt;=WarehouseData[[#This Row],[Demand During Lead Time]],"At Risk","Safe")</f>
        <v>Safe</v>
      </c>
      <c r="AA1765">
        <f>WarehouseData[[#This Row],[stock_level]]/WarehouseData[[#This Row],[daily_demand]]</f>
        <v>206.42201834862385</v>
      </c>
      <c r="AB1765">
        <f>WarehouseData[[#This Row],[stock_level]]*WarehouseData[[#This Row],[unit_price]]</f>
        <v>76693.5</v>
      </c>
      <c r="AC1765">
        <f>WarehouseData[[#This Row],[stock_level]]*WarehouseData[[#This Row],[holding_cost_per_unit_day]]*30</f>
        <v>1755</v>
      </c>
      <c r="AD1765" t="str">
        <f>IF(WarehouseData[[#This Row],[order_fulfillment_rate]]&gt;=0.9,"Strong",IF(WarehouseData[[#This Row],[order_fulfillment_rate]]&gt;=0.8,"Moderate","Needs Attention"))</f>
        <v>Needs Attention</v>
      </c>
      <c r="AE1765" t="str">
        <f>IF(WarehouseData[[#This Row],[picking_time_seconds]]&gt;120,"Slow",IF(WarehouseData[[#This Row],[picking_time_seconds]]&gt;=60,"Average","Fast"))</f>
        <v>Fast</v>
      </c>
    </row>
    <row r="1766" spans="1:31" x14ac:dyDescent="0.25">
      <c r="A1766" t="s">
        <v>1904</v>
      </c>
      <c r="B1766" t="s">
        <v>32</v>
      </c>
      <c r="C1766">
        <v>228</v>
      </c>
      <c r="D1766">
        <v>87</v>
      </c>
      <c r="E1766">
        <v>8</v>
      </c>
      <c r="F1766">
        <v>5</v>
      </c>
      <c r="G1766">
        <v>30.91</v>
      </c>
      <c r="H1766">
        <v>3.94</v>
      </c>
      <c r="I1766">
        <v>0.82</v>
      </c>
      <c r="J1766" t="s">
        <v>104</v>
      </c>
      <c r="K1766" t="s">
        <v>38</v>
      </c>
      <c r="L1766">
        <v>141</v>
      </c>
      <c r="M1766">
        <v>2.67</v>
      </c>
      <c r="N1766">
        <v>89</v>
      </c>
      <c r="O1766">
        <v>0.71</v>
      </c>
      <c r="P1766">
        <v>8</v>
      </c>
      <c r="Q1766">
        <v>0.71</v>
      </c>
      <c r="R1766">
        <v>520</v>
      </c>
      <c r="S1766">
        <v>4.82</v>
      </c>
      <c r="T1766">
        <v>0.38</v>
      </c>
      <c r="U1766" s="1">
        <v>45384</v>
      </c>
      <c r="V1766">
        <v>136.94</v>
      </c>
      <c r="W1766">
        <v>0.45100000000000001</v>
      </c>
      <c r="X1766" t="str">
        <f>IF(WarehouseData[[#This Row],[stock_level]]&lt;=WarehouseData[[#This Row],[reorder_point]],"Low Stock","Sufficient Stock")</f>
        <v>Sufficient Stock</v>
      </c>
      <c r="Y1766">
        <f>WarehouseData[[#This Row],[daily_demand]]*WarehouseData[[#This Row],[lead_time_days]]</f>
        <v>154.55000000000001</v>
      </c>
      <c r="Z1766" t="str">
        <f>IF(WarehouseData[[#This Row],[stock_level]]&lt;=WarehouseData[[#This Row],[Demand During Lead Time]],"At Risk","Safe")</f>
        <v>Safe</v>
      </c>
      <c r="AA1766">
        <f>WarehouseData[[#This Row],[stock_level]]/WarehouseData[[#This Row],[daily_demand]]</f>
        <v>7.3762536395988354</v>
      </c>
      <c r="AB1766">
        <f>WarehouseData[[#This Row],[stock_level]]*WarehouseData[[#This Row],[unit_price]]</f>
        <v>20292</v>
      </c>
      <c r="AC1766">
        <f>WarehouseData[[#This Row],[stock_level]]*WarehouseData[[#This Row],[holding_cost_per_unit_day]]*30</f>
        <v>4856.3999999999996</v>
      </c>
      <c r="AD1766" t="str">
        <f>IF(WarehouseData[[#This Row],[order_fulfillment_rate]]&gt;=0.9,"Strong",IF(WarehouseData[[#This Row],[order_fulfillment_rate]]&gt;=0.8,"Moderate","Needs Attention"))</f>
        <v>Needs Attention</v>
      </c>
      <c r="AE1766" t="str">
        <f>IF(WarehouseData[[#This Row],[picking_time_seconds]]&gt;120,"Slow",IF(WarehouseData[[#This Row],[picking_time_seconds]]&gt;=60,"Average","Fast"))</f>
        <v>Slow</v>
      </c>
    </row>
    <row r="1767" spans="1:31" x14ac:dyDescent="0.25">
      <c r="A1767" t="s">
        <v>1905</v>
      </c>
      <c r="B1767" t="s">
        <v>40</v>
      </c>
      <c r="C1767">
        <v>112</v>
      </c>
      <c r="D1767">
        <v>22</v>
      </c>
      <c r="E1767">
        <v>6</v>
      </c>
      <c r="F1767">
        <v>9</v>
      </c>
      <c r="G1767">
        <v>36.799999999999997</v>
      </c>
      <c r="H1767">
        <v>1.94</v>
      </c>
      <c r="I1767">
        <v>0.78</v>
      </c>
      <c r="J1767" t="s">
        <v>338</v>
      </c>
      <c r="K1767" t="s">
        <v>46</v>
      </c>
      <c r="L1767">
        <v>160</v>
      </c>
      <c r="M1767">
        <v>4.74</v>
      </c>
      <c r="N1767">
        <v>77.25</v>
      </c>
      <c r="O1767">
        <v>0.12</v>
      </c>
      <c r="P1767">
        <v>2</v>
      </c>
      <c r="Q1767">
        <v>0.81</v>
      </c>
      <c r="R1767">
        <v>861</v>
      </c>
      <c r="S1767">
        <v>13.38</v>
      </c>
      <c r="T1767">
        <v>0.51</v>
      </c>
      <c r="U1767" s="1">
        <v>45442</v>
      </c>
      <c r="V1767">
        <v>263.69</v>
      </c>
      <c r="W1767">
        <v>0.79</v>
      </c>
      <c r="X1767" t="str">
        <f>IF(WarehouseData[[#This Row],[stock_level]]&lt;=WarehouseData[[#This Row],[reorder_point]],"Low Stock","Sufficient Stock")</f>
        <v>Sufficient Stock</v>
      </c>
      <c r="Y1767">
        <f>WarehouseData[[#This Row],[daily_demand]]*WarehouseData[[#This Row],[lead_time_days]]</f>
        <v>331.2</v>
      </c>
      <c r="Z1767" t="str">
        <f>IF(WarehouseData[[#This Row],[stock_level]]&lt;=WarehouseData[[#This Row],[Demand During Lead Time]],"At Risk","Safe")</f>
        <v>At Risk</v>
      </c>
      <c r="AA1767">
        <f>WarehouseData[[#This Row],[stock_level]]/WarehouseData[[#This Row],[daily_demand]]</f>
        <v>3.0434782608695654</v>
      </c>
      <c r="AB1767">
        <f>WarehouseData[[#This Row],[stock_level]]*WarehouseData[[#This Row],[unit_price]]</f>
        <v>8652</v>
      </c>
      <c r="AC1767">
        <f>WarehouseData[[#This Row],[stock_level]]*WarehouseData[[#This Row],[holding_cost_per_unit_day]]*30</f>
        <v>403.2</v>
      </c>
      <c r="AD1767" t="str">
        <f>IF(WarehouseData[[#This Row],[order_fulfillment_rate]]&gt;=0.9,"Strong",IF(WarehouseData[[#This Row],[order_fulfillment_rate]]&gt;=0.8,"Moderate","Needs Attention"))</f>
        <v>Moderate</v>
      </c>
      <c r="AE1767" t="str">
        <f>IF(WarehouseData[[#This Row],[picking_time_seconds]]&gt;120,"Slow",IF(WarehouseData[[#This Row],[picking_time_seconds]]&gt;=60,"Average","Fast"))</f>
        <v>Slow</v>
      </c>
    </row>
    <row r="1768" spans="1:31" x14ac:dyDescent="0.25">
      <c r="A1768" t="s">
        <v>1906</v>
      </c>
      <c r="B1768" t="s">
        <v>32</v>
      </c>
      <c r="C1768">
        <v>449</v>
      </c>
      <c r="D1768">
        <v>36</v>
      </c>
      <c r="E1768">
        <v>5</v>
      </c>
      <c r="F1768">
        <v>2</v>
      </c>
      <c r="G1768">
        <v>49.68</v>
      </c>
      <c r="H1768">
        <v>3.6</v>
      </c>
      <c r="I1768">
        <v>0.17</v>
      </c>
      <c r="J1768" t="s">
        <v>110</v>
      </c>
      <c r="K1768" t="s">
        <v>38</v>
      </c>
      <c r="L1768">
        <v>164</v>
      </c>
      <c r="M1768">
        <v>3.68</v>
      </c>
      <c r="N1768">
        <v>115.1</v>
      </c>
      <c r="O1768">
        <v>1.1299999999999999</v>
      </c>
      <c r="P1768">
        <v>0</v>
      </c>
      <c r="Q1768">
        <v>0.78</v>
      </c>
      <c r="R1768">
        <v>466</v>
      </c>
      <c r="S1768">
        <v>13.56</v>
      </c>
      <c r="T1768">
        <v>0.2</v>
      </c>
      <c r="U1768" s="1">
        <v>45341</v>
      </c>
      <c r="V1768">
        <v>148.1</v>
      </c>
      <c r="W1768">
        <v>0.66400000000000003</v>
      </c>
      <c r="X1768" t="str">
        <f>IF(WarehouseData[[#This Row],[stock_level]]&lt;=WarehouseData[[#This Row],[reorder_point]],"Low Stock","Sufficient Stock")</f>
        <v>Sufficient Stock</v>
      </c>
      <c r="Y1768">
        <f>WarehouseData[[#This Row],[daily_demand]]*WarehouseData[[#This Row],[lead_time_days]]</f>
        <v>99.36</v>
      </c>
      <c r="Z1768" t="str">
        <f>IF(WarehouseData[[#This Row],[stock_level]]&lt;=WarehouseData[[#This Row],[Demand During Lead Time]],"At Risk","Safe")</f>
        <v>Safe</v>
      </c>
      <c r="AA1768">
        <f>WarehouseData[[#This Row],[stock_level]]/WarehouseData[[#This Row],[daily_demand]]</f>
        <v>9.0378421900161037</v>
      </c>
      <c r="AB1768">
        <f>WarehouseData[[#This Row],[stock_level]]*WarehouseData[[#This Row],[unit_price]]</f>
        <v>51679.899999999994</v>
      </c>
      <c r="AC1768">
        <f>WarehouseData[[#This Row],[stock_level]]*WarehouseData[[#This Row],[holding_cost_per_unit_day]]*30</f>
        <v>15221.099999999999</v>
      </c>
      <c r="AD1768" t="str">
        <f>IF(WarehouseData[[#This Row],[order_fulfillment_rate]]&gt;=0.9,"Strong",IF(WarehouseData[[#This Row],[order_fulfillment_rate]]&gt;=0.8,"Moderate","Needs Attention"))</f>
        <v>Needs Attention</v>
      </c>
      <c r="AE1768" t="str">
        <f>IF(WarehouseData[[#This Row],[picking_time_seconds]]&gt;120,"Slow",IF(WarehouseData[[#This Row],[picking_time_seconds]]&gt;=60,"Average","Fast"))</f>
        <v>Slow</v>
      </c>
    </row>
    <row r="1769" spans="1:31" x14ac:dyDescent="0.25">
      <c r="A1769" t="s">
        <v>1907</v>
      </c>
      <c r="B1769" t="s">
        <v>73</v>
      </c>
      <c r="C1769">
        <v>161</v>
      </c>
      <c r="D1769">
        <v>15</v>
      </c>
      <c r="E1769">
        <v>11</v>
      </c>
      <c r="F1769">
        <v>8</v>
      </c>
      <c r="G1769">
        <v>34.26</v>
      </c>
      <c r="H1769">
        <v>6.03</v>
      </c>
      <c r="I1769">
        <v>0.96</v>
      </c>
      <c r="J1769" t="s">
        <v>126</v>
      </c>
      <c r="K1769" t="s">
        <v>38</v>
      </c>
      <c r="L1769">
        <v>112</v>
      </c>
      <c r="M1769">
        <v>1.68</v>
      </c>
      <c r="N1769">
        <v>92.7</v>
      </c>
      <c r="O1769">
        <v>0.82</v>
      </c>
      <c r="P1769">
        <v>2</v>
      </c>
      <c r="Q1769">
        <v>0.81</v>
      </c>
      <c r="R1769">
        <v>715</v>
      </c>
      <c r="S1769">
        <v>11.12</v>
      </c>
      <c r="T1769">
        <v>0.43</v>
      </c>
      <c r="U1769" s="1">
        <v>45533</v>
      </c>
      <c r="V1769">
        <v>126.33</v>
      </c>
      <c r="W1769">
        <v>0.67400000000000004</v>
      </c>
      <c r="X1769" t="str">
        <f>IF(WarehouseData[[#This Row],[stock_level]]&lt;=WarehouseData[[#This Row],[reorder_point]],"Low Stock","Sufficient Stock")</f>
        <v>Sufficient Stock</v>
      </c>
      <c r="Y1769">
        <f>WarehouseData[[#This Row],[daily_demand]]*WarehouseData[[#This Row],[lead_time_days]]</f>
        <v>274.08</v>
      </c>
      <c r="Z1769" t="str">
        <f>IF(WarehouseData[[#This Row],[stock_level]]&lt;=WarehouseData[[#This Row],[Demand During Lead Time]],"At Risk","Safe")</f>
        <v>At Risk</v>
      </c>
      <c r="AA1769">
        <f>WarehouseData[[#This Row],[stock_level]]/WarehouseData[[#This Row],[daily_demand]]</f>
        <v>4.6993578517221248</v>
      </c>
      <c r="AB1769">
        <f>WarehouseData[[#This Row],[stock_level]]*WarehouseData[[#This Row],[unit_price]]</f>
        <v>14924.7</v>
      </c>
      <c r="AC1769">
        <f>WarehouseData[[#This Row],[stock_level]]*WarehouseData[[#This Row],[holding_cost_per_unit_day]]*30</f>
        <v>3960.5999999999995</v>
      </c>
      <c r="AD1769" t="str">
        <f>IF(WarehouseData[[#This Row],[order_fulfillment_rate]]&gt;=0.9,"Strong",IF(WarehouseData[[#This Row],[order_fulfillment_rate]]&gt;=0.8,"Moderate","Needs Attention"))</f>
        <v>Moderate</v>
      </c>
      <c r="AE1769" t="str">
        <f>IF(WarehouseData[[#This Row],[picking_time_seconds]]&gt;120,"Slow",IF(WarehouseData[[#This Row],[picking_time_seconds]]&gt;=60,"Average","Fast"))</f>
        <v>Average</v>
      </c>
    </row>
    <row r="1770" spans="1:31" x14ac:dyDescent="0.25">
      <c r="A1770" t="s">
        <v>1908</v>
      </c>
      <c r="B1770" t="s">
        <v>73</v>
      </c>
      <c r="C1770">
        <v>453</v>
      </c>
      <c r="D1770">
        <v>26</v>
      </c>
      <c r="E1770">
        <v>7</v>
      </c>
      <c r="F1770">
        <v>5</v>
      </c>
      <c r="G1770">
        <v>12.36</v>
      </c>
      <c r="H1770">
        <v>3.51</v>
      </c>
      <c r="I1770">
        <v>0.73</v>
      </c>
      <c r="J1770" t="s">
        <v>102</v>
      </c>
      <c r="K1770" t="s">
        <v>46</v>
      </c>
      <c r="L1770">
        <v>174</v>
      </c>
      <c r="M1770">
        <v>2.77</v>
      </c>
      <c r="N1770">
        <v>145.84</v>
      </c>
      <c r="O1770">
        <v>1.65</v>
      </c>
      <c r="P1770">
        <v>3</v>
      </c>
      <c r="Q1770">
        <v>0.87</v>
      </c>
      <c r="R1770">
        <v>938</v>
      </c>
      <c r="S1770">
        <v>3.54</v>
      </c>
      <c r="T1770">
        <v>0.34</v>
      </c>
      <c r="U1770" s="1">
        <v>45357</v>
      </c>
      <c r="V1770">
        <v>164.06</v>
      </c>
      <c r="W1770">
        <v>0.46400000000000002</v>
      </c>
      <c r="X1770" t="str">
        <f>IF(WarehouseData[[#This Row],[stock_level]]&lt;=WarehouseData[[#This Row],[reorder_point]],"Low Stock","Sufficient Stock")</f>
        <v>Sufficient Stock</v>
      </c>
      <c r="Y1770">
        <f>WarehouseData[[#This Row],[daily_demand]]*WarehouseData[[#This Row],[lead_time_days]]</f>
        <v>61.8</v>
      </c>
      <c r="Z1770" t="str">
        <f>IF(WarehouseData[[#This Row],[stock_level]]&lt;=WarehouseData[[#This Row],[Demand During Lead Time]],"At Risk","Safe")</f>
        <v>Safe</v>
      </c>
      <c r="AA1770">
        <f>WarehouseData[[#This Row],[stock_level]]/WarehouseData[[#This Row],[daily_demand]]</f>
        <v>36.650485436893206</v>
      </c>
      <c r="AB1770">
        <f>WarehouseData[[#This Row],[stock_level]]*WarehouseData[[#This Row],[unit_price]]</f>
        <v>66065.52</v>
      </c>
      <c r="AC1770">
        <f>WarehouseData[[#This Row],[stock_level]]*WarehouseData[[#This Row],[holding_cost_per_unit_day]]*30</f>
        <v>22423.499999999996</v>
      </c>
      <c r="AD1770" t="str">
        <f>IF(WarehouseData[[#This Row],[order_fulfillment_rate]]&gt;=0.9,"Strong",IF(WarehouseData[[#This Row],[order_fulfillment_rate]]&gt;=0.8,"Moderate","Needs Attention"))</f>
        <v>Moderate</v>
      </c>
      <c r="AE1770" t="str">
        <f>IF(WarehouseData[[#This Row],[picking_time_seconds]]&gt;120,"Slow",IF(WarehouseData[[#This Row],[picking_time_seconds]]&gt;=60,"Average","Fast"))</f>
        <v>Slow</v>
      </c>
    </row>
    <row r="1771" spans="1:31" x14ac:dyDescent="0.25">
      <c r="A1771" t="s">
        <v>1909</v>
      </c>
      <c r="B1771" t="s">
        <v>32</v>
      </c>
      <c r="C1771">
        <v>423</v>
      </c>
      <c r="D1771">
        <v>45</v>
      </c>
      <c r="E1771">
        <v>9</v>
      </c>
      <c r="F1771">
        <v>6</v>
      </c>
      <c r="G1771">
        <v>6.3</v>
      </c>
      <c r="H1771">
        <v>6.3</v>
      </c>
      <c r="I1771">
        <v>0.95</v>
      </c>
      <c r="J1771" t="s">
        <v>447</v>
      </c>
      <c r="K1771" t="s">
        <v>52</v>
      </c>
      <c r="L1771">
        <v>174</v>
      </c>
      <c r="M1771">
        <v>2.6</v>
      </c>
      <c r="N1771">
        <v>60.51</v>
      </c>
      <c r="O1771">
        <v>1.62</v>
      </c>
      <c r="P1771">
        <v>1</v>
      </c>
      <c r="Q1771">
        <v>0.92</v>
      </c>
      <c r="R1771">
        <v>199</v>
      </c>
      <c r="S1771">
        <v>2.25</v>
      </c>
      <c r="T1771">
        <v>0.6</v>
      </c>
      <c r="U1771" s="1">
        <v>45424</v>
      </c>
      <c r="V1771">
        <v>239.15</v>
      </c>
      <c r="W1771">
        <v>0.55200000000000005</v>
      </c>
      <c r="X1771" t="str">
        <f>IF(WarehouseData[[#This Row],[stock_level]]&lt;=WarehouseData[[#This Row],[reorder_point]],"Low Stock","Sufficient Stock")</f>
        <v>Sufficient Stock</v>
      </c>
      <c r="Y1771">
        <f>WarehouseData[[#This Row],[daily_demand]]*WarehouseData[[#This Row],[lead_time_days]]</f>
        <v>37.799999999999997</v>
      </c>
      <c r="Z1771" t="str">
        <f>IF(WarehouseData[[#This Row],[stock_level]]&lt;=WarehouseData[[#This Row],[Demand During Lead Time]],"At Risk","Safe")</f>
        <v>Safe</v>
      </c>
      <c r="AA1771">
        <f>WarehouseData[[#This Row],[stock_level]]/WarehouseData[[#This Row],[daily_demand]]</f>
        <v>67.142857142857139</v>
      </c>
      <c r="AB1771">
        <f>WarehouseData[[#This Row],[stock_level]]*WarehouseData[[#This Row],[unit_price]]</f>
        <v>25595.73</v>
      </c>
      <c r="AC1771">
        <f>WarehouseData[[#This Row],[stock_level]]*WarehouseData[[#This Row],[holding_cost_per_unit_day]]*30</f>
        <v>20557.8</v>
      </c>
      <c r="AD1771" t="str">
        <f>IF(WarehouseData[[#This Row],[order_fulfillment_rate]]&gt;=0.9,"Strong",IF(WarehouseData[[#This Row],[order_fulfillment_rate]]&gt;=0.8,"Moderate","Needs Attention"))</f>
        <v>Strong</v>
      </c>
      <c r="AE1771" t="str">
        <f>IF(WarehouseData[[#This Row],[picking_time_seconds]]&gt;120,"Slow",IF(WarehouseData[[#This Row],[picking_time_seconds]]&gt;=60,"Average","Fast"))</f>
        <v>Slow</v>
      </c>
    </row>
    <row r="1772" spans="1:31" x14ac:dyDescent="0.25">
      <c r="A1772" t="s">
        <v>1910</v>
      </c>
      <c r="B1772" t="s">
        <v>32</v>
      </c>
      <c r="C1772">
        <v>453</v>
      </c>
      <c r="D1772">
        <v>90</v>
      </c>
      <c r="E1772">
        <v>14</v>
      </c>
      <c r="F1772">
        <v>7</v>
      </c>
      <c r="G1772">
        <v>32.4</v>
      </c>
      <c r="H1772">
        <v>9.69</v>
      </c>
      <c r="I1772">
        <v>0.4</v>
      </c>
      <c r="J1772" t="s">
        <v>240</v>
      </c>
      <c r="K1772" t="s">
        <v>52</v>
      </c>
      <c r="L1772">
        <v>166</v>
      </c>
      <c r="M1772">
        <v>4.08</v>
      </c>
      <c r="N1772">
        <v>95.42</v>
      </c>
      <c r="O1772">
        <v>0.93</v>
      </c>
      <c r="P1772">
        <v>0</v>
      </c>
      <c r="Q1772">
        <v>0.88</v>
      </c>
      <c r="R1772">
        <v>453</v>
      </c>
      <c r="S1772">
        <v>12.43</v>
      </c>
      <c r="T1772">
        <v>0.33</v>
      </c>
      <c r="U1772" s="1">
        <v>45578</v>
      </c>
      <c r="V1772">
        <v>74.89</v>
      </c>
      <c r="W1772">
        <v>0.71499999999999997</v>
      </c>
      <c r="X1772" t="str">
        <f>IF(WarehouseData[[#This Row],[stock_level]]&lt;=WarehouseData[[#This Row],[reorder_point]],"Low Stock","Sufficient Stock")</f>
        <v>Sufficient Stock</v>
      </c>
      <c r="Y1772">
        <f>WarehouseData[[#This Row],[daily_demand]]*WarehouseData[[#This Row],[lead_time_days]]</f>
        <v>226.79999999999998</v>
      </c>
      <c r="Z1772" t="str">
        <f>IF(WarehouseData[[#This Row],[stock_level]]&lt;=WarehouseData[[#This Row],[Demand During Lead Time]],"At Risk","Safe")</f>
        <v>Safe</v>
      </c>
      <c r="AA1772">
        <f>WarehouseData[[#This Row],[stock_level]]/WarehouseData[[#This Row],[daily_demand]]</f>
        <v>13.981481481481483</v>
      </c>
      <c r="AB1772">
        <f>WarehouseData[[#This Row],[stock_level]]*WarehouseData[[#This Row],[unit_price]]</f>
        <v>43225.26</v>
      </c>
      <c r="AC1772">
        <f>WarehouseData[[#This Row],[stock_level]]*WarehouseData[[#This Row],[holding_cost_per_unit_day]]*30</f>
        <v>12638.7</v>
      </c>
      <c r="AD1772" t="str">
        <f>IF(WarehouseData[[#This Row],[order_fulfillment_rate]]&gt;=0.9,"Strong",IF(WarehouseData[[#This Row],[order_fulfillment_rate]]&gt;=0.8,"Moderate","Needs Attention"))</f>
        <v>Moderate</v>
      </c>
      <c r="AE1772" t="str">
        <f>IF(WarehouseData[[#This Row],[picking_time_seconds]]&gt;120,"Slow",IF(WarehouseData[[#This Row],[picking_time_seconds]]&gt;=60,"Average","Fast"))</f>
        <v>Slow</v>
      </c>
    </row>
    <row r="1773" spans="1:31" x14ac:dyDescent="0.25">
      <c r="A1773" t="s">
        <v>1911</v>
      </c>
      <c r="B1773" t="s">
        <v>73</v>
      </c>
      <c r="C1773">
        <v>131</v>
      </c>
      <c r="D1773">
        <v>11</v>
      </c>
      <c r="E1773">
        <v>8</v>
      </c>
      <c r="F1773">
        <v>7</v>
      </c>
      <c r="G1773">
        <v>26.64</v>
      </c>
      <c r="H1773">
        <v>6.87</v>
      </c>
      <c r="I1773">
        <v>0.72</v>
      </c>
      <c r="J1773" t="s">
        <v>228</v>
      </c>
      <c r="K1773" t="s">
        <v>38</v>
      </c>
      <c r="L1773">
        <v>166</v>
      </c>
      <c r="M1773">
        <v>4.25</v>
      </c>
      <c r="N1773">
        <v>180.08</v>
      </c>
      <c r="O1773">
        <v>0.51</v>
      </c>
      <c r="P1773">
        <v>0</v>
      </c>
      <c r="Q1773">
        <v>0.9</v>
      </c>
      <c r="R1773">
        <v>563</v>
      </c>
      <c r="S1773">
        <v>13.5</v>
      </c>
      <c r="T1773">
        <v>0.87</v>
      </c>
      <c r="U1773" s="1">
        <v>45385</v>
      </c>
      <c r="V1773">
        <v>97.5</v>
      </c>
      <c r="W1773">
        <v>0.88300000000000001</v>
      </c>
      <c r="X1773" t="str">
        <f>IF(WarehouseData[[#This Row],[stock_level]]&lt;=WarehouseData[[#This Row],[reorder_point]],"Low Stock","Sufficient Stock")</f>
        <v>Sufficient Stock</v>
      </c>
      <c r="Y1773">
        <f>WarehouseData[[#This Row],[daily_demand]]*WarehouseData[[#This Row],[lead_time_days]]</f>
        <v>186.48000000000002</v>
      </c>
      <c r="Z1773" t="str">
        <f>IF(WarehouseData[[#This Row],[stock_level]]&lt;=WarehouseData[[#This Row],[Demand During Lead Time]],"At Risk","Safe")</f>
        <v>At Risk</v>
      </c>
      <c r="AA1773">
        <f>WarehouseData[[#This Row],[stock_level]]/WarehouseData[[#This Row],[daily_demand]]</f>
        <v>4.9174174174174174</v>
      </c>
      <c r="AB1773">
        <f>WarehouseData[[#This Row],[stock_level]]*WarehouseData[[#This Row],[unit_price]]</f>
        <v>23590.480000000003</v>
      </c>
      <c r="AC1773">
        <f>WarehouseData[[#This Row],[stock_level]]*WarehouseData[[#This Row],[holding_cost_per_unit_day]]*30</f>
        <v>2004.3000000000002</v>
      </c>
      <c r="AD1773" t="str">
        <f>IF(WarehouseData[[#This Row],[order_fulfillment_rate]]&gt;=0.9,"Strong",IF(WarehouseData[[#This Row],[order_fulfillment_rate]]&gt;=0.8,"Moderate","Needs Attention"))</f>
        <v>Strong</v>
      </c>
      <c r="AE1773" t="str">
        <f>IF(WarehouseData[[#This Row],[picking_time_seconds]]&gt;120,"Slow",IF(WarehouseData[[#This Row],[picking_time_seconds]]&gt;=60,"Average","Fast"))</f>
        <v>Slow</v>
      </c>
    </row>
    <row r="1774" spans="1:31" x14ac:dyDescent="0.25">
      <c r="A1774" t="s">
        <v>1912</v>
      </c>
      <c r="B1774" t="s">
        <v>40</v>
      </c>
      <c r="C1774">
        <v>436</v>
      </c>
      <c r="D1774">
        <v>86</v>
      </c>
      <c r="E1774">
        <v>12</v>
      </c>
      <c r="F1774">
        <v>4</v>
      </c>
      <c r="G1774">
        <v>45.06</v>
      </c>
      <c r="H1774">
        <v>3.95</v>
      </c>
      <c r="I1774">
        <v>0.87</v>
      </c>
      <c r="J1774" t="s">
        <v>163</v>
      </c>
      <c r="K1774" t="s">
        <v>46</v>
      </c>
      <c r="L1774">
        <v>84</v>
      </c>
      <c r="M1774">
        <v>1.78</v>
      </c>
      <c r="N1774">
        <v>153.66</v>
      </c>
      <c r="O1774">
        <v>0.9</v>
      </c>
      <c r="P1774">
        <v>7</v>
      </c>
      <c r="Q1774">
        <v>0.96</v>
      </c>
      <c r="R1774">
        <v>858</v>
      </c>
      <c r="S1774">
        <v>5.93</v>
      </c>
      <c r="T1774">
        <v>0.91</v>
      </c>
      <c r="U1774" s="1">
        <v>45640</v>
      </c>
      <c r="V1774">
        <v>256.17</v>
      </c>
      <c r="W1774">
        <v>0.623</v>
      </c>
      <c r="X1774" t="str">
        <f>IF(WarehouseData[[#This Row],[stock_level]]&lt;=WarehouseData[[#This Row],[reorder_point]],"Low Stock","Sufficient Stock")</f>
        <v>Sufficient Stock</v>
      </c>
      <c r="Y1774">
        <f>WarehouseData[[#This Row],[daily_demand]]*WarehouseData[[#This Row],[lead_time_days]]</f>
        <v>180.24</v>
      </c>
      <c r="Z1774" t="str">
        <f>IF(WarehouseData[[#This Row],[stock_level]]&lt;=WarehouseData[[#This Row],[Demand During Lead Time]],"At Risk","Safe")</f>
        <v>Safe</v>
      </c>
      <c r="AA1774">
        <f>WarehouseData[[#This Row],[stock_level]]/WarehouseData[[#This Row],[daily_demand]]</f>
        <v>9.6759875721260542</v>
      </c>
      <c r="AB1774">
        <f>WarehouseData[[#This Row],[stock_level]]*WarehouseData[[#This Row],[unit_price]]</f>
        <v>66995.759999999995</v>
      </c>
      <c r="AC1774">
        <f>WarehouseData[[#This Row],[stock_level]]*WarehouseData[[#This Row],[holding_cost_per_unit_day]]*30</f>
        <v>11772.000000000002</v>
      </c>
      <c r="AD1774" t="str">
        <f>IF(WarehouseData[[#This Row],[order_fulfillment_rate]]&gt;=0.9,"Strong",IF(WarehouseData[[#This Row],[order_fulfillment_rate]]&gt;=0.8,"Moderate","Needs Attention"))</f>
        <v>Strong</v>
      </c>
      <c r="AE1774" t="str">
        <f>IF(WarehouseData[[#This Row],[picking_time_seconds]]&gt;120,"Slow",IF(WarehouseData[[#This Row],[picking_time_seconds]]&gt;=60,"Average","Fast"))</f>
        <v>Average</v>
      </c>
    </row>
    <row r="1775" spans="1:31" x14ac:dyDescent="0.25">
      <c r="A1775" t="s">
        <v>1913</v>
      </c>
      <c r="B1775" t="s">
        <v>36</v>
      </c>
      <c r="C1775">
        <v>394</v>
      </c>
      <c r="D1775">
        <v>61</v>
      </c>
      <c r="E1775">
        <v>7</v>
      </c>
      <c r="F1775">
        <v>5</v>
      </c>
      <c r="G1775">
        <v>36.6</v>
      </c>
      <c r="H1775">
        <v>9.39</v>
      </c>
      <c r="I1775">
        <v>0.44</v>
      </c>
      <c r="J1775" t="s">
        <v>223</v>
      </c>
      <c r="K1775" t="s">
        <v>38</v>
      </c>
      <c r="L1775">
        <v>37</v>
      </c>
      <c r="M1775">
        <v>4.2</v>
      </c>
      <c r="N1775">
        <v>41.93</v>
      </c>
      <c r="O1775">
        <v>1.32</v>
      </c>
      <c r="P1775">
        <v>3</v>
      </c>
      <c r="Q1775">
        <v>0.96</v>
      </c>
      <c r="R1775">
        <v>615</v>
      </c>
      <c r="S1775">
        <v>5.94</v>
      </c>
      <c r="T1775">
        <v>0.88</v>
      </c>
      <c r="U1775" s="1">
        <v>45463</v>
      </c>
      <c r="V1775">
        <v>275.63</v>
      </c>
      <c r="W1775">
        <v>0.65500000000000003</v>
      </c>
      <c r="X1775" t="str">
        <f>IF(WarehouseData[[#This Row],[stock_level]]&lt;=WarehouseData[[#This Row],[reorder_point]],"Low Stock","Sufficient Stock")</f>
        <v>Sufficient Stock</v>
      </c>
      <c r="Y1775">
        <f>WarehouseData[[#This Row],[daily_demand]]*WarehouseData[[#This Row],[lead_time_days]]</f>
        <v>183</v>
      </c>
      <c r="Z1775" t="str">
        <f>IF(WarehouseData[[#This Row],[stock_level]]&lt;=WarehouseData[[#This Row],[Demand During Lead Time]],"At Risk","Safe")</f>
        <v>Safe</v>
      </c>
      <c r="AA1775">
        <f>WarehouseData[[#This Row],[stock_level]]/WarehouseData[[#This Row],[daily_demand]]</f>
        <v>10.765027322404372</v>
      </c>
      <c r="AB1775">
        <f>WarehouseData[[#This Row],[stock_level]]*WarehouseData[[#This Row],[unit_price]]</f>
        <v>16520.419999999998</v>
      </c>
      <c r="AC1775">
        <f>WarehouseData[[#This Row],[stock_level]]*WarehouseData[[#This Row],[holding_cost_per_unit_day]]*30</f>
        <v>15602.400000000001</v>
      </c>
      <c r="AD1775" t="str">
        <f>IF(WarehouseData[[#This Row],[order_fulfillment_rate]]&gt;=0.9,"Strong",IF(WarehouseData[[#This Row],[order_fulfillment_rate]]&gt;=0.8,"Moderate","Needs Attention"))</f>
        <v>Strong</v>
      </c>
      <c r="AE1775" t="str">
        <f>IF(WarehouseData[[#This Row],[picking_time_seconds]]&gt;120,"Slow",IF(WarehouseData[[#This Row],[picking_time_seconds]]&gt;=60,"Average","Fast"))</f>
        <v>Fast</v>
      </c>
    </row>
    <row r="1776" spans="1:31" x14ac:dyDescent="0.25">
      <c r="A1776" t="s">
        <v>1914</v>
      </c>
      <c r="B1776" t="s">
        <v>36</v>
      </c>
      <c r="C1776">
        <v>78</v>
      </c>
      <c r="D1776">
        <v>75</v>
      </c>
      <c r="E1776">
        <v>9</v>
      </c>
      <c r="F1776">
        <v>3</v>
      </c>
      <c r="G1776">
        <v>25.98</v>
      </c>
      <c r="H1776">
        <v>5.87</v>
      </c>
      <c r="I1776">
        <v>0.97</v>
      </c>
      <c r="J1776" t="s">
        <v>160</v>
      </c>
      <c r="K1776" t="s">
        <v>46</v>
      </c>
      <c r="L1776">
        <v>83</v>
      </c>
      <c r="M1776">
        <v>1.31</v>
      </c>
      <c r="N1776">
        <v>178.5</v>
      </c>
      <c r="O1776">
        <v>0.46</v>
      </c>
      <c r="P1776">
        <v>1</v>
      </c>
      <c r="Q1776">
        <v>0.96</v>
      </c>
      <c r="R1776">
        <v>490</v>
      </c>
      <c r="S1776">
        <v>6.46</v>
      </c>
      <c r="T1776">
        <v>0.99</v>
      </c>
      <c r="U1776" s="1">
        <v>45627</v>
      </c>
      <c r="V1776">
        <v>45.67</v>
      </c>
      <c r="W1776">
        <v>0.81</v>
      </c>
      <c r="X1776" t="str">
        <f>IF(WarehouseData[[#This Row],[stock_level]]&lt;=WarehouseData[[#This Row],[reorder_point]],"Low Stock","Sufficient Stock")</f>
        <v>Sufficient Stock</v>
      </c>
      <c r="Y1776">
        <f>WarehouseData[[#This Row],[daily_demand]]*WarehouseData[[#This Row],[lead_time_days]]</f>
        <v>77.94</v>
      </c>
      <c r="Z1776" t="str">
        <f>IF(WarehouseData[[#This Row],[stock_level]]&lt;=WarehouseData[[#This Row],[Demand During Lead Time]],"At Risk","Safe")</f>
        <v>Safe</v>
      </c>
      <c r="AA1776">
        <f>WarehouseData[[#This Row],[stock_level]]/WarehouseData[[#This Row],[daily_demand]]</f>
        <v>3.0023094688221708</v>
      </c>
      <c r="AB1776">
        <f>WarehouseData[[#This Row],[stock_level]]*WarehouseData[[#This Row],[unit_price]]</f>
        <v>13923</v>
      </c>
      <c r="AC1776">
        <f>WarehouseData[[#This Row],[stock_level]]*WarehouseData[[#This Row],[holding_cost_per_unit_day]]*30</f>
        <v>1076.4000000000001</v>
      </c>
      <c r="AD1776" t="str">
        <f>IF(WarehouseData[[#This Row],[order_fulfillment_rate]]&gt;=0.9,"Strong",IF(WarehouseData[[#This Row],[order_fulfillment_rate]]&gt;=0.8,"Moderate","Needs Attention"))</f>
        <v>Strong</v>
      </c>
      <c r="AE1776" t="str">
        <f>IF(WarehouseData[[#This Row],[picking_time_seconds]]&gt;120,"Slow",IF(WarehouseData[[#This Row],[picking_time_seconds]]&gt;=60,"Average","Fast"))</f>
        <v>Average</v>
      </c>
    </row>
    <row r="1777" spans="1:31" x14ac:dyDescent="0.25">
      <c r="A1777" t="s">
        <v>1915</v>
      </c>
      <c r="B1777" t="s">
        <v>32</v>
      </c>
      <c r="C1777">
        <v>62</v>
      </c>
      <c r="D1777">
        <v>61</v>
      </c>
      <c r="E1777">
        <v>13</v>
      </c>
      <c r="F1777">
        <v>2</v>
      </c>
      <c r="G1777">
        <v>20.78</v>
      </c>
      <c r="H1777">
        <v>1.72</v>
      </c>
      <c r="I1777">
        <v>0.34</v>
      </c>
      <c r="J1777" t="s">
        <v>240</v>
      </c>
      <c r="K1777" t="s">
        <v>46</v>
      </c>
      <c r="L1777">
        <v>142</v>
      </c>
      <c r="M1777">
        <v>3.93</v>
      </c>
      <c r="N1777">
        <v>121.91</v>
      </c>
      <c r="O1777">
        <v>1.57</v>
      </c>
      <c r="P1777">
        <v>9</v>
      </c>
      <c r="Q1777">
        <v>0.75</v>
      </c>
      <c r="R1777">
        <v>963</v>
      </c>
      <c r="S1777">
        <v>12.59</v>
      </c>
      <c r="T1777">
        <v>0.93</v>
      </c>
      <c r="U1777" s="1">
        <v>45337</v>
      </c>
      <c r="V1777">
        <v>214.43</v>
      </c>
      <c r="W1777">
        <v>0.56699999999999995</v>
      </c>
      <c r="X1777" t="str">
        <f>IF(WarehouseData[[#This Row],[stock_level]]&lt;=WarehouseData[[#This Row],[reorder_point]],"Low Stock","Sufficient Stock")</f>
        <v>Sufficient Stock</v>
      </c>
      <c r="Y1777">
        <f>WarehouseData[[#This Row],[daily_demand]]*WarehouseData[[#This Row],[lead_time_days]]</f>
        <v>41.56</v>
      </c>
      <c r="Z1777" t="str">
        <f>IF(WarehouseData[[#This Row],[stock_level]]&lt;=WarehouseData[[#This Row],[Demand During Lead Time]],"At Risk","Safe")</f>
        <v>Safe</v>
      </c>
      <c r="AA1777">
        <f>WarehouseData[[#This Row],[stock_level]]/WarehouseData[[#This Row],[daily_demand]]</f>
        <v>2.9836381135707408</v>
      </c>
      <c r="AB1777">
        <f>WarehouseData[[#This Row],[stock_level]]*WarehouseData[[#This Row],[unit_price]]</f>
        <v>7558.42</v>
      </c>
      <c r="AC1777">
        <f>WarehouseData[[#This Row],[stock_level]]*WarehouseData[[#This Row],[holding_cost_per_unit_day]]*30</f>
        <v>2920.2000000000003</v>
      </c>
      <c r="AD1777" t="str">
        <f>IF(WarehouseData[[#This Row],[order_fulfillment_rate]]&gt;=0.9,"Strong",IF(WarehouseData[[#This Row],[order_fulfillment_rate]]&gt;=0.8,"Moderate","Needs Attention"))</f>
        <v>Needs Attention</v>
      </c>
      <c r="AE1777" t="str">
        <f>IF(WarehouseData[[#This Row],[picking_time_seconds]]&gt;120,"Slow",IF(WarehouseData[[#This Row],[picking_time_seconds]]&gt;=60,"Average","Fast"))</f>
        <v>Slow</v>
      </c>
    </row>
    <row r="1778" spans="1:31" x14ac:dyDescent="0.25">
      <c r="A1778" t="s">
        <v>1916</v>
      </c>
      <c r="B1778" t="s">
        <v>36</v>
      </c>
      <c r="C1778">
        <v>226</v>
      </c>
      <c r="D1778">
        <v>52</v>
      </c>
      <c r="E1778">
        <v>8</v>
      </c>
      <c r="F1778">
        <v>3</v>
      </c>
      <c r="G1778">
        <v>20.81</v>
      </c>
      <c r="H1778">
        <v>5.24</v>
      </c>
      <c r="I1778">
        <v>0.38</v>
      </c>
      <c r="J1778" t="s">
        <v>43</v>
      </c>
      <c r="K1778" t="s">
        <v>34</v>
      </c>
      <c r="L1778">
        <v>134</v>
      </c>
      <c r="M1778">
        <v>1.62</v>
      </c>
      <c r="N1778">
        <v>139.06</v>
      </c>
      <c r="O1778">
        <v>0.73</v>
      </c>
      <c r="P1778">
        <v>2</v>
      </c>
      <c r="Q1778">
        <v>0.78</v>
      </c>
      <c r="R1778">
        <v>950</v>
      </c>
      <c r="S1778">
        <v>10.9</v>
      </c>
      <c r="T1778">
        <v>0.42</v>
      </c>
      <c r="U1778" s="1">
        <v>45405</v>
      </c>
      <c r="V1778">
        <v>12.79</v>
      </c>
      <c r="W1778">
        <v>0.67200000000000004</v>
      </c>
      <c r="X1778" t="str">
        <f>IF(WarehouseData[[#This Row],[stock_level]]&lt;=WarehouseData[[#This Row],[reorder_point]],"Low Stock","Sufficient Stock")</f>
        <v>Sufficient Stock</v>
      </c>
      <c r="Y1778">
        <f>WarehouseData[[#This Row],[daily_demand]]*WarehouseData[[#This Row],[lead_time_days]]</f>
        <v>62.429999999999993</v>
      </c>
      <c r="Z1778" t="str">
        <f>IF(WarehouseData[[#This Row],[stock_level]]&lt;=WarehouseData[[#This Row],[Demand During Lead Time]],"At Risk","Safe")</f>
        <v>Safe</v>
      </c>
      <c r="AA1778">
        <f>WarehouseData[[#This Row],[stock_level]]/WarehouseData[[#This Row],[daily_demand]]</f>
        <v>10.860163382988949</v>
      </c>
      <c r="AB1778">
        <f>WarehouseData[[#This Row],[stock_level]]*WarehouseData[[#This Row],[unit_price]]</f>
        <v>31427.56</v>
      </c>
      <c r="AC1778">
        <f>WarehouseData[[#This Row],[stock_level]]*WarehouseData[[#This Row],[holding_cost_per_unit_day]]*30</f>
        <v>4949.3999999999996</v>
      </c>
      <c r="AD1778" t="str">
        <f>IF(WarehouseData[[#This Row],[order_fulfillment_rate]]&gt;=0.9,"Strong",IF(WarehouseData[[#This Row],[order_fulfillment_rate]]&gt;=0.8,"Moderate","Needs Attention"))</f>
        <v>Needs Attention</v>
      </c>
      <c r="AE1778" t="str">
        <f>IF(WarehouseData[[#This Row],[picking_time_seconds]]&gt;120,"Slow",IF(WarehouseData[[#This Row],[picking_time_seconds]]&gt;=60,"Average","Fast"))</f>
        <v>Slow</v>
      </c>
    </row>
    <row r="1779" spans="1:31" x14ac:dyDescent="0.25">
      <c r="A1779" t="s">
        <v>1917</v>
      </c>
      <c r="B1779" t="s">
        <v>73</v>
      </c>
      <c r="C1779">
        <v>287</v>
      </c>
      <c r="D1779">
        <v>99</v>
      </c>
      <c r="E1779">
        <v>12</v>
      </c>
      <c r="F1779">
        <v>3</v>
      </c>
      <c r="G1779">
        <v>12.09</v>
      </c>
      <c r="H1779">
        <v>6.71</v>
      </c>
      <c r="I1779">
        <v>0.93</v>
      </c>
      <c r="J1779" t="s">
        <v>33</v>
      </c>
      <c r="K1779" t="s">
        <v>52</v>
      </c>
      <c r="L1779">
        <v>65</v>
      </c>
      <c r="M1779">
        <v>1.84</v>
      </c>
      <c r="N1779">
        <v>65.91</v>
      </c>
      <c r="O1779">
        <v>1.87</v>
      </c>
      <c r="P1779">
        <v>7</v>
      </c>
      <c r="Q1779">
        <v>0.85</v>
      </c>
      <c r="R1779">
        <v>295</v>
      </c>
      <c r="S1779">
        <v>2.71</v>
      </c>
      <c r="T1779">
        <v>0.45</v>
      </c>
      <c r="U1779" s="1">
        <v>45473</v>
      </c>
      <c r="V1779">
        <v>81.39</v>
      </c>
      <c r="W1779">
        <v>0.36899999999999999</v>
      </c>
      <c r="X1779" t="str">
        <f>IF(WarehouseData[[#This Row],[stock_level]]&lt;=WarehouseData[[#This Row],[reorder_point]],"Low Stock","Sufficient Stock")</f>
        <v>Sufficient Stock</v>
      </c>
      <c r="Y1779">
        <f>WarehouseData[[#This Row],[daily_demand]]*WarehouseData[[#This Row],[lead_time_days]]</f>
        <v>36.269999999999996</v>
      </c>
      <c r="Z1779" t="str">
        <f>IF(WarehouseData[[#This Row],[stock_level]]&lt;=WarehouseData[[#This Row],[Demand During Lead Time]],"At Risk","Safe")</f>
        <v>Safe</v>
      </c>
      <c r="AA1779">
        <f>WarehouseData[[#This Row],[stock_level]]/WarehouseData[[#This Row],[daily_demand]]</f>
        <v>23.738626964433415</v>
      </c>
      <c r="AB1779">
        <f>WarehouseData[[#This Row],[stock_level]]*WarehouseData[[#This Row],[unit_price]]</f>
        <v>18916.169999999998</v>
      </c>
      <c r="AC1779">
        <f>WarehouseData[[#This Row],[stock_level]]*WarehouseData[[#This Row],[holding_cost_per_unit_day]]*30</f>
        <v>16100.7</v>
      </c>
      <c r="AD1779" t="str">
        <f>IF(WarehouseData[[#This Row],[order_fulfillment_rate]]&gt;=0.9,"Strong",IF(WarehouseData[[#This Row],[order_fulfillment_rate]]&gt;=0.8,"Moderate","Needs Attention"))</f>
        <v>Moderate</v>
      </c>
      <c r="AE1779" t="str">
        <f>IF(WarehouseData[[#This Row],[picking_time_seconds]]&gt;120,"Slow",IF(WarehouseData[[#This Row],[picking_time_seconds]]&gt;=60,"Average","Fast"))</f>
        <v>Average</v>
      </c>
    </row>
    <row r="1780" spans="1:31" x14ac:dyDescent="0.25">
      <c r="A1780" t="s">
        <v>1918</v>
      </c>
      <c r="B1780" t="s">
        <v>73</v>
      </c>
      <c r="C1780">
        <v>315</v>
      </c>
      <c r="D1780">
        <v>31</v>
      </c>
      <c r="E1780">
        <v>4</v>
      </c>
      <c r="F1780">
        <v>5</v>
      </c>
      <c r="G1780">
        <v>1.85</v>
      </c>
      <c r="H1780">
        <v>8.4600000000000009</v>
      </c>
      <c r="I1780">
        <v>0.97</v>
      </c>
      <c r="J1780" t="s">
        <v>41</v>
      </c>
      <c r="K1780" t="s">
        <v>52</v>
      </c>
      <c r="L1780">
        <v>73</v>
      </c>
      <c r="M1780">
        <v>4.34</v>
      </c>
      <c r="N1780">
        <v>93.89</v>
      </c>
      <c r="O1780">
        <v>1.07</v>
      </c>
      <c r="P1780">
        <v>5</v>
      </c>
      <c r="Q1780">
        <v>0.81</v>
      </c>
      <c r="R1780">
        <v>95</v>
      </c>
      <c r="S1780">
        <v>9.89</v>
      </c>
      <c r="T1780">
        <v>0.63</v>
      </c>
      <c r="U1780" s="1">
        <v>45406</v>
      </c>
      <c r="V1780">
        <v>29.9</v>
      </c>
      <c r="W1780">
        <v>0.61299999999999999</v>
      </c>
      <c r="X1780" t="str">
        <f>IF(WarehouseData[[#This Row],[stock_level]]&lt;=WarehouseData[[#This Row],[reorder_point]],"Low Stock","Sufficient Stock")</f>
        <v>Sufficient Stock</v>
      </c>
      <c r="Y1780">
        <f>WarehouseData[[#This Row],[daily_demand]]*WarehouseData[[#This Row],[lead_time_days]]</f>
        <v>9.25</v>
      </c>
      <c r="Z1780" t="str">
        <f>IF(WarehouseData[[#This Row],[stock_level]]&lt;=WarehouseData[[#This Row],[Demand During Lead Time]],"At Risk","Safe")</f>
        <v>Safe</v>
      </c>
      <c r="AA1780">
        <f>WarehouseData[[#This Row],[stock_level]]/WarehouseData[[#This Row],[daily_demand]]</f>
        <v>170.27027027027026</v>
      </c>
      <c r="AB1780">
        <f>WarehouseData[[#This Row],[stock_level]]*WarehouseData[[#This Row],[unit_price]]</f>
        <v>29575.35</v>
      </c>
      <c r="AC1780">
        <f>WarehouseData[[#This Row],[stock_level]]*WarehouseData[[#This Row],[holding_cost_per_unit_day]]*30</f>
        <v>10111.5</v>
      </c>
      <c r="AD1780" t="str">
        <f>IF(WarehouseData[[#This Row],[order_fulfillment_rate]]&gt;=0.9,"Strong",IF(WarehouseData[[#This Row],[order_fulfillment_rate]]&gt;=0.8,"Moderate","Needs Attention"))</f>
        <v>Moderate</v>
      </c>
      <c r="AE1780" t="str">
        <f>IF(WarehouseData[[#This Row],[picking_time_seconds]]&gt;120,"Slow",IF(WarehouseData[[#This Row],[picking_time_seconds]]&gt;=60,"Average","Fast"))</f>
        <v>Average</v>
      </c>
    </row>
    <row r="1781" spans="1:31" x14ac:dyDescent="0.25">
      <c r="A1781" t="s">
        <v>1919</v>
      </c>
      <c r="B1781" t="s">
        <v>32</v>
      </c>
      <c r="C1781">
        <v>137</v>
      </c>
      <c r="D1781">
        <v>64</v>
      </c>
      <c r="E1781">
        <v>5</v>
      </c>
      <c r="F1781">
        <v>9</v>
      </c>
      <c r="G1781">
        <v>29.17</v>
      </c>
      <c r="H1781">
        <v>9.4</v>
      </c>
      <c r="I1781">
        <v>0.36</v>
      </c>
      <c r="J1781" t="s">
        <v>64</v>
      </c>
      <c r="K1781" t="s">
        <v>34</v>
      </c>
      <c r="L1781">
        <v>136</v>
      </c>
      <c r="M1781">
        <v>2.39</v>
      </c>
      <c r="N1781">
        <v>163.29</v>
      </c>
      <c r="O1781">
        <v>1.71</v>
      </c>
      <c r="P1781">
        <v>7</v>
      </c>
      <c r="Q1781">
        <v>0.74</v>
      </c>
      <c r="R1781">
        <v>124</v>
      </c>
      <c r="S1781">
        <v>1.1399999999999999</v>
      </c>
      <c r="T1781">
        <v>0.51</v>
      </c>
      <c r="U1781" s="1">
        <v>45449</v>
      </c>
      <c r="V1781">
        <v>159.46</v>
      </c>
      <c r="W1781">
        <v>0.35399999999999998</v>
      </c>
      <c r="X1781" t="str">
        <f>IF(WarehouseData[[#This Row],[stock_level]]&lt;=WarehouseData[[#This Row],[reorder_point]],"Low Stock","Sufficient Stock")</f>
        <v>Sufficient Stock</v>
      </c>
      <c r="Y1781">
        <f>WarehouseData[[#This Row],[daily_demand]]*WarehouseData[[#This Row],[lead_time_days]]</f>
        <v>262.53000000000003</v>
      </c>
      <c r="Z1781" t="str">
        <f>IF(WarehouseData[[#This Row],[stock_level]]&lt;=WarehouseData[[#This Row],[Demand During Lead Time]],"At Risk","Safe")</f>
        <v>At Risk</v>
      </c>
      <c r="AA1781">
        <f>WarehouseData[[#This Row],[stock_level]]/WarehouseData[[#This Row],[daily_demand]]</f>
        <v>4.6966061021597527</v>
      </c>
      <c r="AB1781">
        <f>WarehouseData[[#This Row],[stock_level]]*WarehouseData[[#This Row],[unit_price]]</f>
        <v>22370.73</v>
      </c>
      <c r="AC1781">
        <f>WarehouseData[[#This Row],[stock_level]]*WarehouseData[[#This Row],[holding_cost_per_unit_day]]*30</f>
        <v>7028.0999999999995</v>
      </c>
      <c r="AD1781" t="str">
        <f>IF(WarehouseData[[#This Row],[order_fulfillment_rate]]&gt;=0.9,"Strong",IF(WarehouseData[[#This Row],[order_fulfillment_rate]]&gt;=0.8,"Moderate","Needs Attention"))</f>
        <v>Needs Attention</v>
      </c>
      <c r="AE1781" t="str">
        <f>IF(WarehouseData[[#This Row],[picking_time_seconds]]&gt;120,"Slow",IF(WarehouseData[[#This Row],[picking_time_seconds]]&gt;=60,"Average","Fast"))</f>
        <v>Slow</v>
      </c>
    </row>
    <row r="1782" spans="1:31" x14ac:dyDescent="0.25">
      <c r="A1782" t="s">
        <v>1920</v>
      </c>
      <c r="B1782" t="s">
        <v>32</v>
      </c>
      <c r="C1782">
        <v>39</v>
      </c>
      <c r="D1782">
        <v>76</v>
      </c>
      <c r="E1782">
        <v>4</v>
      </c>
      <c r="F1782">
        <v>2</v>
      </c>
      <c r="G1782">
        <v>11.41</v>
      </c>
      <c r="H1782">
        <v>3.52</v>
      </c>
      <c r="I1782">
        <v>0.22</v>
      </c>
      <c r="J1782" t="s">
        <v>245</v>
      </c>
      <c r="K1782" t="s">
        <v>34</v>
      </c>
      <c r="L1782">
        <v>130</v>
      </c>
      <c r="M1782">
        <v>4.96</v>
      </c>
      <c r="N1782">
        <v>72.83</v>
      </c>
      <c r="O1782">
        <v>1.27</v>
      </c>
      <c r="P1782">
        <v>9</v>
      </c>
      <c r="Q1782">
        <v>0.79</v>
      </c>
      <c r="R1782">
        <v>198</v>
      </c>
      <c r="S1782">
        <v>10.95</v>
      </c>
      <c r="T1782">
        <v>0.98</v>
      </c>
      <c r="U1782" s="1">
        <v>45507</v>
      </c>
      <c r="V1782">
        <v>109.58</v>
      </c>
      <c r="W1782">
        <v>0.59299999999999997</v>
      </c>
      <c r="X1782" t="str">
        <f>IF(WarehouseData[[#This Row],[stock_level]]&lt;=WarehouseData[[#This Row],[reorder_point]],"Low Stock","Sufficient Stock")</f>
        <v>Low Stock</v>
      </c>
      <c r="Y1782">
        <f>WarehouseData[[#This Row],[daily_demand]]*WarehouseData[[#This Row],[lead_time_days]]</f>
        <v>22.82</v>
      </c>
      <c r="Z1782" t="str">
        <f>IF(WarehouseData[[#This Row],[stock_level]]&lt;=WarehouseData[[#This Row],[Demand During Lead Time]],"At Risk","Safe")</f>
        <v>Safe</v>
      </c>
      <c r="AA1782">
        <f>WarehouseData[[#This Row],[stock_level]]/WarehouseData[[#This Row],[daily_demand]]</f>
        <v>3.4180543382997368</v>
      </c>
      <c r="AB1782">
        <f>WarehouseData[[#This Row],[stock_level]]*WarehouseData[[#This Row],[unit_price]]</f>
        <v>2840.37</v>
      </c>
      <c r="AC1782">
        <f>WarehouseData[[#This Row],[stock_level]]*WarehouseData[[#This Row],[holding_cost_per_unit_day]]*30</f>
        <v>1485.9</v>
      </c>
      <c r="AD1782" t="str">
        <f>IF(WarehouseData[[#This Row],[order_fulfillment_rate]]&gt;=0.9,"Strong",IF(WarehouseData[[#This Row],[order_fulfillment_rate]]&gt;=0.8,"Moderate","Needs Attention"))</f>
        <v>Needs Attention</v>
      </c>
      <c r="AE1782" t="str">
        <f>IF(WarehouseData[[#This Row],[picking_time_seconds]]&gt;120,"Slow",IF(WarehouseData[[#This Row],[picking_time_seconds]]&gt;=60,"Average","Fast"))</f>
        <v>Slow</v>
      </c>
    </row>
    <row r="1783" spans="1:31" x14ac:dyDescent="0.25">
      <c r="A1783" t="s">
        <v>1921</v>
      </c>
      <c r="B1783" t="s">
        <v>32</v>
      </c>
      <c r="C1783">
        <v>241</v>
      </c>
      <c r="D1783">
        <v>69</v>
      </c>
      <c r="E1783">
        <v>14</v>
      </c>
      <c r="F1783">
        <v>4</v>
      </c>
      <c r="G1783">
        <v>11.21</v>
      </c>
      <c r="H1783">
        <v>1.98</v>
      </c>
      <c r="I1783">
        <v>0.78</v>
      </c>
      <c r="J1783" t="s">
        <v>281</v>
      </c>
      <c r="K1783" t="s">
        <v>34</v>
      </c>
      <c r="L1783">
        <v>98</v>
      </c>
      <c r="M1783">
        <v>1.18</v>
      </c>
      <c r="N1783">
        <v>41.36</v>
      </c>
      <c r="O1783">
        <v>1.1499999999999999</v>
      </c>
      <c r="P1783">
        <v>4</v>
      </c>
      <c r="Q1783">
        <v>0.99</v>
      </c>
      <c r="R1783">
        <v>455</v>
      </c>
      <c r="S1783">
        <v>11.7</v>
      </c>
      <c r="T1783">
        <v>0.47</v>
      </c>
      <c r="U1783" s="1">
        <v>45461</v>
      </c>
      <c r="V1783">
        <v>49.9</v>
      </c>
      <c r="W1783">
        <v>0.65300000000000002</v>
      </c>
      <c r="X1783" t="str">
        <f>IF(WarehouseData[[#This Row],[stock_level]]&lt;=WarehouseData[[#This Row],[reorder_point]],"Low Stock","Sufficient Stock")</f>
        <v>Sufficient Stock</v>
      </c>
      <c r="Y1783">
        <f>WarehouseData[[#This Row],[daily_demand]]*WarehouseData[[#This Row],[lead_time_days]]</f>
        <v>44.84</v>
      </c>
      <c r="Z1783" t="str">
        <f>IF(WarehouseData[[#This Row],[stock_level]]&lt;=WarehouseData[[#This Row],[Demand During Lead Time]],"At Risk","Safe")</f>
        <v>Safe</v>
      </c>
      <c r="AA1783">
        <f>WarehouseData[[#This Row],[stock_level]]/WarehouseData[[#This Row],[daily_demand]]</f>
        <v>21.498661909009812</v>
      </c>
      <c r="AB1783">
        <f>WarehouseData[[#This Row],[stock_level]]*WarehouseData[[#This Row],[unit_price]]</f>
        <v>9967.76</v>
      </c>
      <c r="AC1783">
        <f>WarehouseData[[#This Row],[stock_level]]*WarehouseData[[#This Row],[holding_cost_per_unit_day]]*30</f>
        <v>8314.5</v>
      </c>
      <c r="AD1783" t="str">
        <f>IF(WarehouseData[[#This Row],[order_fulfillment_rate]]&gt;=0.9,"Strong",IF(WarehouseData[[#This Row],[order_fulfillment_rate]]&gt;=0.8,"Moderate","Needs Attention"))</f>
        <v>Strong</v>
      </c>
      <c r="AE1783" t="str">
        <f>IF(WarehouseData[[#This Row],[picking_time_seconds]]&gt;120,"Slow",IF(WarehouseData[[#This Row],[picking_time_seconds]]&gt;=60,"Average","Fast"))</f>
        <v>Average</v>
      </c>
    </row>
    <row r="1784" spans="1:31" x14ac:dyDescent="0.25">
      <c r="A1784" t="s">
        <v>1922</v>
      </c>
      <c r="B1784" t="s">
        <v>40</v>
      </c>
      <c r="C1784">
        <v>185</v>
      </c>
      <c r="D1784">
        <v>67</v>
      </c>
      <c r="E1784">
        <v>5</v>
      </c>
      <c r="F1784">
        <v>8</v>
      </c>
      <c r="G1784">
        <v>7.14</v>
      </c>
      <c r="H1784">
        <v>1.2</v>
      </c>
      <c r="I1784">
        <v>0.94</v>
      </c>
      <c r="J1784" t="s">
        <v>75</v>
      </c>
      <c r="K1784" t="s">
        <v>38</v>
      </c>
      <c r="L1784">
        <v>26</v>
      </c>
      <c r="M1784">
        <v>2.59</v>
      </c>
      <c r="N1784">
        <v>81.88</v>
      </c>
      <c r="O1784">
        <v>1.4</v>
      </c>
      <c r="P1784">
        <v>2</v>
      </c>
      <c r="Q1784">
        <v>0.8</v>
      </c>
      <c r="R1784">
        <v>52</v>
      </c>
      <c r="S1784">
        <v>12.41</v>
      </c>
      <c r="T1784">
        <v>0.79</v>
      </c>
      <c r="U1784" s="1">
        <v>45482</v>
      </c>
      <c r="V1784">
        <v>10.09</v>
      </c>
      <c r="W1784">
        <v>0.70299999999999996</v>
      </c>
      <c r="X1784" t="str">
        <f>IF(WarehouseData[[#This Row],[stock_level]]&lt;=WarehouseData[[#This Row],[reorder_point]],"Low Stock","Sufficient Stock")</f>
        <v>Sufficient Stock</v>
      </c>
      <c r="Y1784">
        <f>WarehouseData[[#This Row],[daily_demand]]*WarehouseData[[#This Row],[lead_time_days]]</f>
        <v>57.12</v>
      </c>
      <c r="Z1784" t="str">
        <f>IF(WarehouseData[[#This Row],[stock_level]]&lt;=WarehouseData[[#This Row],[Demand During Lead Time]],"At Risk","Safe")</f>
        <v>Safe</v>
      </c>
      <c r="AA1784">
        <f>WarehouseData[[#This Row],[stock_level]]/WarehouseData[[#This Row],[daily_demand]]</f>
        <v>25.910364145658264</v>
      </c>
      <c r="AB1784">
        <f>WarehouseData[[#This Row],[stock_level]]*WarehouseData[[#This Row],[unit_price]]</f>
        <v>15147.8</v>
      </c>
      <c r="AC1784">
        <f>WarehouseData[[#This Row],[stock_level]]*WarehouseData[[#This Row],[holding_cost_per_unit_day]]*30</f>
        <v>7770</v>
      </c>
      <c r="AD1784" t="str">
        <f>IF(WarehouseData[[#This Row],[order_fulfillment_rate]]&gt;=0.9,"Strong",IF(WarehouseData[[#This Row],[order_fulfillment_rate]]&gt;=0.8,"Moderate","Needs Attention"))</f>
        <v>Moderate</v>
      </c>
      <c r="AE1784" t="str">
        <f>IF(WarehouseData[[#This Row],[picking_time_seconds]]&gt;120,"Slow",IF(WarehouseData[[#This Row],[picking_time_seconds]]&gt;=60,"Average","Fast"))</f>
        <v>Fast</v>
      </c>
    </row>
    <row r="1785" spans="1:31" x14ac:dyDescent="0.25">
      <c r="A1785" t="s">
        <v>1923</v>
      </c>
      <c r="B1785" t="s">
        <v>36</v>
      </c>
      <c r="C1785">
        <v>150</v>
      </c>
      <c r="D1785">
        <v>21</v>
      </c>
      <c r="E1785">
        <v>3</v>
      </c>
      <c r="F1785">
        <v>3</v>
      </c>
      <c r="G1785">
        <v>10.29</v>
      </c>
      <c r="H1785">
        <v>7.51</v>
      </c>
      <c r="I1785">
        <v>0.64</v>
      </c>
      <c r="J1785" t="s">
        <v>120</v>
      </c>
      <c r="K1785" t="s">
        <v>38</v>
      </c>
      <c r="L1785">
        <v>106</v>
      </c>
      <c r="M1785">
        <v>3.8</v>
      </c>
      <c r="N1785">
        <v>23.15</v>
      </c>
      <c r="O1785">
        <v>1.64</v>
      </c>
      <c r="P1785">
        <v>5</v>
      </c>
      <c r="Q1785">
        <v>0.83</v>
      </c>
      <c r="R1785">
        <v>58</v>
      </c>
      <c r="S1785">
        <v>9.76</v>
      </c>
      <c r="T1785">
        <v>0.66</v>
      </c>
      <c r="U1785" s="1">
        <v>45425</v>
      </c>
      <c r="V1785">
        <v>122.63</v>
      </c>
      <c r="W1785">
        <v>0.56399999999999995</v>
      </c>
      <c r="X1785" t="str">
        <f>IF(WarehouseData[[#This Row],[stock_level]]&lt;=WarehouseData[[#This Row],[reorder_point]],"Low Stock","Sufficient Stock")</f>
        <v>Sufficient Stock</v>
      </c>
      <c r="Y1785">
        <f>WarehouseData[[#This Row],[daily_demand]]*WarehouseData[[#This Row],[lead_time_days]]</f>
        <v>30.869999999999997</v>
      </c>
      <c r="Z1785" t="str">
        <f>IF(WarehouseData[[#This Row],[stock_level]]&lt;=WarehouseData[[#This Row],[Demand During Lead Time]],"At Risk","Safe")</f>
        <v>Safe</v>
      </c>
      <c r="AA1785">
        <f>WarehouseData[[#This Row],[stock_level]]/WarehouseData[[#This Row],[daily_demand]]</f>
        <v>14.577259475218661</v>
      </c>
      <c r="AB1785">
        <f>WarehouseData[[#This Row],[stock_level]]*WarehouseData[[#This Row],[unit_price]]</f>
        <v>3472.5</v>
      </c>
      <c r="AC1785">
        <f>WarehouseData[[#This Row],[stock_level]]*WarehouseData[[#This Row],[holding_cost_per_unit_day]]*30</f>
        <v>7379.9999999999991</v>
      </c>
      <c r="AD1785" t="str">
        <f>IF(WarehouseData[[#This Row],[order_fulfillment_rate]]&gt;=0.9,"Strong",IF(WarehouseData[[#This Row],[order_fulfillment_rate]]&gt;=0.8,"Moderate","Needs Attention"))</f>
        <v>Moderate</v>
      </c>
      <c r="AE1785" t="str">
        <f>IF(WarehouseData[[#This Row],[picking_time_seconds]]&gt;120,"Slow",IF(WarehouseData[[#This Row],[picking_time_seconds]]&gt;=60,"Average","Fast"))</f>
        <v>Average</v>
      </c>
    </row>
    <row r="1786" spans="1:31" x14ac:dyDescent="0.25">
      <c r="A1786" t="s">
        <v>1924</v>
      </c>
      <c r="B1786" t="s">
        <v>32</v>
      </c>
      <c r="C1786">
        <v>175</v>
      </c>
      <c r="D1786">
        <v>97</v>
      </c>
      <c r="E1786">
        <v>10</v>
      </c>
      <c r="F1786">
        <v>2</v>
      </c>
      <c r="G1786">
        <v>2.56</v>
      </c>
      <c r="H1786">
        <v>8.0500000000000007</v>
      </c>
      <c r="I1786">
        <v>0.67</v>
      </c>
      <c r="J1786" t="s">
        <v>95</v>
      </c>
      <c r="K1786" t="s">
        <v>38</v>
      </c>
      <c r="L1786">
        <v>64</v>
      </c>
      <c r="M1786">
        <v>0.52</v>
      </c>
      <c r="N1786">
        <v>146.38999999999999</v>
      </c>
      <c r="O1786">
        <v>1.32</v>
      </c>
      <c r="P1786">
        <v>9</v>
      </c>
      <c r="Q1786">
        <v>0.7</v>
      </c>
      <c r="R1786">
        <v>563</v>
      </c>
      <c r="S1786">
        <v>3.53</v>
      </c>
      <c r="T1786">
        <v>0.97</v>
      </c>
      <c r="U1786" s="1">
        <v>45591</v>
      </c>
      <c r="V1786">
        <v>95.4</v>
      </c>
      <c r="W1786">
        <v>0.46899999999999997</v>
      </c>
      <c r="X1786" t="str">
        <f>IF(WarehouseData[[#This Row],[stock_level]]&lt;=WarehouseData[[#This Row],[reorder_point]],"Low Stock","Sufficient Stock")</f>
        <v>Sufficient Stock</v>
      </c>
      <c r="Y1786">
        <f>WarehouseData[[#This Row],[daily_demand]]*WarehouseData[[#This Row],[lead_time_days]]</f>
        <v>5.12</v>
      </c>
      <c r="Z1786" t="str">
        <f>IF(WarehouseData[[#This Row],[stock_level]]&lt;=WarehouseData[[#This Row],[Demand During Lead Time]],"At Risk","Safe")</f>
        <v>Safe</v>
      </c>
      <c r="AA1786">
        <f>WarehouseData[[#This Row],[stock_level]]/WarehouseData[[#This Row],[daily_demand]]</f>
        <v>68.359375</v>
      </c>
      <c r="AB1786">
        <f>WarehouseData[[#This Row],[stock_level]]*WarehouseData[[#This Row],[unit_price]]</f>
        <v>25618.249999999996</v>
      </c>
      <c r="AC1786">
        <f>WarehouseData[[#This Row],[stock_level]]*WarehouseData[[#This Row],[holding_cost_per_unit_day]]*30</f>
        <v>6930</v>
      </c>
      <c r="AD1786" t="str">
        <f>IF(WarehouseData[[#This Row],[order_fulfillment_rate]]&gt;=0.9,"Strong",IF(WarehouseData[[#This Row],[order_fulfillment_rate]]&gt;=0.8,"Moderate","Needs Attention"))</f>
        <v>Needs Attention</v>
      </c>
      <c r="AE1786" t="str">
        <f>IF(WarehouseData[[#This Row],[picking_time_seconds]]&gt;120,"Slow",IF(WarehouseData[[#This Row],[picking_time_seconds]]&gt;=60,"Average","Fast"))</f>
        <v>Average</v>
      </c>
    </row>
    <row r="1787" spans="1:31" x14ac:dyDescent="0.25">
      <c r="A1787" t="s">
        <v>1925</v>
      </c>
      <c r="B1787" t="s">
        <v>48</v>
      </c>
      <c r="C1787">
        <v>203</v>
      </c>
      <c r="D1787">
        <v>78</v>
      </c>
      <c r="E1787">
        <v>8</v>
      </c>
      <c r="F1787">
        <v>4</v>
      </c>
      <c r="G1787">
        <v>34.04</v>
      </c>
      <c r="H1787">
        <v>4.3899999999999997</v>
      </c>
      <c r="I1787">
        <v>0.79</v>
      </c>
      <c r="J1787" t="s">
        <v>135</v>
      </c>
      <c r="K1787" t="s">
        <v>38</v>
      </c>
      <c r="L1787">
        <v>146</v>
      </c>
      <c r="M1787">
        <v>1.18</v>
      </c>
      <c r="N1787">
        <v>38.07</v>
      </c>
      <c r="O1787">
        <v>1.61</v>
      </c>
      <c r="P1787">
        <v>7</v>
      </c>
      <c r="Q1787">
        <v>0.92</v>
      </c>
      <c r="R1787">
        <v>287</v>
      </c>
      <c r="S1787">
        <v>12.11</v>
      </c>
      <c r="T1787">
        <v>0.8</v>
      </c>
      <c r="U1787" s="1">
        <v>45442</v>
      </c>
      <c r="V1787">
        <v>23.54</v>
      </c>
      <c r="W1787">
        <v>0.60399999999999998</v>
      </c>
      <c r="X1787" t="str">
        <f>IF(WarehouseData[[#This Row],[stock_level]]&lt;=WarehouseData[[#This Row],[reorder_point]],"Low Stock","Sufficient Stock")</f>
        <v>Sufficient Stock</v>
      </c>
      <c r="Y1787">
        <f>WarehouseData[[#This Row],[daily_demand]]*WarehouseData[[#This Row],[lead_time_days]]</f>
        <v>136.16</v>
      </c>
      <c r="Z1787" t="str">
        <f>IF(WarehouseData[[#This Row],[stock_level]]&lt;=WarehouseData[[#This Row],[Demand During Lead Time]],"At Risk","Safe")</f>
        <v>Safe</v>
      </c>
      <c r="AA1787">
        <f>WarehouseData[[#This Row],[stock_level]]/WarehouseData[[#This Row],[daily_demand]]</f>
        <v>5.9635722679200942</v>
      </c>
      <c r="AB1787">
        <f>WarehouseData[[#This Row],[stock_level]]*WarehouseData[[#This Row],[unit_price]]</f>
        <v>7728.21</v>
      </c>
      <c r="AC1787">
        <f>WarehouseData[[#This Row],[stock_level]]*WarehouseData[[#This Row],[holding_cost_per_unit_day]]*30</f>
        <v>9804.9000000000015</v>
      </c>
      <c r="AD1787" t="str">
        <f>IF(WarehouseData[[#This Row],[order_fulfillment_rate]]&gt;=0.9,"Strong",IF(WarehouseData[[#This Row],[order_fulfillment_rate]]&gt;=0.8,"Moderate","Needs Attention"))</f>
        <v>Strong</v>
      </c>
      <c r="AE1787" t="str">
        <f>IF(WarehouseData[[#This Row],[picking_time_seconds]]&gt;120,"Slow",IF(WarehouseData[[#This Row],[picking_time_seconds]]&gt;=60,"Average","Fast"))</f>
        <v>Slow</v>
      </c>
    </row>
    <row r="1788" spans="1:31" x14ac:dyDescent="0.25">
      <c r="A1788" t="s">
        <v>1926</v>
      </c>
      <c r="B1788" t="s">
        <v>48</v>
      </c>
      <c r="C1788">
        <v>109</v>
      </c>
      <c r="D1788">
        <v>93</v>
      </c>
      <c r="E1788">
        <v>4</v>
      </c>
      <c r="F1788">
        <v>8</v>
      </c>
      <c r="G1788">
        <v>20.67</v>
      </c>
      <c r="H1788">
        <v>4.26</v>
      </c>
      <c r="I1788">
        <v>0.24</v>
      </c>
      <c r="J1788" t="s">
        <v>110</v>
      </c>
      <c r="K1788" t="s">
        <v>38</v>
      </c>
      <c r="L1788">
        <v>119</v>
      </c>
      <c r="M1788">
        <v>0.59</v>
      </c>
      <c r="N1788">
        <v>64.17</v>
      </c>
      <c r="O1788">
        <v>0.46</v>
      </c>
      <c r="P1788">
        <v>4</v>
      </c>
      <c r="Q1788">
        <v>0.82</v>
      </c>
      <c r="R1788">
        <v>589</v>
      </c>
      <c r="S1788">
        <v>13.6</v>
      </c>
      <c r="T1788">
        <v>0.44</v>
      </c>
      <c r="U1788" s="1">
        <v>45529</v>
      </c>
      <c r="V1788">
        <v>257.01</v>
      </c>
      <c r="W1788">
        <v>0.70699999999999996</v>
      </c>
      <c r="X1788" t="str">
        <f>IF(WarehouseData[[#This Row],[stock_level]]&lt;=WarehouseData[[#This Row],[reorder_point]],"Low Stock","Sufficient Stock")</f>
        <v>Sufficient Stock</v>
      </c>
      <c r="Y1788">
        <f>WarehouseData[[#This Row],[daily_demand]]*WarehouseData[[#This Row],[lead_time_days]]</f>
        <v>165.36</v>
      </c>
      <c r="Z1788" t="str">
        <f>IF(WarehouseData[[#This Row],[stock_level]]&lt;=WarehouseData[[#This Row],[Demand During Lead Time]],"At Risk","Safe")</f>
        <v>At Risk</v>
      </c>
      <c r="AA1788">
        <f>WarehouseData[[#This Row],[stock_level]]/WarehouseData[[#This Row],[daily_demand]]</f>
        <v>5.2733430091920654</v>
      </c>
      <c r="AB1788">
        <f>WarehouseData[[#This Row],[stock_level]]*WarehouseData[[#This Row],[unit_price]]</f>
        <v>6994.53</v>
      </c>
      <c r="AC1788">
        <f>WarehouseData[[#This Row],[stock_level]]*WarehouseData[[#This Row],[holding_cost_per_unit_day]]*30</f>
        <v>1504.2</v>
      </c>
      <c r="AD1788" t="str">
        <f>IF(WarehouseData[[#This Row],[order_fulfillment_rate]]&gt;=0.9,"Strong",IF(WarehouseData[[#This Row],[order_fulfillment_rate]]&gt;=0.8,"Moderate","Needs Attention"))</f>
        <v>Moderate</v>
      </c>
      <c r="AE1788" t="str">
        <f>IF(WarehouseData[[#This Row],[picking_time_seconds]]&gt;120,"Slow",IF(WarehouseData[[#This Row],[picking_time_seconds]]&gt;=60,"Average","Fast"))</f>
        <v>Average</v>
      </c>
    </row>
    <row r="1789" spans="1:31" x14ac:dyDescent="0.25">
      <c r="A1789" t="s">
        <v>1927</v>
      </c>
      <c r="B1789" t="s">
        <v>73</v>
      </c>
      <c r="C1789">
        <v>113</v>
      </c>
      <c r="D1789">
        <v>48</v>
      </c>
      <c r="E1789">
        <v>10</v>
      </c>
      <c r="F1789">
        <v>3</v>
      </c>
      <c r="G1789">
        <v>28.51</v>
      </c>
      <c r="H1789">
        <v>9.57</v>
      </c>
      <c r="I1789">
        <v>0.98</v>
      </c>
      <c r="J1789" t="s">
        <v>106</v>
      </c>
      <c r="K1789" t="s">
        <v>52</v>
      </c>
      <c r="L1789">
        <v>25</v>
      </c>
      <c r="M1789">
        <v>4.97</v>
      </c>
      <c r="N1789">
        <v>177.41</v>
      </c>
      <c r="O1789">
        <v>0.63</v>
      </c>
      <c r="P1789">
        <v>4</v>
      </c>
      <c r="Q1789">
        <v>0.73</v>
      </c>
      <c r="R1789">
        <v>339</v>
      </c>
      <c r="S1789">
        <v>9.8699999999999992</v>
      </c>
      <c r="T1789">
        <v>0.36</v>
      </c>
      <c r="U1789" s="1">
        <v>45352</v>
      </c>
      <c r="V1789">
        <v>129.13</v>
      </c>
      <c r="W1789">
        <v>0.60699999999999998</v>
      </c>
      <c r="X1789" t="str">
        <f>IF(WarehouseData[[#This Row],[stock_level]]&lt;=WarehouseData[[#This Row],[reorder_point]],"Low Stock","Sufficient Stock")</f>
        <v>Sufficient Stock</v>
      </c>
      <c r="Y1789">
        <f>WarehouseData[[#This Row],[daily_demand]]*WarehouseData[[#This Row],[lead_time_days]]</f>
        <v>85.53</v>
      </c>
      <c r="Z1789" t="str">
        <f>IF(WarehouseData[[#This Row],[stock_level]]&lt;=WarehouseData[[#This Row],[Demand During Lead Time]],"At Risk","Safe")</f>
        <v>Safe</v>
      </c>
      <c r="AA1789">
        <f>WarehouseData[[#This Row],[stock_level]]/WarehouseData[[#This Row],[daily_demand]]</f>
        <v>3.9635215713784633</v>
      </c>
      <c r="AB1789">
        <f>WarehouseData[[#This Row],[stock_level]]*WarehouseData[[#This Row],[unit_price]]</f>
        <v>20047.329999999998</v>
      </c>
      <c r="AC1789">
        <f>WarehouseData[[#This Row],[stock_level]]*WarehouseData[[#This Row],[holding_cost_per_unit_day]]*30</f>
        <v>2135.6999999999998</v>
      </c>
      <c r="AD1789" t="str">
        <f>IF(WarehouseData[[#This Row],[order_fulfillment_rate]]&gt;=0.9,"Strong",IF(WarehouseData[[#This Row],[order_fulfillment_rate]]&gt;=0.8,"Moderate","Needs Attention"))</f>
        <v>Needs Attention</v>
      </c>
      <c r="AE1789" t="str">
        <f>IF(WarehouseData[[#This Row],[picking_time_seconds]]&gt;120,"Slow",IF(WarehouseData[[#This Row],[picking_time_seconds]]&gt;=60,"Average","Fast"))</f>
        <v>Fast</v>
      </c>
    </row>
    <row r="1790" spans="1:31" x14ac:dyDescent="0.25">
      <c r="A1790" t="s">
        <v>1928</v>
      </c>
      <c r="B1790" t="s">
        <v>36</v>
      </c>
      <c r="C1790">
        <v>32</v>
      </c>
      <c r="D1790">
        <v>22</v>
      </c>
      <c r="E1790">
        <v>8</v>
      </c>
      <c r="F1790">
        <v>2</v>
      </c>
      <c r="G1790">
        <v>32.21</v>
      </c>
      <c r="H1790">
        <v>9.2100000000000009</v>
      </c>
      <c r="I1790">
        <v>0.43</v>
      </c>
      <c r="J1790" t="s">
        <v>178</v>
      </c>
      <c r="K1790" t="s">
        <v>52</v>
      </c>
      <c r="L1790">
        <v>153</v>
      </c>
      <c r="M1790">
        <v>3.92</v>
      </c>
      <c r="N1790">
        <v>112.69</v>
      </c>
      <c r="O1790">
        <v>0.54</v>
      </c>
      <c r="P1790">
        <v>2</v>
      </c>
      <c r="Q1790">
        <v>0.99</v>
      </c>
      <c r="R1790">
        <v>230</v>
      </c>
      <c r="S1790">
        <v>4.8499999999999996</v>
      </c>
      <c r="T1790">
        <v>0.88</v>
      </c>
      <c r="U1790" s="1">
        <v>45532</v>
      </c>
      <c r="V1790">
        <v>234.69</v>
      </c>
      <c r="W1790">
        <v>0.745</v>
      </c>
      <c r="X1790" t="str">
        <f>IF(WarehouseData[[#This Row],[stock_level]]&lt;=WarehouseData[[#This Row],[reorder_point]],"Low Stock","Sufficient Stock")</f>
        <v>Sufficient Stock</v>
      </c>
      <c r="Y1790">
        <f>WarehouseData[[#This Row],[daily_demand]]*WarehouseData[[#This Row],[lead_time_days]]</f>
        <v>64.42</v>
      </c>
      <c r="Z1790" t="str">
        <f>IF(WarehouseData[[#This Row],[stock_level]]&lt;=WarehouseData[[#This Row],[Demand During Lead Time]],"At Risk","Safe")</f>
        <v>At Risk</v>
      </c>
      <c r="AA1790">
        <f>WarehouseData[[#This Row],[stock_level]]/WarehouseData[[#This Row],[daily_demand]]</f>
        <v>0.9934802856255821</v>
      </c>
      <c r="AB1790">
        <f>WarehouseData[[#This Row],[stock_level]]*WarehouseData[[#This Row],[unit_price]]</f>
        <v>3606.08</v>
      </c>
      <c r="AC1790">
        <f>WarehouseData[[#This Row],[stock_level]]*WarehouseData[[#This Row],[holding_cost_per_unit_day]]*30</f>
        <v>518.40000000000009</v>
      </c>
      <c r="AD1790" t="str">
        <f>IF(WarehouseData[[#This Row],[order_fulfillment_rate]]&gt;=0.9,"Strong",IF(WarehouseData[[#This Row],[order_fulfillment_rate]]&gt;=0.8,"Moderate","Needs Attention"))</f>
        <v>Strong</v>
      </c>
      <c r="AE1790" t="str">
        <f>IF(WarehouseData[[#This Row],[picking_time_seconds]]&gt;120,"Slow",IF(WarehouseData[[#This Row],[picking_time_seconds]]&gt;=60,"Average","Fast"))</f>
        <v>Slow</v>
      </c>
    </row>
    <row r="1791" spans="1:31" x14ac:dyDescent="0.25">
      <c r="A1791" t="s">
        <v>1929</v>
      </c>
      <c r="B1791" t="s">
        <v>32</v>
      </c>
      <c r="C1791">
        <v>480</v>
      </c>
      <c r="D1791">
        <v>50</v>
      </c>
      <c r="E1791">
        <v>9</v>
      </c>
      <c r="F1791">
        <v>8</v>
      </c>
      <c r="G1791">
        <v>48.65</v>
      </c>
      <c r="H1791">
        <v>2.72</v>
      </c>
      <c r="I1791">
        <v>0.67</v>
      </c>
      <c r="J1791" t="s">
        <v>338</v>
      </c>
      <c r="K1791" t="s">
        <v>46</v>
      </c>
      <c r="L1791">
        <v>22</v>
      </c>
      <c r="M1791">
        <v>2.1800000000000002</v>
      </c>
      <c r="N1791">
        <v>71.05</v>
      </c>
      <c r="O1791">
        <v>1.62</v>
      </c>
      <c r="P1791">
        <v>2</v>
      </c>
      <c r="Q1791">
        <v>0.93</v>
      </c>
      <c r="R1791">
        <v>364</v>
      </c>
      <c r="S1791">
        <v>3.51</v>
      </c>
      <c r="T1791">
        <v>0.93</v>
      </c>
      <c r="U1791" s="1">
        <v>45319</v>
      </c>
      <c r="V1791">
        <v>132.38999999999999</v>
      </c>
      <c r="W1791">
        <v>0.61699999999999999</v>
      </c>
      <c r="X1791" t="str">
        <f>IF(WarehouseData[[#This Row],[stock_level]]&lt;=WarehouseData[[#This Row],[reorder_point]],"Low Stock","Sufficient Stock")</f>
        <v>Sufficient Stock</v>
      </c>
      <c r="Y1791">
        <f>WarehouseData[[#This Row],[daily_demand]]*WarehouseData[[#This Row],[lead_time_days]]</f>
        <v>389.2</v>
      </c>
      <c r="Z1791" t="str">
        <f>IF(WarehouseData[[#This Row],[stock_level]]&lt;=WarehouseData[[#This Row],[Demand During Lead Time]],"At Risk","Safe")</f>
        <v>Safe</v>
      </c>
      <c r="AA1791">
        <f>WarehouseData[[#This Row],[stock_level]]/WarehouseData[[#This Row],[daily_demand]]</f>
        <v>9.8663926002055504</v>
      </c>
      <c r="AB1791">
        <f>WarehouseData[[#This Row],[stock_level]]*WarehouseData[[#This Row],[unit_price]]</f>
        <v>34104</v>
      </c>
      <c r="AC1791">
        <f>WarehouseData[[#This Row],[stock_level]]*WarehouseData[[#This Row],[holding_cost_per_unit_day]]*30</f>
        <v>23328</v>
      </c>
      <c r="AD1791" t="str">
        <f>IF(WarehouseData[[#This Row],[order_fulfillment_rate]]&gt;=0.9,"Strong",IF(WarehouseData[[#This Row],[order_fulfillment_rate]]&gt;=0.8,"Moderate","Needs Attention"))</f>
        <v>Strong</v>
      </c>
      <c r="AE1791" t="str">
        <f>IF(WarehouseData[[#This Row],[picking_time_seconds]]&gt;120,"Slow",IF(WarehouseData[[#This Row],[picking_time_seconds]]&gt;=60,"Average","Fast"))</f>
        <v>Fast</v>
      </c>
    </row>
    <row r="1792" spans="1:31" x14ac:dyDescent="0.25">
      <c r="A1792" t="s">
        <v>1930</v>
      </c>
      <c r="B1792" t="s">
        <v>48</v>
      </c>
      <c r="C1792">
        <v>341</v>
      </c>
      <c r="D1792">
        <v>66</v>
      </c>
      <c r="E1792">
        <v>13</v>
      </c>
      <c r="F1792">
        <v>5</v>
      </c>
      <c r="G1792">
        <v>4.3499999999999996</v>
      </c>
      <c r="H1792">
        <v>7.92</v>
      </c>
      <c r="I1792">
        <v>0.52</v>
      </c>
      <c r="J1792" t="s">
        <v>289</v>
      </c>
      <c r="K1792" t="s">
        <v>52</v>
      </c>
      <c r="L1792">
        <v>87</v>
      </c>
      <c r="M1792">
        <v>1.2</v>
      </c>
      <c r="N1792">
        <v>114.06</v>
      </c>
      <c r="O1792">
        <v>0.26</v>
      </c>
      <c r="P1792">
        <v>7</v>
      </c>
      <c r="Q1792">
        <v>0.92</v>
      </c>
      <c r="R1792">
        <v>315</v>
      </c>
      <c r="S1792">
        <v>4.24</v>
      </c>
      <c r="T1792">
        <v>0.86</v>
      </c>
      <c r="U1792" s="1">
        <v>45616</v>
      </c>
      <c r="V1792">
        <v>29.58</v>
      </c>
      <c r="W1792">
        <v>0.64700000000000002</v>
      </c>
      <c r="X1792" t="str">
        <f>IF(WarehouseData[[#This Row],[stock_level]]&lt;=WarehouseData[[#This Row],[reorder_point]],"Low Stock","Sufficient Stock")</f>
        <v>Sufficient Stock</v>
      </c>
      <c r="Y1792">
        <f>WarehouseData[[#This Row],[daily_demand]]*WarehouseData[[#This Row],[lead_time_days]]</f>
        <v>21.75</v>
      </c>
      <c r="Z1792" t="str">
        <f>IF(WarehouseData[[#This Row],[stock_level]]&lt;=WarehouseData[[#This Row],[Demand During Lead Time]],"At Risk","Safe")</f>
        <v>Safe</v>
      </c>
      <c r="AA1792">
        <f>WarehouseData[[#This Row],[stock_level]]/WarehouseData[[#This Row],[daily_demand]]</f>
        <v>78.390804597701162</v>
      </c>
      <c r="AB1792">
        <f>WarehouseData[[#This Row],[stock_level]]*WarehouseData[[#This Row],[unit_price]]</f>
        <v>38894.46</v>
      </c>
      <c r="AC1792">
        <f>WarehouseData[[#This Row],[stock_level]]*WarehouseData[[#This Row],[holding_cost_per_unit_day]]*30</f>
        <v>2659.7999999999997</v>
      </c>
      <c r="AD1792" t="str">
        <f>IF(WarehouseData[[#This Row],[order_fulfillment_rate]]&gt;=0.9,"Strong",IF(WarehouseData[[#This Row],[order_fulfillment_rate]]&gt;=0.8,"Moderate","Needs Attention"))</f>
        <v>Strong</v>
      </c>
      <c r="AE1792" t="str">
        <f>IF(WarehouseData[[#This Row],[picking_time_seconds]]&gt;120,"Slow",IF(WarehouseData[[#This Row],[picking_time_seconds]]&gt;=60,"Average","Fast"))</f>
        <v>Average</v>
      </c>
    </row>
    <row r="1793" spans="1:31" x14ac:dyDescent="0.25">
      <c r="A1793" t="s">
        <v>1931</v>
      </c>
      <c r="B1793" t="s">
        <v>36</v>
      </c>
      <c r="C1793">
        <v>312</v>
      </c>
      <c r="D1793">
        <v>62</v>
      </c>
      <c r="E1793">
        <v>3</v>
      </c>
      <c r="F1793">
        <v>9</v>
      </c>
      <c r="G1793">
        <v>21.48</v>
      </c>
      <c r="H1793">
        <v>6.42</v>
      </c>
      <c r="I1793">
        <v>0.52</v>
      </c>
      <c r="J1793" t="s">
        <v>212</v>
      </c>
      <c r="K1793" t="s">
        <v>34</v>
      </c>
      <c r="L1793">
        <v>94</v>
      </c>
      <c r="M1793">
        <v>0.91</v>
      </c>
      <c r="N1793">
        <v>51.47</v>
      </c>
      <c r="O1793">
        <v>1.61</v>
      </c>
      <c r="P1793">
        <v>0</v>
      </c>
      <c r="Q1793">
        <v>0.99</v>
      </c>
      <c r="R1793">
        <v>132</v>
      </c>
      <c r="S1793">
        <v>1.24</v>
      </c>
      <c r="T1793">
        <v>0.79</v>
      </c>
      <c r="U1793" s="1">
        <v>45590</v>
      </c>
      <c r="V1793">
        <v>124.34</v>
      </c>
      <c r="W1793">
        <v>0.61199999999999999</v>
      </c>
      <c r="X1793" t="str">
        <f>IF(WarehouseData[[#This Row],[stock_level]]&lt;=WarehouseData[[#This Row],[reorder_point]],"Low Stock","Sufficient Stock")</f>
        <v>Sufficient Stock</v>
      </c>
      <c r="Y1793">
        <f>WarehouseData[[#This Row],[daily_demand]]*WarehouseData[[#This Row],[lead_time_days]]</f>
        <v>193.32</v>
      </c>
      <c r="Z1793" t="str">
        <f>IF(WarehouseData[[#This Row],[stock_level]]&lt;=WarehouseData[[#This Row],[Demand During Lead Time]],"At Risk","Safe")</f>
        <v>Safe</v>
      </c>
      <c r="AA1793">
        <f>WarehouseData[[#This Row],[stock_level]]/WarehouseData[[#This Row],[daily_demand]]</f>
        <v>14.525139664804469</v>
      </c>
      <c r="AB1793">
        <f>WarehouseData[[#This Row],[stock_level]]*WarehouseData[[#This Row],[unit_price]]</f>
        <v>16058.64</v>
      </c>
      <c r="AC1793">
        <f>WarehouseData[[#This Row],[stock_level]]*WarehouseData[[#This Row],[holding_cost_per_unit_day]]*30</f>
        <v>15069.600000000002</v>
      </c>
      <c r="AD1793" t="str">
        <f>IF(WarehouseData[[#This Row],[order_fulfillment_rate]]&gt;=0.9,"Strong",IF(WarehouseData[[#This Row],[order_fulfillment_rate]]&gt;=0.8,"Moderate","Needs Attention"))</f>
        <v>Strong</v>
      </c>
      <c r="AE1793" t="str">
        <f>IF(WarehouseData[[#This Row],[picking_time_seconds]]&gt;120,"Slow",IF(WarehouseData[[#This Row],[picking_time_seconds]]&gt;=60,"Average","Fast"))</f>
        <v>Average</v>
      </c>
    </row>
    <row r="1794" spans="1:31" x14ac:dyDescent="0.25">
      <c r="A1794" t="s">
        <v>1932</v>
      </c>
      <c r="B1794" t="s">
        <v>73</v>
      </c>
      <c r="C1794">
        <v>452</v>
      </c>
      <c r="D1794">
        <v>21</v>
      </c>
      <c r="E1794">
        <v>9</v>
      </c>
      <c r="F1794">
        <v>7</v>
      </c>
      <c r="G1794">
        <v>13.05</v>
      </c>
      <c r="H1794">
        <v>1.97</v>
      </c>
      <c r="I1794">
        <v>0.73</v>
      </c>
      <c r="J1794" t="s">
        <v>215</v>
      </c>
      <c r="K1794" t="s">
        <v>52</v>
      </c>
      <c r="L1794">
        <v>82</v>
      </c>
      <c r="M1794">
        <v>2.89</v>
      </c>
      <c r="N1794">
        <v>14.78</v>
      </c>
      <c r="O1794">
        <v>0.84</v>
      </c>
      <c r="P1794">
        <v>3</v>
      </c>
      <c r="Q1794">
        <v>0.82</v>
      </c>
      <c r="R1794">
        <v>910</v>
      </c>
      <c r="S1794">
        <v>1.1399999999999999</v>
      </c>
      <c r="T1794">
        <v>0.46</v>
      </c>
      <c r="U1794" s="1">
        <v>45589</v>
      </c>
      <c r="V1794">
        <v>266.98</v>
      </c>
      <c r="W1794">
        <v>0.52700000000000002</v>
      </c>
      <c r="X1794" t="str">
        <f>IF(WarehouseData[[#This Row],[stock_level]]&lt;=WarehouseData[[#This Row],[reorder_point]],"Low Stock","Sufficient Stock")</f>
        <v>Sufficient Stock</v>
      </c>
      <c r="Y1794">
        <f>WarehouseData[[#This Row],[daily_demand]]*WarehouseData[[#This Row],[lead_time_days]]</f>
        <v>91.350000000000009</v>
      </c>
      <c r="Z1794" t="str">
        <f>IF(WarehouseData[[#This Row],[stock_level]]&lt;=WarehouseData[[#This Row],[Demand During Lead Time]],"At Risk","Safe")</f>
        <v>Safe</v>
      </c>
      <c r="AA1794">
        <f>WarehouseData[[#This Row],[stock_level]]/WarehouseData[[#This Row],[daily_demand]]</f>
        <v>34.636015325670499</v>
      </c>
      <c r="AB1794">
        <f>WarehouseData[[#This Row],[stock_level]]*WarehouseData[[#This Row],[unit_price]]</f>
        <v>6680.5599999999995</v>
      </c>
      <c r="AC1794">
        <f>WarehouseData[[#This Row],[stock_level]]*WarehouseData[[#This Row],[holding_cost_per_unit_day]]*30</f>
        <v>11390.4</v>
      </c>
      <c r="AD1794" t="str">
        <f>IF(WarehouseData[[#This Row],[order_fulfillment_rate]]&gt;=0.9,"Strong",IF(WarehouseData[[#This Row],[order_fulfillment_rate]]&gt;=0.8,"Moderate","Needs Attention"))</f>
        <v>Moderate</v>
      </c>
      <c r="AE1794" t="str">
        <f>IF(WarehouseData[[#This Row],[picking_time_seconds]]&gt;120,"Slow",IF(WarehouseData[[#This Row],[picking_time_seconds]]&gt;=60,"Average","Fast"))</f>
        <v>Average</v>
      </c>
    </row>
    <row r="1795" spans="1:31" x14ac:dyDescent="0.25">
      <c r="A1795" t="s">
        <v>1933</v>
      </c>
      <c r="B1795" t="s">
        <v>40</v>
      </c>
      <c r="C1795">
        <v>249</v>
      </c>
      <c r="D1795">
        <v>22</v>
      </c>
      <c r="E1795">
        <v>5</v>
      </c>
      <c r="F1795">
        <v>7</v>
      </c>
      <c r="G1795">
        <v>24.36</v>
      </c>
      <c r="H1795">
        <v>3.89</v>
      </c>
      <c r="I1795">
        <v>1</v>
      </c>
      <c r="J1795" t="s">
        <v>228</v>
      </c>
      <c r="K1795" t="s">
        <v>34</v>
      </c>
      <c r="L1795">
        <v>128</v>
      </c>
      <c r="M1795">
        <v>4.8899999999999997</v>
      </c>
      <c r="N1795">
        <v>124.71</v>
      </c>
      <c r="O1795">
        <v>0.25</v>
      </c>
      <c r="P1795">
        <v>8</v>
      </c>
      <c r="Q1795">
        <v>0.92</v>
      </c>
      <c r="R1795">
        <v>814</v>
      </c>
      <c r="S1795">
        <v>5.16</v>
      </c>
      <c r="T1795">
        <v>0.6</v>
      </c>
      <c r="U1795" s="1">
        <v>45609</v>
      </c>
      <c r="V1795">
        <v>12.25</v>
      </c>
      <c r="W1795">
        <v>0.58799999999999997</v>
      </c>
      <c r="X1795" t="str">
        <f>IF(WarehouseData[[#This Row],[stock_level]]&lt;=WarehouseData[[#This Row],[reorder_point]],"Low Stock","Sufficient Stock")</f>
        <v>Sufficient Stock</v>
      </c>
      <c r="Y1795">
        <f>WarehouseData[[#This Row],[daily_demand]]*WarehouseData[[#This Row],[lead_time_days]]</f>
        <v>170.51999999999998</v>
      </c>
      <c r="Z1795" t="str">
        <f>IF(WarehouseData[[#This Row],[stock_level]]&lt;=WarehouseData[[#This Row],[Demand During Lead Time]],"At Risk","Safe")</f>
        <v>Safe</v>
      </c>
      <c r="AA1795">
        <f>WarehouseData[[#This Row],[stock_level]]/WarehouseData[[#This Row],[daily_demand]]</f>
        <v>10.22167487684729</v>
      </c>
      <c r="AB1795">
        <f>WarehouseData[[#This Row],[stock_level]]*WarehouseData[[#This Row],[unit_price]]</f>
        <v>31052.789999999997</v>
      </c>
      <c r="AC1795">
        <f>WarehouseData[[#This Row],[stock_level]]*WarehouseData[[#This Row],[holding_cost_per_unit_day]]*30</f>
        <v>1867.5</v>
      </c>
      <c r="AD1795" t="str">
        <f>IF(WarehouseData[[#This Row],[order_fulfillment_rate]]&gt;=0.9,"Strong",IF(WarehouseData[[#This Row],[order_fulfillment_rate]]&gt;=0.8,"Moderate","Needs Attention"))</f>
        <v>Strong</v>
      </c>
      <c r="AE1795" t="str">
        <f>IF(WarehouseData[[#This Row],[picking_time_seconds]]&gt;120,"Slow",IF(WarehouseData[[#This Row],[picking_time_seconds]]&gt;=60,"Average","Fast"))</f>
        <v>Slow</v>
      </c>
    </row>
    <row r="1796" spans="1:31" x14ac:dyDescent="0.25">
      <c r="A1796" t="s">
        <v>1934</v>
      </c>
      <c r="B1796" t="s">
        <v>36</v>
      </c>
      <c r="C1796">
        <v>341</v>
      </c>
      <c r="D1796">
        <v>83</v>
      </c>
      <c r="E1796">
        <v>13</v>
      </c>
      <c r="F1796">
        <v>3</v>
      </c>
      <c r="G1796">
        <v>46.1</v>
      </c>
      <c r="H1796">
        <v>2.19</v>
      </c>
      <c r="I1796">
        <v>0.69</v>
      </c>
      <c r="J1796" t="s">
        <v>273</v>
      </c>
      <c r="K1796" t="s">
        <v>52</v>
      </c>
      <c r="L1796">
        <v>178</v>
      </c>
      <c r="M1796">
        <v>3.54</v>
      </c>
      <c r="N1796">
        <v>145.68</v>
      </c>
      <c r="O1796">
        <v>0.91</v>
      </c>
      <c r="P1796">
        <v>5</v>
      </c>
      <c r="Q1796">
        <v>0.76</v>
      </c>
      <c r="R1796">
        <v>307</v>
      </c>
      <c r="S1796">
        <v>13.92</v>
      </c>
      <c r="T1796">
        <v>0.93</v>
      </c>
      <c r="U1796" s="1">
        <v>45328</v>
      </c>
      <c r="V1796">
        <v>269.64</v>
      </c>
      <c r="W1796">
        <v>0.73299999999999998</v>
      </c>
      <c r="X1796" t="str">
        <f>IF(WarehouseData[[#This Row],[stock_level]]&lt;=WarehouseData[[#This Row],[reorder_point]],"Low Stock","Sufficient Stock")</f>
        <v>Sufficient Stock</v>
      </c>
      <c r="Y1796">
        <f>WarehouseData[[#This Row],[daily_demand]]*WarehouseData[[#This Row],[lead_time_days]]</f>
        <v>138.30000000000001</v>
      </c>
      <c r="Z1796" t="str">
        <f>IF(WarehouseData[[#This Row],[stock_level]]&lt;=WarehouseData[[#This Row],[Demand During Lead Time]],"At Risk","Safe")</f>
        <v>Safe</v>
      </c>
      <c r="AA1796">
        <f>WarehouseData[[#This Row],[stock_level]]/WarehouseData[[#This Row],[daily_demand]]</f>
        <v>7.3969631236442517</v>
      </c>
      <c r="AB1796">
        <f>WarehouseData[[#This Row],[stock_level]]*WarehouseData[[#This Row],[unit_price]]</f>
        <v>49676.880000000005</v>
      </c>
      <c r="AC1796">
        <f>WarehouseData[[#This Row],[stock_level]]*WarehouseData[[#This Row],[holding_cost_per_unit_day]]*30</f>
        <v>9309.2999999999993</v>
      </c>
      <c r="AD1796" t="str">
        <f>IF(WarehouseData[[#This Row],[order_fulfillment_rate]]&gt;=0.9,"Strong",IF(WarehouseData[[#This Row],[order_fulfillment_rate]]&gt;=0.8,"Moderate","Needs Attention"))</f>
        <v>Needs Attention</v>
      </c>
      <c r="AE1796" t="str">
        <f>IF(WarehouseData[[#This Row],[picking_time_seconds]]&gt;120,"Slow",IF(WarehouseData[[#This Row],[picking_time_seconds]]&gt;=60,"Average","Fast"))</f>
        <v>Slow</v>
      </c>
    </row>
    <row r="1797" spans="1:31" x14ac:dyDescent="0.25">
      <c r="A1797" t="s">
        <v>1935</v>
      </c>
      <c r="B1797" t="s">
        <v>36</v>
      </c>
      <c r="C1797">
        <v>311</v>
      </c>
      <c r="D1797">
        <v>66</v>
      </c>
      <c r="E1797">
        <v>14</v>
      </c>
      <c r="F1797">
        <v>3</v>
      </c>
      <c r="G1797">
        <v>36.479999999999997</v>
      </c>
      <c r="H1797">
        <v>3.3</v>
      </c>
      <c r="I1797">
        <v>0.81</v>
      </c>
      <c r="J1797" t="s">
        <v>142</v>
      </c>
      <c r="K1797" t="s">
        <v>38</v>
      </c>
      <c r="L1797">
        <v>77</v>
      </c>
      <c r="M1797">
        <v>2.14</v>
      </c>
      <c r="N1797">
        <v>177.16</v>
      </c>
      <c r="O1797">
        <v>0.67</v>
      </c>
      <c r="P1797">
        <v>5</v>
      </c>
      <c r="Q1797">
        <v>0.91</v>
      </c>
      <c r="R1797">
        <v>609</v>
      </c>
      <c r="S1797">
        <v>9.6999999999999993</v>
      </c>
      <c r="T1797">
        <v>0.31</v>
      </c>
      <c r="U1797" s="1">
        <v>45533</v>
      </c>
      <c r="V1797">
        <v>200.45</v>
      </c>
      <c r="W1797">
        <v>0.60599999999999998</v>
      </c>
      <c r="X1797" t="str">
        <f>IF(WarehouseData[[#This Row],[stock_level]]&lt;=WarehouseData[[#This Row],[reorder_point]],"Low Stock","Sufficient Stock")</f>
        <v>Sufficient Stock</v>
      </c>
      <c r="Y1797">
        <f>WarehouseData[[#This Row],[daily_demand]]*WarehouseData[[#This Row],[lead_time_days]]</f>
        <v>109.44</v>
      </c>
      <c r="Z1797" t="str">
        <f>IF(WarehouseData[[#This Row],[stock_level]]&lt;=WarehouseData[[#This Row],[Demand During Lead Time]],"At Risk","Safe")</f>
        <v>Safe</v>
      </c>
      <c r="AA1797">
        <f>WarehouseData[[#This Row],[stock_level]]/WarehouseData[[#This Row],[daily_demand]]</f>
        <v>8.5252192982456148</v>
      </c>
      <c r="AB1797">
        <f>WarehouseData[[#This Row],[stock_level]]*WarehouseData[[#This Row],[unit_price]]</f>
        <v>55096.76</v>
      </c>
      <c r="AC1797">
        <f>WarehouseData[[#This Row],[stock_level]]*WarehouseData[[#This Row],[holding_cost_per_unit_day]]*30</f>
        <v>6251.1</v>
      </c>
      <c r="AD1797" t="str">
        <f>IF(WarehouseData[[#This Row],[order_fulfillment_rate]]&gt;=0.9,"Strong",IF(WarehouseData[[#This Row],[order_fulfillment_rate]]&gt;=0.8,"Moderate","Needs Attention"))</f>
        <v>Strong</v>
      </c>
      <c r="AE1797" t="str">
        <f>IF(WarehouseData[[#This Row],[picking_time_seconds]]&gt;120,"Slow",IF(WarehouseData[[#This Row],[picking_time_seconds]]&gt;=60,"Average","Fast"))</f>
        <v>Average</v>
      </c>
    </row>
    <row r="1798" spans="1:31" x14ac:dyDescent="0.25">
      <c r="A1798" t="s">
        <v>1936</v>
      </c>
      <c r="B1798" t="s">
        <v>40</v>
      </c>
      <c r="C1798">
        <v>457</v>
      </c>
      <c r="D1798">
        <v>49</v>
      </c>
      <c r="E1798">
        <v>10</v>
      </c>
      <c r="F1798">
        <v>8</v>
      </c>
      <c r="G1798">
        <v>33.44</v>
      </c>
      <c r="H1798">
        <v>6.35</v>
      </c>
      <c r="I1798">
        <v>0.12</v>
      </c>
      <c r="J1798" t="s">
        <v>265</v>
      </c>
      <c r="K1798" t="s">
        <v>52</v>
      </c>
      <c r="L1798">
        <v>83</v>
      </c>
      <c r="M1798">
        <v>2.75</v>
      </c>
      <c r="N1798">
        <v>156.66</v>
      </c>
      <c r="O1798">
        <v>1.22</v>
      </c>
      <c r="P1798">
        <v>9</v>
      </c>
      <c r="Q1798">
        <v>0.7</v>
      </c>
      <c r="R1798">
        <v>695</v>
      </c>
      <c r="S1798">
        <v>6.41</v>
      </c>
      <c r="T1798">
        <v>0.6</v>
      </c>
      <c r="U1798" s="1">
        <v>45391</v>
      </c>
      <c r="V1798">
        <v>298.73</v>
      </c>
      <c r="W1798">
        <v>0.443</v>
      </c>
      <c r="X1798" t="str">
        <f>IF(WarehouseData[[#This Row],[stock_level]]&lt;=WarehouseData[[#This Row],[reorder_point]],"Low Stock","Sufficient Stock")</f>
        <v>Sufficient Stock</v>
      </c>
      <c r="Y1798">
        <f>WarehouseData[[#This Row],[daily_demand]]*WarehouseData[[#This Row],[lead_time_days]]</f>
        <v>267.52</v>
      </c>
      <c r="Z1798" t="str">
        <f>IF(WarehouseData[[#This Row],[stock_level]]&lt;=WarehouseData[[#This Row],[Demand During Lead Time]],"At Risk","Safe")</f>
        <v>Safe</v>
      </c>
      <c r="AA1798">
        <f>WarehouseData[[#This Row],[stock_level]]/WarehouseData[[#This Row],[daily_demand]]</f>
        <v>13.666267942583733</v>
      </c>
      <c r="AB1798">
        <f>WarehouseData[[#This Row],[stock_level]]*WarehouseData[[#This Row],[unit_price]]</f>
        <v>71593.62</v>
      </c>
      <c r="AC1798">
        <f>WarehouseData[[#This Row],[stock_level]]*WarehouseData[[#This Row],[holding_cost_per_unit_day]]*30</f>
        <v>16726.199999999997</v>
      </c>
      <c r="AD1798" t="str">
        <f>IF(WarehouseData[[#This Row],[order_fulfillment_rate]]&gt;=0.9,"Strong",IF(WarehouseData[[#This Row],[order_fulfillment_rate]]&gt;=0.8,"Moderate","Needs Attention"))</f>
        <v>Needs Attention</v>
      </c>
      <c r="AE1798" t="str">
        <f>IF(WarehouseData[[#This Row],[picking_time_seconds]]&gt;120,"Slow",IF(WarehouseData[[#This Row],[picking_time_seconds]]&gt;=60,"Average","Fast"))</f>
        <v>Average</v>
      </c>
    </row>
    <row r="1799" spans="1:31" x14ac:dyDescent="0.25">
      <c r="A1799" t="s">
        <v>1937</v>
      </c>
      <c r="B1799" t="s">
        <v>36</v>
      </c>
      <c r="C1799">
        <v>45</v>
      </c>
      <c r="D1799">
        <v>89</v>
      </c>
      <c r="E1799">
        <v>8</v>
      </c>
      <c r="F1799">
        <v>2</v>
      </c>
      <c r="G1799">
        <v>22.62</v>
      </c>
      <c r="H1799">
        <v>4.07</v>
      </c>
      <c r="I1799">
        <v>0.83</v>
      </c>
      <c r="J1799" t="s">
        <v>113</v>
      </c>
      <c r="K1799" t="s">
        <v>46</v>
      </c>
      <c r="L1799">
        <v>108</v>
      </c>
      <c r="M1799">
        <v>5</v>
      </c>
      <c r="N1799">
        <v>186.07</v>
      </c>
      <c r="O1799">
        <v>1</v>
      </c>
      <c r="P1799">
        <v>6</v>
      </c>
      <c r="Q1799">
        <v>0.74</v>
      </c>
      <c r="R1799">
        <v>861</v>
      </c>
      <c r="S1799">
        <v>1.1499999999999999</v>
      </c>
      <c r="T1799">
        <v>0.48</v>
      </c>
      <c r="U1799" s="1">
        <v>45548</v>
      </c>
      <c r="V1799">
        <v>275.67</v>
      </c>
      <c r="W1799">
        <v>0.439</v>
      </c>
      <c r="X1799" t="str">
        <f>IF(WarehouseData[[#This Row],[stock_level]]&lt;=WarehouseData[[#This Row],[reorder_point]],"Low Stock","Sufficient Stock")</f>
        <v>Low Stock</v>
      </c>
      <c r="Y1799">
        <f>WarehouseData[[#This Row],[daily_demand]]*WarehouseData[[#This Row],[lead_time_days]]</f>
        <v>45.24</v>
      </c>
      <c r="Z1799" t="str">
        <f>IF(WarehouseData[[#This Row],[stock_level]]&lt;=WarehouseData[[#This Row],[Demand During Lead Time]],"At Risk","Safe")</f>
        <v>At Risk</v>
      </c>
      <c r="AA1799">
        <f>WarehouseData[[#This Row],[stock_level]]/WarehouseData[[#This Row],[daily_demand]]</f>
        <v>1.989389920424403</v>
      </c>
      <c r="AB1799">
        <f>WarehouseData[[#This Row],[stock_level]]*WarehouseData[[#This Row],[unit_price]]</f>
        <v>8373.15</v>
      </c>
      <c r="AC1799">
        <f>WarehouseData[[#This Row],[stock_level]]*WarehouseData[[#This Row],[holding_cost_per_unit_day]]*30</f>
        <v>1350</v>
      </c>
      <c r="AD1799" t="str">
        <f>IF(WarehouseData[[#This Row],[order_fulfillment_rate]]&gt;=0.9,"Strong",IF(WarehouseData[[#This Row],[order_fulfillment_rate]]&gt;=0.8,"Moderate","Needs Attention"))</f>
        <v>Needs Attention</v>
      </c>
      <c r="AE1799" t="str">
        <f>IF(WarehouseData[[#This Row],[picking_time_seconds]]&gt;120,"Slow",IF(WarehouseData[[#This Row],[picking_time_seconds]]&gt;=60,"Average","Fast"))</f>
        <v>Average</v>
      </c>
    </row>
    <row r="1800" spans="1:31" x14ac:dyDescent="0.25">
      <c r="A1800" t="s">
        <v>1938</v>
      </c>
      <c r="B1800" t="s">
        <v>73</v>
      </c>
      <c r="C1800">
        <v>94</v>
      </c>
      <c r="D1800">
        <v>54</v>
      </c>
      <c r="E1800">
        <v>6</v>
      </c>
      <c r="F1800">
        <v>7</v>
      </c>
      <c r="G1800">
        <v>33.880000000000003</v>
      </c>
      <c r="H1800">
        <v>4.24</v>
      </c>
      <c r="I1800">
        <v>0.37</v>
      </c>
      <c r="J1800" t="s">
        <v>106</v>
      </c>
      <c r="K1800" t="s">
        <v>38</v>
      </c>
      <c r="L1800">
        <v>126</v>
      </c>
      <c r="M1800">
        <v>2.83</v>
      </c>
      <c r="N1800">
        <v>197.33</v>
      </c>
      <c r="O1800">
        <v>0.66</v>
      </c>
      <c r="P1800">
        <v>6</v>
      </c>
      <c r="Q1800">
        <v>0.83</v>
      </c>
      <c r="R1800">
        <v>999</v>
      </c>
      <c r="S1800">
        <v>14.86</v>
      </c>
      <c r="T1800">
        <v>0.74</v>
      </c>
      <c r="U1800" s="1">
        <v>45353</v>
      </c>
      <c r="V1800">
        <v>262</v>
      </c>
      <c r="W1800">
        <v>0.72599999999999998</v>
      </c>
      <c r="X1800" t="str">
        <f>IF(WarehouseData[[#This Row],[stock_level]]&lt;=WarehouseData[[#This Row],[reorder_point]],"Low Stock","Sufficient Stock")</f>
        <v>Sufficient Stock</v>
      </c>
      <c r="Y1800">
        <f>WarehouseData[[#This Row],[daily_demand]]*WarehouseData[[#This Row],[lead_time_days]]</f>
        <v>237.16000000000003</v>
      </c>
      <c r="Z1800" t="str">
        <f>IF(WarehouseData[[#This Row],[stock_level]]&lt;=WarehouseData[[#This Row],[Demand During Lead Time]],"At Risk","Safe")</f>
        <v>At Risk</v>
      </c>
      <c r="AA1800">
        <f>WarehouseData[[#This Row],[stock_level]]/WarehouseData[[#This Row],[daily_demand]]</f>
        <v>2.7744982290436835</v>
      </c>
      <c r="AB1800">
        <f>WarehouseData[[#This Row],[stock_level]]*WarehouseData[[#This Row],[unit_price]]</f>
        <v>18549.02</v>
      </c>
      <c r="AC1800">
        <f>WarehouseData[[#This Row],[stock_level]]*WarehouseData[[#This Row],[holding_cost_per_unit_day]]*30</f>
        <v>1861.2000000000003</v>
      </c>
      <c r="AD1800" t="str">
        <f>IF(WarehouseData[[#This Row],[order_fulfillment_rate]]&gt;=0.9,"Strong",IF(WarehouseData[[#This Row],[order_fulfillment_rate]]&gt;=0.8,"Moderate","Needs Attention"))</f>
        <v>Moderate</v>
      </c>
      <c r="AE1800" t="str">
        <f>IF(WarehouseData[[#This Row],[picking_time_seconds]]&gt;120,"Slow",IF(WarehouseData[[#This Row],[picking_time_seconds]]&gt;=60,"Average","Fast"))</f>
        <v>Slow</v>
      </c>
    </row>
    <row r="1801" spans="1:31" x14ac:dyDescent="0.25">
      <c r="A1801" t="s">
        <v>1939</v>
      </c>
      <c r="B1801" t="s">
        <v>73</v>
      </c>
      <c r="C1801">
        <v>475</v>
      </c>
      <c r="D1801">
        <v>44</v>
      </c>
      <c r="E1801">
        <v>13</v>
      </c>
      <c r="F1801">
        <v>3</v>
      </c>
      <c r="G1801">
        <v>2.59</v>
      </c>
      <c r="H1801">
        <v>5.63</v>
      </c>
      <c r="I1801">
        <v>0.21</v>
      </c>
      <c r="J1801" t="s">
        <v>263</v>
      </c>
      <c r="K1801" t="s">
        <v>38</v>
      </c>
      <c r="L1801">
        <v>146</v>
      </c>
      <c r="M1801">
        <v>4.84</v>
      </c>
      <c r="N1801">
        <v>151.54</v>
      </c>
      <c r="O1801">
        <v>1.74</v>
      </c>
      <c r="P1801">
        <v>5</v>
      </c>
      <c r="Q1801">
        <v>0.7</v>
      </c>
      <c r="R1801">
        <v>248</v>
      </c>
      <c r="S1801">
        <v>7.38</v>
      </c>
      <c r="T1801">
        <v>0.71</v>
      </c>
      <c r="U1801" s="1">
        <v>45640</v>
      </c>
      <c r="V1801">
        <v>20.88</v>
      </c>
      <c r="W1801">
        <v>0.50600000000000001</v>
      </c>
      <c r="X1801" t="str">
        <f>IF(WarehouseData[[#This Row],[stock_level]]&lt;=WarehouseData[[#This Row],[reorder_point]],"Low Stock","Sufficient Stock")</f>
        <v>Sufficient Stock</v>
      </c>
      <c r="Y1801">
        <f>WarehouseData[[#This Row],[daily_demand]]*WarehouseData[[#This Row],[lead_time_days]]</f>
        <v>7.77</v>
      </c>
      <c r="Z1801" t="str">
        <f>IF(WarehouseData[[#This Row],[stock_level]]&lt;=WarehouseData[[#This Row],[Demand During Lead Time]],"At Risk","Safe")</f>
        <v>Safe</v>
      </c>
      <c r="AA1801">
        <f>WarehouseData[[#This Row],[stock_level]]/WarehouseData[[#This Row],[daily_demand]]</f>
        <v>183.39768339768341</v>
      </c>
      <c r="AB1801">
        <f>WarehouseData[[#This Row],[stock_level]]*WarehouseData[[#This Row],[unit_price]]</f>
        <v>71981.5</v>
      </c>
      <c r="AC1801">
        <f>WarehouseData[[#This Row],[stock_level]]*WarehouseData[[#This Row],[holding_cost_per_unit_day]]*30</f>
        <v>24795</v>
      </c>
      <c r="AD1801" t="str">
        <f>IF(WarehouseData[[#This Row],[order_fulfillment_rate]]&gt;=0.9,"Strong",IF(WarehouseData[[#This Row],[order_fulfillment_rate]]&gt;=0.8,"Moderate","Needs Attention"))</f>
        <v>Needs Attention</v>
      </c>
      <c r="AE1801" t="str">
        <f>IF(WarehouseData[[#This Row],[picking_time_seconds]]&gt;120,"Slow",IF(WarehouseData[[#This Row],[picking_time_seconds]]&gt;=60,"Average","Fast"))</f>
        <v>Slow</v>
      </c>
    </row>
    <row r="1802" spans="1:31" x14ac:dyDescent="0.25">
      <c r="A1802" t="s">
        <v>1940</v>
      </c>
      <c r="B1802" t="s">
        <v>40</v>
      </c>
      <c r="C1802">
        <v>383</v>
      </c>
      <c r="D1802">
        <v>12</v>
      </c>
      <c r="E1802">
        <v>10</v>
      </c>
      <c r="F1802">
        <v>4</v>
      </c>
      <c r="G1802">
        <v>29.73</v>
      </c>
      <c r="H1802">
        <v>1.33</v>
      </c>
      <c r="I1802">
        <v>0.2</v>
      </c>
      <c r="J1802" t="s">
        <v>150</v>
      </c>
      <c r="K1802" t="s">
        <v>46</v>
      </c>
      <c r="L1802">
        <v>155</v>
      </c>
      <c r="M1802">
        <v>0.56999999999999995</v>
      </c>
      <c r="N1802">
        <v>174.91</v>
      </c>
      <c r="O1802">
        <v>0.87</v>
      </c>
      <c r="P1802">
        <v>8</v>
      </c>
      <c r="Q1802">
        <v>0.84</v>
      </c>
      <c r="R1802">
        <v>341</v>
      </c>
      <c r="S1802">
        <v>14.88</v>
      </c>
      <c r="T1802">
        <v>0.65</v>
      </c>
      <c r="U1802" s="1">
        <v>45487</v>
      </c>
      <c r="V1802">
        <v>91.27</v>
      </c>
      <c r="W1802">
        <v>0.64900000000000002</v>
      </c>
      <c r="X1802" t="str">
        <f>IF(WarehouseData[[#This Row],[stock_level]]&lt;=WarehouseData[[#This Row],[reorder_point]],"Low Stock","Sufficient Stock")</f>
        <v>Sufficient Stock</v>
      </c>
      <c r="Y1802">
        <f>WarehouseData[[#This Row],[daily_demand]]*WarehouseData[[#This Row],[lead_time_days]]</f>
        <v>118.92</v>
      </c>
      <c r="Z1802" t="str">
        <f>IF(WarehouseData[[#This Row],[stock_level]]&lt;=WarehouseData[[#This Row],[Demand During Lead Time]],"At Risk","Safe")</f>
        <v>Safe</v>
      </c>
      <c r="AA1802">
        <f>WarehouseData[[#This Row],[stock_level]]/WarehouseData[[#This Row],[daily_demand]]</f>
        <v>12.882610158089472</v>
      </c>
      <c r="AB1802">
        <f>WarehouseData[[#This Row],[stock_level]]*WarehouseData[[#This Row],[unit_price]]</f>
        <v>66990.53</v>
      </c>
      <c r="AC1802">
        <f>WarehouseData[[#This Row],[stock_level]]*WarehouseData[[#This Row],[holding_cost_per_unit_day]]*30</f>
        <v>9996.2999999999993</v>
      </c>
      <c r="AD1802" t="str">
        <f>IF(WarehouseData[[#This Row],[order_fulfillment_rate]]&gt;=0.9,"Strong",IF(WarehouseData[[#This Row],[order_fulfillment_rate]]&gt;=0.8,"Moderate","Needs Attention"))</f>
        <v>Moderate</v>
      </c>
      <c r="AE1802" t="str">
        <f>IF(WarehouseData[[#This Row],[picking_time_seconds]]&gt;120,"Slow",IF(WarehouseData[[#This Row],[picking_time_seconds]]&gt;=60,"Average","Fast"))</f>
        <v>Slow</v>
      </c>
    </row>
    <row r="1803" spans="1:31" x14ac:dyDescent="0.25">
      <c r="A1803" t="s">
        <v>1941</v>
      </c>
      <c r="B1803" t="s">
        <v>32</v>
      </c>
      <c r="C1803">
        <v>443</v>
      </c>
      <c r="D1803">
        <v>14</v>
      </c>
      <c r="E1803">
        <v>11</v>
      </c>
      <c r="F1803">
        <v>3</v>
      </c>
      <c r="G1803">
        <v>28.14</v>
      </c>
      <c r="H1803">
        <v>7.52</v>
      </c>
      <c r="I1803">
        <v>0.71</v>
      </c>
      <c r="J1803" t="s">
        <v>265</v>
      </c>
      <c r="K1803" t="s">
        <v>52</v>
      </c>
      <c r="L1803">
        <v>147</v>
      </c>
      <c r="M1803">
        <v>3.74</v>
      </c>
      <c r="N1803">
        <v>138.01</v>
      </c>
      <c r="O1803">
        <v>0.99</v>
      </c>
      <c r="P1803">
        <v>7</v>
      </c>
      <c r="Q1803">
        <v>0.86</v>
      </c>
      <c r="R1803">
        <v>697</v>
      </c>
      <c r="S1803">
        <v>11.08</v>
      </c>
      <c r="T1803">
        <v>0.42</v>
      </c>
      <c r="U1803" s="1">
        <v>45563</v>
      </c>
      <c r="V1803">
        <v>118.68</v>
      </c>
      <c r="W1803">
        <v>0.56499999999999995</v>
      </c>
      <c r="X1803" t="str">
        <f>IF(WarehouseData[[#This Row],[stock_level]]&lt;=WarehouseData[[#This Row],[reorder_point]],"Low Stock","Sufficient Stock")</f>
        <v>Sufficient Stock</v>
      </c>
      <c r="Y1803">
        <f>WarehouseData[[#This Row],[daily_demand]]*WarehouseData[[#This Row],[lead_time_days]]</f>
        <v>84.42</v>
      </c>
      <c r="Z1803" t="str">
        <f>IF(WarehouseData[[#This Row],[stock_level]]&lt;=WarehouseData[[#This Row],[Demand During Lead Time]],"At Risk","Safe")</f>
        <v>Safe</v>
      </c>
      <c r="AA1803">
        <f>WarehouseData[[#This Row],[stock_level]]/WarehouseData[[#This Row],[daily_demand]]</f>
        <v>15.74271499644634</v>
      </c>
      <c r="AB1803">
        <f>WarehouseData[[#This Row],[stock_level]]*WarehouseData[[#This Row],[unit_price]]</f>
        <v>61138.429999999993</v>
      </c>
      <c r="AC1803">
        <f>WarehouseData[[#This Row],[stock_level]]*WarehouseData[[#This Row],[holding_cost_per_unit_day]]*30</f>
        <v>13157.1</v>
      </c>
      <c r="AD1803" t="str">
        <f>IF(WarehouseData[[#This Row],[order_fulfillment_rate]]&gt;=0.9,"Strong",IF(WarehouseData[[#This Row],[order_fulfillment_rate]]&gt;=0.8,"Moderate","Needs Attention"))</f>
        <v>Moderate</v>
      </c>
      <c r="AE1803" t="str">
        <f>IF(WarehouseData[[#This Row],[picking_time_seconds]]&gt;120,"Slow",IF(WarehouseData[[#This Row],[picking_time_seconds]]&gt;=60,"Average","Fast"))</f>
        <v>Slow</v>
      </c>
    </row>
    <row r="1804" spans="1:31" x14ac:dyDescent="0.25">
      <c r="A1804" t="s">
        <v>1942</v>
      </c>
      <c r="B1804" t="s">
        <v>48</v>
      </c>
      <c r="C1804">
        <v>318</v>
      </c>
      <c r="D1804">
        <v>99</v>
      </c>
      <c r="E1804">
        <v>12</v>
      </c>
      <c r="F1804">
        <v>7</v>
      </c>
      <c r="G1804">
        <v>17.989999999999998</v>
      </c>
      <c r="H1804">
        <v>4.32</v>
      </c>
      <c r="I1804">
        <v>1</v>
      </c>
      <c r="J1804" t="s">
        <v>59</v>
      </c>
      <c r="K1804" t="s">
        <v>52</v>
      </c>
      <c r="L1804">
        <v>124</v>
      </c>
      <c r="M1804">
        <v>3.32</v>
      </c>
      <c r="N1804">
        <v>42.48</v>
      </c>
      <c r="O1804">
        <v>1.71</v>
      </c>
      <c r="P1804">
        <v>7</v>
      </c>
      <c r="Q1804">
        <v>0.89</v>
      </c>
      <c r="R1804">
        <v>132</v>
      </c>
      <c r="S1804">
        <v>1.72</v>
      </c>
      <c r="T1804">
        <v>0.33</v>
      </c>
      <c r="U1804" s="1">
        <v>45444</v>
      </c>
      <c r="V1804">
        <v>212.95</v>
      </c>
      <c r="W1804">
        <v>0.35599999999999998</v>
      </c>
      <c r="X1804" t="str">
        <f>IF(WarehouseData[[#This Row],[stock_level]]&lt;=WarehouseData[[#This Row],[reorder_point]],"Low Stock","Sufficient Stock")</f>
        <v>Sufficient Stock</v>
      </c>
      <c r="Y1804">
        <f>WarehouseData[[#This Row],[daily_demand]]*WarehouseData[[#This Row],[lead_time_days]]</f>
        <v>125.92999999999999</v>
      </c>
      <c r="Z1804" t="str">
        <f>IF(WarehouseData[[#This Row],[stock_level]]&lt;=WarehouseData[[#This Row],[Demand During Lead Time]],"At Risk","Safe")</f>
        <v>Safe</v>
      </c>
      <c r="AA1804">
        <f>WarehouseData[[#This Row],[stock_level]]/WarehouseData[[#This Row],[daily_demand]]</f>
        <v>17.676486937187327</v>
      </c>
      <c r="AB1804">
        <f>WarehouseData[[#This Row],[stock_level]]*WarehouseData[[#This Row],[unit_price]]</f>
        <v>13508.64</v>
      </c>
      <c r="AC1804">
        <f>WarehouseData[[#This Row],[stock_level]]*WarehouseData[[#This Row],[holding_cost_per_unit_day]]*30</f>
        <v>16313.4</v>
      </c>
      <c r="AD1804" t="str">
        <f>IF(WarehouseData[[#This Row],[order_fulfillment_rate]]&gt;=0.9,"Strong",IF(WarehouseData[[#This Row],[order_fulfillment_rate]]&gt;=0.8,"Moderate","Needs Attention"))</f>
        <v>Moderate</v>
      </c>
      <c r="AE1804" t="str">
        <f>IF(WarehouseData[[#This Row],[picking_time_seconds]]&gt;120,"Slow",IF(WarehouseData[[#This Row],[picking_time_seconds]]&gt;=60,"Average","Fast"))</f>
        <v>Slow</v>
      </c>
    </row>
    <row r="1805" spans="1:31" x14ac:dyDescent="0.25">
      <c r="A1805" t="s">
        <v>1943</v>
      </c>
      <c r="B1805" t="s">
        <v>32</v>
      </c>
      <c r="C1805">
        <v>169</v>
      </c>
      <c r="D1805">
        <v>20</v>
      </c>
      <c r="E1805">
        <v>4</v>
      </c>
      <c r="F1805">
        <v>6</v>
      </c>
      <c r="G1805">
        <v>10.87</v>
      </c>
      <c r="H1805">
        <v>5.0599999999999996</v>
      </c>
      <c r="I1805">
        <v>0.7</v>
      </c>
      <c r="J1805" t="s">
        <v>142</v>
      </c>
      <c r="K1805" t="s">
        <v>46</v>
      </c>
      <c r="L1805">
        <v>63</v>
      </c>
      <c r="M1805">
        <v>3.58</v>
      </c>
      <c r="N1805">
        <v>44.52</v>
      </c>
      <c r="O1805">
        <v>0.27</v>
      </c>
      <c r="P1805">
        <v>1</v>
      </c>
      <c r="Q1805">
        <v>0.73</v>
      </c>
      <c r="R1805">
        <v>315</v>
      </c>
      <c r="S1805">
        <v>13.03</v>
      </c>
      <c r="T1805">
        <v>0.83</v>
      </c>
      <c r="U1805" s="1">
        <v>45503</v>
      </c>
      <c r="V1805">
        <v>198.11</v>
      </c>
      <c r="W1805">
        <v>0.83899999999999997</v>
      </c>
      <c r="X1805" t="str">
        <f>IF(WarehouseData[[#This Row],[stock_level]]&lt;=WarehouseData[[#This Row],[reorder_point]],"Low Stock","Sufficient Stock")</f>
        <v>Sufficient Stock</v>
      </c>
      <c r="Y1805">
        <f>WarehouseData[[#This Row],[daily_demand]]*WarehouseData[[#This Row],[lead_time_days]]</f>
        <v>65.22</v>
      </c>
      <c r="Z1805" t="str">
        <f>IF(WarehouseData[[#This Row],[stock_level]]&lt;=WarehouseData[[#This Row],[Demand During Lead Time]],"At Risk","Safe")</f>
        <v>Safe</v>
      </c>
      <c r="AA1805">
        <f>WarehouseData[[#This Row],[stock_level]]/WarehouseData[[#This Row],[daily_demand]]</f>
        <v>15.547378104875806</v>
      </c>
      <c r="AB1805">
        <f>WarehouseData[[#This Row],[stock_level]]*WarehouseData[[#This Row],[unit_price]]</f>
        <v>7523.88</v>
      </c>
      <c r="AC1805">
        <f>WarehouseData[[#This Row],[stock_level]]*WarehouseData[[#This Row],[holding_cost_per_unit_day]]*30</f>
        <v>1368.9</v>
      </c>
      <c r="AD1805" t="str">
        <f>IF(WarehouseData[[#This Row],[order_fulfillment_rate]]&gt;=0.9,"Strong",IF(WarehouseData[[#This Row],[order_fulfillment_rate]]&gt;=0.8,"Moderate","Needs Attention"))</f>
        <v>Needs Attention</v>
      </c>
      <c r="AE1805" t="str">
        <f>IF(WarehouseData[[#This Row],[picking_time_seconds]]&gt;120,"Slow",IF(WarehouseData[[#This Row],[picking_time_seconds]]&gt;=60,"Average","Fast"))</f>
        <v>Average</v>
      </c>
    </row>
    <row r="1806" spans="1:31" x14ac:dyDescent="0.25">
      <c r="A1806" t="s">
        <v>1944</v>
      </c>
      <c r="B1806" t="s">
        <v>36</v>
      </c>
      <c r="C1806">
        <v>167</v>
      </c>
      <c r="D1806">
        <v>80</v>
      </c>
      <c r="E1806">
        <v>8</v>
      </c>
      <c r="F1806">
        <v>9</v>
      </c>
      <c r="G1806">
        <v>40.57</v>
      </c>
      <c r="H1806">
        <v>9.76</v>
      </c>
      <c r="I1806">
        <v>0.34</v>
      </c>
      <c r="J1806" t="s">
        <v>185</v>
      </c>
      <c r="K1806" t="s">
        <v>38</v>
      </c>
      <c r="L1806">
        <v>88</v>
      </c>
      <c r="M1806">
        <v>3.07</v>
      </c>
      <c r="N1806">
        <v>30.95</v>
      </c>
      <c r="O1806">
        <v>0.84</v>
      </c>
      <c r="P1806">
        <v>6</v>
      </c>
      <c r="Q1806">
        <v>0.75</v>
      </c>
      <c r="R1806">
        <v>466</v>
      </c>
      <c r="S1806">
        <v>8.43</v>
      </c>
      <c r="T1806">
        <v>0.99</v>
      </c>
      <c r="U1806" s="1">
        <v>45319</v>
      </c>
      <c r="V1806">
        <v>59.79</v>
      </c>
      <c r="W1806">
        <v>0.65600000000000003</v>
      </c>
      <c r="X1806" t="str">
        <f>IF(WarehouseData[[#This Row],[stock_level]]&lt;=WarehouseData[[#This Row],[reorder_point]],"Low Stock","Sufficient Stock")</f>
        <v>Sufficient Stock</v>
      </c>
      <c r="Y1806">
        <f>WarehouseData[[#This Row],[daily_demand]]*WarehouseData[[#This Row],[lead_time_days]]</f>
        <v>365.13</v>
      </c>
      <c r="Z1806" t="str">
        <f>IF(WarehouseData[[#This Row],[stock_level]]&lt;=WarehouseData[[#This Row],[Demand During Lead Time]],"At Risk","Safe")</f>
        <v>At Risk</v>
      </c>
      <c r="AA1806">
        <f>WarehouseData[[#This Row],[stock_level]]/WarehouseData[[#This Row],[daily_demand]]</f>
        <v>4.1163421247227019</v>
      </c>
      <c r="AB1806">
        <f>WarehouseData[[#This Row],[stock_level]]*WarehouseData[[#This Row],[unit_price]]</f>
        <v>5168.6499999999996</v>
      </c>
      <c r="AC1806">
        <f>WarehouseData[[#This Row],[stock_level]]*WarehouseData[[#This Row],[holding_cost_per_unit_day]]*30</f>
        <v>4208.3999999999996</v>
      </c>
      <c r="AD1806" t="str">
        <f>IF(WarehouseData[[#This Row],[order_fulfillment_rate]]&gt;=0.9,"Strong",IF(WarehouseData[[#This Row],[order_fulfillment_rate]]&gt;=0.8,"Moderate","Needs Attention"))</f>
        <v>Needs Attention</v>
      </c>
      <c r="AE1806" t="str">
        <f>IF(WarehouseData[[#This Row],[picking_time_seconds]]&gt;120,"Slow",IF(WarehouseData[[#This Row],[picking_time_seconds]]&gt;=60,"Average","Fast"))</f>
        <v>Average</v>
      </c>
    </row>
    <row r="1807" spans="1:31" x14ac:dyDescent="0.25">
      <c r="A1807" t="s">
        <v>1945</v>
      </c>
      <c r="B1807" t="s">
        <v>48</v>
      </c>
      <c r="C1807">
        <v>27</v>
      </c>
      <c r="D1807">
        <v>65</v>
      </c>
      <c r="E1807">
        <v>7</v>
      </c>
      <c r="F1807">
        <v>7</v>
      </c>
      <c r="G1807">
        <v>3.64</v>
      </c>
      <c r="H1807">
        <v>3.77</v>
      </c>
      <c r="I1807">
        <v>0.28000000000000003</v>
      </c>
      <c r="J1807" t="s">
        <v>377</v>
      </c>
      <c r="K1807" t="s">
        <v>46</v>
      </c>
      <c r="L1807">
        <v>24</v>
      </c>
      <c r="M1807">
        <v>0.7</v>
      </c>
      <c r="N1807">
        <v>189.17</v>
      </c>
      <c r="O1807">
        <v>0.87</v>
      </c>
      <c r="P1807">
        <v>0</v>
      </c>
      <c r="Q1807">
        <v>0.88</v>
      </c>
      <c r="R1807">
        <v>919</v>
      </c>
      <c r="S1807">
        <v>7.34</v>
      </c>
      <c r="T1807">
        <v>0.34</v>
      </c>
      <c r="U1807" s="1">
        <v>45369</v>
      </c>
      <c r="V1807">
        <v>223.68</v>
      </c>
      <c r="W1807">
        <v>0.65500000000000003</v>
      </c>
      <c r="X1807" t="str">
        <f>IF(WarehouseData[[#This Row],[stock_level]]&lt;=WarehouseData[[#This Row],[reorder_point]],"Low Stock","Sufficient Stock")</f>
        <v>Low Stock</v>
      </c>
      <c r="Y1807">
        <f>WarehouseData[[#This Row],[daily_demand]]*WarehouseData[[#This Row],[lead_time_days]]</f>
        <v>25.48</v>
      </c>
      <c r="Z1807" t="str">
        <f>IF(WarehouseData[[#This Row],[stock_level]]&lt;=WarehouseData[[#This Row],[Demand During Lead Time]],"At Risk","Safe")</f>
        <v>Safe</v>
      </c>
      <c r="AA1807">
        <f>WarehouseData[[#This Row],[stock_level]]/WarehouseData[[#This Row],[daily_demand]]</f>
        <v>7.417582417582417</v>
      </c>
      <c r="AB1807">
        <f>WarehouseData[[#This Row],[stock_level]]*WarehouseData[[#This Row],[unit_price]]</f>
        <v>5107.5899999999992</v>
      </c>
      <c r="AC1807">
        <f>WarehouseData[[#This Row],[stock_level]]*WarehouseData[[#This Row],[holding_cost_per_unit_day]]*30</f>
        <v>704.69999999999993</v>
      </c>
      <c r="AD1807" t="str">
        <f>IF(WarehouseData[[#This Row],[order_fulfillment_rate]]&gt;=0.9,"Strong",IF(WarehouseData[[#This Row],[order_fulfillment_rate]]&gt;=0.8,"Moderate","Needs Attention"))</f>
        <v>Moderate</v>
      </c>
      <c r="AE1807" t="str">
        <f>IF(WarehouseData[[#This Row],[picking_time_seconds]]&gt;120,"Slow",IF(WarehouseData[[#This Row],[picking_time_seconds]]&gt;=60,"Average","Fast"))</f>
        <v>Fast</v>
      </c>
    </row>
    <row r="1808" spans="1:31" x14ac:dyDescent="0.25">
      <c r="A1808" t="s">
        <v>1946</v>
      </c>
      <c r="B1808" t="s">
        <v>40</v>
      </c>
      <c r="C1808">
        <v>48</v>
      </c>
      <c r="D1808">
        <v>19</v>
      </c>
      <c r="E1808">
        <v>7</v>
      </c>
      <c r="F1808">
        <v>4</v>
      </c>
      <c r="G1808">
        <v>4.41</v>
      </c>
      <c r="H1808">
        <v>6.66</v>
      </c>
      <c r="I1808">
        <v>0.56999999999999995</v>
      </c>
      <c r="J1808" t="s">
        <v>163</v>
      </c>
      <c r="K1808" t="s">
        <v>34</v>
      </c>
      <c r="L1808">
        <v>148</v>
      </c>
      <c r="M1808">
        <v>1.17</v>
      </c>
      <c r="N1808">
        <v>137.82</v>
      </c>
      <c r="O1808">
        <v>1.04</v>
      </c>
      <c r="P1808">
        <v>9</v>
      </c>
      <c r="Q1808">
        <v>0.9</v>
      </c>
      <c r="R1808">
        <v>780</v>
      </c>
      <c r="S1808">
        <v>11.61</v>
      </c>
      <c r="T1808">
        <v>0.26</v>
      </c>
      <c r="U1808" s="1">
        <v>45362</v>
      </c>
      <c r="V1808">
        <v>55.13</v>
      </c>
      <c r="W1808">
        <v>0.503</v>
      </c>
      <c r="X1808" t="str">
        <f>IF(WarehouseData[[#This Row],[stock_level]]&lt;=WarehouseData[[#This Row],[reorder_point]],"Low Stock","Sufficient Stock")</f>
        <v>Sufficient Stock</v>
      </c>
      <c r="Y1808">
        <f>WarehouseData[[#This Row],[daily_demand]]*WarehouseData[[#This Row],[lead_time_days]]</f>
        <v>17.64</v>
      </c>
      <c r="Z1808" t="str">
        <f>IF(WarehouseData[[#This Row],[stock_level]]&lt;=WarehouseData[[#This Row],[Demand During Lead Time]],"At Risk","Safe")</f>
        <v>Safe</v>
      </c>
      <c r="AA1808">
        <f>WarehouseData[[#This Row],[stock_level]]/WarehouseData[[#This Row],[daily_demand]]</f>
        <v>10.884353741496598</v>
      </c>
      <c r="AB1808">
        <f>WarehouseData[[#This Row],[stock_level]]*WarehouseData[[#This Row],[unit_price]]</f>
        <v>6615.36</v>
      </c>
      <c r="AC1808">
        <f>WarehouseData[[#This Row],[stock_level]]*WarehouseData[[#This Row],[holding_cost_per_unit_day]]*30</f>
        <v>1497.6000000000001</v>
      </c>
      <c r="AD1808" t="str">
        <f>IF(WarehouseData[[#This Row],[order_fulfillment_rate]]&gt;=0.9,"Strong",IF(WarehouseData[[#This Row],[order_fulfillment_rate]]&gt;=0.8,"Moderate","Needs Attention"))</f>
        <v>Strong</v>
      </c>
      <c r="AE1808" t="str">
        <f>IF(WarehouseData[[#This Row],[picking_time_seconds]]&gt;120,"Slow",IF(WarehouseData[[#This Row],[picking_time_seconds]]&gt;=60,"Average","Fast"))</f>
        <v>Slow</v>
      </c>
    </row>
    <row r="1809" spans="1:31" x14ac:dyDescent="0.25">
      <c r="A1809" t="s">
        <v>1947</v>
      </c>
      <c r="B1809" t="s">
        <v>40</v>
      </c>
      <c r="C1809">
        <v>315</v>
      </c>
      <c r="D1809">
        <v>43</v>
      </c>
      <c r="E1809">
        <v>12</v>
      </c>
      <c r="F1809">
        <v>2</v>
      </c>
      <c r="G1809">
        <v>22.59</v>
      </c>
      <c r="H1809">
        <v>4.2300000000000004</v>
      </c>
      <c r="I1809">
        <v>0.16</v>
      </c>
      <c r="J1809" t="s">
        <v>68</v>
      </c>
      <c r="K1809" t="s">
        <v>34</v>
      </c>
      <c r="L1809">
        <v>177</v>
      </c>
      <c r="M1809">
        <v>4.6500000000000004</v>
      </c>
      <c r="N1809">
        <v>160.08000000000001</v>
      </c>
      <c r="O1809">
        <v>0.3</v>
      </c>
      <c r="P1809">
        <v>7</v>
      </c>
      <c r="Q1809">
        <v>0.71</v>
      </c>
      <c r="R1809">
        <v>910</v>
      </c>
      <c r="S1809">
        <v>11.85</v>
      </c>
      <c r="T1809">
        <v>0.8</v>
      </c>
      <c r="U1809" s="1">
        <v>45394</v>
      </c>
      <c r="V1809">
        <v>142.37</v>
      </c>
      <c r="W1809">
        <v>0.69</v>
      </c>
      <c r="X1809" t="str">
        <f>IF(WarehouseData[[#This Row],[stock_level]]&lt;=WarehouseData[[#This Row],[reorder_point]],"Low Stock","Sufficient Stock")</f>
        <v>Sufficient Stock</v>
      </c>
      <c r="Y1809">
        <f>WarehouseData[[#This Row],[daily_demand]]*WarehouseData[[#This Row],[lead_time_days]]</f>
        <v>45.18</v>
      </c>
      <c r="Z1809" t="str">
        <f>IF(WarehouseData[[#This Row],[stock_level]]&lt;=WarehouseData[[#This Row],[Demand During Lead Time]],"At Risk","Safe")</f>
        <v>Safe</v>
      </c>
      <c r="AA1809">
        <f>WarehouseData[[#This Row],[stock_level]]/WarehouseData[[#This Row],[daily_demand]]</f>
        <v>13.944223107569721</v>
      </c>
      <c r="AB1809">
        <f>WarehouseData[[#This Row],[stock_level]]*WarehouseData[[#This Row],[unit_price]]</f>
        <v>50425.200000000004</v>
      </c>
      <c r="AC1809">
        <f>WarehouseData[[#This Row],[stock_level]]*WarehouseData[[#This Row],[holding_cost_per_unit_day]]*30</f>
        <v>2835</v>
      </c>
      <c r="AD1809" t="str">
        <f>IF(WarehouseData[[#This Row],[order_fulfillment_rate]]&gt;=0.9,"Strong",IF(WarehouseData[[#This Row],[order_fulfillment_rate]]&gt;=0.8,"Moderate","Needs Attention"))</f>
        <v>Needs Attention</v>
      </c>
      <c r="AE1809" t="str">
        <f>IF(WarehouseData[[#This Row],[picking_time_seconds]]&gt;120,"Slow",IF(WarehouseData[[#This Row],[picking_time_seconds]]&gt;=60,"Average","Fast"))</f>
        <v>Slow</v>
      </c>
    </row>
    <row r="1810" spans="1:31" x14ac:dyDescent="0.25">
      <c r="A1810" t="s">
        <v>1948</v>
      </c>
      <c r="B1810" t="s">
        <v>48</v>
      </c>
      <c r="C1810">
        <v>493</v>
      </c>
      <c r="D1810">
        <v>76</v>
      </c>
      <c r="E1810">
        <v>13</v>
      </c>
      <c r="F1810">
        <v>4</v>
      </c>
      <c r="G1810">
        <v>13.38</v>
      </c>
      <c r="H1810">
        <v>9</v>
      </c>
      <c r="I1810">
        <v>0.46</v>
      </c>
      <c r="J1810" t="s">
        <v>332</v>
      </c>
      <c r="K1810" t="s">
        <v>52</v>
      </c>
      <c r="L1810">
        <v>127</v>
      </c>
      <c r="M1810">
        <v>1.55</v>
      </c>
      <c r="N1810">
        <v>72.92</v>
      </c>
      <c r="O1810">
        <v>0.3</v>
      </c>
      <c r="P1810">
        <v>2</v>
      </c>
      <c r="Q1810">
        <v>0.86</v>
      </c>
      <c r="R1810">
        <v>68</v>
      </c>
      <c r="S1810">
        <v>12.15</v>
      </c>
      <c r="T1810">
        <v>0.48</v>
      </c>
      <c r="U1810" s="1">
        <v>45467</v>
      </c>
      <c r="V1810">
        <v>177.83</v>
      </c>
      <c r="W1810">
        <v>0.76</v>
      </c>
      <c r="X1810" t="str">
        <f>IF(WarehouseData[[#This Row],[stock_level]]&lt;=WarehouseData[[#This Row],[reorder_point]],"Low Stock","Sufficient Stock")</f>
        <v>Sufficient Stock</v>
      </c>
      <c r="Y1810">
        <f>WarehouseData[[#This Row],[daily_demand]]*WarehouseData[[#This Row],[lead_time_days]]</f>
        <v>53.52</v>
      </c>
      <c r="Z1810" t="str">
        <f>IF(WarehouseData[[#This Row],[stock_level]]&lt;=WarehouseData[[#This Row],[Demand During Lead Time]],"At Risk","Safe")</f>
        <v>Safe</v>
      </c>
      <c r="AA1810">
        <f>WarehouseData[[#This Row],[stock_level]]/WarehouseData[[#This Row],[daily_demand]]</f>
        <v>36.846038863976084</v>
      </c>
      <c r="AB1810">
        <f>WarehouseData[[#This Row],[stock_level]]*WarehouseData[[#This Row],[unit_price]]</f>
        <v>35949.56</v>
      </c>
      <c r="AC1810">
        <f>WarehouseData[[#This Row],[stock_level]]*WarehouseData[[#This Row],[holding_cost_per_unit_day]]*30</f>
        <v>4437</v>
      </c>
      <c r="AD1810" t="str">
        <f>IF(WarehouseData[[#This Row],[order_fulfillment_rate]]&gt;=0.9,"Strong",IF(WarehouseData[[#This Row],[order_fulfillment_rate]]&gt;=0.8,"Moderate","Needs Attention"))</f>
        <v>Moderate</v>
      </c>
      <c r="AE1810" t="str">
        <f>IF(WarehouseData[[#This Row],[picking_time_seconds]]&gt;120,"Slow",IF(WarehouseData[[#This Row],[picking_time_seconds]]&gt;=60,"Average","Fast"))</f>
        <v>Slow</v>
      </c>
    </row>
    <row r="1811" spans="1:31" x14ac:dyDescent="0.25">
      <c r="A1811" t="s">
        <v>1949</v>
      </c>
      <c r="B1811" t="s">
        <v>73</v>
      </c>
      <c r="C1811">
        <v>433</v>
      </c>
      <c r="D1811">
        <v>81</v>
      </c>
      <c r="E1811">
        <v>5</v>
      </c>
      <c r="F1811">
        <v>6</v>
      </c>
      <c r="G1811">
        <v>37.53</v>
      </c>
      <c r="H1811">
        <v>8.5399999999999991</v>
      </c>
      <c r="I1811">
        <v>0.7</v>
      </c>
      <c r="J1811" t="s">
        <v>81</v>
      </c>
      <c r="K1811" t="s">
        <v>38</v>
      </c>
      <c r="L1811">
        <v>121</v>
      </c>
      <c r="M1811">
        <v>4.97</v>
      </c>
      <c r="N1811">
        <v>97.48</v>
      </c>
      <c r="O1811">
        <v>0.89</v>
      </c>
      <c r="P1811">
        <v>8</v>
      </c>
      <c r="Q1811">
        <v>0.94</v>
      </c>
      <c r="R1811">
        <v>579</v>
      </c>
      <c r="S1811">
        <v>11.65</v>
      </c>
      <c r="T1811">
        <v>0.37</v>
      </c>
      <c r="U1811" s="1">
        <v>45501</v>
      </c>
      <c r="V1811">
        <v>262.5</v>
      </c>
      <c r="W1811">
        <v>0.56799999999999995</v>
      </c>
      <c r="X1811" t="str">
        <f>IF(WarehouseData[[#This Row],[stock_level]]&lt;=WarehouseData[[#This Row],[reorder_point]],"Low Stock","Sufficient Stock")</f>
        <v>Sufficient Stock</v>
      </c>
      <c r="Y1811">
        <f>WarehouseData[[#This Row],[daily_demand]]*WarehouseData[[#This Row],[lead_time_days]]</f>
        <v>225.18</v>
      </c>
      <c r="Z1811" t="str">
        <f>IF(WarehouseData[[#This Row],[stock_level]]&lt;=WarehouseData[[#This Row],[Demand During Lead Time]],"At Risk","Safe")</f>
        <v>Safe</v>
      </c>
      <c r="AA1811">
        <f>WarehouseData[[#This Row],[stock_level]]/WarehouseData[[#This Row],[daily_demand]]</f>
        <v>11.537436717292833</v>
      </c>
      <c r="AB1811">
        <f>WarehouseData[[#This Row],[stock_level]]*WarehouseData[[#This Row],[unit_price]]</f>
        <v>42208.840000000004</v>
      </c>
      <c r="AC1811">
        <f>WarehouseData[[#This Row],[stock_level]]*WarehouseData[[#This Row],[holding_cost_per_unit_day]]*30</f>
        <v>11561.1</v>
      </c>
      <c r="AD1811" t="str">
        <f>IF(WarehouseData[[#This Row],[order_fulfillment_rate]]&gt;=0.9,"Strong",IF(WarehouseData[[#This Row],[order_fulfillment_rate]]&gt;=0.8,"Moderate","Needs Attention"))</f>
        <v>Strong</v>
      </c>
      <c r="AE1811" t="str">
        <f>IF(WarehouseData[[#This Row],[picking_time_seconds]]&gt;120,"Slow",IF(WarehouseData[[#This Row],[picking_time_seconds]]&gt;=60,"Average","Fast"))</f>
        <v>Slow</v>
      </c>
    </row>
    <row r="1812" spans="1:31" x14ac:dyDescent="0.25">
      <c r="A1812" t="s">
        <v>1950</v>
      </c>
      <c r="B1812" t="s">
        <v>48</v>
      </c>
      <c r="C1812">
        <v>228</v>
      </c>
      <c r="D1812">
        <v>40</v>
      </c>
      <c r="E1812">
        <v>14</v>
      </c>
      <c r="F1812">
        <v>6</v>
      </c>
      <c r="G1812">
        <v>32.08</v>
      </c>
      <c r="H1812">
        <v>2.8</v>
      </c>
      <c r="I1812">
        <v>0.97</v>
      </c>
      <c r="J1812" t="s">
        <v>377</v>
      </c>
      <c r="K1812" t="s">
        <v>34</v>
      </c>
      <c r="L1812">
        <v>115</v>
      </c>
      <c r="M1812">
        <v>3.56</v>
      </c>
      <c r="N1812">
        <v>17.559999999999999</v>
      </c>
      <c r="O1812">
        <v>0.16</v>
      </c>
      <c r="P1812">
        <v>4</v>
      </c>
      <c r="Q1812">
        <v>0.72</v>
      </c>
      <c r="R1812">
        <v>420</v>
      </c>
      <c r="S1812">
        <v>9.98</v>
      </c>
      <c r="T1812">
        <v>0.62</v>
      </c>
      <c r="U1812" s="1">
        <v>45583</v>
      </c>
      <c r="V1812">
        <v>193.08</v>
      </c>
      <c r="W1812">
        <v>0.70499999999999996</v>
      </c>
      <c r="X1812" t="str">
        <f>IF(WarehouseData[[#This Row],[stock_level]]&lt;=WarehouseData[[#This Row],[reorder_point]],"Low Stock","Sufficient Stock")</f>
        <v>Sufficient Stock</v>
      </c>
      <c r="Y1812">
        <f>WarehouseData[[#This Row],[daily_demand]]*WarehouseData[[#This Row],[lead_time_days]]</f>
        <v>192.48</v>
      </c>
      <c r="Z1812" t="str">
        <f>IF(WarehouseData[[#This Row],[stock_level]]&lt;=WarehouseData[[#This Row],[Demand During Lead Time]],"At Risk","Safe")</f>
        <v>Safe</v>
      </c>
      <c r="AA1812">
        <f>WarehouseData[[#This Row],[stock_level]]/WarehouseData[[#This Row],[daily_demand]]</f>
        <v>7.107231920199502</v>
      </c>
      <c r="AB1812">
        <f>WarehouseData[[#This Row],[stock_level]]*WarehouseData[[#This Row],[unit_price]]</f>
        <v>4003.68</v>
      </c>
      <c r="AC1812">
        <f>WarehouseData[[#This Row],[stock_level]]*WarehouseData[[#This Row],[holding_cost_per_unit_day]]*30</f>
        <v>1094.4000000000001</v>
      </c>
      <c r="AD1812" t="str">
        <f>IF(WarehouseData[[#This Row],[order_fulfillment_rate]]&gt;=0.9,"Strong",IF(WarehouseData[[#This Row],[order_fulfillment_rate]]&gt;=0.8,"Moderate","Needs Attention"))</f>
        <v>Needs Attention</v>
      </c>
      <c r="AE1812" t="str">
        <f>IF(WarehouseData[[#This Row],[picking_time_seconds]]&gt;120,"Slow",IF(WarehouseData[[#This Row],[picking_time_seconds]]&gt;=60,"Average","Fast"))</f>
        <v>Average</v>
      </c>
    </row>
    <row r="1813" spans="1:31" x14ac:dyDescent="0.25">
      <c r="A1813" t="s">
        <v>1951</v>
      </c>
      <c r="B1813" t="s">
        <v>36</v>
      </c>
      <c r="C1813">
        <v>147</v>
      </c>
      <c r="D1813">
        <v>84</v>
      </c>
      <c r="E1813">
        <v>10</v>
      </c>
      <c r="F1813">
        <v>3</v>
      </c>
      <c r="G1813">
        <v>38.85</v>
      </c>
      <c r="H1813">
        <v>7.07</v>
      </c>
      <c r="I1813">
        <v>0.48</v>
      </c>
      <c r="J1813" t="s">
        <v>95</v>
      </c>
      <c r="K1813" t="s">
        <v>46</v>
      </c>
      <c r="L1813">
        <v>114</v>
      </c>
      <c r="M1813">
        <v>2.5</v>
      </c>
      <c r="N1813">
        <v>178.91</v>
      </c>
      <c r="O1813">
        <v>0.57999999999999996</v>
      </c>
      <c r="P1813">
        <v>6</v>
      </c>
      <c r="Q1813">
        <v>0.82</v>
      </c>
      <c r="R1813">
        <v>740</v>
      </c>
      <c r="S1813">
        <v>10.46</v>
      </c>
      <c r="T1813">
        <v>0.74</v>
      </c>
      <c r="U1813" s="1">
        <v>45526</v>
      </c>
      <c r="V1813">
        <v>286.89999999999998</v>
      </c>
      <c r="W1813">
        <v>0.67300000000000004</v>
      </c>
      <c r="X1813" t="str">
        <f>IF(WarehouseData[[#This Row],[stock_level]]&lt;=WarehouseData[[#This Row],[reorder_point]],"Low Stock","Sufficient Stock")</f>
        <v>Sufficient Stock</v>
      </c>
      <c r="Y1813">
        <f>WarehouseData[[#This Row],[daily_demand]]*WarehouseData[[#This Row],[lead_time_days]]</f>
        <v>116.55000000000001</v>
      </c>
      <c r="Z1813" t="str">
        <f>IF(WarehouseData[[#This Row],[stock_level]]&lt;=WarehouseData[[#This Row],[Demand During Lead Time]],"At Risk","Safe")</f>
        <v>Safe</v>
      </c>
      <c r="AA1813">
        <f>WarehouseData[[#This Row],[stock_level]]/WarehouseData[[#This Row],[daily_demand]]</f>
        <v>3.7837837837837838</v>
      </c>
      <c r="AB1813">
        <f>WarehouseData[[#This Row],[stock_level]]*WarehouseData[[#This Row],[unit_price]]</f>
        <v>26299.77</v>
      </c>
      <c r="AC1813">
        <f>WarehouseData[[#This Row],[stock_level]]*WarehouseData[[#This Row],[holding_cost_per_unit_day]]*30</f>
        <v>2557.7999999999997</v>
      </c>
      <c r="AD1813" t="str">
        <f>IF(WarehouseData[[#This Row],[order_fulfillment_rate]]&gt;=0.9,"Strong",IF(WarehouseData[[#This Row],[order_fulfillment_rate]]&gt;=0.8,"Moderate","Needs Attention"))</f>
        <v>Moderate</v>
      </c>
      <c r="AE1813" t="str">
        <f>IF(WarehouseData[[#This Row],[picking_time_seconds]]&gt;120,"Slow",IF(WarehouseData[[#This Row],[picking_time_seconds]]&gt;=60,"Average","Fast"))</f>
        <v>Average</v>
      </c>
    </row>
    <row r="1814" spans="1:31" x14ac:dyDescent="0.25">
      <c r="A1814" t="s">
        <v>1952</v>
      </c>
      <c r="B1814" t="s">
        <v>73</v>
      </c>
      <c r="C1814">
        <v>359</v>
      </c>
      <c r="D1814">
        <v>80</v>
      </c>
      <c r="E1814">
        <v>10</v>
      </c>
      <c r="F1814">
        <v>3</v>
      </c>
      <c r="G1814">
        <v>16.91</v>
      </c>
      <c r="H1814">
        <v>1.1200000000000001</v>
      </c>
      <c r="I1814">
        <v>0.28000000000000003</v>
      </c>
      <c r="J1814" t="s">
        <v>185</v>
      </c>
      <c r="K1814" t="s">
        <v>52</v>
      </c>
      <c r="L1814">
        <v>56</v>
      </c>
      <c r="M1814">
        <v>4.6399999999999997</v>
      </c>
      <c r="N1814">
        <v>172.07</v>
      </c>
      <c r="O1814">
        <v>0.48</v>
      </c>
      <c r="P1814">
        <v>6</v>
      </c>
      <c r="Q1814">
        <v>0.8</v>
      </c>
      <c r="R1814">
        <v>72</v>
      </c>
      <c r="S1814">
        <v>13.02</v>
      </c>
      <c r="T1814">
        <v>0.37</v>
      </c>
      <c r="U1814" s="1">
        <v>45365</v>
      </c>
      <c r="V1814">
        <v>298.39999999999998</v>
      </c>
      <c r="W1814">
        <v>0.64</v>
      </c>
      <c r="X1814" t="str">
        <f>IF(WarehouseData[[#This Row],[stock_level]]&lt;=WarehouseData[[#This Row],[reorder_point]],"Low Stock","Sufficient Stock")</f>
        <v>Sufficient Stock</v>
      </c>
      <c r="Y1814">
        <f>WarehouseData[[#This Row],[daily_demand]]*WarehouseData[[#This Row],[lead_time_days]]</f>
        <v>50.730000000000004</v>
      </c>
      <c r="Z1814" t="str">
        <f>IF(WarehouseData[[#This Row],[stock_level]]&lt;=WarehouseData[[#This Row],[Demand During Lead Time]],"At Risk","Safe")</f>
        <v>Safe</v>
      </c>
      <c r="AA1814">
        <f>WarehouseData[[#This Row],[stock_level]]/WarehouseData[[#This Row],[daily_demand]]</f>
        <v>21.230041395623893</v>
      </c>
      <c r="AB1814">
        <f>WarehouseData[[#This Row],[stock_level]]*WarehouseData[[#This Row],[unit_price]]</f>
        <v>61773.13</v>
      </c>
      <c r="AC1814">
        <f>WarehouseData[[#This Row],[stock_level]]*WarehouseData[[#This Row],[holding_cost_per_unit_day]]*30</f>
        <v>5169.5999999999995</v>
      </c>
      <c r="AD1814" t="str">
        <f>IF(WarehouseData[[#This Row],[order_fulfillment_rate]]&gt;=0.9,"Strong",IF(WarehouseData[[#This Row],[order_fulfillment_rate]]&gt;=0.8,"Moderate","Needs Attention"))</f>
        <v>Moderate</v>
      </c>
      <c r="AE1814" t="str">
        <f>IF(WarehouseData[[#This Row],[picking_time_seconds]]&gt;120,"Slow",IF(WarehouseData[[#This Row],[picking_time_seconds]]&gt;=60,"Average","Fast"))</f>
        <v>Fast</v>
      </c>
    </row>
    <row r="1815" spans="1:31" x14ac:dyDescent="0.25">
      <c r="A1815" t="s">
        <v>1953</v>
      </c>
      <c r="B1815" t="s">
        <v>40</v>
      </c>
      <c r="C1815">
        <v>135</v>
      </c>
      <c r="D1815">
        <v>75</v>
      </c>
      <c r="E1815">
        <v>14</v>
      </c>
      <c r="F1815">
        <v>7</v>
      </c>
      <c r="G1815">
        <v>37.29</v>
      </c>
      <c r="H1815">
        <v>9.65</v>
      </c>
      <c r="I1815">
        <v>0.84</v>
      </c>
      <c r="J1815" t="s">
        <v>75</v>
      </c>
      <c r="K1815" t="s">
        <v>52</v>
      </c>
      <c r="L1815">
        <v>127</v>
      </c>
      <c r="M1815">
        <v>4.08</v>
      </c>
      <c r="N1815">
        <v>159.11000000000001</v>
      </c>
      <c r="O1815">
        <v>1.03</v>
      </c>
      <c r="P1815">
        <v>8</v>
      </c>
      <c r="Q1815">
        <v>0.97</v>
      </c>
      <c r="R1815">
        <v>434</v>
      </c>
      <c r="S1815">
        <v>10.67</v>
      </c>
      <c r="T1815">
        <v>1</v>
      </c>
      <c r="U1815" s="1">
        <v>45453</v>
      </c>
      <c r="V1815">
        <v>157.56</v>
      </c>
      <c r="W1815">
        <v>0.67300000000000004</v>
      </c>
      <c r="X1815" t="str">
        <f>IF(WarehouseData[[#This Row],[stock_level]]&lt;=WarehouseData[[#This Row],[reorder_point]],"Low Stock","Sufficient Stock")</f>
        <v>Sufficient Stock</v>
      </c>
      <c r="Y1815">
        <f>WarehouseData[[#This Row],[daily_demand]]*WarehouseData[[#This Row],[lead_time_days]]</f>
        <v>261.02999999999997</v>
      </c>
      <c r="Z1815" t="str">
        <f>IF(WarehouseData[[#This Row],[stock_level]]&lt;=WarehouseData[[#This Row],[Demand During Lead Time]],"At Risk","Safe")</f>
        <v>At Risk</v>
      </c>
      <c r="AA1815">
        <f>WarehouseData[[#This Row],[stock_level]]/WarehouseData[[#This Row],[daily_demand]]</f>
        <v>3.6202735317779569</v>
      </c>
      <c r="AB1815">
        <f>WarehouseData[[#This Row],[stock_level]]*WarehouseData[[#This Row],[unit_price]]</f>
        <v>21479.850000000002</v>
      </c>
      <c r="AC1815">
        <f>WarehouseData[[#This Row],[stock_level]]*WarehouseData[[#This Row],[holding_cost_per_unit_day]]*30</f>
        <v>4171.5</v>
      </c>
      <c r="AD1815" t="str">
        <f>IF(WarehouseData[[#This Row],[order_fulfillment_rate]]&gt;=0.9,"Strong",IF(WarehouseData[[#This Row],[order_fulfillment_rate]]&gt;=0.8,"Moderate","Needs Attention"))</f>
        <v>Strong</v>
      </c>
      <c r="AE1815" t="str">
        <f>IF(WarehouseData[[#This Row],[picking_time_seconds]]&gt;120,"Slow",IF(WarehouseData[[#This Row],[picking_time_seconds]]&gt;=60,"Average","Fast"))</f>
        <v>Slow</v>
      </c>
    </row>
    <row r="1816" spans="1:31" x14ac:dyDescent="0.25">
      <c r="A1816" t="s">
        <v>1954</v>
      </c>
      <c r="B1816" t="s">
        <v>48</v>
      </c>
      <c r="C1816">
        <v>458</v>
      </c>
      <c r="D1816">
        <v>79</v>
      </c>
      <c r="E1816">
        <v>7</v>
      </c>
      <c r="F1816">
        <v>5</v>
      </c>
      <c r="G1816">
        <v>43.25</v>
      </c>
      <c r="H1816">
        <v>3.82</v>
      </c>
      <c r="I1816">
        <v>0.77</v>
      </c>
      <c r="J1816" t="s">
        <v>263</v>
      </c>
      <c r="K1816" t="s">
        <v>38</v>
      </c>
      <c r="L1816">
        <v>135</v>
      </c>
      <c r="M1816">
        <v>2.4300000000000002</v>
      </c>
      <c r="N1816">
        <v>21.08</v>
      </c>
      <c r="O1816">
        <v>0.12</v>
      </c>
      <c r="P1816">
        <v>1</v>
      </c>
      <c r="Q1816">
        <v>0.76</v>
      </c>
      <c r="R1816">
        <v>876</v>
      </c>
      <c r="S1816">
        <v>2.42</v>
      </c>
      <c r="T1816">
        <v>0.46</v>
      </c>
      <c r="U1816" s="1">
        <v>45384</v>
      </c>
      <c r="V1816">
        <v>24.93</v>
      </c>
      <c r="W1816">
        <v>0.64400000000000002</v>
      </c>
      <c r="X1816" t="str">
        <f>IF(WarehouseData[[#This Row],[stock_level]]&lt;=WarehouseData[[#This Row],[reorder_point]],"Low Stock","Sufficient Stock")</f>
        <v>Sufficient Stock</v>
      </c>
      <c r="Y1816">
        <f>WarehouseData[[#This Row],[daily_demand]]*WarehouseData[[#This Row],[lead_time_days]]</f>
        <v>216.25</v>
      </c>
      <c r="Z1816" t="str">
        <f>IF(WarehouseData[[#This Row],[stock_level]]&lt;=WarehouseData[[#This Row],[Demand During Lead Time]],"At Risk","Safe")</f>
        <v>Safe</v>
      </c>
      <c r="AA1816">
        <f>WarehouseData[[#This Row],[stock_level]]/WarehouseData[[#This Row],[daily_demand]]</f>
        <v>10.589595375722544</v>
      </c>
      <c r="AB1816">
        <f>WarehouseData[[#This Row],[stock_level]]*WarehouseData[[#This Row],[unit_price]]</f>
        <v>9654.64</v>
      </c>
      <c r="AC1816">
        <f>WarehouseData[[#This Row],[stock_level]]*WarehouseData[[#This Row],[holding_cost_per_unit_day]]*30</f>
        <v>1648.8</v>
      </c>
      <c r="AD1816" t="str">
        <f>IF(WarehouseData[[#This Row],[order_fulfillment_rate]]&gt;=0.9,"Strong",IF(WarehouseData[[#This Row],[order_fulfillment_rate]]&gt;=0.8,"Moderate","Needs Attention"))</f>
        <v>Needs Attention</v>
      </c>
      <c r="AE1816" t="str">
        <f>IF(WarehouseData[[#This Row],[picking_time_seconds]]&gt;120,"Slow",IF(WarehouseData[[#This Row],[picking_time_seconds]]&gt;=60,"Average","Fast"))</f>
        <v>Slow</v>
      </c>
    </row>
    <row r="1817" spans="1:31" x14ac:dyDescent="0.25">
      <c r="A1817" t="s">
        <v>1955</v>
      </c>
      <c r="B1817" t="s">
        <v>32</v>
      </c>
      <c r="C1817">
        <v>163</v>
      </c>
      <c r="D1817">
        <v>50</v>
      </c>
      <c r="E1817">
        <v>10</v>
      </c>
      <c r="F1817">
        <v>9</v>
      </c>
      <c r="G1817">
        <v>17.920000000000002</v>
      </c>
      <c r="H1817">
        <v>8.4</v>
      </c>
      <c r="I1817">
        <v>0.87</v>
      </c>
      <c r="J1817" t="s">
        <v>259</v>
      </c>
      <c r="K1817" t="s">
        <v>34</v>
      </c>
      <c r="L1817">
        <v>157</v>
      </c>
      <c r="M1817">
        <v>0.81</v>
      </c>
      <c r="N1817">
        <v>43.11</v>
      </c>
      <c r="O1817">
        <v>1.38</v>
      </c>
      <c r="P1817">
        <v>3</v>
      </c>
      <c r="Q1817">
        <v>0.8</v>
      </c>
      <c r="R1817">
        <v>805</v>
      </c>
      <c r="S1817">
        <v>10.039999999999999</v>
      </c>
      <c r="T1817">
        <v>0.45</v>
      </c>
      <c r="U1817" s="1">
        <v>45333</v>
      </c>
      <c r="V1817">
        <v>18.21</v>
      </c>
      <c r="W1817">
        <v>0.58599999999999997</v>
      </c>
      <c r="X1817" t="str">
        <f>IF(WarehouseData[[#This Row],[stock_level]]&lt;=WarehouseData[[#This Row],[reorder_point]],"Low Stock","Sufficient Stock")</f>
        <v>Sufficient Stock</v>
      </c>
      <c r="Y1817">
        <f>WarehouseData[[#This Row],[daily_demand]]*WarehouseData[[#This Row],[lead_time_days]]</f>
        <v>161.28000000000003</v>
      </c>
      <c r="Z1817" t="str">
        <f>IF(WarehouseData[[#This Row],[stock_level]]&lt;=WarehouseData[[#This Row],[Demand During Lead Time]],"At Risk","Safe")</f>
        <v>Safe</v>
      </c>
      <c r="AA1817">
        <f>WarehouseData[[#This Row],[stock_level]]/WarehouseData[[#This Row],[daily_demand]]</f>
        <v>9.0959821428571423</v>
      </c>
      <c r="AB1817">
        <f>WarehouseData[[#This Row],[stock_level]]*WarehouseData[[#This Row],[unit_price]]</f>
        <v>7026.93</v>
      </c>
      <c r="AC1817">
        <f>WarehouseData[[#This Row],[stock_level]]*WarehouseData[[#This Row],[holding_cost_per_unit_day]]*30</f>
        <v>6748.1999999999989</v>
      </c>
      <c r="AD1817" t="str">
        <f>IF(WarehouseData[[#This Row],[order_fulfillment_rate]]&gt;=0.9,"Strong",IF(WarehouseData[[#This Row],[order_fulfillment_rate]]&gt;=0.8,"Moderate","Needs Attention"))</f>
        <v>Moderate</v>
      </c>
      <c r="AE1817" t="str">
        <f>IF(WarehouseData[[#This Row],[picking_time_seconds]]&gt;120,"Slow",IF(WarehouseData[[#This Row],[picking_time_seconds]]&gt;=60,"Average","Fast"))</f>
        <v>Slow</v>
      </c>
    </row>
    <row r="1818" spans="1:31" x14ac:dyDescent="0.25">
      <c r="A1818" t="s">
        <v>1956</v>
      </c>
      <c r="B1818" t="s">
        <v>32</v>
      </c>
      <c r="C1818">
        <v>449</v>
      </c>
      <c r="D1818">
        <v>72</v>
      </c>
      <c r="E1818">
        <v>12</v>
      </c>
      <c r="F1818">
        <v>4</v>
      </c>
      <c r="G1818">
        <v>17.649999999999999</v>
      </c>
      <c r="H1818">
        <v>3.53</v>
      </c>
      <c r="I1818">
        <v>0.28999999999999998</v>
      </c>
      <c r="J1818" t="s">
        <v>37</v>
      </c>
      <c r="K1818" t="s">
        <v>52</v>
      </c>
      <c r="L1818">
        <v>107</v>
      </c>
      <c r="M1818">
        <v>4.41</v>
      </c>
      <c r="N1818">
        <v>73.489999999999995</v>
      </c>
      <c r="O1818">
        <v>1.73</v>
      </c>
      <c r="P1818">
        <v>7</v>
      </c>
      <c r="Q1818">
        <v>0.97</v>
      </c>
      <c r="R1818">
        <v>668</v>
      </c>
      <c r="S1818">
        <v>3.38</v>
      </c>
      <c r="T1818">
        <v>0.54</v>
      </c>
      <c r="U1818" s="1">
        <v>45541</v>
      </c>
      <c r="V1818">
        <v>258.14</v>
      </c>
      <c r="W1818">
        <v>0.434</v>
      </c>
      <c r="X1818" t="str">
        <f>IF(WarehouseData[[#This Row],[stock_level]]&lt;=WarehouseData[[#This Row],[reorder_point]],"Low Stock","Sufficient Stock")</f>
        <v>Sufficient Stock</v>
      </c>
      <c r="Y1818">
        <f>WarehouseData[[#This Row],[daily_demand]]*WarehouseData[[#This Row],[lead_time_days]]</f>
        <v>70.599999999999994</v>
      </c>
      <c r="Z1818" t="str">
        <f>IF(WarehouseData[[#This Row],[stock_level]]&lt;=WarehouseData[[#This Row],[Demand During Lead Time]],"At Risk","Safe")</f>
        <v>Safe</v>
      </c>
      <c r="AA1818">
        <f>WarehouseData[[#This Row],[stock_level]]/WarehouseData[[#This Row],[daily_demand]]</f>
        <v>25.439093484419267</v>
      </c>
      <c r="AB1818">
        <f>WarehouseData[[#This Row],[stock_level]]*WarehouseData[[#This Row],[unit_price]]</f>
        <v>32997.009999999995</v>
      </c>
      <c r="AC1818">
        <f>WarehouseData[[#This Row],[stock_level]]*WarehouseData[[#This Row],[holding_cost_per_unit_day]]*30</f>
        <v>23303.1</v>
      </c>
      <c r="AD1818" t="str">
        <f>IF(WarehouseData[[#This Row],[order_fulfillment_rate]]&gt;=0.9,"Strong",IF(WarehouseData[[#This Row],[order_fulfillment_rate]]&gt;=0.8,"Moderate","Needs Attention"))</f>
        <v>Strong</v>
      </c>
      <c r="AE1818" t="str">
        <f>IF(WarehouseData[[#This Row],[picking_time_seconds]]&gt;120,"Slow",IF(WarehouseData[[#This Row],[picking_time_seconds]]&gt;=60,"Average","Fast"))</f>
        <v>Average</v>
      </c>
    </row>
    <row r="1819" spans="1:31" x14ac:dyDescent="0.25">
      <c r="A1819" t="s">
        <v>1957</v>
      </c>
      <c r="B1819" t="s">
        <v>36</v>
      </c>
      <c r="C1819">
        <v>337</v>
      </c>
      <c r="D1819">
        <v>41</v>
      </c>
      <c r="E1819">
        <v>10</v>
      </c>
      <c r="F1819">
        <v>7</v>
      </c>
      <c r="G1819">
        <v>45.1</v>
      </c>
      <c r="H1819">
        <v>6.51</v>
      </c>
      <c r="I1819">
        <v>0.46</v>
      </c>
      <c r="J1819" t="s">
        <v>126</v>
      </c>
      <c r="K1819" t="s">
        <v>46</v>
      </c>
      <c r="L1819">
        <v>159</v>
      </c>
      <c r="M1819">
        <v>3.94</v>
      </c>
      <c r="N1819">
        <v>59.98</v>
      </c>
      <c r="O1819">
        <v>1.44</v>
      </c>
      <c r="P1819">
        <v>4</v>
      </c>
      <c r="Q1819">
        <v>0.8</v>
      </c>
      <c r="R1819">
        <v>692</v>
      </c>
      <c r="S1819">
        <v>1.2</v>
      </c>
      <c r="T1819">
        <v>0.8</v>
      </c>
      <c r="U1819" s="1">
        <v>45462</v>
      </c>
      <c r="V1819">
        <v>154.96</v>
      </c>
      <c r="W1819">
        <v>0.51200000000000001</v>
      </c>
      <c r="X1819" t="str">
        <f>IF(WarehouseData[[#This Row],[stock_level]]&lt;=WarehouseData[[#This Row],[reorder_point]],"Low Stock","Sufficient Stock")</f>
        <v>Sufficient Stock</v>
      </c>
      <c r="Y1819">
        <f>WarehouseData[[#This Row],[daily_demand]]*WarehouseData[[#This Row],[lead_time_days]]</f>
        <v>315.7</v>
      </c>
      <c r="Z1819" t="str">
        <f>IF(WarehouseData[[#This Row],[stock_level]]&lt;=WarehouseData[[#This Row],[Demand During Lead Time]],"At Risk","Safe")</f>
        <v>Safe</v>
      </c>
      <c r="AA1819">
        <f>WarehouseData[[#This Row],[stock_level]]/WarehouseData[[#This Row],[daily_demand]]</f>
        <v>7.4722838137472278</v>
      </c>
      <c r="AB1819">
        <f>WarehouseData[[#This Row],[stock_level]]*WarehouseData[[#This Row],[unit_price]]</f>
        <v>20213.259999999998</v>
      </c>
      <c r="AC1819">
        <f>WarehouseData[[#This Row],[stock_level]]*WarehouseData[[#This Row],[holding_cost_per_unit_day]]*30</f>
        <v>14558.4</v>
      </c>
      <c r="AD1819" t="str">
        <f>IF(WarehouseData[[#This Row],[order_fulfillment_rate]]&gt;=0.9,"Strong",IF(WarehouseData[[#This Row],[order_fulfillment_rate]]&gt;=0.8,"Moderate","Needs Attention"))</f>
        <v>Moderate</v>
      </c>
      <c r="AE1819" t="str">
        <f>IF(WarehouseData[[#This Row],[picking_time_seconds]]&gt;120,"Slow",IF(WarehouseData[[#This Row],[picking_time_seconds]]&gt;=60,"Average","Fast"))</f>
        <v>Slow</v>
      </c>
    </row>
    <row r="1820" spans="1:31" x14ac:dyDescent="0.25">
      <c r="A1820" t="s">
        <v>1958</v>
      </c>
      <c r="B1820" t="s">
        <v>32</v>
      </c>
      <c r="C1820">
        <v>254</v>
      </c>
      <c r="D1820">
        <v>29</v>
      </c>
      <c r="E1820">
        <v>5</v>
      </c>
      <c r="F1820">
        <v>5</v>
      </c>
      <c r="G1820">
        <v>3.44</v>
      </c>
      <c r="H1820">
        <v>9.84</v>
      </c>
      <c r="I1820">
        <v>0.98</v>
      </c>
      <c r="J1820" t="s">
        <v>301</v>
      </c>
      <c r="K1820" t="s">
        <v>34</v>
      </c>
      <c r="L1820">
        <v>57</v>
      </c>
      <c r="M1820">
        <v>4.0599999999999996</v>
      </c>
      <c r="N1820">
        <v>169.31</v>
      </c>
      <c r="O1820">
        <v>1.65</v>
      </c>
      <c r="P1820">
        <v>4</v>
      </c>
      <c r="Q1820">
        <v>0.86</v>
      </c>
      <c r="R1820">
        <v>571</v>
      </c>
      <c r="S1820">
        <v>4</v>
      </c>
      <c r="T1820">
        <v>0.9</v>
      </c>
      <c r="U1820" s="1">
        <v>45615</v>
      </c>
      <c r="V1820">
        <v>116.37</v>
      </c>
      <c r="W1820">
        <v>0.56000000000000005</v>
      </c>
      <c r="X1820" t="str">
        <f>IF(WarehouseData[[#This Row],[stock_level]]&lt;=WarehouseData[[#This Row],[reorder_point]],"Low Stock","Sufficient Stock")</f>
        <v>Sufficient Stock</v>
      </c>
      <c r="Y1820">
        <f>WarehouseData[[#This Row],[daily_demand]]*WarehouseData[[#This Row],[lead_time_days]]</f>
        <v>17.2</v>
      </c>
      <c r="Z1820" t="str">
        <f>IF(WarehouseData[[#This Row],[stock_level]]&lt;=WarehouseData[[#This Row],[Demand During Lead Time]],"At Risk","Safe")</f>
        <v>Safe</v>
      </c>
      <c r="AA1820">
        <f>WarehouseData[[#This Row],[stock_level]]/WarehouseData[[#This Row],[daily_demand]]</f>
        <v>73.837209302325576</v>
      </c>
      <c r="AB1820">
        <f>WarehouseData[[#This Row],[stock_level]]*WarehouseData[[#This Row],[unit_price]]</f>
        <v>43004.74</v>
      </c>
      <c r="AC1820">
        <f>WarehouseData[[#This Row],[stock_level]]*WarehouseData[[#This Row],[holding_cost_per_unit_day]]*30</f>
        <v>12572.999999999998</v>
      </c>
      <c r="AD1820" t="str">
        <f>IF(WarehouseData[[#This Row],[order_fulfillment_rate]]&gt;=0.9,"Strong",IF(WarehouseData[[#This Row],[order_fulfillment_rate]]&gt;=0.8,"Moderate","Needs Attention"))</f>
        <v>Moderate</v>
      </c>
      <c r="AE1820" t="str">
        <f>IF(WarehouseData[[#This Row],[picking_time_seconds]]&gt;120,"Slow",IF(WarehouseData[[#This Row],[picking_time_seconds]]&gt;=60,"Average","Fast"))</f>
        <v>Fast</v>
      </c>
    </row>
    <row r="1821" spans="1:31" x14ac:dyDescent="0.25">
      <c r="A1821" t="s">
        <v>1959</v>
      </c>
      <c r="B1821" t="s">
        <v>48</v>
      </c>
      <c r="C1821">
        <v>26</v>
      </c>
      <c r="D1821">
        <v>66</v>
      </c>
      <c r="E1821">
        <v>4</v>
      </c>
      <c r="F1821">
        <v>7</v>
      </c>
      <c r="G1821">
        <v>18.16</v>
      </c>
      <c r="H1821">
        <v>8.83</v>
      </c>
      <c r="I1821">
        <v>0.24</v>
      </c>
      <c r="J1821" t="s">
        <v>37</v>
      </c>
      <c r="K1821" t="s">
        <v>52</v>
      </c>
      <c r="L1821">
        <v>91</v>
      </c>
      <c r="M1821">
        <v>3.85</v>
      </c>
      <c r="N1821">
        <v>47.02</v>
      </c>
      <c r="O1821">
        <v>1.32</v>
      </c>
      <c r="P1821">
        <v>2</v>
      </c>
      <c r="Q1821">
        <v>0.71</v>
      </c>
      <c r="R1821">
        <v>428</v>
      </c>
      <c r="S1821">
        <v>3.16</v>
      </c>
      <c r="T1821">
        <v>0.46</v>
      </c>
      <c r="U1821" s="1">
        <v>45382</v>
      </c>
      <c r="V1821">
        <v>92.49</v>
      </c>
      <c r="W1821">
        <v>0.504</v>
      </c>
      <c r="X1821" t="str">
        <f>IF(WarehouseData[[#This Row],[stock_level]]&lt;=WarehouseData[[#This Row],[reorder_point]],"Low Stock","Sufficient Stock")</f>
        <v>Low Stock</v>
      </c>
      <c r="Y1821">
        <f>WarehouseData[[#This Row],[daily_demand]]*WarehouseData[[#This Row],[lead_time_days]]</f>
        <v>127.12</v>
      </c>
      <c r="Z1821" t="str">
        <f>IF(WarehouseData[[#This Row],[stock_level]]&lt;=WarehouseData[[#This Row],[Demand During Lead Time]],"At Risk","Safe")</f>
        <v>At Risk</v>
      </c>
      <c r="AA1821">
        <f>WarehouseData[[#This Row],[stock_level]]/WarehouseData[[#This Row],[daily_demand]]</f>
        <v>1.4317180616740088</v>
      </c>
      <c r="AB1821">
        <f>WarehouseData[[#This Row],[stock_level]]*WarehouseData[[#This Row],[unit_price]]</f>
        <v>1222.52</v>
      </c>
      <c r="AC1821">
        <f>WarehouseData[[#This Row],[stock_level]]*WarehouseData[[#This Row],[holding_cost_per_unit_day]]*30</f>
        <v>1029.5999999999999</v>
      </c>
      <c r="AD1821" t="str">
        <f>IF(WarehouseData[[#This Row],[order_fulfillment_rate]]&gt;=0.9,"Strong",IF(WarehouseData[[#This Row],[order_fulfillment_rate]]&gt;=0.8,"Moderate","Needs Attention"))</f>
        <v>Needs Attention</v>
      </c>
      <c r="AE1821" t="str">
        <f>IF(WarehouseData[[#This Row],[picking_time_seconds]]&gt;120,"Slow",IF(WarehouseData[[#This Row],[picking_time_seconds]]&gt;=60,"Average","Fast"))</f>
        <v>Average</v>
      </c>
    </row>
    <row r="1822" spans="1:31" x14ac:dyDescent="0.25">
      <c r="A1822" t="s">
        <v>1960</v>
      </c>
      <c r="B1822" t="s">
        <v>48</v>
      </c>
      <c r="C1822">
        <v>483</v>
      </c>
      <c r="D1822">
        <v>59</v>
      </c>
      <c r="E1822">
        <v>11</v>
      </c>
      <c r="F1822">
        <v>9</v>
      </c>
      <c r="G1822">
        <v>6.81</v>
      </c>
      <c r="H1822">
        <v>2.02</v>
      </c>
      <c r="I1822">
        <v>0.7</v>
      </c>
      <c r="J1822" t="s">
        <v>477</v>
      </c>
      <c r="K1822" t="s">
        <v>52</v>
      </c>
      <c r="L1822">
        <v>25</v>
      </c>
      <c r="M1822">
        <v>1.74</v>
      </c>
      <c r="N1822">
        <v>111.1</v>
      </c>
      <c r="O1822">
        <v>1.06</v>
      </c>
      <c r="P1822">
        <v>4</v>
      </c>
      <c r="Q1822">
        <v>1</v>
      </c>
      <c r="R1822">
        <v>760</v>
      </c>
      <c r="S1822">
        <v>2.4300000000000002</v>
      </c>
      <c r="T1822">
        <v>0.28999999999999998</v>
      </c>
      <c r="U1822" s="1">
        <v>45452</v>
      </c>
      <c r="V1822">
        <v>91.72</v>
      </c>
      <c r="W1822">
        <v>0.504</v>
      </c>
      <c r="X1822" t="str">
        <f>IF(WarehouseData[[#This Row],[stock_level]]&lt;=WarehouseData[[#This Row],[reorder_point]],"Low Stock","Sufficient Stock")</f>
        <v>Sufficient Stock</v>
      </c>
      <c r="Y1822">
        <f>WarehouseData[[#This Row],[daily_demand]]*WarehouseData[[#This Row],[lead_time_days]]</f>
        <v>61.29</v>
      </c>
      <c r="Z1822" t="str">
        <f>IF(WarehouseData[[#This Row],[stock_level]]&lt;=WarehouseData[[#This Row],[Demand During Lead Time]],"At Risk","Safe")</f>
        <v>Safe</v>
      </c>
      <c r="AA1822">
        <f>WarehouseData[[#This Row],[stock_level]]/WarehouseData[[#This Row],[daily_demand]]</f>
        <v>70.925110132158594</v>
      </c>
      <c r="AB1822">
        <f>WarehouseData[[#This Row],[stock_level]]*WarehouseData[[#This Row],[unit_price]]</f>
        <v>53661.299999999996</v>
      </c>
      <c r="AC1822">
        <f>WarehouseData[[#This Row],[stock_level]]*WarehouseData[[#This Row],[holding_cost_per_unit_day]]*30</f>
        <v>15359.400000000001</v>
      </c>
      <c r="AD1822" t="str">
        <f>IF(WarehouseData[[#This Row],[order_fulfillment_rate]]&gt;=0.9,"Strong",IF(WarehouseData[[#This Row],[order_fulfillment_rate]]&gt;=0.8,"Moderate","Needs Attention"))</f>
        <v>Strong</v>
      </c>
      <c r="AE1822" t="str">
        <f>IF(WarehouseData[[#This Row],[picking_time_seconds]]&gt;120,"Slow",IF(WarehouseData[[#This Row],[picking_time_seconds]]&gt;=60,"Average","Fast"))</f>
        <v>Fast</v>
      </c>
    </row>
    <row r="1823" spans="1:31" x14ac:dyDescent="0.25">
      <c r="A1823" t="s">
        <v>1961</v>
      </c>
      <c r="B1823" t="s">
        <v>32</v>
      </c>
      <c r="C1823">
        <v>64</v>
      </c>
      <c r="D1823">
        <v>89</v>
      </c>
      <c r="E1823">
        <v>4</v>
      </c>
      <c r="F1823">
        <v>9</v>
      </c>
      <c r="G1823">
        <v>2.42</v>
      </c>
      <c r="H1823">
        <v>5.7</v>
      </c>
      <c r="I1823">
        <v>0.31</v>
      </c>
      <c r="J1823" t="s">
        <v>59</v>
      </c>
      <c r="K1823" t="s">
        <v>34</v>
      </c>
      <c r="L1823">
        <v>142</v>
      </c>
      <c r="M1823">
        <v>4.3600000000000003</v>
      </c>
      <c r="N1823">
        <v>118.56</v>
      </c>
      <c r="O1823">
        <v>0.52</v>
      </c>
      <c r="P1823">
        <v>6</v>
      </c>
      <c r="Q1823">
        <v>0.95</v>
      </c>
      <c r="R1823">
        <v>866</v>
      </c>
      <c r="S1823">
        <v>4.01</v>
      </c>
      <c r="T1823">
        <v>0.4</v>
      </c>
      <c r="U1823" s="1">
        <v>45616</v>
      </c>
      <c r="V1823">
        <v>31.12</v>
      </c>
      <c r="W1823">
        <v>0.55100000000000005</v>
      </c>
      <c r="X1823" t="str">
        <f>IF(WarehouseData[[#This Row],[stock_level]]&lt;=WarehouseData[[#This Row],[reorder_point]],"Low Stock","Sufficient Stock")</f>
        <v>Low Stock</v>
      </c>
      <c r="Y1823">
        <f>WarehouseData[[#This Row],[daily_demand]]*WarehouseData[[#This Row],[lead_time_days]]</f>
        <v>21.78</v>
      </c>
      <c r="Z1823" t="str">
        <f>IF(WarehouseData[[#This Row],[stock_level]]&lt;=WarehouseData[[#This Row],[Demand During Lead Time]],"At Risk","Safe")</f>
        <v>Safe</v>
      </c>
      <c r="AA1823">
        <f>WarehouseData[[#This Row],[stock_level]]/WarehouseData[[#This Row],[daily_demand]]</f>
        <v>26.446280991735538</v>
      </c>
      <c r="AB1823">
        <f>WarehouseData[[#This Row],[stock_level]]*WarehouseData[[#This Row],[unit_price]]</f>
        <v>7587.84</v>
      </c>
      <c r="AC1823">
        <f>WarehouseData[[#This Row],[stock_level]]*WarehouseData[[#This Row],[holding_cost_per_unit_day]]*30</f>
        <v>998.40000000000009</v>
      </c>
      <c r="AD1823" t="str">
        <f>IF(WarehouseData[[#This Row],[order_fulfillment_rate]]&gt;=0.9,"Strong",IF(WarehouseData[[#This Row],[order_fulfillment_rate]]&gt;=0.8,"Moderate","Needs Attention"))</f>
        <v>Strong</v>
      </c>
      <c r="AE1823" t="str">
        <f>IF(WarehouseData[[#This Row],[picking_time_seconds]]&gt;120,"Slow",IF(WarehouseData[[#This Row],[picking_time_seconds]]&gt;=60,"Average","Fast"))</f>
        <v>Slow</v>
      </c>
    </row>
    <row r="1824" spans="1:31" x14ac:dyDescent="0.25">
      <c r="A1824" t="s">
        <v>1962</v>
      </c>
      <c r="B1824" t="s">
        <v>48</v>
      </c>
      <c r="C1824">
        <v>462</v>
      </c>
      <c r="D1824">
        <v>34</v>
      </c>
      <c r="E1824">
        <v>11</v>
      </c>
      <c r="F1824">
        <v>6</v>
      </c>
      <c r="G1824">
        <v>6.53</v>
      </c>
      <c r="H1824">
        <v>3.81</v>
      </c>
      <c r="I1824">
        <v>0.55000000000000004</v>
      </c>
      <c r="J1824" t="s">
        <v>59</v>
      </c>
      <c r="K1824" t="s">
        <v>34</v>
      </c>
      <c r="L1824">
        <v>83</v>
      </c>
      <c r="M1824">
        <v>0.51</v>
      </c>
      <c r="N1824">
        <v>90.75</v>
      </c>
      <c r="O1824">
        <v>0.63</v>
      </c>
      <c r="P1824">
        <v>3</v>
      </c>
      <c r="Q1824">
        <v>0.89</v>
      </c>
      <c r="R1824">
        <v>873</v>
      </c>
      <c r="S1824">
        <v>8.89</v>
      </c>
      <c r="T1824">
        <v>0.27</v>
      </c>
      <c r="U1824" s="1">
        <v>45321</v>
      </c>
      <c r="V1824">
        <v>97.87</v>
      </c>
      <c r="W1824">
        <v>0.628</v>
      </c>
      <c r="X1824" t="str">
        <f>IF(WarehouseData[[#This Row],[stock_level]]&lt;=WarehouseData[[#This Row],[reorder_point]],"Low Stock","Sufficient Stock")</f>
        <v>Sufficient Stock</v>
      </c>
      <c r="Y1824">
        <f>WarehouseData[[#This Row],[daily_demand]]*WarehouseData[[#This Row],[lead_time_days]]</f>
        <v>39.18</v>
      </c>
      <c r="Z1824" t="str">
        <f>IF(WarehouseData[[#This Row],[stock_level]]&lt;=WarehouseData[[#This Row],[Demand During Lead Time]],"At Risk","Safe")</f>
        <v>Safe</v>
      </c>
      <c r="AA1824">
        <f>WarehouseData[[#This Row],[stock_level]]/WarehouseData[[#This Row],[daily_demand]]</f>
        <v>70.750382848392036</v>
      </c>
      <c r="AB1824">
        <f>WarehouseData[[#This Row],[stock_level]]*WarehouseData[[#This Row],[unit_price]]</f>
        <v>41926.5</v>
      </c>
      <c r="AC1824">
        <f>WarehouseData[[#This Row],[stock_level]]*WarehouseData[[#This Row],[holding_cost_per_unit_day]]*30</f>
        <v>8731.7999999999993</v>
      </c>
      <c r="AD1824" t="str">
        <f>IF(WarehouseData[[#This Row],[order_fulfillment_rate]]&gt;=0.9,"Strong",IF(WarehouseData[[#This Row],[order_fulfillment_rate]]&gt;=0.8,"Moderate","Needs Attention"))</f>
        <v>Moderate</v>
      </c>
      <c r="AE1824" t="str">
        <f>IF(WarehouseData[[#This Row],[picking_time_seconds]]&gt;120,"Slow",IF(WarehouseData[[#This Row],[picking_time_seconds]]&gt;=60,"Average","Fast"))</f>
        <v>Average</v>
      </c>
    </row>
    <row r="1825" spans="1:31" x14ac:dyDescent="0.25">
      <c r="A1825" t="s">
        <v>1963</v>
      </c>
      <c r="B1825" t="s">
        <v>36</v>
      </c>
      <c r="C1825">
        <v>258</v>
      </c>
      <c r="D1825">
        <v>21</v>
      </c>
      <c r="E1825">
        <v>6</v>
      </c>
      <c r="F1825">
        <v>3</v>
      </c>
      <c r="G1825">
        <v>22.13</v>
      </c>
      <c r="H1825">
        <v>4.63</v>
      </c>
      <c r="I1825">
        <v>0.82</v>
      </c>
      <c r="J1825" t="s">
        <v>66</v>
      </c>
      <c r="K1825" t="s">
        <v>38</v>
      </c>
      <c r="L1825">
        <v>30</v>
      </c>
      <c r="M1825">
        <v>1.57</v>
      </c>
      <c r="N1825">
        <v>55.73</v>
      </c>
      <c r="O1825">
        <v>0.7</v>
      </c>
      <c r="P1825">
        <v>7</v>
      </c>
      <c r="Q1825">
        <v>0.72</v>
      </c>
      <c r="R1825">
        <v>139</v>
      </c>
      <c r="S1825">
        <v>3.12</v>
      </c>
      <c r="T1825">
        <v>0.7</v>
      </c>
      <c r="U1825" s="1">
        <v>45294</v>
      </c>
      <c r="V1825">
        <v>196.99</v>
      </c>
      <c r="W1825">
        <v>0.51600000000000001</v>
      </c>
      <c r="X1825" t="str">
        <f>IF(WarehouseData[[#This Row],[stock_level]]&lt;=WarehouseData[[#This Row],[reorder_point]],"Low Stock","Sufficient Stock")</f>
        <v>Sufficient Stock</v>
      </c>
      <c r="Y1825">
        <f>WarehouseData[[#This Row],[daily_demand]]*WarehouseData[[#This Row],[lead_time_days]]</f>
        <v>66.39</v>
      </c>
      <c r="Z1825" t="str">
        <f>IF(WarehouseData[[#This Row],[stock_level]]&lt;=WarehouseData[[#This Row],[Demand During Lead Time]],"At Risk","Safe")</f>
        <v>Safe</v>
      </c>
      <c r="AA1825">
        <f>WarehouseData[[#This Row],[stock_level]]/WarehouseData[[#This Row],[daily_demand]]</f>
        <v>11.65838228648893</v>
      </c>
      <c r="AB1825">
        <f>WarehouseData[[#This Row],[stock_level]]*WarehouseData[[#This Row],[unit_price]]</f>
        <v>14378.339999999998</v>
      </c>
      <c r="AC1825">
        <f>WarehouseData[[#This Row],[stock_level]]*WarehouseData[[#This Row],[holding_cost_per_unit_day]]*30</f>
        <v>5418</v>
      </c>
      <c r="AD1825" t="str">
        <f>IF(WarehouseData[[#This Row],[order_fulfillment_rate]]&gt;=0.9,"Strong",IF(WarehouseData[[#This Row],[order_fulfillment_rate]]&gt;=0.8,"Moderate","Needs Attention"))</f>
        <v>Needs Attention</v>
      </c>
      <c r="AE1825" t="str">
        <f>IF(WarehouseData[[#This Row],[picking_time_seconds]]&gt;120,"Slow",IF(WarehouseData[[#This Row],[picking_time_seconds]]&gt;=60,"Average","Fast"))</f>
        <v>Fast</v>
      </c>
    </row>
    <row r="1826" spans="1:31" x14ac:dyDescent="0.25">
      <c r="A1826" t="s">
        <v>1964</v>
      </c>
      <c r="B1826" t="s">
        <v>73</v>
      </c>
      <c r="C1826">
        <v>459</v>
      </c>
      <c r="D1826">
        <v>80</v>
      </c>
      <c r="E1826">
        <v>14</v>
      </c>
      <c r="F1826">
        <v>3</v>
      </c>
      <c r="G1826">
        <v>34.659999999999997</v>
      </c>
      <c r="H1826">
        <v>3.68</v>
      </c>
      <c r="I1826">
        <v>0.54</v>
      </c>
      <c r="J1826" t="s">
        <v>332</v>
      </c>
      <c r="K1826" t="s">
        <v>46</v>
      </c>
      <c r="L1826">
        <v>70</v>
      </c>
      <c r="M1826">
        <v>0.71</v>
      </c>
      <c r="N1826">
        <v>192.46</v>
      </c>
      <c r="O1826">
        <v>0.17</v>
      </c>
      <c r="P1826">
        <v>5</v>
      </c>
      <c r="Q1826">
        <v>0.72</v>
      </c>
      <c r="R1826">
        <v>193</v>
      </c>
      <c r="S1826">
        <v>4.91</v>
      </c>
      <c r="T1826">
        <v>0.79</v>
      </c>
      <c r="U1826" s="1">
        <v>45523</v>
      </c>
      <c r="V1826">
        <v>121.71</v>
      </c>
      <c r="W1826">
        <v>0.65</v>
      </c>
      <c r="X1826" t="str">
        <f>IF(WarehouseData[[#This Row],[stock_level]]&lt;=WarehouseData[[#This Row],[reorder_point]],"Low Stock","Sufficient Stock")</f>
        <v>Sufficient Stock</v>
      </c>
      <c r="Y1826">
        <f>WarehouseData[[#This Row],[daily_demand]]*WarehouseData[[#This Row],[lead_time_days]]</f>
        <v>103.97999999999999</v>
      </c>
      <c r="Z1826" t="str">
        <f>IF(WarehouseData[[#This Row],[stock_level]]&lt;=WarehouseData[[#This Row],[Demand During Lead Time]],"At Risk","Safe")</f>
        <v>Safe</v>
      </c>
      <c r="AA1826">
        <f>WarehouseData[[#This Row],[stock_level]]/WarehouseData[[#This Row],[daily_demand]]</f>
        <v>13.242931332948645</v>
      </c>
      <c r="AB1826">
        <f>WarehouseData[[#This Row],[stock_level]]*WarehouseData[[#This Row],[unit_price]]</f>
        <v>88339.14</v>
      </c>
      <c r="AC1826">
        <f>WarehouseData[[#This Row],[stock_level]]*WarehouseData[[#This Row],[holding_cost_per_unit_day]]*30</f>
        <v>2340.9</v>
      </c>
      <c r="AD1826" t="str">
        <f>IF(WarehouseData[[#This Row],[order_fulfillment_rate]]&gt;=0.9,"Strong",IF(WarehouseData[[#This Row],[order_fulfillment_rate]]&gt;=0.8,"Moderate","Needs Attention"))</f>
        <v>Needs Attention</v>
      </c>
      <c r="AE1826" t="str">
        <f>IF(WarehouseData[[#This Row],[picking_time_seconds]]&gt;120,"Slow",IF(WarehouseData[[#This Row],[picking_time_seconds]]&gt;=60,"Average","Fast"))</f>
        <v>Average</v>
      </c>
    </row>
    <row r="1827" spans="1:31" x14ac:dyDescent="0.25">
      <c r="A1827" t="s">
        <v>1965</v>
      </c>
      <c r="B1827" t="s">
        <v>36</v>
      </c>
      <c r="C1827">
        <v>451</v>
      </c>
      <c r="D1827">
        <v>48</v>
      </c>
      <c r="E1827">
        <v>4</v>
      </c>
      <c r="F1827">
        <v>9</v>
      </c>
      <c r="G1827">
        <v>15.17</v>
      </c>
      <c r="H1827">
        <v>3.69</v>
      </c>
      <c r="I1827">
        <v>0.82</v>
      </c>
      <c r="J1827" t="s">
        <v>281</v>
      </c>
      <c r="K1827" t="s">
        <v>38</v>
      </c>
      <c r="L1827">
        <v>33</v>
      </c>
      <c r="M1827">
        <v>1</v>
      </c>
      <c r="N1827">
        <v>88.55</v>
      </c>
      <c r="O1827">
        <v>1.83</v>
      </c>
      <c r="P1827">
        <v>5</v>
      </c>
      <c r="Q1827">
        <v>0.86</v>
      </c>
      <c r="R1827">
        <v>856</v>
      </c>
      <c r="S1827">
        <v>12.89</v>
      </c>
      <c r="T1827">
        <v>0.54</v>
      </c>
      <c r="U1827" s="1">
        <v>45432</v>
      </c>
      <c r="V1827">
        <v>284.87</v>
      </c>
      <c r="W1827">
        <v>0.56899999999999995</v>
      </c>
      <c r="X1827" t="str">
        <f>IF(WarehouseData[[#This Row],[stock_level]]&lt;=WarehouseData[[#This Row],[reorder_point]],"Low Stock","Sufficient Stock")</f>
        <v>Sufficient Stock</v>
      </c>
      <c r="Y1827">
        <f>WarehouseData[[#This Row],[daily_demand]]*WarehouseData[[#This Row],[lead_time_days]]</f>
        <v>136.53</v>
      </c>
      <c r="Z1827" t="str">
        <f>IF(WarehouseData[[#This Row],[stock_level]]&lt;=WarehouseData[[#This Row],[Demand During Lead Time]],"At Risk","Safe")</f>
        <v>Safe</v>
      </c>
      <c r="AA1827">
        <f>WarehouseData[[#This Row],[stock_level]]/WarehouseData[[#This Row],[daily_demand]]</f>
        <v>29.72972972972973</v>
      </c>
      <c r="AB1827">
        <f>WarehouseData[[#This Row],[stock_level]]*WarehouseData[[#This Row],[unit_price]]</f>
        <v>39936.049999999996</v>
      </c>
      <c r="AC1827">
        <f>WarehouseData[[#This Row],[stock_level]]*WarehouseData[[#This Row],[holding_cost_per_unit_day]]*30</f>
        <v>24759.9</v>
      </c>
      <c r="AD1827" t="str">
        <f>IF(WarehouseData[[#This Row],[order_fulfillment_rate]]&gt;=0.9,"Strong",IF(WarehouseData[[#This Row],[order_fulfillment_rate]]&gt;=0.8,"Moderate","Needs Attention"))</f>
        <v>Moderate</v>
      </c>
      <c r="AE1827" t="str">
        <f>IF(WarehouseData[[#This Row],[picking_time_seconds]]&gt;120,"Slow",IF(WarehouseData[[#This Row],[picking_time_seconds]]&gt;=60,"Average","Fast"))</f>
        <v>Fast</v>
      </c>
    </row>
    <row r="1828" spans="1:31" x14ac:dyDescent="0.25">
      <c r="A1828" t="s">
        <v>1966</v>
      </c>
      <c r="B1828" t="s">
        <v>36</v>
      </c>
      <c r="C1828">
        <v>174</v>
      </c>
      <c r="D1828">
        <v>26</v>
      </c>
      <c r="E1828">
        <v>12</v>
      </c>
      <c r="F1828">
        <v>7</v>
      </c>
      <c r="G1828">
        <v>42.63</v>
      </c>
      <c r="H1828">
        <v>5.65</v>
      </c>
      <c r="I1828">
        <v>0.48</v>
      </c>
      <c r="J1828" t="s">
        <v>183</v>
      </c>
      <c r="K1828" t="s">
        <v>38</v>
      </c>
      <c r="L1828">
        <v>32</v>
      </c>
      <c r="M1828">
        <v>2.9</v>
      </c>
      <c r="N1828">
        <v>148.19</v>
      </c>
      <c r="O1828">
        <v>1.81</v>
      </c>
      <c r="P1828">
        <v>5</v>
      </c>
      <c r="Q1828">
        <v>0.79</v>
      </c>
      <c r="R1828">
        <v>670</v>
      </c>
      <c r="S1828">
        <v>13.43</v>
      </c>
      <c r="T1828">
        <v>0.96</v>
      </c>
      <c r="U1828" s="1">
        <v>45399</v>
      </c>
      <c r="V1828">
        <v>203.77</v>
      </c>
      <c r="W1828">
        <v>0.64800000000000002</v>
      </c>
      <c r="X1828" t="str">
        <f>IF(WarehouseData[[#This Row],[stock_level]]&lt;=WarehouseData[[#This Row],[reorder_point]],"Low Stock","Sufficient Stock")</f>
        <v>Sufficient Stock</v>
      </c>
      <c r="Y1828">
        <f>WarehouseData[[#This Row],[daily_demand]]*WarehouseData[[#This Row],[lead_time_days]]</f>
        <v>298.41000000000003</v>
      </c>
      <c r="Z1828" t="str">
        <f>IF(WarehouseData[[#This Row],[stock_level]]&lt;=WarehouseData[[#This Row],[Demand During Lead Time]],"At Risk","Safe")</f>
        <v>At Risk</v>
      </c>
      <c r="AA1828">
        <f>WarehouseData[[#This Row],[stock_level]]/WarehouseData[[#This Row],[daily_demand]]</f>
        <v>4.0816326530612246</v>
      </c>
      <c r="AB1828">
        <f>WarehouseData[[#This Row],[stock_level]]*WarehouseData[[#This Row],[unit_price]]</f>
        <v>25785.06</v>
      </c>
      <c r="AC1828">
        <f>WarehouseData[[#This Row],[stock_level]]*WarehouseData[[#This Row],[holding_cost_per_unit_day]]*30</f>
        <v>9448.2000000000007</v>
      </c>
      <c r="AD1828" t="str">
        <f>IF(WarehouseData[[#This Row],[order_fulfillment_rate]]&gt;=0.9,"Strong",IF(WarehouseData[[#This Row],[order_fulfillment_rate]]&gt;=0.8,"Moderate","Needs Attention"))</f>
        <v>Needs Attention</v>
      </c>
      <c r="AE1828" t="str">
        <f>IF(WarehouseData[[#This Row],[picking_time_seconds]]&gt;120,"Slow",IF(WarehouseData[[#This Row],[picking_time_seconds]]&gt;=60,"Average","Fast"))</f>
        <v>Fast</v>
      </c>
    </row>
    <row r="1829" spans="1:31" x14ac:dyDescent="0.25">
      <c r="A1829" t="s">
        <v>1967</v>
      </c>
      <c r="B1829" t="s">
        <v>48</v>
      </c>
      <c r="C1829">
        <v>200</v>
      </c>
      <c r="D1829">
        <v>54</v>
      </c>
      <c r="E1829">
        <v>3</v>
      </c>
      <c r="F1829">
        <v>9</v>
      </c>
      <c r="G1829">
        <v>22.44</v>
      </c>
      <c r="H1829">
        <v>2.3199999999999998</v>
      </c>
      <c r="I1829">
        <v>1</v>
      </c>
      <c r="J1829" t="s">
        <v>338</v>
      </c>
      <c r="K1829" t="s">
        <v>46</v>
      </c>
      <c r="L1829">
        <v>96</v>
      </c>
      <c r="M1829">
        <v>0.67</v>
      </c>
      <c r="N1829">
        <v>44.97</v>
      </c>
      <c r="O1829">
        <v>0.3</v>
      </c>
      <c r="P1829">
        <v>3</v>
      </c>
      <c r="Q1829">
        <v>0.89</v>
      </c>
      <c r="R1829">
        <v>913</v>
      </c>
      <c r="S1829">
        <v>5.66</v>
      </c>
      <c r="T1829">
        <v>0.78</v>
      </c>
      <c r="U1829" s="1">
        <v>45378</v>
      </c>
      <c r="V1829">
        <v>260.55</v>
      </c>
      <c r="W1829">
        <v>0.71899999999999997</v>
      </c>
      <c r="X1829" t="str">
        <f>IF(WarehouseData[[#This Row],[stock_level]]&lt;=WarehouseData[[#This Row],[reorder_point]],"Low Stock","Sufficient Stock")</f>
        <v>Sufficient Stock</v>
      </c>
      <c r="Y1829">
        <f>WarehouseData[[#This Row],[daily_demand]]*WarehouseData[[#This Row],[lead_time_days]]</f>
        <v>201.96</v>
      </c>
      <c r="Z1829" t="str">
        <f>IF(WarehouseData[[#This Row],[stock_level]]&lt;=WarehouseData[[#This Row],[Demand During Lead Time]],"At Risk","Safe")</f>
        <v>At Risk</v>
      </c>
      <c r="AA1829">
        <f>WarehouseData[[#This Row],[stock_level]]/WarehouseData[[#This Row],[daily_demand]]</f>
        <v>8.9126559714795004</v>
      </c>
      <c r="AB1829">
        <f>WarehouseData[[#This Row],[stock_level]]*WarehouseData[[#This Row],[unit_price]]</f>
        <v>8994</v>
      </c>
      <c r="AC1829">
        <f>WarehouseData[[#This Row],[stock_level]]*WarehouseData[[#This Row],[holding_cost_per_unit_day]]*30</f>
        <v>1800</v>
      </c>
      <c r="AD1829" t="str">
        <f>IF(WarehouseData[[#This Row],[order_fulfillment_rate]]&gt;=0.9,"Strong",IF(WarehouseData[[#This Row],[order_fulfillment_rate]]&gt;=0.8,"Moderate","Needs Attention"))</f>
        <v>Moderate</v>
      </c>
      <c r="AE1829" t="str">
        <f>IF(WarehouseData[[#This Row],[picking_time_seconds]]&gt;120,"Slow",IF(WarehouseData[[#This Row],[picking_time_seconds]]&gt;=60,"Average","Fast"))</f>
        <v>Average</v>
      </c>
    </row>
    <row r="1830" spans="1:31" x14ac:dyDescent="0.25">
      <c r="A1830" t="s">
        <v>1968</v>
      </c>
      <c r="B1830" t="s">
        <v>73</v>
      </c>
      <c r="C1830">
        <v>234</v>
      </c>
      <c r="D1830">
        <v>20</v>
      </c>
      <c r="E1830">
        <v>6</v>
      </c>
      <c r="F1830">
        <v>3</v>
      </c>
      <c r="G1830">
        <v>48.44</v>
      </c>
      <c r="H1830">
        <v>5.61</v>
      </c>
      <c r="I1830">
        <v>0.49</v>
      </c>
      <c r="J1830" t="s">
        <v>131</v>
      </c>
      <c r="K1830" t="s">
        <v>46</v>
      </c>
      <c r="L1830">
        <v>148</v>
      </c>
      <c r="M1830">
        <v>1.32</v>
      </c>
      <c r="N1830">
        <v>166.33</v>
      </c>
      <c r="O1830">
        <v>1.1599999999999999</v>
      </c>
      <c r="P1830">
        <v>2</v>
      </c>
      <c r="Q1830">
        <v>0.88</v>
      </c>
      <c r="R1830">
        <v>253</v>
      </c>
      <c r="S1830">
        <v>13.59</v>
      </c>
      <c r="T1830">
        <v>0.5</v>
      </c>
      <c r="U1830" s="1">
        <v>45587</v>
      </c>
      <c r="V1830">
        <v>43.11</v>
      </c>
      <c r="W1830">
        <v>0.70099999999999996</v>
      </c>
      <c r="X1830" t="str">
        <f>IF(WarehouseData[[#This Row],[stock_level]]&lt;=WarehouseData[[#This Row],[reorder_point]],"Low Stock","Sufficient Stock")</f>
        <v>Sufficient Stock</v>
      </c>
      <c r="Y1830">
        <f>WarehouseData[[#This Row],[daily_demand]]*WarehouseData[[#This Row],[lead_time_days]]</f>
        <v>145.32</v>
      </c>
      <c r="Z1830" t="str">
        <f>IF(WarehouseData[[#This Row],[stock_level]]&lt;=WarehouseData[[#This Row],[Demand During Lead Time]],"At Risk","Safe")</f>
        <v>Safe</v>
      </c>
      <c r="AA1830">
        <f>WarehouseData[[#This Row],[stock_level]]/WarehouseData[[#This Row],[daily_demand]]</f>
        <v>4.8307184145334441</v>
      </c>
      <c r="AB1830">
        <f>WarehouseData[[#This Row],[stock_level]]*WarehouseData[[#This Row],[unit_price]]</f>
        <v>38921.22</v>
      </c>
      <c r="AC1830">
        <f>WarehouseData[[#This Row],[stock_level]]*WarehouseData[[#This Row],[holding_cost_per_unit_day]]*30</f>
        <v>8143.2</v>
      </c>
      <c r="AD1830" t="str">
        <f>IF(WarehouseData[[#This Row],[order_fulfillment_rate]]&gt;=0.9,"Strong",IF(WarehouseData[[#This Row],[order_fulfillment_rate]]&gt;=0.8,"Moderate","Needs Attention"))</f>
        <v>Moderate</v>
      </c>
      <c r="AE1830" t="str">
        <f>IF(WarehouseData[[#This Row],[picking_time_seconds]]&gt;120,"Slow",IF(WarehouseData[[#This Row],[picking_time_seconds]]&gt;=60,"Average","Fast"))</f>
        <v>Slow</v>
      </c>
    </row>
    <row r="1831" spans="1:31" x14ac:dyDescent="0.25">
      <c r="A1831" t="s">
        <v>1969</v>
      </c>
      <c r="B1831" t="s">
        <v>48</v>
      </c>
      <c r="C1831">
        <v>107</v>
      </c>
      <c r="D1831">
        <v>79</v>
      </c>
      <c r="E1831">
        <v>11</v>
      </c>
      <c r="F1831">
        <v>2</v>
      </c>
      <c r="G1831">
        <v>47.75</v>
      </c>
      <c r="H1831">
        <v>3.15</v>
      </c>
      <c r="I1831">
        <v>0.23</v>
      </c>
      <c r="J1831" t="s">
        <v>51</v>
      </c>
      <c r="K1831" t="s">
        <v>38</v>
      </c>
      <c r="L1831">
        <v>11</v>
      </c>
      <c r="M1831">
        <v>1.55</v>
      </c>
      <c r="N1831">
        <v>51.02</v>
      </c>
      <c r="O1831">
        <v>0.99</v>
      </c>
      <c r="P1831">
        <v>9</v>
      </c>
      <c r="Q1831">
        <v>0.95</v>
      </c>
      <c r="R1831">
        <v>605</v>
      </c>
      <c r="S1831">
        <v>9.1999999999999993</v>
      </c>
      <c r="T1831">
        <v>0.28000000000000003</v>
      </c>
      <c r="U1831" s="1">
        <v>45373</v>
      </c>
      <c r="V1831">
        <v>140.65</v>
      </c>
      <c r="W1831">
        <v>0.49</v>
      </c>
      <c r="X1831" t="str">
        <f>IF(WarehouseData[[#This Row],[stock_level]]&lt;=WarehouseData[[#This Row],[reorder_point]],"Low Stock","Sufficient Stock")</f>
        <v>Sufficient Stock</v>
      </c>
      <c r="Y1831">
        <f>WarehouseData[[#This Row],[daily_demand]]*WarehouseData[[#This Row],[lead_time_days]]</f>
        <v>95.5</v>
      </c>
      <c r="Z1831" t="str">
        <f>IF(WarehouseData[[#This Row],[stock_level]]&lt;=WarehouseData[[#This Row],[Demand During Lead Time]],"At Risk","Safe")</f>
        <v>Safe</v>
      </c>
      <c r="AA1831">
        <f>WarehouseData[[#This Row],[stock_level]]/WarehouseData[[#This Row],[daily_demand]]</f>
        <v>2.2408376963350785</v>
      </c>
      <c r="AB1831">
        <f>WarehouseData[[#This Row],[stock_level]]*WarehouseData[[#This Row],[unit_price]]</f>
        <v>5459.14</v>
      </c>
      <c r="AC1831">
        <f>WarehouseData[[#This Row],[stock_level]]*WarehouseData[[#This Row],[holding_cost_per_unit_day]]*30</f>
        <v>3177.8999999999996</v>
      </c>
      <c r="AD1831" t="str">
        <f>IF(WarehouseData[[#This Row],[order_fulfillment_rate]]&gt;=0.9,"Strong",IF(WarehouseData[[#This Row],[order_fulfillment_rate]]&gt;=0.8,"Moderate","Needs Attention"))</f>
        <v>Strong</v>
      </c>
      <c r="AE1831" t="str">
        <f>IF(WarehouseData[[#This Row],[picking_time_seconds]]&gt;120,"Slow",IF(WarehouseData[[#This Row],[picking_time_seconds]]&gt;=60,"Average","Fast"))</f>
        <v>Fast</v>
      </c>
    </row>
    <row r="1832" spans="1:31" x14ac:dyDescent="0.25">
      <c r="A1832" t="s">
        <v>1970</v>
      </c>
      <c r="B1832" t="s">
        <v>40</v>
      </c>
      <c r="C1832">
        <v>275</v>
      </c>
      <c r="D1832">
        <v>32</v>
      </c>
      <c r="E1832">
        <v>14</v>
      </c>
      <c r="F1832">
        <v>7</v>
      </c>
      <c r="G1832">
        <v>38.89</v>
      </c>
      <c r="H1832">
        <v>3.25</v>
      </c>
      <c r="I1832">
        <v>0.46</v>
      </c>
      <c r="J1832" t="s">
        <v>236</v>
      </c>
      <c r="K1832" t="s">
        <v>34</v>
      </c>
      <c r="L1832">
        <v>62</v>
      </c>
      <c r="M1832">
        <v>3.45</v>
      </c>
      <c r="N1832">
        <v>138.31</v>
      </c>
      <c r="O1832">
        <v>1.4</v>
      </c>
      <c r="P1832">
        <v>5</v>
      </c>
      <c r="Q1832">
        <v>0.78</v>
      </c>
      <c r="R1832">
        <v>569</v>
      </c>
      <c r="S1832">
        <v>4.17</v>
      </c>
      <c r="T1832">
        <v>0.59</v>
      </c>
      <c r="U1832" s="1">
        <v>45542</v>
      </c>
      <c r="V1832">
        <v>22.02</v>
      </c>
      <c r="W1832">
        <v>0.49</v>
      </c>
      <c r="X1832" t="str">
        <f>IF(WarehouseData[[#This Row],[stock_level]]&lt;=WarehouseData[[#This Row],[reorder_point]],"Low Stock","Sufficient Stock")</f>
        <v>Sufficient Stock</v>
      </c>
      <c r="Y1832">
        <f>WarehouseData[[#This Row],[daily_demand]]*WarehouseData[[#This Row],[lead_time_days]]</f>
        <v>272.23</v>
      </c>
      <c r="Z1832" t="str">
        <f>IF(WarehouseData[[#This Row],[stock_level]]&lt;=WarehouseData[[#This Row],[Demand During Lead Time]],"At Risk","Safe")</f>
        <v>Safe</v>
      </c>
      <c r="AA1832">
        <f>WarehouseData[[#This Row],[stock_level]]/WarehouseData[[#This Row],[daily_demand]]</f>
        <v>7.0712265363846747</v>
      </c>
      <c r="AB1832">
        <f>WarehouseData[[#This Row],[stock_level]]*WarehouseData[[#This Row],[unit_price]]</f>
        <v>38035.25</v>
      </c>
      <c r="AC1832">
        <f>WarehouseData[[#This Row],[stock_level]]*WarehouseData[[#This Row],[holding_cost_per_unit_day]]*30</f>
        <v>11550</v>
      </c>
      <c r="AD1832" t="str">
        <f>IF(WarehouseData[[#This Row],[order_fulfillment_rate]]&gt;=0.9,"Strong",IF(WarehouseData[[#This Row],[order_fulfillment_rate]]&gt;=0.8,"Moderate","Needs Attention"))</f>
        <v>Needs Attention</v>
      </c>
      <c r="AE1832" t="str">
        <f>IF(WarehouseData[[#This Row],[picking_time_seconds]]&gt;120,"Slow",IF(WarehouseData[[#This Row],[picking_time_seconds]]&gt;=60,"Average","Fast"))</f>
        <v>Average</v>
      </c>
    </row>
    <row r="1833" spans="1:31" x14ac:dyDescent="0.25">
      <c r="A1833" t="s">
        <v>1971</v>
      </c>
      <c r="B1833" t="s">
        <v>48</v>
      </c>
      <c r="C1833">
        <v>92</v>
      </c>
      <c r="D1833">
        <v>79</v>
      </c>
      <c r="E1833">
        <v>11</v>
      </c>
      <c r="F1833">
        <v>6</v>
      </c>
      <c r="G1833">
        <v>46.69</v>
      </c>
      <c r="H1833">
        <v>7.52</v>
      </c>
      <c r="I1833">
        <v>0.77</v>
      </c>
      <c r="J1833" t="s">
        <v>273</v>
      </c>
      <c r="K1833" t="s">
        <v>46</v>
      </c>
      <c r="L1833">
        <v>148</v>
      </c>
      <c r="M1833">
        <v>2.61</v>
      </c>
      <c r="N1833">
        <v>106.23</v>
      </c>
      <c r="O1833">
        <v>1.25</v>
      </c>
      <c r="P1833">
        <v>5</v>
      </c>
      <c r="Q1833">
        <v>0.87</v>
      </c>
      <c r="R1833">
        <v>441</v>
      </c>
      <c r="S1833">
        <v>11.56</v>
      </c>
      <c r="T1833">
        <v>0.6</v>
      </c>
      <c r="U1833" s="1">
        <v>45337</v>
      </c>
      <c r="V1833">
        <v>269.55</v>
      </c>
      <c r="W1833">
        <v>0.623</v>
      </c>
      <c r="X1833" t="str">
        <f>IF(WarehouseData[[#This Row],[stock_level]]&lt;=WarehouseData[[#This Row],[reorder_point]],"Low Stock","Sufficient Stock")</f>
        <v>Sufficient Stock</v>
      </c>
      <c r="Y1833">
        <f>WarehouseData[[#This Row],[daily_demand]]*WarehouseData[[#This Row],[lead_time_days]]</f>
        <v>280.14</v>
      </c>
      <c r="Z1833" t="str">
        <f>IF(WarehouseData[[#This Row],[stock_level]]&lt;=WarehouseData[[#This Row],[Demand During Lead Time]],"At Risk","Safe")</f>
        <v>At Risk</v>
      </c>
      <c r="AA1833">
        <f>WarehouseData[[#This Row],[stock_level]]/WarehouseData[[#This Row],[daily_demand]]</f>
        <v>1.9704433497536946</v>
      </c>
      <c r="AB1833">
        <f>WarehouseData[[#This Row],[stock_level]]*WarehouseData[[#This Row],[unit_price]]</f>
        <v>9773.16</v>
      </c>
      <c r="AC1833">
        <f>WarehouseData[[#This Row],[stock_level]]*WarehouseData[[#This Row],[holding_cost_per_unit_day]]*30</f>
        <v>3450</v>
      </c>
      <c r="AD1833" t="str">
        <f>IF(WarehouseData[[#This Row],[order_fulfillment_rate]]&gt;=0.9,"Strong",IF(WarehouseData[[#This Row],[order_fulfillment_rate]]&gt;=0.8,"Moderate","Needs Attention"))</f>
        <v>Moderate</v>
      </c>
      <c r="AE1833" t="str">
        <f>IF(WarehouseData[[#This Row],[picking_time_seconds]]&gt;120,"Slow",IF(WarehouseData[[#This Row],[picking_time_seconds]]&gt;=60,"Average","Fast"))</f>
        <v>Slow</v>
      </c>
    </row>
    <row r="1834" spans="1:31" x14ac:dyDescent="0.25">
      <c r="A1834" t="s">
        <v>1972</v>
      </c>
      <c r="B1834" t="s">
        <v>48</v>
      </c>
      <c r="C1834">
        <v>438</v>
      </c>
      <c r="D1834">
        <v>47</v>
      </c>
      <c r="E1834">
        <v>6</v>
      </c>
      <c r="F1834">
        <v>8</v>
      </c>
      <c r="G1834">
        <v>35.65</v>
      </c>
      <c r="H1834">
        <v>0.78</v>
      </c>
      <c r="I1834">
        <v>0.86</v>
      </c>
      <c r="J1834" t="s">
        <v>217</v>
      </c>
      <c r="K1834" t="s">
        <v>38</v>
      </c>
      <c r="L1834">
        <v>24</v>
      </c>
      <c r="M1834">
        <v>2.56</v>
      </c>
      <c r="N1834">
        <v>37.85</v>
      </c>
      <c r="O1834">
        <v>0.34</v>
      </c>
      <c r="P1834">
        <v>1</v>
      </c>
      <c r="Q1834">
        <v>0.93</v>
      </c>
      <c r="R1834">
        <v>350</v>
      </c>
      <c r="S1834">
        <v>13.91</v>
      </c>
      <c r="T1834">
        <v>0.64</v>
      </c>
      <c r="U1834" s="1">
        <v>45358</v>
      </c>
      <c r="V1834">
        <v>52.59</v>
      </c>
      <c r="W1834">
        <v>0.84499999999999997</v>
      </c>
      <c r="X1834" t="str">
        <f>IF(WarehouseData[[#This Row],[stock_level]]&lt;=WarehouseData[[#This Row],[reorder_point]],"Low Stock","Sufficient Stock")</f>
        <v>Sufficient Stock</v>
      </c>
      <c r="Y1834">
        <f>WarehouseData[[#This Row],[daily_demand]]*WarehouseData[[#This Row],[lead_time_days]]</f>
        <v>285.2</v>
      </c>
      <c r="Z1834" t="str">
        <f>IF(WarehouseData[[#This Row],[stock_level]]&lt;=WarehouseData[[#This Row],[Demand During Lead Time]],"At Risk","Safe")</f>
        <v>Safe</v>
      </c>
      <c r="AA1834">
        <f>WarehouseData[[#This Row],[stock_level]]/WarehouseData[[#This Row],[daily_demand]]</f>
        <v>12.286115007012624</v>
      </c>
      <c r="AB1834">
        <f>WarehouseData[[#This Row],[stock_level]]*WarehouseData[[#This Row],[unit_price]]</f>
        <v>16578.3</v>
      </c>
      <c r="AC1834">
        <f>WarehouseData[[#This Row],[stock_level]]*WarehouseData[[#This Row],[holding_cost_per_unit_day]]*30</f>
        <v>4467.6000000000004</v>
      </c>
      <c r="AD1834" t="str">
        <f>IF(WarehouseData[[#This Row],[order_fulfillment_rate]]&gt;=0.9,"Strong",IF(WarehouseData[[#This Row],[order_fulfillment_rate]]&gt;=0.8,"Moderate","Needs Attention"))</f>
        <v>Strong</v>
      </c>
      <c r="AE1834" t="str">
        <f>IF(WarehouseData[[#This Row],[picking_time_seconds]]&gt;120,"Slow",IF(WarehouseData[[#This Row],[picking_time_seconds]]&gt;=60,"Average","Fast"))</f>
        <v>Fast</v>
      </c>
    </row>
    <row r="1835" spans="1:31" x14ac:dyDescent="0.25">
      <c r="A1835" t="s">
        <v>1973</v>
      </c>
      <c r="B1835" t="s">
        <v>48</v>
      </c>
      <c r="C1835">
        <v>198</v>
      </c>
      <c r="D1835">
        <v>11</v>
      </c>
      <c r="E1835">
        <v>11</v>
      </c>
      <c r="F1835">
        <v>7</v>
      </c>
      <c r="G1835">
        <v>44.88</v>
      </c>
      <c r="H1835">
        <v>4.12</v>
      </c>
      <c r="I1835">
        <v>0.51</v>
      </c>
      <c r="J1835" t="s">
        <v>102</v>
      </c>
      <c r="K1835" t="s">
        <v>34</v>
      </c>
      <c r="L1835">
        <v>149</v>
      </c>
      <c r="M1835">
        <v>3.96</v>
      </c>
      <c r="N1835">
        <v>14.74</v>
      </c>
      <c r="O1835">
        <v>1.35</v>
      </c>
      <c r="P1835">
        <v>9</v>
      </c>
      <c r="Q1835">
        <v>0.85</v>
      </c>
      <c r="R1835">
        <v>956</v>
      </c>
      <c r="S1835">
        <v>10.23</v>
      </c>
      <c r="T1835">
        <v>0.75</v>
      </c>
      <c r="U1835" s="1">
        <v>45606</v>
      </c>
      <c r="V1835">
        <v>243.57</v>
      </c>
      <c r="W1835">
        <v>0.54100000000000004</v>
      </c>
      <c r="X1835" t="str">
        <f>IF(WarehouseData[[#This Row],[stock_level]]&lt;=WarehouseData[[#This Row],[reorder_point]],"Low Stock","Sufficient Stock")</f>
        <v>Sufficient Stock</v>
      </c>
      <c r="Y1835">
        <f>WarehouseData[[#This Row],[daily_demand]]*WarehouseData[[#This Row],[lead_time_days]]</f>
        <v>314.16000000000003</v>
      </c>
      <c r="Z1835" t="str">
        <f>IF(WarehouseData[[#This Row],[stock_level]]&lt;=WarehouseData[[#This Row],[Demand During Lead Time]],"At Risk","Safe")</f>
        <v>At Risk</v>
      </c>
      <c r="AA1835">
        <f>WarehouseData[[#This Row],[stock_level]]/WarehouseData[[#This Row],[daily_demand]]</f>
        <v>4.4117647058823524</v>
      </c>
      <c r="AB1835">
        <f>WarehouseData[[#This Row],[stock_level]]*WarehouseData[[#This Row],[unit_price]]</f>
        <v>2918.52</v>
      </c>
      <c r="AC1835">
        <f>WarehouseData[[#This Row],[stock_level]]*WarehouseData[[#This Row],[holding_cost_per_unit_day]]*30</f>
        <v>8019</v>
      </c>
      <c r="AD1835" t="str">
        <f>IF(WarehouseData[[#This Row],[order_fulfillment_rate]]&gt;=0.9,"Strong",IF(WarehouseData[[#This Row],[order_fulfillment_rate]]&gt;=0.8,"Moderate","Needs Attention"))</f>
        <v>Moderate</v>
      </c>
      <c r="AE1835" t="str">
        <f>IF(WarehouseData[[#This Row],[picking_time_seconds]]&gt;120,"Slow",IF(WarehouseData[[#This Row],[picking_time_seconds]]&gt;=60,"Average","Fast"))</f>
        <v>Slow</v>
      </c>
    </row>
    <row r="1836" spans="1:31" x14ac:dyDescent="0.25">
      <c r="A1836" t="s">
        <v>1974</v>
      </c>
      <c r="B1836" t="s">
        <v>73</v>
      </c>
      <c r="C1836">
        <v>231</v>
      </c>
      <c r="D1836">
        <v>95</v>
      </c>
      <c r="E1836">
        <v>14</v>
      </c>
      <c r="F1836">
        <v>7</v>
      </c>
      <c r="G1836">
        <v>12.59</v>
      </c>
      <c r="H1836">
        <v>4.37</v>
      </c>
      <c r="I1836">
        <v>0.64</v>
      </c>
      <c r="J1836" t="s">
        <v>181</v>
      </c>
      <c r="K1836" t="s">
        <v>52</v>
      </c>
      <c r="L1836">
        <v>131</v>
      </c>
      <c r="M1836">
        <v>2.56</v>
      </c>
      <c r="N1836">
        <v>186.84</v>
      </c>
      <c r="O1836">
        <v>1.26</v>
      </c>
      <c r="P1836">
        <v>8</v>
      </c>
      <c r="Q1836">
        <v>0.95</v>
      </c>
      <c r="R1836">
        <v>554</v>
      </c>
      <c r="S1836">
        <v>3.82</v>
      </c>
      <c r="T1836">
        <v>0.41</v>
      </c>
      <c r="U1836" s="1">
        <v>45514</v>
      </c>
      <c r="V1836">
        <v>277.91000000000003</v>
      </c>
      <c r="W1836">
        <v>0.437</v>
      </c>
      <c r="X1836" t="str">
        <f>IF(WarehouseData[[#This Row],[stock_level]]&lt;=WarehouseData[[#This Row],[reorder_point]],"Low Stock","Sufficient Stock")</f>
        <v>Sufficient Stock</v>
      </c>
      <c r="Y1836">
        <f>WarehouseData[[#This Row],[daily_demand]]*WarehouseData[[#This Row],[lead_time_days]]</f>
        <v>88.13</v>
      </c>
      <c r="Z1836" t="str">
        <f>IF(WarehouseData[[#This Row],[stock_level]]&lt;=WarehouseData[[#This Row],[Demand During Lead Time]],"At Risk","Safe")</f>
        <v>Safe</v>
      </c>
      <c r="AA1836">
        <f>WarehouseData[[#This Row],[stock_level]]/WarehouseData[[#This Row],[daily_demand]]</f>
        <v>18.347895154884828</v>
      </c>
      <c r="AB1836">
        <f>WarehouseData[[#This Row],[stock_level]]*WarehouseData[[#This Row],[unit_price]]</f>
        <v>43160.04</v>
      </c>
      <c r="AC1836">
        <f>WarehouseData[[#This Row],[stock_level]]*WarehouseData[[#This Row],[holding_cost_per_unit_day]]*30</f>
        <v>8731.7999999999993</v>
      </c>
      <c r="AD1836" t="str">
        <f>IF(WarehouseData[[#This Row],[order_fulfillment_rate]]&gt;=0.9,"Strong",IF(WarehouseData[[#This Row],[order_fulfillment_rate]]&gt;=0.8,"Moderate","Needs Attention"))</f>
        <v>Strong</v>
      </c>
      <c r="AE1836" t="str">
        <f>IF(WarehouseData[[#This Row],[picking_time_seconds]]&gt;120,"Slow",IF(WarehouseData[[#This Row],[picking_time_seconds]]&gt;=60,"Average","Fast"))</f>
        <v>Slow</v>
      </c>
    </row>
    <row r="1837" spans="1:31" x14ac:dyDescent="0.25">
      <c r="A1837" t="s">
        <v>1975</v>
      </c>
      <c r="B1837" t="s">
        <v>48</v>
      </c>
      <c r="C1837">
        <v>312</v>
      </c>
      <c r="D1837">
        <v>93</v>
      </c>
      <c r="E1837">
        <v>8</v>
      </c>
      <c r="F1837">
        <v>3</v>
      </c>
      <c r="G1837">
        <v>17.93</v>
      </c>
      <c r="H1837">
        <v>5.1100000000000003</v>
      </c>
      <c r="I1837">
        <v>0.86</v>
      </c>
      <c r="J1837" t="s">
        <v>316</v>
      </c>
      <c r="K1837" t="s">
        <v>34</v>
      </c>
      <c r="L1837">
        <v>132</v>
      </c>
      <c r="M1837">
        <v>2.0699999999999998</v>
      </c>
      <c r="N1837">
        <v>33.880000000000003</v>
      </c>
      <c r="O1837">
        <v>1.1100000000000001</v>
      </c>
      <c r="P1837">
        <v>3</v>
      </c>
      <c r="Q1837">
        <v>0.74</v>
      </c>
      <c r="R1837">
        <v>914</v>
      </c>
      <c r="S1837">
        <v>2.2000000000000002</v>
      </c>
      <c r="T1837">
        <v>0.2</v>
      </c>
      <c r="U1837" s="1">
        <v>45616</v>
      </c>
      <c r="V1837">
        <v>138.15</v>
      </c>
      <c r="W1837">
        <v>0.44600000000000001</v>
      </c>
      <c r="X1837" t="str">
        <f>IF(WarehouseData[[#This Row],[stock_level]]&lt;=WarehouseData[[#This Row],[reorder_point]],"Low Stock","Sufficient Stock")</f>
        <v>Sufficient Stock</v>
      </c>
      <c r="Y1837">
        <f>WarehouseData[[#This Row],[daily_demand]]*WarehouseData[[#This Row],[lead_time_days]]</f>
        <v>53.79</v>
      </c>
      <c r="Z1837" t="str">
        <f>IF(WarehouseData[[#This Row],[stock_level]]&lt;=WarehouseData[[#This Row],[Demand During Lead Time]],"At Risk","Safe")</f>
        <v>Safe</v>
      </c>
      <c r="AA1837">
        <f>WarehouseData[[#This Row],[stock_level]]/WarehouseData[[#This Row],[daily_demand]]</f>
        <v>17.401003904071388</v>
      </c>
      <c r="AB1837">
        <f>WarehouseData[[#This Row],[stock_level]]*WarehouseData[[#This Row],[unit_price]]</f>
        <v>10570.560000000001</v>
      </c>
      <c r="AC1837">
        <f>WarehouseData[[#This Row],[stock_level]]*WarehouseData[[#This Row],[holding_cost_per_unit_day]]*30</f>
        <v>10389.600000000002</v>
      </c>
      <c r="AD1837" t="str">
        <f>IF(WarehouseData[[#This Row],[order_fulfillment_rate]]&gt;=0.9,"Strong",IF(WarehouseData[[#This Row],[order_fulfillment_rate]]&gt;=0.8,"Moderate","Needs Attention"))</f>
        <v>Needs Attention</v>
      </c>
      <c r="AE1837" t="str">
        <f>IF(WarehouseData[[#This Row],[picking_time_seconds]]&gt;120,"Slow",IF(WarehouseData[[#This Row],[picking_time_seconds]]&gt;=60,"Average","Fast"))</f>
        <v>Slow</v>
      </c>
    </row>
    <row r="1838" spans="1:31" x14ac:dyDescent="0.25">
      <c r="A1838" t="s">
        <v>1976</v>
      </c>
      <c r="B1838" t="s">
        <v>73</v>
      </c>
      <c r="C1838">
        <v>253</v>
      </c>
      <c r="D1838">
        <v>98</v>
      </c>
      <c r="E1838">
        <v>3</v>
      </c>
      <c r="F1838">
        <v>6</v>
      </c>
      <c r="G1838">
        <v>37.89</v>
      </c>
      <c r="H1838">
        <v>6.86</v>
      </c>
      <c r="I1838">
        <v>0.83</v>
      </c>
      <c r="J1838" t="s">
        <v>75</v>
      </c>
      <c r="K1838" t="s">
        <v>38</v>
      </c>
      <c r="L1838">
        <v>173</v>
      </c>
      <c r="M1838">
        <v>4.83</v>
      </c>
      <c r="N1838">
        <v>143.94</v>
      </c>
      <c r="O1838">
        <v>0.86</v>
      </c>
      <c r="P1838">
        <v>3</v>
      </c>
      <c r="Q1838">
        <v>0.92</v>
      </c>
      <c r="R1838">
        <v>202</v>
      </c>
      <c r="S1838">
        <v>4.21</v>
      </c>
      <c r="T1838">
        <v>0.85</v>
      </c>
      <c r="U1838" s="1">
        <v>45511</v>
      </c>
      <c r="V1838">
        <v>122.91</v>
      </c>
      <c r="W1838">
        <v>0.66400000000000003</v>
      </c>
      <c r="X1838" t="str">
        <f>IF(WarehouseData[[#This Row],[stock_level]]&lt;=WarehouseData[[#This Row],[reorder_point]],"Low Stock","Sufficient Stock")</f>
        <v>Sufficient Stock</v>
      </c>
      <c r="Y1838">
        <f>WarehouseData[[#This Row],[daily_demand]]*WarehouseData[[#This Row],[lead_time_days]]</f>
        <v>227.34</v>
      </c>
      <c r="Z1838" t="str">
        <f>IF(WarehouseData[[#This Row],[stock_level]]&lt;=WarehouseData[[#This Row],[Demand During Lead Time]],"At Risk","Safe")</f>
        <v>Safe</v>
      </c>
      <c r="AA1838">
        <f>WarehouseData[[#This Row],[stock_level]]/WarehouseData[[#This Row],[daily_demand]]</f>
        <v>6.6772235418316175</v>
      </c>
      <c r="AB1838">
        <f>WarehouseData[[#This Row],[stock_level]]*WarehouseData[[#This Row],[unit_price]]</f>
        <v>36416.82</v>
      </c>
      <c r="AC1838">
        <f>WarehouseData[[#This Row],[stock_level]]*WarehouseData[[#This Row],[holding_cost_per_unit_day]]*30</f>
        <v>6527.4</v>
      </c>
      <c r="AD1838" t="str">
        <f>IF(WarehouseData[[#This Row],[order_fulfillment_rate]]&gt;=0.9,"Strong",IF(WarehouseData[[#This Row],[order_fulfillment_rate]]&gt;=0.8,"Moderate","Needs Attention"))</f>
        <v>Strong</v>
      </c>
      <c r="AE1838" t="str">
        <f>IF(WarehouseData[[#This Row],[picking_time_seconds]]&gt;120,"Slow",IF(WarehouseData[[#This Row],[picking_time_seconds]]&gt;=60,"Average","Fast"))</f>
        <v>Slow</v>
      </c>
    </row>
    <row r="1839" spans="1:31" x14ac:dyDescent="0.25">
      <c r="A1839" t="s">
        <v>1977</v>
      </c>
      <c r="B1839" t="s">
        <v>32</v>
      </c>
      <c r="C1839">
        <v>484</v>
      </c>
      <c r="D1839">
        <v>88</v>
      </c>
      <c r="E1839">
        <v>12</v>
      </c>
      <c r="F1839">
        <v>7</v>
      </c>
      <c r="G1839">
        <v>21.8</v>
      </c>
      <c r="H1839">
        <v>4.01</v>
      </c>
      <c r="I1839">
        <v>0.69</v>
      </c>
      <c r="J1839" t="s">
        <v>166</v>
      </c>
      <c r="K1839" t="s">
        <v>46</v>
      </c>
      <c r="L1839">
        <v>101</v>
      </c>
      <c r="M1839">
        <v>0.54</v>
      </c>
      <c r="N1839">
        <v>134.01</v>
      </c>
      <c r="O1839">
        <v>1.91</v>
      </c>
      <c r="P1839">
        <v>9</v>
      </c>
      <c r="Q1839">
        <v>0.98</v>
      </c>
      <c r="R1839">
        <v>578</v>
      </c>
      <c r="S1839">
        <v>5.74</v>
      </c>
      <c r="T1839">
        <v>0.86</v>
      </c>
      <c r="U1839" s="1">
        <v>45498</v>
      </c>
      <c r="V1839">
        <v>184.03</v>
      </c>
      <c r="W1839">
        <v>0.47399999999999998</v>
      </c>
      <c r="X1839" t="str">
        <f>IF(WarehouseData[[#This Row],[stock_level]]&lt;=WarehouseData[[#This Row],[reorder_point]],"Low Stock","Sufficient Stock")</f>
        <v>Sufficient Stock</v>
      </c>
      <c r="Y1839">
        <f>WarehouseData[[#This Row],[daily_demand]]*WarehouseData[[#This Row],[lead_time_days]]</f>
        <v>152.6</v>
      </c>
      <c r="Z1839" t="str">
        <f>IF(WarehouseData[[#This Row],[stock_level]]&lt;=WarehouseData[[#This Row],[Demand During Lead Time]],"At Risk","Safe")</f>
        <v>Safe</v>
      </c>
      <c r="AA1839">
        <f>WarehouseData[[#This Row],[stock_level]]/WarehouseData[[#This Row],[daily_demand]]</f>
        <v>22.201834862385322</v>
      </c>
      <c r="AB1839">
        <f>WarehouseData[[#This Row],[stock_level]]*WarehouseData[[#This Row],[unit_price]]</f>
        <v>64860.84</v>
      </c>
      <c r="AC1839">
        <f>WarehouseData[[#This Row],[stock_level]]*WarehouseData[[#This Row],[holding_cost_per_unit_day]]*30</f>
        <v>27733.199999999997</v>
      </c>
      <c r="AD1839" t="str">
        <f>IF(WarehouseData[[#This Row],[order_fulfillment_rate]]&gt;=0.9,"Strong",IF(WarehouseData[[#This Row],[order_fulfillment_rate]]&gt;=0.8,"Moderate","Needs Attention"))</f>
        <v>Strong</v>
      </c>
      <c r="AE1839" t="str">
        <f>IF(WarehouseData[[#This Row],[picking_time_seconds]]&gt;120,"Slow",IF(WarehouseData[[#This Row],[picking_time_seconds]]&gt;=60,"Average","Fast"))</f>
        <v>Average</v>
      </c>
    </row>
    <row r="1840" spans="1:31" x14ac:dyDescent="0.25">
      <c r="A1840" t="s">
        <v>1978</v>
      </c>
      <c r="B1840" t="s">
        <v>40</v>
      </c>
      <c r="C1840">
        <v>258</v>
      </c>
      <c r="D1840">
        <v>81</v>
      </c>
      <c r="E1840">
        <v>8</v>
      </c>
      <c r="F1840">
        <v>3</v>
      </c>
      <c r="G1840">
        <v>42.03</v>
      </c>
      <c r="H1840">
        <v>2.52</v>
      </c>
      <c r="I1840">
        <v>0.83</v>
      </c>
      <c r="J1840" t="s">
        <v>54</v>
      </c>
      <c r="K1840" t="s">
        <v>34</v>
      </c>
      <c r="L1840">
        <v>32</v>
      </c>
      <c r="M1840">
        <v>1.87</v>
      </c>
      <c r="N1840">
        <v>74.930000000000007</v>
      </c>
      <c r="O1840">
        <v>1.71</v>
      </c>
      <c r="P1840">
        <v>7</v>
      </c>
      <c r="Q1840">
        <v>0.8</v>
      </c>
      <c r="R1840">
        <v>388</v>
      </c>
      <c r="S1840">
        <v>5.67</v>
      </c>
      <c r="T1840">
        <v>0.93</v>
      </c>
      <c r="U1840" s="1">
        <v>45511</v>
      </c>
      <c r="V1840">
        <v>224.7</v>
      </c>
      <c r="W1840">
        <v>0.51100000000000001</v>
      </c>
      <c r="X1840" t="str">
        <f>IF(WarehouseData[[#This Row],[stock_level]]&lt;=WarehouseData[[#This Row],[reorder_point]],"Low Stock","Sufficient Stock")</f>
        <v>Sufficient Stock</v>
      </c>
      <c r="Y1840">
        <f>WarehouseData[[#This Row],[daily_demand]]*WarehouseData[[#This Row],[lead_time_days]]</f>
        <v>126.09</v>
      </c>
      <c r="Z1840" t="str">
        <f>IF(WarehouseData[[#This Row],[stock_level]]&lt;=WarehouseData[[#This Row],[Demand During Lead Time]],"At Risk","Safe")</f>
        <v>Safe</v>
      </c>
      <c r="AA1840">
        <f>WarehouseData[[#This Row],[stock_level]]/WarehouseData[[#This Row],[daily_demand]]</f>
        <v>6.1384725196288361</v>
      </c>
      <c r="AB1840">
        <f>WarehouseData[[#This Row],[stock_level]]*WarehouseData[[#This Row],[unit_price]]</f>
        <v>19331.940000000002</v>
      </c>
      <c r="AC1840">
        <f>WarehouseData[[#This Row],[stock_level]]*WarehouseData[[#This Row],[holding_cost_per_unit_day]]*30</f>
        <v>13235.4</v>
      </c>
      <c r="AD1840" t="str">
        <f>IF(WarehouseData[[#This Row],[order_fulfillment_rate]]&gt;=0.9,"Strong",IF(WarehouseData[[#This Row],[order_fulfillment_rate]]&gt;=0.8,"Moderate","Needs Attention"))</f>
        <v>Moderate</v>
      </c>
      <c r="AE1840" t="str">
        <f>IF(WarehouseData[[#This Row],[picking_time_seconds]]&gt;120,"Slow",IF(WarehouseData[[#This Row],[picking_time_seconds]]&gt;=60,"Average","Fast"))</f>
        <v>Fast</v>
      </c>
    </row>
    <row r="1841" spans="1:31" x14ac:dyDescent="0.25">
      <c r="A1841" t="s">
        <v>1979</v>
      </c>
      <c r="B1841" t="s">
        <v>73</v>
      </c>
      <c r="C1841">
        <v>242</v>
      </c>
      <c r="D1841">
        <v>46</v>
      </c>
      <c r="E1841">
        <v>11</v>
      </c>
      <c r="F1841">
        <v>9</v>
      </c>
      <c r="G1841">
        <v>44</v>
      </c>
      <c r="H1841">
        <v>8.91</v>
      </c>
      <c r="I1841">
        <v>0.62</v>
      </c>
      <c r="J1841" t="s">
        <v>104</v>
      </c>
      <c r="K1841" t="s">
        <v>34</v>
      </c>
      <c r="L1841">
        <v>164</v>
      </c>
      <c r="M1841">
        <v>3.24</v>
      </c>
      <c r="N1841">
        <v>45.22</v>
      </c>
      <c r="O1841">
        <v>1.21</v>
      </c>
      <c r="P1841">
        <v>2</v>
      </c>
      <c r="Q1841">
        <v>0.81</v>
      </c>
      <c r="R1841">
        <v>798</v>
      </c>
      <c r="S1841">
        <v>7.98</v>
      </c>
      <c r="T1841">
        <v>0.98</v>
      </c>
      <c r="U1841" s="1">
        <v>45536</v>
      </c>
      <c r="V1841">
        <v>197.23</v>
      </c>
      <c r="W1841">
        <v>0.70299999999999996</v>
      </c>
      <c r="X1841" t="str">
        <f>IF(WarehouseData[[#This Row],[stock_level]]&lt;=WarehouseData[[#This Row],[reorder_point]],"Low Stock","Sufficient Stock")</f>
        <v>Sufficient Stock</v>
      </c>
      <c r="Y1841">
        <f>WarehouseData[[#This Row],[daily_demand]]*WarehouseData[[#This Row],[lead_time_days]]</f>
        <v>396</v>
      </c>
      <c r="Z1841" t="str">
        <f>IF(WarehouseData[[#This Row],[stock_level]]&lt;=WarehouseData[[#This Row],[Demand During Lead Time]],"At Risk","Safe")</f>
        <v>At Risk</v>
      </c>
      <c r="AA1841">
        <f>WarehouseData[[#This Row],[stock_level]]/WarehouseData[[#This Row],[daily_demand]]</f>
        <v>5.5</v>
      </c>
      <c r="AB1841">
        <f>WarehouseData[[#This Row],[stock_level]]*WarehouseData[[#This Row],[unit_price]]</f>
        <v>10943.24</v>
      </c>
      <c r="AC1841">
        <f>WarehouseData[[#This Row],[stock_level]]*WarehouseData[[#This Row],[holding_cost_per_unit_day]]*30</f>
        <v>8784.6</v>
      </c>
      <c r="AD1841" t="str">
        <f>IF(WarehouseData[[#This Row],[order_fulfillment_rate]]&gt;=0.9,"Strong",IF(WarehouseData[[#This Row],[order_fulfillment_rate]]&gt;=0.8,"Moderate","Needs Attention"))</f>
        <v>Moderate</v>
      </c>
      <c r="AE1841" t="str">
        <f>IF(WarehouseData[[#This Row],[picking_time_seconds]]&gt;120,"Slow",IF(WarehouseData[[#This Row],[picking_time_seconds]]&gt;=60,"Average","Fast"))</f>
        <v>Slow</v>
      </c>
    </row>
    <row r="1842" spans="1:31" x14ac:dyDescent="0.25">
      <c r="A1842" t="s">
        <v>1980</v>
      </c>
      <c r="B1842" t="s">
        <v>32</v>
      </c>
      <c r="C1842">
        <v>138</v>
      </c>
      <c r="D1842">
        <v>58</v>
      </c>
      <c r="E1842">
        <v>4</v>
      </c>
      <c r="F1842">
        <v>4</v>
      </c>
      <c r="G1842">
        <v>15.69</v>
      </c>
      <c r="H1842">
        <v>9.82</v>
      </c>
      <c r="I1842">
        <v>0.1</v>
      </c>
      <c r="J1842" t="s">
        <v>283</v>
      </c>
      <c r="K1842" t="s">
        <v>34</v>
      </c>
      <c r="L1842">
        <v>97</v>
      </c>
      <c r="M1842">
        <v>4.0199999999999996</v>
      </c>
      <c r="N1842">
        <v>43.88</v>
      </c>
      <c r="O1842">
        <v>0.11</v>
      </c>
      <c r="P1842">
        <v>9</v>
      </c>
      <c r="Q1842">
        <v>0.73</v>
      </c>
      <c r="R1842">
        <v>561</v>
      </c>
      <c r="S1842">
        <v>8.07</v>
      </c>
      <c r="T1842">
        <v>0.33</v>
      </c>
      <c r="U1842" s="1">
        <v>45488</v>
      </c>
      <c r="V1842">
        <v>10.33</v>
      </c>
      <c r="W1842">
        <v>0.52900000000000003</v>
      </c>
      <c r="X1842" t="str">
        <f>IF(WarehouseData[[#This Row],[stock_level]]&lt;=WarehouseData[[#This Row],[reorder_point]],"Low Stock","Sufficient Stock")</f>
        <v>Sufficient Stock</v>
      </c>
      <c r="Y1842">
        <f>WarehouseData[[#This Row],[daily_demand]]*WarehouseData[[#This Row],[lead_time_days]]</f>
        <v>62.76</v>
      </c>
      <c r="Z1842" t="str">
        <f>IF(WarehouseData[[#This Row],[stock_level]]&lt;=WarehouseData[[#This Row],[Demand During Lead Time]],"At Risk","Safe")</f>
        <v>Safe</v>
      </c>
      <c r="AA1842">
        <f>WarehouseData[[#This Row],[stock_level]]/WarehouseData[[#This Row],[daily_demand]]</f>
        <v>8.7954110898661568</v>
      </c>
      <c r="AB1842">
        <f>WarehouseData[[#This Row],[stock_level]]*WarehouseData[[#This Row],[unit_price]]</f>
        <v>6055.4400000000005</v>
      </c>
      <c r="AC1842">
        <f>WarehouseData[[#This Row],[stock_level]]*WarehouseData[[#This Row],[holding_cost_per_unit_day]]*30</f>
        <v>455.4</v>
      </c>
      <c r="AD1842" t="str">
        <f>IF(WarehouseData[[#This Row],[order_fulfillment_rate]]&gt;=0.9,"Strong",IF(WarehouseData[[#This Row],[order_fulfillment_rate]]&gt;=0.8,"Moderate","Needs Attention"))</f>
        <v>Needs Attention</v>
      </c>
      <c r="AE1842" t="str">
        <f>IF(WarehouseData[[#This Row],[picking_time_seconds]]&gt;120,"Slow",IF(WarehouseData[[#This Row],[picking_time_seconds]]&gt;=60,"Average","Fast"))</f>
        <v>Average</v>
      </c>
    </row>
    <row r="1843" spans="1:31" x14ac:dyDescent="0.25">
      <c r="A1843" t="s">
        <v>1981</v>
      </c>
      <c r="B1843" t="s">
        <v>73</v>
      </c>
      <c r="C1843">
        <v>332</v>
      </c>
      <c r="D1843">
        <v>61</v>
      </c>
      <c r="E1843">
        <v>8</v>
      </c>
      <c r="F1843">
        <v>6</v>
      </c>
      <c r="G1843">
        <v>41.35</v>
      </c>
      <c r="H1843">
        <v>0.69</v>
      </c>
      <c r="I1843">
        <v>0.14000000000000001</v>
      </c>
      <c r="J1843" t="s">
        <v>146</v>
      </c>
      <c r="K1843" t="s">
        <v>46</v>
      </c>
      <c r="L1843">
        <v>151</v>
      </c>
      <c r="M1843">
        <v>4.17</v>
      </c>
      <c r="N1843">
        <v>121.21</v>
      </c>
      <c r="O1843">
        <v>0.92</v>
      </c>
      <c r="P1843">
        <v>6</v>
      </c>
      <c r="Q1843">
        <v>0.89</v>
      </c>
      <c r="R1843">
        <v>384</v>
      </c>
      <c r="S1843">
        <v>7.6</v>
      </c>
      <c r="T1843">
        <v>0.48</v>
      </c>
      <c r="U1843" s="1">
        <v>45294</v>
      </c>
      <c r="V1843">
        <v>237.92</v>
      </c>
      <c r="W1843">
        <v>0.56299999999999994</v>
      </c>
      <c r="X1843" t="str">
        <f>IF(WarehouseData[[#This Row],[stock_level]]&lt;=WarehouseData[[#This Row],[reorder_point]],"Low Stock","Sufficient Stock")</f>
        <v>Sufficient Stock</v>
      </c>
      <c r="Y1843">
        <f>WarehouseData[[#This Row],[daily_demand]]*WarehouseData[[#This Row],[lead_time_days]]</f>
        <v>248.10000000000002</v>
      </c>
      <c r="Z1843" t="str">
        <f>IF(WarehouseData[[#This Row],[stock_level]]&lt;=WarehouseData[[#This Row],[Demand During Lead Time]],"At Risk","Safe")</f>
        <v>Safe</v>
      </c>
      <c r="AA1843">
        <f>WarehouseData[[#This Row],[stock_level]]/WarehouseData[[#This Row],[daily_demand]]</f>
        <v>8.0290205562273282</v>
      </c>
      <c r="AB1843">
        <f>WarehouseData[[#This Row],[stock_level]]*WarehouseData[[#This Row],[unit_price]]</f>
        <v>40241.72</v>
      </c>
      <c r="AC1843">
        <f>WarehouseData[[#This Row],[stock_level]]*WarehouseData[[#This Row],[holding_cost_per_unit_day]]*30</f>
        <v>9163.2000000000007</v>
      </c>
      <c r="AD1843" t="str">
        <f>IF(WarehouseData[[#This Row],[order_fulfillment_rate]]&gt;=0.9,"Strong",IF(WarehouseData[[#This Row],[order_fulfillment_rate]]&gt;=0.8,"Moderate","Needs Attention"))</f>
        <v>Moderate</v>
      </c>
      <c r="AE1843" t="str">
        <f>IF(WarehouseData[[#This Row],[picking_time_seconds]]&gt;120,"Slow",IF(WarehouseData[[#This Row],[picking_time_seconds]]&gt;=60,"Average","Fast"))</f>
        <v>Slow</v>
      </c>
    </row>
    <row r="1844" spans="1:31" x14ac:dyDescent="0.25">
      <c r="A1844" t="s">
        <v>1982</v>
      </c>
      <c r="B1844" t="s">
        <v>73</v>
      </c>
      <c r="C1844">
        <v>283</v>
      </c>
      <c r="D1844">
        <v>42</v>
      </c>
      <c r="E1844">
        <v>4</v>
      </c>
      <c r="F1844">
        <v>5</v>
      </c>
      <c r="G1844">
        <v>8.56</v>
      </c>
      <c r="H1844">
        <v>5.69</v>
      </c>
      <c r="I1844">
        <v>0.98</v>
      </c>
      <c r="J1844" t="s">
        <v>212</v>
      </c>
      <c r="K1844" t="s">
        <v>46</v>
      </c>
      <c r="L1844">
        <v>108</v>
      </c>
      <c r="M1844">
        <v>0.71</v>
      </c>
      <c r="N1844">
        <v>113.92</v>
      </c>
      <c r="O1844">
        <v>1.43</v>
      </c>
      <c r="P1844">
        <v>6</v>
      </c>
      <c r="Q1844">
        <v>0.87</v>
      </c>
      <c r="R1844">
        <v>558</v>
      </c>
      <c r="S1844">
        <v>5.81</v>
      </c>
      <c r="T1844">
        <v>0.88</v>
      </c>
      <c r="U1844" s="1">
        <v>45311</v>
      </c>
      <c r="V1844">
        <v>52.74</v>
      </c>
      <c r="W1844">
        <v>0.56399999999999995</v>
      </c>
      <c r="X1844" t="str">
        <f>IF(WarehouseData[[#This Row],[stock_level]]&lt;=WarehouseData[[#This Row],[reorder_point]],"Low Stock","Sufficient Stock")</f>
        <v>Sufficient Stock</v>
      </c>
      <c r="Y1844">
        <f>WarehouseData[[#This Row],[daily_demand]]*WarehouseData[[#This Row],[lead_time_days]]</f>
        <v>42.800000000000004</v>
      </c>
      <c r="Z1844" t="str">
        <f>IF(WarehouseData[[#This Row],[stock_level]]&lt;=WarehouseData[[#This Row],[Demand During Lead Time]],"At Risk","Safe")</f>
        <v>Safe</v>
      </c>
      <c r="AA1844">
        <f>WarehouseData[[#This Row],[stock_level]]/WarehouseData[[#This Row],[daily_demand]]</f>
        <v>33.060747663551403</v>
      </c>
      <c r="AB1844">
        <f>WarehouseData[[#This Row],[stock_level]]*WarehouseData[[#This Row],[unit_price]]</f>
        <v>32239.360000000001</v>
      </c>
      <c r="AC1844">
        <f>WarehouseData[[#This Row],[stock_level]]*WarehouseData[[#This Row],[holding_cost_per_unit_day]]*30</f>
        <v>12140.7</v>
      </c>
      <c r="AD1844" t="str">
        <f>IF(WarehouseData[[#This Row],[order_fulfillment_rate]]&gt;=0.9,"Strong",IF(WarehouseData[[#This Row],[order_fulfillment_rate]]&gt;=0.8,"Moderate","Needs Attention"))</f>
        <v>Moderate</v>
      </c>
      <c r="AE1844" t="str">
        <f>IF(WarehouseData[[#This Row],[picking_time_seconds]]&gt;120,"Slow",IF(WarehouseData[[#This Row],[picking_time_seconds]]&gt;=60,"Average","Fast"))</f>
        <v>Average</v>
      </c>
    </row>
    <row r="1845" spans="1:31" x14ac:dyDescent="0.25">
      <c r="A1845" t="s">
        <v>1983</v>
      </c>
      <c r="B1845" t="s">
        <v>40</v>
      </c>
      <c r="C1845">
        <v>226</v>
      </c>
      <c r="D1845">
        <v>31</v>
      </c>
      <c r="E1845">
        <v>6</v>
      </c>
      <c r="F1845">
        <v>2</v>
      </c>
      <c r="G1845">
        <v>17.38</v>
      </c>
      <c r="H1845">
        <v>3.75</v>
      </c>
      <c r="I1845">
        <v>0.23</v>
      </c>
      <c r="J1845" t="s">
        <v>139</v>
      </c>
      <c r="K1845" t="s">
        <v>34</v>
      </c>
      <c r="L1845">
        <v>36</v>
      </c>
      <c r="M1845">
        <v>3.69</v>
      </c>
      <c r="N1845">
        <v>176.43</v>
      </c>
      <c r="O1845">
        <v>0.32</v>
      </c>
      <c r="P1845">
        <v>1</v>
      </c>
      <c r="Q1845">
        <v>0.71</v>
      </c>
      <c r="R1845">
        <v>105</v>
      </c>
      <c r="S1845">
        <v>2.5</v>
      </c>
      <c r="T1845">
        <v>0.95</v>
      </c>
      <c r="U1845" s="1">
        <v>45565</v>
      </c>
      <c r="V1845">
        <v>140.41</v>
      </c>
      <c r="W1845">
        <v>0.71299999999999997</v>
      </c>
      <c r="X1845" t="str">
        <f>IF(WarehouseData[[#This Row],[stock_level]]&lt;=WarehouseData[[#This Row],[reorder_point]],"Low Stock","Sufficient Stock")</f>
        <v>Sufficient Stock</v>
      </c>
      <c r="Y1845">
        <f>WarehouseData[[#This Row],[daily_demand]]*WarehouseData[[#This Row],[lead_time_days]]</f>
        <v>34.76</v>
      </c>
      <c r="Z1845" t="str">
        <f>IF(WarehouseData[[#This Row],[stock_level]]&lt;=WarehouseData[[#This Row],[Demand During Lead Time]],"At Risk","Safe")</f>
        <v>Safe</v>
      </c>
      <c r="AA1845">
        <f>WarehouseData[[#This Row],[stock_level]]/WarehouseData[[#This Row],[daily_demand]]</f>
        <v>13.003452243958574</v>
      </c>
      <c r="AB1845">
        <f>WarehouseData[[#This Row],[stock_level]]*WarehouseData[[#This Row],[unit_price]]</f>
        <v>39873.18</v>
      </c>
      <c r="AC1845">
        <f>WarehouseData[[#This Row],[stock_level]]*WarehouseData[[#This Row],[holding_cost_per_unit_day]]*30</f>
        <v>2169.6000000000004</v>
      </c>
      <c r="AD1845" t="str">
        <f>IF(WarehouseData[[#This Row],[order_fulfillment_rate]]&gt;=0.9,"Strong",IF(WarehouseData[[#This Row],[order_fulfillment_rate]]&gt;=0.8,"Moderate","Needs Attention"))</f>
        <v>Needs Attention</v>
      </c>
      <c r="AE1845" t="str">
        <f>IF(WarehouseData[[#This Row],[picking_time_seconds]]&gt;120,"Slow",IF(WarehouseData[[#This Row],[picking_time_seconds]]&gt;=60,"Average","Fast"))</f>
        <v>Fast</v>
      </c>
    </row>
    <row r="1846" spans="1:31" x14ac:dyDescent="0.25">
      <c r="A1846" t="s">
        <v>1984</v>
      </c>
      <c r="B1846" t="s">
        <v>36</v>
      </c>
      <c r="C1846">
        <v>114</v>
      </c>
      <c r="D1846">
        <v>14</v>
      </c>
      <c r="E1846">
        <v>10</v>
      </c>
      <c r="F1846">
        <v>5</v>
      </c>
      <c r="G1846">
        <v>26.38</v>
      </c>
      <c r="H1846">
        <v>3.13</v>
      </c>
      <c r="I1846">
        <v>0.46</v>
      </c>
      <c r="J1846" t="s">
        <v>102</v>
      </c>
      <c r="K1846" t="s">
        <v>34</v>
      </c>
      <c r="L1846">
        <v>30</v>
      </c>
      <c r="M1846">
        <v>3.74</v>
      </c>
      <c r="N1846">
        <v>131.6</v>
      </c>
      <c r="O1846">
        <v>0.87</v>
      </c>
      <c r="P1846">
        <v>2</v>
      </c>
      <c r="Q1846">
        <v>0.93</v>
      </c>
      <c r="R1846">
        <v>605</v>
      </c>
      <c r="S1846">
        <v>6.86</v>
      </c>
      <c r="T1846">
        <v>0.21</v>
      </c>
      <c r="U1846" s="1">
        <v>45394</v>
      </c>
      <c r="V1846">
        <v>91.88</v>
      </c>
      <c r="W1846">
        <v>0.59199999999999997</v>
      </c>
      <c r="X1846" t="str">
        <f>IF(WarehouseData[[#This Row],[stock_level]]&lt;=WarehouseData[[#This Row],[reorder_point]],"Low Stock","Sufficient Stock")</f>
        <v>Sufficient Stock</v>
      </c>
      <c r="Y1846">
        <f>WarehouseData[[#This Row],[daily_demand]]*WarehouseData[[#This Row],[lead_time_days]]</f>
        <v>131.9</v>
      </c>
      <c r="Z1846" t="str">
        <f>IF(WarehouseData[[#This Row],[stock_level]]&lt;=WarehouseData[[#This Row],[Demand During Lead Time]],"At Risk","Safe")</f>
        <v>At Risk</v>
      </c>
      <c r="AA1846">
        <f>WarehouseData[[#This Row],[stock_level]]/WarehouseData[[#This Row],[daily_demand]]</f>
        <v>4.3214556482183477</v>
      </c>
      <c r="AB1846">
        <f>WarehouseData[[#This Row],[stock_level]]*WarehouseData[[#This Row],[unit_price]]</f>
        <v>15002.4</v>
      </c>
      <c r="AC1846">
        <f>WarehouseData[[#This Row],[stock_level]]*WarehouseData[[#This Row],[holding_cost_per_unit_day]]*30</f>
        <v>2975.3999999999996</v>
      </c>
      <c r="AD1846" t="str">
        <f>IF(WarehouseData[[#This Row],[order_fulfillment_rate]]&gt;=0.9,"Strong",IF(WarehouseData[[#This Row],[order_fulfillment_rate]]&gt;=0.8,"Moderate","Needs Attention"))</f>
        <v>Strong</v>
      </c>
      <c r="AE1846" t="str">
        <f>IF(WarehouseData[[#This Row],[picking_time_seconds]]&gt;120,"Slow",IF(WarehouseData[[#This Row],[picking_time_seconds]]&gt;=60,"Average","Fast"))</f>
        <v>Fast</v>
      </c>
    </row>
    <row r="1847" spans="1:31" x14ac:dyDescent="0.25">
      <c r="A1847" t="s">
        <v>1985</v>
      </c>
      <c r="B1847" t="s">
        <v>36</v>
      </c>
      <c r="C1847">
        <v>392</v>
      </c>
      <c r="D1847">
        <v>27</v>
      </c>
      <c r="E1847">
        <v>9</v>
      </c>
      <c r="F1847">
        <v>8</v>
      </c>
      <c r="G1847">
        <v>12.1</v>
      </c>
      <c r="H1847">
        <v>3.69</v>
      </c>
      <c r="I1847">
        <v>0.94</v>
      </c>
      <c r="J1847" t="s">
        <v>234</v>
      </c>
      <c r="K1847" t="s">
        <v>38</v>
      </c>
      <c r="L1847">
        <v>58</v>
      </c>
      <c r="M1847">
        <v>1.46</v>
      </c>
      <c r="N1847">
        <v>165.66</v>
      </c>
      <c r="O1847">
        <v>0.46</v>
      </c>
      <c r="P1847">
        <v>3</v>
      </c>
      <c r="Q1847">
        <v>0.95</v>
      </c>
      <c r="R1847">
        <v>870</v>
      </c>
      <c r="S1847">
        <v>14.8</v>
      </c>
      <c r="T1847">
        <v>0.51</v>
      </c>
      <c r="U1847" s="1">
        <v>45483</v>
      </c>
      <c r="V1847">
        <v>279.08999999999997</v>
      </c>
      <c r="W1847">
        <v>0.78300000000000003</v>
      </c>
      <c r="X1847" t="str">
        <f>IF(WarehouseData[[#This Row],[stock_level]]&lt;=WarehouseData[[#This Row],[reorder_point]],"Low Stock","Sufficient Stock")</f>
        <v>Sufficient Stock</v>
      </c>
      <c r="Y1847">
        <f>WarehouseData[[#This Row],[daily_demand]]*WarehouseData[[#This Row],[lead_time_days]]</f>
        <v>96.8</v>
      </c>
      <c r="Z1847" t="str">
        <f>IF(WarehouseData[[#This Row],[stock_level]]&lt;=WarehouseData[[#This Row],[Demand During Lead Time]],"At Risk","Safe")</f>
        <v>Safe</v>
      </c>
      <c r="AA1847">
        <f>WarehouseData[[#This Row],[stock_level]]/WarehouseData[[#This Row],[daily_demand]]</f>
        <v>32.396694214876035</v>
      </c>
      <c r="AB1847">
        <f>WarehouseData[[#This Row],[stock_level]]*WarehouseData[[#This Row],[unit_price]]</f>
        <v>64938.720000000001</v>
      </c>
      <c r="AC1847">
        <f>WarehouseData[[#This Row],[stock_level]]*WarehouseData[[#This Row],[holding_cost_per_unit_day]]*30</f>
        <v>5409.6</v>
      </c>
      <c r="AD1847" t="str">
        <f>IF(WarehouseData[[#This Row],[order_fulfillment_rate]]&gt;=0.9,"Strong",IF(WarehouseData[[#This Row],[order_fulfillment_rate]]&gt;=0.8,"Moderate","Needs Attention"))</f>
        <v>Strong</v>
      </c>
      <c r="AE1847" t="str">
        <f>IF(WarehouseData[[#This Row],[picking_time_seconds]]&gt;120,"Slow",IF(WarehouseData[[#This Row],[picking_time_seconds]]&gt;=60,"Average","Fast"))</f>
        <v>Fast</v>
      </c>
    </row>
    <row r="1848" spans="1:31" x14ac:dyDescent="0.25">
      <c r="A1848" t="s">
        <v>1986</v>
      </c>
      <c r="B1848" t="s">
        <v>73</v>
      </c>
      <c r="C1848">
        <v>241</v>
      </c>
      <c r="D1848">
        <v>47</v>
      </c>
      <c r="E1848">
        <v>13</v>
      </c>
      <c r="F1848">
        <v>9</v>
      </c>
      <c r="G1848">
        <v>29.38</v>
      </c>
      <c r="H1848">
        <v>6.57</v>
      </c>
      <c r="I1848">
        <v>0.28000000000000003</v>
      </c>
      <c r="J1848" t="s">
        <v>245</v>
      </c>
      <c r="K1848" t="s">
        <v>46</v>
      </c>
      <c r="L1848">
        <v>53</v>
      </c>
      <c r="M1848">
        <v>1.01</v>
      </c>
      <c r="N1848">
        <v>16.16</v>
      </c>
      <c r="O1848">
        <v>0.74</v>
      </c>
      <c r="P1848">
        <v>1</v>
      </c>
      <c r="Q1848">
        <v>0.97</v>
      </c>
      <c r="R1848">
        <v>802</v>
      </c>
      <c r="S1848">
        <v>10.15</v>
      </c>
      <c r="T1848">
        <v>0.28999999999999998</v>
      </c>
      <c r="U1848" s="1">
        <v>45299</v>
      </c>
      <c r="V1848">
        <v>155.61000000000001</v>
      </c>
      <c r="W1848">
        <v>0.69299999999999995</v>
      </c>
      <c r="X1848" t="str">
        <f>IF(WarehouseData[[#This Row],[stock_level]]&lt;=WarehouseData[[#This Row],[reorder_point]],"Low Stock","Sufficient Stock")</f>
        <v>Sufficient Stock</v>
      </c>
      <c r="Y1848">
        <f>WarehouseData[[#This Row],[daily_demand]]*WarehouseData[[#This Row],[lead_time_days]]</f>
        <v>264.42</v>
      </c>
      <c r="Z1848" t="str">
        <f>IF(WarehouseData[[#This Row],[stock_level]]&lt;=WarehouseData[[#This Row],[Demand During Lead Time]],"At Risk","Safe")</f>
        <v>At Risk</v>
      </c>
      <c r="AA1848">
        <f>WarehouseData[[#This Row],[stock_level]]/WarehouseData[[#This Row],[daily_demand]]</f>
        <v>8.20285908781484</v>
      </c>
      <c r="AB1848">
        <f>WarehouseData[[#This Row],[stock_level]]*WarehouseData[[#This Row],[unit_price]]</f>
        <v>3894.56</v>
      </c>
      <c r="AC1848">
        <f>WarehouseData[[#This Row],[stock_level]]*WarehouseData[[#This Row],[holding_cost_per_unit_day]]*30</f>
        <v>5350.2</v>
      </c>
      <c r="AD1848" t="str">
        <f>IF(WarehouseData[[#This Row],[order_fulfillment_rate]]&gt;=0.9,"Strong",IF(WarehouseData[[#This Row],[order_fulfillment_rate]]&gt;=0.8,"Moderate","Needs Attention"))</f>
        <v>Strong</v>
      </c>
      <c r="AE1848" t="str">
        <f>IF(WarehouseData[[#This Row],[picking_time_seconds]]&gt;120,"Slow",IF(WarehouseData[[#This Row],[picking_time_seconds]]&gt;=60,"Average","Fast"))</f>
        <v>Fast</v>
      </c>
    </row>
    <row r="1849" spans="1:31" x14ac:dyDescent="0.25">
      <c r="A1849" t="s">
        <v>1987</v>
      </c>
      <c r="B1849" t="s">
        <v>48</v>
      </c>
      <c r="C1849">
        <v>385</v>
      </c>
      <c r="D1849">
        <v>46</v>
      </c>
      <c r="E1849">
        <v>14</v>
      </c>
      <c r="F1849">
        <v>6</v>
      </c>
      <c r="G1849">
        <v>29.36</v>
      </c>
      <c r="H1849">
        <v>2.31</v>
      </c>
      <c r="I1849">
        <v>0.86</v>
      </c>
      <c r="J1849" t="s">
        <v>301</v>
      </c>
      <c r="K1849" t="s">
        <v>34</v>
      </c>
      <c r="L1849">
        <v>53</v>
      </c>
      <c r="M1849">
        <v>3.87</v>
      </c>
      <c r="N1849">
        <v>137.49</v>
      </c>
      <c r="O1849">
        <v>0.15</v>
      </c>
      <c r="P1849">
        <v>8</v>
      </c>
      <c r="Q1849">
        <v>0.86</v>
      </c>
      <c r="R1849">
        <v>980</v>
      </c>
      <c r="S1849">
        <v>7.16</v>
      </c>
      <c r="T1849">
        <v>0.83</v>
      </c>
      <c r="U1849" s="1">
        <v>45456</v>
      </c>
      <c r="V1849">
        <v>161.43</v>
      </c>
      <c r="W1849">
        <v>0.65800000000000003</v>
      </c>
      <c r="X1849" t="str">
        <f>IF(WarehouseData[[#This Row],[stock_level]]&lt;=WarehouseData[[#This Row],[reorder_point]],"Low Stock","Sufficient Stock")</f>
        <v>Sufficient Stock</v>
      </c>
      <c r="Y1849">
        <f>WarehouseData[[#This Row],[daily_demand]]*WarehouseData[[#This Row],[lead_time_days]]</f>
        <v>176.16</v>
      </c>
      <c r="Z1849" t="str">
        <f>IF(WarehouseData[[#This Row],[stock_level]]&lt;=WarehouseData[[#This Row],[Demand During Lead Time]],"At Risk","Safe")</f>
        <v>Safe</v>
      </c>
      <c r="AA1849">
        <f>WarehouseData[[#This Row],[stock_level]]/WarehouseData[[#This Row],[daily_demand]]</f>
        <v>13.11307901907357</v>
      </c>
      <c r="AB1849">
        <f>WarehouseData[[#This Row],[stock_level]]*WarehouseData[[#This Row],[unit_price]]</f>
        <v>52933.65</v>
      </c>
      <c r="AC1849">
        <f>WarehouseData[[#This Row],[stock_level]]*WarehouseData[[#This Row],[holding_cost_per_unit_day]]*30</f>
        <v>1732.5</v>
      </c>
      <c r="AD1849" t="str">
        <f>IF(WarehouseData[[#This Row],[order_fulfillment_rate]]&gt;=0.9,"Strong",IF(WarehouseData[[#This Row],[order_fulfillment_rate]]&gt;=0.8,"Moderate","Needs Attention"))</f>
        <v>Moderate</v>
      </c>
      <c r="AE1849" t="str">
        <f>IF(WarehouseData[[#This Row],[picking_time_seconds]]&gt;120,"Slow",IF(WarehouseData[[#This Row],[picking_time_seconds]]&gt;=60,"Average","Fast"))</f>
        <v>Fast</v>
      </c>
    </row>
    <row r="1850" spans="1:31" x14ac:dyDescent="0.25">
      <c r="A1850" t="s">
        <v>1988</v>
      </c>
      <c r="B1850" t="s">
        <v>32</v>
      </c>
      <c r="C1850">
        <v>295</v>
      </c>
      <c r="D1850">
        <v>73</v>
      </c>
      <c r="E1850">
        <v>11</v>
      </c>
      <c r="F1850">
        <v>7</v>
      </c>
      <c r="G1850">
        <v>11.14</v>
      </c>
      <c r="H1850">
        <v>9.17</v>
      </c>
      <c r="I1850">
        <v>0.84</v>
      </c>
      <c r="J1850" t="s">
        <v>311</v>
      </c>
      <c r="K1850" t="s">
        <v>46</v>
      </c>
      <c r="L1850">
        <v>137</v>
      </c>
      <c r="M1850">
        <v>1.62</v>
      </c>
      <c r="N1850">
        <v>54.4</v>
      </c>
      <c r="O1850">
        <v>0.34</v>
      </c>
      <c r="P1850">
        <v>9</v>
      </c>
      <c r="Q1850">
        <v>0.84</v>
      </c>
      <c r="R1850">
        <v>600</v>
      </c>
      <c r="S1850">
        <v>2.17</v>
      </c>
      <c r="T1850">
        <v>0.8</v>
      </c>
      <c r="U1850" s="1">
        <v>45563</v>
      </c>
      <c r="V1850">
        <v>32.08</v>
      </c>
      <c r="W1850">
        <v>0.54300000000000004</v>
      </c>
      <c r="X1850" t="str">
        <f>IF(WarehouseData[[#This Row],[stock_level]]&lt;=WarehouseData[[#This Row],[reorder_point]],"Low Stock","Sufficient Stock")</f>
        <v>Sufficient Stock</v>
      </c>
      <c r="Y1850">
        <f>WarehouseData[[#This Row],[daily_demand]]*WarehouseData[[#This Row],[lead_time_days]]</f>
        <v>77.98</v>
      </c>
      <c r="Z1850" t="str">
        <f>IF(WarehouseData[[#This Row],[stock_level]]&lt;=WarehouseData[[#This Row],[Demand During Lead Time]],"At Risk","Safe")</f>
        <v>Safe</v>
      </c>
      <c r="AA1850">
        <f>WarehouseData[[#This Row],[stock_level]]/WarehouseData[[#This Row],[daily_demand]]</f>
        <v>26.481149012567325</v>
      </c>
      <c r="AB1850">
        <f>WarehouseData[[#This Row],[stock_level]]*WarehouseData[[#This Row],[unit_price]]</f>
        <v>16048</v>
      </c>
      <c r="AC1850">
        <f>WarehouseData[[#This Row],[stock_level]]*WarehouseData[[#This Row],[holding_cost_per_unit_day]]*30</f>
        <v>3009.0000000000005</v>
      </c>
      <c r="AD1850" t="str">
        <f>IF(WarehouseData[[#This Row],[order_fulfillment_rate]]&gt;=0.9,"Strong",IF(WarehouseData[[#This Row],[order_fulfillment_rate]]&gt;=0.8,"Moderate","Needs Attention"))</f>
        <v>Moderate</v>
      </c>
      <c r="AE1850" t="str">
        <f>IF(WarehouseData[[#This Row],[picking_time_seconds]]&gt;120,"Slow",IF(WarehouseData[[#This Row],[picking_time_seconds]]&gt;=60,"Average","Fast"))</f>
        <v>Slow</v>
      </c>
    </row>
    <row r="1851" spans="1:31" x14ac:dyDescent="0.25">
      <c r="A1851" t="s">
        <v>1989</v>
      </c>
      <c r="B1851" t="s">
        <v>48</v>
      </c>
      <c r="C1851">
        <v>399</v>
      </c>
      <c r="D1851">
        <v>19</v>
      </c>
      <c r="E1851">
        <v>9</v>
      </c>
      <c r="F1851">
        <v>3</v>
      </c>
      <c r="G1851">
        <v>39.99</v>
      </c>
      <c r="H1851">
        <v>4.93</v>
      </c>
      <c r="I1851">
        <v>0.99</v>
      </c>
      <c r="J1851" t="s">
        <v>353</v>
      </c>
      <c r="K1851" t="s">
        <v>46</v>
      </c>
      <c r="L1851">
        <v>179</v>
      </c>
      <c r="M1851">
        <v>0.51</v>
      </c>
      <c r="N1851">
        <v>58.04</v>
      </c>
      <c r="O1851">
        <v>0.96</v>
      </c>
      <c r="P1851">
        <v>5</v>
      </c>
      <c r="Q1851">
        <v>0.96</v>
      </c>
      <c r="R1851">
        <v>179</v>
      </c>
      <c r="S1851">
        <v>3.99</v>
      </c>
      <c r="T1851">
        <v>0.8</v>
      </c>
      <c r="U1851" s="1">
        <v>45389</v>
      </c>
      <c r="V1851">
        <v>270.23</v>
      </c>
      <c r="W1851">
        <v>0.60899999999999999</v>
      </c>
      <c r="X1851" t="str">
        <f>IF(WarehouseData[[#This Row],[stock_level]]&lt;=WarehouseData[[#This Row],[reorder_point]],"Low Stock","Sufficient Stock")</f>
        <v>Sufficient Stock</v>
      </c>
      <c r="Y1851">
        <f>WarehouseData[[#This Row],[daily_demand]]*WarehouseData[[#This Row],[lead_time_days]]</f>
        <v>119.97</v>
      </c>
      <c r="Z1851" t="str">
        <f>IF(WarehouseData[[#This Row],[stock_level]]&lt;=WarehouseData[[#This Row],[Demand During Lead Time]],"At Risk","Safe")</f>
        <v>Safe</v>
      </c>
      <c r="AA1851">
        <f>WarehouseData[[#This Row],[stock_level]]/WarehouseData[[#This Row],[daily_demand]]</f>
        <v>9.9774943735933981</v>
      </c>
      <c r="AB1851">
        <f>WarehouseData[[#This Row],[stock_level]]*WarehouseData[[#This Row],[unit_price]]</f>
        <v>23157.96</v>
      </c>
      <c r="AC1851">
        <f>WarehouseData[[#This Row],[stock_level]]*WarehouseData[[#This Row],[holding_cost_per_unit_day]]*30</f>
        <v>11491.199999999999</v>
      </c>
      <c r="AD1851" t="str">
        <f>IF(WarehouseData[[#This Row],[order_fulfillment_rate]]&gt;=0.9,"Strong",IF(WarehouseData[[#This Row],[order_fulfillment_rate]]&gt;=0.8,"Moderate","Needs Attention"))</f>
        <v>Strong</v>
      </c>
      <c r="AE1851" t="str">
        <f>IF(WarehouseData[[#This Row],[picking_time_seconds]]&gt;120,"Slow",IF(WarehouseData[[#This Row],[picking_time_seconds]]&gt;=60,"Average","Fast"))</f>
        <v>Slow</v>
      </c>
    </row>
    <row r="1852" spans="1:31" x14ac:dyDescent="0.25">
      <c r="A1852" t="s">
        <v>1990</v>
      </c>
      <c r="B1852" t="s">
        <v>48</v>
      </c>
      <c r="C1852">
        <v>250</v>
      </c>
      <c r="D1852">
        <v>88</v>
      </c>
      <c r="E1852">
        <v>3</v>
      </c>
      <c r="F1852">
        <v>8</v>
      </c>
      <c r="G1852">
        <v>31.95</v>
      </c>
      <c r="H1852">
        <v>3.59</v>
      </c>
      <c r="I1852">
        <v>0.35</v>
      </c>
      <c r="J1852" t="s">
        <v>120</v>
      </c>
      <c r="K1852" t="s">
        <v>46</v>
      </c>
      <c r="L1852">
        <v>32</v>
      </c>
      <c r="M1852">
        <v>1.51</v>
      </c>
      <c r="N1852">
        <v>146.91</v>
      </c>
      <c r="O1852">
        <v>1.81</v>
      </c>
      <c r="P1852">
        <v>0</v>
      </c>
      <c r="Q1852">
        <v>0.82</v>
      </c>
      <c r="R1852">
        <v>147</v>
      </c>
      <c r="S1852">
        <v>9.0500000000000007</v>
      </c>
      <c r="T1852">
        <v>0.51</v>
      </c>
      <c r="U1852" s="1">
        <v>45301</v>
      </c>
      <c r="V1852">
        <v>79.319999999999993</v>
      </c>
      <c r="W1852">
        <v>0.60599999999999998</v>
      </c>
      <c r="X1852" t="str">
        <f>IF(WarehouseData[[#This Row],[stock_level]]&lt;=WarehouseData[[#This Row],[reorder_point]],"Low Stock","Sufficient Stock")</f>
        <v>Sufficient Stock</v>
      </c>
      <c r="Y1852">
        <f>WarehouseData[[#This Row],[daily_demand]]*WarehouseData[[#This Row],[lead_time_days]]</f>
        <v>255.6</v>
      </c>
      <c r="Z1852" t="str">
        <f>IF(WarehouseData[[#This Row],[stock_level]]&lt;=WarehouseData[[#This Row],[Demand During Lead Time]],"At Risk","Safe")</f>
        <v>At Risk</v>
      </c>
      <c r="AA1852">
        <f>WarehouseData[[#This Row],[stock_level]]/WarehouseData[[#This Row],[daily_demand]]</f>
        <v>7.8247261345852896</v>
      </c>
      <c r="AB1852">
        <f>WarehouseData[[#This Row],[stock_level]]*WarehouseData[[#This Row],[unit_price]]</f>
        <v>36727.5</v>
      </c>
      <c r="AC1852">
        <f>WarehouseData[[#This Row],[stock_level]]*WarehouseData[[#This Row],[holding_cost_per_unit_day]]*30</f>
        <v>13575</v>
      </c>
      <c r="AD1852" t="str">
        <f>IF(WarehouseData[[#This Row],[order_fulfillment_rate]]&gt;=0.9,"Strong",IF(WarehouseData[[#This Row],[order_fulfillment_rate]]&gt;=0.8,"Moderate","Needs Attention"))</f>
        <v>Moderate</v>
      </c>
      <c r="AE1852" t="str">
        <f>IF(WarehouseData[[#This Row],[picking_time_seconds]]&gt;120,"Slow",IF(WarehouseData[[#This Row],[picking_time_seconds]]&gt;=60,"Average","Fast"))</f>
        <v>Fast</v>
      </c>
    </row>
    <row r="1853" spans="1:31" x14ac:dyDescent="0.25">
      <c r="A1853" t="s">
        <v>1991</v>
      </c>
      <c r="B1853" t="s">
        <v>73</v>
      </c>
      <c r="C1853">
        <v>328</v>
      </c>
      <c r="D1853">
        <v>51</v>
      </c>
      <c r="E1853">
        <v>4</v>
      </c>
      <c r="F1853">
        <v>6</v>
      </c>
      <c r="G1853">
        <v>16.57</v>
      </c>
      <c r="H1853">
        <v>7.77</v>
      </c>
      <c r="I1853">
        <v>0.38</v>
      </c>
      <c r="J1853" t="s">
        <v>137</v>
      </c>
      <c r="K1853" t="s">
        <v>38</v>
      </c>
      <c r="L1853">
        <v>138</v>
      </c>
      <c r="M1853">
        <v>0.64</v>
      </c>
      <c r="N1853">
        <v>160.75</v>
      </c>
      <c r="O1853">
        <v>1.03</v>
      </c>
      <c r="P1853">
        <v>0</v>
      </c>
      <c r="Q1853">
        <v>0.9</v>
      </c>
      <c r="R1853">
        <v>842</v>
      </c>
      <c r="S1853">
        <v>7.97</v>
      </c>
      <c r="T1853">
        <v>0.52</v>
      </c>
      <c r="U1853" s="1">
        <v>45638</v>
      </c>
      <c r="V1853">
        <v>130.05000000000001</v>
      </c>
      <c r="W1853">
        <v>0.68700000000000006</v>
      </c>
      <c r="X1853" t="str">
        <f>IF(WarehouseData[[#This Row],[stock_level]]&lt;=WarehouseData[[#This Row],[reorder_point]],"Low Stock","Sufficient Stock")</f>
        <v>Sufficient Stock</v>
      </c>
      <c r="Y1853">
        <f>WarehouseData[[#This Row],[daily_demand]]*WarehouseData[[#This Row],[lead_time_days]]</f>
        <v>99.42</v>
      </c>
      <c r="Z1853" t="str">
        <f>IF(WarehouseData[[#This Row],[stock_level]]&lt;=WarehouseData[[#This Row],[Demand During Lead Time]],"At Risk","Safe")</f>
        <v>Safe</v>
      </c>
      <c r="AA1853">
        <f>WarehouseData[[#This Row],[stock_level]]/WarehouseData[[#This Row],[daily_demand]]</f>
        <v>19.794809897404949</v>
      </c>
      <c r="AB1853">
        <f>WarehouseData[[#This Row],[stock_level]]*WarehouseData[[#This Row],[unit_price]]</f>
        <v>52726</v>
      </c>
      <c r="AC1853">
        <f>WarehouseData[[#This Row],[stock_level]]*WarehouseData[[#This Row],[holding_cost_per_unit_day]]*30</f>
        <v>10135.200000000001</v>
      </c>
      <c r="AD1853" t="str">
        <f>IF(WarehouseData[[#This Row],[order_fulfillment_rate]]&gt;=0.9,"Strong",IF(WarehouseData[[#This Row],[order_fulfillment_rate]]&gt;=0.8,"Moderate","Needs Attention"))</f>
        <v>Strong</v>
      </c>
      <c r="AE1853" t="str">
        <f>IF(WarehouseData[[#This Row],[picking_time_seconds]]&gt;120,"Slow",IF(WarehouseData[[#This Row],[picking_time_seconds]]&gt;=60,"Average","Fast"))</f>
        <v>Slow</v>
      </c>
    </row>
    <row r="1854" spans="1:31" x14ac:dyDescent="0.25">
      <c r="A1854" t="s">
        <v>1992</v>
      </c>
      <c r="B1854" t="s">
        <v>73</v>
      </c>
      <c r="C1854">
        <v>138</v>
      </c>
      <c r="D1854">
        <v>57</v>
      </c>
      <c r="E1854">
        <v>8</v>
      </c>
      <c r="F1854">
        <v>2</v>
      </c>
      <c r="G1854">
        <v>12.38</v>
      </c>
      <c r="H1854">
        <v>0.66</v>
      </c>
      <c r="I1854">
        <v>0.91</v>
      </c>
      <c r="J1854" t="s">
        <v>158</v>
      </c>
      <c r="K1854" t="s">
        <v>52</v>
      </c>
      <c r="L1854">
        <v>134</v>
      </c>
      <c r="M1854">
        <v>1.62</v>
      </c>
      <c r="N1854">
        <v>80.63</v>
      </c>
      <c r="O1854">
        <v>0.96</v>
      </c>
      <c r="P1854">
        <v>7</v>
      </c>
      <c r="Q1854">
        <v>0.88</v>
      </c>
      <c r="R1854">
        <v>471</v>
      </c>
      <c r="S1854">
        <v>1.27</v>
      </c>
      <c r="T1854">
        <v>0.41</v>
      </c>
      <c r="U1854" s="1">
        <v>45294</v>
      </c>
      <c r="V1854">
        <v>295.74</v>
      </c>
      <c r="W1854">
        <v>0.439</v>
      </c>
      <c r="X1854" t="str">
        <f>IF(WarehouseData[[#This Row],[stock_level]]&lt;=WarehouseData[[#This Row],[reorder_point]],"Low Stock","Sufficient Stock")</f>
        <v>Sufficient Stock</v>
      </c>
      <c r="Y1854">
        <f>WarehouseData[[#This Row],[daily_demand]]*WarehouseData[[#This Row],[lead_time_days]]</f>
        <v>24.76</v>
      </c>
      <c r="Z1854" t="str">
        <f>IF(WarehouseData[[#This Row],[stock_level]]&lt;=WarehouseData[[#This Row],[Demand During Lead Time]],"At Risk","Safe")</f>
        <v>Safe</v>
      </c>
      <c r="AA1854">
        <f>WarehouseData[[#This Row],[stock_level]]/WarehouseData[[#This Row],[daily_demand]]</f>
        <v>11.147011308562197</v>
      </c>
      <c r="AB1854">
        <f>WarehouseData[[#This Row],[stock_level]]*WarehouseData[[#This Row],[unit_price]]</f>
        <v>11126.939999999999</v>
      </c>
      <c r="AC1854">
        <f>WarehouseData[[#This Row],[stock_level]]*WarehouseData[[#This Row],[holding_cost_per_unit_day]]*30</f>
        <v>3974.3999999999996</v>
      </c>
      <c r="AD1854" t="str">
        <f>IF(WarehouseData[[#This Row],[order_fulfillment_rate]]&gt;=0.9,"Strong",IF(WarehouseData[[#This Row],[order_fulfillment_rate]]&gt;=0.8,"Moderate","Needs Attention"))</f>
        <v>Moderate</v>
      </c>
      <c r="AE1854" t="str">
        <f>IF(WarehouseData[[#This Row],[picking_time_seconds]]&gt;120,"Slow",IF(WarehouseData[[#This Row],[picking_time_seconds]]&gt;=60,"Average","Fast"))</f>
        <v>Slow</v>
      </c>
    </row>
    <row r="1855" spans="1:31" x14ac:dyDescent="0.25">
      <c r="A1855" t="s">
        <v>1993</v>
      </c>
      <c r="B1855" t="s">
        <v>73</v>
      </c>
      <c r="C1855">
        <v>287</v>
      </c>
      <c r="D1855">
        <v>53</v>
      </c>
      <c r="E1855">
        <v>9</v>
      </c>
      <c r="F1855">
        <v>6</v>
      </c>
      <c r="G1855">
        <v>44.06</v>
      </c>
      <c r="H1855">
        <v>4.5999999999999996</v>
      </c>
      <c r="I1855">
        <v>0.31</v>
      </c>
      <c r="J1855" t="s">
        <v>77</v>
      </c>
      <c r="K1855" t="s">
        <v>46</v>
      </c>
      <c r="L1855">
        <v>45</v>
      </c>
      <c r="M1855">
        <v>2.0099999999999998</v>
      </c>
      <c r="N1855">
        <v>160.11000000000001</v>
      </c>
      <c r="O1855">
        <v>1.6</v>
      </c>
      <c r="P1855">
        <v>5</v>
      </c>
      <c r="Q1855">
        <v>0.81</v>
      </c>
      <c r="R1855">
        <v>129</v>
      </c>
      <c r="S1855">
        <v>2.21</v>
      </c>
      <c r="T1855">
        <v>0.49</v>
      </c>
      <c r="U1855" s="1">
        <v>45612</v>
      </c>
      <c r="V1855">
        <v>43.03</v>
      </c>
      <c r="W1855">
        <v>0.42899999999999999</v>
      </c>
      <c r="X1855" t="str">
        <f>IF(WarehouseData[[#This Row],[stock_level]]&lt;=WarehouseData[[#This Row],[reorder_point]],"Low Stock","Sufficient Stock")</f>
        <v>Sufficient Stock</v>
      </c>
      <c r="Y1855">
        <f>WarehouseData[[#This Row],[daily_demand]]*WarehouseData[[#This Row],[lead_time_days]]</f>
        <v>264.36</v>
      </c>
      <c r="Z1855" t="str">
        <f>IF(WarehouseData[[#This Row],[stock_level]]&lt;=WarehouseData[[#This Row],[Demand During Lead Time]],"At Risk","Safe")</f>
        <v>Safe</v>
      </c>
      <c r="AA1855">
        <f>WarehouseData[[#This Row],[stock_level]]/WarehouseData[[#This Row],[daily_demand]]</f>
        <v>6.5138447571493412</v>
      </c>
      <c r="AB1855">
        <f>WarehouseData[[#This Row],[stock_level]]*WarehouseData[[#This Row],[unit_price]]</f>
        <v>45951.570000000007</v>
      </c>
      <c r="AC1855">
        <f>WarehouseData[[#This Row],[stock_level]]*WarehouseData[[#This Row],[holding_cost_per_unit_day]]*30</f>
        <v>13776.000000000002</v>
      </c>
      <c r="AD1855" t="str">
        <f>IF(WarehouseData[[#This Row],[order_fulfillment_rate]]&gt;=0.9,"Strong",IF(WarehouseData[[#This Row],[order_fulfillment_rate]]&gt;=0.8,"Moderate","Needs Attention"))</f>
        <v>Moderate</v>
      </c>
      <c r="AE1855" t="str">
        <f>IF(WarehouseData[[#This Row],[picking_time_seconds]]&gt;120,"Slow",IF(WarehouseData[[#This Row],[picking_time_seconds]]&gt;=60,"Average","Fast"))</f>
        <v>Fast</v>
      </c>
    </row>
    <row r="1856" spans="1:31" x14ac:dyDescent="0.25">
      <c r="A1856" t="s">
        <v>1994</v>
      </c>
      <c r="B1856" t="s">
        <v>73</v>
      </c>
      <c r="C1856">
        <v>452</v>
      </c>
      <c r="D1856">
        <v>91</v>
      </c>
      <c r="E1856">
        <v>5</v>
      </c>
      <c r="F1856">
        <v>8</v>
      </c>
      <c r="G1856">
        <v>41.95</v>
      </c>
      <c r="H1856">
        <v>3.88</v>
      </c>
      <c r="I1856">
        <v>0.59</v>
      </c>
      <c r="J1856" t="s">
        <v>79</v>
      </c>
      <c r="K1856" t="s">
        <v>46</v>
      </c>
      <c r="L1856">
        <v>64</v>
      </c>
      <c r="M1856">
        <v>1.72</v>
      </c>
      <c r="N1856">
        <v>94.31</v>
      </c>
      <c r="O1856">
        <v>0.61</v>
      </c>
      <c r="P1856">
        <v>9</v>
      </c>
      <c r="Q1856">
        <v>0.73</v>
      </c>
      <c r="R1856">
        <v>337</v>
      </c>
      <c r="S1856">
        <v>5.98</v>
      </c>
      <c r="T1856">
        <v>0.99</v>
      </c>
      <c r="U1856" s="1">
        <v>45419</v>
      </c>
      <c r="V1856">
        <v>218.37</v>
      </c>
      <c r="W1856">
        <v>0.58299999999999996</v>
      </c>
      <c r="X1856" t="str">
        <f>IF(WarehouseData[[#This Row],[stock_level]]&lt;=WarehouseData[[#This Row],[reorder_point]],"Low Stock","Sufficient Stock")</f>
        <v>Sufficient Stock</v>
      </c>
      <c r="Y1856">
        <f>WarehouseData[[#This Row],[daily_demand]]*WarehouseData[[#This Row],[lead_time_days]]</f>
        <v>335.6</v>
      </c>
      <c r="Z1856" t="str">
        <f>IF(WarehouseData[[#This Row],[stock_level]]&lt;=WarehouseData[[#This Row],[Demand During Lead Time]],"At Risk","Safe")</f>
        <v>Safe</v>
      </c>
      <c r="AA1856">
        <f>WarehouseData[[#This Row],[stock_level]]/WarehouseData[[#This Row],[daily_demand]]</f>
        <v>10.774731823599522</v>
      </c>
      <c r="AB1856">
        <f>WarehouseData[[#This Row],[stock_level]]*WarehouseData[[#This Row],[unit_price]]</f>
        <v>42628.12</v>
      </c>
      <c r="AC1856">
        <f>WarehouseData[[#This Row],[stock_level]]*WarehouseData[[#This Row],[holding_cost_per_unit_day]]*30</f>
        <v>8271.5999999999985</v>
      </c>
      <c r="AD1856" t="str">
        <f>IF(WarehouseData[[#This Row],[order_fulfillment_rate]]&gt;=0.9,"Strong",IF(WarehouseData[[#This Row],[order_fulfillment_rate]]&gt;=0.8,"Moderate","Needs Attention"))</f>
        <v>Needs Attention</v>
      </c>
      <c r="AE1856" t="str">
        <f>IF(WarehouseData[[#This Row],[picking_time_seconds]]&gt;120,"Slow",IF(WarehouseData[[#This Row],[picking_time_seconds]]&gt;=60,"Average","Fast"))</f>
        <v>Average</v>
      </c>
    </row>
    <row r="1857" spans="1:31" x14ac:dyDescent="0.25">
      <c r="A1857" t="s">
        <v>1995</v>
      </c>
      <c r="B1857" t="s">
        <v>36</v>
      </c>
      <c r="C1857">
        <v>292</v>
      </c>
      <c r="D1857">
        <v>96</v>
      </c>
      <c r="E1857">
        <v>11</v>
      </c>
      <c r="F1857">
        <v>3</v>
      </c>
      <c r="G1857">
        <v>12.26</v>
      </c>
      <c r="H1857">
        <v>3.71</v>
      </c>
      <c r="I1857">
        <v>0.74</v>
      </c>
      <c r="J1857" t="s">
        <v>84</v>
      </c>
      <c r="K1857" t="s">
        <v>34</v>
      </c>
      <c r="L1857">
        <v>119</v>
      </c>
      <c r="M1857">
        <v>4.6399999999999997</v>
      </c>
      <c r="N1857">
        <v>172.95</v>
      </c>
      <c r="O1857">
        <v>0.28000000000000003</v>
      </c>
      <c r="P1857">
        <v>6</v>
      </c>
      <c r="Q1857">
        <v>0.71</v>
      </c>
      <c r="R1857">
        <v>896</v>
      </c>
      <c r="S1857">
        <v>2.97</v>
      </c>
      <c r="T1857">
        <v>0.24</v>
      </c>
      <c r="U1857" s="1">
        <v>45407</v>
      </c>
      <c r="V1857">
        <v>85.44</v>
      </c>
      <c r="W1857">
        <v>0.48199999999999998</v>
      </c>
      <c r="X1857" t="str">
        <f>IF(WarehouseData[[#This Row],[stock_level]]&lt;=WarehouseData[[#This Row],[reorder_point]],"Low Stock","Sufficient Stock")</f>
        <v>Sufficient Stock</v>
      </c>
      <c r="Y1857">
        <f>WarehouseData[[#This Row],[daily_demand]]*WarehouseData[[#This Row],[lead_time_days]]</f>
        <v>36.78</v>
      </c>
      <c r="Z1857" t="str">
        <f>IF(WarehouseData[[#This Row],[stock_level]]&lt;=WarehouseData[[#This Row],[Demand During Lead Time]],"At Risk","Safe")</f>
        <v>Safe</v>
      </c>
      <c r="AA1857">
        <f>WarehouseData[[#This Row],[stock_level]]/WarehouseData[[#This Row],[daily_demand]]</f>
        <v>23.817292006525285</v>
      </c>
      <c r="AB1857">
        <f>WarehouseData[[#This Row],[stock_level]]*WarehouseData[[#This Row],[unit_price]]</f>
        <v>50501.399999999994</v>
      </c>
      <c r="AC1857">
        <f>WarehouseData[[#This Row],[stock_level]]*WarehouseData[[#This Row],[holding_cost_per_unit_day]]*30</f>
        <v>2452.8000000000002</v>
      </c>
      <c r="AD1857" t="str">
        <f>IF(WarehouseData[[#This Row],[order_fulfillment_rate]]&gt;=0.9,"Strong",IF(WarehouseData[[#This Row],[order_fulfillment_rate]]&gt;=0.8,"Moderate","Needs Attention"))</f>
        <v>Needs Attention</v>
      </c>
      <c r="AE1857" t="str">
        <f>IF(WarehouseData[[#This Row],[picking_time_seconds]]&gt;120,"Slow",IF(WarehouseData[[#This Row],[picking_time_seconds]]&gt;=60,"Average","Fast"))</f>
        <v>Average</v>
      </c>
    </row>
    <row r="1858" spans="1:31" x14ac:dyDescent="0.25">
      <c r="A1858" t="s">
        <v>1996</v>
      </c>
      <c r="B1858" t="s">
        <v>73</v>
      </c>
      <c r="C1858">
        <v>83</v>
      </c>
      <c r="D1858">
        <v>25</v>
      </c>
      <c r="E1858">
        <v>9</v>
      </c>
      <c r="F1858">
        <v>5</v>
      </c>
      <c r="G1858">
        <v>2.74</v>
      </c>
      <c r="H1858">
        <v>3.7</v>
      </c>
      <c r="I1858">
        <v>0.34</v>
      </c>
      <c r="J1858" t="s">
        <v>183</v>
      </c>
      <c r="K1858" t="s">
        <v>46</v>
      </c>
      <c r="L1858">
        <v>25</v>
      </c>
      <c r="M1858">
        <v>1.55</v>
      </c>
      <c r="N1858">
        <v>14.73</v>
      </c>
      <c r="O1858">
        <v>0.5</v>
      </c>
      <c r="P1858">
        <v>5</v>
      </c>
      <c r="Q1858">
        <v>0.83</v>
      </c>
      <c r="R1858">
        <v>795</v>
      </c>
      <c r="S1858">
        <v>14.41</v>
      </c>
      <c r="T1858">
        <v>0.46</v>
      </c>
      <c r="U1858" s="1">
        <v>45647</v>
      </c>
      <c r="V1858">
        <v>131.74</v>
      </c>
      <c r="W1858">
        <v>0.7</v>
      </c>
      <c r="X1858" t="str">
        <f>IF(WarehouseData[[#This Row],[stock_level]]&lt;=WarehouseData[[#This Row],[reorder_point]],"Low Stock","Sufficient Stock")</f>
        <v>Sufficient Stock</v>
      </c>
      <c r="Y1858">
        <f>WarehouseData[[#This Row],[daily_demand]]*WarehouseData[[#This Row],[lead_time_days]]</f>
        <v>13.700000000000001</v>
      </c>
      <c r="Z1858" t="str">
        <f>IF(WarehouseData[[#This Row],[stock_level]]&lt;=WarehouseData[[#This Row],[Demand During Lead Time]],"At Risk","Safe")</f>
        <v>Safe</v>
      </c>
      <c r="AA1858">
        <f>WarehouseData[[#This Row],[stock_level]]/WarehouseData[[#This Row],[daily_demand]]</f>
        <v>30.291970802919707</v>
      </c>
      <c r="AB1858">
        <f>WarehouseData[[#This Row],[stock_level]]*WarehouseData[[#This Row],[unit_price]]</f>
        <v>1222.5900000000001</v>
      </c>
      <c r="AC1858">
        <f>WarehouseData[[#This Row],[stock_level]]*WarehouseData[[#This Row],[holding_cost_per_unit_day]]*30</f>
        <v>1245</v>
      </c>
      <c r="AD1858" t="str">
        <f>IF(WarehouseData[[#This Row],[order_fulfillment_rate]]&gt;=0.9,"Strong",IF(WarehouseData[[#This Row],[order_fulfillment_rate]]&gt;=0.8,"Moderate","Needs Attention"))</f>
        <v>Moderate</v>
      </c>
      <c r="AE1858" t="str">
        <f>IF(WarehouseData[[#This Row],[picking_time_seconds]]&gt;120,"Slow",IF(WarehouseData[[#This Row],[picking_time_seconds]]&gt;=60,"Average","Fast"))</f>
        <v>Fast</v>
      </c>
    </row>
    <row r="1859" spans="1:31" x14ac:dyDescent="0.25">
      <c r="A1859" t="s">
        <v>1997</v>
      </c>
      <c r="B1859" t="s">
        <v>36</v>
      </c>
      <c r="C1859">
        <v>317</v>
      </c>
      <c r="D1859">
        <v>63</v>
      </c>
      <c r="E1859">
        <v>8</v>
      </c>
      <c r="F1859">
        <v>4</v>
      </c>
      <c r="G1859">
        <v>40.42</v>
      </c>
      <c r="H1859">
        <v>0.8</v>
      </c>
      <c r="I1859">
        <v>0.94</v>
      </c>
      <c r="J1859" t="s">
        <v>124</v>
      </c>
      <c r="K1859" t="s">
        <v>52</v>
      </c>
      <c r="L1859">
        <v>98</v>
      </c>
      <c r="M1859">
        <v>2.6</v>
      </c>
      <c r="N1859">
        <v>25.86</v>
      </c>
      <c r="O1859">
        <v>1.6</v>
      </c>
      <c r="P1859">
        <v>1</v>
      </c>
      <c r="Q1859">
        <v>0.84</v>
      </c>
      <c r="R1859">
        <v>895</v>
      </c>
      <c r="S1859">
        <v>1.48</v>
      </c>
      <c r="T1859">
        <v>0.83</v>
      </c>
      <c r="U1859" s="1">
        <v>45468</v>
      </c>
      <c r="V1859">
        <v>131.28</v>
      </c>
      <c r="W1859">
        <v>0.57399999999999995</v>
      </c>
      <c r="X1859" t="str">
        <f>IF(WarehouseData[[#This Row],[stock_level]]&lt;=WarehouseData[[#This Row],[reorder_point]],"Low Stock","Sufficient Stock")</f>
        <v>Sufficient Stock</v>
      </c>
      <c r="Y1859">
        <f>WarehouseData[[#This Row],[daily_demand]]*WarehouseData[[#This Row],[lead_time_days]]</f>
        <v>161.68</v>
      </c>
      <c r="Z1859" t="str">
        <f>IF(WarehouseData[[#This Row],[stock_level]]&lt;=WarehouseData[[#This Row],[Demand During Lead Time]],"At Risk","Safe")</f>
        <v>Safe</v>
      </c>
      <c r="AA1859">
        <f>WarehouseData[[#This Row],[stock_level]]/WarehouseData[[#This Row],[daily_demand]]</f>
        <v>7.8426521523998014</v>
      </c>
      <c r="AB1859">
        <f>WarehouseData[[#This Row],[stock_level]]*WarehouseData[[#This Row],[unit_price]]</f>
        <v>8197.619999999999</v>
      </c>
      <c r="AC1859">
        <f>WarehouseData[[#This Row],[stock_level]]*WarehouseData[[#This Row],[holding_cost_per_unit_day]]*30</f>
        <v>15216.000000000002</v>
      </c>
      <c r="AD1859" t="str">
        <f>IF(WarehouseData[[#This Row],[order_fulfillment_rate]]&gt;=0.9,"Strong",IF(WarehouseData[[#This Row],[order_fulfillment_rate]]&gt;=0.8,"Moderate","Needs Attention"))</f>
        <v>Moderate</v>
      </c>
      <c r="AE1859" t="str">
        <f>IF(WarehouseData[[#This Row],[picking_time_seconds]]&gt;120,"Slow",IF(WarehouseData[[#This Row],[picking_time_seconds]]&gt;=60,"Average","Fast"))</f>
        <v>Average</v>
      </c>
    </row>
    <row r="1860" spans="1:31" x14ac:dyDescent="0.25">
      <c r="A1860" t="s">
        <v>1998</v>
      </c>
      <c r="B1860" t="s">
        <v>36</v>
      </c>
      <c r="C1860">
        <v>369</v>
      </c>
      <c r="D1860">
        <v>44</v>
      </c>
      <c r="E1860">
        <v>8</v>
      </c>
      <c r="F1860">
        <v>5</v>
      </c>
      <c r="G1860">
        <v>31.16</v>
      </c>
      <c r="H1860">
        <v>1.95</v>
      </c>
      <c r="I1860">
        <v>0.7</v>
      </c>
      <c r="J1860" t="s">
        <v>192</v>
      </c>
      <c r="K1860" t="s">
        <v>46</v>
      </c>
      <c r="L1860">
        <v>27</v>
      </c>
      <c r="M1860">
        <v>4.8099999999999996</v>
      </c>
      <c r="N1860">
        <v>157.51</v>
      </c>
      <c r="O1860">
        <v>1.39</v>
      </c>
      <c r="P1860">
        <v>2</v>
      </c>
      <c r="Q1860">
        <v>0.95</v>
      </c>
      <c r="R1860">
        <v>218</v>
      </c>
      <c r="S1860">
        <v>14.64</v>
      </c>
      <c r="T1860">
        <v>0.51</v>
      </c>
      <c r="U1860" s="1">
        <v>45451</v>
      </c>
      <c r="V1860">
        <v>280.35000000000002</v>
      </c>
      <c r="W1860">
        <v>0.70799999999999996</v>
      </c>
      <c r="X1860" t="str">
        <f>IF(WarehouseData[[#This Row],[stock_level]]&lt;=WarehouseData[[#This Row],[reorder_point]],"Low Stock","Sufficient Stock")</f>
        <v>Sufficient Stock</v>
      </c>
      <c r="Y1860">
        <f>WarehouseData[[#This Row],[daily_demand]]*WarehouseData[[#This Row],[lead_time_days]]</f>
        <v>155.80000000000001</v>
      </c>
      <c r="Z1860" t="str">
        <f>IF(WarehouseData[[#This Row],[stock_level]]&lt;=WarehouseData[[#This Row],[Demand During Lead Time]],"At Risk","Safe")</f>
        <v>Safe</v>
      </c>
      <c r="AA1860">
        <f>WarehouseData[[#This Row],[stock_level]]/WarehouseData[[#This Row],[daily_demand]]</f>
        <v>11.842105263157894</v>
      </c>
      <c r="AB1860">
        <f>WarehouseData[[#This Row],[stock_level]]*WarehouseData[[#This Row],[unit_price]]</f>
        <v>58121.189999999995</v>
      </c>
      <c r="AC1860">
        <f>WarehouseData[[#This Row],[stock_level]]*WarehouseData[[#This Row],[holding_cost_per_unit_day]]*30</f>
        <v>15387.3</v>
      </c>
      <c r="AD1860" t="str">
        <f>IF(WarehouseData[[#This Row],[order_fulfillment_rate]]&gt;=0.9,"Strong",IF(WarehouseData[[#This Row],[order_fulfillment_rate]]&gt;=0.8,"Moderate","Needs Attention"))</f>
        <v>Strong</v>
      </c>
      <c r="AE1860" t="str">
        <f>IF(WarehouseData[[#This Row],[picking_time_seconds]]&gt;120,"Slow",IF(WarehouseData[[#This Row],[picking_time_seconds]]&gt;=60,"Average","Fast"))</f>
        <v>Fast</v>
      </c>
    </row>
    <row r="1861" spans="1:31" x14ac:dyDescent="0.25">
      <c r="A1861" t="s">
        <v>1999</v>
      </c>
      <c r="B1861" t="s">
        <v>73</v>
      </c>
      <c r="C1861">
        <v>432</v>
      </c>
      <c r="D1861">
        <v>37</v>
      </c>
      <c r="E1861">
        <v>3</v>
      </c>
      <c r="F1861">
        <v>3</v>
      </c>
      <c r="G1861">
        <v>5.94</v>
      </c>
      <c r="H1861">
        <v>1.85</v>
      </c>
      <c r="I1861">
        <v>0.14000000000000001</v>
      </c>
      <c r="J1861" t="s">
        <v>236</v>
      </c>
      <c r="K1861" t="s">
        <v>38</v>
      </c>
      <c r="L1861">
        <v>47</v>
      </c>
      <c r="M1861">
        <v>4.46</v>
      </c>
      <c r="N1861">
        <v>128.58000000000001</v>
      </c>
      <c r="O1861">
        <v>0.27</v>
      </c>
      <c r="P1861">
        <v>7</v>
      </c>
      <c r="Q1861">
        <v>0.82</v>
      </c>
      <c r="R1861">
        <v>128</v>
      </c>
      <c r="S1861">
        <v>10.19</v>
      </c>
      <c r="T1861">
        <v>0.96</v>
      </c>
      <c r="U1861" s="1">
        <v>45358</v>
      </c>
      <c r="V1861">
        <v>13.01</v>
      </c>
      <c r="W1861">
        <v>0.72499999999999998</v>
      </c>
      <c r="X1861" t="str">
        <f>IF(WarehouseData[[#This Row],[stock_level]]&lt;=WarehouseData[[#This Row],[reorder_point]],"Low Stock","Sufficient Stock")</f>
        <v>Sufficient Stock</v>
      </c>
      <c r="Y1861">
        <f>WarehouseData[[#This Row],[daily_demand]]*WarehouseData[[#This Row],[lead_time_days]]</f>
        <v>17.82</v>
      </c>
      <c r="Z1861" t="str">
        <f>IF(WarehouseData[[#This Row],[stock_level]]&lt;=WarehouseData[[#This Row],[Demand During Lead Time]],"At Risk","Safe")</f>
        <v>Safe</v>
      </c>
      <c r="AA1861">
        <f>WarehouseData[[#This Row],[stock_level]]/WarehouseData[[#This Row],[daily_demand]]</f>
        <v>72.72727272727272</v>
      </c>
      <c r="AB1861">
        <f>WarehouseData[[#This Row],[stock_level]]*WarehouseData[[#This Row],[unit_price]]</f>
        <v>55546.560000000005</v>
      </c>
      <c r="AC1861">
        <f>WarehouseData[[#This Row],[stock_level]]*WarehouseData[[#This Row],[holding_cost_per_unit_day]]*30</f>
        <v>3499.2000000000003</v>
      </c>
      <c r="AD1861" t="str">
        <f>IF(WarehouseData[[#This Row],[order_fulfillment_rate]]&gt;=0.9,"Strong",IF(WarehouseData[[#This Row],[order_fulfillment_rate]]&gt;=0.8,"Moderate","Needs Attention"))</f>
        <v>Moderate</v>
      </c>
      <c r="AE1861" t="str">
        <f>IF(WarehouseData[[#This Row],[picking_time_seconds]]&gt;120,"Slow",IF(WarehouseData[[#This Row],[picking_time_seconds]]&gt;=60,"Average","Fast"))</f>
        <v>Fast</v>
      </c>
    </row>
    <row r="1862" spans="1:31" x14ac:dyDescent="0.25">
      <c r="A1862" t="s">
        <v>2000</v>
      </c>
      <c r="B1862" t="s">
        <v>40</v>
      </c>
      <c r="C1862">
        <v>422</v>
      </c>
      <c r="D1862">
        <v>11</v>
      </c>
      <c r="E1862">
        <v>7</v>
      </c>
      <c r="F1862">
        <v>8</v>
      </c>
      <c r="G1862">
        <v>29.78</v>
      </c>
      <c r="H1862">
        <v>9.89</v>
      </c>
      <c r="I1862">
        <v>0.22</v>
      </c>
      <c r="J1862" t="s">
        <v>43</v>
      </c>
      <c r="K1862" t="s">
        <v>34</v>
      </c>
      <c r="L1862">
        <v>29</v>
      </c>
      <c r="M1862">
        <v>1.89</v>
      </c>
      <c r="N1862">
        <v>116.21</v>
      </c>
      <c r="O1862">
        <v>1.37</v>
      </c>
      <c r="P1862">
        <v>3</v>
      </c>
      <c r="Q1862">
        <v>0.78</v>
      </c>
      <c r="R1862">
        <v>120</v>
      </c>
      <c r="S1862">
        <v>6.7</v>
      </c>
      <c r="T1862">
        <v>0.47</v>
      </c>
      <c r="U1862" s="1">
        <v>45344</v>
      </c>
      <c r="V1862">
        <v>116.49</v>
      </c>
      <c r="W1862">
        <v>0.54200000000000004</v>
      </c>
      <c r="X1862" t="str">
        <f>IF(WarehouseData[[#This Row],[stock_level]]&lt;=WarehouseData[[#This Row],[reorder_point]],"Low Stock","Sufficient Stock")</f>
        <v>Sufficient Stock</v>
      </c>
      <c r="Y1862">
        <f>WarehouseData[[#This Row],[daily_demand]]*WarehouseData[[#This Row],[lead_time_days]]</f>
        <v>238.24</v>
      </c>
      <c r="Z1862" t="str">
        <f>IF(WarehouseData[[#This Row],[stock_level]]&lt;=WarehouseData[[#This Row],[Demand During Lead Time]],"At Risk","Safe")</f>
        <v>Safe</v>
      </c>
      <c r="AA1862">
        <f>WarehouseData[[#This Row],[stock_level]]/WarehouseData[[#This Row],[daily_demand]]</f>
        <v>14.170584284754868</v>
      </c>
      <c r="AB1862">
        <f>WarehouseData[[#This Row],[stock_level]]*WarehouseData[[#This Row],[unit_price]]</f>
        <v>49040.619999999995</v>
      </c>
      <c r="AC1862">
        <f>WarehouseData[[#This Row],[stock_level]]*WarehouseData[[#This Row],[holding_cost_per_unit_day]]*30</f>
        <v>17344.200000000004</v>
      </c>
      <c r="AD1862" t="str">
        <f>IF(WarehouseData[[#This Row],[order_fulfillment_rate]]&gt;=0.9,"Strong",IF(WarehouseData[[#This Row],[order_fulfillment_rate]]&gt;=0.8,"Moderate","Needs Attention"))</f>
        <v>Needs Attention</v>
      </c>
      <c r="AE1862" t="str">
        <f>IF(WarehouseData[[#This Row],[picking_time_seconds]]&gt;120,"Slow",IF(WarehouseData[[#This Row],[picking_time_seconds]]&gt;=60,"Average","Fast"))</f>
        <v>Fast</v>
      </c>
    </row>
    <row r="1863" spans="1:31" x14ac:dyDescent="0.25">
      <c r="A1863" t="s">
        <v>2001</v>
      </c>
      <c r="B1863" t="s">
        <v>32</v>
      </c>
      <c r="C1863">
        <v>30</v>
      </c>
      <c r="D1863">
        <v>22</v>
      </c>
      <c r="E1863">
        <v>12</v>
      </c>
      <c r="F1863">
        <v>3</v>
      </c>
      <c r="G1863">
        <v>23.16</v>
      </c>
      <c r="H1863">
        <v>0.71</v>
      </c>
      <c r="I1863">
        <v>0.27</v>
      </c>
      <c r="J1863" t="s">
        <v>131</v>
      </c>
      <c r="K1863" t="s">
        <v>52</v>
      </c>
      <c r="L1863">
        <v>28</v>
      </c>
      <c r="M1863">
        <v>1.97</v>
      </c>
      <c r="N1863">
        <v>126.66</v>
      </c>
      <c r="O1863">
        <v>1.87</v>
      </c>
      <c r="P1863">
        <v>7</v>
      </c>
      <c r="Q1863">
        <v>0.84</v>
      </c>
      <c r="R1863">
        <v>312</v>
      </c>
      <c r="S1863">
        <v>8.5500000000000007</v>
      </c>
      <c r="T1863">
        <v>0.88</v>
      </c>
      <c r="U1863" s="1">
        <v>45488</v>
      </c>
      <c r="V1863">
        <v>257.2</v>
      </c>
      <c r="W1863">
        <v>0.53100000000000003</v>
      </c>
      <c r="X1863" t="str">
        <f>IF(WarehouseData[[#This Row],[stock_level]]&lt;=WarehouseData[[#This Row],[reorder_point]],"Low Stock","Sufficient Stock")</f>
        <v>Sufficient Stock</v>
      </c>
      <c r="Y1863">
        <f>WarehouseData[[#This Row],[daily_demand]]*WarehouseData[[#This Row],[lead_time_days]]</f>
        <v>69.48</v>
      </c>
      <c r="Z1863" t="str">
        <f>IF(WarehouseData[[#This Row],[stock_level]]&lt;=WarehouseData[[#This Row],[Demand During Lead Time]],"At Risk","Safe")</f>
        <v>At Risk</v>
      </c>
      <c r="AA1863">
        <f>WarehouseData[[#This Row],[stock_level]]/WarehouseData[[#This Row],[daily_demand]]</f>
        <v>1.2953367875647668</v>
      </c>
      <c r="AB1863">
        <f>WarehouseData[[#This Row],[stock_level]]*WarehouseData[[#This Row],[unit_price]]</f>
        <v>3799.7999999999997</v>
      </c>
      <c r="AC1863">
        <f>WarehouseData[[#This Row],[stock_level]]*WarehouseData[[#This Row],[holding_cost_per_unit_day]]*30</f>
        <v>1683</v>
      </c>
      <c r="AD1863" t="str">
        <f>IF(WarehouseData[[#This Row],[order_fulfillment_rate]]&gt;=0.9,"Strong",IF(WarehouseData[[#This Row],[order_fulfillment_rate]]&gt;=0.8,"Moderate","Needs Attention"))</f>
        <v>Moderate</v>
      </c>
      <c r="AE1863" t="str">
        <f>IF(WarehouseData[[#This Row],[picking_time_seconds]]&gt;120,"Slow",IF(WarehouseData[[#This Row],[picking_time_seconds]]&gt;=60,"Average","Fast"))</f>
        <v>Fast</v>
      </c>
    </row>
    <row r="1864" spans="1:31" x14ac:dyDescent="0.25">
      <c r="A1864" t="s">
        <v>2002</v>
      </c>
      <c r="B1864" t="s">
        <v>48</v>
      </c>
      <c r="C1864">
        <v>117</v>
      </c>
      <c r="D1864">
        <v>50</v>
      </c>
      <c r="E1864">
        <v>5</v>
      </c>
      <c r="F1864">
        <v>9</v>
      </c>
      <c r="G1864">
        <v>38.950000000000003</v>
      </c>
      <c r="H1864">
        <v>2.09</v>
      </c>
      <c r="I1864">
        <v>0.32</v>
      </c>
      <c r="J1864" t="s">
        <v>301</v>
      </c>
      <c r="K1864" t="s">
        <v>38</v>
      </c>
      <c r="L1864">
        <v>22</v>
      </c>
      <c r="M1864">
        <v>3.17</v>
      </c>
      <c r="N1864">
        <v>186.74</v>
      </c>
      <c r="O1864">
        <v>0.19</v>
      </c>
      <c r="P1864">
        <v>2</v>
      </c>
      <c r="Q1864">
        <v>0.77</v>
      </c>
      <c r="R1864">
        <v>761</v>
      </c>
      <c r="S1864">
        <v>6.74</v>
      </c>
      <c r="T1864">
        <v>0.85</v>
      </c>
      <c r="U1864" s="1">
        <v>45549</v>
      </c>
      <c r="V1864">
        <v>274.05</v>
      </c>
      <c r="W1864">
        <v>0.755</v>
      </c>
      <c r="X1864" t="str">
        <f>IF(WarehouseData[[#This Row],[stock_level]]&lt;=WarehouseData[[#This Row],[reorder_point]],"Low Stock","Sufficient Stock")</f>
        <v>Sufficient Stock</v>
      </c>
      <c r="Y1864">
        <f>WarehouseData[[#This Row],[daily_demand]]*WarehouseData[[#This Row],[lead_time_days]]</f>
        <v>350.55</v>
      </c>
      <c r="Z1864" t="str">
        <f>IF(WarehouseData[[#This Row],[stock_level]]&lt;=WarehouseData[[#This Row],[Demand During Lead Time]],"At Risk","Safe")</f>
        <v>At Risk</v>
      </c>
      <c r="AA1864">
        <f>WarehouseData[[#This Row],[stock_level]]/WarehouseData[[#This Row],[daily_demand]]</f>
        <v>3.00385109114249</v>
      </c>
      <c r="AB1864">
        <f>WarehouseData[[#This Row],[stock_level]]*WarehouseData[[#This Row],[unit_price]]</f>
        <v>21848.58</v>
      </c>
      <c r="AC1864">
        <f>WarehouseData[[#This Row],[stock_level]]*WarehouseData[[#This Row],[holding_cost_per_unit_day]]*30</f>
        <v>666.9</v>
      </c>
      <c r="AD1864" t="str">
        <f>IF(WarehouseData[[#This Row],[order_fulfillment_rate]]&gt;=0.9,"Strong",IF(WarehouseData[[#This Row],[order_fulfillment_rate]]&gt;=0.8,"Moderate","Needs Attention"))</f>
        <v>Needs Attention</v>
      </c>
      <c r="AE1864" t="str">
        <f>IF(WarehouseData[[#This Row],[picking_time_seconds]]&gt;120,"Slow",IF(WarehouseData[[#This Row],[picking_time_seconds]]&gt;=60,"Average","Fast"))</f>
        <v>Fast</v>
      </c>
    </row>
    <row r="1865" spans="1:31" x14ac:dyDescent="0.25">
      <c r="A1865" t="s">
        <v>2003</v>
      </c>
      <c r="B1865" t="s">
        <v>36</v>
      </c>
      <c r="C1865">
        <v>453</v>
      </c>
      <c r="D1865">
        <v>89</v>
      </c>
      <c r="E1865">
        <v>9</v>
      </c>
      <c r="F1865">
        <v>2</v>
      </c>
      <c r="G1865">
        <v>11.25</v>
      </c>
      <c r="H1865">
        <v>9.75</v>
      </c>
      <c r="I1865">
        <v>0.76</v>
      </c>
      <c r="J1865" t="s">
        <v>334</v>
      </c>
      <c r="K1865" t="s">
        <v>52</v>
      </c>
      <c r="L1865">
        <v>26</v>
      </c>
      <c r="M1865">
        <v>4.63</v>
      </c>
      <c r="N1865">
        <v>134.55000000000001</v>
      </c>
      <c r="O1865">
        <v>1.27</v>
      </c>
      <c r="P1865">
        <v>1</v>
      </c>
      <c r="Q1865">
        <v>0.73</v>
      </c>
      <c r="R1865">
        <v>772</v>
      </c>
      <c r="S1865">
        <v>9.02</v>
      </c>
      <c r="T1865">
        <v>0.21</v>
      </c>
      <c r="U1865" s="1">
        <v>45593</v>
      </c>
      <c r="V1865">
        <v>100.28</v>
      </c>
      <c r="W1865">
        <v>0.56100000000000005</v>
      </c>
      <c r="X1865" t="str">
        <f>IF(WarehouseData[[#This Row],[stock_level]]&lt;=WarehouseData[[#This Row],[reorder_point]],"Low Stock","Sufficient Stock")</f>
        <v>Sufficient Stock</v>
      </c>
      <c r="Y1865">
        <f>WarehouseData[[#This Row],[daily_demand]]*WarehouseData[[#This Row],[lead_time_days]]</f>
        <v>22.5</v>
      </c>
      <c r="Z1865" t="str">
        <f>IF(WarehouseData[[#This Row],[stock_level]]&lt;=WarehouseData[[#This Row],[Demand During Lead Time]],"At Risk","Safe")</f>
        <v>Safe</v>
      </c>
      <c r="AA1865">
        <f>WarehouseData[[#This Row],[stock_level]]/WarehouseData[[#This Row],[daily_demand]]</f>
        <v>40.266666666666666</v>
      </c>
      <c r="AB1865">
        <f>WarehouseData[[#This Row],[stock_level]]*WarehouseData[[#This Row],[unit_price]]</f>
        <v>60951.150000000009</v>
      </c>
      <c r="AC1865">
        <f>WarehouseData[[#This Row],[stock_level]]*WarehouseData[[#This Row],[holding_cost_per_unit_day]]*30</f>
        <v>17259.300000000003</v>
      </c>
      <c r="AD1865" t="str">
        <f>IF(WarehouseData[[#This Row],[order_fulfillment_rate]]&gt;=0.9,"Strong",IF(WarehouseData[[#This Row],[order_fulfillment_rate]]&gt;=0.8,"Moderate","Needs Attention"))</f>
        <v>Needs Attention</v>
      </c>
      <c r="AE1865" t="str">
        <f>IF(WarehouseData[[#This Row],[picking_time_seconds]]&gt;120,"Slow",IF(WarehouseData[[#This Row],[picking_time_seconds]]&gt;=60,"Average","Fast"))</f>
        <v>Fast</v>
      </c>
    </row>
    <row r="1866" spans="1:31" x14ac:dyDescent="0.25">
      <c r="A1866" t="s">
        <v>2004</v>
      </c>
      <c r="B1866" t="s">
        <v>32</v>
      </c>
      <c r="C1866">
        <v>90</v>
      </c>
      <c r="D1866">
        <v>68</v>
      </c>
      <c r="E1866">
        <v>12</v>
      </c>
      <c r="F1866">
        <v>6</v>
      </c>
      <c r="G1866">
        <v>23.2</v>
      </c>
      <c r="H1866">
        <v>6.47</v>
      </c>
      <c r="I1866">
        <v>0.18</v>
      </c>
      <c r="J1866" t="s">
        <v>135</v>
      </c>
      <c r="K1866" t="s">
        <v>34</v>
      </c>
      <c r="L1866">
        <v>39</v>
      </c>
      <c r="M1866">
        <v>0.54</v>
      </c>
      <c r="N1866">
        <v>133.02000000000001</v>
      </c>
      <c r="O1866">
        <v>0.82</v>
      </c>
      <c r="P1866">
        <v>6</v>
      </c>
      <c r="Q1866">
        <v>0.73</v>
      </c>
      <c r="R1866">
        <v>579</v>
      </c>
      <c r="S1866">
        <v>3.13</v>
      </c>
      <c r="T1866">
        <v>0.52</v>
      </c>
      <c r="U1866" s="1">
        <v>45448</v>
      </c>
      <c r="V1866">
        <v>80.17</v>
      </c>
      <c r="W1866">
        <v>0.49</v>
      </c>
      <c r="X1866" t="str">
        <f>IF(WarehouseData[[#This Row],[stock_level]]&lt;=WarehouseData[[#This Row],[reorder_point]],"Low Stock","Sufficient Stock")</f>
        <v>Sufficient Stock</v>
      </c>
      <c r="Y1866">
        <f>WarehouseData[[#This Row],[daily_demand]]*WarehouseData[[#This Row],[lead_time_days]]</f>
        <v>139.19999999999999</v>
      </c>
      <c r="Z1866" t="str">
        <f>IF(WarehouseData[[#This Row],[stock_level]]&lt;=WarehouseData[[#This Row],[Demand During Lead Time]],"At Risk","Safe")</f>
        <v>At Risk</v>
      </c>
      <c r="AA1866">
        <f>WarehouseData[[#This Row],[stock_level]]/WarehouseData[[#This Row],[daily_demand]]</f>
        <v>3.8793103448275863</v>
      </c>
      <c r="AB1866">
        <f>WarehouseData[[#This Row],[stock_level]]*WarehouseData[[#This Row],[unit_price]]</f>
        <v>11971.800000000001</v>
      </c>
      <c r="AC1866">
        <f>WarehouseData[[#This Row],[stock_level]]*WarehouseData[[#This Row],[holding_cost_per_unit_day]]*30</f>
        <v>2214</v>
      </c>
      <c r="AD1866" t="str">
        <f>IF(WarehouseData[[#This Row],[order_fulfillment_rate]]&gt;=0.9,"Strong",IF(WarehouseData[[#This Row],[order_fulfillment_rate]]&gt;=0.8,"Moderate","Needs Attention"))</f>
        <v>Needs Attention</v>
      </c>
      <c r="AE1866" t="str">
        <f>IF(WarehouseData[[#This Row],[picking_time_seconds]]&gt;120,"Slow",IF(WarehouseData[[#This Row],[picking_time_seconds]]&gt;=60,"Average","Fast"))</f>
        <v>Fast</v>
      </c>
    </row>
    <row r="1867" spans="1:31" x14ac:dyDescent="0.25">
      <c r="A1867" t="s">
        <v>2005</v>
      </c>
      <c r="B1867" t="s">
        <v>40</v>
      </c>
      <c r="C1867">
        <v>383</v>
      </c>
      <c r="D1867">
        <v>78</v>
      </c>
      <c r="E1867">
        <v>5</v>
      </c>
      <c r="F1867">
        <v>9</v>
      </c>
      <c r="G1867">
        <v>8.66</v>
      </c>
      <c r="H1867">
        <v>4.78</v>
      </c>
      <c r="I1867">
        <v>0.42</v>
      </c>
      <c r="J1867" t="s">
        <v>192</v>
      </c>
      <c r="K1867" t="s">
        <v>46</v>
      </c>
      <c r="L1867">
        <v>52</v>
      </c>
      <c r="M1867">
        <v>2.27</v>
      </c>
      <c r="N1867">
        <v>154.30000000000001</v>
      </c>
      <c r="O1867">
        <v>1.05</v>
      </c>
      <c r="P1867">
        <v>0</v>
      </c>
      <c r="Q1867">
        <v>0.8</v>
      </c>
      <c r="R1867">
        <v>834</v>
      </c>
      <c r="S1867">
        <v>2.68</v>
      </c>
      <c r="T1867">
        <v>0.42</v>
      </c>
      <c r="U1867" s="1">
        <v>45377</v>
      </c>
      <c r="V1867">
        <v>143.77000000000001</v>
      </c>
      <c r="W1867">
        <v>0.57499999999999996</v>
      </c>
      <c r="X1867" t="str">
        <f>IF(WarehouseData[[#This Row],[stock_level]]&lt;=WarehouseData[[#This Row],[reorder_point]],"Low Stock","Sufficient Stock")</f>
        <v>Sufficient Stock</v>
      </c>
      <c r="Y1867">
        <f>WarehouseData[[#This Row],[daily_demand]]*WarehouseData[[#This Row],[lead_time_days]]</f>
        <v>77.94</v>
      </c>
      <c r="Z1867" t="str">
        <f>IF(WarehouseData[[#This Row],[stock_level]]&lt;=WarehouseData[[#This Row],[Demand During Lead Time]],"At Risk","Safe")</f>
        <v>Safe</v>
      </c>
      <c r="AA1867">
        <f>WarehouseData[[#This Row],[stock_level]]/WarehouseData[[#This Row],[daily_demand]]</f>
        <v>44.226327944572745</v>
      </c>
      <c r="AB1867">
        <f>WarehouseData[[#This Row],[stock_level]]*WarehouseData[[#This Row],[unit_price]]</f>
        <v>59096.9</v>
      </c>
      <c r="AC1867">
        <f>WarehouseData[[#This Row],[stock_level]]*WarehouseData[[#This Row],[holding_cost_per_unit_day]]*30</f>
        <v>12064.500000000002</v>
      </c>
      <c r="AD1867" t="str">
        <f>IF(WarehouseData[[#This Row],[order_fulfillment_rate]]&gt;=0.9,"Strong",IF(WarehouseData[[#This Row],[order_fulfillment_rate]]&gt;=0.8,"Moderate","Needs Attention"))</f>
        <v>Moderate</v>
      </c>
      <c r="AE1867" t="str">
        <f>IF(WarehouseData[[#This Row],[picking_time_seconds]]&gt;120,"Slow",IF(WarehouseData[[#This Row],[picking_time_seconds]]&gt;=60,"Average","Fast"))</f>
        <v>Fast</v>
      </c>
    </row>
    <row r="1868" spans="1:31" x14ac:dyDescent="0.25">
      <c r="A1868" t="s">
        <v>2006</v>
      </c>
      <c r="B1868" t="s">
        <v>48</v>
      </c>
      <c r="C1868">
        <v>77</v>
      </c>
      <c r="D1868">
        <v>62</v>
      </c>
      <c r="E1868">
        <v>7</v>
      </c>
      <c r="F1868">
        <v>6</v>
      </c>
      <c r="G1868">
        <v>47.92</v>
      </c>
      <c r="H1868">
        <v>1.25</v>
      </c>
      <c r="I1868">
        <v>0.92</v>
      </c>
      <c r="J1868" t="s">
        <v>221</v>
      </c>
      <c r="K1868" t="s">
        <v>34</v>
      </c>
      <c r="L1868">
        <v>57</v>
      </c>
      <c r="M1868">
        <v>4.32</v>
      </c>
      <c r="N1868">
        <v>174.66</v>
      </c>
      <c r="O1868">
        <v>1.1000000000000001</v>
      </c>
      <c r="P1868">
        <v>2</v>
      </c>
      <c r="Q1868">
        <v>0.7</v>
      </c>
      <c r="R1868">
        <v>259</v>
      </c>
      <c r="S1868">
        <v>8.4</v>
      </c>
      <c r="T1868">
        <v>0.57999999999999996</v>
      </c>
      <c r="U1868" s="1">
        <v>45325</v>
      </c>
      <c r="V1868">
        <v>226.29</v>
      </c>
      <c r="W1868">
        <v>0.61799999999999999</v>
      </c>
      <c r="X1868" t="str">
        <f>IF(WarehouseData[[#This Row],[stock_level]]&lt;=WarehouseData[[#This Row],[reorder_point]],"Low Stock","Sufficient Stock")</f>
        <v>Sufficient Stock</v>
      </c>
      <c r="Y1868">
        <f>WarehouseData[[#This Row],[daily_demand]]*WarehouseData[[#This Row],[lead_time_days]]</f>
        <v>287.52</v>
      </c>
      <c r="Z1868" t="str">
        <f>IF(WarehouseData[[#This Row],[stock_level]]&lt;=WarehouseData[[#This Row],[Demand During Lead Time]],"At Risk","Safe")</f>
        <v>At Risk</v>
      </c>
      <c r="AA1868">
        <f>WarehouseData[[#This Row],[stock_level]]/WarehouseData[[#This Row],[daily_demand]]</f>
        <v>1.6068447412353923</v>
      </c>
      <c r="AB1868">
        <f>WarehouseData[[#This Row],[stock_level]]*WarehouseData[[#This Row],[unit_price]]</f>
        <v>13448.82</v>
      </c>
      <c r="AC1868">
        <f>WarehouseData[[#This Row],[stock_level]]*WarehouseData[[#This Row],[holding_cost_per_unit_day]]*30</f>
        <v>2541</v>
      </c>
      <c r="AD1868" t="str">
        <f>IF(WarehouseData[[#This Row],[order_fulfillment_rate]]&gt;=0.9,"Strong",IF(WarehouseData[[#This Row],[order_fulfillment_rate]]&gt;=0.8,"Moderate","Needs Attention"))</f>
        <v>Needs Attention</v>
      </c>
      <c r="AE1868" t="str">
        <f>IF(WarehouseData[[#This Row],[picking_time_seconds]]&gt;120,"Slow",IF(WarehouseData[[#This Row],[picking_time_seconds]]&gt;=60,"Average","Fast"))</f>
        <v>Fast</v>
      </c>
    </row>
    <row r="1869" spans="1:31" x14ac:dyDescent="0.25">
      <c r="A1869" t="s">
        <v>2007</v>
      </c>
      <c r="B1869" t="s">
        <v>48</v>
      </c>
      <c r="C1869">
        <v>309</v>
      </c>
      <c r="D1869">
        <v>54</v>
      </c>
      <c r="E1869">
        <v>9</v>
      </c>
      <c r="F1869">
        <v>5</v>
      </c>
      <c r="G1869">
        <v>39.159999999999997</v>
      </c>
      <c r="H1869">
        <v>6.86</v>
      </c>
      <c r="I1869">
        <v>0.6</v>
      </c>
      <c r="J1869" t="s">
        <v>154</v>
      </c>
      <c r="K1869" t="s">
        <v>34</v>
      </c>
      <c r="L1869">
        <v>52</v>
      </c>
      <c r="M1869">
        <v>2.35</v>
      </c>
      <c r="N1869">
        <v>59.76</v>
      </c>
      <c r="O1869">
        <v>1.56</v>
      </c>
      <c r="P1869">
        <v>1</v>
      </c>
      <c r="Q1869">
        <v>0.77</v>
      </c>
      <c r="R1869">
        <v>166</v>
      </c>
      <c r="S1869">
        <v>2</v>
      </c>
      <c r="T1869">
        <v>0.56999999999999995</v>
      </c>
      <c r="U1869" s="1">
        <v>45315</v>
      </c>
      <c r="V1869">
        <v>54.67</v>
      </c>
      <c r="W1869">
        <v>0.51900000000000002</v>
      </c>
      <c r="X1869" t="str">
        <f>IF(WarehouseData[[#This Row],[stock_level]]&lt;=WarehouseData[[#This Row],[reorder_point]],"Low Stock","Sufficient Stock")</f>
        <v>Sufficient Stock</v>
      </c>
      <c r="Y1869">
        <f>WarehouseData[[#This Row],[daily_demand]]*WarehouseData[[#This Row],[lead_time_days]]</f>
        <v>195.79999999999998</v>
      </c>
      <c r="Z1869" t="str">
        <f>IF(WarehouseData[[#This Row],[stock_level]]&lt;=WarehouseData[[#This Row],[Demand During Lead Time]],"At Risk","Safe")</f>
        <v>Safe</v>
      </c>
      <c r="AA1869">
        <f>WarehouseData[[#This Row],[stock_level]]/WarehouseData[[#This Row],[daily_demand]]</f>
        <v>7.8907048008171614</v>
      </c>
      <c r="AB1869">
        <f>WarehouseData[[#This Row],[stock_level]]*WarehouseData[[#This Row],[unit_price]]</f>
        <v>18465.84</v>
      </c>
      <c r="AC1869">
        <f>WarehouseData[[#This Row],[stock_level]]*WarehouseData[[#This Row],[holding_cost_per_unit_day]]*30</f>
        <v>14461.2</v>
      </c>
      <c r="AD1869" t="str">
        <f>IF(WarehouseData[[#This Row],[order_fulfillment_rate]]&gt;=0.9,"Strong",IF(WarehouseData[[#This Row],[order_fulfillment_rate]]&gt;=0.8,"Moderate","Needs Attention"))</f>
        <v>Needs Attention</v>
      </c>
      <c r="AE1869" t="str">
        <f>IF(WarehouseData[[#This Row],[picking_time_seconds]]&gt;120,"Slow",IF(WarehouseData[[#This Row],[picking_time_seconds]]&gt;=60,"Average","Fast"))</f>
        <v>Fast</v>
      </c>
    </row>
    <row r="1870" spans="1:31" x14ac:dyDescent="0.25">
      <c r="A1870" t="s">
        <v>2008</v>
      </c>
      <c r="B1870" t="s">
        <v>36</v>
      </c>
      <c r="C1870">
        <v>270</v>
      </c>
      <c r="D1870">
        <v>29</v>
      </c>
      <c r="E1870">
        <v>5</v>
      </c>
      <c r="F1870">
        <v>8</v>
      </c>
      <c r="G1870">
        <v>37.1</v>
      </c>
      <c r="H1870">
        <v>1.81</v>
      </c>
      <c r="I1870">
        <v>0.34</v>
      </c>
      <c r="J1870" t="s">
        <v>68</v>
      </c>
      <c r="K1870" t="s">
        <v>46</v>
      </c>
      <c r="L1870">
        <v>102</v>
      </c>
      <c r="M1870">
        <v>3.74</v>
      </c>
      <c r="N1870">
        <v>127.18</v>
      </c>
      <c r="O1870">
        <v>1.1599999999999999</v>
      </c>
      <c r="P1870">
        <v>4</v>
      </c>
      <c r="Q1870">
        <v>0.94</v>
      </c>
      <c r="R1870">
        <v>665</v>
      </c>
      <c r="S1870">
        <v>5.09</v>
      </c>
      <c r="T1870">
        <v>0.92</v>
      </c>
      <c r="U1870" s="1">
        <v>45444</v>
      </c>
      <c r="V1870">
        <v>237.5</v>
      </c>
      <c r="W1870">
        <v>0.64400000000000002</v>
      </c>
      <c r="X1870" t="str">
        <f>IF(WarehouseData[[#This Row],[stock_level]]&lt;=WarehouseData[[#This Row],[reorder_point]],"Low Stock","Sufficient Stock")</f>
        <v>Sufficient Stock</v>
      </c>
      <c r="Y1870">
        <f>WarehouseData[[#This Row],[daily_demand]]*WarehouseData[[#This Row],[lead_time_days]]</f>
        <v>296.8</v>
      </c>
      <c r="Z1870" t="str">
        <f>IF(WarehouseData[[#This Row],[stock_level]]&lt;=WarehouseData[[#This Row],[Demand During Lead Time]],"At Risk","Safe")</f>
        <v>At Risk</v>
      </c>
      <c r="AA1870">
        <f>WarehouseData[[#This Row],[stock_level]]/WarehouseData[[#This Row],[daily_demand]]</f>
        <v>7.2776280323450129</v>
      </c>
      <c r="AB1870">
        <f>WarehouseData[[#This Row],[stock_level]]*WarehouseData[[#This Row],[unit_price]]</f>
        <v>34338.6</v>
      </c>
      <c r="AC1870">
        <f>WarehouseData[[#This Row],[stock_level]]*WarehouseData[[#This Row],[holding_cost_per_unit_day]]*30</f>
        <v>9396</v>
      </c>
      <c r="AD1870" t="str">
        <f>IF(WarehouseData[[#This Row],[order_fulfillment_rate]]&gt;=0.9,"Strong",IF(WarehouseData[[#This Row],[order_fulfillment_rate]]&gt;=0.8,"Moderate","Needs Attention"))</f>
        <v>Strong</v>
      </c>
      <c r="AE1870" t="str">
        <f>IF(WarehouseData[[#This Row],[picking_time_seconds]]&gt;120,"Slow",IF(WarehouseData[[#This Row],[picking_time_seconds]]&gt;=60,"Average","Fast"))</f>
        <v>Average</v>
      </c>
    </row>
    <row r="1871" spans="1:31" x14ac:dyDescent="0.25">
      <c r="A1871" t="s">
        <v>2009</v>
      </c>
      <c r="B1871" t="s">
        <v>73</v>
      </c>
      <c r="C1871">
        <v>295</v>
      </c>
      <c r="D1871">
        <v>33</v>
      </c>
      <c r="E1871">
        <v>12</v>
      </c>
      <c r="F1871">
        <v>4</v>
      </c>
      <c r="G1871">
        <v>34.82</v>
      </c>
      <c r="H1871">
        <v>6.88</v>
      </c>
      <c r="I1871">
        <v>0.96</v>
      </c>
      <c r="J1871" t="s">
        <v>154</v>
      </c>
      <c r="K1871" t="s">
        <v>38</v>
      </c>
      <c r="L1871">
        <v>123</v>
      </c>
      <c r="M1871">
        <v>3.61</v>
      </c>
      <c r="N1871">
        <v>120.96</v>
      </c>
      <c r="O1871">
        <v>1.23</v>
      </c>
      <c r="P1871">
        <v>1</v>
      </c>
      <c r="Q1871">
        <v>0.77</v>
      </c>
      <c r="R1871">
        <v>126</v>
      </c>
      <c r="S1871">
        <v>13.98</v>
      </c>
      <c r="T1871">
        <v>0.35</v>
      </c>
      <c r="U1871" s="1">
        <v>45440</v>
      </c>
      <c r="V1871">
        <v>158.68</v>
      </c>
      <c r="W1871">
        <v>0.66700000000000004</v>
      </c>
      <c r="X1871" t="str">
        <f>IF(WarehouseData[[#This Row],[stock_level]]&lt;=WarehouseData[[#This Row],[reorder_point]],"Low Stock","Sufficient Stock")</f>
        <v>Sufficient Stock</v>
      </c>
      <c r="Y1871">
        <f>WarehouseData[[#This Row],[daily_demand]]*WarehouseData[[#This Row],[lead_time_days]]</f>
        <v>139.28</v>
      </c>
      <c r="Z1871" t="str">
        <f>IF(WarehouseData[[#This Row],[stock_level]]&lt;=WarehouseData[[#This Row],[Demand During Lead Time]],"At Risk","Safe")</f>
        <v>Safe</v>
      </c>
      <c r="AA1871">
        <f>WarehouseData[[#This Row],[stock_level]]/WarehouseData[[#This Row],[daily_demand]]</f>
        <v>8.4721424468696149</v>
      </c>
      <c r="AB1871">
        <f>WarehouseData[[#This Row],[stock_level]]*WarehouseData[[#This Row],[unit_price]]</f>
        <v>35683.199999999997</v>
      </c>
      <c r="AC1871">
        <f>WarehouseData[[#This Row],[stock_level]]*WarehouseData[[#This Row],[holding_cost_per_unit_day]]*30</f>
        <v>10885.5</v>
      </c>
      <c r="AD1871" t="str">
        <f>IF(WarehouseData[[#This Row],[order_fulfillment_rate]]&gt;=0.9,"Strong",IF(WarehouseData[[#This Row],[order_fulfillment_rate]]&gt;=0.8,"Moderate","Needs Attention"))</f>
        <v>Needs Attention</v>
      </c>
      <c r="AE1871" t="str">
        <f>IF(WarehouseData[[#This Row],[picking_time_seconds]]&gt;120,"Slow",IF(WarehouseData[[#This Row],[picking_time_seconds]]&gt;=60,"Average","Fast"))</f>
        <v>Slow</v>
      </c>
    </row>
    <row r="1872" spans="1:31" x14ac:dyDescent="0.25">
      <c r="A1872" t="s">
        <v>2010</v>
      </c>
      <c r="B1872" t="s">
        <v>40</v>
      </c>
      <c r="C1872">
        <v>69</v>
      </c>
      <c r="D1872">
        <v>70</v>
      </c>
      <c r="E1872">
        <v>4</v>
      </c>
      <c r="F1872">
        <v>4</v>
      </c>
      <c r="G1872">
        <v>21.74</v>
      </c>
      <c r="H1872">
        <v>9.8000000000000007</v>
      </c>
      <c r="I1872">
        <v>0.32</v>
      </c>
      <c r="J1872" t="s">
        <v>223</v>
      </c>
      <c r="K1872" t="s">
        <v>52</v>
      </c>
      <c r="L1872">
        <v>75</v>
      </c>
      <c r="M1872">
        <v>1.42</v>
      </c>
      <c r="N1872">
        <v>35.619999999999997</v>
      </c>
      <c r="O1872">
        <v>0.73</v>
      </c>
      <c r="P1872">
        <v>9</v>
      </c>
      <c r="Q1872">
        <v>0.73</v>
      </c>
      <c r="R1872">
        <v>364</v>
      </c>
      <c r="S1872">
        <v>13.27</v>
      </c>
      <c r="T1872">
        <v>0.35</v>
      </c>
      <c r="U1872" s="1">
        <v>45525</v>
      </c>
      <c r="V1872">
        <v>50.83</v>
      </c>
      <c r="W1872">
        <v>0.54</v>
      </c>
      <c r="X1872" t="str">
        <f>IF(WarehouseData[[#This Row],[stock_level]]&lt;=WarehouseData[[#This Row],[reorder_point]],"Low Stock","Sufficient Stock")</f>
        <v>Low Stock</v>
      </c>
      <c r="Y1872">
        <f>WarehouseData[[#This Row],[daily_demand]]*WarehouseData[[#This Row],[lead_time_days]]</f>
        <v>86.96</v>
      </c>
      <c r="Z1872" t="str">
        <f>IF(WarehouseData[[#This Row],[stock_level]]&lt;=WarehouseData[[#This Row],[Demand During Lead Time]],"At Risk","Safe")</f>
        <v>At Risk</v>
      </c>
      <c r="AA1872">
        <f>WarehouseData[[#This Row],[stock_level]]/WarehouseData[[#This Row],[daily_demand]]</f>
        <v>3.1738730450781971</v>
      </c>
      <c r="AB1872">
        <f>WarehouseData[[#This Row],[stock_level]]*WarehouseData[[#This Row],[unit_price]]</f>
        <v>2457.7799999999997</v>
      </c>
      <c r="AC1872">
        <f>WarehouseData[[#This Row],[stock_level]]*WarehouseData[[#This Row],[holding_cost_per_unit_day]]*30</f>
        <v>1511.1</v>
      </c>
      <c r="AD1872" t="str">
        <f>IF(WarehouseData[[#This Row],[order_fulfillment_rate]]&gt;=0.9,"Strong",IF(WarehouseData[[#This Row],[order_fulfillment_rate]]&gt;=0.8,"Moderate","Needs Attention"))</f>
        <v>Needs Attention</v>
      </c>
      <c r="AE1872" t="str">
        <f>IF(WarehouseData[[#This Row],[picking_time_seconds]]&gt;120,"Slow",IF(WarehouseData[[#This Row],[picking_time_seconds]]&gt;=60,"Average","Fast"))</f>
        <v>Average</v>
      </c>
    </row>
    <row r="1873" spans="1:31" x14ac:dyDescent="0.25">
      <c r="A1873" t="s">
        <v>2011</v>
      </c>
      <c r="B1873" t="s">
        <v>36</v>
      </c>
      <c r="C1873">
        <v>377</v>
      </c>
      <c r="D1873">
        <v>67</v>
      </c>
      <c r="E1873">
        <v>8</v>
      </c>
      <c r="F1873">
        <v>2</v>
      </c>
      <c r="G1873">
        <v>46.24</v>
      </c>
      <c r="H1873">
        <v>5.55</v>
      </c>
      <c r="I1873">
        <v>0.91</v>
      </c>
      <c r="J1873" t="s">
        <v>158</v>
      </c>
      <c r="K1873" t="s">
        <v>38</v>
      </c>
      <c r="L1873">
        <v>128</v>
      </c>
      <c r="M1873">
        <v>2.52</v>
      </c>
      <c r="N1873">
        <v>108.86</v>
      </c>
      <c r="O1873">
        <v>0.34</v>
      </c>
      <c r="P1873">
        <v>4</v>
      </c>
      <c r="Q1873">
        <v>0.98</v>
      </c>
      <c r="R1873">
        <v>60</v>
      </c>
      <c r="S1873">
        <v>12.64</v>
      </c>
      <c r="T1873">
        <v>0.28999999999999998</v>
      </c>
      <c r="U1873" s="1">
        <v>45558</v>
      </c>
      <c r="V1873">
        <v>204.81</v>
      </c>
      <c r="W1873">
        <v>0.70899999999999996</v>
      </c>
      <c r="X1873" t="str">
        <f>IF(WarehouseData[[#This Row],[stock_level]]&lt;=WarehouseData[[#This Row],[reorder_point]],"Low Stock","Sufficient Stock")</f>
        <v>Sufficient Stock</v>
      </c>
      <c r="Y1873">
        <f>WarehouseData[[#This Row],[daily_demand]]*WarehouseData[[#This Row],[lead_time_days]]</f>
        <v>92.48</v>
      </c>
      <c r="Z1873" t="str">
        <f>IF(WarehouseData[[#This Row],[stock_level]]&lt;=WarehouseData[[#This Row],[Demand During Lead Time]],"At Risk","Safe")</f>
        <v>Safe</v>
      </c>
      <c r="AA1873">
        <f>WarehouseData[[#This Row],[stock_level]]/WarehouseData[[#This Row],[daily_demand]]</f>
        <v>8.1531141868512105</v>
      </c>
      <c r="AB1873">
        <f>WarehouseData[[#This Row],[stock_level]]*WarehouseData[[#This Row],[unit_price]]</f>
        <v>41040.22</v>
      </c>
      <c r="AC1873">
        <f>WarehouseData[[#This Row],[stock_level]]*WarehouseData[[#This Row],[holding_cost_per_unit_day]]*30</f>
        <v>3845.4</v>
      </c>
      <c r="AD1873" t="str">
        <f>IF(WarehouseData[[#This Row],[order_fulfillment_rate]]&gt;=0.9,"Strong",IF(WarehouseData[[#This Row],[order_fulfillment_rate]]&gt;=0.8,"Moderate","Needs Attention"))</f>
        <v>Strong</v>
      </c>
      <c r="AE1873" t="str">
        <f>IF(WarehouseData[[#This Row],[picking_time_seconds]]&gt;120,"Slow",IF(WarehouseData[[#This Row],[picking_time_seconds]]&gt;=60,"Average","Fast"))</f>
        <v>Slow</v>
      </c>
    </row>
    <row r="1874" spans="1:31" x14ac:dyDescent="0.25">
      <c r="A1874" t="s">
        <v>2012</v>
      </c>
      <c r="B1874" t="s">
        <v>40</v>
      </c>
      <c r="C1874">
        <v>235</v>
      </c>
      <c r="D1874">
        <v>36</v>
      </c>
      <c r="E1874">
        <v>10</v>
      </c>
      <c r="F1874">
        <v>3</v>
      </c>
      <c r="G1874">
        <v>4.57</v>
      </c>
      <c r="H1874">
        <v>2.5299999999999998</v>
      </c>
      <c r="I1874">
        <v>0.75</v>
      </c>
      <c r="J1874" t="s">
        <v>33</v>
      </c>
      <c r="K1874" t="s">
        <v>46</v>
      </c>
      <c r="L1874">
        <v>62</v>
      </c>
      <c r="M1874">
        <v>3.05</v>
      </c>
      <c r="N1874">
        <v>23.21</v>
      </c>
      <c r="O1874">
        <v>1.4</v>
      </c>
      <c r="P1874">
        <v>2</v>
      </c>
      <c r="Q1874">
        <v>0.89</v>
      </c>
      <c r="R1874">
        <v>942</v>
      </c>
      <c r="S1874">
        <v>8.1</v>
      </c>
      <c r="T1874">
        <v>0.79</v>
      </c>
      <c r="U1874" s="1">
        <v>45597</v>
      </c>
      <c r="V1874">
        <v>192.18</v>
      </c>
      <c r="W1874">
        <v>0.66400000000000003</v>
      </c>
      <c r="X1874" t="str">
        <f>IF(WarehouseData[[#This Row],[stock_level]]&lt;=WarehouseData[[#This Row],[reorder_point]],"Low Stock","Sufficient Stock")</f>
        <v>Sufficient Stock</v>
      </c>
      <c r="Y1874">
        <f>WarehouseData[[#This Row],[daily_demand]]*WarehouseData[[#This Row],[lead_time_days]]</f>
        <v>13.71</v>
      </c>
      <c r="Z1874" t="str">
        <f>IF(WarehouseData[[#This Row],[stock_level]]&lt;=WarehouseData[[#This Row],[Demand During Lead Time]],"At Risk","Safe")</f>
        <v>Safe</v>
      </c>
      <c r="AA1874">
        <f>WarehouseData[[#This Row],[stock_level]]/WarehouseData[[#This Row],[daily_demand]]</f>
        <v>51.422319474835881</v>
      </c>
      <c r="AB1874">
        <f>WarehouseData[[#This Row],[stock_level]]*WarehouseData[[#This Row],[unit_price]]</f>
        <v>5454.35</v>
      </c>
      <c r="AC1874">
        <f>WarehouseData[[#This Row],[stock_level]]*WarehouseData[[#This Row],[holding_cost_per_unit_day]]*30</f>
        <v>9870</v>
      </c>
      <c r="AD1874" t="str">
        <f>IF(WarehouseData[[#This Row],[order_fulfillment_rate]]&gt;=0.9,"Strong",IF(WarehouseData[[#This Row],[order_fulfillment_rate]]&gt;=0.8,"Moderate","Needs Attention"))</f>
        <v>Moderate</v>
      </c>
      <c r="AE1874" t="str">
        <f>IF(WarehouseData[[#This Row],[picking_time_seconds]]&gt;120,"Slow",IF(WarehouseData[[#This Row],[picking_time_seconds]]&gt;=60,"Average","Fast"))</f>
        <v>Average</v>
      </c>
    </row>
    <row r="1875" spans="1:31" x14ac:dyDescent="0.25">
      <c r="A1875" t="s">
        <v>2013</v>
      </c>
      <c r="B1875" t="s">
        <v>73</v>
      </c>
      <c r="C1875">
        <v>413</v>
      </c>
      <c r="D1875">
        <v>35</v>
      </c>
      <c r="E1875">
        <v>6</v>
      </c>
      <c r="F1875">
        <v>2</v>
      </c>
      <c r="G1875">
        <v>40.36</v>
      </c>
      <c r="H1875">
        <v>6.44</v>
      </c>
      <c r="I1875">
        <v>0.77</v>
      </c>
      <c r="J1875" t="s">
        <v>95</v>
      </c>
      <c r="K1875" t="s">
        <v>52</v>
      </c>
      <c r="L1875">
        <v>81</v>
      </c>
      <c r="M1875">
        <v>3.72</v>
      </c>
      <c r="N1875">
        <v>45.14</v>
      </c>
      <c r="O1875">
        <v>0.1</v>
      </c>
      <c r="P1875">
        <v>8</v>
      </c>
      <c r="Q1875">
        <v>0.72</v>
      </c>
      <c r="R1875">
        <v>100</v>
      </c>
      <c r="S1875">
        <v>1.39</v>
      </c>
      <c r="T1875">
        <v>0.93</v>
      </c>
      <c r="U1875" s="1">
        <v>45560</v>
      </c>
      <c r="V1875">
        <v>190.49</v>
      </c>
      <c r="W1875">
        <v>0.57899999999999996</v>
      </c>
      <c r="X1875" t="str">
        <f>IF(WarehouseData[[#This Row],[stock_level]]&lt;=WarehouseData[[#This Row],[reorder_point]],"Low Stock","Sufficient Stock")</f>
        <v>Sufficient Stock</v>
      </c>
      <c r="Y1875">
        <f>WarehouseData[[#This Row],[daily_demand]]*WarehouseData[[#This Row],[lead_time_days]]</f>
        <v>80.72</v>
      </c>
      <c r="Z1875" t="str">
        <f>IF(WarehouseData[[#This Row],[stock_level]]&lt;=WarehouseData[[#This Row],[Demand During Lead Time]],"At Risk","Safe")</f>
        <v>Safe</v>
      </c>
      <c r="AA1875">
        <f>WarehouseData[[#This Row],[stock_level]]/WarehouseData[[#This Row],[daily_demand]]</f>
        <v>10.232903865213082</v>
      </c>
      <c r="AB1875">
        <f>WarehouseData[[#This Row],[stock_level]]*WarehouseData[[#This Row],[unit_price]]</f>
        <v>18642.82</v>
      </c>
      <c r="AC1875">
        <f>WarehouseData[[#This Row],[stock_level]]*WarehouseData[[#This Row],[holding_cost_per_unit_day]]*30</f>
        <v>1239.0000000000002</v>
      </c>
      <c r="AD1875" t="str">
        <f>IF(WarehouseData[[#This Row],[order_fulfillment_rate]]&gt;=0.9,"Strong",IF(WarehouseData[[#This Row],[order_fulfillment_rate]]&gt;=0.8,"Moderate","Needs Attention"))</f>
        <v>Needs Attention</v>
      </c>
      <c r="AE1875" t="str">
        <f>IF(WarehouseData[[#This Row],[picking_time_seconds]]&gt;120,"Slow",IF(WarehouseData[[#This Row],[picking_time_seconds]]&gt;=60,"Average","Fast"))</f>
        <v>Average</v>
      </c>
    </row>
    <row r="1876" spans="1:31" x14ac:dyDescent="0.25">
      <c r="A1876" t="s">
        <v>2014</v>
      </c>
      <c r="B1876" t="s">
        <v>73</v>
      </c>
      <c r="C1876">
        <v>435</v>
      </c>
      <c r="D1876">
        <v>16</v>
      </c>
      <c r="E1876">
        <v>11</v>
      </c>
      <c r="F1876">
        <v>6</v>
      </c>
      <c r="G1876">
        <v>11.55</v>
      </c>
      <c r="H1876">
        <v>5.37</v>
      </c>
      <c r="I1876">
        <v>0.79</v>
      </c>
      <c r="J1876" t="s">
        <v>146</v>
      </c>
      <c r="K1876" t="s">
        <v>46</v>
      </c>
      <c r="L1876">
        <v>87</v>
      </c>
      <c r="M1876">
        <v>4.2</v>
      </c>
      <c r="N1876">
        <v>183.46</v>
      </c>
      <c r="O1876">
        <v>0.72</v>
      </c>
      <c r="P1876">
        <v>9</v>
      </c>
      <c r="Q1876">
        <v>0.72</v>
      </c>
      <c r="R1876">
        <v>56</v>
      </c>
      <c r="S1876">
        <v>2.7</v>
      </c>
      <c r="T1876">
        <v>0.49</v>
      </c>
      <c r="U1876" s="1">
        <v>45464</v>
      </c>
      <c r="V1876">
        <v>228.89</v>
      </c>
      <c r="W1876">
        <v>0.42599999999999999</v>
      </c>
      <c r="X1876" t="str">
        <f>IF(WarehouseData[[#This Row],[stock_level]]&lt;=WarehouseData[[#This Row],[reorder_point]],"Low Stock","Sufficient Stock")</f>
        <v>Sufficient Stock</v>
      </c>
      <c r="Y1876">
        <f>WarehouseData[[#This Row],[daily_demand]]*WarehouseData[[#This Row],[lead_time_days]]</f>
        <v>69.300000000000011</v>
      </c>
      <c r="Z1876" t="str">
        <f>IF(WarehouseData[[#This Row],[stock_level]]&lt;=WarehouseData[[#This Row],[Demand During Lead Time]],"At Risk","Safe")</f>
        <v>Safe</v>
      </c>
      <c r="AA1876">
        <f>WarehouseData[[#This Row],[stock_level]]/WarehouseData[[#This Row],[daily_demand]]</f>
        <v>37.662337662337663</v>
      </c>
      <c r="AB1876">
        <f>WarehouseData[[#This Row],[stock_level]]*WarehouseData[[#This Row],[unit_price]]</f>
        <v>79805.100000000006</v>
      </c>
      <c r="AC1876">
        <f>WarehouseData[[#This Row],[stock_level]]*WarehouseData[[#This Row],[holding_cost_per_unit_day]]*30</f>
        <v>9396</v>
      </c>
      <c r="AD1876" t="str">
        <f>IF(WarehouseData[[#This Row],[order_fulfillment_rate]]&gt;=0.9,"Strong",IF(WarehouseData[[#This Row],[order_fulfillment_rate]]&gt;=0.8,"Moderate","Needs Attention"))</f>
        <v>Needs Attention</v>
      </c>
      <c r="AE1876" t="str">
        <f>IF(WarehouseData[[#This Row],[picking_time_seconds]]&gt;120,"Slow",IF(WarehouseData[[#This Row],[picking_time_seconds]]&gt;=60,"Average","Fast"))</f>
        <v>Average</v>
      </c>
    </row>
    <row r="1877" spans="1:31" x14ac:dyDescent="0.25">
      <c r="A1877" t="s">
        <v>2015</v>
      </c>
      <c r="B1877" t="s">
        <v>36</v>
      </c>
      <c r="C1877">
        <v>71</v>
      </c>
      <c r="D1877">
        <v>51</v>
      </c>
      <c r="E1877">
        <v>14</v>
      </c>
      <c r="F1877">
        <v>7</v>
      </c>
      <c r="G1877">
        <v>16.88</v>
      </c>
      <c r="H1877">
        <v>5.56</v>
      </c>
      <c r="I1877">
        <v>0.56000000000000005</v>
      </c>
      <c r="J1877" t="s">
        <v>37</v>
      </c>
      <c r="K1877" t="s">
        <v>38</v>
      </c>
      <c r="L1877">
        <v>171</v>
      </c>
      <c r="M1877">
        <v>3.92</v>
      </c>
      <c r="N1877">
        <v>32.659999999999997</v>
      </c>
      <c r="O1877">
        <v>0.51</v>
      </c>
      <c r="P1877">
        <v>8</v>
      </c>
      <c r="Q1877">
        <v>0.88</v>
      </c>
      <c r="R1877">
        <v>972</v>
      </c>
      <c r="S1877">
        <v>13.87</v>
      </c>
      <c r="T1877">
        <v>0.25</v>
      </c>
      <c r="U1877" s="1">
        <v>45514</v>
      </c>
      <c r="V1877">
        <v>62.55</v>
      </c>
      <c r="W1877">
        <v>0.6</v>
      </c>
      <c r="X1877" t="str">
        <f>IF(WarehouseData[[#This Row],[stock_level]]&lt;=WarehouseData[[#This Row],[reorder_point]],"Low Stock","Sufficient Stock")</f>
        <v>Sufficient Stock</v>
      </c>
      <c r="Y1877">
        <f>WarehouseData[[#This Row],[daily_demand]]*WarehouseData[[#This Row],[lead_time_days]]</f>
        <v>118.16</v>
      </c>
      <c r="Z1877" t="str">
        <f>IF(WarehouseData[[#This Row],[stock_level]]&lt;=WarehouseData[[#This Row],[Demand During Lead Time]],"At Risk","Safe")</f>
        <v>At Risk</v>
      </c>
      <c r="AA1877">
        <f>WarehouseData[[#This Row],[stock_level]]/WarehouseData[[#This Row],[daily_demand]]</f>
        <v>4.2061611374407581</v>
      </c>
      <c r="AB1877">
        <f>WarehouseData[[#This Row],[stock_level]]*WarehouseData[[#This Row],[unit_price]]</f>
        <v>2318.8599999999997</v>
      </c>
      <c r="AC1877">
        <f>WarehouseData[[#This Row],[stock_level]]*WarehouseData[[#This Row],[holding_cost_per_unit_day]]*30</f>
        <v>1086.3</v>
      </c>
      <c r="AD1877" t="str">
        <f>IF(WarehouseData[[#This Row],[order_fulfillment_rate]]&gt;=0.9,"Strong",IF(WarehouseData[[#This Row],[order_fulfillment_rate]]&gt;=0.8,"Moderate","Needs Attention"))</f>
        <v>Moderate</v>
      </c>
      <c r="AE1877" t="str">
        <f>IF(WarehouseData[[#This Row],[picking_time_seconds]]&gt;120,"Slow",IF(WarehouseData[[#This Row],[picking_time_seconds]]&gt;=60,"Average","Fast"))</f>
        <v>Slow</v>
      </c>
    </row>
    <row r="1878" spans="1:31" x14ac:dyDescent="0.25">
      <c r="A1878" t="s">
        <v>2016</v>
      </c>
      <c r="B1878" t="s">
        <v>73</v>
      </c>
      <c r="C1878">
        <v>290</v>
      </c>
      <c r="D1878">
        <v>56</v>
      </c>
      <c r="E1878">
        <v>14</v>
      </c>
      <c r="F1878">
        <v>7</v>
      </c>
      <c r="G1878">
        <v>26.45</v>
      </c>
      <c r="H1878">
        <v>5.04</v>
      </c>
      <c r="I1878">
        <v>0.83</v>
      </c>
      <c r="J1878" t="s">
        <v>223</v>
      </c>
      <c r="K1878" t="s">
        <v>34</v>
      </c>
      <c r="L1878">
        <v>83</v>
      </c>
      <c r="M1878">
        <v>0.63</v>
      </c>
      <c r="N1878">
        <v>119.99</v>
      </c>
      <c r="O1878">
        <v>0.84</v>
      </c>
      <c r="P1878">
        <v>7</v>
      </c>
      <c r="Q1878">
        <v>0.86</v>
      </c>
      <c r="R1878">
        <v>598</v>
      </c>
      <c r="S1878">
        <v>12.71</v>
      </c>
      <c r="T1878">
        <v>0.32</v>
      </c>
      <c r="U1878" s="1">
        <v>45643</v>
      </c>
      <c r="V1878">
        <v>212.27</v>
      </c>
      <c r="W1878">
        <v>0.58099999999999996</v>
      </c>
      <c r="X1878" t="str">
        <f>IF(WarehouseData[[#This Row],[stock_level]]&lt;=WarehouseData[[#This Row],[reorder_point]],"Low Stock","Sufficient Stock")</f>
        <v>Sufficient Stock</v>
      </c>
      <c r="Y1878">
        <f>WarehouseData[[#This Row],[daily_demand]]*WarehouseData[[#This Row],[lead_time_days]]</f>
        <v>185.15</v>
      </c>
      <c r="Z1878" t="str">
        <f>IF(WarehouseData[[#This Row],[stock_level]]&lt;=WarehouseData[[#This Row],[Demand During Lead Time]],"At Risk","Safe")</f>
        <v>Safe</v>
      </c>
      <c r="AA1878">
        <f>WarehouseData[[#This Row],[stock_level]]/WarehouseData[[#This Row],[daily_demand]]</f>
        <v>10.964083175803403</v>
      </c>
      <c r="AB1878">
        <f>WarehouseData[[#This Row],[stock_level]]*WarehouseData[[#This Row],[unit_price]]</f>
        <v>34797.1</v>
      </c>
      <c r="AC1878">
        <f>WarehouseData[[#This Row],[stock_level]]*WarehouseData[[#This Row],[holding_cost_per_unit_day]]*30</f>
        <v>7308</v>
      </c>
      <c r="AD1878" t="str">
        <f>IF(WarehouseData[[#This Row],[order_fulfillment_rate]]&gt;=0.9,"Strong",IF(WarehouseData[[#This Row],[order_fulfillment_rate]]&gt;=0.8,"Moderate","Needs Attention"))</f>
        <v>Moderate</v>
      </c>
      <c r="AE1878" t="str">
        <f>IF(WarehouseData[[#This Row],[picking_time_seconds]]&gt;120,"Slow",IF(WarehouseData[[#This Row],[picking_time_seconds]]&gt;=60,"Average","Fast"))</f>
        <v>Average</v>
      </c>
    </row>
    <row r="1879" spans="1:31" x14ac:dyDescent="0.25">
      <c r="A1879" t="s">
        <v>2017</v>
      </c>
      <c r="B1879" t="s">
        <v>32</v>
      </c>
      <c r="C1879">
        <v>103</v>
      </c>
      <c r="D1879">
        <v>62</v>
      </c>
      <c r="E1879">
        <v>10</v>
      </c>
      <c r="F1879">
        <v>7</v>
      </c>
      <c r="G1879">
        <v>39.35</v>
      </c>
      <c r="H1879">
        <v>6.9</v>
      </c>
      <c r="I1879">
        <v>0.85</v>
      </c>
      <c r="J1879" t="s">
        <v>334</v>
      </c>
      <c r="K1879" t="s">
        <v>52</v>
      </c>
      <c r="L1879">
        <v>81</v>
      </c>
      <c r="M1879">
        <v>3.52</v>
      </c>
      <c r="N1879">
        <v>71.459999999999994</v>
      </c>
      <c r="O1879">
        <v>0.69</v>
      </c>
      <c r="P1879">
        <v>4</v>
      </c>
      <c r="Q1879">
        <v>0.72</v>
      </c>
      <c r="R1879">
        <v>310</v>
      </c>
      <c r="S1879">
        <v>6.27</v>
      </c>
      <c r="T1879">
        <v>0.28000000000000003</v>
      </c>
      <c r="U1879" s="1">
        <v>45360</v>
      </c>
      <c r="V1879">
        <v>267.32</v>
      </c>
      <c r="W1879">
        <v>0.53500000000000003</v>
      </c>
      <c r="X1879" t="str">
        <f>IF(WarehouseData[[#This Row],[stock_level]]&lt;=WarehouseData[[#This Row],[reorder_point]],"Low Stock","Sufficient Stock")</f>
        <v>Sufficient Stock</v>
      </c>
      <c r="Y1879">
        <f>WarehouseData[[#This Row],[daily_demand]]*WarehouseData[[#This Row],[lead_time_days]]</f>
        <v>275.45</v>
      </c>
      <c r="Z1879" t="str">
        <f>IF(WarehouseData[[#This Row],[stock_level]]&lt;=WarehouseData[[#This Row],[Demand During Lead Time]],"At Risk","Safe")</f>
        <v>At Risk</v>
      </c>
      <c r="AA1879">
        <f>WarehouseData[[#This Row],[stock_level]]/WarehouseData[[#This Row],[daily_demand]]</f>
        <v>2.6175349428208383</v>
      </c>
      <c r="AB1879">
        <f>WarehouseData[[#This Row],[stock_level]]*WarehouseData[[#This Row],[unit_price]]</f>
        <v>7360.3799999999992</v>
      </c>
      <c r="AC1879">
        <f>WarehouseData[[#This Row],[stock_level]]*WarehouseData[[#This Row],[holding_cost_per_unit_day]]*30</f>
        <v>2132.1</v>
      </c>
      <c r="AD1879" t="str">
        <f>IF(WarehouseData[[#This Row],[order_fulfillment_rate]]&gt;=0.9,"Strong",IF(WarehouseData[[#This Row],[order_fulfillment_rate]]&gt;=0.8,"Moderate","Needs Attention"))</f>
        <v>Needs Attention</v>
      </c>
      <c r="AE1879" t="str">
        <f>IF(WarehouseData[[#This Row],[picking_time_seconds]]&gt;120,"Slow",IF(WarehouseData[[#This Row],[picking_time_seconds]]&gt;=60,"Average","Fast"))</f>
        <v>Average</v>
      </c>
    </row>
    <row r="1880" spans="1:31" x14ac:dyDescent="0.25">
      <c r="A1880" t="s">
        <v>2018</v>
      </c>
      <c r="B1880" t="s">
        <v>48</v>
      </c>
      <c r="C1880">
        <v>406</v>
      </c>
      <c r="D1880">
        <v>68</v>
      </c>
      <c r="E1880">
        <v>9</v>
      </c>
      <c r="F1880">
        <v>3</v>
      </c>
      <c r="G1880">
        <v>42.09</v>
      </c>
      <c r="H1880">
        <v>5.93</v>
      </c>
      <c r="I1880">
        <v>0.42</v>
      </c>
      <c r="J1880" t="s">
        <v>212</v>
      </c>
      <c r="K1880" t="s">
        <v>46</v>
      </c>
      <c r="L1880">
        <v>22</v>
      </c>
      <c r="M1880">
        <v>2.74</v>
      </c>
      <c r="N1880">
        <v>115.51</v>
      </c>
      <c r="O1880">
        <v>1.44</v>
      </c>
      <c r="P1880">
        <v>9</v>
      </c>
      <c r="Q1880">
        <v>0.77</v>
      </c>
      <c r="R1880">
        <v>623</v>
      </c>
      <c r="S1880">
        <v>11.21</v>
      </c>
      <c r="T1880">
        <v>0.67</v>
      </c>
      <c r="U1880" s="1">
        <v>45467</v>
      </c>
      <c r="V1880">
        <v>163.79</v>
      </c>
      <c r="W1880">
        <v>0.51300000000000001</v>
      </c>
      <c r="X1880" t="str">
        <f>IF(WarehouseData[[#This Row],[stock_level]]&lt;=WarehouseData[[#This Row],[reorder_point]],"Low Stock","Sufficient Stock")</f>
        <v>Sufficient Stock</v>
      </c>
      <c r="Y1880">
        <f>WarehouseData[[#This Row],[daily_demand]]*WarehouseData[[#This Row],[lead_time_days]]</f>
        <v>126.27000000000001</v>
      </c>
      <c r="Z1880" t="str">
        <f>IF(WarehouseData[[#This Row],[stock_level]]&lt;=WarehouseData[[#This Row],[Demand During Lead Time]],"At Risk","Safe")</f>
        <v>Safe</v>
      </c>
      <c r="AA1880">
        <f>WarehouseData[[#This Row],[stock_level]]/WarehouseData[[#This Row],[daily_demand]]</f>
        <v>9.6459966737942491</v>
      </c>
      <c r="AB1880">
        <f>WarehouseData[[#This Row],[stock_level]]*WarehouseData[[#This Row],[unit_price]]</f>
        <v>46897.060000000005</v>
      </c>
      <c r="AC1880">
        <f>WarehouseData[[#This Row],[stock_level]]*WarehouseData[[#This Row],[holding_cost_per_unit_day]]*30</f>
        <v>17539.2</v>
      </c>
      <c r="AD1880" t="str">
        <f>IF(WarehouseData[[#This Row],[order_fulfillment_rate]]&gt;=0.9,"Strong",IF(WarehouseData[[#This Row],[order_fulfillment_rate]]&gt;=0.8,"Moderate","Needs Attention"))</f>
        <v>Needs Attention</v>
      </c>
      <c r="AE1880" t="str">
        <f>IF(WarehouseData[[#This Row],[picking_time_seconds]]&gt;120,"Slow",IF(WarehouseData[[#This Row],[picking_time_seconds]]&gt;=60,"Average","Fast"))</f>
        <v>Fast</v>
      </c>
    </row>
    <row r="1881" spans="1:31" x14ac:dyDescent="0.25">
      <c r="A1881" t="s">
        <v>2019</v>
      </c>
      <c r="B1881" t="s">
        <v>36</v>
      </c>
      <c r="C1881">
        <v>312</v>
      </c>
      <c r="D1881">
        <v>47</v>
      </c>
      <c r="E1881">
        <v>9</v>
      </c>
      <c r="F1881">
        <v>2</v>
      </c>
      <c r="G1881">
        <v>29.6</v>
      </c>
      <c r="H1881">
        <v>9.8800000000000008</v>
      </c>
      <c r="I1881">
        <v>0.46</v>
      </c>
      <c r="J1881" t="s">
        <v>196</v>
      </c>
      <c r="K1881" t="s">
        <v>52</v>
      </c>
      <c r="L1881">
        <v>68</v>
      </c>
      <c r="M1881">
        <v>3.08</v>
      </c>
      <c r="N1881">
        <v>54.64</v>
      </c>
      <c r="O1881">
        <v>0.59</v>
      </c>
      <c r="P1881">
        <v>6</v>
      </c>
      <c r="Q1881">
        <v>0.98</v>
      </c>
      <c r="R1881">
        <v>561</v>
      </c>
      <c r="S1881">
        <v>12.96</v>
      </c>
      <c r="T1881">
        <v>0.43</v>
      </c>
      <c r="U1881" s="1">
        <v>45542</v>
      </c>
      <c r="V1881">
        <v>150.94999999999999</v>
      </c>
      <c r="W1881">
        <v>0.67600000000000005</v>
      </c>
      <c r="X1881" t="str">
        <f>IF(WarehouseData[[#This Row],[stock_level]]&lt;=WarehouseData[[#This Row],[reorder_point]],"Low Stock","Sufficient Stock")</f>
        <v>Sufficient Stock</v>
      </c>
      <c r="Y1881">
        <f>WarehouseData[[#This Row],[daily_demand]]*WarehouseData[[#This Row],[lead_time_days]]</f>
        <v>59.2</v>
      </c>
      <c r="Z1881" t="str">
        <f>IF(WarehouseData[[#This Row],[stock_level]]&lt;=WarehouseData[[#This Row],[Demand During Lead Time]],"At Risk","Safe")</f>
        <v>Safe</v>
      </c>
      <c r="AA1881">
        <f>WarehouseData[[#This Row],[stock_level]]/WarehouseData[[#This Row],[daily_demand]]</f>
        <v>10.54054054054054</v>
      </c>
      <c r="AB1881">
        <f>WarehouseData[[#This Row],[stock_level]]*WarehouseData[[#This Row],[unit_price]]</f>
        <v>17047.68</v>
      </c>
      <c r="AC1881">
        <f>WarehouseData[[#This Row],[stock_level]]*WarehouseData[[#This Row],[holding_cost_per_unit_day]]*30</f>
        <v>5522.4</v>
      </c>
      <c r="AD1881" t="str">
        <f>IF(WarehouseData[[#This Row],[order_fulfillment_rate]]&gt;=0.9,"Strong",IF(WarehouseData[[#This Row],[order_fulfillment_rate]]&gt;=0.8,"Moderate","Needs Attention"))</f>
        <v>Strong</v>
      </c>
      <c r="AE1881" t="str">
        <f>IF(WarehouseData[[#This Row],[picking_time_seconds]]&gt;120,"Slow",IF(WarehouseData[[#This Row],[picking_time_seconds]]&gt;=60,"Average","Fast"))</f>
        <v>Average</v>
      </c>
    </row>
    <row r="1882" spans="1:31" x14ac:dyDescent="0.25">
      <c r="A1882" t="s">
        <v>2020</v>
      </c>
      <c r="B1882" t="s">
        <v>40</v>
      </c>
      <c r="C1882">
        <v>145</v>
      </c>
      <c r="D1882">
        <v>78</v>
      </c>
      <c r="E1882">
        <v>5</v>
      </c>
      <c r="F1882">
        <v>9</v>
      </c>
      <c r="G1882">
        <v>20.75</v>
      </c>
      <c r="H1882">
        <v>8.35</v>
      </c>
      <c r="I1882">
        <v>0.9</v>
      </c>
      <c r="J1882" t="s">
        <v>150</v>
      </c>
      <c r="K1882" t="s">
        <v>52</v>
      </c>
      <c r="L1882">
        <v>41</v>
      </c>
      <c r="M1882">
        <v>2.1800000000000002</v>
      </c>
      <c r="N1882">
        <v>94.43</v>
      </c>
      <c r="O1882">
        <v>1.17</v>
      </c>
      <c r="P1882">
        <v>1</v>
      </c>
      <c r="Q1882">
        <v>0.87</v>
      </c>
      <c r="R1882">
        <v>249</v>
      </c>
      <c r="S1882">
        <v>9.68</v>
      </c>
      <c r="T1882">
        <v>0.92</v>
      </c>
      <c r="U1882" s="1">
        <v>45475</v>
      </c>
      <c r="V1882">
        <v>241.36</v>
      </c>
      <c r="W1882">
        <v>0.75</v>
      </c>
      <c r="X1882" t="str">
        <f>IF(WarehouseData[[#This Row],[stock_level]]&lt;=WarehouseData[[#This Row],[reorder_point]],"Low Stock","Sufficient Stock")</f>
        <v>Sufficient Stock</v>
      </c>
      <c r="Y1882">
        <f>WarehouseData[[#This Row],[daily_demand]]*WarehouseData[[#This Row],[lead_time_days]]</f>
        <v>186.75</v>
      </c>
      <c r="Z1882" t="str">
        <f>IF(WarehouseData[[#This Row],[stock_level]]&lt;=WarehouseData[[#This Row],[Demand During Lead Time]],"At Risk","Safe")</f>
        <v>At Risk</v>
      </c>
      <c r="AA1882">
        <f>WarehouseData[[#This Row],[stock_level]]/WarehouseData[[#This Row],[daily_demand]]</f>
        <v>6.9879518072289155</v>
      </c>
      <c r="AB1882">
        <f>WarehouseData[[#This Row],[stock_level]]*WarehouseData[[#This Row],[unit_price]]</f>
        <v>13692.35</v>
      </c>
      <c r="AC1882">
        <f>WarehouseData[[#This Row],[stock_level]]*WarehouseData[[#This Row],[holding_cost_per_unit_day]]*30</f>
        <v>5089.4999999999991</v>
      </c>
      <c r="AD1882" t="str">
        <f>IF(WarehouseData[[#This Row],[order_fulfillment_rate]]&gt;=0.9,"Strong",IF(WarehouseData[[#This Row],[order_fulfillment_rate]]&gt;=0.8,"Moderate","Needs Attention"))</f>
        <v>Moderate</v>
      </c>
      <c r="AE1882" t="str">
        <f>IF(WarehouseData[[#This Row],[picking_time_seconds]]&gt;120,"Slow",IF(WarehouseData[[#This Row],[picking_time_seconds]]&gt;=60,"Average","Fast"))</f>
        <v>Fast</v>
      </c>
    </row>
    <row r="1883" spans="1:31" x14ac:dyDescent="0.25">
      <c r="A1883" t="s">
        <v>2021</v>
      </c>
      <c r="B1883" t="s">
        <v>32</v>
      </c>
      <c r="C1883">
        <v>315</v>
      </c>
      <c r="D1883">
        <v>96</v>
      </c>
      <c r="E1883">
        <v>8</v>
      </c>
      <c r="F1883">
        <v>8</v>
      </c>
      <c r="G1883">
        <v>47.38</v>
      </c>
      <c r="H1883">
        <v>3.01</v>
      </c>
      <c r="I1883">
        <v>0.56999999999999995</v>
      </c>
      <c r="J1883" t="s">
        <v>135</v>
      </c>
      <c r="K1883" t="s">
        <v>38</v>
      </c>
      <c r="L1883">
        <v>92</v>
      </c>
      <c r="M1883">
        <v>3.71</v>
      </c>
      <c r="N1883">
        <v>174.79</v>
      </c>
      <c r="O1883">
        <v>0.97</v>
      </c>
      <c r="P1883">
        <v>2</v>
      </c>
      <c r="Q1883">
        <v>0.83</v>
      </c>
      <c r="R1883">
        <v>379</v>
      </c>
      <c r="S1883">
        <v>12.95</v>
      </c>
      <c r="T1883">
        <v>0.33</v>
      </c>
      <c r="U1883" s="1">
        <v>45388</v>
      </c>
      <c r="V1883">
        <v>52.41</v>
      </c>
      <c r="W1883">
        <v>0.66800000000000004</v>
      </c>
      <c r="X1883" t="str">
        <f>IF(WarehouseData[[#This Row],[stock_level]]&lt;=WarehouseData[[#This Row],[reorder_point]],"Low Stock","Sufficient Stock")</f>
        <v>Sufficient Stock</v>
      </c>
      <c r="Y1883">
        <f>WarehouseData[[#This Row],[daily_demand]]*WarehouseData[[#This Row],[lead_time_days]]</f>
        <v>379.04</v>
      </c>
      <c r="Z1883" t="str">
        <f>IF(WarehouseData[[#This Row],[stock_level]]&lt;=WarehouseData[[#This Row],[Demand During Lead Time]],"At Risk","Safe")</f>
        <v>At Risk</v>
      </c>
      <c r="AA1883">
        <f>WarehouseData[[#This Row],[stock_level]]/WarehouseData[[#This Row],[daily_demand]]</f>
        <v>6.648374841705361</v>
      </c>
      <c r="AB1883">
        <f>WarehouseData[[#This Row],[stock_level]]*WarehouseData[[#This Row],[unit_price]]</f>
        <v>55058.85</v>
      </c>
      <c r="AC1883">
        <f>WarehouseData[[#This Row],[stock_level]]*WarehouseData[[#This Row],[holding_cost_per_unit_day]]*30</f>
        <v>9166.5</v>
      </c>
      <c r="AD1883" t="str">
        <f>IF(WarehouseData[[#This Row],[order_fulfillment_rate]]&gt;=0.9,"Strong",IF(WarehouseData[[#This Row],[order_fulfillment_rate]]&gt;=0.8,"Moderate","Needs Attention"))</f>
        <v>Moderate</v>
      </c>
      <c r="AE1883" t="str">
        <f>IF(WarehouseData[[#This Row],[picking_time_seconds]]&gt;120,"Slow",IF(WarehouseData[[#This Row],[picking_time_seconds]]&gt;=60,"Average","Fast"))</f>
        <v>Average</v>
      </c>
    </row>
    <row r="1884" spans="1:31" x14ac:dyDescent="0.25">
      <c r="A1884" t="s">
        <v>2022</v>
      </c>
      <c r="B1884" t="s">
        <v>36</v>
      </c>
      <c r="C1884">
        <v>91</v>
      </c>
      <c r="D1884">
        <v>62</v>
      </c>
      <c r="E1884">
        <v>7</v>
      </c>
      <c r="F1884">
        <v>5</v>
      </c>
      <c r="G1884">
        <v>13.08</v>
      </c>
      <c r="H1884">
        <v>7.39</v>
      </c>
      <c r="I1884">
        <v>0.88</v>
      </c>
      <c r="J1884" t="s">
        <v>207</v>
      </c>
      <c r="K1884" t="s">
        <v>34</v>
      </c>
      <c r="L1884">
        <v>129</v>
      </c>
      <c r="M1884">
        <v>3.53</v>
      </c>
      <c r="N1884">
        <v>81.48</v>
      </c>
      <c r="O1884">
        <v>1.62</v>
      </c>
      <c r="P1884">
        <v>1</v>
      </c>
      <c r="Q1884">
        <v>0.78</v>
      </c>
      <c r="R1884">
        <v>139</v>
      </c>
      <c r="S1884">
        <v>4.43</v>
      </c>
      <c r="T1884">
        <v>0.94</v>
      </c>
      <c r="U1884" s="1">
        <v>45376</v>
      </c>
      <c r="V1884">
        <v>108.85</v>
      </c>
      <c r="W1884">
        <v>0.621</v>
      </c>
      <c r="X1884" t="str">
        <f>IF(WarehouseData[[#This Row],[stock_level]]&lt;=WarehouseData[[#This Row],[reorder_point]],"Low Stock","Sufficient Stock")</f>
        <v>Sufficient Stock</v>
      </c>
      <c r="Y1884">
        <f>WarehouseData[[#This Row],[daily_demand]]*WarehouseData[[#This Row],[lead_time_days]]</f>
        <v>65.400000000000006</v>
      </c>
      <c r="Z1884" t="str">
        <f>IF(WarehouseData[[#This Row],[stock_level]]&lt;=WarehouseData[[#This Row],[Demand During Lead Time]],"At Risk","Safe")</f>
        <v>Safe</v>
      </c>
      <c r="AA1884">
        <f>WarehouseData[[#This Row],[stock_level]]/WarehouseData[[#This Row],[daily_demand]]</f>
        <v>6.957186544342508</v>
      </c>
      <c r="AB1884">
        <f>WarehouseData[[#This Row],[stock_level]]*WarehouseData[[#This Row],[unit_price]]</f>
        <v>7414.68</v>
      </c>
      <c r="AC1884">
        <f>WarehouseData[[#This Row],[stock_level]]*WarehouseData[[#This Row],[holding_cost_per_unit_day]]*30</f>
        <v>4422.6000000000004</v>
      </c>
      <c r="AD1884" t="str">
        <f>IF(WarehouseData[[#This Row],[order_fulfillment_rate]]&gt;=0.9,"Strong",IF(WarehouseData[[#This Row],[order_fulfillment_rate]]&gt;=0.8,"Moderate","Needs Attention"))</f>
        <v>Needs Attention</v>
      </c>
      <c r="AE1884" t="str">
        <f>IF(WarehouseData[[#This Row],[picking_time_seconds]]&gt;120,"Slow",IF(WarehouseData[[#This Row],[picking_time_seconds]]&gt;=60,"Average","Fast"))</f>
        <v>Slow</v>
      </c>
    </row>
    <row r="1885" spans="1:31" x14ac:dyDescent="0.25">
      <c r="A1885" t="s">
        <v>2023</v>
      </c>
      <c r="B1885" t="s">
        <v>73</v>
      </c>
      <c r="C1885">
        <v>315</v>
      </c>
      <c r="D1885">
        <v>24</v>
      </c>
      <c r="E1885">
        <v>3</v>
      </c>
      <c r="F1885">
        <v>6</v>
      </c>
      <c r="G1885">
        <v>40.35</v>
      </c>
      <c r="H1885">
        <v>2.54</v>
      </c>
      <c r="I1885">
        <v>0.66</v>
      </c>
      <c r="J1885" t="s">
        <v>152</v>
      </c>
      <c r="K1885" t="s">
        <v>52</v>
      </c>
      <c r="L1885">
        <v>63</v>
      </c>
      <c r="M1885">
        <v>3.11</v>
      </c>
      <c r="N1885">
        <v>77.08</v>
      </c>
      <c r="O1885">
        <v>0.91</v>
      </c>
      <c r="P1885">
        <v>9</v>
      </c>
      <c r="Q1885">
        <v>0.74</v>
      </c>
      <c r="R1885">
        <v>640</v>
      </c>
      <c r="S1885">
        <v>7.47</v>
      </c>
      <c r="T1885">
        <v>0.47</v>
      </c>
      <c r="U1885" s="1">
        <v>45498</v>
      </c>
      <c r="V1885">
        <v>257.60000000000002</v>
      </c>
      <c r="W1885">
        <v>0.47099999999999997</v>
      </c>
      <c r="X1885" t="str">
        <f>IF(WarehouseData[[#This Row],[stock_level]]&lt;=WarehouseData[[#This Row],[reorder_point]],"Low Stock","Sufficient Stock")</f>
        <v>Sufficient Stock</v>
      </c>
      <c r="Y1885">
        <f>WarehouseData[[#This Row],[daily_demand]]*WarehouseData[[#This Row],[lead_time_days]]</f>
        <v>242.10000000000002</v>
      </c>
      <c r="Z1885" t="str">
        <f>IF(WarehouseData[[#This Row],[stock_level]]&lt;=WarehouseData[[#This Row],[Demand During Lead Time]],"At Risk","Safe")</f>
        <v>Safe</v>
      </c>
      <c r="AA1885">
        <f>WarehouseData[[#This Row],[stock_level]]/WarehouseData[[#This Row],[daily_demand]]</f>
        <v>7.8066914498141262</v>
      </c>
      <c r="AB1885">
        <f>WarehouseData[[#This Row],[stock_level]]*WarehouseData[[#This Row],[unit_price]]</f>
        <v>24280.2</v>
      </c>
      <c r="AC1885">
        <f>WarehouseData[[#This Row],[stock_level]]*WarehouseData[[#This Row],[holding_cost_per_unit_day]]*30</f>
        <v>8599.5000000000018</v>
      </c>
      <c r="AD1885" t="str">
        <f>IF(WarehouseData[[#This Row],[order_fulfillment_rate]]&gt;=0.9,"Strong",IF(WarehouseData[[#This Row],[order_fulfillment_rate]]&gt;=0.8,"Moderate","Needs Attention"))</f>
        <v>Needs Attention</v>
      </c>
      <c r="AE1885" t="str">
        <f>IF(WarehouseData[[#This Row],[picking_time_seconds]]&gt;120,"Slow",IF(WarehouseData[[#This Row],[picking_time_seconds]]&gt;=60,"Average","Fast"))</f>
        <v>Average</v>
      </c>
    </row>
    <row r="1886" spans="1:31" x14ac:dyDescent="0.25">
      <c r="A1886" t="s">
        <v>2024</v>
      </c>
      <c r="B1886" t="s">
        <v>73</v>
      </c>
      <c r="C1886">
        <v>255</v>
      </c>
      <c r="D1886">
        <v>35</v>
      </c>
      <c r="E1886">
        <v>13</v>
      </c>
      <c r="F1886">
        <v>7</v>
      </c>
      <c r="G1886">
        <v>30.99</v>
      </c>
      <c r="H1886">
        <v>7.93</v>
      </c>
      <c r="I1886">
        <v>0.63</v>
      </c>
      <c r="J1886" t="s">
        <v>64</v>
      </c>
      <c r="K1886" t="s">
        <v>38</v>
      </c>
      <c r="L1886">
        <v>11</v>
      </c>
      <c r="M1886">
        <v>4.38</v>
      </c>
      <c r="N1886">
        <v>94.76</v>
      </c>
      <c r="O1886">
        <v>1.74</v>
      </c>
      <c r="P1886">
        <v>0</v>
      </c>
      <c r="Q1886">
        <v>0.82</v>
      </c>
      <c r="R1886">
        <v>104</v>
      </c>
      <c r="S1886">
        <v>9.11</v>
      </c>
      <c r="T1886">
        <v>0.89</v>
      </c>
      <c r="U1886" s="1">
        <v>45301</v>
      </c>
      <c r="V1886">
        <v>154.93</v>
      </c>
      <c r="W1886">
        <v>0.68899999999999995</v>
      </c>
      <c r="X1886" t="str">
        <f>IF(WarehouseData[[#This Row],[stock_level]]&lt;=WarehouseData[[#This Row],[reorder_point]],"Low Stock","Sufficient Stock")</f>
        <v>Sufficient Stock</v>
      </c>
      <c r="Y1886">
        <f>WarehouseData[[#This Row],[daily_demand]]*WarehouseData[[#This Row],[lead_time_days]]</f>
        <v>216.92999999999998</v>
      </c>
      <c r="Z1886" t="str">
        <f>IF(WarehouseData[[#This Row],[stock_level]]&lt;=WarehouseData[[#This Row],[Demand During Lead Time]],"At Risk","Safe")</f>
        <v>Safe</v>
      </c>
      <c r="AA1886">
        <f>WarehouseData[[#This Row],[stock_level]]/WarehouseData[[#This Row],[daily_demand]]</f>
        <v>8.2284607938044534</v>
      </c>
      <c r="AB1886">
        <f>WarehouseData[[#This Row],[stock_level]]*WarehouseData[[#This Row],[unit_price]]</f>
        <v>24163.800000000003</v>
      </c>
      <c r="AC1886">
        <f>WarehouseData[[#This Row],[stock_level]]*WarehouseData[[#This Row],[holding_cost_per_unit_day]]*30</f>
        <v>13311</v>
      </c>
      <c r="AD1886" t="str">
        <f>IF(WarehouseData[[#This Row],[order_fulfillment_rate]]&gt;=0.9,"Strong",IF(WarehouseData[[#This Row],[order_fulfillment_rate]]&gt;=0.8,"Moderate","Needs Attention"))</f>
        <v>Moderate</v>
      </c>
      <c r="AE1886" t="str">
        <f>IF(WarehouseData[[#This Row],[picking_time_seconds]]&gt;120,"Slow",IF(WarehouseData[[#This Row],[picking_time_seconds]]&gt;=60,"Average","Fast"))</f>
        <v>Fast</v>
      </c>
    </row>
    <row r="1887" spans="1:31" x14ac:dyDescent="0.25">
      <c r="A1887" t="s">
        <v>2025</v>
      </c>
      <c r="B1887" t="s">
        <v>73</v>
      </c>
      <c r="C1887">
        <v>75</v>
      </c>
      <c r="D1887">
        <v>57</v>
      </c>
      <c r="E1887">
        <v>5</v>
      </c>
      <c r="F1887">
        <v>8</v>
      </c>
      <c r="G1887">
        <v>19.47</v>
      </c>
      <c r="H1887">
        <v>1.9</v>
      </c>
      <c r="I1887">
        <v>0.13</v>
      </c>
      <c r="J1887" t="s">
        <v>301</v>
      </c>
      <c r="K1887" t="s">
        <v>52</v>
      </c>
      <c r="L1887">
        <v>127</v>
      </c>
      <c r="M1887">
        <v>0.96</v>
      </c>
      <c r="N1887">
        <v>29.09</v>
      </c>
      <c r="O1887">
        <v>0.1</v>
      </c>
      <c r="P1887">
        <v>2</v>
      </c>
      <c r="Q1887">
        <v>0.98</v>
      </c>
      <c r="R1887">
        <v>961</v>
      </c>
      <c r="S1887">
        <v>9.84</v>
      </c>
      <c r="T1887">
        <v>0.96</v>
      </c>
      <c r="U1887" s="1">
        <v>45408</v>
      </c>
      <c r="V1887">
        <v>253.73</v>
      </c>
      <c r="W1887">
        <v>0.86899999999999999</v>
      </c>
      <c r="X1887" t="str">
        <f>IF(WarehouseData[[#This Row],[stock_level]]&lt;=WarehouseData[[#This Row],[reorder_point]],"Low Stock","Sufficient Stock")</f>
        <v>Sufficient Stock</v>
      </c>
      <c r="Y1887">
        <f>WarehouseData[[#This Row],[daily_demand]]*WarehouseData[[#This Row],[lead_time_days]]</f>
        <v>155.76</v>
      </c>
      <c r="Z1887" t="str">
        <f>IF(WarehouseData[[#This Row],[stock_level]]&lt;=WarehouseData[[#This Row],[Demand During Lead Time]],"At Risk","Safe")</f>
        <v>At Risk</v>
      </c>
      <c r="AA1887">
        <f>WarehouseData[[#This Row],[stock_level]]/WarehouseData[[#This Row],[daily_demand]]</f>
        <v>3.852080123266564</v>
      </c>
      <c r="AB1887">
        <f>WarehouseData[[#This Row],[stock_level]]*WarehouseData[[#This Row],[unit_price]]</f>
        <v>2181.75</v>
      </c>
      <c r="AC1887">
        <f>WarehouseData[[#This Row],[stock_level]]*WarehouseData[[#This Row],[holding_cost_per_unit_day]]*30</f>
        <v>225</v>
      </c>
      <c r="AD1887" t="str">
        <f>IF(WarehouseData[[#This Row],[order_fulfillment_rate]]&gt;=0.9,"Strong",IF(WarehouseData[[#This Row],[order_fulfillment_rate]]&gt;=0.8,"Moderate","Needs Attention"))</f>
        <v>Strong</v>
      </c>
      <c r="AE1887" t="str">
        <f>IF(WarehouseData[[#This Row],[picking_time_seconds]]&gt;120,"Slow",IF(WarehouseData[[#This Row],[picking_time_seconds]]&gt;=60,"Average","Fast"))</f>
        <v>Slow</v>
      </c>
    </row>
    <row r="1888" spans="1:31" x14ac:dyDescent="0.25">
      <c r="A1888" t="s">
        <v>2026</v>
      </c>
      <c r="B1888" t="s">
        <v>73</v>
      </c>
      <c r="C1888">
        <v>426</v>
      </c>
      <c r="D1888">
        <v>28</v>
      </c>
      <c r="E1888">
        <v>14</v>
      </c>
      <c r="F1888">
        <v>4</v>
      </c>
      <c r="G1888">
        <v>1.07</v>
      </c>
      <c r="H1888">
        <v>5</v>
      </c>
      <c r="I1888">
        <v>0.35</v>
      </c>
      <c r="J1888" t="s">
        <v>57</v>
      </c>
      <c r="K1888" t="s">
        <v>34</v>
      </c>
      <c r="L1888">
        <v>46</v>
      </c>
      <c r="M1888">
        <v>1.85</v>
      </c>
      <c r="N1888">
        <v>83.6</v>
      </c>
      <c r="O1888">
        <v>1.25</v>
      </c>
      <c r="P1888">
        <v>3</v>
      </c>
      <c r="Q1888">
        <v>0.71</v>
      </c>
      <c r="R1888">
        <v>270</v>
      </c>
      <c r="S1888">
        <v>14.82</v>
      </c>
      <c r="T1888">
        <v>0.99</v>
      </c>
      <c r="U1888" s="1">
        <v>45406</v>
      </c>
      <c r="V1888">
        <v>83.04</v>
      </c>
      <c r="W1888">
        <v>0.753</v>
      </c>
      <c r="X1888" t="str">
        <f>IF(WarehouseData[[#This Row],[stock_level]]&lt;=WarehouseData[[#This Row],[reorder_point]],"Low Stock","Sufficient Stock")</f>
        <v>Sufficient Stock</v>
      </c>
      <c r="Y1888">
        <f>WarehouseData[[#This Row],[daily_demand]]*WarehouseData[[#This Row],[lead_time_days]]</f>
        <v>4.28</v>
      </c>
      <c r="Z1888" t="str">
        <f>IF(WarehouseData[[#This Row],[stock_level]]&lt;=WarehouseData[[#This Row],[Demand During Lead Time]],"At Risk","Safe")</f>
        <v>Safe</v>
      </c>
      <c r="AA1888">
        <f>WarehouseData[[#This Row],[stock_level]]/WarehouseData[[#This Row],[daily_demand]]</f>
        <v>398.13084112149528</v>
      </c>
      <c r="AB1888">
        <f>WarehouseData[[#This Row],[stock_level]]*WarehouseData[[#This Row],[unit_price]]</f>
        <v>35613.599999999999</v>
      </c>
      <c r="AC1888">
        <f>WarehouseData[[#This Row],[stock_level]]*WarehouseData[[#This Row],[holding_cost_per_unit_day]]*30</f>
        <v>15975</v>
      </c>
      <c r="AD1888" t="str">
        <f>IF(WarehouseData[[#This Row],[order_fulfillment_rate]]&gt;=0.9,"Strong",IF(WarehouseData[[#This Row],[order_fulfillment_rate]]&gt;=0.8,"Moderate","Needs Attention"))</f>
        <v>Needs Attention</v>
      </c>
      <c r="AE1888" t="str">
        <f>IF(WarehouseData[[#This Row],[picking_time_seconds]]&gt;120,"Slow",IF(WarehouseData[[#This Row],[picking_time_seconds]]&gt;=60,"Average","Fast"))</f>
        <v>Fast</v>
      </c>
    </row>
    <row r="1889" spans="1:31" x14ac:dyDescent="0.25">
      <c r="A1889" t="s">
        <v>2027</v>
      </c>
      <c r="B1889" t="s">
        <v>40</v>
      </c>
      <c r="C1889">
        <v>379</v>
      </c>
      <c r="D1889">
        <v>18</v>
      </c>
      <c r="E1889">
        <v>3</v>
      </c>
      <c r="F1889">
        <v>9</v>
      </c>
      <c r="G1889">
        <v>22.88</v>
      </c>
      <c r="H1889">
        <v>8.01</v>
      </c>
      <c r="I1889">
        <v>0.55000000000000004</v>
      </c>
      <c r="J1889" t="s">
        <v>49</v>
      </c>
      <c r="K1889" t="s">
        <v>52</v>
      </c>
      <c r="L1889">
        <v>106</v>
      </c>
      <c r="M1889">
        <v>2.73</v>
      </c>
      <c r="N1889">
        <v>11.31</v>
      </c>
      <c r="O1889">
        <v>0.12</v>
      </c>
      <c r="P1889">
        <v>8</v>
      </c>
      <c r="Q1889">
        <v>1</v>
      </c>
      <c r="R1889">
        <v>141</v>
      </c>
      <c r="S1889">
        <v>12.84</v>
      </c>
      <c r="T1889">
        <v>0.84</v>
      </c>
      <c r="U1889" s="1">
        <v>45359</v>
      </c>
      <c r="V1889">
        <v>122.98</v>
      </c>
      <c r="W1889">
        <v>0.76700000000000002</v>
      </c>
      <c r="X1889" t="str">
        <f>IF(WarehouseData[[#This Row],[stock_level]]&lt;=WarehouseData[[#This Row],[reorder_point]],"Low Stock","Sufficient Stock")</f>
        <v>Sufficient Stock</v>
      </c>
      <c r="Y1889">
        <f>WarehouseData[[#This Row],[daily_demand]]*WarehouseData[[#This Row],[lead_time_days]]</f>
        <v>205.92</v>
      </c>
      <c r="Z1889" t="str">
        <f>IF(WarehouseData[[#This Row],[stock_level]]&lt;=WarehouseData[[#This Row],[Demand During Lead Time]],"At Risk","Safe")</f>
        <v>Safe</v>
      </c>
      <c r="AA1889">
        <f>WarehouseData[[#This Row],[stock_level]]/WarehouseData[[#This Row],[daily_demand]]</f>
        <v>16.564685314685317</v>
      </c>
      <c r="AB1889">
        <f>WarehouseData[[#This Row],[stock_level]]*WarehouseData[[#This Row],[unit_price]]</f>
        <v>4286.49</v>
      </c>
      <c r="AC1889">
        <f>WarehouseData[[#This Row],[stock_level]]*WarehouseData[[#This Row],[holding_cost_per_unit_day]]*30</f>
        <v>1364.3999999999999</v>
      </c>
      <c r="AD1889" t="str">
        <f>IF(WarehouseData[[#This Row],[order_fulfillment_rate]]&gt;=0.9,"Strong",IF(WarehouseData[[#This Row],[order_fulfillment_rate]]&gt;=0.8,"Moderate","Needs Attention"))</f>
        <v>Strong</v>
      </c>
      <c r="AE1889" t="str">
        <f>IF(WarehouseData[[#This Row],[picking_time_seconds]]&gt;120,"Slow",IF(WarehouseData[[#This Row],[picking_time_seconds]]&gt;=60,"Average","Fast"))</f>
        <v>Average</v>
      </c>
    </row>
    <row r="1890" spans="1:31" x14ac:dyDescent="0.25">
      <c r="A1890" t="s">
        <v>2028</v>
      </c>
      <c r="B1890" t="s">
        <v>32</v>
      </c>
      <c r="C1890">
        <v>414</v>
      </c>
      <c r="D1890">
        <v>73</v>
      </c>
      <c r="E1890">
        <v>6</v>
      </c>
      <c r="F1890">
        <v>2</v>
      </c>
      <c r="G1890">
        <v>14.56</v>
      </c>
      <c r="H1890">
        <v>3.16</v>
      </c>
      <c r="I1890">
        <v>0.63</v>
      </c>
      <c r="J1890" t="s">
        <v>301</v>
      </c>
      <c r="K1890" t="s">
        <v>34</v>
      </c>
      <c r="L1890">
        <v>112</v>
      </c>
      <c r="M1890">
        <v>4.8099999999999996</v>
      </c>
      <c r="N1890">
        <v>105.65</v>
      </c>
      <c r="O1890">
        <v>1.46</v>
      </c>
      <c r="P1890">
        <v>1</v>
      </c>
      <c r="Q1890">
        <v>0.76</v>
      </c>
      <c r="R1890">
        <v>635</v>
      </c>
      <c r="S1890">
        <v>1.77</v>
      </c>
      <c r="T1890">
        <v>0.28000000000000003</v>
      </c>
      <c r="U1890" s="1">
        <v>45400</v>
      </c>
      <c r="V1890">
        <v>248.85</v>
      </c>
      <c r="W1890">
        <v>0.46600000000000003</v>
      </c>
      <c r="X1890" t="str">
        <f>IF(WarehouseData[[#This Row],[stock_level]]&lt;=WarehouseData[[#This Row],[reorder_point]],"Low Stock","Sufficient Stock")</f>
        <v>Sufficient Stock</v>
      </c>
      <c r="Y1890">
        <f>WarehouseData[[#This Row],[daily_demand]]*WarehouseData[[#This Row],[lead_time_days]]</f>
        <v>29.12</v>
      </c>
      <c r="Z1890" t="str">
        <f>IF(WarehouseData[[#This Row],[stock_level]]&lt;=WarehouseData[[#This Row],[Demand During Lead Time]],"At Risk","Safe")</f>
        <v>Safe</v>
      </c>
      <c r="AA1890">
        <f>WarehouseData[[#This Row],[stock_level]]/WarehouseData[[#This Row],[daily_demand]]</f>
        <v>28.434065934065934</v>
      </c>
      <c r="AB1890">
        <f>WarehouseData[[#This Row],[stock_level]]*WarehouseData[[#This Row],[unit_price]]</f>
        <v>43739.100000000006</v>
      </c>
      <c r="AC1890">
        <f>WarehouseData[[#This Row],[stock_level]]*WarehouseData[[#This Row],[holding_cost_per_unit_day]]*30</f>
        <v>18133.199999999997</v>
      </c>
      <c r="AD1890" t="str">
        <f>IF(WarehouseData[[#This Row],[order_fulfillment_rate]]&gt;=0.9,"Strong",IF(WarehouseData[[#This Row],[order_fulfillment_rate]]&gt;=0.8,"Moderate","Needs Attention"))</f>
        <v>Needs Attention</v>
      </c>
      <c r="AE1890" t="str">
        <f>IF(WarehouseData[[#This Row],[picking_time_seconds]]&gt;120,"Slow",IF(WarehouseData[[#This Row],[picking_time_seconds]]&gt;=60,"Average","Fast"))</f>
        <v>Average</v>
      </c>
    </row>
    <row r="1891" spans="1:31" x14ac:dyDescent="0.25">
      <c r="A1891" t="s">
        <v>2029</v>
      </c>
      <c r="B1891" t="s">
        <v>48</v>
      </c>
      <c r="C1891">
        <v>129</v>
      </c>
      <c r="D1891">
        <v>63</v>
      </c>
      <c r="E1891">
        <v>12</v>
      </c>
      <c r="F1891">
        <v>6</v>
      </c>
      <c r="G1891">
        <v>6.11</v>
      </c>
      <c r="H1891">
        <v>8.4499999999999993</v>
      </c>
      <c r="I1891">
        <v>0.67</v>
      </c>
      <c r="J1891" t="s">
        <v>66</v>
      </c>
      <c r="K1891" t="s">
        <v>38</v>
      </c>
      <c r="L1891">
        <v>123</v>
      </c>
      <c r="M1891">
        <v>0.82</v>
      </c>
      <c r="N1891">
        <v>171.11</v>
      </c>
      <c r="O1891">
        <v>0.55000000000000004</v>
      </c>
      <c r="P1891">
        <v>8</v>
      </c>
      <c r="Q1891">
        <v>0.82</v>
      </c>
      <c r="R1891">
        <v>105</v>
      </c>
      <c r="S1891">
        <v>3.37</v>
      </c>
      <c r="T1891">
        <v>0.24</v>
      </c>
      <c r="U1891" s="1">
        <v>45303</v>
      </c>
      <c r="V1891">
        <v>57.41</v>
      </c>
      <c r="W1891">
        <v>0.442</v>
      </c>
      <c r="X1891" t="str">
        <f>IF(WarehouseData[[#This Row],[stock_level]]&lt;=WarehouseData[[#This Row],[reorder_point]],"Low Stock","Sufficient Stock")</f>
        <v>Sufficient Stock</v>
      </c>
      <c r="Y1891">
        <f>WarehouseData[[#This Row],[daily_demand]]*WarehouseData[[#This Row],[lead_time_days]]</f>
        <v>36.660000000000004</v>
      </c>
      <c r="Z1891" t="str">
        <f>IF(WarehouseData[[#This Row],[stock_level]]&lt;=WarehouseData[[#This Row],[Demand During Lead Time]],"At Risk","Safe")</f>
        <v>Safe</v>
      </c>
      <c r="AA1891">
        <f>WarehouseData[[#This Row],[stock_level]]/WarehouseData[[#This Row],[daily_demand]]</f>
        <v>21.112929623567922</v>
      </c>
      <c r="AB1891">
        <f>WarehouseData[[#This Row],[stock_level]]*WarehouseData[[#This Row],[unit_price]]</f>
        <v>22073.190000000002</v>
      </c>
      <c r="AC1891">
        <f>WarehouseData[[#This Row],[stock_level]]*WarehouseData[[#This Row],[holding_cost_per_unit_day]]*30</f>
        <v>2128.5</v>
      </c>
      <c r="AD1891" t="str">
        <f>IF(WarehouseData[[#This Row],[order_fulfillment_rate]]&gt;=0.9,"Strong",IF(WarehouseData[[#This Row],[order_fulfillment_rate]]&gt;=0.8,"Moderate","Needs Attention"))</f>
        <v>Moderate</v>
      </c>
      <c r="AE1891" t="str">
        <f>IF(WarehouseData[[#This Row],[picking_time_seconds]]&gt;120,"Slow",IF(WarehouseData[[#This Row],[picking_time_seconds]]&gt;=60,"Average","Fast"))</f>
        <v>Slow</v>
      </c>
    </row>
    <row r="1892" spans="1:31" x14ac:dyDescent="0.25">
      <c r="A1892" t="s">
        <v>2030</v>
      </c>
      <c r="B1892" t="s">
        <v>40</v>
      </c>
      <c r="C1892">
        <v>211</v>
      </c>
      <c r="D1892">
        <v>60</v>
      </c>
      <c r="E1892">
        <v>5</v>
      </c>
      <c r="F1892">
        <v>6</v>
      </c>
      <c r="G1892">
        <v>4.68</v>
      </c>
      <c r="H1892">
        <v>6.62</v>
      </c>
      <c r="I1892">
        <v>0.74</v>
      </c>
      <c r="J1892" t="s">
        <v>223</v>
      </c>
      <c r="K1892" t="s">
        <v>38</v>
      </c>
      <c r="L1892">
        <v>170</v>
      </c>
      <c r="M1892">
        <v>2.02</v>
      </c>
      <c r="N1892">
        <v>114.89</v>
      </c>
      <c r="O1892">
        <v>0.82</v>
      </c>
      <c r="P1892">
        <v>0</v>
      </c>
      <c r="Q1892">
        <v>0.71</v>
      </c>
      <c r="R1892">
        <v>793</v>
      </c>
      <c r="S1892">
        <v>10.199999999999999</v>
      </c>
      <c r="T1892">
        <v>0.79</v>
      </c>
      <c r="U1892" s="1">
        <v>45593</v>
      </c>
      <c r="V1892">
        <v>269.49</v>
      </c>
      <c r="W1892">
        <v>0.754</v>
      </c>
      <c r="X1892" t="str">
        <f>IF(WarehouseData[[#This Row],[stock_level]]&lt;=WarehouseData[[#This Row],[reorder_point]],"Low Stock","Sufficient Stock")</f>
        <v>Sufficient Stock</v>
      </c>
      <c r="Y1892">
        <f>WarehouseData[[#This Row],[daily_demand]]*WarehouseData[[#This Row],[lead_time_days]]</f>
        <v>28.08</v>
      </c>
      <c r="Z1892" t="str">
        <f>IF(WarehouseData[[#This Row],[stock_level]]&lt;=WarehouseData[[#This Row],[Demand During Lead Time]],"At Risk","Safe")</f>
        <v>Safe</v>
      </c>
      <c r="AA1892">
        <f>WarehouseData[[#This Row],[stock_level]]/WarehouseData[[#This Row],[daily_demand]]</f>
        <v>45.085470085470085</v>
      </c>
      <c r="AB1892">
        <f>WarehouseData[[#This Row],[stock_level]]*WarehouseData[[#This Row],[unit_price]]</f>
        <v>24241.79</v>
      </c>
      <c r="AC1892">
        <f>WarehouseData[[#This Row],[stock_level]]*WarehouseData[[#This Row],[holding_cost_per_unit_day]]*30</f>
        <v>5190.5999999999995</v>
      </c>
      <c r="AD1892" t="str">
        <f>IF(WarehouseData[[#This Row],[order_fulfillment_rate]]&gt;=0.9,"Strong",IF(WarehouseData[[#This Row],[order_fulfillment_rate]]&gt;=0.8,"Moderate","Needs Attention"))</f>
        <v>Needs Attention</v>
      </c>
      <c r="AE1892" t="str">
        <f>IF(WarehouseData[[#This Row],[picking_time_seconds]]&gt;120,"Slow",IF(WarehouseData[[#This Row],[picking_time_seconds]]&gt;=60,"Average","Fast"))</f>
        <v>Slow</v>
      </c>
    </row>
    <row r="1893" spans="1:31" x14ac:dyDescent="0.25">
      <c r="A1893" t="s">
        <v>2031</v>
      </c>
      <c r="B1893" t="s">
        <v>40</v>
      </c>
      <c r="C1893">
        <v>411</v>
      </c>
      <c r="D1893">
        <v>48</v>
      </c>
      <c r="E1893">
        <v>13</v>
      </c>
      <c r="F1893">
        <v>4</v>
      </c>
      <c r="G1893">
        <v>18.03</v>
      </c>
      <c r="H1893">
        <v>4.28</v>
      </c>
      <c r="I1893">
        <v>0.69</v>
      </c>
      <c r="J1893" t="s">
        <v>281</v>
      </c>
      <c r="K1893" t="s">
        <v>34</v>
      </c>
      <c r="L1893">
        <v>10</v>
      </c>
      <c r="M1893">
        <v>4.67</v>
      </c>
      <c r="N1893">
        <v>125.47</v>
      </c>
      <c r="O1893">
        <v>0.82</v>
      </c>
      <c r="P1893">
        <v>8</v>
      </c>
      <c r="Q1893">
        <v>0.88</v>
      </c>
      <c r="R1893">
        <v>228</v>
      </c>
      <c r="S1893">
        <v>4.37</v>
      </c>
      <c r="T1893">
        <v>0.92</v>
      </c>
      <c r="U1893" s="1">
        <v>45550</v>
      </c>
      <c r="V1893">
        <v>99.86</v>
      </c>
      <c r="W1893">
        <v>0.57599999999999996</v>
      </c>
      <c r="X1893" t="str">
        <f>IF(WarehouseData[[#This Row],[stock_level]]&lt;=WarehouseData[[#This Row],[reorder_point]],"Low Stock","Sufficient Stock")</f>
        <v>Sufficient Stock</v>
      </c>
      <c r="Y1893">
        <f>WarehouseData[[#This Row],[daily_demand]]*WarehouseData[[#This Row],[lead_time_days]]</f>
        <v>72.12</v>
      </c>
      <c r="Z1893" t="str">
        <f>IF(WarehouseData[[#This Row],[stock_level]]&lt;=WarehouseData[[#This Row],[Demand During Lead Time]],"At Risk","Safe")</f>
        <v>Safe</v>
      </c>
      <c r="AA1893">
        <f>WarehouseData[[#This Row],[stock_level]]/WarehouseData[[#This Row],[daily_demand]]</f>
        <v>22.795341098169715</v>
      </c>
      <c r="AB1893">
        <f>WarehouseData[[#This Row],[stock_level]]*WarehouseData[[#This Row],[unit_price]]</f>
        <v>51568.17</v>
      </c>
      <c r="AC1893">
        <f>WarehouseData[[#This Row],[stock_level]]*WarehouseData[[#This Row],[holding_cost_per_unit_day]]*30</f>
        <v>10110.599999999999</v>
      </c>
      <c r="AD1893" t="str">
        <f>IF(WarehouseData[[#This Row],[order_fulfillment_rate]]&gt;=0.9,"Strong",IF(WarehouseData[[#This Row],[order_fulfillment_rate]]&gt;=0.8,"Moderate","Needs Attention"))</f>
        <v>Moderate</v>
      </c>
      <c r="AE1893" t="str">
        <f>IF(WarehouseData[[#This Row],[picking_time_seconds]]&gt;120,"Slow",IF(WarehouseData[[#This Row],[picking_time_seconds]]&gt;=60,"Average","Fast"))</f>
        <v>Fast</v>
      </c>
    </row>
    <row r="1894" spans="1:31" x14ac:dyDescent="0.25">
      <c r="A1894" t="s">
        <v>2032</v>
      </c>
      <c r="B1894" t="s">
        <v>48</v>
      </c>
      <c r="C1894">
        <v>112</v>
      </c>
      <c r="D1894">
        <v>13</v>
      </c>
      <c r="E1894">
        <v>6</v>
      </c>
      <c r="F1894">
        <v>9</v>
      </c>
      <c r="G1894">
        <v>31.12</v>
      </c>
      <c r="H1894">
        <v>4.5199999999999996</v>
      </c>
      <c r="I1894">
        <v>0.86</v>
      </c>
      <c r="J1894" t="s">
        <v>142</v>
      </c>
      <c r="K1894" t="s">
        <v>34</v>
      </c>
      <c r="L1894">
        <v>137</v>
      </c>
      <c r="M1894">
        <v>4.54</v>
      </c>
      <c r="N1894">
        <v>15.81</v>
      </c>
      <c r="O1894">
        <v>1.71</v>
      </c>
      <c r="P1894">
        <v>5</v>
      </c>
      <c r="Q1894">
        <v>0.85</v>
      </c>
      <c r="R1894">
        <v>991</v>
      </c>
      <c r="S1894">
        <v>3.23</v>
      </c>
      <c r="T1894">
        <v>0.33</v>
      </c>
      <c r="U1894" s="1">
        <v>45378</v>
      </c>
      <c r="V1894">
        <v>292.08</v>
      </c>
      <c r="W1894">
        <v>0.40799999999999997</v>
      </c>
      <c r="X1894" t="str">
        <f>IF(WarehouseData[[#This Row],[stock_level]]&lt;=WarehouseData[[#This Row],[reorder_point]],"Low Stock","Sufficient Stock")</f>
        <v>Sufficient Stock</v>
      </c>
      <c r="Y1894">
        <f>WarehouseData[[#This Row],[daily_demand]]*WarehouseData[[#This Row],[lead_time_days]]</f>
        <v>280.08</v>
      </c>
      <c r="Z1894" t="str">
        <f>IF(WarehouseData[[#This Row],[stock_level]]&lt;=WarehouseData[[#This Row],[Demand During Lead Time]],"At Risk","Safe")</f>
        <v>At Risk</v>
      </c>
      <c r="AA1894">
        <f>WarehouseData[[#This Row],[stock_level]]/WarehouseData[[#This Row],[daily_demand]]</f>
        <v>3.5989717223650386</v>
      </c>
      <c r="AB1894">
        <f>WarehouseData[[#This Row],[stock_level]]*WarehouseData[[#This Row],[unit_price]]</f>
        <v>1770.72</v>
      </c>
      <c r="AC1894">
        <f>WarehouseData[[#This Row],[stock_level]]*WarehouseData[[#This Row],[holding_cost_per_unit_day]]*30</f>
        <v>5745.5999999999995</v>
      </c>
      <c r="AD1894" t="str">
        <f>IF(WarehouseData[[#This Row],[order_fulfillment_rate]]&gt;=0.9,"Strong",IF(WarehouseData[[#This Row],[order_fulfillment_rate]]&gt;=0.8,"Moderate","Needs Attention"))</f>
        <v>Moderate</v>
      </c>
      <c r="AE1894" t="str">
        <f>IF(WarehouseData[[#This Row],[picking_time_seconds]]&gt;120,"Slow",IF(WarehouseData[[#This Row],[picking_time_seconds]]&gt;=60,"Average","Fast"))</f>
        <v>Slow</v>
      </c>
    </row>
    <row r="1895" spans="1:31" x14ac:dyDescent="0.25">
      <c r="A1895" t="s">
        <v>2033</v>
      </c>
      <c r="B1895" t="s">
        <v>48</v>
      </c>
      <c r="C1895">
        <v>369</v>
      </c>
      <c r="D1895">
        <v>12</v>
      </c>
      <c r="E1895">
        <v>11</v>
      </c>
      <c r="F1895">
        <v>4</v>
      </c>
      <c r="G1895">
        <v>42.04</v>
      </c>
      <c r="H1895">
        <v>9.3000000000000007</v>
      </c>
      <c r="I1895">
        <v>0.37</v>
      </c>
      <c r="J1895" t="s">
        <v>236</v>
      </c>
      <c r="K1895" t="s">
        <v>38</v>
      </c>
      <c r="L1895">
        <v>112</v>
      </c>
      <c r="M1895">
        <v>4.3899999999999997</v>
      </c>
      <c r="N1895">
        <v>173.31</v>
      </c>
      <c r="O1895">
        <v>0.28999999999999998</v>
      </c>
      <c r="P1895">
        <v>7</v>
      </c>
      <c r="Q1895">
        <v>0.9</v>
      </c>
      <c r="R1895">
        <v>110</v>
      </c>
      <c r="S1895">
        <v>10.33</v>
      </c>
      <c r="T1895">
        <v>0.95</v>
      </c>
      <c r="U1895" s="1">
        <v>45355</v>
      </c>
      <c r="V1895">
        <v>250.04</v>
      </c>
      <c r="W1895">
        <v>0.73899999999999999</v>
      </c>
      <c r="X1895" t="str">
        <f>IF(WarehouseData[[#This Row],[stock_level]]&lt;=WarehouseData[[#This Row],[reorder_point]],"Low Stock","Sufficient Stock")</f>
        <v>Sufficient Stock</v>
      </c>
      <c r="Y1895">
        <f>WarehouseData[[#This Row],[daily_demand]]*WarehouseData[[#This Row],[lead_time_days]]</f>
        <v>168.16</v>
      </c>
      <c r="Z1895" t="str">
        <f>IF(WarehouseData[[#This Row],[stock_level]]&lt;=WarehouseData[[#This Row],[Demand During Lead Time]],"At Risk","Safe")</f>
        <v>Safe</v>
      </c>
      <c r="AA1895">
        <f>WarehouseData[[#This Row],[stock_level]]/WarehouseData[[#This Row],[daily_demand]]</f>
        <v>8.7773549000951476</v>
      </c>
      <c r="AB1895">
        <f>WarehouseData[[#This Row],[stock_level]]*WarehouseData[[#This Row],[unit_price]]</f>
        <v>63951.39</v>
      </c>
      <c r="AC1895">
        <f>WarehouseData[[#This Row],[stock_level]]*WarehouseData[[#This Row],[holding_cost_per_unit_day]]*30</f>
        <v>3210.2999999999997</v>
      </c>
      <c r="AD1895" t="str">
        <f>IF(WarehouseData[[#This Row],[order_fulfillment_rate]]&gt;=0.9,"Strong",IF(WarehouseData[[#This Row],[order_fulfillment_rate]]&gt;=0.8,"Moderate","Needs Attention"))</f>
        <v>Strong</v>
      </c>
      <c r="AE1895" t="str">
        <f>IF(WarehouseData[[#This Row],[picking_time_seconds]]&gt;120,"Slow",IF(WarehouseData[[#This Row],[picking_time_seconds]]&gt;=60,"Average","Fast"))</f>
        <v>Average</v>
      </c>
    </row>
    <row r="1896" spans="1:31" x14ac:dyDescent="0.25">
      <c r="A1896" t="s">
        <v>2034</v>
      </c>
      <c r="B1896" t="s">
        <v>73</v>
      </c>
      <c r="C1896">
        <v>75</v>
      </c>
      <c r="D1896">
        <v>73</v>
      </c>
      <c r="E1896">
        <v>5</v>
      </c>
      <c r="F1896">
        <v>4</v>
      </c>
      <c r="G1896">
        <v>9.99</v>
      </c>
      <c r="H1896">
        <v>2.57</v>
      </c>
      <c r="I1896">
        <v>0.68</v>
      </c>
      <c r="J1896" t="s">
        <v>338</v>
      </c>
      <c r="K1896" t="s">
        <v>34</v>
      </c>
      <c r="L1896">
        <v>165</v>
      </c>
      <c r="M1896">
        <v>1.89</v>
      </c>
      <c r="N1896">
        <v>83.15</v>
      </c>
      <c r="O1896">
        <v>1.37</v>
      </c>
      <c r="P1896">
        <v>2</v>
      </c>
      <c r="Q1896">
        <v>0.86</v>
      </c>
      <c r="R1896">
        <v>921</v>
      </c>
      <c r="S1896">
        <v>8.51</v>
      </c>
      <c r="T1896">
        <v>0.69</v>
      </c>
      <c r="U1896" s="1">
        <v>45479</v>
      </c>
      <c r="V1896">
        <v>142.12</v>
      </c>
      <c r="W1896">
        <v>0.64600000000000002</v>
      </c>
      <c r="X1896" t="str">
        <f>IF(WarehouseData[[#This Row],[stock_level]]&lt;=WarehouseData[[#This Row],[reorder_point]],"Low Stock","Sufficient Stock")</f>
        <v>Sufficient Stock</v>
      </c>
      <c r="Y1896">
        <f>WarehouseData[[#This Row],[daily_demand]]*WarehouseData[[#This Row],[lead_time_days]]</f>
        <v>39.96</v>
      </c>
      <c r="Z1896" t="str">
        <f>IF(WarehouseData[[#This Row],[stock_level]]&lt;=WarehouseData[[#This Row],[Demand During Lead Time]],"At Risk","Safe")</f>
        <v>Safe</v>
      </c>
      <c r="AA1896">
        <f>WarehouseData[[#This Row],[stock_level]]/WarehouseData[[#This Row],[daily_demand]]</f>
        <v>7.5075075075075075</v>
      </c>
      <c r="AB1896">
        <f>WarehouseData[[#This Row],[stock_level]]*WarehouseData[[#This Row],[unit_price]]</f>
        <v>6236.25</v>
      </c>
      <c r="AC1896">
        <f>WarehouseData[[#This Row],[stock_level]]*WarehouseData[[#This Row],[holding_cost_per_unit_day]]*30</f>
        <v>3082.5000000000005</v>
      </c>
      <c r="AD1896" t="str">
        <f>IF(WarehouseData[[#This Row],[order_fulfillment_rate]]&gt;=0.9,"Strong",IF(WarehouseData[[#This Row],[order_fulfillment_rate]]&gt;=0.8,"Moderate","Needs Attention"))</f>
        <v>Moderate</v>
      </c>
      <c r="AE1896" t="str">
        <f>IF(WarehouseData[[#This Row],[picking_time_seconds]]&gt;120,"Slow",IF(WarehouseData[[#This Row],[picking_time_seconds]]&gt;=60,"Average","Fast"))</f>
        <v>Slow</v>
      </c>
    </row>
    <row r="1897" spans="1:31" x14ac:dyDescent="0.25">
      <c r="A1897" t="s">
        <v>2035</v>
      </c>
      <c r="B1897" t="s">
        <v>40</v>
      </c>
      <c r="C1897">
        <v>79</v>
      </c>
      <c r="D1897">
        <v>38</v>
      </c>
      <c r="E1897">
        <v>14</v>
      </c>
      <c r="F1897">
        <v>7</v>
      </c>
      <c r="G1897">
        <v>21.81</v>
      </c>
      <c r="H1897">
        <v>7.09</v>
      </c>
      <c r="I1897">
        <v>0.15</v>
      </c>
      <c r="J1897" t="s">
        <v>245</v>
      </c>
      <c r="K1897" t="s">
        <v>34</v>
      </c>
      <c r="L1897">
        <v>154</v>
      </c>
      <c r="M1897">
        <v>4.3099999999999996</v>
      </c>
      <c r="N1897">
        <v>195.22</v>
      </c>
      <c r="O1897">
        <v>1.96</v>
      </c>
      <c r="P1897">
        <v>7</v>
      </c>
      <c r="Q1897">
        <v>0.82</v>
      </c>
      <c r="R1897">
        <v>166</v>
      </c>
      <c r="S1897">
        <v>12.27</v>
      </c>
      <c r="T1897">
        <v>0.3</v>
      </c>
      <c r="U1897" s="1">
        <v>45656</v>
      </c>
      <c r="V1897">
        <v>225.25</v>
      </c>
      <c r="W1897">
        <v>0.45200000000000001</v>
      </c>
      <c r="X1897" t="str">
        <f>IF(WarehouseData[[#This Row],[stock_level]]&lt;=WarehouseData[[#This Row],[reorder_point]],"Low Stock","Sufficient Stock")</f>
        <v>Sufficient Stock</v>
      </c>
      <c r="Y1897">
        <f>WarehouseData[[#This Row],[daily_demand]]*WarehouseData[[#This Row],[lead_time_days]]</f>
        <v>152.66999999999999</v>
      </c>
      <c r="Z1897" t="str">
        <f>IF(WarehouseData[[#This Row],[stock_level]]&lt;=WarehouseData[[#This Row],[Demand During Lead Time]],"At Risk","Safe")</f>
        <v>At Risk</v>
      </c>
      <c r="AA1897">
        <f>WarehouseData[[#This Row],[stock_level]]/WarehouseData[[#This Row],[daily_demand]]</f>
        <v>3.622191655204035</v>
      </c>
      <c r="AB1897">
        <f>WarehouseData[[#This Row],[stock_level]]*WarehouseData[[#This Row],[unit_price]]</f>
        <v>15422.38</v>
      </c>
      <c r="AC1897">
        <f>WarehouseData[[#This Row],[stock_level]]*WarehouseData[[#This Row],[holding_cost_per_unit_day]]*30</f>
        <v>4645.2</v>
      </c>
      <c r="AD1897" t="str">
        <f>IF(WarehouseData[[#This Row],[order_fulfillment_rate]]&gt;=0.9,"Strong",IF(WarehouseData[[#This Row],[order_fulfillment_rate]]&gt;=0.8,"Moderate","Needs Attention"))</f>
        <v>Moderate</v>
      </c>
      <c r="AE1897" t="str">
        <f>IF(WarehouseData[[#This Row],[picking_time_seconds]]&gt;120,"Slow",IF(WarehouseData[[#This Row],[picking_time_seconds]]&gt;=60,"Average","Fast"))</f>
        <v>Slow</v>
      </c>
    </row>
    <row r="1898" spans="1:31" x14ac:dyDescent="0.25">
      <c r="A1898" t="s">
        <v>2036</v>
      </c>
      <c r="B1898" t="s">
        <v>36</v>
      </c>
      <c r="C1898">
        <v>157</v>
      </c>
      <c r="D1898">
        <v>20</v>
      </c>
      <c r="E1898">
        <v>8</v>
      </c>
      <c r="F1898">
        <v>9</v>
      </c>
      <c r="G1898">
        <v>20.21</v>
      </c>
      <c r="H1898">
        <v>7.22</v>
      </c>
      <c r="I1898">
        <v>0.53</v>
      </c>
      <c r="J1898" t="s">
        <v>110</v>
      </c>
      <c r="K1898" t="s">
        <v>46</v>
      </c>
      <c r="L1898">
        <v>66</v>
      </c>
      <c r="M1898">
        <v>2.77</v>
      </c>
      <c r="N1898">
        <v>32.89</v>
      </c>
      <c r="O1898">
        <v>0.14000000000000001</v>
      </c>
      <c r="P1898">
        <v>8</v>
      </c>
      <c r="Q1898">
        <v>0.92</v>
      </c>
      <c r="R1898">
        <v>639</v>
      </c>
      <c r="S1898">
        <v>5.47</v>
      </c>
      <c r="T1898">
        <v>0.33</v>
      </c>
      <c r="U1898" s="1">
        <v>45625</v>
      </c>
      <c r="V1898">
        <v>171.03</v>
      </c>
      <c r="W1898">
        <v>0.54900000000000004</v>
      </c>
      <c r="X1898" t="str">
        <f>IF(WarehouseData[[#This Row],[stock_level]]&lt;=WarehouseData[[#This Row],[reorder_point]],"Low Stock","Sufficient Stock")</f>
        <v>Sufficient Stock</v>
      </c>
      <c r="Y1898">
        <f>WarehouseData[[#This Row],[daily_demand]]*WarehouseData[[#This Row],[lead_time_days]]</f>
        <v>181.89000000000001</v>
      </c>
      <c r="Z1898" t="str">
        <f>IF(WarehouseData[[#This Row],[stock_level]]&lt;=WarehouseData[[#This Row],[Demand During Lead Time]],"At Risk","Safe")</f>
        <v>At Risk</v>
      </c>
      <c r="AA1898">
        <f>WarehouseData[[#This Row],[stock_level]]/WarehouseData[[#This Row],[daily_demand]]</f>
        <v>7.7684314695695198</v>
      </c>
      <c r="AB1898">
        <f>WarehouseData[[#This Row],[stock_level]]*WarehouseData[[#This Row],[unit_price]]</f>
        <v>5163.7300000000005</v>
      </c>
      <c r="AC1898">
        <f>WarehouseData[[#This Row],[stock_level]]*WarehouseData[[#This Row],[holding_cost_per_unit_day]]*30</f>
        <v>659.4</v>
      </c>
      <c r="AD1898" t="str">
        <f>IF(WarehouseData[[#This Row],[order_fulfillment_rate]]&gt;=0.9,"Strong",IF(WarehouseData[[#This Row],[order_fulfillment_rate]]&gt;=0.8,"Moderate","Needs Attention"))</f>
        <v>Strong</v>
      </c>
      <c r="AE1898" t="str">
        <f>IF(WarehouseData[[#This Row],[picking_time_seconds]]&gt;120,"Slow",IF(WarehouseData[[#This Row],[picking_time_seconds]]&gt;=60,"Average","Fast"))</f>
        <v>Average</v>
      </c>
    </row>
    <row r="1899" spans="1:31" x14ac:dyDescent="0.25">
      <c r="A1899" t="s">
        <v>2037</v>
      </c>
      <c r="B1899" t="s">
        <v>48</v>
      </c>
      <c r="C1899">
        <v>58</v>
      </c>
      <c r="D1899">
        <v>67</v>
      </c>
      <c r="E1899">
        <v>8</v>
      </c>
      <c r="F1899">
        <v>7</v>
      </c>
      <c r="G1899">
        <v>26.16</v>
      </c>
      <c r="H1899">
        <v>9.26</v>
      </c>
      <c r="I1899">
        <v>0.34</v>
      </c>
      <c r="J1899" t="s">
        <v>51</v>
      </c>
      <c r="K1899" t="s">
        <v>52</v>
      </c>
      <c r="L1899">
        <v>79</v>
      </c>
      <c r="M1899">
        <v>3.29</v>
      </c>
      <c r="N1899">
        <v>189.49</v>
      </c>
      <c r="O1899">
        <v>1.94</v>
      </c>
      <c r="P1899">
        <v>6</v>
      </c>
      <c r="Q1899">
        <v>0.71</v>
      </c>
      <c r="R1899">
        <v>285</v>
      </c>
      <c r="S1899">
        <v>5.62</v>
      </c>
      <c r="T1899">
        <v>0.25</v>
      </c>
      <c r="U1899" s="1">
        <v>45311</v>
      </c>
      <c r="V1899">
        <v>257.44</v>
      </c>
      <c r="W1899">
        <v>0.35299999999999998</v>
      </c>
      <c r="X1899" t="str">
        <f>IF(WarehouseData[[#This Row],[stock_level]]&lt;=WarehouseData[[#This Row],[reorder_point]],"Low Stock","Sufficient Stock")</f>
        <v>Low Stock</v>
      </c>
      <c r="Y1899">
        <f>WarehouseData[[#This Row],[daily_demand]]*WarehouseData[[#This Row],[lead_time_days]]</f>
        <v>183.12</v>
      </c>
      <c r="Z1899" t="str">
        <f>IF(WarehouseData[[#This Row],[stock_level]]&lt;=WarehouseData[[#This Row],[Demand During Lead Time]],"At Risk","Safe")</f>
        <v>At Risk</v>
      </c>
      <c r="AA1899">
        <f>WarehouseData[[#This Row],[stock_level]]/WarehouseData[[#This Row],[daily_demand]]</f>
        <v>2.217125382262997</v>
      </c>
      <c r="AB1899">
        <f>WarehouseData[[#This Row],[stock_level]]*WarehouseData[[#This Row],[unit_price]]</f>
        <v>10990.42</v>
      </c>
      <c r="AC1899">
        <f>WarehouseData[[#This Row],[stock_level]]*WarehouseData[[#This Row],[holding_cost_per_unit_day]]*30</f>
        <v>3375.6</v>
      </c>
      <c r="AD1899" t="str">
        <f>IF(WarehouseData[[#This Row],[order_fulfillment_rate]]&gt;=0.9,"Strong",IF(WarehouseData[[#This Row],[order_fulfillment_rate]]&gt;=0.8,"Moderate","Needs Attention"))</f>
        <v>Needs Attention</v>
      </c>
      <c r="AE1899" t="str">
        <f>IF(WarehouseData[[#This Row],[picking_time_seconds]]&gt;120,"Slow",IF(WarehouseData[[#This Row],[picking_time_seconds]]&gt;=60,"Average","Fast"))</f>
        <v>Average</v>
      </c>
    </row>
    <row r="1900" spans="1:31" x14ac:dyDescent="0.25">
      <c r="A1900" t="s">
        <v>2038</v>
      </c>
      <c r="B1900" t="s">
        <v>48</v>
      </c>
      <c r="C1900">
        <v>47</v>
      </c>
      <c r="D1900">
        <v>84</v>
      </c>
      <c r="E1900">
        <v>9</v>
      </c>
      <c r="F1900">
        <v>2</v>
      </c>
      <c r="G1900">
        <v>40.67</v>
      </c>
      <c r="H1900">
        <v>7.28</v>
      </c>
      <c r="I1900">
        <v>0.44</v>
      </c>
      <c r="J1900" t="s">
        <v>401</v>
      </c>
      <c r="K1900" t="s">
        <v>38</v>
      </c>
      <c r="L1900">
        <v>53</v>
      </c>
      <c r="M1900">
        <v>1.57</v>
      </c>
      <c r="N1900">
        <v>130.52000000000001</v>
      </c>
      <c r="O1900">
        <v>0.13</v>
      </c>
      <c r="P1900">
        <v>3</v>
      </c>
      <c r="Q1900">
        <v>0.86</v>
      </c>
      <c r="R1900">
        <v>82</v>
      </c>
      <c r="S1900">
        <v>3.11</v>
      </c>
      <c r="T1900">
        <v>0.31</v>
      </c>
      <c r="U1900" s="1">
        <v>45484</v>
      </c>
      <c r="V1900">
        <v>160.25</v>
      </c>
      <c r="W1900">
        <v>0.60199999999999998</v>
      </c>
      <c r="X1900" t="str">
        <f>IF(WarehouseData[[#This Row],[stock_level]]&lt;=WarehouseData[[#This Row],[reorder_point]],"Low Stock","Sufficient Stock")</f>
        <v>Low Stock</v>
      </c>
      <c r="Y1900">
        <f>WarehouseData[[#This Row],[daily_demand]]*WarehouseData[[#This Row],[lead_time_days]]</f>
        <v>81.34</v>
      </c>
      <c r="Z1900" t="str">
        <f>IF(WarehouseData[[#This Row],[stock_level]]&lt;=WarehouseData[[#This Row],[Demand During Lead Time]],"At Risk","Safe")</f>
        <v>At Risk</v>
      </c>
      <c r="AA1900">
        <f>WarehouseData[[#This Row],[stock_level]]/WarehouseData[[#This Row],[daily_demand]]</f>
        <v>1.1556429800835997</v>
      </c>
      <c r="AB1900">
        <f>WarehouseData[[#This Row],[stock_level]]*WarehouseData[[#This Row],[unit_price]]</f>
        <v>6134.4400000000005</v>
      </c>
      <c r="AC1900">
        <f>WarehouseData[[#This Row],[stock_level]]*WarehouseData[[#This Row],[holding_cost_per_unit_day]]*30</f>
        <v>183.3</v>
      </c>
      <c r="AD1900" t="str">
        <f>IF(WarehouseData[[#This Row],[order_fulfillment_rate]]&gt;=0.9,"Strong",IF(WarehouseData[[#This Row],[order_fulfillment_rate]]&gt;=0.8,"Moderate","Needs Attention"))</f>
        <v>Moderate</v>
      </c>
      <c r="AE1900" t="str">
        <f>IF(WarehouseData[[#This Row],[picking_time_seconds]]&gt;120,"Slow",IF(WarehouseData[[#This Row],[picking_time_seconds]]&gt;=60,"Average","Fast"))</f>
        <v>Fast</v>
      </c>
    </row>
    <row r="1901" spans="1:31" x14ac:dyDescent="0.25">
      <c r="A1901" t="s">
        <v>2039</v>
      </c>
      <c r="B1901" t="s">
        <v>32</v>
      </c>
      <c r="C1901">
        <v>68</v>
      </c>
      <c r="D1901">
        <v>36</v>
      </c>
      <c r="E1901">
        <v>11</v>
      </c>
      <c r="F1901">
        <v>4</v>
      </c>
      <c r="G1901">
        <v>28.13</v>
      </c>
      <c r="H1901">
        <v>6.05</v>
      </c>
      <c r="I1901">
        <v>0.42</v>
      </c>
      <c r="J1901" t="s">
        <v>215</v>
      </c>
      <c r="K1901" t="s">
        <v>38</v>
      </c>
      <c r="L1901">
        <v>150</v>
      </c>
      <c r="M1901">
        <v>3.68</v>
      </c>
      <c r="N1901">
        <v>19.940000000000001</v>
      </c>
      <c r="O1901">
        <v>1.7</v>
      </c>
      <c r="P1901">
        <v>5</v>
      </c>
      <c r="Q1901">
        <v>0.73</v>
      </c>
      <c r="R1901">
        <v>616</v>
      </c>
      <c r="S1901">
        <v>10.130000000000001</v>
      </c>
      <c r="T1901">
        <v>0.79</v>
      </c>
      <c r="U1901" s="1">
        <v>45619</v>
      </c>
      <c r="V1901">
        <v>296.52</v>
      </c>
      <c r="W1901">
        <v>0.56899999999999995</v>
      </c>
      <c r="X1901" t="str">
        <f>IF(WarehouseData[[#This Row],[stock_level]]&lt;=WarehouseData[[#This Row],[reorder_point]],"Low Stock","Sufficient Stock")</f>
        <v>Sufficient Stock</v>
      </c>
      <c r="Y1901">
        <f>WarehouseData[[#This Row],[daily_demand]]*WarehouseData[[#This Row],[lead_time_days]]</f>
        <v>112.52</v>
      </c>
      <c r="Z1901" t="str">
        <f>IF(WarehouseData[[#This Row],[stock_level]]&lt;=WarehouseData[[#This Row],[Demand During Lead Time]],"At Risk","Safe")</f>
        <v>At Risk</v>
      </c>
      <c r="AA1901">
        <f>WarehouseData[[#This Row],[stock_level]]/WarehouseData[[#This Row],[daily_demand]]</f>
        <v>2.417348027017419</v>
      </c>
      <c r="AB1901">
        <f>WarehouseData[[#This Row],[stock_level]]*WarehouseData[[#This Row],[unit_price]]</f>
        <v>1355.92</v>
      </c>
      <c r="AC1901">
        <f>WarehouseData[[#This Row],[stock_level]]*WarehouseData[[#This Row],[holding_cost_per_unit_day]]*30</f>
        <v>3468</v>
      </c>
      <c r="AD1901" t="str">
        <f>IF(WarehouseData[[#This Row],[order_fulfillment_rate]]&gt;=0.9,"Strong",IF(WarehouseData[[#This Row],[order_fulfillment_rate]]&gt;=0.8,"Moderate","Needs Attention"))</f>
        <v>Needs Attention</v>
      </c>
      <c r="AE1901" t="str">
        <f>IF(WarehouseData[[#This Row],[picking_time_seconds]]&gt;120,"Slow",IF(WarehouseData[[#This Row],[picking_time_seconds]]&gt;=60,"Average","Fast"))</f>
        <v>Slow</v>
      </c>
    </row>
    <row r="1902" spans="1:31" x14ac:dyDescent="0.25">
      <c r="A1902" t="s">
        <v>2040</v>
      </c>
      <c r="B1902" t="s">
        <v>36</v>
      </c>
      <c r="C1902">
        <v>439</v>
      </c>
      <c r="D1902">
        <v>30</v>
      </c>
      <c r="E1902">
        <v>14</v>
      </c>
      <c r="F1902">
        <v>5</v>
      </c>
      <c r="G1902">
        <v>42.49</v>
      </c>
      <c r="H1902">
        <v>9.07</v>
      </c>
      <c r="I1902">
        <v>0.15</v>
      </c>
      <c r="J1902" t="s">
        <v>196</v>
      </c>
      <c r="K1902" t="s">
        <v>46</v>
      </c>
      <c r="L1902">
        <v>85</v>
      </c>
      <c r="M1902">
        <v>1.97</v>
      </c>
      <c r="N1902">
        <v>194.62</v>
      </c>
      <c r="O1902">
        <v>1.93</v>
      </c>
      <c r="P1902">
        <v>5</v>
      </c>
      <c r="Q1902">
        <v>0.83</v>
      </c>
      <c r="R1902">
        <v>292</v>
      </c>
      <c r="S1902">
        <v>10.92</v>
      </c>
      <c r="T1902">
        <v>0.38</v>
      </c>
      <c r="U1902" s="1">
        <v>45422</v>
      </c>
      <c r="V1902">
        <v>48.72</v>
      </c>
      <c r="W1902">
        <v>0.495</v>
      </c>
      <c r="X1902" t="str">
        <f>IF(WarehouseData[[#This Row],[stock_level]]&lt;=WarehouseData[[#This Row],[reorder_point]],"Low Stock","Sufficient Stock")</f>
        <v>Sufficient Stock</v>
      </c>
      <c r="Y1902">
        <f>WarehouseData[[#This Row],[daily_demand]]*WarehouseData[[#This Row],[lead_time_days]]</f>
        <v>212.45000000000002</v>
      </c>
      <c r="Z1902" t="str">
        <f>IF(WarehouseData[[#This Row],[stock_level]]&lt;=WarehouseData[[#This Row],[Demand During Lead Time]],"At Risk","Safe")</f>
        <v>Safe</v>
      </c>
      <c r="AA1902">
        <f>WarehouseData[[#This Row],[stock_level]]/WarehouseData[[#This Row],[daily_demand]]</f>
        <v>10.331842786538008</v>
      </c>
      <c r="AB1902">
        <f>WarehouseData[[#This Row],[stock_level]]*WarehouseData[[#This Row],[unit_price]]</f>
        <v>85438.180000000008</v>
      </c>
      <c r="AC1902">
        <f>WarehouseData[[#This Row],[stock_level]]*WarehouseData[[#This Row],[holding_cost_per_unit_day]]*30</f>
        <v>25418.1</v>
      </c>
      <c r="AD1902" t="str">
        <f>IF(WarehouseData[[#This Row],[order_fulfillment_rate]]&gt;=0.9,"Strong",IF(WarehouseData[[#This Row],[order_fulfillment_rate]]&gt;=0.8,"Moderate","Needs Attention"))</f>
        <v>Moderate</v>
      </c>
      <c r="AE1902" t="str">
        <f>IF(WarehouseData[[#This Row],[picking_time_seconds]]&gt;120,"Slow",IF(WarehouseData[[#This Row],[picking_time_seconds]]&gt;=60,"Average","Fast"))</f>
        <v>Average</v>
      </c>
    </row>
    <row r="1903" spans="1:31" x14ac:dyDescent="0.25">
      <c r="A1903" t="s">
        <v>2041</v>
      </c>
      <c r="B1903" t="s">
        <v>36</v>
      </c>
      <c r="C1903">
        <v>144</v>
      </c>
      <c r="D1903">
        <v>48</v>
      </c>
      <c r="E1903">
        <v>9</v>
      </c>
      <c r="F1903">
        <v>6</v>
      </c>
      <c r="G1903">
        <v>26.41</v>
      </c>
      <c r="H1903">
        <v>8.3800000000000008</v>
      </c>
      <c r="I1903">
        <v>0.52</v>
      </c>
      <c r="J1903" t="s">
        <v>192</v>
      </c>
      <c r="K1903" t="s">
        <v>34</v>
      </c>
      <c r="L1903">
        <v>167</v>
      </c>
      <c r="M1903">
        <v>2.0499999999999998</v>
      </c>
      <c r="N1903">
        <v>12.64</v>
      </c>
      <c r="O1903">
        <v>1.99</v>
      </c>
      <c r="P1903">
        <v>1</v>
      </c>
      <c r="Q1903">
        <v>0.94</v>
      </c>
      <c r="R1903">
        <v>835</v>
      </c>
      <c r="S1903">
        <v>2.94</v>
      </c>
      <c r="T1903">
        <v>0.65</v>
      </c>
      <c r="U1903" s="1">
        <v>45565</v>
      </c>
      <c r="V1903">
        <v>206.18</v>
      </c>
      <c r="W1903">
        <v>0.53800000000000003</v>
      </c>
      <c r="X1903" t="str">
        <f>IF(WarehouseData[[#This Row],[stock_level]]&lt;=WarehouseData[[#This Row],[reorder_point]],"Low Stock","Sufficient Stock")</f>
        <v>Sufficient Stock</v>
      </c>
      <c r="Y1903">
        <f>WarehouseData[[#This Row],[daily_demand]]*WarehouseData[[#This Row],[lead_time_days]]</f>
        <v>158.46</v>
      </c>
      <c r="Z1903" t="str">
        <f>IF(WarehouseData[[#This Row],[stock_level]]&lt;=WarehouseData[[#This Row],[Demand During Lead Time]],"At Risk","Safe")</f>
        <v>At Risk</v>
      </c>
      <c r="AA1903">
        <f>WarehouseData[[#This Row],[stock_level]]/WarehouseData[[#This Row],[daily_demand]]</f>
        <v>5.452480121166225</v>
      </c>
      <c r="AB1903">
        <f>WarehouseData[[#This Row],[stock_level]]*WarehouseData[[#This Row],[unit_price]]</f>
        <v>1820.16</v>
      </c>
      <c r="AC1903">
        <f>WarehouseData[[#This Row],[stock_level]]*WarehouseData[[#This Row],[holding_cost_per_unit_day]]*30</f>
        <v>8596.7999999999993</v>
      </c>
      <c r="AD1903" t="str">
        <f>IF(WarehouseData[[#This Row],[order_fulfillment_rate]]&gt;=0.9,"Strong",IF(WarehouseData[[#This Row],[order_fulfillment_rate]]&gt;=0.8,"Moderate","Needs Attention"))</f>
        <v>Strong</v>
      </c>
      <c r="AE1903" t="str">
        <f>IF(WarehouseData[[#This Row],[picking_time_seconds]]&gt;120,"Slow",IF(WarehouseData[[#This Row],[picking_time_seconds]]&gt;=60,"Average","Fast"))</f>
        <v>Slow</v>
      </c>
    </row>
    <row r="1904" spans="1:31" x14ac:dyDescent="0.25">
      <c r="A1904" t="s">
        <v>2042</v>
      </c>
      <c r="B1904" t="s">
        <v>48</v>
      </c>
      <c r="C1904">
        <v>32</v>
      </c>
      <c r="D1904">
        <v>55</v>
      </c>
      <c r="E1904">
        <v>3</v>
      </c>
      <c r="F1904">
        <v>9</v>
      </c>
      <c r="G1904">
        <v>30.59</v>
      </c>
      <c r="H1904">
        <v>7.31</v>
      </c>
      <c r="I1904">
        <v>1</v>
      </c>
      <c r="J1904" t="s">
        <v>259</v>
      </c>
      <c r="K1904" t="s">
        <v>34</v>
      </c>
      <c r="L1904">
        <v>94</v>
      </c>
      <c r="M1904">
        <v>3.37</v>
      </c>
      <c r="N1904">
        <v>148.83000000000001</v>
      </c>
      <c r="O1904">
        <v>0.97</v>
      </c>
      <c r="P1904">
        <v>1</v>
      </c>
      <c r="Q1904">
        <v>0.74</v>
      </c>
      <c r="R1904">
        <v>957</v>
      </c>
      <c r="S1904">
        <v>4.5599999999999996</v>
      </c>
      <c r="T1904">
        <v>0.78</v>
      </c>
      <c r="U1904" s="1">
        <v>45611</v>
      </c>
      <c r="V1904">
        <v>81.239999999999995</v>
      </c>
      <c r="W1904">
        <v>0.64800000000000002</v>
      </c>
      <c r="X1904" t="str">
        <f>IF(WarehouseData[[#This Row],[stock_level]]&lt;=WarehouseData[[#This Row],[reorder_point]],"Low Stock","Sufficient Stock")</f>
        <v>Low Stock</v>
      </c>
      <c r="Y1904">
        <f>WarehouseData[[#This Row],[daily_demand]]*WarehouseData[[#This Row],[lead_time_days]]</f>
        <v>275.31</v>
      </c>
      <c r="Z1904" t="str">
        <f>IF(WarehouseData[[#This Row],[stock_level]]&lt;=WarehouseData[[#This Row],[Demand During Lead Time]],"At Risk","Safe")</f>
        <v>At Risk</v>
      </c>
      <c r="AA1904">
        <f>WarehouseData[[#This Row],[stock_level]]/WarehouseData[[#This Row],[daily_demand]]</f>
        <v>1.0460934946060805</v>
      </c>
      <c r="AB1904">
        <f>WarehouseData[[#This Row],[stock_level]]*WarehouseData[[#This Row],[unit_price]]</f>
        <v>4762.5600000000004</v>
      </c>
      <c r="AC1904">
        <f>WarehouseData[[#This Row],[stock_level]]*WarehouseData[[#This Row],[holding_cost_per_unit_day]]*30</f>
        <v>931.19999999999993</v>
      </c>
      <c r="AD1904" t="str">
        <f>IF(WarehouseData[[#This Row],[order_fulfillment_rate]]&gt;=0.9,"Strong",IF(WarehouseData[[#This Row],[order_fulfillment_rate]]&gt;=0.8,"Moderate","Needs Attention"))</f>
        <v>Needs Attention</v>
      </c>
      <c r="AE1904" t="str">
        <f>IF(WarehouseData[[#This Row],[picking_time_seconds]]&gt;120,"Slow",IF(WarehouseData[[#This Row],[picking_time_seconds]]&gt;=60,"Average","Fast"))</f>
        <v>Average</v>
      </c>
    </row>
    <row r="1905" spans="1:31" x14ac:dyDescent="0.25">
      <c r="A1905" t="s">
        <v>2043</v>
      </c>
      <c r="B1905" t="s">
        <v>73</v>
      </c>
      <c r="C1905">
        <v>499</v>
      </c>
      <c r="D1905">
        <v>75</v>
      </c>
      <c r="E1905">
        <v>10</v>
      </c>
      <c r="F1905">
        <v>4</v>
      </c>
      <c r="G1905">
        <v>22.43</v>
      </c>
      <c r="H1905">
        <v>0.81</v>
      </c>
      <c r="I1905">
        <v>0.37</v>
      </c>
      <c r="J1905" t="s">
        <v>33</v>
      </c>
      <c r="K1905" t="s">
        <v>34</v>
      </c>
      <c r="L1905">
        <v>75</v>
      </c>
      <c r="M1905">
        <v>1.58</v>
      </c>
      <c r="N1905">
        <v>179.01</v>
      </c>
      <c r="O1905">
        <v>1.75</v>
      </c>
      <c r="P1905">
        <v>4</v>
      </c>
      <c r="Q1905">
        <v>0.98</v>
      </c>
      <c r="R1905">
        <v>123</v>
      </c>
      <c r="S1905">
        <v>3.16</v>
      </c>
      <c r="T1905">
        <v>0.92</v>
      </c>
      <c r="U1905" s="1">
        <v>45316</v>
      </c>
      <c r="V1905">
        <v>65.459999999999994</v>
      </c>
      <c r="W1905">
        <v>0.56699999999999995</v>
      </c>
      <c r="X1905" t="str">
        <f>IF(WarehouseData[[#This Row],[stock_level]]&lt;=WarehouseData[[#This Row],[reorder_point]],"Low Stock","Sufficient Stock")</f>
        <v>Sufficient Stock</v>
      </c>
      <c r="Y1905">
        <f>WarehouseData[[#This Row],[daily_demand]]*WarehouseData[[#This Row],[lead_time_days]]</f>
        <v>89.72</v>
      </c>
      <c r="Z1905" t="str">
        <f>IF(WarehouseData[[#This Row],[stock_level]]&lt;=WarehouseData[[#This Row],[Demand During Lead Time]],"At Risk","Safe")</f>
        <v>Safe</v>
      </c>
      <c r="AA1905">
        <f>WarehouseData[[#This Row],[stock_level]]/WarehouseData[[#This Row],[daily_demand]]</f>
        <v>22.24699063753901</v>
      </c>
      <c r="AB1905">
        <f>WarehouseData[[#This Row],[stock_level]]*WarehouseData[[#This Row],[unit_price]]</f>
        <v>89325.989999999991</v>
      </c>
      <c r="AC1905">
        <f>WarehouseData[[#This Row],[stock_level]]*WarehouseData[[#This Row],[holding_cost_per_unit_day]]*30</f>
        <v>26197.5</v>
      </c>
      <c r="AD1905" t="str">
        <f>IF(WarehouseData[[#This Row],[order_fulfillment_rate]]&gt;=0.9,"Strong",IF(WarehouseData[[#This Row],[order_fulfillment_rate]]&gt;=0.8,"Moderate","Needs Attention"))</f>
        <v>Strong</v>
      </c>
      <c r="AE1905" t="str">
        <f>IF(WarehouseData[[#This Row],[picking_time_seconds]]&gt;120,"Slow",IF(WarehouseData[[#This Row],[picking_time_seconds]]&gt;=60,"Average","Fast"))</f>
        <v>Average</v>
      </c>
    </row>
    <row r="1906" spans="1:31" x14ac:dyDescent="0.25">
      <c r="A1906" t="s">
        <v>2044</v>
      </c>
      <c r="B1906" t="s">
        <v>32</v>
      </c>
      <c r="C1906">
        <v>55</v>
      </c>
      <c r="D1906">
        <v>45</v>
      </c>
      <c r="E1906">
        <v>7</v>
      </c>
      <c r="F1906">
        <v>9</v>
      </c>
      <c r="G1906">
        <v>41.33</v>
      </c>
      <c r="H1906">
        <v>4.05</v>
      </c>
      <c r="I1906">
        <v>0.76</v>
      </c>
      <c r="J1906" t="s">
        <v>37</v>
      </c>
      <c r="K1906" t="s">
        <v>38</v>
      </c>
      <c r="L1906">
        <v>62</v>
      </c>
      <c r="M1906">
        <v>1.51</v>
      </c>
      <c r="N1906">
        <v>43.4</v>
      </c>
      <c r="O1906">
        <v>0.33</v>
      </c>
      <c r="P1906">
        <v>0</v>
      </c>
      <c r="Q1906">
        <v>0.97</v>
      </c>
      <c r="R1906">
        <v>70</v>
      </c>
      <c r="S1906">
        <v>11.47</v>
      </c>
      <c r="T1906">
        <v>0.67</v>
      </c>
      <c r="U1906" s="1">
        <v>45596</v>
      </c>
      <c r="V1906">
        <v>128.38999999999999</v>
      </c>
      <c r="W1906">
        <v>0.84799999999999998</v>
      </c>
      <c r="X1906" t="str">
        <f>IF(WarehouseData[[#This Row],[stock_level]]&lt;=WarehouseData[[#This Row],[reorder_point]],"Low Stock","Sufficient Stock")</f>
        <v>Sufficient Stock</v>
      </c>
      <c r="Y1906">
        <f>WarehouseData[[#This Row],[daily_demand]]*WarehouseData[[#This Row],[lead_time_days]]</f>
        <v>371.96999999999997</v>
      </c>
      <c r="Z1906" t="str">
        <f>IF(WarehouseData[[#This Row],[stock_level]]&lt;=WarehouseData[[#This Row],[Demand During Lead Time]],"At Risk","Safe")</f>
        <v>At Risk</v>
      </c>
      <c r="AA1906">
        <f>WarehouseData[[#This Row],[stock_level]]/WarehouseData[[#This Row],[daily_demand]]</f>
        <v>1.3307524800387129</v>
      </c>
      <c r="AB1906">
        <f>WarehouseData[[#This Row],[stock_level]]*WarehouseData[[#This Row],[unit_price]]</f>
        <v>2387</v>
      </c>
      <c r="AC1906">
        <f>WarehouseData[[#This Row],[stock_level]]*WarehouseData[[#This Row],[holding_cost_per_unit_day]]*30</f>
        <v>544.50000000000011</v>
      </c>
      <c r="AD1906" t="str">
        <f>IF(WarehouseData[[#This Row],[order_fulfillment_rate]]&gt;=0.9,"Strong",IF(WarehouseData[[#This Row],[order_fulfillment_rate]]&gt;=0.8,"Moderate","Needs Attention"))</f>
        <v>Strong</v>
      </c>
      <c r="AE1906" t="str">
        <f>IF(WarehouseData[[#This Row],[picking_time_seconds]]&gt;120,"Slow",IF(WarehouseData[[#This Row],[picking_time_seconds]]&gt;=60,"Average","Fast"))</f>
        <v>Average</v>
      </c>
    </row>
    <row r="1907" spans="1:31" x14ac:dyDescent="0.25">
      <c r="A1907" t="s">
        <v>2045</v>
      </c>
      <c r="B1907" t="s">
        <v>36</v>
      </c>
      <c r="C1907">
        <v>120</v>
      </c>
      <c r="D1907">
        <v>84</v>
      </c>
      <c r="E1907">
        <v>11</v>
      </c>
      <c r="F1907">
        <v>6</v>
      </c>
      <c r="G1907">
        <v>46.27</v>
      </c>
      <c r="H1907">
        <v>6.5</v>
      </c>
      <c r="I1907">
        <v>0.59</v>
      </c>
      <c r="J1907" t="s">
        <v>281</v>
      </c>
      <c r="K1907" t="s">
        <v>46</v>
      </c>
      <c r="L1907">
        <v>27</v>
      </c>
      <c r="M1907">
        <v>2.16</v>
      </c>
      <c r="N1907">
        <v>75.239999999999995</v>
      </c>
      <c r="O1907">
        <v>0.91</v>
      </c>
      <c r="P1907">
        <v>4</v>
      </c>
      <c r="Q1907">
        <v>0.82</v>
      </c>
      <c r="R1907">
        <v>914</v>
      </c>
      <c r="S1907">
        <v>3.93</v>
      </c>
      <c r="T1907">
        <v>0.66</v>
      </c>
      <c r="U1907" s="1">
        <v>45316</v>
      </c>
      <c r="V1907">
        <v>116.56</v>
      </c>
      <c r="W1907">
        <v>0.57699999999999996</v>
      </c>
      <c r="X1907" t="str">
        <f>IF(WarehouseData[[#This Row],[stock_level]]&lt;=WarehouseData[[#This Row],[reorder_point]],"Low Stock","Sufficient Stock")</f>
        <v>Sufficient Stock</v>
      </c>
      <c r="Y1907">
        <f>WarehouseData[[#This Row],[daily_demand]]*WarehouseData[[#This Row],[lead_time_days]]</f>
        <v>277.62</v>
      </c>
      <c r="Z1907" t="str">
        <f>IF(WarehouseData[[#This Row],[stock_level]]&lt;=WarehouseData[[#This Row],[Demand During Lead Time]],"At Risk","Safe")</f>
        <v>At Risk</v>
      </c>
      <c r="AA1907">
        <f>WarehouseData[[#This Row],[stock_level]]/WarehouseData[[#This Row],[daily_demand]]</f>
        <v>2.5934730927166627</v>
      </c>
      <c r="AB1907">
        <f>WarehouseData[[#This Row],[stock_level]]*WarehouseData[[#This Row],[unit_price]]</f>
        <v>9028.7999999999993</v>
      </c>
      <c r="AC1907">
        <f>WarehouseData[[#This Row],[stock_level]]*WarehouseData[[#This Row],[holding_cost_per_unit_day]]*30</f>
        <v>3276</v>
      </c>
      <c r="AD1907" t="str">
        <f>IF(WarehouseData[[#This Row],[order_fulfillment_rate]]&gt;=0.9,"Strong",IF(WarehouseData[[#This Row],[order_fulfillment_rate]]&gt;=0.8,"Moderate","Needs Attention"))</f>
        <v>Moderate</v>
      </c>
      <c r="AE1907" t="str">
        <f>IF(WarehouseData[[#This Row],[picking_time_seconds]]&gt;120,"Slow",IF(WarehouseData[[#This Row],[picking_time_seconds]]&gt;=60,"Average","Fast"))</f>
        <v>Fast</v>
      </c>
    </row>
    <row r="1908" spans="1:31" x14ac:dyDescent="0.25">
      <c r="A1908" t="s">
        <v>2046</v>
      </c>
      <c r="B1908" t="s">
        <v>48</v>
      </c>
      <c r="C1908">
        <v>301</v>
      </c>
      <c r="D1908">
        <v>91</v>
      </c>
      <c r="E1908">
        <v>12</v>
      </c>
      <c r="F1908">
        <v>3</v>
      </c>
      <c r="G1908">
        <v>32.32</v>
      </c>
      <c r="H1908">
        <v>5.46</v>
      </c>
      <c r="I1908">
        <v>0.39</v>
      </c>
      <c r="J1908" t="s">
        <v>259</v>
      </c>
      <c r="K1908" t="s">
        <v>52</v>
      </c>
      <c r="L1908">
        <v>37</v>
      </c>
      <c r="M1908">
        <v>4</v>
      </c>
      <c r="N1908">
        <v>116.63</v>
      </c>
      <c r="O1908">
        <v>0.69</v>
      </c>
      <c r="P1908">
        <v>9</v>
      </c>
      <c r="Q1908">
        <v>0.7</v>
      </c>
      <c r="R1908">
        <v>762</v>
      </c>
      <c r="S1908">
        <v>3.13</v>
      </c>
      <c r="T1908">
        <v>0.93</v>
      </c>
      <c r="U1908" s="1">
        <v>45630</v>
      </c>
      <c r="V1908">
        <v>23.44</v>
      </c>
      <c r="W1908">
        <v>0.51900000000000002</v>
      </c>
      <c r="X1908" t="str">
        <f>IF(WarehouseData[[#This Row],[stock_level]]&lt;=WarehouseData[[#This Row],[reorder_point]],"Low Stock","Sufficient Stock")</f>
        <v>Sufficient Stock</v>
      </c>
      <c r="Y1908">
        <f>WarehouseData[[#This Row],[daily_demand]]*WarehouseData[[#This Row],[lead_time_days]]</f>
        <v>96.960000000000008</v>
      </c>
      <c r="Z1908" t="str">
        <f>IF(WarehouseData[[#This Row],[stock_level]]&lt;=WarehouseData[[#This Row],[Demand During Lead Time]],"At Risk","Safe")</f>
        <v>Safe</v>
      </c>
      <c r="AA1908">
        <f>WarehouseData[[#This Row],[stock_level]]/WarehouseData[[#This Row],[daily_demand]]</f>
        <v>9.3131188118811874</v>
      </c>
      <c r="AB1908">
        <f>WarehouseData[[#This Row],[stock_level]]*WarehouseData[[#This Row],[unit_price]]</f>
        <v>35105.629999999997</v>
      </c>
      <c r="AC1908">
        <f>WarehouseData[[#This Row],[stock_level]]*WarehouseData[[#This Row],[holding_cost_per_unit_day]]*30</f>
        <v>6230.7</v>
      </c>
      <c r="AD1908" t="str">
        <f>IF(WarehouseData[[#This Row],[order_fulfillment_rate]]&gt;=0.9,"Strong",IF(WarehouseData[[#This Row],[order_fulfillment_rate]]&gt;=0.8,"Moderate","Needs Attention"))</f>
        <v>Needs Attention</v>
      </c>
      <c r="AE1908" t="str">
        <f>IF(WarehouseData[[#This Row],[picking_time_seconds]]&gt;120,"Slow",IF(WarehouseData[[#This Row],[picking_time_seconds]]&gt;=60,"Average","Fast"))</f>
        <v>Fast</v>
      </c>
    </row>
    <row r="1909" spans="1:31" x14ac:dyDescent="0.25">
      <c r="A1909" t="s">
        <v>2047</v>
      </c>
      <c r="B1909" t="s">
        <v>36</v>
      </c>
      <c r="C1909">
        <v>105</v>
      </c>
      <c r="D1909">
        <v>74</v>
      </c>
      <c r="E1909">
        <v>14</v>
      </c>
      <c r="F1909">
        <v>8</v>
      </c>
      <c r="G1909">
        <v>41.22</v>
      </c>
      <c r="H1909">
        <v>3.53</v>
      </c>
      <c r="I1909">
        <v>0.18</v>
      </c>
      <c r="J1909" t="s">
        <v>156</v>
      </c>
      <c r="K1909" t="s">
        <v>46</v>
      </c>
      <c r="L1909">
        <v>141</v>
      </c>
      <c r="M1909">
        <v>1.51</v>
      </c>
      <c r="N1909">
        <v>139.16</v>
      </c>
      <c r="O1909">
        <v>0.85</v>
      </c>
      <c r="P1909">
        <v>2</v>
      </c>
      <c r="Q1909">
        <v>0.94</v>
      </c>
      <c r="R1909">
        <v>203</v>
      </c>
      <c r="S1909">
        <v>1.98</v>
      </c>
      <c r="T1909">
        <v>0.44</v>
      </c>
      <c r="U1909" s="1">
        <v>45347</v>
      </c>
      <c r="V1909">
        <v>134.04</v>
      </c>
      <c r="W1909">
        <v>0.57699999999999996</v>
      </c>
      <c r="X1909" t="str">
        <f>IF(WarehouseData[[#This Row],[stock_level]]&lt;=WarehouseData[[#This Row],[reorder_point]],"Low Stock","Sufficient Stock")</f>
        <v>Sufficient Stock</v>
      </c>
      <c r="Y1909">
        <f>WarehouseData[[#This Row],[daily_demand]]*WarehouseData[[#This Row],[lead_time_days]]</f>
        <v>329.76</v>
      </c>
      <c r="Z1909" t="str">
        <f>IF(WarehouseData[[#This Row],[stock_level]]&lt;=WarehouseData[[#This Row],[Demand During Lead Time]],"At Risk","Safe")</f>
        <v>At Risk</v>
      </c>
      <c r="AA1909">
        <f>WarehouseData[[#This Row],[stock_level]]/WarehouseData[[#This Row],[daily_demand]]</f>
        <v>2.547307132459971</v>
      </c>
      <c r="AB1909">
        <f>WarehouseData[[#This Row],[stock_level]]*WarehouseData[[#This Row],[unit_price]]</f>
        <v>14611.8</v>
      </c>
      <c r="AC1909">
        <f>WarehouseData[[#This Row],[stock_level]]*WarehouseData[[#This Row],[holding_cost_per_unit_day]]*30</f>
        <v>2677.5</v>
      </c>
      <c r="AD1909" t="str">
        <f>IF(WarehouseData[[#This Row],[order_fulfillment_rate]]&gt;=0.9,"Strong",IF(WarehouseData[[#This Row],[order_fulfillment_rate]]&gt;=0.8,"Moderate","Needs Attention"))</f>
        <v>Strong</v>
      </c>
      <c r="AE1909" t="str">
        <f>IF(WarehouseData[[#This Row],[picking_time_seconds]]&gt;120,"Slow",IF(WarehouseData[[#This Row],[picking_time_seconds]]&gt;=60,"Average","Fast"))</f>
        <v>Slow</v>
      </c>
    </row>
    <row r="1910" spans="1:31" x14ac:dyDescent="0.25">
      <c r="A1910" t="s">
        <v>2048</v>
      </c>
      <c r="B1910" t="s">
        <v>32</v>
      </c>
      <c r="C1910">
        <v>23</v>
      </c>
      <c r="D1910">
        <v>72</v>
      </c>
      <c r="E1910">
        <v>7</v>
      </c>
      <c r="F1910">
        <v>3</v>
      </c>
      <c r="G1910">
        <v>3.89</v>
      </c>
      <c r="H1910">
        <v>1.87</v>
      </c>
      <c r="I1910">
        <v>0.28999999999999998</v>
      </c>
      <c r="J1910" t="s">
        <v>215</v>
      </c>
      <c r="K1910" t="s">
        <v>38</v>
      </c>
      <c r="L1910">
        <v>51</v>
      </c>
      <c r="M1910">
        <v>4.04</v>
      </c>
      <c r="N1910">
        <v>175.66</v>
      </c>
      <c r="O1910">
        <v>1.43</v>
      </c>
      <c r="P1910">
        <v>2</v>
      </c>
      <c r="Q1910">
        <v>0.96</v>
      </c>
      <c r="R1910">
        <v>303</v>
      </c>
      <c r="S1910">
        <v>12.64</v>
      </c>
      <c r="T1910">
        <v>0.36</v>
      </c>
      <c r="U1910" s="1">
        <v>45626</v>
      </c>
      <c r="V1910">
        <v>286.06</v>
      </c>
      <c r="W1910">
        <v>0.65</v>
      </c>
      <c r="X1910" t="str">
        <f>IF(WarehouseData[[#This Row],[stock_level]]&lt;=WarehouseData[[#This Row],[reorder_point]],"Low Stock","Sufficient Stock")</f>
        <v>Low Stock</v>
      </c>
      <c r="Y1910">
        <f>WarehouseData[[#This Row],[daily_demand]]*WarehouseData[[#This Row],[lead_time_days]]</f>
        <v>11.67</v>
      </c>
      <c r="Z1910" t="str">
        <f>IF(WarehouseData[[#This Row],[stock_level]]&lt;=WarehouseData[[#This Row],[Demand During Lead Time]],"At Risk","Safe")</f>
        <v>Safe</v>
      </c>
      <c r="AA1910">
        <f>WarehouseData[[#This Row],[stock_level]]/WarehouseData[[#This Row],[daily_demand]]</f>
        <v>5.9125964010282779</v>
      </c>
      <c r="AB1910">
        <f>WarehouseData[[#This Row],[stock_level]]*WarehouseData[[#This Row],[unit_price]]</f>
        <v>4040.18</v>
      </c>
      <c r="AC1910">
        <f>WarehouseData[[#This Row],[stock_level]]*WarehouseData[[#This Row],[holding_cost_per_unit_day]]*30</f>
        <v>986.7</v>
      </c>
      <c r="AD1910" t="str">
        <f>IF(WarehouseData[[#This Row],[order_fulfillment_rate]]&gt;=0.9,"Strong",IF(WarehouseData[[#This Row],[order_fulfillment_rate]]&gt;=0.8,"Moderate","Needs Attention"))</f>
        <v>Strong</v>
      </c>
      <c r="AE1910" t="str">
        <f>IF(WarehouseData[[#This Row],[picking_time_seconds]]&gt;120,"Slow",IF(WarehouseData[[#This Row],[picking_time_seconds]]&gt;=60,"Average","Fast"))</f>
        <v>Fast</v>
      </c>
    </row>
    <row r="1911" spans="1:31" x14ac:dyDescent="0.25">
      <c r="A1911" t="s">
        <v>2049</v>
      </c>
      <c r="B1911" t="s">
        <v>32</v>
      </c>
      <c r="C1911">
        <v>242</v>
      </c>
      <c r="D1911">
        <v>44</v>
      </c>
      <c r="E1911">
        <v>7</v>
      </c>
      <c r="F1911">
        <v>4</v>
      </c>
      <c r="G1911">
        <v>45.4</v>
      </c>
      <c r="H1911">
        <v>5.75</v>
      </c>
      <c r="I1911">
        <v>0.8</v>
      </c>
      <c r="J1911" t="s">
        <v>126</v>
      </c>
      <c r="K1911" t="s">
        <v>52</v>
      </c>
      <c r="L1911">
        <v>135</v>
      </c>
      <c r="M1911">
        <v>3.63</v>
      </c>
      <c r="N1911">
        <v>154.6</v>
      </c>
      <c r="O1911">
        <v>0.27</v>
      </c>
      <c r="P1911">
        <v>7</v>
      </c>
      <c r="Q1911">
        <v>0.75</v>
      </c>
      <c r="R1911">
        <v>256</v>
      </c>
      <c r="S1911">
        <v>2.74</v>
      </c>
      <c r="T1911">
        <v>0.9</v>
      </c>
      <c r="U1911" s="1">
        <v>45302</v>
      </c>
      <c r="V1911">
        <v>145.38999999999999</v>
      </c>
      <c r="W1911">
        <v>0.6</v>
      </c>
      <c r="X1911" t="str">
        <f>IF(WarehouseData[[#This Row],[stock_level]]&lt;=WarehouseData[[#This Row],[reorder_point]],"Low Stock","Sufficient Stock")</f>
        <v>Sufficient Stock</v>
      </c>
      <c r="Y1911">
        <f>WarehouseData[[#This Row],[daily_demand]]*WarehouseData[[#This Row],[lead_time_days]]</f>
        <v>181.6</v>
      </c>
      <c r="Z1911" t="str">
        <f>IF(WarehouseData[[#This Row],[stock_level]]&lt;=WarehouseData[[#This Row],[Demand During Lead Time]],"At Risk","Safe")</f>
        <v>Safe</v>
      </c>
      <c r="AA1911">
        <f>WarehouseData[[#This Row],[stock_level]]/WarehouseData[[#This Row],[daily_demand]]</f>
        <v>5.3303964757709252</v>
      </c>
      <c r="AB1911">
        <f>WarehouseData[[#This Row],[stock_level]]*WarehouseData[[#This Row],[unit_price]]</f>
        <v>37413.199999999997</v>
      </c>
      <c r="AC1911">
        <f>WarehouseData[[#This Row],[stock_level]]*WarehouseData[[#This Row],[holding_cost_per_unit_day]]*30</f>
        <v>1960.2</v>
      </c>
      <c r="AD1911" t="str">
        <f>IF(WarehouseData[[#This Row],[order_fulfillment_rate]]&gt;=0.9,"Strong",IF(WarehouseData[[#This Row],[order_fulfillment_rate]]&gt;=0.8,"Moderate","Needs Attention"))</f>
        <v>Needs Attention</v>
      </c>
      <c r="AE1911" t="str">
        <f>IF(WarehouseData[[#This Row],[picking_time_seconds]]&gt;120,"Slow",IF(WarehouseData[[#This Row],[picking_time_seconds]]&gt;=60,"Average","Fast"))</f>
        <v>Slow</v>
      </c>
    </row>
    <row r="1912" spans="1:31" x14ac:dyDescent="0.25">
      <c r="A1912" t="s">
        <v>2050</v>
      </c>
      <c r="B1912" t="s">
        <v>40</v>
      </c>
      <c r="C1912">
        <v>357</v>
      </c>
      <c r="D1912">
        <v>40</v>
      </c>
      <c r="E1912">
        <v>14</v>
      </c>
      <c r="F1912">
        <v>6</v>
      </c>
      <c r="G1912">
        <v>10.26</v>
      </c>
      <c r="H1912">
        <v>3.22</v>
      </c>
      <c r="I1912">
        <v>0.35</v>
      </c>
      <c r="J1912" t="s">
        <v>126</v>
      </c>
      <c r="K1912" t="s">
        <v>34</v>
      </c>
      <c r="L1912">
        <v>126</v>
      </c>
      <c r="M1912">
        <v>3.56</v>
      </c>
      <c r="N1912">
        <v>79.03</v>
      </c>
      <c r="O1912">
        <v>2</v>
      </c>
      <c r="P1912">
        <v>2</v>
      </c>
      <c r="Q1912">
        <v>0.97</v>
      </c>
      <c r="R1912">
        <v>198</v>
      </c>
      <c r="S1912">
        <v>1.42</v>
      </c>
      <c r="T1912">
        <v>0.26</v>
      </c>
      <c r="U1912" s="1">
        <v>45316</v>
      </c>
      <c r="V1912">
        <v>97.53</v>
      </c>
      <c r="W1912">
        <v>0.42499999999999999</v>
      </c>
      <c r="X1912" t="str">
        <f>IF(WarehouseData[[#This Row],[stock_level]]&lt;=WarehouseData[[#This Row],[reorder_point]],"Low Stock","Sufficient Stock")</f>
        <v>Sufficient Stock</v>
      </c>
      <c r="Y1912">
        <f>WarehouseData[[#This Row],[daily_demand]]*WarehouseData[[#This Row],[lead_time_days]]</f>
        <v>61.56</v>
      </c>
      <c r="Z1912" t="str">
        <f>IF(WarehouseData[[#This Row],[stock_level]]&lt;=WarehouseData[[#This Row],[Demand During Lead Time]],"At Risk","Safe")</f>
        <v>Safe</v>
      </c>
      <c r="AA1912">
        <f>WarehouseData[[#This Row],[stock_level]]/WarehouseData[[#This Row],[daily_demand]]</f>
        <v>34.795321637426902</v>
      </c>
      <c r="AB1912">
        <f>WarehouseData[[#This Row],[stock_level]]*WarehouseData[[#This Row],[unit_price]]</f>
        <v>28213.71</v>
      </c>
      <c r="AC1912">
        <f>WarehouseData[[#This Row],[stock_level]]*WarehouseData[[#This Row],[holding_cost_per_unit_day]]*30</f>
        <v>21420</v>
      </c>
      <c r="AD1912" t="str">
        <f>IF(WarehouseData[[#This Row],[order_fulfillment_rate]]&gt;=0.9,"Strong",IF(WarehouseData[[#This Row],[order_fulfillment_rate]]&gt;=0.8,"Moderate","Needs Attention"))</f>
        <v>Strong</v>
      </c>
      <c r="AE1912" t="str">
        <f>IF(WarehouseData[[#This Row],[picking_time_seconds]]&gt;120,"Slow",IF(WarehouseData[[#This Row],[picking_time_seconds]]&gt;=60,"Average","Fast"))</f>
        <v>Slow</v>
      </c>
    </row>
    <row r="1913" spans="1:31" x14ac:dyDescent="0.25">
      <c r="A1913" t="s">
        <v>2051</v>
      </c>
      <c r="B1913" t="s">
        <v>48</v>
      </c>
      <c r="C1913">
        <v>467</v>
      </c>
      <c r="D1913">
        <v>37</v>
      </c>
      <c r="E1913">
        <v>14</v>
      </c>
      <c r="F1913">
        <v>8</v>
      </c>
      <c r="G1913">
        <v>13.57</v>
      </c>
      <c r="H1913">
        <v>2.71</v>
      </c>
      <c r="I1913">
        <v>0.23</v>
      </c>
      <c r="J1913" t="s">
        <v>133</v>
      </c>
      <c r="K1913" t="s">
        <v>46</v>
      </c>
      <c r="L1913">
        <v>143</v>
      </c>
      <c r="M1913">
        <v>2.64</v>
      </c>
      <c r="N1913">
        <v>166.13</v>
      </c>
      <c r="O1913">
        <v>1.31</v>
      </c>
      <c r="P1913">
        <v>2</v>
      </c>
      <c r="Q1913">
        <v>0.97</v>
      </c>
      <c r="R1913">
        <v>967</v>
      </c>
      <c r="S1913">
        <v>1.9</v>
      </c>
      <c r="T1913">
        <v>0.35</v>
      </c>
      <c r="U1913" s="1">
        <v>45645</v>
      </c>
      <c r="V1913">
        <v>285.23</v>
      </c>
      <c r="W1913">
        <v>0.51800000000000002</v>
      </c>
      <c r="X1913" t="str">
        <f>IF(WarehouseData[[#This Row],[stock_level]]&lt;=WarehouseData[[#This Row],[reorder_point]],"Low Stock","Sufficient Stock")</f>
        <v>Sufficient Stock</v>
      </c>
      <c r="Y1913">
        <f>WarehouseData[[#This Row],[daily_demand]]*WarehouseData[[#This Row],[lead_time_days]]</f>
        <v>108.56</v>
      </c>
      <c r="Z1913" t="str">
        <f>IF(WarehouseData[[#This Row],[stock_level]]&lt;=WarehouseData[[#This Row],[Demand During Lead Time]],"At Risk","Safe")</f>
        <v>Safe</v>
      </c>
      <c r="AA1913">
        <f>WarehouseData[[#This Row],[stock_level]]/WarehouseData[[#This Row],[daily_demand]]</f>
        <v>34.414148857774499</v>
      </c>
      <c r="AB1913">
        <f>WarehouseData[[#This Row],[stock_level]]*WarehouseData[[#This Row],[unit_price]]</f>
        <v>77582.709999999992</v>
      </c>
      <c r="AC1913">
        <f>WarehouseData[[#This Row],[stock_level]]*WarehouseData[[#This Row],[holding_cost_per_unit_day]]*30</f>
        <v>18353.099999999999</v>
      </c>
      <c r="AD1913" t="str">
        <f>IF(WarehouseData[[#This Row],[order_fulfillment_rate]]&gt;=0.9,"Strong",IF(WarehouseData[[#This Row],[order_fulfillment_rate]]&gt;=0.8,"Moderate","Needs Attention"))</f>
        <v>Strong</v>
      </c>
      <c r="AE1913" t="str">
        <f>IF(WarehouseData[[#This Row],[picking_time_seconds]]&gt;120,"Slow",IF(WarehouseData[[#This Row],[picking_time_seconds]]&gt;=60,"Average","Fast"))</f>
        <v>Slow</v>
      </c>
    </row>
    <row r="1914" spans="1:31" x14ac:dyDescent="0.25">
      <c r="A1914" t="s">
        <v>2052</v>
      </c>
      <c r="B1914" t="s">
        <v>32</v>
      </c>
      <c r="C1914">
        <v>185</v>
      </c>
      <c r="D1914">
        <v>10</v>
      </c>
      <c r="E1914">
        <v>4</v>
      </c>
      <c r="F1914">
        <v>3</v>
      </c>
      <c r="G1914">
        <v>3.61</v>
      </c>
      <c r="H1914">
        <v>4.29</v>
      </c>
      <c r="I1914">
        <v>0.4</v>
      </c>
      <c r="J1914" t="s">
        <v>190</v>
      </c>
      <c r="K1914" t="s">
        <v>46</v>
      </c>
      <c r="L1914">
        <v>111</v>
      </c>
      <c r="M1914">
        <v>3.86</v>
      </c>
      <c r="N1914">
        <v>193.55</v>
      </c>
      <c r="O1914">
        <v>1.76</v>
      </c>
      <c r="P1914">
        <v>0</v>
      </c>
      <c r="Q1914">
        <v>0.84</v>
      </c>
      <c r="R1914">
        <v>744</v>
      </c>
      <c r="S1914">
        <v>6.14</v>
      </c>
      <c r="T1914">
        <v>0.53</v>
      </c>
      <c r="U1914" s="1">
        <v>45351</v>
      </c>
      <c r="V1914">
        <v>156.66</v>
      </c>
      <c r="W1914">
        <v>0.57999999999999996</v>
      </c>
      <c r="X1914" t="str">
        <f>IF(WarehouseData[[#This Row],[stock_level]]&lt;=WarehouseData[[#This Row],[reorder_point]],"Low Stock","Sufficient Stock")</f>
        <v>Sufficient Stock</v>
      </c>
      <c r="Y1914">
        <f>WarehouseData[[#This Row],[daily_demand]]*WarehouseData[[#This Row],[lead_time_days]]</f>
        <v>10.83</v>
      </c>
      <c r="Z1914" t="str">
        <f>IF(WarehouseData[[#This Row],[stock_level]]&lt;=WarehouseData[[#This Row],[Demand During Lead Time]],"At Risk","Safe")</f>
        <v>Safe</v>
      </c>
      <c r="AA1914">
        <f>WarehouseData[[#This Row],[stock_level]]/WarehouseData[[#This Row],[daily_demand]]</f>
        <v>51.246537396121887</v>
      </c>
      <c r="AB1914">
        <f>WarehouseData[[#This Row],[stock_level]]*WarehouseData[[#This Row],[unit_price]]</f>
        <v>35806.75</v>
      </c>
      <c r="AC1914">
        <f>WarehouseData[[#This Row],[stock_level]]*WarehouseData[[#This Row],[holding_cost_per_unit_day]]*30</f>
        <v>9768</v>
      </c>
      <c r="AD1914" t="str">
        <f>IF(WarehouseData[[#This Row],[order_fulfillment_rate]]&gt;=0.9,"Strong",IF(WarehouseData[[#This Row],[order_fulfillment_rate]]&gt;=0.8,"Moderate","Needs Attention"))</f>
        <v>Moderate</v>
      </c>
      <c r="AE1914" t="str">
        <f>IF(WarehouseData[[#This Row],[picking_time_seconds]]&gt;120,"Slow",IF(WarehouseData[[#This Row],[picking_time_seconds]]&gt;=60,"Average","Fast"))</f>
        <v>Average</v>
      </c>
    </row>
    <row r="1915" spans="1:31" x14ac:dyDescent="0.25">
      <c r="A1915" t="s">
        <v>2053</v>
      </c>
      <c r="B1915" t="s">
        <v>40</v>
      </c>
      <c r="C1915">
        <v>402</v>
      </c>
      <c r="D1915">
        <v>34</v>
      </c>
      <c r="E1915">
        <v>14</v>
      </c>
      <c r="F1915">
        <v>4</v>
      </c>
      <c r="G1915">
        <v>48.3</v>
      </c>
      <c r="H1915">
        <v>7.96</v>
      </c>
      <c r="I1915">
        <v>0.63</v>
      </c>
      <c r="J1915" t="s">
        <v>240</v>
      </c>
      <c r="K1915" t="s">
        <v>38</v>
      </c>
      <c r="L1915">
        <v>146</v>
      </c>
      <c r="M1915">
        <v>0.56000000000000005</v>
      </c>
      <c r="N1915">
        <v>53.13</v>
      </c>
      <c r="O1915">
        <v>1.68</v>
      </c>
      <c r="P1915">
        <v>7</v>
      </c>
      <c r="Q1915">
        <v>0.94</v>
      </c>
      <c r="R1915">
        <v>351</v>
      </c>
      <c r="S1915">
        <v>9.35</v>
      </c>
      <c r="T1915">
        <v>0.49</v>
      </c>
      <c r="U1915" s="1">
        <v>45505</v>
      </c>
      <c r="V1915">
        <v>93.26</v>
      </c>
      <c r="W1915">
        <v>0.503</v>
      </c>
      <c r="X1915" t="str">
        <f>IF(WarehouseData[[#This Row],[stock_level]]&lt;=WarehouseData[[#This Row],[reorder_point]],"Low Stock","Sufficient Stock")</f>
        <v>Sufficient Stock</v>
      </c>
      <c r="Y1915">
        <f>WarehouseData[[#This Row],[daily_demand]]*WarehouseData[[#This Row],[lead_time_days]]</f>
        <v>193.2</v>
      </c>
      <c r="Z1915" t="str">
        <f>IF(WarehouseData[[#This Row],[stock_level]]&lt;=WarehouseData[[#This Row],[Demand During Lead Time]],"At Risk","Safe")</f>
        <v>Safe</v>
      </c>
      <c r="AA1915">
        <f>WarehouseData[[#This Row],[stock_level]]/WarehouseData[[#This Row],[daily_demand]]</f>
        <v>8.3229813664596275</v>
      </c>
      <c r="AB1915">
        <f>WarehouseData[[#This Row],[stock_level]]*WarehouseData[[#This Row],[unit_price]]</f>
        <v>21358.260000000002</v>
      </c>
      <c r="AC1915">
        <f>WarehouseData[[#This Row],[stock_level]]*WarehouseData[[#This Row],[holding_cost_per_unit_day]]*30</f>
        <v>20260.8</v>
      </c>
      <c r="AD1915" t="str">
        <f>IF(WarehouseData[[#This Row],[order_fulfillment_rate]]&gt;=0.9,"Strong",IF(WarehouseData[[#This Row],[order_fulfillment_rate]]&gt;=0.8,"Moderate","Needs Attention"))</f>
        <v>Strong</v>
      </c>
      <c r="AE1915" t="str">
        <f>IF(WarehouseData[[#This Row],[picking_time_seconds]]&gt;120,"Slow",IF(WarehouseData[[#This Row],[picking_time_seconds]]&gt;=60,"Average","Fast"))</f>
        <v>Slow</v>
      </c>
    </row>
    <row r="1916" spans="1:31" x14ac:dyDescent="0.25">
      <c r="A1916" t="s">
        <v>2054</v>
      </c>
      <c r="B1916" t="s">
        <v>40</v>
      </c>
      <c r="C1916">
        <v>363</v>
      </c>
      <c r="D1916">
        <v>52</v>
      </c>
      <c r="E1916">
        <v>13</v>
      </c>
      <c r="F1916">
        <v>6</v>
      </c>
      <c r="G1916">
        <v>42.75</v>
      </c>
      <c r="H1916">
        <v>5.13</v>
      </c>
      <c r="I1916">
        <v>0.73</v>
      </c>
      <c r="J1916" t="s">
        <v>340</v>
      </c>
      <c r="K1916" t="s">
        <v>46</v>
      </c>
      <c r="L1916">
        <v>157</v>
      </c>
      <c r="M1916">
        <v>1.88</v>
      </c>
      <c r="N1916">
        <v>24.08</v>
      </c>
      <c r="O1916">
        <v>1.56</v>
      </c>
      <c r="P1916">
        <v>9</v>
      </c>
      <c r="Q1916">
        <v>0.83</v>
      </c>
      <c r="R1916">
        <v>346</v>
      </c>
      <c r="S1916">
        <v>6.57</v>
      </c>
      <c r="T1916">
        <v>0.76</v>
      </c>
      <c r="U1916" s="1">
        <v>45519</v>
      </c>
      <c r="V1916">
        <v>237.07</v>
      </c>
      <c r="W1916">
        <v>0.47</v>
      </c>
      <c r="X1916" t="str">
        <f>IF(WarehouseData[[#This Row],[stock_level]]&lt;=WarehouseData[[#This Row],[reorder_point]],"Low Stock","Sufficient Stock")</f>
        <v>Sufficient Stock</v>
      </c>
      <c r="Y1916">
        <f>WarehouseData[[#This Row],[daily_demand]]*WarehouseData[[#This Row],[lead_time_days]]</f>
        <v>256.5</v>
      </c>
      <c r="Z1916" t="str">
        <f>IF(WarehouseData[[#This Row],[stock_level]]&lt;=WarehouseData[[#This Row],[Demand During Lead Time]],"At Risk","Safe")</f>
        <v>Safe</v>
      </c>
      <c r="AA1916">
        <f>WarehouseData[[#This Row],[stock_level]]/WarehouseData[[#This Row],[daily_demand]]</f>
        <v>8.4912280701754383</v>
      </c>
      <c r="AB1916">
        <f>WarehouseData[[#This Row],[stock_level]]*WarehouseData[[#This Row],[unit_price]]</f>
        <v>8741.0399999999991</v>
      </c>
      <c r="AC1916">
        <f>WarehouseData[[#This Row],[stock_level]]*WarehouseData[[#This Row],[holding_cost_per_unit_day]]*30</f>
        <v>16988.399999999998</v>
      </c>
      <c r="AD1916" t="str">
        <f>IF(WarehouseData[[#This Row],[order_fulfillment_rate]]&gt;=0.9,"Strong",IF(WarehouseData[[#This Row],[order_fulfillment_rate]]&gt;=0.8,"Moderate","Needs Attention"))</f>
        <v>Moderate</v>
      </c>
      <c r="AE1916" t="str">
        <f>IF(WarehouseData[[#This Row],[picking_time_seconds]]&gt;120,"Slow",IF(WarehouseData[[#This Row],[picking_time_seconds]]&gt;=60,"Average","Fast"))</f>
        <v>Slow</v>
      </c>
    </row>
    <row r="1917" spans="1:31" x14ac:dyDescent="0.25">
      <c r="A1917" t="s">
        <v>2055</v>
      </c>
      <c r="B1917" t="s">
        <v>36</v>
      </c>
      <c r="C1917">
        <v>402</v>
      </c>
      <c r="D1917">
        <v>93</v>
      </c>
      <c r="E1917">
        <v>5</v>
      </c>
      <c r="F1917">
        <v>4</v>
      </c>
      <c r="G1917">
        <v>45.75</v>
      </c>
      <c r="H1917">
        <v>2.56</v>
      </c>
      <c r="I1917">
        <v>0.45</v>
      </c>
      <c r="J1917" t="s">
        <v>57</v>
      </c>
      <c r="K1917" t="s">
        <v>52</v>
      </c>
      <c r="L1917">
        <v>47</v>
      </c>
      <c r="M1917">
        <v>3.56</v>
      </c>
      <c r="N1917">
        <v>91.06</v>
      </c>
      <c r="O1917">
        <v>0.17</v>
      </c>
      <c r="P1917">
        <v>9</v>
      </c>
      <c r="Q1917">
        <v>0.87</v>
      </c>
      <c r="R1917">
        <v>540</v>
      </c>
      <c r="S1917">
        <v>7.38</v>
      </c>
      <c r="T1917">
        <v>0.27</v>
      </c>
      <c r="U1917" s="1">
        <v>45486</v>
      </c>
      <c r="V1917">
        <v>74.849999999999994</v>
      </c>
      <c r="W1917">
        <v>0.52900000000000003</v>
      </c>
      <c r="X1917" t="str">
        <f>IF(WarehouseData[[#This Row],[stock_level]]&lt;=WarehouseData[[#This Row],[reorder_point]],"Low Stock","Sufficient Stock")</f>
        <v>Sufficient Stock</v>
      </c>
      <c r="Y1917">
        <f>WarehouseData[[#This Row],[daily_demand]]*WarehouseData[[#This Row],[lead_time_days]]</f>
        <v>183</v>
      </c>
      <c r="Z1917" t="str">
        <f>IF(WarehouseData[[#This Row],[stock_level]]&lt;=WarehouseData[[#This Row],[Demand During Lead Time]],"At Risk","Safe")</f>
        <v>Safe</v>
      </c>
      <c r="AA1917">
        <f>WarehouseData[[#This Row],[stock_level]]/WarehouseData[[#This Row],[daily_demand]]</f>
        <v>8.7868852459016402</v>
      </c>
      <c r="AB1917">
        <f>WarehouseData[[#This Row],[stock_level]]*WarehouseData[[#This Row],[unit_price]]</f>
        <v>36606.120000000003</v>
      </c>
      <c r="AC1917">
        <f>WarehouseData[[#This Row],[stock_level]]*WarehouseData[[#This Row],[holding_cost_per_unit_day]]*30</f>
        <v>2050.2000000000003</v>
      </c>
      <c r="AD1917" t="str">
        <f>IF(WarehouseData[[#This Row],[order_fulfillment_rate]]&gt;=0.9,"Strong",IF(WarehouseData[[#This Row],[order_fulfillment_rate]]&gt;=0.8,"Moderate","Needs Attention"))</f>
        <v>Moderate</v>
      </c>
      <c r="AE1917" t="str">
        <f>IF(WarehouseData[[#This Row],[picking_time_seconds]]&gt;120,"Slow",IF(WarehouseData[[#This Row],[picking_time_seconds]]&gt;=60,"Average","Fast"))</f>
        <v>Fast</v>
      </c>
    </row>
    <row r="1918" spans="1:31" x14ac:dyDescent="0.25">
      <c r="A1918" t="s">
        <v>2056</v>
      </c>
      <c r="B1918" t="s">
        <v>36</v>
      </c>
      <c r="C1918">
        <v>395</v>
      </c>
      <c r="D1918">
        <v>76</v>
      </c>
      <c r="E1918">
        <v>12</v>
      </c>
      <c r="F1918">
        <v>7</v>
      </c>
      <c r="G1918">
        <v>42.51</v>
      </c>
      <c r="H1918">
        <v>1.61</v>
      </c>
      <c r="I1918">
        <v>0.55000000000000004</v>
      </c>
      <c r="J1918" t="s">
        <v>240</v>
      </c>
      <c r="K1918" t="s">
        <v>46</v>
      </c>
      <c r="L1918">
        <v>59</v>
      </c>
      <c r="M1918">
        <v>4.9400000000000004</v>
      </c>
      <c r="N1918">
        <v>177.47</v>
      </c>
      <c r="O1918">
        <v>1.08</v>
      </c>
      <c r="P1918">
        <v>5</v>
      </c>
      <c r="Q1918">
        <v>0.8</v>
      </c>
      <c r="R1918">
        <v>822</v>
      </c>
      <c r="S1918">
        <v>13.87</v>
      </c>
      <c r="T1918">
        <v>0.57999999999999996</v>
      </c>
      <c r="U1918" s="1">
        <v>45355</v>
      </c>
      <c r="V1918">
        <v>81.849999999999994</v>
      </c>
      <c r="W1918">
        <v>0.65300000000000002</v>
      </c>
      <c r="X1918" t="str">
        <f>IF(WarehouseData[[#This Row],[stock_level]]&lt;=WarehouseData[[#This Row],[reorder_point]],"Low Stock","Sufficient Stock")</f>
        <v>Sufficient Stock</v>
      </c>
      <c r="Y1918">
        <f>WarehouseData[[#This Row],[daily_demand]]*WarehouseData[[#This Row],[lead_time_days]]</f>
        <v>297.57</v>
      </c>
      <c r="Z1918" t="str">
        <f>IF(WarehouseData[[#This Row],[stock_level]]&lt;=WarehouseData[[#This Row],[Demand During Lead Time]],"At Risk","Safe")</f>
        <v>Safe</v>
      </c>
      <c r="AA1918">
        <f>WarehouseData[[#This Row],[stock_level]]/WarehouseData[[#This Row],[daily_demand]]</f>
        <v>9.291931310279935</v>
      </c>
      <c r="AB1918">
        <f>WarehouseData[[#This Row],[stock_level]]*WarehouseData[[#This Row],[unit_price]]</f>
        <v>70100.649999999994</v>
      </c>
      <c r="AC1918">
        <f>WarehouseData[[#This Row],[stock_level]]*WarehouseData[[#This Row],[holding_cost_per_unit_day]]*30</f>
        <v>12798</v>
      </c>
      <c r="AD1918" t="str">
        <f>IF(WarehouseData[[#This Row],[order_fulfillment_rate]]&gt;=0.9,"Strong",IF(WarehouseData[[#This Row],[order_fulfillment_rate]]&gt;=0.8,"Moderate","Needs Attention"))</f>
        <v>Moderate</v>
      </c>
      <c r="AE1918" t="str">
        <f>IF(WarehouseData[[#This Row],[picking_time_seconds]]&gt;120,"Slow",IF(WarehouseData[[#This Row],[picking_time_seconds]]&gt;=60,"Average","Fast"))</f>
        <v>Fast</v>
      </c>
    </row>
    <row r="1919" spans="1:31" x14ac:dyDescent="0.25">
      <c r="A1919" t="s">
        <v>2057</v>
      </c>
      <c r="B1919" t="s">
        <v>40</v>
      </c>
      <c r="C1919">
        <v>490</v>
      </c>
      <c r="D1919">
        <v>72</v>
      </c>
      <c r="E1919">
        <v>11</v>
      </c>
      <c r="F1919">
        <v>6</v>
      </c>
      <c r="G1919">
        <v>24.5</v>
      </c>
      <c r="H1919">
        <v>5.24</v>
      </c>
      <c r="I1919">
        <v>0.51</v>
      </c>
      <c r="J1919" t="s">
        <v>283</v>
      </c>
      <c r="K1919" t="s">
        <v>38</v>
      </c>
      <c r="L1919">
        <v>69</v>
      </c>
      <c r="M1919">
        <v>0.51</v>
      </c>
      <c r="N1919">
        <v>38.56</v>
      </c>
      <c r="O1919">
        <v>0.72</v>
      </c>
      <c r="P1919">
        <v>7</v>
      </c>
      <c r="Q1919">
        <v>0.75</v>
      </c>
      <c r="R1919">
        <v>93</v>
      </c>
      <c r="S1919">
        <v>11.62</v>
      </c>
      <c r="T1919">
        <v>0.85</v>
      </c>
      <c r="U1919" s="1">
        <v>45572</v>
      </c>
      <c r="V1919">
        <v>104.06</v>
      </c>
      <c r="W1919">
        <v>0.66300000000000003</v>
      </c>
      <c r="X1919" t="str">
        <f>IF(WarehouseData[[#This Row],[stock_level]]&lt;=WarehouseData[[#This Row],[reorder_point]],"Low Stock","Sufficient Stock")</f>
        <v>Sufficient Stock</v>
      </c>
      <c r="Y1919">
        <f>WarehouseData[[#This Row],[daily_demand]]*WarehouseData[[#This Row],[lead_time_days]]</f>
        <v>147</v>
      </c>
      <c r="Z1919" t="str">
        <f>IF(WarehouseData[[#This Row],[stock_level]]&lt;=WarehouseData[[#This Row],[Demand During Lead Time]],"At Risk","Safe")</f>
        <v>Safe</v>
      </c>
      <c r="AA1919">
        <f>WarehouseData[[#This Row],[stock_level]]/WarehouseData[[#This Row],[daily_demand]]</f>
        <v>20</v>
      </c>
      <c r="AB1919">
        <f>WarehouseData[[#This Row],[stock_level]]*WarehouseData[[#This Row],[unit_price]]</f>
        <v>18894.400000000001</v>
      </c>
      <c r="AC1919">
        <f>WarehouseData[[#This Row],[stock_level]]*WarehouseData[[#This Row],[holding_cost_per_unit_day]]*30</f>
        <v>10584</v>
      </c>
      <c r="AD1919" t="str">
        <f>IF(WarehouseData[[#This Row],[order_fulfillment_rate]]&gt;=0.9,"Strong",IF(WarehouseData[[#This Row],[order_fulfillment_rate]]&gt;=0.8,"Moderate","Needs Attention"))</f>
        <v>Needs Attention</v>
      </c>
      <c r="AE1919" t="str">
        <f>IF(WarehouseData[[#This Row],[picking_time_seconds]]&gt;120,"Slow",IF(WarehouseData[[#This Row],[picking_time_seconds]]&gt;=60,"Average","Fast"))</f>
        <v>Average</v>
      </c>
    </row>
    <row r="1920" spans="1:31" x14ac:dyDescent="0.25">
      <c r="A1920" t="s">
        <v>2058</v>
      </c>
      <c r="B1920" t="s">
        <v>36</v>
      </c>
      <c r="C1920">
        <v>297</v>
      </c>
      <c r="D1920">
        <v>60</v>
      </c>
      <c r="E1920">
        <v>9</v>
      </c>
      <c r="F1920">
        <v>3</v>
      </c>
      <c r="G1920">
        <v>46.28</v>
      </c>
      <c r="H1920">
        <v>8.0500000000000007</v>
      </c>
      <c r="I1920">
        <v>0.11</v>
      </c>
      <c r="J1920" t="s">
        <v>86</v>
      </c>
      <c r="K1920" t="s">
        <v>46</v>
      </c>
      <c r="L1920">
        <v>150</v>
      </c>
      <c r="M1920">
        <v>2.79</v>
      </c>
      <c r="N1920">
        <v>178.3</v>
      </c>
      <c r="O1920">
        <v>0.31</v>
      </c>
      <c r="P1920">
        <v>2</v>
      </c>
      <c r="Q1920">
        <v>0.92</v>
      </c>
      <c r="R1920">
        <v>193</v>
      </c>
      <c r="S1920">
        <v>5.77</v>
      </c>
      <c r="T1920">
        <v>0.75</v>
      </c>
      <c r="U1920" s="1">
        <v>45421</v>
      </c>
      <c r="V1920">
        <v>124.48</v>
      </c>
      <c r="W1920">
        <v>0.74</v>
      </c>
      <c r="X1920" t="str">
        <f>IF(WarehouseData[[#This Row],[stock_level]]&lt;=WarehouseData[[#This Row],[reorder_point]],"Low Stock","Sufficient Stock")</f>
        <v>Sufficient Stock</v>
      </c>
      <c r="Y1920">
        <f>WarehouseData[[#This Row],[daily_demand]]*WarehouseData[[#This Row],[lead_time_days]]</f>
        <v>138.84</v>
      </c>
      <c r="Z1920" t="str">
        <f>IF(WarehouseData[[#This Row],[stock_level]]&lt;=WarehouseData[[#This Row],[Demand During Lead Time]],"At Risk","Safe")</f>
        <v>Safe</v>
      </c>
      <c r="AA1920">
        <f>WarehouseData[[#This Row],[stock_level]]/WarehouseData[[#This Row],[daily_demand]]</f>
        <v>6.4174589455488329</v>
      </c>
      <c r="AB1920">
        <f>WarehouseData[[#This Row],[stock_level]]*WarehouseData[[#This Row],[unit_price]]</f>
        <v>52955.100000000006</v>
      </c>
      <c r="AC1920">
        <f>WarehouseData[[#This Row],[stock_level]]*WarehouseData[[#This Row],[holding_cost_per_unit_day]]*30</f>
        <v>2762.1</v>
      </c>
      <c r="AD1920" t="str">
        <f>IF(WarehouseData[[#This Row],[order_fulfillment_rate]]&gt;=0.9,"Strong",IF(WarehouseData[[#This Row],[order_fulfillment_rate]]&gt;=0.8,"Moderate","Needs Attention"))</f>
        <v>Strong</v>
      </c>
      <c r="AE1920" t="str">
        <f>IF(WarehouseData[[#This Row],[picking_time_seconds]]&gt;120,"Slow",IF(WarehouseData[[#This Row],[picking_time_seconds]]&gt;=60,"Average","Fast"))</f>
        <v>Slow</v>
      </c>
    </row>
    <row r="1921" spans="1:31" x14ac:dyDescent="0.25">
      <c r="A1921" t="s">
        <v>2059</v>
      </c>
      <c r="B1921" t="s">
        <v>32</v>
      </c>
      <c r="C1921">
        <v>149</v>
      </c>
      <c r="D1921">
        <v>11</v>
      </c>
      <c r="E1921">
        <v>3</v>
      </c>
      <c r="F1921">
        <v>4</v>
      </c>
      <c r="G1921">
        <v>48.5</v>
      </c>
      <c r="H1921">
        <v>6.7</v>
      </c>
      <c r="I1921">
        <v>0.46</v>
      </c>
      <c r="J1921" t="s">
        <v>311</v>
      </c>
      <c r="K1921" t="s">
        <v>52</v>
      </c>
      <c r="L1921">
        <v>128</v>
      </c>
      <c r="M1921">
        <v>4.66</v>
      </c>
      <c r="N1921">
        <v>198.52</v>
      </c>
      <c r="O1921">
        <v>0.75</v>
      </c>
      <c r="P1921">
        <v>5</v>
      </c>
      <c r="Q1921">
        <v>0.7</v>
      </c>
      <c r="R1921">
        <v>293</v>
      </c>
      <c r="S1921">
        <v>3.16</v>
      </c>
      <c r="T1921">
        <v>0.71</v>
      </c>
      <c r="U1921" s="1">
        <v>45534</v>
      </c>
      <c r="V1921">
        <v>179.03</v>
      </c>
      <c r="W1921">
        <v>0.54900000000000004</v>
      </c>
      <c r="X1921" t="str">
        <f>IF(WarehouseData[[#This Row],[stock_level]]&lt;=WarehouseData[[#This Row],[reorder_point]],"Low Stock","Sufficient Stock")</f>
        <v>Sufficient Stock</v>
      </c>
      <c r="Y1921">
        <f>WarehouseData[[#This Row],[daily_demand]]*WarehouseData[[#This Row],[lead_time_days]]</f>
        <v>194</v>
      </c>
      <c r="Z1921" t="str">
        <f>IF(WarehouseData[[#This Row],[stock_level]]&lt;=WarehouseData[[#This Row],[Demand During Lead Time]],"At Risk","Safe")</f>
        <v>At Risk</v>
      </c>
      <c r="AA1921">
        <f>WarehouseData[[#This Row],[stock_level]]/WarehouseData[[#This Row],[daily_demand]]</f>
        <v>3.0721649484536084</v>
      </c>
      <c r="AB1921">
        <f>WarehouseData[[#This Row],[stock_level]]*WarehouseData[[#This Row],[unit_price]]</f>
        <v>29579.480000000003</v>
      </c>
      <c r="AC1921">
        <f>WarehouseData[[#This Row],[stock_level]]*WarehouseData[[#This Row],[holding_cost_per_unit_day]]*30</f>
        <v>3352.5</v>
      </c>
      <c r="AD1921" t="str">
        <f>IF(WarehouseData[[#This Row],[order_fulfillment_rate]]&gt;=0.9,"Strong",IF(WarehouseData[[#This Row],[order_fulfillment_rate]]&gt;=0.8,"Moderate","Needs Attention"))</f>
        <v>Needs Attention</v>
      </c>
      <c r="AE1921" t="str">
        <f>IF(WarehouseData[[#This Row],[picking_time_seconds]]&gt;120,"Slow",IF(WarehouseData[[#This Row],[picking_time_seconds]]&gt;=60,"Average","Fast"))</f>
        <v>Slow</v>
      </c>
    </row>
    <row r="1922" spans="1:31" x14ac:dyDescent="0.25">
      <c r="A1922" t="s">
        <v>2060</v>
      </c>
      <c r="B1922" t="s">
        <v>73</v>
      </c>
      <c r="C1922">
        <v>50</v>
      </c>
      <c r="D1922">
        <v>91</v>
      </c>
      <c r="E1922">
        <v>5</v>
      </c>
      <c r="F1922">
        <v>9</v>
      </c>
      <c r="G1922">
        <v>25.63</v>
      </c>
      <c r="H1922">
        <v>2.71</v>
      </c>
      <c r="I1922">
        <v>0.63</v>
      </c>
      <c r="J1922" t="s">
        <v>81</v>
      </c>
      <c r="K1922" t="s">
        <v>52</v>
      </c>
      <c r="L1922">
        <v>108</v>
      </c>
      <c r="M1922">
        <v>4.3899999999999997</v>
      </c>
      <c r="N1922">
        <v>20.260000000000002</v>
      </c>
      <c r="O1922">
        <v>1.33</v>
      </c>
      <c r="P1922">
        <v>1</v>
      </c>
      <c r="Q1922">
        <v>0.87</v>
      </c>
      <c r="R1922">
        <v>468</v>
      </c>
      <c r="S1922">
        <v>11.49</v>
      </c>
      <c r="T1922">
        <v>0.39</v>
      </c>
      <c r="U1922" s="1">
        <v>45651</v>
      </c>
      <c r="V1922">
        <v>159.43</v>
      </c>
      <c r="W1922">
        <v>0.65200000000000002</v>
      </c>
      <c r="X1922" t="str">
        <f>IF(WarehouseData[[#This Row],[stock_level]]&lt;=WarehouseData[[#This Row],[reorder_point]],"Low Stock","Sufficient Stock")</f>
        <v>Low Stock</v>
      </c>
      <c r="Y1922">
        <f>WarehouseData[[#This Row],[daily_demand]]*WarehouseData[[#This Row],[lead_time_days]]</f>
        <v>230.67</v>
      </c>
      <c r="Z1922" t="str">
        <f>IF(WarehouseData[[#This Row],[stock_level]]&lt;=WarehouseData[[#This Row],[Demand During Lead Time]],"At Risk","Safe")</f>
        <v>At Risk</v>
      </c>
      <c r="AA1922">
        <f>WarehouseData[[#This Row],[stock_level]]/WarehouseData[[#This Row],[daily_demand]]</f>
        <v>1.9508388607101055</v>
      </c>
      <c r="AB1922">
        <f>WarehouseData[[#This Row],[stock_level]]*WarehouseData[[#This Row],[unit_price]]</f>
        <v>1013.0000000000001</v>
      </c>
      <c r="AC1922">
        <f>WarehouseData[[#This Row],[stock_level]]*WarehouseData[[#This Row],[holding_cost_per_unit_day]]*30</f>
        <v>1995</v>
      </c>
      <c r="AD1922" t="str">
        <f>IF(WarehouseData[[#This Row],[order_fulfillment_rate]]&gt;=0.9,"Strong",IF(WarehouseData[[#This Row],[order_fulfillment_rate]]&gt;=0.8,"Moderate","Needs Attention"))</f>
        <v>Moderate</v>
      </c>
      <c r="AE1922" t="str">
        <f>IF(WarehouseData[[#This Row],[picking_time_seconds]]&gt;120,"Slow",IF(WarehouseData[[#This Row],[picking_time_seconds]]&gt;=60,"Average","Fast"))</f>
        <v>Average</v>
      </c>
    </row>
    <row r="1923" spans="1:31" x14ac:dyDescent="0.25">
      <c r="A1923" t="s">
        <v>2061</v>
      </c>
      <c r="B1923" t="s">
        <v>32</v>
      </c>
      <c r="C1923">
        <v>394</v>
      </c>
      <c r="D1923">
        <v>73</v>
      </c>
      <c r="E1923">
        <v>14</v>
      </c>
      <c r="F1923">
        <v>3</v>
      </c>
      <c r="G1923">
        <v>9.61</v>
      </c>
      <c r="H1923">
        <v>4.6500000000000004</v>
      </c>
      <c r="I1923">
        <v>0.61</v>
      </c>
      <c r="J1923" t="s">
        <v>113</v>
      </c>
      <c r="K1923" t="s">
        <v>38</v>
      </c>
      <c r="L1923">
        <v>103</v>
      </c>
      <c r="M1923">
        <v>0.6</v>
      </c>
      <c r="N1923">
        <v>104.1</v>
      </c>
      <c r="O1923">
        <v>0.54</v>
      </c>
      <c r="P1923">
        <v>2</v>
      </c>
      <c r="Q1923">
        <v>0.96</v>
      </c>
      <c r="R1923">
        <v>566</v>
      </c>
      <c r="S1923">
        <v>9.0299999999999994</v>
      </c>
      <c r="T1923">
        <v>0.51</v>
      </c>
      <c r="U1923" s="1">
        <v>45370</v>
      </c>
      <c r="V1923">
        <v>225.68</v>
      </c>
      <c r="W1923">
        <v>0.72</v>
      </c>
      <c r="X1923" t="str">
        <f>IF(WarehouseData[[#This Row],[stock_level]]&lt;=WarehouseData[[#This Row],[reorder_point]],"Low Stock","Sufficient Stock")</f>
        <v>Sufficient Stock</v>
      </c>
      <c r="Y1923">
        <f>WarehouseData[[#This Row],[daily_demand]]*WarehouseData[[#This Row],[lead_time_days]]</f>
        <v>28.83</v>
      </c>
      <c r="Z1923" t="str">
        <f>IF(WarehouseData[[#This Row],[stock_level]]&lt;=WarehouseData[[#This Row],[Demand During Lead Time]],"At Risk","Safe")</f>
        <v>Safe</v>
      </c>
      <c r="AA1923">
        <f>WarehouseData[[#This Row],[stock_level]]/WarehouseData[[#This Row],[daily_demand]]</f>
        <v>40.998959417273674</v>
      </c>
      <c r="AB1923">
        <f>WarehouseData[[#This Row],[stock_level]]*WarehouseData[[#This Row],[unit_price]]</f>
        <v>41015.399999999994</v>
      </c>
      <c r="AC1923">
        <f>WarehouseData[[#This Row],[stock_level]]*WarehouseData[[#This Row],[holding_cost_per_unit_day]]*30</f>
        <v>6382.8</v>
      </c>
      <c r="AD1923" t="str">
        <f>IF(WarehouseData[[#This Row],[order_fulfillment_rate]]&gt;=0.9,"Strong",IF(WarehouseData[[#This Row],[order_fulfillment_rate]]&gt;=0.8,"Moderate","Needs Attention"))</f>
        <v>Strong</v>
      </c>
      <c r="AE1923" t="str">
        <f>IF(WarehouseData[[#This Row],[picking_time_seconds]]&gt;120,"Slow",IF(WarehouseData[[#This Row],[picking_time_seconds]]&gt;=60,"Average","Fast"))</f>
        <v>Average</v>
      </c>
    </row>
    <row r="1924" spans="1:31" x14ac:dyDescent="0.25">
      <c r="A1924" t="s">
        <v>2062</v>
      </c>
      <c r="B1924" t="s">
        <v>40</v>
      </c>
      <c r="C1924">
        <v>30</v>
      </c>
      <c r="D1924">
        <v>83</v>
      </c>
      <c r="E1924">
        <v>4</v>
      </c>
      <c r="F1924">
        <v>4</v>
      </c>
      <c r="G1924">
        <v>33.270000000000003</v>
      </c>
      <c r="H1924">
        <v>8.6199999999999992</v>
      </c>
      <c r="I1924">
        <v>0.77</v>
      </c>
      <c r="J1924" t="s">
        <v>104</v>
      </c>
      <c r="K1924" t="s">
        <v>34</v>
      </c>
      <c r="L1924">
        <v>179</v>
      </c>
      <c r="M1924">
        <v>2.88</v>
      </c>
      <c r="N1924">
        <v>72.489999999999995</v>
      </c>
      <c r="O1924">
        <v>0.94</v>
      </c>
      <c r="P1924">
        <v>3</v>
      </c>
      <c r="Q1924">
        <v>0.77</v>
      </c>
      <c r="R1924">
        <v>111</v>
      </c>
      <c r="S1924">
        <v>14.47</v>
      </c>
      <c r="T1924">
        <v>0.34</v>
      </c>
      <c r="U1924" s="1">
        <v>45397</v>
      </c>
      <c r="V1924">
        <v>217.98</v>
      </c>
      <c r="W1924">
        <v>0.66100000000000003</v>
      </c>
      <c r="X1924" t="str">
        <f>IF(WarehouseData[[#This Row],[stock_level]]&lt;=WarehouseData[[#This Row],[reorder_point]],"Low Stock","Sufficient Stock")</f>
        <v>Low Stock</v>
      </c>
      <c r="Y1924">
        <f>WarehouseData[[#This Row],[daily_demand]]*WarehouseData[[#This Row],[lead_time_days]]</f>
        <v>133.08000000000001</v>
      </c>
      <c r="Z1924" t="str">
        <f>IF(WarehouseData[[#This Row],[stock_level]]&lt;=WarehouseData[[#This Row],[Demand During Lead Time]],"At Risk","Safe")</f>
        <v>At Risk</v>
      </c>
      <c r="AA1924">
        <f>WarehouseData[[#This Row],[stock_level]]/WarehouseData[[#This Row],[daily_demand]]</f>
        <v>0.90171325518485113</v>
      </c>
      <c r="AB1924">
        <f>WarehouseData[[#This Row],[stock_level]]*WarehouseData[[#This Row],[unit_price]]</f>
        <v>2174.6999999999998</v>
      </c>
      <c r="AC1924">
        <f>WarehouseData[[#This Row],[stock_level]]*WarehouseData[[#This Row],[holding_cost_per_unit_day]]*30</f>
        <v>846</v>
      </c>
      <c r="AD1924" t="str">
        <f>IF(WarehouseData[[#This Row],[order_fulfillment_rate]]&gt;=0.9,"Strong",IF(WarehouseData[[#This Row],[order_fulfillment_rate]]&gt;=0.8,"Moderate","Needs Attention"))</f>
        <v>Needs Attention</v>
      </c>
      <c r="AE1924" t="str">
        <f>IF(WarehouseData[[#This Row],[picking_time_seconds]]&gt;120,"Slow",IF(WarehouseData[[#This Row],[picking_time_seconds]]&gt;=60,"Average","Fast"))</f>
        <v>Slow</v>
      </c>
    </row>
    <row r="1925" spans="1:31" x14ac:dyDescent="0.25">
      <c r="A1925" t="s">
        <v>2063</v>
      </c>
      <c r="B1925" t="s">
        <v>40</v>
      </c>
      <c r="C1925">
        <v>495</v>
      </c>
      <c r="D1925">
        <v>78</v>
      </c>
      <c r="E1925">
        <v>3</v>
      </c>
      <c r="F1925">
        <v>9</v>
      </c>
      <c r="G1925">
        <v>48.8</v>
      </c>
      <c r="H1925">
        <v>2.19</v>
      </c>
      <c r="I1925">
        <v>0.7</v>
      </c>
      <c r="J1925" t="s">
        <v>104</v>
      </c>
      <c r="K1925" t="s">
        <v>38</v>
      </c>
      <c r="L1925">
        <v>77</v>
      </c>
      <c r="M1925">
        <v>0.52</v>
      </c>
      <c r="N1925">
        <v>84.8</v>
      </c>
      <c r="O1925">
        <v>0.87</v>
      </c>
      <c r="P1925">
        <v>8</v>
      </c>
      <c r="Q1925">
        <v>0.8</v>
      </c>
      <c r="R1925">
        <v>907</v>
      </c>
      <c r="S1925">
        <v>13.72</v>
      </c>
      <c r="T1925">
        <v>0.61</v>
      </c>
      <c r="U1925" s="1">
        <v>45647</v>
      </c>
      <c r="V1925">
        <v>23.21</v>
      </c>
      <c r="W1925">
        <v>0.61799999999999999</v>
      </c>
      <c r="X1925" t="str">
        <f>IF(WarehouseData[[#This Row],[stock_level]]&lt;=WarehouseData[[#This Row],[reorder_point]],"Low Stock","Sufficient Stock")</f>
        <v>Sufficient Stock</v>
      </c>
      <c r="Y1925">
        <f>WarehouseData[[#This Row],[daily_demand]]*WarehouseData[[#This Row],[lead_time_days]]</f>
        <v>439.2</v>
      </c>
      <c r="Z1925" t="str">
        <f>IF(WarehouseData[[#This Row],[stock_level]]&lt;=WarehouseData[[#This Row],[Demand During Lead Time]],"At Risk","Safe")</f>
        <v>Safe</v>
      </c>
      <c r="AA1925">
        <f>WarehouseData[[#This Row],[stock_level]]/WarehouseData[[#This Row],[daily_demand]]</f>
        <v>10.14344262295082</v>
      </c>
      <c r="AB1925">
        <f>WarehouseData[[#This Row],[stock_level]]*WarehouseData[[#This Row],[unit_price]]</f>
        <v>41976</v>
      </c>
      <c r="AC1925">
        <f>WarehouseData[[#This Row],[stock_level]]*WarehouseData[[#This Row],[holding_cost_per_unit_day]]*30</f>
        <v>12919.5</v>
      </c>
      <c r="AD1925" t="str">
        <f>IF(WarehouseData[[#This Row],[order_fulfillment_rate]]&gt;=0.9,"Strong",IF(WarehouseData[[#This Row],[order_fulfillment_rate]]&gt;=0.8,"Moderate","Needs Attention"))</f>
        <v>Moderate</v>
      </c>
      <c r="AE1925" t="str">
        <f>IF(WarehouseData[[#This Row],[picking_time_seconds]]&gt;120,"Slow",IF(WarehouseData[[#This Row],[picking_time_seconds]]&gt;=60,"Average","Fast"))</f>
        <v>Average</v>
      </c>
    </row>
    <row r="1926" spans="1:31" x14ac:dyDescent="0.25">
      <c r="A1926" t="s">
        <v>2064</v>
      </c>
      <c r="B1926" t="s">
        <v>32</v>
      </c>
      <c r="C1926">
        <v>321</v>
      </c>
      <c r="D1926">
        <v>18</v>
      </c>
      <c r="E1926">
        <v>11</v>
      </c>
      <c r="F1926">
        <v>9</v>
      </c>
      <c r="G1926">
        <v>43.74</v>
      </c>
      <c r="H1926">
        <v>5.55</v>
      </c>
      <c r="I1926">
        <v>0.35</v>
      </c>
      <c r="J1926" t="s">
        <v>90</v>
      </c>
      <c r="K1926" t="s">
        <v>34</v>
      </c>
      <c r="L1926">
        <v>162</v>
      </c>
      <c r="M1926">
        <v>4.05</v>
      </c>
      <c r="N1926">
        <v>95.81</v>
      </c>
      <c r="O1926">
        <v>0.2</v>
      </c>
      <c r="P1926">
        <v>3</v>
      </c>
      <c r="Q1926">
        <v>0.88</v>
      </c>
      <c r="R1926">
        <v>587</v>
      </c>
      <c r="S1926">
        <v>8.89</v>
      </c>
      <c r="T1926">
        <v>0.67</v>
      </c>
      <c r="U1926" s="1">
        <v>45643</v>
      </c>
      <c r="V1926">
        <v>48.83</v>
      </c>
      <c r="W1926">
        <v>0.749</v>
      </c>
      <c r="X1926" t="str">
        <f>IF(WarehouseData[[#This Row],[stock_level]]&lt;=WarehouseData[[#This Row],[reorder_point]],"Low Stock","Sufficient Stock")</f>
        <v>Sufficient Stock</v>
      </c>
      <c r="Y1926">
        <f>WarehouseData[[#This Row],[daily_demand]]*WarehouseData[[#This Row],[lead_time_days]]</f>
        <v>393.66</v>
      </c>
      <c r="Z1926" t="str">
        <f>IF(WarehouseData[[#This Row],[stock_level]]&lt;=WarehouseData[[#This Row],[Demand During Lead Time]],"At Risk","Safe")</f>
        <v>At Risk</v>
      </c>
      <c r="AA1926">
        <f>WarehouseData[[#This Row],[stock_level]]/WarehouseData[[#This Row],[daily_demand]]</f>
        <v>7.3388203017832643</v>
      </c>
      <c r="AB1926">
        <f>WarehouseData[[#This Row],[stock_level]]*WarehouseData[[#This Row],[unit_price]]</f>
        <v>30755.010000000002</v>
      </c>
      <c r="AC1926">
        <f>WarehouseData[[#This Row],[stock_level]]*WarehouseData[[#This Row],[holding_cost_per_unit_day]]*30</f>
        <v>1926</v>
      </c>
      <c r="AD1926" t="str">
        <f>IF(WarehouseData[[#This Row],[order_fulfillment_rate]]&gt;=0.9,"Strong",IF(WarehouseData[[#This Row],[order_fulfillment_rate]]&gt;=0.8,"Moderate","Needs Attention"))</f>
        <v>Moderate</v>
      </c>
      <c r="AE1926" t="str">
        <f>IF(WarehouseData[[#This Row],[picking_time_seconds]]&gt;120,"Slow",IF(WarehouseData[[#This Row],[picking_time_seconds]]&gt;=60,"Average","Fast"))</f>
        <v>Slow</v>
      </c>
    </row>
    <row r="1927" spans="1:31" x14ac:dyDescent="0.25">
      <c r="A1927" t="s">
        <v>2065</v>
      </c>
      <c r="B1927" t="s">
        <v>36</v>
      </c>
      <c r="C1927">
        <v>115</v>
      </c>
      <c r="D1927">
        <v>11</v>
      </c>
      <c r="E1927">
        <v>10</v>
      </c>
      <c r="F1927">
        <v>2</v>
      </c>
      <c r="G1927">
        <v>43.23</v>
      </c>
      <c r="H1927">
        <v>3.88</v>
      </c>
      <c r="I1927">
        <v>0.33</v>
      </c>
      <c r="J1927" t="s">
        <v>192</v>
      </c>
      <c r="K1927" t="s">
        <v>52</v>
      </c>
      <c r="L1927">
        <v>168</v>
      </c>
      <c r="M1927">
        <v>1.89</v>
      </c>
      <c r="N1927">
        <v>150.54</v>
      </c>
      <c r="O1927">
        <v>1.29</v>
      </c>
      <c r="P1927">
        <v>6</v>
      </c>
      <c r="Q1927">
        <v>0.77</v>
      </c>
      <c r="R1927">
        <v>366</v>
      </c>
      <c r="S1927">
        <v>1.98</v>
      </c>
      <c r="T1927">
        <v>0.7</v>
      </c>
      <c r="U1927" s="1">
        <v>45614</v>
      </c>
      <c r="V1927">
        <v>72.41</v>
      </c>
      <c r="W1927">
        <v>0.47099999999999997</v>
      </c>
      <c r="X1927" t="str">
        <f>IF(WarehouseData[[#This Row],[stock_level]]&lt;=WarehouseData[[#This Row],[reorder_point]],"Low Stock","Sufficient Stock")</f>
        <v>Sufficient Stock</v>
      </c>
      <c r="Y1927">
        <f>WarehouseData[[#This Row],[daily_demand]]*WarehouseData[[#This Row],[lead_time_days]]</f>
        <v>86.46</v>
      </c>
      <c r="Z1927" t="str">
        <f>IF(WarehouseData[[#This Row],[stock_level]]&lt;=WarehouseData[[#This Row],[Demand During Lead Time]],"At Risk","Safe")</f>
        <v>Safe</v>
      </c>
      <c r="AA1927">
        <f>WarehouseData[[#This Row],[stock_level]]/WarehouseData[[#This Row],[daily_demand]]</f>
        <v>2.6601896830904468</v>
      </c>
      <c r="AB1927">
        <f>WarehouseData[[#This Row],[stock_level]]*WarehouseData[[#This Row],[unit_price]]</f>
        <v>17312.099999999999</v>
      </c>
      <c r="AC1927">
        <f>WarehouseData[[#This Row],[stock_level]]*WarehouseData[[#This Row],[holding_cost_per_unit_day]]*30</f>
        <v>4450.5</v>
      </c>
      <c r="AD1927" t="str">
        <f>IF(WarehouseData[[#This Row],[order_fulfillment_rate]]&gt;=0.9,"Strong",IF(WarehouseData[[#This Row],[order_fulfillment_rate]]&gt;=0.8,"Moderate","Needs Attention"))</f>
        <v>Needs Attention</v>
      </c>
      <c r="AE1927" t="str">
        <f>IF(WarehouseData[[#This Row],[picking_time_seconds]]&gt;120,"Slow",IF(WarehouseData[[#This Row],[picking_time_seconds]]&gt;=60,"Average","Fast"))</f>
        <v>Slow</v>
      </c>
    </row>
    <row r="1928" spans="1:31" x14ac:dyDescent="0.25">
      <c r="A1928" t="s">
        <v>2066</v>
      </c>
      <c r="B1928" t="s">
        <v>36</v>
      </c>
      <c r="C1928">
        <v>209</v>
      </c>
      <c r="D1928">
        <v>43</v>
      </c>
      <c r="E1928">
        <v>7</v>
      </c>
      <c r="F1928">
        <v>9</v>
      </c>
      <c r="G1928">
        <v>46.76</v>
      </c>
      <c r="H1928">
        <v>1.68</v>
      </c>
      <c r="I1928">
        <v>0.52</v>
      </c>
      <c r="J1928" t="s">
        <v>311</v>
      </c>
      <c r="K1928" t="s">
        <v>46</v>
      </c>
      <c r="L1928">
        <v>149</v>
      </c>
      <c r="M1928">
        <v>3.95</v>
      </c>
      <c r="N1928">
        <v>122.35</v>
      </c>
      <c r="O1928">
        <v>1.28</v>
      </c>
      <c r="P1928">
        <v>7</v>
      </c>
      <c r="Q1928">
        <v>0.95</v>
      </c>
      <c r="R1928">
        <v>484</v>
      </c>
      <c r="S1928">
        <v>1.43</v>
      </c>
      <c r="T1928">
        <v>0.9</v>
      </c>
      <c r="U1928" s="1">
        <v>45296</v>
      </c>
      <c r="V1928">
        <v>183.32</v>
      </c>
      <c r="W1928">
        <v>0.52100000000000002</v>
      </c>
      <c r="X1928" t="str">
        <f>IF(WarehouseData[[#This Row],[stock_level]]&lt;=WarehouseData[[#This Row],[reorder_point]],"Low Stock","Sufficient Stock")</f>
        <v>Sufficient Stock</v>
      </c>
      <c r="Y1928">
        <f>WarehouseData[[#This Row],[daily_demand]]*WarehouseData[[#This Row],[lead_time_days]]</f>
        <v>420.84</v>
      </c>
      <c r="Z1928" t="str">
        <f>IF(WarehouseData[[#This Row],[stock_level]]&lt;=WarehouseData[[#This Row],[Demand During Lead Time]],"At Risk","Safe")</f>
        <v>At Risk</v>
      </c>
      <c r="AA1928">
        <f>WarehouseData[[#This Row],[stock_level]]/WarehouseData[[#This Row],[daily_demand]]</f>
        <v>4.4696321642429426</v>
      </c>
      <c r="AB1928">
        <f>WarehouseData[[#This Row],[stock_level]]*WarehouseData[[#This Row],[unit_price]]</f>
        <v>25571.149999999998</v>
      </c>
      <c r="AC1928">
        <f>WarehouseData[[#This Row],[stock_level]]*WarehouseData[[#This Row],[holding_cost_per_unit_day]]*30</f>
        <v>8025.5999999999995</v>
      </c>
      <c r="AD1928" t="str">
        <f>IF(WarehouseData[[#This Row],[order_fulfillment_rate]]&gt;=0.9,"Strong",IF(WarehouseData[[#This Row],[order_fulfillment_rate]]&gt;=0.8,"Moderate","Needs Attention"))</f>
        <v>Strong</v>
      </c>
      <c r="AE1928" t="str">
        <f>IF(WarehouseData[[#This Row],[picking_time_seconds]]&gt;120,"Slow",IF(WarehouseData[[#This Row],[picking_time_seconds]]&gt;=60,"Average","Fast"))</f>
        <v>Slow</v>
      </c>
    </row>
    <row r="1929" spans="1:31" x14ac:dyDescent="0.25">
      <c r="A1929" t="s">
        <v>2067</v>
      </c>
      <c r="B1929" t="s">
        <v>40</v>
      </c>
      <c r="C1929">
        <v>472</v>
      </c>
      <c r="D1929">
        <v>69</v>
      </c>
      <c r="E1929">
        <v>13</v>
      </c>
      <c r="F1929">
        <v>3</v>
      </c>
      <c r="G1929">
        <v>44.8</v>
      </c>
      <c r="H1929">
        <v>0.97</v>
      </c>
      <c r="I1929">
        <v>0.76</v>
      </c>
      <c r="J1929" t="s">
        <v>166</v>
      </c>
      <c r="K1929" t="s">
        <v>46</v>
      </c>
      <c r="L1929">
        <v>73</v>
      </c>
      <c r="M1929">
        <v>4.75</v>
      </c>
      <c r="N1929">
        <v>192.63</v>
      </c>
      <c r="O1929">
        <v>1.94</v>
      </c>
      <c r="P1929">
        <v>4</v>
      </c>
      <c r="Q1929">
        <v>0.81</v>
      </c>
      <c r="R1929">
        <v>886</v>
      </c>
      <c r="S1929">
        <v>12.73</v>
      </c>
      <c r="T1929">
        <v>0.25</v>
      </c>
      <c r="U1929" s="1">
        <v>45446</v>
      </c>
      <c r="V1929">
        <v>269.63</v>
      </c>
      <c r="W1929">
        <v>0.50800000000000001</v>
      </c>
      <c r="X1929" t="str">
        <f>IF(WarehouseData[[#This Row],[stock_level]]&lt;=WarehouseData[[#This Row],[reorder_point]],"Low Stock","Sufficient Stock")</f>
        <v>Sufficient Stock</v>
      </c>
      <c r="Y1929">
        <f>WarehouseData[[#This Row],[daily_demand]]*WarehouseData[[#This Row],[lead_time_days]]</f>
        <v>134.39999999999998</v>
      </c>
      <c r="Z1929" t="str">
        <f>IF(WarehouseData[[#This Row],[stock_level]]&lt;=WarehouseData[[#This Row],[Demand During Lead Time]],"At Risk","Safe")</f>
        <v>Safe</v>
      </c>
      <c r="AA1929">
        <f>WarehouseData[[#This Row],[stock_level]]/WarehouseData[[#This Row],[daily_demand]]</f>
        <v>10.535714285714286</v>
      </c>
      <c r="AB1929">
        <f>WarehouseData[[#This Row],[stock_level]]*WarehouseData[[#This Row],[unit_price]]</f>
        <v>90921.36</v>
      </c>
      <c r="AC1929">
        <f>WarehouseData[[#This Row],[stock_level]]*WarehouseData[[#This Row],[holding_cost_per_unit_day]]*30</f>
        <v>27470.399999999998</v>
      </c>
      <c r="AD1929" t="str">
        <f>IF(WarehouseData[[#This Row],[order_fulfillment_rate]]&gt;=0.9,"Strong",IF(WarehouseData[[#This Row],[order_fulfillment_rate]]&gt;=0.8,"Moderate","Needs Attention"))</f>
        <v>Moderate</v>
      </c>
      <c r="AE1929" t="str">
        <f>IF(WarehouseData[[#This Row],[picking_time_seconds]]&gt;120,"Slow",IF(WarehouseData[[#This Row],[picking_time_seconds]]&gt;=60,"Average","Fast"))</f>
        <v>Average</v>
      </c>
    </row>
    <row r="1930" spans="1:31" x14ac:dyDescent="0.25">
      <c r="A1930" t="s">
        <v>2068</v>
      </c>
      <c r="B1930" t="s">
        <v>48</v>
      </c>
      <c r="C1930">
        <v>211</v>
      </c>
      <c r="D1930">
        <v>70</v>
      </c>
      <c r="E1930">
        <v>14</v>
      </c>
      <c r="F1930">
        <v>3</v>
      </c>
      <c r="G1930">
        <v>39.04</v>
      </c>
      <c r="H1930">
        <v>5.78</v>
      </c>
      <c r="I1930">
        <v>0.18</v>
      </c>
      <c r="J1930" t="s">
        <v>148</v>
      </c>
      <c r="K1930" t="s">
        <v>52</v>
      </c>
      <c r="L1930">
        <v>88</v>
      </c>
      <c r="M1930">
        <v>4.8899999999999997</v>
      </c>
      <c r="N1930">
        <v>73.23</v>
      </c>
      <c r="O1930">
        <v>0.67</v>
      </c>
      <c r="P1930">
        <v>1</v>
      </c>
      <c r="Q1930">
        <v>0.87</v>
      </c>
      <c r="R1930">
        <v>745</v>
      </c>
      <c r="S1930">
        <v>10.77</v>
      </c>
      <c r="T1930">
        <v>0.51</v>
      </c>
      <c r="U1930" s="1">
        <v>45507</v>
      </c>
      <c r="V1930">
        <v>104.22</v>
      </c>
      <c r="W1930">
        <v>0.73299999999999998</v>
      </c>
      <c r="X1930" t="str">
        <f>IF(WarehouseData[[#This Row],[stock_level]]&lt;=WarehouseData[[#This Row],[reorder_point]],"Low Stock","Sufficient Stock")</f>
        <v>Sufficient Stock</v>
      </c>
      <c r="Y1930">
        <f>WarehouseData[[#This Row],[daily_demand]]*WarehouseData[[#This Row],[lead_time_days]]</f>
        <v>117.12</v>
      </c>
      <c r="Z1930" t="str">
        <f>IF(WarehouseData[[#This Row],[stock_level]]&lt;=WarehouseData[[#This Row],[Demand During Lead Time]],"At Risk","Safe")</f>
        <v>Safe</v>
      </c>
      <c r="AA1930">
        <f>WarehouseData[[#This Row],[stock_level]]/WarehouseData[[#This Row],[daily_demand]]</f>
        <v>5.4047131147540988</v>
      </c>
      <c r="AB1930">
        <f>WarehouseData[[#This Row],[stock_level]]*WarehouseData[[#This Row],[unit_price]]</f>
        <v>15451.53</v>
      </c>
      <c r="AC1930">
        <f>WarehouseData[[#This Row],[stock_level]]*WarehouseData[[#This Row],[holding_cost_per_unit_day]]*30</f>
        <v>4241.1000000000004</v>
      </c>
      <c r="AD1930" t="str">
        <f>IF(WarehouseData[[#This Row],[order_fulfillment_rate]]&gt;=0.9,"Strong",IF(WarehouseData[[#This Row],[order_fulfillment_rate]]&gt;=0.8,"Moderate","Needs Attention"))</f>
        <v>Moderate</v>
      </c>
      <c r="AE1930" t="str">
        <f>IF(WarehouseData[[#This Row],[picking_time_seconds]]&gt;120,"Slow",IF(WarehouseData[[#This Row],[picking_time_seconds]]&gt;=60,"Average","Fast"))</f>
        <v>Average</v>
      </c>
    </row>
    <row r="1931" spans="1:31" x14ac:dyDescent="0.25">
      <c r="A1931" t="s">
        <v>2069</v>
      </c>
      <c r="B1931" t="s">
        <v>36</v>
      </c>
      <c r="C1931">
        <v>285</v>
      </c>
      <c r="D1931">
        <v>40</v>
      </c>
      <c r="E1931">
        <v>4</v>
      </c>
      <c r="F1931">
        <v>5</v>
      </c>
      <c r="G1931">
        <v>36.200000000000003</v>
      </c>
      <c r="H1931">
        <v>0.7</v>
      </c>
      <c r="I1931">
        <v>0.95</v>
      </c>
      <c r="J1931" t="s">
        <v>234</v>
      </c>
      <c r="K1931" t="s">
        <v>38</v>
      </c>
      <c r="L1931">
        <v>62</v>
      </c>
      <c r="M1931">
        <v>4.5199999999999996</v>
      </c>
      <c r="N1931">
        <v>112.89</v>
      </c>
      <c r="O1931">
        <v>0.9</v>
      </c>
      <c r="P1931">
        <v>7</v>
      </c>
      <c r="Q1931">
        <v>0.77</v>
      </c>
      <c r="R1931">
        <v>867</v>
      </c>
      <c r="S1931">
        <v>8.84</v>
      </c>
      <c r="T1931">
        <v>0.67</v>
      </c>
      <c r="U1931" s="1">
        <v>45630</v>
      </c>
      <c r="V1931">
        <v>289.49</v>
      </c>
      <c r="W1931">
        <v>0.57599999999999996</v>
      </c>
      <c r="X1931" t="str">
        <f>IF(WarehouseData[[#This Row],[stock_level]]&lt;=WarehouseData[[#This Row],[reorder_point]],"Low Stock","Sufficient Stock")</f>
        <v>Sufficient Stock</v>
      </c>
      <c r="Y1931">
        <f>WarehouseData[[#This Row],[daily_demand]]*WarehouseData[[#This Row],[lead_time_days]]</f>
        <v>181</v>
      </c>
      <c r="Z1931" t="str">
        <f>IF(WarehouseData[[#This Row],[stock_level]]&lt;=WarehouseData[[#This Row],[Demand During Lead Time]],"At Risk","Safe")</f>
        <v>Safe</v>
      </c>
      <c r="AA1931">
        <f>WarehouseData[[#This Row],[stock_level]]/WarehouseData[[#This Row],[daily_demand]]</f>
        <v>7.8729281767955799</v>
      </c>
      <c r="AB1931">
        <f>WarehouseData[[#This Row],[stock_level]]*WarehouseData[[#This Row],[unit_price]]</f>
        <v>32173.65</v>
      </c>
      <c r="AC1931">
        <f>WarehouseData[[#This Row],[stock_level]]*WarehouseData[[#This Row],[holding_cost_per_unit_day]]*30</f>
        <v>7695</v>
      </c>
      <c r="AD1931" t="str">
        <f>IF(WarehouseData[[#This Row],[order_fulfillment_rate]]&gt;=0.9,"Strong",IF(WarehouseData[[#This Row],[order_fulfillment_rate]]&gt;=0.8,"Moderate","Needs Attention"))</f>
        <v>Needs Attention</v>
      </c>
      <c r="AE1931" t="str">
        <f>IF(WarehouseData[[#This Row],[picking_time_seconds]]&gt;120,"Slow",IF(WarehouseData[[#This Row],[picking_time_seconds]]&gt;=60,"Average","Fast"))</f>
        <v>Average</v>
      </c>
    </row>
    <row r="1932" spans="1:31" x14ac:dyDescent="0.25">
      <c r="A1932" t="s">
        <v>2070</v>
      </c>
      <c r="B1932" t="s">
        <v>32</v>
      </c>
      <c r="C1932">
        <v>443</v>
      </c>
      <c r="D1932">
        <v>19</v>
      </c>
      <c r="E1932">
        <v>3</v>
      </c>
      <c r="F1932">
        <v>8</v>
      </c>
      <c r="G1932">
        <v>13.97</v>
      </c>
      <c r="H1932">
        <v>1.48</v>
      </c>
      <c r="I1932">
        <v>0.59</v>
      </c>
      <c r="J1932" t="s">
        <v>202</v>
      </c>
      <c r="K1932" t="s">
        <v>46</v>
      </c>
      <c r="L1932">
        <v>35</v>
      </c>
      <c r="M1932">
        <v>1.42</v>
      </c>
      <c r="N1932">
        <v>164.53</v>
      </c>
      <c r="O1932">
        <v>0.87</v>
      </c>
      <c r="P1932">
        <v>4</v>
      </c>
      <c r="Q1932">
        <v>0.71</v>
      </c>
      <c r="R1932">
        <v>430</v>
      </c>
      <c r="S1932">
        <v>10.64</v>
      </c>
      <c r="T1932">
        <v>0.66</v>
      </c>
      <c r="U1932" s="1">
        <v>45343</v>
      </c>
      <c r="V1932">
        <v>60.13</v>
      </c>
      <c r="W1932">
        <v>0.64900000000000002</v>
      </c>
      <c r="X1932" t="str">
        <f>IF(WarehouseData[[#This Row],[stock_level]]&lt;=WarehouseData[[#This Row],[reorder_point]],"Low Stock","Sufficient Stock")</f>
        <v>Sufficient Stock</v>
      </c>
      <c r="Y1932">
        <f>WarehouseData[[#This Row],[daily_demand]]*WarehouseData[[#This Row],[lead_time_days]]</f>
        <v>111.76</v>
      </c>
      <c r="Z1932" t="str">
        <f>IF(WarehouseData[[#This Row],[stock_level]]&lt;=WarehouseData[[#This Row],[Demand During Lead Time]],"At Risk","Safe")</f>
        <v>Safe</v>
      </c>
      <c r="AA1932">
        <f>WarehouseData[[#This Row],[stock_level]]/WarehouseData[[#This Row],[daily_demand]]</f>
        <v>31.710808876163206</v>
      </c>
      <c r="AB1932">
        <f>WarehouseData[[#This Row],[stock_level]]*WarehouseData[[#This Row],[unit_price]]</f>
        <v>72886.789999999994</v>
      </c>
      <c r="AC1932">
        <f>WarehouseData[[#This Row],[stock_level]]*WarehouseData[[#This Row],[holding_cost_per_unit_day]]*30</f>
        <v>11562.300000000001</v>
      </c>
      <c r="AD1932" t="str">
        <f>IF(WarehouseData[[#This Row],[order_fulfillment_rate]]&gt;=0.9,"Strong",IF(WarehouseData[[#This Row],[order_fulfillment_rate]]&gt;=0.8,"Moderate","Needs Attention"))</f>
        <v>Needs Attention</v>
      </c>
      <c r="AE1932" t="str">
        <f>IF(WarehouseData[[#This Row],[picking_time_seconds]]&gt;120,"Slow",IF(WarehouseData[[#This Row],[picking_time_seconds]]&gt;=60,"Average","Fast"))</f>
        <v>Fast</v>
      </c>
    </row>
    <row r="1933" spans="1:31" x14ac:dyDescent="0.25">
      <c r="A1933" t="s">
        <v>2071</v>
      </c>
      <c r="B1933" t="s">
        <v>36</v>
      </c>
      <c r="C1933">
        <v>147</v>
      </c>
      <c r="D1933">
        <v>85</v>
      </c>
      <c r="E1933">
        <v>9</v>
      </c>
      <c r="F1933">
        <v>7</v>
      </c>
      <c r="G1933">
        <v>31.45</v>
      </c>
      <c r="H1933">
        <v>3.8</v>
      </c>
      <c r="I1933">
        <v>0.38</v>
      </c>
      <c r="J1933" t="s">
        <v>263</v>
      </c>
      <c r="K1933" t="s">
        <v>38</v>
      </c>
      <c r="L1933">
        <v>147</v>
      </c>
      <c r="M1933">
        <v>1.38</v>
      </c>
      <c r="N1933">
        <v>80.88</v>
      </c>
      <c r="O1933">
        <v>1.85</v>
      </c>
      <c r="P1933">
        <v>4</v>
      </c>
      <c r="Q1933">
        <v>0.75</v>
      </c>
      <c r="R1933">
        <v>85</v>
      </c>
      <c r="S1933">
        <v>8.56</v>
      </c>
      <c r="T1933">
        <v>0.22</v>
      </c>
      <c r="U1933" s="1">
        <v>45631</v>
      </c>
      <c r="V1933">
        <v>278.17</v>
      </c>
      <c r="W1933">
        <v>0.443</v>
      </c>
      <c r="X1933" t="str">
        <f>IF(WarehouseData[[#This Row],[stock_level]]&lt;=WarehouseData[[#This Row],[reorder_point]],"Low Stock","Sufficient Stock")</f>
        <v>Sufficient Stock</v>
      </c>
      <c r="Y1933">
        <f>WarehouseData[[#This Row],[daily_demand]]*WarehouseData[[#This Row],[lead_time_days]]</f>
        <v>220.15</v>
      </c>
      <c r="Z1933" t="str">
        <f>IF(WarehouseData[[#This Row],[stock_level]]&lt;=WarehouseData[[#This Row],[Demand During Lead Time]],"At Risk","Safe")</f>
        <v>At Risk</v>
      </c>
      <c r="AA1933">
        <f>WarehouseData[[#This Row],[stock_level]]/WarehouseData[[#This Row],[daily_demand]]</f>
        <v>4.6740858505564393</v>
      </c>
      <c r="AB1933">
        <f>WarehouseData[[#This Row],[stock_level]]*WarehouseData[[#This Row],[unit_price]]</f>
        <v>11889.359999999999</v>
      </c>
      <c r="AC1933">
        <f>WarehouseData[[#This Row],[stock_level]]*WarehouseData[[#This Row],[holding_cost_per_unit_day]]*30</f>
        <v>8158.5</v>
      </c>
      <c r="AD1933" t="str">
        <f>IF(WarehouseData[[#This Row],[order_fulfillment_rate]]&gt;=0.9,"Strong",IF(WarehouseData[[#This Row],[order_fulfillment_rate]]&gt;=0.8,"Moderate","Needs Attention"))</f>
        <v>Needs Attention</v>
      </c>
      <c r="AE1933" t="str">
        <f>IF(WarehouseData[[#This Row],[picking_time_seconds]]&gt;120,"Slow",IF(WarehouseData[[#This Row],[picking_time_seconds]]&gt;=60,"Average","Fast"))</f>
        <v>Slow</v>
      </c>
    </row>
    <row r="1934" spans="1:31" x14ac:dyDescent="0.25">
      <c r="A1934" t="s">
        <v>2072</v>
      </c>
      <c r="B1934" t="s">
        <v>32</v>
      </c>
      <c r="C1934">
        <v>257</v>
      </c>
      <c r="D1934">
        <v>45</v>
      </c>
      <c r="E1934">
        <v>13</v>
      </c>
      <c r="F1934">
        <v>3</v>
      </c>
      <c r="G1934">
        <v>26.55</v>
      </c>
      <c r="H1934">
        <v>0.91</v>
      </c>
      <c r="I1934">
        <v>0.72</v>
      </c>
      <c r="J1934" t="s">
        <v>228</v>
      </c>
      <c r="K1934" t="s">
        <v>46</v>
      </c>
      <c r="L1934">
        <v>149</v>
      </c>
      <c r="M1934">
        <v>3.32</v>
      </c>
      <c r="N1934">
        <v>98.41</v>
      </c>
      <c r="O1934">
        <v>0.88</v>
      </c>
      <c r="P1934">
        <v>6</v>
      </c>
      <c r="Q1934">
        <v>0.71</v>
      </c>
      <c r="R1934">
        <v>969</v>
      </c>
      <c r="S1934">
        <v>9.1</v>
      </c>
      <c r="T1934">
        <v>0.35</v>
      </c>
      <c r="U1934" s="1">
        <v>45558</v>
      </c>
      <c r="V1934">
        <v>242.29</v>
      </c>
      <c r="W1934">
        <v>0.52500000000000002</v>
      </c>
      <c r="X1934" t="str">
        <f>IF(WarehouseData[[#This Row],[stock_level]]&lt;=WarehouseData[[#This Row],[reorder_point]],"Low Stock","Sufficient Stock")</f>
        <v>Sufficient Stock</v>
      </c>
      <c r="Y1934">
        <f>WarehouseData[[#This Row],[daily_demand]]*WarehouseData[[#This Row],[lead_time_days]]</f>
        <v>79.650000000000006</v>
      </c>
      <c r="Z1934" t="str">
        <f>IF(WarehouseData[[#This Row],[stock_level]]&lt;=WarehouseData[[#This Row],[Demand During Lead Time]],"At Risk","Safe")</f>
        <v>Safe</v>
      </c>
      <c r="AA1934">
        <f>WarehouseData[[#This Row],[stock_level]]/WarehouseData[[#This Row],[daily_demand]]</f>
        <v>9.6798493408662889</v>
      </c>
      <c r="AB1934">
        <f>WarehouseData[[#This Row],[stock_level]]*WarehouseData[[#This Row],[unit_price]]</f>
        <v>25291.37</v>
      </c>
      <c r="AC1934">
        <f>WarehouseData[[#This Row],[stock_level]]*WarehouseData[[#This Row],[holding_cost_per_unit_day]]*30</f>
        <v>6784.8</v>
      </c>
      <c r="AD1934" t="str">
        <f>IF(WarehouseData[[#This Row],[order_fulfillment_rate]]&gt;=0.9,"Strong",IF(WarehouseData[[#This Row],[order_fulfillment_rate]]&gt;=0.8,"Moderate","Needs Attention"))</f>
        <v>Needs Attention</v>
      </c>
      <c r="AE1934" t="str">
        <f>IF(WarehouseData[[#This Row],[picking_time_seconds]]&gt;120,"Slow",IF(WarehouseData[[#This Row],[picking_time_seconds]]&gt;=60,"Average","Fast"))</f>
        <v>Slow</v>
      </c>
    </row>
    <row r="1935" spans="1:31" x14ac:dyDescent="0.25">
      <c r="A1935" t="s">
        <v>2073</v>
      </c>
      <c r="B1935" t="s">
        <v>40</v>
      </c>
      <c r="C1935">
        <v>427</v>
      </c>
      <c r="D1935">
        <v>94</v>
      </c>
      <c r="E1935">
        <v>13</v>
      </c>
      <c r="F1935">
        <v>6</v>
      </c>
      <c r="G1935">
        <v>43.24</v>
      </c>
      <c r="H1935">
        <v>4.3</v>
      </c>
      <c r="I1935">
        <v>0.14000000000000001</v>
      </c>
      <c r="J1935" t="s">
        <v>104</v>
      </c>
      <c r="K1935" t="s">
        <v>34</v>
      </c>
      <c r="L1935">
        <v>159</v>
      </c>
      <c r="M1935">
        <v>2.95</v>
      </c>
      <c r="N1935">
        <v>140.15</v>
      </c>
      <c r="O1935">
        <v>0.94</v>
      </c>
      <c r="P1935">
        <v>5</v>
      </c>
      <c r="Q1935">
        <v>0.84</v>
      </c>
      <c r="R1935">
        <v>591</v>
      </c>
      <c r="S1935">
        <v>4.16</v>
      </c>
      <c r="T1935">
        <v>0.88</v>
      </c>
      <c r="U1935" s="1">
        <v>45430</v>
      </c>
      <c r="V1935">
        <v>122.82</v>
      </c>
      <c r="W1935">
        <v>0.60499999999999998</v>
      </c>
      <c r="X1935" t="str">
        <f>IF(WarehouseData[[#This Row],[stock_level]]&lt;=WarehouseData[[#This Row],[reorder_point]],"Low Stock","Sufficient Stock")</f>
        <v>Sufficient Stock</v>
      </c>
      <c r="Y1935">
        <f>WarehouseData[[#This Row],[daily_demand]]*WarehouseData[[#This Row],[lead_time_days]]</f>
        <v>259.44</v>
      </c>
      <c r="Z1935" t="str">
        <f>IF(WarehouseData[[#This Row],[stock_level]]&lt;=WarehouseData[[#This Row],[Demand During Lead Time]],"At Risk","Safe")</f>
        <v>Safe</v>
      </c>
      <c r="AA1935">
        <f>WarehouseData[[#This Row],[stock_level]]/WarehouseData[[#This Row],[daily_demand]]</f>
        <v>9.8751156336725252</v>
      </c>
      <c r="AB1935">
        <f>WarehouseData[[#This Row],[stock_level]]*WarehouseData[[#This Row],[unit_price]]</f>
        <v>59844.05</v>
      </c>
      <c r="AC1935">
        <f>WarehouseData[[#This Row],[stock_level]]*WarehouseData[[#This Row],[holding_cost_per_unit_day]]*30</f>
        <v>12041.4</v>
      </c>
      <c r="AD1935" t="str">
        <f>IF(WarehouseData[[#This Row],[order_fulfillment_rate]]&gt;=0.9,"Strong",IF(WarehouseData[[#This Row],[order_fulfillment_rate]]&gt;=0.8,"Moderate","Needs Attention"))</f>
        <v>Moderate</v>
      </c>
      <c r="AE1935" t="str">
        <f>IF(WarehouseData[[#This Row],[picking_time_seconds]]&gt;120,"Slow",IF(WarehouseData[[#This Row],[picking_time_seconds]]&gt;=60,"Average","Fast"))</f>
        <v>Slow</v>
      </c>
    </row>
    <row r="1936" spans="1:31" x14ac:dyDescent="0.25">
      <c r="A1936" t="s">
        <v>2074</v>
      </c>
      <c r="B1936" t="s">
        <v>36</v>
      </c>
      <c r="C1936">
        <v>374</v>
      </c>
      <c r="D1936">
        <v>58</v>
      </c>
      <c r="E1936">
        <v>4</v>
      </c>
      <c r="F1936">
        <v>8</v>
      </c>
      <c r="G1936">
        <v>25.09</v>
      </c>
      <c r="H1936">
        <v>1.74</v>
      </c>
      <c r="I1936">
        <v>0.54</v>
      </c>
      <c r="J1936" t="s">
        <v>251</v>
      </c>
      <c r="K1936" t="s">
        <v>46</v>
      </c>
      <c r="L1936">
        <v>30</v>
      </c>
      <c r="M1936">
        <v>0.54</v>
      </c>
      <c r="N1936">
        <v>173.54</v>
      </c>
      <c r="O1936">
        <v>0.57999999999999996</v>
      </c>
      <c r="P1936">
        <v>2</v>
      </c>
      <c r="Q1936">
        <v>0.88</v>
      </c>
      <c r="R1936">
        <v>630</v>
      </c>
      <c r="S1936">
        <v>7.38</v>
      </c>
      <c r="T1936">
        <v>0.61</v>
      </c>
      <c r="U1936" s="1">
        <v>45610</v>
      </c>
      <c r="V1936">
        <v>69.83</v>
      </c>
      <c r="W1936">
        <v>0.69799999999999995</v>
      </c>
      <c r="X1936" t="str">
        <f>IF(WarehouseData[[#This Row],[stock_level]]&lt;=WarehouseData[[#This Row],[reorder_point]],"Low Stock","Sufficient Stock")</f>
        <v>Sufficient Stock</v>
      </c>
      <c r="Y1936">
        <f>WarehouseData[[#This Row],[daily_demand]]*WarehouseData[[#This Row],[lead_time_days]]</f>
        <v>200.72</v>
      </c>
      <c r="Z1936" t="str">
        <f>IF(WarehouseData[[#This Row],[stock_level]]&lt;=WarehouseData[[#This Row],[Demand During Lead Time]],"At Risk","Safe")</f>
        <v>Safe</v>
      </c>
      <c r="AA1936">
        <f>WarehouseData[[#This Row],[stock_level]]/WarehouseData[[#This Row],[daily_demand]]</f>
        <v>14.906337186129932</v>
      </c>
      <c r="AB1936">
        <f>WarehouseData[[#This Row],[stock_level]]*WarehouseData[[#This Row],[unit_price]]</f>
        <v>64903.96</v>
      </c>
      <c r="AC1936">
        <f>WarehouseData[[#This Row],[stock_level]]*WarehouseData[[#This Row],[holding_cost_per_unit_day]]*30</f>
        <v>6507.5999999999995</v>
      </c>
      <c r="AD1936" t="str">
        <f>IF(WarehouseData[[#This Row],[order_fulfillment_rate]]&gt;=0.9,"Strong",IF(WarehouseData[[#This Row],[order_fulfillment_rate]]&gt;=0.8,"Moderate","Needs Attention"))</f>
        <v>Moderate</v>
      </c>
      <c r="AE1936" t="str">
        <f>IF(WarehouseData[[#This Row],[picking_time_seconds]]&gt;120,"Slow",IF(WarehouseData[[#This Row],[picking_time_seconds]]&gt;=60,"Average","Fast"))</f>
        <v>Fast</v>
      </c>
    </row>
    <row r="1937" spans="1:31" x14ac:dyDescent="0.25">
      <c r="A1937" t="s">
        <v>2075</v>
      </c>
      <c r="B1937" t="s">
        <v>32</v>
      </c>
      <c r="C1937">
        <v>447</v>
      </c>
      <c r="D1937">
        <v>79</v>
      </c>
      <c r="E1937">
        <v>3</v>
      </c>
      <c r="F1937">
        <v>9</v>
      </c>
      <c r="G1937">
        <v>7.26</v>
      </c>
      <c r="H1937">
        <v>3.82</v>
      </c>
      <c r="I1937">
        <v>0.54</v>
      </c>
      <c r="J1937" t="s">
        <v>98</v>
      </c>
      <c r="K1937" t="s">
        <v>34</v>
      </c>
      <c r="L1937">
        <v>172</v>
      </c>
      <c r="M1937">
        <v>2.2599999999999998</v>
      </c>
      <c r="N1937">
        <v>88.98</v>
      </c>
      <c r="O1937">
        <v>0.1</v>
      </c>
      <c r="P1937">
        <v>6</v>
      </c>
      <c r="Q1937">
        <v>0.71</v>
      </c>
      <c r="R1937">
        <v>281</v>
      </c>
      <c r="S1937">
        <v>1.1599999999999999</v>
      </c>
      <c r="T1937">
        <v>0.53</v>
      </c>
      <c r="U1937" s="1">
        <v>45602</v>
      </c>
      <c r="V1937">
        <v>123.47</v>
      </c>
      <c r="W1937">
        <v>0.53300000000000003</v>
      </c>
      <c r="X1937" t="str">
        <f>IF(WarehouseData[[#This Row],[stock_level]]&lt;=WarehouseData[[#This Row],[reorder_point]],"Low Stock","Sufficient Stock")</f>
        <v>Sufficient Stock</v>
      </c>
      <c r="Y1937">
        <f>WarehouseData[[#This Row],[daily_demand]]*WarehouseData[[#This Row],[lead_time_days]]</f>
        <v>65.34</v>
      </c>
      <c r="Z1937" t="str">
        <f>IF(WarehouseData[[#This Row],[stock_level]]&lt;=WarehouseData[[#This Row],[Demand During Lead Time]],"At Risk","Safe")</f>
        <v>Safe</v>
      </c>
      <c r="AA1937">
        <f>WarehouseData[[#This Row],[stock_level]]/WarehouseData[[#This Row],[daily_demand]]</f>
        <v>61.570247933884296</v>
      </c>
      <c r="AB1937">
        <f>WarehouseData[[#This Row],[stock_level]]*WarehouseData[[#This Row],[unit_price]]</f>
        <v>39774.060000000005</v>
      </c>
      <c r="AC1937">
        <f>WarehouseData[[#This Row],[stock_level]]*WarehouseData[[#This Row],[holding_cost_per_unit_day]]*30</f>
        <v>1341</v>
      </c>
      <c r="AD1937" t="str">
        <f>IF(WarehouseData[[#This Row],[order_fulfillment_rate]]&gt;=0.9,"Strong",IF(WarehouseData[[#This Row],[order_fulfillment_rate]]&gt;=0.8,"Moderate","Needs Attention"))</f>
        <v>Needs Attention</v>
      </c>
      <c r="AE1937" t="str">
        <f>IF(WarehouseData[[#This Row],[picking_time_seconds]]&gt;120,"Slow",IF(WarehouseData[[#This Row],[picking_time_seconds]]&gt;=60,"Average","Fast"))</f>
        <v>Slow</v>
      </c>
    </row>
    <row r="1938" spans="1:31" x14ac:dyDescent="0.25">
      <c r="A1938" t="s">
        <v>2076</v>
      </c>
      <c r="B1938" t="s">
        <v>40</v>
      </c>
      <c r="C1938">
        <v>131</v>
      </c>
      <c r="D1938">
        <v>58</v>
      </c>
      <c r="E1938">
        <v>4</v>
      </c>
      <c r="F1938">
        <v>4</v>
      </c>
      <c r="G1938">
        <v>1.24</v>
      </c>
      <c r="H1938">
        <v>8.02</v>
      </c>
      <c r="I1938">
        <v>0.25</v>
      </c>
      <c r="J1938" t="s">
        <v>188</v>
      </c>
      <c r="K1938" t="s">
        <v>46</v>
      </c>
      <c r="L1938">
        <v>80</v>
      </c>
      <c r="M1938">
        <v>4.58</v>
      </c>
      <c r="N1938">
        <v>111.07</v>
      </c>
      <c r="O1938">
        <v>0.31</v>
      </c>
      <c r="P1938">
        <v>0</v>
      </c>
      <c r="Q1938">
        <v>0.73</v>
      </c>
      <c r="R1938">
        <v>737</v>
      </c>
      <c r="S1938">
        <v>10.36</v>
      </c>
      <c r="T1938">
        <v>0.92</v>
      </c>
      <c r="U1938" s="1">
        <v>45650</v>
      </c>
      <c r="V1938">
        <v>71.98</v>
      </c>
      <c r="W1938">
        <v>0.83699999999999997</v>
      </c>
      <c r="X1938" t="str">
        <f>IF(WarehouseData[[#This Row],[stock_level]]&lt;=WarehouseData[[#This Row],[reorder_point]],"Low Stock","Sufficient Stock")</f>
        <v>Sufficient Stock</v>
      </c>
      <c r="Y1938">
        <f>WarehouseData[[#This Row],[daily_demand]]*WarehouseData[[#This Row],[lead_time_days]]</f>
        <v>4.96</v>
      </c>
      <c r="Z1938" t="str">
        <f>IF(WarehouseData[[#This Row],[stock_level]]&lt;=WarehouseData[[#This Row],[Demand During Lead Time]],"At Risk","Safe")</f>
        <v>Safe</v>
      </c>
      <c r="AA1938">
        <f>WarehouseData[[#This Row],[stock_level]]/WarehouseData[[#This Row],[daily_demand]]</f>
        <v>105.64516129032258</v>
      </c>
      <c r="AB1938">
        <f>WarehouseData[[#This Row],[stock_level]]*WarehouseData[[#This Row],[unit_price]]</f>
        <v>14550.169999999998</v>
      </c>
      <c r="AC1938">
        <f>WarehouseData[[#This Row],[stock_level]]*WarehouseData[[#This Row],[holding_cost_per_unit_day]]*30</f>
        <v>1218.3</v>
      </c>
      <c r="AD1938" t="str">
        <f>IF(WarehouseData[[#This Row],[order_fulfillment_rate]]&gt;=0.9,"Strong",IF(WarehouseData[[#This Row],[order_fulfillment_rate]]&gt;=0.8,"Moderate","Needs Attention"))</f>
        <v>Needs Attention</v>
      </c>
      <c r="AE1938" t="str">
        <f>IF(WarehouseData[[#This Row],[picking_time_seconds]]&gt;120,"Slow",IF(WarehouseData[[#This Row],[picking_time_seconds]]&gt;=60,"Average","Fast"))</f>
        <v>Average</v>
      </c>
    </row>
    <row r="1939" spans="1:31" x14ac:dyDescent="0.25">
      <c r="A1939" t="s">
        <v>2077</v>
      </c>
      <c r="B1939" t="s">
        <v>48</v>
      </c>
      <c r="C1939">
        <v>335</v>
      </c>
      <c r="D1939">
        <v>12</v>
      </c>
      <c r="E1939">
        <v>9</v>
      </c>
      <c r="F1939">
        <v>2</v>
      </c>
      <c r="G1939">
        <v>34.22</v>
      </c>
      <c r="H1939">
        <v>6.45</v>
      </c>
      <c r="I1939">
        <v>0.85</v>
      </c>
      <c r="J1939" t="s">
        <v>228</v>
      </c>
      <c r="K1939" t="s">
        <v>46</v>
      </c>
      <c r="L1939">
        <v>91</v>
      </c>
      <c r="M1939">
        <v>4.54</v>
      </c>
      <c r="N1939">
        <v>195.27</v>
      </c>
      <c r="O1939">
        <v>1.44</v>
      </c>
      <c r="P1939">
        <v>3</v>
      </c>
      <c r="Q1939">
        <v>0.85</v>
      </c>
      <c r="R1939">
        <v>839</v>
      </c>
      <c r="S1939">
        <v>5.65</v>
      </c>
      <c r="T1939">
        <v>0.26</v>
      </c>
      <c r="U1939" s="1">
        <v>45362</v>
      </c>
      <c r="V1939">
        <v>172.73</v>
      </c>
      <c r="W1939">
        <v>0.49299999999999999</v>
      </c>
      <c r="X1939" t="str">
        <f>IF(WarehouseData[[#This Row],[stock_level]]&lt;=WarehouseData[[#This Row],[reorder_point]],"Low Stock","Sufficient Stock")</f>
        <v>Sufficient Stock</v>
      </c>
      <c r="Y1939">
        <f>WarehouseData[[#This Row],[daily_demand]]*WarehouseData[[#This Row],[lead_time_days]]</f>
        <v>68.44</v>
      </c>
      <c r="Z1939" t="str">
        <f>IF(WarehouseData[[#This Row],[stock_level]]&lt;=WarehouseData[[#This Row],[Demand During Lead Time]],"At Risk","Safe")</f>
        <v>Safe</v>
      </c>
      <c r="AA1939">
        <f>WarehouseData[[#This Row],[stock_level]]/WarehouseData[[#This Row],[daily_demand]]</f>
        <v>9.7895967270601982</v>
      </c>
      <c r="AB1939">
        <f>WarehouseData[[#This Row],[stock_level]]*WarehouseData[[#This Row],[unit_price]]</f>
        <v>65415.450000000004</v>
      </c>
      <c r="AC1939">
        <f>WarehouseData[[#This Row],[stock_level]]*WarehouseData[[#This Row],[holding_cost_per_unit_day]]*30</f>
        <v>14472</v>
      </c>
      <c r="AD1939" t="str">
        <f>IF(WarehouseData[[#This Row],[order_fulfillment_rate]]&gt;=0.9,"Strong",IF(WarehouseData[[#This Row],[order_fulfillment_rate]]&gt;=0.8,"Moderate","Needs Attention"))</f>
        <v>Moderate</v>
      </c>
      <c r="AE1939" t="str">
        <f>IF(WarehouseData[[#This Row],[picking_time_seconds]]&gt;120,"Slow",IF(WarehouseData[[#This Row],[picking_time_seconds]]&gt;=60,"Average","Fast"))</f>
        <v>Average</v>
      </c>
    </row>
    <row r="1940" spans="1:31" x14ac:dyDescent="0.25">
      <c r="A1940" t="s">
        <v>2078</v>
      </c>
      <c r="B1940" t="s">
        <v>32</v>
      </c>
      <c r="C1940">
        <v>465</v>
      </c>
      <c r="D1940">
        <v>83</v>
      </c>
      <c r="E1940">
        <v>9</v>
      </c>
      <c r="F1940">
        <v>6</v>
      </c>
      <c r="G1940">
        <v>27.95</v>
      </c>
      <c r="H1940">
        <v>4.7300000000000004</v>
      </c>
      <c r="I1940">
        <v>0.82</v>
      </c>
      <c r="J1940" t="s">
        <v>190</v>
      </c>
      <c r="K1940" t="s">
        <v>46</v>
      </c>
      <c r="L1940">
        <v>164</v>
      </c>
      <c r="M1940">
        <v>1.42</v>
      </c>
      <c r="N1940">
        <v>18.07</v>
      </c>
      <c r="O1940">
        <v>1.4</v>
      </c>
      <c r="P1940">
        <v>3</v>
      </c>
      <c r="Q1940">
        <v>0.94</v>
      </c>
      <c r="R1940">
        <v>82</v>
      </c>
      <c r="S1940">
        <v>10.19</v>
      </c>
      <c r="T1940">
        <v>0.94</v>
      </c>
      <c r="U1940" s="1">
        <v>45506</v>
      </c>
      <c r="V1940">
        <v>176.7</v>
      </c>
      <c r="W1940">
        <v>0.71199999999999997</v>
      </c>
      <c r="X1940" t="str">
        <f>IF(WarehouseData[[#This Row],[stock_level]]&lt;=WarehouseData[[#This Row],[reorder_point]],"Low Stock","Sufficient Stock")</f>
        <v>Sufficient Stock</v>
      </c>
      <c r="Y1940">
        <f>WarehouseData[[#This Row],[daily_demand]]*WarehouseData[[#This Row],[lead_time_days]]</f>
        <v>167.7</v>
      </c>
      <c r="Z1940" t="str">
        <f>IF(WarehouseData[[#This Row],[stock_level]]&lt;=WarehouseData[[#This Row],[Demand During Lead Time]],"At Risk","Safe")</f>
        <v>Safe</v>
      </c>
      <c r="AA1940">
        <f>WarehouseData[[#This Row],[stock_level]]/WarehouseData[[#This Row],[daily_demand]]</f>
        <v>16.636851520572453</v>
      </c>
      <c r="AB1940">
        <f>WarehouseData[[#This Row],[stock_level]]*WarehouseData[[#This Row],[unit_price]]</f>
        <v>8402.5499999999993</v>
      </c>
      <c r="AC1940">
        <f>WarehouseData[[#This Row],[stock_level]]*WarehouseData[[#This Row],[holding_cost_per_unit_day]]*30</f>
        <v>19530</v>
      </c>
      <c r="AD1940" t="str">
        <f>IF(WarehouseData[[#This Row],[order_fulfillment_rate]]&gt;=0.9,"Strong",IF(WarehouseData[[#This Row],[order_fulfillment_rate]]&gt;=0.8,"Moderate","Needs Attention"))</f>
        <v>Strong</v>
      </c>
      <c r="AE1940" t="str">
        <f>IF(WarehouseData[[#This Row],[picking_time_seconds]]&gt;120,"Slow",IF(WarehouseData[[#This Row],[picking_time_seconds]]&gt;=60,"Average","Fast"))</f>
        <v>Slow</v>
      </c>
    </row>
    <row r="1941" spans="1:31" x14ac:dyDescent="0.25">
      <c r="A1941" t="s">
        <v>2079</v>
      </c>
      <c r="B1941" t="s">
        <v>48</v>
      </c>
      <c r="C1941">
        <v>362</v>
      </c>
      <c r="D1941">
        <v>14</v>
      </c>
      <c r="E1941">
        <v>12</v>
      </c>
      <c r="F1941">
        <v>8</v>
      </c>
      <c r="G1941">
        <v>17.22</v>
      </c>
      <c r="H1941">
        <v>1.37</v>
      </c>
      <c r="I1941">
        <v>0.24</v>
      </c>
      <c r="J1941" t="s">
        <v>33</v>
      </c>
      <c r="K1941" t="s">
        <v>46</v>
      </c>
      <c r="L1941">
        <v>69</v>
      </c>
      <c r="M1941">
        <v>2.2200000000000002</v>
      </c>
      <c r="N1941">
        <v>95.16</v>
      </c>
      <c r="O1941">
        <v>0.71</v>
      </c>
      <c r="P1941">
        <v>5</v>
      </c>
      <c r="Q1941">
        <v>0.89</v>
      </c>
      <c r="R1941">
        <v>630</v>
      </c>
      <c r="S1941">
        <v>13.97</v>
      </c>
      <c r="T1941">
        <v>0.22</v>
      </c>
      <c r="U1941" s="1">
        <v>45345</v>
      </c>
      <c r="V1941">
        <v>232.77</v>
      </c>
      <c r="W1941">
        <v>0.63700000000000001</v>
      </c>
      <c r="X1941" t="str">
        <f>IF(WarehouseData[[#This Row],[stock_level]]&lt;=WarehouseData[[#This Row],[reorder_point]],"Low Stock","Sufficient Stock")</f>
        <v>Sufficient Stock</v>
      </c>
      <c r="Y1941">
        <f>WarehouseData[[#This Row],[daily_demand]]*WarehouseData[[#This Row],[lead_time_days]]</f>
        <v>137.76</v>
      </c>
      <c r="Z1941" t="str">
        <f>IF(WarehouseData[[#This Row],[stock_level]]&lt;=WarehouseData[[#This Row],[Demand During Lead Time]],"At Risk","Safe")</f>
        <v>Safe</v>
      </c>
      <c r="AA1941">
        <f>WarehouseData[[#This Row],[stock_level]]/WarehouseData[[#This Row],[daily_demand]]</f>
        <v>21.02206736353078</v>
      </c>
      <c r="AB1941">
        <f>WarehouseData[[#This Row],[stock_level]]*WarehouseData[[#This Row],[unit_price]]</f>
        <v>34447.919999999998</v>
      </c>
      <c r="AC1941">
        <f>WarehouseData[[#This Row],[stock_level]]*WarehouseData[[#This Row],[holding_cost_per_unit_day]]*30</f>
        <v>7710.5999999999995</v>
      </c>
      <c r="AD1941" t="str">
        <f>IF(WarehouseData[[#This Row],[order_fulfillment_rate]]&gt;=0.9,"Strong",IF(WarehouseData[[#This Row],[order_fulfillment_rate]]&gt;=0.8,"Moderate","Needs Attention"))</f>
        <v>Moderate</v>
      </c>
      <c r="AE1941" t="str">
        <f>IF(WarehouseData[[#This Row],[picking_time_seconds]]&gt;120,"Slow",IF(WarehouseData[[#This Row],[picking_time_seconds]]&gt;=60,"Average","Fast"))</f>
        <v>Average</v>
      </c>
    </row>
    <row r="1942" spans="1:31" x14ac:dyDescent="0.25">
      <c r="A1942" t="s">
        <v>2080</v>
      </c>
      <c r="B1942" t="s">
        <v>48</v>
      </c>
      <c r="C1942">
        <v>164</v>
      </c>
      <c r="D1942">
        <v>99</v>
      </c>
      <c r="E1942">
        <v>8</v>
      </c>
      <c r="F1942">
        <v>6</v>
      </c>
      <c r="G1942">
        <v>9.2799999999999994</v>
      </c>
      <c r="H1942">
        <v>6.38</v>
      </c>
      <c r="I1942">
        <v>0.43</v>
      </c>
      <c r="J1942" t="s">
        <v>150</v>
      </c>
      <c r="K1942" t="s">
        <v>46</v>
      </c>
      <c r="L1942">
        <v>108</v>
      </c>
      <c r="M1942">
        <v>3.02</v>
      </c>
      <c r="N1942">
        <v>130.84</v>
      </c>
      <c r="O1942">
        <v>1</v>
      </c>
      <c r="P1942">
        <v>5</v>
      </c>
      <c r="Q1942">
        <v>0.73</v>
      </c>
      <c r="R1942">
        <v>401</v>
      </c>
      <c r="S1942">
        <v>9.2799999999999994</v>
      </c>
      <c r="T1942">
        <v>0.65</v>
      </c>
      <c r="U1942" s="1">
        <v>45553</v>
      </c>
      <c r="V1942">
        <v>163.08000000000001</v>
      </c>
      <c r="W1942">
        <v>0.6</v>
      </c>
      <c r="X1942" t="str">
        <f>IF(WarehouseData[[#This Row],[stock_level]]&lt;=WarehouseData[[#This Row],[reorder_point]],"Low Stock","Sufficient Stock")</f>
        <v>Sufficient Stock</v>
      </c>
      <c r="Y1942">
        <f>WarehouseData[[#This Row],[daily_demand]]*WarehouseData[[#This Row],[lead_time_days]]</f>
        <v>55.679999999999993</v>
      </c>
      <c r="Z1942" t="str">
        <f>IF(WarehouseData[[#This Row],[stock_level]]&lt;=WarehouseData[[#This Row],[Demand During Lead Time]],"At Risk","Safe")</f>
        <v>Safe</v>
      </c>
      <c r="AA1942">
        <f>WarehouseData[[#This Row],[stock_level]]/WarehouseData[[#This Row],[daily_demand]]</f>
        <v>17.672413793103448</v>
      </c>
      <c r="AB1942">
        <f>WarehouseData[[#This Row],[stock_level]]*WarehouseData[[#This Row],[unit_price]]</f>
        <v>21457.760000000002</v>
      </c>
      <c r="AC1942">
        <f>WarehouseData[[#This Row],[stock_level]]*WarehouseData[[#This Row],[holding_cost_per_unit_day]]*30</f>
        <v>4920</v>
      </c>
      <c r="AD1942" t="str">
        <f>IF(WarehouseData[[#This Row],[order_fulfillment_rate]]&gt;=0.9,"Strong",IF(WarehouseData[[#This Row],[order_fulfillment_rate]]&gt;=0.8,"Moderate","Needs Attention"))</f>
        <v>Needs Attention</v>
      </c>
      <c r="AE1942" t="str">
        <f>IF(WarehouseData[[#This Row],[picking_time_seconds]]&gt;120,"Slow",IF(WarehouseData[[#This Row],[picking_time_seconds]]&gt;=60,"Average","Fast"))</f>
        <v>Average</v>
      </c>
    </row>
    <row r="1943" spans="1:31" x14ac:dyDescent="0.25">
      <c r="A1943" t="s">
        <v>2081</v>
      </c>
      <c r="B1943" t="s">
        <v>73</v>
      </c>
      <c r="C1943">
        <v>84</v>
      </c>
      <c r="D1943">
        <v>70</v>
      </c>
      <c r="E1943">
        <v>7</v>
      </c>
      <c r="F1943">
        <v>6</v>
      </c>
      <c r="G1943">
        <v>23.87</v>
      </c>
      <c r="H1943">
        <v>2.06</v>
      </c>
      <c r="I1943">
        <v>0.19</v>
      </c>
      <c r="J1943" t="s">
        <v>212</v>
      </c>
      <c r="K1943" t="s">
        <v>38</v>
      </c>
      <c r="L1943">
        <v>56</v>
      </c>
      <c r="M1943">
        <v>4.34</v>
      </c>
      <c r="N1943">
        <v>11.6</v>
      </c>
      <c r="O1943">
        <v>0.67</v>
      </c>
      <c r="P1943">
        <v>9</v>
      </c>
      <c r="Q1943">
        <v>0.97</v>
      </c>
      <c r="R1943">
        <v>304</v>
      </c>
      <c r="S1943">
        <v>5.59</v>
      </c>
      <c r="T1943">
        <v>0.64</v>
      </c>
      <c r="U1943" s="1">
        <v>45608</v>
      </c>
      <c r="V1943">
        <v>110.09</v>
      </c>
      <c r="W1943">
        <v>0.55000000000000004</v>
      </c>
      <c r="X1943" t="str">
        <f>IF(WarehouseData[[#This Row],[stock_level]]&lt;=WarehouseData[[#This Row],[reorder_point]],"Low Stock","Sufficient Stock")</f>
        <v>Sufficient Stock</v>
      </c>
      <c r="Y1943">
        <f>WarehouseData[[#This Row],[daily_demand]]*WarehouseData[[#This Row],[lead_time_days]]</f>
        <v>143.22</v>
      </c>
      <c r="Z1943" t="str">
        <f>IF(WarehouseData[[#This Row],[stock_level]]&lt;=WarehouseData[[#This Row],[Demand During Lead Time]],"At Risk","Safe")</f>
        <v>At Risk</v>
      </c>
      <c r="AA1943">
        <f>WarehouseData[[#This Row],[stock_level]]/WarehouseData[[#This Row],[daily_demand]]</f>
        <v>3.5190615835777126</v>
      </c>
      <c r="AB1943">
        <f>WarehouseData[[#This Row],[stock_level]]*WarehouseData[[#This Row],[unit_price]]</f>
        <v>974.4</v>
      </c>
      <c r="AC1943">
        <f>WarehouseData[[#This Row],[stock_level]]*WarehouseData[[#This Row],[holding_cost_per_unit_day]]*30</f>
        <v>1688.4</v>
      </c>
      <c r="AD1943" t="str">
        <f>IF(WarehouseData[[#This Row],[order_fulfillment_rate]]&gt;=0.9,"Strong",IF(WarehouseData[[#This Row],[order_fulfillment_rate]]&gt;=0.8,"Moderate","Needs Attention"))</f>
        <v>Strong</v>
      </c>
      <c r="AE1943" t="str">
        <f>IF(WarehouseData[[#This Row],[picking_time_seconds]]&gt;120,"Slow",IF(WarehouseData[[#This Row],[picking_time_seconds]]&gt;=60,"Average","Fast"))</f>
        <v>Fast</v>
      </c>
    </row>
    <row r="1944" spans="1:31" x14ac:dyDescent="0.25">
      <c r="A1944" t="s">
        <v>2082</v>
      </c>
      <c r="B1944" t="s">
        <v>36</v>
      </c>
      <c r="C1944">
        <v>266</v>
      </c>
      <c r="D1944">
        <v>94</v>
      </c>
      <c r="E1944">
        <v>5</v>
      </c>
      <c r="F1944">
        <v>6</v>
      </c>
      <c r="G1944">
        <v>5.91</v>
      </c>
      <c r="H1944">
        <v>1.23</v>
      </c>
      <c r="I1944">
        <v>0.86</v>
      </c>
      <c r="J1944" t="s">
        <v>148</v>
      </c>
      <c r="K1944" t="s">
        <v>34</v>
      </c>
      <c r="L1944">
        <v>152</v>
      </c>
      <c r="M1944">
        <v>2.89</v>
      </c>
      <c r="N1944">
        <v>123.39</v>
      </c>
      <c r="O1944">
        <v>1.49</v>
      </c>
      <c r="P1944">
        <v>7</v>
      </c>
      <c r="Q1944">
        <v>0.98</v>
      </c>
      <c r="R1944">
        <v>99</v>
      </c>
      <c r="S1944">
        <v>3.9</v>
      </c>
      <c r="T1944">
        <v>0.71</v>
      </c>
      <c r="U1944" s="1">
        <v>45352</v>
      </c>
      <c r="V1944">
        <v>274.36</v>
      </c>
      <c r="W1944">
        <v>0.501</v>
      </c>
      <c r="X1944" t="str">
        <f>IF(WarehouseData[[#This Row],[stock_level]]&lt;=WarehouseData[[#This Row],[reorder_point]],"Low Stock","Sufficient Stock")</f>
        <v>Sufficient Stock</v>
      </c>
      <c r="Y1944">
        <f>WarehouseData[[#This Row],[daily_demand]]*WarehouseData[[#This Row],[lead_time_days]]</f>
        <v>35.46</v>
      </c>
      <c r="Z1944" t="str">
        <f>IF(WarehouseData[[#This Row],[stock_level]]&lt;=WarehouseData[[#This Row],[Demand During Lead Time]],"At Risk","Safe")</f>
        <v>Safe</v>
      </c>
      <c r="AA1944">
        <f>WarehouseData[[#This Row],[stock_level]]/WarehouseData[[#This Row],[daily_demand]]</f>
        <v>45.008460236886634</v>
      </c>
      <c r="AB1944">
        <f>WarehouseData[[#This Row],[stock_level]]*WarehouseData[[#This Row],[unit_price]]</f>
        <v>32821.74</v>
      </c>
      <c r="AC1944">
        <f>WarehouseData[[#This Row],[stock_level]]*WarehouseData[[#This Row],[holding_cost_per_unit_day]]*30</f>
        <v>11890.199999999999</v>
      </c>
      <c r="AD1944" t="str">
        <f>IF(WarehouseData[[#This Row],[order_fulfillment_rate]]&gt;=0.9,"Strong",IF(WarehouseData[[#This Row],[order_fulfillment_rate]]&gt;=0.8,"Moderate","Needs Attention"))</f>
        <v>Strong</v>
      </c>
      <c r="AE1944" t="str">
        <f>IF(WarehouseData[[#This Row],[picking_time_seconds]]&gt;120,"Slow",IF(WarehouseData[[#This Row],[picking_time_seconds]]&gt;=60,"Average","Fast"))</f>
        <v>Slow</v>
      </c>
    </row>
    <row r="1945" spans="1:31" x14ac:dyDescent="0.25">
      <c r="A1945" t="s">
        <v>2083</v>
      </c>
      <c r="B1945" t="s">
        <v>32</v>
      </c>
      <c r="C1945">
        <v>242</v>
      </c>
      <c r="D1945">
        <v>99</v>
      </c>
      <c r="E1945">
        <v>14</v>
      </c>
      <c r="F1945">
        <v>8</v>
      </c>
      <c r="G1945">
        <v>17.47</v>
      </c>
      <c r="H1945">
        <v>6.81</v>
      </c>
      <c r="I1945">
        <v>0.39</v>
      </c>
      <c r="J1945" t="s">
        <v>221</v>
      </c>
      <c r="K1945" t="s">
        <v>34</v>
      </c>
      <c r="L1945">
        <v>33</v>
      </c>
      <c r="M1945">
        <v>4.8600000000000003</v>
      </c>
      <c r="N1945">
        <v>20.68</v>
      </c>
      <c r="O1945">
        <v>1.7</v>
      </c>
      <c r="P1945">
        <v>0</v>
      </c>
      <c r="Q1945">
        <v>0.8</v>
      </c>
      <c r="R1945">
        <v>72</v>
      </c>
      <c r="S1945">
        <v>4.5199999999999996</v>
      </c>
      <c r="T1945">
        <v>0.22</v>
      </c>
      <c r="U1945" s="1">
        <v>45436</v>
      </c>
      <c r="V1945">
        <v>32.619999999999997</v>
      </c>
      <c r="W1945">
        <v>0.49399999999999999</v>
      </c>
      <c r="X1945" t="str">
        <f>IF(WarehouseData[[#This Row],[stock_level]]&lt;=WarehouseData[[#This Row],[reorder_point]],"Low Stock","Sufficient Stock")</f>
        <v>Sufficient Stock</v>
      </c>
      <c r="Y1945">
        <f>WarehouseData[[#This Row],[daily_demand]]*WarehouseData[[#This Row],[lead_time_days]]</f>
        <v>139.76</v>
      </c>
      <c r="Z1945" t="str">
        <f>IF(WarehouseData[[#This Row],[stock_level]]&lt;=WarehouseData[[#This Row],[Demand During Lead Time]],"At Risk","Safe")</f>
        <v>Safe</v>
      </c>
      <c r="AA1945">
        <f>WarehouseData[[#This Row],[stock_level]]/WarehouseData[[#This Row],[daily_demand]]</f>
        <v>13.852318259874071</v>
      </c>
      <c r="AB1945">
        <f>WarehouseData[[#This Row],[stock_level]]*WarehouseData[[#This Row],[unit_price]]</f>
        <v>5004.5599999999995</v>
      </c>
      <c r="AC1945">
        <f>WarehouseData[[#This Row],[stock_level]]*WarehouseData[[#This Row],[holding_cost_per_unit_day]]*30</f>
        <v>12342</v>
      </c>
      <c r="AD1945" t="str">
        <f>IF(WarehouseData[[#This Row],[order_fulfillment_rate]]&gt;=0.9,"Strong",IF(WarehouseData[[#This Row],[order_fulfillment_rate]]&gt;=0.8,"Moderate","Needs Attention"))</f>
        <v>Moderate</v>
      </c>
      <c r="AE1945" t="str">
        <f>IF(WarehouseData[[#This Row],[picking_time_seconds]]&gt;120,"Slow",IF(WarehouseData[[#This Row],[picking_time_seconds]]&gt;=60,"Average","Fast"))</f>
        <v>Fast</v>
      </c>
    </row>
    <row r="1946" spans="1:31" x14ac:dyDescent="0.25">
      <c r="A1946" t="s">
        <v>2084</v>
      </c>
      <c r="B1946" t="s">
        <v>48</v>
      </c>
      <c r="C1946">
        <v>498</v>
      </c>
      <c r="D1946">
        <v>35</v>
      </c>
      <c r="E1946">
        <v>5</v>
      </c>
      <c r="F1946">
        <v>2</v>
      </c>
      <c r="G1946">
        <v>19.579999999999998</v>
      </c>
      <c r="H1946">
        <v>9.16</v>
      </c>
      <c r="I1946">
        <v>0.5</v>
      </c>
      <c r="J1946" t="s">
        <v>113</v>
      </c>
      <c r="K1946" t="s">
        <v>46</v>
      </c>
      <c r="L1946">
        <v>19</v>
      </c>
      <c r="M1946">
        <v>4.0999999999999996</v>
      </c>
      <c r="N1946">
        <v>172.94</v>
      </c>
      <c r="O1946">
        <v>1.81</v>
      </c>
      <c r="P1946">
        <v>6</v>
      </c>
      <c r="Q1946">
        <v>0.88</v>
      </c>
      <c r="R1946">
        <v>303</v>
      </c>
      <c r="S1946">
        <v>14.82</v>
      </c>
      <c r="T1946">
        <v>0.62</v>
      </c>
      <c r="U1946" s="1">
        <v>45350</v>
      </c>
      <c r="V1946">
        <v>244.55</v>
      </c>
      <c r="W1946">
        <v>0.59699999999999998</v>
      </c>
      <c r="X1946" t="str">
        <f>IF(WarehouseData[[#This Row],[stock_level]]&lt;=WarehouseData[[#This Row],[reorder_point]],"Low Stock","Sufficient Stock")</f>
        <v>Sufficient Stock</v>
      </c>
      <c r="Y1946">
        <f>WarehouseData[[#This Row],[daily_demand]]*WarehouseData[[#This Row],[lead_time_days]]</f>
        <v>39.159999999999997</v>
      </c>
      <c r="Z1946" t="str">
        <f>IF(WarehouseData[[#This Row],[stock_level]]&lt;=WarehouseData[[#This Row],[Demand During Lead Time]],"At Risk","Safe")</f>
        <v>Safe</v>
      </c>
      <c r="AA1946">
        <f>WarehouseData[[#This Row],[stock_level]]/WarehouseData[[#This Row],[daily_demand]]</f>
        <v>25.434116445352402</v>
      </c>
      <c r="AB1946">
        <f>WarehouseData[[#This Row],[stock_level]]*WarehouseData[[#This Row],[unit_price]]</f>
        <v>86124.12</v>
      </c>
      <c r="AC1946">
        <f>WarehouseData[[#This Row],[stock_level]]*WarehouseData[[#This Row],[holding_cost_per_unit_day]]*30</f>
        <v>27041.4</v>
      </c>
      <c r="AD1946" t="str">
        <f>IF(WarehouseData[[#This Row],[order_fulfillment_rate]]&gt;=0.9,"Strong",IF(WarehouseData[[#This Row],[order_fulfillment_rate]]&gt;=0.8,"Moderate","Needs Attention"))</f>
        <v>Moderate</v>
      </c>
      <c r="AE1946" t="str">
        <f>IF(WarehouseData[[#This Row],[picking_time_seconds]]&gt;120,"Slow",IF(WarehouseData[[#This Row],[picking_time_seconds]]&gt;=60,"Average","Fast"))</f>
        <v>Fast</v>
      </c>
    </row>
    <row r="1947" spans="1:31" x14ac:dyDescent="0.25">
      <c r="A1947" t="s">
        <v>2085</v>
      </c>
      <c r="B1947" t="s">
        <v>73</v>
      </c>
      <c r="C1947">
        <v>332</v>
      </c>
      <c r="D1947">
        <v>81</v>
      </c>
      <c r="E1947">
        <v>13</v>
      </c>
      <c r="F1947">
        <v>9</v>
      </c>
      <c r="G1947">
        <v>23.82</v>
      </c>
      <c r="H1947">
        <v>4.88</v>
      </c>
      <c r="I1947">
        <v>0.39</v>
      </c>
      <c r="J1947" t="s">
        <v>377</v>
      </c>
      <c r="K1947" t="s">
        <v>38</v>
      </c>
      <c r="L1947">
        <v>129</v>
      </c>
      <c r="M1947">
        <v>4.79</v>
      </c>
      <c r="N1947">
        <v>163.35</v>
      </c>
      <c r="O1947">
        <v>0.43</v>
      </c>
      <c r="P1947">
        <v>3</v>
      </c>
      <c r="Q1947">
        <v>0.85</v>
      </c>
      <c r="R1947">
        <v>443</v>
      </c>
      <c r="S1947">
        <v>9.6199999999999992</v>
      </c>
      <c r="T1947">
        <v>0.28999999999999998</v>
      </c>
      <c r="U1947" s="1">
        <v>45346</v>
      </c>
      <c r="V1947">
        <v>128.78</v>
      </c>
      <c r="W1947">
        <v>0.65300000000000002</v>
      </c>
      <c r="X1947" t="str">
        <f>IF(WarehouseData[[#This Row],[stock_level]]&lt;=WarehouseData[[#This Row],[reorder_point]],"Low Stock","Sufficient Stock")</f>
        <v>Sufficient Stock</v>
      </c>
      <c r="Y1947">
        <f>WarehouseData[[#This Row],[daily_demand]]*WarehouseData[[#This Row],[lead_time_days]]</f>
        <v>214.38</v>
      </c>
      <c r="Z1947" t="str">
        <f>IF(WarehouseData[[#This Row],[stock_level]]&lt;=WarehouseData[[#This Row],[Demand During Lead Time]],"At Risk","Safe")</f>
        <v>Safe</v>
      </c>
      <c r="AA1947">
        <f>WarehouseData[[#This Row],[stock_level]]/WarehouseData[[#This Row],[daily_demand]]</f>
        <v>13.937867338371117</v>
      </c>
      <c r="AB1947">
        <f>WarehouseData[[#This Row],[stock_level]]*WarehouseData[[#This Row],[unit_price]]</f>
        <v>54232.2</v>
      </c>
      <c r="AC1947">
        <f>WarehouseData[[#This Row],[stock_level]]*WarehouseData[[#This Row],[holding_cost_per_unit_day]]*30</f>
        <v>4282.7999999999993</v>
      </c>
      <c r="AD1947" t="str">
        <f>IF(WarehouseData[[#This Row],[order_fulfillment_rate]]&gt;=0.9,"Strong",IF(WarehouseData[[#This Row],[order_fulfillment_rate]]&gt;=0.8,"Moderate","Needs Attention"))</f>
        <v>Moderate</v>
      </c>
      <c r="AE1947" t="str">
        <f>IF(WarehouseData[[#This Row],[picking_time_seconds]]&gt;120,"Slow",IF(WarehouseData[[#This Row],[picking_time_seconds]]&gt;=60,"Average","Fast"))</f>
        <v>Slow</v>
      </c>
    </row>
    <row r="1948" spans="1:31" x14ac:dyDescent="0.25">
      <c r="A1948" t="s">
        <v>2086</v>
      </c>
      <c r="B1948" t="s">
        <v>40</v>
      </c>
      <c r="C1948">
        <v>458</v>
      </c>
      <c r="D1948">
        <v>14</v>
      </c>
      <c r="E1948">
        <v>14</v>
      </c>
      <c r="F1948">
        <v>5</v>
      </c>
      <c r="G1948">
        <v>23.86</v>
      </c>
      <c r="H1948">
        <v>0.89</v>
      </c>
      <c r="I1948">
        <v>0.38</v>
      </c>
      <c r="J1948" t="s">
        <v>160</v>
      </c>
      <c r="K1948" t="s">
        <v>38</v>
      </c>
      <c r="L1948">
        <v>161</v>
      </c>
      <c r="M1948">
        <v>3.79</v>
      </c>
      <c r="N1948">
        <v>16.13</v>
      </c>
      <c r="O1948">
        <v>1.42</v>
      </c>
      <c r="P1948">
        <v>5</v>
      </c>
      <c r="Q1948">
        <v>0.98</v>
      </c>
      <c r="R1948">
        <v>725</v>
      </c>
      <c r="S1948">
        <v>7.17</v>
      </c>
      <c r="T1948">
        <v>0.32</v>
      </c>
      <c r="U1948" s="1">
        <v>45546</v>
      </c>
      <c r="V1948">
        <v>62.52</v>
      </c>
      <c r="W1948">
        <v>0.51400000000000001</v>
      </c>
      <c r="X1948" t="str">
        <f>IF(WarehouseData[[#This Row],[stock_level]]&lt;=WarehouseData[[#This Row],[reorder_point]],"Low Stock","Sufficient Stock")</f>
        <v>Sufficient Stock</v>
      </c>
      <c r="Y1948">
        <f>WarehouseData[[#This Row],[daily_demand]]*WarehouseData[[#This Row],[lead_time_days]]</f>
        <v>119.3</v>
      </c>
      <c r="Z1948" t="str">
        <f>IF(WarehouseData[[#This Row],[stock_level]]&lt;=WarehouseData[[#This Row],[Demand During Lead Time]],"At Risk","Safe")</f>
        <v>Safe</v>
      </c>
      <c r="AA1948">
        <f>WarehouseData[[#This Row],[stock_level]]/WarehouseData[[#This Row],[daily_demand]]</f>
        <v>19.195305951383069</v>
      </c>
      <c r="AB1948">
        <f>WarehouseData[[#This Row],[stock_level]]*WarehouseData[[#This Row],[unit_price]]</f>
        <v>7387.54</v>
      </c>
      <c r="AC1948">
        <f>WarehouseData[[#This Row],[stock_level]]*WarehouseData[[#This Row],[holding_cost_per_unit_day]]*30</f>
        <v>19510.8</v>
      </c>
      <c r="AD1948" t="str">
        <f>IF(WarehouseData[[#This Row],[order_fulfillment_rate]]&gt;=0.9,"Strong",IF(WarehouseData[[#This Row],[order_fulfillment_rate]]&gt;=0.8,"Moderate","Needs Attention"))</f>
        <v>Strong</v>
      </c>
      <c r="AE1948" t="str">
        <f>IF(WarehouseData[[#This Row],[picking_time_seconds]]&gt;120,"Slow",IF(WarehouseData[[#This Row],[picking_time_seconds]]&gt;=60,"Average","Fast"))</f>
        <v>Slow</v>
      </c>
    </row>
    <row r="1949" spans="1:31" x14ac:dyDescent="0.25">
      <c r="A1949" t="s">
        <v>2087</v>
      </c>
      <c r="B1949" t="s">
        <v>32</v>
      </c>
      <c r="C1949">
        <v>125</v>
      </c>
      <c r="D1949">
        <v>24</v>
      </c>
      <c r="E1949">
        <v>11</v>
      </c>
      <c r="F1949">
        <v>7</v>
      </c>
      <c r="G1949">
        <v>13.59</v>
      </c>
      <c r="H1949">
        <v>8.86</v>
      </c>
      <c r="I1949">
        <v>0.77</v>
      </c>
      <c r="J1949" t="s">
        <v>357</v>
      </c>
      <c r="K1949" t="s">
        <v>52</v>
      </c>
      <c r="L1949">
        <v>97</v>
      </c>
      <c r="M1949">
        <v>4.45</v>
      </c>
      <c r="N1949">
        <v>19.27</v>
      </c>
      <c r="O1949">
        <v>1.93</v>
      </c>
      <c r="P1949">
        <v>9</v>
      </c>
      <c r="Q1949">
        <v>0.85</v>
      </c>
      <c r="R1949">
        <v>931</v>
      </c>
      <c r="S1949">
        <v>4.2300000000000004</v>
      </c>
      <c r="T1949">
        <v>0.37</v>
      </c>
      <c r="U1949" s="1">
        <v>45393</v>
      </c>
      <c r="V1949">
        <v>44.9</v>
      </c>
      <c r="W1949">
        <v>0.32700000000000001</v>
      </c>
      <c r="X1949" t="str">
        <f>IF(WarehouseData[[#This Row],[stock_level]]&lt;=WarehouseData[[#This Row],[reorder_point]],"Low Stock","Sufficient Stock")</f>
        <v>Sufficient Stock</v>
      </c>
      <c r="Y1949">
        <f>WarehouseData[[#This Row],[daily_demand]]*WarehouseData[[#This Row],[lead_time_days]]</f>
        <v>95.13</v>
      </c>
      <c r="Z1949" t="str">
        <f>IF(WarehouseData[[#This Row],[stock_level]]&lt;=WarehouseData[[#This Row],[Demand During Lead Time]],"At Risk","Safe")</f>
        <v>Safe</v>
      </c>
      <c r="AA1949">
        <f>WarehouseData[[#This Row],[stock_level]]/WarehouseData[[#This Row],[daily_demand]]</f>
        <v>9.1979396615158198</v>
      </c>
      <c r="AB1949">
        <f>WarehouseData[[#This Row],[stock_level]]*WarehouseData[[#This Row],[unit_price]]</f>
        <v>2408.75</v>
      </c>
      <c r="AC1949">
        <f>WarehouseData[[#This Row],[stock_level]]*WarehouseData[[#This Row],[holding_cost_per_unit_day]]*30</f>
        <v>7237.5</v>
      </c>
      <c r="AD1949" t="str">
        <f>IF(WarehouseData[[#This Row],[order_fulfillment_rate]]&gt;=0.9,"Strong",IF(WarehouseData[[#This Row],[order_fulfillment_rate]]&gt;=0.8,"Moderate","Needs Attention"))</f>
        <v>Moderate</v>
      </c>
      <c r="AE1949" t="str">
        <f>IF(WarehouseData[[#This Row],[picking_time_seconds]]&gt;120,"Slow",IF(WarehouseData[[#This Row],[picking_time_seconds]]&gt;=60,"Average","Fast"))</f>
        <v>Average</v>
      </c>
    </row>
    <row r="1950" spans="1:31" x14ac:dyDescent="0.25">
      <c r="A1950" t="s">
        <v>2088</v>
      </c>
      <c r="B1950" t="s">
        <v>48</v>
      </c>
      <c r="C1950">
        <v>200</v>
      </c>
      <c r="D1950">
        <v>25</v>
      </c>
      <c r="E1950">
        <v>6</v>
      </c>
      <c r="F1950">
        <v>9</v>
      </c>
      <c r="G1950">
        <v>42.66</v>
      </c>
      <c r="H1950">
        <v>1.1399999999999999</v>
      </c>
      <c r="I1950">
        <v>0.77</v>
      </c>
      <c r="J1950" t="s">
        <v>377</v>
      </c>
      <c r="K1950" t="s">
        <v>52</v>
      </c>
      <c r="L1950">
        <v>113</v>
      </c>
      <c r="M1950">
        <v>4.24</v>
      </c>
      <c r="N1950">
        <v>153.19</v>
      </c>
      <c r="O1950">
        <v>1.34</v>
      </c>
      <c r="P1950">
        <v>8</v>
      </c>
      <c r="Q1950">
        <v>0.99</v>
      </c>
      <c r="R1950">
        <v>322</v>
      </c>
      <c r="S1950">
        <v>11.82</v>
      </c>
      <c r="T1950">
        <v>0.69</v>
      </c>
      <c r="U1950" s="1">
        <v>45603</v>
      </c>
      <c r="V1950">
        <v>74.02</v>
      </c>
      <c r="W1950">
        <v>0.6</v>
      </c>
      <c r="X1950" t="str">
        <f>IF(WarehouseData[[#This Row],[stock_level]]&lt;=WarehouseData[[#This Row],[reorder_point]],"Low Stock","Sufficient Stock")</f>
        <v>Sufficient Stock</v>
      </c>
      <c r="Y1950">
        <f>WarehouseData[[#This Row],[daily_demand]]*WarehouseData[[#This Row],[lead_time_days]]</f>
        <v>383.93999999999994</v>
      </c>
      <c r="Z1950" t="str">
        <f>IF(WarehouseData[[#This Row],[stock_level]]&lt;=WarehouseData[[#This Row],[Demand During Lead Time]],"At Risk","Safe")</f>
        <v>At Risk</v>
      </c>
      <c r="AA1950">
        <f>WarehouseData[[#This Row],[stock_level]]/WarehouseData[[#This Row],[daily_demand]]</f>
        <v>4.6882325363338024</v>
      </c>
      <c r="AB1950">
        <f>WarehouseData[[#This Row],[stock_level]]*WarehouseData[[#This Row],[unit_price]]</f>
        <v>30638</v>
      </c>
      <c r="AC1950">
        <f>WarehouseData[[#This Row],[stock_level]]*WarehouseData[[#This Row],[holding_cost_per_unit_day]]*30</f>
        <v>8040</v>
      </c>
      <c r="AD1950" t="str">
        <f>IF(WarehouseData[[#This Row],[order_fulfillment_rate]]&gt;=0.9,"Strong",IF(WarehouseData[[#This Row],[order_fulfillment_rate]]&gt;=0.8,"Moderate","Needs Attention"))</f>
        <v>Strong</v>
      </c>
      <c r="AE1950" t="str">
        <f>IF(WarehouseData[[#This Row],[picking_time_seconds]]&gt;120,"Slow",IF(WarehouseData[[#This Row],[picking_time_seconds]]&gt;=60,"Average","Fast"))</f>
        <v>Average</v>
      </c>
    </row>
    <row r="1951" spans="1:31" x14ac:dyDescent="0.25">
      <c r="A1951" t="s">
        <v>2089</v>
      </c>
      <c r="B1951" t="s">
        <v>36</v>
      </c>
      <c r="C1951">
        <v>203</v>
      </c>
      <c r="D1951">
        <v>10</v>
      </c>
      <c r="E1951">
        <v>11</v>
      </c>
      <c r="F1951">
        <v>3</v>
      </c>
      <c r="G1951">
        <v>18.420000000000002</v>
      </c>
      <c r="H1951">
        <v>8.74</v>
      </c>
      <c r="I1951">
        <v>0.56999999999999995</v>
      </c>
      <c r="J1951" t="s">
        <v>148</v>
      </c>
      <c r="K1951" t="s">
        <v>38</v>
      </c>
      <c r="L1951">
        <v>133</v>
      </c>
      <c r="M1951">
        <v>1.64</v>
      </c>
      <c r="N1951">
        <v>80.209999999999994</v>
      </c>
      <c r="O1951">
        <v>0.77</v>
      </c>
      <c r="P1951">
        <v>2</v>
      </c>
      <c r="Q1951">
        <v>0.76</v>
      </c>
      <c r="R1951">
        <v>742</v>
      </c>
      <c r="S1951">
        <v>6.42</v>
      </c>
      <c r="T1951">
        <v>0.51</v>
      </c>
      <c r="U1951" s="1">
        <v>45394</v>
      </c>
      <c r="V1951">
        <v>45.37</v>
      </c>
      <c r="W1951">
        <v>0.623</v>
      </c>
      <c r="X1951" t="str">
        <f>IF(WarehouseData[[#This Row],[stock_level]]&lt;=WarehouseData[[#This Row],[reorder_point]],"Low Stock","Sufficient Stock")</f>
        <v>Sufficient Stock</v>
      </c>
      <c r="Y1951">
        <f>WarehouseData[[#This Row],[daily_demand]]*WarehouseData[[#This Row],[lead_time_days]]</f>
        <v>55.260000000000005</v>
      </c>
      <c r="Z1951" t="str">
        <f>IF(WarehouseData[[#This Row],[stock_level]]&lt;=WarehouseData[[#This Row],[Demand During Lead Time]],"At Risk","Safe")</f>
        <v>Safe</v>
      </c>
      <c r="AA1951">
        <f>WarehouseData[[#This Row],[stock_level]]/WarehouseData[[#This Row],[daily_demand]]</f>
        <v>11.020629750271443</v>
      </c>
      <c r="AB1951">
        <f>WarehouseData[[#This Row],[stock_level]]*WarehouseData[[#This Row],[unit_price]]</f>
        <v>16282.63</v>
      </c>
      <c r="AC1951">
        <f>WarehouseData[[#This Row],[stock_level]]*WarehouseData[[#This Row],[holding_cost_per_unit_day]]*30</f>
        <v>4689.3</v>
      </c>
      <c r="AD1951" t="str">
        <f>IF(WarehouseData[[#This Row],[order_fulfillment_rate]]&gt;=0.9,"Strong",IF(WarehouseData[[#This Row],[order_fulfillment_rate]]&gt;=0.8,"Moderate","Needs Attention"))</f>
        <v>Needs Attention</v>
      </c>
      <c r="AE1951" t="str">
        <f>IF(WarehouseData[[#This Row],[picking_time_seconds]]&gt;120,"Slow",IF(WarehouseData[[#This Row],[picking_time_seconds]]&gt;=60,"Average","Fast"))</f>
        <v>Slow</v>
      </c>
    </row>
    <row r="1952" spans="1:31" x14ac:dyDescent="0.25">
      <c r="A1952" t="s">
        <v>2090</v>
      </c>
      <c r="B1952" t="s">
        <v>73</v>
      </c>
      <c r="C1952">
        <v>245</v>
      </c>
      <c r="D1952">
        <v>25</v>
      </c>
      <c r="E1952">
        <v>6</v>
      </c>
      <c r="F1952">
        <v>8</v>
      </c>
      <c r="G1952">
        <v>12.25</v>
      </c>
      <c r="H1952">
        <v>4.22</v>
      </c>
      <c r="I1952">
        <v>0.69</v>
      </c>
      <c r="J1952" t="s">
        <v>316</v>
      </c>
      <c r="K1952" t="s">
        <v>52</v>
      </c>
      <c r="L1952">
        <v>43</v>
      </c>
      <c r="M1952">
        <v>1.53</v>
      </c>
      <c r="N1952">
        <v>119.25</v>
      </c>
      <c r="O1952">
        <v>1.31</v>
      </c>
      <c r="P1952">
        <v>7</v>
      </c>
      <c r="Q1952">
        <v>0.8</v>
      </c>
      <c r="R1952">
        <v>908</v>
      </c>
      <c r="S1952">
        <v>5.22</v>
      </c>
      <c r="T1952">
        <v>0.27</v>
      </c>
      <c r="U1952" s="1">
        <v>45426</v>
      </c>
      <c r="V1952">
        <v>143.09</v>
      </c>
      <c r="W1952">
        <v>0.41299999999999998</v>
      </c>
      <c r="X1952" t="str">
        <f>IF(WarehouseData[[#This Row],[stock_level]]&lt;=WarehouseData[[#This Row],[reorder_point]],"Low Stock","Sufficient Stock")</f>
        <v>Sufficient Stock</v>
      </c>
      <c r="Y1952">
        <f>WarehouseData[[#This Row],[daily_demand]]*WarehouseData[[#This Row],[lead_time_days]]</f>
        <v>98</v>
      </c>
      <c r="Z1952" t="str">
        <f>IF(WarehouseData[[#This Row],[stock_level]]&lt;=WarehouseData[[#This Row],[Demand During Lead Time]],"At Risk","Safe")</f>
        <v>Safe</v>
      </c>
      <c r="AA1952">
        <f>WarehouseData[[#This Row],[stock_level]]/WarehouseData[[#This Row],[daily_demand]]</f>
        <v>20</v>
      </c>
      <c r="AB1952">
        <f>WarehouseData[[#This Row],[stock_level]]*WarehouseData[[#This Row],[unit_price]]</f>
        <v>29216.25</v>
      </c>
      <c r="AC1952">
        <f>WarehouseData[[#This Row],[stock_level]]*WarehouseData[[#This Row],[holding_cost_per_unit_day]]*30</f>
        <v>9628.5</v>
      </c>
      <c r="AD1952" t="str">
        <f>IF(WarehouseData[[#This Row],[order_fulfillment_rate]]&gt;=0.9,"Strong",IF(WarehouseData[[#This Row],[order_fulfillment_rate]]&gt;=0.8,"Moderate","Needs Attention"))</f>
        <v>Moderate</v>
      </c>
      <c r="AE1952" t="str">
        <f>IF(WarehouseData[[#This Row],[picking_time_seconds]]&gt;120,"Slow",IF(WarehouseData[[#This Row],[picking_time_seconds]]&gt;=60,"Average","Fast"))</f>
        <v>Fast</v>
      </c>
    </row>
    <row r="1953" spans="1:31" x14ac:dyDescent="0.25">
      <c r="A1953" t="s">
        <v>2091</v>
      </c>
      <c r="B1953" t="s">
        <v>48</v>
      </c>
      <c r="C1953">
        <v>284</v>
      </c>
      <c r="D1953">
        <v>46</v>
      </c>
      <c r="E1953">
        <v>4</v>
      </c>
      <c r="F1953">
        <v>6</v>
      </c>
      <c r="G1953">
        <v>9.61</v>
      </c>
      <c r="H1953">
        <v>3.97</v>
      </c>
      <c r="I1953">
        <v>0.56000000000000005</v>
      </c>
      <c r="J1953" t="s">
        <v>45</v>
      </c>
      <c r="K1953" t="s">
        <v>34</v>
      </c>
      <c r="L1953">
        <v>50</v>
      </c>
      <c r="M1953">
        <v>4.3899999999999997</v>
      </c>
      <c r="N1953">
        <v>61.36</v>
      </c>
      <c r="O1953">
        <v>1.41</v>
      </c>
      <c r="P1953">
        <v>2</v>
      </c>
      <c r="Q1953">
        <v>0.93</v>
      </c>
      <c r="R1953">
        <v>299</v>
      </c>
      <c r="S1953">
        <v>4.1100000000000003</v>
      </c>
      <c r="T1953">
        <v>0.43</v>
      </c>
      <c r="U1953" s="1">
        <v>45559</v>
      </c>
      <c r="V1953">
        <v>111.41</v>
      </c>
      <c r="W1953">
        <v>0.54600000000000004</v>
      </c>
      <c r="X1953" t="str">
        <f>IF(WarehouseData[[#This Row],[stock_level]]&lt;=WarehouseData[[#This Row],[reorder_point]],"Low Stock","Sufficient Stock")</f>
        <v>Sufficient Stock</v>
      </c>
      <c r="Y1953">
        <f>WarehouseData[[#This Row],[daily_demand]]*WarehouseData[[#This Row],[lead_time_days]]</f>
        <v>57.66</v>
      </c>
      <c r="Z1953" t="str">
        <f>IF(WarehouseData[[#This Row],[stock_level]]&lt;=WarehouseData[[#This Row],[Demand During Lead Time]],"At Risk","Safe")</f>
        <v>Safe</v>
      </c>
      <c r="AA1953">
        <f>WarehouseData[[#This Row],[stock_level]]/WarehouseData[[#This Row],[daily_demand]]</f>
        <v>29.552549427679502</v>
      </c>
      <c r="AB1953">
        <f>WarehouseData[[#This Row],[stock_level]]*WarehouseData[[#This Row],[unit_price]]</f>
        <v>17426.240000000002</v>
      </c>
      <c r="AC1953">
        <f>WarehouseData[[#This Row],[stock_level]]*WarehouseData[[#This Row],[holding_cost_per_unit_day]]*30</f>
        <v>12013.2</v>
      </c>
      <c r="AD1953" t="str">
        <f>IF(WarehouseData[[#This Row],[order_fulfillment_rate]]&gt;=0.9,"Strong",IF(WarehouseData[[#This Row],[order_fulfillment_rate]]&gt;=0.8,"Moderate","Needs Attention"))</f>
        <v>Strong</v>
      </c>
      <c r="AE1953" t="str">
        <f>IF(WarehouseData[[#This Row],[picking_time_seconds]]&gt;120,"Slow",IF(WarehouseData[[#This Row],[picking_time_seconds]]&gt;=60,"Average","Fast"))</f>
        <v>Fast</v>
      </c>
    </row>
    <row r="1954" spans="1:31" x14ac:dyDescent="0.25">
      <c r="A1954" t="s">
        <v>2092</v>
      </c>
      <c r="B1954" t="s">
        <v>36</v>
      </c>
      <c r="C1954">
        <v>297</v>
      </c>
      <c r="D1954">
        <v>12</v>
      </c>
      <c r="E1954">
        <v>6</v>
      </c>
      <c r="F1954">
        <v>9</v>
      </c>
      <c r="G1954">
        <v>16.809999999999999</v>
      </c>
      <c r="H1954">
        <v>5.66</v>
      </c>
      <c r="I1954">
        <v>0.13</v>
      </c>
      <c r="J1954" t="s">
        <v>66</v>
      </c>
      <c r="K1954" t="s">
        <v>38</v>
      </c>
      <c r="L1954">
        <v>177</v>
      </c>
      <c r="M1954">
        <v>0.88</v>
      </c>
      <c r="N1954">
        <v>42.86</v>
      </c>
      <c r="O1954">
        <v>0.85</v>
      </c>
      <c r="P1954">
        <v>5</v>
      </c>
      <c r="Q1954">
        <v>0.94</v>
      </c>
      <c r="R1954">
        <v>286</v>
      </c>
      <c r="S1954">
        <v>3.6</v>
      </c>
      <c r="T1954">
        <v>0.26</v>
      </c>
      <c r="U1954" s="1">
        <v>45395</v>
      </c>
      <c r="V1954">
        <v>113.41</v>
      </c>
      <c r="W1954">
        <v>0.503</v>
      </c>
      <c r="X1954" t="str">
        <f>IF(WarehouseData[[#This Row],[stock_level]]&lt;=WarehouseData[[#This Row],[reorder_point]],"Low Stock","Sufficient Stock")</f>
        <v>Sufficient Stock</v>
      </c>
      <c r="Y1954">
        <f>WarehouseData[[#This Row],[daily_demand]]*WarehouseData[[#This Row],[lead_time_days]]</f>
        <v>151.29</v>
      </c>
      <c r="Z1954" t="str">
        <f>IF(WarehouseData[[#This Row],[stock_level]]&lt;=WarehouseData[[#This Row],[Demand During Lead Time]],"At Risk","Safe")</f>
        <v>Safe</v>
      </c>
      <c r="AA1954">
        <f>WarehouseData[[#This Row],[stock_level]]/WarehouseData[[#This Row],[daily_demand]]</f>
        <v>17.668054729327782</v>
      </c>
      <c r="AB1954">
        <f>WarehouseData[[#This Row],[stock_level]]*WarehouseData[[#This Row],[unit_price]]</f>
        <v>12729.42</v>
      </c>
      <c r="AC1954">
        <f>WarehouseData[[#This Row],[stock_level]]*WarehouseData[[#This Row],[holding_cost_per_unit_day]]*30</f>
        <v>7573.5</v>
      </c>
      <c r="AD1954" t="str">
        <f>IF(WarehouseData[[#This Row],[order_fulfillment_rate]]&gt;=0.9,"Strong",IF(WarehouseData[[#This Row],[order_fulfillment_rate]]&gt;=0.8,"Moderate","Needs Attention"))</f>
        <v>Strong</v>
      </c>
      <c r="AE1954" t="str">
        <f>IF(WarehouseData[[#This Row],[picking_time_seconds]]&gt;120,"Slow",IF(WarehouseData[[#This Row],[picking_time_seconds]]&gt;=60,"Average","Fast"))</f>
        <v>Slow</v>
      </c>
    </row>
    <row r="1955" spans="1:31" x14ac:dyDescent="0.25">
      <c r="A1955" t="s">
        <v>2093</v>
      </c>
      <c r="B1955" t="s">
        <v>48</v>
      </c>
      <c r="C1955">
        <v>416</v>
      </c>
      <c r="D1955">
        <v>61</v>
      </c>
      <c r="E1955">
        <v>8</v>
      </c>
      <c r="F1955">
        <v>3</v>
      </c>
      <c r="G1955">
        <v>4.3099999999999996</v>
      </c>
      <c r="H1955">
        <v>9.59</v>
      </c>
      <c r="I1955">
        <v>0.16</v>
      </c>
      <c r="J1955" t="s">
        <v>217</v>
      </c>
      <c r="K1955" t="s">
        <v>52</v>
      </c>
      <c r="L1955">
        <v>20</v>
      </c>
      <c r="M1955">
        <v>2.34</v>
      </c>
      <c r="N1955">
        <v>66.25</v>
      </c>
      <c r="O1955">
        <v>0.3</v>
      </c>
      <c r="P1955">
        <v>1</v>
      </c>
      <c r="Q1955">
        <v>0.92</v>
      </c>
      <c r="R1955">
        <v>953</v>
      </c>
      <c r="S1955">
        <v>4.83</v>
      </c>
      <c r="T1955">
        <v>0.73</v>
      </c>
      <c r="U1955" s="1">
        <v>45475</v>
      </c>
      <c r="V1955">
        <v>55.49</v>
      </c>
      <c r="W1955">
        <v>0.74399999999999999</v>
      </c>
      <c r="X1955" t="str">
        <f>IF(WarehouseData[[#This Row],[stock_level]]&lt;=WarehouseData[[#This Row],[reorder_point]],"Low Stock","Sufficient Stock")</f>
        <v>Sufficient Stock</v>
      </c>
      <c r="Y1955">
        <f>WarehouseData[[#This Row],[daily_demand]]*WarehouseData[[#This Row],[lead_time_days]]</f>
        <v>12.93</v>
      </c>
      <c r="Z1955" t="str">
        <f>IF(WarehouseData[[#This Row],[stock_level]]&lt;=WarehouseData[[#This Row],[Demand During Lead Time]],"At Risk","Safe")</f>
        <v>Safe</v>
      </c>
      <c r="AA1955">
        <f>WarehouseData[[#This Row],[stock_level]]/WarehouseData[[#This Row],[daily_demand]]</f>
        <v>96.51972157772623</v>
      </c>
      <c r="AB1955">
        <f>WarehouseData[[#This Row],[stock_level]]*WarehouseData[[#This Row],[unit_price]]</f>
        <v>27560</v>
      </c>
      <c r="AC1955">
        <f>WarehouseData[[#This Row],[stock_level]]*WarehouseData[[#This Row],[holding_cost_per_unit_day]]*30</f>
        <v>3744</v>
      </c>
      <c r="AD1955" t="str">
        <f>IF(WarehouseData[[#This Row],[order_fulfillment_rate]]&gt;=0.9,"Strong",IF(WarehouseData[[#This Row],[order_fulfillment_rate]]&gt;=0.8,"Moderate","Needs Attention"))</f>
        <v>Strong</v>
      </c>
      <c r="AE1955" t="str">
        <f>IF(WarehouseData[[#This Row],[picking_time_seconds]]&gt;120,"Slow",IF(WarehouseData[[#This Row],[picking_time_seconds]]&gt;=60,"Average","Fast"))</f>
        <v>Fast</v>
      </c>
    </row>
    <row r="1956" spans="1:31" x14ac:dyDescent="0.25">
      <c r="A1956" t="s">
        <v>2094</v>
      </c>
      <c r="B1956" t="s">
        <v>32</v>
      </c>
      <c r="C1956">
        <v>108</v>
      </c>
      <c r="D1956">
        <v>56</v>
      </c>
      <c r="E1956">
        <v>8</v>
      </c>
      <c r="F1956">
        <v>8</v>
      </c>
      <c r="G1956">
        <v>2.61</v>
      </c>
      <c r="H1956">
        <v>9.0399999999999991</v>
      </c>
      <c r="I1956">
        <v>0.45</v>
      </c>
      <c r="J1956" t="s">
        <v>124</v>
      </c>
      <c r="K1956" t="s">
        <v>38</v>
      </c>
      <c r="L1956">
        <v>10</v>
      </c>
      <c r="M1956">
        <v>4.1900000000000004</v>
      </c>
      <c r="N1956">
        <v>56.88</v>
      </c>
      <c r="O1956">
        <v>1.25</v>
      </c>
      <c r="P1956">
        <v>8</v>
      </c>
      <c r="Q1956">
        <v>0.96</v>
      </c>
      <c r="R1956">
        <v>281</v>
      </c>
      <c r="S1956">
        <v>9.7799999999999994</v>
      </c>
      <c r="T1956">
        <v>0.65</v>
      </c>
      <c r="U1956" s="1">
        <v>45652</v>
      </c>
      <c r="V1956">
        <v>201.33</v>
      </c>
      <c r="W1956">
        <v>0.56699999999999995</v>
      </c>
      <c r="X1956" t="str">
        <f>IF(WarehouseData[[#This Row],[stock_level]]&lt;=WarehouseData[[#This Row],[reorder_point]],"Low Stock","Sufficient Stock")</f>
        <v>Sufficient Stock</v>
      </c>
      <c r="Y1956">
        <f>WarehouseData[[#This Row],[daily_demand]]*WarehouseData[[#This Row],[lead_time_days]]</f>
        <v>20.88</v>
      </c>
      <c r="Z1956" t="str">
        <f>IF(WarehouseData[[#This Row],[stock_level]]&lt;=WarehouseData[[#This Row],[Demand During Lead Time]],"At Risk","Safe")</f>
        <v>Safe</v>
      </c>
      <c r="AA1956">
        <f>WarehouseData[[#This Row],[stock_level]]/WarehouseData[[#This Row],[daily_demand]]</f>
        <v>41.379310344827587</v>
      </c>
      <c r="AB1956">
        <f>WarehouseData[[#This Row],[stock_level]]*WarehouseData[[#This Row],[unit_price]]</f>
        <v>6143.04</v>
      </c>
      <c r="AC1956">
        <f>WarehouseData[[#This Row],[stock_level]]*WarehouseData[[#This Row],[holding_cost_per_unit_day]]*30</f>
        <v>4050</v>
      </c>
      <c r="AD1956" t="str">
        <f>IF(WarehouseData[[#This Row],[order_fulfillment_rate]]&gt;=0.9,"Strong",IF(WarehouseData[[#This Row],[order_fulfillment_rate]]&gt;=0.8,"Moderate","Needs Attention"))</f>
        <v>Strong</v>
      </c>
      <c r="AE1956" t="str">
        <f>IF(WarehouseData[[#This Row],[picking_time_seconds]]&gt;120,"Slow",IF(WarehouseData[[#This Row],[picking_time_seconds]]&gt;=60,"Average","Fast"))</f>
        <v>Fast</v>
      </c>
    </row>
    <row r="1957" spans="1:31" x14ac:dyDescent="0.25">
      <c r="A1957" t="s">
        <v>2095</v>
      </c>
      <c r="B1957" t="s">
        <v>32</v>
      </c>
      <c r="C1957">
        <v>195</v>
      </c>
      <c r="D1957">
        <v>22</v>
      </c>
      <c r="E1957">
        <v>7</v>
      </c>
      <c r="F1957">
        <v>3</v>
      </c>
      <c r="G1957">
        <v>30.65</v>
      </c>
      <c r="H1957">
        <v>4.97</v>
      </c>
      <c r="I1957">
        <v>0.77</v>
      </c>
      <c r="J1957" t="s">
        <v>79</v>
      </c>
      <c r="K1957" t="s">
        <v>52</v>
      </c>
      <c r="L1957">
        <v>167</v>
      </c>
      <c r="M1957">
        <v>4.16</v>
      </c>
      <c r="N1957">
        <v>95.18</v>
      </c>
      <c r="O1957">
        <v>1.62</v>
      </c>
      <c r="P1957">
        <v>1</v>
      </c>
      <c r="Q1957">
        <v>0.91</v>
      </c>
      <c r="R1957">
        <v>477</v>
      </c>
      <c r="S1957">
        <v>4.3600000000000003</v>
      </c>
      <c r="T1957">
        <v>0.53</v>
      </c>
      <c r="U1957" s="1">
        <v>45501</v>
      </c>
      <c r="V1957">
        <v>186.26</v>
      </c>
      <c r="W1957">
        <v>0.56399999999999995</v>
      </c>
      <c r="X1957" t="str">
        <f>IF(WarehouseData[[#This Row],[stock_level]]&lt;=WarehouseData[[#This Row],[reorder_point]],"Low Stock","Sufficient Stock")</f>
        <v>Sufficient Stock</v>
      </c>
      <c r="Y1957">
        <f>WarehouseData[[#This Row],[daily_demand]]*WarehouseData[[#This Row],[lead_time_days]]</f>
        <v>91.949999999999989</v>
      </c>
      <c r="Z1957" t="str">
        <f>IF(WarehouseData[[#This Row],[stock_level]]&lt;=WarehouseData[[#This Row],[Demand During Lead Time]],"At Risk","Safe")</f>
        <v>Safe</v>
      </c>
      <c r="AA1957">
        <f>WarehouseData[[#This Row],[stock_level]]/WarehouseData[[#This Row],[daily_demand]]</f>
        <v>6.3621533442088092</v>
      </c>
      <c r="AB1957">
        <f>WarehouseData[[#This Row],[stock_level]]*WarehouseData[[#This Row],[unit_price]]</f>
        <v>18560.100000000002</v>
      </c>
      <c r="AC1957">
        <f>WarehouseData[[#This Row],[stock_level]]*WarehouseData[[#This Row],[holding_cost_per_unit_day]]*30</f>
        <v>9477.0000000000018</v>
      </c>
      <c r="AD1957" t="str">
        <f>IF(WarehouseData[[#This Row],[order_fulfillment_rate]]&gt;=0.9,"Strong",IF(WarehouseData[[#This Row],[order_fulfillment_rate]]&gt;=0.8,"Moderate","Needs Attention"))</f>
        <v>Strong</v>
      </c>
      <c r="AE1957" t="str">
        <f>IF(WarehouseData[[#This Row],[picking_time_seconds]]&gt;120,"Slow",IF(WarehouseData[[#This Row],[picking_time_seconds]]&gt;=60,"Average","Fast"))</f>
        <v>Slow</v>
      </c>
    </row>
    <row r="1958" spans="1:31" x14ac:dyDescent="0.25">
      <c r="A1958" t="s">
        <v>2096</v>
      </c>
      <c r="B1958" t="s">
        <v>32</v>
      </c>
      <c r="C1958">
        <v>37</v>
      </c>
      <c r="D1958">
        <v>89</v>
      </c>
      <c r="E1958">
        <v>3</v>
      </c>
      <c r="F1958">
        <v>6</v>
      </c>
      <c r="G1958">
        <v>31.34</v>
      </c>
      <c r="H1958">
        <v>7.11</v>
      </c>
      <c r="I1958">
        <v>0.92</v>
      </c>
      <c r="J1958" t="s">
        <v>192</v>
      </c>
      <c r="K1958" t="s">
        <v>38</v>
      </c>
      <c r="L1958">
        <v>91</v>
      </c>
      <c r="M1958">
        <v>1.1200000000000001</v>
      </c>
      <c r="N1958">
        <v>151.87</v>
      </c>
      <c r="O1958">
        <v>2</v>
      </c>
      <c r="P1958">
        <v>4</v>
      </c>
      <c r="Q1958">
        <v>0.89</v>
      </c>
      <c r="R1958">
        <v>683</v>
      </c>
      <c r="S1958">
        <v>1.85</v>
      </c>
      <c r="T1958">
        <v>0.94</v>
      </c>
      <c r="U1958" s="1">
        <v>45443</v>
      </c>
      <c r="V1958">
        <v>294.86</v>
      </c>
      <c r="W1958">
        <v>0.51100000000000001</v>
      </c>
      <c r="X1958" t="str">
        <f>IF(WarehouseData[[#This Row],[stock_level]]&lt;=WarehouseData[[#This Row],[reorder_point]],"Low Stock","Sufficient Stock")</f>
        <v>Low Stock</v>
      </c>
      <c r="Y1958">
        <f>WarehouseData[[#This Row],[daily_demand]]*WarehouseData[[#This Row],[lead_time_days]]</f>
        <v>188.04</v>
      </c>
      <c r="Z1958" t="str">
        <f>IF(WarehouseData[[#This Row],[stock_level]]&lt;=WarehouseData[[#This Row],[Demand During Lead Time]],"At Risk","Safe")</f>
        <v>At Risk</v>
      </c>
      <c r="AA1958">
        <f>WarehouseData[[#This Row],[stock_level]]/WarehouseData[[#This Row],[daily_demand]]</f>
        <v>1.1805998723675815</v>
      </c>
      <c r="AB1958">
        <f>WarehouseData[[#This Row],[stock_level]]*WarehouseData[[#This Row],[unit_price]]</f>
        <v>5619.1900000000005</v>
      </c>
      <c r="AC1958">
        <f>WarehouseData[[#This Row],[stock_level]]*WarehouseData[[#This Row],[holding_cost_per_unit_day]]*30</f>
        <v>2220</v>
      </c>
      <c r="AD1958" t="str">
        <f>IF(WarehouseData[[#This Row],[order_fulfillment_rate]]&gt;=0.9,"Strong",IF(WarehouseData[[#This Row],[order_fulfillment_rate]]&gt;=0.8,"Moderate","Needs Attention"))</f>
        <v>Moderate</v>
      </c>
      <c r="AE1958" t="str">
        <f>IF(WarehouseData[[#This Row],[picking_time_seconds]]&gt;120,"Slow",IF(WarehouseData[[#This Row],[picking_time_seconds]]&gt;=60,"Average","Fast"))</f>
        <v>Average</v>
      </c>
    </row>
    <row r="1959" spans="1:31" x14ac:dyDescent="0.25">
      <c r="A1959" t="s">
        <v>2097</v>
      </c>
      <c r="B1959" t="s">
        <v>73</v>
      </c>
      <c r="C1959">
        <v>390</v>
      </c>
      <c r="D1959">
        <v>64</v>
      </c>
      <c r="E1959">
        <v>5</v>
      </c>
      <c r="F1959">
        <v>5</v>
      </c>
      <c r="G1959">
        <v>26.95</v>
      </c>
      <c r="H1959">
        <v>6.01</v>
      </c>
      <c r="I1959">
        <v>0.13</v>
      </c>
      <c r="J1959" t="s">
        <v>338</v>
      </c>
      <c r="K1959" t="s">
        <v>46</v>
      </c>
      <c r="L1959">
        <v>35</v>
      </c>
      <c r="M1959">
        <v>2.69</v>
      </c>
      <c r="N1959">
        <v>115.28</v>
      </c>
      <c r="O1959">
        <v>0.52</v>
      </c>
      <c r="P1959">
        <v>5</v>
      </c>
      <c r="Q1959">
        <v>0.84</v>
      </c>
      <c r="R1959">
        <v>291</v>
      </c>
      <c r="S1959">
        <v>6.03</v>
      </c>
      <c r="T1959">
        <v>0.61</v>
      </c>
      <c r="U1959" s="1">
        <v>45374</v>
      </c>
      <c r="V1959">
        <v>58.62</v>
      </c>
      <c r="W1959">
        <v>0.61799999999999999</v>
      </c>
      <c r="X1959" t="str">
        <f>IF(WarehouseData[[#This Row],[stock_level]]&lt;=WarehouseData[[#This Row],[reorder_point]],"Low Stock","Sufficient Stock")</f>
        <v>Sufficient Stock</v>
      </c>
      <c r="Y1959">
        <f>WarehouseData[[#This Row],[daily_demand]]*WarehouseData[[#This Row],[lead_time_days]]</f>
        <v>134.75</v>
      </c>
      <c r="Z1959" t="str">
        <f>IF(WarehouseData[[#This Row],[stock_level]]&lt;=WarehouseData[[#This Row],[Demand During Lead Time]],"At Risk","Safe")</f>
        <v>Safe</v>
      </c>
      <c r="AA1959">
        <f>WarehouseData[[#This Row],[stock_level]]/WarehouseData[[#This Row],[daily_demand]]</f>
        <v>14.471243042671615</v>
      </c>
      <c r="AB1959">
        <f>WarehouseData[[#This Row],[stock_level]]*WarehouseData[[#This Row],[unit_price]]</f>
        <v>44959.199999999997</v>
      </c>
      <c r="AC1959">
        <f>WarehouseData[[#This Row],[stock_level]]*WarehouseData[[#This Row],[holding_cost_per_unit_day]]*30</f>
        <v>6084</v>
      </c>
      <c r="AD1959" t="str">
        <f>IF(WarehouseData[[#This Row],[order_fulfillment_rate]]&gt;=0.9,"Strong",IF(WarehouseData[[#This Row],[order_fulfillment_rate]]&gt;=0.8,"Moderate","Needs Attention"))</f>
        <v>Moderate</v>
      </c>
      <c r="AE1959" t="str">
        <f>IF(WarehouseData[[#This Row],[picking_time_seconds]]&gt;120,"Slow",IF(WarehouseData[[#This Row],[picking_time_seconds]]&gt;=60,"Average","Fast"))</f>
        <v>Fast</v>
      </c>
    </row>
    <row r="1960" spans="1:31" x14ac:dyDescent="0.25">
      <c r="A1960" t="s">
        <v>2098</v>
      </c>
      <c r="B1960" t="s">
        <v>32</v>
      </c>
      <c r="C1960">
        <v>479</v>
      </c>
      <c r="D1960">
        <v>30</v>
      </c>
      <c r="E1960">
        <v>7</v>
      </c>
      <c r="F1960">
        <v>8</v>
      </c>
      <c r="G1960">
        <v>38.35</v>
      </c>
      <c r="H1960">
        <v>7.09</v>
      </c>
      <c r="I1960">
        <v>0.43</v>
      </c>
      <c r="J1960" t="s">
        <v>202</v>
      </c>
      <c r="K1960" t="s">
        <v>34</v>
      </c>
      <c r="L1960">
        <v>62</v>
      </c>
      <c r="M1960">
        <v>2.66</v>
      </c>
      <c r="N1960">
        <v>125.74</v>
      </c>
      <c r="O1960">
        <v>1.43</v>
      </c>
      <c r="P1960">
        <v>3</v>
      </c>
      <c r="Q1960">
        <v>0.84</v>
      </c>
      <c r="R1960">
        <v>183</v>
      </c>
      <c r="S1960">
        <v>9.19</v>
      </c>
      <c r="T1960">
        <v>0.91</v>
      </c>
      <c r="U1960" s="1">
        <v>45312</v>
      </c>
      <c r="V1960">
        <v>251.86</v>
      </c>
      <c r="W1960">
        <v>0.67</v>
      </c>
      <c r="X1960" t="str">
        <f>IF(WarehouseData[[#This Row],[stock_level]]&lt;=WarehouseData[[#This Row],[reorder_point]],"Low Stock","Sufficient Stock")</f>
        <v>Sufficient Stock</v>
      </c>
      <c r="Y1960">
        <f>WarehouseData[[#This Row],[daily_demand]]*WarehouseData[[#This Row],[lead_time_days]]</f>
        <v>306.8</v>
      </c>
      <c r="Z1960" t="str">
        <f>IF(WarehouseData[[#This Row],[stock_level]]&lt;=WarehouseData[[#This Row],[Demand During Lead Time]],"At Risk","Safe")</f>
        <v>Safe</v>
      </c>
      <c r="AA1960">
        <f>WarehouseData[[#This Row],[stock_level]]/WarehouseData[[#This Row],[daily_demand]]</f>
        <v>12.490221642764014</v>
      </c>
      <c r="AB1960">
        <f>WarehouseData[[#This Row],[stock_level]]*WarehouseData[[#This Row],[unit_price]]</f>
        <v>60229.46</v>
      </c>
      <c r="AC1960">
        <f>WarehouseData[[#This Row],[stock_level]]*WarehouseData[[#This Row],[holding_cost_per_unit_day]]*30</f>
        <v>20549.099999999999</v>
      </c>
      <c r="AD1960" t="str">
        <f>IF(WarehouseData[[#This Row],[order_fulfillment_rate]]&gt;=0.9,"Strong",IF(WarehouseData[[#This Row],[order_fulfillment_rate]]&gt;=0.8,"Moderate","Needs Attention"))</f>
        <v>Moderate</v>
      </c>
      <c r="AE1960" t="str">
        <f>IF(WarehouseData[[#This Row],[picking_time_seconds]]&gt;120,"Slow",IF(WarehouseData[[#This Row],[picking_time_seconds]]&gt;=60,"Average","Fast"))</f>
        <v>Average</v>
      </c>
    </row>
    <row r="1961" spans="1:31" x14ac:dyDescent="0.25">
      <c r="A1961" t="s">
        <v>2099</v>
      </c>
      <c r="B1961" t="s">
        <v>36</v>
      </c>
      <c r="C1961">
        <v>443</v>
      </c>
      <c r="D1961">
        <v>75</v>
      </c>
      <c r="E1961">
        <v>8</v>
      </c>
      <c r="F1961">
        <v>3</v>
      </c>
      <c r="G1961">
        <v>2.92</v>
      </c>
      <c r="H1961">
        <v>8.3800000000000008</v>
      </c>
      <c r="I1961">
        <v>0.3</v>
      </c>
      <c r="J1961" t="s">
        <v>98</v>
      </c>
      <c r="K1961" t="s">
        <v>52</v>
      </c>
      <c r="L1961">
        <v>134</v>
      </c>
      <c r="M1961">
        <v>1.96</v>
      </c>
      <c r="N1961">
        <v>99.31</v>
      </c>
      <c r="O1961">
        <v>0.15</v>
      </c>
      <c r="P1961">
        <v>6</v>
      </c>
      <c r="Q1961">
        <v>0.82</v>
      </c>
      <c r="R1961">
        <v>120</v>
      </c>
      <c r="S1961">
        <v>1.84</v>
      </c>
      <c r="T1961">
        <v>0.66</v>
      </c>
      <c r="U1961" s="1">
        <v>45572</v>
      </c>
      <c r="V1961">
        <v>19.82</v>
      </c>
      <c r="W1961">
        <v>0.58599999999999997</v>
      </c>
      <c r="X1961" t="str">
        <f>IF(WarehouseData[[#This Row],[stock_level]]&lt;=WarehouseData[[#This Row],[reorder_point]],"Low Stock","Sufficient Stock")</f>
        <v>Sufficient Stock</v>
      </c>
      <c r="Y1961">
        <f>WarehouseData[[#This Row],[daily_demand]]*WarehouseData[[#This Row],[lead_time_days]]</f>
        <v>8.76</v>
      </c>
      <c r="Z1961" t="str">
        <f>IF(WarehouseData[[#This Row],[stock_level]]&lt;=WarehouseData[[#This Row],[Demand During Lead Time]],"At Risk","Safe")</f>
        <v>Safe</v>
      </c>
      <c r="AA1961">
        <f>WarehouseData[[#This Row],[stock_level]]/WarehouseData[[#This Row],[daily_demand]]</f>
        <v>151.7123287671233</v>
      </c>
      <c r="AB1961">
        <f>WarehouseData[[#This Row],[stock_level]]*WarehouseData[[#This Row],[unit_price]]</f>
        <v>43994.33</v>
      </c>
      <c r="AC1961">
        <f>WarehouseData[[#This Row],[stock_level]]*WarehouseData[[#This Row],[holding_cost_per_unit_day]]*30</f>
        <v>1993.5</v>
      </c>
      <c r="AD1961" t="str">
        <f>IF(WarehouseData[[#This Row],[order_fulfillment_rate]]&gt;=0.9,"Strong",IF(WarehouseData[[#This Row],[order_fulfillment_rate]]&gt;=0.8,"Moderate","Needs Attention"))</f>
        <v>Moderate</v>
      </c>
      <c r="AE1961" t="str">
        <f>IF(WarehouseData[[#This Row],[picking_time_seconds]]&gt;120,"Slow",IF(WarehouseData[[#This Row],[picking_time_seconds]]&gt;=60,"Average","Fast"))</f>
        <v>Slow</v>
      </c>
    </row>
    <row r="1962" spans="1:31" x14ac:dyDescent="0.25">
      <c r="A1962" t="s">
        <v>2100</v>
      </c>
      <c r="B1962" t="s">
        <v>48</v>
      </c>
      <c r="C1962">
        <v>420</v>
      </c>
      <c r="D1962">
        <v>63</v>
      </c>
      <c r="E1962">
        <v>3</v>
      </c>
      <c r="F1962">
        <v>4</v>
      </c>
      <c r="G1962">
        <v>46.86</v>
      </c>
      <c r="H1962">
        <v>0.83</v>
      </c>
      <c r="I1962">
        <v>0.83</v>
      </c>
      <c r="J1962" t="s">
        <v>70</v>
      </c>
      <c r="K1962" t="s">
        <v>46</v>
      </c>
      <c r="L1962">
        <v>18</v>
      </c>
      <c r="M1962">
        <v>4.63</v>
      </c>
      <c r="N1962">
        <v>71.7</v>
      </c>
      <c r="O1962">
        <v>1.94</v>
      </c>
      <c r="P1962">
        <v>6</v>
      </c>
      <c r="Q1962">
        <v>0.89</v>
      </c>
      <c r="R1962">
        <v>907</v>
      </c>
      <c r="S1962">
        <v>7.34</v>
      </c>
      <c r="T1962">
        <v>0.5</v>
      </c>
      <c r="U1962" s="1">
        <v>45546</v>
      </c>
      <c r="V1962">
        <v>31.26</v>
      </c>
      <c r="W1962">
        <v>0.46200000000000002</v>
      </c>
      <c r="X1962" t="str">
        <f>IF(WarehouseData[[#This Row],[stock_level]]&lt;=WarehouseData[[#This Row],[reorder_point]],"Low Stock","Sufficient Stock")</f>
        <v>Sufficient Stock</v>
      </c>
      <c r="Y1962">
        <f>WarehouseData[[#This Row],[daily_demand]]*WarehouseData[[#This Row],[lead_time_days]]</f>
        <v>187.44</v>
      </c>
      <c r="Z1962" t="str">
        <f>IF(WarehouseData[[#This Row],[stock_level]]&lt;=WarehouseData[[#This Row],[Demand During Lead Time]],"At Risk","Safe")</f>
        <v>Safe</v>
      </c>
      <c r="AA1962">
        <f>WarehouseData[[#This Row],[stock_level]]/WarehouseData[[#This Row],[daily_demand]]</f>
        <v>8.9628681177976954</v>
      </c>
      <c r="AB1962">
        <f>WarehouseData[[#This Row],[stock_level]]*WarehouseData[[#This Row],[unit_price]]</f>
        <v>30114</v>
      </c>
      <c r="AC1962">
        <f>WarehouseData[[#This Row],[stock_level]]*WarehouseData[[#This Row],[holding_cost_per_unit_day]]*30</f>
        <v>24444</v>
      </c>
      <c r="AD1962" t="str">
        <f>IF(WarehouseData[[#This Row],[order_fulfillment_rate]]&gt;=0.9,"Strong",IF(WarehouseData[[#This Row],[order_fulfillment_rate]]&gt;=0.8,"Moderate","Needs Attention"))</f>
        <v>Moderate</v>
      </c>
      <c r="AE1962" t="str">
        <f>IF(WarehouseData[[#This Row],[picking_time_seconds]]&gt;120,"Slow",IF(WarehouseData[[#This Row],[picking_time_seconds]]&gt;=60,"Average","Fast"))</f>
        <v>Fast</v>
      </c>
    </row>
    <row r="1963" spans="1:31" x14ac:dyDescent="0.25">
      <c r="A1963" t="s">
        <v>2101</v>
      </c>
      <c r="B1963" t="s">
        <v>40</v>
      </c>
      <c r="C1963">
        <v>418</v>
      </c>
      <c r="D1963">
        <v>36</v>
      </c>
      <c r="E1963">
        <v>11</v>
      </c>
      <c r="F1963">
        <v>3</v>
      </c>
      <c r="G1963">
        <v>5.66</v>
      </c>
      <c r="H1963">
        <v>3.59</v>
      </c>
      <c r="I1963">
        <v>0.86</v>
      </c>
      <c r="J1963" t="s">
        <v>217</v>
      </c>
      <c r="K1963" t="s">
        <v>38</v>
      </c>
      <c r="L1963">
        <v>18</v>
      </c>
      <c r="M1963">
        <v>3.44</v>
      </c>
      <c r="N1963">
        <v>37.270000000000003</v>
      </c>
      <c r="O1963">
        <v>0.12</v>
      </c>
      <c r="P1963">
        <v>6</v>
      </c>
      <c r="Q1963">
        <v>0.82</v>
      </c>
      <c r="R1963">
        <v>514</v>
      </c>
      <c r="S1963">
        <v>1.73</v>
      </c>
      <c r="T1963">
        <v>0.63</v>
      </c>
      <c r="U1963" s="1">
        <v>45398</v>
      </c>
      <c r="V1963">
        <v>197.93</v>
      </c>
      <c r="W1963">
        <v>0.58099999999999996</v>
      </c>
      <c r="X1963" t="str">
        <f>IF(WarehouseData[[#This Row],[stock_level]]&lt;=WarehouseData[[#This Row],[reorder_point]],"Low Stock","Sufficient Stock")</f>
        <v>Sufficient Stock</v>
      </c>
      <c r="Y1963">
        <f>WarehouseData[[#This Row],[daily_demand]]*WarehouseData[[#This Row],[lead_time_days]]</f>
        <v>16.98</v>
      </c>
      <c r="Z1963" t="str">
        <f>IF(WarehouseData[[#This Row],[stock_level]]&lt;=WarehouseData[[#This Row],[Demand During Lead Time]],"At Risk","Safe")</f>
        <v>Safe</v>
      </c>
      <c r="AA1963">
        <f>WarehouseData[[#This Row],[stock_level]]/WarehouseData[[#This Row],[daily_demand]]</f>
        <v>73.851590106007066</v>
      </c>
      <c r="AB1963">
        <f>WarehouseData[[#This Row],[stock_level]]*WarehouseData[[#This Row],[unit_price]]</f>
        <v>15578.86</v>
      </c>
      <c r="AC1963">
        <f>WarehouseData[[#This Row],[stock_level]]*WarehouseData[[#This Row],[holding_cost_per_unit_day]]*30</f>
        <v>1504.8</v>
      </c>
      <c r="AD1963" t="str">
        <f>IF(WarehouseData[[#This Row],[order_fulfillment_rate]]&gt;=0.9,"Strong",IF(WarehouseData[[#This Row],[order_fulfillment_rate]]&gt;=0.8,"Moderate","Needs Attention"))</f>
        <v>Moderate</v>
      </c>
      <c r="AE1963" t="str">
        <f>IF(WarehouseData[[#This Row],[picking_time_seconds]]&gt;120,"Slow",IF(WarehouseData[[#This Row],[picking_time_seconds]]&gt;=60,"Average","Fast"))</f>
        <v>Fast</v>
      </c>
    </row>
    <row r="1964" spans="1:31" x14ac:dyDescent="0.25">
      <c r="A1964" t="s">
        <v>2102</v>
      </c>
      <c r="B1964" t="s">
        <v>36</v>
      </c>
      <c r="C1964">
        <v>125</v>
      </c>
      <c r="D1964">
        <v>47</v>
      </c>
      <c r="E1964">
        <v>5</v>
      </c>
      <c r="F1964">
        <v>7</v>
      </c>
      <c r="G1964">
        <v>34.03</v>
      </c>
      <c r="H1964">
        <v>9.61</v>
      </c>
      <c r="I1964">
        <v>0.28999999999999998</v>
      </c>
      <c r="J1964" t="s">
        <v>178</v>
      </c>
      <c r="K1964" t="s">
        <v>46</v>
      </c>
      <c r="L1964">
        <v>138</v>
      </c>
      <c r="M1964">
        <v>4.91</v>
      </c>
      <c r="N1964">
        <v>77.37</v>
      </c>
      <c r="O1964">
        <v>0.78</v>
      </c>
      <c r="P1964">
        <v>6</v>
      </c>
      <c r="Q1964">
        <v>0.74</v>
      </c>
      <c r="R1964">
        <v>470</v>
      </c>
      <c r="S1964">
        <v>11.75</v>
      </c>
      <c r="T1964">
        <v>0.32</v>
      </c>
      <c r="U1964" s="1">
        <v>45644</v>
      </c>
      <c r="V1964">
        <v>127.88</v>
      </c>
      <c r="W1964">
        <v>0.57099999999999995</v>
      </c>
      <c r="X1964" t="str">
        <f>IF(WarehouseData[[#This Row],[stock_level]]&lt;=WarehouseData[[#This Row],[reorder_point]],"Low Stock","Sufficient Stock")</f>
        <v>Sufficient Stock</v>
      </c>
      <c r="Y1964">
        <f>WarehouseData[[#This Row],[daily_demand]]*WarehouseData[[#This Row],[lead_time_days]]</f>
        <v>238.21</v>
      </c>
      <c r="Z1964" t="str">
        <f>IF(WarehouseData[[#This Row],[stock_level]]&lt;=WarehouseData[[#This Row],[Demand During Lead Time]],"At Risk","Safe")</f>
        <v>At Risk</v>
      </c>
      <c r="AA1964">
        <f>WarehouseData[[#This Row],[stock_level]]/WarehouseData[[#This Row],[daily_demand]]</f>
        <v>3.6732295033793712</v>
      </c>
      <c r="AB1964">
        <f>WarehouseData[[#This Row],[stock_level]]*WarehouseData[[#This Row],[unit_price]]</f>
        <v>9671.25</v>
      </c>
      <c r="AC1964">
        <f>WarehouseData[[#This Row],[stock_level]]*WarehouseData[[#This Row],[holding_cost_per_unit_day]]*30</f>
        <v>2925</v>
      </c>
      <c r="AD1964" t="str">
        <f>IF(WarehouseData[[#This Row],[order_fulfillment_rate]]&gt;=0.9,"Strong",IF(WarehouseData[[#This Row],[order_fulfillment_rate]]&gt;=0.8,"Moderate","Needs Attention"))</f>
        <v>Needs Attention</v>
      </c>
      <c r="AE1964" t="str">
        <f>IF(WarehouseData[[#This Row],[picking_time_seconds]]&gt;120,"Slow",IF(WarehouseData[[#This Row],[picking_time_seconds]]&gt;=60,"Average","Fast"))</f>
        <v>Slow</v>
      </c>
    </row>
    <row r="1965" spans="1:31" x14ac:dyDescent="0.25">
      <c r="A1965" t="s">
        <v>2103</v>
      </c>
      <c r="B1965" t="s">
        <v>36</v>
      </c>
      <c r="C1965">
        <v>290</v>
      </c>
      <c r="D1965">
        <v>99</v>
      </c>
      <c r="E1965">
        <v>12</v>
      </c>
      <c r="F1965">
        <v>6</v>
      </c>
      <c r="G1965">
        <v>7.54</v>
      </c>
      <c r="H1965">
        <v>9.52</v>
      </c>
      <c r="I1965">
        <v>0.74</v>
      </c>
      <c r="J1965" t="s">
        <v>477</v>
      </c>
      <c r="K1965" t="s">
        <v>34</v>
      </c>
      <c r="L1965">
        <v>68</v>
      </c>
      <c r="M1965">
        <v>0.8</v>
      </c>
      <c r="N1965">
        <v>136.38999999999999</v>
      </c>
      <c r="O1965">
        <v>0.25</v>
      </c>
      <c r="P1965">
        <v>9</v>
      </c>
      <c r="Q1965">
        <v>0.73</v>
      </c>
      <c r="R1965">
        <v>359</v>
      </c>
      <c r="S1965">
        <v>13.21</v>
      </c>
      <c r="T1965">
        <v>0.74</v>
      </c>
      <c r="U1965" s="1">
        <v>45538</v>
      </c>
      <c r="V1965">
        <v>76.849999999999994</v>
      </c>
      <c r="W1965">
        <v>0.66500000000000004</v>
      </c>
      <c r="X1965" t="str">
        <f>IF(WarehouseData[[#This Row],[stock_level]]&lt;=WarehouseData[[#This Row],[reorder_point]],"Low Stock","Sufficient Stock")</f>
        <v>Sufficient Stock</v>
      </c>
      <c r="Y1965">
        <f>WarehouseData[[#This Row],[daily_demand]]*WarehouseData[[#This Row],[lead_time_days]]</f>
        <v>45.24</v>
      </c>
      <c r="Z1965" t="str">
        <f>IF(WarehouseData[[#This Row],[stock_level]]&lt;=WarehouseData[[#This Row],[Demand During Lead Time]],"At Risk","Safe")</f>
        <v>Safe</v>
      </c>
      <c r="AA1965">
        <f>WarehouseData[[#This Row],[stock_level]]/WarehouseData[[#This Row],[daily_demand]]</f>
        <v>38.46153846153846</v>
      </c>
      <c r="AB1965">
        <f>WarehouseData[[#This Row],[stock_level]]*WarehouseData[[#This Row],[unit_price]]</f>
        <v>39553.1</v>
      </c>
      <c r="AC1965">
        <f>WarehouseData[[#This Row],[stock_level]]*WarehouseData[[#This Row],[holding_cost_per_unit_day]]*30</f>
        <v>2175</v>
      </c>
      <c r="AD1965" t="str">
        <f>IF(WarehouseData[[#This Row],[order_fulfillment_rate]]&gt;=0.9,"Strong",IF(WarehouseData[[#This Row],[order_fulfillment_rate]]&gt;=0.8,"Moderate","Needs Attention"))</f>
        <v>Needs Attention</v>
      </c>
      <c r="AE1965" t="str">
        <f>IF(WarehouseData[[#This Row],[picking_time_seconds]]&gt;120,"Slow",IF(WarehouseData[[#This Row],[picking_time_seconds]]&gt;=60,"Average","Fast"))</f>
        <v>Average</v>
      </c>
    </row>
    <row r="1966" spans="1:31" x14ac:dyDescent="0.25">
      <c r="A1966" t="s">
        <v>2104</v>
      </c>
      <c r="B1966" t="s">
        <v>32</v>
      </c>
      <c r="C1966">
        <v>482</v>
      </c>
      <c r="D1966">
        <v>67</v>
      </c>
      <c r="E1966">
        <v>5</v>
      </c>
      <c r="F1966">
        <v>2</v>
      </c>
      <c r="G1966">
        <v>44.12</v>
      </c>
      <c r="H1966">
        <v>0.61</v>
      </c>
      <c r="I1966">
        <v>0.76</v>
      </c>
      <c r="J1966" t="s">
        <v>192</v>
      </c>
      <c r="K1966" t="s">
        <v>52</v>
      </c>
      <c r="L1966">
        <v>115</v>
      </c>
      <c r="M1966">
        <v>2.27</v>
      </c>
      <c r="N1966">
        <v>149.41999999999999</v>
      </c>
      <c r="O1966">
        <v>1.28</v>
      </c>
      <c r="P1966">
        <v>9</v>
      </c>
      <c r="Q1966">
        <v>0.98</v>
      </c>
      <c r="R1966">
        <v>328</v>
      </c>
      <c r="S1966">
        <v>14.49</v>
      </c>
      <c r="T1966">
        <v>0.99</v>
      </c>
      <c r="U1966" s="1">
        <v>45461</v>
      </c>
      <c r="V1966">
        <v>10.8</v>
      </c>
      <c r="W1966">
        <v>0.67900000000000005</v>
      </c>
      <c r="X1966" t="str">
        <f>IF(WarehouseData[[#This Row],[stock_level]]&lt;=WarehouseData[[#This Row],[reorder_point]],"Low Stock","Sufficient Stock")</f>
        <v>Sufficient Stock</v>
      </c>
      <c r="Y1966">
        <f>WarehouseData[[#This Row],[daily_demand]]*WarehouseData[[#This Row],[lead_time_days]]</f>
        <v>88.24</v>
      </c>
      <c r="Z1966" t="str">
        <f>IF(WarehouseData[[#This Row],[stock_level]]&lt;=WarehouseData[[#This Row],[Demand During Lead Time]],"At Risk","Safe")</f>
        <v>Safe</v>
      </c>
      <c r="AA1966">
        <f>WarehouseData[[#This Row],[stock_level]]/WarehouseData[[#This Row],[daily_demand]]</f>
        <v>10.924750679963736</v>
      </c>
      <c r="AB1966">
        <f>WarehouseData[[#This Row],[stock_level]]*WarehouseData[[#This Row],[unit_price]]</f>
        <v>72020.439999999988</v>
      </c>
      <c r="AC1966">
        <f>WarehouseData[[#This Row],[stock_level]]*WarehouseData[[#This Row],[holding_cost_per_unit_day]]*30</f>
        <v>18508.800000000003</v>
      </c>
      <c r="AD1966" t="str">
        <f>IF(WarehouseData[[#This Row],[order_fulfillment_rate]]&gt;=0.9,"Strong",IF(WarehouseData[[#This Row],[order_fulfillment_rate]]&gt;=0.8,"Moderate","Needs Attention"))</f>
        <v>Strong</v>
      </c>
      <c r="AE1966" t="str">
        <f>IF(WarehouseData[[#This Row],[picking_time_seconds]]&gt;120,"Slow",IF(WarehouseData[[#This Row],[picking_time_seconds]]&gt;=60,"Average","Fast"))</f>
        <v>Average</v>
      </c>
    </row>
    <row r="1967" spans="1:31" x14ac:dyDescent="0.25">
      <c r="A1967" t="s">
        <v>2105</v>
      </c>
      <c r="B1967" t="s">
        <v>73</v>
      </c>
      <c r="C1967">
        <v>338</v>
      </c>
      <c r="D1967">
        <v>71</v>
      </c>
      <c r="E1967">
        <v>13</v>
      </c>
      <c r="F1967">
        <v>3</v>
      </c>
      <c r="G1967">
        <v>26.02</v>
      </c>
      <c r="H1967">
        <v>2.41</v>
      </c>
      <c r="I1967">
        <v>0.26</v>
      </c>
      <c r="J1967" t="s">
        <v>190</v>
      </c>
      <c r="K1967" t="s">
        <v>52</v>
      </c>
      <c r="L1967">
        <v>134</v>
      </c>
      <c r="M1967">
        <v>4.26</v>
      </c>
      <c r="N1967">
        <v>99.14</v>
      </c>
      <c r="O1967">
        <v>0.75</v>
      </c>
      <c r="P1967">
        <v>8</v>
      </c>
      <c r="Q1967">
        <v>0.71</v>
      </c>
      <c r="R1967">
        <v>268</v>
      </c>
      <c r="S1967">
        <v>10.68</v>
      </c>
      <c r="T1967">
        <v>0.4</v>
      </c>
      <c r="U1967" s="1">
        <v>45412</v>
      </c>
      <c r="V1967">
        <v>202.31</v>
      </c>
      <c r="W1967">
        <v>0.52900000000000003</v>
      </c>
      <c r="X1967" t="str">
        <f>IF(WarehouseData[[#This Row],[stock_level]]&lt;=WarehouseData[[#This Row],[reorder_point]],"Low Stock","Sufficient Stock")</f>
        <v>Sufficient Stock</v>
      </c>
      <c r="Y1967">
        <f>WarehouseData[[#This Row],[daily_demand]]*WarehouseData[[#This Row],[lead_time_days]]</f>
        <v>78.06</v>
      </c>
      <c r="Z1967" t="str">
        <f>IF(WarehouseData[[#This Row],[stock_level]]&lt;=WarehouseData[[#This Row],[Demand During Lead Time]],"At Risk","Safe")</f>
        <v>Safe</v>
      </c>
      <c r="AA1967">
        <f>WarehouseData[[#This Row],[stock_level]]/WarehouseData[[#This Row],[daily_demand]]</f>
        <v>12.990007686395082</v>
      </c>
      <c r="AB1967">
        <f>WarehouseData[[#This Row],[stock_level]]*WarehouseData[[#This Row],[unit_price]]</f>
        <v>33509.32</v>
      </c>
      <c r="AC1967">
        <f>WarehouseData[[#This Row],[stock_level]]*WarehouseData[[#This Row],[holding_cost_per_unit_day]]*30</f>
        <v>7605</v>
      </c>
      <c r="AD1967" t="str">
        <f>IF(WarehouseData[[#This Row],[order_fulfillment_rate]]&gt;=0.9,"Strong",IF(WarehouseData[[#This Row],[order_fulfillment_rate]]&gt;=0.8,"Moderate","Needs Attention"))</f>
        <v>Needs Attention</v>
      </c>
      <c r="AE1967" t="str">
        <f>IF(WarehouseData[[#This Row],[picking_time_seconds]]&gt;120,"Slow",IF(WarehouseData[[#This Row],[picking_time_seconds]]&gt;=60,"Average","Fast"))</f>
        <v>Slow</v>
      </c>
    </row>
    <row r="1968" spans="1:31" x14ac:dyDescent="0.25">
      <c r="A1968" t="s">
        <v>2106</v>
      </c>
      <c r="B1968" t="s">
        <v>48</v>
      </c>
      <c r="C1968">
        <v>186</v>
      </c>
      <c r="D1968">
        <v>55</v>
      </c>
      <c r="E1968">
        <v>4</v>
      </c>
      <c r="F1968">
        <v>5</v>
      </c>
      <c r="G1968">
        <v>5.03</v>
      </c>
      <c r="H1968">
        <v>9.94</v>
      </c>
      <c r="I1968">
        <v>0.49</v>
      </c>
      <c r="J1968" t="s">
        <v>64</v>
      </c>
      <c r="K1968" t="s">
        <v>38</v>
      </c>
      <c r="L1968">
        <v>25</v>
      </c>
      <c r="M1968">
        <v>2.4</v>
      </c>
      <c r="N1968">
        <v>132.55000000000001</v>
      </c>
      <c r="O1968">
        <v>1.49</v>
      </c>
      <c r="P1968">
        <v>1</v>
      </c>
      <c r="Q1968">
        <v>0.73</v>
      </c>
      <c r="R1968">
        <v>746</v>
      </c>
      <c r="S1968">
        <v>9.85</v>
      </c>
      <c r="T1968">
        <v>0.46</v>
      </c>
      <c r="U1968" s="1">
        <v>45293</v>
      </c>
      <c r="V1968">
        <v>137.85</v>
      </c>
      <c r="W1968">
        <v>0.6</v>
      </c>
      <c r="X1968" t="str">
        <f>IF(WarehouseData[[#This Row],[stock_level]]&lt;=WarehouseData[[#This Row],[reorder_point]],"Low Stock","Sufficient Stock")</f>
        <v>Sufficient Stock</v>
      </c>
      <c r="Y1968">
        <f>WarehouseData[[#This Row],[daily_demand]]*WarehouseData[[#This Row],[lead_time_days]]</f>
        <v>25.150000000000002</v>
      </c>
      <c r="Z1968" t="str">
        <f>IF(WarehouseData[[#This Row],[stock_level]]&lt;=WarehouseData[[#This Row],[Demand During Lead Time]],"At Risk","Safe")</f>
        <v>Safe</v>
      </c>
      <c r="AA1968">
        <f>WarehouseData[[#This Row],[stock_level]]/WarehouseData[[#This Row],[daily_demand]]</f>
        <v>36.978131212723653</v>
      </c>
      <c r="AB1968">
        <f>WarehouseData[[#This Row],[stock_level]]*WarehouseData[[#This Row],[unit_price]]</f>
        <v>24654.300000000003</v>
      </c>
      <c r="AC1968">
        <f>WarehouseData[[#This Row],[stock_level]]*WarehouseData[[#This Row],[holding_cost_per_unit_day]]*30</f>
        <v>8314.1999999999989</v>
      </c>
      <c r="AD1968" t="str">
        <f>IF(WarehouseData[[#This Row],[order_fulfillment_rate]]&gt;=0.9,"Strong",IF(WarehouseData[[#This Row],[order_fulfillment_rate]]&gt;=0.8,"Moderate","Needs Attention"))</f>
        <v>Needs Attention</v>
      </c>
      <c r="AE1968" t="str">
        <f>IF(WarehouseData[[#This Row],[picking_time_seconds]]&gt;120,"Slow",IF(WarehouseData[[#This Row],[picking_time_seconds]]&gt;=60,"Average","Fast"))</f>
        <v>Fast</v>
      </c>
    </row>
    <row r="1969" spans="1:31" x14ac:dyDescent="0.25">
      <c r="A1969" t="s">
        <v>2107</v>
      </c>
      <c r="B1969" t="s">
        <v>73</v>
      </c>
      <c r="C1969">
        <v>32</v>
      </c>
      <c r="D1969">
        <v>98</v>
      </c>
      <c r="E1969">
        <v>10</v>
      </c>
      <c r="F1969">
        <v>4</v>
      </c>
      <c r="G1969">
        <v>31.22</v>
      </c>
      <c r="H1969">
        <v>5.18</v>
      </c>
      <c r="I1969">
        <v>0.66</v>
      </c>
      <c r="J1969" t="s">
        <v>565</v>
      </c>
      <c r="K1969" t="s">
        <v>34</v>
      </c>
      <c r="L1969">
        <v>47</v>
      </c>
      <c r="M1969">
        <v>1.68</v>
      </c>
      <c r="N1969">
        <v>50</v>
      </c>
      <c r="O1969">
        <v>1.02</v>
      </c>
      <c r="P1969">
        <v>4</v>
      </c>
      <c r="Q1969">
        <v>0.83</v>
      </c>
      <c r="R1969">
        <v>356</v>
      </c>
      <c r="S1969">
        <v>10.72</v>
      </c>
      <c r="T1969">
        <v>0.52</v>
      </c>
      <c r="U1969" s="1">
        <v>45298</v>
      </c>
      <c r="V1969">
        <v>59.53</v>
      </c>
      <c r="W1969">
        <v>0.63100000000000001</v>
      </c>
      <c r="X1969" t="str">
        <f>IF(WarehouseData[[#This Row],[stock_level]]&lt;=WarehouseData[[#This Row],[reorder_point]],"Low Stock","Sufficient Stock")</f>
        <v>Low Stock</v>
      </c>
      <c r="Y1969">
        <f>WarehouseData[[#This Row],[daily_demand]]*WarehouseData[[#This Row],[lead_time_days]]</f>
        <v>124.88</v>
      </c>
      <c r="Z1969" t="str">
        <f>IF(WarehouseData[[#This Row],[stock_level]]&lt;=WarehouseData[[#This Row],[Demand During Lead Time]],"At Risk","Safe")</f>
        <v>At Risk</v>
      </c>
      <c r="AA1969">
        <f>WarehouseData[[#This Row],[stock_level]]/WarehouseData[[#This Row],[daily_demand]]</f>
        <v>1.0249839846252402</v>
      </c>
      <c r="AB1969">
        <f>WarehouseData[[#This Row],[stock_level]]*WarehouseData[[#This Row],[unit_price]]</f>
        <v>1600</v>
      </c>
      <c r="AC1969">
        <f>WarehouseData[[#This Row],[stock_level]]*WarehouseData[[#This Row],[holding_cost_per_unit_day]]*30</f>
        <v>979.2</v>
      </c>
      <c r="AD1969" t="str">
        <f>IF(WarehouseData[[#This Row],[order_fulfillment_rate]]&gt;=0.9,"Strong",IF(WarehouseData[[#This Row],[order_fulfillment_rate]]&gt;=0.8,"Moderate","Needs Attention"))</f>
        <v>Moderate</v>
      </c>
      <c r="AE1969" t="str">
        <f>IF(WarehouseData[[#This Row],[picking_time_seconds]]&gt;120,"Slow",IF(WarehouseData[[#This Row],[picking_time_seconds]]&gt;=60,"Average","Fast"))</f>
        <v>Fast</v>
      </c>
    </row>
    <row r="1970" spans="1:31" x14ac:dyDescent="0.25">
      <c r="A1970" t="s">
        <v>2108</v>
      </c>
      <c r="B1970" t="s">
        <v>48</v>
      </c>
      <c r="C1970">
        <v>356</v>
      </c>
      <c r="D1970">
        <v>20</v>
      </c>
      <c r="E1970">
        <v>5</v>
      </c>
      <c r="F1970">
        <v>4</v>
      </c>
      <c r="G1970">
        <v>1.45</v>
      </c>
      <c r="H1970">
        <v>5.94</v>
      </c>
      <c r="I1970">
        <v>0.12</v>
      </c>
      <c r="J1970" t="s">
        <v>273</v>
      </c>
      <c r="K1970" t="s">
        <v>46</v>
      </c>
      <c r="L1970">
        <v>148</v>
      </c>
      <c r="M1970">
        <v>4.99</v>
      </c>
      <c r="N1970">
        <v>173.41</v>
      </c>
      <c r="O1970">
        <v>0.9</v>
      </c>
      <c r="P1970">
        <v>9</v>
      </c>
      <c r="Q1970">
        <v>0.78</v>
      </c>
      <c r="R1970">
        <v>363</v>
      </c>
      <c r="S1970">
        <v>12.97</v>
      </c>
      <c r="T1970">
        <v>0.59</v>
      </c>
      <c r="U1970" s="1">
        <v>45635</v>
      </c>
      <c r="V1970">
        <v>291.94</v>
      </c>
      <c r="W1970">
        <v>0.57699999999999996</v>
      </c>
      <c r="X1970" t="str">
        <f>IF(WarehouseData[[#This Row],[stock_level]]&lt;=WarehouseData[[#This Row],[reorder_point]],"Low Stock","Sufficient Stock")</f>
        <v>Sufficient Stock</v>
      </c>
      <c r="Y1970">
        <f>WarehouseData[[#This Row],[daily_demand]]*WarehouseData[[#This Row],[lead_time_days]]</f>
        <v>5.8</v>
      </c>
      <c r="Z1970" t="str">
        <f>IF(WarehouseData[[#This Row],[stock_level]]&lt;=WarehouseData[[#This Row],[Demand During Lead Time]],"At Risk","Safe")</f>
        <v>Safe</v>
      </c>
      <c r="AA1970">
        <f>WarehouseData[[#This Row],[stock_level]]/WarehouseData[[#This Row],[daily_demand]]</f>
        <v>245.51724137931035</v>
      </c>
      <c r="AB1970">
        <f>WarehouseData[[#This Row],[stock_level]]*WarehouseData[[#This Row],[unit_price]]</f>
        <v>61733.96</v>
      </c>
      <c r="AC1970">
        <f>WarehouseData[[#This Row],[stock_level]]*WarehouseData[[#This Row],[holding_cost_per_unit_day]]*30</f>
        <v>9612.0000000000018</v>
      </c>
      <c r="AD1970" t="str">
        <f>IF(WarehouseData[[#This Row],[order_fulfillment_rate]]&gt;=0.9,"Strong",IF(WarehouseData[[#This Row],[order_fulfillment_rate]]&gt;=0.8,"Moderate","Needs Attention"))</f>
        <v>Needs Attention</v>
      </c>
      <c r="AE1970" t="str">
        <f>IF(WarehouseData[[#This Row],[picking_time_seconds]]&gt;120,"Slow",IF(WarehouseData[[#This Row],[picking_time_seconds]]&gt;=60,"Average","Fast"))</f>
        <v>Slow</v>
      </c>
    </row>
    <row r="1971" spans="1:31" x14ac:dyDescent="0.25">
      <c r="A1971" t="s">
        <v>2109</v>
      </c>
      <c r="B1971" t="s">
        <v>48</v>
      </c>
      <c r="C1971">
        <v>51</v>
      </c>
      <c r="D1971">
        <v>81</v>
      </c>
      <c r="E1971">
        <v>8</v>
      </c>
      <c r="F1971">
        <v>2</v>
      </c>
      <c r="G1971">
        <v>39.03</v>
      </c>
      <c r="H1971">
        <v>2.08</v>
      </c>
      <c r="I1971">
        <v>0.46</v>
      </c>
      <c r="J1971" t="s">
        <v>79</v>
      </c>
      <c r="K1971" t="s">
        <v>38</v>
      </c>
      <c r="L1971">
        <v>162</v>
      </c>
      <c r="M1971">
        <v>4.43</v>
      </c>
      <c r="N1971">
        <v>174.53</v>
      </c>
      <c r="O1971">
        <v>0.76</v>
      </c>
      <c r="P1971">
        <v>8</v>
      </c>
      <c r="Q1971">
        <v>0.82</v>
      </c>
      <c r="R1971">
        <v>452</v>
      </c>
      <c r="S1971">
        <v>12.3</v>
      </c>
      <c r="T1971">
        <v>0.78</v>
      </c>
      <c r="U1971" s="1">
        <v>45337</v>
      </c>
      <c r="V1971">
        <v>111.74</v>
      </c>
      <c r="W1971">
        <v>0.64800000000000002</v>
      </c>
      <c r="X1971" t="str">
        <f>IF(WarehouseData[[#This Row],[stock_level]]&lt;=WarehouseData[[#This Row],[reorder_point]],"Low Stock","Sufficient Stock")</f>
        <v>Low Stock</v>
      </c>
      <c r="Y1971">
        <f>WarehouseData[[#This Row],[daily_demand]]*WarehouseData[[#This Row],[lead_time_days]]</f>
        <v>78.06</v>
      </c>
      <c r="Z1971" t="str">
        <f>IF(WarehouseData[[#This Row],[stock_level]]&lt;=WarehouseData[[#This Row],[Demand During Lead Time]],"At Risk","Safe")</f>
        <v>At Risk</v>
      </c>
      <c r="AA1971">
        <f>WarehouseData[[#This Row],[stock_level]]/WarehouseData[[#This Row],[daily_demand]]</f>
        <v>1.3066871637202151</v>
      </c>
      <c r="AB1971">
        <f>WarehouseData[[#This Row],[stock_level]]*WarehouseData[[#This Row],[unit_price]]</f>
        <v>8901.0300000000007</v>
      </c>
      <c r="AC1971">
        <f>WarehouseData[[#This Row],[stock_level]]*WarehouseData[[#This Row],[holding_cost_per_unit_day]]*30</f>
        <v>1162.8</v>
      </c>
      <c r="AD1971" t="str">
        <f>IF(WarehouseData[[#This Row],[order_fulfillment_rate]]&gt;=0.9,"Strong",IF(WarehouseData[[#This Row],[order_fulfillment_rate]]&gt;=0.8,"Moderate","Needs Attention"))</f>
        <v>Moderate</v>
      </c>
      <c r="AE1971" t="str">
        <f>IF(WarehouseData[[#This Row],[picking_time_seconds]]&gt;120,"Slow",IF(WarehouseData[[#This Row],[picking_time_seconds]]&gt;=60,"Average","Fast"))</f>
        <v>Slow</v>
      </c>
    </row>
    <row r="1972" spans="1:31" x14ac:dyDescent="0.25">
      <c r="A1972" t="s">
        <v>2110</v>
      </c>
      <c r="B1972" t="s">
        <v>73</v>
      </c>
      <c r="C1972">
        <v>412</v>
      </c>
      <c r="D1972">
        <v>17</v>
      </c>
      <c r="E1972">
        <v>4</v>
      </c>
      <c r="F1972">
        <v>9</v>
      </c>
      <c r="G1972">
        <v>32.880000000000003</v>
      </c>
      <c r="H1972">
        <v>9</v>
      </c>
      <c r="I1972">
        <v>0.24</v>
      </c>
      <c r="J1972" t="s">
        <v>276</v>
      </c>
      <c r="K1972" t="s">
        <v>52</v>
      </c>
      <c r="L1972">
        <v>68</v>
      </c>
      <c r="M1972">
        <v>2.96</v>
      </c>
      <c r="N1972">
        <v>70.86</v>
      </c>
      <c r="O1972">
        <v>0.26</v>
      </c>
      <c r="P1972">
        <v>1</v>
      </c>
      <c r="Q1972">
        <v>0.74</v>
      </c>
      <c r="R1972">
        <v>972</v>
      </c>
      <c r="S1972">
        <v>7.14</v>
      </c>
      <c r="T1972">
        <v>0.31</v>
      </c>
      <c r="U1972" s="1">
        <v>45348</v>
      </c>
      <c r="V1972">
        <v>97.89</v>
      </c>
      <c r="W1972">
        <v>0.65900000000000003</v>
      </c>
      <c r="X1972" t="str">
        <f>IF(WarehouseData[[#This Row],[stock_level]]&lt;=WarehouseData[[#This Row],[reorder_point]],"Low Stock","Sufficient Stock")</f>
        <v>Sufficient Stock</v>
      </c>
      <c r="Y1972">
        <f>WarehouseData[[#This Row],[daily_demand]]*WarehouseData[[#This Row],[lead_time_days]]</f>
        <v>295.92</v>
      </c>
      <c r="Z1972" t="str">
        <f>IF(WarehouseData[[#This Row],[stock_level]]&lt;=WarehouseData[[#This Row],[Demand During Lead Time]],"At Risk","Safe")</f>
        <v>Safe</v>
      </c>
      <c r="AA1972">
        <f>WarehouseData[[#This Row],[stock_level]]/WarehouseData[[#This Row],[daily_demand]]</f>
        <v>12.530413625304135</v>
      </c>
      <c r="AB1972">
        <f>WarehouseData[[#This Row],[stock_level]]*WarehouseData[[#This Row],[unit_price]]</f>
        <v>29194.32</v>
      </c>
      <c r="AC1972">
        <f>WarehouseData[[#This Row],[stock_level]]*WarehouseData[[#This Row],[holding_cost_per_unit_day]]*30</f>
        <v>3213.6000000000004</v>
      </c>
      <c r="AD1972" t="str">
        <f>IF(WarehouseData[[#This Row],[order_fulfillment_rate]]&gt;=0.9,"Strong",IF(WarehouseData[[#This Row],[order_fulfillment_rate]]&gt;=0.8,"Moderate","Needs Attention"))</f>
        <v>Needs Attention</v>
      </c>
      <c r="AE1972" t="str">
        <f>IF(WarehouseData[[#This Row],[picking_time_seconds]]&gt;120,"Slow",IF(WarehouseData[[#This Row],[picking_time_seconds]]&gt;=60,"Average","Fast"))</f>
        <v>Average</v>
      </c>
    </row>
    <row r="1973" spans="1:31" x14ac:dyDescent="0.25">
      <c r="A1973" t="s">
        <v>2111</v>
      </c>
      <c r="B1973" t="s">
        <v>36</v>
      </c>
      <c r="C1973">
        <v>59</v>
      </c>
      <c r="D1973">
        <v>80</v>
      </c>
      <c r="E1973">
        <v>9</v>
      </c>
      <c r="F1973">
        <v>7</v>
      </c>
      <c r="G1973">
        <v>11.42</v>
      </c>
      <c r="H1973">
        <v>2.7</v>
      </c>
      <c r="I1973">
        <v>0.59</v>
      </c>
      <c r="J1973" t="s">
        <v>202</v>
      </c>
      <c r="K1973" t="s">
        <v>46</v>
      </c>
      <c r="L1973">
        <v>38</v>
      </c>
      <c r="M1973">
        <v>3.03</v>
      </c>
      <c r="N1973">
        <v>114.07</v>
      </c>
      <c r="O1973">
        <v>0.49</v>
      </c>
      <c r="P1973">
        <v>2</v>
      </c>
      <c r="Q1973">
        <v>0.74</v>
      </c>
      <c r="R1973">
        <v>778</v>
      </c>
      <c r="S1973">
        <v>10.119999999999999</v>
      </c>
      <c r="T1973">
        <v>0.44</v>
      </c>
      <c r="U1973" s="1">
        <v>45585</v>
      </c>
      <c r="V1973">
        <v>157.99</v>
      </c>
      <c r="W1973">
        <v>0.68200000000000005</v>
      </c>
      <c r="X1973" t="str">
        <f>IF(WarehouseData[[#This Row],[stock_level]]&lt;=WarehouseData[[#This Row],[reorder_point]],"Low Stock","Sufficient Stock")</f>
        <v>Low Stock</v>
      </c>
      <c r="Y1973">
        <f>WarehouseData[[#This Row],[daily_demand]]*WarehouseData[[#This Row],[lead_time_days]]</f>
        <v>79.94</v>
      </c>
      <c r="Z1973" t="str">
        <f>IF(WarehouseData[[#This Row],[stock_level]]&lt;=WarehouseData[[#This Row],[Demand During Lead Time]],"At Risk","Safe")</f>
        <v>At Risk</v>
      </c>
      <c r="AA1973">
        <f>WarehouseData[[#This Row],[stock_level]]/WarehouseData[[#This Row],[daily_demand]]</f>
        <v>5.166374781085814</v>
      </c>
      <c r="AB1973">
        <f>WarehouseData[[#This Row],[stock_level]]*WarehouseData[[#This Row],[unit_price]]</f>
        <v>6730.1299999999992</v>
      </c>
      <c r="AC1973">
        <f>WarehouseData[[#This Row],[stock_level]]*WarehouseData[[#This Row],[holding_cost_per_unit_day]]*30</f>
        <v>867.3</v>
      </c>
      <c r="AD1973" t="str">
        <f>IF(WarehouseData[[#This Row],[order_fulfillment_rate]]&gt;=0.9,"Strong",IF(WarehouseData[[#This Row],[order_fulfillment_rate]]&gt;=0.8,"Moderate","Needs Attention"))</f>
        <v>Needs Attention</v>
      </c>
      <c r="AE1973" t="str">
        <f>IF(WarehouseData[[#This Row],[picking_time_seconds]]&gt;120,"Slow",IF(WarehouseData[[#This Row],[picking_time_seconds]]&gt;=60,"Average","Fast"))</f>
        <v>Fast</v>
      </c>
    </row>
    <row r="1974" spans="1:31" x14ac:dyDescent="0.25">
      <c r="A1974" t="s">
        <v>2112</v>
      </c>
      <c r="B1974" t="s">
        <v>48</v>
      </c>
      <c r="C1974">
        <v>167</v>
      </c>
      <c r="D1974">
        <v>73</v>
      </c>
      <c r="E1974">
        <v>6</v>
      </c>
      <c r="F1974">
        <v>2</v>
      </c>
      <c r="G1974">
        <v>19.36</v>
      </c>
      <c r="H1974">
        <v>2.2999999999999998</v>
      </c>
      <c r="I1974">
        <v>0.86</v>
      </c>
      <c r="J1974" t="s">
        <v>251</v>
      </c>
      <c r="K1974" t="s">
        <v>38</v>
      </c>
      <c r="L1974">
        <v>177</v>
      </c>
      <c r="M1974">
        <v>0.53</v>
      </c>
      <c r="N1974">
        <v>125.27</v>
      </c>
      <c r="O1974">
        <v>1.31</v>
      </c>
      <c r="P1974">
        <v>6</v>
      </c>
      <c r="Q1974">
        <v>0.94</v>
      </c>
      <c r="R1974">
        <v>537</v>
      </c>
      <c r="S1974">
        <v>3.27</v>
      </c>
      <c r="T1974">
        <v>0.63</v>
      </c>
      <c r="U1974" s="1">
        <v>45634</v>
      </c>
      <c r="V1974">
        <v>90.39</v>
      </c>
      <c r="W1974">
        <v>0.50700000000000001</v>
      </c>
      <c r="X1974" t="str">
        <f>IF(WarehouseData[[#This Row],[stock_level]]&lt;=WarehouseData[[#This Row],[reorder_point]],"Low Stock","Sufficient Stock")</f>
        <v>Sufficient Stock</v>
      </c>
      <c r="Y1974">
        <f>WarehouseData[[#This Row],[daily_demand]]*WarehouseData[[#This Row],[lead_time_days]]</f>
        <v>38.72</v>
      </c>
      <c r="Z1974" t="str">
        <f>IF(WarehouseData[[#This Row],[stock_level]]&lt;=WarehouseData[[#This Row],[Demand During Lead Time]],"At Risk","Safe")</f>
        <v>Safe</v>
      </c>
      <c r="AA1974">
        <f>WarehouseData[[#This Row],[stock_level]]/WarehouseData[[#This Row],[daily_demand]]</f>
        <v>8.6260330578512399</v>
      </c>
      <c r="AB1974">
        <f>WarehouseData[[#This Row],[stock_level]]*WarehouseData[[#This Row],[unit_price]]</f>
        <v>20920.09</v>
      </c>
      <c r="AC1974">
        <f>WarehouseData[[#This Row],[stock_level]]*WarehouseData[[#This Row],[holding_cost_per_unit_day]]*30</f>
        <v>6563.1</v>
      </c>
      <c r="AD1974" t="str">
        <f>IF(WarehouseData[[#This Row],[order_fulfillment_rate]]&gt;=0.9,"Strong",IF(WarehouseData[[#This Row],[order_fulfillment_rate]]&gt;=0.8,"Moderate","Needs Attention"))</f>
        <v>Strong</v>
      </c>
      <c r="AE1974" t="str">
        <f>IF(WarehouseData[[#This Row],[picking_time_seconds]]&gt;120,"Slow",IF(WarehouseData[[#This Row],[picking_time_seconds]]&gt;=60,"Average","Fast"))</f>
        <v>Slow</v>
      </c>
    </row>
    <row r="1975" spans="1:31" x14ac:dyDescent="0.25">
      <c r="A1975" t="s">
        <v>2113</v>
      </c>
      <c r="B1975" t="s">
        <v>73</v>
      </c>
      <c r="C1975">
        <v>237</v>
      </c>
      <c r="D1975">
        <v>30</v>
      </c>
      <c r="E1975">
        <v>11</v>
      </c>
      <c r="F1975">
        <v>7</v>
      </c>
      <c r="G1975">
        <v>1.38</v>
      </c>
      <c r="H1975">
        <v>2.67</v>
      </c>
      <c r="I1975">
        <v>0.56999999999999995</v>
      </c>
      <c r="J1975" t="s">
        <v>144</v>
      </c>
      <c r="K1975" t="s">
        <v>46</v>
      </c>
      <c r="L1975">
        <v>17</v>
      </c>
      <c r="M1975">
        <v>4.91</v>
      </c>
      <c r="N1975">
        <v>99.76</v>
      </c>
      <c r="O1975">
        <v>1.04</v>
      </c>
      <c r="P1975">
        <v>8</v>
      </c>
      <c r="Q1975">
        <v>0.93</v>
      </c>
      <c r="R1975">
        <v>842</v>
      </c>
      <c r="S1975">
        <v>10.73</v>
      </c>
      <c r="T1975">
        <v>0.67</v>
      </c>
      <c r="U1975" s="1">
        <v>45544</v>
      </c>
      <c r="V1975">
        <v>89.1</v>
      </c>
      <c r="W1975">
        <v>0.59899999999999998</v>
      </c>
      <c r="X1975" t="str">
        <f>IF(WarehouseData[[#This Row],[stock_level]]&lt;=WarehouseData[[#This Row],[reorder_point]],"Low Stock","Sufficient Stock")</f>
        <v>Sufficient Stock</v>
      </c>
      <c r="Y1975">
        <f>WarehouseData[[#This Row],[daily_demand]]*WarehouseData[[#This Row],[lead_time_days]]</f>
        <v>9.66</v>
      </c>
      <c r="Z1975" t="str">
        <f>IF(WarehouseData[[#This Row],[stock_level]]&lt;=WarehouseData[[#This Row],[Demand During Lead Time]],"At Risk","Safe")</f>
        <v>Safe</v>
      </c>
      <c r="AA1975">
        <f>WarehouseData[[#This Row],[stock_level]]/WarehouseData[[#This Row],[daily_demand]]</f>
        <v>171.73913043478262</v>
      </c>
      <c r="AB1975">
        <f>WarehouseData[[#This Row],[stock_level]]*WarehouseData[[#This Row],[unit_price]]</f>
        <v>23643.120000000003</v>
      </c>
      <c r="AC1975">
        <f>WarehouseData[[#This Row],[stock_level]]*WarehouseData[[#This Row],[holding_cost_per_unit_day]]*30</f>
        <v>7394.4000000000005</v>
      </c>
      <c r="AD1975" t="str">
        <f>IF(WarehouseData[[#This Row],[order_fulfillment_rate]]&gt;=0.9,"Strong",IF(WarehouseData[[#This Row],[order_fulfillment_rate]]&gt;=0.8,"Moderate","Needs Attention"))</f>
        <v>Strong</v>
      </c>
      <c r="AE1975" t="str">
        <f>IF(WarehouseData[[#This Row],[picking_time_seconds]]&gt;120,"Slow",IF(WarehouseData[[#This Row],[picking_time_seconds]]&gt;=60,"Average","Fast"))</f>
        <v>Fast</v>
      </c>
    </row>
    <row r="1976" spans="1:31" x14ac:dyDescent="0.25">
      <c r="A1976" t="s">
        <v>2114</v>
      </c>
      <c r="B1976" t="s">
        <v>48</v>
      </c>
      <c r="C1976">
        <v>238</v>
      </c>
      <c r="D1976">
        <v>81</v>
      </c>
      <c r="E1976">
        <v>12</v>
      </c>
      <c r="F1976">
        <v>3</v>
      </c>
      <c r="G1976">
        <v>34.99</v>
      </c>
      <c r="H1976">
        <v>9.24</v>
      </c>
      <c r="I1976">
        <v>0.13</v>
      </c>
      <c r="J1976" t="s">
        <v>43</v>
      </c>
      <c r="K1976" t="s">
        <v>46</v>
      </c>
      <c r="L1976">
        <v>107</v>
      </c>
      <c r="M1976">
        <v>4.13</v>
      </c>
      <c r="N1976">
        <v>183.12</v>
      </c>
      <c r="O1976">
        <v>0.23</v>
      </c>
      <c r="P1976">
        <v>2</v>
      </c>
      <c r="Q1976">
        <v>0.73</v>
      </c>
      <c r="R1976">
        <v>454</v>
      </c>
      <c r="S1976">
        <v>11.23</v>
      </c>
      <c r="T1976">
        <v>0.63</v>
      </c>
      <c r="U1976" s="1">
        <v>45368</v>
      </c>
      <c r="V1976">
        <v>290.22000000000003</v>
      </c>
      <c r="W1976">
        <v>0.75900000000000001</v>
      </c>
      <c r="X1976" t="str">
        <f>IF(WarehouseData[[#This Row],[stock_level]]&lt;=WarehouseData[[#This Row],[reorder_point]],"Low Stock","Sufficient Stock")</f>
        <v>Sufficient Stock</v>
      </c>
      <c r="Y1976">
        <f>WarehouseData[[#This Row],[daily_demand]]*WarehouseData[[#This Row],[lead_time_days]]</f>
        <v>104.97</v>
      </c>
      <c r="Z1976" t="str">
        <f>IF(WarehouseData[[#This Row],[stock_level]]&lt;=WarehouseData[[#This Row],[Demand During Lead Time]],"At Risk","Safe")</f>
        <v>Safe</v>
      </c>
      <c r="AA1976">
        <f>WarehouseData[[#This Row],[stock_level]]/WarehouseData[[#This Row],[daily_demand]]</f>
        <v>6.8019434124035438</v>
      </c>
      <c r="AB1976">
        <f>WarehouseData[[#This Row],[stock_level]]*WarehouseData[[#This Row],[unit_price]]</f>
        <v>43582.559999999998</v>
      </c>
      <c r="AC1976">
        <f>WarehouseData[[#This Row],[stock_level]]*WarehouseData[[#This Row],[holding_cost_per_unit_day]]*30</f>
        <v>1642.2</v>
      </c>
      <c r="AD1976" t="str">
        <f>IF(WarehouseData[[#This Row],[order_fulfillment_rate]]&gt;=0.9,"Strong",IF(WarehouseData[[#This Row],[order_fulfillment_rate]]&gt;=0.8,"Moderate","Needs Attention"))</f>
        <v>Needs Attention</v>
      </c>
      <c r="AE1976" t="str">
        <f>IF(WarehouseData[[#This Row],[picking_time_seconds]]&gt;120,"Slow",IF(WarehouseData[[#This Row],[picking_time_seconds]]&gt;=60,"Average","Fast"))</f>
        <v>Average</v>
      </c>
    </row>
    <row r="1977" spans="1:31" x14ac:dyDescent="0.25">
      <c r="A1977" t="s">
        <v>2115</v>
      </c>
      <c r="B1977" t="s">
        <v>40</v>
      </c>
      <c r="C1977">
        <v>488</v>
      </c>
      <c r="D1977">
        <v>72</v>
      </c>
      <c r="E1977">
        <v>11</v>
      </c>
      <c r="F1977">
        <v>6</v>
      </c>
      <c r="G1977">
        <v>16.809999999999999</v>
      </c>
      <c r="H1977">
        <v>7.18</v>
      </c>
      <c r="I1977">
        <v>0.13</v>
      </c>
      <c r="J1977" t="s">
        <v>131</v>
      </c>
      <c r="K1977" t="s">
        <v>38</v>
      </c>
      <c r="L1977">
        <v>143</v>
      </c>
      <c r="M1977">
        <v>0.67</v>
      </c>
      <c r="N1977">
        <v>150.55000000000001</v>
      </c>
      <c r="O1977">
        <v>1.1299999999999999</v>
      </c>
      <c r="P1977">
        <v>9</v>
      </c>
      <c r="Q1977">
        <v>0.9</v>
      </c>
      <c r="R1977">
        <v>428</v>
      </c>
      <c r="S1977">
        <v>12.22</v>
      </c>
      <c r="T1977">
        <v>0.55000000000000004</v>
      </c>
      <c r="U1977" s="1">
        <v>45338</v>
      </c>
      <c r="V1977">
        <v>85.73</v>
      </c>
      <c r="W1977">
        <v>0.56000000000000005</v>
      </c>
      <c r="X1977" t="str">
        <f>IF(WarehouseData[[#This Row],[stock_level]]&lt;=WarehouseData[[#This Row],[reorder_point]],"Low Stock","Sufficient Stock")</f>
        <v>Sufficient Stock</v>
      </c>
      <c r="Y1977">
        <f>WarehouseData[[#This Row],[daily_demand]]*WarehouseData[[#This Row],[lead_time_days]]</f>
        <v>100.85999999999999</v>
      </c>
      <c r="Z1977" t="str">
        <f>IF(WarehouseData[[#This Row],[stock_level]]&lt;=WarehouseData[[#This Row],[Demand During Lead Time]],"At Risk","Safe")</f>
        <v>Safe</v>
      </c>
      <c r="AA1977">
        <f>WarehouseData[[#This Row],[stock_level]]/WarehouseData[[#This Row],[daily_demand]]</f>
        <v>29.030339083878644</v>
      </c>
      <c r="AB1977">
        <f>WarehouseData[[#This Row],[stock_level]]*WarehouseData[[#This Row],[unit_price]]</f>
        <v>73468.400000000009</v>
      </c>
      <c r="AC1977">
        <f>WarehouseData[[#This Row],[stock_level]]*WarehouseData[[#This Row],[holding_cost_per_unit_day]]*30</f>
        <v>16543.199999999997</v>
      </c>
      <c r="AD1977" t="str">
        <f>IF(WarehouseData[[#This Row],[order_fulfillment_rate]]&gt;=0.9,"Strong",IF(WarehouseData[[#This Row],[order_fulfillment_rate]]&gt;=0.8,"Moderate","Needs Attention"))</f>
        <v>Strong</v>
      </c>
      <c r="AE1977" t="str">
        <f>IF(WarehouseData[[#This Row],[picking_time_seconds]]&gt;120,"Slow",IF(WarehouseData[[#This Row],[picking_time_seconds]]&gt;=60,"Average","Fast"))</f>
        <v>Slow</v>
      </c>
    </row>
    <row r="1978" spans="1:31" x14ac:dyDescent="0.25">
      <c r="A1978" t="s">
        <v>2116</v>
      </c>
      <c r="B1978" t="s">
        <v>36</v>
      </c>
      <c r="C1978">
        <v>101</v>
      </c>
      <c r="D1978">
        <v>94</v>
      </c>
      <c r="E1978">
        <v>9</v>
      </c>
      <c r="F1978">
        <v>5</v>
      </c>
      <c r="G1978">
        <v>29.01</v>
      </c>
      <c r="H1978">
        <v>7.8</v>
      </c>
      <c r="I1978">
        <v>0.64</v>
      </c>
      <c r="J1978" t="s">
        <v>98</v>
      </c>
      <c r="K1978" t="s">
        <v>46</v>
      </c>
      <c r="L1978">
        <v>118</v>
      </c>
      <c r="M1978">
        <v>1.29</v>
      </c>
      <c r="N1978">
        <v>137.78</v>
      </c>
      <c r="O1978">
        <v>0.2</v>
      </c>
      <c r="P1978">
        <v>7</v>
      </c>
      <c r="Q1978">
        <v>0.88</v>
      </c>
      <c r="R1978">
        <v>330</v>
      </c>
      <c r="S1978">
        <v>12.45</v>
      </c>
      <c r="T1978">
        <v>0.77</v>
      </c>
      <c r="U1978" s="1">
        <v>45553</v>
      </c>
      <c r="V1978">
        <v>185.59</v>
      </c>
      <c r="W1978">
        <v>0.73599999999999999</v>
      </c>
      <c r="X1978" t="str">
        <f>IF(WarehouseData[[#This Row],[stock_level]]&lt;=WarehouseData[[#This Row],[reorder_point]],"Low Stock","Sufficient Stock")</f>
        <v>Sufficient Stock</v>
      </c>
      <c r="Y1978">
        <f>WarehouseData[[#This Row],[daily_demand]]*WarehouseData[[#This Row],[lead_time_days]]</f>
        <v>145.05000000000001</v>
      </c>
      <c r="Z1978" t="str">
        <f>IF(WarehouseData[[#This Row],[stock_level]]&lt;=WarehouseData[[#This Row],[Demand During Lead Time]],"At Risk","Safe")</f>
        <v>At Risk</v>
      </c>
      <c r="AA1978">
        <f>WarehouseData[[#This Row],[stock_level]]/WarehouseData[[#This Row],[daily_demand]]</f>
        <v>3.4815580834195101</v>
      </c>
      <c r="AB1978">
        <f>WarehouseData[[#This Row],[stock_level]]*WarehouseData[[#This Row],[unit_price]]</f>
        <v>13915.78</v>
      </c>
      <c r="AC1978">
        <f>WarehouseData[[#This Row],[stock_level]]*WarehouseData[[#This Row],[holding_cost_per_unit_day]]*30</f>
        <v>606.00000000000011</v>
      </c>
      <c r="AD1978" t="str">
        <f>IF(WarehouseData[[#This Row],[order_fulfillment_rate]]&gt;=0.9,"Strong",IF(WarehouseData[[#This Row],[order_fulfillment_rate]]&gt;=0.8,"Moderate","Needs Attention"))</f>
        <v>Moderate</v>
      </c>
      <c r="AE1978" t="str">
        <f>IF(WarehouseData[[#This Row],[picking_time_seconds]]&gt;120,"Slow",IF(WarehouseData[[#This Row],[picking_time_seconds]]&gt;=60,"Average","Fast"))</f>
        <v>Average</v>
      </c>
    </row>
    <row r="1979" spans="1:31" x14ac:dyDescent="0.25">
      <c r="A1979" t="s">
        <v>2117</v>
      </c>
      <c r="B1979" t="s">
        <v>32</v>
      </c>
      <c r="C1979">
        <v>352</v>
      </c>
      <c r="D1979">
        <v>73</v>
      </c>
      <c r="E1979">
        <v>14</v>
      </c>
      <c r="F1979">
        <v>4</v>
      </c>
      <c r="G1979">
        <v>47.88</v>
      </c>
      <c r="H1979">
        <v>4.08</v>
      </c>
      <c r="I1979">
        <v>0.4</v>
      </c>
      <c r="J1979" t="s">
        <v>154</v>
      </c>
      <c r="K1979" t="s">
        <v>46</v>
      </c>
      <c r="L1979">
        <v>117</v>
      </c>
      <c r="M1979">
        <v>4.1900000000000004</v>
      </c>
      <c r="N1979">
        <v>108.82</v>
      </c>
      <c r="O1979">
        <v>1.07</v>
      </c>
      <c r="P1979">
        <v>7</v>
      </c>
      <c r="Q1979">
        <v>0.91</v>
      </c>
      <c r="R1979">
        <v>686</v>
      </c>
      <c r="S1979">
        <v>7.16</v>
      </c>
      <c r="T1979">
        <v>0.36</v>
      </c>
      <c r="U1979" s="1">
        <v>45330</v>
      </c>
      <c r="V1979">
        <v>20.86</v>
      </c>
      <c r="W1979">
        <v>0.502</v>
      </c>
      <c r="X1979" t="str">
        <f>IF(WarehouseData[[#This Row],[stock_level]]&lt;=WarehouseData[[#This Row],[reorder_point]],"Low Stock","Sufficient Stock")</f>
        <v>Sufficient Stock</v>
      </c>
      <c r="Y1979">
        <f>WarehouseData[[#This Row],[daily_demand]]*WarehouseData[[#This Row],[lead_time_days]]</f>
        <v>191.52</v>
      </c>
      <c r="Z1979" t="str">
        <f>IF(WarehouseData[[#This Row],[stock_level]]&lt;=WarehouseData[[#This Row],[Demand During Lead Time]],"At Risk","Safe")</f>
        <v>Safe</v>
      </c>
      <c r="AA1979">
        <f>WarehouseData[[#This Row],[stock_level]]/WarehouseData[[#This Row],[daily_demand]]</f>
        <v>7.3517126148705092</v>
      </c>
      <c r="AB1979">
        <f>WarehouseData[[#This Row],[stock_level]]*WarehouseData[[#This Row],[unit_price]]</f>
        <v>38304.639999999999</v>
      </c>
      <c r="AC1979">
        <f>WarehouseData[[#This Row],[stock_level]]*WarehouseData[[#This Row],[holding_cost_per_unit_day]]*30</f>
        <v>11299.2</v>
      </c>
      <c r="AD1979" t="str">
        <f>IF(WarehouseData[[#This Row],[order_fulfillment_rate]]&gt;=0.9,"Strong",IF(WarehouseData[[#This Row],[order_fulfillment_rate]]&gt;=0.8,"Moderate","Needs Attention"))</f>
        <v>Strong</v>
      </c>
      <c r="AE1979" t="str">
        <f>IF(WarehouseData[[#This Row],[picking_time_seconds]]&gt;120,"Slow",IF(WarehouseData[[#This Row],[picking_time_seconds]]&gt;=60,"Average","Fast"))</f>
        <v>Average</v>
      </c>
    </row>
    <row r="1980" spans="1:31" x14ac:dyDescent="0.25">
      <c r="A1980" t="s">
        <v>2118</v>
      </c>
      <c r="B1980" t="s">
        <v>48</v>
      </c>
      <c r="C1980">
        <v>227</v>
      </c>
      <c r="D1980">
        <v>29</v>
      </c>
      <c r="E1980">
        <v>10</v>
      </c>
      <c r="F1980">
        <v>2</v>
      </c>
      <c r="G1980">
        <v>15.67</v>
      </c>
      <c r="H1980">
        <v>9.14</v>
      </c>
      <c r="I1980">
        <v>0.62</v>
      </c>
      <c r="J1980" t="s">
        <v>90</v>
      </c>
      <c r="K1980" t="s">
        <v>34</v>
      </c>
      <c r="L1980">
        <v>158</v>
      </c>
      <c r="M1980">
        <v>0.89</v>
      </c>
      <c r="N1980">
        <v>26.12</v>
      </c>
      <c r="O1980">
        <v>1.93</v>
      </c>
      <c r="P1980">
        <v>3</v>
      </c>
      <c r="Q1980">
        <v>0.84</v>
      </c>
      <c r="R1980">
        <v>740</v>
      </c>
      <c r="S1980">
        <v>13.65</v>
      </c>
      <c r="T1980">
        <v>0.43</v>
      </c>
      <c r="U1980" s="1">
        <v>45343</v>
      </c>
      <c r="V1980">
        <v>54.76</v>
      </c>
      <c r="W1980">
        <v>0.58299999999999996</v>
      </c>
      <c r="X1980" t="str">
        <f>IF(WarehouseData[[#This Row],[stock_level]]&lt;=WarehouseData[[#This Row],[reorder_point]],"Low Stock","Sufficient Stock")</f>
        <v>Sufficient Stock</v>
      </c>
      <c r="Y1980">
        <f>WarehouseData[[#This Row],[daily_demand]]*WarehouseData[[#This Row],[lead_time_days]]</f>
        <v>31.34</v>
      </c>
      <c r="Z1980" t="str">
        <f>IF(WarehouseData[[#This Row],[stock_level]]&lt;=WarehouseData[[#This Row],[Demand During Lead Time]],"At Risk","Safe")</f>
        <v>Safe</v>
      </c>
      <c r="AA1980">
        <f>WarehouseData[[#This Row],[stock_level]]/WarehouseData[[#This Row],[daily_demand]]</f>
        <v>14.486279514996809</v>
      </c>
      <c r="AB1980">
        <f>WarehouseData[[#This Row],[stock_level]]*WarehouseData[[#This Row],[unit_price]]</f>
        <v>5929.24</v>
      </c>
      <c r="AC1980">
        <f>WarehouseData[[#This Row],[stock_level]]*WarehouseData[[#This Row],[holding_cost_per_unit_day]]*30</f>
        <v>13143.300000000001</v>
      </c>
      <c r="AD1980" t="str">
        <f>IF(WarehouseData[[#This Row],[order_fulfillment_rate]]&gt;=0.9,"Strong",IF(WarehouseData[[#This Row],[order_fulfillment_rate]]&gt;=0.8,"Moderate","Needs Attention"))</f>
        <v>Moderate</v>
      </c>
      <c r="AE1980" t="str">
        <f>IF(WarehouseData[[#This Row],[picking_time_seconds]]&gt;120,"Slow",IF(WarehouseData[[#This Row],[picking_time_seconds]]&gt;=60,"Average","Fast"))</f>
        <v>Slow</v>
      </c>
    </row>
    <row r="1981" spans="1:31" x14ac:dyDescent="0.25">
      <c r="A1981" t="s">
        <v>2119</v>
      </c>
      <c r="B1981" t="s">
        <v>40</v>
      </c>
      <c r="C1981">
        <v>220</v>
      </c>
      <c r="D1981">
        <v>17</v>
      </c>
      <c r="E1981">
        <v>5</v>
      </c>
      <c r="F1981">
        <v>5</v>
      </c>
      <c r="G1981">
        <v>49.52</v>
      </c>
      <c r="H1981">
        <v>8</v>
      </c>
      <c r="I1981">
        <v>0.25</v>
      </c>
      <c r="J1981" t="s">
        <v>156</v>
      </c>
      <c r="K1981" t="s">
        <v>34</v>
      </c>
      <c r="L1981">
        <v>66</v>
      </c>
      <c r="M1981">
        <v>4.74</v>
      </c>
      <c r="N1981">
        <v>30.49</v>
      </c>
      <c r="O1981">
        <v>0.68</v>
      </c>
      <c r="P1981">
        <v>5</v>
      </c>
      <c r="Q1981">
        <v>0.78</v>
      </c>
      <c r="R1981">
        <v>376</v>
      </c>
      <c r="S1981">
        <v>14.73</v>
      </c>
      <c r="T1981">
        <v>0.56000000000000005</v>
      </c>
      <c r="U1981" s="1">
        <v>45423</v>
      </c>
      <c r="V1981">
        <v>16.399999999999999</v>
      </c>
      <c r="W1981">
        <v>0.69599999999999995</v>
      </c>
      <c r="X1981" t="str">
        <f>IF(WarehouseData[[#This Row],[stock_level]]&lt;=WarehouseData[[#This Row],[reorder_point]],"Low Stock","Sufficient Stock")</f>
        <v>Sufficient Stock</v>
      </c>
      <c r="Y1981">
        <f>WarehouseData[[#This Row],[daily_demand]]*WarehouseData[[#This Row],[lead_time_days]]</f>
        <v>247.60000000000002</v>
      </c>
      <c r="Z1981" t="str">
        <f>IF(WarehouseData[[#This Row],[stock_level]]&lt;=WarehouseData[[#This Row],[Demand During Lead Time]],"At Risk","Safe")</f>
        <v>At Risk</v>
      </c>
      <c r="AA1981">
        <f>WarehouseData[[#This Row],[stock_level]]/WarehouseData[[#This Row],[daily_demand]]</f>
        <v>4.4426494345718899</v>
      </c>
      <c r="AB1981">
        <f>WarehouseData[[#This Row],[stock_level]]*WarehouseData[[#This Row],[unit_price]]</f>
        <v>6707.7999999999993</v>
      </c>
      <c r="AC1981">
        <f>WarehouseData[[#This Row],[stock_level]]*WarehouseData[[#This Row],[holding_cost_per_unit_day]]*30</f>
        <v>4488.0000000000009</v>
      </c>
      <c r="AD1981" t="str">
        <f>IF(WarehouseData[[#This Row],[order_fulfillment_rate]]&gt;=0.9,"Strong",IF(WarehouseData[[#This Row],[order_fulfillment_rate]]&gt;=0.8,"Moderate","Needs Attention"))</f>
        <v>Needs Attention</v>
      </c>
      <c r="AE1981" t="str">
        <f>IF(WarehouseData[[#This Row],[picking_time_seconds]]&gt;120,"Slow",IF(WarehouseData[[#This Row],[picking_time_seconds]]&gt;=60,"Average","Fast"))</f>
        <v>Average</v>
      </c>
    </row>
    <row r="1982" spans="1:31" x14ac:dyDescent="0.25">
      <c r="A1982" t="s">
        <v>2120</v>
      </c>
      <c r="B1982" t="s">
        <v>32</v>
      </c>
      <c r="C1982">
        <v>466</v>
      </c>
      <c r="D1982">
        <v>67</v>
      </c>
      <c r="E1982">
        <v>13</v>
      </c>
      <c r="F1982">
        <v>7</v>
      </c>
      <c r="G1982">
        <v>32</v>
      </c>
      <c r="H1982">
        <v>7.63</v>
      </c>
      <c r="I1982">
        <v>0.8</v>
      </c>
      <c r="J1982" t="s">
        <v>212</v>
      </c>
      <c r="K1982" t="s">
        <v>52</v>
      </c>
      <c r="L1982">
        <v>85</v>
      </c>
      <c r="M1982">
        <v>5</v>
      </c>
      <c r="N1982">
        <v>66.81</v>
      </c>
      <c r="O1982">
        <v>1.47</v>
      </c>
      <c r="P1982">
        <v>7</v>
      </c>
      <c r="Q1982">
        <v>0.9</v>
      </c>
      <c r="R1982">
        <v>84</v>
      </c>
      <c r="S1982">
        <v>14.69</v>
      </c>
      <c r="T1982">
        <v>0.76</v>
      </c>
      <c r="U1982" s="1">
        <v>45621</v>
      </c>
      <c r="V1982">
        <v>165</v>
      </c>
      <c r="W1982">
        <v>0.64100000000000001</v>
      </c>
      <c r="X1982" t="str">
        <f>IF(WarehouseData[[#This Row],[stock_level]]&lt;=WarehouseData[[#This Row],[reorder_point]],"Low Stock","Sufficient Stock")</f>
        <v>Sufficient Stock</v>
      </c>
      <c r="Y1982">
        <f>WarehouseData[[#This Row],[daily_demand]]*WarehouseData[[#This Row],[lead_time_days]]</f>
        <v>224</v>
      </c>
      <c r="Z1982" t="str">
        <f>IF(WarehouseData[[#This Row],[stock_level]]&lt;=WarehouseData[[#This Row],[Demand During Lead Time]],"At Risk","Safe")</f>
        <v>Safe</v>
      </c>
      <c r="AA1982">
        <f>WarehouseData[[#This Row],[stock_level]]/WarehouseData[[#This Row],[daily_demand]]</f>
        <v>14.5625</v>
      </c>
      <c r="AB1982">
        <f>WarehouseData[[#This Row],[stock_level]]*WarehouseData[[#This Row],[unit_price]]</f>
        <v>31133.460000000003</v>
      </c>
      <c r="AC1982">
        <f>WarehouseData[[#This Row],[stock_level]]*WarehouseData[[#This Row],[holding_cost_per_unit_day]]*30</f>
        <v>20550.599999999999</v>
      </c>
      <c r="AD1982" t="str">
        <f>IF(WarehouseData[[#This Row],[order_fulfillment_rate]]&gt;=0.9,"Strong",IF(WarehouseData[[#This Row],[order_fulfillment_rate]]&gt;=0.8,"Moderate","Needs Attention"))</f>
        <v>Strong</v>
      </c>
      <c r="AE1982" t="str">
        <f>IF(WarehouseData[[#This Row],[picking_time_seconds]]&gt;120,"Slow",IF(WarehouseData[[#This Row],[picking_time_seconds]]&gt;=60,"Average","Fast"))</f>
        <v>Average</v>
      </c>
    </row>
    <row r="1983" spans="1:31" x14ac:dyDescent="0.25">
      <c r="A1983" t="s">
        <v>2121</v>
      </c>
      <c r="B1983" t="s">
        <v>32</v>
      </c>
      <c r="C1983">
        <v>351</v>
      </c>
      <c r="D1983">
        <v>55</v>
      </c>
      <c r="E1983">
        <v>7</v>
      </c>
      <c r="F1983">
        <v>6</v>
      </c>
      <c r="G1983">
        <v>12.86</v>
      </c>
      <c r="H1983">
        <v>9.7200000000000006</v>
      </c>
      <c r="I1983">
        <v>0.87</v>
      </c>
      <c r="J1983" t="s">
        <v>81</v>
      </c>
      <c r="K1983" t="s">
        <v>34</v>
      </c>
      <c r="L1983">
        <v>122</v>
      </c>
      <c r="M1983">
        <v>4.49</v>
      </c>
      <c r="N1983">
        <v>50.19</v>
      </c>
      <c r="O1983">
        <v>1.52</v>
      </c>
      <c r="P1983">
        <v>8</v>
      </c>
      <c r="Q1983">
        <v>0.81</v>
      </c>
      <c r="R1983">
        <v>119</v>
      </c>
      <c r="S1983">
        <v>9.1999999999999993</v>
      </c>
      <c r="T1983">
        <v>0.27</v>
      </c>
      <c r="U1983" s="1">
        <v>45410</v>
      </c>
      <c r="V1983">
        <v>152.57</v>
      </c>
      <c r="W1983">
        <v>0.42699999999999999</v>
      </c>
      <c r="X1983" t="str">
        <f>IF(WarehouseData[[#This Row],[stock_level]]&lt;=WarehouseData[[#This Row],[reorder_point]],"Low Stock","Sufficient Stock")</f>
        <v>Sufficient Stock</v>
      </c>
      <c r="Y1983">
        <f>WarehouseData[[#This Row],[daily_demand]]*WarehouseData[[#This Row],[lead_time_days]]</f>
        <v>77.16</v>
      </c>
      <c r="Z1983" t="str">
        <f>IF(WarehouseData[[#This Row],[stock_level]]&lt;=WarehouseData[[#This Row],[Demand During Lead Time]],"At Risk","Safe")</f>
        <v>Safe</v>
      </c>
      <c r="AA1983">
        <f>WarehouseData[[#This Row],[stock_level]]/WarehouseData[[#This Row],[daily_demand]]</f>
        <v>27.293934681181963</v>
      </c>
      <c r="AB1983">
        <f>WarehouseData[[#This Row],[stock_level]]*WarehouseData[[#This Row],[unit_price]]</f>
        <v>17616.689999999999</v>
      </c>
      <c r="AC1983">
        <f>WarehouseData[[#This Row],[stock_level]]*WarehouseData[[#This Row],[holding_cost_per_unit_day]]*30</f>
        <v>16005.599999999999</v>
      </c>
      <c r="AD1983" t="str">
        <f>IF(WarehouseData[[#This Row],[order_fulfillment_rate]]&gt;=0.9,"Strong",IF(WarehouseData[[#This Row],[order_fulfillment_rate]]&gt;=0.8,"Moderate","Needs Attention"))</f>
        <v>Moderate</v>
      </c>
      <c r="AE1983" t="str">
        <f>IF(WarehouseData[[#This Row],[picking_time_seconds]]&gt;120,"Slow",IF(WarehouseData[[#This Row],[picking_time_seconds]]&gt;=60,"Average","Fast"))</f>
        <v>Slow</v>
      </c>
    </row>
    <row r="1984" spans="1:31" x14ac:dyDescent="0.25">
      <c r="A1984" t="s">
        <v>2122</v>
      </c>
      <c r="B1984" t="s">
        <v>48</v>
      </c>
      <c r="C1984">
        <v>447</v>
      </c>
      <c r="D1984">
        <v>40</v>
      </c>
      <c r="E1984">
        <v>4</v>
      </c>
      <c r="F1984">
        <v>4</v>
      </c>
      <c r="G1984">
        <v>22.4</v>
      </c>
      <c r="H1984">
        <v>3.98</v>
      </c>
      <c r="I1984">
        <v>0.9</v>
      </c>
      <c r="J1984" t="s">
        <v>357</v>
      </c>
      <c r="K1984" t="s">
        <v>38</v>
      </c>
      <c r="L1984">
        <v>15</v>
      </c>
      <c r="M1984">
        <v>3.83</v>
      </c>
      <c r="N1984">
        <v>190.98</v>
      </c>
      <c r="O1984">
        <v>0.87</v>
      </c>
      <c r="P1984">
        <v>1</v>
      </c>
      <c r="Q1984">
        <v>0.77</v>
      </c>
      <c r="R1984">
        <v>409</v>
      </c>
      <c r="S1984">
        <v>8.83</v>
      </c>
      <c r="T1984">
        <v>0.28999999999999998</v>
      </c>
      <c r="U1984" s="1">
        <v>45525</v>
      </c>
      <c r="V1984">
        <v>105.97</v>
      </c>
      <c r="W1984">
        <v>0.623</v>
      </c>
      <c r="X1984" t="str">
        <f>IF(WarehouseData[[#This Row],[stock_level]]&lt;=WarehouseData[[#This Row],[reorder_point]],"Low Stock","Sufficient Stock")</f>
        <v>Sufficient Stock</v>
      </c>
      <c r="Y1984">
        <f>WarehouseData[[#This Row],[daily_demand]]*WarehouseData[[#This Row],[lead_time_days]]</f>
        <v>89.6</v>
      </c>
      <c r="Z1984" t="str">
        <f>IF(WarehouseData[[#This Row],[stock_level]]&lt;=WarehouseData[[#This Row],[Demand During Lead Time]],"At Risk","Safe")</f>
        <v>Safe</v>
      </c>
      <c r="AA1984">
        <f>WarehouseData[[#This Row],[stock_level]]/WarehouseData[[#This Row],[daily_demand]]</f>
        <v>19.955357142857142</v>
      </c>
      <c r="AB1984">
        <f>WarehouseData[[#This Row],[stock_level]]*WarehouseData[[#This Row],[unit_price]]</f>
        <v>85368.06</v>
      </c>
      <c r="AC1984">
        <f>WarehouseData[[#This Row],[stock_level]]*WarehouseData[[#This Row],[holding_cost_per_unit_day]]*30</f>
        <v>11666.699999999999</v>
      </c>
      <c r="AD1984" t="str">
        <f>IF(WarehouseData[[#This Row],[order_fulfillment_rate]]&gt;=0.9,"Strong",IF(WarehouseData[[#This Row],[order_fulfillment_rate]]&gt;=0.8,"Moderate","Needs Attention"))</f>
        <v>Needs Attention</v>
      </c>
      <c r="AE1984" t="str">
        <f>IF(WarehouseData[[#This Row],[picking_time_seconds]]&gt;120,"Slow",IF(WarehouseData[[#This Row],[picking_time_seconds]]&gt;=60,"Average","Fast"))</f>
        <v>Fast</v>
      </c>
    </row>
    <row r="1985" spans="1:31" x14ac:dyDescent="0.25">
      <c r="A1985" t="s">
        <v>2123</v>
      </c>
      <c r="B1985" t="s">
        <v>73</v>
      </c>
      <c r="C1985">
        <v>57</v>
      </c>
      <c r="D1985">
        <v>18</v>
      </c>
      <c r="E1985">
        <v>12</v>
      </c>
      <c r="F1985">
        <v>4</v>
      </c>
      <c r="G1985">
        <v>37.28</v>
      </c>
      <c r="H1985">
        <v>6.3</v>
      </c>
      <c r="I1985">
        <v>0.37</v>
      </c>
      <c r="J1985" t="s">
        <v>79</v>
      </c>
      <c r="K1985" t="s">
        <v>46</v>
      </c>
      <c r="L1985">
        <v>133</v>
      </c>
      <c r="M1985">
        <v>2.69</v>
      </c>
      <c r="N1985">
        <v>87.86</v>
      </c>
      <c r="O1985">
        <v>1.23</v>
      </c>
      <c r="P1985">
        <v>0</v>
      </c>
      <c r="Q1985">
        <v>0.82</v>
      </c>
      <c r="R1985">
        <v>739</v>
      </c>
      <c r="S1985">
        <v>7.4</v>
      </c>
      <c r="T1985">
        <v>0.83</v>
      </c>
      <c r="U1985" s="1">
        <v>45443</v>
      </c>
      <c r="V1985">
        <v>213.08</v>
      </c>
      <c r="W1985">
        <v>0.70599999999999996</v>
      </c>
      <c r="X1985" t="str">
        <f>IF(WarehouseData[[#This Row],[stock_level]]&lt;=WarehouseData[[#This Row],[reorder_point]],"Low Stock","Sufficient Stock")</f>
        <v>Sufficient Stock</v>
      </c>
      <c r="Y1985">
        <f>WarehouseData[[#This Row],[daily_demand]]*WarehouseData[[#This Row],[lead_time_days]]</f>
        <v>149.12</v>
      </c>
      <c r="Z1985" t="str">
        <f>IF(WarehouseData[[#This Row],[stock_level]]&lt;=WarehouseData[[#This Row],[Demand During Lead Time]],"At Risk","Safe")</f>
        <v>At Risk</v>
      </c>
      <c r="AA1985">
        <f>WarehouseData[[#This Row],[stock_level]]/WarehouseData[[#This Row],[daily_demand]]</f>
        <v>1.5289699570815449</v>
      </c>
      <c r="AB1985">
        <f>WarehouseData[[#This Row],[stock_level]]*WarehouseData[[#This Row],[unit_price]]</f>
        <v>5008.0199999999995</v>
      </c>
      <c r="AC1985">
        <f>WarehouseData[[#This Row],[stock_level]]*WarehouseData[[#This Row],[holding_cost_per_unit_day]]*30</f>
        <v>2103.3000000000002</v>
      </c>
      <c r="AD1985" t="str">
        <f>IF(WarehouseData[[#This Row],[order_fulfillment_rate]]&gt;=0.9,"Strong",IF(WarehouseData[[#This Row],[order_fulfillment_rate]]&gt;=0.8,"Moderate","Needs Attention"))</f>
        <v>Moderate</v>
      </c>
      <c r="AE1985" t="str">
        <f>IF(WarehouseData[[#This Row],[picking_time_seconds]]&gt;120,"Slow",IF(WarehouseData[[#This Row],[picking_time_seconds]]&gt;=60,"Average","Fast"))</f>
        <v>Slow</v>
      </c>
    </row>
    <row r="1986" spans="1:31" x14ac:dyDescent="0.25">
      <c r="A1986" t="s">
        <v>2124</v>
      </c>
      <c r="B1986" t="s">
        <v>48</v>
      </c>
      <c r="C1986">
        <v>230</v>
      </c>
      <c r="D1986">
        <v>24</v>
      </c>
      <c r="E1986">
        <v>9</v>
      </c>
      <c r="F1986">
        <v>7</v>
      </c>
      <c r="G1986">
        <v>22.88</v>
      </c>
      <c r="H1986">
        <v>9.14</v>
      </c>
      <c r="I1986">
        <v>0.69</v>
      </c>
      <c r="J1986" t="s">
        <v>113</v>
      </c>
      <c r="K1986" t="s">
        <v>52</v>
      </c>
      <c r="L1986">
        <v>143</v>
      </c>
      <c r="M1986">
        <v>0.87</v>
      </c>
      <c r="N1986">
        <v>176.56</v>
      </c>
      <c r="O1986">
        <v>1</v>
      </c>
      <c r="P1986">
        <v>4</v>
      </c>
      <c r="Q1986">
        <v>0.93</v>
      </c>
      <c r="R1986">
        <v>960</v>
      </c>
      <c r="S1986">
        <v>5.2</v>
      </c>
      <c r="T1986">
        <v>0.41</v>
      </c>
      <c r="U1986" s="1">
        <v>45427</v>
      </c>
      <c r="V1986">
        <v>191.48</v>
      </c>
      <c r="W1986">
        <v>0.55700000000000005</v>
      </c>
      <c r="X1986" t="str">
        <f>IF(WarehouseData[[#This Row],[stock_level]]&lt;=WarehouseData[[#This Row],[reorder_point]],"Low Stock","Sufficient Stock")</f>
        <v>Sufficient Stock</v>
      </c>
      <c r="Y1986">
        <f>WarehouseData[[#This Row],[daily_demand]]*WarehouseData[[#This Row],[lead_time_days]]</f>
        <v>160.16</v>
      </c>
      <c r="Z1986" t="str">
        <f>IF(WarehouseData[[#This Row],[stock_level]]&lt;=WarehouseData[[#This Row],[Demand During Lead Time]],"At Risk","Safe")</f>
        <v>Safe</v>
      </c>
      <c r="AA1986">
        <f>WarehouseData[[#This Row],[stock_level]]/WarehouseData[[#This Row],[daily_demand]]</f>
        <v>10.052447552447553</v>
      </c>
      <c r="AB1986">
        <f>WarehouseData[[#This Row],[stock_level]]*WarehouseData[[#This Row],[unit_price]]</f>
        <v>40608.800000000003</v>
      </c>
      <c r="AC1986">
        <f>WarehouseData[[#This Row],[stock_level]]*WarehouseData[[#This Row],[holding_cost_per_unit_day]]*30</f>
        <v>6900</v>
      </c>
      <c r="AD1986" t="str">
        <f>IF(WarehouseData[[#This Row],[order_fulfillment_rate]]&gt;=0.9,"Strong",IF(WarehouseData[[#This Row],[order_fulfillment_rate]]&gt;=0.8,"Moderate","Needs Attention"))</f>
        <v>Strong</v>
      </c>
      <c r="AE1986" t="str">
        <f>IF(WarehouseData[[#This Row],[picking_time_seconds]]&gt;120,"Slow",IF(WarehouseData[[#This Row],[picking_time_seconds]]&gt;=60,"Average","Fast"))</f>
        <v>Slow</v>
      </c>
    </row>
    <row r="1987" spans="1:31" x14ac:dyDescent="0.25">
      <c r="A1987" t="s">
        <v>2125</v>
      </c>
      <c r="B1987" t="s">
        <v>40</v>
      </c>
      <c r="C1987">
        <v>463</v>
      </c>
      <c r="D1987">
        <v>35</v>
      </c>
      <c r="E1987">
        <v>10</v>
      </c>
      <c r="F1987">
        <v>6</v>
      </c>
      <c r="G1987">
        <v>4.3600000000000003</v>
      </c>
      <c r="H1987">
        <v>8.01</v>
      </c>
      <c r="I1987">
        <v>0.35</v>
      </c>
      <c r="J1987" t="s">
        <v>217</v>
      </c>
      <c r="K1987" t="s">
        <v>34</v>
      </c>
      <c r="L1987">
        <v>62</v>
      </c>
      <c r="M1987">
        <v>3.79</v>
      </c>
      <c r="N1987">
        <v>165.44</v>
      </c>
      <c r="O1987">
        <v>0.64</v>
      </c>
      <c r="P1987">
        <v>9</v>
      </c>
      <c r="Q1987">
        <v>0.84</v>
      </c>
      <c r="R1987">
        <v>457</v>
      </c>
      <c r="S1987">
        <v>5.67</v>
      </c>
      <c r="T1987">
        <v>0.97</v>
      </c>
      <c r="U1987" s="1">
        <v>45529</v>
      </c>
      <c r="V1987">
        <v>184.1</v>
      </c>
      <c r="W1987">
        <v>0.59399999999999997</v>
      </c>
      <c r="X1987" t="str">
        <f>IF(WarehouseData[[#This Row],[stock_level]]&lt;=WarehouseData[[#This Row],[reorder_point]],"Low Stock","Sufficient Stock")</f>
        <v>Sufficient Stock</v>
      </c>
      <c r="Y1987">
        <f>WarehouseData[[#This Row],[daily_demand]]*WarehouseData[[#This Row],[lead_time_days]]</f>
        <v>26.160000000000004</v>
      </c>
      <c r="Z1987" t="str">
        <f>IF(WarehouseData[[#This Row],[stock_level]]&lt;=WarehouseData[[#This Row],[Demand During Lead Time]],"At Risk","Safe")</f>
        <v>Safe</v>
      </c>
      <c r="AA1987">
        <f>WarehouseData[[#This Row],[stock_level]]/WarehouseData[[#This Row],[daily_demand]]</f>
        <v>106.19266055045871</v>
      </c>
      <c r="AB1987">
        <f>WarehouseData[[#This Row],[stock_level]]*WarehouseData[[#This Row],[unit_price]]</f>
        <v>76598.720000000001</v>
      </c>
      <c r="AC1987">
        <f>WarehouseData[[#This Row],[stock_level]]*WarehouseData[[#This Row],[holding_cost_per_unit_day]]*30</f>
        <v>8889.6</v>
      </c>
      <c r="AD1987" t="str">
        <f>IF(WarehouseData[[#This Row],[order_fulfillment_rate]]&gt;=0.9,"Strong",IF(WarehouseData[[#This Row],[order_fulfillment_rate]]&gt;=0.8,"Moderate","Needs Attention"))</f>
        <v>Moderate</v>
      </c>
      <c r="AE1987" t="str">
        <f>IF(WarehouseData[[#This Row],[picking_time_seconds]]&gt;120,"Slow",IF(WarehouseData[[#This Row],[picking_time_seconds]]&gt;=60,"Average","Fast"))</f>
        <v>Average</v>
      </c>
    </row>
    <row r="1988" spans="1:31" x14ac:dyDescent="0.25">
      <c r="A1988" t="s">
        <v>2126</v>
      </c>
      <c r="B1988" t="s">
        <v>32</v>
      </c>
      <c r="C1988">
        <v>346</v>
      </c>
      <c r="D1988">
        <v>19</v>
      </c>
      <c r="E1988">
        <v>11</v>
      </c>
      <c r="F1988">
        <v>4</v>
      </c>
      <c r="G1988">
        <v>9.26</v>
      </c>
      <c r="H1988">
        <v>5.85</v>
      </c>
      <c r="I1988">
        <v>0.79</v>
      </c>
      <c r="J1988" t="s">
        <v>98</v>
      </c>
      <c r="K1988" t="s">
        <v>46</v>
      </c>
      <c r="L1988">
        <v>141</v>
      </c>
      <c r="M1988">
        <v>2.29</v>
      </c>
      <c r="N1988">
        <v>164.39</v>
      </c>
      <c r="O1988">
        <v>1.53</v>
      </c>
      <c r="P1988">
        <v>2</v>
      </c>
      <c r="Q1988">
        <v>0.79</v>
      </c>
      <c r="R1988">
        <v>610</v>
      </c>
      <c r="S1988">
        <v>4.0199999999999996</v>
      </c>
      <c r="T1988">
        <v>0.97</v>
      </c>
      <c r="U1988" s="1">
        <v>45317</v>
      </c>
      <c r="V1988">
        <v>107.51</v>
      </c>
      <c r="W1988">
        <v>0.61299999999999999</v>
      </c>
      <c r="X1988" t="str">
        <f>IF(WarehouseData[[#This Row],[stock_level]]&lt;=WarehouseData[[#This Row],[reorder_point]],"Low Stock","Sufficient Stock")</f>
        <v>Sufficient Stock</v>
      </c>
      <c r="Y1988">
        <f>WarehouseData[[#This Row],[daily_demand]]*WarehouseData[[#This Row],[lead_time_days]]</f>
        <v>37.04</v>
      </c>
      <c r="Z1988" t="str">
        <f>IF(WarehouseData[[#This Row],[stock_level]]&lt;=WarehouseData[[#This Row],[Demand During Lead Time]],"At Risk","Safe")</f>
        <v>Safe</v>
      </c>
      <c r="AA1988">
        <f>WarehouseData[[#This Row],[stock_level]]/WarehouseData[[#This Row],[daily_demand]]</f>
        <v>37.365010799136073</v>
      </c>
      <c r="AB1988">
        <f>WarehouseData[[#This Row],[stock_level]]*WarehouseData[[#This Row],[unit_price]]</f>
        <v>56878.939999999995</v>
      </c>
      <c r="AC1988">
        <f>WarehouseData[[#This Row],[stock_level]]*WarehouseData[[#This Row],[holding_cost_per_unit_day]]*30</f>
        <v>15881.4</v>
      </c>
      <c r="AD1988" t="str">
        <f>IF(WarehouseData[[#This Row],[order_fulfillment_rate]]&gt;=0.9,"Strong",IF(WarehouseData[[#This Row],[order_fulfillment_rate]]&gt;=0.8,"Moderate","Needs Attention"))</f>
        <v>Needs Attention</v>
      </c>
      <c r="AE1988" t="str">
        <f>IF(WarehouseData[[#This Row],[picking_time_seconds]]&gt;120,"Slow",IF(WarehouseData[[#This Row],[picking_time_seconds]]&gt;=60,"Average","Fast"))</f>
        <v>Slow</v>
      </c>
    </row>
    <row r="1989" spans="1:31" x14ac:dyDescent="0.25">
      <c r="A1989" t="s">
        <v>2127</v>
      </c>
      <c r="B1989" t="s">
        <v>48</v>
      </c>
      <c r="C1989">
        <v>268</v>
      </c>
      <c r="D1989">
        <v>38</v>
      </c>
      <c r="E1989">
        <v>13</v>
      </c>
      <c r="F1989">
        <v>6</v>
      </c>
      <c r="G1989">
        <v>39.770000000000003</v>
      </c>
      <c r="H1989">
        <v>1.22</v>
      </c>
      <c r="I1989">
        <v>0.21</v>
      </c>
      <c r="J1989" t="s">
        <v>57</v>
      </c>
      <c r="K1989" t="s">
        <v>38</v>
      </c>
      <c r="L1989">
        <v>18</v>
      </c>
      <c r="M1989">
        <v>3.07</v>
      </c>
      <c r="N1989">
        <v>50.98</v>
      </c>
      <c r="O1989">
        <v>1.44</v>
      </c>
      <c r="P1989">
        <v>5</v>
      </c>
      <c r="Q1989">
        <v>0.95</v>
      </c>
      <c r="R1989">
        <v>629</v>
      </c>
      <c r="S1989">
        <v>14.38</v>
      </c>
      <c r="T1989">
        <v>0.75</v>
      </c>
      <c r="U1989" s="1">
        <v>45343</v>
      </c>
      <c r="V1989">
        <v>104.87</v>
      </c>
      <c r="W1989">
        <v>0.68799999999999994</v>
      </c>
      <c r="X1989" t="str">
        <f>IF(WarehouseData[[#This Row],[stock_level]]&lt;=WarehouseData[[#This Row],[reorder_point]],"Low Stock","Sufficient Stock")</f>
        <v>Sufficient Stock</v>
      </c>
      <c r="Y1989">
        <f>WarehouseData[[#This Row],[daily_demand]]*WarehouseData[[#This Row],[lead_time_days]]</f>
        <v>238.62</v>
      </c>
      <c r="Z1989" t="str">
        <f>IF(WarehouseData[[#This Row],[stock_level]]&lt;=WarehouseData[[#This Row],[Demand During Lead Time]],"At Risk","Safe")</f>
        <v>Safe</v>
      </c>
      <c r="AA1989">
        <f>WarehouseData[[#This Row],[stock_level]]/WarehouseData[[#This Row],[daily_demand]]</f>
        <v>6.7387477998491319</v>
      </c>
      <c r="AB1989">
        <f>WarehouseData[[#This Row],[stock_level]]*WarehouseData[[#This Row],[unit_price]]</f>
        <v>13662.64</v>
      </c>
      <c r="AC1989">
        <f>WarehouseData[[#This Row],[stock_level]]*WarehouseData[[#This Row],[holding_cost_per_unit_day]]*30</f>
        <v>11577.599999999999</v>
      </c>
      <c r="AD1989" t="str">
        <f>IF(WarehouseData[[#This Row],[order_fulfillment_rate]]&gt;=0.9,"Strong",IF(WarehouseData[[#This Row],[order_fulfillment_rate]]&gt;=0.8,"Moderate","Needs Attention"))</f>
        <v>Strong</v>
      </c>
      <c r="AE1989" t="str">
        <f>IF(WarehouseData[[#This Row],[picking_time_seconds]]&gt;120,"Slow",IF(WarehouseData[[#This Row],[picking_time_seconds]]&gt;=60,"Average","Fast"))</f>
        <v>Fast</v>
      </c>
    </row>
    <row r="1990" spans="1:31" x14ac:dyDescent="0.25">
      <c r="A1990" t="s">
        <v>2128</v>
      </c>
      <c r="B1990" t="s">
        <v>73</v>
      </c>
      <c r="C1990">
        <v>246</v>
      </c>
      <c r="D1990">
        <v>89</v>
      </c>
      <c r="E1990">
        <v>13</v>
      </c>
      <c r="F1990">
        <v>4</v>
      </c>
      <c r="G1990">
        <v>32.770000000000003</v>
      </c>
      <c r="H1990">
        <v>6.7</v>
      </c>
      <c r="I1990">
        <v>0.79</v>
      </c>
      <c r="J1990" t="s">
        <v>110</v>
      </c>
      <c r="K1990" t="s">
        <v>46</v>
      </c>
      <c r="L1990">
        <v>78</v>
      </c>
      <c r="M1990">
        <v>1.82</v>
      </c>
      <c r="N1990">
        <v>94.99</v>
      </c>
      <c r="O1990">
        <v>1.81</v>
      </c>
      <c r="P1990">
        <v>0</v>
      </c>
      <c r="Q1990">
        <v>0.96</v>
      </c>
      <c r="R1990">
        <v>568</v>
      </c>
      <c r="S1990">
        <v>9.68</v>
      </c>
      <c r="T1990">
        <v>0.77</v>
      </c>
      <c r="U1990" s="1">
        <v>45381</v>
      </c>
      <c r="V1990">
        <v>263.3</v>
      </c>
      <c r="W1990">
        <v>0.69399999999999995</v>
      </c>
      <c r="X1990" t="str">
        <f>IF(WarehouseData[[#This Row],[stock_level]]&lt;=WarehouseData[[#This Row],[reorder_point]],"Low Stock","Sufficient Stock")</f>
        <v>Sufficient Stock</v>
      </c>
      <c r="Y1990">
        <f>WarehouseData[[#This Row],[daily_demand]]*WarehouseData[[#This Row],[lead_time_days]]</f>
        <v>131.08000000000001</v>
      </c>
      <c r="Z1990" t="str">
        <f>IF(WarehouseData[[#This Row],[stock_level]]&lt;=WarehouseData[[#This Row],[Demand During Lead Time]],"At Risk","Safe")</f>
        <v>Safe</v>
      </c>
      <c r="AA1990">
        <f>WarehouseData[[#This Row],[stock_level]]/WarehouseData[[#This Row],[daily_demand]]</f>
        <v>7.5068660360085433</v>
      </c>
      <c r="AB1990">
        <f>WarehouseData[[#This Row],[stock_level]]*WarehouseData[[#This Row],[unit_price]]</f>
        <v>23367.539999999997</v>
      </c>
      <c r="AC1990">
        <f>WarehouseData[[#This Row],[stock_level]]*WarehouseData[[#This Row],[holding_cost_per_unit_day]]*30</f>
        <v>13357.8</v>
      </c>
      <c r="AD1990" t="str">
        <f>IF(WarehouseData[[#This Row],[order_fulfillment_rate]]&gt;=0.9,"Strong",IF(WarehouseData[[#This Row],[order_fulfillment_rate]]&gt;=0.8,"Moderate","Needs Attention"))</f>
        <v>Strong</v>
      </c>
      <c r="AE1990" t="str">
        <f>IF(WarehouseData[[#This Row],[picking_time_seconds]]&gt;120,"Slow",IF(WarehouseData[[#This Row],[picking_time_seconds]]&gt;=60,"Average","Fast"))</f>
        <v>Average</v>
      </c>
    </row>
    <row r="1991" spans="1:31" x14ac:dyDescent="0.25">
      <c r="A1991" t="s">
        <v>2129</v>
      </c>
      <c r="B1991" t="s">
        <v>48</v>
      </c>
      <c r="C1991">
        <v>67</v>
      </c>
      <c r="D1991">
        <v>45</v>
      </c>
      <c r="E1991">
        <v>9</v>
      </c>
      <c r="F1991">
        <v>3</v>
      </c>
      <c r="G1991">
        <v>28.92</v>
      </c>
      <c r="H1991">
        <v>5.5</v>
      </c>
      <c r="I1991">
        <v>0.5</v>
      </c>
      <c r="J1991" t="s">
        <v>88</v>
      </c>
      <c r="K1991" t="s">
        <v>38</v>
      </c>
      <c r="L1991">
        <v>83</v>
      </c>
      <c r="M1991">
        <v>1.59</v>
      </c>
      <c r="N1991">
        <v>70.41</v>
      </c>
      <c r="O1991">
        <v>1.27</v>
      </c>
      <c r="P1991">
        <v>3</v>
      </c>
      <c r="Q1991">
        <v>0.83</v>
      </c>
      <c r="R1991">
        <v>655</v>
      </c>
      <c r="S1991">
        <v>14.08</v>
      </c>
      <c r="T1991">
        <v>0.72</v>
      </c>
      <c r="U1991" s="1">
        <v>45312</v>
      </c>
      <c r="V1991">
        <v>167.75</v>
      </c>
      <c r="W1991">
        <v>0.71099999999999997</v>
      </c>
      <c r="X1991" t="str">
        <f>IF(WarehouseData[[#This Row],[stock_level]]&lt;=WarehouseData[[#This Row],[reorder_point]],"Low Stock","Sufficient Stock")</f>
        <v>Sufficient Stock</v>
      </c>
      <c r="Y1991">
        <f>WarehouseData[[#This Row],[daily_demand]]*WarehouseData[[#This Row],[lead_time_days]]</f>
        <v>86.76</v>
      </c>
      <c r="Z1991" t="str">
        <f>IF(WarehouseData[[#This Row],[stock_level]]&lt;=WarehouseData[[#This Row],[Demand During Lead Time]],"At Risk","Safe")</f>
        <v>At Risk</v>
      </c>
      <c r="AA1991">
        <f>WarehouseData[[#This Row],[stock_level]]/WarehouseData[[#This Row],[daily_demand]]</f>
        <v>2.3167358229598891</v>
      </c>
      <c r="AB1991">
        <f>WarehouseData[[#This Row],[stock_level]]*WarehouseData[[#This Row],[unit_price]]</f>
        <v>4717.4699999999993</v>
      </c>
      <c r="AC1991">
        <f>WarehouseData[[#This Row],[stock_level]]*WarehouseData[[#This Row],[holding_cost_per_unit_day]]*30</f>
        <v>2552.7000000000003</v>
      </c>
      <c r="AD1991" t="str">
        <f>IF(WarehouseData[[#This Row],[order_fulfillment_rate]]&gt;=0.9,"Strong",IF(WarehouseData[[#This Row],[order_fulfillment_rate]]&gt;=0.8,"Moderate","Needs Attention"))</f>
        <v>Moderate</v>
      </c>
      <c r="AE1991" t="str">
        <f>IF(WarehouseData[[#This Row],[picking_time_seconds]]&gt;120,"Slow",IF(WarehouseData[[#This Row],[picking_time_seconds]]&gt;=60,"Average","Fast"))</f>
        <v>Average</v>
      </c>
    </row>
    <row r="1992" spans="1:31" x14ac:dyDescent="0.25">
      <c r="A1992" t="s">
        <v>2130</v>
      </c>
      <c r="B1992" t="s">
        <v>36</v>
      </c>
      <c r="C1992">
        <v>37</v>
      </c>
      <c r="D1992">
        <v>93</v>
      </c>
      <c r="E1992">
        <v>12</v>
      </c>
      <c r="F1992">
        <v>7</v>
      </c>
      <c r="G1992">
        <v>9.2100000000000009</v>
      </c>
      <c r="H1992">
        <v>2.25</v>
      </c>
      <c r="I1992">
        <v>0.87</v>
      </c>
      <c r="J1992" t="s">
        <v>142</v>
      </c>
      <c r="K1992" t="s">
        <v>46</v>
      </c>
      <c r="L1992">
        <v>120</v>
      </c>
      <c r="M1992">
        <v>1.96</v>
      </c>
      <c r="N1992">
        <v>194.38</v>
      </c>
      <c r="O1992">
        <v>0.84</v>
      </c>
      <c r="P1992">
        <v>5</v>
      </c>
      <c r="Q1992">
        <v>0.81</v>
      </c>
      <c r="R1992">
        <v>433</v>
      </c>
      <c r="S1992">
        <v>6.42</v>
      </c>
      <c r="T1992">
        <v>0.34</v>
      </c>
      <c r="U1992" s="1">
        <v>45440</v>
      </c>
      <c r="V1992">
        <v>88.95</v>
      </c>
      <c r="W1992">
        <v>0.53200000000000003</v>
      </c>
      <c r="X1992" t="str">
        <f>IF(WarehouseData[[#This Row],[stock_level]]&lt;=WarehouseData[[#This Row],[reorder_point]],"Low Stock","Sufficient Stock")</f>
        <v>Low Stock</v>
      </c>
      <c r="Y1992">
        <f>WarehouseData[[#This Row],[daily_demand]]*WarehouseData[[#This Row],[lead_time_days]]</f>
        <v>64.47</v>
      </c>
      <c r="Z1992" t="str">
        <f>IF(WarehouseData[[#This Row],[stock_level]]&lt;=WarehouseData[[#This Row],[Demand During Lead Time]],"At Risk","Safe")</f>
        <v>At Risk</v>
      </c>
      <c r="AA1992">
        <f>WarehouseData[[#This Row],[stock_level]]/WarehouseData[[#This Row],[daily_demand]]</f>
        <v>4.0173724212812161</v>
      </c>
      <c r="AB1992">
        <f>WarehouseData[[#This Row],[stock_level]]*WarehouseData[[#This Row],[unit_price]]</f>
        <v>7192.0599999999995</v>
      </c>
      <c r="AC1992">
        <f>WarehouseData[[#This Row],[stock_level]]*WarehouseData[[#This Row],[holding_cost_per_unit_day]]*30</f>
        <v>932.4</v>
      </c>
      <c r="AD1992" t="str">
        <f>IF(WarehouseData[[#This Row],[order_fulfillment_rate]]&gt;=0.9,"Strong",IF(WarehouseData[[#This Row],[order_fulfillment_rate]]&gt;=0.8,"Moderate","Needs Attention"))</f>
        <v>Moderate</v>
      </c>
      <c r="AE1992" t="str">
        <f>IF(WarehouseData[[#This Row],[picking_time_seconds]]&gt;120,"Slow",IF(WarehouseData[[#This Row],[picking_time_seconds]]&gt;=60,"Average","Fast"))</f>
        <v>Average</v>
      </c>
    </row>
    <row r="1993" spans="1:31" x14ac:dyDescent="0.25">
      <c r="A1993" t="s">
        <v>2131</v>
      </c>
      <c r="B1993" t="s">
        <v>73</v>
      </c>
      <c r="C1993">
        <v>419</v>
      </c>
      <c r="D1993">
        <v>46</v>
      </c>
      <c r="E1993">
        <v>12</v>
      </c>
      <c r="F1993">
        <v>6</v>
      </c>
      <c r="G1993">
        <v>42.05</v>
      </c>
      <c r="H1993">
        <v>8.8800000000000008</v>
      </c>
      <c r="I1993">
        <v>0.77</v>
      </c>
      <c r="J1993" t="s">
        <v>79</v>
      </c>
      <c r="K1993" t="s">
        <v>52</v>
      </c>
      <c r="L1993">
        <v>96</v>
      </c>
      <c r="M1993">
        <v>4.16</v>
      </c>
      <c r="N1993">
        <v>176.58</v>
      </c>
      <c r="O1993">
        <v>1.46</v>
      </c>
      <c r="P1993">
        <v>1</v>
      </c>
      <c r="Q1993">
        <v>0.88</v>
      </c>
      <c r="R1993">
        <v>130</v>
      </c>
      <c r="S1993">
        <v>5.17</v>
      </c>
      <c r="T1993">
        <v>0.6</v>
      </c>
      <c r="U1993" s="1">
        <v>45476</v>
      </c>
      <c r="V1993">
        <v>167.53</v>
      </c>
      <c r="W1993">
        <v>0.59899999999999998</v>
      </c>
      <c r="X1993" t="str">
        <f>IF(WarehouseData[[#This Row],[stock_level]]&lt;=WarehouseData[[#This Row],[reorder_point]],"Low Stock","Sufficient Stock")</f>
        <v>Sufficient Stock</v>
      </c>
      <c r="Y1993">
        <f>WarehouseData[[#This Row],[daily_demand]]*WarehouseData[[#This Row],[lead_time_days]]</f>
        <v>252.29999999999998</v>
      </c>
      <c r="Z1993" t="str">
        <f>IF(WarehouseData[[#This Row],[stock_level]]&lt;=WarehouseData[[#This Row],[Demand During Lead Time]],"At Risk","Safe")</f>
        <v>Safe</v>
      </c>
      <c r="AA1993">
        <f>WarehouseData[[#This Row],[stock_level]]/WarehouseData[[#This Row],[daily_demand]]</f>
        <v>9.964328180737219</v>
      </c>
      <c r="AB1993">
        <f>WarehouseData[[#This Row],[stock_level]]*WarehouseData[[#This Row],[unit_price]]</f>
        <v>73987.02</v>
      </c>
      <c r="AC1993">
        <f>WarehouseData[[#This Row],[stock_level]]*WarehouseData[[#This Row],[holding_cost_per_unit_day]]*30</f>
        <v>18352.2</v>
      </c>
      <c r="AD1993" t="str">
        <f>IF(WarehouseData[[#This Row],[order_fulfillment_rate]]&gt;=0.9,"Strong",IF(WarehouseData[[#This Row],[order_fulfillment_rate]]&gt;=0.8,"Moderate","Needs Attention"))</f>
        <v>Moderate</v>
      </c>
      <c r="AE1993" t="str">
        <f>IF(WarehouseData[[#This Row],[picking_time_seconds]]&gt;120,"Slow",IF(WarehouseData[[#This Row],[picking_time_seconds]]&gt;=60,"Average","Fast"))</f>
        <v>Average</v>
      </c>
    </row>
    <row r="1994" spans="1:31" x14ac:dyDescent="0.25">
      <c r="A1994" t="s">
        <v>2132</v>
      </c>
      <c r="B1994" t="s">
        <v>40</v>
      </c>
      <c r="C1994">
        <v>458</v>
      </c>
      <c r="D1994">
        <v>95</v>
      </c>
      <c r="E1994">
        <v>10</v>
      </c>
      <c r="F1994">
        <v>5</v>
      </c>
      <c r="G1994">
        <v>48.08</v>
      </c>
      <c r="H1994">
        <v>3.76</v>
      </c>
      <c r="I1994">
        <v>0.44</v>
      </c>
      <c r="J1994" t="s">
        <v>190</v>
      </c>
      <c r="K1994" t="s">
        <v>52</v>
      </c>
      <c r="L1994">
        <v>13</v>
      </c>
      <c r="M1994">
        <v>2.42</v>
      </c>
      <c r="N1994">
        <v>57.49</v>
      </c>
      <c r="O1994">
        <v>1.28</v>
      </c>
      <c r="P1994">
        <v>7</v>
      </c>
      <c r="Q1994">
        <v>0.72</v>
      </c>
      <c r="R1994">
        <v>487</v>
      </c>
      <c r="S1994">
        <v>2.86</v>
      </c>
      <c r="T1994">
        <v>0.83</v>
      </c>
      <c r="U1994" s="1">
        <v>45638</v>
      </c>
      <c r="V1994">
        <v>87.36</v>
      </c>
      <c r="W1994">
        <v>0.48</v>
      </c>
      <c r="X1994" t="str">
        <f>IF(WarehouseData[[#This Row],[stock_level]]&lt;=WarehouseData[[#This Row],[reorder_point]],"Low Stock","Sufficient Stock")</f>
        <v>Sufficient Stock</v>
      </c>
      <c r="Y1994">
        <f>WarehouseData[[#This Row],[daily_demand]]*WarehouseData[[#This Row],[lead_time_days]]</f>
        <v>240.39999999999998</v>
      </c>
      <c r="Z1994" t="str">
        <f>IF(WarehouseData[[#This Row],[stock_level]]&lt;=WarehouseData[[#This Row],[Demand During Lead Time]],"At Risk","Safe")</f>
        <v>Safe</v>
      </c>
      <c r="AA1994">
        <f>WarehouseData[[#This Row],[stock_level]]/WarehouseData[[#This Row],[daily_demand]]</f>
        <v>9.5257903494176368</v>
      </c>
      <c r="AB1994">
        <f>WarehouseData[[#This Row],[stock_level]]*WarehouseData[[#This Row],[unit_price]]</f>
        <v>26330.420000000002</v>
      </c>
      <c r="AC1994">
        <f>WarehouseData[[#This Row],[stock_level]]*WarehouseData[[#This Row],[holding_cost_per_unit_day]]*30</f>
        <v>17587.2</v>
      </c>
      <c r="AD1994" t="str">
        <f>IF(WarehouseData[[#This Row],[order_fulfillment_rate]]&gt;=0.9,"Strong",IF(WarehouseData[[#This Row],[order_fulfillment_rate]]&gt;=0.8,"Moderate","Needs Attention"))</f>
        <v>Needs Attention</v>
      </c>
      <c r="AE1994" t="str">
        <f>IF(WarehouseData[[#This Row],[picking_time_seconds]]&gt;120,"Slow",IF(WarehouseData[[#This Row],[picking_time_seconds]]&gt;=60,"Average","Fast"))</f>
        <v>Fast</v>
      </c>
    </row>
    <row r="1995" spans="1:31" x14ac:dyDescent="0.25">
      <c r="A1995" t="s">
        <v>2133</v>
      </c>
      <c r="B1995" t="s">
        <v>32</v>
      </c>
      <c r="C1995">
        <v>314</v>
      </c>
      <c r="D1995">
        <v>80</v>
      </c>
      <c r="E1995">
        <v>14</v>
      </c>
      <c r="F1995">
        <v>9</v>
      </c>
      <c r="G1995">
        <v>3</v>
      </c>
      <c r="H1995">
        <v>4.18</v>
      </c>
      <c r="I1995">
        <v>0.91</v>
      </c>
      <c r="J1995" t="s">
        <v>311</v>
      </c>
      <c r="K1995" t="s">
        <v>34</v>
      </c>
      <c r="L1995">
        <v>46</v>
      </c>
      <c r="M1995">
        <v>1.9</v>
      </c>
      <c r="N1995">
        <v>69.569999999999993</v>
      </c>
      <c r="O1995">
        <v>1.27</v>
      </c>
      <c r="P1995">
        <v>3</v>
      </c>
      <c r="Q1995">
        <v>0.91</v>
      </c>
      <c r="R1995">
        <v>299</v>
      </c>
      <c r="S1995">
        <v>5.2</v>
      </c>
      <c r="T1995">
        <v>0.82</v>
      </c>
      <c r="U1995" s="1">
        <v>45452</v>
      </c>
      <c r="V1995">
        <v>63.74</v>
      </c>
      <c r="W1995">
        <v>0.628</v>
      </c>
      <c r="X1995" t="str">
        <f>IF(WarehouseData[[#This Row],[stock_level]]&lt;=WarehouseData[[#This Row],[reorder_point]],"Low Stock","Sufficient Stock")</f>
        <v>Sufficient Stock</v>
      </c>
      <c r="Y1995">
        <f>WarehouseData[[#This Row],[daily_demand]]*WarehouseData[[#This Row],[lead_time_days]]</f>
        <v>27</v>
      </c>
      <c r="Z1995" t="str">
        <f>IF(WarehouseData[[#This Row],[stock_level]]&lt;=WarehouseData[[#This Row],[Demand During Lead Time]],"At Risk","Safe")</f>
        <v>Safe</v>
      </c>
      <c r="AA1995">
        <f>WarehouseData[[#This Row],[stock_level]]/WarehouseData[[#This Row],[daily_demand]]</f>
        <v>104.66666666666667</v>
      </c>
      <c r="AB1995">
        <f>WarehouseData[[#This Row],[stock_level]]*WarehouseData[[#This Row],[unit_price]]</f>
        <v>21844.98</v>
      </c>
      <c r="AC1995">
        <f>WarehouseData[[#This Row],[stock_level]]*WarehouseData[[#This Row],[holding_cost_per_unit_day]]*30</f>
        <v>11963.400000000001</v>
      </c>
      <c r="AD1995" t="str">
        <f>IF(WarehouseData[[#This Row],[order_fulfillment_rate]]&gt;=0.9,"Strong",IF(WarehouseData[[#This Row],[order_fulfillment_rate]]&gt;=0.8,"Moderate","Needs Attention"))</f>
        <v>Strong</v>
      </c>
      <c r="AE1995" t="str">
        <f>IF(WarehouseData[[#This Row],[picking_time_seconds]]&gt;120,"Slow",IF(WarehouseData[[#This Row],[picking_time_seconds]]&gt;=60,"Average","Fast"))</f>
        <v>Fast</v>
      </c>
    </row>
    <row r="1996" spans="1:31" x14ac:dyDescent="0.25">
      <c r="A1996" t="s">
        <v>2134</v>
      </c>
      <c r="B1996" t="s">
        <v>48</v>
      </c>
      <c r="C1996">
        <v>215</v>
      </c>
      <c r="D1996">
        <v>32</v>
      </c>
      <c r="E1996">
        <v>11</v>
      </c>
      <c r="F1996">
        <v>3</v>
      </c>
      <c r="G1996">
        <v>4.82</v>
      </c>
      <c r="H1996">
        <v>6.89</v>
      </c>
      <c r="I1996">
        <v>0.36</v>
      </c>
      <c r="J1996" t="s">
        <v>131</v>
      </c>
      <c r="K1996" t="s">
        <v>34</v>
      </c>
      <c r="L1996">
        <v>80</v>
      </c>
      <c r="M1996">
        <v>2.4500000000000002</v>
      </c>
      <c r="N1996">
        <v>110.49</v>
      </c>
      <c r="O1996">
        <v>1.71</v>
      </c>
      <c r="P1996">
        <v>1</v>
      </c>
      <c r="Q1996">
        <v>0.93</v>
      </c>
      <c r="R1996">
        <v>87</v>
      </c>
      <c r="S1996">
        <v>13.46</v>
      </c>
      <c r="T1996">
        <v>0.92</v>
      </c>
      <c r="U1996" s="1">
        <v>45510</v>
      </c>
      <c r="V1996">
        <v>91.83</v>
      </c>
      <c r="W1996">
        <v>0.75800000000000001</v>
      </c>
      <c r="X1996" t="str">
        <f>IF(WarehouseData[[#This Row],[stock_level]]&lt;=WarehouseData[[#This Row],[reorder_point]],"Low Stock","Sufficient Stock")</f>
        <v>Sufficient Stock</v>
      </c>
      <c r="Y1996">
        <f>WarehouseData[[#This Row],[daily_demand]]*WarehouseData[[#This Row],[lead_time_days]]</f>
        <v>14.46</v>
      </c>
      <c r="Z1996" t="str">
        <f>IF(WarehouseData[[#This Row],[stock_level]]&lt;=WarehouseData[[#This Row],[Demand During Lead Time]],"At Risk","Safe")</f>
        <v>Safe</v>
      </c>
      <c r="AA1996">
        <f>WarehouseData[[#This Row],[stock_level]]/WarehouseData[[#This Row],[daily_demand]]</f>
        <v>44.605809128630703</v>
      </c>
      <c r="AB1996">
        <f>WarehouseData[[#This Row],[stock_level]]*WarehouseData[[#This Row],[unit_price]]</f>
        <v>23755.35</v>
      </c>
      <c r="AC1996">
        <f>WarehouseData[[#This Row],[stock_level]]*WarehouseData[[#This Row],[holding_cost_per_unit_day]]*30</f>
        <v>11029.5</v>
      </c>
      <c r="AD1996" t="str">
        <f>IF(WarehouseData[[#This Row],[order_fulfillment_rate]]&gt;=0.9,"Strong",IF(WarehouseData[[#This Row],[order_fulfillment_rate]]&gt;=0.8,"Moderate","Needs Attention"))</f>
        <v>Strong</v>
      </c>
      <c r="AE1996" t="str">
        <f>IF(WarehouseData[[#This Row],[picking_time_seconds]]&gt;120,"Slow",IF(WarehouseData[[#This Row],[picking_time_seconds]]&gt;=60,"Average","Fast"))</f>
        <v>Average</v>
      </c>
    </row>
    <row r="1997" spans="1:31" x14ac:dyDescent="0.25">
      <c r="A1997" t="s">
        <v>2135</v>
      </c>
      <c r="B1997" t="s">
        <v>73</v>
      </c>
      <c r="C1997">
        <v>206</v>
      </c>
      <c r="D1997">
        <v>50</v>
      </c>
      <c r="E1997">
        <v>8</v>
      </c>
      <c r="F1997">
        <v>8</v>
      </c>
      <c r="G1997">
        <v>44.35</v>
      </c>
      <c r="H1997">
        <v>5.14</v>
      </c>
      <c r="I1997">
        <v>0.97</v>
      </c>
      <c r="J1997" t="s">
        <v>49</v>
      </c>
      <c r="K1997" t="s">
        <v>46</v>
      </c>
      <c r="L1997">
        <v>15</v>
      </c>
      <c r="M1997">
        <v>0.65</v>
      </c>
      <c r="N1997">
        <v>62.94</v>
      </c>
      <c r="O1997">
        <v>1.83</v>
      </c>
      <c r="P1997">
        <v>0</v>
      </c>
      <c r="Q1997">
        <v>0.82</v>
      </c>
      <c r="R1997">
        <v>911</v>
      </c>
      <c r="S1997">
        <v>9.15</v>
      </c>
      <c r="T1997">
        <v>0.92</v>
      </c>
      <c r="U1997" s="1">
        <v>45351</v>
      </c>
      <c r="V1997">
        <v>192.38</v>
      </c>
      <c r="W1997">
        <v>0.68700000000000006</v>
      </c>
      <c r="X1997" t="str">
        <f>IF(WarehouseData[[#This Row],[stock_level]]&lt;=WarehouseData[[#This Row],[reorder_point]],"Low Stock","Sufficient Stock")</f>
        <v>Sufficient Stock</v>
      </c>
      <c r="Y1997">
        <f>WarehouseData[[#This Row],[daily_demand]]*WarehouseData[[#This Row],[lead_time_days]]</f>
        <v>354.8</v>
      </c>
      <c r="Z1997" t="str">
        <f>IF(WarehouseData[[#This Row],[stock_level]]&lt;=WarehouseData[[#This Row],[Demand During Lead Time]],"At Risk","Safe")</f>
        <v>At Risk</v>
      </c>
      <c r="AA1997">
        <f>WarehouseData[[#This Row],[stock_level]]/WarehouseData[[#This Row],[daily_demand]]</f>
        <v>4.6448703494926722</v>
      </c>
      <c r="AB1997">
        <f>WarehouseData[[#This Row],[stock_level]]*WarehouseData[[#This Row],[unit_price]]</f>
        <v>12965.64</v>
      </c>
      <c r="AC1997">
        <f>WarehouseData[[#This Row],[stock_level]]*WarehouseData[[#This Row],[holding_cost_per_unit_day]]*30</f>
        <v>11309.400000000001</v>
      </c>
      <c r="AD1997" t="str">
        <f>IF(WarehouseData[[#This Row],[order_fulfillment_rate]]&gt;=0.9,"Strong",IF(WarehouseData[[#This Row],[order_fulfillment_rate]]&gt;=0.8,"Moderate","Needs Attention"))</f>
        <v>Moderate</v>
      </c>
      <c r="AE1997" t="str">
        <f>IF(WarehouseData[[#This Row],[picking_time_seconds]]&gt;120,"Slow",IF(WarehouseData[[#This Row],[picking_time_seconds]]&gt;=60,"Average","Fast"))</f>
        <v>Fast</v>
      </c>
    </row>
    <row r="1998" spans="1:31" x14ac:dyDescent="0.25">
      <c r="A1998" t="s">
        <v>2136</v>
      </c>
      <c r="B1998" t="s">
        <v>36</v>
      </c>
      <c r="C1998">
        <v>364</v>
      </c>
      <c r="D1998">
        <v>89</v>
      </c>
      <c r="E1998">
        <v>14</v>
      </c>
      <c r="F1998">
        <v>5</v>
      </c>
      <c r="G1998">
        <v>40.96</v>
      </c>
      <c r="H1998">
        <v>1.35</v>
      </c>
      <c r="I1998">
        <v>0.79</v>
      </c>
      <c r="J1998" t="s">
        <v>158</v>
      </c>
      <c r="K1998" t="s">
        <v>46</v>
      </c>
      <c r="L1998">
        <v>60</v>
      </c>
      <c r="M1998">
        <v>4.51</v>
      </c>
      <c r="N1998">
        <v>166.66</v>
      </c>
      <c r="O1998">
        <v>0.44</v>
      </c>
      <c r="P1998">
        <v>7</v>
      </c>
      <c r="Q1998">
        <v>0.75</v>
      </c>
      <c r="R1998">
        <v>94</v>
      </c>
      <c r="S1998">
        <v>7.33</v>
      </c>
      <c r="T1998">
        <v>0.41</v>
      </c>
      <c r="U1998" s="1">
        <v>45340</v>
      </c>
      <c r="V1998">
        <v>159.59</v>
      </c>
      <c r="W1998">
        <v>0.54600000000000004</v>
      </c>
      <c r="X1998" t="str">
        <f>IF(WarehouseData[[#This Row],[stock_level]]&lt;=WarehouseData[[#This Row],[reorder_point]],"Low Stock","Sufficient Stock")</f>
        <v>Sufficient Stock</v>
      </c>
      <c r="Y1998">
        <f>WarehouseData[[#This Row],[daily_demand]]*WarehouseData[[#This Row],[lead_time_days]]</f>
        <v>204.8</v>
      </c>
      <c r="Z1998" t="str">
        <f>IF(WarehouseData[[#This Row],[stock_level]]&lt;=WarehouseData[[#This Row],[Demand During Lead Time]],"At Risk","Safe")</f>
        <v>Safe</v>
      </c>
      <c r="AA1998">
        <f>WarehouseData[[#This Row],[stock_level]]/WarehouseData[[#This Row],[daily_demand]]</f>
        <v>8.88671875</v>
      </c>
      <c r="AB1998">
        <f>WarehouseData[[#This Row],[stock_level]]*WarehouseData[[#This Row],[unit_price]]</f>
        <v>60664.24</v>
      </c>
      <c r="AC1998">
        <f>WarehouseData[[#This Row],[stock_level]]*WarehouseData[[#This Row],[holding_cost_per_unit_day]]*30</f>
        <v>4804.8</v>
      </c>
      <c r="AD1998" t="str">
        <f>IF(WarehouseData[[#This Row],[order_fulfillment_rate]]&gt;=0.9,"Strong",IF(WarehouseData[[#This Row],[order_fulfillment_rate]]&gt;=0.8,"Moderate","Needs Attention"))</f>
        <v>Needs Attention</v>
      </c>
      <c r="AE1998" t="str">
        <f>IF(WarehouseData[[#This Row],[picking_time_seconds]]&gt;120,"Slow",IF(WarehouseData[[#This Row],[picking_time_seconds]]&gt;=60,"Average","Fast"))</f>
        <v>Average</v>
      </c>
    </row>
    <row r="1999" spans="1:31" x14ac:dyDescent="0.25">
      <c r="A1999" t="s">
        <v>2137</v>
      </c>
      <c r="B1999" t="s">
        <v>73</v>
      </c>
      <c r="C1999">
        <v>243</v>
      </c>
      <c r="D1999">
        <v>37</v>
      </c>
      <c r="E1999">
        <v>14</v>
      </c>
      <c r="F1999">
        <v>7</v>
      </c>
      <c r="G1999">
        <v>31.28</v>
      </c>
      <c r="H1999">
        <v>4.18</v>
      </c>
      <c r="I1999">
        <v>0.99</v>
      </c>
      <c r="J1999" t="s">
        <v>377</v>
      </c>
      <c r="K1999" t="s">
        <v>34</v>
      </c>
      <c r="L1999">
        <v>108</v>
      </c>
      <c r="M1999">
        <v>2.98</v>
      </c>
      <c r="N1999">
        <v>165.65</v>
      </c>
      <c r="O1999">
        <v>0.7</v>
      </c>
      <c r="P1999">
        <v>9</v>
      </c>
      <c r="Q1999">
        <v>0.71</v>
      </c>
      <c r="R1999">
        <v>408</v>
      </c>
      <c r="S1999">
        <v>8.9600000000000009</v>
      </c>
      <c r="T1999">
        <v>0.78</v>
      </c>
      <c r="U1999" s="1">
        <v>45315</v>
      </c>
      <c r="V1999">
        <v>57.71</v>
      </c>
      <c r="W1999">
        <v>0.56699999999999995</v>
      </c>
      <c r="X1999" t="str">
        <f>IF(WarehouseData[[#This Row],[stock_level]]&lt;=WarehouseData[[#This Row],[reorder_point]],"Low Stock","Sufficient Stock")</f>
        <v>Sufficient Stock</v>
      </c>
      <c r="Y1999">
        <f>WarehouseData[[#This Row],[daily_demand]]*WarehouseData[[#This Row],[lead_time_days]]</f>
        <v>218.96</v>
      </c>
      <c r="Z1999" t="str">
        <f>IF(WarehouseData[[#This Row],[stock_level]]&lt;=WarehouseData[[#This Row],[Demand During Lead Time]],"At Risk","Safe")</f>
        <v>Safe</v>
      </c>
      <c r="AA1999">
        <f>WarehouseData[[#This Row],[stock_level]]/WarehouseData[[#This Row],[daily_demand]]</f>
        <v>7.7685421994884907</v>
      </c>
      <c r="AB1999">
        <f>WarehouseData[[#This Row],[stock_level]]*WarehouseData[[#This Row],[unit_price]]</f>
        <v>40252.950000000004</v>
      </c>
      <c r="AC1999">
        <f>WarehouseData[[#This Row],[stock_level]]*WarehouseData[[#This Row],[holding_cost_per_unit_day]]*30</f>
        <v>5103</v>
      </c>
      <c r="AD1999" t="str">
        <f>IF(WarehouseData[[#This Row],[order_fulfillment_rate]]&gt;=0.9,"Strong",IF(WarehouseData[[#This Row],[order_fulfillment_rate]]&gt;=0.8,"Moderate","Needs Attention"))</f>
        <v>Needs Attention</v>
      </c>
      <c r="AE1999" t="str">
        <f>IF(WarehouseData[[#This Row],[picking_time_seconds]]&gt;120,"Slow",IF(WarehouseData[[#This Row],[picking_time_seconds]]&gt;=60,"Average","Fast"))</f>
        <v>Average</v>
      </c>
    </row>
    <row r="2000" spans="1:31" x14ac:dyDescent="0.25">
      <c r="A2000" t="s">
        <v>2138</v>
      </c>
      <c r="B2000" t="s">
        <v>36</v>
      </c>
      <c r="C2000">
        <v>337</v>
      </c>
      <c r="D2000">
        <v>57</v>
      </c>
      <c r="E2000">
        <v>12</v>
      </c>
      <c r="F2000">
        <v>4</v>
      </c>
      <c r="G2000">
        <v>47.3</v>
      </c>
      <c r="H2000">
        <v>1.4</v>
      </c>
      <c r="I2000">
        <v>0.15</v>
      </c>
      <c r="J2000" t="s">
        <v>377</v>
      </c>
      <c r="K2000" t="s">
        <v>34</v>
      </c>
      <c r="L2000">
        <v>105</v>
      </c>
      <c r="M2000">
        <v>0.97</v>
      </c>
      <c r="N2000">
        <v>147.62</v>
      </c>
      <c r="O2000">
        <v>1.34</v>
      </c>
      <c r="P2000">
        <v>0</v>
      </c>
      <c r="Q2000">
        <v>0.89</v>
      </c>
      <c r="R2000">
        <v>186</v>
      </c>
      <c r="S2000">
        <v>13.5</v>
      </c>
      <c r="T2000">
        <v>0.72</v>
      </c>
      <c r="U2000" s="1">
        <v>45296</v>
      </c>
      <c r="V2000">
        <v>273.29000000000002</v>
      </c>
      <c r="W2000">
        <v>0.76800000000000002</v>
      </c>
      <c r="X2000" t="str">
        <f>IF(WarehouseData[[#This Row],[stock_level]]&lt;=WarehouseData[[#This Row],[reorder_point]],"Low Stock","Sufficient Stock")</f>
        <v>Sufficient Stock</v>
      </c>
      <c r="Y2000">
        <f>WarehouseData[[#This Row],[daily_demand]]*WarehouseData[[#This Row],[lead_time_days]]</f>
        <v>189.2</v>
      </c>
      <c r="Z2000" t="str">
        <f>IF(WarehouseData[[#This Row],[stock_level]]&lt;=WarehouseData[[#This Row],[Demand During Lead Time]],"At Risk","Safe")</f>
        <v>Safe</v>
      </c>
      <c r="AA2000">
        <f>WarehouseData[[#This Row],[stock_level]]/WarehouseData[[#This Row],[daily_demand]]</f>
        <v>7.1247357293868925</v>
      </c>
      <c r="AB2000">
        <f>WarehouseData[[#This Row],[stock_level]]*WarehouseData[[#This Row],[unit_price]]</f>
        <v>49747.94</v>
      </c>
      <c r="AC2000">
        <f>WarehouseData[[#This Row],[stock_level]]*WarehouseData[[#This Row],[holding_cost_per_unit_day]]*30</f>
        <v>13547.400000000001</v>
      </c>
      <c r="AD2000" t="str">
        <f>IF(WarehouseData[[#This Row],[order_fulfillment_rate]]&gt;=0.9,"Strong",IF(WarehouseData[[#This Row],[order_fulfillment_rate]]&gt;=0.8,"Moderate","Needs Attention"))</f>
        <v>Moderate</v>
      </c>
      <c r="AE2000" t="str">
        <f>IF(WarehouseData[[#This Row],[picking_time_seconds]]&gt;120,"Slow",IF(WarehouseData[[#This Row],[picking_time_seconds]]&gt;=60,"Average","Fast"))</f>
        <v>Average</v>
      </c>
    </row>
    <row r="2001" spans="1:31" x14ac:dyDescent="0.25">
      <c r="A2001" t="s">
        <v>2139</v>
      </c>
      <c r="B2001" t="s">
        <v>40</v>
      </c>
      <c r="C2001">
        <v>416</v>
      </c>
      <c r="D2001">
        <v>47</v>
      </c>
      <c r="E2001">
        <v>4</v>
      </c>
      <c r="F2001">
        <v>8</v>
      </c>
      <c r="G2001">
        <v>32.68</v>
      </c>
      <c r="H2001">
        <v>2.31</v>
      </c>
      <c r="I2001">
        <v>0.35</v>
      </c>
      <c r="J2001" t="s">
        <v>281</v>
      </c>
      <c r="K2001" t="s">
        <v>46</v>
      </c>
      <c r="L2001">
        <v>151</v>
      </c>
      <c r="M2001">
        <v>1.8</v>
      </c>
      <c r="N2001">
        <v>140.97</v>
      </c>
      <c r="O2001">
        <v>1.1599999999999999</v>
      </c>
      <c r="P2001">
        <v>6</v>
      </c>
      <c r="Q2001">
        <v>0.78</v>
      </c>
      <c r="R2001">
        <v>872</v>
      </c>
      <c r="S2001">
        <v>3.7</v>
      </c>
      <c r="T2001">
        <v>0.91</v>
      </c>
      <c r="U2001" s="1">
        <v>45362</v>
      </c>
      <c r="V2001">
        <v>154.51</v>
      </c>
      <c r="W2001">
        <v>0.55100000000000005</v>
      </c>
      <c r="X2001" t="str">
        <f>IF(WarehouseData[[#This Row],[stock_level]]&lt;=WarehouseData[[#This Row],[reorder_point]],"Low Stock","Sufficient Stock")</f>
        <v>Sufficient Stock</v>
      </c>
      <c r="Y2001">
        <f>WarehouseData[[#This Row],[daily_demand]]*WarehouseData[[#This Row],[lead_time_days]]</f>
        <v>261.44</v>
      </c>
      <c r="Z2001" t="str">
        <f>IF(WarehouseData[[#This Row],[stock_level]]&lt;=WarehouseData[[#This Row],[Demand During Lead Time]],"At Risk","Safe")</f>
        <v>Safe</v>
      </c>
      <c r="AA2001">
        <f>WarehouseData[[#This Row],[stock_level]]/WarehouseData[[#This Row],[daily_demand]]</f>
        <v>12.729498164014688</v>
      </c>
      <c r="AB2001">
        <f>WarehouseData[[#This Row],[stock_level]]*WarehouseData[[#This Row],[unit_price]]</f>
        <v>58643.519999999997</v>
      </c>
      <c r="AC2001">
        <f>WarehouseData[[#This Row],[stock_level]]*WarehouseData[[#This Row],[holding_cost_per_unit_day]]*30</f>
        <v>14476.8</v>
      </c>
      <c r="AD2001" t="str">
        <f>IF(WarehouseData[[#This Row],[order_fulfillment_rate]]&gt;=0.9,"Strong",IF(WarehouseData[[#This Row],[order_fulfillment_rate]]&gt;=0.8,"Moderate","Needs Attention"))</f>
        <v>Needs Attention</v>
      </c>
      <c r="AE2001" t="str">
        <f>IF(WarehouseData[[#This Row],[picking_time_seconds]]&gt;120,"Slow",IF(WarehouseData[[#This Row],[picking_time_seconds]]&gt;=60,"Average","Fast"))</f>
        <v>Slow</v>
      </c>
    </row>
    <row r="2002" spans="1:31" x14ac:dyDescent="0.25">
      <c r="A2002" t="s">
        <v>2140</v>
      </c>
      <c r="B2002" t="s">
        <v>32</v>
      </c>
      <c r="C2002">
        <v>384</v>
      </c>
      <c r="D2002">
        <v>40</v>
      </c>
      <c r="E2002">
        <v>4</v>
      </c>
      <c r="F2002">
        <v>5</v>
      </c>
      <c r="G2002">
        <v>11.58</v>
      </c>
      <c r="H2002">
        <v>0.56999999999999995</v>
      </c>
      <c r="I2002">
        <v>0.77</v>
      </c>
      <c r="J2002" t="s">
        <v>379</v>
      </c>
      <c r="K2002" t="s">
        <v>46</v>
      </c>
      <c r="L2002">
        <v>20</v>
      </c>
      <c r="M2002">
        <v>4.93</v>
      </c>
      <c r="N2002">
        <v>113.99</v>
      </c>
      <c r="O2002">
        <v>1.34</v>
      </c>
      <c r="P2002">
        <v>6</v>
      </c>
      <c r="Q2002">
        <v>0.84</v>
      </c>
      <c r="R2002">
        <v>869</v>
      </c>
      <c r="S2002">
        <v>14.52</v>
      </c>
      <c r="T2002">
        <v>0.35</v>
      </c>
      <c r="U2002" s="1">
        <v>45631</v>
      </c>
      <c r="V2002">
        <v>240.18</v>
      </c>
      <c r="W2002">
        <v>0.57799999999999996</v>
      </c>
      <c r="X2002" t="str">
        <f>IF(WarehouseData[[#This Row],[stock_level]]&lt;=WarehouseData[[#This Row],[reorder_point]],"Low Stock","Sufficient Stock")</f>
        <v>Sufficient Stock</v>
      </c>
      <c r="Y2002">
        <f>WarehouseData[[#This Row],[daily_demand]]*WarehouseData[[#This Row],[lead_time_days]]</f>
        <v>57.9</v>
      </c>
      <c r="Z2002" t="str">
        <f>IF(WarehouseData[[#This Row],[stock_level]]&lt;=WarehouseData[[#This Row],[Demand During Lead Time]],"At Risk","Safe")</f>
        <v>Safe</v>
      </c>
      <c r="AA2002">
        <f>WarehouseData[[#This Row],[stock_level]]/WarehouseData[[#This Row],[daily_demand]]</f>
        <v>33.160621761658028</v>
      </c>
      <c r="AB2002">
        <f>WarehouseData[[#This Row],[stock_level]]*WarehouseData[[#This Row],[unit_price]]</f>
        <v>43772.159999999996</v>
      </c>
      <c r="AC2002">
        <f>WarehouseData[[#This Row],[stock_level]]*WarehouseData[[#This Row],[holding_cost_per_unit_day]]*30</f>
        <v>15436.800000000001</v>
      </c>
      <c r="AD2002" t="str">
        <f>IF(WarehouseData[[#This Row],[order_fulfillment_rate]]&gt;=0.9,"Strong",IF(WarehouseData[[#This Row],[order_fulfillment_rate]]&gt;=0.8,"Moderate","Needs Attention"))</f>
        <v>Moderate</v>
      </c>
      <c r="AE2002" t="str">
        <f>IF(WarehouseData[[#This Row],[picking_time_seconds]]&gt;120,"Slow",IF(WarehouseData[[#This Row],[picking_time_seconds]]&gt;=60,"Average","Fast"))</f>
        <v>Fast</v>
      </c>
    </row>
    <row r="2003" spans="1:31" x14ac:dyDescent="0.25">
      <c r="A2003" t="s">
        <v>2141</v>
      </c>
      <c r="B2003" t="s">
        <v>40</v>
      </c>
      <c r="C2003">
        <v>356</v>
      </c>
      <c r="D2003">
        <v>23</v>
      </c>
      <c r="E2003">
        <v>6</v>
      </c>
      <c r="F2003">
        <v>3</v>
      </c>
      <c r="G2003">
        <v>36.700000000000003</v>
      </c>
      <c r="H2003">
        <v>2.2200000000000002</v>
      </c>
      <c r="I2003">
        <v>0.93</v>
      </c>
      <c r="J2003" t="s">
        <v>565</v>
      </c>
      <c r="K2003" t="s">
        <v>46</v>
      </c>
      <c r="L2003">
        <v>19</v>
      </c>
      <c r="M2003">
        <v>3.17</v>
      </c>
      <c r="N2003">
        <v>75.95</v>
      </c>
      <c r="O2003">
        <v>0.92</v>
      </c>
      <c r="P2003">
        <v>5</v>
      </c>
      <c r="Q2003">
        <v>0.82</v>
      </c>
      <c r="R2003">
        <v>510</v>
      </c>
      <c r="S2003">
        <v>10.33</v>
      </c>
      <c r="T2003">
        <v>0.79</v>
      </c>
      <c r="U2003" s="1">
        <v>45623</v>
      </c>
      <c r="V2003">
        <v>105.9</v>
      </c>
      <c r="W2003">
        <v>0.66800000000000004</v>
      </c>
      <c r="X2003" t="str">
        <f>IF(WarehouseData[[#This Row],[stock_level]]&lt;=WarehouseData[[#This Row],[reorder_point]],"Low Stock","Sufficient Stock")</f>
        <v>Sufficient Stock</v>
      </c>
      <c r="Y2003">
        <f>WarehouseData[[#This Row],[daily_demand]]*WarehouseData[[#This Row],[lead_time_days]]</f>
        <v>110.10000000000001</v>
      </c>
      <c r="Z2003" t="str">
        <f>IF(WarehouseData[[#This Row],[stock_level]]&lt;=WarehouseData[[#This Row],[Demand During Lead Time]],"At Risk","Safe")</f>
        <v>Safe</v>
      </c>
      <c r="AA2003">
        <f>WarehouseData[[#This Row],[stock_level]]/WarehouseData[[#This Row],[daily_demand]]</f>
        <v>9.7002724795640312</v>
      </c>
      <c r="AB2003">
        <f>WarehouseData[[#This Row],[stock_level]]*WarehouseData[[#This Row],[unit_price]]</f>
        <v>27038.2</v>
      </c>
      <c r="AC2003">
        <f>WarehouseData[[#This Row],[stock_level]]*WarehouseData[[#This Row],[holding_cost_per_unit_day]]*30</f>
        <v>9825.6</v>
      </c>
      <c r="AD2003" t="str">
        <f>IF(WarehouseData[[#This Row],[order_fulfillment_rate]]&gt;=0.9,"Strong",IF(WarehouseData[[#This Row],[order_fulfillment_rate]]&gt;=0.8,"Moderate","Needs Attention"))</f>
        <v>Moderate</v>
      </c>
      <c r="AE2003" t="str">
        <f>IF(WarehouseData[[#This Row],[picking_time_seconds]]&gt;120,"Slow",IF(WarehouseData[[#This Row],[picking_time_seconds]]&gt;=60,"Average","Fast"))</f>
        <v>Fast</v>
      </c>
    </row>
    <row r="2004" spans="1:31" x14ac:dyDescent="0.25">
      <c r="A2004" t="s">
        <v>2142</v>
      </c>
      <c r="B2004" t="s">
        <v>48</v>
      </c>
      <c r="C2004">
        <v>248</v>
      </c>
      <c r="D2004">
        <v>82</v>
      </c>
      <c r="E2004">
        <v>11</v>
      </c>
      <c r="F2004">
        <v>8</v>
      </c>
      <c r="G2004">
        <v>32.64</v>
      </c>
      <c r="H2004">
        <v>3.64</v>
      </c>
      <c r="I2004">
        <v>0.13</v>
      </c>
      <c r="J2004" t="s">
        <v>106</v>
      </c>
      <c r="K2004" t="s">
        <v>52</v>
      </c>
      <c r="L2004">
        <v>22</v>
      </c>
      <c r="M2004">
        <v>1.81</v>
      </c>
      <c r="N2004">
        <v>169.02</v>
      </c>
      <c r="O2004">
        <v>0.88</v>
      </c>
      <c r="P2004">
        <v>7</v>
      </c>
      <c r="Q2004">
        <v>0.75</v>
      </c>
      <c r="R2004">
        <v>416</v>
      </c>
      <c r="S2004">
        <v>12.97</v>
      </c>
      <c r="T2004">
        <v>0.54</v>
      </c>
      <c r="U2004" s="1">
        <v>45379</v>
      </c>
      <c r="V2004">
        <v>287.69</v>
      </c>
      <c r="W2004">
        <v>0.60299999999999998</v>
      </c>
      <c r="X2004" t="str">
        <f>IF(WarehouseData[[#This Row],[stock_level]]&lt;=WarehouseData[[#This Row],[reorder_point]],"Low Stock","Sufficient Stock")</f>
        <v>Sufficient Stock</v>
      </c>
      <c r="Y2004">
        <f>WarehouseData[[#This Row],[daily_demand]]*WarehouseData[[#This Row],[lead_time_days]]</f>
        <v>261.12</v>
      </c>
      <c r="Z2004" t="str">
        <f>IF(WarehouseData[[#This Row],[stock_level]]&lt;=WarehouseData[[#This Row],[Demand During Lead Time]],"At Risk","Safe")</f>
        <v>At Risk</v>
      </c>
      <c r="AA2004">
        <f>WarehouseData[[#This Row],[stock_level]]/WarehouseData[[#This Row],[daily_demand]]</f>
        <v>7.5980392156862742</v>
      </c>
      <c r="AB2004">
        <f>WarehouseData[[#This Row],[stock_level]]*WarehouseData[[#This Row],[unit_price]]</f>
        <v>41916.959999999999</v>
      </c>
      <c r="AC2004">
        <f>WarehouseData[[#This Row],[stock_level]]*WarehouseData[[#This Row],[holding_cost_per_unit_day]]*30</f>
        <v>6547.2000000000007</v>
      </c>
      <c r="AD2004" t="str">
        <f>IF(WarehouseData[[#This Row],[order_fulfillment_rate]]&gt;=0.9,"Strong",IF(WarehouseData[[#This Row],[order_fulfillment_rate]]&gt;=0.8,"Moderate","Needs Attention"))</f>
        <v>Needs Attention</v>
      </c>
      <c r="AE2004" t="str">
        <f>IF(WarehouseData[[#This Row],[picking_time_seconds]]&gt;120,"Slow",IF(WarehouseData[[#This Row],[picking_time_seconds]]&gt;=60,"Average","Fast"))</f>
        <v>Fast</v>
      </c>
    </row>
    <row r="2005" spans="1:31" x14ac:dyDescent="0.25">
      <c r="A2005" t="s">
        <v>2143</v>
      </c>
      <c r="B2005" t="s">
        <v>73</v>
      </c>
      <c r="C2005">
        <v>409</v>
      </c>
      <c r="D2005">
        <v>97</v>
      </c>
      <c r="E2005">
        <v>9</v>
      </c>
      <c r="F2005">
        <v>8</v>
      </c>
      <c r="G2005">
        <v>49.3</v>
      </c>
      <c r="H2005">
        <v>5.61</v>
      </c>
      <c r="I2005">
        <v>0.1</v>
      </c>
      <c r="J2005" t="s">
        <v>152</v>
      </c>
      <c r="K2005" t="s">
        <v>38</v>
      </c>
      <c r="L2005">
        <v>130</v>
      </c>
      <c r="M2005">
        <v>2.42</v>
      </c>
      <c r="N2005">
        <v>173.18</v>
      </c>
      <c r="O2005">
        <v>0.32</v>
      </c>
      <c r="P2005">
        <v>9</v>
      </c>
      <c r="Q2005">
        <v>0.85</v>
      </c>
      <c r="R2005">
        <v>354</v>
      </c>
      <c r="S2005">
        <v>8.36</v>
      </c>
      <c r="T2005">
        <v>0.52</v>
      </c>
      <c r="U2005" s="1">
        <v>45460</v>
      </c>
      <c r="V2005">
        <v>228.11</v>
      </c>
      <c r="W2005">
        <v>0.57299999999999995</v>
      </c>
      <c r="X2005" t="str">
        <f>IF(WarehouseData[[#This Row],[stock_level]]&lt;=WarehouseData[[#This Row],[reorder_point]],"Low Stock","Sufficient Stock")</f>
        <v>Sufficient Stock</v>
      </c>
      <c r="Y2005">
        <f>WarehouseData[[#This Row],[daily_demand]]*WarehouseData[[#This Row],[lead_time_days]]</f>
        <v>394.4</v>
      </c>
      <c r="Z2005" t="str">
        <f>IF(WarehouseData[[#This Row],[stock_level]]&lt;=WarehouseData[[#This Row],[Demand During Lead Time]],"At Risk","Safe")</f>
        <v>Safe</v>
      </c>
      <c r="AA2005">
        <f>WarehouseData[[#This Row],[stock_level]]/WarehouseData[[#This Row],[daily_demand]]</f>
        <v>8.2961460446247468</v>
      </c>
      <c r="AB2005">
        <f>WarehouseData[[#This Row],[stock_level]]*WarehouseData[[#This Row],[unit_price]]</f>
        <v>70830.62000000001</v>
      </c>
      <c r="AC2005">
        <f>WarehouseData[[#This Row],[stock_level]]*WarehouseData[[#This Row],[holding_cost_per_unit_day]]*30</f>
        <v>3926.3999999999996</v>
      </c>
      <c r="AD2005" t="str">
        <f>IF(WarehouseData[[#This Row],[order_fulfillment_rate]]&gt;=0.9,"Strong",IF(WarehouseData[[#This Row],[order_fulfillment_rate]]&gt;=0.8,"Moderate","Needs Attention"))</f>
        <v>Moderate</v>
      </c>
      <c r="AE2005" t="str">
        <f>IF(WarehouseData[[#This Row],[picking_time_seconds]]&gt;120,"Slow",IF(WarehouseData[[#This Row],[picking_time_seconds]]&gt;=60,"Average","Fast"))</f>
        <v>Slow</v>
      </c>
    </row>
    <row r="2006" spans="1:31" x14ac:dyDescent="0.25">
      <c r="A2006" t="s">
        <v>2144</v>
      </c>
      <c r="B2006" t="s">
        <v>36</v>
      </c>
      <c r="C2006">
        <v>486</v>
      </c>
      <c r="D2006">
        <v>86</v>
      </c>
      <c r="E2006">
        <v>4</v>
      </c>
      <c r="F2006">
        <v>6</v>
      </c>
      <c r="G2006">
        <v>11.48</v>
      </c>
      <c r="H2006">
        <v>9.23</v>
      </c>
      <c r="I2006">
        <v>0.33</v>
      </c>
      <c r="J2006" t="s">
        <v>178</v>
      </c>
      <c r="K2006" t="s">
        <v>38</v>
      </c>
      <c r="L2006">
        <v>171</v>
      </c>
      <c r="M2006">
        <v>1.66</v>
      </c>
      <c r="N2006">
        <v>19.41</v>
      </c>
      <c r="O2006">
        <v>1.28</v>
      </c>
      <c r="P2006">
        <v>0</v>
      </c>
      <c r="Q2006">
        <v>0.84</v>
      </c>
      <c r="R2006">
        <v>278</v>
      </c>
      <c r="S2006">
        <v>4.3099999999999996</v>
      </c>
      <c r="T2006">
        <v>0.23</v>
      </c>
      <c r="U2006" s="1">
        <v>45475</v>
      </c>
      <c r="V2006">
        <v>141.81</v>
      </c>
      <c r="W2006">
        <v>0.54300000000000004</v>
      </c>
      <c r="X2006" t="str">
        <f>IF(WarehouseData[[#This Row],[stock_level]]&lt;=WarehouseData[[#This Row],[reorder_point]],"Low Stock","Sufficient Stock")</f>
        <v>Sufficient Stock</v>
      </c>
      <c r="Y2006">
        <f>WarehouseData[[#This Row],[daily_demand]]*WarehouseData[[#This Row],[lead_time_days]]</f>
        <v>68.88</v>
      </c>
      <c r="Z2006" t="str">
        <f>IF(WarehouseData[[#This Row],[stock_level]]&lt;=WarehouseData[[#This Row],[Demand During Lead Time]],"At Risk","Safe")</f>
        <v>Safe</v>
      </c>
      <c r="AA2006">
        <f>WarehouseData[[#This Row],[stock_level]]/WarehouseData[[#This Row],[daily_demand]]</f>
        <v>42.334494773519161</v>
      </c>
      <c r="AB2006">
        <f>WarehouseData[[#This Row],[stock_level]]*WarehouseData[[#This Row],[unit_price]]</f>
        <v>9433.26</v>
      </c>
      <c r="AC2006">
        <f>WarehouseData[[#This Row],[stock_level]]*WarehouseData[[#This Row],[holding_cost_per_unit_day]]*30</f>
        <v>18662.400000000001</v>
      </c>
      <c r="AD2006" t="str">
        <f>IF(WarehouseData[[#This Row],[order_fulfillment_rate]]&gt;=0.9,"Strong",IF(WarehouseData[[#This Row],[order_fulfillment_rate]]&gt;=0.8,"Moderate","Needs Attention"))</f>
        <v>Moderate</v>
      </c>
      <c r="AE2006" t="str">
        <f>IF(WarehouseData[[#This Row],[picking_time_seconds]]&gt;120,"Slow",IF(WarehouseData[[#This Row],[picking_time_seconds]]&gt;=60,"Average","Fast"))</f>
        <v>Slow</v>
      </c>
    </row>
    <row r="2007" spans="1:31" x14ac:dyDescent="0.25">
      <c r="A2007" t="s">
        <v>2145</v>
      </c>
      <c r="B2007" t="s">
        <v>36</v>
      </c>
      <c r="C2007">
        <v>96</v>
      </c>
      <c r="D2007">
        <v>99</v>
      </c>
      <c r="E2007">
        <v>10</v>
      </c>
      <c r="F2007">
        <v>2</v>
      </c>
      <c r="G2007">
        <v>30.3</v>
      </c>
      <c r="H2007">
        <v>5.63</v>
      </c>
      <c r="I2007">
        <v>0.87</v>
      </c>
      <c r="J2007" t="s">
        <v>477</v>
      </c>
      <c r="K2007" t="s">
        <v>34</v>
      </c>
      <c r="L2007">
        <v>69</v>
      </c>
      <c r="M2007">
        <v>0.64</v>
      </c>
      <c r="N2007">
        <v>85.74</v>
      </c>
      <c r="O2007">
        <v>0.43</v>
      </c>
      <c r="P2007">
        <v>0</v>
      </c>
      <c r="Q2007">
        <v>0.89</v>
      </c>
      <c r="R2007">
        <v>232</v>
      </c>
      <c r="S2007">
        <v>8.94</v>
      </c>
      <c r="T2007">
        <v>0.97</v>
      </c>
      <c r="U2007" s="1">
        <v>45516</v>
      </c>
      <c r="V2007">
        <v>271.66000000000003</v>
      </c>
      <c r="W2007">
        <v>0.84799999999999998</v>
      </c>
      <c r="X2007" t="str">
        <f>IF(WarehouseData[[#This Row],[stock_level]]&lt;=WarehouseData[[#This Row],[reorder_point]],"Low Stock","Sufficient Stock")</f>
        <v>Low Stock</v>
      </c>
      <c r="Y2007">
        <f>WarehouseData[[#This Row],[daily_demand]]*WarehouseData[[#This Row],[lead_time_days]]</f>
        <v>60.6</v>
      </c>
      <c r="Z2007" t="str">
        <f>IF(WarehouseData[[#This Row],[stock_level]]&lt;=WarehouseData[[#This Row],[Demand During Lead Time]],"At Risk","Safe")</f>
        <v>Safe</v>
      </c>
      <c r="AA2007">
        <f>WarehouseData[[#This Row],[stock_level]]/WarehouseData[[#This Row],[daily_demand]]</f>
        <v>3.168316831683168</v>
      </c>
      <c r="AB2007">
        <f>WarehouseData[[#This Row],[stock_level]]*WarehouseData[[#This Row],[unit_price]]</f>
        <v>8231.0399999999991</v>
      </c>
      <c r="AC2007">
        <f>WarehouseData[[#This Row],[stock_level]]*WarehouseData[[#This Row],[holding_cost_per_unit_day]]*30</f>
        <v>1238.4000000000001</v>
      </c>
      <c r="AD2007" t="str">
        <f>IF(WarehouseData[[#This Row],[order_fulfillment_rate]]&gt;=0.9,"Strong",IF(WarehouseData[[#This Row],[order_fulfillment_rate]]&gt;=0.8,"Moderate","Needs Attention"))</f>
        <v>Moderate</v>
      </c>
      <c r="AE2007" t="str">
        <f>IF(WarehouseData[[#This Row],[picking_time_seconds]]&gt;120,"Slow",IF(WarehouseData[[#This Row],[picking_time_seconds]]&gt;=60,"Average","Fast"))</f>
        <v>Average</v>
      </c>
    </row>
    <row r="2008" spans="1:31" x14ac:dyDescent="0.25">
      <c r="A2008" t="s">
        <v>2146</v>
      </c>
      <c r="B2008" t="s">
        <v>73</v>
      </c>
      <c r="C2008">
        <v>207</v>
      </c>
      <c r="D2008">
        <v>38</v>
      </c>
      <c r="E2008">
        <v>13</v>
      </c>
      <c r="F2008">
        <v>5</v>
      </c>
      <c r="G2008">
        <v>39.229999999999997</v>
      </c>
      <c r="H2008">
        <v>7.2</v>
      </c>
      <c r="I2008">
        <v>0.79</v>
      </c>
      <c r="J2008" t="s">
        <v>276</v>
      </c>
      <c r="K2008" t="s">
        <v>52</v>
      </c>
      <c r="L2008">
        <v>14</v>
      </c>
      <c r="M2008">
        <v>4.29</v>
      </c>
      <c r="N2008">
        <v>15.06</v>
      </c>
      <c r="O2008">
        <v>1.37</v>
      </c>
      <c r="P2008">
        <v>0</v>
      </c>
      <c r="Q2008">
        <v>0.78</v>
      </c>
      <c r="R2008">
        <v>516</v>
      </c>
      <c r="S2008">
        <v>1.95</v>
      </c>
      <c r="T2008">
        <v>0.74</v>
      </c>
      <c r="U2008" s="1">
        <v>45610</v>
      </c>
      <c r="V2008">
        <v>218.07</v>
      </c>
      <c r="W2008">
        <v>0.59299999999999997</v>
      </c>
      <c r="X2008" t="str">
        <f>IF(WarehouseData[[#This Row],[stock_level]]&lt;=WarehouseData[[#This Row],[reorder_point]],"Low Stock","Sufficient Stock")</f>
        <v>Sufficient Stock</v>
      </c>
      <c r="Y2008">
        <f>WarehouseData[[#This Row],[daily_demand]]*WarehouseData[[#This Row],[lead_time_days]]</f>
        <v>196.14999999999998</v>
      </c>
      <c r="Z2008" t="str">
        <f>IF(WarehouseData[[#This Row],[stock_level]]&lt;=WarehouseData[[#This Row],[Demand During Lead Time]],"At Risk","Safe")</f>
        <v>Safe</v>
      </c>
      <c r="AA2008">
        <f>WarehouseData[[#This Row],[stock_level]]/WarehouseData[[#This Row],[daily_demand]]</f>
        <v>5.2765740504715781</v>
      </c>
      <c r="AB2008">
        <f>WarehouseData[[#This Row],[stock_level]]*WarehouseData[[#This Row],[unit_price]]</f>
        <v>3117.42</v>
      </c>
      <c r="AC2008">
        <f>WarehouseData[[#This Row],[stock_level]]*WarehouseData[[#This Row],[holding_cost_per_unit_day]]*30</f>
        <v>8507.7000000000007</v>
      </c>
      <c r="AD2008" t="str">
        <f>IF(WarehouseData[[#This Row],[order_fulfillment_rate]]&gt;=0.9,"Strong",IF(WarehouseData[[#This Row],[order_fulfillment_rate]]&gt;=0.8,"Moderate","Needs Attention"))</f>
        <v>Needs Attention</v>
      </c>
      <c r="AE2008" t="str">
        <f>IF(WarehouseData[[#This Row],[picking_time_seconds]]&gt;120,"Slow",IF(WarehouseData[[#This Row],[picking_time_seconds]]&gt;=60,"Average","Fast"))</f>
        <v>Fast</v>
      </c>
    </row>
    <row r="2009" spans="1:31" x14ac:dyDescent="0.25">
      <c r="A2009" t="s">
        <v>2147</v>
      </c>
      <c r="B2009" t="s">
        <v>73</v>
      </c>
      <c r="C2009">
        <v>365</v>
      </c>
      <c r="D2009">
        <v>60</v>
      </c>
      <c r="E2009">
        <v>9</v>
      </c>
      <c r="F2009">
        <v>2</v>
      </c>
      <c r="G2009">
        <v>17.61</v>
      </c>
      <c r="H2009">
        <v>3.9</v>
      </c>
      <c r="I2009">
        <v>0.41</v>
      </c>
      <c r="J2009" t="s">
        <v>418</v>
      </c>
      <c r="K2009" t="s">
        <v>46</v>
      </c>
      <c r="L2009">
        <v>169</v>
      </c>
      <c r="M2009">
        <v>1.82</v>
      </c>
      <c r="N2009">
        <v>169.5</v>
      </c>
      <c r="O2009">
        <v>1.94</v>
      </c>
      <c r="P2009">
        <v>5</v>
      </c>
      <c r="Q2009">
        <v>0.76</v>
      </c>
      <c r="R2009">
        <v>887</v>
      </c>
      <c r="S2009">
        <v>12.93</v>
      </c>
      <c r="T2009">
        <v>0.67</v>
      </c>
      <c r="U2009" s="1">
        <v>45429</v>
      </c>
      <c r="V2009">
        <v>134.85</v>
      </c>
      <c r="W2009">
        <v>0.56399999999999995</v>
      </c>
      <c r="X2009" t="str">
        <f>IF(WarehouseData[[#This Row],[stock_level]]&lt;=WarehouseData[[#This Row],[reorder_point]],"Low Stock","Sufficient Stock")</f>
        <v>Sufficient Stock</v>
      </c>
      <c r="Y2009">
        <f>WarehouseData[[#This Row],[daily_demand]]*WarehouseData[[#This Row],[lead_time_days]]</f>
        <v>35.22</v>
      </c>
      <c r="Z2009" t="str">
        <f>IF(WarehouseData[[#This Row],[stock_level]]&lt;=WarehouseData[[#This Row],[Demand During Lead Time]],"At Risk","Safe")</f>
        <v>Safe</v>
      </c>
      <c r="AA2009">
        <f>WarehouseData[[#This Row],[stock_level]]/WarehouseData[[#This Row],[daily_demand]]</f>
        <v>20.726859738784782</v>
      </c>
      <c r="AB2009">
        <f>WarehouseData[[#This Row],[stock_level]]*WarehouseData[[#This Row],[unit_price]]</f>
        <v>61867.5</v>
      </c>
      <c r="AC2009">
        <f>WarehouseData[[#This Row],[stock_level]]*WarehouseData[[#This Row],[holding_cost_per_unit_day]]*30</f>
        <v>21243</v>
      </c>
      <c r="AD2009" t="str">
        <f>IF(WarehouseData[[#This Row],[order_fulfillment_rate]]&gt;=0.9,"Strong",IF(WarehouseData[[#This Row],[order_fulfillment_rate]]&gt;=0.8,"Moderate","Needs Attention"))</f>
        <v>Needs Attention</v>
      </c>
      <c r="AE2009" t="str">
        <f>IF(WarehouseData[[#This Row],[picking_time_seconds]]&gt;120,"Slow",IF(WarehouseData[[#This Row],[picking_time_seconds]]&gt;=60,"Average","Fast"))</f>
        <v>Slow</v>
      </c>
    </row>
    <row r="2010" spans="1:31" x14ac:dyDescent="0.25">
      <c r="A2010" t="s">
        <v>2148</v>
      </c>
      <c r="B2010" t="s">
        <v>48</v>
      </c>
      <c r="C2010">
        <v>289</v>
      </c>
      <c r="D2010">
        <v>58</v>
      </c>
      <c r="E2010">
        <v>11</v>
      </c>
      <c r="F2010">
        <v>7</v>
      </c>
      <c r="G2010">
        <v>19.600000000000001</v>
      </c>
      <c r="H2010">
        <v>7.64</v>
      </c>
      <c r="I2010">
        <v>0.1</v>
      </c>
      <c r="J2010" t="s">
        <v>215</v>
      </c>
      <c r="K2010" t="s">
        <v>46</v>
      </c>
      <c r="L2010">
        <v>21</v>
      </c>
      <c r="M2010">
        <v>4.2699999999999996</v>
      </c>
      <c r="N2010">
        <v>43.65</v>
      </c>
      <c r="O2010">
        <v>0.59</v>
      </c>
      <c r="P2010">
        <v>6</v>
      </c>
      <c r="Q2010">
        <v>0.94</v>
      </c>
      <c r="R2010">
        <v>253</v>
      </c>
      <c r="S2010">
        <v>10.09</v>
      </c>
      <c r="T2010">
        <v>0.4</v>
      </c>
      <c r="U2010" s="1">
        <v>45339</v>
      </c>
      <c r="V2010">
        <v>292.5</v>
      </c>
      <c r="W2010">
        <v>0.624</v>
      </c>
      <c r="X2010" t="str">
        <f>IF(WarehouseData[[#This Row],[stock_level]]&lt;=WarehouseData[[#This Row],[reorder_point]],"Low Stock","Sufficient Stock")</f>
        <v>Sufficient Stock</v>
      </c>
      <c r="Y2010">
        <f>WarehouseData[[#This Row],[daily_demand]]*WarehouseData[[#This Row],[lead_time_days]]</f>
        <v>137.20000000000002</v>
      </c>
      <c r="Z2010" t="str">
        <f>IF(WarehouseData[[#This Row],[stock_level]]&lt;=WarehouseData[[#This Row],[Demand During Lead Time]],"At Risk","Safe")</f>
        <v>Safe</v>
      </c>
      <c r="AA2010">
        <f>WarehouseData[[#This Row],[stock_level]]/WarehouseData[[#This Row],[daily_demand]]</f>
        <v>14.744897959183673</v>
      </c>
      <c r="AB2010">
        <f>WarehouseData[[#This Row],[stock_level]]*WarehouseData[[#This Row],[unit_price]]</f>
        <v>12614.85</v>
      </c>
      <c r="AC2010">
        <f>WarehouseData[[#This Row],[stock_level]]*WarehouseData[[#This Row],[holding_cost_per_unit_day]]*30</f>
        <v>5115.2999999999993</v>
      </c>
      <c r="AD2010" t="str">
        <f>IF(WarehouseData[[#This Row],[order_fulfillment_rate]]&gt;=0.9,"Strong",IF(WarehouseData[[#This Row],[order_fulfillment_rate]]&gt;=0.8,"Moderate","Needs Attention"))</f>
        <v>Strong</v>
      </c>
      <c r="AE2010" t="str">
        <f>IF(WarehouseData[[#This Row],[picking_time_seconds]]&gt;120,"Slow",IF(WarehouseData[[#This Row],[picking_time_seconds]]&gt;=60,"Average","Fast"))</f>
        <v>Fast</v>
      </c>
    </row>
    <row r="2011" spans="1:31" x14ac:dyDescent="0.25">
      <c r="A2011" t="s">
        <v>2149</v>
      </c>
      <c r="B2011" t="s">
        <v>40</v>
      </c>
      <c r="C2011">
        <v>114</v>
      </c>
      <c r="D2011">
        <v>52</v>
      </c>
      <c r="E2011">
        <v>10</v>
      </c>
      <c r="F2011">
        <v>5</v>
      </c>
      <c r="G2011">
        <v>44.51</v>
      </c>
      <c r="H2011">
        <v>6.39</v>
      </c>
      <c r="I2011">
        <v>0.6</v>
      </c>
      <c r="J2011" t="s">
        <v>110</v>
      </c>
      <c r="K2011" t="s">
        <v>34</v>
      </c>
      <c r="L2011">
        <v>150</v>
      </c>
      <c r="M2011">
        <v>2.65</v>
      </c>
      <c r="N2011">
        <v>138.03</v>
      </c>
      <c r="O2011">
        <v>0.37</v>
      </c>
      <c r="P2011">
        <v>9</v>
      </c>
      <c r="Q2011">
        <v>0.91</v>
      </c>
      <c r="R2011">
        <v>672</v>
      </c>
      <c r="S2011">
        <v>4.96</v>
      </c>
      <c r="T2011">
        <v>0.73</v>
      </c>
      <c r="U2011" s="1">
        <v>45482</v>
      </c>
      <c r="V2011">
        <v>96.58</v>
      </c>
      <c r="W2011">
        <v>0.57699999999999996</v>
      </c>
      <c r="X2011" t="str">
        <f>IF(WarehouseData[[#This Row],[stock_level]]&lt;=WarehouseData[[#This Row],[reorder_point]],"Low Stock","Sufficient Stock")</f>
        <v>Sufficient Stock</v>
      </c>
      <c r="Y2011">
        <f>WarehouseData[[#This Row],[daily_demand]]*WarehouseData[[#This Row],[lead_time_days]]</f>
        <v>222.54999999999998</v>
      </c>
      <c r="Z2011" t="str">
        <f>IF(WarehouseData[[#This Row],[stock_level]]&lt;=WarehouseData[[#This Row],[Demand During Lead Time]],"At Risk","Safe")</f>
        <v>At Risk</v>
      </c>
      <c r="AA2011">
        <f>WarehouseData[[#This Row],[stock_level]]/WarehouseData[[#This Row],[daily_demand]]</f>
        <v>2.5612221972590432</v>
      </c>
      <c r="AB2011">
        <f>WarehouseData[[#This Row],[stock_level]]*WarehouseData[[#This Row],[unit_price]]</f>
        <v>15735.42</v>
      </c>
      <c r="AC2011">
        <f>WarehouseData[[#This Row],[stock_level]]*WarehouseData[[#This Row],[holding_cost_per_unit_day]]*30</f>
        <v>1265.4000000000001</v>
      </c>
      <c r="AD2011" t="str">
        <f>IF(WarehouseData[[#This Row],[order_fulfillment_rate]]&gt;=0.9,"Strong",IF(WarehouseData[[#This Row],[order_fulfillment_rate]]&gt;=0.8,"Moderate","Needs Attention"))</f>
        <v>Strong</v>
      </c>
      <c r="AE2011" t="str">
        <f>IF(WarehouseData[[#This Row],[picking_time_seconds]]&gt;120,"Slow",IF(WarehouseData[[#This Row],[picking_time_seconds]]&gt;=60,"Average","Fast"))</f>
        <v>Slow</v>
      </c>
    </row>
    <row r="2012" spans="1:31" x14ac:dyDescent="0.25">
      <c r="A2012" t="s">
        <v>2150</v>
      </c>
      <c r="B2012" t="s">
        <v>36</v>
      </c>
      <c r="C2012">
        <v>329</v>
      </c>
      <c r="D2012">
        <v>81</v>
      </c>
      <c r="E2012">
        <v>5</v>
      </c>
      <c r="F2012">
        <v>5</v>
      </c>
      <c r="G2012">
        <v>20.81</v>
      </c>
      <c r="H2012">
        <v>4.87</v>
      </c>
      <c r="I2012">
        <v>0.31</v>
      </c>
      <c r="J2012" t="s">
        <v>59</v>
      </c>
      <c r="K2012" t="s">
        <v>34</v>
      </c>
      <c r="L2012">
        <v>94</v>
      </c>
      <c r="M2012">
        <v>1.32</v>
      </c>
      <c r="N2012">
        <v>77.900000000000006</v>
      </c>
      <c r="O2012">
        <v>0.15</v>
      </c>
      <c r="P2012">
        <v>8</v>
      </c>
      <c r="Q2012">
        <v>0.93</v>
      </c>
      <c r="R2012">
        <v>948</v>
      </c>
      <c r="S2012">
        <v>4.84</v>
      </c>
      <c r="T2012">
        <v>0.96</v>
      </c>
      <c r="U2012" s="1">
        <v>45467</v>
      </c>
      <c r="V2012">
        <v>84.41</v>
      </c>
      <c r="W2012">
        <v>0.66800000000000004</v>
      </c>
      <c r="X2012" t="str">
        <f>IF(WarehouseData[[#This Row],[stock_level]]&lt;=WarehouseData[[#This Row],[reorder_point]],"Low Stock","Sufficient Stock")</f>
        <v>Sufficient Stock</v>
      </c>
      <c r="Y2012">
        <f>WarehouseData[[#This Row],[daily_demand]]*WarehouseData[[#This Row],[lead_time_days]]</f>
        <v>104.05</v>
      </c>
      <c r="Z2012" t="str">
        <f>IF(WarehouseData[[#This Row],[stock_level]]&lt;=WarehouseData[[#This Row],[Demand During Lead Time]],"At Risk","Safe")</f>
        <v>Safe</v>
      </c>
      <c r="AA2012">
        <f>WarehouseData[[#This Row],[stock_level]]/WarehouseData[[#This Row],[daily_demand]]</f>
        <v>15.809706871696301</v>
      </c>
      <c r="AB2012">
        <f>WarehouseData[[#This Row],[stock_level]]*WarehouseData[[#This Row],[unit_price]]</f>
        <v>25629.100000000002</v>
      </c>
      <c r="AC2012">
        <f>WarehouseData[[#This Row],[stock_level]]*WarehouseData[[#This Row],[holding_cost_per_unit_day]]*30</f>
        <v>1480.5</v>
      </c>
      <c r="AD2012" t="str">
        <f>IF(WarehouseData[[#This Row],[order_fulfillment_rate]]&gt;=0.9,"Strong",IF(WarehouseData[[#This Row],[order_fulfillment_rate]]&gt;=0.8,"Moderate","Needs Attention"))</f>
        <v>Strong</v>
      </c>
      <c r="AE2012" t="str">
        <f>IF(WarehouseData[[#This Row],[picking_time_seconds]]&gt;120,"Slow",IF(WarehouseData[[#This Row],[picking_time_seconds]]&gt;=60,"Average","Fast"))</f>
        <v>Average</v>
      </c>
    </row>
    <row r="2013" spans="1:31" x14ac:dyDescent="0.25">
      <c r="A2013" t="s">
        <v>2151</v>
      </c>
      <c r="B2013" t="s">
        <v>48</v>
      </c>
      <c r="C2013">
        <v>151</v>
      </c>
      <c r="D2013">
        <v>96</v>
      </c>
      <c r="E2013">
        <v>3</v>
      </c>
      <c r="F2013">
        <v>6</v>
      </c>
      <c r="G2013">
        <v>31.61</v>
      </c>
      <c r="H2013">
        <v>2.34</v>
      </c>
      <c r="I2013">
        <v>0.77</v>
      </c>
      <c r="J2013" t="s">
        <v>273</v>
      </c>
      <c r="K2013" t="s">
        <v>52</v>
      </c>
      <c r="L2013">
        <v>126</v>
      </c>
      <c r="M2013">
        <v>4.1100000000000003</v>
      </c>
      <c r="N2013">
        <v>165.05</v>
      </c>
      <c r="O2013">
        <v>0.82</v>
      </c>
      <c r="P2013">
        <v>9</v>
      </c>
      <c r="Q2013">
        <v>0.74</v>
      </c>
      <c r="R2013">
        <v>117</v>
      </c>
      <c r="S2013">
        <v>13.64</v>
      </c>
      <c r="T2013">
        <v>0.33</v>
      </c>
      <c r="U2013" s="1">
        <v>45385</v>
      </c>
      <c r="V2013">
        <v>269.45</v>
      </c>
      <c r="W2013">
        <v>0.53400000000000003</v>
      </c>
      <c r="X2013" t="str">
        <f>IF(WarehouseData[[#This Row],[stock_level]]&lt;=WarehouseData[[#This Row],[reorder_point]],"Low Stock","Sufficient Stock")</f>
        <v>Sufficient Stock</v>
      </c>
      <c r="Y2013">
        <f>WarehouseData[[#This Row],[daily_demand]]*WarehouseData[[#This Row],[lead_time_days]]</f>
        <v>189.66</v>
      </c>
      <c r="Z2013" t="str">
        <f>IF(WarehouseData[[#This Row],[stock_level]]&lt;=WarehouseData[[#This Row],[Demand During Lead Time]],"At Risk","Safe")</f>
        <v>At Risk</v>
      </c>
      <c r="AA2013">
        <f>WarehouseData[[#This Row],[stock_level]]/WarehouseData[[#This Row],[daily_demand]]</f>
        <v>4.7769693135083839</v>
      </c>
      <c r="AB2013">
        <f>WarehouseData[[#This Row],[stock_level]]*WarehouseData[[#This Row],[unit_price]]</f>
        <v>24922.550000000003</v>
      </c>
      <c r="AC2013">
        <f>WarehouseData[[#This Row],[stock_level]]*WarehouseData[[#This Row],[holding_cost_per_unit_day]]*30</f>
        <v>3714.6</v>
      </c>
      <c r="AD2013" t="str">
        <f>IF(WarehouseData[[#This Row],[order_fulfillment_rate]]&gt;=0.9,"Strong",IF(WarehouseData[[#This Row],[order_fulfillment_rate]]&gt;=0.8,"Moderate","Needs Attention"))</f>
        <v>Needs Attention</v>
      </c>
      <c r="AE2013" t="str">
        <f>IF(WarehouseData[[#This Row],[picking_time_seconds]]&gt;120,"Slow",IF(WarehouseData[[#This Row],[picking_time_seconds]]&gt;=60,"Average","Fast"))</f>
        <v>Slow</v>
      </c>
    </row>
    <row r="2014" spans="1:31" x14ac:dyDescent="0.25">
      <c r="A2014" t="s">
        <v>2152</v>
      </c>
      <c r="B2014" t="s">
        <v>40</v>
      </c>
      <c r="C2014">
        <v>58</v>
      </c>
      <c r="D2014">
        <v>14</v>
      </c>
      <c r="E2014">
        <v>4</v>
      </c>
      <c r="F2014">
        <v>4</v>
      </c>
      <c r="G2014">
        <v>44.57</v>
      </c>
      <c r="H2014">
        <v>3.38</v>
      </c>
      <c r="I2014">
        <v>0.5</v>
      </c>
      <c r="J2014" t="s">
        <v>265</v>
      </c>
      <c r="K2014" t="s">
        <v>38</v>
      </c>
      <c r="L2014">
        <v>131</v>
      </c>
      <c r="M2014">
        <v>2.2000000000000002</v>
      </c>
      <c r="N2014">
        <v>106.84</v>
      </c>
      <c r="O2014">
        <v>0.51</v>
      </c>
      <c r="P2014">
        <v>4</v>
      </c>
      <c r="Q2014">
        <v>0.77</v>
      </c>
      <c r="R2014">
        <v>918</v>
      </c>
      <c r="S2014">
        <v>12.77</v>
      </c>
      <c r="T2014">
        <v>0.99</v>
      </c>
      <c r="U2014" s="1">
        <v>45350</v>
      </c>
      <c r="V2014">
        <v>215.14</v>
      </c>
      <c r="W2014">
        <v>0.79100000000000004</v>
      </c>
      <c r="X2014" t="str">
        <f>IF(WarehouseData[[#This Row],[stock_level]]&lt;=WarehouseData[[#This Row],[reorder_point]],"Low Stock","Sufficient Stock")</f>
        <v>Sufficient Stock</v>
      </c>
      <c r="Y2014">
        <f>WarehouseData[[#This Row],[daily_demand]]*WarehouseData[[#This Row],[lead_time_days]]</f>
        <v>178.28</v>
      </c>
      <c r="Z2014" t="str">
        <f>IF(WarehouseData[[#This Row],[stock_level]]&lt;=WarehouseData[[#This Row],[Demand During Lead Time]],"At Risk","Safe")</f>
        <v>At Risk</v>
      </c>
      <c r="AA2014">
        <f>WarehouseData[[#This Row],[stock_level]]/WarehouseData[[#This Row],[daily_demand]]</f>
        <v>1.3013237603769352</v>
      </c>
      <c r="AB2014">
        <f>WarehouseData[[#This Row],[stock_level]]*WarehouseData[[#This Row],[unit_price]]</f>
        <v>6196.72</v>
      </c>
      <c r="AC2014">
        <f>WarehouseData[[#This Row],[stock_level]]*WarehouseData[[#This Row],[holding_cost_per_unit_day]]*30</f>
        <v>887.40000000000009</v>
      </c>
      <c r="AD2014" t="str">
        <f>IF(WarehouseData[[#This Row],[order_fulfillment_rate]]&gt;=0.9,"Strong",IF(WarehouseData[[#This Row],[order_fulfillment_rate]]&gt;=0.8,"Moderate","Needs Attention"))</f>
        <v>Needs Attention</v>
      </c>
      <c r="AE2014" t="str">
        <f>IF(WarehouseData[[#This Row],[picking_time_seconds]]&gt;120,"Slow",IF(WarehouseData[[#This Row],[picking_time_seconds]]&gt;=60,"Average","Fast"))</f>
        <v>Slow</v>
      </c>
    </row>
    <row r="2015" spans="1:31" x14ac:dyDescent="0.25">
      <c r="A2015" t="s">
        <v>2153</v>
      </c>
      <c r="B2015" t="s">
        <v>48</v>
      </c>
      <c r="C2015">
        <v>91</v>
      </c>
      <c r="D2015">
        <v>51</v>
      </c>
      <c r="E2015">
        <v>4</v>
      </c>
      <c r="F2015">
        <v>3</v>
      </c>
      <c r="G2015">
        <v>11.28</v>
      </c>
      <c r="H2015">
        <v>6.4</v>
      </c>
      <c r="I2015">
        <v>0.71</v>
      </c>
      <c r="J2015" t="s">
        <v>148</v>
      </c>
      <c r="K2015" t="s">
        <v>38</v>
      </c>
      <c r="L2015">
        <v>50</v>
      </c>
      <c r="M2015">
        <v>3.68</v>
      </c>
      <c r="N2015">
        <v>71.64</v>
      </c>
      <c r="O2015">
        <v>1.03</v>
      </c>
      <c r="P2015">
        <v>0</v>
      </c>
      <c r="Q2015">
        <v>0.87</v>
      </c>
      <c r="R2015">
        <v>599</v>
      </c>
      <c r="S2015">
        <v>11.68</v>
      </c>
      <c r="T2015">
        <v>0.54</v>
      </c>
      <c r="U2015" s="1">
        <v>45497</v>
      </c>
      <c r="V2015">
        <v>110.2</v>
      </c>
      <c r="W2015">
        <v>0.73499999999999999</v>
      </c>
      <c r="X2015" t="str">
        <f>IF(WarehouseData[[#This Row],[stock_level]]&lt;=WarehouseData[[#This Row],[reorder_point]],"Low Stock","Sufficient Stock")</f>
        <v>Sufficient Stock</v>
      </c>
      <c r="Y2015">
        <f>WarehouseData[[#This Row],[daily_demand]]*WarehouseData[[#This Row],[lead_time_days]]</f>
        <v>33.839999999999996</v>
      </c>
      <c r="Z2015" t="str">
        <f>IF(WarehouseData[[#This Row],[stock_level]]&lt;=WarehouseData[[#This Row],[Demand During Lead Time]],"At Risk","Safe")</f>
        <v>Safe</v>
      </c>
      <c r="AA2015">
        <f>WarehouseData[[#This Row],[stock_level]]/WarehouseData[[#This Row],[daily_demand]]</f>
        <v>8.0673758865248235</v>
      </c>
      <c r="AB2015">
        <f>WarehouseData[[#This Row],[stock_level]]*WarehouseData[[#This Row],[unit_price]]</f>
        <v>6519.24</v>
      </c>
      <c r="AC2015">
        <f>WarehouseData[[#This Row],[stock_level]]*WarehouseData[[#This Row],[holding_cost_per_unit_day]]*30</f>
        <v>2811.9</v>
      </c>
      <c r="AD2015" t="str">
        <f>IF(WarehouseData[[#This Row],[order_fulfillment_rate]]&gt;=0.9,"Strong",IF(WarehouseData[[#This Row],[order_fulfillment_rate]]&gt;=0.8,"Moderate","Needs Attention"))</f>
        <v>Moderate</v>
      </c>
      <c r="AE2015" t="str">
        <f>IF(WarehouseData[[#This Row],[picking_time_seconds]]&gt;120,"Slow",IF(WarehouseData[[#This Row],[picking_time_seconds]]&gt;=60,"Average","Fast"))</f>
        <v>Fast</v>
      </c>
    </row>
    <row r="2016" spans="1:31" x14ac:dyDescent="0.25">
      <c r="A2016" t="s">
        <v>2154</v>
      </c>
      <c r="B2016" t="s">
        <v>36</v>
      </c>
      <c r="C2016">
        <v>300</v>
      </c>
      <c r="D2016">
        <v>16</v>
      </c>
      <c r="E2016">
        <v>6</v>
      </c>
      <c r="F2016">
        <v>3</v>
      </c>
      <c r="G2016">
        <v>49.11</v>
      </c>
      <c r="H2016">
        <v>4.55</v>
      </c>
      <c r="I2016">
        <v>0.87</v>
      </c>
      <c r="J2016" t="s">
        <v>190</v>
      </c>
      <c r="K2016" t="s">
        <v>46</v>
      </c>
      <c r="L2016">
        <v>57</v>
      </c>
      <c r="M2016">
        <v>4.2699999999999996</v>
      </c>
      <c r="N2016">
        <v>71.540000000000006</v>
      </c>
      <c r="O2016">
        <v>1.1000000000000001</v>
      </c>
      <c r="P2016">
        <v>8</v>
      </c>
      <c r="Q2016">
        <v>0.96</v>
      </c>
      <c r="R2016">
        <v>759</v>
      </c>
      <c r="S2016">
        <v>6.81</v>
      </c>
      <c r="T2016">
        <v>0.98</v>
      </c>
      <c r="U2016" s="1">
        <v>45496</v>
      </c>
      <c r="V2016">
        <v>77.22</v>
      </c>
      <c r="W2016">
        <v>0.60899999999999999</v>
      </c>
      <c r="X2016" t="str">
        <f>IF(WarehouseData[[#This Row],[stock_level]]&lt;=WarehouseData[[#This Row],[reorder_point]],"Low Stock","Sufficient Stock")</f>
        <v>Sufficient Stock</v>
      </c>
      <c r="Y2016">
        <f>WarehouseData[[#This Row],[daily_demand]]*WarehouseData[[#This Row],[lead_time_days]]</f>
        <v>147.32999999999998</v>
      </c>
      <c r="Z2016" t="str">
        <f>IF(WarehouseData[[#This Row],[stock_level]]&lt;=WarehouseData[[#This Row],[Demand During Lead Time]],"At Risk","Safe")</f>
        <v>Safe</v>
      </c>
      <c r="AA2016">
        <f>WarehouseData[[#This Row],[stock_level]]/WarehouseData[[#This Row],[daily_demand]]</f>
        <v>6.1087354917532073</v>
      </c>
      <c r="AB2016">
        <f>WarehouseData[[#This Row],[stock_level]]*WarehouseData[[#This Row],[unit_price]]</f>
        <v>21462.000000000004</v>
      </c>
      <c r="AC2016">
        <f>WarehouseData[[#This Row],[stock_level]]*WarehouseData[[#This Row],[holding_cost_per_unit_day]]*30</f>
        <v>9900</v>
      </c>
      <c r="AD2016" t="str">
        <f>IF(WarehouseData[[#This Row],[order_fulfillment_rate]]&gt;=0.9,"Strong",IF(WarehouseData[[#This Row],[order_fulfillment_rate]]&gt;=0.8,"Moderate","Needs Attention"))</f>
        <v>Strong</v>
      </c>
      <c r="AE2016" t="str">
        <f>IF(WarehouseData[[#This Row],[picking_time_seconds]]&gt;120,"Slow",IF(WarehouseData[[#This Row],[picking_time_seconds]]&gt;=60,"Average","Fast"))</f>
        <v>Fast</v>
      </c>
    </row>
    <row r="2017" spans="1:31" x14ac:dyDescent="0.25">
      <c r="A2017" t="s">
        <v>2155</v>
      </c>
      <c r="B2017" t="s">
        <v>73</v>
      </c>
      <c r="C2017">
        <v>352</v>
      </c>
      <c r="D2017">
        <v>51</v>
      </c>
      <c r="E2017">
        <v>8</v>
      </c>
      <c r="F2017">
        <v>3</v>
      </c>
      <c r="G2017">
        <v>35.4</v>
      </c>
      <c r="H2017">
        <v>8.9499999999999993</v>
      </c>
      <c r="I2017">
        <v>0.57999999999999996</v>
      </c>
      <c r="J2017" t="s">
        <v>401</v>
      </c>
      <c r="K2017" t="s">
        <v>34</v>
      </c>
      <c r="L2017">
        <v>60</v>
      </c>
      <c r="M2017">
        <v>4.83</v>
      </c>
      <c r="N2017">
        <v>72.12</v>
      </c>
      <c r="O2017">
        <v>0.76</v>
      </c>
      <c r="P2017">
        <v>4</v>
      </c>
      <c r="Q2017">
        <v>0.97</v>
      </c>
      <c r="R2017">
        <v>354</v>
      </c>
      <c r="S2017">
        <v>13.22</v>
      </c>
      <c r="T2017">
        <v>0.71</v>
      </c>
      <c r="U2017" s="1">
        <v>45525</v>
      </c>
      <c r="V2017">
        <v>61.63</v>
      </c>
      <c r="W2017">
        <v>0.75600000000000001</v>
      </c>
      <c r="X2017" t="str">
        <f>IF(WarehouseData[[#This Row],[stock_level]]&lt;=WarehouseData[[#This Row],[reorder_point]],"Low Stock","Sufficient Stock")</f>
        <v>Sufficient Stock</v>
      </c>
      <c r="Y2017">
        <f>WarehouseData[[#This Row],[daily_demand]]*WarehouseData[[#This Row],[lead_time_days]]</f>
        <v>106.19999999999999</v>
      </c>
      <c r="Z2017" t="str">
        <f>IF(WarehouseData[[#This Row],[stock_level]]&lt;=WarehouseData[[#This Row],[Demand During Lead Time]],"At Risk","Safe")</f>
        <v>Safe</v>
      </c>
      <c r="AA2017">
        <f>WarehouseData[[#This Row],[stock_level]]/WarehouseData[[#This Row],[daily_demand]]</f>
        <v>9.9435028248587578</v>
      </c>
      <c r="AB2017">
        <f>WarehouseData[[#This Row],[stock_level]]*WarehouseData[[#This Row],[unit_price]]</f>
        <v>25386.240000000002</v>
      </c>
      <c r="AC2017">
        <f>WarehouseData[[#This Row],[stock_level]]*WarehouseData[[#This Row],[holding_cost_per_unit_day]]*30</f>
        <v>8025.5999999999995</v>
      </c>
      <c r="AD2017" t="str">
        <f>IF(WarehouseData[[#This Row],[order_fulfillment_rate]]&gt;=0.9,"Strong",IF(WarehouseData[[#This Row],[order_fulfillment_rate]]&gt;=0.8,"Moderate","Needs Attention"))</f>
        <v>Strong</v>
      </c>
      <c r="AE2017" t="str">
        <f>IF(WarehouseData[[#This Row],[picking_time_seconds]]&gt;120,"Slow",IF(WarehouseData[[#This Row],[picking_time_seconds]]&gt;=60,"Average","Fast"))</f>
        <v>Average</v>
      </c>
    </row>
    <row r="2018" spans="1:31" x14ac:dyDescent="0.25">
      <c r="A2018" t="s">
        <v>2156</v>
      </c>
      <c r="B2018" t="s">
        <v>73</v>
      </c>
      <c r="C2018">
        <v>179</v>
      </c>
      <c r="D2018">
        <v>45</v>
      </c>
      <c r="E2018">
        <v>6</v>
      </c>
      <c r="F2018">
        <v>9</v>
      </c>
      <c r="G2018">
        <v>25.31</v>
      </c>
      <c r="H2018">
        <v>2.73</v>
      </c>
      <c r="I2018">
        <v>0.4</v>
      </c>
      <c r="J2018" t="s">
        <v>160</v>
      </c>
      <c r="K2018" t="s">
        <v>52</v>
      </c>
      <c r="L2018">
        <v>127</v>
      </c>
      <c r="M2018">
        <v>0.89</v>
      </c>
      <c r="N2018">
        <v>159.83000000000001</v>
      </c>
      <c r="O2018">
        <v>1.52</v>
      </c>
      <c r="P2018">
        <v>5</v>
      </c>
      <c r="Q2018">
        <v>0.95</v>
      </c>
      <c r="R2018">
        <v>653</v>
      </c>
      <c r="S2018">
        <v>4.46</v>
      </c>
      <c r="T2018">
        <v>0.46</v>
      </c>
      <c r="U2018" s="1">
        <v>45431</v>
      </c>
      <c r="V2018">
        <v>100.91</v>
      </c>
      <c r="W2018">
        <v>0.48899999999999999</v>
      </c>
      <c r="X2018" t="str">
        <f>IF(WarehouseData[[#This Row],[stock_level]]&lt;=WarehouseData[[#This Row],[reorder_point]],"Low Stock","Sufficient Stock")</f>
        <v>Sufficient Stock</v>
      </c>
      <c r="Y2018">
        <f>WarehouseData[[#This Row],[daily_demand]]*WarehouseData[[#This Row],[lead_time_days]]</f>
        <v>227.79</v>
      </c>
      <c r="Z2018" t="str">
        <f>IF(WarehouseData[[#This Row],[stock_level]]&lt;=WarehouseData[[#This Row],[Demand During Lead Time]],"At Risk","Safe")</f>
        <v>At Risk</v>
      </c>
      <c r="AA2018">
        <f>WarehouseData[[#This Row],[stock_level]]/WarehouseData[[#This Row],[daily_demand]]</f>
        <v>7.0723034373765312</v>
      </c>
      <c r="AB2018">
        <f>WarehouseData[[#This Row],[stock_level]]*WarehouseData[[#This Row],[unit_price]]</f>
        <v>28609.570000000003</v>
      </c>
      <c r="AC2018">
        <f>WarehouseData[[#This Row],[stock_level]]*WarehouseData[[#This Row],[holding_cost_per_unit_day]]*30</f>
        <v>8162.4</v>
      </c>
      <c r="AD2018" t="str">
        <f>IF(WarehouseData[[#This Row],[order_fulfillment_rate]]&gt;=0.9,"Strong",IF(WarehouseData[[#This Row],[order_fulfillment_rate]]&gt;=0.8,"Moderate","Needs Attention"))</f>
        <v>Strong</v>
      </c>
      <c r="AE2018" t="str">
        <f>IF(WarehouseData[[#This Row],[picking_time_seconds]]&gt;120,"Slow",IF(WarehouseData[[#This Row],[picking_time_seconds]]&gt;=60,"Average","Fast"))</f>
        <v>Slow</v>
      </c>
    </row>
    <row r="2019" spans="1:31" x14ac:dyDescent="0.25">
      <c r="A2019" t="s">
        <v>2157</v>
      </c>
      <c r="B2019" t="s">
        <v>40</v>
      </c>
      <c r="C2019">
        <v>206</v>
      </c>
      <c r="D2019">
        <v>36</v>
      </c>
      <c r="E2019">
        <v>11</v>
      </c>
      <c r="F2019">
        <v>7</v>
      </c>
      <c r="G2019">
        <v>22.12</v>
      </c>
      <c r="H2019">
        <v>1.19</v>
      </c>
      <c r="I2019">
        <v>0.79</v>
      </c>
      <c r="J2019" t="s">
        <v>401</v>
      </c>
      <c r="K2019" t="s">
        <v>46</v>
      </c>
      <c r="L2019">
        <v>105</v>
      </c>
      <c r="M2019">
        <v>0.54</v>
      </c>
      <c r="N2019">
        <v>145.11000000000001</v>
      </c>
      <c r="O2019">
        <v>1.82</v>
      </c>
      <c r="P2019">
        <v>8</v>
      </c>
      <c r="Q2019">
        <v>0.71</v>
      </c>
      <c r="R2019">
        <v>825</v>
      </c>
      <c r="S2019">
        <v>1.34</v>
      </c>
      <c r="T2019">
        <v>0.5</v>
      </c>
      <c r="U2019" s="1">
        <v>45489</v>
      </c>
      <c r="V2019">
        <v>46.41</v>
      </c>
      <c r="W2019">
        <v>0.318</v>
      </c>
      <c r="X2019" t="str">
        <f>IF(WarehouseData[[#This Row],[stock_level]]&lt;=WarehouseData[[#This Row],[reorder_point]],"Low Stock","Sufficient Stock")</f>
        <v>Sufficient Stock</v>
      </c>
      <c r="Y2019">
        <f>WarehouseData[[#This Row],[daily_demand]]*WarehouseData[[#This Row],[lead_time_days]]</f>
        <v>154.84</v>
      </c>
      <c r="Z2019" t="str">
        <f>IF(WarehouseData[[#This Row],[stock_level]]&lt;=WarehouseData[[#This Row],[Demand During Lead Time]],"At Risk","Safe")</f>
        <v>Safe</v>
      </c>
      <c r="AA2019">
        <f>WarehouseData[[#This Row],[stock_level]]/WarehouseData[[#This Row],[daily_demand]]</f>
        <v>9.3128390596745021</v>
      </c>
      <c r="AB2019">
        <f>WarehouseData[[#This Row],[stock_level]]*WarehouseData[[#This Row],[unit_price]]</f>
        <v>29892.660000000003</v>
      </c>
      <c r="AC2019">
        <f>WarehouseData[[#This Row],[stock_level]]*WarehouseData[[#This Row],[holding_cost_per_unit_day]]*30</f>
        <v>11247.6</v>
      </c>
      <c r="AD2019" t="str">
        <f>IF(WarehouseData[[#This Row],[order_fulfillment_rate]]&gt;=0.9,"Strong",IF(WarehouseData[[#This Row],[order_fulfillment_rate]]&gt;=0.8,"Moderate","Needs Attention"))</f>
        <v>Needs Attention</v>
      </c>
      <c r="AE2019" t="str">
        <f>IF(WarehouseData[[#This Row],[picking_time_seconds]]&gt;120,"Slow",IF(WarehouseData[[#This Row],[picking_time_seconds]]&gt;=60,"Average","Fast"))</f>
        <v>Average</v>
      </c>
    </row>
    <row r="2020" spans="1:31" x14ac:dyDescent="0.25">
      <c r="A2020" t="s">
        <v>2158</v>
      </c>
      <c r="B2020" t="s">
        <v>32</v>
      </c>
      <c r="C2020">
        <v>210</v>
      </c>
      <c r="D2020">
        <v>67</v>
      </c>
      <c r="E2020">
        <v>6</v>
      </c>
      <c r="F2020">
        <v>8</v>
      </c>
      <c r="G2020">
        <v>47.76</v>
      </c>
      <c r="H2020">
        <v>6.1</v>
      </c>
      <c r="I2020">
        <v>0.34</v>
      </c>
      <c r="J2020" t="s">
        <v>122</v>
      </c>
      <c r="K2020" t="s">
        <v>38</v>
      </c>
      <c r="L2020">
        <v>85</v>
      </c>
      <c r="M2020">
        <v>2.97</v>
      </c>
      <c r="N2020">
        <v>70.650000000000006</v>
      </c>
      <c r="O2020">
        <v>0.5</v>
      </c>
      <c r="P2020">
        <v>1</v>
      </c>
      <c r="Q2020">
        <v>0.95</v>
      </c>
      <c r="R2020">
        <v>804</v>
      </c>
      <c r="S2020">
        <v>7.06</v>
      </c>
      <c r="T2020">
        <v>0.43</v>
      </c>
      <c r="U2020" s="1">
        <v>45645</v>
      </c>
      <c r="V2020">
        <v>52.15</v>
      </c>
      <c r="W2020">
        <v>0.7</v>
      </c>
      <c r="X2020" t="str">
        <f>IF(WarehouseData[[#This Row],[stock_level]]&lt;=WarehouseData[[#This Row],[reorder_point]],"Low Stock","Sufficient Stock")</f>
        <v>Sufficient Stock</v>
      </c>
      <c r="Y2020">
        <f>WarehouseData[[#This Row],[daily_demand]]*WarehouseData[[#This Row],[lead_time_days]]</f>
        <v>382.08</v>
      </c>
      <c r="Z2020" t="str">
        <f>IF(WarehouseData[[#This Row],[stock_level]]&lt;=WarehouseData[[#This Row],[Demand During Lead Time]],"At Risk","Safe")</f>
        <v>At Risk</v>
      </c>
      <c r="AA2020">
        <f>WarehouseData[[#This Row],[stock_level]]/WarehouseData[[#This Row],[daily_demand]]</f>
        <v>4.3969849246231156</v>
      </c>
      <c r="AB2020">
        <f>WarehouseData[[#This Row],[stock_level]]*WarehouseData[[#This Row],[unit_price]]</f>
        <v>14836.500000000002</v>
      </c>
      <c r="AC2020">
        <f>WarehouseData[[#This Row],[stock_level]]*WarehouseData[[#This Row],[holding_cost_per_unit_day]]*30</f>
        <v>3150</v>
      </c>
      <c r="AD2020" t="str">
        <f>IF(WarehouseData[[#This Row],[order_fulfillment_rate]]&gt;=0.9,"Strong",IF(WarehouseData[[#This Row],[order_fulfillment_rate]]&gt;=0.8,"Moderate","Needs Attention"))</f>
        <v>Strong</v>
      </c>
      <c r="AE2020" t="str">
        <f>IF(WarehouseData[[#This Row],[picking_time_seconds]]&gt;120,"Slow",IF(WarehouseData[[#This Row],[picking_time_seconds]]&gt;=60,"Average","Fast"))</f>
        <v>Average</v>
      </c>
    </row>
    <row r="2021" spans="1:31" x14ac:dyDescent="0.25">
      <c r="A2021" t="s">
        <v>2159</v>
      </c>
      <c r="B2021" t="s">
        <v>40</v>
      </c>
      <c r="C2021">
        <v>441</v>
      </c>
      <c r="D2021">
        <v>55</v>
      </c>
      <c r="E2021">
        <v>8</v>
      </c>
      <c r="F2021">
        <v>4</v>
      </c>
      <c r="G2021">
        <v>11.08</v>
      </c>
      <c r="H2021">
        <v>8.92</v>
      </c>
      <c r="I2021">
        <v>0.9</v>
      </c>
      <c r="J2021" t="s">
        <v>84</v>
      </c>
      <c r="K2021" t="s">
        <v>38</v>
      </c>
      <c r="L2021">
        <v>55</v>
      </c>
      <c r="M2021">
        <v>1.69</v>
      </c>
      <c r="N2021">
        <v>103.14</v>
      </c>
      <c r="O2021">
        <v>1.69</v>
      </c>
      <c r="P2021">
        <v>2</v>
      </c>
      <c r="Q2021">
        <v>0.97</v>
      </c>
      <c r="R2021">
        <v>677</v>
      </c>
      <c r="S2021">
        <v>13.87</v>
      </c>
      <c r="T2021">
        <v>0.47</v>
      </c>
      <c r="U2021" s="1">
        <v>45536</v>
      </c>
      <c r="V2021">
        <v>235.22</v>
      </c>
      <c r="W2021">
        <v>0.66400000000000003</v>
      </c>
      <c r="X2021" t="str">
        <f>IF(WarehouseData[[#This Row],[stock_level]]&lt;=WarehouseData[[#This Row],[reorder_point]],"Low Stock","Sufficient Stock")</f>
        <v>Sufficient Stock</v>
      </c>
      <c r="Y2021">
        <f>WarehouseData[[#This Row],[daily_demand]]*WarehouseData[[#This Row],[lead_time_days]]</f>
        <v>44.32</v>
      </c>
      <c r="Z2021" t="str">
        <f>IF(WarehouseData[[#This Row],[stock_level]]&lt;=WarehouseData[[#This Row],[Demand During Lead Time]],"At Risk","Safe")</f>
        <v>Safe</v>
      </c>
      <c r="AA2021">
        <f>WarehouseData[[#This Row],[stock_level]]/WarehouseData[[#This Row],[daily_demand]]</f>
        <v>39.801444043321297</v>
      </c>
      <c r="AB2021">
        <f>WarehouseData[[#This Row],[stock_level]]*WarehouseData[[#This Row],[unit_price]]</f>
        <v>45484.74</v>
      </c>
      <c r="AC2021">
        <f>WarehouseData[[#This Row],[stock_level]]*WarehouseData[[#This Row],[holding_cost_per_unit_day]]*30</f>
        <v>22358.699999999997</v>
      </c>
      <c r="AD2021" t="str">
        <f>IF(WarehouseData[[#This Row],[order_fulfillment_rate]]&gt;=0.9,"Strong",IF(WarehouseData[[#This Row],[order_fulfillment_rate]]&gt;=0.8,"Moderate","Needs Attention"))</f>
        <v>Strong</v>
      </c>
      <c r="AE2021" t="str">
        <f>IF(WarehouseData[[#This Row],[picking_time_seconds]]&gt;120,"Slow",IF(WarehouseData[[#This Row],[picking_time_seconds]]&gt;=60,"Average","Fast"))</f>
        <v>Fast</v>
      </c>
    </row>
    <row r="2022" spans="1:31" x14ac:dyDescent="0.25">
      <c r="A2022" t="s">
        <v>2160</v>
      </c>
      <c r="B2022" t="s">
        <v>32</v>
      </c>
      <c r="C2022">
        <v>139</v>
      </c>
      <c r="D2022">
        <v>75</v>
      </c>
      <c r="E2022">
        <v>8</v>
      </c>
      <c r="F2022">
        <v>2</v>
      </c>
      <c r="G2022">
        <v>16.27</v>
      </c>
      <c r="H2022">
        <v>3.97</v>
      </c>
      <c r="I2022">
        <v>0.16</v>
      </c>
      <c r="J2022" t="s">
        <v>59</v>
      </c>
      <c r="K2022" t="s">
        <v>52</v>
      </c>
      <c r="L2022">
        <v>109</v>
      </c>
      <c r="M2022">
        <v>2.61</v>
      </c>
      <c r="N2022">
        <v>24.47</v>
      </c>
      <c r="O2022">
        <v>0.35</v>
      </c>
      <c r="P2022">
        <v>6</v>
      </c>
      <c r="Q2022">
        <v>0.72</v>
      </c>
      <c r="R2022">
        <v>144</v>
      </c>
      <c r="S2022">
        <v>9</v>
      </c>
      <c r="T2022">
        <v>0.72</v>
      </c>
      <c r="U2022" s="1">
        <v>45507</v>
      </c>
      <c r="V2022">
        <v>28.49</v>
      </c>
      <c r="W2022">
        <v>0.65300000000000002</v>
      </c>
      <c r="X2022" t="str">
        <f>IF(WarehouseData[[#This Row],[stock_level]]&lt;=WarehouseData[[#This Row],[reorder_point]],"Low Stock","Sufficient Stock")</f>
        <v>Sufficient Stock</v>
      </c>
      <c r="Y2022">
        <f>WarehouseData[[#This Row],[daily_demand]]*WarehouseData[[#This Row],[lead_time_days]]</f>
        <v>32.54</v>
      </c>
      <c r="Z2022" t="str">
        <f>IF(WarehouseData[[#This Row],[stock_level]]&lt;=WarehouseData[[#This Row],[Demand During Lead Time]],"At Risk","Safe")</f>
        <v>Safe</v>
      </c>
      <c r="AA2022">
        <f>WarehouseData[[#This Row],[stock_level]]/WarehouseData[[#This Row],[daily_demand]]</f>
        <v>8.5433312845728331</v>
      </c>
      <c r="AB2022">
        <f>WarehouseData[[#This Row],[stock_level]]*WarehouseData[[#This Row],[unit_price]]</f>
        <v>3401.33</v>
      </c>
      <c r="AC2022">
        <f>WarehouseData[[#This Row],[stock_level]]*WarehouseData[[#This Row],[holding_cost_per_unit_day]]*30</f>
        <v>1459.5</v>
      </c>
      <c r="AD2022" t="str">
        <f>IF(WarehouseData[[#This Row],[order_fulfillment_rate]]&gt;=0.9,"Strong",IF(WarehouseData[[#This Row],[order_fulfillment_rate]]&gt;=0.8,"Moderate","Needs Attention"))</f>
        <v>Needs Attention</v>
      </c>
      <c r="AE2022" t="str">
        <f>IF(WarehouseData[[#This Row],[picking_time_seconds]]&gt;120,"Slow",IF(WarehouseData[[#This Row],[picking_time_seconds]]&gt;=60,"Average","Fast"))</f>
        <v>Average</v>
      </c>
    </row>
    <row r="2023" spans="1:31" x14ac:dyDescent="0.25">
      <c r="A2023" t="s">
        <v>2161</v>
      </c>
      <c r="B2023" t="s">
        <v>48</v>
      </c>
      <c r="C2023">
        <v>239</v>
      </c>
      <c r="D2023">
        <v>34</v>
      </c>
      <c r="E2023">
        <v>12</v>
      </c>
      <c r="F2023">
        <v>3</v>
      </c>
      <c r="G2023">
        <v>16.079999999999998</v>
      </c>
      <c r="H2023">
        <v>6.65</v>
      </c>
      <c r="I2023">
        <v>0.85</v>
      </c>
      <c r="J2023" t="s">
        <v>276</v>
      </c>
      <c r="K2023" t="s">
        <v>46</v>
      </c>
      <c r="L2023">
        <v>47</v>
      </c>
      <c r="M2023">
        <v>0.83</v>
      </c>
      <c r="N2023">
        <v>167.23</v>
      </c>
      <c r="O2023">
        <v>0.53</v>
      </c>
      <c r="P2023">
        <v>2</v>
      </c>
      <c r="Q2023">
        <v>0.82</v>
      </c>
      <c r="R2023">
        <v>774</v>
      </c>
      <c r="S2023">
        <v>4.21</v>
      </c>
      <c r="T2023">
        <v>0.21</v>
      </c>
      <c r="U2023" s="1">
        <v>45624</v>
      </c>
      <c r="V2023">
        <v>137.38999999999999</v>
      </c>
      <c r="W2023">
        <v>0.56899999999999995</v>
      </c>
      <c r="X2023" t="str">
        <f>IF(WarehouseData[[#This Row],[stock_level]]&lt;=WarehouseData[[#This Row],[reorder_point]],"Low Stock","Sufficient Stock")</f>
        <v>Sufficient Stock</v>
      </c>
      <c r="Y2023">
        <f>WarehouseData[[#This Row],[daily_demand]]*WarehouseData[[#This Row],[lead_time_days]]</f>
        <v>48.239999999999995</v>
      </c>
      <c r="Z2023" t="str">
        <f>IF(WarehouseData[[#This Row],[stock_level]]&lt;=WarehouseData[[#This Row],[Demand During Lead Time]],"At Risk","Safe")</f>
        <v>Safe</v>
      </c>
      <c r="AA2023">
        <f>WarehouseData[[#This Row],[stock_level]]/WarehouseData[[#This Row],[daily_demand]]</f>
        <v>14.863184079601991</v>
      </c>
      <c r="AB2023">
        <f>WarehouseData[[#This Row],[stock_level]]*WarehouseData[[#This Row],[unit_price]]</f>
        <v>39967.97</v>
      </c>
      <c r="AC2023">
        <f>WarehouseData[[#This Row],[stock_level]]*WarehouseData[[#This Row],[holding_cost_per_unit_day]]*30</f>
        <v>3800.1</v>
      </c>
      <c r="AD2023" t="str">
        <f>IF(WarehouseData[[#This Row],[order_fulfillment_rate]]&gt;=0.9,"Strong",IF(WarehouseData[[#This Row],[order_fulfillment_rate]]&gt;=0.8,"Moderate","Needs Attention"))</f>
        <v>Moderate</v>
      </c>
      <c r="AE2023" t="str">
        <f>IF(WarehouseData[[#This Row],[picking_time_seconds]]&gt;120,"Slow",IF(WarehouseData[[#This Row],[picking_time_seconds]]&gt;=60,"Average","Fast"))</f>
        <v>Fast</v>
      </c>
    </row>
    <row r="2024" spans="1:31" x14ac:dyDescent="0.25">
      <c r="A2024" t="s">
        <v>2162</v>
      </c>
      <c r="B2024" t="s">
        <v>48</v>
      </c>
      <c r="C2024">
        <v>72</v>
      </c>
      <c r="D2024">
        <v>82</v>
      </c>
      <c r="E2024">
        <v>13</v>
      </c>
      <c r="F2024">
        <v>9</v>
      </c>
      <c r="G2024">
        <v>15.16</v>
      </c>
      <c r="H2024">
        <v>2.7</v>
      </c>
      <c r="I2024">
        <v>0.18</v>
      </c>
      <c r="J2024" t="s">
        <v>477</v>
      </c>
      <c r="K2024" t="s">
        <v>52</v>
      </c>
      <c r="L2024">
        <v>101</v>
      </c>
      <c r="M2024">
        <v>2.76</v>
      </c>
      <c r="N2024">
        <v>60.53</v>
      </c>
      <c r="O2024">
        <v>1.17</v>
      </c>
      <c r="P2024">
        <v>1</v>
      </c>
      <c r="Q2024">
        <v>0.86</v>
      </c>
      <c r="R2024">
        <v>295</v>
      </c>
      <c r="S2024">
        <v>10.11</v>
      </c>
      <c r="T2024">
        <v>0.97</v>
      </c>
      <c r="U2024" s="1">
        <v>45377</v>
      </c>
      <c r="V2024">
        <v>127.45</v>
      </c>
      <c r="W2024">
        <v>0.76400000000000001</v>
      </c>
      <c r="X2024" t="str">
        <f>IF(WarehouseData[[#This Row],[stock_level]]&lt;=WarehouseData[[#This Row],[reorder_point]],"Low Stock","Sufficient Stock")</f>
        <v>Low Stock</v>
      </c>
      <c r="Y2024">
        <f>WarehouseData[[#This Row],[daily_demand]]*WarehouseData[[#This Row],[lead_time_days]]</f>
        <v>136.44</v>
      </c>
      <c r="Z2024" t="str">
        <f>IF(WarehouseData[[#This Row],[stock_level]]&lt;=WarehouseData[[#This Row],[Demand During Lead Time]],"At Risk","Safe")</f>
        <v>At Risk</v>
      </c>
      <c r="AA2024">
        <f>WarehouseData[[#This Row],[stock_level]]/WarehouseData[[#This Row],[daily_demand]]</f>
        <v>4.7493403693931402</v>
      </c>
      <c r="AB2024">
        <f>WarehouseData[[#This Row],[stock_level]]*WarehouseData[[#This Row],[unit_price]]</f>
        <v>4358.16</v>
      </c>
      <c r="AC2024">
        <f>WarehouseData[[#This Row],[stock_level]]*WarehouseData[[#This Row],[holding_cost_per_unit_day]]*30</f>
        <v>2527.1999999999998</v>
      </c>
      <c r="AD2024" t="str">
        <f>IF(WarehouseData[[#This Row],[order_fulfillment_rate]]&gt;=0.9,"Strong",IF(WarehouseData[[#This Row],[order_fulfillment_rate]]&gt;=0.8,"Moderate","Needs Attention"))</f>
        <v>Moderate</v>
      </c>
      <c r="AE2024" t="str">
        <f>IF(WarehouseData[[#This Row],[picking_time_seconds]]&gt;120,"Slow",IF(WarehouseData[[#This Row],[picking_time_seconds]]&gt;=60,"Average","Fast"))</f>
        <v>Average</v>
      </c>
    </row>
    <row r="2025" spans="1:31" x14ac:dyDescent="0.25">
      <c r="A2025" t="s">
        <v>2163</v>
      </c>
      <c r="B2025" t="s">
        <v>36</v>
      </c>
      <c r="C2025">
        <v>241</v>
      </c>
      <c r="D2025">
        <v>36</v>
      </c>
      <c r="E2025">
        <v>12</v>
      </c>
      <c r="F2025">
        <v>2</v>
      </c>
      <c r="G2025">
        <v>23.96</v>
      </c>
      <c r="H2025">
        <v>5.81</v>
      </c>
      <c r="I2025">
        <v>0.15</v>
      </c>
      <c r="J2025" t="s">
        <v>283</v>
      </c>
      <c r="K2025" t="s">
        <v>46</v>
      </c>
      <c r="L2025">
        <v>150</v>
      </c>
      <c r="M2025">
        <v>1.06</v>
      </c>
      <c r="N2025">
        <v>178.95</v>
      </c>
      <c r="O2025">
        <v>0.68</v>
      </c>
      <c r="P2025">
        <v>6</v>
      </c>
      <c r="Q2025">
        <v>0.77</v>
      </c>
      <c r="R2025">
        <v>734</v>
      </c>
      <c r="S2025">
        <v>11.43</v>
      </c>
      <c r="T2025">
        <v>0.81</v>
      </c>
      <c r="U2025" s="1">
        <v>45349</v>
      </c>
      <c r="V2025">
        <v>288.45999999999998</v>
      </c>
      <c r="W2025">
        <v>0.68</v>
      </c>
      <c r="X2025" t="str">
        <f>IF(WarehouseData[[#This Row],[stock_level]]&lt;=WarehouseData[[#This Row],[reorder_point]],"Low Stock","Sufficient Stock")</f>
        <v>Sufficient Stock</v>
      </c>
      <c r="Y2025">
        <f>WarehouseData[[#This Row],[daily_demand]]*WarehouseData[[#This Row],[lead_time_days]]</f>
        <v>47.92</v>
      </c>
      <c r="Z2025" t="str">
        <f>IF(WarehouseData[[#This Row],[stock_level]]&lt;=WarehouseData[[#This Row],[Demand During Lead Time]],"At Risk","Safe")</f>
        <v>Safe</v>
      </c>
      <c r="AA2025">
        <f>WarehouseData[[#This Row],[stock_level]]/WarehouseData[[#This Row],[daily_demand]]</f>
        <v>10.058430717863105</v>
      </c>
      <c r="AB2025">
        <f>WarehouseData[[#This Row],[stock_level]]*WarehouseData[[#This Row],[unit_price]]</f>
        <v>43126.95</v>
      </c>
      <c r="AC2025">
        <f>WarehouseData[[#This Row],[stock_level]]*WarehouseData[[#This Row],[holding_cost_per_unit_day]]*30</f>
        <v>4916.4000000000005</v>
      </c>
      <c r="AD2025" t="str">
        <f>IF(WarehouseData[[#This Row],[order_fulfillment_rate]]&gt;=0.9,"Strong",IF(WarehouseData[[#This Row],[order_fulfillment_rate]]&gt;=0.8,"Moderate","Needs Attention"))</f>
        <v>Needs Attention</v>
      </c>
      <c r="AE2025" t="str">
        <f>IF(WarehouseData[[#This Row],[picking_time_seconds]]&gt;120,"Slow",IF(WarehouseData[[#This Row],[picking_time_seconds]]&gt;=60,"Average","Fast"))</f>
        <v>Slow</v>
      </c>
    </row>
    <row r="2026" spans="1:31" x14ac:dyDescent="0.25">
      <c r="A2026" t="s">
        <v>2164</v>
      </c>
      <c r="B2026" t="s">
        <v>32</v>
      </c>
      <c r="C2026">
        <v>470</v>
      </c>
      <c r="D2026">
        <v>10</v>
      </c>
      <c r="E2026">
        <v>3</v>
      </c>
      <c r="F2026">
        <v>4</v>
      </c>
      <c r="G2026">
        <v>49.47</v>
      </c>
      <c r="H2026">
        <v>7.97</v>
      </c>
      <c r="I2026">
        <v>0.43</v>
      </c>
      <c r="J2026" t="s">
        <v>289</v>
      </c>
      <c r="K2026" t="s">
        <v>38</v>
      </c>
      <c r="L2026">
        <v>159</v>
      </c>
      <c r="M2026">
        <v>4.2699999999999996</v>
      </c>
      <c r="N2026">
        <v>123.39</v>
      </c>
      <c r="O2026">
        <v>0.18</v>
      </c>
      <c r="P2026">
        <v>7</v>
      </c>
      <c r="Q2026">
        <v>0.86</v>
      </c>
      <c r="R2026">
        <v>846</v>
      </c>
      <c r="S2026">
        <v>8.6999999999999993</v>
      </c>
      <c r="T2026">
        <v>0.95</v>
      </c>
      <c r="U2026" s="1">
        <v>45359</v>
      </c>
      <c r="V2026">
        <v>145.01</v>
      </c>
      <c r="W2026">
        <v>0.72</v>
      </c>
      <c r="X2026" t="str">
        <f>IF(WarehouseData[[#This Row],[stock_level]]&lt;=WarehouseData[[#This Row],[reorder_point]],"Low Stock","Sufficient Stock")</f>
        <v>Sufficient Stock</v>
      </c>
      <c r="Y2026">
        <f>WarehouseData[[#This Row],[daily_demand]]*WarehouseData[[#This Row],[lead_time_days]]</f>
        <v>197.88</v>
      </c>
      <c r="Z2026" t="str">
        <f>IF(WarehouseData[[#This Row],[stock_level]]&lt;=WarehouseData[[#This Row],[Demand During Lead Time]],"At Risk","Safe")</f>
        <v>Safe</v>
      </c>
      <c r="AA2026">
        <f>WarehouseData[[#This Row],[stock_level]]/WarehouseData[[#This Row],[daily_demand]]</f>
        <v>9.5007074994946432</v>
      </c>
      <c r="AB2026">
        <f>WarehouseData[[#This Row],[stock_level]]*WarehouseData[[#This Row],[unit_price]]</f>
        <v>57993.3</v>
      </c>
      <c r="AC2026">
        <f>WarehouseData[[#This Row],[stock_level]]*WarehouseData[[#This Row],[holding_cost_per_unit_day]]*30</f>
        <v>2538</v>
      </c>
      <c r="AD2026" t="str">
        <f>IF(WarehouseData[[#This Row],[order_fulfillment_rate]]&gt;=0.9,"Strong",IF(WarehouseData[[#This Row],[order_fulfillment_rate]]&gt;=0.8,"Moderate","Needs Attention"))</f>
        <v>Moderate</v>
      </c>
      <c r="AE2026" t="str">
        <f>IF(WarehouseData[[#This Row],[picking_time_seconds]]&gt;120,"Slow",IF(WarehouseData[[#This Row],[picking_time_seconds]]&gt;=60,"Average","Fast"))</f>
        <v>Slow</v>
      </c>
    </row>
    <row r="2027" spans="1:31" x14ac:dyDescent="0.25">
      <c r="A2027" t="s">
        <v>2165</v>
      </c>
      <c r="B2027" t="s">
        <v>36</v>
      </c>
      <c r="C2027">
        <v>431</v>
      </c>
      <c r="D2027">
        <v>96</v>
      </c>
      <c r="E2027">
        <v>10</v>
      </c>
      <c r="F2027">
        <v>7</v>
      </c>
      <c r="G2027">
        <v>44.55</v>
      </c>
      <c r="H2027">
        <v>8.74</v>
      </c>
      <c r="I2027">
        <v>0.96</v>
      </c>
      <c r="J2027" t="s">
        <v>163</v>
      </c>
      <c r="K2027" t="s">
        <v>34</v>
      </c>
      <c r="L2027">
        <v>139</v>
      </c>
      <c r="M2027">
        <v>3.92</v>
      </c>
      <c r="N2027">
        <v>117.89</v>
      </c>
      <c r="O2027">
        <v>0.66</v>
      </c>
      <c r="P2027">
        <v>8</v>
      </c>
      <c r="Q2027">
        <v>0.97</v>
      </c>
      <c r="R2027">
        <v>128</v>
      </c>
      <c r="S2027">
        <v>12.8</v>
      </c>
      <c r="T2027">
        <v>0.77</v>
      </c>
      <c r="U2027" s="1">
        <v>45648</v>
      </c>
      <c r="V2027">
        <v>56.65</v>
      </c>
      <c r="W2027">
        <v>0.69299999999999995</v>
      </c>
      <c r="X2027" t="str">
        <f>IF(WarehouseData[[#This Row],[stock_level]]&lt;=WarehouseData[[#This Row],[reorder_point]],"Low Stock","Sufficient Stock")</f>
        <v>Sufficient Stock</v>
      </c>
      <c r="Y2027">
        <f>WarehouseData[[#This Row],[daily_demand]]*WarehouseData[[#This Row],[lead_time_days]]</f>
        <v>311.84999999999997</v>
      </c>
      <c r="Z2027" t="str">
        <f>IF(WarehouseData[[#This Row],[stock_level]]&lt;=WarehouseData[[#This Row],[Demand During Lead Time]],"At Risk","Safe")</f>
        <v>Safe</v>
      </c>
      <c r="AA2027">
        <f>WarehouseData[[#This Row],[stock_level]]/WarehouseData[[#This Row],[daily_demand]]</f>
        <v>9.674523007856342</v>
      </c>
      <c r="AB2027">
        <f>WarehouseData[[#This Row],[stock_level]]*WarehouseData[[#This Row],[unit_price]]</f>
        <v>50810.590000000004</v>
      </c>
      <c r="AC2027">
        <f>WarehouseData[[#This Row],[stock_level]]*WarehouseData[[#This Row],[holding_cost_per_unit_day]]*30</f>
        <v>8533.8000000000011</v>
      </c>
      <c r="AD2027" t="str">
        <f>IF(WarehouseData[[#This Row],[order_fulfillment_rate]]&gt;=0.9,"Strong",IF(WarehouseData[[#This Row],[order_fulfillment_rate]]&gt;=0.8,"Moderate","Needs Attention"))</f>
        <v>Strong</v>
      </c>
      <c r="AE2027" t="str">
        <f>IF(WarehouseData[[#This Row],[picking_time_seconds]]&gt;120,"Slow",IF(WarehouseData[[#This Row],[picking_time_seconds]]&gt;=60,"Average","Fast"))</f>
        <v>Slow</v>
      </c>
    </row>
    <row r="2028" spans="1:31" x14ac:dyDescent="0.25">
      <c r="A2028" t="s">
        <v>2166</v>
      </c>
      <c r="B2028" t="s">
        <v>73</v>
      </c>
      <c r="C2028">
        <v>150</v>
      </c>
      <c r="D2028">
        <v>83</v>
      </c>
      <c r="E2028">
        <v>14</v>
      </c>
      <c r="F2028">
        <v>4</v>
      </c>
      <c r="G2028">
        <v>17.07</v>
      </c>
      <c r="H2028">
        <v>1.5</v>
      </c>
      <c r="I2028">
        <v>0.99</v>
      </c>
      <c r="J2028" t="s">
        <v>81</v>
      </c>
      <c r="K2028" t="s">
        <v>34</v>
      </c>
      <c r="L2028">
        <v>102</v>
      </c>
      <c r="M2028">
        <v>0.83</v>
      </c>
      <c r="N2028">
        <v>40.92</v>
      </c>
      <c r="O2028">
        <v>1.82</v>
      </c>
      <c r="P2028">
        <v>1</v>
      </c>
      <c r="Q2028">
        <v>0.96</v>
      </c>
      <c r="R2028">
        <v>482</v>
      </c>
      <c r="S2028">
        <v>9.2899999999999991</v>
      </c>
      <c r="T2028">
        <v>0.57999999999999996</v>
      </c>
      <c r="U2028" s="1">
        <v>45322</v>
      </c>
      <c r="V2028">
        <v>35.64</v>
      </c>
      <c r="W2028">
        <v>0.63</v>
      </c>
      <c r="X2028" t="str">
        <f>IF(WarehouseData[[#This Row],[stock_level]]&lt;=WarehouseData[[#This Row],[reorder_point]],"Low Stock","Sufficient Stock")</f>
        <v>Sufficient Stock</v>
      </c>
      <c r="Y2028">
        <f>WarehouseData[[#This Row],[daily_demand]]*WarehouseData[[#This Row],[lead_time_days]]</f>
        <v>68.28</v>
      </c>
      <c r="Z2028" t="str">
        <f>IF(WarehouseData[[#This Row],[stock_level]]&lt;=WarehouseData[[#This Row],[Demand During Lead Time]],"At Risk","Safe")</f>
        <v>Safe</v>
      </c>
      <c r="AA2028">
        <f>WarehouseData[[#This Row],[stock_level]]/WarehouseData[[#This Row],[daily_demand]]</f>
        <v>8.7873462214411244</v>
      </c>
      <c r="AB2028">
        <f>WarehouseData[[#This Row],[stock_level]]*WarehouseData[[#This Row],[unit_price]]</f>
        <v>6138</v>
      </c>
      <c r="AC2028">
        <f>WarehouseData[[#This Row],[stock_level]]*WarehouseData[[#This Row],[holding_cost_per_unit_day]]*30</f>
        <v>8190</v>
      </c>
      <c r="AD2028" t="str">
        <f>IF(WarehouseData[[#This Row],[order_fulfillment_rate]]&gt;=0.9,"Strong",IF(WarehouseData[[#This Row],[order_fulfillment_rate]]&gt;=0.8,"Moderate","Needs Attention"))</f>
        <v>Strong</v>
      </c>
      <c r="AE2028" t="str">
        <f>IF(WarehouseData[[#This Row],[picking_time_seconds]]&gt;120,"Slow",IF(WarehouseData[[#This Row],[picking_time_seconds]]&gt;=60,"Average","Fast"))</f>
        <v>Average</v>
      </c>
    </row>
    <row r="2029" spans="1:31" x14ac:dyDescent="0.25">
      <c r="A2029" t="s">
        <v>2167</v>
      </c>
      <c r="B2029" t="s">
        <v>32</v>
      </c>
      <c r="C2029">
        <v>256</v>
      </c>
      <c r="D2029">
        <v>51</v>
      </c>
      <c r="E2029">
        <v>5</v>
      </c>
      <c r="F2029">
        <v>6</v>
      </c>
      <c r="G2029">
        <v>21.72</v>
      </c>
      <c r="H2029">
        <v>3.89</v>
      </c>
      <c r="I2029">
        <v>0.28000000000000003</v>
      </c>
      <c r="J2029" t="s">
        <v>113</v>
      </c>
      <c r="K2029" t="s">
        <v>38</v>
      </c>
      <c r="L2029">
        <v>86</v>
      </c>
      <c r="M2029">
        <v>4.26</v>
      </c>
      <c r="N2029">
        <v>23.21</v>
      </c>
      <c r="O2029">
        <v>0.43</v>
      </c>
      <c r="P2029">
        <v>1</v>
      </c>
      <c r="Q2029">
        <v>0.98</v>
      </c>
      <c r="R2029">
        <v>329</v>
      </c>
      <c r="S2029">
        <v>2.34</v>
      </c>
      <c r="T2029">
        <v>0.35</v>
      </c>
      <c r="U2029" s="1">
        <v>45373</v>
      </c>
      <c r="V2029">
        <v>222.41</v>
      </c>
      <c r="W2029">
        <v>0.63400000000000001</v>
      </c>
      <c r="X2029" t="str">
        <f>IF(WarehouseData[[#This Row],[stock_level]]&lt;=WarehouseData[[#This Row],[reorder_point]],"Low Stock","Sufficient Stock")</f>
        <v>Sufficient Stock</v>
      </c>
      <c r="Y2029">
        <f>WarehouseData[[#This Row],[daily_demand]]*WarehouseData[[#This Row],[lead_time_days]]</f>
        <v>130.32</v>
      </c>
      <c r="Z2029" t="str">
        <f>IF(WarehouseData[[#This Row],[stock_level]]&lt;=WarehouseData[[#This Row],[Demand During Lead Time]],"At Risk","Safe")</f>
        <v>Safe</v>
      </c>
      <c r="AA2029">
        <f>WarehouseData[[#This Row],[stock_level]]/WarehouseData[[#This Row],[daily_demand]]</f>
        <v>11.786372007366483</v>
      </c>
      <c r="AB2029">
        <f>WarehouseData[[#This Row],[stock_level]]*WarehouseData[[#This Row],[unit_price]]</f>
        <v>5941.76</v>
      </c>
      <c r="AC2029">
        <f>WarehouseData[[#This Row],[stock_level]]*WarehouseData[[#This Row],[holding_cost_per_unit_day]]*30</f>
        <v>3302.4</v>
      </c>
      <c r="AD2029" t="str">
        <f>IF(WarehouseData[[#This Row],[order_fulfillment_rate]]&gt;=0.9,"Strong",IF(WarehouseData[[#This Row],[order_fulfillment_rate]]&gt;=0.8,"Moderate","Needs Attention"))</f>
        <v>Strong</v>
      </c>
      <c r="AE2029" t="str">
        <f>IF(WarehouseData[[#This Row],[picking_time_seconds]]&gt;120,"Slow",IF(WarehouseData[[#This Row],[picking_time_seconds]]&gt;=60,"Average","Fast"))</f>
        <v>Average</v>
      </c>
    </row>
    <row r="2030" spans="1:31" x14ac:dyDescent="0.25">
      <c r="A2030" t="s">
        <v>2168</v>
      </c>
      <c r="B2030" t="s">
        <v>40</v>
      </c>
      <c r="C2030">
        <v>265</v>
      </c>
      <c r="D2030">
        <v>61</v>
      </c>
      <c r="E2030">
        <v>8</v>
      </c>
      <c r="F2030">
        <v>8</v>
      </c>
      <c r="G2030">
        <v>33.799999999999997</v>
      </c>
      <c r="H2030">
        <v>6.58</v>
      </c>
      <c r="I2030">
        <v>0.23</v>
      </c>
      <c r="J2030" t="s">
        <v>401</v>
      </c>
      <c r="K2030" t="s">
        <v>34</v>
      </c>
      <c r="L2030">
        <v>22</v>
      </c>
      <c r="M2030">
        <v>1.96</v>
      </c>
      <c r="N2030">
        <v>115</v>
      </c>
      <c r="O2030">
        <v>1.55</v>
      </c>
      <c r="P2030">
        <v>6</v>
      </c>
      <c r="Q2030">
        <v>0.85</v>
      </c>
      <c r="R2030">
        <v>710</v>
      </c>
      <c r="S2030">
        <v>12.33</v>
      </c>
      <c r="T2030">
        <v>0.61</v>
      </c>
      <c r="U2030" s="1">
        <v>45345</v>
      </c>
      <c r="V2030">
        <v>52.84</v>
      </c>
      <c r="W2030">
        <v>0.58099999999999996</v>
      </c>
      <c r="X2030" t="str">
        <f>IF(WarehouseData[[#This Row],[stock_level]]&lt;=WarehouseData[[#This Row],[reorder_point]],"Low Stock","Sufficient Stock")</f>
        <v>Sufficient Stock</v>
      </c>
      <c r="Y2030">
        <f>WarehouseData[[#This Row],[daily_demand]]*WarehouseData[[#This Row],[lead_time_days]]</f>
        <v>270.39999999999998</v>
      </c>
      <c r="Z2030" t="str">
        <f>IF(WarehouseData[[#This Row],[stock_level]]&lt;=WarehouseData[[#This Row],[Demand During Lead Time]],"At Risk","Safe")</f>
        <v>At Risk</v>
      </c>
      <c r="AA2030">
        <f>WarehouseData[[#This Row],[stock_level]]/WarehouseData[[#This Row],[daily_demand]]</f>
        <v>7.8402366863905328</v>
      </c>
      <c r="AB2030">
        <f>WarehouseData[[#This Row],[stock_level]]*WarehouseData[[#This Row],[unit_price]]</f>
        <v>30475</v>
      </c>
      <c r="AC2030">
        <f>WarehouseData[[#This Row],[stock_level]]*WarehouseData[[#This Row],[holding_cost_per_unit_day]]*30</f>
        <v>12322.5</v>
      </c>
      <c r="AD2030" t="str">
        <f>IF(WarehouseData[[#This Row],[order_fulfillment_rate]]&gt;=0.9,"Strong",IF(WarehouseData[[#This Row],[order_fulfillment_rate]]&gt;=0.8,"Moderate","Needs Attention"))</f>
        <v>Moderate</v>
      </c>
      <c r="AE2030" t="str">
        <f>IF(WarehouseData[[#This Row],[picking_time_seconds]]&gt;120,"Slow",IF(WarehouseData[[#This Row],[picking_time_seconds]]&gt;=60,"Average","Fast"))</f>
        <v>Fast</v>
      </c>
    </row>
    <row r="2031" spans="1:31" x14ac:dyDescent="0.25">
      <c r="A2031" t="s">
        <v>2169</v>
      </c>
      <c r="B2031" t="s">
        <v>73</v>
      </c>
      <c r="C2031">
        <v>245</v>
      </c>
      <c r="D2031">
        <v>34</v>
      </c>
      <c r="E2031">
        <v>5</v>
      </c>
      <c r="F2031">
        <v>3</v>
      </c>
      <c r="G2031">
        <v>1.84</v>
      </c>
      <c r="H2031">
        <v>0.83</v>
      </c>
      <c r="I2031">
        <v>0.42</v>
      </c>
      <c r="J2031" t="s">
        <v>142</v>
      </c>
      <c r="K2031" t="s">
        <v>34</v>
      </c>
      <c r="L2031">
        <v>66</v>
      </c>
      <c r="M2031">
        <v>2.09</v>
      </c>
      <c r="N2031">
        <v>98.92</v>
      </c>
      <c r="O2031">
        <v>1.47</v>
      </c>
      <c r="P2031">
        <v>3</v>
      </c>
      <c r="Q2031">
        <v>0.82</v>
      </c>
      <c r="R2031">
        <v>418</v>
      </c>
      <c r="S2031">
        <v>3.05</v>
      </c>
      <c r="T2031">
        <v>0.77</v>
      </c>
      <c r="U2031" s="1">
        <v>45505</v>
      </c>
      <c r="V2031">
        <v>282.02</v>
      </c>
      <c r="W2031">
        <v>0.55200000000000005</v>
      </c>
      <c r="X2031" t="str">
        <f>IF(WarehouseData[[#This Row],[stock_level]]&lt;=WarehouseData[[#This Row],[reorder_point]],"Low Stock","Sufficient Stock")</f>
        <v>Sufficient Stock</v>
      </c>
      <c r="Y2031">
        <f>WarehouseData[[#This Row],[daily_demand]]*WarehouseData[[#This Row],[lead_time_days]]</f>
        <v>5.5200000000000005</v>
      </c>
      <c r="Z2031" t="str">
        <f>IF(WarehouseData[[#This Row],[stock_level]]&lt;=WarehouseData[[#This Row],[Demand During Lead Time]],"At Risk","Safe")</f>
        <v>Safe</v>
      </c>
      <c r="AA2031">
        <f>WarehouseData[[#This Row],[stock_level]]/WarehouseData[[#This Row],[daily_demand]]</f>
        <v>133.15217391304347</v>
      </c>
      <c r="AB2031">
        <f>WarehouseData[[#This Row],[stock_level]]*WarehouseData[[#This Row],[unit_price]]</f>
        <v>24235.4</v>
      </c>
      <c r="AC2031">
        <f>WarehouseData[[#This Row],[stock_level]]*WarehouseData[[#This Row],[holding_cost_per_unit_day]]*30</f>
        <v>10804.5</v>
      </c>
      <c r="AD2031" t="str">
        <f>IF(WarehouseData[[#This Row],[order_fulfillment_rate]]&gt;=0.9,"Strong",IF(WarehouseData[[#This Row],[order_fulfillment_rate]]&gt;=0.8,"Moderate","Needs Attention"))</f>
        <v>Moderate</v>
      </c>
      <c r="AE2031" t="str">
        <f>IF(WarehouseData[[#This Row],[picking_time_seconds]]&gt;120,"Slow",IF(WarehouseData[[#This Row],[picking_time_seconds]]&gt;=60,"Average","Fast"))</f>
        <v>Average</v>
      </c>
    </row>
    <row r="2032" spans="1:31" x14ac:dyDescent="0.25">
      <c r="A2032" t="s">
        <v>2170</v>
      </c>
      <c r="B2032" t="s">
        <v>73</v>
      </c>
      <c r="C2032">
        <v>227</v>
      </c>
      <c r="D2032">
        <v>63</v>
      </c>
      <c r="E2032">
        <v>13</v>
      </c>
      <c r="F2032">
        <v>7</v>
      </c>
      <c r="G2032">
        <v>41.19</v>
      </c>
      <c r="H2032">
        <v>7.06</v>
      </c>
      <c r="I2032">
        <v>0.4</v>
      </c>
      <c r="J2032" t="s">
        <v>251</v>
      </c>
      <c r="K2032" t="s">
        <v>46</v>
      </c>
      <c r="L2032">
        <v>171</v>
      </c>
      <c r="M2032">
        <v>1.31</v>
      </c>
      <c r="N2032">
        <v>32.74</v>
      </c>
      <c r="O2032">
        <v>0.3</v>
      </c>
      <c r="P2032">
        <v>4</v>
      </c>
      <c r="Q2032">
        <v>0.9</v>
      </c>
      <c r="R2032">
        <v>328</v>
      </c>
      <c r="S2032">
        <v>13.36</v>
      </c>
      <c r="T2032">
        <v>0.88</v>
      </c>
      <c r="U2032" s="1">
        <v>45594</v>
      </c>
      <c r="V2032">
        <v>172.17</v>
      </c>
      <c r="W2032">
        <v>0.82399999999999995</v>
      </c>
      <c r="X2032" t="str">
        <f>IF(WarehouseData[[#This Row],[stock_level]]&lt;=WarehouseData[[#This Row],[reorder_point]],"Low Stock","Sufficient Stock")</f>
        <v>Sufficient Stock</v>
      </c>
      <c r="Y2032">
        <f>WarehouseData[[#This Row],[daily_demand]]*WarehouseData[[#This Row],[lead_time_days]]</f>
        <v>288.33</v>
      </c>
      <c r="Z2032" t="str">
        <f>IF(WarehouseData[[#This Row],[stock_level]]&lt;=WarehouseData[[#This Row],[Demand During Lead Time]],"At Risk","Safe")</f>
        <v>At Risk</v>
      </c>
      <c r="AA2032">
        <f>WarehouseData[[#This Row],[stock_level]]/WarehouseData[[#This Row],[daily_demand]]</f>
        <v>5.5110463704782715</v>
      </c>
      <c r="AB2032">
        <f>WarehouseData[[#This Row],[stock_level]]*WarehouseData[[#This Row],[unit_price]]</f>
        <v>7431.9800000000005</v>
      </c>
      <c r="AC2032">
        <f>WarehouseData[[#This Row],[stock_level]]*WarehouseData[[#This Row],[holding_cost_per_unit_day]]*30</f>
        <v>2042.9999999999998</v>
      </c>
      <c r="AD2032" t="str">
        <f>IF(WarehouseData[[#This Row],[order_fulfillment_rate]]&gt;=0.9,"Strong",IF(WarehouseData[[#This Row],[order_fulfillment_rate]]&gt;=0.8,"Moderate","Needs Attention"))</f>
        <v>Strong</v>
      </c>
      <c r="AE2032" t="str">
        <f>IF(WarehouseData[[#This Row],[picking_time_seconds]]&gt;120,"Slow",IF(WarehouseData[[#This Row],[picking_time_seconds]]&gt;=60,"Average","Fast"))</f>
        <v>Slow</v>
      </c>
    </row>
    <row r="2033" spans="1:31" x14ac:dyDescent="0.25">
      <c r="A2033" t="s">
        <v>2171</v>
      </c>
      <c r="B2033" t="s">
        <v>40</v>
      </c>
      <c r="C2033">
        <v>425</v>
      </c>
      <c r="D2033">
        <v>76</v>
      </c>
      <c r="E2033">
        <v>4</v>
      </c>
      <c r="F2033">
        <v>6</v>
      </c>
      <c r="G2033">
        <v>44.11</v>
      </c>
      <c r="H2033">
        <v>5.52</v>
      </c>
      <c r="I2033">
        <v>0.78</v>
      </c>
      <c r="J2033" t="s">
        <v>163</v>
      </c>
      <c r="K2033" t="s">
        <v>52</v>
      </c>
      <c r="L2033">
        <v>156</v>
      </c>
      <c r="M2033">
        <v>4.26</v>
      </c>
      <c r="N2033">
        <v>168.76</v>
      </c>
      <c r="O2033">
        <v>0.73</v>
      </c>
      <c r="P2033">
        <v>0</v>
      </c>
      <c r="Q2033">
        <v>0.83</v>
      </c>
      <c r="R2033">
        <v>400</v>
      </c>
      <c r="S2033">
        <v>8.31</v>
      </c>
      <c r="T2033">
        <v>0.46</v>
      </c>
      <c r="U2033" s="1">
        <v>45539</v>
      </c>
      <c r="V2033">
        <v>126.49</v>
      </c>
      <c r="W2033">
        <v>0.69599999999999995</v>
      </c>
      <c r="X2033" t="str">
        <f>IF(WarehouseData[[#This Row],[stock_level]]&lt;=WarehouseData[[#This Row],[reorder_point]],"Low Stock","Sufficient Stock")</f>
        <v>Sufficient Stock</v>
      </c>
      <c r="Y2033">
        <f>WarehouseData[[#This Row],[daily_demand]]*WarehouseData[[#This Row],[lead_time_days]]</f>
        <v>264.65999999999997</v>
      </c>
      <c r="Z2033" t="str">
        <f>IF(WarehouseData[[#This Row],[stock_level]]&lt;=WarehouseData[[#This Row],[Demand During Lead Time]],"At Risk","Safe")</f>
        <v>Safe</v>
      </c>
      <c r="AA2033">
        <f>WarehouseData[[#This Row],[stock_level]]/WarehouseData[[#This Row],[daily_demand]]</f>
        <v>9.6350034005894365</v>
      </c>
      <c r="AB2033">
        <f>WarehouseData[[#This Row],[stock_level]]*WarehouseData[[#This Row],[unit_price]]</f>
        <v>71723</v>
      </c>
      <c r="AC2033">
        <f>WarehouseData[[#This Row],[stock_level]]*WarehouseData[[#This Row],[holding_cost_per_unit_day]]*30</f>
        <v>9307.5</v>
      </c>
      <c r="AD2033" t="str">
        <f>IF(WarehouseData[[#This Row],[order_fulfillment_rate]]&gt;=0.9,"Strong",IF(WarehouseData[[#This Row],[order_fulfillment_rate]]&gt;=0.8,"Moderate","Needs Attention"))</f>
        <v>Moderate</v>
      </c>
      <c r="AE2033" t="str">
        <f>IF(WarehouseData[[#This Row],[picking_time_seconds]]&gt;120,"Slow",IF(WarehouseData[[#This Row],[picking_time_seconds]]&gt;=60,"Average","Fast"))</f>
        <v>Slow</v>
      </c>
    </row>
    <row r="2034" spans="1:31" x14ac:dyDescent="0.25">
      <c r="A2034" t="s">
        <v>2172</v>
      </c>
      <c r="B2034" t="s">
        <v>73</v>
      </c>
      <c r="C2034">
        <v>115</v>
      </c>
      <c r="D2034">
        <v>15</v>
      </c>
      <c r="E2034">
        <v>7</v>
      </c>
      <c r="F2034">
        <v>3</v>
      </c>
      <c r="G2034">
        <v>43</v>
      </c>
      <c r="H2034">
        <v>3.24</v>
      </c>
      <c r="I2034">
        <v>0.5</v>
      </c>
      <c r="J2034" t="s">
        <v>240</v>
      </c>
      <c r="K2034" t="s">
        <v>46</v>
      </c>
      <c r="L2034">
        <v>146</v>
      </c>
      <c r="M2034">
        <v>2.3199999999999998</v>
      </c>
      <c r="N2034">
        <v>89.28</v>
      </c>
      <c r="O2034">
        <v>0.46</v>
      </c>
      <c r="P2034">
        <v>5</v>
      </c>
      <c r="Q2034">
        <v>0.71</v>
      </c>
      <c r="R2034">
        <v>275</v>
      </c>
      <c r="S2034">
        <v>11.25</v>
      </c>
      <c r="T2034">
        <v>0.61</v>
      </c>
      <c r="U2034" s="1">
        <v>45583</v>
      </c>
      <c r="V2034">
        <v>208.46</v>
      </c>
      <c r="W2034">
        <v>0.66800000000000004</v>
      </c>
      <c r="X2034" t="str">
        <f>IF(WarehouseData[[#This Row],[stock_level]]&lt;=WarehouseData[[#This Row],[reorder_point]],"Low Stock","Sufficient Stock")</f>
        <v>Sufficient Stock</v>
      </c>
      <c r="Y2034">
        <f>WarehouseData[[#This Row],[daily_demand]]*WarehouseData[[#This Row],[lead_time_days]]</f>
        <v>129</v>
      </c>
      <c r="Z2034" t="str">
        <f>IF(WarehouseData[[#This Row],[stock_level]]&lt;=WarehouseData[[#This Row],[Demand During Lead Time]],"At Risk","Safe")</f>
        <v>At Risk</v>
      </c>
      <c r="AA2034">
        <f>WarehouseData[[#This Row],[stock_level]]/WarehouseData[[#This Row],[daily_demand]]</f>
        <v>2.6744186046511627</v>
      </c>
      <c r="AB2034">
        <f>WarehouseData[[#This Row],[stock_level]]*WarehouseData[[#This Row],[unit_price]]</f>
        <v>10267.200000000001</v>
      </c>
      <c r="AC2034">
        <f>WarehouseData[[#This Row],[stock_level]]*WarehouseData[[#This Row],[holding_cost_per_unit_day]]*30</f>
        <v>1587.0000000000002</v>
      </c>
      <c r="AD2034" t="str">
        <f>IF(WarehouseData[[#This Row],[order_fulfillment_rate]]&gt;=0.9,"Strong",IF(WarehouseData[[#This Row],[order_fulfillment_rate]]&gt;=0.8,"Moderate","Needs Attention"))</f>
        <v>Needs Attention</v>
      </c>
      <c r="AE2034" t="str">
        <f>IF(WarehouseData[[#This Row],[picking_time_seconds]]&gt;120,"Slow",IF(WarehouseData[[#This Row],[picking_time_seconds]]&gt;=60,"Average","Fast"))</f>
        <v>Slow</v>
      </c>
    </row>
    <row r="2035" spans="1:31" x14ac:dyDescent="0.25">
      <c r="A2035" t="s">
        <v>2173</v>
      </c>
      <c r="B2035" t="s">
        <v>32</v>
      </c>
      <c r="C2035">
        <v>441</v>
      </c>
      <c r="D2035">
        <v>67</v>
      </c>
      <c r="E2035">
        <v>3</v>
      </c>
      <c r="F2035">
        <v>4</v>
      </c>
      <c r="G2035">
        <v>19.38</v>
      </c>
      <c r="H2035">
        <v>8.24</v>
      </c>
      <c r="I2035">
        <v>0.8</v>
      </c>
      <c r="J2035" t="s">
        <v>126</v>
      </c>
      <c r="K2035" t="s">
        <v>52</v>
      </c>
      <c r="L2035">
        <v>125</v>
      </c>
      <c r="M2035">
        <v>0.72</v>
      </c>
      <c r="N2035">
        <v>59.49</v>
      </c>
      <c r="O2035">
        <v>0.14000000000000001</v>
      </c>
      <c r="P2035">
        <v>9</v>
      </c>
      <c r="Q2035">
        <v>0.92</v>
      </c>
      <c r="R2035">
        <v>973</v>
      </c>
      <c r="S2035">
        <v>14.61</v>
      </c>
      <c r="T2035">
        <v>0.7</v>
      </c>
      <c r="U2035" s="1">
        <v>45639</v>
      </c>
      <c r="V2035">
        <v>67.69</v>
      </c>
      <c r="W2035">
        <v>0.72499999999999998</v>
      </c>
      <c r="X2035" t="str">
        <f>IF(WarehouseData[[#This Row],[stock_level]]&lt;=WarehouseData[[#This Row],[reorder_point]],"Low Stock","Sufficient Stock")</f>
        <v>Sufficient Stock</v>
      </c>
      <c r="Y2035">
        <f>WarehouseData[[#This Row],[daily_demand]]*WarehouseData[[#This Row],[lead_time_days]]</f>
        <v>77.52</v>
      </c>
      <c r="Z2035" t="str">
        <f>IF(WarehouseData[[#This Row],[stock_level]]&lt;=WarehouseData[[#This Row],[Demand During Lead Time]],"At Risk","Safe")</f>
        <v>Safe</v>
      </c>
      <c r="AA2035">
        <f>WarehouseData[[#This Row],[stock_level]]/WarehouseData[[#This Row],[daily_demand]]</f>
        <v>22.755417956656348</v>
      </c>
      <c r="AB2035">
        <f>WarehouseData[[#This Row],[stock_level]]*WarehouseData[[#This Row],[unit_price]]</f>
        <v>26235.09</v>
      </c>
      <c r="AC2035">
        <f>WarehouseData[[#This Row],[stock_level]]*WarehouseData[[#This Row],[holding_cost_per_unit_day]]*30</f>
        <v>1852.2000000000003</v>
      </c>
      <c r="AD2035" t="str">
        <f>IF(WarehouseData[[#This Row],[order_fulfillment_rate]]&gt;=0.9,"Strong",IF(WarehouseData[[#This Row],[order_fulfillment_rate]]&gt;=0.8,"Moderate","Needs Attention"))</f>
        <v>Strong</v>
      </c>
      <c r="AE2035" t="str">
        <f>IF(WarehouseData[[#This Row],[picking_time_seconds]]&gt;120,"Slow",IF(WarehouseData[[#This Row],[picking_time_seconds]]&gt;=60,"Average","Fast"))</f>
        <v>Slow</v>
      </c>
    </row>
    <row r="2036" spans="1:31" x14ac:dyDescent="0.25">
      <c r="A2036" t="s">
        <v>2174</v>
      </c>
      <c r="B2036" t="s">
        <v>36</v>
      </c>
      <c r="C2036">
        <v>219</v>
      </c>
      <c r="D2036">
        <v>79</v>
      </c>
      <c r="E2036">
        <v>11</v>
      </c>
      <c r="F2036">
        <v>4</v>
      </c>
      <c r="G2036">
        <v>23.64</v>
      </c>
      <c r="H2036">
        <v>3.26</v>
      </c>
      <c r="I2036">
        <v>0.77</v>
      </c>
      <c r="J2036" t="s">
        <v>338</v>
      </c>
      <c r="K2036" t="s">
        <v>52</v>
      </c>
      <c r="L2036">
        <v>104</v>
      </c>
      <c r="M2036">
        <v>4.8499999999999996</v>
      </c>
      <c r="N2036">
        <v>159.77000000000001</v>
      </c>
      <c r="O2036">
        <v>0.43</v>
      </c>
      <c r="P2036">
        <v>7</v>
      </c>
      <c r="Q2036">
        <v>0.78</v>
      </c>
      <c r="R2036">
        <v>977</v>
      </c>
      <c r="S2036">
        <v>7.05</v>
      </c>
      <c r="T2036">
        <v>0.67</v>
      </c>
      <c r="U2036" s="1">
        <v>45516</v>
      </c>
      <c r="V2036">
        <v>120.85</v>
      </c>
      <c r="W2036">
        <v>0.60099999999999998</v>
      </c>
      <c r="X2036" t="str">
        <f>IF(WarehouseData[[#This Row],[stock_level]]&lt;=WarehouseData[[#This Row],[reorder_point]],"Low Stock","Sufficient Stock")</f>
        <v>Sufficient Stock</v>
      </c>
      <c r="Y2036">
        <f>WarehouseData[[#This Row],[daily_demand]]*WarehouseData[[#This Row],[lead_time_days]]</f>
        <v>94.56</v>
      </c>
      <c r="Z2036" t="str">
        <f>IF(WarehouseData[[#This Row],[stock_level]]&lt;=WarehouseData[[#This Row],[Demand During Lead Time]],"At Risk","Safe")</f>
        <v>Safe</v>
      </c>
      <c r="AA2036">
        <f>WarehouseData[[#This Row],[stock_level]]/WarehouseData[[#This Row],[daily_demand]]</f>
        <v>9.2639593908629436</v>
      </c>
      <c r="AB2036">
        <f>WarehouseData[[#This Row],[stock_level]]*WarehouseData[[#This Row],[unit_price]]</f>
        <v>34989.630000000005</v>
      </c>
      <c r="AC2036">
        <f>WarehouseData[[#This Row],[stock_level]]*WarehouseData[[#This Row],[holding_cost_per_unit_day]]*30</f>
        <v>2825.1</v>
      </c>
      <c r="AD2036" t="str">
        <f>IF(WarehouseData[[#This Row],[order_fulfillment_rate]]&gt;=0.9,"Strong",IF(WarehouseData[[#This Row],[order_fulfillment_rate]]&gt;=0.8,"Moderate","Needs Attention"))</f>
        <v>Needs Attention</v>
      </c>
      <c r="AE2036" t="str">
        <f>IF(WarehouseData[[#This Row],[picking_time_seconds]]&gt;120,"Slow",IF(WarehouseData[[#This Row],[picking_time_seconds]]&gt;=60,"Average","Fast"))</f>
        <v>Average</v>
      </c>
    </row>
    <row r="2037" spans="1:31" x14ac:dyDescent="0.25">
      <c r="A2037" t="s">
        <v>2175</v>
      </c>
      <c r="B2037" t="s">
        <v>73</v>
      </c>
      <c r="C2037">
        <v>266</v>
      </c>
      <c r="D2037">
        <v>62</v>
      </c>
      <c r="E2037">
        <v>13</v>
      </c>
      <c r="F2037">
        <v>9</v>
      </c>
      <c r="G2037">
        <v>1.61</v>
      </c>
      <c r="H2037">
        <v>9.92</v>
      </c>
      <c r="I2037">
        <v>0.62</v>
      </c>
      <c r="J2037" t="s">
        <v>90</v>
      </c>
      <c r="K2037" t="s">
        <v>34</v>
      </c>
      <c r="L2037">
        <v>170</v>
      </c>
      <c r="M2037">
        <v>1.65</v>
      </c>
      <c r="N2037">
        <v>183.48</v>
      </c>
      <c r="O2037">
        <v>0.48</v>
      </c>
      <c r="P2037">
        <v>0</v>
      </c>
      <c r="Q2037">
        <v>0.71</v>
      </c>
      <c r="R2037">
        <v>455</v>
      </c>
      <c r="S2037">
        <v>7.44</v>
      </c>
      <c r="T2037">
        <v>0.24</v>
      </c>
      <c r="U2037" s="1">
        <v>45384</v>
      </c>
      <c r="V2037">
        <v>19.690000000000001</v>
      </c>
      <c r="W2037">
        <v>0.64100000000000001</v>
      </c>
      <c r="X2037" t="str">
        <f>IF(WarehouseData[[#This Row],[stock_level]]&lt;=WarehouseData[[#This Row],[reorder_point]],"Low Stock","Sufficient Stock")</f>
        <v>Sufficient Stock</v>
      </c>
      <c r="Y2037">
        <f>WarehouseData[[#This Row],[daily_demand]]*WarehouseData[[#This Row],[lead_time_days]]</f>
        <v>14.49</v>
      </c>
      <c r="Z2037" t="str">
        <f>IF(WarehouseData[[#This Row],[stock_level]]&lt;=WarehouseData[[#This Row],[Demand During Lead Time]],"At Risk","Safe")</f>
        <v>Safe</v>
      </c>
      <c r="AA2037">
        <f>WarehouseData[[#This Row],[stock_level]]/WarehouseData[[#This Row],[daily_demand]]</f>
        <v>165.21739130434781</v>
      </c>
      <c r="AB2037">
        <f>WarehouseData[[#This Row],[stock_level]]*WarehouseData[[#This Row],[unit_price]]</f>
        <v>48805.68</v>
      </c>
      <c r="AC2037">
        <f>WarehouseData[[#This Row],[stock_level]]*WarehouseData[[#This Row],[holding_cost_per_unit_day]]*30</f>
        <v>3830.3999999999996</v>
      </c>
      <c r="AD2037" t="str">
        <f>IF(WarehouseData[[#This Row],[order_fulfillment_rate]]&gt;=0.9,"Strong",IF(WarehouseData[[#This Row],[order_fulfillment_rate]]&gt;=0.8,"Moderate","Needs Attention"))</f>
        <v>Needs Attention</v>
      </c>
      <c r="AE2037" t="str">
        <f>IF(WarehouseData[[#This Row],[picking_time_seconds]]&gt;120,"Slow",IF(WarehouseData[[#This Row],[picking_time_seconds]]&gt;=60,"Average","Fast"))</f>
        <v>Slow</v>
      </c>
    </row>
    <row r="2038" spans="1:31" x14ac:dyDescent="0.25">
      <c r="A2038" t="s">
        <v>2176</v>
      </c>
      <c r="B2038" t="s">
        <v>32</v>
      </c>
      <c r="C2038">
        <v>91</v>
      </c>
      <c r="D2038">
        <v>75</v>
      </c>
      <c r="E2038">
        <v>9</v>
      </c>
      <c r="F2038">
        <v>5</v>
      </c>
      <c r="G2038">
        <v>20.57</v>
      </c>
      <c r="H2038">
        <v>8.26</v>
      </c>
      <c r="I2038">
        <v>0.85</v>
      </c>
      <c r="J2038" t="s">
        <v>92</v>
      </c>
      <c r="K2038" t="s">
        <v>52</v>
      </c>
      <c r="L2038">
        <v>164</v>
      </c>
      <c r="M2038">
        <v>4.71</v>
      </c>
      <c r="N2038">
        <v>68.13</v>
      </c>
      <c r="O2038">
        <v>0.42</v>
      </c>
      <c r="P2038">
        <v>1</v>
      </c>
      <c r="Q2038">
        <v>0.71</v>
      </c>
      <c r="R2038">
        <v>495</v>
      </c>
      <c r="S2038">
        <v>12.56</v>
      </c>
      <c r="T2038">
        <v>0.59</v>
      </c>
      <c r="U2038" s="1">
        <v>45604</v>
      </c>
      <c r="V2038">
        <v>264.52999999999997</v>
      </c>
      <c r="W2038">
        <v>0.76500000000000001</v>
      </c>
      <c r="X2038" t="str">
        <f>IF(WarehouseData[[#This Row],[stock_level]]&lt;=WarehouseData[[#This Row],[reorder_point]],"Low Stock","Sufficient Stock")</f>
        <v>Sufficient Stock</v>
      </c>
      <c r="Y2038">
        <f>WarehouseData[[#This Row],[daily_demand]]*WarehouseData[[#This Row],[lead_time_days]]</f>
        <v>102.85</v>
      </c>
      <c r="Z2038" t="str">
        <f>IF(WarehouseData[[#This Row],[stock_level]]&lt;=WarehouseData[[#This Row],[Demand During Lead Time]],"At Risk","Safe")</f>
        <v>At Risk</v>
      </c>
      <c r="AA2038">
        <f>WarehouseData[[#This Row],[stock_level]]/WarehouseData[[#This Row],[daily_demand]]</f>
        <v>4.4239183276616432</v>
      </c>
      <c r="AB2038">
        <f>WarehouseData[[#This Row],[stock_level]]*WarehouseData[[#This Row],[unit_price]]</f>
        <v>6199.83</v>
      </c>
      <c r="AC2038">
        <f>WarehouseData[[#This Row],[stock_level]]*WarehouseData[[#This Row],[holding_cost_per_unit_day]]*30</f>
        <v>1146.5999999999999</v>
      </c>
      <c r="AD2038" t="str">
        <f>IF(WarehouseData[[#This Row],[order_fulfillment_rate]]&gt;=0.9,"Strong",IF(WarehouseData[[#This Row],[order_fulfillment_rate]]&gt;=0.8,"Moderate","Needs Attention"))</f>
        <v>Needs Attention</v>
      </c>
      <c r="AE2038" t="str">
        <f>IF(WarehouseData[[#This Row],[picking_time_seconds]]&gt;120,"Slow",IF(WarehouseData[[#This Row],[picking_time_seconds]]&gt;=60,"Average","Fast"))</f>
        <v>Slow</v>
      </c>
    </row>
    <row r="2039" spans="1:31" x14ac:dyDescent="0.25">
      <c r="A2039" t="s">
        <v>2177</v>
      </c>
      <c r="B2039" t="s">
        <v>48</v>
      </c>
      <c r="C2039">
        <v>337</v>
      </c>
      <c r="D2039">
        <v>67</v>
      </c>
      <c r="E2039">
        <v>5</v>
      </c>
      <c r="F2039">
        <v>5</v>
      </c>
      <c r="G2039">
        <v>23.56</v>
      </c>
      <c r="H2039">
        <v>7.23</v>
      </c>
      <c r="I2039">
        <v>0.28000000000000003</v>
      </c>
      <c r="J2039" t="s">
        <v>163</v>
      </c>
      <c r="K2039" t="s">
        <v>52</v>
      </c>
      <c r="L2039">
        <v>139</v>
      </c>
      <c r="M2039">
        <v>1.86</v>
      </c>
      <c r="N2039">
        <v>157.43</v>
      </c>
      <c r="O2039">
        <v>0.27</v>
      </c>
      <c r="P2039">
        <v>6</v>
      </c>
      <c r="Q2039">
        <v>0.98</v>
      </c>
      <c r="R2039">
        <v>372</v>
      </c>
      <c r="S2039">
        <v>2.54</v>
      </c>
      <c r="T2039">
        <v>0.85</v>
      </c>
      <c r="U2039" s="1">
        <v>45486</v>
      </c>
      <c r="V2039">
        <v>133.32</v>
      </c>
      <c r="W2039">
        <v>0.65300000000000002</v>
      </c>
      <c r="X2039" t="str">
        <f>IF(WarehouseData[[#This Row],[stock_level]]&lt;=WarehouseData[[#This Row],[reorder_point]],"Low Stock","Sufficient Stock")</f>
        <v>Sufficient Stock</v>
      </c>
      <c r="Y2039">
        <f>WarehouseData[[#This Row],[daily_demand]]*WarehouseData[[#This Row],[lead_time_days]]</f>
        <v>117.8</v>
      </c>
      <c r="Z2039" t="str">
        <f>IF(WarehouseData[[#This Row],[stock_level]]&lt;=WarehouseData[[#This Row],[Demand During Lead Time]],"At Risk","Safe")</f>
        <v>Safe</v>
      </c>
      <c r="AA2039">
        <f>WarehouseData[[#This Row],[stock_level]]/WarehouseData[[#This Row],[daily_demand]]</f>
        <v>14.303904923599323</v>
      </c>
      <c r="AB2039">
        <f>WarehouseData[[#This Row],[stock_level]]*WarehouseData[[#This Row],[unit_price]]</f>
        <v>53053.91</v>
      </c>
      <c r="AC2039">
        <f>WarehouseData[[#This Row],[stock_level]]*WarehouseData[[#This Row],[holding_cost_per_unit_day]]*30</f>
        <v>2729.7000000000003</v>
      </c>
      <c r="AD2039" t="str">
        <f>IF(WarehouseData[[#This Row],[order_fulfillment_rate]]&gt;=0.9,"Strong",IF(WarehouseData[[#This Row],[order_fulfillment_rate]]&gt;=0.8,"Moderate","Needs Attention"))</f>
        <v>Strong</v>
      </c>
      <c r="AE2039" t="str">
        <f>IF(WarehouseData[[#This Row],[picking_time_seconds]]&gt;120,"Slow",IF(WarehouseData[[#This Row],[picking_time_seconds]]&gt;=60,"Average","Fast"))</f>
        <v>Slow</v>
      </c>
    </row>
    <row r="2040" spans="1:31" x14ac:dyDescent="0.25">
      <c r="A2040" t="s">
        <v>2178</v>
      </c>
      <c r="B2040" t="s">
        <v>32</v>
      </c>
      <c r="C2040">
        <v>204</v>
      </c>
      <c r="D2040">
        <v>91</v>
      </c>
      <c r="E2040">
        <v>6</v>
      </c>
      <c r="F2040">
        <v>4</v>
      </c>
      <c r="G2040">
        <v>45.44</v>
      </c>
      <c r="H2040">
        <v>1.08</v>
      </c>
      <c r="I2040">
        <v>0.25</v>
      </c>
      <c r="J2040" t="s">
        <v>236</v>
      </c>
      <c r="K2040" t="s">
        <v>38</v>
      </c>
      <c r="L2040">
        <v>88</v>
      </c>
      <c r="M2040">
        <v>4.24</v>
      </c>
      <c r="N2040">
        <v>133.97999999999999</v>
      </c>
      <c r="O2040">
        <v>1.1000000000000001</v>
      </c>
      <c r="P2040">
        <v>1</v>
      </c>
      <c r="Q2040">
        <v>0.78</v>
      </c>
      <c r="R2040">
        <v>679</v>
      </c>
      <c r="S2040">
        <v>1.39</v>
      </c>
      <c r="T2040">
        <v>0.84</v>
      </c>
      <c r="U2040" s="1">
        <v>45475</v>
      </c>
      <c r="V2040">
        <v>230.06</v>
      </c>
      <c r="W2040">
        <v>0.61299999999999999</v>
      </c>
      <c r="X2040" t="str">
        <f>IF(WarehouseData[[#This Row],[stock_level]]&lt;=WarehouseData[[#This Row],[reorder_point]],"Low Stock","Sufficient Stock")</f>
        <v>Sufficient Stock</v>
      </c>
      <c r="Y2040">
        <f>WarehouseData[[#This Row],[daily_demand]]*WarehouseData[[#This Row],[lead_time_days]]</f>
        <v>181.76</v>
      </c>
      <c r="Z2040" t="str">
        <f>IF(WarehouseData[[#This Row],[stock_level]]&lt;=WarehouseData[[#This Row],[Demand During Lead Time]],"At Risk","Safe")</f>
        <v>Safe</v>
      </c>
      <c r="AA2040">
        <f>WarehouseData[[#This Row],[stock_level]]/WarehouseData[[#This Row],[daily_demand]]</f>
        <v>4.48943661971831</v>
      </c>
      <c r="AB2040">
        <f>WarehouseData[[#This Row],[stock_level]]*WarehouseData[[#This Row],[unit_price]]</f>
        <v>27331.919999999998</v>
      </c>
      <c r="AC2040">
        <f>WarehouseData[[#This Row],[stock_level]]*WarehouseData[[#This Row],[holding_cost_per_unit_day]]*30</f>
        <v>6732</v>
      </c>
      <c r="AD2040" t="str">
        <f>IF(WarehouseData[[#This Row],[order_fulfillment_rate]]&gt;=0.9,"Strong",IF(WarehouseData[[#This Row],[order_fulfillment_rate]]&gt;=0.8,"Moderate","Needs Attention"))</f>
        <v>Needs Attention</v>
      </c>
      <c r="AE2040" t="str">
        <f>IF(WarehouseData[[#This Row],[picking_time_seconds]]&gt;120,"Slow",IF(WarehouseData[[#This Row],[picking_time_seconds]]&gt;=60,"Average","Fast"))</f>
        <v>Average</v>
      </c>
    </row>
    <row r="2041" spans="1:31" x14ac:dyDescent="0.25">
      <c r="A2041" t="s">
        <v>2179</v>
      </c>
      <c r="B2041" t="s">
        <v>36</v>
      </c>
      <c r="C2041">
        <v>25</v>
      </c>
      <c r="D2041">
        <v>96</v>
      </c>
      <c r="E2041">
        <v>8</v>
      </c>
      <c r="F2041">
        <v>4</v>
      </c>
      <c r="G2041">
        <v>44.81</v>
      </c>
      <c r="H2041">
        <v>9.09</v>
      </c>
      <c r="I2041">
        <v>0.78</v>
      </c>
      <c r="J2041" t="s">
        <v>353</v>
      </c>
      <c r="K2041" t="s">
        <v>52</v>
      </c>
      <c r="L2041">
        <v>66</v>
      </c>
      <c r="M2041">
        <v>3.49</v>
      </c>
      <c r="N2041">
        <v>198.05</v>
      </c>
      <c r="O2041">
        <v>0.71</v>
      </c>
      <c r="P2041">
        <v>8</v>
      </c>
      <c r="Q2041">
        <v>0.83</v>
      </c>
      <c r="R2041">
        <v>122</v>
      </c>
      <c r="S2041">
        <v>9.4600000000000009</v>
      </c>
      <c r="T2041">
        <v>0.61</v>
      </c>
      <c r="U2041" s="1">
        <v>45605</v>
      </c>
      <c r="V2041">
        <v>275.89</v>
      </c>
      <c r="W2041">
        <v>0.58299999999999996</v>
      </c>
      <c r="X2041" t="str">
        <f>IF(WarehouseData[[#This Row],[stock_level]]&lt;=WarehouseData[[#This Row],[reorder_point]],"Low Stock","Sufficient Stock")</f>
        <v>Low Stock</v>
      </c>
      <c r="Y2041">
        <f>WarehouseData[[#This Row],[daily_demand]]*WarehouseData[[#This Row],[lead_time_days]]</f>
        <v>179.24</v>
      </c>
      <c r="Z2041" t="str">
        <f>IF(WarehouseData[[#This Row],[stock_level]]&lt;=WarehouseData[[#This Row],[Demand During Lead Time]],"At Risk","Safe")</f>
        <v>At Risk</v>
      </c>
      <c r="AA2041">
        <f>WarehouseData[[#This Row],[stock_level]]/WarehouseData[[#This Row],[daily_demand]]</f>
        <v>0.55791118054005795</v>
      </c>
      <c r="AB2041">
        <f>WarehouseData[[#This Row],[stock_level]]*WarehouseData[[#This Row],[unit_price]]</f>
        <v>4951.25</v>
      </c>
      <c r="AC2041">
        <f>WarehouseData[[#This Row],[stock_level]]*WarehouseData[[#This Row],[holding_cost_per_unit_day]]*30</f>
        <v>532.5</v>
      </c>
      <c r="AD2041" t="str">
        <f>IF(WarehouseData[[#This Row],[order_fulfillment_rate]]&gt;=0.9,"Strong",IF(WarehouseData[[#This Row],[order_fulfillment_rate]]&gt;=0.8,"Moderate","Needs Attention"))</f>
        <v>Moderate</v>
      </c>
      <c r="AE2041" t="str">
        <f>IF(WarehouseData[[#This Row],[picking_time_seconds]]&gt;120,"Slow",IF(WarehouseData[[#This Row],[picking_time_seconds]]&gt;=60,"Average","Fast"))</f>
        <v>Average</v>
      </c>
    </row>
    <row r="2042" spans="1:31" x14ac:dyDescent="0.25">
      <c r="A2042" t="s">
        <v>2180</v>
      </c>
      <c r="B2042" t="s">
        <v>32</v>
      </c>
      <c r="C2042">
        <v>225</v>
      </c>
      <c r="D2042">
        <v>11</v>
      </c>
      <c r="E2042">
        <v>5</v>
      </c>
      <c r="F2042">
        <v>2</v>
      </c>
      <c r="G2042">
        <v>48.34</v>
      </c>
      <c r="H2042">
        <v>8.01</v>
      </c>
      <c r="I2042">
        <v>0.32</v>
      </c>
      <c r="J2042" t="s">
        <v>273</v>
      </c>
      <c r="K2042" t="s">
        <v>38</v>
      </c>
      <c r="L2042">
        <v>104</v>
      </c>
      <c r="M2042">
        <v>4.38</v>
      </c>
      <c r="N2042">
        <v>48.76</v>
      </c>
      <c r="O2042">
        <v>1.83</v>
      </c>
      <c r="P2042">
        <v>5</v>
      </c>
      <c r="Q2042">
        <v>0.99</v>
      </c>
      <c r="R2042">
        <v>567</v>
      </c>
      <c r="S2042">
        <v>3.35</v>
      </c>
      <c r="T2042">
        <v>0.96</v>
      </c>
      <c r="U2042" s="1">
        <v>45306</v>
      </c>
      <c r="V2042">
        <v>199.31</v>
      </c>
      <c r="W2042">
        <v>0.55200000000000005</v>
      </c>
      <c r="X2042" t="str">
        <f>IF(WarehouseData[[#This Row],[stock_level]]&lt;=WarehouseData[[#This Row],[reorder_point]],"Low Stock","Sufficient Stock")</f>
        <v>Sufficient Stock</v>
      </c>
      <c r="Y2042">
        <f>WarehouseData[[#This Row],[daily_demand]]*WarehouseData[[#This Row],[lead_time_days]]</f>
        <v>96.68</v>
      </c>
      <c r="Z2042" t="str">
        <f>IF(WarehouseData[[#This Row],[stock_level]]&lt;=WarehouseData[[#This Row],[Demand During Lead Time]],"At Risk","Safe")</f>
        <v>Safe</v>
      </c>
      <c r="AA2042">
        <f>WarehouseData[[#This Row],[stock_level]]/WarehouseData[[#This Row],[daily_demand]]</f>
        <v>4.6545304095986761</v>
      </c>
      <c r="AB2042">
        <f>WarehouseData[[#This Row],[stock_level]]*WarehouseData[[#This Row],[unit_price]]</f>
        <v>10971</v>
      </c>
      <c r="AC2042">
        <f>WarehouseData[[#This Row],[stock_level]]*WarehouseData[[#This Row],[holding_cost_per_unit_day]]*30</f>
        <v>12352.5</v>
      </c>
      <c r="AD2042" t="str">
        <f>IF(WarehouseData[[#This Row],[order_fulfillment_rate]]&gt;=0.9,"Strong",IF(WarehouseData[[#This Row],[order_fulfillment_rate]]&gt;=0.8,"Moderate","Needs Attention"))</f>
        <v>Strong</v>
      </c>
      <c r="AE2042" t="str">
        <f>IF(WarehouseData[[#This Row],[picking_time_seconds]]&gt;120,"Slow",IF(WarehouseData[[#This Row],[picking_time_seconds]]&gt;=60,"Average","Fast"))</f>
        <v>Average</v>
      </c>
    </row>
    <row r="2043" spans="1:31" x14ac:dyDescent="0.25">
      <c r="A2043" t="s">
        <v>2181</v>
      </c>
      <c r="B2043" t="s">
        <v>40</v>
      </c>
      <c r="C2043">
        <v>51</v>
      </c>
      <c r="D2043">
        <v>85</v>
      </c>
      <c r="E2043">
        <v>14</v>
      </c>
      <c r="F2043">
        <v>9</v>
      </c>
      <c r="G2043">
        <v>44.37</v>
      </c>
      <c r="H2043">
        <v>2.68</v>
      </c>
      <c r="I2043">
        <v>0.1</v>
      </c>
      <c r="J2043" t="s">
        <v>158</v>
      </c>
      <c r="K2043" t="s">
        <v>46</v>
      </c>
      <c r="L2043">
        <v>66</v>
      </c>
      <c r="M2043">
        <v>4.8899999999999997</v>
      </c>
      <c r="N2043">
        <v>192.53</v>
      </c>
      <c r="O2043">
        <v>0.46</v>
      </c>
      <c r="P2043">
        <v>4</v>
      </c>
      <c r="Q2043">
        <v>0.84</v>
      </c>
      <c r="R2043">
        <v>370</v>
      </c>
      <c r="S2043">
        <v>4.58</v>
      </c>
      <c r="T2043">
        <v>0.86</v>
      </c>
      <c r="U2043" s="1">
        <v>45642</v>
      </c>
      <c r="V2043">
        <v>118.97</v>
      </c>
      <c r="W2043">
        <v>0.67500000000000004</v>
      </c>
      <c r="X2043" t="str">
        <f>IF(WarehouseData[[#This Row],[stock_level]]&lt;=WarehouseData[[#This Row],[reorder_point]],"Low Stock","Sufficient Stock")</f>
        <v>Low Stock</v>
      </c>
      <c r="Y2043">
        <f>WarehouseData[[#This Row],[daily_demand]]*WarehouseData[[#This Row],[lead_time_days]]</f>
        <v>399.33</v>
      </c>
      <c r="Z2043" t="str">
        <f>IF(WarehouseData[[#This Row],[stock_level]]&lt;=WarehouseData[[#This Row],[Demand During Lead Time]],"At Risk","Safe")</f>
        <v>At Risk</v>
      </c>
      <c r="AA2043">
        <f>WarehouseData[[#This Row],[stock_level]]/WarehouseData[[#This Row],[daily_demand]]</f>
        <v>1.149425287356322</v>
      </c>
      <c r="AB2043">
        <f>WarehouseData[[#This Row],[stock_level]]*WarehouseData[[#This Row],[unit_price]]</f>
        <v>9819.0300000000007</v>
      </c>
      <c r="AC2043">
        <f>WarehouseData[[#This Row],[stock_level]]*WarehouseData[[#This Row],[holding_cost_per_unit_day]]*30</f>
        <v>703.80000000000007</v>
      </c>
      <c r="AD2043" t="str">
        <f>IF(WarehouseData[[#This Row],[order_fulfillment_rate]]&gt;=0.9,"Strong",IF(WarehouseData[[#This Row],[order_fulfillment_rate]]&gt;=0.8,"Moderate","Needs Attention"))</f>
        <v>Moderate</v>
      </c>
      <c r="AE2043" t="str">
        <f>IF(WarehouseData[[#This Row],[picking_time_seconds]]&gt;120,"Slow",IF(WarehouseData[[#This Row],[picking_time_seconds]]&gt;=60,"Average","Fast"))</f>
        <v>Average</v>
      </c>
    </row>
    <row r="2044" spans="1:31" x14ac:dyDescent="0.25">
      <c r="A2044" t="s">
        <v>2182</v>
      </c>
      <c r="B2044" t="s">
        <v>36</v>
      </c>
      <c r="C2044">
        <v>118</v>
      </c>
      <c r="D2044">
        <v>31</v>
      </c>
      <c r="E2044">
        <v>9</v>
      </c>
      <c r="F2044">
        <v>8</v>
      </c>
      <c r="G2044">
        <v>1.4</v>
      </c>
      <c r="H2044">
        <v>4.2300000000000004</v>
      </c>
      <c r="I2044">
        <v>0.92</v>
      </c>
      <c r="J2044" t="s">
        <v>142</v>
      </c>
      <c r="K2044" t="s">
        <v>34</v>
      </c>
      <c r="L2044">
        <v>153</v>
      </c>
      <c r="M2044">
        <v>4.42</v>
      </c>
      <c r="N2044">
        <v>69.900000000000006</v>
      </c>
      <c r="O2044">
        <v>1.25</v>
      </c>
      <c r="P2044">
        <v>6</v>
      </c>
      <c r="Q2044">
        <v>0.72</v>
      </c>
      <c r="R2044">
        <v>71</v>
      </c>
      <c r="S2044">
        <v>14.67</v>
      </c>
      <c r="T2044">
        <v>0.79</v>
      </c>
      <c r="U2044" s="1">
        <v>45358</v>
      </c>
      <c r="V2044">
        <v>189.66</v>
      </c>
      <c r="W2044">
        <v>0.65300000000000002</v>
      </c>
      <c r="X2044" t="str">
        <f>IF(WarehouseData[[#This Row],[stock_level]]&lt;=WarehouseData[[#This Row],[reorder_point]],"Low Stock","Sufficient Stock")</f>
        <v>Sufficient Stock</v>
      </c>
      <c r="Y2044">
        <f>WarehouseData[[#This Row],[daily_demand]]*WarehouseData[[#This Row],[lead_time_days]]</f>
        <v>11.2</v>
      </c>
      <c r="Z2044" t="str">
        <f>IF(WarehouseData[[#This Row],[stock_level]]&lt;=WarehouseData[[#This Row],[Demand During Lead Time]],"At Risk","Safe")</f>
        <v>Safe</v>
      </c>
      <c r="AA2044">
        <f>WarehouseData[[#This Row],[stock_level]]/WarehouseData[[#This Row],[daily_demand]]</f>
        <v>84.285714285714292</v>
      </c>
      <c r="AB2044">
        <f>WarehouseData[[#This Row],[stock_level]]*WarehouseData[[#This Row],[unit_price]]</f>
        <v>8248.2000000000007</v>
      </c>
      <c r="AC2044">
        <f>WarehouseData[[#This Row],[stock_level]]*WarehouseData[[#This Row],[holding_cost_per_unit_day]]*30</f>
        <v>4425</v>
      </c>
      <c r="AD2044" t="str">
        <f>IF(WarehouseData[[#This Row],[order_fulfillment_rate]]&gt;=0.9,"Strong",IF(WarehouseData[[#This Row],[order_fulfillment_rate]]&gt;=0.8,"Moderate","Needs Attention"))</f>
        <v>Needs Attention</v>
      </c>
      <c r="AE2044" t="str">
        <f>IF(WarehouseData[[#This Row],[picking_time_seconds]]&gt;120,"Slow",IF(WarehouseData[[#This Row],[picking_time_seconds]]&gt;=60,"Average","Fast"))</f>
        <v>Slow</v>
      </c>
    </row>
    <row r="2045" spans="1:31" x14ac:dyDescent="0.25">
      <c r="A2045" t="s">
        <v>2183</v>
      </c>
      <c r="B2045" t="s">
        <v>48</v>
      </c>
      <c r="C2045">
        <v>413</v>
      </c>
      <c r="D2045">
        <v>46</v>
      </c>
      <c r="E2045">
        <v>8</v>
      </c>
      <c r="F2045">
        <v>2</v>
      </c>
      <c r="G2045">
        <v>32.43</v>
      </c>
      <c r="H2045">
        <v>3.05</v>
      </c>
      <c r="I2045">
        <v>0.66</v>
      </c>
      <c r="J2045" t="s">
        <v>338</v>
      </c>
      <c r="K2045" t="s">
        <v>52</v>
      </c>
      <c r="L2045">
        <v>116</v>
      </c>
      <c r="M2045">
        <v>2.3199999999999998</v>
      </c>
      <c r="N2045">
        <v>88.27</v>
      </c>
      <c r="O2045">
        <v>1.81</v>
      </c>
      <c r="P2045">
        <v>9</v>
      </c>
      <c r="Q2045">
        <v>0.87</v>
      </c>
      <c r="R2045">
        <v>228</v>
      </c>
      <c r="S2045">
        <v>10.14</v>
      </c>
      <c r="T2045">
        <v>0.61</v>
      </c>
      <c r="U2045" s="1">
        <v>45539</v>
      </c>
      <c r="V2045">
        <v>114.5</v>
      </c>
      <c r="W2045">
        <v>0.47</v>
      </c>
      <c r="X2045" t="str">
        <f>IF(WarehouseData[[#This Row],[stock_level]]&lt;=WarehouseData[[#This Row],[reorder_point]],"Low Stock","Sufficient Stock")</f>
        <v>Sufficient Stock</v>
      </c>
      <c r="Y2045">
        <f>WarehouseData[[#This Row],[daily_demand]]*WarehouseData[[#This Row],[lead_time_days]]</f>
        <v>64.86</v>
      </c>
      <c r="Z2045" t="str">
        <f>IF(WarehouseData[[#This Row],[stock_level]]&lt;=WarehouseData[[#This Row],[Demand During Lead Time]],"At Risk","Safe")</f>
        <v>Safe</v>
      </c>
      <c r="AA2045">
        <f>WarehouseData[[#This Row],[stock_level]]/WarehouseData[[#This Row],[daily_demand]]</f>
        <v>12.735121800801727</v>
      </c>
      <c r="AB2045">
        <f>WarehouseData[[#This Row],[stock_level]]*WarehouseData[[#This Row],[unit_price]]</f>
        <v>36455.509999999995</v>
      </c>
      <c r="AC2045">
        <f>WarehouseData[[#This Row],[stock_level]]*WarehouseData[[#This Row],[holding_cost_per_unit_day]]*30</f>
        <v>22425.899999999998</v>
      </c>
      <c r="AD2045" t="str">
        <f>IF(WarehouseData[[#This Row],[order_fulfillment_rate]]&gt;=0.9,"Strong",IF(WarehouseData[[#This Row],[order_fulfillment_rate]]&gt;=0.8,"Moderate","Needs Attention"))</f>
        <v>Moderate</v>
      </c>
      <c r="AE2045" t="str">
        <f>IF(WarehouseData[[#This Row],[picking_time_seconds]]&gt;120,"Slow",IF(WarehouseData[[#This Row],[picking_time_seconds]]&gt;=60,"Average","Fast"))</f>
        <v>Average</v>
      </c>
    </row>
    <row r="2046" spans="1:31" x14ac:dyDescent="0.25">
      <c r="A2046" t="s">
        <v>2184</v>
      </c>
      <c r="B2046" t="s">
        <v>40</v>
      </c>
      <c r="C2046">
        <v>406</v>
      </c>
      <c r="D2046">
        <v>29</v>
      </c>
      <c r="E2046">
        <v>11</v>
      </c>
      <c r="F2046">
        <v>8</v>
      </c>
      <c r="G2046">
        <v>4.34</v>
      </c>
      <c r="H2046">
        <v>9.85</v>
      </c>
      <c r="I2046">
        <v>0.5</v>
      </c>
      <c r="J2046" t="s">
        <v>84</v>
      </c>
      <c r="K2046" t="s">
        <v>38</v>
      </c>
      <c r="L2046">
        <v>88</v>
      </c>
      <c r="M2046">
        <v>4.17</v>
      </c>
      <c r="N2046">
        <v>78.180000000000007</v>
      </c>
      <c r="O2046">
        <v>0.19</v>
      </c>
      <c r="P2046">
        <v>7</v>
      </c>
      <c r="Q2046">
        <v>0.73</v>
      </c>
      <c r="R2046">
        <v>757</v>
      </c>
      <c r="S2046">
        <v>12.98</v>
      </c>
      <c r="T2046">
        <v>0.67</v>
      </c>
      <c r="U2046" s="1">
        <v>45541</v>
      </c>
      <c r="V2046">
        <v>174.52</v>
      </c>
      <c r="W2046">
        <v>0.69399999999999995</v>
      </c>
      <c r="X2046" t="str">
        <f>IF(WarehouseData[[#This Row],[stock_level]]&lt;=WarehouseData[[#This Row],[reorder_point]],"Low Stock","Sufficient Stock")</f>
        <v>Sufficient Stock</v>
      </c>
      <c r="Y2046">
        <f>WarehouseData[[#This Row],[daily_demand]]*WarehouseData[[#This Row],[lead_time_days]]</f>
        <v>34.72</v>
      </c>
      <c r="Z2046" t="str">
        <f>IF(WarehouseData[[#This Row],[stock_level]]&lt;=WarehouseData[[#This Row],[Demand During Lead Time]],"At Risk","Safe")</f>
        <v>Safe</v>
      </c>
      <c r="AA2046">
        <f>WarehouseData[[#This Row],[stock_level]]/WarehouseData[[#This Row],[daily_demand]]</f>
        <v>93.548387096774192</v>
      </c>
      <c r="AB2046">
        <f>WarehouseData[[#This Row],[stock_level]]*WarehouseData[[#This Row],[unit_price]]</f>
        <v>31741.08</v>
      </c>
      <c r="AC2046">
        <f>WarehouseData[[#This Row],[stock_level]]*WarehouseData[[#This Row],[holding_cost_per_unit_day]]*30</f>
        <v>2314.1999999999998</v>
      </c>
      <c r="AD2046" t="str">
        <f>IF(WarehouseData[[#This Row],[order_fulfillment_rate]]&gt;=0.9,"Strong",IF(WarehouseData[[#This Row],[order_fulfillment_rate]]&gt;=0.8,"Moderate","Needs Attention"))</f>
        <v>Needs Attention</v>
      </c>
      <c r="AE2046" t="str">
        <f>IF(WarehouseData[[#This Row],[picking_time_seconds]]&gt;120,"Slow",IF(WarehouseData[[#This Row],[picking_time_seconds]]&gt;=60,"Average","Fast"))</f>
        <v>Average</v>
      </c>
    </row>
    <row r="2047" spans="1:31" x14ac:dyDescent="0.25">
      <c r="A2047" t="s">
        <v>2185</v>
      </c>
      <c r="B2047" t="s">
        <v>32</v>
      </c>
      <c r="C2047">
        <v>275</v>
      </c>
      <c r="D2047">
        <v>33</v>
      </c>
      <c r="E2047">
        <v>14</v>
      </c>
      <c r="F2047">
        <v>6</v>
      </c>
      <c r="G2047">
        <v>14.36</v>
      </c>
      <c r="H2047">
        <v>8.61</v>
      </c>
      <c r="I2047">
        <v>0.75</v>
      </c>
      <c r="J2047" t="s">
        <v>120</v>
      </c>
      <c r="K2047" t="s">
        <v>46</v>
      </c>
      <c r="L2047">
        <v>143</v>
      </c>
      <c r="M2047">
        <v>3.7</v>
      </c>
      <c r="N2047">
        <v>61.01</v>
      </c>
      <c r="O2047">
        <v>1.08</v>
      </c>
      <c r="P2047">
        <v>8</v>
      </c>
      <c r="Q2047">
        <v>0.73</v>
      </c>
      <c r="R2047">
        <v>158</v>
      </c>
      <c r="S2047">
        <v>13.57</v>
      </c>
      <c r="T2047">
        <v>0.38</v>
      </c>
      <c r="U2047" s="1">
        <v>45349</v>
      </c>
      <c r="V2047">
        <v>135.33000000000001</v>
      </c>
      <c r="W2047">
        <v>0.53500000000000003</v>
      </c>
      <c r="X2047" t="str">
        <f>IF(WarehouseData[[#This Row],[stock_level]]&lt;=WarehouseData[[#This Row],[reorder_point]],"Low Stock","Sufficient Stock")</f>
        <v>Sufficient Stock</v>
      </c>
      <c r="Y2047">
        <f>WarehouseData[[#This Row],[daily_demand]]*WarehouseData[[#This Row],[lead_time_days]]</f>
        <v>86.16</v>
      </c>
      <c r="Z2047" t="str">
        <f>IF(WarehouseData[[#This Row],[stock_level]]&lt;=WarehouseData[[#This Row],[Demand During Lead Time]],"At Risk","Safe")</f>
        <v>Safe</v>
      </c>
      <c r="AA2047">
        <f>WarehouseData[[#This Row],[stock_level]]/WarehouseData[[#This Row],[daily_demand]]</f>
        <v>19.15041782729805</v>
      </c>
      <c r="AB2047">
        <f>WarehouseData[[#This Row],[stock_level]]*WarehouseData[[#This Row],[unit_price]]</f>
        <v>16777.75</v>
      </c>
      <c r="AC2047">
        <f>WarehouseData[[#This Row],[stock_level]]*WarehouseData[[#This Row],[holding_cost_per_unit_day]]*30</f>
        <v>8910</v>
      </c>
      <c r="AD2047" t="str">
        <f>IF(WarehouseData[[#This Row],[order_fulfillment_rate]]&gt;=0.9,"Strong",IF(WarehouseData[[#This Row],[order_fulfillment_rate]]&gt;=0.8,"Moderate","Needs Attention"))</f>
        <v>Needs Attention</v>
      </c>
      <c r="AE2047" t="str">
        <f>IF(WarehouseData[[#This Row],[picking_time_seconds]]&gt;120,"Slow",IF(WarehouseData[[#This Row],[picking_time_seconds]]&gt;=60,"Average","Fast"))</f>
        <v>Slow</v>
      </c>
    </row>
    <row r="2048" spans="1:31" x14ac:dyDescent="0.25">
      <c r="A2048" t="s">
        <v>2186</v>
      </c>
      <c r="B2048" t="s">
        <v>36</v>
      </c>
      <c r="C2048">
        <v>206</v>
      </c>
      <c r="D2048">
        <v>93</v>
      </c>
      <c r="E2048">
        <v>7</v>
      </c>
      <c r="F2048">
        <v>5</v>
      </c>
      <c r="G2048">
        <v>29.34</v>
      </c>
      <c r="H2048">
        <v>9.34</v>
      </c>
      <c r="I2048">
        <v>0.4</v>
      </c>
      <c r="J2048" t="s">
        <v>190</v>
      </c>
      <c r="K2048" t="s">
        <v>46</v>
      </c>
      <c r="L2048">
        <v>23</v>
      </c>
      <c r="M2048">
        <v>0.78</v>
      </c>
      <c r="N2048">
        <v>141.71</v>
      </c>
      <c r="O2048">
        <v>0.96</v>
      </c>
      <c r="P2048">
        <v>5</v>
      </c>
      <c r="Q2048">
        <v>0.96</v>
      </c>
      <c r="R2048">
        <v>421</v>
      </c>
      <c r="S2048">
        <v>2.7</v>
      </c>
      <c r="T2048">
        <v>0.63</v>
      </c>
      <c r="U2048" s="1">
        <v>45502</v>
      </c>
      <c r="V2048">
        <v>53.46</v>
      </c>
      <c r="W2048">
        <v>0.55800000000000005</v>
      </c>
      <c r="X2048" t="str">
        <f>IF(WarehouseData[[#This Row],[stock_level]]&lt;=WarehouseData[[#This Row],[reorder_point]],"Low Stock","Sufficient Stock")</f>
        <v>Sufficient Stock</v>
      </c>
      <c r="Y2048">
        <f>WarehouseData[[#This Row],[daily_demand]]*WarehouseData[[#This Row],[lead_time_days]]</f>
        <v>146.69999999999999</v>
      </c>
      <c r="Z2048" t="str">
        <f>IF(WarehouseData[[#This Row],[stock_level]]&lt;=WarehouseData[[#This Row],[Demand During Lead Time]],"At Risk","Safe")</f>
        <v>Safe</v>
      </c>
      <c r="AA2048">
        <f>WarehouseData[[#This Row],[stock_level]]/WarehouseData[[#This Row],[daily_demand]]</f>
        <v>7.021131561008862</v>
      </c>
      <c r="AB2048">
        <f>WarehouseData[[#This Row],[stock_level]]*WarehouseData[[#This Row],[unit_price]]</f>
        <v>29192.260000000002</v>
      </c>
      <c r="AC2048">
        <f>WarehouseData[[#This Row],[stock_level]]*WarehouseData[[#This Row],[holding_cost_per_unit_day]]*30</f>
        <v>5932.7999999999993</v>
      </c>
      <c r="AD2048" t="str">
        <f>IF(WarehouseData[[#This Row],[order_fulfillment_rate]]&gt;=0.9,"Strong",IF(WarehouseData[[#This Row],[order_fulfillment_rate]]&gt;=0.8,"Moderate","Needs Attention"))</f>
        <v>Strong</v>
      </c>
      <c r="AE2048" t="str">
        <f>IF(WarehouseData[[#This Row],[picking_time_seconds]]&gt;120,"Slow",IF(WarehouseData[[#This Row],[picking_time_seconds]]&gt;=60,"Average","Fast"))</f>
        <v>Fast</v>
      </c>
    </row>
    <row r="2049" spans="1:31" x14ac:dyDescent="0.25">
      <c r="A2049" t="s">
        <v>2187</v>
      </c>
      <c r="B2049" t="s">
        <v>48</v>
      </c>
      <c r="C2049">
        <v>95</v>
      </c>
      <c r="D2049">
        <v>74</v>
      </c>
      <c r="E2049">
        <v>6</v>
      </c>
      <c r="F2049">
        <v>5</v>
      </c>
      <c r="G2049">
        <v>35.33</v>
      </c>
      <c r="H2049">
        <v>7.99</v>
      </c>
      <c r="I2049">
        <v>0.96</v>
      </c>
      <c r="J2049" t="s">
        <v>401</v>
      </c>
      <c r="K2049" t="s">
        <v>46</v>
      </c>
      <c r="L2049">
        <v>36</v>
      </c>
      <c r="M2049">
        <v>4.68</v>
      </c>
      <c r="N2049">
        <v>121.94</v>
      </c>
      <c r="O2049">
        <v>1.86</v>
      </c>
      <c r="P2049">
        <v>4</v>
      </c>
      <c r="Q2049">
        <v>0.79</v>
      </c>
      <c r="R2049">
        <v>746</v>
      </c>
      <c r="S2049">
        <v>13.99</v>
      </c>
      <c r="T2049">
        <v>0.62</v>
      </c>
      <c r="U2049" s="1">
        <v>45517</v>
      </c>
      <c r="V2049">
        <v>236.23</v>
      </c>
      <c r="W2049">
        <v>0.60299999999999998</v>
      </c>
      <c r="X2049" t="str">
        <f>IF(WarehouseData[[#This Row],[stock_level]]&lt;=WarehouseData[[#This Row],[reorder_point]],"Low Stock","Sufficient Stock")</f>
        <v>Sufficient Stock</v>
      </c>
      <c r="Y2049">
        <f>WarehouseData[[#This Row],[daily_demand]]*WarehouseData[[#This Row],[lead_time_days]]</f>
        <v>176.64999999999998</v>
      </c>
      <c r="Z2049" t="str">
        <f>IF(WarehouseData[[#This Row],[stock_level]]&lt;=WarehouseData[[#This Row],[Demand During Lead Time]],"At Risk","Safe")</f>
        <v>At Risk</v>
      </c>
      <c r="AA2049">
        <f>WarehouseData[[#This Row],[stock_level]]/WarehouseData[[#This Row],[daily_demand]]</f>
        <v>2.6889329181998303</v>
      </c>
      <c r="AB2049">
        <f>WarehouseData[[#This Row],[stock_level]]*WarehouseData[[#This Row],[unit_price]]</f>
        <v>11584.3</v>
      </c>
      <c r="AC2049">
        <f>WarehouseData[[#This Row],[stock_level]]*WarehouseData[[#This Row],[holding_cost_per_unit_day]]*30</f>
        <v>5301.0000000000009</v>
      </c>
      <c r="AD2049" t="str">
        <f>IF(WarehouseData[[#This Row],[order_fulfillment_rate]]&gt;=0.9,"Strong",IF(WarehouseData[[#This Row],[order_fulfillment_rate]]&gt;=0.8,"Moderate","Needs Attention"))</f>
        <v>Needs Attention</v>
      </c>
      <c r="AE2049" t="str">
        <f>IF(WarehouseData[[#This Row],[picking_time_seconds]]&gt;120,"Slow",IF(WarehouseData[[#This Row],[picking_time_seconds]]&gt;=60,"Average","Fast"))</f>
        <v>Fast</v>
      </c>
    </row>
    <row r="2050" spans="1:31" x14ac:dyDescent="0.25">
      <c r="A2050" t="s">
        <v>2188</v>
      </c>
      <c r="B2050" t="s">
        <v>40</v>
      </c>
      <c r="C2050">
        <v>196</v>
      </c>
      <c r="D2050">
        <v>74</v>
      </c>
      <c r="E2050">
        <v>5</v>
      </c>
      <c r="F2050">
        <v>9</v>
      </c>
      <c r="G2050">
        <v>33.08</v>
      </c>
      <c r="H2050">
        <v>4.84</v>
      </c>
      <c r="I2050">
        <v>0.16</v>
      </c>
      <c r="J2050" t="s">
        <v>353</v>
      </c>
      <c r="K2050" t="s">
        <v>38</v>
      </c>
      <c r="L2050">
        <v>47</v>
      </c>
      <c r="M2050">
        <v>2.6</v>
      </c>
      <c r="N2050">
        <v>68.08</v>
      </c>
      <c r="O2050">
        <v>1.36</v>
      </c>
      <c r="P2050">
        <v>6</v>
      </c>
      <c r="Q2050">
        <v>0.9</v>
      </c>
      <c r="R2050">
        <v>505</v>
      </c>
      <c r="S2050">
        <v>13.13</v>
      </c>
      <c r="T2050">
        <v>0.36</v>
      </c>
      <c r="U2050" s="1">
        <v>45315</v>
      </c>
      <c r="V2050">
        <v>153.96</v>
      </c>
      <c r="W2050">
        <v>0.57099999999999995</v>
      </c>
      <c r="X2050" t="str">
        <f>IF(WarehouseData[[#This Row],[stock_level]]&lt;=WarehouseData[[#This Row],[reorder_point]],"Low Stock","Sufficient Stock")</f>
        <v>Sufficient Stock</v>
      </c>
      <c r="Y2050">
        <f>WarehouseData[[#This Row],[daily_demand]]*WarehouseData[[#This Row],[lead_time_days]]</f>
        <v>297.71999999999997</v>
      </c>
      <c r="Z2050" t="str">
        <f>IF(WarehouseData[[#This Row],[stock_level]]&lt;=WarehouseData[[#This Row],[Demand During Lead Time]],"At Risk","Safe")</f>
        <v>At Risk</v>
      </c>
      <c r="AA2050">
        <f>WarehouseData[[#This Row],[stock_level]]/WarehouseData[[#This Row],[daily_demand]]</f>
        <v>5.9250302297460706</v>
      </c>
      <c r="AB2050">
        <f>WarehouseData[[#This Row],[stock_level]]*WarehouseData[[#This Row],[unit_price]]</f>
        <v>13343.68</v>
      </c>
      <c r="AC2050">
        <f>WarehouseData[[#This Row],[stock_level]]*WarehouseData[[#This Row],[holding_cost_per_unit_day]]*30</f>
        <v>7996.8</v>
      </c>
      <c r="AD2050" t="str">
        <f>IF(WarehouseData[[#This Row],[order_fulfillment_rate]]&gt;=0.9,"Strong",IF(WarehouseData[[#This Row],[order_fulfillment_rate]]&gt;=0.8,"Moderate","Needs Attention"))</f>
        <v>Strong</v>
      </c>
      <c r="AE2050" t="str">
        <f>IF(WarehouseData[[#This Row],[picking_time_seconds]]&gt;120,"Slow",IF(WarehouseData[[#This Row],[picking_time_seconds]]&gt;=60,"Average","Fast"))</f>
        <v>Fast</v>
      </c>
    </row>
    <row r="2051" spans="1:31" x14ac:dyDescent="0.25">
      <c r="A2051" t="s">
        <v>2189</v>
      </c>
      <c r="B2051" t="s">
        <v>48</v>
      </c>
      <c r="C2051">
        <v>334</v>
      </c>
      <c r="D2051">
        <v>90</v>
      </c>
      <c r="E2051">
        <v>12</v>
      </c>
      <c r="F2051">
        <v>4</v>
      </c>
      <c r="G2051">
        <v>3.4</v>
      </c>
      <c r="H2051">
        <v>2.4500000000000002</v>
      </c>
      <c r="I2051">
        <v>0.68</v>
      </c>
      <c r="J2051" t="s">
        <v>183</v>
      </c>
      <c r="K2051" t="s">
        <v>38</v>
      </c>
      <c r="L2051">
        <v>156</v>
      </c>
      <c r="M2051">
        <v>1.1100000000000001</v>
      </c>
      <c r="N2051">
        <v>35.119999999999997</v>
      </c>
      <c r="O2051">
        <v>0.76</v>
      </c>
      <c r="P2051">
        <v>1</v>
      </c>
      <c r="Q2051">
        <v>0.85</v>
      </c>
      <c r="R2051">
        <v>616</v>
      </c>
      <c r="S2051">
        <v>1.63</v>
      </c>
      <c r="T2051">
        <v>0.96</v>
      </c>
      <c r="U2051" s="1">
        <v>45324</v>
      </c>
      <c r="V2051">
        <v>65.14</v>
      </c>
      <c r="W2051">
        <v>0.68799999999999994</v>
      </c>
      <c r="X2051" t="str">
        <f>IF(WarehouseData[[#This Row],[stock_level]]&lt;=WarehouseData[[#This Row],[reorder_point]],"Low Stock","Sufficient Stock")</f>
        <v>Sufficient Stock</v>
      </c>
      <c r="Y2051">
        <f>WarehouseData[[#This Row],[daily_demand]]*WarehouseData[[#This Row],[lead_time_days]]</f>
        <v>13.6</v>
      </c>
      <c r="Z2051" t="str">
        <f>IF(WarehouseData[[#This Row],[stock_level]]&lt;=WarehouseData[[#This Row],[Demand During Lead Time]],"At Risk","Safe")</f>
        <v>Safe</v>
      </c>
      <c r="AA2051">
        <f>WarehouseData[[#This Row],[stock_level]]/WarehouseData[[#This Row],[daily_demand]]</f>
        <v>98.235294117647058</v>
      </c>
      <c r="AB2051">
        <f>WarehouseData[[#This Row],[stock_level]]*WarehouseData[[#This Row],[unit_price]]</f>
        <v>11730.08</v>
      </c>
      <c r="AC2051">
        <f>WarehouseData[[#This Row],[stock_level]]*WarehouseData[[#This Row],[holding_cost_per_unit_day]]*30</f>
        <v>7615.2</v>
      </c>
      <c r="AD2051" t="str">
        <f>IF(WarehouseData[[#This Row],[order_fulfillment_rate]]&gt;=0.9,"Strong",IF(WarehouseData[[#This Row],[order_fulfillment_rate]]&gt;=0.8,"Moderate","Needs Attention"))</f>
        <v>Moderate</v>
      </c>
      <c r="AE2051" t="str">
        <f>IF(WarehouseData[[#This Row],[picking_time_seconds]]&gt;120,"Slow",IF(WarehouseData[[#This Row],[picking_time_seconds]]&gt;=60,"Average","Fast"))</f>
        <v>Slow</v>
      </c>
    </row>
    <row r="2052" spans="1:31" x14ac:dyDescent="0.25">
      <c r="A2052" t="s">
        <v>2190</v>
      </c>
      <c r="B2052" t="s">
        <v>32</v>
      </c>
      <c r="C2052">
        <v>306</v>
      </c>
      <c r="D2052">
        <v>10</v>
      </c>
      <c r="E2052">
        <v>3</v>
      </c>
      <c r="F2052">
        <v>4</v>
      </c>
      <c r="G2052">
        <v>6.08</v>
      </c>
      <c r="H2052">
        <v>2.48</v>
      </c>
      <c r="I2052">
        <v>0.8</v>
      </c>
      <c r="J2052" t="s">
        <v>92</v>
      </c>
      <c r="K2052" t="s">
        <v>34</v>
      </c>
      <c r="L2052">
        <v>174</v>
      </c>
      <c r="M2052">
        <v>2.41</v>
      </c>
      <c r="N2052">
        <v>70.3</v>
      </c>
      <c r="O2052">
        <v>1.45</v>
      </c>
      <c r="P2052">
        <v>7</v>
      </c>
      <c r="Q2052">
        <v>0.77</v>
      </c>
      <c r="R2052">
        <v>278</v>
      </c>
      <c r="S2052">
        <v>14.68</v>
      </c>
      <c r="T2052">
        <v>0.4</v>
      </c>
      <c r="U2052" s="1">
        <v>45425</v>
      </c>
      <c r="V2052">
        <v>268.63</v>
      </c>
      <c r="W2052">
        <v>0.54500000000000004</v>
      </c>
      <c r="X2052" t="str">
        <f>IF(WarehouseData[[#This Row],[stock_level]]&lt;=WarehouseData[[#This Row],[reorder_point]],"Low Stock","Sufficient Stock")</f>
        <v>Sufficient Stock</v>
      </c>
      <c r="Y2052">
        <f>WarehouseData[[#This Row],[daily_demand]]*WarehouseData[[#This Row],[lead_time_days]]</f>
        <v>24.32</v>
      </c>
      <c r="Z2052" t="str">
        <f>IF(WarehouseData[[#This Row],[stock_level]]&lt;=WarehouseData[[#This Row],[Demand During Lead Time]],"At Risk","Safe")</f>
        <v>Safe</v>
      </c>
      <c r="AA2052">
        <f>WarehouseData[[#This Row],[stock_level]]/WarehouseData[[#This Row],[daily_demand]]</f>
        <v>50.328947368421055</v>
      </c>
      <c r="AB2052">
        <f>WarehouseData[[#This Row],[stock_level]]*WarehouseData[[#This Row],[unit_price]]</f>
        <v>21511.8</v>
      </c>
      <c r="AC2052">
        <f>WarehouseData[[#This Row],[stock_level]]*WarehouseData[[#This Row],[holding_cost_per_unit_day]]*30</f>
        <v>13311</v>
      </c>
      <c r="AD2052" t="str">
        <f>IF(WarehouseData[[#This Row],[order_fulfillment_rate]]&gt;=0.9,"Strong",IF(WarehouseData[[#This Row],[order_fulfillment_rate]]&gt;=0.8,"Moderate","Needs Attention"))</f>
        <v>Needs Attention</v>
      </c>
      <c r="AE2052" t="str">
        <f>IF(WarehouseData[[#This Row],[picking_time_seconds]]&gt;120,"Slow",IF(WarehouseData[[#This Row],[picking_time_seconds]]&gt;=60,"Average","Fast"))</f>
        <v>Slow</v>
      </c>
    </row>
    <row r="2053" spans="1:31" x14ac:dyDescent="0.25">
      <c r="A2053" t="s">
        <v>2191</v>
      </c>
      <c r="B2053" t="s">
        <v>48</v>
      </c>
      <c r="C2053">
        <v>368</v>
      </c>
      <c r="D2053">
        <v>12</v>
      </c>
      <c r="E2053">
        <v>5</v>
      </c>
      <c r="F2053">
        <v>6</v>
      </c>
      <c r="G2053">
        <v>7.3</v>
      </c>
      <c r="H2053">
        <v>1.94</v>
      </c>
      <c r="I2053">
        <v>0.52</v>
      </c>
      <c r="J2053" t="s">
        <v>43</v>
      </c>
      <c r="K2053" t="s">
        <v>52</v>
      </c>
      <c r="L2053">
        <v>136</v>
      </c>
      <c r="M2053">
        <v>3.21</v>
      </c>
      <c r="N2053">
        <v>82.43</v>
      </c>
      <c r="O2053">
        <v>1.21</v>
      </c>
      <c r="P2053">
        <v>3</v>
      </c>
      <c r="Q2053">
        <v>0.86</v>
      </c>
      <c r="R2053">
        <v>987</v>
      </c>
      <c r="S2053">
        <v>7.42</v>
      </c>
      <c r="T2053">
        <v>0.28000000000000003</v>
      </c>
      <c r="U2053" s="1">
        <v>45627</v>
      </c>
      <c r="V2053">
        <v>257.43</v>
      </c>
      <c r="W2053">
        <v>0.54600000000000004</v>
      </c>
      <c r="X2053" t="str">
        <f>IF(WarehouseData[[#This Row],[stock_level]]&lt;=WarehouseData[[#This Row],[reorder_point]],"Low Stock","Sufficient Stock")</f>
        <v>Sufficient Stock</v>
      </c>
      <c r="Y2053">
        <f>WarehouseData[[#This Row],[daily_demand]]*WarehouseData[[#This Row],[lead_time_days]]</f>
        <v>43.8</v>
      </c>
      <c r="Z2053" t="str">
        <f>IF(WarehouseData[[#This Row],[stock_level]]&lt;=WarehouseData[[#This Row],[Demand During Lead Time]],"At Risk","Safe")</f>
        <v>Safe</v>
      </c>
      <c r="AA2053">
        <f>WarehouseData[[#This Row],[stock_level]]/WarehouseData[[#This Row],[daily_demand]]</f>
        <v>50.410958904109592</v>
      </c>
      <c r="AB2053">
        <f>WarehouseData[[#This Row],[stock_level]]*WarehouseData[[#This Row],[unit_price]]</f>
        <v>30334.240000000002</v>
      </c>
      <c r="AC2053">
        <f>WarehouseData[[#This Row],[stock_level]]*WarehouseData[[#This Row],[holding_cost_per_unit_day]]*30</f>
        <v>13358.4</v>
      </c>
      <c r="AD2053" t="str">
        <f>IF(WarehouseData[[#This Row],[order_fulfillment_rate]]&gt;=0.9,"Strong",IF(WarehouseData[[#This Row],[order_fulfillment_rate]]&gt;=0.8,"Moderate","Needs Attention"))</f>
        <v>Moderate</v>
      </c>
      <c r="AE2053" t="str">
        <f>IF(WarehouseData[[#This Row],[picking_time_seconds]]&gt;120,"Slow",IF(WarehouseData[[#This Row],[picking_time_seconds]]&gt;=60,"Average","Fast"))</f>
        <v>Slow</v>
      </c>
    </row>
    <row r="2054" spans="1:31" x14ac:dyDescent="0.25">
      <c r="A2054" t="s">
        <v>2192</v>
      </c>
      <c r="B2054" t="s">
        <v>73</v>
      </c>
      <c r="C2054">
        <v>274</v>
      </c>
      <c r="D2054">
        <v>55</v>
      </c>
      <c r="E2054">
        <v>5</v>
      </c>
      <c r="F2054">
        <v>7</v>
      </c>
      <c r="G2054">
        <v>5.48</v>
      </c>
      <c r="H2054">
        <v>5.69</v>
      </c>
      <c r="I2054">
        <v>0.78</v>
      </c>
      <c r="J2054" t="s">
        <v>188</v>
      </c>
      <c r="K2054" t="s">
        <v>46</v>
      </c>
      <c r="L2054">
        <v>13</v>
      </c>
      <c r="M2054">
        <v>3.08</v>
      </c>
      <c r="N2054">
        <v>82.32</v>
      </c>
      <c r="O2054">
        <v>0.76</v>
      </c>
      <c r="P2054">
        <v>0</v>
      </c>
      <c r="Q2054">
        <v>0.72</v>
      </c>
      <c r="R2054">
        <v>997</v>
      </c>
      <c r="S2054">
        <v>14.64</v>
      </c>
      <c r="T2054">
        <v>0.56999999999999995</v>
      </c>
      <c r="U2054" s="1">
        <v>45452</v>
      </c>
      <c r="V2054">
        <v>172.06</v>
      </c>
      <c r="W2054">
        <v>0.77700000000000002</v>
      </c>
      <c r="X2054" t="str">
        <f>IF(WarehouseData[[#This Row],[stock_level]]&lt;=WarehouseData[[#This Row],[reorder_point]],"Low Stock","Sufficient Stock")</f>
        <v>Sufficient Stock</v>
      </c>
      <c r="Y2054">
        <f>WarehouseData[[#This Row],[daily_demand]]*WarehouseData[[#This Row],[lead_time_days]]</f>
        <v>38.36</v>
      </c>
      <c r="Z2054" t="str">
        <f>IF(WarehouseData[[#This Row],[stock_level]]&lt;=WarehouseData[[#This Row],[Demand During Lead Time]],"At Risk","Safe")</f>
        <v>Safe</v>
      </c>
      <c r="AA2054">
        <f>WarehouseData[[#This Row],[stock_level]]/WarehouseData[[#This Row],[daily_demand]]</f>
        <v>49.999999999999993</v>
      </c>
      <c r="AB2054">
        <f>WarehouseData[[#This Row],[stock_level]]*WarehouseData[[#This Row],[unit_price]]</f>
        <v>22555.679999999997</v>
      </c>
      <c r="AC2054">
        <f>WarehouseData[[#This Row],[stock_level]]*WarehouseData[[#This Row],[holding_cost_per_unit_day]]*30</f>
        <v>6247.2000000000007</v>
      </c>
      <c r="AD2054" t="str">
        <f>IF(WarehouseData[[#This Row],[order_fulfillment_rate]]&gt;=0.9,"Strong",IF(WarehouseData[[#This Row],[order_fulfillment_rate]]&gt;=0.8,"Moderate","Needs Attention"))</f>
        <v>Needs Attention</v>
      </c>
      <c r="AE2054" t="str">
        <f>IF(WarehouseData[[#This Row],[picking_time_seconds]]&gt;120,"Slow",IF(WarehouseData[[#This Row],[picking_time_seconds]]&gt;=60,"Average","Fast"))</f>
        <v>Fast</v>
      </c>
    </row>
    <row r="2055" spans="1:31" x14ac:dyDescent="0.25">
      <c r="A2055" t="s">
        <v>2193</v>
      </c>
      <c r="B2055" t="s">
        <v>40</v>
      </c>
      <c r="C2055">
        <v>344</v>
      </c>
      <c r="D2055">
        <v>64</v>
      </c>
      <c r="E2055">
        <v>9</v>
      </c>
      <c r="F2055">
        <v>7</v>
      </c>
      <c r="G2055">
        <v>9.73</v>
      </c>
      <c r="H2055">
        <v>9.24</v>
      </c>
      <c r="I2055">
        <v>0.93</v>
      </c>
      <c r="J2055" t="s">
        <v>281</v>
      </c>
      <c r="K2055" t="s">
        <v>34</v>
      </c>
      <c r="L2055">
        <v>67</v>
      </c>
      <c r="M2055">
        <v>3.09</v>
      </c>
      <c r="N2055">
        <v>77.88</v>
      </c>
      <c r="O2055">
        <v>1.59</v>
      </c>
      <c r="P2055">
        <v>2</v>
      </c>
      <c r="Q2055">
        <v>0.8</v>
      </c>
      <c r="R2055">
        <v>580</v>
      </c>
      <c r="S2055">
        <v>12.53</v>
      </c>
      <c r="T2055">
        <v>0.75</v>
      </c>
      <c r="U2055" s="1">
        <v>45298</v>
      </c>
      <c r="V2055">
        <v>291.39</v>
      </c>
      <c r="W2055">
        <v>0.67800000000000005</v>
      </c>
      <c r="X2055" t="str">
        <f>IF(WarehouseData[[#This Row],[stock_level]]&lt;=WarehouseData[[#This Row],[reorder_point]],"Low Stock","Sufficient Stock")</f>
        <v>Sufficient Stock</v>
      </c>
      <c r="Y2055">
        <f>WarehouseData[[#This Row],[daily_demand]]*WarehouseData[[#This Row],[lead_time_days]]</f>
        <v>68.11</v>
      </c>
      <c r="Z2055" t="str">
        <f>IF(WarehouseData[[#This Row],[stock_level]]&lt;=WarehouseData[[#This Row],[Demand During Lead Time]],"At Risk","Safe")</f>
        <v>Safe</v>
      </c>
      <c r="AA2055">
        <f>WarehouseData[[#This Row],[stock_level]]/WarehouseData[[#This Row],[daily_demand]]</f>
        <v>35.354573484069888</v>
      </c>
      <c r="AB2055">
        <f>WarehouseData[[#This Row],[stock_level]]*WarehouseData[[#This Row],[unit_price]]</f>
        <v>26790.719999999998</v>
      </c>
      <c r="AC2055">
        <f>WarehouseData[[#This Row],[stock_level]]*WarehouseData[[#This Row],[holding_cost_per_unit_day]]*30</f>
        <v>16408.800000000003</v>
      </c>
      <c r="AD2055" t="str">
        <f>IF(WarehouseData[[#This Row],[order_fulfillment_rate]]&gt;=0.9,"Strong",IF(WarehouseData[[#This Row],[order_fulfillment_rate]]&gt;=0.8,"Moderate","Needs Attention"))</f>
        <v>Moderate</v>
      </c>
      <c r="AE2055" t="str">
        <f>IF(WarehouseData[[#This Row],[picking_time_seconds]]&gt;120,"Slow",IF(WarehouseData[[#This Row],[picking_time_seconds]]&gt;=60,"Average","Fast"))</f>
        <v>Average</v>
      </c>
    </row>
    <row r="2056" spans="1:31" x14ac:dyDescent="0.25">
      <c r="A2056" t="s">
        <v>2194</v>
      </c>
      <c r="B2056" t="s">
        <v>48</v>
      </c>
      <c r="C2056">
        <v>209</v>
      </c>
      <c r="D2056">
        <v>84</v>
      </c>
      <c r="E2056">
        <v>9</v>
      </c>
      <c r="F2056">
        <v>9</v>
      </c>
      <c r="G2056">
        <v>34.74</v>
      </c>
      <c r="H2056">
        <v>9.92</v>
      </c>
      <c r="I2056">
        <v>0.77</v>
      </c>
      <c r="J2056" t="s">
        <v>64</v>
      </c>
      <c r="K2056" t="s">
        <v>38</v>
      </c>
      <c r="L2056">
        <v>146</v>
      </c>
      <c r="M2056">
        <v>1.65</v>
      </c>
      <c r="N2056">
        <v>19.260000000000002</v>
      </c>
      <c r="O2056">
        <v>1.37</v>
      </c>
      <c r="P2056">
        <v>8</v>
      </c>
      <c r="Q2056">
        <v>0.86</v>
      </c>
      <c r="R2056">
        <v>413</v>
      </c>
      <c r="S2056">
        <v>7.16</v>
      </c>
      <c r="T2056">
        <v>0.36</v>
      </c>
      <c r="U2056" s="1">
        <v>45652</v>
      </c>
      <c r="V2056">
        <v>278.88</v>
      </c>
      <c r="W2056">
        <v>0.442</v>
      </c>
      <c r="X2056" t="str">
        <f>IF(WarehouseData[[#This Row],[stock_level]]&lt;=WarehouseData[[#This Row],[reorder_point]],"Low Stock","Sufficient Stock")</f>
        <v>Sufficient Stock</v>
      </c>
      <c r="Y2056">
        <f>WarehouseData[[#This Row],[daily_demand]]*WarehouseData[[#This Row],[lead_time_days]]</f>
        <v>312.66000000000003</v>
      </c>
      <c r="Z2056" t="str">
        <f>IF(WarehouseData[[#This Row],[stock_level]]&lt;=WarehouseData[[#This Row],[Demand During Lead Time]],"At Risk","Safe")</f>
        <v>At Risk</v>
      </c>
      <c r="AA2056">
        <f>WarehouseData[[#This Row],[stock_level]]/WarehouseData[[#This Row],[daily_demand]]</f>
        <v>6.0161197466896947</v>
      </c>
      <c r="AB2056">
        <f>WarehouseData[[#This Row],[stock_level]]*WarehouseData[[#This Row],[unit_price]]</f>
        <v>4025.34</v>
      </c>
      <c r="AC2056">
        <f>WarehouseData[[#This Row],[stock_level]]*WarehouseData[[#This Row],[holding_cost_per_unit_day]]*30</f>
        <v>8589.9000000000015</v>
      </c>
      <c r="AD2056" t="str">
        <f>IF(WarehouseData[[#This Row],[order_fulfillment_rate]]&gt;=0.9,"Strong",IF(WarehouseData[[#This Row],[order_fulfillment_rate]]&gt;=0.8,"Moderate","Needs Attention"))</f>
        <v>Moderate</v>
      </c>
      <c r="AE2056" t="str">
        <f>IF(WarehouseData[[#This Row],[picking_time_seconds]]&gt;120,"Slow",IF(WarehouseData[[#This Row],[picking_time_seconds]]&gt;=60,"Average","Fast"))</f>
        <v>Slow</v>
      </c>
    </row>
    <row r="2057" spans="1:31" x14ac:dyDescent="0.25">
      <c r="A2057" t="s">
        <v>2195</v>
      </c>
      <c r="B2057" t="s">
        <v>32</v>
      </c>
      <c r="C2057">
        <v>327</v>
      </c>
      <c r="D2057">
        <v>97</v>
      </c>
      <c r="E2057">
        <v>14</v>
      </c>
      <c r="F2057">
        <v>7</v>
      </c>
      <c r="G2057">
        <v>41.71</v>
      </c>
      <c r="H2057">
        <v>3.23</v>
      </c>
      <c r="I2057">
        <v>0.38</v>
      </c>
      <c r="J2057" t="s">
        <v>190</v>
      </c>
      <c r="K2057" t="s">
        <v>34</v>
      </c>
      <c r="L2057">
        <v>122</v>
      </c>
      <c r="M2057">
        <v>3.35</v>
      </c>
      <c r="N2057">
        <v>98.17</v>
      </c>
      <c r="O2057">
        <v>0.11</v>
      </c>
      <c r="P2057">
        <v>3</v>
      </c>
      <c r="Q2057">
        <v>0.77</v>
      </c>
      <c r="R2057">
        <v>946</v>
      </c>
      <c r="S2057">
        <v>8.16</v>
      </c>
      <c r="T2057">
        <v>0.35</v>
      </c>
      <c r="U2057" s="1">
        <v>45639</v>
      </c>
      <c r="V2057">
        <v>270.13</v>
      </c>
      <c r="W2057">
        <v>0.66200000000000003</v>
      </c>
      <c r="X2057" t="str">
        <f>IF(WarehouseData[[#This Row],[stock_level]]&lt;=WarehouseData[[#This Row],[reorder_point]],"Low Stock","Sufficient Stock")</f>
        <v>Sufficient Stock</v>
      </c>
      <c r="Y2057">
        <f>WarehouseData[[#This Row],[daily_demand]]*WarehouseData[[#This Row],[lead_time_days]]</f>
        <v>291.97000000000003</v>
      </c>
      <c r="Z2057" t="str">
        <f>IF(WarehouseData[[#This Row],[stock_level]]&lt;=WarehouseData[[#This Row],[Demand During Lead Time]],"At Risk","Safe")</f>
        <v>Safe</v>
      </c>
      <c r="AA2057">
        <f>WarehouseData[[#This Row],[stock_level]]/WarehouseData[[#This Row],[daily_demand]]</f>
        <v>7.8398465595780387</v>
      </c>
      <c r="AB2057">
        <f>WarehouseData[[#This Row],[stock_level]]*WarehouseData[[#This Row],[unit_price]]</f>
        <v>32101.59</v>
      </c>
      <c r="AC2057">
        <f>WarehouseData[[#This Row],[stock_level]]*WarehouseData[[#This Row],[holding_cost_per_unit_day]]*30</f>
        <v>1079.0999999999999</v>
      </c>
      <c r="AD2057" t="str">
        <f>IF(WarehouseData[[#This Row],[order_fulfillment_rate]]&gt;=0.9,"Strong",IF(WarehouseData[[#This Row],[order_fulfillment_rate]]&gt;=0.8,"Moderate","Needs Attention"))</f>
        <v>Needs Attention</v>
      </c>
      <c r="AE2057" t="str">
        <f>IF(WarehouseData[[#This Row],[picking_time_seconds]]&gt;120,"Slow",IF(WarehouseData[[#This Row],[picking_time_seconds]]&gt;=60,"Average","Fast"))</f>
        <v>Slow</v>
      </c>
    </row>
    <row r="2058" spans="1:31" x14ac:dyDescent="0.25">
      <c r="A2058" t="s">
        <v>2196</v>
      </c>
      <c r="B2058" t="s">
        <v>32</v>
      </c>
      <c r="C2058">
        <v>364</v>
      </c>
      <c r="D2058">
        <v>95</v>
      </c>
      <c r="E2058">
        <v>3</v>
      </c>
      <c r="F2058">
        <v>5</v>
      </c>
      <c r="G2058">
        <v>21.03</v>
      </c>
      <c r="H2058">
        <v>7.12</v>
      </c>
      <c r="I2058">
        <v>0.61</v>
      </c>
      <c r="J2058" t="s">
        <v>183</v>
      </c>
      <c r="K2058" t="s">
        <v>46</v>
      </c>
      <c r="L2058">
        <v>177</v>
      </c>
      <c r="M2058">
        <v>4.58</v>
      </c>
      <c r="N2058">
        <v>168.88</v>
      </c>
      <c r="O2058">
        <v>1.74</v>
      </c>
      <c r="P2058">
        <v>9</v>
      </c>
      <c r="Q2058">
        <v>0.9</v>
      </c>
      <c r="R2058">
        <v>474</v>
      </c>
      <c r="S2058">
        <v>4.8499999999999996</v>
      </c>
      <c r="T2058">
        <v>0.41</v>
      </c>
      <c r="U2058" s="1">
        <v>45560</v>
      </c>
      <c r="V2058">
        <v>48.65</v>
      </c>
      <c r="W2058">
        <v>0.373</v>
      </c>
      <c r="X2058" t="str">
        <f>IF(WarehouseData[[#This Row],[stock_level]]&lt;=WarehouseData[[#This Row],[reorder_point]],"Low Stock","Sufficient Stock")</f>
        <v>Sufficient Stock</v>
      </c>
      <c r="Y2058">
        <f>WarehouseData[[#This Row],[daily_demand]]*WarehouseData[[#This Row],[lead_time_days]]</f>
        <v>105.15</v>
      </c>
      <c r="Z2058" t="str">
        <f>IF(WarehouseData[[#This Row],[stock_level]]&lt;=WarehouseData[[#This Row],[Demand During Lead Time]],"At Risk","Safe")</f>
        <v>Safe</v>
      </c>
      <c r="AA2058">
        <f>WarehouseData[[#This Row],[stock_level]]/WarehouseData[[#This Row],[daily_demand]]</f>
        <v>17.308606752258676</v>
      </c>
      <c r="AB2058">
        <f>WarehouseData[[#This Row],[stock_level]]*WarehouseData[[#This Row],[unit_price]]</f>
        <v>61472.32</v>
      </c>
      <c r="AC2058">
        <f>WarehouseData[[#This Row],[stock_level]]*WarehouseData[[#This Row],[holding_cost_per_unit_day]]*30</f>
        <v>19000.8</v>
      </c>
      <c r="AD2058" t="str">
        <f>IF(WarehouseData[[#This Row],[order_fulfillment_rate]]&gt;=0.9,"Strong",IF(WarehouseData[[#This Row],[order_fulfillment_rate]]&gt;=0.8,"Moderate","Needs Attention"))</f>
        <v>Strong</v>
      </c>
      <c r="AE2058" t="str">
        <f>IF(WarehouseData[[#This Row],[picking_time_seconds]]&gt;120,"Slow",IF(WarehouseData[[#This Row],[picking_time_seconds]]&gt;=60,"Average","Fast"))</f>
        <v>Slow</v>
      </c>
    </row>
    <row r="2059" spans="1:31" x14ac:dyDescent="0.25">
      <c r="A2059" t="s">
        <v>2197</v>
      </c>
      <c r="B2059" t="s">
        <v>48</v>
      </c>
      <c r="C2059">
        <v>146</v>
      </c>
      <c r="D2059">
        <v>73</v>
      </c>
      <c r="E2059">
        <v>5</v>
      </c>
      <c r="F2059">
        <v>2</v>
      </c>
      <c r="G2059">
        <v>34.950000000000003</v>
      </c>
      <c r="H2059">
        <v>6.17</v>
      </c>
      <c r="I2059">
        <v>0.92</v>
      </c>
      <c r="J2059" t="s">
        <v>68</v>
      </c>
      <c r="K2059" t="s">
        <v>46</v>
      </c>
      <c r="L2059">
        <v>152</v>
      </c>
      <c r="M2059">
        <v>2.25</v>
      </c>
      <c r="N2059">
        <v>44.27</v>
      </c>
      <c r="O2059">
        <v>0.85</v>
      </c>
      <c r="P2059">
        <v>9</v>
      </c>
      <c r="Q2059">
        <v>0.72</v>
      </c>
      <c r="R2059">
        <v>265</v>
      </c>
      <c r="S2059">
        <v>7.82</v>
      </c>
      <c r="T2059">
        <v>0.44</v>
      </c>
      <c r="U2059" s="1">
        <v>45587</v>
      </c>
      <c r="V2059">
        <v>95.44</v>
      </c>
      <c r="W2059">
        <v>0.47099999999999997</v>
      </c>
      <c r="X2059" t="str">
        <f>IF(WarehouseData[[#This Row],[stock_level]]&lt;=WarehouseData[[#This Row],[reorder_point]],"Low Stock","Sufficient Stock")</f>
        <v>Sufficient Stock</v>
      </c>
      <c r="Y2059">
        <f>WarehouseData[[#This Row],[daily_demand]]*WarehouseData[[#This Row],[lead_time_days]]</f>
        <v>69.900000000000006</v>
      </c>
      <c r="Z2059" t="str">
        <f>IF(WarehouseData[[#This Row],[stock_level]]&lt;=WarehouseData[[#This Row],[Demand During Lead Time]],"At Risk","Safe")</f>
        <v>Safe</v>
      </c>
      <c r="AA2059">
        <f>WarehouseData[[#This Row],[stock_level]]/WarehouseData[[#This Row],[daily_demand]]</f>
        <v>4.177396280400572</v>
      </c>
      <c r="AB2059">
        <f>WarehouseData[[#This Row],[stock_level]]*WarehouseData[[#This Row],[unit_price]]</f>
        <v>6463.42</v>
      </c>
      <c r="AC2059">
        <f>WarehouseData[[#This Row],[stock_level]]*WarehouseData[[#This Row],[holding_cost_per_unit_day]]*30</f>
        <v>3723</v>
      </c>
      <c r="AD2059" t="str">
        <f>IF(WarehouseData[[#This Row],[order_fulfillment_rate]]&gt;=0.9,"Strong",IF(WarehouseData[[#This Row],[order_fulfillment_rate]]&gt;=0.8,"Moderate","Needs Attention"))</f>
        <v>Needs Attention</v>
      </c>
      <c r="AE2059" t="str">
        <f>IF(WarehouseData[[#This Row],[picking_time_seconds]]&gt;120,"Slow",IF(WarehouseData[[#This Row],[picking_time_seconds]]&gt;=60,"Average","Fast"))</f>
        <v>Slow</v>
      </c>
    </row>
    <row r="2060" spans="1:31" x14ac:dyDescent="0.25">
      <c r="A2060" t="s">
        <v>2198</v>
      </c>
      <c r="B2060" t="s">
        <v>32</v>
      </c>
      <c r="C2060">
        <v>444</v>
      </c>
      <c r="D2060">
        <v>54</v>
      </c>
      <c r="E2060">
        <v>10</v>
      </c>
      <c r="F2060">
        <v>7</v>
      </c>
      <c r="G2060">
        <v>10.8</v>
      </c>
      <c r="H2060">
        <v>5.14</v>
      </c>
      <c r="I2060">
        <v>0.5</v>
      </c>
      <c r="J2060" t="s">
        <v>259</v>
      </c>
      <c r="K2060" t="s">
        <v>34</v>
      </c>
      <c r="L2060">
        <v>13</v>
      </c>
      <c r="M2060">
        <v>3.34</v>
      </c>
      <c r="N2060">
        <v>37.67</v>
      </c>
      <c r="O2060">
        <v>1.33</v>
      </c>
      <c r="P2060">
        <v>2</v>
      </c>
      <c r="Q2060">
        <v>0.85</v>
      </c>
      <c r="R2060">
        <v>97</v>
      </c>
      <c r="S2060">
        <v>2.5</v>
      </c>
      <c r="T2060">
        <v>0.4</v>
      </c>
      <c r="U2060" s="1">
        <v>45581</v>
      </c>
      <c r="V2060">
        <v>128.96</v>
      </c>
      <c r="W2060">
        <v>0.51</v>
      </c>
      <c r="X2060" t="str">
        <f>IF(WarehouseData[[#This Row],[stock_level]]&lt;=WarehouseData[[#This Row],[reorder_point]],"Low Stock","Sufficient Stock")</f>
        <v>Sufficient Stock</v>
      </c>
      <c r="Y2060">
        <f>WarehouseData[[#This Row],[daily_demand]]*WarehouseData[[#This Row],[lead_time_days]]</f>
        <v>75.600000000000009</v>
      </c>
      <c r="Z2060" t="str">
        <f>IF(WarehouseData[[#This Row],[stock_level]]&lt;=WarehouseData[[#This Row],[Demand During Lead Time]],"At Risk","Safe")</f>
        <v>Safe</v>
      </c>
      <c r="AA2060">
        <f>WarehouseData[[#This Row],[stock_level]]/WarehouseData[[#This Row],[daily_demand]]</f>
        <v>41.111111111111107</v>
      </c>
      <c r="AB2060">
        <f>WarehouseData[[#This Row],[stock_level]]*WarehouseData[[#This Row],[unit_price]]</f>
        <v>16725.48</v>
      </c>
      <c r="AC2060">
        <f>WarehouseData[[#This Row],[stock_level]]*WarehouseData[[#This Row],[holding_cost_per_unit_day]]*30</f>
        <v>17715.599999999999</v>
      </c>
      <c r="AD2060" t="str">
        <f>IF(WarehouseData[[#This Row],[order_fulfillment_rate]]&gt;=0.9,"Strong",IF(WarehouseData[[#This Row],[order_fulfillment_rate]]&gt;=0.8,"Moderate","Needs Attention"))</f>
        <v>Moderate</v>
      </c>
      <c r="AE2060" t="str">
        <f>IF(WarehouseData[[#This Row],[picking_time_seconds]]&gt;120,"Slow",IF(WarehouseData[[#This Row],[picking_time_seconds]]&gt;=60,"Average","Fast"))</f>
        <v>Fast</v>
      </c>
    </row>
    <row r="2061" spans="1:31" x14ac:dyDescent="0.25">
      <c r="A2061" t="s">
        <v>2199</v>
      </c>
      <c r="B2061" t="s">
        <v>36</v>
      </c>
      <c r="C2061">
        <v>306</v>
      </c>
      <c r="D2061">
        <v>35</v>
      </c>
      <c r="E2061">
        <v>11</v>
      </c>
      <c r="F2061">
        <v>3</v>
      </c>
      <c r="G2061">
        <v>48.69</v>
      </c>
      <c r="H2061">
        <v>6.82</v>
      </c>
      <c r="I2061">
        <v>0.71</v>
      </c>
      <c r="J2061" t="s">
        <v>152</v>
      </c>
      <c r="K2061" t="s">
        <v>46</v>
      </c>
      <c r="L2061">
        <v>61</v>
      </c>
      <c r="M2061">
        <v>1.6</v>
      </c>
      <c r="N2061">
        <v>99.65</v>
      </c>
      <c r="O2061">
        <v>0.85</v>
      </c>
      <c r="P2061">
        <v>3</v>
      </c>
      <c r="Q2061">
        <v>0.91</v>
      </c>
      <c r="R2061">
        <v>514</v>
      </c>
      <c r="S2061">
        <v>13.72</v>
      </c>
      <c r="T2061">
        <v>0.57999999999999996</v>
      </c>
      <c r="U2061" s="1">
        <v>45406</v>
      </c>
      <c r="V2061">
        <v>251.25</v>
      </c>
      <c r="W2061">
        <v>0.73599999999999999</v>
      </c>
      <c r="X2061" t="str">
        <f>IF(WarehouseData[[#This Row],[stock_level]]&lt;=WarehouseData[[#This Row],[reorder_point]],"Low Stock","Sufficient Stock")</f>
        <v>Sufficient Stock</v>
      </c>
      <c r="Y2061">
        <f>WarehouseData[[#This Row],[daily_demand]]*WarehouseData[[#This Row],[lead_time_days]]</f>
        <v>146.07</v>
      </c>
      <c r="Z2061" t="str">
        <f>IF(WarehouseData[[#This Row],[stock_level]]&lt;=WarehouseData[[#This Row],[Demand During Lead Time]],"At Risk","Safe")</f>
        <v>Safe</v>
      </c>
      <c r="AA2061">
        <f>WarehouseData[[#This Row],[stock_level]]/WarehouseData[[#This Row],[daily_demand]]</f>
        <v>6.2846580406654349</v>
      </c>
      <c r="AB2061">
        <f>WarehouseData[[#This Row],[stock_level]]*WarehouseData[[#This Row],[unit_price]]</f>
        <v>30492.9</v>
      </c>
      <c r="AC2061">
        <f>WarehouseData[[#This Row],[stock_level]]*WarehouseData[[#This Row],[holding_cost_per_unit_day]]*30</f>
        <v>7802.9999999999991</v>
      </c>
      <c r="AD2061" t="str">
        <f>IF(WarehouseData[[#This Row],[order_fulfillment_rate]]&gt;=0.9,"Strong",IF(WarehouseData[[#This Row],[order_fulfillment_rate]]&gt;=0.8,"Moderate","Needs Attention"))</f>
        <v>Strong</v>
      </c>
      <c r="AE2061" t="str">
        <f>IF(WarehouseData[[#This Row],[picking_time_seconds]]&gt;120,"Slow",IF(WarehouseData[[#This Row],[picking_time_seconds]]&gt;=60,"Average","Fast"))</f>
        <v>Average</v>
      </c>
    </row>
    <row r="2062" spans="1:31" x14ac:dyDescent="0.25">
      <c r="A2062" t="s">
        <v>2200</v>
      </c>
      <c r="B2062" t="s">
        <v>36</v>
      </c>
      <c r="C2062">
        <v>273</v>
      </c>
      <c r="D2062">
        <v>86</v>
      </c>
      <c r="E2062">
        <v>9</v>
      </c>
      <c r="F2062">
        <v>9</v>
      </c>
      <c r="G2062">
        <v>18.149999999999999</v>
      </c>
      <c r="H2062">
        <v>4.03</v>
      </c>
      <c r="I2062">
        <v>0.52</v>
      </c>
      <c r="J2062" t="s">
        <v>334</v>
      </c>
      <c r="K2062" t="s">
        <v>38</v>
      </c>
      <c r="L2062">
        <v>155</v>
      </c>
      <c r="M2062">
        <v>0.72</v>
      </c>
      <c r="N2062">
        <v>80.41</v>
      </c>
      <c r="O2062">
        <v>1.77</v>
      </c>
      <c r="P2062">
        <v>2</v>
      </c>
      <c r="Q2062">
        <v>0.83</v>
      </c>
      <c r="R2062">
        <v>721</v>
      </c>
      <c r="S2062">
        <v>10.98</v>
      </c>
      <c r="T2062">
        <v>0.21</v>
      </c>
      <c r="U2062" s="1">
        <v>45634</v>
      </c>
      <c r="V2062">
        <v>262.66000000000003</v>
      </c>
      <c r="W2062">
        <v>0.53700000000000003</v>
      </c>
      <c r="X2062" t="str">
        <f>IF(WarehouseData[[#This Row],[stock_level]]&lt;=WarehouseData[[#This Row],[reorder_point]],"Low Stock","Sufficient Stock")</f>
        <v>Sufficient Stock</v>
      </c>
      <c r="Y2062">
        <f>WarehouseData[[#This Row],[daily_demand]]*WarehouseData[[#This Row],[lead_time_days]]</f>
        <v>163.35</v>
      </c>
      <c r="Z2062" t="str">
        <f>IF(WarehouseData[[#This Row],[stock_level]]&lt;=WarehouseData[[#This Row],[Demand During Lead Time]],"At Risk","Safe")</f>
        <v>Safe</v>
      </c>
      <c r="AA2062">
        <f>WarehouseData[[#This Row],[stock_level]]/WarehouseData[[#This Row],[daily_demand]]</f>
        <v>15.041322314049587</v>
      </c>
      <c r="AB2062">
        <f>WarehouseData[[#This Row],[stock_level]]*WarehouseData[[#This Row],[unit_price]]</f>
        <v>21951.93</v>
      </c>
      <c r="AC2062">
        <f>WarehouseData[[#This Row],[stock_level]]*WarehouseData[[#This Row],[holding_cost_per_unit_day]]*30</f>
        <v>14496.3</v>
      </c>
      <c r="AD2062" t="str">
        <f>IF(WarehouseData[[#This Row],[order_fulfillment_rate]]&gt;=0.9,"Strong",IF(WarehouseData[[#This Row],[order_fulfillment_rate]]&gt;=0.8,"Moderate","Needs Attention"))</f>
        <v>Moderate</v>
      </c>
      <c r="AE2062" t="str">
        <f>IF(WarehouseData[[#This Row],[picking_time_seconds]]&gt;120,"Slow",IF(WarehouseData[[#This Row],[picking_time_seconds]]&gt;=60,"Average","Fast"))</f>
        <v>Slow</v>
      </c>
    </row>
    <row r="2063" spans="1:31" x14ac:dyDescent="0.25">
      <c r="A2063" t="s">
        <v>2201</v>
      </c>
      <c r="B2063" t="s">
        <v>36</v>
      </c>
      <c r="C2063">
        <v>232</v>
      </c>
      <c r="D2063">
        <v>74</v>
      </c>
      <c r="E2063">
        <v>9</v>
      </c>
      <c r="F2063">
        <v>6</v>
      </c>
      <c r="G2063">
        <v>42.45</v>
      </c>
      <c r="H2063">
        <v>9.4700000000000006</v>
      </c>
      <c r="I2063">
        <v>0.21</v>
      </c>
      <c r="J2063" t="s">
        <v>152</v>
      </c>
      <c r="K2063" t="s">
        <v>46</v>
      </c>
      <c r="L2063">
        <v>108</v>
      </c>
      <c r="M2063">
        <v>3.14</v>
      </c>
      <c r="N2063">
        <v>116.64</v>
      </c>
      <c r="O2063">
        <v>1.34</v>
      </c>
      <c r="P2063">
        <v>2</v>
      </c>
      <c r="Q2063">
        <v>0.96</v>
      </c>
      <c r="R2063">
        <v>995</v>
      </c>
      <c r="S2063">
        <v>12.27</v>
      </c>
      <c r="T2063">
        <v>0.27</v>
      </c>
      <c r="U2063" s="1">
        <v>45465</v>
      </c>
      <c r="V2063">
        <v>227.93</v>
      </c>
      <c r="W2063">
        <v>0.63600000000000001</v>
      </c>
      <c r="X2063" t="str">
        <f>IF(WarehouseData[[#This Row],[stock_level]]&lt;=WarehouseData[[#This Row],[reorder_point]],"Low Stock","Sufficient Stock")</f>
        <v>Sufficient Stock</v>
      </c>
      <c r="Y2063">
        <f>WarehouseData[[#This Row],[daily_demand]]*WarehouseData[[#This Row],[lead_time_days]]</f>
        <v>254.70000000000002</v>
      </c>
      <c r="Z2063" t="str">
        <f>IF(WarehouseData[[#This Row],[stock_level]]&lt;=WarehouseData[[#This Row],[Demand During Lead Time]],"At Risk","Safe")</f>
        <v>At Risk</v>
      </c>
      <c r="AA2063">
        <f>WarehouseData[[#This Row],[stock_level]]/WarehouseData[[#This Row],[daily_demand]]</f>
        <v>5.465253239104829</v>
      </c>
      <c r="AB2063">
        <f>WarehouseData[[#This Row],[stock_level]]*WarehouseData[[#This Row],[unit_price]]</f>
        <v>27060.48</v>
      </c>
      <c r="AC2063">
        <f>WarehouseData[[#This Row],[stock_level]]*WarehouseData[[#This Row],[holding_cost_per_unit_day]]*30</f>
        <v>9326.4</v>
      </c>
      <c r="AD2063" t="str">
        <f>IF(WarehouseData[[#This Row],[order_fulfillment_rate]]&gt;=0.9,"Strong",IF(WarehouseData[[#This Row],[order_fulfillment_rate]]&gt;=0.8,"Moderate","Needs Attention"))</f>
        <v>Strong</v>
      </c>
      <c r="AE2063" t="str">
        <f>IF(WarehouseData[[#This Row],[picking_time_seconds]]&gt;120,"Slow",IF(WarehouseData[[#This Row],[picking_time_seconds]]&gt;=60,"Average","Fast"))</f>
        <v>Average</v>
      </c>
    </row>
    <row r="2064" spans="1:31" x14ac:dyDescent="0.25">
      <c r="A2064" t="s">
        <v>2202</v>
      </c>
      <c r="B2064" t="s">
        <v>73</v>
      </c>
      <c r="C2064">
        <v>269</v>
      </c>
      <c r="D2064">
        <v>33</v>
      </c>
      <c r="E2064">
        <v>14</v>
      </c>
      <c r="F2064">
        <v>7</v>
      </c>
      <c r="G2064">
        <v>47.32</v>
      </c>
      <c r="H2064">
        <v>7.2</v>
      </c>
      <c r="I2064">
        <v>0.15</v>
      </c>
      <c r="J2064" t="s">
        <v>338</v>
      </c>
      <c r="K2064" t="s">
        <v>52</v>
      </c>
      <c r="L2064">
        <v>178</v>
      </c>
      <c r="M2064">
        <v>0.71</v>
      </c>
      <c r="N2064">
        <v>189.94</v>
      </c>
      <c r="O2064">
        <v>1.2</v>
      </c>
      <c r="P2064">
        <v>1</v>
      </c>
      <c r="Q2064">
        <v>0.89</v>
      </c>
      <c r="R2064">
        <v>959</v>
      </c>
      <c r="S2064">
        <v>8.44</v>
      </c>
      <c r="T2064">
        <v>0.78</v>
      </c>
      <c r="U2064" s="1">
        <v>45557</v>
      </c>
      <c r="V2064">
        <v>147</v>
      </c>
      <c r="W2064">
        <v>0.70699999999999996</v>
      </c>
      <c r="X2064" t="str">
        <f>IF(WarehouseData[[#This Row],[stock_level]]&lt;=WarehouseData[[#This Row],[reorder_point]],"Low Stock","Sufficient Stock")</f>
        <v>Sufficient Stock</v>
      </c>
      <c r="Y2064">
        <f>WarehouseData[[#This Row],[daily_demand]]*WarehouseData[[#This Row],[lead_time_days]]</f>
        <v>331.24</v>
      </c>
      <c r="Z2064" t="str">
        <f>IF(WarehouseData[[#This Row],[stock_level]]&lt;=WarehouseData[[#This Row],[Demand During Lead Time]],"At Risk","Safe")</f>
        <v>At Risk</v>
      </c>
      <c r="AA2064">
        <f>WarehouseData[[#This Row],[stock_level]]/WarehouseData[[#This Row],[daily_demand]]</f>
        <v>5.684699915469146</v>
      </c>
      <c r="AB2064">
        <f>WarehouseData[[#This Row],[stock_level]]*WarehouseData[[#This Row],[unit_price]]</f>
        <v>51093.86</v>
      </c>
      <c r="AC2064">
        <f>WarehouseData[[#This Row],[stock_level]]*WarehouseData[[#This Row],[holding_cost_per_unit_day]]*30</f>
        <v>9684</v>
      </c>
      <c r="AD2064" t="str">
        <f>IF(WarehouseData[[#This Row],[order_fulfillment_rate]]&gt;=0.9,"Strong",IF(WarehouseData[[#This Row],[order_fulfillment_rate]]&gt;=0.8,"Moderate","Needs Attention"))</f>
        <v>Moderate</v>
      </c>
      <c r="AE2064" t="str">
        <f>IF(WarehouseData[[#This Row],[picking_time_seconds]]&gt;120,"Slow",IF(WarehouseData[[#This Row],[picking_time_seconds]]&gt;=60,"Average","Fast"))</f>
        <v>Slow</v>
      </c>
    </row>
    <row r="2065" spans="1:31" x14ac:dyDescent="0.25">
      <c r="A2065" t="s">
        <v>2203</v>
      </c>
      <c r="B2065" t="s">
        <v>48</v>
      </c>
      <c r="C2065">
        <v>103</v>
      </c>
      <c r="D2065">
        <v>83</v>
      </c>
      <c r="E2065">
        <v>13</v>
      </c>
      <c r="F2065">
        <v>3</v>
      </c>
      <c r="G2065">
        <v>43.37</v>
      </c>
      <c r="H2065">
        <v>7.66</v>
      </c>
      <c r="I2065">
        <v>0.96</v>
      </c>
      <c r="J2065" t="s">
        <v>447</v>
      </c>
      <c r="K2065" t="s">
        <v>52</v>
      </c>
      <c r="L2065">
        <v>102</v>
      </c>
      <c r="M2065">
        <v>3.76</v>
      </c>
      <c r="N2065">
        <v>154.57</v>
      </c>
      <c r="O2065">
        <v>1.96</v>
      </c>
      <c r="P2065">
        <v>5</v>
      </c>
      <c r="Q2065">
        <v>0.99</v>
      </c>
      <c r="R2065">
        <v>322</v>
      </c>
      <c r="S2065">
        <v>2.76</v>
      </c>
      <c r="T2065">
        <v>0.53</v>
      </c>
      <c r="U2065" s="1">
        <v>45559</v>
      </c>
      <c r="V2065">
        <v>56.95</v>
      </c>
      <c r="W2065">
        <v>0.44500000000000001</v>
      </c>
      <c r="X2065" t="str">
        <f>IF(WarehouseData[[#This Row],[stock_level]]&lt;=WarehouseData[[#This Row],[reorder_point]],"Low Stock","Sufficient Stock")</f>
        <v>Sufficient Stock</v>
      </c>
      <c r="Y2065">
        <f>WarehouseData[[#This Row],[daily_demand]]*WarehouseData[[#This Row],[lead_time_days]]</f>
        <v>130.10999999999999</v>
      </c>
      <c r="Z2065" t="str">
        <f>IF(WarehouseData[[#This Row],[stock_level]]&lt;=WarehouseData[[#This Row],[Demand During Lead Time]],"At Risk","Safe")</f>
        <v>At Risk</v>
      </c>
      <c r="AA2065">
        <f>WarehouseData[[#This Row],[stock_level]]/WarehouseData[[#This Row],[daily_demand]]</f>
        <v>2.3749135347014065</v>
      </c>
      <c r="AB2065">
        <f>WarehouseData[[#This Row],[stock_level]]*WarehouseData[[#This Row],[unit_price]]</f>
        <v>15920.71</v>
      </c>
      <c r="AC2065">
        <f>WarehouseData[[#This Row],[stock_level]]*WarehouseData[[#This Row],[holding_cost_per_unit_day]]*30</f>
        <v>6056.4</v>
      </c>
      <c r="AD2065" t="str">
        <f>IF(WarehouseData[[#This Row],[order_fulfillment_rate]]&gt;=0.9,"Strong",IF(WarehouseData[[#This Row],[order_fulfillment_rate]]&gt;=0.8,"Moderate","Needs Attention"))</f>
        <v>Strong</v>
      </c>
      <c r="AE2065" t="str">
        <f>IF(WarehouseData[[#This Row],[picking_time_seconds]]&gt;120,"Slow",IF(WarehouseData[[#This Row],[picking_time_seconds]]&gt;=60,"Average","Fast"))</f>
        <v>Average</v>
      </c>
    </row>
    <row r="2066" spans="1:31" x14ac:dyDescent="0.25">
      <c r="A2066" t="s">
        <v>2204</v>
      </c>
      <c r="B2066" t="s">
        <v>73</v>
      </c>
      <c r="C2066">
        <v>402</v>
      </c>
      <c r="D2066">
        <v>44</v>
      </c>
      <c r="E2066">
        <v>10</v>
      </c>
      <c r="F2066">
        <v>7</v>
      </c>
      <c r="G2066">
        <v>4.29</v>
      </c>
      <c r="H2066">
        <v>2.8</v>
      </c>
      <c r="I2066">
        <v>0.65</v>
      </c>
      <c r="J2066" t="s">
        <v>75</v>
      </c>
      <c r="K2066" t="s">
        <v>46</v>
      </c>
      <c r="L2066">
        <v>126</v>
      </c>
      <c r="M2066">
        <v>3.52</v>
      </c>
      <c r="N2066">
        <v>140.54</v>
      </c>
      <c r="O2066">
        <v>0.63</v>
      </c>
      <c r="P2066">
        <v>9</v>
      </c>
      <c r="Q2066">
        <v>0.79</v>
      </c>
      <c r="R2066">
        <v>657</v>
      </c>
      <c r="S2066">
        <v>8.52</v>
      </c>
      <c r="T2066">
        <v>0.49</v>
      </c>
      <c r="U2066" s="1">
        <v>45644</v>
      </c>
      <c r="V2066">
        <v>20.21</v>
      </c>
      <c r="W2066">
        <v>0.52700000000000002</v>
      </c>
      <c r="X2066" t="str">
        <f>IF(WarehouseData[[#This Row],[stock_level]]&lt;=WarehouseData[[#This Row],[reorder_point]],"Low Stock","Sufficient Stock")</f>
        <v>Sufficient Stock</v>
      </c>
      <c r="Y2066">
        <f>WarehouseData[[#This Row],[daily_demand]]*WarehouseData[[#This Row],[lead_time_days]]</f>
        <v>30.03</v>
      </c>
      <c r="Z2066" t="str">
        <f>IF(WarehouseData[[#This Row],[stock_level]]&lt;=WarehouseData[[#This Row],[Demand During Lead Time]],"At Risk","Safe")</f>
        <v>Safe</v>
      </c>
      <c r="AA2066">
        <f>WarehouseData[[#This Row],[stock_level]]/WarehouseData[[#This Row],[daily_demand]]</f>
        <v>93.706293706293707</v>
      </c>
      <c r="AB2066">
        <f>WarehouseData[[#This Row],[stock_level]]*WarehouseData[[#This Row],[unit_price]]</f>
        <v>56497.079999999994</v>
      </c>
      <c r="AC2066">
        <f>WarehouseData[[#This Row],[stock_level]]*WarehouseData[[#This Row],[holding_cost_per_unit_day]]*30</f>
        <v>7597.7999999999993</v>
      </c>
      <c r="AD2066" t="str">
        <f>IF(WarehouseData[[#This Row],[order_fulfillment_rate]]&gt;=0.9,"Strong",IF(WarehouseData[[#This Row],[order_fulfillment_rate]]&gt;=0.8,"Moderate","Needs Attention"))</f>
        <v>Needs Attention</v>
      </c>
      <c r="AE2066" t="str">
        <f>IF(WarehouseData[[#This Row],[picking_time_seconds]]&gt;120,"Slow",IF(WarehouseData[[#This Row],[picking_time_seconds]]&gt;=60,"Average","Fast"))</f>
        <v>Slow</v>
      </c>
    </row>
    <row r="2067" spans="1:31" x14ac:dyDescent="0.25">
      <c r="A2067" t="s">
        <v>2205</v>
      </c>
      <c r="B2067" t="s">
        <v>32</v>
      </c>
      <c r="C2067">
        <v>425</v>
      </c>
      <c r="D2067">
        <v>33</v>
      </c>
      <c r="E2067">
        <v>8</v>
      </c>
      <c r="F2067">
        <v>2</v>
      </c>
      <c r="G2067">
        <v>32.869999999999997</v>
      </c>
      <c r="H2067">
        <v>2.1</v>
      </c>
      <c r="I2067">
        <v>0.19</v>
      </c>
      <c r="J2067" t="s">
        <v>110</v>
      </c>
      <c r="K2067" t="s">
        <v>34</v>
      </c>
      <c r="L2067">
        <v>13</v>
      </c>
      <c r="M2067">
        <v>2.16</v>
      </c>
      <c r="N2067">
        <v>89.03</v>
      </c>
      <c r="O2067">
        <v>0.22</v>
      </c>
      <c r="P2067">
        <v>5</v>
      </c>
      <c r="Q2067">
        <v>0.98</v>
      </c>
      <c r="R2067">
        <v>79</v>
      </c>
      <c r="S2067">
        <v>5.61</v>
      </c>
      <c r="T2067">
        <v>0.21</v>
      </c>
      <c r="U2067" s="1">
        <v>45650</v>
      </c>
      <c r="V2067">
        <v>212.8</v>
      </c>
      <c r="W2067">
        <v>0.59099999999999997</v>
      </c>
      <c r="X2067" t="str">
        <f>IF(WarehouseData[[#This Row],[stock_level]]&lt;=WarehouseData[[#This Row],[reorder_point]],"Low Stock","Sufficient Stock")</f>
        <v>Sufficient Stock</v>
      </c>
      <c r="Y2067">
        <f>WarehouseData[[#This Row],[daily_demand]]*WarehouseData[[#This Row],[lead_time_days]]</f>
        <v>65.739999999999995</v>
      </c>
      <c r="Z2067" t="str">
        <f>IF(WarehouseData[[#This Row],[stock_level]]&lt;=WarehouseData[[#This Row],[Demand During Lead Time]],"At Risk","Safe")</f>
        <v>Safe</v>
      </c>
      <c r="AA2067">
        <f>WarehouseData[[#This Row],[stock_level]]/WarehouseData[[#This Row],[daily_demand]]</f>
        <v>12.929723151810162</v>
      </c>
      <c r="AB2067">
        <f>WarehouseData[[#This Row],[stock_level]]*WarehouseData[[#This Row],[unit_price]]</f>
        <v>37837.75</v>
      </c>
      <c r="AC2067">
        <f>WarehouseData[[#This Row],[stock_level]]*WarehouseData[[#This Row],[holding_cost_per_unit_day]]*30</f>
        <v>2805</v>
      </c>
      <c r="AD2067" t="str">
        <f>IF(WarehouseData[[#This Row],[order_fulfillment_rate]]&gt;=0.9,"Strong",IF(WarehouseData[[#This Row],[order_fulfillment_rate]]&gt;=0.8,"Moderate","Needs Attention"))</f>
        <v>Strong</v>
      </c>
      <c r="AE2067" t="str">
        <f>IF(WarehouseData[[#This Row],[picking_time_seconds]]&gt;120,"Slow",IF(WarehouseData[[#This Row],[picking_time_seconds]]&gt;=60,"Average","Fast"))</f>
        <v>Fast</v>
      </c>
    </row>
    <row r="2068" spans="1:31" x14ac:dyDescent="0.25">
      <c r="A2068" t="s">
        <v>2206</v>
      </c>
      <c r="B2068" t="s">
        <v>73</v>
      </c>
      <c r="C2068">
        <v>407</v>
      </c>
      <c r="D2068">
        <v>37</v>
      </c>
      <c r="E2068">
        <v>13</v>
      </c>
      <c r="F2068">
        <v>2</v>
      </c>
      <c r="G2068">
        <v>6.88</v>
      </c>
      <c r="H2068">
        <v>4.25</v>
      </c>
      <c r="I2068">
        <v>0.87</v>
      </c>
      <c r="J2068" t="s">
        <v>166</v>
      </c>
      <c r="K2068" t="s">
        <v>46</v>
      </c>
      <c r="L2068">
        <v>94</v>
      </c>
      <c r="M2068">
        <v>2.35</v>
      </c>
      <c r="N2068">
        <v>64.599999999999994</v>
      </c>
      <c r="O2068">
        <v>1.08</v>
      </c>
      <c r="P2068">
        <v>9</v>
      </c>
      <c r="Q2068">
        <v>0.88</v>
      </c>
      <c r="R2068">
        <v>682</v>
      </c>
      <c r="S2068">
        <v>1.1399999999999999</v>
      </c>
      <c r="T2068">
        <v>0.44</v>
      </c>
      <c r="U2068" s="1">
        <v>45608</v>
      </c>
      <c r="V2068">
        <v>298.3</v>
      </c>
      <c r="W2068">
        <v>0.39100000000000001</v>
      </c>
      <c r="X2068" t="str">
        <f>IF(WarehouseData[[#This Row],[stock_level]]&lt;=WarehouseData[[#This Row],[reorder_point]],"Low Stock","Sufficient Stock")</f>
        <v>Sufficient Stock</v>
      </c>
      <c r="Y2068">
        <f>WarehouseData[[#This Row],[daily_demand]]*WarehouseData[[#This Row],[lead_time_days]]</f>
        <v>13.76</v>
      </c>
      <c r="Z2068" t="str">
        <f>IF(WarehouseData[[#This Row],[stock_level]]&lt;=WarehouseData[[#This Row],[Demand During Lead Time]],"At Risk","Safe")</f>
        <v>Safe</v>
      </c>
      <c r="AA2068">
        <f>WarehouseData[[#This Row],[stock_level]]/WarehouseData[[#This Row],[daily_demand]]</f>
        <v>59.156976744186046</v>
      </c>
      <c r="AB2068">
        <f>WarehouseData[[#This Row],[stock_level]]*WarehouseData[[#This Row],[unit_price]]</f>
        <v>26292.199999999997</v>
      </c>
      <c r="AC2068">
        <f>WarehouseData[[#This Row],[stock_level]]*WarehouseData[[#This Row],[holding_cost_per_unit_day]]*30</f>
        <v>13186.8</v>
      </c>
      <c r="AD2068" t="str">
        <f>IF(WarehouseData[[#This Row],[order_fulfillment_rate]]&gt;=0.9,"Strong",IF(WarehouseData[[#This Row],[order_fulfillment_rate]]&gt;=0.8,"Moderate","Needs Attention"))</f>
        <v>Moderate</v>
      </c>
      <c r="AE2068" t="str">
        <f>IF(WarehouseData[[#This Row],[picking_time_seconds]]&gt;120,"Slow",IF(WarehouseData[[#This Row],[picking_time_seconds]]&gt;=60,"Average","Fast"))</f>
        <v>Average</v>
      </c>
    </row>
    <row r="2069" spans="1:31" x14ac:dyDescent="0.25">
      <c r="A2069" t="s">
        <v>2207</v>
      </c>
      <c r="B2069" t="s">
        <v>32</v>
      </c>
      <c r="C2069">
        <v>32</v>
      </c>
      <c r="D2069">
        <v>89</v>
      </c>
      <c r="E2069">
        <v>5</v>
      </c>
      <c r="F2069">
        <v>7</v>
      </c>
      <c r="G2069">
        <v>1.28</v>
      </c>
      <c r="H2069">
        <v>7.78</v>
      </c>
      <c r="I2069">
        <v>0.56999999999999995</v>
      </c>
      <c r="J2069" t="s">
        <v>332</v>
      </c>
      <c r="K2069" t="s">
        <v>52</v>
      </c>
      <c r="L2069">
        <v>176</v>
      </c>
      <c r="M2069">
        <v>4.63</v>
      </c>
      <c r="N2069">
        <v>112.65</v>
      </c>
      <c r="O2069">
        <v>0.91</v>
      </c>
      <c r="P2069">
        <v>3</v>
      </c>
      <c r="Q2069">
        <v>0.92</v>
      </c>
      <c r="R2069">
        <v>928</v>
      </c>
      <c r="S2069">
        <v>9.61</v>
      </c>
      <c r="T2069">
        <v>0.86</v>
      </c>
      <c r="U2069" s="1">
        <v>45340</v>
      </c>
      <c r="V2069">
        <v>110.19</v>
      </c>
      <c r="W2069">
        <v>0.73299999999999998</v>
      </c>
      <c r="X2069" t="str">
        <f>IF(WarehouseData[[#This Row],[stock_level]]&lt;=WarehouseData[[#This Row],[reorder_point]],"Low Stock","Sufficient Stock")</f>
        <v>Low Stock</v>
      </c>
      <c r="Y2069">
        <f>WarehouseData[[#This Row],[daily_demand]]*WarehouseData[[#This Row],[lead_time_days]]</f>
        <v>8.9600000000000009</v>
      </c>
      <c r="Z2069" t="str">
        <f>IF(WarehouseData[[#This Row],[stock_level]]&lt;=WarehouseData[[#This Row],[Demand During Lead Time]],"At Risk","Safe")</f>
        <v>Safe</v>
      </c>
      <c r="AA2069">
        <f>WarehouseData[[#This Row],[stock_level]]/WarehouseData[[#This Row],[daily_demand]]</f>
        <v>25</v>
      </c>
      <c r="AB2069">
        <f>WarehouseData[[#This Row],[stock_level]]*WarehouseData[[#This Row],[unit_price]]</f>
        <v>3604.8</v>
      </c>
      <c r="AC2069">
        <f>WarehouseData[[#This Row],[stock_level]]*WarehouseData[[#This Row],[holding_cost_per_unit_day]]*30</f>
        <v>873.6</v>
      </c>
      <c r="AD2069" t="str">
        <f>IF(WarehouseData[[#This Row],[order_fulfillment_rate]]&gt;=0.9,"Strong",IF(WarehouseData[[#This Row],[order_fulfillment_rate]]&gt;=0.8,"Moderate","Needs Attention"))</f>
        <v>Strong</v>
      </c>
      <c r="AE2069" t="str">
        <f>IF(WarehouseData[[#This Row],[picking_time_seconds]]&gt;120,"Slow",IF(WarehouseData[[#This Row],[picking_time_seconds]]&gt;=60,"Average","Fast"))</f>
        <v>Slow</v>
      </c>
    </row>
    <row r="2070" spans="1:31" x14ac:dyDescent="0.25">
      <c r="A2070" t="s">
        <v>2208</v>
      </c>
      <c r="B2070" t="s">
        <v>32</v>
      </c>
      <c r="C2070">
        <v>64</v>
      </c>
      <c r="D2070">
        <v>25</v>
      </c>
      <c r="E2070">
        <v>3</v>
      </c>
      <c r="F2070">
        <v>9</v>
      </c>
      <c r="G2070">
        <v>3.54</v>
      </c>
      <c r="H2070">
        <v>9.42</v>
      </c>
      <c r="I2070">
        <v>0.79</v>
      </c>
      <c r="J2070" t="s">
        <v>156</v>
      </c>
      <c r="K2070" t="s">
        <v>38</v>
      </c>
      <c r="L2070">
        <v>16</v>
      </c>
      <c r="M2070">
        <v>0.56000000000000005</v>
      </c>
      <c r="N2070">
        <v>178.23</v>
      </c>
      <c r="O2070">
        <v>0.96</v>
      </c>
      <c r="P2070">
        <v>7</v>
      </c>
      <c r="Q2070">
        <v>0.97</v>
      </c>
      <c r="R2070">
        <v>996</v>
      </c>
      <c r="S2070">
        <v>12.95</v>
      </c>
      <c r="T2070">
        <v>0.47</v>
      </c>
      <c r="U2070" s="1">
        <v>45513</v>
      </c>
      <c r="V2070">
        <v>174.93</v>
      </c>
      <c r="W2070">
        <v>0.625</v>
      </c>
      <c r="X2070" t="str">
        <f>IF(WarehouseData[[#This Row],[stock_level]]&lt;=WarehouseData[[#This Row],[reorder_point]],"Low Stock","Sufficient Stock")</f>
        <v>Sufficient Stock</v>
      </c>
      <c r="Y2070">
        <f>WarehouseData[[#This Row],[daily_demand]]*WarehouseData[[#This Row],[lead_time_days]]</f>
        <v>31.86</v>
      </c>
      <c r="Z2070" t="str">
        <f>IF(WarehouseData[[#This Row],[stock_level]]&lt;=WarehouseData[[#This Row],[Demand During Lead Time]],"At Risk","Safe")</f>
        <v>Safe</v>
      </c>
      <c r="AA2070">
        <f>WarehouseData[[#This Row],[stock_level]]/WarehouseData[[#This Row],[daily_demand]]</f>
        <v>18.07909604519774</v>
      </c>
      <c r="AB2070">
        <f>WarehouseData[[#This Row],[stock_level]]*WarehouseData[[#This Row],[unit_price]]</f>
        <v>11406.72</v>
      </c>
      <c r="AC2070">
        <f>WarehouseData[[#This Row],[stock_level]]*WarehouseData[[#This Row],[holding_cost_per_unit_day]]*30</f>
        <v>1843.1999999999998</v>
      </c>
      <c r="AD2070" t="str">
        <f>IF(WarehouseData[[#This Row],[order_fulfillment_rate]]&gt;=0.9,"Strong",IF(WarehouseData[[#This Row],[order_fulfillment_rate]]&gt;=0.8,"Moderate","Needs Attention"))</f>
        <v>Strong</v>
      </c>
      <c r="AE2070" t="str">
        <f>IF(WarehouseData[[#This Row],[picking_time_seconds]]&gt;120,"Slow",IF(WarehouseData[[#This Row],[picking_time_seconds]]&gt;=60,"Average","Fast"))</f>
        <v>Fast</v>
      </c>
    </row>
    <row r="2071" spans="1:31" x14ac:dyDescent="0.25">
      <c r="A2071" t="s">
        <v>2209</v>
      </c>
      <c r="B2071" t="s">
        <v>40</v>
      </c>
      <c r="C2071">
        <v>146</v>
      </c>
      <c r="D2071">
        <v>68</v>
      </c>
      <c r="E2071">
        <v>9</v>
      </c>
      <c r="F2071">
        <v>9</v>
      </c>
      <c r="G2071">
        <v>45.89</v>
      </c>
      <c r="H2071">
        <v>4.5599999999999996</v>
      </c>
      <c r="I2071">
        <v>0.21</v>
      </c>
      <c r="J2071" t="s">
        <v>51</v>
      </c>
      <c r="K2071" t="s">
        <v>52</v>
      </c>
      <c r="L2071">
        <v>134</v>
      </c>
      <c r="M2071">
        <v>3.03</v>
      </c>
      <c r="N2071">
        <v>176.58</v>
      </c>
      <c r="O2071">
        <v>1.28</v>
      </c>
      <c r="P2071">
        <v>5</v>
      </c>
      <c r="Q2071">
        <v>0.87</v>
      </c>
      <c r="R2071">
        <v>915</v>
      </c>
      <c r="S2071">
        <v>10.95</v>
      </c>
      <c r="T2071">
        <v>0.97</v>
      </c>
      <c r="U2071" s="1">
        <v>45630</v>
      </c>
      <c r="V2071">
        <v>245.07</v>
      </c>
      <c r="W2071">
        <v>0.68600000000000005</v>
      </c>
      <c r="X2071" t="str">
        <f>IF(WarehouseData[[#This Row],[stock_level]]&lt;=WarehouseData[[#This Row],[reorder_point]],"Low Stock","Sufficient Stock")</f>
        <v>Sufficient Stock</v>
      </c>
      <c r="Y2071">
        <f>WarehouseData[[#This Row],[daily_demand]]*WarehouseData[[#This Row],[lead_time_days]]</f>
        <v>413.01</v>
      </c>
      <c r="Z2071" t="str">
        <f>IF(WarehouseData[[#This Row],[stock_level]]&lt;=WarehouseData[[#This Row],[Demand During Lead Time]],"At Risk","Safe")</f>
        <v>At Risk</v>
      </c>
      <c r="AA2071">
        <f>WarehouseData[[#This Row],[stock_level]]/WarehouseData[[#This Row],[daily_demand]]</f>
        <v>3.1815210285465243</v>
      </c>
      <c r="AB2071">
        <f>WarehouseData[[#This Row],[stock_level]]*WarehouseData[[#This Row],[unit_price]]</f>
        <v>25780.68</v>
      </c>
      <c r="AC2071">
        <f>WarehouseData[[#This Row],[stock_level]]*WarehouseData[[#This Row],[holding_cost_per_unit_day]]*30</f>
        <v>5606.4</v>
      </c>
      <c r="AD2071" t="str">
        <f>IF(WarehouseData[[#This Row],[order_fulfillment_rate]]&gt;=0.9,"Strong",IF(WarehouseData[[#This Row],[order_fulfillment_rate]]&gt;=0.8,"Moderate","Needs Attention"))</f>
        <v>Moderate</v>
      </c>
      <c r="AE2071" t="str">
        <f>IF(WarehouseData[[#This Row],[picking_time_seconds]]&gt;120,"Slow",IF(WarehouseData[[#This Row],[picking_time_seconds]]&gt;=60,"Average","Fast"))</f>
        <v>Slow</v>
      </c>
    </row>
    <row r="2072" spans="1:31" x14ac:dyDescent="0.25">
      <c r="A2072" t="s">
        <v>2210</v>
      </c>
      <c r="B2072" t="s">
        <v>36</v>
      </c>
      <c r="C2072">
        <v>445</v>
      </c>
      <c r="D2072">
        <v>90</v>
      </c>
      <c r="E2072">
        <v>3</v>
      </c>
      <c r="F2072">
        <v>3</v>
      </c>
      <c r="G2072">
        <v>45.51</v>
      </c>
      <c r="H2072">
        <v>7.85</v>
      </c>
      <c r="I2072">
        <v>0.92</v>
      </c>
      <c r="J2072" t="s">
        <v>54</v>
      </c>
      <c r="K2072" t="s">
        <v>46</v>
      </c>
      <c r="L2072">
        <v>160</v>
      </c>
      <c r="M2072">
        <v>4.66</v>
      </c>
      <c r="N2072">
        <v>94.65</v>
      </c>
      <c r="O2072">
        <v>1.27</v>
      </c>
      <c r="P2072">
        <v>7</v>
      </c>
      <c r="Q2072">
        <v>0.96</v>
      </c>
      <c r="R2072">
        <v>239</v>
      </c>
      <c r="S2072">
        <v>4.13</v>
      </c>
      <c r="T2072">
        <v>0.51</v>
      </c>
      <c r="U2072" s="1">
        <v>45419</v>
      </c>
      <c r="V2072">
        <v>64.08</v>
      </c>
      <c r="W2072">
        <v>0.48199999999999998</v>
      </c>
      <c r="X2072" t="str">
        <f>IF(WarehouseData[[#This Row],[stock_level]]&lt;=WarehouseData[[#This Row],[reorder_point]],"Low Stock","Sufficient Stock")</f>
        <v>Sufficient Stock</v>
      </c>
      <c r="Y2072">
        <f>WarehouseData[[#This Row],[daily_demand]]*WarehouseData[[#This Row],[lead_time_days]]</f>
        <v>136.53</v>
      </c>
      <c r="Z2072" t="str">
        <f>IF(WarehouseData[[#This Row],[stock_level]]&lt;=WarehouseData[[#This Row],[Demand During Lead Time]],"At Risk","Safe")</f>
        <v>Safe</v>
      </c>
      <c r="AA2072">
        <f>WarehouseData[[#This Row],[stock_level]]/WarehouseData[[#This Row],[daily_demand]]</f>
        <v>9.7780707536805096</v>
      </c>
      <c r="AB2072">
        <f>WarehouseData[[#This Row],[stock_level]]*WarehouseData[[#This Row],[unit_price]]</f>
        <v>42119.25</v>
      </c>
      <c r="AC2072">
        <f>WarehouseData[[#This Row],[stock_level]]*WarehouseData[[#This Row],[holding_cost_per_unit_day]]*30</f>
        <v>16954.5</v>
      </c>
      <c r="AD2072" t="str">
        <f>IF(WarehouseData[[#This Row],[order_fulfillment_rate]]&gt;=0.9,"Strong",IF(WarehouseData[[#This Row],[order_fulfillment_rate]]&gt;=0.8,"Moderate","Needs Attention"))</f>
        <v>Strong</v>
      </c>
      <c r="AE2072" t="str">
        <f>IF(WarehouseData[[#This Row],[picking_time_seconds]]&gt;120,"Slow",IF(WarehouseData[[#This Row],[picking_time_seconds]]&gt;=60,"Average","Fast"))</f>
        <v>Slow</v>
      </c>
    </row>
    <row r="2073" spans="1:31" x14ac:dyDescent="0.25">
      <c r="A2073" t="s">
        <v>2211</v>
      </c>
      <c r="B2073" t="s">
        <v>32</v>
      </c>
      <c r="C2073">
        <v>133</v>
      </c>
      <c r="D2073">
        <v>63</v>
      </c>
      <c r="E2073">
        <v>3</v>
      </c>
      <c r="F2073">
        <v>6</v>
      </c>
      <c r="G2073">
        <v>12.07</v>
      </c>
      <c r="H2073">
        <v>4.97</v>
      </c>
      <c r="I2073">
        <v>0.63</v>
      </c>
      <c r="J2073" t="s">
        <v>113</v>
      </c>
      <c r="K2073" t="s">
        <v>46</v>
      </c>
      <c r="L2073">
        <v>94</v>
      </c>
      <c r="M2073">
        <v>4.6100000000000003</v>
      </c>
      <c r="N2073">
        <v>56.78</v>
      </c>
      <c r="O2073">
        <v>0.85</v>
      </c>
      <c r="P2073">
        <v>5</v>
      </c>
      <c r="Q2073">
        <v>0.86</v>
      </c>
      <c r="R2073">
        <v>201</v>
      </c>
      <c r="S2073">
        <v>12.47</v>
      </c>
      <c r="T2073">
        <v>0.56999999999999995</v>
      </c>
      <c r="U2073" s="1">
        <v>45538</v>
      </c>
      <c r="V2073">
        <v>250.57</v>
      </c>
      <c r="W2073">
        <v>0.66700000000000004</v>
      </c>
      <c r="X2073" t="str">
        <f>IF(WarehouseData[[#This Row],[stock_level]]&lt;=WarehouseData[[#This Row],[reorder_point]],"Low Stock","Sufficient Stock")</f>
        <v>Sufficient Stock</v>
      </c>
      <c r="Y2073">
        <f>WarehouseData[[#This Row],[daily_demand]]*WarehouseData[[#This Row],[lead_time_days]]</f>
        <v>72.42</v>
      </c>
      <c r="Z2073" t="str">
        <f>IF(WarehouseData[[#This Row],[stock_level]]&lt;=WarehouseData[[#This Row],[Demand During Lead Time]],"At Risk","Safe")</f>
        <v>Safe</v>
      </c>
      <c r="AA2073">
        <f>WarehouseData[[#This Row],[stock_level]]/WarehouseData[[#This Row],[daily_demand]]</f>
        <v>11.019055509527755</v>
      </c>
      <c r="AB2073">
        <f>WarehouseData[[#This Row],[stock_level]]*WarehouseData[[#This Row],[unit_price]]</f>
        <v>7551.74</v>
      </c>
      <c r="AC2073">
        <f>WarehouseData[[#This Row],[stock_level]]*WarehouseData[[#This Row],[holding_cost_per_unit_day]]*30</f>
        <v>3391.5</v>
      </c>
      <c r="AD2073" t="str">
        <f>IF(WarehouseData[[#This Row],[order_fulfillment_rate]]&gt;=0.9,"Strong",IF(WarehouseData[[#This Row],[order_fulfillment_rate]]&gt;=0.8,"Moderate","Needs Attention"))</f>
        <v>Moderate</v>
      </c>
      <c r="AE2073" t="str">
        <f>IF(WarehouseData[[#This Row],[picking_time_seconds]]&gt;120,"Slow",IF(WarehouseData[[#This Row],[picking_time_seconds]]&gt;=60,"Average","Fast"))</f>
        <v>Average</v>
      </c>
    </row>
    <row r="2074" spans="1:31" x14ac:dyDescent="0.25">
      <c r="A2074" t="s">
        <v>2212</v>
      </c>
      <c r="B2074" t="s">
        <v>40</v>
      </c>
      <c r="C2074">
        <v>452</v>
      </c>
      <c r="D2074">
        <v>88</v>
      </c>
      <c r="E2074">
        <v>11</v>
      </c>
      <c r="F2074">
        <v>3</v>
      </c>
      <c r="G2074">
        <v>27.81</v>
      </c>
      <c r="H2074">
        <v>3.3</v>
      </c>
      <c r="I2074">
        <v>0.76</v>
      </c>
      <c r="J2074" t="s">
        <v>192</v>
      </c>
      <c r="K2074" t="s">
        <v>34</v>
      </c>
      <c r="L2074">
        <v>72</v>
      </c>
      <c r="M2074">
        <v>3.13</v>
      </c>
      <c r="N2074">
        <v>52.82</v>
      </c>
      <c r="O2074">
        <v>1.74</v>
      </c>
      <c r="P2074">
        <v>8</v>
      </c>
      <c r="Q2074">
        <v>0.88</v>
      </c>
      <c r="R2074">
        <v>425</v>
      </c>
      <c r="S2074">
        <v>5.33</v>
      </c>
      <c r="T2074">
        <v>0.84</v>
      </c>
      <c r="U2074" s="1">
        <v>45469</v>
      </c>
      <c r="V2074">
        <v>191.35</v>
      </c>
      <c r="W2074">
        <v>0.48099999999999998</v>
      </c>
      <c r="X2074" t="str">
        <f>IF(WarehouseData[[#This Row],[stock_level]]&lt;=WarehouseData[[#This Row],[reorder_point]],"Low Stock","Sufficient Stock")</f>
        <v>Sufficient Stock</v>
      </c>
      <c r="Y2074">
        <f>WarehouseData[[#This Row],[daily_demand]]*WarehouseData[[#This Row],[lead_time_days]]</f>
        <v>83.429999999999993</v>
      </c>
      <c r="Z2074" t="str">
        <f>IF(WarehouseData[[#This Row],[stock_level]]&lt;=WarehouseData[[#This Row],[Demand During Lead Time]],"At Risk","Safe")</f>
        <v>Safe</v>
      </c>
      <c r="AA2074">
        <f>WarehouseData[[#This Row],[stock_level]]/WarehouseData[[#This Row],[daily_demand]]</f>
        <v>16.253146350233731</v>
      </c>
      <c r="AB2074">
        <f>WarehouseData[[#This Row],[stock_level]]*WarehouseData[[#This Row],[unit_price]]</f>
        <v>23874.639999999999</v>
      </c>
      <c r="AC2074">
        <f>WarehouseData[[#This Row],[stock_level]]*WarehouseData[[#This Row],[holding_cost_per_unit_day]]*30</f>
        <v>23594.400000000001</v>
      </c>
      <c r="AD2074" t="str">
        <f>IF(WarehouseData[[#This Row],[order_fulfillment_rate]]&gt;=0.9,"Strong",IF(WarehouseData[[#This Row],[order_fulfillment_rate]]&gt;=0.8,"Moderate","Needs Attention"))</f>
        <v>Moderate</v>
      </c>
      <c r="AE2074" t="str">
        <f>IF(WarehouseData[[#This Row],[picking_time_seconds]]&gt;120,"Slow",IF(WarehouseData[[#This Row],[picking_time_seconds]]&gt;=60,"Average","Fast"))</f>
        <v>Average</v>
      </c>
    </row>
    <row r="2075" spans="1:31" x14ac:dyDescent="0.25">
      <c r="A2075" t="s">
        <v>2213</v>
      </c>
      <c r="B2075" t="s">
        <v>36</v>
      </c>
      <c r="C2075">
        <v>295</v>
      </c>
      <c r="D2075">
        <v>25</v>
      </c>
      <c r="E2075">
        <v>12</v>
      </c>
      <c r="F2075">
        <v>6</v>
      </c>
      <c r="G2075">
        <v>47.8</v>
      </c>
      <c r="H2075">
        <v>7.52</v>
      </c>
      <c r="I2075">
        <v>0.13</v>
      </c>
      <c r="J2075" t="s">
        <v>146</v>
      </c>
      <c r="K2075" t="s">
        <v>46</v>
      </c>
      <c r="L2075">
        <v>132</v>
      </c>
      <c r="M2075">
        <v>2.2200000000000002</v>
      </c>
      <c r="N2075">
        <v>16.46</v>
      </c>
      <c r="O2075">
        <v>1.34</v>
      </c>
      <c r="P2075">
        <v>2</v>
      </c>
      <c r="Q2075">
        <v>0.83</v>
      </c>
      <c r="R2075">
        <v>304</v>
      </c>
      <c r="S2075">
        <v>4.0599999999999996</v>
      </c>
      <c r="T2075">
        <v>0.99</v>
      </c>
      <c r="U2075" s="1">
        <v>45631</v>
      </c>
      <c r="V2075">
        <v>175.26</v>
      </c>
      <c r="W2075">
        <v>0.64400000000000002</v>
      </c>
      <c r="X2075" t="str">
        <f>IF(WarehouseData[[#This Row],[stock_level]]&lt;=WarehouseData[[#This Row],[reorder_point]],"Low Stock","Sufficient Stock")</f>
        <v>Sufficient Stock</v>
      </c>
      <c r="Y2075">
        <f>WarehouseData[[#This Row],[daily_demand]]*WarehouseData[[#This Row],[lead_time_days]]</f>
        <v>286.79999999999995</v>
      </c>
      <c r="Z2075" t="str">
        <f>IF(WarehouseData[[#This Row],[stock_level]]&lt;=WarehouseData[[#This Row],[Demand During Lead Time]],"At Risk","Safe")</f>
        <v>Safe</v>
      </c>
      <c r="AA2075">
        <f>WarehouseData[[#This Row],[stock_level]]/WarehouseData[[#This Row],[daily_demand]]</f>
        <v>6.1715481171548117</v>
      </c>
      <c r="AB2075">
        <f>WarehouseData[[#This Row],[stock_level]]*WarehouseData[[#This Row],[unit_price]]</f>
        <v>4855.7</v>
      </c>
      <c r="AC2075">
        <f>WarehouseData[[#This Row],[stock_level]]*WarehouseData[[#This Row],[holding_cost_per_unit_day]]*30</f>
        <v>11859</v>
      </c>
      <c r="AD2075" t="str">
        <f>IF(WarehouseData[[#This Row],[order_fulfillment_rate]]&gt;=0.9,"Strong",IF(WarehouseData[[#This Row],[order_fulfillment_rate]]&gt;=0.8,"Moderate","Needs Attention"))</f>
        <v>Moderate</v>
      </c>
      <c r="AE2075" t="str">
        <f>IF(WarehouseData[[#This Row],[picking_time_seconds]]&gt;120,"Slow",IF(WarehouseData[[#This Row],[picking_time_seconds]]&gt;=60,"Average","Fast"))</f>
        <v>Slow</v>
      </c>
    </row>
    <row r="2076" spans="1:31" x14ac:dyDescent="0.25">
      <c r="A2076" t="s">
        <v>2214</v>
      </c>
      <c r="B2076" t="s">
        <v>32</v>
      </c>
      <c r="C2076">
        <v>224</v>
      </c>
      <c r="D2076">
        <v>24</v>
      </c>
      <c r="E2076">
        <v>9</v>
      </c>
      <c r="F2076">
        <v>7</v>
      </c>
      <c r="G2076">
        <v>25.34</v>
      </c>
      <c r="H2076">
        <v>8.08</v>
      </c>
      <c r="I2076">
        <v>0.38</v>
      </c>
      <c r="J2076" t="s">
        <v>122</v>
      </c>
      <c r="K2076" t="s">
        <v>46</v>
      </c>
      <c r="L2076">
        <v>178</v>
      </c>
      <c r="M2076">
        <v>0.95</v>
      </c>
      <c r="N2076">
        <v>170.11</v>
      </c>
      <c r="O2076">
        <v>1.79</v>
      </c>
      <c r="P2076">
        <v>2</v>
      </c>
      <c r="Q2076">
        <v>0.74</v>
      </c>
      <c r="R2076">
        <v>752</v>
      </c>
      <c r="S2076">
        <v>14.46</v>
      </c>
      <c r="T2076">
        <v>0.5</v>
      </c>
      <c r="U2076" s="1">
        <v>45638</v>
      </c>
      <c r="V2076">
        <v>231.06</v>
      </c>
      <c r="W2076">
        <v>0.622</v>
      </c>
      <c r="X2076" t="str">
        <f>IF(WarehouseData[[#This Row],[stock_level]]&lt;=WarehouseData[[#This Row],[reorder_point]],"Low Stock","Sufficient Stock")</f>
        <v>Sufficient Stock</v>
      </c>
      <c r="Y2076">
        <f>WarehouseData[[#This Row],[daily_demand]]*WarehouseData[[#This Row],[lead_time_days]]</f>
        <v>177.38</v>
      </c>
      <c r="Z2076" t="str">
        <f>IF(WarehouseData[[#This Row],[stock_level]]&lt;=WarehouseData[[#This Row],[Demand During Lead Time]],"At Risk","Safe")</f>
        <v>Safe</v>
      </c>
      <c r="AA2076">
        <f>WarehouseData[[#This Row],[stock_level]]/WarehouseData[[#This Row],[daily_demand]]</f>
        <v>8.8397790055248624</v>
      </c>
      <c r="AB2076">
        <f>WarehouseData[[#This Row],[stock_level]]*WarehouseData[[#This Row],[unit_price]]</f>
        <v>38104.639999999999</v>
      </c>
      <c r="AC2076">
        <f>WarehouseData[[#This Row],[stock_level]]*WarehouseData[[#This Row],[holding_cost_per_unit_day]]*30</f>
        <v>12028.800000000001</v>
      </c>
      <c r="AD2076" t="str">
        <f>IF(WarehouseData[[#This Row],[order_fulfillment_rate]]&gt;=0.9,"Strong",IF(WarehouseData[[#This Row],[order_fulfillment_rate]]&gt;=0.8,"Moderate","Needs Attention"))</f>
        <v>Needs Attention</v>
      </c>
      <c r="AE2076" t="str">
        <f>IF(WarehouseData[[#This Row],[picking_time_seconds]]&gt;120,"Slow",IF(WarehouseData[[#This Row],[picking_time_seconds]]&gt;=60,"Average","Fast"))</f>
        <v>Slow</v>
      </c>
    </row>
    <row r="2077" spans="1:31" x14ac:dyDescent="0.25">
      <c r="A2077" t="s">
        <v>2215</v>
      </c>
      <c r="B2077" t="s">
        <v>32</v>
      </c>
      <c r="C2077">
        <v>356</v>
      </c>
      <c r="D2077">
        <v>20</v>
      </c>
      <c r="E2077">
        <v>13</v>
      </c>
      <c r="F2077">
        <v>6</v>
      </c>
      <c r="G2077">
        <v>20.29</v>
      </c>
      <c r="H2077">
        <v>2.4300000000000002</v>
      </c>
      <c r="I2077">
        <v>0.34</v>
      </c>
      <c r="J2077" t="s">
        <v>79</v>
      </c>
      <c r="K2077" t="s">
        <v>38</v>
      </c>
      <c r="L2077">
        <v>98</v>
      </c>
      <c r="M2077">
        <v>1.28</v>
      </c>
      <c r="N2077">
        <v>60.32</v>
      </c>
      <c r="O2077">
        <v>1.83</v>
      </c>
      <c r="P2077">
        <v>1</v>
      </c>
      <c r="Q2077">
        <v>0.87</v>
      </c>
      <c r="R2077">
        <v>703</v>
      </c>
      <c r="S2077">
        <v>1.23</v>
      </c>
      <c r="T2077">
        <v>0.3</v>
      </c>
      <c r="U2077" s="1">
        <v>45620</v>
      </c>
      <c r="V2077">
        <v>79.88</v>
      </c>
      <c r="W2077">
        <v>0.44700000000000001</v>
      </c>
      <c r="X2077" t="str">
        <f>IF(WarehouseData[[#This Row],[stock_level]]&lt;=WarehouseData[[#This Row],[reorder_point]],"Low Stock","Sufficient Stock")</f>
        <v>Sufficient Stock</v>
      </c>
      <c r="Y2077">
        <f>WarehouseData[[#This Row],[daily_demand]]*WarehouseData[[#This Row],[lead_time_days]]</f>
        <v>121.74</v>
      </c>
      <c r="Z2077" t="str">
        <f>IF(WarehouseData[[#This Row],[stock_level]]&lt;=WarehouseData[[#This Row],[Demand During Lead Time]],"At Risk","Safe")</f>
        <v>Safe</v>
      </c>
      <c r="AA2077">
        <f>WarehouseData[[#This Row],[stock_level]]/WarehouseData[[#This Row],[daily_demand]]</f>
        <v>17.545588960078856</v>
      </c>
      <c r="AB2077">
        <f>WarehouseData[[#This Row],[stock_level]]*WarehouseData[[#This Row],[unit_price]]</f>
        <v>21473.920000000002</v>
      </c>
      <c r="AC2077">
        <f>WarehouseData[[#This Row],[stock_level]]*WarehouseData[[#This Row],[holding_cost_per_unit_day]]*30</f>
        <v>19544.400000000001</v>
      </c>
      <c r="AD2077" t="str">
        <f>IF(WarehouseData[[#This Row],[order_fulfillment_rate]]&gt;=0.9,"Strong",IF(WarehouseData[[#This Row],[order_fulfillment_rate]]&gt;=0.8,"Moderate","Needs Attention"))</f>
        <v>Moderate</v>
      </c>
      <c r="AE2077" t="str">
        <f>IF(WarehouseData[[#This Row],[picking_time_seconds]]&gt;120,"Slow",IF(WarehouseData[[#This Row],[picking_time_seconds]]&gt;=60,"Average","Fast"))</f>
        <v>Average</v>
      </c>
    </row>
    <row r="2078" spans="1:31" x14ac:dyDescent="0.25">
      <c r="A2078" t="s">
        <v>2216</v>
      </c>
      <c r="B2078" t="s">
        <v>73</v>
      </c>
      <c r="C2078">
        <v>457</v>
      </c>
      <c r="D2078">
        <v>74</v>
      </c>
      <c r="E2078">
        <v>6</v>
      </c>
      <c r="F2078">
        <v>4</v>
      </c>
      <c r="G2078">
        <v>24.68</v>
      </c>
      <c r="H2078">
        <v>3.4</v>
      </c>
      <c r="I2078">
        <v>0.95</v>
      </c>
      <c r="J2078" t="s">
        <v>166</v>
      </c>
      <c r="K2078" t="s">
        <v>38</v>
      </c>
      <c r="L2078">
        <v>104</v>
      </c>
      <c r="M2078">
        <v>3.56</v>
      </c>
      <c r="N2078">
        <v>78.209999999999994</v>
      </c>
      <c r="O2078">
        <v>0.42</v>
      </c>
      <c r="P2078">
        <v>9</v>
      </c>
      <c r="Q2078">
        <v>0.99</v>
      </c>
      <c r="R2078">
        <v>807</v>
      </c>
      <c r="S2078">
        <v>3.35</v>
      </c>
      <c r="T2078">
        <v>0.62</v>
      </c>
      <c r="U2078" s="1">
        <v>45489</v>
      </c>
      <c r="V2078">
        <v>188.29</v>
      </c>
      <c r="W2078">
        <v>0.54500000000000004</v>
      </c>
      <c r="X2078" t="str">
        <f>IF(WarehouseData[[#This Row],[stock_level]]&lt;=WarehouseData[[#This Row],[reorder_point]],"Low Stock","Sufficient Stock")</f>
        <v>Sufficient Stock</v>
      </c>
      <c r="Y2078">
        <f>WarehouseData[[#This Row],[daily_demand]]*WarehouseData[[#This Row],[lead_time_days]]</f>
        <v>98.72</v>
      </c>
      <c r="Z2078" t="str">
        <f>IF(WarehouseData[[#This Row],[stock_level]]&lt;=WarehouseData[[#This Row],[Demand During Lead Time]],"At Risk","Safe")</f>
        <v>Safe</v>
      </c>
      <c r="AA2078">
        <f>WarehouseData[[#This Row],[stock_level]]/WarehouseData[[#This Row],[daily_demand]]</f>
        <v>18.517017828200974</v>
      </c>
      <c r="AB2078">
        <f>WarehouseData[[#This Row],[stock_level]]*WarehouseData[[#This Row],[unit_price]]</f>
        <v>35741.969999999994</v>
      </c>
      <c r="AC2078">
        <f>WarehouseData[[#This Row],[stock_level]]*WarehouseData[[#This Row],[holding_cost_per_unit_day]]*30</f>
        <v>5758.2</v>
      </c>
      <c r="AD2078" t="str">
        <f>IF(WarehouseData[[#This Row],[order_fulfillment_rate]]&gt;=0.9,"Strong",IF(WarehouseData[[#This Row],[order_fulfillment_rate]]&gt;=0.8,"Moderate","Needs Attention"))</f>
        <v>Strong</v>
      </c>
      <c r="AE2078" t="str">
        <f>IF(WarehouseData[[#This Row],[picking_time_seconds]]&gt;120,"Slow",IF(WarehouseData[[#This Row],[picking_time_seconds]]&gt;=60,"Average","Fast"))</f>
        <v>Average</v>
      </c>
    </row>
    <row r="2079" spans="1:31" x14ac:dyDescent="0.25">
      <c r="A2079" t="s">
        <v>2217</v>
      </c>
      <c r="B2079" t="s">
        <v>73</v>
      </c>
      <c r="C2079">
        <v>439</v>
      </c>
      <c r="D2079">
        <v>88</v>
      </c>
      <c r="E2079">
        <v>8</v>
      </c>
      <c r="F2079">
        <v>5</v>
      </c>
      <c r="G2079">
        <v>39.72</v>
      </c>
      <c r="H2079">
        <v>5.2</v>
      </c>
      <c r="I2079">
        <v>0.27</v>
      </c>
      <c r="J2079" t="s">
        <v>62</v>
      </c>
      <c r="K2079" t="s">
        <v>38</v>
      </c>
      <c r="L2079">
        <v>128</v>
      </c>
      <c r="M2079">
        <v>0.56999999999999995</v>
      </c>
      <c r="N2079">
        <v>163.75</v>
      </c>
      <c r="O2079">
        <v>1.39</v>
      </c>
      <c r="P2079">
        <v>5</v>
      </c>
      <c r="Q2079">
        <v>0.94</v>
      </c>
      <c r="R2079">
        <v>83</v>
      </c>
      <c r="S2079">
        <v>7.54</v>
      </c>
      <c r="T2079">
        <v>0.67</v>
      </c>
      <c r="U2079" s="1">
        <v>45368</v>
      </c>
      <c r="V2079">
        <v>79.709999999999994</v>
      </c>
      <c r="W2079">
        <v>0.58399999999999996</v>
      </c>
      <c r="X2079" t="str">
        <f>IF(WarehouseData[[#This Row],[stock_level]]&lt;=WarehouseData[[#This Row],[reorder_point]],"Low Stock","Sufficient Stock")</f>
        <v>Sufficient Stock</v>
      </c>
      <c r="Y2079">
        <f>WarehouseData[[#This Row],[daily_demand]]*WarehouseData[[#This Row],[lead_time_days]]</f>
        <v>198.6</v>
      </c>
      <c r="Z2079" t="str">
        <f>IF(WarehouseData[[#This Row],[stock_level]]&lt;=WarehouseData[[#This Row],[Demand During Lead Time]],"At Risk","Safe")</f>
        <v>Safe</v>
      </c>
      <c r="AA2079">
        <f>WarehouseData[[#This Row],[stock_level]]/WarehouseData[[#This Row],[daily_demand]]</f>
        <v>11.052366565961732</v>
      </c>
      <c r="AB2079">
        <f>WarehouseData[[#This Row],[stock_level]]*WarehouseData[[#This Row],[unit_price]]</f>
        <v>71886.25</v>
      </c>
      <c r="AC2079">
        <f>WarehouseData[[#This Row],[stock_level]]*WarehouseData[[#This Row],[holding_cost_per_unit_day]]*30</f>
        <v>18306.3</v>
      </c>
      <c r="AD2079" t="str">
        <f>IF(WarehouseData[[#This Row],[order_fulfillment_rate]]&gt;=0.9,"Strong",IF(WarehouseData[[#This Row],[order_fulfillment_rate]]&gt;=0.8,"Moderate","Needs Attention"))</f>
        <v>Strong</v>
      </c>
      <c r="AE2079" t="str">
        <f>IF(WarehouseData[[#This Row],[picking_time_seconds]]&gt;120,"Slow",IF(WarehouseData[[#This Row],[picking_time_seconds]]&gt;=60,"Average","Fast"))</f>
        <v>Slow</v>
      </c>
    </row>
    <row r="2080" spans="1:31" x14ac:dyDescent="0.25">
      <c r="A2080" t="s">
        <v>2218</v>
      </c>
      <c r="B2080" t="s">
        <v>36</v>
      </c>
      <c r="C2080">
        <v>404</v>
      </c>
      <c r="D2080">
        <v>99</v>
      </c>
      <c r="E2080">
        <v>3</v>
      </c>
      <c r="F2080">
        <v>8</v>
      </c>
      <c r="G2080">
        <v>24.39</v>
      </c>
      <c r="H2080">
        <v>2.27</v>
      </c>
      <c r="I2080">
        <v>0.74</v>
      </c>
      <c r="J2080" t="s">
        <v>43</v>
      </c>
      <c r="K2080" t="s">
        <v>34</v>
      </c>
      <c r="L2080">
        <v>53</v>
      </c>
      <c r="M2080">
        <v>4.4800000000000004</v>
      </c>
      <c r="N2080">
        <v>32.799999999999997</v>
      </c>
      <c r="O2080">
        <v>0.7</v>
      </c>
      <c r="P2080">
        <v>6</v>
      </c>
      <c r="Q2080">
        <v>0.92</v>
      </c>
      <c r="R2080">
        <v>236</v>
      </c>
      <c r="S2080">
        <v>3.34</v>
      </c>
      <c r="T2080">
        <v>0.97</v>
      </c>
      <c r="U2080" s="1">
        <v>45577</v>
      </c>
      <c r="V2080">
        <v>62.07</v>
      </c>
      <c r="W2080">
        <v>0.63300000000000001</v>
      </c>
      <c r="X2080" t="str">
        <f>IF(WarehouseData[[#This Row],[stock_level]]&lt;=WarehouseData[[#This Row],[reorder_point]],"Low Stock","Sufficient Stock")</f>
        <v>Sufficient Stock</v>
      </c>
      <c r="Y2080">
        <f>WarehouseData[[#This Row],[daily_demand]]*WarehouseData[[#This Row],[lead_time_days]]</f>
        <v>195.12</v>
      </c>
      <c r="Z2080" t="str">
        <f>IF(WarehouseData[[#This Row],[stock_level]]&lt;=WarehouseData[[#This Row],[Demand During Lead Time]],"At Risk","Safe")</f>
        <v>Safe</v>
      </c>
      <c r="AA2080">
        <f>WarehouseData[[#This Row],[stock_level]]/WarehouseData[[#This Row],[daily_demand]]</f>
        <v>16.564165641656416</v>
      </c>
      <c r="AB2080">
        <f>WarehouseData[[#This Row],[stock_level]]*WarehouseData[[#This Row],[unit_price]]</f>
        <v>13251.199999999999</v>
      </c>
      <c r="AC2080">
        <f>WarehouseData[[#This Row],[stock_level]]*WarehouseData[[#This Row],[holding_cost_per_unit_day]]*30</f>
        <v>8483.9999999999982</v>
      </c>
      <c r="AD2080" t="str">
        <f>IF(WarehouseData[[#This Row],[order_fulfillment_rate]]&gt;=0.9,"Strong",IF(WarehouseData[[#This Row],[order_fulfillment_rate]]&gt;=0.8,"Moderate","Needs Attention"))</f>
        <v>Strong</v>
      </c>
      <c r="AE2080" t="str">
        <f>IF(WarehouseData[[#This Row],[picking_time_seconds]]&gt;120,"Slow",IF(WarehouseData[[#This Row],[picking_time_seconds]]&gt;=60,"Average","Fast"))</f>
        <v>Fast</v>
      </c>
    </row>
    <row r="2081" spans="1:31" x14ac:dyDescent="0.25">
      <c r="A2081" t="s">
        <v>2219</v>
      </c>
      <c r="B2081" t="s">
        <v>32</v>
      </c>
      <c r="C2081">
        <v>418</v>
      </c>
      <c r="D2081">
        <v>77</v>
      </c>
      <c r="E2081">
        <v>9</v>
      </c>
      <c r="F2081">
        <v>5</v>
      </c>
      <c r="G2081">
        <v>39.380000000000003</v>
      </c>
      <c r="H2081">
        <v>9.32</v>
      </c>
      <c r="I2081">
        <v>0.14000000000000001</v>
      </c>
      <c r="J2081" t="s">
        <v>281</v>
      </c>
      <c r="K2081" t="s">
        <v>34</v>
      </c>
      <c r="L2081">
        <v>111</v>
      </c>
      <c r="M2081">
        <v>3.15</v>
      </c>
      <c r="N2081">
        <v>97.63</v>
      </c>
      <c r="O2081">
        <v>1.69</v>
      </c>
      <c r="P2081">
        <v>6</v>
      </c>
      <c r="Q2081">
        <v>0.89</v>
      </c>
      <c r="R2081">
        <v>928</v>
      </c>
      <c r="S2081">
        <v>3.34</v>
      </c>
      <c r="T2081">
        <v>0.53</v>
      </c>
      <c r="U2081" s="1">
        <v>45605</v>
      </c>
      <c r="V2081">
        <v>190.77</v>
      </c>
      <c r="W2081">
        <v>0.44</v>
      </c>
      <c r="X2081" t="str">
        <f>IF(WarehouseData[[#This Row],[stock_level]]&lt;=WarehouseData[[#This Row],[reorder_point]],"Low Stock","Sufficient Stock")</f>
        <v>Sufficient Stock</v>
      </c>
      <c r="Y2081">
        <f>WarehouseData[[#This Row],[daily_demand]]*WarehouseData[[#This Row],[lead_time_days]]</f>
        <v>196.9</v>
      </c>
      <c r="Z2081" t="str">
        <f>IF(WarehouseData[[#This Row],[stock_level]]&lt;=WarehouseData[[#This Row],[Demand During Lead Time]],"At Risk","Safe")</f>
        <v>Safe</v>
      </c>
      <c r="AA2081">
        <f>WarehouseData[[#This Row],[stock_level]]/WarehouseData[[#This Row],[daily_demand]]</f>
        <v>10.614525139664805</v>
      </c>
      <c r="AB2081">
        <f>WarehouseData[[#This Row],[stock_level]]*WarehouseData[[#This Row],[unit_price]]</f>
        <v>40809.339999999997</v>
      </c>
      <c r="AC2081">
        <f>WarehouseData[[#This Row],[stock_level]]*WarehouseData[[#This Row],[holding_cost_per_unit_day]]*30</f>
        <v>21192.6</v>
      </c>
      <c r="AD2081" t="str">
        <f>IF(WarehouseData[[#This Row],[order_fulfillment_rate]]&gt;=0.9,"Strong",IF(WarehouseData[[#This Row],[order_fulfillment_rate]]&gt;=0.8,"Moderate","Needs Attention"))</f>
        <v>Moderate</v>
      </c>
      <c r="AE2081" t="str">
        <f>IF(WarehouseData[[#This Row],[picking_time_seconds]]&gt;120,"Slow",IF(WarehouseData[[#This Row],[picking_time_seconds]]&gt;=60,"Average","Fast"))</f>
        <v>Average</v>
      </c>
    </row>
    <row r="2082" spans="1:31" x14ac:dyDescent="0.25">
      <c r="A2082" t="s">
        <v>2220</v>
      </c>
      <c r="B2082" t="s">
        <v>48</v>
      </c>
      <c r="C2082">
        <v>480</v>
      </c>
      <c r="D2082">
        <v>52</v>
      </c>
      <c r="E2082">
        <v>14</v>
      </c>
      <c r="F2082">
        <v>2</v>
      </c>
      <c r="G2082">
        <v>22.15</v>
      </c>
      <c r="H2082">
        <v>6.12</v>
      </c>
      <c r="I2082">
        <v>0.28000000000000003</v>
      </c>
      <c r="J2082" t="s">
        <v>70</v>
      </c>
      <c r="K2082" t="s">
        <v>52</v>
      </c>
      <c r="L2082">
        <v>54</v>
      </c>
      <c r="M2082">
        <v>0.7</v>
      </c>
      <c r="N2082">
        <v>33.24</v>
      </c>
      <c r="O2082">
        <v>1.49</v>
      </c>
      <c r="P2082">
        <v>4</v>
      </c>
      <c r="Q2082">
        <v>0.8</v>
      </c>
      <c r="R2082">
        <v>498</v>
      </c>
      <c r="S2082">
        <v>9.8800000000000008</v>
      </c>
      <c r="T2082">
        <v>0.27</v>
      </c>
      <c r="U2082" s="1">
        <v>45319</v>
      </c>
      <c r="V2082">
        <v>88.09</v>
      </c>
      <c r="W2082">
        <v>0.51700000000000002</v>
      </c>
      <c r="X2082" t="str">
        <f>IF(WarehouseData[[#This Row],[stock_level]]&lt;=WarehouseData[[#This Row],[reorder_point]],"Low Stock","Sufficient Stock")</f>
        <v>Sufficient Stock</v>
      </c>
      <c r="Y2082">
        <f>WarehouseData[[#This Row],[daily_demand]]*WarehouseData[[#This Row],[lead_time_days]]</f>
        <v>44.3</v>
      </c>
      <c r="Z2082" t="str">
        <f>IF(WarehouseData[[#This Row],[stock_level]]&lt;=WarehouseData[[#This Row],[Demand During Lead Time]],"At Risk","Safe")</f>
        <v>Safe</v>
      </c>
      <c r="AA2082">
        <f>WarehouseData[[#This Row],[stock_level]]/WarehouseData[[#This Row],[daily_demand]]</f>
        <v>21.670428893905193</v>
      </c>
      <c r="AB2082">
        <f>WarehouseData[[#This Row],[stock_level]]*WarehouseData[[#This Row],[unit_price]]</f>
        <v>15955.2</v>
      </c>
      <c r="AC2082">
        <f>WarehouseData[[#This Row],[stock_level]]*WarehouseData[[#This Row],[holding_cost_per_unit_day]]*30</f>
        <v>21456</v>
      </c>
      <c r="AD2082" t="str">
        <f>IF(WarehouseData[[#This Row],[order_fulfillment_rate]]&gt;=0.9,"Strong",IF(WarehouseData[[#This Row],[order_fulfillment_rate]]&gt;=0.8,"Moderate","Needs Attention"))</f>
        <v>Moderate</v>
      </c>
      <c r="AE2082" t="str">
        <f>IF(WarehouseData[[#This Row],[picking_time_seconds]]&gt;120,"Slow",IF(WarehouseData[[#This Row],[picking_time_seconds]]&gt;=60,"Average","Fast"))</f>
        <v>Fast</v>
      </c>
    </row>
    <row r="2083" spans="1:31" x14ac:dyDescent="0.25">
      <c r="A2083" t="s">
        <v>2221</v>
      </c>
      <c r="B2083" t="s">
        <v>73</v>
      </c>
      <c r="C2083">
        <v>292</v>
      </c>
      <c r="D2083">
        <v>78</v>
      </c>
      <c r="E2083">
        <v>8</v>
      </c>
      <c r="F2083">
        <v>4</v>
      </c>
      <c r="G2083">
        <v>13.35</v>
      </c>
      <c r="H2083">
        <v>1.65</v>
      </c>
      <c r="I2083">
        <v>0.4</v>
      </c>
      <c r="J2083" t="s">
        <v>163</v>
      </c>
      <c r="K2083" t="s">
        <v>34</v>
      </c>
      <c r="L2083">
        <v>126</v>
      </c>
      <c r="M2083">
        <v>1.58</v>
      </c>
      <c r="N2083">
        <v>93.95</v>
      </c>
      <c r="O2083">
        <v>0.48</v>
      </c>
      <c r="P2083">
        <v>5</v>
      </c>
      <c r="Q2083">
        <v>0.75</v>
      </c>
      <c r="R2083">
        <v>135</v>
      </c>
      <c r="S2083">
        <v>12.47</v>
      </c>
      <c r="T2083">
        <v>0.72</v>
      </c>
      <c r="U2083" s="1">
        <v>45297</v>
      </c>
      <c r="V2083">
        <v>217.17</v>
      </c>
      <c r="W2083">
        <v>0.71199999999999997</v>
      </c>
      <c r="X2083" t="str">
        <f>IF(WarehouseData[[#This Row],[stock_level]]&lt;=WarehouseData[[#This Row],[reorder_point]],"Low Stock","Sufficient Stock")</f>
        <v>Sufficient Stock</v>
      </c>
      <c r="Y2083">
        <f>WarehouseData[[#This Row],[daily_demand]]*WarehouseData[[#This Row],[lead_time_days]]</f>
        <v>53.4</v>
      </c>
      <c r="Z2083" t="str">
        <f>IF(WarehouseData[[#This Row],[stock_level]]&lt;=WarehouseData[[#This Row],[Demand During Lead Time]],"At Risk","Safe")</f>
        <v>Safe</v>
      </c>
      <c r="AA2083">
        <f>WarehouseData[[#This Row],[stock_level]]/WarehouseData[[#This Row],[daily_demand]]</f>
        <v>21.872659176029963</v>
      </c>
      <c r="AB2083">
        <f>WarehouseData[[#This Row],[stock_level]]*WarehouseData[[#This Row],[unit_price]]</f>
        <v>27433.4</v>
      </c>
      <c r="AC2083">
        <f>WarehouseData[[#This Row],[stock_level]]*WarehouseData[[#This Row],[holding_cost_per_unit_day]]*30</f>
        <v>4204.8</v>
      </c>
      <c r="AD2083" t="str">
        <f>IF(WarehouseData[[#This Row],[order_fulfillment_rate]]&gt;=0.9,"Strong",IF(WarehouseData[[#This Row],[order_fulfillment_rate]]&gt;=0.8,"Moderate","Needs Attention"))</f>
        <v>Needs Attention</v>
      </c>
      <c r="AE2083" t="str">
        <f>IF(WarehouseData[[#This Row],[picking_time_seconds]]&gt;120,"Slow",IF(WarehouseData[[#This Row],[picking_time_seconds]]&gt;=60,"Average","Fast"))</f>
        <v>Slow</v>
      </c>
    </row>
    <row r="2084" spans="1:31" x14ac:dyDescent="0.25">
      <c r="A2084" t="s">
        <v>2222</v>
      </c>
      <c r="B2084" t="s">
        <v>36</v>
      </c>
      <c r="C2084">
        <v>427</v>
      </c>
      <c r="D2084">
        <v>22</v>
      </c>
      <c r="E2084">
        <v>6</v>
      </c>
      <c r="F2084">
        <v>5</v>
      </c>
      <c r="G2084">
        <v>17</v>
      </c>
      <c r="H2084">
        <v>2.25</v>
      </c>
      <c r="I2084">
        <v>0.82</v>
      </c>
      <c r="J2084" t="s">
        <v>110</v>
      </c>
      <c r="K2084" t="s">
        <v>38</v>
      </c>
      <c r="L2084">
        <v>60</v>
      </c>
      <c r="M2084">
        <v>3.17</v>
      </c>
      <c r="N2084">
        <v>18.96</v>
      </c>
      <c r="O2084">
        <v>1.88</v>
      </c>
      <c r="P2084">
        <v>6</v>
      </c>
      <c r="Q2084">
        <v>0.77</v>
      </c>
      <c r="R2084">
        <v>722</v>
      </c>
      <c r="S2084">
        <v>10.26</v>
      </c>
      <c r="T2084">
        <v>0.22</v>
      </c>
      <c r="U2084" s="1">
        <v>45621</v>
      </c>
      <c r="V2084">
        <v>159.19999999999999</v>
      </c>
      <c r="W2084">
        <v>0.42699999999999999</v>
      </c>
      <c r="X2084" t="str">
        <f>IF(WarehouseData[[#This Row],[stock_level]]&lt;=WarehouseData[[#This Row],[reorder_point]],"Low Stock","Sufficient Stock")</f>
        <v>Sufficient Stock</v>
      </c>
      <c r="Y2084">
        <f>WarehouseData[[#This Row],[daily_demand]]*WarehouseData[[#This Row],[lead_time_days]]</f>
        <v>85</v>
      </c>
      <c r="Z2084" t="str">
        <f>IF(WarehouseData[[#This Row],[stock_level]]&lt;=WarehouseData[[#This Row],[Demand During Lead Time]],"At Risk","Safe")</f>
        <v>Safe</v>
      </c>
      <c r="AA2084">
        <f>WarehouseData[[#This Row],[stock_level]]/WarehouseData[[#This Row],[daily_demand]]</f>
        <v>25.117647058823529</v>
      </c>
      <c r="AB2084">
        <f>WarehouseData[[#This Row],[stock_level]]*WarehouseData[[#This Row],[unit_price]]</f>
        <v>8095.92</v>
      </c>
      <c r="AC2084">
        <f>WarehouseData[[#This Row],[stock_level]]*WarehouseData[[#This Row],[holding_cost_per_unit_day]]*30</f>
        <v>24082.799999999999</v>
      </c>
      <c r="AD2084" t="str">
        <f>IF(WarehouseData[[#This Row],[order_fulfillment_rate]]&gt;=0.9,"Strong",IF(WarehouseData[[#This Row],[order_fulfillment_rate]]&gt;=0.8,"Moderate","Needs Attention"))</f>
        <v>Needs Attention</v>
      </c>
      <c r="AE2084" t="str">
        <f>IF(WarehouseData[[#This Row],[picking_time_seconds]]&gt;120,"Slow",IF(WarehouseData[[#This Row],[picking_time_seconds]]&gt;=60,"Average","Fast"))</f>
        <v>Average</v>
      </c>
    </row>
    <row r="2085" spans="1:31" x14ac:dyDescent="0.25">
      <c r="A2085" t="s">
        <v>2223</v>
      </c>
      <c r="B2085" t="s">
        <v>32</v>
      </c>
      <c r="C2085">
        <v>77</v>
      </c>
      <c r="D2085">
        <v>19</v>
      </c>
      <c r="E2085">
        <v>9</v>
      </c>
      <c r="F2085">
        <v>7</v>
      </c>
      <c r="G2085">
        <v>4.8099999999999996</v>
      </c>
      <c r="H2085">
        <v>9.57</v>
      </c>
      <c r="I2085">
        <v>0.81</v>
      </c>
      <c r="J2085" t="s">
        <v>166</v>
      </c>
      <c r="K2085" t="s">
        <v>34</v>
      </c>
      <c r="L2085">
        <v>74</v>
      </c>
      <c r="M2085">
        <v>0.66</v>
      </c>
      <c r="N2085">
        <v>108.35</v>
      </c>
      <c r="O2085">
        <v>1.4</v>
      </c>
      <c r="P2085">
        <v>1</v>
      </c>
      <c r="Q2085">
        <v>0.7</v>
      </c>
      <c r="R2085">
        <v>925</v>
      </c>
      <c r="S2085">
        <v>2.42</v>
      </c>
      <c r="T2085">
        <v>0.54</v>
      </c>
      <c r="U2085" s="1">
        <v>45372</v>
      </c>
      <c r="V2085">
        <v>211.54</v>
      </c>
      <c r="W2085">
        <v>0.52</v>
      </c>
      <c r="X2085" t="str">
        <f>IF(WarehouseData[[#This Row],[stock_level]]&lt;=WarehouseData[[#This Row],[reorder_point]],"Low Stock","Sufficient Stock")</f>
        <v>Sufficient Stock</v>
      </c>
      <c r="Y2085">
        <f>WarehouseData[[#This Row],[daily_demand]]*WarehouseData[[#This Row],[lead_time_days]]</f>
        <v>33.669999999999995</v>
      </c>
      <c r="Z2085" t="str">
        <f>IF(WarehouseData[[#This Row],[stock_level]]&lt;=WarehouseData[[#This Row],[Demand During Lead Time]],"At Risk","Safe")</f>
        <v>Safe</v>
      </c>
      <c r="AA2085">
        <f>WarehouseData[[#This Row],[stock_level]]/WarehouseData[[#This Row],[daily_demand]]</f>
        <v>16.008316008316008</v>
      </c>
      <c r="AB2085">
        <f>WarehouseData[[#This Row],[stock_level]]*WarehouseData[[#This Row],[unit_price]]</f>
        <v>8342.9499999999989</v>
      </c>
      <c r="AC2085">
        <f>WarehouseData[[#This Row],[stock_level]]*WarehouseData[[#This Row],[holding_cost_per_unit_day]]*30</f>
        <v>3234</v>
      </c>
      <c r="AD2085" t="str">
        <f>IF(WarehouseData[[#This Row],[order_fulfillment_rate]]&gt;=0.9,"Strong",IF(WarehouseData[[#This Row],[order_fulfillment_rate]]&gt;=0.8,"Moderate","Needs Attention"))</f>
        <v>Needs Attention</v>
      </c>
      <c r="AE2085" t="str">
        <f>IF(WarehouseData[[#This Row],[picking_time_seconds]]&gt;120,"Slow",IF(WarehouseData[[#This Row],[picking_time_seconds]]&gt;=60,"Average","Fast"))</f>
        <v>Average</v>
      </c>
    </row>
    <row r="2086" spans="1:31" x14ac:dyDescent="0.25">
      <c r="A2086" t="s">
        <v>2224</v>
      </c>
      <c r="B2086" t="s">
        <v>32</v>
      </c>
      <c r="C2086">
        <v>347</v>
      </c>
      <c r="D2086">
        <v>84</v>
      </c>
      <c r="E2086">
        <v>5</v>
      </c>
      <c r="F2086">
        <v>6</v>
      </c>
      <c r="G2086">
        <v>25.37</v>
      </c>
      <c r="H2086">
        <v>7.51</v>
      </c>
      <c r="I2086">
        <v>0.96</v>
      </c>
      <c r="J2086" t="s">
        <v>150</v>
      </c>
      <c r="K2086" t="s">
        <v>46</v>
      </c>
      <c r="L2086">
        <v>63</v>
      </c>
      <c r="M2086">
        <v>4.01</v>
      </c>
      <c r="N2086">
        <v>161.18</v>
      </c>
      <c r="O2086">
        <v>1.9</v>
      </c>
      <c r="P2086">
        <v>9</v>
      </c>
      <c r="Q2086">
        <v>0.9</v>
      </c>
      <c r="R2086">
        <v>167</v>
      </c>
      <c r="S2086">
        <v>13.54</v>
      </c>
      <c r="T2086">
        <v>0.53</v>
      </c>
      <c r="U2086" s="1">
        <v>45550</v>
      </c>
      <c r="V2086">
        <v>268.57</v>
      </c>
      <c r="W2086">
        <v>0.497</v>
      </c>
      <c r="X2086" t="str">
        <f>IF(WarehouseData[[#This Row],[stock_level]]&lt;=WarehouseData[[#This Row],[reorder_point]],"Low Stock","Sufficient Stock")</f>
        <v>Sufficient Stock</v>
      </c>
      <c r="Y2086">
        <f>WarehouseData[[#This Row],[daily_demand]]*WarehouseData[[#This Row],[lead_time_days]]</f>
        <v>152.22</v>
      </c>
      <c r="Z2086" t="str">
        <f>IF(WarehouseData[[#This Row],[stock_level]]&lt;=WarehouseData[[#This Row],[Demand During Lead Time]],"At Risk","Safe")</f>
        <v>Safe</v>
      </c>
      <c r="AA2086">
        <f>WarehouseData[[#This Row],[stock_level]]/WarehouseData[[#This Row],[daily_demand]]</f>
        <v>13.67757193535672</v>
      </c>
      <c r="AB2086">
        <f>WarehouseData[[#This Row],[stock_level]]*WarehouseData[[#This Row],[unit_price]]</f>
        <v>55929.46</v>
      </c>
      <c r="AC2086">
        <f>WarehouseData[[#This Row],[stock_level]]*WarehouseData[[#This Row],[holding_cost_per_unit_day]]*30</f>
        <v>19779</v>
      </c>
      <c r="AD2086" t="str">
        <f>IF(WarehouseData[[#This Row],[order_fulfillment_rate]]&gt;=0.9,"Strong",IF(WarehouseData[[#This Row],[order_fulfillment_rate]]&gt;=0.8,"Moderate","Needs Attention"))</f>
        <v>Strong</v>
      </c>
      <c r="AE2086" t="str">
        <f>IF(WarehouseData[[#This Row],[picking_time_seconds]]&gt;120,"Slow",IF(WarehouseData[[#This Row],[picking_time_seconds]]&gt;=60,"Average","Fast"))</f>
        <v>Average</v>
      </c>
    </row>
    <row r="2087" spans="1:31" x14ac:dyDescent="0.25">
      <c r="A2087" t="s">
        <v>2225</v>
      </c>
      <c r="B2087" t="s">
        <v>48</v>
      </c>
      <c r="C2087">
        <v>238</v>
      </c>
      <c r="D2087">
        <v>91</v>
      </c>
      <c r="E2087">
        <v>3</v>
      </c>
      <c r="F2087">
        <v>6</v>
      </c>
      <c r="G2087">
        <v>8.26</v>
      </c>
      <c r="H2087">
        <v>7.48</v>
      </c>
      <c r="I2087">
        <v>0.93</v>
      </c>
      <c r="J2087" t="s">
        <v>353</v>
      </c>
      <c r="K2087" t="s">
        <v>34</v>
      </c>
      <c r="L2087">
        <v>81</v>
      </c>
      <c r="M2087">
        <v>4.6399999999999997</v>
      </c>
      <c r="N2087">
        <v>138.5</v>
      </c>
      <c r="O2087">
        <v>0.48</v>
      </c>
      <c r="P2087">
        <v>6</v>
      </c>
      <c r="Q2087">
        <v>0.94</v>
      </c>
      <c r="R2087">
        <v>672</v>
      </c>
      <c r="S2087">
        <v>13.92</v>
      </c>
      <c r="T2087">
        <v>0.4</v>
      </c>
      <c r="U2087" s="1">
        <v>45532</v>
      </c>
      <c r="V2087">
        <v>50.09</v>
      </c>
      <c r="W2087">
        <v>0.68600000000000005</v>
      </c>
      <c r="X2087" t="str">
        <f>IF(WarehouseData[[#This Row],[stock_level]]&lt;=WarehouseData[[#This Row],[reorder_point]],"Low Stock","Sufficient Stock")</f>
        <v>Sufficient Stock</v>
      </c>
      <c r="Y2087">
        <f>WarehouseData[[#This Row],[daily_demand]]*WarehouseData[[#This Row],[lead_time_days]]</f>
        <v>49.56</v>
      </c>
      <c r="Z2087" t="str">
        <f>IF(WarehouseData[[#This Row],[stock_level]]&lt;=WarehouseData[[#This Row],[Demand During Lead Time]],"At Risk","Safe")</f>
        <v>Safe</v>
      </c>
      <c r="AA2087">
        <f>WarehouseData[[#This Row],[stock_level]]/WarehouseData[[#This Row],[daily_demand]]</f>
        <v>28.8135593220339</v>
      </c>
      <c r="AB2087">
        <f>WarehouseData[[#This Row],[stock_level]]*WarehouseData[[#This Row],[unit_price]]</f>
        <v>32963</v>
      </c>
      <c r="AC2087">
        <f>WarehouseData[[#This Row],[stock_level]]*WarehouseData[[#This Row],[holding_cost_per_unit_day]]*30</f>
        <v>3427.2</v>
      </c>
      <c r="AD2087" t="str">
        <f>IF(WarehouseData[[#This Row],[order_fulfillment_rate]]&gt;=0.9,"Strong",IF(WarehouseData[[#This Row],[order_fulfillment_rate]]&gt;=0.8,"Moderate","Needs Attention"))</f>
        <v>Strong</v>
      </c>
      <c r="AE2087" t="str">
        <f>IF(WarehouseData[[#This Row],[picking_time_seconds]]&gt;120,"Slow",IF(WarehouseData[[#This Row],[picking_time_seconds]]&gt;=60,"Average","Fast"))</f>
        <v>Average</v>
      </c>
    </row>
    <row r="2088" spans="1:31" x14ac:dyDescent="0.25">
      <c r="A2088" t="s">
        <v>2226</v>
      </c>
      <c r="B2088" t="s">
        <v>36</v>
      </c>
      <c r="C2088">
        <v>128</v>
      </c>
      <c r="D2088">
        <v>50</v>
      </c>
      <c r="E2088">
        <v>6</v>
      </c>
      <c r="F2088">
        <v>3</v>
      </c>
      <c r="G2088">
        <v>40.770000000000003</v>
      </c>
      <c r="H2088">
        <v>1.19</v>
      </c>
      <c r="I2088">
        <v>0.17</v>
      </c>
      <c r="J2088" t="s">
        <v>273</v>
      </c>
      <c r="K2088" t="s">
        <v>46</v>
      </c>
      <c r="L2088">
        <v>129</v>
      </c>
      <c r="M2088">
        <v>4.83</v>
      </c>
      <c r="N2088">
        <v>106.74</v>
      </c>
      <c r="O2088">
        <v>1.75</v>
      </c>
      <c r="P2088">
        <v>0</v>
      </c>
      <c r="Q2088">
        <v>0.78</v>
      </c>
      <c r="R2088">
        <v>107</v>
      </c>
      <c r="S2088">
        <v>4.93</v>
      </c>
      <c r="T2088">
        <v>0.97</v>
      </c>
      <c r="U2088" s="1">
        <v>45545</v>
      </c>
      <c r="V2088">
        <v>29.35</v>
      </c>
      <c r="W2088">
        <v>0.64100000000000001</v>
      </c>
      <c r="X2088" t="str">
        <f>IF(WarehouseData[[#This Row],[stock_level]]&lt;=WarehouseData[[#This Row],[reorder_point]],"Low Stock","Sufficient Stock")</f>
        <v>Sufficient Stock</v>
      </c>
      <c r="Y2088">
        <f>WarehouseData[[#This Row],[daily_demand]]*WarehouseData[[#This Row],[lead_time_days]]</f>
        <v>122.31</v>
      </c>
      <c r="Z2088" t="str">
        <f>IF(WarehouseData[[#This Row],[stock_level]]&lt;=WarehouseData[[#This Row],[Demand During Lead Time]],"At Risk","Safe")</f>
        <v>Safe</v>
      </c>
      <c r="AA2088">
        <f>WarehouseData[[#This Row],[stock_level]]/WarehouseData[[#This Row],[daily_demand]]</f>
        <v>3.1395634044640666</v>
      </c>
      <c r="AB2088">
        <f>WarehouseData[[#This Row],[stock_level]]*WarehouseData[[#This Row],[unit_price]]</f>
        <v>13662.72</v>
      </c>
      <c r="AC2088">
        <f>WarehouseData[[#This Row],[stock_level]]*WarehouseData[[#This Row],[holding_cost_per_unit_day]]*30</f>
        <v>6720</v>
      </c>
      <c r="AD2088" t="str">
        <f>IF(WarehouseData[[#This Row],[order_fulfillment_rate]]&gt;=0.9,"Strong",IF(WarehouseData[[#This Row],[order_fulfillment_rate]]&gt;=0.8,"Moderate","Needs Attention"))</f>
        <v>Needs Attention</v>
      </c>
      <c r="AE2088" t="str">
        <f>IF(WarehouseData[[#This Row],[picking_time_seconds]]&gt;120,"Slow",IF(WarehouseData[[#This Row],[picking_time_seconds]]&gt;=60,"Average","Fast"))</f>
        <v>Slow</v>
      </c>
    </row>
    <row r="2089" spans="1:31" x14ac:dyDescent="0.25">
      <c r="A2089" t="s">
        <v>2227</v>
      </c>
      <c r="B2089" t="s">
        <v>32</v>
      </c>
      <c r="C2089">
        <v>298</v>
      </c>
      <c r="D2089">
        <v>59</v>
      </c>
      <c r="E2089">
        <v>5</v>
      </c>
      <c r="F2089">
        <v>3</v>
      </c>
      <c r="G2089">
        <v>21.61</v>
      </c>
      <c r="H2089">
        <v>9.01</v>
      </c>
      <c r="I2089">
        <v>0.85</v>
      </c>
      <c r="J2089" t="s">
        <v>120</v>
      </c>
      <c r="K2089" t="s">
        <v>52</v>
      </c>
      <c r="L2089">
        <v>177</v>
      </c>
      <c r="M2089">
        <v>3.8</v>
      </c>
      <c r="N2089">
        <v>167.46</v>
      </c>
      <c r="O2089">
        <v>1.37</v>
      </c>
      <c r="P2089">
        <v>5</v>
      </c>
      <c r="Q2089">
        <v>0.73</v>
      </c>
      <c r="R2089">
        <v>67</v>
      </c>
      <c r="S2089">
        <v>8.74</v>
      </c>
      <c r="T2089">
        <v>0.52</v>
      </c>
      <c r="U2089" s="1">
        <v>45376</v>
      </c>
      <c r="V2089">
        <v>125.98</v>
      </c>
      <c r="W2089">
        <v>0.53</v>
      </c>
      <c r="X2089" t="str">
        <f>IF(WarehouseData[[#This Row],[stock_level]]&lt;=WarehouseData[[#This Row],[reorder_point]],"Low Stock","Sufficient Stock")</f>
        <v>Sufficient Stock</v>
      </c>
      <c r="Y2089">
        <f>WarehouseData[[#This Row],[daily_demand]]*WarehouseData[[#This Row],[lead_time_days]]</f>
        <v>64.83</v>
      </c>
      <c r="Z2089" t="str">
        <f>IF(WarehouseData[[#This Row],[stock_level]]&lt;=WarehouseData[[#This Row],[Demand During Lead Time]],"At Risk","Safe")</f>
        <v>Safe</v>
      </c>
      <c r="AA2089">
        <f>WarehouseData[[#This Row],[stock_level]]/WarehouseData[[#This Row],[daily_demand]]</f>
        <v>13.789912077741787</v>
      </c>
      <c r="AB2089">
        <f>WarehouseData[[#This Row],[stock_level]]*WarehouseData[[#This Row],[unit_price]]</f>
        <v>49903.08</v>
      </c>
      <c r="AC2089">
        <f>WarehouseData[[#This Row],[stock_level]]*WarehouseData[[#This Row],[holding_cost_per_unit_day]]*30</f>
        <v>12247.800000000001</v>
      </c>
      <c r="AD2089" t="str">
        <f>IF(WarehouseData[[#This Row],[order_fulfillment_rate]]&gt;=0.9,"Strong",IF(WarehouseData[[#This Row],[order_fulfillment_rate]]&gt;=0.8,"Moderate","Needs Attention"))</f>
        <v>Needs Attention</v>
      </c>
      <c r="AE2089" t="str">
        <f>IF(WarehouseData[[#This Row],[picking_time_seconds]]&gt;120,"Slow",IF(WarehouseData[[#This Row],[picking_time_seconds]]&gt;=60,"Average","Fast"))</f>
        <v>Slow</v>
      </c>
    </row>
    <row r="2090" spans="1:31" x14ac:dyDescent="0.25">
      <c r="A2090" t="s">
        <v>2228</v>
      </c>
      <c r="B2090" t="s">
        <v>73</v>
      </c>
      <c r="C2090">
        <v>193</v>
      </c>
      <c r="D2090">
        <v>96</v>
      </c>
      <c r="E2090">
        <v>3</v>
      </c>
      <c r="F2090">
        <v>9</v>
      </c>
      <c r="G2090">
        <v>38.49</v>
      </c>
      <c r="H2090">
        <v>4.72</v>
      </c>
      <c r="I2090">
        <v>0.51</v>
      </c>
      <c r="J2090" t="s">
        <v>113</v>
      </c>
      <c r="K2090" t="s">
        <v>46</v>
      </c>
      <c r="L2090">
        <v>152</v>
      </c>
      <c r="M2090">
        <v>4.3600000000000003</v>
      </c>
      <c r="N2090">
        <v>53.28</v>
      </c>
      <c r="O2090">
        <v>1.1499999999999999</v>
      </c>
      <c r="P2090">
        <v>7</v>
      </c>
      <c r="Q2090">
        <v>0.8</v>
      </c>
      <c r="R2090">
        <v>928</v>
      </c>
      <c r="S2090">
        <v>7.79</v>
      </c>
      <c r="T2090">
        <v>0.92</v>
      </c>
      <c r="U2090" s="1">
        <v>45330</v>
      </c>
      <c r="V2090">
        <v>217.85</v>
      </c>
      <c r="W2090">
        <v>0.59299999999999997</v>
      </c>
      <c r="X2090" t="str">
        <f>IF(WarehouseData[[#This Row],[stock_level]]&lt;=WarehouseData[[#This Row],[reorder_point]],"Low Stock","Sufficient Stock")</f>
        <v>Sufficient Stock</v>
      </c>
      <c r="Y2090">
        <f>WarehouseData[[#This Row],[daily_demand]]*WarehouseData[[#This Row],[lead_time_days]]</f>
        <v>346.41</v>
      </c>
      <c r="Z2090" t="str">
        <f>IF(WarehouseData[[#This Row],[stock_level]]&lt;=WarehouseData[[#This Row],[Demand During Lead Time]],"At Risk","Safe")</f>
        <v>At Risk</v>
      </c>
      <c r="AA2090">
        <f>WarehouseData[[#This Row],[stock_level]]/WarehouseData[[#This Row],[daily_demand]]</f>
        <v>5.0142894258248889</v>
      </c>
      <c r="AB2090">
        <f>WarehouseData[[#This Row],[stock_level]]*WarehouseData[[#This Row],[unit_price]]</f>
        <v>10283.040000000001</v>
      </c>
      <c r="AC2090">
        <f>WarehouseData[[#This Row],[stock_level]]*WarehouseData[[#This Row],[holding_cost_per_unit_day]]*30</f>
        <v>6658.5</v>
      </c>
      <c r="AD2090" t="str">
        <f>IF(WarehouseData[[#This Row],[order_fulfillment_rate]]&gt;=0.9,"Strong",IF(WarehouseData[[#This Row],[order_fulfillment_rate]]&gt;=0.8,"Moderate","Needs Attention"))</f>
        <v>Moderate</v>
      </c>
      <c r="AE2090" t="str">
        <f>IF(WarehouseData[[#This Row],[picking_time_seconds]]&gt;120,"Slow",IF(WarehouseData[[#This Row],[picking_time_seconds]]&gt;=60,"Average","Fast"))</f>
        <v>Slow</v>
      </c>
    </row>
    <row r="2091" spans="1:31" x14ac:dyDescent="0.25">
      <c r="A2091" t="s">
        <v>2229</v>
      </c>
      <c r="B2091" t="s">
        <v>48</v>
      </c>
      <c r="C2091">
        <v>347</v>
      </c>
      <c r="D2091">
        <v>80</v>
      </c>
      <c r="E2091">
        <v>4</v>
      </c>
      <c r="F2091">
        <v>6</v>
      </c>
      <c r="G2091">
        <v>47.77</v>
      </c>
      <c r="H2091">
        <v>6.77</v>
      </c>
      <c r="I2091">
        <v>0.88</v>
      </c>
      <c r="J2091" t="s">
        <v>106</v>
      </c>
      <c r="K2091" t="s">
        <v>38</v>
      </c>
      <c r="L2091">
        <v>28</v>
      </c>
      <c r="M2091">
        <v>3.25</v>
      </c>
      <c r="N2091">
        <v>167.85</v>
      </c>
      <c r="O2091">
        <v>1.66</v>
      </c>
      <c r="P2091">
        <v>0</v>
      </c>
      <c r="Q2091">
        <v>0.79</v>
      </c>
      <c r="R2091">
        <v>920</v>
      </c>
      <c r="S2091">
        <v>10.36</v>
      </c>
      <c r="T2091">
        <v>0.61</v>
      </c>
      <c r="U2091" s="1">
        <v>45543</v>
      </c>
      <c r="V2091">
        <v>266.98</v>
      </c>
      <c r="W2091">
        <v>0.65200000000000002</v>
      </c>
      <c r="X2091" t="str">
        <f>IF(WarehouseData[[#This Row],[stock_level]]&lt;=WarehouseData[[#This Row],[reorder_point]],"Low Stock","Sufficient Stock")</f>
        <v>Sufficient Stock</v>
      </c>
      <c r="Y2091">
        <f>WarehouseData[[#This Row],[daily_demand]]*WarehouseData[[#This Row],[lead_time_days]]</f>
        <v>286.62</v>
      </c>
      <c r="Z2091" t="str">
        <f>IF(WarehouseData[[#This Row],[stock_level]]&lt;=WarehouseData[[#This Row],[Demand During Lead Time]],"At Risk","Safe")</f>
        <v>Safe</v>
      </c>
      <c r="AA2091">
        <f>WarehouseData[[#This Row],[stock_level]]/WarehouseData[[#This Row],[daily_demand]]</f>
        <v>7.2639732049403385</v>
      </c>
      <c r="AB2091">
        <f>WarehouseData[[#This Row],[stock_level]]*WarehouseData[[#This Row],[unit_price]]</f>
        <v>58243.95</v>
      </c>
      <c r="AC2091">
        <f>WarehouseData[[#This Row],[stock_level]]*WarehouseData[[#This Row],[holding_cost_per_unit_day]]*30</f>
        <v>17280.599999999999</v>
      </c>
      <c r="AD2091" t="str">
        <f>IF(WarehouseData[[#This Row],[order_fulfillment_rate]]&gt;=0.9,"Strong",IF(WarehouseData[[#This Row],[order_fulfillment_rate]]&gt;=0.8,"Moderate","Needs Attention"))</f>
        <v>Needs Attention</v>
      </c>
      <c r="AE2091" t="str">
        <f>IF(WarehouseData[[#This Row],[picking_time_seconds]]&gt;120,"Slow",IF(WarehouseData[[#This Row],[picking_time_seconds]]&gt;=60,"Average","Fast"))</f>
        <v>Fast</v>
      </c>
    </row>
    <row r="2092" spans="1:31" x14ac:dyDescent="0.25">
      <c r="A2092" t="s">
        <v>2230</v>
      </c>
      <c r="B2092" t="s">
        <v>36</v>
      </c>
      <c r="C2092">
        <v>283</v>
      </c>
      <c r="D2092">
        <v>68</v>
      </c>
      <c r="E2092">
        <v>13</v>
      </c>
      <c r="F2092">
        <v>9</v>
      </c>
      <c r="G2092">
        <v>42.62</v>
      </c>
      <c r="H2092">
        <v>9.6199999999999992</v>
      </c>
      <c r="I2092">
        <v>0.18</v>
      </c>
      <c r="J2092" t="s">
        <v>447</v>
      </c>
      <c r="K2092" t="s">
        <v>52</v>
      </c>
      <c r="L2092">
        <v>19</v>
      </c>
      <c r="M2092">
        <v>2.56</v>
      </c>
      <c r="N2092">
        <v>62.51</v>
      </c>
      <c r="O2092">
        <v>1.3</v>
      </c>
      <c r="P2092">
        <v>0</v>
      </c>
      <c r="Q2092">
        <v>0.84</v>
      </c>
      <c r="R2092">
        <v>189</v>
      </c>
      <c r="S2092">
        <v>14.69</v>
      </c>
      <c r="T2092">
        <v>0.86</v>
      </c>
      <c r="U2092" s="1">
        <v>45456</v>
      </c>
      <c r="V2092">
        <v>20.09</v>
      </c>
      <c r="W2092">
        <v>0.80600000000000005</v>
      </c>
      <c r="X2092" t="str">
        <f>IF(WarehouseData[[#This Row],[stock_level]]&lt;=WarehouseData[[#This Row],[reorder_point]],"Low Stock","Sufficient Stock")</f>
        <v>Sufficient Stock</v>
      </c>
      <c r="Y2092">
        <f>WarehouseData[[#This Row],[daily_demand]]*WarehouseData[[#This Row],[lead_time_days]]</f>
        <v>383.58</v>
      </c>
      <c r="Z2092" t="str">
        <f>IF(WarehouseData[[#This Row],[stock_level]]&lt;=WarehouseData[[#This Row],[Demand During Lead Time]],"At Risk","Safe")</f>
        <v>At Risk</v>
      </c>
      <c r="AA2092">
        <f>WarehouseData[[#This Row],[stock_level]]/WarehouseData[[#This Row],[daily_demand]]</f>
        <v>6.6400750821210703</v>
      </c>
      <c r="AB2092">
        <f>WarehouseData[[#This Row],[stock_level]]*WarehouseData[[#This Row],[unit_price]]</f>
        <v>17690.329999999998</v>
      </c>
      <c r="AC2092">
        <f>WarehouseData[[#This Row],[stock_level]]*WarehouseData[[#This Row],[holding_cost_per_unit_day]]*30</f>
        <v>11037.000000000002</v>
      </c>
      <c r="AD2092" t="str">
        <f>IF(WarehouseData[[#This Row],[order_fulfillment_rate]]&gt;=0.9,"Strong",IF(WarehouseData[[#This Row],[order_fulfillment_rate]]&gt;=0.8,"Moderate","Needs Attention"))</f>
        <v>Moderate</v>
      </c>
      <c r="AE2092" t="str">
        <f>IF(WarehouseData[[#This Row],[picking_time_seconds]]&gt;120,"Slow",IF(WarehouseData[[#This Row],[picking_time_seconds]]&gt;=60,"Average","Fast"))</f>
        <v>Fast</v>
      </c>
    </row>
    <row r="2093" spans="1:31" x14ac:dyDescent="0.25">
      <c r="A2093" t="s">
        <v>2231</v>
      </c>
      <c r="B2093" t="s">
        <v>48</v>
      </c>
      <c r="C2093">
        <v>334</v>
      </c>
      <c r="D2093">
        <v>48</v>
      </c>
      <c r="E2093">
        <v>7</v>
      </c>
      <c r="F2093">
        <v>7</v>
      </c>
      <c r="G2093">
        <v>47.62</v>
      </c>
      <c r="H2093">
        <v>1.45</v>
      </c>
      <c r="I2093">
        <v>0.84</v>
      </c>
      <c r="J2093" t="s">
        <v>207</v>
      </c>
      <c r="K2093" t="s">
        <v>52</v>
      </c>
      <c r="L2093">
        <v>25</v>
      </c>
      <c r="M2093">
        <v>3.71</v>
      </c>
      <c r="N2093">
        <v>78.87</v>
      </c>
      <c r="O2093">
        <v>1.37</v>
      </c>
      <c r="P2093">
        <v>5</v>
      </c>
      <c r="Q2093">
        <v>0.78</v>
      </c>
      <c r="R2093">
        <v>507</v>
      </c>
      <c r="S2093">
        <v>14.81</v>
      </c>
      <c r="T2093">
        <v>0.56000000000000005</v>
      </c>
      <c r="U2093" s="1">
        <v>45415</v>
      </c>
      <c r="V2093">
        <v>239.96</v>
      </c>
      <c r="W2093">
        <v>0.628</v>
      </c>
      <c r="X2093" t="str">
        <f>IF(WarehouseData[[#This Row],[stock_level]]&lt;=WarehouseData[[#This Row],[reorder_point]],"Low Stock","Sufficient Stock")</f>
        <v>Sufficient Stock</v>
      </c>
      <c r="Y2093">
        <f>WarehouseData[[#This Row],[daily_demand]]*WarehouseData[[#This Row],[lead_time_days]]</f>
        <v>333.34</v>
      </c>
      <c r="Z2093" t="str">
        <f>IF(WarehouseData[[#This Row],[stock_level]]&lt;=WarehouseData[[#This Row],[Demand During Lead Time]],"At Risk","Safe")</f>
        <v>Safe</v>
      </c>
      <c r="AA2093">
        <f>WarehouseData[[#This Row],[stock_level]]/WarehouseData[[#This Row],[daily_demand]]</f>
        <v>7.0138597228055444</v>
      </c>
      <c r="AB2093">
        <f>WarehouseData[[#This Row],[stock_level]]*WarehouseData[[#This Row],[unit_price]]</f>
        <v>26342.58</v>
      </c>
      <c r="AC2093">
        <f>WarehouseData[[#This Row],[stock_level]]*WarehouseData[[#This Row],[holding_cost_per_unit_day]]*30</f>
        <v>13727.400000000001</v>
      </c>
      <c r="AD2093" t="str">
        <f>IF(WarehouseData[[#This Row],[order_fulfillment_rate]]&gt;=0.9,"Strong",IF(WarehouseData[[#This Row],[order_fulfillment_rate]]&gt;=0.8,"Moderate","Needs Attention"))</f>
        <v>Needs Attention</v>
      </c>
      <c r="AE2093" t="str">
        <f>IF(WarehouseData[[#This Row],[picking_time_seconds]]&gt;120,"Slow",IF(WarehouseData[[#This Row],[picking_time_seconds]]&gt;=60,"Average","Fast"))</f>
        <v>Fast</v>
      </c>
    </row>
    <row r="2094" spans="1:31" x14ac:dyDescent="0.25">
      <c r="A2094" t="s">
        <v>2232</v>
      </c>
      <c r="B2094" t="s">
        <v>73</v>
      </c>
      <c r="C2094">
        <v>493</v>
      </c>
      <c r="D2094">
        <v>12</v>
      </c>
      <c r="E2094">
        <v>10</v>
      </c>
      <c r="F2094">
        <v>6</v>
      </c>
      <c r="G2094">
        <v>28.83</v>
      </c>
      <c r="H2094">
        <v>5.08</v>
      </c>
      <c r="I2094">
        <v>0.24</v>
      </c>
      <c r="J2094" t="s">
        <v>166</v>
      </c>
      <c r="K2094" t="s">
        <v>52</v>
      </c>
      <c r="L2094">
        <v>168</v>
      </c>
      <c r="M2094">
        <v>1.51</v>
      </c>
      <c r="N2094">
        <v>34.4</v>
      </c>
      <c r="O2094">
        <v>0.57999999999999996</v>
      </c>
      <c r="P2094">
        <v>4</v>
      </c>
      <c r="Q2094">
        <v>0.8</v>
      </c>
      <c r="R2094">
        <v>755</v>
      </c>
      <c r="S2094">
        <v>8.1300000000000008</v>
      </c>
      <c r="T2094">
        <v>0.99</v>
      </c>
      <c r="U2094" s="1">
        <v>45461</v>
      </c>
      <c r="V2094">
        <v>31.87</v>
      </c>
      <c r="W2094">
        <v>0.72799999999999998</v>
      </c>
      <c r="X2094" t="str">
        <f>IF(WarehouseData[[#This Row],[stock_level]]&lt;=WarehouseData[[#This Row],[reorder_point]],"Low Stock","Sufficient Stock")</f>
        <v>Sufficient Stock</v>
      </c>
      <c r="Y2094">
        <f>WarehouseData[[#This Row],[daily_demand]]*WarehouseData[[#This Row],[lead_time_days]]</f>
        <v>172.98</v>
      </c>
      <c r="Z2094" t="str">
        <f>IF(WarehouseData[[#This Row],[stock_level]]&lt;=WarehouseData[[#This Row],[Demand During Lead Time]],"At Risk","Safe")</f>
        <v>Safe</v>
      </c>
      <c r="AA2094">
        <f>WarehouseData[[#This Row],[stock_level]]/WarehouseData[[#This Row],[daily_demand]]</f>
        <v>17.100242802636142</v>
      </c>
      <c r="AB2094">
        <f>WarehouseData[[#This Row],[stock_level]]*WarehouseData[[#This Row],[unit_price]]</f>
        <v>16959.2</v>
      </c>
      <c r="AC2094">
        <f>WarehouseData[[#This Row],[stock_level]]*WarehouseData[[#This Row],[holding_cost_per_unit_day]]*30</f>
        <v>8578.2000000000007</v>
      </c>
      <c r="AD2094" t="str">
        <f>IF(WarehouseData[[#This Row],[order_fulfillment_rate]]&gt;=0.9,"Strong",IF(WarehouseData[[#This Row],[order_fulfillment_rate]]&gt;=0.8,"Moderate","Needs Attention"))</f>
        <v>Moderate</v>
      </c>
      <c r="AE2094" t="str">
        <f>IF(WarehouseData[[#This Row],[picking_time_seconds]]&gt;120,"Slow",IF(WarehouseData[[#This Row],[picking_time_seconds]]&gt;=60,"Average","Fast"))</f>
        <v>Slow</v>
      </c>
    </row>
    <row r="2095" spans="1:31" x14ac:dyDescent="0.25">
      <c r="A2095" t="s">
        <v>2233</v>
      </c>
      <c r="B2095" t="s">
        <v>36</v>
      </c>
      <c r="C2095">
        <v>130</v>
      </c>
      <c r="D2095">
        <v>85</v>
      </c>
      <c r="E2095">
        <v>3</v>
      </c>
      <c r="F2095">
        <v>3</v>
      </c>
      <c r="G2095">
        <v>9.1</v>
      </c>
      <c r="H2095">
        <v>0.97</v>
      </c>
      <c r="I2095">
        <v>0.4</v>
      </c>
      <c r="J2095" t="s">
        <v>150</v>
      </c>
      <c r="K2095" t="s">
        <v>38</v>
      </c>
      <c r="L2095">
        <v>117</v>
      </c>
      <c r="M2095">
        <v>0.99</v>
      </c>
      <c r="N2095">
        <v>29.33</v>
      </c>
      <c r="O2095">
        <v>1.65</v>
      </c>
      <c r="P2095">
        <v>2</v>
      </c>
      <c r="Q2095">
        <v>0.97</v>
      </c>
      <c r="R2095">
        <v>691</v>
      </c>
      <c r="S2095">
        <v>2.29</v>
      </c>
      <c r="T2095">
        <v>0.71</v>
      </c>
      <c r="U2095" s="1">
        <v>45434</v>
      </c>
      <c r="V2095">
        <v>178.37</v>
      </c>
      <c r="W2095">
        <v>0.56200000000000006</v>
      </c>
      <c r="X2095" t="str">
        <f>IF(WarehouseData[[#This Row],[stock_level]]&lt;=WarehouseData[[#This Row],[reorder_point]],"Low Stock","Sufficient Stock")</f>
        <v>Sufficient Stock</v>
      </c>
      <c r="Y2095">
        <f>WarehouseData[[#This Row],[daily_demand]]*WarehouseData[[#This Row],[lead_time_days]]</f>
        <v>27.299999999999997</v>
      </c>
      <c r="Z2095" t="str">
        <f>IF(WarehouseData[[#This Row],[stock_level]]&lt;=WarehouseData[[#This Row],[Demand During Lead Time]],"At Risk","Safe")</f>
        <v>Safe</v>
      </c>
      <c r="AA2095">
        <f>WarehouseData[[#This Row],[stock_level]]/WarehouseData[[#This Row],[daily_demand]]</f>
        <v>14.285714285714286</v>
      </c>
      <c r="AB2095">
        <f>WarehouseData[[#This Row],[stock_level]]*WarehouseData[[#This Row],[unit_price]]</f>
        <v>3812.8999999999996</v>
      </c>
      <c r="AC2095">
        <f>WarehouseData[[#This Row],[stock_level]]*WarehouseData[[#This Row],[holding_cost_per_unit_day]]*30</f>
        <v>6435</v>
      </c>
      <c r="AD2095" t="str">
        <f>IF(WarehouseData[[#This Row],[order_fulfillment_rate]]&gt;=0.9,"Strong",IF(WarehouseData[[#This Row],[order_fulfillment_rate]]&gt;=0.8,"Moderate","Needs Attention"))</f>
        <v>Strong</v>
      </c>
      <c r="AE2095" t="str">
        <f>IF(WarehouseData[[#This Row],[picking_time_seconds]]&gt;120,"Slow",IF(WarehouseData[[#This Row],[picking_time_seconds]]&gt;=60,"Average","Fast"))</f>
        <v>Average</v>
      </c>
    </row>
    <row r="2096" spans="1:31" x14ac:dyDescent="0.25">
      <c r="A2096" t="s">
        <v>2234</v>
      </c>
      <c r="B2096" t="s">
        <v>48</v>
      </c>
      <c r="C2096">
        <v>206</v>
      </c>
      <c r="D2096">
        <v>16</v>
      </c>
      <c r="E2096">
        <v>6</v>
      </c>
      <c r="F2096">
        <v>5</v>
      </c>
      <c r="G2096">
        <v>46.83</v>
      </c>
      <c r="H2096">
        <v>5.25</v>
      </c>
      <c r="I2096">
        <v>0.13</v>
      </c>
      <c r="J2096" t="s">
        <v>196</v>
      </c>
      <c r="K2096" t="s">
        <v>46</v>
      </c>
      <c r="L2096">
        <v>25</v>
      </c>
      <c r="M2096">
        <v>3.93</v>
      </c>
      <c r="N2096">
        <v>187.1</v>
      </c>
      <c r="O2096">
        <v>1.34</v>
      </c>
      <c r="P2096">
        <v>9</v>
      </c>
      <c r="Q2096">
        <v>0.8</v>
      </c>
      <c r="R2096">
        <v>261</v>
      </c>
      <c r="S2096">
        <v>5.68</v>
      </c>
      <c r="T2096">
        <v>0.32</v>
      </c>
      <c r="U2096" s="1">
        <v>45317</v>
      </c>
      <c r="V2096">
        <v>109.79</v>
      </c>
      <c r="W2096">
        <v>0.38600000000000001</v>
      </c>
      <c r="X2096" t="str">
        <f>IF(WarehouseData[[#This Row],[stock_level]]&lt;=WarehouseData[[#This Row],[reorder_point]],"Low Stock","Sufficient Stock")</f>
        <v>Sufficient Stock</v>
      </c>
      <c r="Y2096">
        <f>WarehouseData[[#This Row],[daily_demand]]*WarehouseData[[#This Row],[lead_time_days]]</f>
        <v>234.14999999999998</v>
      </c>
      <c r="Z2096" t="str">
        <f>IF(WarehouseData[[#This Row],[stock_level]]&lt;=WarehouseData[[#This Row],[Demand During Lead Time]],"At Risk","Safe")</f>
        <v>At Risk</v>
      </c>
      <c r="AA2096">
        <f>WarehouseData[[#This Row],[stock_level]]/WarehouseData[[#This Row],[daily_demand]]</f>
        <v>4.3988896006833231</v>
      </c>
      <c r="AB2096">
        <f>WarehouseData[[#This Row],[stock_level]]*WarehouseData[[#This Row],[unit_price]]</f>
        <v>38542.6</v>
      </c>
      <c r="AC2096">
        <f>WarehouseData[[#This Row],[stock_level]]*WarehouseData[[#This Row],[holding_cost_per_unit_day]]*30</f>
        <v>8281.2000000000007</v>
      </c>
      <c r="AD2096" t="str">
        <f>IF(WarehouseData[[#This Row],[order_fulfillment_rate]]&gt;=0.9,"Strong",IF(WarehouseData[[#This Row],[order_fulfillment_rate]]&gt;=0.8,"Moderate","Needs Attention"))</f>
        <v>Moderate</v>
      </c>
      <c r="AE2096" t="str">
        <f>IF(WarehouseData[[#This Row],[picking_time_seconds]]&gt;120,"Slow",IF(WarehouseData[[#This Row],[picking_time_seconds]]&gt;=60,"Average","Fast"))</f>
        <v>Fast</v>
      </c>
    </row>
    <row r="2097" spans="1:31" x14ac:dyDescent="0.25">
      <c r="A2097" t="s">
        <v>2235</v>
      </c>
      <c r="B2097" t="s">
        <v>40</v>
      </c>
      <c r="C2097">
        <v>288</v>
      </c>
      <c r="D2097">
        <v>58</v>
      </c>
      <c r="E2097">
        <v>6</v>
      </c>
      <c r="F2097">
        <v>9</v>
      </c>
      <c r="G2097">
        <v>43.56</v>
      </c>
      <c r="H2097">
        <v>2.9</v>
      </c>
      <c r="I2097">
        <v>0.21</v>
      </c>
      <c r="J2097" t="s">
        <v>289</v>
      </c>
      <c r="K2097" t="s">
        <v>52</v>
      </c>
      <c r="L2097">
        <v>89</v>
      </c>
      <c r="M2097">
        <v>4.8099999999999996</v>
      </c>
      <c r="N2097">
        <v>46.1</v>
      </c>
      <c r="O2097">
        <v>1.7</v>
      </c>
      <c r="P2097">
        <v>9</v>
      </c>
      <c r="Q2097">
        <v>0.94</v>
      </c>
      <c r="R2097">
        <v>535</v>
      </c>
      <c r="S2097">
        <v>6.79</v>
      </c>
      <c r="T2097">
        <v>0.21</v>
      </c>
      <c r="U2097" s="1">
        <v>45551</v>
      </c>
      <c r="V2097">
        <v>15.12</v>
      </c>
      <c r="W2097">
        <v>0.371</v>
      </c>
      <c r="X2097" t="str">
        <f>IF(WarehouseData[[#This Row],[stock_level]]&lt;=WarehouseData[[#This Row],[reorder_point]],"Low Stock","Sufficient Stock")</f>
        <v>Sufficient Stock</v>
      </c>
      <c r="Y2097">
        <f>WarehouseData[[#This Row],[daily_demand]]*WarehouseData[[#This Row],[lead_time_days]]</f>
        <v>392.04</v>
      </c>
      <c r="Z2097" t="str">
        <f>IF(WarehouseData[[#This Row],[stock_level]]&lt;=WarehouseData[[#This Row],[Demand During Lead Time]],"At Risk","Safe")</f>
        <v>At Risk</v>
      </c>
      <c r="AA2097">
        <f>WarehouseData[[#This Row],[stock_level]]/WarehouseData[[#This Row],[daily_demand]]</f>
        <v>6.6115702479338836</v>
      </c>
      <c r="AB2097">
        <f>WarehouseData[[#This Row],[stock_level]]*WarehouseData[[#This Row],[unit_price]]</f>
        <v>13276.800000000001</v>
      </c>
      <c r="AC2097">
        <f>WarehouseData[[#This Row],[stock_level]]*WarehouseData[[#This Row],[holding_cost_per_unit_day]]*30</f>
        <v>14687.999999999998</v>
      </c>
      <c r="AD2097" t="str">
        <f>IF(WarehouseData[[#This Row],[order_fulfillment_rate]]&gt;=0.9,"Strong",IF(WarehouseData[[#This Row],[order_fulfillment_rate]]&gt;=0.8,"Moderate","Needs Attention"))</f>
        <v>Strong</v>
      </c>
      <c r="AE2097" t="str">
        <f>IF(WarehouseData[[#This Row],[picking_time_seconds]]&gt;120,"Slow",IF(WarehouseData[[#This Row],[picking_time_seconds]]&gt;=60,"Average","Fast"))</f>
        <v>Average</v>
      </c>
    </row>
    <row r="2098" spans="1:31" x14ac:dyDescent="0.25">
      <c r="A2098" t="s">
        <v>2236</v>
      </c>
      <c r="B2098" t="s">
        <v>73</v>
      </c>
      <c r="C2098">
        <v>442</v>
      </c>
      <c r="D2098">
        <v>35</v>
      </c>
      <c r="E2098">
        <v>7</v>
      </c>
      <c r="F2098">
        <v>9</v>
      </c>
      <c r="G2098">
        <v>43.36</v>
      </c>
      <c r="H2098">
        <v>9.16</v>
      </c>
      <c r="I2098">
        <v>0.5</v>
      </c>
      <c r="J2098" t="s">
        <v>377</v>
      </c>
      <c r="K2098" t="s">
        <v>38</v>
      </c>
      <c r="L2098">
        <v>37</v>
      </c>
      <c r="M2098">
        <v>3.1</v>
      </c>
      <c r="N2098">
        <v>73.33</v>
      </c>
      <c r="O2098">
        <v>0.77</v>
      </c>
      <c r="P2098">
        <v>6</v>
      </c>
      <c r="Q2098">
        <v>0.89</v>
      </c>
      <c r="R2098">
        <v>845</v>
      </c>
      <c r="S2098">
        <v>8.48</v>
      </c>
      <c r="T2098">
        <v>0.94</v>
      </c>
      <c r="U2098" s="1">
        <v>45406</v>
      </c>
      <c r="V2098">
        <v>38.159999999999997</v>
      </c>
      <c r="W2098">
        <v>0.68200000000000005</v>
      </c>
      <c r="X2098" t="str">
        <f>IF(WarehouseData[[#This Row],[stock_level]]&lt;=WarehouseData[[#This Row],[reorder_point]],"Low Stock","Sufficient Stock")</f>
        <v>Sufficient Stock</v>
      </c>
      <c r="Y2098">
        <f>WarehouseData[[#This Row],[daily_demand]]*WarehouseData[[#This Row],[lead_time_days]]</f>
        <v>390.24</v>
      </c>
      <c r="Z2098" t="str">
        <f>IF(WarehouseData[[#This Row],[stock_level]]&lt;=WarehouseData[[#This Row],[Demand During Lead Time]],"At Risk","Safe")</f>
        <v>Safe</v>
      </c>
      <c r="AA2098">
        <f>WarehouseData[[#This Row],[stock_level]]/WarehouseData[[#This Row],[daily_demand]]</f>
        <v>10.193726937269373</v>
      </c>
      <c r="AB2098">
        <f>WarehouseData[[#This Row],[stock_level]]*WarehouseData[[#This Row],[unit_price]]</f>
        <v>32411.86</v>
      </c>
      <c r="AC2098">
        <f>WarehouseData[[#This Row],[stock_level]]*WarehouseData[[#This Row],[holding_cost_per_unit_day]]*30</f>
        <v>10210.200000000001</v>
      </c>
      <c r="AD2098" t="str">
        <f>IF(WarehouseData[[#This Row],[order_fulfillment_rate]]&gt;=0.9,"Strong",IF(WarehouseData[[#This Row],[order_fulfillment_rate]]&gt;=0.8,"Moderate","Needs Attention"))</f>
        <v>Moderate</v>
      </c>
      <c r="AE2098" t="str">
        <f>IF(WarehouseData[[#This Row],[picking_time_seconds]]&gt;120,"Slow",IF(WarehouseData[[#This Row],[picking_time_seconds]]&gt;=60,"Average","Fast"))</f>
        <v>Fast</v>
      </c>
    </row>
    <row r="2099" spans="1:31" x14ac:dyDescent="0.25">
      <c r="A2099" t="s">
        <v>2237</v>
      </c>
      <c r="B2099" t="s">
        <v>73</v>
      </c>
      <c r="C2099">
        <v>248</v>
      </c>
      <c r="D2099">
        <v>42</v>
      </c>
      <c r="E2099">
        <v>9</v>
      </c>
      <c r="F2099">
        <v>2</v>
      </c>
      <c r="G2099">
        <v>34.97</v>
      </c>
      <c r="H2099">
        <v>4.29</v>
      </c>
      <c r="I2099">
        <v>0.84</v>
      </c>
      <c r="J2099" t="s">
        <v>131</v>
      </c>
      <c r="K2099" t="s">
        <v>52</v>
      </c>
      <c r="L2099">
        <v>157</v>
      </c>
      <c r="M2099">
        <v>2.67</v>
      </c>
      <c r="N2099">
        <v>110.54</v>
      </c>
      <c r="O2099">
        <v>0.73</v>
      </c>
      <c r="P2099">
        <v>6</v>
      </c>
      <c r="Q2099">
        <v>0.8</v>
      </c>
      <c r="R2099">
        <v>169</v>
      </c>
      <c r="S2099">
        <v>14.45</v>
      </c>
      <c r="T2099">
        <v>0.75</v>
      </c>
      <c r="U2099" s="1">
        <v>45573</v>
      </c>
      <c r="V2099">
        <v>112.58</v>
      </c>
      <c r="W2099">
        <v>0.71</v>
      </c>
      <c r="X2099" t="str">
        <f>IF(WarehouseData[[#This Row],[stock_level]]&lt;=WarehouseData[[#This Row],[reorder_point]],"Low Stock","Sufficient Stock")</f>
        <v>Sufficient Stock</v>
      </c>
      <c r="Y2099">
        <f>WarehouseData[[#This Row],[daily_demand]]*WarehouseData[[#This Row],[lead_time_days]]</f>
        <v>69.94</v>
      </c>
      <c r="Z2099" t="str">
        <f>IF(WarehouseData[[#This Row],[stock_level]]&lt;=WarehouseData[[#This Row],[Demand During Lead Time]],"At Risk","Safe")</f>
        <v>Safe</v>
      </c>
      <c r="AA2099">
        <f>WarehouseData[[#This Row],[stock_level]]/WarehouseData[[#This Row],[daily_demand]]</f>
        <v>7.0917929653989136</v>
      </c>
      <c r="AB2099">
        <f>WarehouseData[[#This Row],[stock_level]]*WarehouseData[[#This Row],[unit_price]]</f>
        <v>27413.920000000002</v>
      </c>
      <c r="AC2099">
        <f>WarehouseData[[#This Row],[stock_level]]*WarehouseData[[#This Row],[holding_cost_per_unit_day]]*30</f>
        <v>5431.2</v>
      </c>
      <c r="AD2099" t="str">
        <f>IF(WarehouseData[[#This Row],[order_fulfillment_rate]]&gt;=0.9,"Strong",IF(WarehouseData[[#This Row],[order_fulfillment_rate]]&gt;=0.8,"Moderate","Needs Attention"))</f>
        <v>Moderate</v>
      </c>
      <c r="AE2099" t="str">
        <f>IF(WarehouseData[[#This Row],[picking_time_seconds]]&gt;120,"Slow",IF(WarehouseData[[#This Row],[picking_time_seconds]]&gt;=60,"Average","Fast"))</f>
        <v>Slow</v>
      </c>
    </row>
    <row r="2100" spans="1:31" x14ac:dyDescent="0.25">
      <c r="A2100" t="s">
        <v>2238</v>
      </c>
      <c r="B2100" t="s">
        <v>73</v>
      </c>
      <c r="C2100">
        <v>175</v>
      </c>
      <c r="D2100">
        <v>57</v>
      </c>
      <c r="E2100">
        <v>14</v>
      </c>
      <c r="F2100">
        <v>3</v>
      </c>
      <c r="G2100">
        <v>31.62</v>
      </c>
      <c r="H2100">
        <v>6.52</v>
      </c>
      <c r="I2100">
        <v>0.8</v>
      </c>
      <c r="J2100" t="s">
        <v>418</v>
      </c>
      <c r="K2100" t="s">
        <v>52</v>
      </c>
      <c r="L2100">
        <v>172</v>
      </c>
      <c r="M2100">
        <v>2.9</v>
      </c>
      <c r="N2100">
        <v>76.09</v>
      </c>
      <c r="O2100">
        <v>0.15</v>
      </c>
      <c r="P2100">
        <v>6</v>
      </c>
      <c r="Q2100">
        <v>0.95</v>
      </c>
      <c r="R2100">
        <v>940</v>
      </c>
      <c r="S2100">
        <v>4.67</v>
      </c>
      <c r="T2100">
        <v>0.28999999999999998</v>
      </c>
      <c r="U2100" s="1">
        <v>45621</v>
      </c>
      <c r="V2100">
        <v>286.58999999999997</v>
      </c>
      <c r="W2100">
        <v>0.57499999999999996</v>
      </c>
      <c r="X2100" t="str">
        <f>IF(WarehouseData[[#This Row],[stock_level]]&lt;=WarehouseData[[#This Row],[reorder_point]],"Low Stock","Sufficient Stock")</f>
        <v>Sufficient Stock</v>
      </c>
      <c r="Y2100">
        <f>WarehouseData[[#This Row],[daily_demand]]*WarehouseData[[#This Row],[lead_time_days]]</f>
        <v>94.86</v>
      </c>
      <c r="Z2100" t="str">
        <f>IF(WarehouseData[[#This Row],[stock_level]]&lt;=WarehouseData[[#This Row],[Demand During Lead Time]],"At Risk","Safe")</f>
        <v>Safe</v>
      </c>
      <c r="AA2100">
        <f>WarehouseData[[#This Row],[stock_level]]/WarehouseData[[#This Row],[daily_demand]]</f>
        <v>5.5344718532574317</v>
      </c>
      <c r="AB2100">
        <f>WarehouseData[[#This Row],[stock_level]]*WarehouseData[[#This Row],[unit_price]]</f>
        <v>13315.75</v>
      </c>
      <c r="AC2100">
        <f>WarehouseData[[#This Row],[stock_level]]*WarehouseData[[#This Row],[holding_cost_per_unit_day]]*30</f>
        <v>787.5</v>
      </c>
      <c r="AD2100" t="str">
        <f>IF(WarehouseData[[#This Row],[order_fulfillment_rate]]&gt;=0.9,"Strong",IF(WarehouseData[[#This Row],[order_fulfillment_rate]]&gt;=0.8,"Moderate","Needs Attention"))</f>
        <v>Strong</v>
      </c>
      <c r="AE2100" t="str">
        <f>IF(WarehouseData[[#This Row],[picking_time_seconds]]&gt;120,"Slow",IF(WarehouseData[[#This Row],[picking_time_seconds]]&gt;=60,"Average","Fast"))</f>
        <v>Slow</v>
      </c>
    </row>
    <row r="2101" spans="1:31" x14ac:dyDescent="0.25">
      <c r="A2101" t="s">
        <v>2239</v>
      </c>
      <c r="B2101" t="s">
        <v>40</v>
      </c>
      <c r="C2101">
        <v>492</v>
      </c>
      <c r="D2101">
        <v>88</v>
      </c>
      <c r="E2101">
        <v>10</v>
      </c>
      <c r="F2101">
        <v>7</v>
      </c>
      <c r="G2101">
        <v>1.72</v>
      </c>
      <c r="H2101">
        <v>8.67</v>
      </c>
      <c r="I2101">
        <v>0.31</v>
      </c>
      <c r="J2101" t="s">
        <v>152</v>
      </c>
      <c r="K2101" t="s">
        <v>38</v>
      </c>
      <c r="L2101">
        <v>18</v>
      </c>
      <c r="M2101">
        <v>2.65</v>
      </c>
      <c r="N2101">
        <v>175.33</v>
      </c>
      <c r="O2101">
        <v>1.56</v>
      </c>
      <c r="P2101">
        <v>5</v>
      </c>
      <c r="Q2101">
        <v>0.88</v>
      </c>
      <c r="R2101">
        <v>603</v>
      </c>
      <c r="S2101">
        <v>8.51</v>
      </c>
      <c r="T2101">
        <v>0.79</v>
      </c>
      <c r="U2101" s="1">
        <v>45485</v>
      </c>
      <c r="V2101">
        <v>54.9</v>
      </c>
      <c r="W2101">
        <v>0.59099999999999997</v>
      </c>
      <c r="X2101" t="str">
        <f>IF(WarehouseData[[#This Row],[stock_level]]&lt;=WarehouseData[[#This Row],[reorder_point]],"Low Stock","Sufficient Stock")</f>
        <v>Sufficient Stock</v>
      </c>
      <c r="Y2101">
        <f>WarehouseData[[#This Row],[daily_demand]]*WarehouseData[[#This Row],[lead_time_days]]</f>
        <v>12.04</v>
      </c>
      <c r="Z2101" t="str">
        <f>IF(WarehouseData[[#This Row],[stock_level]]&lt;=WarehouseData[[#This Row],[Demand During Lead Time]],"At Risk","Safe")</f>
        <v>Safe</v>
      </c>
      <c r="AA2101">
        <f>WarehouseData[[#This Row],[stock_level]]/WarehouseData[[#This Row],[daily_demand]]</f>
        <v>286.04651162790697</v>
      </c>
      <c r="AB2101">
        <f>WarehouseData[[#This Row],[stock_level]]*WarehouseData[[#This Row],[unit_price]]</f>
        <v>86262.36</v>
      </c>
      <c r="AC2101">
        <f>WarehouseData[[#This Row],[stock_level]]*WarehouseData[[#This Row],[holding_cost_per_unit_day]]*30</f>
        <v>23025.599999999999</v>
      </c>
      <c r="AD2101" t="str">
        <f>IF(WarehouseData[[#This Row],[order_fulfillment_rate]]&gt;=0.9,"Strong",IF(WarehouseData[[#This Row],[order_fulfillment_rate]]&gt;=0.8,"Moderate","Needs Attention"))</f>
        <v>Moderate</v>
      </c>
      <c r="AE2101" t="str">
        <f>IF(WarehouseData[[#This Row],[picking_time_seconds]]&gt;120,"Slow",IF(WarehouseData[[#This Row],[picking_time_seconds]]&gt;=60,"Average","Fast"))</f>
        <v>Fast</v>
      </c>
    </row>
    <row r="2102" spans="1:31" x14ac:dyDescent="0.25">
      <c r="A2102" t="s">
        <v>2240</v>
      </c>
      <c r="B2102" t="s">
        <v>40</v>
      </c>
      <c r="C2102">
        <v>208</v>
      </c>
      <c r="D2102">
        <v>11</v>
      </c>
      <c r="E2102">
        <v>8</v>
      </c>
      <c r="F2102">
        <v>9</v>
      </c>
      <c r="G2102">
        <v>37.65</v>
      </c>
      <c r="H2102">
        <v>9.85</v>
      </c>
      <c r="I2102">
        <v>0.24</v>
      </c>
      <c r="J2102" t="s">
        <v>59</v>
      </c>
      <c r="K2102" t="s">
        <v>34</v>
      </c>
      <c r="L2102">
        <v>113</v>
      </c>
      <c r="M2102">
        <v>2.4900000000000002</v>
      </c>
      <c r="N2102">
        <v>181.14</v>
      </c>
      <c r="O2102">
        <v>0.73</v>
      </c>
      <c r="P2102">
        <v>3</v>
      </c>
      <c r="Q2102">
        <v>0.7</v>
      </c>
      <c r="R2102">
        <v>52</v>
      </c>
      <c r="S2102">
        <v>5.07</v>
      </c>
      <c r="T2102">
        <v>0.38</v>
      </c>
      <c r="U2102" s="1">
        <v>45498</v>
      </c>
      <c r="V2102">
        <v>88.87</v>
      </c>
      <c r="W2102">
        <v>0.55100000000000005</v>
      </c>
      <c r="X2102" t="str">
        <f>IF(WarehouseData[[#This Row],[stock_level]]&lt;=WarehouseData[[#This Row],[reorder_point]],"Low Stock","Sufficient Stock")</f>
        <v>Sufficient Stock</v>
      </c>
      <c r="Y2102">
        <f>WarehouseData[[#This Row],[daily_demand]]*WarehouseData[[#This Row],[lead_time_days]]</f>
        <v>338.84999999999997</v>
      </c>
      <c r="Z2102" t="str">
        <f>IF(WarehouseData[[#This Row],[stock_level]]&lt;=WarehouseData[[#This Row],[Demand During Lead Time]],"At Risk","Safe")</f>
        <v>At Risk</v>
      </c>
      <c r="AA2102">
        <f>WarehouseData[[#This Row],[stock_level]]/WarehouseData[[#This Row],[daily_demand]]</f>
        <v>5.5245683930942899</v>
      </c>
      <c r="AB2102">
        <f>WarehouseData[[#This Row],[stock_level]]*WarehouseData[[#This Row],[unit_price]]</f>
        <v>37677.119999999995</v>
      </c>
      <c r="AC2102">
        <f>WarehouseData[[#This Row],[stock_level]]*WarehouseData[[#This Row],[holding_cost_per_unit_day]]*30</f>
        <v>4555.2</v>
      </c>
      <c r="AD2102" t="str">
        <f>IF(WarehouseData[[#This Row],[order_fulfillment_rate]]&gt;=0.9,"Strong",IF(WarehouseData[[#This Row],[order_fulfillment_rate]]&gt;=0.8,"Moderate","Needs Attention"))</f>
        <v>Needs Attention</v>
      </c>
      <c r="AE2102" t="str">
        <f>IF(WarehouseData[[#This Row],[picking_time_seconds]]&gt;120,"Slow",IF(WarehouseData[[#This Row],[picking_time_seconds]]&gt;=60,"Average","Fast"))</f>
        <v>Average</v>
      </c>
    </row>
    <row r="2103" spans="1:31" x14ac:dyDescent="0.25">
      <c r="A2103" t="s">
        <v>2241</v>
      </c>
      <c r="B2103" t="s">
        <v>32</v>
      </c>
      <c r="C2103">
        <v>291</v>
      </c>
      <c r="D2103">
        <v>80</v>
      </c>
      <c r="E2103">
        <v>3</v>
      </c>
      <c r="F2103">
        <v>5</v>
      </c>
      <c r="G2103">
        <v>5.49</v>
      </c>
      <c r="H2103">
        <v>5.29</v>
      </c>
      <c r="I2103">
        <v>0.45</v>
      </c>
      <c r="J2103" t="s">
        <v>289</v>
      </c>
      <c r="K2103" t="s">
        <v>52</v>
      </c>
      <c r="L2103">
        <v>147</v>
      </c>
      <c r="M2103">
        <v>4.76</v>
      </c>
      <c r="N2103">
        <v>71.94</v>
      </c>
      <c r="O2103">
        <v>0.72</v>
      </c>
      <c r="P2103">
        <v>8</v>
      </c>
      <c r="Q2103">
        <v>0.72</v>
      </c>
      <c r="R2103">
        <v>993</v>
      </c>
      <c r="S2103">
        <v>13.87</v>
      </c>
      <c r="T2103">
        <v>0.85</v>
      </c>
      <c r="U2103" s="1">
        <v>45412</v>
      </c>
      <c r="V2103">
        <v>298.3</v>
      </c>
      <c r="W2103">
        <v>0.66700000000000004</v>
      </c>
      <c r="X2103" t="str">
        <f>IF(WarehouseData[[#This Row],[stock_level]]&lt;=WarehouseData[[#This Row],[reorder_point]],"Low Stock","Sufficient Stock")</f>
        <v>Sufficient Stock</v>
      </c>
      <c r="Y2103">
        <f>WarehouseData[[#This Row],[daily_demand]]*WarehouseData[[#This Row],[lead_time_days]]</f>
        <v>27.450000000000003</v>
      </c>
      <c r="Z2103" t="str">
        <f>IF(WarehouseData[[#This Row],[stock_level]]&lt;=WarehouseData[[#This Row],[Demand During Lead Time]],"At Risk","Safe")</f>
        <v>Safe</v>
      </c>
      <c r="AA2103">
        <f>WarehouseData[[#This Row],[stock_level]]/WarehouseData[[#This Row],[daily_demand]]</f>
        <v>53.005464480874316</v>
      </c>
      <c r="AB2103">
        <f>WarehouseData[[#This Row],[stock_level]]*WarehouseData[[#This Row],[unit_price]]</f>
        <v>20934.54</v>
      </c>
      <c r="AC2103">
        <f>WarehouseData[[#This Row],[stock_level]]*WarehouseData[[#This Row],[holding_cost_per_unit_day]]*30</f>
        <v>6285.5999999999995</v>
      </c>
      <c r="AD2103" t="str">
        <f>IF(WarehouseData[[#This Row],[order_fulfillment_rate]]&gt;=0.9,"Strong",IF(WarehouseData[[#This Row],[order_fulfillment_rate]]&gt;=0.8,"Moderate","Needs Attention"))</f>
        <v>Needs Attention</v>
      </c>
      <c r="AE2103" t="str">
        <f>IF(WarehouseData[[#This Row],[picking_time_seconds]]&gt;120,"Slow",IF(WarehouseData[[#This Row],[picking_time_seconds]]&gt;=60,"Average","Fast"))</f>
        <v>Slow</v>
      </c>
    </row>
    <row r="2104" spans="1:31" x14ac:dyDescent="0.25">
      <c r="A2104" t="s">
        <v>2242</v>
      </c>
      <c r="B2104" t="s">
        <v>48</v>
      </c>
      <c r="C2104">
        <v>394</v>
      </c>
      <c r="D2104">
        <v>41</v>
      </c>
      <c r="E2104">
        <v>9</v>
      </c>
      <c r="F2104">
        <v>5</v>
      </c>
      <c r="G2104">
        <v>13.73</v>
      </c>
      <c r="H2104">
        <v>4.83</v>
      </c>
      <c r="I2104">
        <v>0.89</v>
      </c>
      <c r="J2104" t="s">
        <v>340</v>
      </c>
      <c r="K2104" t="s">
        <v>34</v>
      </c>
      <c r="L2104">
        <v>54</v>
      </c>
      <c r="M2104">
        <v>2.66</v>
      </c>
      <c r="N2104">
        <v>27.49</v>
      </c>
      <c r="O2104">
        <v>1.41</v>
      </c>
      <c r="P2104">
        <v>8</v>
      </c>
      <c r="Q2104">
        <v>0.93</v>
      </c>
      <c r="R2104">
        <v>278</v>
      </c>
      <c r="S2104">
        <v>14.86</v>
      </c>
      <c r="T2104">
        <v>0.69</v>
      </c>
      <c r="U2104" s="1">
        <v>45332</v>
      </c>
      <c r="V2104">
        <v>149.38</v>
      </c>
      <c r="W2104">
        <v>0.621</v>
      </c>
      <c r="X2104" t="str">
        <f>IF(WarehouseData[[#This Row],[stock_level]]&lt;=WarehouseData[[#This Row],[reorder_point]],"Low Stock","Sufficient Stock")</f>
        <v>Sufficient Stock</v>
      </c>
      <c r="Y2104">
        <f>WarehouseData[[#This Row],[daily_demand]]*WarehouseData[[#This Row],[lead_time_days]]</f>
        <v>68.650000000000006</v>
      </c>
      <c r="Z2104" t="str">
        <f>IF(WarehouseData[[#This Row],[stock_level]]&lt;=WarehouseData[[#This Row],[Demand During Lead Time]],"At Risk","Safe")</f>
        <v>Safe</v>
      </c>
      <c r="AA2104">
        <f>WarehouseData[[#This Row],[stock_level]]/WarehouseData[[#This Row],[daily_demand]]</f>
        <v>28.696285506190822</v>
      </c>
      <c r="AB2104">
        <f>WarehouseData[[#This Row],[stock_level]]*WarehouseData[[#This Row],[unit_price]]</f>
        <v>10831.06</v>
      </c>
      <c r="AC2104">
        <f>WarehouseData[[#This Row],[stock_level]]*WarehouseData[[#This Row],[holding_cost_per_unit_day]]*30</f>
        <v>16666.199999999997</v>
      </c>
      <c r="AD2104" t="str">
        <f>IF(WarehouseData[[#This Row],[order_fulfillment_rate]]&gt;=0.9,"Strong",IF(WarehouseData[[#This Row],[order_fulfillment_rate]]&gt;=0.8,"Moderate","Needs Attention"))</f>
        <v>Strong</v>
      </c>
      <c r="AE2104" t="str">
        <f>IF(WarehouseData[[#This Row],[picking_time_seconds]]&gt;120,"Slow",IF(WarehouseData[[#This Row],[picking_time_seconds]]&gt;=60,"Average","Fast"))</f>
        <v>Fast</v>
      </c>
    </row>
    <row r="2105" spans="1:31" x14ac:dyDescent="0.25">
      <c r="A2105" t="s">
        <v>2243</v>
      </c>
      <c r="B2105" t="s">
        <v>32</v>
      </c>
      <c r="C2105">
        <v>21</v>
      </c>
      <c r="D2105">
        <v>13</v>
      </c>
      <c r="E2105">
        <v>5</v>
      </c>
      <c r="F2105">
        <v>5</v>
      </c>
      <c r="G2105">
        <v>28.02</v>
      </c>
      <c r="H2105">
        <v>1.22</v>
      </c>
      <c r="I2105">
        <v>0.18</v>
      </c>
      <c r="J2105" t="s">
        <v>377</v>
      </c>
      <c r="K2105" t="s">
        <v>52</v>
      </c>
      <c r="L2105">
        <v>118</v>
      </c>
      <c r="M2105">
        <v>0.86</v>
      </c>
      <c r="N2105">
        <v>49.93</v>
      </c>
      <c r="O2105">
        <v>0.57999999999999996</v>
      </c>
      <c r="P2105">
        <v>6</v>
      </c>
      <c r="Q2105">
        <v>0.83</v>
      </c>
      <c r="R2105">
        <v>278</v>
      </c>
      <c r="S2105">
        <v>13.19</v>
      </c>
      <c r="T2105">
        <v>0.3</v>
      </c>
      <c r="U2105" s="1">
        <v>45527</v>
      </c>
      <c r="V2105">
        <v>86.05</v>
      </c>
      <c r="W2105">
        <v>0.624</v>
      </c>
      <c r="X2105" t="str">
        <f>IF(WarehouseData[[#This Row],[stock_level]]&lt;=WarehouseData[[#This Row],[reorder_point]],"Low Stock","Sufficient Stock")</f>
        <v>Sufficient Stock</v>
      </c>
      <c r="Y2105">
        <f>WarehouseData[[#This Row],[daily_demand]]*WarehouseData[[#This Row],[lead_time_days]]</f>
        <v>140.1</v>
      </c>
      <c r="Z2105" t="str">
        <f>IF(WarehouseData[[#This Row],[stock_level]]&lt;=WarehouseData[[#This Row],[Demand During Lead Time]],"At Risk","Safe")</f>
        <v>At Risk</v>
      </c>
      <c r="AA2105">
        <f>WarehouseData[[#This Row],[stock_level]]/WarehouseData[[#This Row],[daily_demand]]</f>
        <v>0.74946466809421841</v>
      </c>
      <c r="AB2105">
        <f>WarehouseData[[#This Row],[stock_level]]*WarehouseData[[#This Row],[unit_price]]</f>
        <v>1048.53</v>
      </c>
      <c r="AC2105">
        <f>WarehouseData[[#This Row],[stock_level]]*WarehouseData[[#This Row],[holding_cost_per_unit_day]]*30</f>
        <v>365.4</v>
      </c>
      <c r="AD2105" t="str">
        <f>IF(WarehouseData[[#This Row],[order_fulfillment_rate]]&gt;=0.9,"Strong",IF(WarehouseData[[#This Row],[order_fulfillment_rate]]&gt;=0.8,"Moderate","Needs Attention"))</f>
        <v>Moderate</v>
      </c>
      <c r="AE2105" t="str">
        <f>IF(WarehouseData[[#This Row],[picking_time_seconds]]&gt;120,"Slow",IF(WarehouseData[[#This Row],[picking_time_seconds]]&gt;=60,"Average","Fast"))</f>
        <v>Average</v>
      </c>
    </row>
    <row r="2106" spans="1:31" x14ac:dyDescent="0.25">
      <c r="A2106" t="s">
        <v>2244</v>
      </c>
      <c r="B2106" t="s">
        <v>48</v>
      </c>
      <c r="C2106">
        <v>265</v>
      </c>
      <c r="D2106">
        <v>29</v>
      </c>
      <c r="E2106">
        <v>8</v>
      </c>
      <c r="F2106">
        <v>4</v>
      </c>
      <c r="G2106">
        <v>23.13</v>
      </c>
      <c r="H2106">
        <v>0.62</v>
      </c>
      <c r="I2106">
        <v>0.59</v>
      </c>
      <c r="J2106" t="s">
        <v>565</v>
      </c>
      <c r="K2106" t="s">
        <v>34</v>
      </c>
      <c r="L2106">
        <v>152</v>
      </c>
      <c r="M2106">
        <v>3.94</v>
      </c>
      <c r="N2106">
        <v>100.13</v>
      </c>
      <c r="O2106">
        <v>1.83</v>
      </c>
      <c r="P2106">
        <v>6</v>
      </c>
      <c r="Q2106">
        <v>0.82</v>
      </c>
      <c r="R2106">
        <v>392</v>
      </c>
      <c r="S2106">
        <v>5.74</v>
      </c>
      <c r="T2106">
        <v>0.26</v>
      </c>
      <c r="U2106" s="1">
        <v>45519</v>
      </c>
      <c r="V2106">
        <v>188.62</v>
      </c>
      <c r="W2106">
        <v>0.39</v>
      </c>
      <c r="X2106" t="str">
        <f>IF(WarehouseData[[#This Row],[stock_level]]&lt;=WarehouseData[[#This Row],[reorder_point]],"Low Stock","Sufficient Stock")</f>
        <v>Sufficient Stock</v>
      </c>
      <c r="Y2106">
        <f>WarehouseData[[#This Row],[daily_demand]]*WarehouseData[[#This Row],[lead_time_days]]</f>
        <v>92.52</v>
      </c>
      <c r="Z2106" t="str">
        <f>IF(WarehouseData[[#This Row],[stock_level]]&lt;=WarehouseData[[#This Row],[Demand During Lead Time]],"At Risk","Safe")</f>
        <v>Safe</v>
      </c>
      <c r="AA2106">
        <f>WarehouseData[[#This Row],[stock_level]]/WarehouseData[[#This Row],[daily_demand]]</f>
        <v>11.456982274102897</v>
      </c>
      <c r="AB2106">
        <f>WarehouseData[[#This Row],[stock_level]]*WarehouseData[[#This Row],[unit_price]]</f>
        <v>26534.449999999997</v>
      </c>
      <c r="AC2106">
        <f>WarehouseData[[#This Row],[stock_level]]*WarehouseData[[#This Row],[holding_cost_per_unit_day]]*30</f>
        <v>14548.500000000002</v>
      </c>
      <c r="AD2106" t="str">
        <f>IF(WarehouseData[[#This Row],[order_fulfillment_rate]]&gt;=0.9,"Strong",IF(WarehouseData[[#This Row],[order_fulfillment_rate]]&gt;=0.8,"Moderate","Needs Attention"))</f>
        <v>Moderate</v>
      </c>
      <c r="AE2106" t="str">
        <f>IF(WarehouseData[[#This Row],[picking_time_seconds]]&gt;120,"Slow",IF(WarehouseData[[#This Row],[picking_time_seconds]]&gt;=60,"Average","Fast"))</f>
        <v>Slow</v>
      </c>
    </row>
    <row r="2107" spans="1:31" x14ac:dyDescent="0.25">
      <c r="A2107" t="s">
        <v>2245</v>
      </c>
      <c r="B2107" t="s">
        <v>40</v>
      </c>
      <c r="C2107">
        <v>229</v>
      </c>
      <c r="D2107">
        <v>45</v>
      </c>
      <c r="E2107">
        <v>10</v>
      </c>
      <c r="F2107">
        <v>4</v>
      </c>
      <c r="G2107">
        <v>1.77</v>
      </c>
      <c r="H2107">
        <v>6.28</v>
      </c>
      <c r="I2107">
        <v>0.18</v>
      </c>
      <c r="J2107" t="s">
        <v>477</v>
      </c>
      <c r="K2107" t="s">
        <v>46</v>
      </c>
      <c r="L2107">
        <v>39</v>
      </c>
      <c r="M2107">
        <v>2.2599999999999998</v>
      </c>
      <c r="N2107">
        <v>64.81</v>
      </c>
      <c r="O2107">
        <v>1.1200000000000001</v>
      </c>
      <c r="P2107">
        <v>7</v>
      </c>
      <c r="Q2107">
        <v>0.74</v>
      </c>
      <c r="R2107">
        <v>190</v>
      </c>
      <c r="S2107">
        <v>4.8899999999999997</v>
      </c>
      <c r="T2107">
        <v>0.56999999999999995</v>
      </c>
      <c r="U2107" s="1">
        <v>45585</v>
      </c>
      <c r="V2107">
        <v>136.44999999999999</v>
      </c>
      <c r="W2107">
        <v>0.47499999999999998</v>
      </c>
      <c r="X2107" t="str">
        <f>IF(WarehouseData[[#This Row],[stock_level]]&lt;=WarehouseData[[#This Row],[reorder_point]],"Low Stock","Sufficient Stock")</f>
        <v>Sufficient Stock</v>
      </c>
      <c r="Y2107">
        <f>WarehouseData[[#This Row],[daily_demand]]*WarehouseData[[#This Row],[lead_time_days]]</f>
        <v>7.08</v>
      </c>
      <c r="Z2107" t="str">
        <f>IF(WarehouseData[[#This Row],[stock_level]]&lt;=WarehouseData[[#This Row],[Demand During Lead Time]],"At Risk","Safe")</f>
        <v>Safe</v>
      </c>
      <c r="AA2107">
        <f>WarehouseData[[#This Row],[stock_level]]/WarehouseData[[#This Row],[daily_demand]]</f>
        <v>129.37853107344634</v>
      </c>
      <c r="AB2107">
        <f>WarehouseData[[#This Row],[stock_level]]*WarehouseData[[#This Row],[unit_price]]</f>
        <v>14841.49</v>
      </c>
      <c r="AC2107">
        <f>WarehouseData[[#This Row],[stock_level]]*WarehouseData[[#This Row],[holding_cost_per_unit_day]]*30</f>
        <v>7694.4000000000005</v>
      </c>
      <c r="AD2107" t="str">
        <f>IF(WarehouseData[[#This Row],[order_fulfillment_rate]]&gt;=0.9,"Strong",IF(WarehouseData[[#This Row],[order_fulfillment_rate]]&gt;=0.8,"Moderate","Needs Attention"))</f>
        <v>Needs Attention</v>
      </c>
      <c r="AE2107" t="str">
        <f>IF(WarehouseData[[#This Row],[picking_time_seconds]]&gt;120,"Slow",IF(WarehouseData[[#This Row],[picking_time_seconds]]&gt;=60,"Average","Fast"))</f>
        <v>Fast</v>
      </c>
    </row>
    <row r="2108" spans="1:31" x14ac:dyDescent="0.25">
      <c r="A2108" t="s">
        <v>2246</v>
      </c>
      <c r="B2108" t="s">
        <v>40</v>
      </c>
      <c r="C2108">
        <v>420</v>
      </c>
      <c r="D2108">
        <v>41</v>
      </c>
      <c r="E2108">
        <v>9</v>
      </c>
      <c r="F2108">
        <v>8</v>
      </c>
      <c r="G2108">
        <v>41.38</v>
      </c>
      <c r="H2108">
        <v>1.1200000000000001</v>
      </c>
      <c r="I2108">
        <v>0.52</v>
      </c>
      <c r="J2108" t="s">
        <v>263</v>
      </c>
      <c r="K2108" t="s">
        <v>34</v>
      </c>
      <c r="L2108">
        <v>57</v>
      </c>
      <c r="M2108">
        <v>3.7</v>
      </c>
      <c r="N2108">
        <v>96.16</v>
      </c>
      <c r="O2108">
        <v>1.94</v>
      </c>
      <c r="P2108">
        <v>4</v>
      </c>
      <c r="Q2108">
        <v>0.75</v>
      </c>
      <c r="R2108">
        <v>106</v>
      </c>
      <c r="S2108">
        <v>7.04</v>
      </c>
      <c r="T2108">
        <v>0.95</v>
      </c>
      <c r="U2108" s="1">
        <v>45521</v>
      </c>
      <c r="V2108">
        <v>258.91000000000003</v>
      </c>
      <c r="W2108">
        <v>0.56000000000000005</v>
      </c>
      <c r="X2108" t="str">
        <f>IF(WarehouseData[[#This Row],[stock_level]]&lt;=WarehouseData[[#This Row],[reorder_point]],"Low Stock","Sufficient Stock")</f>
        <v>Sufficient Stock</v>
      </c>
      <c r="Y2108">
        <f>WarehouseData[[#This Row],[daily_demand]]*WarehouseData[[#This Row],[lead_time_days]]</f>
        <v>331.04</v>
      </c>
      <c r="Z2108" t="str">
        <f>IF(WarehouseData[[#This Row],[stock_level]]&lt;=WarehouseData[[#This Row],[Demand During Lead Time]],"At Risk","Safe")</f>
        <v>Safe</v>
      </c>
      <c r="AA2108">
        <f>WarehouseData[[#This Row],[stock_level]]/WarehouseData[[#This Row],[daily_demand]]</f>
        <v>10.149830836152731</v>
      </c>
      <c r="AB2108">
        <f>WarehouseData[[#This Row],[stock_level]]*WarehouseData[[#This Row],[unit_price]]</f>
        <v>40387.199999999997</v>
      </c>
      <c r="AC2108">
        <f>WarehouseData[[#This Row],[stock_level]]*WarehouseData[[#This Row],[holding_cost_per_unit_day]]*30</f>
        <v>24444</v>
      </c>
      <c r="AD2108" t="str">
        <f>IF(WarehouseData[[#This Row],[order_fulfillment_rate]]&gt;=0.9,"Strong",IF(WarehouseData[[#This Row],[order_fulfillment_rate]]&gt;=0.8,"Moderate","Needs Attention"))</f>
        <v>Needs Attention</v>
      </c>
      <c r="AE2108" t="str">
        <f>IF(WarehouseData[[#This Row],[picking_time_seconds]]&gt;120,"Slow",IF(WarehouseData[[#This Row],[picking_time_seconds]]&gt;=60,"Average","Fast"))</f>
        <v>Fast</v>
      </c>
    </row>
    <row r="2109" spans="1:31" x14ac:dyDescent="0.25">
      <c r="A2109" t="s">
        <v>2247</v>
      </c>
      <c r="B2109" t="s">
        <v>32</v>
      </c>
      <c r="C2109">
        <v>305</v>
      </c>
      <c r="D2109">
        <v>37</v>
      </c>
      <c r="E2109">
        <v>12</v>
      </c>
      <c r="F2109">
        <v>5</v>
      </c>
      <c r="G2109">
        <v>44.06</v>
      </c>
      <c r="H2109">
        <v>4.1100000000000003</v>
      </c>
      <c r="I2109">
        <v>0.21</v>
      </c>
      <c r="J2109" t="s">
        <v>245</v>
      </c>
      <c r="K2109" t="s">
        <v>34</v>
      </c>
      <c r="L2109">
        <v>177</v>
      </c>
      <c r="M2109">
        <v>3.11</v>
      </c>
      <c r="N2109">
        <v>154.15</v>
      </c>
      <c r="O2109">
        <v>0.25</v>
      </c>
      <c r="P2109">
        <v>8</v>
      </c>
      <c r="Q2109">
        <v>0.94</v>
      </c>
      <c r="R2109">
        <v>265</v>
      </c>
      <c r="S2109">
        <v>11.47</v>
      </c>
      <c r="T2109">
        <v>0.65</v>
      </c>
      <c r="U2109" s="1">
        <v>45337</v>
      </c>
      <c r="V2109">
        <v>12.31</v>
      </c>
      <c r="W2109">
        <v>0.68600000000000005</v>
      </c>
      <c r="X2109" t="str">
        <f>IF(WarehouseData[[#This Row],[stock_level]]&lt;=WarehouseData[[#This Row],[reorder_point]],"Low Stock","Sufficient Stock")</f>
        <v>Sufficient Stock</v>
      </c>
      <c r="Y2109">
        <f>WarehouseData[[#This Row],[daily_demand]]*WarehouseData[[#This Row],[lead_time_days]]</f>
        <v>220.3</v>
      </c>
      <c r="Z2109" t="str">
        <f>IF(WarehouseData[[#This Row],[stock_level]]&lt;=WarehouseData[[#This Row],[Demand During Lead Time]],"At Risk","Safe")</f>
        <v>Safe</v>
      </c>
      <c r="AA2109">
        <f>WarehouseData[[#This Row],[stock_level]]/WarehouseData[[#This Row],[daily_demand]]</f>
        <v>6.922378574670903</v>
      </c>
      <c r="AB2109">
        <f>WarehouseData[[#This Row],[stock_level]]*WarehouseData[[#This Row],[unit_price]]</f>
        <v>47015.75</v>
      </c>
      <c r="AC2109">
        <f>WarehouseData[[#This Row],[stock_level]]*WarehouseData[[#This Row],[holding_cost_per_unit_day]]*30</f>
        <v>2287.5</v>
      </c>
      <c r="AD2109" t="str">
        <f>IF(WarehouseData[[#This Row],[order_fulfillment_rate]]&gt;=0.9,"Strong",IF(WarehouseData[[#This Row],[order_fulfillment_rate]]&gt;=0.8,"Moderate","Needs Attention"))</f>
        <v>Strong</v>
      </c>
      <c r="AE2109" t="str">
        <f>IF(WarehouseData[[#This Row],[picking_time_seconds]]&gt;120,"Slow",IF(WarehouseData[[#This Row],[picking_time_seconds]]&gt;=60,"Average","Fast"))</f>
        <v>Slow</v>
      </c>
    </row>
    <row r="2110" spans="1:31" x14ac:dyDescent="0.25">
      <c r="A2110" t="s">
        <v>2248</v>
      </c>
      <c r="B2110" t="s">
        <v>36</v>
      </c>
      <c r="C2110">
        <v>378</v>
      </c>
      <c r="D2110">
        <v>86</v>
      </c>
      <c r="E2110">
        <v>8</v>
      </c>
      <c r="F2110">
        <v>9</v>
      </c>
      <c r="G2110">
        <v>34.409999999999997</v>
      </c>
      <c r="H2110">
        <v>0.53</v>
      </c>
      <c r="I2110">
        <v>0.17</v>
      </c>
      <c r="J2110" t="s">
        <v>98</v>
      </c>
      <c r="K2110" t="s">
        <v>34</v>
      </c>
      <c r="L2110">
        <v>100</v>
      </c>
      <c r="M2110">
        <v>3.71</v>
      </c>
      <c r="N2110">
        <v>89.92</v>
      </c>
      <c r="O2110">
        <v>0.74</v>
      </c>
      <c r="P2110">
        <v>5</v>
      </c>
      <c r="Q2110">
        <v>0.95</v>
      </c>
      <c r="R2110">
        <v>692</v>
      </c>
      <c r="S2110">
        <v>1.1299999999999999</v>
      </c>
      <c r="T2110">
        <v>0.81</v>
      </c>
      <c r="U2110" s="1">
        <v>45547</v>
      </c>
      <c r="V2110">
        <v>299.07</v>
      </c>
      <c r="W2110">
        <v>0.59299999999999997</v>
      </c>
      <c r="X2110" t="str">
        <f>IF(WarehouseData[[#This Row],[stock_level]]&lt;=WarehouseData[[#This Row],[reorder_point]],"Low Stock","Sufficient Stock")</f>
        <v>Sufficient Stock</v>
      </c>
      <c r="Y2110">
        <f>WarehouseData[[#This Row],[daily_demand]]*WarehouseData[[#This Row],[lead_time_days]]</f>
        <v>309.68999999999994</v>
      </c>
      <c r="Z2110" t="str">
        <f>IF(WarehouseData[[#This Row],[stock_level]]&lt;=WarehouseData[[#This Row],[Demand During Lead Time]],"At Risk","Safe")</f>
        <v>Safe</v>
      </c>
      <c r="AA2110">
        <f>WarehouseData[[#This Row],[stock_level]]/WarehouseData[[#This Row],[daily_demand]]</f>
        <v>10.985178727114212</v>
      </c>
      <c r="AB2110">
        <f>WarehouseData[[#This Row],[stock_level]]*WarehouseData[[#This Row],[unit_price]]</f>
        <v>33989.760000000002</v>
      </c>
      <c r="AC2110">
        <f>WarehouseData[[#This Row],[stock_level]]*WarehouseData[[#This Row],[holding_cost_per_unit_day]]*30</f>
        <v>8391.5999999999985</v>
      </c>
      <c r="AD2110" t="str">
        <f>IF(WarehouseData[[#This Row],[order_fulfillment_rate]]&gt;=0.9,"Strong",IF(WarehouseData[[#This Row],[order_fulfillment_rate]]&gt;=0.8,"Moderate","Needs Attention"))</f>
        <v>Strong</v>
      </c>
      <c r="AE2110" t="str">
        <f>IF(WarehouseData[[#This Row],[picking_time_seconds]]&gt;120,"Slow",IF(WarehouseData[[#This Row],[picking_time_seconds]]&gt;=60,"Average","Fast"))</f>
        <v>Average</v>
      </c>
    </row>
    <row r="2111" spans="1:31" x14ac:dyDescent="0.25">
      <c r="A2111" t="s">
        <v>2249</v>
      </c>
      <c r="B2111" t="s">
        <v>32</v>
      </c>
      <c r="C2111">
        <v>32</v>
      </c>
      <c r="D2111">
        <v>10</v>
      </c>
      <c r="E2111">
        <v>11</v>
      </c>
      <c r="F2111">
        <v>7</v>
      </c>
      <c r="G2111">
        <v>27.51</v>
      </c>
      <c r="H2111">
        <v>6.34</v>
      </c>
      <c r="I2111">
        <v>0.27</v>
      </c>
      <c r="J2111" t="s">
        <v>77</v>
      </c>
      <c r="K2111" t="s">
        <v>34</v>
      </c>
      <c r="L2111">
        <v>100</v>
      </c>
      <c r="M2111">
        <v>0.78</v>
      </c>
      <c r="N2111">
        <v>47.43</v>
      </c>
      <c r="O2111">
        <v>0.82</v>
      </c>
      <c r="P2111">
        <v>6</v>
      </c>
      <c r="Q2111">
        <v>0.87</v>
      </c>
      <c r="R2111">
        <v>163</v>
      </c>
      <c r="S2111">
        <v>14.93</v>
      </c>
      <c r="T2111">
        <v>0.57999999999999996</v>
      </c>
      <c r="U2111" s="1">
        <v>45520</v>
      </c>
      <c r="V2111">
        <v>29.23</v>
      </c>
      <c r="W2111">
        <v>0.68700000000000006</v>
      </c>
      <c r="X2111" t="str">
        <f>IF(WarehouseData[[#This Row],[stock_level]]&lt;=WarehouseData[[#This Row],[reorder_point]],"Low Stock","Sufficient Stock")</f>
        <v>Sufficient Stock</v>
      </c>
      <c r="Y2111">
        <f>WarehouseData[[#This Row],[daily_demand]]*WarehouseData[[#This Row],[lead_time_days]]</f>
        <v>192.57000000000002</v>
      </c>
      <c r="Z2111" t="str">
        <f>IF(WarehouseData[[#This Row],[stock_level]]&lt;=WarehouseData[[#This Row],[Demand During Lead Time]],"At Risk","Safe")</f>
        <v>At Risk</v>
      </c>
      <c r="AA2111">
        <f>WarehouseData[[#This Row],[stock_level]]/WarehouseData[[#This Row],[daily_demand]]</f>
        <v>1.1632133769538349</v>
      </c>
      <c r="AB2111">
        <f>WarehouseData[[#This Row],[stock_level]]*WarehouseData[[#This Row],[unit_price]]</f>
        <v>1517.76</v>
      </c>
      <c r="AC2111">
        <f>WarehouseData[[#This Row],[stock_level]]*WarehouseData[[#This Row],[holding_cost_per_unit_day]]*30</f>
        <v>787.19999999999993</v>
      </c>
      <c r="AD2111" t="str">
        <f>IF(WarehouseData[[#This Row],[order_fulfillment_rate]]&gt;=0.9,"Strong",IF(WarehouseData[[#This Row],[order_fulfillment_rate]]&gt;=0.8,"Moderate","Needs Attention"))</f>
        <v>Moderate</v>
      </c>
      <c r="AE2111" t="str">
        <f>IF(WarehouseData[[#This Row],[picking_time_seconds]]&gt;120,"Slow",IF(WarehouseData[[#This Row],[picking_time_seconds]]&gt;=60,"Average","Fast"))</f>
        <v>Average</v>
      </c>
    </row>
    <row r="2112" spans="1:31" x14ac:dyDescent="0.25">
      <c r="A2112" t="s">
        <v>2250</v>
      </c>
      <c r="B2112" t="s">
        <v>48</v>
      </c>
      <c r="C2112">
        <v>115</v>
      </c>
      <c r="D2112">
        <v>69</v>
      </c>
      <c r="E2112">
        <v>11</v>
      </c>
      <c r="F2112">
        <v>6</v>
      </c>
      <c r="G2112">
        <v>48.08</v>
      </c>
      <c r="H2112">
        <v>4.54</v>
      </c>
      <c r="I2112">
        <v>0.33</v>
      </c>
      <c r="J2112" t="s">
        <v>137</v>
      </c>
      <c r="K2112" t="s">
        <v>46</v>
      </c>
      <c r="L2112">
        <v>83</v>
      </c>
      <c r="M2112">
        <v>0.65</v>
      </c>
      <c r="N2112">
        <v>78.010000000000005</v>
      </c>
      <c r="O2112">
        <v>1.49</v>
      </c>
      <c r="P2112">
        <v>6</v>
      </c>
      <c r="Q2112">
        <v>0.79</v>
      </c>
      <c r="R2112">
        <v>752</v>
      </c>
      <c r="S2112">
        <v>13.37</v>
      </c>
      <c r="T2112">
        <v>0.51</v>
      </c>
      <c r="U2112" s="1">
        <v>45453</v>
      </c>
      <c r="V2112">
        <v>165.77</v>
      </c>
      <c r="W2112">
        <v>0.56899999999999995</v>
      </c>
      <c r="X2112" t="str">
        <f>IF(WarehouseData[[#This Row],[stock_level]]&lt;=WarehouseData[[#This Row],[reorder_point]],"Low Stock","Sufficient Stock")</f>
        <v>Sufficient Stock</v>
      </c>
      <c r="Y2112">
        <f>WarehouseData[[#This Row],[daily_demand]]*WarehouseData[[#This Row],[lead_time_days]]</f>
        <v>288.48</v>
      </c>
      <c r="Z2112" t="str">
        <f>IF(WarehouseData[[#This Row],[stock_level]]&lt;=WarehouseData[[#This Row],[Demand During Lead Time]],"At Risk","Safe")</f>
        <v>At Risk</v>
      </c>
      <c r="AA2112">
        <f>WarehouseData[[#This Row],[stock_level]]/WarehouseData[[#This Row],[daily_demand]]</f>
        <v>2.3918469217970051</v>
      </c>
      <c r="AB2112">
        <f>WarehouseData[[#This Row],[stock_level]]*WarehouseData[[#This Row],[unit_price]]</f>
        <v>8971.1500000000015</v>
      </c>
      <c r="AC2112">
        <f>WarehouseData[[#This Row],[stock_level]]*WarehouseData[[#This Row],[holding_cost_per_unit_day]]*30</f>
        <v>5140.5</v>
      </c>
      <c r="AD2112" t="str">
        <f>IF(WarehouseData[[#This Row],[order_fulfillment_rate]]&gt;=0.9,"Strong",IF(WarehouseData[[#This Row],[order_fulfillment_rate]]&gt;=0.8,"Moderate","Needs Attention"))</f>
        <v>Needs Attention</v>
      </c>
      <c r="AE2112" t="str">
        <f>IF(WarehouseData[[#This Row],[picking_time_seconds]]&gt;120,"Slow",IF(WarehouseData[[#This Row],[picking_time_seconds]]&gt;=60,"Average","Fast"))</f>
        <v>Average</v>
      </c>
    </row>
    <row r="2113" spans="1:31" x14ac:dyDescent="0.25">
      <c r="A2113" t="s">
        <v>2251</v>
      </c>
      <c r="B2113" t="s">
        <v>32</v>
      </c>
      <c r="C2113">
        <v>240</v>
      </c>
      <c r="D2113">
        <v>65</v>
      </c>
      <c r="E2113">
        <v>3</v>
      </c>
      <c r="F2113">
        <v>7</v>
      </c>
      <c r="G2113">
        <v>6.88</v>
      </c>
      <c r="H2113">
        <v>1.71</v>
      </c>
      <c r="I2113">
        <v>0.35</v>
      </c>
      <c r="J2113" t="s">
        <v>340</v>
      </c>
      <c r="K2113" t="s">
        <v>38</v>
      </c>
      <c r="L2113">
        <v>53</v>
      </c>
      <c r="M2113">
        <v>2.2000000000000002</v>
      </c>
      <c r="N2113">
        <v>151.16999999999999</v>
      </c>
      <c r="O2113">
        <v>0.5</v>
      </c>
      <c r="P2113">
        <v>8</v>
      </c>
      <c r="Q2113">
        <v>0.98</v>
      </c>
      <c r="R2113">
        <v>804</v>
      </c>
      <c r="S2113">
        <v>1.33</v>
      </c>
      <c r="T2113">
        <v>0.86</v>
      </c>
      <c r="U2113" s="1">
        <v>45352</v>
      </c>
      <c r="V2113">
        <v>212.25</v>
      </c>
      <c r="W2113">
        <v>0.57599999999999996</v>
      </c>
      <c r="X2113" t="str">
        <f>IF(WarehouseData[[#This Row],[stock_level]]&lt;=WarehouseData[[#This Row],[reorder_point]],"Low Stock","Sufficient Stock")</f>
        <v>Sufficient Stock</v>
      </c>
      <c r="Y2113">
        <f>WarehouseData[[#This Row],[daily_demand]]*WarehouseData[[#This Row],[lead_time_days]]</f>
        <v>48.16</v>
      </c>
      <c r="Z2113" t="str">
        <f>IF(WarehouseData[[#This Row],[stock_level]]&lt;=WarehouseData[[#This Row],[Demand During Lead Time]],"At Risk","Safe")</f>
        <v>Safe</v>
      </c>
      <c r="AA2113">
        <f>WarehouseData[[#This Row],[stock_level]]/WarehouseData[[#This Row],[daily_demand]]</f>
        <v>34.883720930232556</v>
      </c>
      <c r="AB2113">
        <f>WarehouseData[[#This Row],[stock_level]]*WarehouseData[[#This Row],[unit_price]]</f>
        <v>36280.799999999996</v>
      </c>
      <c r="AC2113">
        <f>WarehouseData[[#This Row],[stock_level]]*WarehouseData[[#This Row],[holding_cost_per_unit_day]]*30</f>
        <v>3600</v>
      </c>
      <c r="AD2113" t="str">
        <f>IF(WarehouseData[[#This Row],[order_fulfillment_rate]]&gt;=0.9,"Strong",IF(WarehouseData[[#This Row],[order_fulfillment_rate]]&gt;=0.8,"Moderate","Needs Attention"))</f>
        <v>Strong</v>
      </c>
      <c r="AE2113" t="str">
        <f>IF(WarehouseData[[#This Row],[picking_time_seconds]]&gt;120,"Slow",IF(WarehouseData[[#This Row],[picking_time_seconds]]&gt;=60,"Average","Fast"))</f>
        <v>Fast</v>
      </c>
    </row>
    <row r="2114" spans="1:31" x14ac:dyDescent="0.25">
      <c r="A2114" t="s">
        <v>2252</v>
      </c>
      <c r="B2114" t="s">
        <v>73</v>
      </c>
      <c r="C2114">
        <v>257</v>
      </c>
      <c r="D2114">
        <v>44</v>
      </c>
      <c r="E2114">
        <v>3</v>
      </c>
      <c r="F2114">
        <v>4</v>
      </c>
      <c r="G2114">
        <v>37.159999999999997</v>
      </c>
      <c r="H2114">
        <v>3.32</v>
      </c>
      <c r="I2114">
        <v>0.68</v>
      </c>
      <c r="J2114" t="s">
        <v>338</v>
      </c>
      <c r="K2114" t="s">
        <v>34</v>
      </c>
      <c r="L2114">
        <v>143</v>
      </c>
      <c r="M2114">
        <v>3.62</v>
      </c>
      <c r="N2114">
        <v>90.57</v>
      </c>
      <c r="O2114">
        <v>0.81</v>
      </c>
      <c r="P2114">
        <v>6</v>
      </c>
      <c r="Q2114">
        <v>0.89</v>
      </c>
      <c r="R2114">
        <v>343</v>
      </c>
      <c r="S2114">
        <v>6.35</v>
      </c>
      <c r="T2114">
        <v>0.56999999999999995</v>
      </c>
      <c r="U2114" s="1">
        <v>45546</v>
      </c>
      <c r="V2114">
        <v>169.45</v>
      </c>
      <c r="W2114">
        <v>0.57599999999999996</v>
      </c>
      <c r="X2114" t="str">
        <f>IF(WarehouseData[[#This Row],[stock_level]]&lt;=WarehouseData[[#This Row],[reorder_point]],"Low Stock","Sufficient Stock")</f>
        <v>Sufficient Stock</v>
      </c>
      <c r="Y2114">
        <f>WarehouseData[[#This Row],[daily_demand]]*WarehouseData[[#This Row],[lead_time_days]]</f>
        <v>148.63999999999999</v>
      </c>
      <c r="Z2114" t="str">
        <f>IF(WarehouseData[[#This Row],[stock_level]]&lt;=WarehouseData[[#This Row],[Demand During Lead Time]],"At Risk","Safe")</f>
        <v>Safe</v>
      </c>
      <c r="AA2114">
        <f>WarehouseData[[#This Row],[stock_level]]/WarehouseData[[#This Row],[daily_demand]]</f>
        <v>6.9160387513455337</v>
      </c>
      <c r="AB2114">
        <f>WarehouseData[[#This Row],[stock_level]]*WarehouseData[[#This Row],[unit_price]]</f>
        <v>23276.489999999998</v>
      </c>
      <c r="AC2114">
        <f>WarehouseData[[#This Row],[stock_level]]*WarehouseData[[#This Row],[holding_cost_per_unit_day]]*30</f>
        <v>6245.1</v>
      </c>
      <c r="AD2114" t="str">
        <f>IF(WarehouseData[[#This Row],[order_fulfillment_rate]]&gt;=0.9,"Strong",IF(WarehouseData[[#This Row],[order_fulfillment_rate]]&gt;=0.8,"Moderate","Needs Attention"))</f>
        <v>Moderate</v>
      </c>
      <c r="AE2114" t="str">
        <f>IF(WarehouseData[[#This Row],[picking_time_seconds]]&gt;120,"Slow",IF(WarehouseData[[#This Row],[picking_time_seconds]]&gt;=60,"Average","Fast"))</f>
        <v>Slow</v>
      </c>
    </row>
    <row r="2115" spans="1:31" x14ac:dyDescent="0.25">
      <c r="A2115" t="s">
        <v>2253</v>
      </c>
      <c r="B2115" t="s">
        <v>48</v>
      </c>
      <c r="C2115">
        <v>113</v>
      </c>
      <c r="D2115">
        <v>39</v>
      </c>
      <c r="E2115">
        <v>3</v>
      </c>
      <c r="F2115">
        <v>3</v>
      </c>
      <c r="G2115">
        <v>7.29</v>
      </c>
      <c r="H2115">
        <v>5.91</v>
      </c>
      <c r="I2115">
        <v>0.15</v>
      </c>
      <c r="J2115" t="s">
        <v>357</v>
      </c>
      <c r="K2115" t="s">
        <v>38</v>
      </c>
      <c r="L2115">
        <v>126</v>
      </c>
      <c r="M2115">
        <v>1.51</v>
      </c>
      <c r="N2115">
        <v>57.41</v>
      </c>
      <c r="O2115">
        <v>1.83</v>
      </c>
      <c r="P2115">
        <v>2</v>
      </c>
      <c r="Q2115">
        <v>0.94</v>
      </c>
      <c r="R2115">
        <v>876</v>
      </c>
      <c r="S2115">
        <v>10.63</v>
      </c>
      <c r="T2115">
        <v>0.31</v>
      </c>
      <c r="U2115" s="1">
        <v>45626</v>
      </c>
      <c r="V2115">
        <v>97.22</v>
      </c>
      <c r="W2115">
        <v>0.56899999999999995</v>
      </c>
      <c r="X2115" t="str">
        <f>IF(WarehouseData[[#This Row],[stock_level]]&lt;=WarehouseData[[#This Row],[reorder_point]],"Low Stock","Sufficient Stock")</f>
        <v>Sufficient Stock</v>
      </c>
      <c r="Y2115">
        <f>WarehouseData[[#This Row],[daily_demand]]*WarehouseData[[#This Row],[lead_time_days]]</f>
        <v>21.87</v>
      </c>
      <c r="Z2115" t="str">
        <f>IF(WarehouseData[[#This Row],[stock_level]]&lt;=WarehouseData[[#This Row],[Demand During Lead Time]],"At Risk","Safe")</f>
        <v>Safe</v>
      </c>
      <c r="AA2115">
        <f>WarehouseData[[#This Row],[stock_level]]/WarehouseData[[#This Row],[daily_demand]]</f>
        <v>15.500685871056241</v>
      </c>
      <c r="AB2115">
        <f>WarehouseData[[#This Row],[stock_level]]*WarehouseData[[#This Row],[unit_price]]</f>
        <v>6487.33</v>
      </c>
      <c r="AC2115">
        <f>WarehouseData[[#This Row],[stock_level]]*WarehouseData[[#This Row],[holding_cost_per_unit_day]]*30</f>
        <v>6203.7000000000007</v>
      </c>
      <c r="AD2115" t="str">
        <f>IF(WarehouseData[[#This Row],[order_fulfillment_rate]]&gt;=0.9,"Strong",IF(WarehouseData[[#This Row],[order_fulfillment_rate]]&gt;=0.8,"Moderate","Needs Attention"))</f>
        <v>Strong</v>
      </c>
      <c r="AE2115" t="str">
        <f>IF(WarehouseData[[#This Row],[picking_time_seconds]]&gt;120,"Slow",IF(WarehouseData[[#This Row],[picking_time_seconds]]&gt;=60,"Average","Fast"))</f>
        <v>Slow</v>
      </c>
    </row>
    <row r="2116" spans="1:31" x14ac:dyDescent="0.25">
      <c r="A2116" t="s">
        <v>2254</v>
      </c>
      <c r="B2116" t="s">
        <v>48</v>
      </c>
      <c r="C2116">
        <v>357</v>
      </c>
      <c r="D2116">
        <v>63</v>
      </c>
      <c r="E2116">
        <v>10</v>
      </c>
      <c r="F2116">
        <v>9</v>
      </c>
      <c r="G2116">
        <v>19.71</v>
      </c>
      <c r="H2116">
        <v>6.74</v>
      </c>
      <c r="I2116">
        <v>0.17</v>
      </c>
      <c r="J2116" t="s">
        <v>156</v>
      </c>
      <c r="K2116" t="s">
        <v>52</v>
      </c>
      <c r="L2116">
        <v>33</v>
      </c>
      <c r="M2116">
        <v>2.4500000000000002</v>
      </c>
      <c r="N2116">
        <v>91.21</v>
      </c>
      <c r="O2116">
        <v>0.32</v>
      </c>
      <c r="P2116">
        <v>5</v>
      </c>
      <c r="Q2116">
        <v>0.7</v>
      </c>
      <c r="R2116">
        <v>77</v>
      </c>
      <c r="S2116">
        <v>4.38</v>
      </c>
      <c r="T2116">
        <v>0.42</v>
      </c>
      <c r="U2116" s="1">
        <v>45301</v>
      </c>
      <c r="V2116">
        <v>258.08</v>
      </c>
      <c r="W2116">
        <v>0.55000000000000004</v>
      </c>
      <c r="X2116" t="str">
        <f>IF(WarehouseData[[#This Row],[stock_level]]&lt;=WarehouseData[[#This Row],[reorder_point]],"Low Stock","Sufficient Stock")</f>
        <v>Sufficient Stock</v>
      </c>
      <c r="Y2116">
        <f>WarehouseData[[#This Row],[daily_demand]]*WarehouseData[[#This Row],[lead_time_days]]</f>
        <v>177.39000000000001</v>
      </c>
      <c r="Z2116" t="str">
        <f>IF(WarehouseData[[#This Row],[stock_level]]&lt;=WarehouseData[[#This Row],[Demand During Lead Time]],"At Risk","Safe")</f>
        <v>Safe</v>
      </c>
      <c r="AA2116">
        <f>WarehouseData[[#This Row],[stock_level]]/WarehouseData[[#This Row],[daily_demand]]</f>
        <v>18.112633181126331</v>
      </c>
      <c r="AB2116">
        <f>WarehouseData[[#This Row],[stock_level]]*WarehouseData[[#This Row],[unit_price]]</f>
        <v>32561.969999999998</v>
      </c>
      <c r="AC2116">
        <f>WarehouseData[[#This Row],[stock_level]]*WarehouseData[[#This Row],[holding_cost_per_unit_day]]*30</f>
        <v>3427.2000000000003</v>
      </c>
      <c r="AD2116" t="str">
        <f>IF(WarehouseData[[#This Row],[order_fulfillment_rate]]&gt;=0.9,"Strong",IF(WarehouseData[[#This Row],[order_fulfillment_rate]]&gt;=0.8,"Moderate","Needs Attention"))</f>
        <v>Needs Attention</v>
      </c>
      <c r="AE2116" t="str">
        <f>IF(WarehouseData[[#This Row],[picking_time_seconds]]&gt;120,"Slow",IF(WarehouseData[[#This Row],[picking_time_seconds]]&gt;=60,"Average","Fast"))</f>
        <v>Fast</v>
      </c>
    </row>
    <row r="2117" spans="1:31" x14ac:dyDescent="0.25">
      <c r="A2117" t="s">
        <v>2255</v>
      </c>
      <c r="B2117" t="s">
        <v>36</v>
      </c>
      <c r="C2117">
        <v>288</v>
      </c>
      <c r="D2117">
        <v>45</v>
      </c>
      <c r="E2117">
        <v>14</v>
      </c>
      <c r="F2117">
        <v>8</v>
      </c>
      <c r="G2117">
        <v>29.69</v>
      </c>
      <c r="H2117">
        <v>4.8899999999999997</v>
      </c>
      <c r="I2117">
        <v>0.27</v>
      </c>
      <c r="J2117" t="s">
        <v>178</v>
      </c>
      <c r="K2117" t="s">
        <v>38</v>
      </c>
      <c r="L2117">
        <v>16</v>
      </c>
      <c r="M2117">
        <v>4.91</v>
      </c>
      <c r="N2117">
        <v>96.41</v>
      </c>
      <c r="O2117">
        <v>1.52</v>
      </c>
      <c r="P2117">
        <v>5</v>
      </c>
      <c r="Q2117">
        <v>0.84</v>
      </c>
      <c r="R2117">
        <v>587</v>
      </c>
      <c r="S2117">
        <v>3</v>
      </c>
      <c r="T2117">
        <v>0.65</v>
      </c>
      <c r="U2117" s="1">
        <v>45344</v>
      </c>
      <c r="V2117">
        <v>134.82</v>
      </c>
      <c r="W2117">
        <v>0.48599999999999999</v>
      </c>
      <c r="X2117" t="str">
        <f>IF(WarehouseData[[#This Row],[stock_level]]&lt;=WarehouseData[[#This Row],[reorder_point]],"Low Stock","Sufficient Stock")</f>
        <v>Sufficient Stock</v>
      </c>
      <c r="Y2117">
        <f>WarehouseData[[#This Row],[daily_demand]]*WarehouseData[[#This Row],[lead_time_days]]</f>
        <v>237.52</v>
      </c>
      <c r="Z2117" t="str">
        <f>IF(WarehouseData[[#This Row],[stock_level]]&lt;=WarehouseData[[#This Row],[Demand During Lead Time]],"At Risk","Safe")</f>
        <v>Safe</v>
      </c>
      <c r="AA2117">
        <f>WarehouseData[[#This Row],[stock_level]]/WarehouseData[[#This Row],[daily_demand]]</f>
        <v>9.7002357696194004</v>
      </c>
      <c r="AB2117">
        <f>WarehouseData[[#This Row],[stock_level]]*WarehouseData[[#This Row],[unit_price]]</f>
        <v>27766.079999999998</v>
      </c>
      <c r="AC2117">
        <f>WarehouseData[[#This Row],[stock_level]]*WarehouseData[[#This Row],[holding_cost_per_unit_day]]*30</f>
        <v>13132.8</v>
      </c>
      <c r="AD2117" t="str">
        <f>IF(WarehouseData[[#This Row],[order_fulfillment_rate]]&gt;=0.9,"Strong",IF(WarehouseData[[#This Row],[order_fulfillment_rate]]&gt;=0.8,"Moderate","Needs Attention"))</f>
        <v>Moderate</v>
      </c>
      <c r="AE2117" t="str">
        <f>IF(WarehouseData[[#This Row],[picking_time_seconds]]&gt;120,"Slow",IF(WarehouseData[[#This Row],[picking_time_seconds]]&gt;=60,"Average","Fast"))</f>
        <v>Fast</v>
      </c>
    </row>
    <row r="2118" spans="1:31" x14ac:dyDescent="0.25">
      <c r="A2118" t="s">
        <v>2256</v>
      </c>
      <c r="B2118" t="s">
        <v>40</v>
      </c>
      <c r="C2118">
        <v>190</v>
      </c>
      <c r="D2118">
        <v>64</v>
      </c>
      <c r="E2118">
        <v>14</v>
      </c>
      <c r="F2118">
        <v>4</v>
      </c>
      <c r="G2118">
        <v>37.119999999999997</v>
      </c>
      <c r="H2118">
        <v>8.14</v>
      </c>
      <c r="I2118">
        <v>0.88</v>
      </c>
      <c r="J2118" t="s">
        <v>59</v>
      </c>
      <c r="K2118" t="s">
        <v>34</v>
      </c>
      <c r="L2118">
        <v>15</v>
      </c>
      <c r="M2118">
        <v>1.47</v>
      </c>
      <c r="N2118">
        <v>66.31</v>
      </c>
      <c r="O2118">
        <v>1.43</v>
      </c>
      <c r="P2118">
        <v>6</v>
      </c>
      <c r="Q2118">
        <v>0.96</v>
      </c>
      <c r="R2118">
        <v>645</v>
      </c>
      <c r="S2118">
        <v>9.81</v>
      </c>
      <c r="T2118">
        <v>0.52</v>
      </c>
      <c r="U2118" s="1">
        <v>45498</v>
      </c>
      <c r="V2118">
        <v>97.2</v>
      </c>
      <c r="W2118">
        <v>0.56399999999999995</v>
      </c>
      <c r="X2118" t="str">
        <f>IF(WarehouseData[[#This Row],[stock_level]]&lt;=WarehouseData[[#This Row],[reorder_point]],"Low Stock","Sufficient Stock")</f>
        <v>Sufficient Stock</v>
      </c>
      <c r="Y2118">
        <f>WarehouseData[[#This Row],[daily_demand]]*WarehouseData[[#This Row],[lead_time_days]]</f>
        <v>148.47999999999999</v>
      </c>
      <c r="Z2118" t="str">
        <f>IF(WarehouseData[[#This Row],[stock_level]]&lt;=WarehouseData[[#This Row],[Demand During Lead Time]],"At Risk","Safe")</f>
        <v>Safe</v>
      </c>
      <c r="AA2118">
        <f>WarehouseData[[#This Row],[stock_level]]/WarehouseData[[#This Row],[daily_demand]]</f>
        <v>5.118534482758621</v>
      </c>
      <c r="AB2118">
        <f>WarehouseData[[#This Row],[stock_level]]*WarehouseData[[#This Row],[unit_price]]</f>
        <v>12598.9</v>
      </c>
      <c r="AC2118">
        <f>WarehouseData[[#This Row],[stock_level]]*WarehouseData[[#This Row],[holding_cost_per_unit_day]]*30</f>
        <v>8151</v>
      </c>
      <c r="AD2118" t="str">
        <f>IF(WarehouseData[[#This Row],[order_fulfillment_rate]]&gt;=0.9,"Strong",IF(WarehouseData[[#This Row],[order_fulfillment_rate]]&gt;=0.8,"Moderate","Needs Attention"))</f>
        <v>Strong</v>
      </c>
      <c r="AE2118" t="str">
        <f>IF(WarehouseData[[#This Row],[picking_time_seconds]]&gt;120,"Slow",IF(WarehouseData[[#This Row],[picking_time_seconds]]&gt;=60,"Average","Fast"))</f>
        <v>Fast</v>
      </c>
    </row>
    <row r="2119" spans="1:31" x14ac:dyDescent="0.25">
      <c r="A2119" t="s">
        <v>2257</v>
      </c>
      <c r="B2119" t="s">
        <v>48</v>
      </c>
      <c r="C2119">
        <v>488</v>
      </c>
      <c r="D2119">
        <v>98</v>
      </c>
      <c r="E2119">
        <v>12</v>
      </c>
      <c r="F2119">
        <v>6</v>
      </c>
      <c r="G2119">
        <v>1.18</v>
      </c>
      <c r="H2119">
        <v>1.57</v>
      </c>
      <c r="I2119">
        <v>0.67</v>
      </c>
      <c r="J2119" t="s">
        <v>154</v>
      </c>
      <c r="K2119" t="s">
        <v>38</v>
      </c>
      <c r="L2119">
        <v>127</v>
      </c>
      <c r="M2119">
        <v>4.32</v>
      </c>
      <c r="N2119">
        <v>199.18</v>
      </c>
      <c r="O2119">
        <v>0.35</v>
      </c>
      <c r="P2119">
        <v>5</v>
      </c>
      <c r="Q2119">
        <v>0.8</v>
      </c>
      <c r="R2119">
        <v>908</v>
      </c>
      <c r="S2119">
        <v>13.65</v>
      </c>
      <c r="T2119">
        <v>0.49</v>
      </c>
      <c r="U2119" s="1">
        <v>45503</v>
      </c>
      <c r="V2119">
        <v>232.82</v>
      </c>
      <c r="W2119">
        <v>0.70499999999999996</v>
      </c>
      <c r="X2119" t="str">
        <f>IF(WarehouseData[[#This Row],[stock_level]]&lt;=WarehouseData[[#This Row],[reorder_point]],"Low Stock","Sufficient Stock")</f>
        <v>Sufficient Stock</v>
      </c>
      <c r="Y2119">
        <f>WarehouseData[[#This Row],[daily_demand]]*WarehouseData[[#This Row],[lead_time_days]]</f>
        <v>7.08</v>
      </c>
      <c r="Z2119" t="str">
        <f>IF(WarehouseData[[#This Row],[stock_level]]&lt;=WarehouseData[[#This Row],[Demand During Lead Time]],"At Risk","Safe")</f>
        <v>Safe</v>
      </c>
      <c r="AA2119">
        <f>WarehouseData[[#This Row],[stock_level]]/WarehouseData[[#This Row],[daily_demand]]</f>
        <v>413.55932203389835</v>
      </c>
      <c r="AB2119">
        <f>WarehouseData[[#This Row],[stock_level]]*WarehouseData[[#This Row],[unit_price]]</f>
        <v>97199.84</v>
      </c>
      <c r="AC2119">
        <f>WarehouseData[[#This Row],[stock_level]]*WarehouseData[[#This Row],[holding_cost_per_unit_day]]*30</f>
        <v>5123.9999999999991</v>
      </c>
      <c r="AD2119" t="str">
        <f>IF(WarehouseData[[#This Row],[order_fulfillment_rate]]&gt;=0.9,"Strong",IF(WarehouseData[[#This Row],[order_fulfillment_rate]]&gt;=0.8,"Moderate","Needs Attention"))</f>
        <v>Moderate</v>
      </c>
      <c r="AE2119" t="str">
        <f>IF(WarehouseData[[#This Row],[picking_time_seconds]]&gt;120,"Slow",IF(WarehouseData[[#This Row],[picking_time_seconds]]&gt;=60,"Average","Fast"))</f>
        <v>Slow</v>
      </c>
    </row>
    <row r="2120" spans="1:31" x14ac:dyDescent="0.25">
      <c r="A2120" t="s">
        <v>2258</v>
      </c>
      <c r="B2120" t="s">
        <v>40</v>
      </c>
      <c r="C2120">
        <v>113</v>
      </c>
      <c r="D2120">
        <v>89</v>
      </c>
      <c r="E2120">
        <v>9</v>
      </c>
      <c r="F2120">
        <v>2</v>
      </c>
      <c r="G2120">
        <v>13.77</v>
      </c>
      <c r="H2120">
        <v>1.3</v>
      </c>
      <c r="I2120">
        <v>0.76</v>
      </c>
      <c r="J2120" t="s">
        <v>377</v>
      </c>
      <c r="K2120" t="s">
        <v>46</v>
      </c>
      <c r="L2120">
        <v>170</v>
      </c>
      <c r="M2120">
        <v>4.21</v>
      </c>
      <c r="N2120">
        <v>155.85</v>
      </c>
      <c r="O2120">
        <v>1.41</v>
      </c>
      <c r="P2120">
        <v>3</v>
      </c>
      <c r="Q2120">
        <v>0.92</v>
      </c>
      <c r="R2120">
        <v>370</v>
      </c>
      <c r="S2120">
        <v>14.38</v>
      </c>
      <c r="T2120">
        <v>0.74</v>
      </c>
      <c r="U2120" s="1">
        <v>45310</v>
      </c>
      <c r="V2120">
        <v>52.3</v>
      </c>
      <c r="W2120">
        <v>0.72299999999999998</v>
      </c>
      <c r="X2120" t="str">
        <f>IF(WarehouseData[[#This Row],[stock_level]]&lt;=WarehouseData[[#This Row],[reorder_point]],"Low Stock","Sufficient Stock")</f>
        <v>Sufficient Stock</v>
      </c>
      <c r="Y2120">
        <f>WarehouseData[[#This Row],[daily_demand]]*WarehouseData[[#This Row],[lead_time_days]]</f>
        <v>27.54</v>
      </c>
      <c r="Z2120" t="str">
        <f>IF(WarehouseData[[#This Row],[stock_level]]&lt;=WarehouseData[[#This Row],[Demand During Lead Time]],"At Risk","Safe")</f>
        <v>Safe</v>
      </c>
      <c r="AA2120">
        <f>WarehouseData[[#This Row],[stock_level]]/WarehouseData[[#This Row],[daily_demand]]</f>
        <v>8.2062454611474216</v>
      </c>
      <c r="AB2120">
        <f>WarehouseData[[#This Row],[stock_level]]*WarehouseData[[#This Row],[unit_price]]</f>
        <v>17611.05</v>
      </c>
      <c r="AC2120">
        <f>WarehouseData[[#This Row],[stock_level]]*WarehouseData[[#This Row],[holding_cost_per_unit_day]]*30</f>
        <v>4779.8999999999996</v>
      </c>
      <c r="AD2120" t="str">
        <f>IF(WarehouseData[[#This Row],[order_fulfillment_rate]]&gt;=0.9,"Strong",IF(WarehouseData[[#This Row],[order_fulfillment_rate]]&gt;=0.8,"Moderate","Needs Attention"))</f>
        <v>Strong</v>
      </c>
      <c r="AE2120" t="str">
        <f>IF(WarehouseData[[#This Row],[picking_time_seconds]]&gt;120,"Slow",IF(WarehouseData[[#This Row],[picking_time_seconds]]&gt;=60,"Average","Fast"))</f>
        <v>Slow</v>
      </c>
    </row>
    <row r="2121" spans="1:31" x14ac:dyDescent="0.25">
      <c r="A2121" t="s">
        <v>2259</v>
      </c>
      <c r="B2121" t="s">
        <v>32</v>
      </c>
      <c r="C2121">
        <v>168</v>
      </c>
      <c r="D2121">
        <v>67</v>
      </c>
      <c r="E2121">
        <v>5</v>
      </c>
      <c r="F2121">
        <v>8</v>
      </c>
      <c r="G2121">
        <v>27.37</v>
      </c>
      <c r="H2121">
        <v>0.92</v>
      </c>
      <c r="I2121">
        <v>0.43</v>
      </c>
      <c r="J2121" t="s">
        <v>202</v>
      </c>
      <c r="K2121" t="s">
        <v>46</v>
      </c>
      <c r="L2121">
        <v>94</v>
      </c>
      <c r="M2121">
        <v>4.51</v>
      </c>
      <c r="N2121">
        <v>141.57</v>
      </c>
      <c r="O2121">
        <v>1.18</v>
      </c>
      <c r="P2121">
        <v>5</v>
      </c>
      <c r="Q2121">
        <v>0.9</v>
      </c>
      <c r="R2121">
        <v>891</v>
      </c>
      <c r="S2121">
        <v>1.1399999999999999</v>
      </c>
      <c r="T2121">
        <v>0.71</v>
      </c>
      <c r="U2121" s="1">
        <v>45577</v>
      </c>
      <c r="V2121">
        <v>69.45</v>
      </c>
      <c r="W2121">
        <v>0.51900000000000002</v>
      </c>
      <c r="X2121" t="str">
        <f>IF(WarehouseData[[#This Row],[stock_level]]&lt;=WarehouseData[[#This Row],[reorder_point]],"Low Stock","Sufficient Stock")</f>
        <v>Sufficient Stock</v>
      </c>
      <c r="Y2121">
        <f>WarehouseData[[#This Row],[daily_demand]]*WarehouseData[[#This Row],[lead_time_days]]</f>
        <v>218.96</v>
      </c>
      <c r="Z2121" t="str">
        <f>IF(WarehouseData[[#This Row],[stock_level]]&lt;=WarehouseData[[#This Row],[Demand During Lead Time]],"At Risk","Safe")</f>
        <v>At Risk</v>
      </c>
      <c r="AA2121">
        <f>WarehouseData[[#This Row],[stock_level]]/WarehouseData[[#This Row],[daily_demand]]</f>
        <v>6.1381074168797953</v>
      </c>
      <c r="AB2121">
        <f>WarehouseData[[#This Row],[stock_level]]*WarehouseData[[#This Row],[unit_price]]</f>
        <v>23783.759999999998</v>
      </c>
      <c r="AC2121">
        <f>WarehouseData[[#This Row],[stock_level]]*WarehouseData[[#This Row],[holding_cost_per_unit_day]]*30</f>
        <v>5947.2</v>
      </c>
      <c r="AD2121" t="str">
        <f>IF(WarehouseData[[#This Row],[order_fulfillment_rate]]&gt;=0.9,"Strong",IF(WarehouseData[[#This Row],[order_fulfillment_rate]]&gt;=0.8,"Moderate","Needs Attention"))</f>
        <v>Strong</v>
      </c>
      <c r="AE2121" t="str">
        <f>IF(WarehouseData[[#This Row],[picking_time_seconds]]&gt;120,"Slow",IF(WarehouseData[[#This Row],[picking_time_seconds]]&gt;=60,"Average","Fast"))</f>
        <v>Average</v>
      </c>
    </row>
    <row r="2122" spans="1:31" x14ac:dyDescent="0.25">
      <c r="A2122" t="s">
        <v>2260</v>
      </c>
      <c r="B2122" t="s">
        <v>73</v>
      </c>
      <c r="C2122">
        <v>131</v>
      </c>
      <c r="D2122">
        <v>92</v>
      </c>
      <c r="E2122">
        <v>4</v>
      </c>
      <c r="F2122">
        <v>4</v>
      </c>
      <c r="G2122">
        <v>27.11</v>
      </c>
      <c r="H2122">
        <v>5.59</v>
      </c>
      <c r="I2122">
        <v>0.28999999999999998</v>
      </c>
      <c r="J2122" t="s">
        <v>166</v>
      </c>
      <c r="K2122" t="s">
        <v>34</v>
      </c>
      <c r="L2122">
        <v>119</v>
      </c>
      <c r="M2122">
        <v>4.62</v>
      </c>
      <c r="N2122">
        <v>172.42</v>
      </c>
      <c r="O2122">
        <v>0.65</v>
      </c>
      <c r="P2122">
        <v>2</v>
      </c>
      <c r="Q2122">
        <v>0.75</v>
      </c>
      <c r="R2122">
        <v>763</v>
      </c>
      <c r="S2122">
        <v>13.24</v>
      </c>
      <c r="T2122">
        <v>0.45</v>
      </c>
      <c r="U2122" s="1">
        <v>45573</v>
      </c>
      <c r="V2122">
        <v>83.3</v>
      </c>
      <c r="W2122">
        <v>0.71199999999999997</v>
      </c>
      <c r="X2122" t="str">
        <f>IF(WarehouseData[[#This Row],[stock_level]]&lt;=WarehouseData[[#This Row],[reorder_point]],"Low Stock","Sufficient Stock")</f>
        <v>Sufficient Stock</v>
      </c>
      <c r="Y2122">
        <f>WarehouseData[[#This Row],[daily_demand]]*WarehouseData[[#This Row],[lead_time_days]]</f>
        <v>108.44</v>
      </c>
      <c r="Z2122" t="str">
        <f>IF(WarehouseData[[#This Row],[stock_level]]&lt;=WarehouseData[[#This Row],[Demand During Lead Time]],"At Risk","Safe")</f>
        <v>Safe</v>
      </c>
      <c r="AA2122">
        <f>WarehouseData[[#This Row],[stock_level]]/WarehouseData[[#This Row],[daily_demand]]</f>
        <v>4.8321652526742902</v>
      </c>
      <c r="AB2122">
        <f>WarehouseData[[#This Row],[stock_level]]*WarehouseData[[#This Row],[unit_price]]</f>
        <v>22587.019999999997</v>
      </c>
      <c r="AC2122">
        <f>WarehouseData[[#This Row],[stock_level]]*WarehouseData[[#This Row],[holding_cost_per_unit_day]]*30</f>
        <v>2554.5</v>
      </c>
      <c r="AD2122" t="str">
        <f>IF(WarehouseData[[#This Row],[order_fulfillment_rate]]&gt;=0.9,"Strong",IF(WarehouseData[[#This Row],[order_fulfillment_rate]]&gt;=0.8,"Moderate","Needs Attention"))</f>
        <v>Needs Attention</v>
      </c>
      <c r="AE2122" t="str">
        <f>IF(WarehouseData[[#This Row],[picking_time_seconds]]&gt;120,"Slow",IF(WarehouseData[[#This Row],[picking_time_seconds]]&gt;=60,"Average","Fast"))</f>
        <v>Average</v>
      </c>
    </row>
    <row r="2123" spans="1:31" x14ac:dyDescent="0.25">
      <c r="A2123" t="s">
        <v>2261</v>
      </c>
      <c r="B2123" t="s">
        <v>36</v>
      </c>
      <c r="C2123">
        <v>74</v>
      </c>
      <c r="D2123">
        <v>74</v>
      </c>
      <c r="E2123">
        <v>6</v>
      </c>
      <c r="F2123">
        <v>7</v>
      </c>
      <c r="G2123">
        <v>32.24</v>
      </c>
      <c r="H2123">
        <v>7.21</v>
      </c>
      <c r="I2123">
        <v>0.13</v>
      </c>
      <c r="J2123" t="s">
        <v>477</v>
      </c>
      <c r="K2123" t="s">
        <v>38</v>
      </c>
      <c r="L2123">
        <v>175</v>
      </c>
      <c r="M2123">
        <v>2.78</v>
      </c>
      <c r="N2123">
        <v>136.62</v>
      </c>
      <c r="O2123">
        <v>0.69</v>
      </c>
      <c r="P2123">
        <v>0</v>
      </c>
      <c r="Q2123">
        <v>0.93</v>
      </c>
      <c r="R2123">
        <v>622</v>
      </c>
      <c r="S2123">
        <v>8.85</v>
      </c>
      <c r="T2123">
        <v>0.49</v>
      </c>
      <c r="U2123" s="1">
        <v>45292</v>
      </c>
      <c r="V2123">
        <v>136.12</v>
      </c>
      <c r="W2123">
        <v>0.73299999999999998</v>
      </c>
      <c r="X2123" t="str">
        <f>IF(WarehouseData[[#This Row],[stock_level]]&lt;=WarehouseData[[#This Row],[reorder_point]],"Low Stock","Sufficient Stock")</f>
        <v>Low Stock</v>
      </c>
      <c r="Y2123">
        <f>WarehouseData[[#This Row],[daily_demand]]*WarehouseData[[#This Row],[lead_time_days]]</f>
        <v>225.68</v>
      </c>
      <c r="Z2123" t="str">
        <f>IF(WarehouseData[[#This Row],[stock_level]]&lt;=WarehouseData[[#This Row],[Demand During Lead Time]],"At Risk","Safe")</f>
        <v>At Risk</v>
      </c>
      <c r="AA2123">
        <f>WarehouseData[[#This Row],[stock_level]]/WarehouseData[[#This Row],[daily_demand]]</f>
        <v>2.2952853598014888</v>
      </c>
      <c r="AB2123">
        <f>WarehouseData[[#This Row],[stock_level]]*WarehouseData[[#This Row],[unit_price]]</f>
        <v>10109.880000000001</v>
      </c>
      <c r="AC2123">
        <f>WarehouseData[[#This Row],[stock_level]]*WarehouseData[[#This Row],[holding_cost_per_unit_day]]*30</f>
        <v>1531.8</v>
      </c>
      <c r="AD2123" t="str">
        <f>IF(WarehouseData[[#This Row],[order_fulfillment_rate]]&gt;=0.9,"Strong",IF(WarehouseData[[#This Row],[order_fulfillment_rate]]&gt;=0.8,"Moderate","Needs Attention"))</f>
        <v>Strong</v>
      </c>
      <c r="AE2123" t="str">
        <f>IF(WarehouseData[[#This Row],[picking_time_seconds]]&gt;120,"Slow",IF(WarehouseData[[#This Row],[picking_time_seconds]]&gt;=60,"Average","Fast"))</f>
        <v>Slow</v>
      </c>
    </row>
    <row r="2124" spans="1:31" x14ac:dyDescent="0.25">
      <c r="A2124" t="s">
        <v>2262</v>
      </c>
      <c r="B2124" t="s">
        <v>40</v>
      </c>
      <c r="C2124">
        <v>356</v>
      </c>
      <c r="D2124">
        <v>78</v>
      </c>
      <c r="E2124">
        <v>5</v>
      </c>
      <c r="F2124">
        <v>8</v>
      </c>
      <c r="G2124">
        <v>15.89</v>
      </c>
      <c r="H2124">
        <v>1.74</v>
      </c>
      <c r="I2124">
        <v>0.54</v>
      </c>
      <c r="J2124" t="s">
        <v>215</v>
      </c>
      <c r="K2124" t="s">
        <v>52</v>
      </c>
      <c r="L2124">
        <v>154</v>
      </c>
      <c r="M2124">
        <v>3.57</v>
      </c>
      <c r="N2124">
        <v>160.29</v>
      </c>
      <c r="O2124">
        <v>1.68</v>
      </c>
      <c r="P2124">
        <v>0</v>
      </c>
      <c r="Q2124">
        <v>0.73</v>
      </c>
      <c r="R2124">
        <v>746</v>
      </c>
      <c r="S2124">
        <v>4.33</v>
      </c>
      <c r="T2124">
        <v>0.8</v>
      </c>
      <c r="U2124" s="1">
        <v>45338</v>
      </c>
      <c r="V2124">
        <v>15.9</v>
      </c>
      <c r="W2124">
        <v>0.59599999999999997</v>
      </c>
      <c r="X2124" t="str">
        <f>IF(WarehouseData[[#This Row],[stock_level]]&lt;=WarehouseData[[#This Row],[reorder_point]],"Low Stock","Sufficient Stock")</f>
        <v>Sufficient Stock</v>
      </c>
      <c r="Y2124">
        <f>WarehouseData[[#This Row],[daily_demand]]*WarehouseData[[#This Row],[lead_time_days]]</f>
        <v>127.12</v>
      </c>
      <c r="Z2124" t="str">
        <f>IF(WarehouseData[[#This Row],[stock_level]]&lt;=WarehouseData[[#This Row],[Demand During Lead Time]],"At Risk","Safe")</f>
        <v>Safe</v>
      </c>
      <c r="AA2124">
        <f>WarehouseData[[#This Row],[stock_level]]/WarehouseData[[#This Row],[daily_demand]]</f>
        <v>22.404027690371301</v>
      </c>
      <c r="AB2124">
        <f>WarehouseData[[#This Row],[stock_level]]*WarehouseData[[#This Row],[unit_price]]</f>
        <v>57063.24</v>
      </c>
      <c r="AC2124">
        <f>WarehouseData[[#This Row],[stock_level]]*WarehouseData[[#This Row],[holding_cost_per_unit_day]]*30</f>
        <v>17942.399999999998</v>
      </c>
      <c r="AD2124" t="str">
        <f>IF(WarehouseData[[#This Row],[order_fulfillment_rate]]&gt;=0.9,"Strong",IF(WarehouseData[[#This Row],[order_fulfillment_rate]]&gt;=0.8,"Moderate","Needs Attention"))</f>
        <v>Needs Attention</v>
      </c>
      <c r="AE2124" t="str">
        <f>IF(WarehouseData[[#This Row],[picking_time_seconds]]&gt;120,"Slow",IF(WarehouseData[[#This Row],[picking_time_seconds]]&gt;=60,"Average","Fast"))</f>
        <v>Slow</v>
      </c>
    </row>
    <row r="2125" spans="1:31" x14ac:dyDescent="0.25">
      <c r="A2125" t="s">
        <v>2263</v>
      </c>
      <c r="B2125" t="s">
        <v>48</v>
      </c>
      <c r="C2125">
        <v>443</v>
      </c>
      <c r="D2125">
        <v>60</v>
      </c>
      <c r="E2125">
        <v>9</v>
      </c>
      <c r="F2125">
        <v>9</v>
      </c>
      <c r="G2125">
        <v>27.49</v>
      </c>
      <c r="H2125">
        <v>6.57</v>
      </c>
      <c r="I2125">
        <v>0.62</v>
      </c>
      <c r="J2125" t="s">
        <v>120</v>
      </c>
      <c r="K2125" t="s">
        <v>46</v>
      </c>
      <c r="L2125">
        <v>40</v>
      </c>
      <c r="M2125">
        <v>3.29</v>
      </c>
      <c r="N2125">
        <v>88.38</v>
      </c>
      <c r="O2125">
        <v>0.54</v>
      </c>
      <c r="P2125">
        <v>4</v>
      </c>
      <c r="Q2125">
        <v>0.92</v>
      </c>
      <c r="R2125">
        <v>807</v>
      </c>
      <c r="S2125">
        <v>9.64</v>
      </c>
      <c r="T2125">
        <v>0.94</v>
      </c>
      <c r="U2125" s="1">
        <v>45601</v>
      </c>
      <c r="V2125">
        <v>297.61</v>
      </c>
      <c r="W2125">
        <v>0.76700000000000002</v>
      </c>
      <c r="X2125" t="str">
        <f>IF(WarehouseData[[#This Row],[stock_level]]&lt;=WarehouseData[[#This Row],[reorder_point]],"Low Stock","Sufficient Stock")</f>
        <v>Sufficient Stock</v>
      </c>
      <c r="Y2125">
        <f>WarehouseData[[#This Row],[daily_demand]]*WarehouseData[[#This Row],[lead_time_days]]</f>
        <v>247.41</v>
      </c>
      <c r="Z2125" t="str">
        <f>IF(WarehouseData[[#This Row],[stock_level]]&lt;=WarehouseData[[#This Row],[Demand During Lead Time]],"At Risk","Safe")</f>
        <v>Safe</v>
      </c>
      <c r="AA2125">
        <f>WarehouseData[[#This Row],[stock_level]]/WarehouseData[[#This Row],[daily_demand]]</f>
        <v>16.114950891233178</v>
      </c>
      <c r="AB2125">
        <f>WarehouseData[[#This Row],[stock_level]]*WarehouseData[[#This Row],[unit_price]]</f>
        <v>39152.339999999997</v>
      </c>
      <c r="AC2125">
        <f>WarehouseData[[#This Row],[stock_level]]*WarehouseData[[#This Row],[holding_cost_per_unit_day]]*30</f>
        <v>7176.6</v>
      </c>
      <c r="AD2125" t="str">
        <f>IF(WarehouseData[[#This Row],[order_fulfillment_rate]]&gt;=0.9,"Strong",IF(WarehouseData[[#This Row],[order_fulfillment_rate]]&gt;=0.8,"Moderate","Needs Attention"))</f>
        <v>Strong</v>
      </c>
      <c r="AE2125" t="str">
        <f>IF(WarehouseData[[#This Row],[picking_time_seconds]]&gt;120,"Slow",IF(WarehouseData[[#This Row],[picking_time_seconds]]&gt;=60,"Average","Fast"))</f>
        <v>Fast</v>
      </c>
    </row>
    <row r="2126" spans="1:31" x14ac:dyDescent="0.25">
      <c r="A2126" t="s">
        <v>2264</v>
      </c>
      <c r="B2126" t="s">
        <v>40</v>
      </c>
      <c r="C2126">
        <v>486</v>
      </c>
      <c r="D2126">
        <v>31</v>
      </c>
      <c r="E2126">
        <v>12</v>
      </c>
      <c r="F2126">
        <v>7</v>
      </c>
      <c r="G2126">
        <v>10.3</v>
      </c>
      <c r="H2126">
        <v>5.03</v>
      </c>
      <c r="I2126">
        <v>0.91</v>
      </c>
      <c r="J2126" t="s">
        <v>79</v>
      </c>
      <c r="K2126" t="s">
        <v>34</v>
      </c>
      <c r="L2126">
        <v>174</v>
      </c>
      <c r="M2126">
        <v>1.89</v>
      </c>
      <c r="N2126">
        <v>105.07</v>
      </c>
      <c r="O2126">
        <v>1.07</v>
      </c>
      <c r="P2126">
        <v>7</v>
      </c>
      <c r="Q2126">
        <v>1</v>
      </c>
      <c r="R2126">
        <v>562</v>
      </c>
      <c r="S2126">
        <v>14.94</v>
      </c>
      <c r="T2126">
        <v>0.46</v>
      </c>
      <c r="U2126" s="1">
        <v>45608</v>
      </c>
      <c r="V2126">
        <v>184.04</v>
      </c>
      <c r="W2126">
        <v>0.64400000000000002</v>
      </c>
      <c r="X2126" t="str">
        <f>IF(WarehouseData[[#This Row],[stock_level]]&lt;=WarehouseData[[#This Row],[reorder_point]],"Low Stock","Sufficient Stock")</f>
        <v>Sufficient Stock</v>
      </c>
      <c r="Y2126">
        <f>WarehouseData[[#This Row],[daily_demand]]*WarehouseData[[#This Row],[lead_time_days]]</f>
        <v>72.100000000000009</v>
      </c>
      <c r="Z2126" t="str">
        <f>IF(WarehouseData[[#This Row],[stock_level]]&lt;=WarehouseData[[#This Row],[Demand During Lead Time]],"At Risk","Safe")</f>
        <v>Safe</v>
      </c>
      <c r="AA2126">
        <f>WarehouseData[[#This Row],[stock_level]]/WarehouseData[[#This Row],[daily_demand]]</f>
        <v>47.184466019417471</v>
      </c>
      <c r="AB2126">
        <f>WarehouseData[[#This Row],[stock_level]]*WarehouseData[[#This Row],[unit_price]]</f>
        <v>51064.02</v>
      </c>
      <c r="AC2126">
        <f>WarehouseData[[#This Row],[stock_level]]*WarehouseData[[#This Row],[holding_cost_per_unit_day]]*30</f>
        <v>15600.599999999999</v>
      </c>
      <c r="AD2126" t="str">
        <f>IF(WarehouseData[[#This Row],[order_fulfillment_rate]]&gt;=0.9,"Strong",IF(WarehouseData[[#This Row],[order_fulfillment_rate]]&gt;=0.8,"Moderate","Needs Attention"))</f>
        <v>Strong</v>
      </c>
      <c r="AE2126" t="str">
        <f>IF(WarehouseData[[#This Row],[picking_time_seconds]]&gt;120,"Slow",IF(WarehouseData[[#This Row],[picking_time_seconds]]&gt;=60,"Average","Fast"))</f>
        <v>Slow</v>
      </c>
    </row>
    <row r="2127" spans="1:31" x14ac:dyDescent="0.25">
      <c r="A2127" t="s">
        <v>2265</v>
      </c>
      <c r="B2127" t="s">
        <v>48</v>
      </c>
      <c r="C2127">
        <v>135</v>
      </c>
      <c r="D2127">
        <v>97</v>
      </c>
      <c r="E2127">
        <v>10</v>
      </c>
      <c r="F2127">
        <v>5</v>
      </c>
      <c r="G2127">
        <v>10.16</v>
      </c>
      <c r="H2127">
        <v>9.8800000000000008</v>
      </c>
      <c r="I2127">
        <v>0.89</v>
      </c>
      <c r="J2127" t="s">
        <v>281</v>
      </c>
      <c r="K2127" t="s">
        <v>46</v>
      </c>
      <c r="L2127">
        <v>148</v>
      </c>
      <c r="M2127">
        <v>1.76</v>
      </c>
      <c r="N2127">
        <v>18.93</v>
      </c>
      <c r="O2127">
        <v>1.39</v>
      </c>
      <c r="P2127">
        <v>2</v>
      </c>
      <c r="Q2127">
        <v>0.99</v>
      </c>
      <c r="R2127">
        <v>977</v>
      </c>
      <c r="S2127">
        <v>4.87</v>
      </c>
      <c r="T2127">
        <v>0.43</v>
      </c>
      <c r="U2127" s="1">
        <v>45618</v>
      </c>
      <c r="V2127">
        <v>291.51</v>
      </c>
      <c r="W2127">
        <v>0.56999999999999995</v>
      </c>
      <c r="X2127" t="str">
        <f>IF(WarehouseData[[#This Row],[stock_level]]&lt;=WarehouseData[[#This Row],[reorder_point]],"Low Stock","Sufficient Stock")</f>
        <v>Sufficient Stock</v>
      </c>
      <c r="Y2127">
        <f>WarehouseData[[#This Row],[daily_demand]]*WarehouseData[[#This Row],[lead_time_days]]</f>
        <v>50.8</v>
      </c>
      <c r="Z2127" t="str">
        <f>IF(WarehouseData[[#This Row],[stock_level]]&lt;=WarehouseData[[#This Row],[Demand During Lead Time]],"At Risk","Safe")</f>
        <v>Safe</v>
      </c>
      <c r="AA2127">
        <f>WarehouseData[[#This Row],[stock_level]]/WarehouseData[[#This Row],[daily_demand]]</f>
        <v>13.28740157480315</v>
      </c>
      <c r="AB2127">
        <f>WarehouseData[[#This Row],[stock_level]]*WarehouseData[[#This Row],[unit_price]]</f>
        <v>2555.5500000000002</v>
      </c>
      <c r="AC2127">
        <f>WarehouseData[[#This Row],[stock_level]]*WarehouseData[[#This Row],[holding_cost_per_unit_day]]*30</f>
        <v>5629.4999999999991</v>
      </c>
      <c r="AD2127" t="str">
        <f>IF(WarehouseData[[#This Row],[order_fulfillment_rate]]&gt;=0.9,"Strong",IF(WarehouseData[[#This Row],[order_fulfillment_rate]]&gt;=0.8,"Moderate","Needs Attention"))</f>
        <v>Strong</v>
      </c>
      <c r="AE2127" t="str">
        <f>IF(WarehouseData[[#This Row],[picking_time_seconds]]&gt;120,"Slow",IF(WarehouseData[[#This Row],[picking_time_seconds]]&gt;=60,"Average","Fast"))</f>
        <v>Slow</v>
      </c>
    </row>
    <row r="2128" spans="1:31" x14ac:dyDescent="0.25">
      <c r="A2128" t="s">
        <v>2266</v>
      </c>
      <c r="B2128" t="s">
        <v>40</v>
      </c>
      <c r="C2128">
        <v>162</v>
      </c>
      <c r="D2128">
        <v>62</v>
      </c>
      <c r="E2128">
        <v>8</v>
      </c>
      <c r="F2128">
        <v>5</v>
      </c>
      <c r="G2128">
        <v>29.25</v>
      </c>
      <c r="H2128">
        <v>7.32</v>
      </c>
      <c r="I2128">
        <v>0.48</v>
      </c>
      <c r="J2128" t="s">
        <v>95</v>
      </c>
      <c r="K2128" t="s">
        <v>34</v>
      </c>
      <c r="L2128">
        <v>142</v>
      </c>
      <c r="M2128">
        <v>2.04</v>
      </c>
      <c r="N2128">
        <v>63.32</v>
      </c>
      <c r="O2128">
        <v>0.35</v>
      </c>
      <c r="P2128">
        <v>1</v>
      </c>
      <c r="Q2128">
        <v>0.94</v>
      </c>
      <c r="R2128">
        <v>804</v>
      </c>
      <c r="S2128">
        <v>4.88</v>
      </c>
      <c r="T2128">
        <v>0.41</v>
      </c>
      <c r="U2128" s="1">
        <v>45447</v>
      </c>
      <c r="V2128">
        <v>244.16</v>
      </c>
      <c r="W2128">
        <v>0.68</v>
      </c>
      <c r="X2128" t="str">
        <f>IF(WarehouseData[[#This Row],[stock_level]]&lt;=WarehouseData[[#This Row],[reorder_point]],"Low Stock","Sufficient Stock")</f>
        <v>Sufficient Stock</v>
      </c>
      <c r="Y2128">
        <f>WarehouseData[[#This Row],[daily_demand]]*WarehouseData[[#This Row],[lead_time_days]]</f>
        <v>146.25</v>
      </c>
      <c r="Z2128" t="str">
        <f>IF(WarehouseData[[#This Row],[stock_level]]&lt;=WarehouseData[[#This Row],[Demand During Lead Time]],"At Risk","Safe")</f>
        <v>Safe</v>
      </c>
      <c r="AA2128">
        <f>WarehouseData[[#This Row],[stock_level]]/WarehouseData[[#This Row],[daily_demand]]</f>
        <v>5.5384615384615383</v>
      </c>
      <c r="AB2128">
        <f>WarehouseData[[#This Row],[stock_level]]*WarehouseData[[#This Row],[unit_price]]</f>
        <v>10257.84</v>
      </c>
      <c r="AC2128">
        <f>WarehouseData[[#This Row],[stock_level]]*WarehouseData[[#This Row],[holding_cost_per_unit_day]]*30</f>
        <v>1700.9999999999998</v>
      </c>
      <c r="AD2128" t="str">
        <f>IF(WarehouseData[[#This Row],[order_fulfillment_rate]]&gt;=0.9,"Strong",IF(WarehouseData[[#This Row],[order_fulfillment_rate]]&gt;=0.8,"Moderate","Needs Attention"))</f>
        <v>Strong</v>
      </c>
      <c r="AE2128" t="str">
        <f>IF(WarehouseData[[#This Row],[picking_time_seconds]]&gt;120,"Slow",IF(WarehouseData[[#This Row],[picking_time_seconds]]&gt;=60,"Average","Fast"))</f>
        <v>Slow</v>
      </c>
    </row>
    <row r="2129" spans="1:31" x14ac:dyDescent="0.25">
      <c r="A2129" t="s">
        <v>2267</v>
      </c>
      <c r="B2129" t="s">
        <v>48</v>
      </c>
      <c r="C2129">
        <v>220</v>
      </c>
      <c r="D2129">
        <v>45</v>
      </c>
      <c r="E2129">
        <v>5</v>
      </c>
      <c r="F2129">
        <v>5</v>
      </c>
      <c r="G2129">
        <v>34.590000000000003</v>
      </c>
      <c r="H2129">
        <v>6.75</v>
      </c>
      <c r="I2129">
        <v>0.48</v>
      </c>
      <c r="J2129" t="s">
        <v>106</v>
      </c>
      <c r="K2129" t="s">
        <v>38</v>
      </c>
      <c r="L2129">
        <v>73</v>
      </c>
      <c r="M2129">
        <v>1.48</v>
      </c>
      <c r="N2129">
        <v>79.92</v>
      </c>
      <c r="O2129">
        <v>1.87</v>
      </c>
      <c r="P2129">
        <v>7</v>
      </c>
      <c r="Q2129">
        <v>0.86</v>
      </c>
      <c r="R2129">
        <v>81</v>
      </c>
      <c r="S2129">
        <v>10.79</v>
      </c>
      <c r="T2129">
        <v>0.31</v>
      </c>
      <c r="U2129" s="1">
        <v>45552</v>
      </c>
      <c r="V2129">
        <v>48.95</v>
      </c>
      <c r="W2129">
        <v>0.45100000000000001</v>
      </c>
      <c r="X2129" t="str">
        <f>IF(WarehouseData[[#This Row],[stock_level]]&lt;=WarehouseData[[#This Row],[reorder_point]],"Low Stock","Sufficient Stock")</f>
        <v>Sufficient Stock</v>
      </c>
      <c r="Y2129">
        <f>WarehouseData[[#This Row],[daily_demand]]*WarehouseData[[#This Row],[lead_time_days]]</f>
        <v>172.95000000000002</v>
      </c>
      <c r="Z2129" t="str">
        <f>IF(WarehouseData[[#This Row],[stock_level]]&lt;=WarehouseData[[#This Row],[Demand During Lead Time]],"At Risk","Safe")</f>
        <v>Safe</v>
      </c>
      <c r="AA2129">
        <f>WarehouseData[[#This Row],[stock_level]]/WarehouseData[[#This Row],[daily_demand]]</f>
        <v>6.3602197166811214</v>
      </c>
      <c r="AB2129">
        <f>WarehouseData[[#This Row],[stock_level]]*WarehouseData[[#This Row],[unit_price]]</f>
        <v>17582.400000000001</v>
      </c>
      <c r="AC2129">
        <f>WarehouseData[[#This Row],[stock_level]]*WarehouseData[[#This Row],[holding_cost_per_unit_day]]*30</f>
        <v>12342.000000000002</v>
      </c>
      <c r="AD2129" t="str">
        <f>IF(WarehouseData[[#This Row],[order_fulfillment_rate]]&gt;=0.9,"Strong",IF(WarehouseData[[#This Row],[order_fulfillment_rate]]&gt;=0.8,"Moderate","Needs Attention"))</f>
        <v>Moderate</v>
      </c>
      <c r="AE2129" t="str">
        <f>IF(WarehouseData[[#This Row],[picking_time_seconds]]&gt;120,"Slow",IF(WarehouseData[[#This Row],[picking_time_seconds]]&gt;=60,"Average","Fast"))</f>
        <v>Average</v>
      </c>
    </row>
    <row r="2130" spans="1:31" x14ac:dyDescent="0.25">
      <c r="A2130" t="s">
        <v>2268</v>
      </c>
      <c r="B2130" t="s">
        <v>32</v>
      </c>
      <c r="C2130">
        <v>199</v>
      </c>
      <c r="D2130">
        <v>77</v>
      </c>
      <c r="E2130">
        <v>8</v>
      </c>
      <c r="F2130">
        <v>8</v>
      </c>
      <c r="G2130">
        <v>6.9</v>
      </c>
      <c r="H2130">
        <v>5.92</v>
      </c>
      <c r="I2130">
        <v>0.25</v>
      </c>
      <c r="J2130" t="s">
        <v>86</v>
      </c>
      <c r="K2130" t="s">
        <v>38</v>
      </c>
      <c r="L2130">
        <v>85</v>
      </c>
      <c r="M2130">
        <v>3.91</v>
      </c>
      <c r="N2130">
        <v>128.84</v>
      </c>
      <c r="O2130">
        <v>0.6</v>
      </c>
      <c r="P2130">
        <v>8</v>
      </c>
      <c r="Q2130">
        <v>0.9</v>
      </c>
      <c r="R2130">
        <v>796</v>
      </c>
      <c r="S2130">
        <v>1.6</v>
      </c>
      <c r="T2130">
        <v>0.5</v>
      </c>
      <c r="U2130" s="1">
        <v>45579</v>
      </c>
      <c r="V2130">
        <v>70.63</v>
      </c>
      <c r="W2130">
        <v>0.48099999999999998</v>
      </c>
      <c r="X2130" t="str">
        <f>IF(WarehouseData[[#This Row],[stock_level]]&lt;=WarehouseData[[#This Row],[reorder_point]],"Low Stock","Sufficient Stock")</f>
        <v>Sufficient Stock</v>
      </c>
      <c r="Y2130">
        <f>WarehouseData[[#This Row],[daily_demand]]*WarehouseData[[#This Row],[lead_time_days]]</f>
        <v>55.2</v>
      </c>
      <c r="Z2130" t="str">
        <f>IF(WarehouseData[[#This Row],[stock_level]]&lt;=WarehouseData[[#This Row],[Demand During Lead Time]],"At Risk","Safe")</f>
        <v>Safe</v>
      </c>
      <c r="AA2130">
        <f>WarehouseData[[#This Row],[stock_level]]/WarehouseData[[#This Row],[daily_demand]]</f>
        <v>28.840579710144926</v>
      </c>
      <c r="AB2130">
        <f>WarehouseData[[#This Row],[stock_level]]*WarehouseData[[#This Row],[unit_price]]</f>
        <v>25639.16</v>
      </c>
      <c r="AC2130">
        <f>WarehouseData[[#This Row],[stock_level]]*WarehouseData[[#This Row],[holding_cost_per_unit_day]]*30</f>
        <v>3581.9999999999995</v>
      </c>
      <c r="AD2130" t="str">
        <f>IF(WarehouseData[[#This Row],[order_fulfillment_rate]]&gt;=0.9,"Strong",IF(WarehouseData[[#This Row],[order_fulfillment_rate]]&gt;=0.8,"Moderate","Needs Attention"))</f>
        <v>Strong</v>
      </c>
      <c r="AE2130" t="str">
        <f>IF(WarehouseData[[#This Row],[picking_time_seconds]]&gt;120,"Slow",IF(WarehouseData[[#This Row],[picking_time_seconds]]&gt;=60,"Average","Fast"))</f>
        <v>Average</v>
      </c>
    </row>
    <row r="2131" spans="1:31" x14ac:dyDescent="0.25">
      <c r="A2131" t="s">
        <v>2269</v>
      </c>
      <c r="B2131" t="s">
        <v>48</v>
      </c>
      <c r="C2131">
        <v>221</v>
      </c>
      <c r="D2131">
        <v>45</v>
      </c>
      <c r="E2131">
        <v>4</v>
      </c>
      <c r="F2131">
        <v>2</v>
      </c>
      <c r="G2131">
        <v>7.02</v>
      </c>
      <c r="H2131">
        <v>9.9700000000000006</v>
      </c>
      <c r="I2131">
        <v>0.33</v>
      </c>
      <c r="J2131" t="s">
        <v>81</v>
      </c>
      <c r="K2131" t="s">
        <v>38</v>
      </c>
      <c r="L2131">
        <v>140</v>
      </c>
      <c r="M2131">
        <v>4.84</v>
      </c>
      <c r="N2131">
        <v>98.2</v>
      </c>
      <c r="O2131">
        <v>0.71</v>
      </c>
      <c r="P2131">
        <v>8</v>
      </c>
      <c r="Q2131">
        <v>0.92</v>
      </c>
      <c r="R2131">
        <v>460</v>
      </c>
      <c r="S2131">
        <v>12.49</v>
      </c>
      <c r="T2131">
        <v>0.61</v>
      </c>
      <c r="U2131" s="1">
        <v>45397</v>
      </c>
      <c r="V2131">
        <v>19.989999999999998</v>
      </c>
      <c r="W2131">
        <v>0.64200000000000002</v>
      </c>
      <c r="X2131" t="str">
        <f>IF(WarehouseData[[#This Row],[stock_level]]&lt;=WarehouseData[[#This Row],[reorder_point]],"Low Stock","Sufficient Stock")</f>
        <v>Sufficient Stock</v>
      </c>
      <c r="Y2131">
        <f>WarehouseData[[#This Row],[daily_demand]]*WarehouseData[[#This Row],[lead_time_days]]</f>
        <v>14.04</v>
      </c>
      <c r="Z2131" t="str">
        <f>IF(WarehouseData[[#This Row],[stock_level]]&lt;=WarehouseData[[#This Row],[Demand During Lead Time]],"At Risk","Safe")</f>
        <v>Safe</v>
      </c>
      <c r="AA2131">
        <f>WarehouseData[[#This Row],[stock_level]]/WarehouseData[[#This Row],[daily_demand]]</f>
        <v>31.481481481481485</v>
      </c>
      <c r="AB2131">
        <f>WarehouseData[[#This Row],[stock_level]]*WarehouseData[[#This Row],[unit_price]]</f>
        <v>21702.2</v>
      </c>
      <c r="AC2131">
        <f>WarehouseData[[#This Row],[stock_level]]*WarehouseData[[#This Row],[holding_cost_per_unit_day]]*30</f>
        <v>4707.3</v>
      </c>
      <c r="AD2131" t="str">
        <f>IF(WarehouseData[[#This Row],[order_fulfillment_rate]]&gt;=0.9,"Strong",IF(WarehouseData[[#This Row],[order_fulfillment_rate]]&gt;=0.8,"Moderate","Needs Attention"))</f>
        <v>Strong</v>
      </c>
      <c r="AE2131" t="str">
        <f>IF(WarehouseData[[#This Row],[picking_time_seconds]]&gt;120,"Slow",IF(WarehouseData[[#This Row],[picking_time_seconds]]&gt;=60,"Average","Fast"))</f>
        <v>Slow</v>
      </c>
    </row>
    <row r="2132" spans="1:31" x14ac:dyDescent="0.25">
      <c r="A2132" t="s">
        <v>2270</v>
      </c>
      <c r="B2132" t="s">
        <v>48</v>
      </c>
      <c r="C2132">
        <v>383</v>
      </c>
      <c r="D2132">
        <v>61</v>
      </c>
      <c r="E2132">
        <v>14</v>
      </c>
      <c r="F2132">
        <v>6</v>
      </c>
      <c r="G2132">
        <v>28.7</v>
      </c>
      <c r="H2132">
        <v>9.81</v>
      </c>
      <c r="I2132">
        <v>0.93</v>
      </c>
      <c r="J2132" t="s">
        <v>54</v>
      </c>
      <c r="K2132" t="s">
        <v>38</v>
      </c>
      <c r="L2132">
        <v>65</v>
      </c>
      <c r="M2132">
        <v>4.4000000000000004</v>
      </c>
      <c r="N2132">
        <v>125.49</v>
      </c>
      <c r="O2132">
        <v>1.37</v>
      </c>
      <c r="P2132">
        <v>1</v>
      </c>
      <c r="Q2132">
        <v>0.7</v>
      </c>
      <c r="R2132">
        <v>446</v>
      </c>
      <c r="S2132">
        <v>10.14</v>
      </c>
      <c r="T2132">
        <v>0.63</v>
      </c>
      <c r="U2132" s="1">
        <v>45627</v>
      </c>
      <c r="V2132">
        <v>251.8</v>
      </c>
      <c r="W2132">
        <v>0.64400000000000002</v>
      </c>
      <c r="X2132" t="str">
        <f>IF(WarehouseData[[#This Row],[stock_level]]&lt;=WarehouseData[[#This Row],[reorder_point]],"Low Stock","Sufficient Stock")</f>
        <v>Sufficient Stock</v>
      </c>
      <c r="Y2132">
        <f>WarehouseData[[#This Row],[daily_demand]]*WarehouseData[[#This Row],[lead_time_days]]</f>
        <v>172.2</v>
      </c>
      <c r="Z2132" t="str">
        <f>IF(WarehouseData[[#This Row],[stock_level]]&lt;=WarehouseData[[#This Row],[Demand During Lead Time]],"At Risk","Safe")</f>
        <v>Safe</v>
      </c>
      <c r="AA2132">
        <f>WarehouseData[[#This Row],[stock_level]]/WarehouseData[[#This Row],[daily_demand]]</f>
        <v>13.344947735191639</v>
      </c>
      <c r="AB2132">
        <f>WarehouseData[[#This Row],[stock_level]]*WarehouseData[[#This Row],[unit_price]]</f>
        <v>48062.67</v>
      </c>
      <c r="AC2132">
        <f>WarehouseData[[#This Row],[stock_level]]*WarehouseData[[#This Row],[holding_cost_per_unit_day]]*30</f>
        <v>15741.300000000001</v>
      </c>
      <c r="AD2132" t="str">
        <f>IF(WarehouseData[[#This Row],[order_fulfillment_rate]]&gt;=0.9,"Strong",IF(WarehouseData[[#This Row],[order_fulfillment_rate]]&gt;=0.8,"Moderate","Needs Attention"))</f>
        <v>Needs Attention</v>
      </c>
      <c r="AE2132" t="str">
        <f>IF(WarehouseData[[#This Row],[picking_time_seconds]]&gt;120,"Slow",IF(WarehouseData[[#This Row],[picking_time_seconds]]&gt;=60,"Average","Fast"))</f>
        <v>Average</v>
      </c>
    </row>
    <row r="2133" spans="1:31" x14ac:dyDescent="0.25">
      <c r="A2133" t="s">
        <v>2271</v>
      </c>
      <c r="B2133" t="s">
        <v>73</v>
      </c>
      <c r="C2133">
        <v>498</v>
      </c>
      <c r="D2133">
        <v>62</v>
      </c>
      <c r="E2133">
        <v>9</v>
      </c>
      <c r="F2133">
        <v>9</v>
      </c>
      <c r="G2133">
        <v>14.23</v>
      </c>
      <c r="H2133">
        <v>5.61</v>
      </c>
      <c r="I2133">
        <v>0.23</v>
      </c>
      <c r="J2133" t="s">
        <v>283</v>
      </c>
      <c r="K2133" t="s">
        <v>38</v>
      </c>
      <c r="L2133">
        <v>72</v>
      </c>
      <c r="M2133">
        <v>1.48</v>
      </c>
      <c r="N2133">
        <v>145.53</v>
      </c>
      <c r="O2133">
        <v>0.25</v>
      </c>
      <c r="P2133">
        <v>7</v>
      </c>
      <c r="Q2133">
        <v>0.73</v>
      </c>
      <c r="R2133">
        <v>66</v>
      </c>
      <c r="S2133">
        <v>12.78</v>
      </c>
      <c r="T2133">
        <v>0.75</v>
      </c>
      <c r="U2133" s="1">
        <v>45635</v>
      </c>
      <c r="V2133">
        <v>182.1</v>
      </c>
      <c r="W2133">
        <v>0.70099999999999996</v>
      </c>
      <c r="X2133" t="str">
        <f>IF(WarehouseData[[#This Row],[stock_level]]&lt;=WarehouseData[[#This Row],[reorder_point]],"Low Stock","Sufficient Stock")</f>
        <v>Sufficient Stock</v>
      </c>
      <c r="Y2133">
        <f>WarehouseData[[#This Row],[daily_demand]]*WarehouseData[[#This Row],[lead_time_days]]</f>
        <v>128.07</v>
      </c>
      <c r="Z2133" t="str">
        <f>IF(WarehouseData[[#This Row],[stock_level]]&lt;=WarehouseData[[#This Row],[Demand During Lead Time]],"At Risk","Safe")</f>
        <v>Safe</v>
      </c>
      <c r="AA2133">
        <f>WarehouseData[[#This Row],[stock_level]]/WarehouseData[[#This Row],[daily_demand]]</f>
        <v>34.996486296556569</v>
      </c>
      <c r="AB2133">
        <f>WarehouseData[[#This Row],[stock_level]]*WarehouseData[[#This Row],[unit_price]]</f>
        <v>72473.94</v>
      </c>
      <c r="AC2133">
        <f>WarehouseData[[#This Row],[stock_level]]*WarehouseData[[#This Row],[holding_cost_per_unit_day]]*30</f>
        <v>3735</v>
      </c>
      <c r="AD2133" t="str">
        <f>IF(WarehouseData[[#This Row],[order_fulfillment_rate]]&gt;=0.9,"Strong",IF(WarehouseData[[#This Row],[order_fulfillment_rate]]&gt;=0.8,"Moderate","Needs Attention"))</f>
        <v>Needs Attention</v>
      </c>
      <c r="AE2133" t="str">
        <f>IF(WarehouseData[[#This Row],[picking_time_seconds]]&gt;120,"Slow",IF(WarehouseData[[#This Row],[picking_time_seconds]]&gt;=60,"Average","Fast"))</f>
        <v>Average</v>
      </c>
    </row>
    <row r="2134" spans="1:31" x14ac:dyDescent="0.25">
      <c r="A2134" t="s">
        <v>2272</v>
      </c>
      <c r="B2134" t="s">
        <v>48</v>
      </c>
      <c r="C2134">
        <v>72</v>
      </c>
      <c r="D2134">
        <v>91</v>
      </c>
      <c r="E2134">
        <v>13</v>
      </c>
      <c r="F2134">
        <v>8</v>
      </c>
      <c r="G2134">
        <v>20.23</v>
      </c>
      <c r="H2134">
        <v>4.82</v>
      </c>
      <c r="I2134">
        <v>0.97</v>
      </c>
      <c r="J2134" t="s">
        <v>265</v>
      </c>
      <c r="K2134" t="s">
        <v>34</v>
      </c>
      <c r="L2134">
        <v>114</v>
      </c>
      <c r="M2134">
        <v>0.73</v>
      </c>
      <c r="N2134">
        <v>18.12</v>
      </c>
      <c r="O2134">
        <v>1.29</v>
      </c>
      <c r="P2134">
        <v>1</v>
      </c>
      <c r="Q2134">
        <v>0.88</v>
      </c>
      <c r="R2134">
        <v>973</v>
      </c>
      <c r="S2134">
        <v>4.2300000000000004</v>
      </c>
      <c r="T2134">
        <v>0.24</v>
      </c>
      <c r="U2134" s="1">
        <v>45525</v>
      </c>
      <c r="V2134">
        <v>72.37</v>
      </c>
      <c r="W2134">
        <v>0.53100000000000003</v>
      </c>
      <c r="X2134" t="str">
        <f>IF(WarehouseData[[#This Row],[stock_level]]&lt;=WarehouseData[[#This Row],[reorder_point]],"Low Stock","Sufficient Stock")</f>
        <v>Low Stock</v>
      </c>
      <c r="Y2134">
        <f>WarehouseData[[#This Row],[daily_demand]]*WarehouseData[[#This Row],[lead_time_days]]</f>
        <v>161.84</v>
      </c>
      <c r="Z2134" t="str">
        <f>IF(WarehouseData[[#This Row],[stock_level]]&lt;=WarehouseData[[#This Row],[Demand During Lead Time]],"At Risk","Safe")</f>
        <v>At Risk</v>
      </c>
      <c r="AA2134">
        <f>WarehouseData[[#This Row],[stock_level]]/WarehouseData[[#This Row],[daily_demand]]</f>
        <v>3.5590706870983686</v>
      </c>
      <c r="AB2134">
        <f>WarehouseData[[#This Row],[stock_level]]*WarehouseData[[#This Row],[unit_price]]</f>
        <v>1304.6400000000001</v>
      </c>
      <c r="AC2134">
        <f>WarehouseData[[#This Row],[stock_level]]*WarehouseData[[#This Row],[holding_cost_per_unit_day]]*30</f>
        <v>2786.3999999999996</v>
      </c>
      <c r="AD2134" t="str">
        <f>IF(WarehouseData[[#This Row],[order_fulfillment_rate]]&gt;=0.9,"Strong",IF(WarehouseData[[#This Row],[order_fulfillment_rate]]&gt;=0.8,"Moderate","Needs Attention"))</f>
        <v>Moderate</v>
      </c>
      <c r="AE2134" t="str">
        <f>IF(WarehouseData[[#This Row],[picking_time_seconds]]&gt;120,"Slow",IF(WarehouseData[[#This Row],[picking_time_seconds]]&gt;=60,"Average","Fast"))</f>
        <v>Average</v>
      </c>
    </row>
    <row r="2135" spans="1:31" x14ac:dyDescent="0.25">
      <c r="A2135" t="s">
        <v>2273</v>
      </c>
      <c r="B2135" t="s">
        <v>73</v>
      </c>
      <c r="C2135">
        <v>490</v>
      </c>
      <c r="D2135">
        <v>59</v>
      </c>
      <c r="E2135">
        <v>12</v>
      </c>
      <c r="F2135">
        <v>3</v>
      </c>
      <c r="G2135">
        <v>20.64</v>
      </c>
      <c r="H2135">
        <v>4.8899999999999997</v>
      </c>
      <c r="I2135">
        <v>0.55000000000000004</v>
      </c>
      <c r="J2135" t="s">
        <v>190</v>
      </c>
      <c r="K2135" t="s">
        <v>46</v>
      </c>
      <c r="L2135">
        <v>47</v>
      </c>
      <c r="M2135">
        <v>3.91</v>
      </c>
      <c r="N2135">
        <v>59.07</v>
      </c>
      <c r="O2135">
        <v>1.84</v>
      </c>
      <c r="P2135">
        <v>6</v>
      </c>
      <c r="Q2135">
        <v>0.7</v>
      </c>
      <c r="R2135">
        <v>650</v>
      </c>
      <c r="S2135">
        <v>12.86</v>
      </c>
      <c r="T2135">
        <v>0.65</v>
      </c>
      <c r="U2135" s="1">
        <v>45466</v>
      </c>
      <c r="V2135">
        <v>291.32</v>
      </c>
      <c r="W2135">
        <v>0.53700000000000003</v>
      </c>
      <c r="X2135" t="str">
        <f>IF(WarehouseData[[#This Row],[stock_level]]&lt;=WarehouseData[[#This Row],[reorder_point]],"Low Stock","Sufficient Stock")</f>
        <v>Sufficient Stock</v>
      </c>
      <c r="Y2135">
        <f>WarehouseData[[#This Row],[daily_demand]]*WarehouseData[[#This Row],[lead_time_days]]</f>
        <v>61.92</v>
      </c>
      <c r="Z2135" t="str">
        <f>IF(WarehouseData[[#This Row],[stock_level]]&lt;=WarehouseData[[#This Row],[Demand During Lead Time]],"At Risk","Safe")</f>
        <v>Safe</v>
      </c>
      <c r="AA2135">
        <f>WarehouseData[[#This Row],[stock_level]]/WarehouseData[[#This Row],[daily_demand]]</f>
        <v>23.740310077519378</v>
      </c>
      <c r="AB2135">
        <f>WarehouseData[[#This Row],[stock_level]]*WarehouseData[[#This Row],[unit_price]]</f>
        <v>28944.3</v>
      </c>
      <c r="AC2135">
        <f>WarehouseData[[#This Row],[stock_level]]*WarehouseData[[#This Row],[holding_cost_per_unit_day]]*30</f>
        <v>27048</v>
      </c>
      <c r="AD2135" t="str">
        <f>IF(WarehouseData[[#This Row],[order_fulfillment_rate]]&gt;=0.9,"Strong",IF(WarehouseData[[#This Row],[order_fulfillment_rate]]&gt;=0.8,"Moderate","Needs Attention"))</f>
        <v>Needs Attention</v>
      </c>
      <c r="AE2135" t="str">
        <f>IF(WarehouseData[[#This Row],[picking_time_seconds]]&gt;120,"Slow",IF(WarehouseData[[#This Row],[picking_time_seconds]]&gt;=60,"Average","Fast"))</f>
        <v>Fast</v>
      </c>
    </row>
    <row r="2136" spans="1:31" x14ac:dyDescent="0.25">
      <c r="A2136" t="s">
        <v>2274</v>
      </c>
      <c r="B2136" t="s">
        <v>36</v>
      </c>
      <c r="C2136">
        <v>403</v>
      </c>
      <c r="D2136">
        <v>89</v>
      </c>
      <c r="E2136">
        <v>9</v>
      </c>
      <c r="F2136">
        <v>9</v>
      </c>
      <c r="G2136">
        <v>9.75</v>
      </c>
      <c r="H2136">
        <v>4.57</v>
      </c>
      <c r="I2136">
        <v>0.51</v>
      </c>
      <c r="J2136" t="s">
        <v>466</v>
      </c>
      <c r="K2136" t="s">
        <v>52</v>
      </c>
      <c r="L2136">
        <v>63</v>
      </c>
      <c r="M2136">
        <v>2.2599999999999998</v>
      </c>
      <c r="N2136">
        <v>42.47</v>
      </c>
      <c r="O2136">
        <v>0.56999999999999995</v>
      </c>
      <c r="P2136">
        <v>7</v>
      </c>
      <c r="Q2136">
        <v>0.97</v>
      </c>
      <c r="R2136">
        <v>101</v>
      </c>
      <c r="S2136">
        <v>7.28</v>
      </c>
      <c r="T2136">
        <v>0.4</v>
      </c>
      <c r="U2136" s="1">
        <v>45478</v>
      </c>
      <c r="V2136">
        <v>223.65</v>
      </c>
      <c r="W2136">
        <v>0.57399999999999995</v>
      </c>
      <c r="X2136" t="str">
        <f>IF(WarehouseData[[#This Row],[stock_level]]&lt;=WarehouseData[[#This Row],[reorder_point]],"Low Stock","Sufficient Stock")</f>
        <v>Sufficient Stock</v>
      </c>
      <c r="Y2136">
        <f>WarehouseData[[#This Row],[daily_demand]]*WarehouseData[[#This Row],[lead_time_days]]</f>
        <v>87.75</v>
      </c>
      <c r="Z2136" t="str">
        <f>IF(WarehouseData[[#This Row],[stock_level]]&lt;=WarehouseData[[#This Row],[Demand During Lead Time]],"At Risk","Safe")</f>
        <v>Safe</v>
      </c>
      <c r="AA2136">
        <f>WarehouseData[[#This Row],[stock_level]]/WarehouseData[[#This Row],[daily_demand]]</f>
        <v>41.333333333333336</v>
      </c>
      <c r="AB2136">
        <f>WarehouseData[[#This Row],[stock_level]]*WarehouseData[[#This Row],[unit_price]]</f>
        <v>17115.41</v>
      </c>
      <c r="AC2136">
        <f>WarehouseData[[#This Row],[stock_level]]*WarehouseData[[#This Row],[holding_cost_per_unit_day]]*30</f>
        <v>6891.2999999999993</v>
      </c>
      <c r="AD2136" t="str">
        <f>IF(WarehouseData[[#This Row],[order_fulfillment_rate]]&gt;=0.9,"Strong",IF(WarehouseData[[#This Row],[order_fulfillment_rate]]&gt;=0.8,"Moderate","Needs Attention"))</f>
        <v>Strong</v>
      </c>
      <c r="AE2136" t="str">
        <f>IF(WarehouseData[[#This Row],[picking_time_seconds]]&gt;120,"Slow",IF(WarehouseData[[#This Row],[picking_time_seconds]]&gt;=60,"Average","Fast"))</f>
        <v>Average</v>
      </c>
    </row>
    <row r="2137" spans="1:31" x14ac:dyDescent="0.25">
      <c r="A2137" t="s">
        <v>2275</v>
      </c>
      <c r="B2137" t="s">
        <v>73</v>
      </c>
      <c r="C2137">
        <v>199</v>
      </c>
      <c r="D2137">
        <v>50</v>
      </c>
      <c r="E2137">
        <v>6</v>
      </c>
      <c r="F2137">
        <v>7</v>
      </c>
      <c r="G2137">
        <v>1.06</v>
      </c>
      <c r="H2137">
        <v>5.55</v>
      </c>
      <c r="I2137">
        <v>0.26</v>
      </c>
      <c r="J2137" t="s">
        <v>178</v>
      </c>
      <c r="K2137" t="s">
        <v>46</v>
      </c>
      <c r="L2137">
        <v>139</v>
      </c>
      <c r="M2137">
        <v>4.21</v>
      </c>
      <c r="N2137">
        <v>45.62</v>
      </c>
      <c r="O2137">
        <v>0.79</v>
      </c>
      <c r="P2137">
        <v>0</v>
      </c>
      <c r="Q2137">
        <v>0.85</v>
      </c>
      <c r="R2137">
        <v>419</v>
      </c>
      <c r="S2137">
        <v>2.86</v>
      </c>
      <c r="T2137">
        <v>0.39</v>
      </c>
      <c r="U2137" s="1">
        <v>45319</v>
      </c>
      <c r="V2137">
        <v>214.6</v>
      </c>
      <c r="W2137">
        <v>0.60699999999999998</v>
      </c>
      <c r="X2137" t="str">
        <f>IF(WarehouseData[[#This Row],[stock_level]]&lt;=WarehouseData[[#This Row],[reorder_point]],"Low Stock","Sufficient Stock")</f>
        <v>Sufficient Stock</v>
      </c>
      <c r="Y2137">
        <f>WarehouseData[[#This Row],[daily_demand]]*WarehouseData[[#This Row],[lead_time_days]]</f>
        <v>7.42</v>
      </c>
      <c r="Z2137" t="str">
        <f>IF(WarehouseData[[#This Row],[stock_level]]&lt;=WarehouseData[[#This Row],[Demand During Lead Time]],"At Risk","Safe")</f>
        <v>Safe</v>
      </c>
      <c r="AA2137">
        <f>WarehouseData[[#This Row],[stock_level]]/WarehouseData[[#This Row],[daily_demand]]</f>
        <v>187.73584905660377</v>
      </c>
      <c r="AB2137">
        <f>WarehouseData[[#This Row],[stock_level]]*WarehouseData[[#This Row],[unit_price]]</f>
        <v>9078.3799999999992</v>
      </c>
      <c r="AC2137">
        <f>WarehouseData[[#This Row],[stock_level]]*WarehouseData[[#This Row],[holding_cost_per_unit_day]]*30</f>
        <v>4716.3</v>
      </c>
      <c r="AD2137" t="str">
        <f>IF(WarehouseData[[#This Row],[order_fulfillment_rate]]&gt;=0.9,"Strong",IF(WarehouseData[[#This Row],[order_fulfillment_rate]]&gt;=0.8,"Moderate","Needs Attention"))</f>
        <v>Moderate</v>
      </c>
      <c r="AE2137" t="str">
        <f>IF(WarehouseData[[#This Row],[picking_time_seconds]]&gt;120,"Slow",IF(WarehouseData[[#This Row],[picking_time_seconds]]&gt;=60,"Average","Fast"))</f>
        <v>Slow</v>
      </c>
    </row>
    <row r="2138" spans="1:31" x14ac:dyDescent="0.25">
      <c r="A2138" t="s">
        <v>2276</v>
      </c>
      <c r="B2138" t="s">
        <v>32</v>
      </c>
      <c r="C2138">
        <v>433</v>
      </c>
      <c r="D2138">
        <v>27</v>
      </c>
      <c r="E2138">
        <v>10</v>
      </c>
      <c r="F2138">
        <v>7</v>
      </c>
      <c r="G2138">
        <v>42.8</v>
      </c>
      <c r="H2138">
        <v>3.1</v>
      </c>
      <c r="I2138">
        <v>0.7</v>
      </c>
      <c r="J2138" t="s">
        <v>144</v>
      </c>
      <c r="K2138" t="s">
        <v>38</v>
      </c>
      <c r="L2138">
        <v>11</v>
      </c>
      <c r="M2138">
        <v>4.01</v>
      </c>
      <c r="N2138">
        <v>105.59</v>
      </c>
      <c r="O2138">
        <v>0.54</v>
      </c>
      <c r="P2138">
        <v>7</v>
      </c>
      <c r="Q2138">
        <v>0.78</v>
      </c>
      <c r="R2138">
        <v>213</v>
      </c>
      <c r="S2138">
        <v>13.62</v>
      </c>
      <c r="T2138">
        <v>0.83</v>
      </c>
      <c r="U2138" s="1">
        <v>45406</v>
      </c>
      <c r="V2138">
        <v>87.43</v>
      </c>
      <c r="W2138">
        <v>0.71</v>
      </c>
      <c r="X2138" t="str">
        <f>IF(WarehouseData[[#This Row],[stock_level]]&lt;=WarehouseData[[#This Row],[reorder_point]],"Low Stock","Sufficient Stock")</f>
        <v>Sufficient Stock</v>
      </c>
      <c r="Y2138">
        <f>WarehouseData[[#This Row],[daily_demand]]*WarehouseData[[#This Row],[lead_time_days]]</f>
        <v>299.59999999999997</v>
      </c>
      <c r="Z2138" t="str">
        <f>IF(WarehouseData[[#This Row],[stock_level]]&lt;=WarehouseData[[#This Row],[Demand During Lead Time]],"At Risk","Safe")</f>
        <v>Safe</v>
      </c>
      <c r="AA2138">
        <f>WarehouseData[[#This Row],[stock_level]]/WarehouseData[[#This Row],[daily_demand]]</f>
        <v>10.116822429906543</v>
      </c>
      <c r="AB2138">
        <f>WarehouseData[[#This Row],[stock_level]]*WarehouseData[[#This Row],[unit_price]]</f>
        <v>45720.47</v>
      </c>
      <c r="AC2138">
        <f>WarehouseData[[#This Row],[stock_level]]*WarehouseData[[#This Row],[holding_cost_per_unit_day]]*30</f>
        <v>7014.6</v>
      </c>
      <c r="AD2138" t="str">
        <f>IF(WarehouseData[[#This Row],[order_fulfillment_rate]]&gt;=0.9,"Strong",IF(WarehouseData[[#This Row],[order_fulfillment_rate]]&gt;=0.8,"Moderate","Needs Attention"))</f>
        <v>Needs Attention</v>
      </c>
      <c r="AE2138" t="str">
        <f>IF(WarehouseData[[#This Row],[picking_time_seconds]]&gt;120,"Slow",IF(WarehouseData[[#This Row],[picking_time_seconds]]&gt;=60,"Average","Fast"))</f>
        <v>Fast</v>
      </c>
    </row>
    <row r="2139" spans="1:31" x14ac:dyDescent="0.25">
      <c r="A2139" t="s">
        <v>2277</v>
      </c>
      <c r="B2139" t="s">
        <v>73</v>
      </c>
      <c r="C2139">
        <v>436</v>
      </c>
      <c r="D2139">
        <v>31</v>
      </c>
      <c r="E2139">
        <v>6</v>
      </c>
      <c r="F2139">
        <v>8</v>
      </c>
      <c r="G2139">
        <v>36.04</v>
      </c>
      <c r="H2139">
        <v>9.3000000000000007</v>
      </c>
      <c r="I2139">
        <v>0.51</v>
      </c>
      <c r="J2139" t="s">
        <v>57</v>
      </c>
      <c r="K2139" t="s">
        <v>46</v>
      </c>
      <c r="L2139">
        <v>149</v>
      </c>
      <c r="M2139">
        <v>3.31</v>
      </c>
      <c r="N2139">
        <v>150.6</v>
      </c>
      <c r="O2139">
        <v>1.66</v>
      </c>
      <c r="P2139">
        <v>2</v>
      </c>
      <c r="Q2139">
        <v>0.82</v>
      </c>
      <c r="R2139">
        <v>352</v>
      </c>
      <c r="S2139">
        <v>10.87</v>
      </c>
      <c r="T2139">
        <v>0.32</v>
      </c>
      <c r="U2139" s="1">
        <v>45524</v>
      </c>
      <c r="V2139">
        <v>100.88</v>
      </c>
      <c r="W2139">
        <v>0.56699999999999995</v>
      </c>
      <c r="X2139" t="str">
        <f>IF(WarehouseData[[#This Row],[stock_level]]&lt;=WarehouseData[[#This Row],[reorder_point]],"Low Stock","Sufficient Stock")</f>
        <v>Sufficient Stock</v>
      </c>
      <c r="Y2139">
        <f>WarehouseData[[#This Row],[daily_demand]]*WarehouseData[[#This Row],[lead_time_days]]</f>
        <v>288.32</v>
      </c>
      <c r="Z2139" t="str">
        <f>IF(WarehouseData[[#This Row],[stock_level]]&lt;=WarehouseData[[#This Row],[Demand During Lead Time]],"At Risk","Safe")</f>
        <v>Safe</v>
      </c>
      <c r="AA2139">
        <f>WarehouseData[[#This Row],[stock_level]]/WarehouseData[[#This Row],[daily_demand]]</f>
        <v>12.097669256381799</v>
      </c>
      <c r="AB2139">
        <f>WarehouseData[[#This Row],[stock_level]]*WarehouseData[[#This Row],[unit_price]]</f>
        <v>65661.599999999991</v>
      </c>
      <c r="AC2139">
        <f>WarehouseData[[#This Row],[stock_level]]*WarehouseData[[#This Row],[holding_cost_per_unit_day]]*30</f>
        <v>21712.799999999999</v>
      </c>
      <c r="AD2139" t="str">
        <f>IF(WarehouseData[[#This Row],[order_fulfillment_rate]]&gt;=0.9,"Strong",IF(WarehouseData[[#This Row],[order_fulfillment_rate]]&gt;=0.8,"Moderate","Needs Attention"))</f>
        <v>Moderate</v>
      </c>
      <c r="AE2139" t="str">
        <f>IF(WarehouseData[[#This Row],[picking_time_seconds]]&gt;120,"Slow",IF(WarehouseData[[#This Row],[picking_time_seconds]]&gt;=60,"Average","Fast"))</f>
        <v>Slow</v>
      </c>
    </row>
    <row r="2140" spans="1:31" x14ac:dyDescent="0.25">
      <c r="A2140" t="s">
        <v>2278</v>
      </c>
      <c r="B2140" t="s">
        <v>36</v>
      </c>
      <c r="C2140">
        <v>332</v>
      </c>
      <c r="D2140">
        <v>75</v>
      </c>
      <c r="E2140">
        <v>9</v>
      </c>
      <c r="F2140">
        <v>8</v>
      </c>
      <c r="G2140">
        <v>34.840000000000003</v>
      </c>
      <c r="H2140">
        <v>5.16</v>
      </c>
      <c r="I2140">
        <v>0.43</v>
      </c>
      <c r="J2140" t="s">
        <v>88</v>
      </c>
      <c r="K2140" t="s">
        <v>46</v>
      </c>
      <c r="L2140">
        <v>49</v>
      </c>
      <c r="M2140">
        <v>1.65</v>
      </c>
      <c r="N2140">
        <v>61.83</v>
      </c>
      <c r="O2140">
        <v>0.42</v>
      </c>
      <c r="P2140">
        <v>0</v>
      </c>
      <c r="Q2140">
        <v>0.96</v>
      </c>
      <c r="R2140">
        <v>499</v>
      </c>
      <c r="S2140">
        <v>3.36</v>
      </c>
      <c r="T2140">
        <v>0.46</v>
      </c>
      <c r="U2140" s="1">
        <v>45461</v>
      </c>
      <c r="V2140">
        <v>203.71</v>
      </c>
      <c r="W2140">
        <v>0.68700000000000006</v>
      </c>
      <c r="X2140" t="str">
        <f>IF(WarehouseData[[#This Row],[stock_level]]&lt;=WarehouseData[[#This Row],[reorder_point]],"Low Stock","Sufficient Stock")</f>
        <v>Sufficient Stock</v>
      </c>
      <c r="Y2140">
        <f>WarehouseData[[#This Row],[daily_demand]]*WarehouseData[[#This Row],[lead_time_days]]</f>
        <v>278.72000000000003</v>
      </c>
      <c r="Z2140" t="str">
        <f>IF(WarehouseData[[#This Row],[stock_level]]&lt;=WarehouseData[[#This Row],[Demand During Lead Time]],"At Risk","Safe")</f>
        <v>Safe</v>
      </c>
      <c r="AA2140">
        <f>WarehouseData[[#This Row],[stock_level]]/WarehouseData[[#This Row],[daily_demand]]</f>
        <v>9.5292766934557971</v>
      </c>
      <c r="AB2140">
        <f>WarehouseData[[#This Row],[stock_level]]*WarehouseData[[#This Row],[unit_price]]</f>
        <v>20527.559999999998</v>
      </c>
      <c r="AC2140">
        <f>WarehouseData[[#This Row],[stock_level]]*WarehouseData[[#This Row],[holding_cost_per_unit_day]]*30</f>
        <v>4183.2</v>
      </c>
      <c r="AD2140" t="str">
        <f>IF(WarehouseData[[#This Row],[order_fulfillment_rate]]&gt;=0.9,"Strong",IF(WarehouseData[[#This Row],[order_fulfillment_rate]]&gt;=0.8,"Moderate","Needs Attention"))</f>
        <v>Strong</v>
      </c>
      <c r="AE2140" t="str">
        <f>IF(WarehouseData[[#This Row],[picking_time_seconds]]&gt;120,"Slow",IF(WarehouseData[[#This Row],[picking_time_seconds]]&gt;=60,"Average","Fast"))</f>
        <v>Fast</v>
      </c>
    </row>
    <row r="2141" spans="1:31" x14ac:dyDescent="0.25">
      <c r="A2141" t="s">
        <v>2279</v>
      </c>
      <c r="B2141" t="s">
        <v>32</v>
      </c>
      <c r="C2141">
        <v>327</v>
      </c>
      <c r="D2141">
        <v>30</v>
      </c>
      <c r="E2141">
        <v>6</v>
      </c>
      <c r="F2141">
        <v>6</v>
      </c>
      <c r="G2141">
        <v>27.78</v>
      </c>
      <c r="H2141">
        <v>8.5</v>
      </c>
      <c r="I2141">
        <v>0.34</v>
      </c>
      <c r="J2141" t="s">
        <v>379</v>
      </c>
      <c r="K2141" t="s">
        <v>34</v>
      </c>
      <c r="L2141">
        <v>11</v>
      </c>
      <c r="M2141">
        <v>0.97</v>
      </c>
      <c r="N2141">
        <v>166.65</v>
      </c>
      <c r="O2141">
        <v>0.76</v>
      </c>
      <c r="P2141">
        <v>6</v>
      </c>
      <c r="Q2141">
        <v>0.98</v>
      </c>
      <c r="R2141">
        <v>977</v>
      </c>
      <c r="S2141">
        <v>4.45</v>
      </c>
      <c r="T2141">
        <v>0.71</v>
      </c>
      <c r="U2141" s="1">
        <v>45578</v>
      </c>
      <c r="V2141">
        <v>182.13</v>
      </c>
      <c r="W2141">
        <v>0.60099999999999998</v>
      </c>
      <c r="X2141" t="str">
        <f>IF(WarehouseData[[#This Row],[stock_level]]&lt;=WarehouseData[[#This Row],[reorder_point]],"Low Stock","Sufficient Stock")</f>
        <v>Sufficient Stock</v>
      </c>
      <c r="Y2141">
        <f>WarehouseData[[#This Row],[daily_demand]]*WarehouseData[[#This Row],[lead_time_days]]</f>
        <v>166.68</v>
      </c>
      <c r="Z2141" t="str">
        <f>IF(WarehouseData[[#This Row],[stock_level]]&lt;=WarehouseData[[#This Row],[Demand During Lead Time]],"At Risk","Safe")</f>
        <v>Safe</v>
      </c>
      <c r="AA2141">
        <f>WarehouseData[[#This Row],[stock_level]]/WarehouseData[[#This Row],[daily_demand]]</f>
        <v>11.771058315334773</v>
      </c>
      <c r="AB2141">
        <f>WarehouseData[[#This Row],[stock_level]]*WarehouseData[[#This Row],[unit_price]]</f>
        <v>54494.55</v>
      </c>
      <c r="AC2141">
        <f>WarehouseData[[#This Row],[stock_level]]*WarehouseData[[#This Row],[holding_cost_per_unit_day]]*30</f>
        <v>7455.6</v>
      </c>
      <c r="AD2141" t="str">
        <f>IF(WarehouseData[[#This Row],[order_fulfillment_rate]]&gt;=0.9,"Strong",IF(WarehouseData[[#This Row],[order_fulfillment_rate]]&gt;=0.8,"Moderate","Needs Attention"))</f>
        <v>Strong</v>
      </c>
      <c r="AE2141" t="str">
        <f>IF(WarehouseData[[#This Row],[picking_time_seconds]]&gt;120,"Slow",IF(WarehouseData[[#This Row],[picking_time_seconds]]&gt;=60,"Average","Fast"))</f>
        <v>Fast</v>
      </c>
    </row>
    <row r="2142" spans="1:31" x14ac:dyDescent="0.25">
      <c r="A2142" t="s">
        <v>2280</v>
      </c>
      <c r="B2142" t="s">
        <v>40</v>
      </c>
      <c r="C2142">
        <v>156</v>
      </c>
      <c r="D2142">
        <v>53</v>
      </c>
      <c r="E2142">
        <v>14</v>
      </c>
      <c r="F2142">
        <v>2</v>
      </c>
      <c r="G2142">
        <v>35.35</v>
      </c>
      <c r="H2142">
        <v>5.0199999999999996</v>
      </c>
      <c r="I2142">
        <v>0.16</v>
      </c>
      <c r="J2142" t="s">
        <v>139</v>
      </c>
      <c r="K2142" t="s">
        <v>52</v>
      </c>
      <c r="L2142">
        <v>114</v>
      </c>
      <c r="M2142">
        <v>1.64</v>
      </c>
      <c r="N2142">
        <v>179.57</v>
      </c>
      <c r="O2142">
        <v>1.24</v>
      </c>
      <c r="P2142">
        <v>9</v>
      </c>
      <c r="Q2142">
        <v>0.73</v>
      </c>
      <c r="R2142">
        <v>593</v>
      </c>
      <c r="S2142">
        <v>4.76</v>
      </c>
      <c r="T2142">
        <v>0.71</v>
      </c>
      <c r="U2142" s="1">
        <v>45609</v>
      </c>
      <c r="V2142">
        <v>197.71</v>
      </c>
      <c r="W2142">
        <v>0.44700000000000001</v>
      </c>
      <c r="X2142" t="str">
        <f>IF(WarehouseData[[#This Row],[stock_level]]&lt;=WarehouseData[[#This Row],[reorder_point]],"Low Stock","Sufficient Stock")</f>
        <v>Sufficient Stock</v>
      </c>
      <c r="Y2142">
        <f>WarehouseData[[#This Row],[daily_demand]]*WarehouseData[[#This Row],[lead_time_days]]</f>
        <v>70.7</v>
      </c>
      <c r="Z2142" t="str">
        <f>IF(WarehouseData[[#This Row],[stock_level]]&lt;=WarehouseData[[#This Row],[Demand During Lead Time]],"At Risk","Safe")</f>
        <v>Safe</v>
      </c>
      <c r="AA2142">
        <f>WarehouseData[[#This Row],[stock_level]]/WarehouseData[[#This Row],[daily_demand]]</f>
        <v>4.4130127298444126</v>
      </c>
      <c r="AB2142">
        <f>WarehouseData[[#This Row],[stock_level]]*WarehouseData[[#This Row],[unit_price]]</f>
        <v>28012.92</v>
      </c>
      <c r="AC2142">
        <f>WarehouseData[[#This Row],[stock_level]]*WarehouseData[[#This Row],[holding_cost_per_unit_day]]*30</f>
        <v>5803.2</v>
      </c>
      <c r="AD2142" t="str">
        <f>IF(WarehouseData[[#This Row],[order_fulfillment_rate]]&gt;=0.9,"Strong",IF(WarehouseData[[#This Row],[order_fulfillment_rate]]&gt;=0.8,"Moderate","Needs Attention"))</f>
        <v>Needs Attention</v>
      </c>
      <c r="AE2142" t="str">
        <f>IF(WarehouseData[[#This Row],[picking_time_seconds]]&gt;120,"Slow",IF(WarehouseData[[#This Row],[picking_time_seconds]]&gt;=60,"Average","Fast"))</f>
        <v>Average</v>
      </c>
    </row>
    <row r="2143" spans="1:31" x14ac:dyDescent="0.25">
      <c r="A2143" t="s">
        <v>2281</v>
      </c>
      <c r="B2143" t="s">
        <v>40</v>
      </c>
      <c r="C2143">
        <v>201</v>
      </c>
      <c r="D2143">
        <v>56</v>
      </c>
      <c r="E2143">
        <v>7</v>
      </c>
      <c r="F2143">
        <v>8</v>
      </c>
      <c r="G2143">
        <v>46.85</v>
      </c>
      <c r="H2143">
        <v>7.32</v>
      </c>
      <c r="I2143">
        <v>0.56999999999999995</v>
      </c>
      <c r="J2143" t="s">
        <v>477</v>
      </c>
      <c r="K2143" t="s">
        <v>52</v>
      </c>
      <c r="L2143">
        <v>134</v>
      </c>
      <c r="M2143">
        <v>2.79</v>
      </c>
      <c r="N2143">
        <v>76.599999999999994</v>
      </c>
      <c r="O2143">
        <v>0.87</v>
      </c>
      <c r="P2143">
        <v>2</v>
      </c>
      <c r="Q2143">
        <v>0.93</v>
      </c>
      <c r="R2143">
        <v>759</v>
      </c>
      <c r="S2143">
        <v>14.49</v>
      </c>
      <c r="T2143">
        <v>0.24</v>
      </c>
      <c r="U2143" s="1">
        <v>45599</v>
      </c>
      <c r="V2143">
        <v>264.86</v>
      </c>
      <c r="W2143">
        <v>0.7</v>
      </c>
      <c r="X2143" t="str">
        <f>IF(WarehouseData[[#This Row],[stock_level]]&lt;=WarehouseData[[#This Row],[reorder_point]],"Low Stock","Sufficient Stock")</f>
        <v>Sufficient Stock</v>
      </c>
      <c r="Y2143">
        <f>WarehouseData[[#This Row],[daily_demand]]*WarehouseData[[#This Row],[lead_time_days]]</f>
        <v>374.8</v>
      </c>
      <c r="Z2143" t="str">
        <f>IF(WarehouseData[[#This Row],[stock_level]]&lt;=WarehouseData[[#This Row],[Demand During Lead Time]],"At Risk","Safe")</f>
        <v>At Risk</v>
      </c>
      <c r="AA2143">
        <f>WarehouseData[[#This Row],[stock_level]]/WarehouseData[[#This Row],[daily_demand]]</f>
        <v>4.2902881536819635</v>
      </c>
      <c r="AB2143">
        <f>WarehouseData[[#This Row],[stock_level]]*WarehouseData[[#This Row],[unit_price]]</f>
        <v>15396.599999999999</v>
      </c>
      <c r="AC2143">
        <f>WarehouseData[[#This Row],[stock_level]]*WarehouseData[[#This Row],[holding_cost_per_unit_day]]*30</f>
        <v>5246.1</v>
      </c>
      <c r="AD2143" t="str">
        <f>IF(WarehouseData[[#This Row],[order_fulfillment_rate]]&gt;=0.9,"Strong",IF(WarehouseData[[#This Row],[order_fulfillment_rate]]&gt;=0.8,"Moderate","Needs Attention"))</f>
        <v>Strong</v>
      </c>
      <c r="AE2143" t="str">
        <f>IF(WarehouseData[[#This Row],[picking_time_seconds]]&gt;120,"Slow",IF(WarehouseData[[#This Row],[picking_time_seconds]]&gt;=60,"Average","Fast"))</f>
        <v>Slow</v>
      </c>
    </row>
    <row r="2144" spans="1:31" x14ac:dyDescent="0.25">
      <c r="A2144" t="s">
        <v>2282</v>
      </c>
      <c r="B2144" t="s">
        <v>73</v>
      </c>
      <c r="C2144">
        <v>386</v>
      </c>
      <c r="D2144">
        <v>48</v>
      </c>
      <c r="E2144">
        <v>9</v>
      </c>
      <c r="F2144">
        <v>5</v>
      </c>
      <c r="G2144">
        <v>33.619999999999997</v>
      </c>
      <c r="H2144">
        <v>3.7</v>
      </c>
      <c r="I2144">
        <v>0.38</v>
      </c>
      <c r="J2144" t="s">
        <v>142</v>
      </c>
      <c r="K2144" t="s">
        <v>38</v>
      </c>
      <c r="L2144">
        <v>89</v>
      </c>
      <c r="M2144">
        <v>4.91</v>
      </c>
      <c r="N2144">
        <v>139.46</v>
      </c>
      <c r="O2144">
        <v>0.22</v>
      </c>
      <c r="P2144">
        <v>7</v>
      </c>
      <c r="Q2144">
        <v>0.87</v>
      </c>
      <c r="R2144">
        <v>551</v>
      </c>
      <c r="S2144">
        <v>13.41</v>
      </c>
      <c r="T2144">
        <v>0.26</v>
      </c>
      <c r="U2144" s="1">
        <v>45534</v>
      </c>
      <c r="V2144">
        <v>56.52</v>
      </c>
      <c r="W2144">
        <v>0.64300000000000002</v>
      </c>
      <c r="X2144" t="str">
        <f>IF(WarehouseData[[#This Row],[stock_level]]&lt;=WarehouseData[[#This Row],[reorder_point]],"Low Stock","Sufficient Stock")</f>
        <v>Sufficient Stock</v>
      </c>
      <c r="Y2144">
        <f>WarehouseData[[#This Row],[daily_demand]]*WarehouseData[[#This Row],[lead_time_days]]</f>
        <v>168.1</v>
      </c>
      <c r="Z2144" t="str">
        <f>IF(WarehouseData[[#This Row],[stock_level]]&lt;=WarehouseData[[#This Row],[Demand During Lead Time]],"At Risk","Safe")</f>
        <v>Safe</v>
      </c>
      <c r="AA2144">
        <f>WarehouseData[[#This Row],[stock_level]]/WarehouseData[[#This Row],[daily_demand]]</f>
        <v>11.481261154074955</v>
      </c>
      <c r="AB2144">
        <f>WarehouseData[[#This Row],[stock_level]]*WarehouseData[[#This Row],[unit_price]]</f>
        <v>53831.560000000005</v>
      </c>
      <c r="AC2144">
        <f>WarehouseData[[#This Row],[stock_level]]*WarehouseData[[#This Row],[holding_cost_per_unit_day]]*30</f>
        <v>2547.6</v>
      </c>
      <c r="AD2144" t="str">
        <f>IF(WarehouseData[[#This Row],[order_fulfillment_rate]]&gt;=0.9,"Strong",IF(WarehouseData[[#This Row],[order_fulfillment_rate]]&gt;=0.8,"Moderate","Needs Attention"))</f>
        <v>Moderate</v>
      </c>
      <c r="AE2144" t="str">
        <f>IF(WarehouseData[[#This Row],[picking_time_seconds]]&gt;120,"Slow",IF(WarehouseData[[#This Row],[picking_time_seconds]]&gt;=60,"Average","Fast"))</f>
        <v>Average</v>
      </c>
    </row>
    <row r="2145" spans="1:31" x14ac:dyDescent="0.25">
      <c r="A2145" t="s">
        <v>2283</v>
      </c>
      <c r="B2145" t="s">
        <v>73</v>
      </c>
      <c r="C2145">
        <v>20</v>
      </c>
      <c r="D2145">
        <v>38</v>
      </c>
      <c r="E2145">
        <v>12</v>
      </c>
      <c r="F2145">
        <v>6</v>
      </c>
      <c r="G2145">
        <v>13.99</v>
      </c>
      <c r="H2145">
        <v>6.44</v>
      </c>
      <c r="I2145">
        <v>0.74</v>
      </c>
      <c r="J2145" t="s">
        <v>104</v>
      </c>
      <c r="K2145" t="s">
        <v>34</v>
      </c>
      <c r="L2145">
        <v>56</v>
      </c>
      <c r="M2145">
        <v>0.79</v>
      </c>
      <c r="N2145">
        <v>32.24</v>
      </c>
      <c r="O2145">
        <v>1.9</v>
      </c>
      <c r="P2145">
        <v>8</v>
      </c>
      <c r="Q2145">
        <v>0.88</v>
      </c>
      <c r="R2145">
        <v>400</v>
      </c>
      <c r="S2145">
        <v>5.85</v>
      </c>
      <c r="T2145">
        <v>0.72</v>
      </c>
      <c r="U2145" s="1">
        <v>45628</v>
      </c>
      <c r="V2145">
        <v>43.74</v>
      </c>
      <c r="W2145">
        <v>0.44800000000000001</v>
      </c>
      <c r="X2145" t="str">
        <f>IF(WarehouseData[[#This Row],[stock_level]]&lt;=WarehouseData[[#This Row],[reorder_point]],"Low Stock","Sufficient Stock")</f>
        <v>Low Stock</v>
      </c>
      <c r="Y2145">
        <f>WarehouseData[[#This Row],[daily_demand]]*WarehouseData[[#This Row],[lead_time_days]]</f>
        <v>83.94</v>
      </c>
      <c r="Z2145" t="str">
        <f>IF(WarehouseData[[#This Row],[stock_level]]&lt;=WarehouseData[[#This Row],[Demand During Lead Time]],"At Risk","Safe")</f>
        <v>At Risk</v>
      </c>
      <c r="AA2145">
        <f>WarehouseData[[#This Row],[stock_level]]/WarehouseData[[#This Row],[daily_demand]]</f>
        <v>1.4295925661186561</v>
      </c>
      <c r="AB2145">
        <f>WarehouseData[[#This Row],[stock_level]]*WarehouseData[[#This Row],[unit_price]]</f>
        <v>644.80000000000007</v>
      </c>
      <c r="AC2145">
        <f>WarehouseData[[#This Row],[stock_level]]*WarehouseData[[#This Row],[holding_cost_per_unit_day]]*30</f>
        <v>1140</v>
      </c>
      <c r="AD2145" t="str">
        <f>IF(WarehouseData[[#This Row],[order_fulfillment_rate]]&gt;=0.9,"Strong",IF(WarehouseData[[#This Row],[order_fulfillment_rate]]&gt;=0.8,"Moderate","Needs Attention"))</f>
        <v>Moderate</v>
      </c>
      <c r="AE2145" t="str">
        <f>IF(WarehouseData[[#This Row],[picking_time_seconds]]&gt;120,"Slow",IF(WarehouseData[[#This Row],[picking_time_seconds]]&gt;=60,"Average","Fast"))</f>
        <v>Fast</v>
      </c>
    </row>
    <row r="2146" spans="1:31" x14ac:dyDescent="0.25">
      <c r="A2146" t="s">
        <v>2284</v>
      </c>
      <c r="B2146" t="s">
        <v>36</v>
      </c>
      <c r="C2146">
        <v>63</v>
      </c>
      <c r="D2146">
        <v>63</v>
      </c>
      <c r="E2146">
        <v>5</v>
      </c>
      <c r="F2146">
        <v>3</v>
      </c>
      <c r="G2146">
        <v>28.96</v>
      </c>
      <c r="H2146">
        <v>5.23</v>
      </c>
      <c r="I2146">
        <v>0.75</v>
      </c>
      <c r="J2146" t="s">
        <v>106</v>
      </c>
      <c r="K2146" t="s">
        <v>34</v>
      </c>
      <c r="L2146">
        <v>173</v>
      </c>
      <c r="M2146">
        <v>1.4</v>
      </c>
      <c r="N2146">
        <v>151.37</v>
      </c>
      <c r="O2146">
        <v>0.74</v>
      </c>
      <c r="P2146">
        <v>1</v>
      </c>
      <c r="Q2146">
        <v>0.93</v>
      </c>
      <c r="R2146">
        <v>428</v>
      </c>
      <c r="S2146">
        <v>7.53</v>
      </c>
      <c r="T2146">
        <v>0.96</v>
      </c>
      <c r="U2146" s="1">
        <v>45478</v>
      </c>
      <c r="V2146">
        <v>173.74</v>
      </c>
      <c r="W2146">
        <v>0.78400000000000003</v>
      </c>
      <c r="X2146" t="str">
        <f>IF(WarehouseData[[#This Row],[stock_level]]&lt;=WarehouseData[[#This Row],[reorder_point]],"Low Stock","Sufficient Stock")</f>
        <v>Low Stock</v>
      </c>
      <c r="Y2146">
        <f>WarehouseData[[#This Row],[daily_demand]]*WarehouseData[[#This Row],[lead_time_days]]</f>
        <v>86.88</v>
      </c>
      <c r="Z2146" t="str">
        <f>IF(WarehouseData[[#This Row],[stock_level]]&lt;=WarehouseData[[#This Row],[Demand During Lead Time]],"At Risk","Safe")</f>
        <v>At Risk</v>
      </c>
      <c r="AA2146">
        <f>WarehouseData[[#This Row],[stock_level]]/WarehouseData[[#This Row],[daily_demand]]</f>
        <v>2.1754143646408841</v>
      </c>
      <c r="AB2146">
        <f>WarehouseData[[#This Row],[stock_level]]*WarehouseData[[#This Row],[unit_price]]</f>
        <v>9536.31</v>
      </c>
      <c r="AC2146">
        <f>WarehouseData[[#This Row],[stock_level]]*WarehouseData[[#This Row],[holding_cost_per_unit_day]]*30</f>
        <v>1398.6</v>
      </c>
      <c r="AD2146" t="str">
        <f>IF(WarehouseData[[#This Row],[order_fulfillment_rate]]&gt;=0.9,"Strong",IF(WarehouseData[[#This Row],[order_fulfillment_rate]]&gt;=0.8,"Moderate","Needs Attention"))</f>
        <v>Strong</v>
      </c>
      <c r="AE2146" t="str">
        <f>IF(WarehouseData[[#This Row],[picking_time_seconds]]&gt;120,"Slow",IF(WarehouseData[[#This Row],[picking_time_seconds]]&gt;=60,"Average","Fast"))</f>
        <v>Slow</v>
      </c>
    </row>
    <row r="2147" spans="1:31" x14ac:dyDescent="0.25">
      <c r="A2147" t="s">
        <v>2285</v>
      </c>
      <c r="B2147" t="s">
        <v>36</v>
      </c>
      <c r="C2147">
        <v>246</v>
      </c>
      <c r="D2147">
        <v>99</v>
      </c>
      <c r="E2147">
        <v>12</v>
      </c>
      <c r="F2147">
        <v>5</v>
      </c>
      <c r="G2147">
        <v>22.67</v>
      </c>
      <c r="H2147">
        <v>3.99</v>
      </c>
      <c r="I2147">
        <v>0.4</v>
      </c>
      <c r="J2147" t="s">
        <v>185</v>
      </c>
      <c r="K2147" t="s">
        <v>34</v>
      </c>
      <c r="L2147">
        <v>141</v>
      </c>
      <c r="M2147">
        <v>3.32</v>
      </c>
      <c r="N2147">
        <v>41.35</v>
      </c>
      <c r="O2147">
        <v>0.95</v>
      </c>
      <c r="P2147">
        <v>0</v>
      </c>
      <c r="Q2147">
        <v>0.77</v>
      </c>
      <c r="R2147">
        <v>488</v>
      </c>
      <c r="S2147">
        <v>4.99</v>
      </c>
      <c r="T2147">
        <v>1</v>
      </c>
      <c r="U2147" s="1">
        <v>45523</v>
      </c>
      <c r="V2147">
        <v>155.05000000000001</v>
      </c>
      <c r="W2147">
        <v>0.72599999999999998</v>
      </c>
      <c r="X2147" t="str">
        <f>IF(WarehouseData[[#This Row],[stock_level]]&lt;=WarehouseData[[#This Row],[reorder_point]],"Low Stock","Sufficient Stock")</f>
        <v>Sufficient Stock</v>
      </c>
      <c r="Y2147">
        <f>WarehouseData[[#This Row],[daily_demand]]*WarehouseData[[#This Row],[lead_time_days]]</f>
        <v>113.35000000000001</v>
      </c>
      <c r="Z2147" t="str">
        <f>IF(WarehouseData[[#This Row],[stock_level]]&lt;=WarehouseData[[#This Row],[Demand During Lead Time]],"At Risk","Safe")</f>
        <v>Safe</v>
      </c>
      <c r="AA2147">
        <f>WarehouseData[[#This Row],[stock_level]]/WarehouseData[[#This Row],[daily_demand]]</f>
        <v>10.851345390383766</v>
      </c>
      <c r="AB2147">
        <f>WarehouseData[[#This Row],[stock_level]]*WarehouseData[[#This Row],[unit_price]]</f>
        <v>10172.1</v>
      </c>
      <c r="AC2147">
        <f>WarehouseData[[#This Row],[stock_level]]*WarehouseData[[#This Row],[holding_cost_per_unit_day]]*30</f>
        <v>7011</v>
      </c>
      <c r="AD2147" t="str">
        <f>IF(WarehouseData[[#This Row],[order_fulfillment_rate]]&gt;=0.9,"Strong",IF(WarehouseData[[#This Row],[order_fulfillment_rate]]&gt;=0.8,"Moderate","Needs Attention"))</f>
        <v>Needs Attention</v>
      </c>
      <c r="AE2147" t="str">
        <f>IF(WarehouseData[[#This Row],[picking_time_seconds]]&gt;120,"Slow",IF(WarehouseData[[#This Row],[picking_time_seconds]]&gt;=60,"Average","Fast"))</f>
        <v>Slow</v>
      </c>
    </row>
    <row r="2148" spans="1:31" x14ac:dyDescent="0.25">
      <c r="A2148" t="s">
        <v>2286</v>
      </c>
      <c r="B2148" t="s">
        <v>48</v>
      </c>
      <c r="C2148">
        <v>350</v>
      </c>
      <c r="D2148">
        <v>94</v>
      </c>
      <c r="E2148">
        <v>7</v>
      </c>
      <c r="F2148">
        <v>3</v>
      </c>
      <c r="G2148">
        <v>28.26</v>
      </c>
      <c r="H2148">
        <v>8.8699999999999992</v>
      </c>
      <c r="I2148">
        <v>0.7</v>
      </c>
      <c r="J2148" t="s">
        <v>98</v>
      </c>
      <c r="K2148" t="s">
        <v>34</v>
      </c>
      <c r="L2148">
        <v>161</v>
      </c>
      <c r="M2148">
        <v>1.87</v>
      </c>
      <c r="N2148">
        <v>140.61000000000001</v>
      </c>
      <c r="O2148">
        <v>0.42</v>
      </c>
      <c r="P2148">
        <v>7</v>
      </c>
      <c r="Q2148">
        <v>0.86</v>
      </c>
      <c r="R2148">
        <v>250</v>
      </c>
      <c r="S2148">
        <v>11.4</v>
      </c>
      <c r="T2148">
        <v>0.99</v>
      </c>
      <c r="U2148" s="1">
        <v>45350</v>
      </c>
      <c r="V2148">
        <v>126.83</v>
      </c>
      <c r="W2148">
        <v>0.74</v>
      </c>
      <c r="X2148" t="str">
        <f>IF(WarehouseData[[#This Row],[stock_level]]&lt;=WarehouseData[[#This Row],[reorder_point]],"Low Stock","Sufficient Stock")</f>
        <v>Sufficient Stock</v>
      </c>
      <c r="Y2148">
        <f>WarehouseData[[#This Row],[daily_demand]]*WarehouseData[[#This Row],[lead_time_days]]</f>
        <v>84.78</v>
      </c>
      <c r="Z2148" t="str">
        <f>IF(WarehouseData[[#This Row],[stock_level]]&lt;=WarehouseData[[#This Row],[Demand During Lead Time]],"At Risk","Safe")</f>
        <v>Safe</v>
      </c>
      <c r="AA2148">
        <f>WarehouseData[[#This Row],[stock_level]]/WarehouseData[[#This Row],[daily_demand]]</f>
        <v>12.384996461429582</v>
      </c>
      <c r="AB2148">
        <f>WarehouseData[[#This Row],[stock_level]]*WarehouseData[[#This Row],[unit_price]]</f>
        <v>49213.500000000007</v>
      </c>
      <c r="AC2148">
        <f>WarehouseData[[#This Row],[stock_level]]*WarehouseData[[#This Row],[holding_cost_per_unit_day]]*30</f>
        <v>4410</v>
      </c>
      <c r="AD2148" t="str">
        <f>IF(WarehouseData[[#This Row],[order_fulfillment_rate]]&gt;=0.9,"Strong",IF(WarehouseData[[#This Row],[order_fulfillment_rate]]&gt;=0.8,"Moderate","Needs Attention"))</f>
        <v>Moderate</v>
      </c>
      <c r="AE2148" t="str">
        <f>IF(WarehouseData[[#This Row],[picking_time_seconds]]&gt;120,"Slow",IF(WarehouseData[[#This Row],[picking_time_seconds]]&gt;=60,"Average","Fast"))</f>
        <v>Slow</v>
      </c>
    </row>
    <row r="2149" spans="1:31" x14ac:dyDescent="0.25">
      <c r="A2149" t="s">
        <v>2287</v>
      </c>
      <c r="B2149" t="s">
        <v>36</v>
      </c>
      <c r="C2149">
        <v>117</v>
      </c>
      <c r="D2149">
        <v>26</v>
      </c>
      <c r="E2149">
        <v>13</v>
      </c>
      <c r="F2149">
        <v>4</v>
      </c>
      <c r="G2149">
        <v>26.36</v>
      </c>
      <c r="H2149">
        <v>1.57</v>
      </c>
      <c r="I2149">
        <v>0.33</v>
      </c>
      <c r="J2149" t="s">
        <v>259</v>
      </c>
      <c r="K2149" t="s">
        <v>34</v>
      </c>
      <c r="L2149">
        <v>100</v>
      </c>
      <c r="M2149">
        <v>4.3600000000000003</v>
      </c>
      <c r="N2149">
        <v>90.16</v>
      </c>
      <c r="O2149">
        <v>1.74</v>
      </c>
      <c r="P2149">
        <v>9</v>
      </c>
      <c r="Q2149">
        <v>0.8</v>
      </c>
      <c r="R2149">
        <v>156</v>
      </c>
      <c r="S2149">
        <v>3.26</v>
      </c>
      <c r="T2149">
        <v>0.48</v>
      </c>
      <c r="U2149" s="1">
        <v>45341</v>
      </c>
      <c r="V2149">
        <v>272.37</v>
      </c>
      <c r="W2149">
        <v>0.34499999999999997</v>
      </c>
      <c r="X2149" t="str">
        <f>IF(WarehouseData[[#This Row],[stock_level]]&lt;=WarehouseData[[#This Row],[reorder_point]],"Low Stock","Sufficient Stock")</f>
        <v>Sufficient Stock</v>
      </c>
      <c r="Y2149">
        <f>WarehouseData[[#This Row],[daily_demand]]*WarehouseData[[#This Row],[lead_time_days]]</f>
        <v>105.44</v>
      </c>
      <c r="Z2149" t="str">
        <f>IF(WarehouseData[[#This Row],[stock_level]]&lt;=WarehouseData[[#This Row],[Demand During Lead Time]],"At Risk","Safe")</f>
        <v>Safe</v>
      </c>
      <c r="AA2149">
        <f>WarehouseData[[#This Row],[stock_level]]/WarehouseData[[#This Row],[daily_demand]]</f>
        <v>4.4385432473444615</v>
      </c>
      <c r="AB2149">
        <f>WarehouseData[[#This Row],[stock_level]]*WarehouseData[[#This Row],[unit_price]]</f>
        <v>10548.72</v>
      </c>
      <c r="AC2149">
        <f>WarehouseData[[#This Row],[stock_level]]*WarehouseData[[#This Row],[holding_cost_per_unit_day]]*30</f>
        <v>6107.4000000000005</v>
      </c>
      <c r="AD2149" t="str">
        <f>IF(WarehouseData[[#This Row],[order_fulfillment_rate]]&gt;=0.9,"Strong",IF(WarehouseData[[#This Row],[order_fulfillment_rate]]&gt;=0.8,"Moderate","Needs Attention"))</f>
        <v>Moderate</v>
      </c>
      <c r="AE2149" t="str">
        <f>IF(WarehouseData[[#This Row],[picking_time_seconds]]&gt;120,"Slow",IF(WarehouseData[[#This Row],[picking_time_seconds]]&gt;=60,"Average","Fast"))</f>
        <v>Average</v>
      </c>
    </row>
    <row r="2150" spans="1:31" x14ac:dyDescent="0.25">
      <c r="A2150" t="s">
        <v>2288</v>
      </c>
      <c r="B2150" t="s">
        <v>48</v>
      </c>
      <c r="C2150">
        <v>227</v>
      </c>
      <c r="D2150">
        <v>89</v>
      </c>
      <c r="E2150">
        <v>5</v>
      </c>
      <c r="F2150">
        <v>3</v>
      </c>
      <c r="G2150">
        <v>43.08</v>
      </c>
      <c r="H2150">
        <v>5.13</v>
      </c>
      <c r="I2150">
        <v>0.75</v>
      </c>
      <c r="J2150" t="s">
        <v>240</v>
      </c>
      <c r="K2150" t="s">
        <v>52</v>
      </c>
      <c r="L2150">
        <v>110</v>
      </c>
      <c r="M2150">
        <v>1.1299999999999999</v>
      </c>
      <c r="N2150">
        <v>186.41</v>
      </c>
      <c r="O2150">
        <v>0.65</v>
      </c>
      <c r="P2150">
        <v>5</v>
      </c>
      <c r="Q2150">
        <v>0.73</v>
      </c>
      <c r="R2150">
        <v>554</v>
      </c>
      <c r="S2150">
        <v>5.74</v>
      </c>
      <c r="T2150">
        <v>0.39</v>
      </c>
      <c r="U2150" s="1">
        <v>45629</v>
      </c>
      <c r="V2150">
        <v>171.93</v>
      </c>
      <c r="W2150">
        <v>0.53600000000000003</v>
      </c>
      <c r="X2150" t="str">
        <f>IF(WarehouseData[[#This Row],[stock_level]]&lt;=WarehouseData[[#This Row],[reorder_point]],"Low Stock","Sufficient Stock")</f>
        <v>Sufficient Stock</v>
      </c>
      <c r="Y2150">
        <f>WarehouseData[[#This Row],[daily_demand]]*WarehouseData[[#This Row],[lead_time_days]]</f>
        <v>129.24</v>
      </c>
      <c r="Z2150" t="str">
        <f>IF(WarehouseData[[#This Row],[stock_level]]&lt;=WarehouseData[[#This Row],[Demand During Lead Time]],"At Risk","Safe")</f>
        <v>Safe</v>
      </c>
      <c r="AA2150">
        <f>WarehouseData[[#This Row],[stock_level]]/WarehouseData[[#This Row],[daily_demand]]</f>
        <v>5.2692664809656451</v>
      </c>
      <c r="AB2150">
        <f>WarehouseData[[#This Row],[stock_level]]*WarehouseData[[#This Row],[unit_price]]</f>
        <v>42315.07</v>
      </c>
      <c r="AC2150">
        <f>WarehouseData[[#This Row],[stock_level]]*WarehouseData[[#This Row],[holding_cost_per_unit_day]]*30</f>
        <v>4426.5</v>
      </c>
      <c r="AD2150" t="str">
        <f>IF(WarehouseData[[#This Row],[order_fulfillment_rate]]&gt;=0.9,"Strong",IF(WarehouseData[[#This Row],[order_fulfillment_rate]]&gt;=0.8,"Moderate","Needs Attention"))</f>
        <v>Needs Attention</v>
      </c>
      <c r="AE2150" t="str">
        <f>IF(WarehouseData[[#This Row],[picking_time_seconds]]&gt;120,"Slow",IF(WarehouseData[[#This Row],[picking_time_seconds]]&gt;=60,"Average","Fast"))</f>
        <v>Average</v>
      </c>
    </row>
    <row r="2151" spans="1:31" x14ac:dyDescent="0.25">
      <c r="A2151" t="s">
        <v>2289</v>
      </c>
      <c r="B2151" t="s">
        <v>32</v>
      </c>
      <c r="C2151">
        <v>284</v>
      </c>
      <c r="D2151">
        <v>69</v>
      </c>
      <c r="E2151">
        <v>7</v>
      </c>
      <c r="F2151">
        <v>5</v>
      </c>
      <c r="G2151">
        <v>32.94</v>
      </c>
      <c r="H2151">
        <v>2.35</v>
      </c>
      <c r="I2151">
        <v>0.11</v>
      </c>
      <c r="J2151" t="s">
        <v>301</v>
      </c>
      <c r="K2151" t="s">
        <v>52</v>
      </c>
      <c r="L2151">
        <v>139</v>
      </c>
      <c r="M2151">
        <v>4.83</v>
      </c>
      <c r="N2151">
        <v>98.25</v>
      </c>
      <c r="O2151">
        <v>0.14000000000000001</v>
      </c>
      <c r="P2151">
        <v>9</v>
      </c>
      <c r="Q2151">
        <v>0.73</v>
      </c>
      <c r="R2151">
        <v>433</v>
      </c>
      <c r="S2151">
        <v>9.49</v>
      </c>
      <c r="T2151">
        <v>0.28000000000000003</v>
      </c>
      <c r="U2151" s="1">
        <v>45405</v>
      </c>
      <c r="V2151">
        <v>174.5</v>
      </c>
      <c r="W2151">
        <v>0.53500000000000003</v>
      </c>
      <c r="X2151" t="str">
        <f>IF(WarehouseData[[#This Row],[stock_level]]&lt;=WarehouseData[[#This Row],[reorder_point]],"Low Stock","Sufficient Stock")</f>
        <v>Sufficient Stock</v>
      </c>
      <c r="Y2151">
        <f>WarehouseData[[#This Row],[daily_demand]]*WarehouseData[[#This Row],[lead_time_days]]</f>
        <v>164.7</v>
      </c>
      <c r="Z2151" t="str">
        <f>IF(WarehouseData[[#This Row],[stock_level]]&lt;=WarehouseData[[#This Row],[Demand During Lead Time]],"At Risk","Safe")</f>
        <v>Safe</v>
      </c>
      <c r="AA2151">
        <f>WarehouseData[[#This Row],[stock_level]]/WarehouseData[[#This Row],[daily_demand]]</f>
        <v>8.6217364905889511</v>
      </c>
      <c r="AB2151">
        <f>WarehouseData[[#This Row],[stock_level]]*WarehouseData[[#This Row],[unit_price]]</f>
        <v>27903</v>
      </c>
      <c r="AC2151">
        <f>WarehouseData[[#This Row],[stock_level]]*WarehouseData[[#This Row],[holding_cost_per_unit_day]]*30</f>
        <v>1192.8000000000002</v>
      </c>
      <c r="AD2151" t="str">
        <f>IF(WarehouseData[[#This Row],[order_fulfillment_rate]]&gt;=0.9,"Strong",IF(WarehouseData[[#This Row],[order_fulfillment_rate]]&gt;=0.8,"Moderate","Needs Attention"))</f>
        <v>Needs Attention</v>
      </c>
      <c r="AE2151" t="str">
        <f>IF(WarehouseData[[#This Row],[picking_time_seconds]]&gt;120,"Slow",IF(WarehouseData[[#This Row],[picking_time_seconds]]&gt;=60,"Average","Fast"))</f>
        <v>Slow</v>
      </c>
    </row>
    <row r="2152" spans="1:31" x14ac:dyDescent="0.25">
      <c r="A2152" t="s">
        <v>2290</v>
      </c>
      <c r="B2152" t="s">
        <v>73</v>
      </c>
      <c r="C2152">
        <v>307</v>
      </c>
      <c r="D2152">
        <v>40</v>
      </c>
      <c r="E2152">
        <v>5</v>
      </c>
      <c r="F2152">
        <v>4</v>
      </c>
      <c r="G2152">
        <v>10.25</v>
      </c>
      <c r="H2152">
        <v>8.68</v>
      </c>
      <c r="I2152">
        <v>0.24</v>
      </c>
      <c r="J2152" t="s">
        <v>64</v>
      </c>
      <c r="K2152" t="s">
        <v>46</v>
      </c>
      <c r="L2152">
        <v>24</v>
      </c>
      <c r="M2152">
        <v>4.6100000000000003</v>
      </c>
      <c r="N2152">
        <v>15.87</v>
      </c>
      <c r="O2152">
        <v>0.7</v>
      </c>
      <c r="P2152">
        <v>0</v>
      </c>
      <c r="Q2152">
        <v>0.74</v>
      </c>
      <c r="R2152">
        <v>897</v>
      </c>
      <c r="S2152">
        <v>13.28</v>
      </c>
      <c r="T2152">
        <v>0.46</v>
      </c>
      <c r="U2152" s="1">
        <v>45293</v>
      </c>
      <c r="V2152">
        <v>116.26</v>
      </c>
      <c r="W2152">
        <v>0.747</v>
      </c>
      <c r="X2152" t="str">
        <f>IF(WarehouseData[[#This Row],[stock_level]]&lt;=WarehouseData[[#This Row],[reorder_point]],"Low Stock","Sufficient Stock")</f>
        <v>Sufficient Stock</v>
      </c>
      <c r="Y2152">
        <f>WarehouseData[[#This Row],[daily_demand]]*WarehouseData[[#This Row],[lead_time_days]]</f>
        <v>41</v>
      </c>
      <c r="Z2152" t="str">
        <f>IF(WarehouseData[[#This Row],[stock_level]]&lt;=WarehouseData[[#This Row],[Demand During Lead Time]],"At Risk","Safe")</f>
        <v>Safe</v>
      </c>
      <c r="AA2152">
        <f>WarehouseData[[#This Row],[stock_level]]/WarehouseData[[#This Row],[daily_demand]]</f>
        <v>29.951219512195124</v>
      </c>
      <c r="AB2152">
        <f>WarehouseData[[#This Row],[stock_level]]*WarehouseData[[#This Row],[unit_price]]</f>
        <v>4872.09</v>
      </c>
      <c r="AC2152">
        <f>WarehouseData[[#This Row],[stock_level]]*WarehouseData[[#This Row],[holding_cost_per_unit_day]]*30</f>
        <v>6446.9999999999991</v>
      </c>
      <c r="AD2152" t="str">
        <f>IF(WarehouseData[[#This Row],[order_fulfillment_rate]]&gt;=0.9,"Strong",IF(WarehouseData[[#This Row],[order_fulfillment_rate]]&gt;=0.8,"Moderate","Needs Attention"))</f>
        <v>Needs Attention</v>
      </c>
      <c r="AE2152" t="str">
        <f>IF(WarehouseData[[#This Row],[picking_time_seconds]]&gt;120,"Slow",IF(WarehouseData[[#This Row],[picking_time_seconds]]&gt;=60,"Average","Fast"))</f>
        <v>Fast</v>
      </c>
    </row>
    <row r="2153" spans="1:31" x14ac:dyDescent="0.25">
      <c r="A2153" t="s">
        <v>2291</v>
      </c>
      <c r="B2153" t="s">
        <v>32</v>
      </c>
      <c r="C2153">
        <v>290</v>
      </c>
      <c r="D2153">
        <v>82</v>
      </c>
      <c r="E2153">
        <v>13</v>
      </c>
      <c r="F2153">
        <v>5</v>
      </c>
      <c r="G2153">
        <v>4.09</v>
      </c>
      <c r="H2153">
        <v>2.91</v>
      </c>
      <c r="I2153">
        <v>0.32</v>
      </c>
      <c r="J2153" t="s">
        <v>51</v>
      </c>
      <c r="K2153" t="s">
        <v>52</v>
      </c>
      <c r="L2153">
        <v>58</v>
      </c>
      <c r="M2153">
        <v>4.49</v>
      </c>
      <c r="N2153">
        <v>101.33</v>
      </c>
      <c r="O2153">
        <v>1.97</v>
      </c>
      <c r="P2153">
        <v>2</v>
      </c>
      <c r="Q2153">
        <v>0.88</v>
      </c>
      <c r="R2153">
        <v>906</v>
      </c>
      <c r="S2153">
        <v>9.9</v>
      </c>
      <c r="T2153">
        <v>0.42</v>
      </c>
      <c r="U2153" s="1">
        <v>45466</v>
      </c>
      <c r="V2153">
        <v>109.78</v>
      </c>
      <c r="W2153">
        <v>0.55500000000000005</v>
      </c>
      <c r="X2153" t="str">
        <f>IF(WarehouseData[[#This Row],[stock_level]]&lt;=WarehouseData[[#This Row],[reorder_point]],"Low Stock","Sufficient Stock")</f>
        <v>Sufficient Stock</v>
      </c>
      <c r="Y2153">
        <f>WarehouseData[[#This Row],[daily_demand]]*WarehouseData[[#This Row],[lead_time_days]]</f>
        <v>20.45</v>
      </c>
      <c r="Z2153" t="str">
        <f>IF(WarehouseData[[#This Row],[stock_level]]&lt;=WarehouseData[[#This Row],[Demand During Lead Time]],"At Risk","Safe")</f>
        <v>Safe</v>
      </c>
      <c r="AA2153">
        <f>WarehouseData[[#This Row],[stock_level]]/WarehouseData[[#This Row],[daily_demand]]</f>
        <v>70.904645476772615</v>
      </c>
      <c r="AB2153">
        <f>WarehouseData[[#This Row],[stock_level]]*WarehouseData[[#This Row],[unit_price]]</f>
        <v>29385.7</v>
      </c>
      <c r="AC2153">
        <f>WarehouseData[[#This Row],[stock_level]]*WarehouseData[[#This Row],[holding_cost_per_unit_day]]*30</f>
        <v>17139</v>
      </c>
      <c r="AD2153" t="str">
        <f>IF(WarehouseData[[#This Row],[order_fulfillment_rate]]&gt;=0.9,"Strong",IF(WarehouseData[[#This Row],[order_fulfillment_rate]]&gt;=0.8,"Moderate","Needs Attention"))</f>
        <v>Moderate</v>
      </c>
      <c r="AE2153" t="str">
        <f>IF(WarehouseData[[#This Row],[picking_time_seconds]]&gt;120,"Slow",IF(WarehouseData[[#This Row],[picking_time_seconds]]&gt;=60,"Average","Fast"))</f>
        <v>Fast</v>
      </c>
    </row>
    <row r="2154" spans="1:31" x14ac:dyDescent="0.25">
      <c r="A2154" t="s">
        <v>2292</v>
      </c>
      <c r="B2154" t="s">
        <v>36</v>
      </c>
      <c r="C2154">
        <v>159</v>
      </c>
      <c r="D2154">
        <v>87</v>
      </c>
      <c r="E2154">
        <v>12</v>
      </c>
      <c r="F2154">
        <v>7</v>
      </c>
      <c r="G2154">
        <v>21.79</v>
      </c>
      <c r="H2154">
        <v>6.52</v>
      </c>
      <c r="I2154">
        <v>0.8</v>
      </c>
      <c r="J2154" t="s">
        <v>98</v>
      </c>
      <c r="K2154" t="s">
        <v>34</v>
      </c>
      <c r="L2154">
        <v>121</v>
      </c>
      <c r="M2154">
        <v>1.28</v>
      </c>
      <c r="N2154">
        <v>161.13999999999999</v>
      </c>
      <c r="O2154">
        <v>0.38</v>
      </c>
      <c r="P2154">
        <v>8</v>
      </c>
      <c r="Q2154">
        <v>0.73</v>
      </c>
      <c r="R2154">
        <v>345</v>
      </c>
      <c r="S2154">
        <v>14.16</v>
      </c>
      <c r="T2154">
        <v>0.66</v>
      </c>
      <c r="U2154" s="1">
        <v>45473</v>
      </c>
      <c r="V2154">
        <v>296.41000000000003</v>
      </c>
      <c r="W2154">
        <v>0.66900000000000004</v>
      </c>
      <c r="X2154" t="str">
        <f>IF(WarehouseData[[#This Row],[stock_level]]&lt;=WarehouseData[[#This Row],[reorder_point]],"Low Stock","Sufficient Stock")</f>
        <v>Sufficient Stock</v>
      </c>
      <c r="Y2154">
        <f>WarehouseData[[#This Row],[daily_demand]]*WarehouseData[[#This Row],[lead_time_days]]</f>
        <v>152.53</v>
      </c>
      <c r="Z2154" t="str">
        <f>IF(WarehouseData[[#This Row],[stock_level]]&lt;=WarehouseData[[#This Row],[Demand During Lead Time]],"At Risk","Safe")</f>
        <v>Safe</v>
      </c>
      <c r="AA2154">
        <f>WarehouseData[[#This Row],[stock_level]]/WarehouseData[[#This Row],[daily_demand]]</f>
        <v>7.296925195043598</v>
      </c>
      <c r="AB2154">
        <f>WarehouseData[[#This Row],[stock_level]]*WarehouseData[[#This Row],[unit_price]]</f>
        <v>25621.26</v>
      </c>
      <c r="AC2154">
        <f>WarehouseData[[#This Row],[stock_level]]*WarehouseData[[#This Row],[holding_cost_per_unit_day]]*30</f>
        <v>1812.6000000000001</v>
      </c>
      <c r="AD2154" t="str">
        <f>IF(WarehouseData[[#This Row],[order_fulfillment_rate]]&gt;=0.9,"Strong",IF(WarehouseData[[#This Row],[order_fulfillment_rate]]&gt;=0.8,"Moderate","Needs Attention"))</f>
        <v>Needs Attention</v>
      </c>
      <c r="AE2154" t="str">
        <f>IF(WarehouseData[[#This Row],[picking_time_seconds]]&gt;120,"Slow",IF(WarehouseData[[#This Row],[picking_time_seconds]]&gt;=60,"Average","Fast"))</f>
        <v>Slow</v>
      </c>
    </row>
    <row r="2155" spans="1:31" x14ac:dyDescent="0.25">
      <c r="A2155" t="s">
        <v>2293</v>
      </c>
      <c r="B2155" t="s">
        <v>32</v>
      </c>
      <c r="C2155">
        <v>256</v>
      </c>
      <c r="D2155">
        <v>58</v>
      </c>
      <c r="E2155">
        <v>13</v>
      </c>
      <c r="F2155">
        <v>5</v>
      </c>
      <c r="G2155">
        <v>1.76</v>
      </c>
      <c r="H2155">
        <v>2.0699999999999998</v>
      </c>
      <c r="I2155">
        <v>0.16</v>
      </c>
      <c r="J2155" t="s">
        <v>126</v>
      </c>
      <c r="K2155" t="s">
        <v>46</v>
      </c>
      <c r="L2155">
        <v>44</v>
      </c>
      <c r="M2155">
        <v>1.98</v>
      </c>
      <c r="N2155">
        <v>132.94999999999999</v>
      </c>
      <c r="O2155">
        <v>0.16</v>
      </c>
      <c r="P2155">
        <v>8</v>
      </c>
      <c r="Q2155">
        <v>0.87</v>
      </c>
      <c r="R2155">
        <v>77</v>
      </c>
      <c r="S2155">
        <v>14.03</v>
      </c>
      <c r="T2155">
        <v>0.5</v>
      </c>
      <c r="U2155" s="1">
        <v>45616</v>
      </c>
      <c r="V2155">
        <v>190.69</v>
      </c>
      <c r="W2155">
        <v>0.68500000000000005</v>
      </c>
      <c r="X2155" t="str">
        <f>IF(WarehouseData[[#This Row],[stock_level]]&lt;=WarehouseData[[#This Row],[reorder_point]],"Low Stock","Sufficient Stock")</f>
        <v>Sufficient Stock</v>
      </c>
      <c r="Y2155">
        <f>WarehouseData[[#This Row],[daily_demand]]*WarehouseData[[#This Row],[lead_time_days]]</f>
        <v>8.8000000000000007</v>
      </c>
      <c r="Z2155" t="str">
        <f>IF(WarehouseData[[#This Row],[stock_level]]&lt;=WarehouseData[[#This Row],[Demand During Lead Time]],"At Risk","Safe")</f>
        <v>Safe</v>
      </c>
      <c r="AA2155">
        <f>WarehouseData[[#This Row],[stock_level]]/WarehouseData[[#This Row],[daily_demand]]</f>
        <v>145.45454545454547</v>
      </c>
      <c r="AB2155">
        <f>WarehouseData[[#This Row],[stock_level]]*WarehouseData[[#This Row],[unit_price]]</f>
        <v>34035.199999999997</v>
      </c>
      <c r="AC2155">
        <f>WarehouseData[[#This Row],[stock_level]]*WarehouseData[[#This Row],[holding_cost_per_unit_day]]*30</f>
        <v>1228.8</v>
      </c>
      <c r="AD2155" t="str">
        <f>IF(WarehouseData[[#This Row],[order_fulfillment_rate]]&gt;=0.9,"Strong",IF(WarehouseData[[#This Row],[order_fulfillment_rate]]&gt;=0.8,"Moderate","Needs Attention"))</f>
        <v>Moderate</v>
      </c>
      <c r="AE2155" t="str">
        <f>IF(WarehouseData[[#This Row],[picking_time_seconds]]&gt;120,"Slow",IF(WarehouseData[[#This Row],[picking_time_seconds]]&gt;=60,"Average","Fast"))</f>
        <v>Fast</v>
      </c>
    </row>
    <row r="2156" spans="1:31" x14ac:dyDescent="0.25">
      <c r="A2156" t="s">
        <v>2294</v>
      </c>
      <c r="B2156" t="s">
        <v>32</v>
      </c>
      <c r="C2156">
        <v>481</v>
      </c>
      <c r="D2156">
        <v>11</v>
      </c>
      <c r="E2156">
        <v>9</v>
      </c>
      <c r="F2156">
        <v>4</v>
      </c>
      <c r="G2156">
        <v>16.600000000000001</v>
      </c>
      <c r="H2156">
        <v>4.3499999999999996</v>
      </c>
      <c r="I2156">
        <v>0.27</v>
      </c>
      <c r="J2156" t="s">
        <v>41</v>
      </c>
      <c r="K2156" t="s">
        <v>52</v>
      </c>
      <c r="L2156">
        <v>125</v>
      </c>
      <c r="M2156">
        <v>4.12</v>
      </c>
      <c r="N2156">
        <v>193.6</v>
      </c>
      <c r="O2156">
        <v>1.2</v>
      </c>
      <c r="P2156">
        <v>5</v>
      </c>
      <c r="Q2156">
        <v>0.88</v>
      </c>
      <c r="R2156">
        <v>386</v>
      </c>
      <c r="S2156">
        <v>11.06</v>
      </c>
      <c r="T2156">
        <v>0.39</v>
      </c>
      <c r="U2156" s="1">
        <v>45441</v>
      </c>
      <c r="V2156">
        <v>249.28</v>
      </c>
      <c r="W2156">
        <v>0.58099999999999996</v>
      </c>
      <c r="X2156" t="str">
        <f>IF(WarehouseData[[#This Row],[stock_level]]&lt;=WarehouseData[[#This Row],[reorder_point]],"Low Stock","Sufficient Stock")</f>
        <v>Sufficient Stock</v>
      </c>
      <c r="Y2156">
        <f>WarehouseData[[#This Row],[daily_demand]]*WarehouseData[[#This Row],[lead_time_days]]</f>
        <v>66.400000000000006</v>
      </c>
      <c r="Z2156" t="str">
        <f>IF(WarehouseData[[#This Row],[stock_level]]&lt;=WarehouseData[[#This Row],[Demand During Lead Time]],"At Risk","Safe")</f>
        <v>Safe</v>
      </c>
      <c r="AA2156">
        <f>WarehouseData[[#This Row],[stock_level]]/WarehouseData[[#This Row],[daily_demand]]</f>
        <v>28.975903614457827</v>
      </c>
      <c r="AB2156">
        <f>WarehouseData[[#This Row],[stock_level]]*WarehouseData[[#This Row],[unit_price]]</f>
        <v>93121.599999999991</v>
      </c>
      <c r="AC2156">
        <f>WarehouseData[[#This Row],[stock_level]]*WarehouseData[[#This Row],[holding_cost_per_unit_day]]*30</f>
        <v>17315.999999999996</v>
      </c>
      <c r="AD2156" t="str">
        <f>IF(WarehouseData[[#This Row],[order_fulfillment_rate]]&gt;=0.9,"Strong",IF(WarehouseData[[#This Row],[order_fulfillment_rate]]&gt;=0.8,"Moderate","Needs Attention"))</f>
        <v>Moderate</v>
      </c>
      <c r="AE2156" t="str">
        <f>IF(WarehouseData[[#This Row],[picking_time_seconds]]&gt;120,"Slow",IF(WarehouseData[[#This Row],[picking_time_seconds]]&gt;=60,"Average","Fast"))</f>
        <v>Slow</v>
      </c>
    </row>
    <row r="2157" spans="1:31" x14ac:dyDescent="0.25">
      <c r="A2157" t="s">
        <v>2295</v>
      </c>
      <c r="B2157" t="s">
        <v>32</v>
      </c>
      <c r="C2157">
        <v>460</v>
      </c>
      <c r="D2157">
        <v>57</v>
      </c>
      <c r="E2157">
        <v>3</v>
      </c>
      <c r="F2157">
        <v>3</v>
      </c>
      <c r="G2157">
        <v>19.03</v>
      </c>
      <c r="H2157">
        <v>9.0399999999999991</v>
      </c>
      <c r="I2157">
        <v>0.42</v>
      </c>
      <c r="J2157" t="s">
        <v>95</v>
      </c>
      <c r="K2157" t="s">
        <v>46</v>
      </c>
      <c r="L2157">
        <v>103</v>
      </c>
      <c r="M2157">
        <v>4.1399999999999997</v>
      </c>
      <c r="N2157">
        <v>170.22</v>
      </c>
      <c r="O2157">
        <v>0.81</v>
      </c>
      <c r="P2157">
        <v>2</v>
      </c>
      <c r="Q2157">
        <v>0.97</v>
      </c>
      <c r="R2157">
        <v>336</v>
      </c>
      <c r="S2157">
        <v>4.9000000000000004</v>
      </c>
      <c r="T2157">
        <v>0.69</v>
      </c>
      <c r="U2157" s="1">
        <v>45572</v>
      </c>
      <c r="V2157">
        <v>139.76</v>
      </c>
      <c r="W2157">
        <v>0.67600000000000005</v>
      </c>
      <c r="X2157" t="str">
        <f>IF(WarehouseData[[#This Row],[stock_level]]&lt;=WarehouseData[[#This Row],[reorder_point]],"Low Stock","Sufficient Stock")</f>
        <v>Sufficient Stock</v>
      </c>
      <c r="Y2157">
        <f>WarehouseData[[#This Row],[daily_demand]]*WarehouseData[[#This Row],[lead_time_days]]</f>
        <v>57.09</v>
      </c>
      <c r="Z2157" t="str">
        <f>IF(WarehouseData[[#This Row],[stock_level]]&lt;=WarehouseData[[#This Row],[Demand During Lead Time]],"At Risk","Safe")</f>
        <v>Safe</v>
      </c>
      <c r="AA2157">
        <f>WarehouseData[[#This Row],[stock_level]]/WarehouseData[[#This Row],[daily_demand]]</f>
        <v>24.172359432475037</v>
      </c>
      <c r="AB2157">
        <f>WarehouseData[[#This Row],[stock_level]]*WarehouseData[[#This Row],[unit_price]]</f>
        <v>78301.2</v>
      </c>
      <c r="AC2157">
        <f>WarehouseData[[#This Row],[stock_level]]*WarehouseData[[#This Row],[holding_cost_per_unit_day]]*30</f>
        <v>11178</v>
      </c>
      <c r="AD2157" t="str">
        <f>IF(WarehouseData[[#This Row],[order_fulfillment_rate]]&gt;=0.9,"Strong",IF(WarehouseData[[#This Row],[order_fulfillment_rate]]&gt;=0.8,"Moderate","Needs Attention"))</f>
        <v>Strong</v>
      </c>
      <c r="AE2157" t="str">
        <f>IF(WarehouseData[[#This Row],[picking_time_seconds]]&gt;120,"Slow",IF(WarehouseData[[#This Row],[picking_time_seconds]]&gt;=60,"Average","Fast"))</f>
        <v>Average</v>
      </c>
    </row>
    <row r="2158" spans="1:31" x14ac:dyDescent="0.25">
      <c r="A2158" t="s">
        <v>2296</v>
      </c>
      <c r="B2158" t="s">
        <v>36</v>
      </c>
      <c r="C2158">
        <v>411</v>
      </c>
      <c r="D2158">
        <v>23</v>
      </c>
      <c r="E2158">
        <v>11</v>
      </c>
      <c r="F2158">
        <v>7</v>
      </c>
      <c r="G2158">
        <v>19.399999999999999</v>
      </c>
      <c r="H2158">
        <v>2.08</v>
      </c>
      <c r="I2158">
        <v>0.11</v>
      </c>
      <c r="J2158" t="s">
        <v>265</v>
      </c>
      <c r="K2158" t="s">
        <v>52</v>
      </c>
      <c r="L2158">
        <v>33</v>
      </c>
      <c r="M2158">
        <v>3.67</v>
      </c>
      <c r="N2158">
        <v>110.04</v>
      </c>
      <c r="O2158">
        <v>1.61</v>
      </c>
      <c r="P2158">
        <v>7</v>
      </c>
      <c r="Q2158">
        <v>0.89</v>
      </c>
      <c r="R2158">
        <v>680</v>
      </c>
      <c r="S2158">
        <v>10.56</v>
      </c>
      <c r="T2158">
        <v>0.46</v>
      </c>
      <c r="U2158" s="1">
        <v>45559</v>
      </c>
      <c r="V2158">
        <v>65.64</v>
      </c>
      <c r="W2158">
        <v>0.51</v>
      </c>
      <c r="X2158" t="str">
        <f>IF(WarehouseData[[#This Row],[stock_level]]&lt;=WarehouseData[[#This Row],[reorder_point]],"Low Stock","Sufficient Stock")</f>
        <v>Sufficient Stock</v>
      </c>
      <c r="Y2158">
        <f>WarehouseData[[#This Row],[daily_demand]]*WarehouseData[[#This Row],[lead_time_days]]</f>
        <v>135.79999999999998</v>
      </c>
      <c r="Z2158" t="str">
        <f>IF(WarehouseData[[#This Row],[stock_level]]&lt;=WarehouseData[[#This Row],[Demand During Lead Time]],"At Risk","Safe")</f>
        <v>Safe</v>
      </c>
      <c r="AA2158">
        <f>WarehouseData[[#This Row],[stock_level]]/WarehouseData[[#This Row],[daily_demand]]</f>
        <v>21.185567010309281</v>
      </c>
      <c r="AB2158">
        <f>WarehouseData[[#This Row],[stock_level]]*WarehouseData[[#This Row],[unit_price]]</f>
        <v>45226.44</v>
      </c>
      <c r="AC2158">
        <f>WarehouseData[[#This Row],[stock_level]]*WarehouseData[[#This Row],[holding_cost_per_unit_day]]*30</f>
        <v>19851.300000000003</v>
      </c>
      <c r="AD2158" t="str">
        <f>IF(WarehouseData[[#This Row],[order_fulfillment_rate]]&gt;=0.9,"Strong",IF(WarehouseData[[#This Row],[order_fulfillment_rate]]&gt;=0.8,"Moderate","Needs Attention"))</f>
        <v>Moderate</v>
      </c>
      <c r="AE2158" t="str">
        <f>IF(WarehouseData[[#This Row],[picking_time_seconds]]&gt;120,"Slow",IF(WarehouseData[[#This Row],[picking_time_seconds]]&gt;=60,"Average","Fast"))</f>
        <v>Fast</v>
      </c>
    </row>
    <row r="2159" spans="1:31" x14ac:dyDescent="0.25">
      <c r="A2159" t="s">
        <v>2297</v>
      </c>
      <c r="B2159" t="s">
        <v>32</v>
      </c>
      <c r="C2159">
        <v>91</v>
      </c>
      <c r="D2159">
        <v>68</v>
      </c>
      <c r="E2159">
        <v>11</v>
      </c>
      <c r="F2159">
        <v>2</v>
      </c>
      <c r="G2159">
        <v>48.99</v>
      </c>
      <c r="H2159">
        <v>6.8</v>
      </c>
      <c r="I2159">
        <v>0.79</v>
      </c>
      <c r="J2159" t="s">
        <v>236</v>
      </c>
      <c r="K2159" t="s">
        <v>38</v>
      </c>
      <c r="L2159">
        <v>69</v>
      </c>
      <c r="M2159">
        <v>2.52</v>
      </c>
      <c r="N2159">
        <v>49.24</v>
      </c>
      <c r="O2159">
        <v>1.49</v>
      </c>
      <c r="P2159">
        <v>5</v>
      </c>
      <c r="Q2159">
        <v>1</v>
      </c>
      <c r="R2159">
        <v>392</v>
      </c>
      <c r="S2159">
        <v>3.7</v>
      </c>
      <c r="T2159">
        <v>0.48</v>
      </c>
      <c r="U2159" s="1">
        <v>45483</v>
      </c>
      <c r="V2159">
        <v>104.2</v>
      </c>
      <c r="W2159">
        <v>0.496</v>
      </c>
      <c r="X2159" t="str">
        <f>IF(WarehouseData[[#This Row],[stock_level]]&lt;=WarehouseData[[#This Row],[reorder_point]],"Low Stock","Sufficient Stock")</f>
        <v>Sufficient Stock</v>
      </c>
      <c r="Y2159">
        <f>WarehouseData[[#This Row],[daily_demand]]*WarehouseData[[#This Row],[lead_time_days]]</f>
        <v>97.98</v>
      </c>
      <c r="Z2159" t="str">
        <f>IF(WarehouseData[[#This Row],[stock_level]]&lt;=WarehouseData[[#This Row],[Demand During Lead Time]],"At Risk","Safe")</f>
        <v>At Risk</v>
      </c>
      <c r="AA2159">
        <f>WarehouseData[[#This Row],[stock_level]]/WarehouseData[[#This Row],[daily_demand]]</f>
        <v>1.8575219432537251</v>
      </c>
      <c r="AB2159">
        <f>WarehouseData[[#This Row],[stock_level]]*WarehouseData[[#This Row],[unit_price]]</f>
        <v>4480.84</v>
      </c>
      <c r="AC2159">
        <f>WarehouseData[[#This Row],[stock_level]]*WarehouseData[[#This Row],[holding_cost_per_unit_day]]*30</f>
        <v>4067.7000000000003</v>
      </c>
      <c r="AD2159" t="str">
        <f>IF(WarehouseData[[#This Row],[order_fulfillment_rate]]&gt;=0.9,"Strong",IF(WarehouseData[[#This Row],[order_fulfillment_rate]]&gt;=0.8,"Moderate","Needs Attention"))</f>
        <v>Strong</v>
      </c>
      <c r="AE2159" t="str">
        <f>IF(WarehouseData[[#This Row],[picking_time_seconds]]&gt;120,"Slow",IF(WarehouseData[[#This Row],[picking_time_seconds]]&gt;=60,"Average","Fast"))</f>
        <v>Average</v>
      </c>
    </row>
    <row r="2160" spans="1:31" x14ac:dyDescent="0.25">
      <c r="A2160" t="s">
        <v>2298</v>
      </c>
      <c r="B2160" t="s">
        <v>48</v>
      </c>
      <c r="C2160">
        <v>174</v>
      </c>
      <c r="D2160">
        <v>67</v>
      </c>
      <c r="E2160">
        <v>7</v>
      </c>
      <c r="F2160">
        <v>2</v>
      </c>
      <c r="G2160">
        <v>15.89</v>
      </c>
      <c r="H2160">
        <v>2.44</v>
      </c>
      <c r="I2160">
        <v>0.6</v>
      </c>
      <c r="J2160" t="s">
        <v>79</v>
      </c>
      <c r="K2160" t="s">
        <v>52</v>
      </c>
      <c r="L2160">
        <v>86</v>
      </c>
      <c r="M2160">
        <v>1.9</v>
      </c>
      <c r="N2160">
        <v>10.72</v>
      </c>
      <c r="O2160">
        <v>0.45</v>
      </c>
      <c r="P2160">
        <v>0</v>
      </c>
      <c r="Q2160">
        <v>0.71</v>
      </c>
      <c r="R2160">
        <v>80</v>
      </c>
      <c r="S2160">
        <v>5.66</v>
      </c>
      <c r="T2160">
        <v>0.68</v>
      </c>
      <c r="U2160" s="1">
        <v>45651</v>
      </c>
      <c r="V2160">
        <v>110.38</v>
      </c>
      <c r="W2160">
        <v>0.70799999999999996</v>
      </c>
      <c r="X2160" t="str">
        <f>IF(WarehouseData[[#This Row],[stock_level]]&lt;=WarehouseData[[#This Row],[reorder_point]],"Low Stock","Sufficient Stock")</f>
        <v>Sufficient Stock</v>
      </c>
      <c r="Y2160">
        <f>WarehouseData[[#This Row],[daily_demand]]*WarehouseData[[#This Row],[lead_time_days]]</f>
        <v>31.78</v>
      </c>
      <c r="Z2160" t="str">
        <f>IF(WarehouseData[[#This Row],[stock_level]]&lt;=WarehouseData[[#This Row],[Demand During Lead Time]],"At Risk","Safe")</f>
        <v>Safe</v>
      </c>
      <c r="AA2160">
        <f>WarehouseData[[#This Row],[stock_level]]/WarehouseData[[#This Row],[daily_demand]]</f>
        <v>10.950283196979232</v>
      </c>
      <c r="AB2160">
        <f>WarehouseData[[#This Row],[stock_level]]*WarehouseData[[#This Row],[unit_price]]</f>
        <v>1865.2800000000002</v>
      </c>
      <c r="AC2160">
        <f>WarehouseData[[#This Row],[stock_level]]*WarehouseData[[#This Row],[holding_cost_per_unit_day]]*30</f>
        <v>2349</v>
      </c>
      <c r="AD2160" t="str">
        <f>IF(WarehouseData[[#This Row],[order_fulfillment_rate]]&gt;=0.9,"Strong",IF(WarehouseData[[#This Row],[order_fulfillment_rate]]&gt;=0.8,"Moderate","Needs Attention"))</f>
        <v>Needs Attention</v>
      </c>
      <c r="AE2160" t="str">
        <f>IF(WarehouseData[[#This Row],[picking_time_seconds]]&gt;120,"Slow",IF(WarehouseData[[#This Row],[picking_time_seconds]]&gt;=60,"Average","Fast"))</f>
        <v>Average</v>
      </c>
    </row>
    <row r="2161" spans="1:31" x14ac:dyDescent="0.25">
      <c r="A2161" t="s">
        <v>2299</v>
      </c>
      <c r="B2161" t="s">
        <v>36</v>
      </c>
      <c r="C2161">
        <v>209</v>
      </c>
      <c r="D2161">
        <v>67</v>
      </c>
      <c r="E2161">
        <v>11</v>
      </c>
      <c r="F2161">
        <v>9</v>
      </c>
      <c r="G2161">
        <v>14</v>
      </c>
      <c r="H2161">
        <v>4.45</v>
      </c>
      <c r="I2161">
        <v>0.91</v>
      </c>
      <c r="J2161" t="s">
        <v>178</v>
      </c>
      <c r="K2161" t="s">
        <v>46</v>
      </c>
      <c r="L2161">
        <v>57</v>
      </c>
      <c r="M2161">
        <v>4.83</v>
      </c>
      <c r="N2161">
        <v>196.3</v>
      </c>
      <c r="O2161">
        <v>1.17</v>
      </c>
      <c r="P2161">
        <v>5</v>
      </c>
      <c r="Q2161">
        <v>0.91</v>
      </c>
      <c r="R2161">
        <v>715</v>
      </c>
      <c r="S2161">
        <v>11.61</v>
      </c>
      <c r="T2161">
        <v>0.28999999999999998</v>
      </c>
      <c r="U2161" s="1">
        <v>45346</v>
      </c>
      <c r="V2161">
        <v>173.82</v>
      </c>
      <c r="W2161">
        <v>0.57799999999999996</v>
      </c>
      <c r="X2161" t="str">
        <f>IF(WarehouseData[[#This Row],[stock_level]]&lt;=WarehouseData[[#This Row],[reorder_point]],"Low Stock","Sufficient Stock")</f>
        <v>Sufficient Stock</v>
      </c>
      <c r="Y2161">
        <f>WarehouseData[[#This Row],[daily_demand]]*WarehouseData[[#This Row],[lead_time_days]]</f>
        <v>126</v>
      </c>
      <c r="Z2161" t="str">
        <f>IF(WarehouseData[[#This Row],[stock_level]]&lt;=WarehouseData[[#This Row],[Demand During Lead Time]],"At Risk","Safe")</f>
        <v>Safe</v>
      </c>
      <c r="AA2161">
        <f>WarehouseData[[#This Row],[stock_level]]/WarehouseData[[#This Row],[daily_demand]]</f>
        <v>14.928571428571429</v>
      </c>
      <c r="AB2161">
        <f>WarehouseData[[#This Row],[stock_level]]*WarehouseData[[#This Row],[unit_price]]</f>
        <v>41026.700000000004</v>
      </c>
      <c r="AC2161">
        <f>WarehouseData[[#This Row],[stock_level]]*WarehouseData[[#This Row],[holding_cost_per_unit_day]]*30</f>
        <v>7335.9</v>
      </c>
      <c r="AD2161" t="str">
        <f>IF(WarehouseData[[#This Row],[order_fulfillment_rate]]&gt;=0.9,"Strong",IF(WarehouseData[[#This Row],[order_fulfillment_rate]]&gt;=0.8,"Moderate","Needs Attention"))</f>
        <v>Strong</v>
      </c>
      <c r="AE2161" t="str">
        <f>IF(WarehouseData[[#This Row],[picking_time_seconds]]&gt;120,"Slow",IF(WarehouseData[[#This Row],[picking_time_seconds]]&gt;=60,"Average","Fast"))</f>
        <v>Fast</v>
      </c>
    </row>
    <row r="2162" spans="1:31" x14ac:dyDescent="0.25">
      <c r="A2162" t="s">
        <v>2300</v>
      </c>
      <c r="B2162" t="s">
        <v>32</v>
      </c>
      <c r="C2162">
        <v>287</v>
      </c>
      <c r="D2162">
        <v>60</v>
      </c>
      <c r="E2162">
        <v>12</v>
      </c>
      <c r="F2162">
        <v>2</v>
      </c>
      <c r="G2162">
        <v>7.34</v>
      </c>
      <c r="H2162">
        <v>5.64</v>
      </c>
      <c r="I2162">
        <v>0.13</v>
      </c>
      <c r="J2162" t="s">
        <v>340</v>
      </c>
      <c r="K2162" t="s">
        <v>38</v>
      </c>
      <c r="L2162">
        <v>160</v>
      </c>
      <c r="M2162">
        <v>1.1299999999999999</v>
      </c>
      <c r="N2162">
        <v>188.28</v>
      </c>
      <c r="O2162">
        <v>0.16</v>
      </c>
      <c r="P2162">
        <v>4</v>
      </c>
      <c r="Q2162">
        <v>0.71</v>
      </c>
      <c r="R2162">
        <v>821</v>
      </c>
      <c r="S2162">
        <v>12.91</v>
      </c>
      <c r="T2162">
        <v>0.82</v>
      </c>
      <c r="U2162" s="1">
        <v>45315</v>
      </c>
      <c r="V2162">
        <v>54.84</v>
      </c>
      <c r="W2162">
        <v>0.78200000000000003</v>
      </c>
      <c r="X2162" t="str">
        <f>IF(WarehouseData[[#This Row],[stock_level]]&lt;=WarehouseData[[#This Row],[reorder_point]],"Low Stock","Sufficient Stock")</f>
        <v>Sufficient Stock</v>
      </c>
      <c r="Y2162">
        <f>WarehouseData[[#This Row],[daily_demand]]*WarehouseData[[#This Row],[lead_time_days]]</f>
        <v>14.68</v>
      </c>
      <c r="Z2162" t="str">
        <f>IF(WarehouseData[[#This Row],[stock_level]]&lt;=WarehouseData[[#This Row],[Demand During Lead Time]],"At Risk","Safe")</f>
        <v>Safe</v>
      </c>
      <c r="AA2162">
        <f>WarehouseData[[#This Row],[stock_level]]/WarehouseData[[#This Row],[daily_demand]]</f>
        <v>39.100817438692097</v>
      </c>
      <c r="AB2162">
        <f>WarehouseData[[#This Row],[stock_level]]*WarehouseData[[#This Row],[unit_price]]</f>
        <v>54036.36</v>
      </c>
      <c r="AC2162">
        <f>WarehouseData[[#This Row],[stock_level]]*WarehouseData[[#This Row],[holding_cost_per_unit_day]]*30</f>
        <v>1377.6000000000001</v>
      </c>
      <c r="AD2162" t="str">
        <f>IF(WarehouseData[[#This Row],[order_fulfillment_rate]]&gt;=0.9,"Strong",IF(WarehouseData[[#This Row],[order_fulfillment_rate]]&gt;=0.8,"Moderate","Needs Attention"))</f>
        <v>Needs Attention</v>
      </c>
      <c r="AE2162" t="str">
        <f>IF(WarehouseData[[#This Row],[picking_time_seconds]]&gt;120,"Slow",IF(WarehouseData[[#This Row],[picking_time_seconds]]&gt;=60,"Average","Fast"))</f>
        <v>Slow</v>
      </c>
    </row>
    <row r="2163" spans="1:31" x14ac:dyDescent="0.25">
      <c r="A2163" t="s">
        <v>2301</v>
      </c>
      <c r="B2163" t="s">
        <v>36</v>
      </c>
      <c r="C2163">
        <v>340</v>
      </c>
      <c r="D2163">
        <v>93</v>
      </c>
      <c r="E2163">
        <v>8</v>
      </c>
      <c r="F2163">
        <v>2</v>
      </c>
      <c r="G2163">
        <v>26.04</v>
      </c>
      <c r="H2163">
        <v>5.98</v>
      </c>
      <c r="I2163">
        <v>0.34</v>
      </c>
      <c r="J2163" t="s">
        <v>276</v>
      </c>
      <c r="K2163" t="s">
        <v>34</v>
      </c>
      <c r="L2163">
        <v>149</v>
      </c>
      <c r="M2163">
        <v>0.7</v>
      </c>
      <c r="N2163">
        <v>62.09</v>
      </c>
      <c r="O2163">
        <v>0.94</v>
      </c>
      <c r="P2163">
        <v>7</v>
      </c>
      <c r="Q2163">
        <v>0.92</v>
      </c>
      <c r="R2163">
        <v>536</v>
      </c>
      <c r="S2163">
        <v>6.83</v>
      </c>
      <c r="T2163">
        <v>0.97</v>
      </c>
      <c r="U2163" s="1">
        <v>45376</v>
      </c>
      <c r="V2163">
        <v>122.24</v>
      </c>
      <c r="W2163">
        <v>0.63500000000000001</v>
      </c>
      <c r="X2163" t="str">
        <f>IF(WarehouseData[[#This Row],[stock_level]]&lt;=WarehouseData[[#This Row],[reorder_point]],"Low Stock","Sufficient Stock")</f>
        <v>Sufficient Stock</v>
      </c>
      <c r="Y2163">
        <f>WarehouseData[[#This Row],[daily_demand]]*WarehouseData[[#This Row],[lead_time_days]]</f>
        <v>52.08</v>
      </c>
      <c r="Z2163" t="str">
        <f>IF(WarehouseData[[#This Row],[stock_level]]&lt;=WarehouseData[[#This Row],[Demand During Lead Time]],"At Risk","Safe")</f>
        <v>Safe</v>
      </c>
      <c r="AA2163">
        <f>WarehouseData[[#This Row],[stock_level]]/WarehouseData[[#This Row],[daily_demand]]</f>
        <v>13.056835637480798</v>
      </c>
      <c r="AB2163">
        <f>WarehouseData[[#This Row],[stock_level]]*WarehouseData[[#This Row],[unit_price]]</f>
        <v>21110.600000000002</v>
      </c>
      <c r="AC2163">
        <f>WarehouseData[[#This Row],[stock_level]]*WarehouseData[[#This Row],[holding_cost_per_unit_day]]*30</f>
        <v>9587.9999999999982</v>
      </c>
      <c r="AD2163" t="str">
        <f>IF(WarehouseData[[#This Row],[order_fulfillment_rate]]&gt;=0.9,"Strong",IF(WarehouseData[[#This Row],[order_fulfillment_rate]]&gt;=0.8,"Moderate","Needs Attention"))</f>
        <v>Strong</v>
      </c>
      <c r="AE2163" t="str">
        <f>IF(WarehouseData[[#This Row],[picking_time_seconds]]&gt;120,"Slow",IF(WarehouseData[[#This Row],[picking_time_seconds]]&gt;=60,"Average","Fast"))</f>
        <v>Slow</v>
      </c>
    </row>
    <row r="2164" spans="1:31" x14ac:dyDescent="0.25">
      <c r="A2164" t="s">
        <v>2302</v>
      </c>
      <c r="B2164" t="s">
        <v>40</v>
      </c>
      <c r="C2164">
        <v>126</v>
      </c>
      <c r="D2164">
        <v>11</v>
      </c>
      <c r="E2164">
        <v>7</v>
      </c>
      <c r="F2164">
        <v>6</v>
      </c>
      <c r="G2164">
        <v>8.5299999999999994</v>
      </c>
      <c r="H2164">
        <v>6.22</v>
      </c>
      <c r="I2164">
        <v>0.76</v>
      </c>
      <c r="J2164" t="s">
        <v>142</v>
      </c>
      <c r="K2164" t="s">
        <v>46</v>
      </c>
      <c r="L2164">
        <v>50</v>
      </c>
      <c r="M2164">
        <v>0.54</v>
      </c>
      <c r="N2164">
        <v>131.26</v>
      </c>
      <c r="O2164">
        <v>1.46</v>
      </c>
      <c r="P2164">
        <v>1</v>
      </c>
      <c r="Q2164">
        <v>0.82</v>
      </c>
      <c r="R2164">
        <v>668</v>
      </c>
      <c r="S2164">
        <v>8.33</v>
      </c>
      <c r="T2164">
        <v>0.59</v>
      </c>
      <c r="U2164" s="1">
        <v>45544</v>
      </c>
      <c r="V2164">
        <v>39.17</v>
      </c>
      <c r="W2164">
        <v>0.627</v>
      </c>
      <c r="X2164" t="str">
        <f>IF(WarehouseData[[#This Row],[stock_level]]&lt;=WarehouseData[[#This Row],[reorder_point]],"Low Stock","Sufficient Stock")</f>
        <v>Sufficient Stock</v>
      </c>
      <c r="Y2164">
        <f>WarehouseData[[#This Row],[daily_demand]]*WarehouseData[[#This Row],[lead_time_days]]</f>
        <v>51.179999999999993</v>
      </c>
      <c r="Z2164" t="str">
        <f>IF(WarehouseData[[#This Row],[stock_level]]&lt;=WarehouseData[[#This Row],[Demand During Lead Time]],"At Risk","Safe")</f>
        <v>Safe</v>
      </c>
      <c r="AA2164">
        <f>WarehouseData[[#This Row],[stock_level]]/WarehouseData[[#This Row],[daily_demand]]</f>
        <v>14.771395076201642</v>
      </c>
      <c r="AB2164">
        <f>WarehouseData[[#This Row],[stock_level]]*WarehouseData[[#This Row],[unit_price]]</f>
        <v>16538.759999999998</v>
      </c>
      <c r="AC2164">
        <f>WarehouseData[[#This Row],[stock_level]]*WarehouseData[[#This Row],[holding_cost_per_unit_day]]*30</f>
        <v>5518.8</v>
      </c>
      <c r="AD2164" t="str">
        <f>IF(WarehouseData[[#This Row],[order_fulfillment_rate]]&gt;=0.9,"Strong",IF(WarehouseData[[#This Row],[order_fulfillment_rate]]&gt;=0.8,"Moderate","Needs Attention"))</f>
        <v>Moderate</v>
      </c>
      <c r="AE2164" t="str">
        <f>IF(WarehouseData[[#This Row],[picking_time_seconds]]&gt;120,"Slow",IF(WarehouseData[[#This Row],[picking_time_seconds]]&gt;=60,"Average","Fast"))</f>
        <v>Fast</v>
      </c>
    </row>
    <row r="2165" spans="1:31" x14ac:dyDescent="0.25">
      <c r="A2165" t="s">
        <v>2303</v>
      </c>
      <c r="B2165" t="s">
        <v>48</v>
      </c>
      <c r="C2165">
        <v>251</v>
      </c>
      <c r="D2165">
        <v>50</v>
      </c>
      <c r="E2165">
        <v>5</v>
      </c>
      <c r="F2165">
        <v>2</v>
      </c>
      <c r="G2165">
        <v>31.2</v>
      </c>
      <c r="H2165">
        <v>6.58</v>
      </c>
      <c r="I2165">
        <v>0.71</v>
      </c>
      <c r="J2165" t="s">
        <v>178</v>
      </c>
      <c r="K2165" t="s">
        <v>34</v>
      </c>
      <c r="L2165">
        <v>166</v>
      </c>
      <c r="M2165">
        <v>3.99</v>
      </c>
      <c r="N2165">
        <v>148.56</v>
      </c>
      <c r="O2165">
        <v>0.89</v>
      </c>
      <c r="P2165">
        <v>6</v>
      </c>
      <c r="Q2165">
        <v>0.88</v>
      </c>
      <c r="R2165">
        <v>300</v>
      </c>
      <c r="S2165">
        <v>6.41</v>
      </c>
      <c r="T2165">
        <v>0.65</v>
      </c>
      <c r="U2165" s="1">
        <v>45363</v>
      </c>
      <c r="V2165">
        <v>153.99</v>
      </c>
      <c r="W2165">
        <v>0.58199999999999996</v>
      </c>
      <c r="X2165" t="str">
        <f>IF(WarehouseData[[#This Row],[stock_level]]&lt;=WarehouseData[[#This Row],[reorder_point]],"Low Stock","Sufficient Stock")</f>
        <v>Sufficient Stock</v>
      </c>
      <c r="Y2165">
        <f>WarehouseData[[#This Row],[daily_demand]]*WarehouseData[[#This Row],[lead_time_days]]</f>
        <v>62.4</v>
      </c>
      <c r="Z2165" t="str">
        <f>IF(WarehouseData[[#This Row],[stock_level]]&lt;=WarehouseData[[#This Row],[Demand During Lead Time]],"At Risk","Safe")</f>
        <v>Safe</v>
      </c>
      <c r="AA2165">
        <f>WarehouseData[[#This Row],[stock_level]]/WarehouseData[[#This Row],[daily_demand]]</f>
        <v>8.0448717948717956</v>
      </c>
      <c r="AB2165">
        <f>WarehouseData[[#This Row],[stock_level]]*WarehouseData[[#This Row],[unit_price]]</f>
        <v>37288.559999999998</v>
      </c>
      <c r="AC2165">
        <f>WarehouseData[[#This Row],[stock_level]]*WarehouseData[[#This Row],[holding_cost_per_unit_day]]*30</f>
        <v>6701.7000000000007</v>
      </c>
      <c r="AD2165" t="str">
        <f>IF(WarehouseData[[#This Row],[order_fulfillment_rate]]&gt;=0.9,"Strong",IF(WarehouseData[[#This Row],[order_fulfillment_rate]]&gt;=0.8,"Moderate","Needs Attention"))</f>
        <v>Moderate</v>
      </c>
      <c r="AE2165" t="str">
        <f>IF(WarehouseData[[#This Row],[picking_time_seconds]]&gt;120,"Slow",IF(WarehouseData[[#This Row],[picking_time_seconds]]&gt;=60,"Average","Fast"))</f>
        <v>Slow</v>
      </c>
    </row>
    <row r="2166" spans="1:31" x14ac:dyDescent="0.25">
      <c r="A2166" t="s">
        <v>2304</v>
      </c>
      <c r="B2166" t="s">
        <v>32</v>
      </c>
      <c r="C2166">
        <v>61</v>
      </c>
      <c r="D2166">
        <v>92</v>
      </c>
      <c r="E2166">
        <v>13</v>
      </c>
      <c r="F2166">
        <v>4</v>
      </c>
      <c r="G2166">
        <v>8.6</v>
      </c>
      <c r="H2166">
        <v>3.08</v>
      </c>
      <c r="I2166">
        <v>0.32</v>
      </c>
      <c r="J2166" t="s">
        <v>51</v>
      </c>
      <c r="K2166" t="s">
        <v>34</v>
      </c>
      <c r="L2166">
        <v>137</v>
      </c>
      <c r="M2166">
        <v>0.76</v>
      </c>
      <c r="N2166">
        <v>119.82</v>
      </c>
      <c r="O2166">
        <v>0.32</v>
      </c>
      <c r="P2166">
        <v>5</v>
      </c>
      <c r="Q2166">
        <v>0.79</v>
      </c>
      <c r="R2166">
        <v>412</v>
      </c>
      <c r="S2166">
        <v>7.71</v>
      </c>
      <c r="T2166">
        <v>0.51</v>
      </c>
      <c r="U2166" s="1">
        <v>45501</v>
      </c>
      <c r="V2166">
        <v>284.75</v>
      </c>
      <c r="W2166">
        <v>0.63100000000000001</v>
      </c>
      <c r="X2166" t="str">
        <f>IF(WarehouseData[[#This Row],[stock_level]]&lt;=WarehouseData[[#This Row],[reorder_point]],"Low Stock","Sufficient Stock")</f>
        <v>Low Stock</v>
      </c>
      <c r="Y2166">
        <f>WarehouseData[[#This Row],[daily_demand]]*WarehouseData[[#This Row],[lead_time_days]]</f>
        <v>34.4</v>
      </c>
      <c r="Z2166" t="str">
        <f>IF(WarehouseData[[#This Row],[stock_level]]&lt;=WarehouseData[[#This Row],[Demand During Lead Time]],"At Risk","Safe")</f>
        <v>Safe</v>
      </c>
      <c r="AA2166">
        <f>WarehouseData[[#This Row],[stock_level]]/WarehouseData[[#This Row],[daily_demand]]</f>
        <v>7.0930232558139537</v>
      </c>
      <c r="AB2166">
        <f>WarehouseData[[#This Row],[stock_level]]*WarehouseData[[#This Row],[unit_price]]</f>
        <v>7309.0199999999995</v>
      </c>
      <c r="AC2166">
        <f>WarehouseData[[#This Row],[stock_level]]*WarehouseData[[#This Row],[holding_cost_per_unit_day]]*30</f>
        <v>585.6</v>
      </c>
      <c r="AD2166" t="str">
        <f>IF(WarehouseData[[#This Row],[order_fulfillment_rate]]&gt;=0.9,"Strong",IF(WarehouseData[[#This Row],[order_fulfillment_rate]]&gt;=0.8,"Moderate","Needs Attention"))</f>
        <v>Needs Attention</v>
      </c>
      <c r="AE2166" t="str">
        <f>IF(WarehouseData[[#This Row],[picking_time_seconds]]&gt;120,"Slow",IF(WarehouseData[[#This Row],[picking_time_seconds]]&gt;=60,"Average","Fast"))</f>
        <v>Slow</v>
      </c>
    </row>
    <row r="2167" spans="1:31" x14ac:dyDescent="0.25">
      <c r="A2167" t="s">
        <v>2305</v>
      </c>
      <c r="B2167" t="s">
        <v>40</v>
      </c>
      <c r="C2167">
        <v>209</v>
      </c>
      <c r="D2167">
        <v>91</v>
      </c>
      <c r="E2167">
        <v>13</v>
      </c>
      <c r="F2167">
        <v>8</v>
      </c>
      <c r="G2167">
        <v>29.26</v>
      </c>
      <c r="H2167">
        <v>4.3099999999999996</v>
      </c>
      <c r="I2167">
        <v>0.64</v>
      </c>
      <c r="J2167" t="s">
        <v>41</v>
      </c>
      <c r="K2167" t="s">
        <v>46</v>
      </c>
      <c r="L2167">
        <v>160</v>
      </c>
      <c r="M2167">
        <v>2.92</v>
      </c>
      <c r="N2167">
        <v>170.16</v>
      </c>
      <c r="O2167">
        <v>0.22</v>
      </c>
      <c r="P2167">
        <v>0</v>
      </c>
      <c r="Q2167">
        <v>0.75</v>
      </c>
      <c r="R2167">
        <v>156</v>
      </c>
      <c r="S2167">
        <v>8.17</v>
      </c>
      <c r="T2167">
        <v>0.97</v>
      </c>
      <c r="U2167" s="1">
        <v>45346</v>
      </c>
      <c r="V2167">
        <v>108.29</v>
      </c>
      <c r="W2167">
        <v>0.83099999999999996</v>
      </c>
      <c r="X2167" t="str">
        <f>IF(WarehouseData[[#This Row],[stock_level]]&lt;=WarehouseData[[#This Row],[reorder_point]],"Low Stock","Sufficient Stock")</f>
        <v>Sufficient Stock</v>
      </c>
      <c r="Y2167">
        <f>WarehouseData[[#This Row],[daily_demand]]*WarehouseData[[#This Row],[lead_time_days]]</f>
        <v>234.08</v>
      </c>
      <c r="Z2167" t="str">
        <f>IF(WarehouseData[[#This Row],[stock_level]]&lt;=WarehouseData[[#This Row],[Demand During Lead Time]],"At Risk","Safe")</f>
        <v>At Risk</v>
      </c>
      <c r="AA2167">
        <f>WarehouseData[[#This Row],[stock_level]]/WarehouseData[[#This Row],[daily_demand]]</f>
        <v>7.1428571428571423</v>
      </c>
      <c r="AB2167">
        <f>WarehouseData[[#This Row],[stock_level]]*WarehouseData[[#This Row],[unit_price]]</f>
        <v>35563.440000000002</v>
      </c>
      <c r="AC2167">
        <f>WarehouseData[[#This Row],[stock_level]]*WarehouseData[[#This Row],[holding_cost_per_unit_day]]*30</f>
        <v>1379.3999999999999</v>
      </c>
      <c r="AD2167" t="str">
        <f>IF(WarehouseData[[#This Row],[order_fulfillment_rate]]&gt;=0.9,"Strong",IF(WarehouseData[[#This Row],[order_fulfillment_rate]]&gt;=0.8,"Moderate","Needs Attention"))</f>
        <v>Needs Attention</v>
      </c>
      <c r="AE2167" t="str">
        <f>IF(WarehouseData[[#This Row],[picking_time_seconds]]&gt;120,"Slow",IF(WarehouseData[[#This Row],[picking_time_seconds]]&gt;=60,"Average","Fast"))</f>
        <v>Slow</v>
      </c>
    </row>
    <row r="2168" spans="1:31" x14ac:dyDescent="0.25">
      <c r="A2168" t="s">
        <v>2306</v>
      </c>
      <c r="B2168" t="s">
        <v>40</v>
      </c>
      <c r="C2168">
        <v>390</v>
      </c>
      <c r="D2168">
        <v>25</v>
      </c>
      <c r="E2168">
        <v>10</v>
      </c>
      <c r="F2168">
        <v>2</v>
      </c>
      <c r="G2168">
        <v>41.49</v>
      </c>
      <c r="H2168">
        <v>0.85</v>
      </c>
      <c r="I2168">
        <v>0.81</v>
      </c>
      <c r="J2168" t="s">
        <v>221</v>
      </c>
      <c r="K2168" t="s">
        <v>34</v>
      </c>
      <c r="L2168">
        <v>40</v>
      </c>
      <c r="M2168">
        <v>2.15</v>
      </c>
      <c r="N2168">
        <v>24.79</v>
      </c>
      <c r="O2168">
        <v>1.72</v>
      </c>
      <c r="P2168">
        <v>7</v>
      </c>
      <c r="Q2168">
        <v>0.92</v>
      </c>
      <c r="R2168">
        <v>555</v>
      </c>
      <c r="S2168">
        <v>10.69</v>
      </c>
      <c r="T2168">
        <v>0.31</v>
      </c>
      <c r="U2168" s="1">
        <v>45422</v>
      </c>
      <c r="V2168">
        <v>24.42</v>
      </c>
      <c r="W2168">
        <v>0.47699999999999998</v>
      </c>
      <c r="X2168" t="str">
        <f>IF(WarehouseData[[#This Row],[stock_level]]&lt;=WarehouseData[[#This Row],[reorder_point]],"Low Stock","Sufficient Stock")</f>
        <v>Sufficient Stock</v>
      </c>
      <c r="Y2168">
        <f>WarehouseData[[#This Row],[daily_demand]]*WarehouseData[[#This Row],[lead_time_days]]</f>
        <v>82.98</v>
      </c>
      <c r="Z2168" t="str">
        <f>IF(WarehouseData[[#This Row],[stock_level]]&lt;=WarehouseData[[#This Row],[Demand During Lead Time]],"At Risk","Safe")</f>
        <v>Safe</v>
      </c>
      <c r="AA2168">
        <f>WarehouseData[[#This Row],[stock_level]]/WarehouseData[[#This Row],[daily_demand]]</f>
        <v>9.3998553868402013</v>
      </c>
      <c r="AB2168">
        <f>WarehouseData[[#This Row],[stock_level]]*WarehouseData[[#This Row],[unit_price]]</f>
        <v>9668.1</v>
      </c>
      <c r="AC2168">
        <f>WarehouseData[[#This Row],[stock_level]]*WarehouseData[[#This Row],[holding_cost_per_unit_day]]*30</f>
        <v>20124</v>
      </c>
      <c r="AD2168" t="str">
        <f>IF(WarehouseData[[#This Row],[order_fulfillment_rate]]&gt;=0.9,"Strong",IF(WarehouseData[[#This Row],[order_fulfillment_rate]]&gt;=0.8,"Moderate","Needs Attention"))</f>
        <v>Strong</v>
      </c>
      <c r="AE2168" t="str">
        <f>IF(WarehouseData[[#This Row],[picking_time_seconds]]&gt;120,"Slow",IF(WarehouseData[[#This Row],[picking_time_seconds]]&gt;=60,"Average","Fast"))</f>
        <v>Fast</v>
      </c>
    </row>
    <row r="2169" spans="1:31" x14ac:dyDescent="0.25">
      <c r="A2169" t="s">
        <v>2307</v>
      </c>
      <c r="B2169" t="s">
        <v>36</v>
      </c>
      <c r="C2169">
        <v>158</v>
      </c>
      <c r="D2169">
        <v>13</v>
      </c>
      <c r="E2169">
        <v>6</v>
      </c>
      <c r="F2169">
        <v>5</v>
      </c>
      <c r="G2169">
        <v>3.08</v>
      </c>
      <c r="H2169">
        <v>7.8</v>
      </c>
      <c r="I2169">
        <v>0.13</v>
      </c>
      <c r="J2169" t="s">
        <v>122</v>
      </c>
      <c r="K2169" t="s">
        <v>46</v>
      </c>
      <c r="L2169">
        <v>158</v>
      </c>
      <c r="M2169">
        <v>1.1599999999999999</v>
      </c>
      <c r="N2169">
        <v>180.33</v>
      </c>
      <c r="O2169">
        <v>1.79</v>
      </c>
      <c r="P2169">
        <v>5</v>
      </c>
      <c r="Q2169">
        <v>0.97</v>
      </c>
      <c r="R2169">
        <v>491</v>
      </c>
      <c r="S2169">
        <v>11.51</v>
      </c>
      <c r="T2169">
        <v>0.85</v>
      </c>
      <c r="U2169" s="1">
        <v>45604</v>
      </c>
      <c r="V2169">
        <v>186.54</v>
      </c>
      <c r="W2169">
        <v>0.63800000000000001</v>
      </c>
      <c r="X2169" t="str">
        <f>IF(WarehouseData[[#This Row],[stock_level]]&lt;=WarehouseData[[#This Row],[reorder_point]],"Low Stock","Sufficient Stock")</f>
        <v>Sufficient Stock</v>
      </c>
      <c r="Y2169">
        <f>WarehouseData[[#This Row],[daily_demand]]*WarehouseData[[#This Row],[lead_time_days]]</f>
        <v>15.4</v>
      </c>
      <c r="Z2169" t="str">
        <f>IF(WarehouseData[[#This Row],[stock_level]]&lt;=WarehouseData[[#This Row],[Demand During Lead Time]],"At Risk","Safe")</f>
        <v>Safe</v>
      </c>
      <c r="AA2169">
        <f>WarehouseData[[#This Row],[stock_level]]/WarehouseData[[#This Row],[daily_demand]]</f>
        <v>51.298701298701296</v>
      </c>
      <c r="AB2169">
        <f>WarehouseData[[#This Row],[stock_level]]*WarehouseData[[#This Row],[unit_price]]</f>
        <v>28492.140000000003</v>
      </c>
      <c r="AC2169">
        <f>WarehouseData[[#This Row],[stock_level]]*WarehouseData[[#This Row],[holding_cost_per_unit_day]]*30</f>
        <v>8484.6</v>
      </c>
      <c r="AD2169" t="str">
        <f>IF(WarehouseData[[#This Row],[order_fulfillment_rate]]&gt;=0.9,"Strong",IF(WarehouseData[[#This Row],[order_fulfillment_rate]]&gt;=0.8,"Moderate","Needs Attention"))</f>
        <v>Strong</v>
      </c>
      <c r="AE2169" t="str">
        <f>IF(WarehouseData[[#This Row],[picking_time_seconds]]&gt;120,"Slow",IF(WarehouseData[[#This Row],[picking_time_seconds]]&gt;=60,"Average","Fast"))</f>
        <v>Slow</v>
      </c>
    </row>
    <row r="2170" spans="1:31" x14ac:dyDescent="0.25">
      <c r="A2170" t="s">
        <v>2308</v>
      </c>
      <c r="B2170" t="s">
        <v>40</v>
      </c>
      <c r="C2170">
        <v>122</v>
      </c>
      <c r="D2170">
        <v>21</v>
      </c>
      <c r="E2170">
        <v>12</v>
      </c>
      <c r="F2170">
        <v>8</v>
      </c>
      <c r="G2170">
        <v>21.57</v>
      </c>
      <c r="H2170">
        <v>8.4499999999999993</v>
      </c>
      <c r="I2170">
        <v>0.75</v>
      </c>
      <c r="J2170" t="s">
        <v>88</v>
      </c>
      <c r="K2170" t="s">
        <v>46</v>
      </c>
      <c r="L2170">
        <v>33</v>
      </c>
      <c r="M2170">
        <v>3.83</v>
      </c>
      <c r="N2170">
        <v>84.48</v>
      </c>
      <c r="O2170">
        <v>0.75</v>
      </c>
      <c r="P2170">
        <v>2</v>
      </c>
      <c r="Q2170">
        <v>0.76</v>
      </c>
      <c r="R2170">
        <v>166</v>
      </c>
      <c r="S2170">
        <v>14.65</v>
      </c>
      <c r="T2170">
        <v>0.72</v>
      </c>
      <c r="U2170" s="1">
        <v>45392</v>
      </c>
      <c r="V2170">
        <v>194.07</v>
      </c>
      <c r="W2170">
        <v>0.77600000000000002</v>
      </c>
      <c r="X2170" t="str">
        <f>IF(WarehouseData[[#This Row],[stock_level]]&lt;=WarehouseData[[#This Row],[reorder_point]],"Low Stock","Sufficient Stock")</f>
        <v>Sufficient Stock</v>
      </c>
      <c r="Y2170">
        <f>WarehouseData[[#This Row],[daily_demand]]*WarehouseData[[#This Row],[lead_time_days]]</f>
        <v>172.56</v>
      </c>
      <c r="Z2170" t="str">
        <f>IF(WarehouseData[[#This Row],[stock_level]]&lt;=WarehouseData[[#This Row],[Demand During Lead Time]],"At Risk","Safe")</f>
        <v>At Risk</v>
      </c>
      <c r="AA2170">
        <f>WarehouseData[[#This Row],[stock_level]]/WarehouseData[[#This Row],[daily_demand]]</f>
        <v>5.6560037088548913</v>
      </c>
      <c r="AB2170">
        <f>WarehouseData[[#This Row],[stock_level]]*WarehouseData[[#This Row],[unit_price]]</f>
        <v>10306.560000000001</v>
      </c>
      <c r="AC2170">
        <f>WarehouseData[[#This Row],[stock_level]]*WarehouseData[[#This Row],[holding_cost_per_unit_day]]*30</f>
        <v>2745</v>
      </c>
      <c r="AD2170" t="str">
        <f>IF(WarehouseData[[#This Row],[order_fulfillment_rate]]&gt;=0.9,"Strong",IF(WarehouseData[[#This Row],[order_fulfillment_rate]]&gt;=0.8,"Moderate","Needs Attention"))</f>
        <v>Needs Attention</v>
      </c>
      <c r="AE2170" t="str">
        <f>IF(WarehouseData[[#This Row],[picking_time_seconds]]&gt;120,"Slow",IF(WarehouseData[[#This Row],[picking_time_seconds]]&gt;=60,"Average","Fast"))</f>
        <v>Fast</v>
      </c>
    </row>
    <row r="2171" spans="1:31" x14ac:dyDescent="0.25">
      <c r="A2171" t="s">
        <v>2309</v>
      </c>
      <c r="B2171" t="s">
        <v>48</v>
      </c>
      <c r="C2171">
        <v>190</v>
      </c>
      <c r="D2171">
        <v>38</v>
      </c>
      <c r="E2171">
        <v>5</v>
      </c>
      <c r="F2171">
        <v>2</v>
      </c>
      <c r="G2171">
        <v>23.59</v>
      </c>
      <c r="H2171">
        <v>2.39</v>
      </c>
      <c r="I2171">
        <v>0.33</v>
      </c>
      <c r="J2171" t="s">
        <v>90</v>
      </c>
      <c r="K2171" t="s">
        <v>52</v>
      </c>
      <c r="L2171">
        <v>18</v>
      </c>
      <c r="M2171">
        <v>0.75</v>
      </c>
      <c r="N2171">
        <v>101.33</v>
      </c>
      <c r="O2171">
        <v>0.41</v>
      </c>
      <c r="P2171">
        <v>4</v>
      </c>
      <c r="Q2171">
        <v>0.98</v>
      </c>
      <c r="R2171">
        <v>294</v>
      </c>
      <c r="S2171">
        <v>7.13</v>
      </c>
      <c r="T2171">
        <v>0.83</v>
      </c>
      <c r="U2171" s="1">
        <v>45388</v>
      </c>
      <c r="V2171">
        <v>149.08000000000001</v>
      </c>
      <c r="W2171">
        <v>0.73599999999999999</v>
      </c>
      <c r="X2171" t="str">
        <f>IF(WarehouseData[[#This Row],[stock_level]]&lt;=WarehouseData[[#This Row],[reorder_point]],"Low Stock","Sufficient Stock")</f>
        <v>Sufficient Stock</v>
      </c>
      <c r="Y2171">
        <f>WarehouseData[[#This Row],[daily_demand]]*WarehouseData[[#This Row],[lead_time_days]]</f>
        <v>47.18</v>
      </c>
      <c r="Z2171" t="str">
        <f>IF(WarehouseData[[#This Row],[stock_level]]&lt;=WarehouseData[[#This Row],[Demand During Lead Time]],"At Risk","Safe")</f>
        <v>Safe</v>
      </c>
      <c r="AA2171">
        <f>WarehouseData[[#This Row],[stock_level]]/WarehouseData[[#This Row],[daily_demand]]</f>
        <v>8.0542602797795677</v>
      </c>
      <c r="AB2171">
        <f>WarehouseData[[#This Row],[stock_level]]*WarehouseData[[#This Row],[unit_price]]</f>
        <v>19252.7</v>
      </c>
      <c r="AC2171">
        <f>WarehouseData[[#This Row],[stock_level]]*WarehouseData[[#This Row],[holding_cost_per_unit_day]]*30</f>
        <v>2336.9999999999995</v>
      </c>
      <c r="AD2171" t="str">
        <f>IF(WarehouseData[[#This Row],[order_fulfillment_rate]]&gt;=0.9,"Strong",IF(WarehouseData[[#This Row],[order_fulfillment_rate]]&gt;=0.8,"Moderate","Needs Attention"))</f>
        <v>Strong</v>
      </c>
      <c r="AE2171" t="str">
        <f>IF(WarehouseData[[#This Row],[picking_time_seconds]]&gt;120,"Slow",IF(WarehouseData[[#This Row],[picking_time_seconds]]&gt;=60,"Average","Fast"))</f>
        <v>Fast</v>
      </c>
    </row>
    <row r="2172" spans="1:31" x14ac:dyDescent="0.25">
      <c r="A2172" t="s">
        <v>2310</v>
      </c>
      <c r="B2172" t="s">
        <v>48</v>
      </c>
      <c r="C2172">
        <v>370</v>
      </c>
      <c r="D2172">
        <v>16</v>
      </c>
      <c r="E2172">
        <v>8</v>
      </c>
      <c r="F2172">
        <v>8</v>
      </c>
      <c r="G2172">
        <v>39.76</v>
      </c>
      <c r="H2172">
        <v>2.41</v>
      </c>
      <c r="I2172">
        <v>0.95</v>
      </c>
      <c r="J2172" t="s">
        <v>401</v>
      </c>
      <c r="K2172" t="s">
        <v>38</v>
      </c>
      <c r="L2172">
        <v>159</v>
      </c>
      <c r="M2172">
        <v>1.93</v>
      </c>
      <c r="N2172">
        <v>94.5</v>
      </c>
      <c r="O2172">
        <v>1.96</v>
      </c>
      <c r="P2172">
        <v>6</v>
      </c>
      <c r="Q2172">
        <v>0.74</v>
      </c>
      <c r="R2172">
        <v>128</v>
      </c>
      <c r="S2172">
        <v>2.16</v>
      </c>
      <c r="T2172">
        <v>0.96</v>
      </c>
      <c r="U2172" s="1">
        <v>45353</v>
      </c>
      <c r="V2172">
        <v>125.09</v>
      </c>
      <c r="W2172">
        <v>0.45300000000000001</v>
      </c>
      <c r="X2172" t="str">
        <f>IF(WarehouseData[[#This Row],[stock_level]]&lt;=WarehouseData[[#This Row],[reorder_point]],"Low Stock","Sufficient Stock")</f>
        <v>Sufficient Stock</v>
      </c>
      <c r="Y2172">
        <f>WarehouseData[[#This Row],[daily_demand]]*WarehouseData[[#This Row],[lead_time_days]]</f>
        <v>318.08</v>
      </c>
      <c r="Z2172" t="str">
        <f>IF(WarehouseData[[#This Row],[stock_level]]&lt;=WarehouseData[[#This Row],[Demand During Lead Time]],"At Risk","Safe")</f>
        <v>Safe</v>
      </c>
      <c r="AA2172">
        <f>WarehouseData[[#This Row],[stock_level]]/WarehouseData[[#This Row],[daily_demand]]</f>
        <v>9.3058350100603633</v>
      </c>
      <c r="AB2172">
        <f>WarehouseData[[#This Row],[stock_level]]*WarehouseData[[#This Row],[unit_price]]</f>
        <v>34965</v>
      </c>
      <c r="AC2172">
        <f>WarehouseData[[#This Row],[stock_level]]*WarehouseData[[#This Row],[holding_cost_per_unit_day]]*30</f>
        <v>21755.999999999996</v>
      </c>
      <c r="AD2172" t="str">
        <f>IF(WarehouseData[[#This Row],[order_fulfillment_rate]]&gt;=0.9,"Strong",IF(WarehouseData[[#This Row],[order_fulfillment_rate]]&gt;=0.8,"Moderate","Needs Attention"))</f>
        <v>Needs Attention</v>
      </c>
      <c r="AE2172" t="str">
        <f>IF(WarehouseData[[#This Row],[picking_time_seconds]]&gt;120,"Slow",IF(WarehouseData[[#This Row],[picking_time_seconds]]&gt;=60,"Average","Fast"))</f>
        <v>Slow</v>
      </c>
    </row>
    <row r="2173" spans="1:31" x14ac:dyDescent="0.25">
      <c r="A2173" t="s">
        <v>2311</v>
      </c>
      <c r="B2173" t="s">
        <v>73</v>
      </c>
      <c r="C2173">
        <v>292</v>
      </c>
      <c r="D2173">
        <v>23</v>
      </c>
      <c r="E2173">
        <v>10</v>
      </c>
      <c r="F2173">
        <v>3</v>
      </c>
      <c r="G2173">
        <v>23.93</v>
      </c>
      <c r="H2173">
        <v>0.9</v>
      </c>
      <c r="I2173">
        <v>0.57999999999999996</v>
      </c>
      <c r="J2173" t="s">
        <v>240</v>
      </c>
      <c r="K2173" t="s">
        <v>34</v>
      </c>
      <c r="L2173">
        <v>141</v>
      </c>
      <c r="M2173">
        <v>3.03</v>
      </c>
      <c r="N2173">
        <v>110.94</v>
      </c>
      <c r="O2173">
        <v>1.1399999999999999</v>
      </c>
      <c r="P2173">
        <v>8</v>
      </c>
      <c r="Q2173">
        <v>0.92</v>
      </c>
      <c r="R2173">
        <v>790</v>
      </c>
      <c r="S2173">
        <v>10.63</v>
      </c>
      <c r="T2173">
        <v>0.6</v>
      </c>
      <c r="U2173" s="1">
        <v>45493</v>
      </c>
      <c r="V2173">
        <v>268.87</v>
      </c>
      <c r="W2173">
        <v>0.57199999999999995</v>
      </c>
      <c r="X2173" t="str">
        <f>IF(WarehouseData[[#This Row],[stock_level]]&lt;=WarehouseData[[#This Row],[reorder_point]],"Low Stock","Sufficient Stock")</f>
        <v>Sufficient Stock</v>
      </c>
      <c r="Y2173">
        <f>WarehouseData[[#This Row],[daily_demand]]*WarehouseData[[#This Row],[lead_time_days]]</f>
        <v>71.789999999999992</v>
      </c>
      <c r="Z2173" t="str">
        <f>IF(WarehouseData[[#This Row],[stock_level]]&lt;=WarehouseData[[#This Row],[Demand During Lead Time]],"At Risk","Safe")</f>
        <v>Safe</v>
      </c>
      <c r="AA2173">
        <f>WarehouseData[[#This Row],[stock_level]]/WarehouseData[[#This Row],[daily_demand]]</f>
        <v>12.202256581696615</v>
      </c>
      <c r="AB2173">
        <f>WarehouseData[[#This Row],[stock_level]]*WarehouseData[[#This Row],[unit_price]]</f>
        <v>32394.48</v>
      </c>
      <c r="AC2173">
        <f>WarehouseData[[#This Row],[stock_level]]*WarehouseData[[#This Row],[holding_cost_per_unit_day]]*30</f>
        <v>9986.4</v>
      </c>
      <c r="AD2173" t="str">
        <f>IF(WarehouseData[[#This Row],[order_fulfillment_rate]]&gt;=0.9,"Strong",IF(WarehouseData[[#This Row],[order_fulfillment_rate]]&gt;=0.8,"Moderate","Needs Attention"))</f>
        <v>Strong</v>
      </c>
      <c r="AE2173" t="str">
        <f>IF(WarehouseData[[#This Row],[picking_time_seconds]]&gt;120,"Slow",IF(WarehouseData[[#This Row],[picking_time_seconds]]&gt;=60,"Average","Fast"))</f>
        <v>Slow</v>
      </c>
    </row>
    <row r="2174" spans="1:31" x14ac:dyDescent="0.25">
      <c r="A2174" t="s">
        <v>2312</v>
      </c>
      <c r="B2174" t="s">
        <v>48</v>
      </c>
      <c r="C2174">
        <v>435</v>
      </c>
      <c r="D2174">
        <v>21</v>
      </c>
      <c r="E2174">
        <v>11</v>
      </c>
      <c r="F2174">
        <v>4</v>
      </c>
      <c r="G2174">
        <v>28.81</v>
      </c>
      <c r="H2174">
        <v>9.7200000000000006</v>
      </c>
      <c r="I2174">
        <v>0.13</v>
      </c>
      <c r="J2174" t="s">
        <v>54</v>
      </c>
      <c r="K2174" t="s">
        <v>34</v>
      </c>
      <c r="L2174">
        <v>86</v>
      </c>
      <c r="M2174">
        <v>2.31</v>
      </c>
      <c r="N2174">
        <v>123.65</v>
      </c>
      <c r="O2174">
        <v>1.01</v>
      </c>
      <c r="P2174">
        <v>3</v>
      </c>
      <c r="Q2174">
        <v>0.99</v>
      </c>
      <c r="R2174">
        <v>535</v>
      </c>
      <c r="S2174">
        <v>7.98</v>
      </c>
      <c r="T2174">
        <v>0.43</v>
      </c>
      <c r="U2174" s="1">
        <v>45402</v>
      </c>
      <c r="V2174">
        <v>282.14999999999998</v>
      </c>
      <c r="W2174">
        <v>0.629</v>
      </c>
      <c r="X2174" t="str">
        <f>IF(WarehouseData[[#This Row],[stock_level]]&lt;=WarehouseData[[#This Row],[reorder_point]],"Low Stock","Sufficient Stock")</f>
        <v>Sufficient Stock</v>
      </c>
      <c r="Y2174">
        <f>WarehouseData[[#This Row],[daily_demand]]*WarehouseData[[#This Row],[lead_time_days]]</f>
        <v>115.24</v>
      </c>
      <c r="Z2174" t="str">
        <f>IF(WarehouseData[[#This Row],[stock_level]]&lt;=WarehouseData[[#This Row],[Demand During Lead Time]],"At Risk","Safe")</f>
        <v>Safe</v>
      </c>
      <c r="AA2174">
        <f>WarehouseData[[#This Row],[stock_level]]/WarehouseData[[#This Row],[daily_demand]]</f>
        <v>15.098923984727525</v>
      </c>
      <c r="AB2174">
        <f>WarehouseData[[#This Row],[stock_level]]*WarehouseData[[#This Row],[unit_price]]</f>
        <v>53787.75</v>
      </c>
      <c r="AC2174">
        <f>WarehouseData[[#This Row],[stock_level]]*WarehouseData[[#This Row],[holding_cost_per_unit_day]]*30</f>
        <v>13180.5</v>
      </c>
      <c r="AD2174" t="str">
        <f>IF(WarehouseData[[#This Row],[order_fulfillment_rate]]&gt;=0.9,"Strong",IF(WarehouseData[[#This Row],[order_fulfillment_rate]]&gt;=0.8,"Moderate","Needs Attention"))</f>
        <v>Strong</v>
      </c>
      <c r="AE2174" t="str">
        <f>IF(WarehouseData[[#This Row],[picking_time_seconds]]&gt;120,"Slow",IF(WarehouseData[[#This Row],[picking_time_seconds]]&gt;=60,"Average","Fast"))</f>
        <v>Average</v>
      </c>
    </row>
    <row r="2175" spans="1:31" x14ac:dyDescent="0.25">
      <c r="A2175" t="s">
        <v>2313</v>
      </c>
      <c r="B2175" t="s">
        <v>40</v>
      </c>
      <c r="C2175">
        <v>240</v>
      </c>
      <c r="D2175">
        <v>14</v>
      </c>
      <c r="E2175">
        <v>8</v>
      </c>
      <c r="F2175">
        <v>4</v>
      </c>
      <c r="G2175">
        <v>39.770000000000003</v>
      </c>
      <c r="H2175">
        <v>8.17</v>
      </c>
      <c r="I2175">
        <v>0.46</v>
      </c>
      <c r="J2175" t="s">
        <v>70</v>
      </c>
      <c r="K2175" t="s">
        <v>38</v>
      </c>
      <c r="L2175">
        <v>140</v>
      </c>
      <c r="M2175">
        <v>1.67</v>
      </c>
      <c r="N2175">
        <v>144.97</v>
      </c>
      <c r="O2175">
        <v>1.51</v>
      </c>
      <c r="P2175">
        <v>1</v>
      </c>
      <c r="Q2175">
        <v>0.74</v>
      </c>
      <c r="R2175">
        <v>72</v>
      </c>
      <c r="S2175">
        <v>12.77</v>
      </c>
      <c r="T2175">
        <v>0.82</v>
      </c>
      <c r="U2175" s="1">
        <v>45526</v>
      </c>
      <c r="V2175">
        <v>205.22</v>
      </c>
      <c r="W2175">
        <v>0.71099999999999997</v>
      </c>
      <c r="X2175" t="str">
        <f>IF(WarehouseData[[#This Row],[stock_level]]&lt;=WarehouseData[[#This Row],[reorder_point]],"Low Stock","Sufficient Stock")</f>
        <v>Sufficient Stock</v>
      </c>
      <c r="Y2175">
        <f>WarehouseData[[#This Row],[daily_demand]]*WarehouseData[[#This Row],[lead_time_days]]</f>
        <v>159.08000000000001</v>
      </c>
      <c r="Z2175" t="str">
        <f>IF(WarehouseData[[#This Row],[stock_level]]&lt;=WarehouseData[[#This Row],[Demand During Lead Time]],"At Risk","Safe")</f>
        <v>Safe</v>
      </c>
      <c r="AA2175">
        <f>WarehouseData[[#This Row],[stock_level]]/WarehouseData[[#This Row],[daily_demand]]</f>
        <v>6.0346995222529536</v>
      </c>
      <c r="AB2175">
        <f>WarehouseData[[#This Row],[stock_level]]*WarehouseData[[#This Row],[unit_price]]</f>
        <v>34792.800000000003</v>
      </c>
      <c r="AC2175">
        <f>WarehouseData[[#This Row],[stock_level]]*WarehouseData[[#This Row],[holding_cost_per_unit_day]]*30</f>
        <v>10872</v>
      </c>
      <c r="AD2175" t="str">
        <f>IF(WarehouseData[[#This Row],[order_fulfillment_rate]]&gt;=0.9,"Strong",IF(WarehouseData[[#This Row],[order_fulfillment_rate]]&gt;=0.8,"Moderate","Needs Attention"))</f>
        <v>Needs Attention</v>
      </c>
      <c r="AE2175" t="str">
        <f>IF(WarehouseData[[#This Row],[picking_time_seconds]]&gt;120,"Slow",IF(WarehouseData[[#This Row],[picking_time_seconds]]&gt;=60,"Average","Fast"))</f>
        <v>Slow</v>
      </c>
    </row>
    <row r="2176" spans="1:31" x14ac:dyDescent="0.25">
      <c r="A2176" t="s">
        <v>2314</v>
      </c>
      <c r="B2176" t="s">
        <v>48</v>
      </c>
      <c r="C2176">
        <v>232</v>
      </c>
      <c r="D2176">
        <v>90</v>
      </c>
      <c r="E2176">
        <v>7</v>
      </c>
      <c r="F2176">
        <v>9</v>
      </c>
      <c r="G2176">
        <v>28.43</v>
      </c>
      <c r="H2176">
        <v>3.93</v>
      </c>
      <c r="I2176">
        <v>0.97</v>
      </c>
      <c r="J2176" t="s">
        <v>477</v>
      </c>
      <c r="K2176" t="s">
        <v>38</v>
      </c>
      <c r="L2176">
        <v>129</v>
      </c>
      <c r="M2176">
        <v>4.67</v>
      </c>
      <c r="N2176">
        <v>109.74</v>
      </c>
      <c r="O2176">
        <v>0.42</v>
      </c>
      <c r="P2176">
        <v>2</v>
      </c>
      <c r="Q2176">
        <v>0.83</v>
      </c>
      <c r="R2176">
        <v>246</v>
      </c>
      <c r="S2176">
        <v>3.05</v>
      </c>
      <c r="T2176">
        <v>0.88</v>
      </c>
      <c r="U2176" s="1">
        <v>45389</v>
      </c>
      <c r="V2176">
        <v>155.36000000000001</v>
      </c>
      <c r="W2176">
        <v>0.70099999999999996</v>
      </c>
      <c r="X2176" t="str">
        <f>IF(WarehouseData[[#This Row],[stock_level]]&lt;=WarehouseData[[#This Row],[reorder_point]],"Low Stock","Sufficient Stock")</f>
        <v>Sufficient Stock</v>
      </c>
      <c r="Y2176">
        <f>WarehouseData[[#This Row],[daily_demand]]*WarehouseData[[#This Row],[lead_time_days]]</f>
        <v>255.87</v>
      </c>
      <c r="Z2176" t="str">
        <f>IF(WarehouseData[[#This Row],[stock_level]]&lt;=WarehouseData[[#This Row],[Demand During Lead Time]],"At Risk","Safe")</f>
        <v>At Risk</v>
      </c>
      <c r="AA2176">
        <f>WarehouseData[[#This Row],[stock_level]]/WarehouseData[[#This Row],[daily_demand]]</f>
        <v>8.1603939500527609</v>
      </c>
      <c r="AB2176">
        <f>WarehouseData[[#This Row],[stock_level]]*WarehouseData[[#This Row],[unit_price]]</f>
        <v>25459.68</v>
      </c>
      <c r="AC2176">
        <f>WarehouseData[[#This Row],[stock_level]]*WarehouseData[[#This Row],[holding_cost_per_unit_day]]*30</f>
        <v>2923.2</v>
      </c>
      <c r="AD2176" t="str">
        <f>IF(WarehouseData[[#This Row],[order_fulfillment_rate]]&gt;=0.9,"Strong",IF(WarehouseData[[#This Row],[order_fulfillment_rate]]&gt;=0.8,"Moderate","Needs Attention"))</f>
        <v>Moderate</v>
      </c>
      <c r="AE2176" t="str">
        <f>IF(WarehouseData[[#This Row],[picking_time_seconds]]&gt;120,"Slow",IF(WarehouseData[[#This Row],[picking_time_seconds]]&gt;=60,"Average","Fast"))</f>
        <v>Slow</v>
      </c>
    </row>
    <row r="2177" spans="1:31" x14ac:dyDescent="0.25">
      <c r="A2177" t="s">
        <v>2315</v>
      </c>
      <c r="B2177" t="s">
        <v>36</v>
      </c>
      <c r="C2177">
        <v>360</v>
      </c>
      <c r="D2177">
        <v>41</v>
      </c>
      <c r="E2177">
        <v>14</v>
      </c>
      <c r="F2177">
        <v>8</v>
      </c>
      <c r="G2177">
        <v>18.559999999999999</v>
      </c>
      <c r="H2177">
        <v>5.08</v>
      </c>
      <c r="I2177">
        <v>0.76</v>
      </c>
      <c r="J2177" t="s">
        <v>357</v>
      </c>
      <c r="K2177" t="s">
        <v>38</v>
      </c>
      <c r="L2177">
        <v>165</v>
      </c>
      <c r="M2177">
        <v>4.6900000000000004</v>
      </c>
      <c r="N2177">
        <v>140.11000000000001</v>
      </c>
      <c r="O2177">
        <v>1.2</v>
      </c>
      <c r="P2177">
        <v>6</v>
      </c>
      <c r="Q2177">
        <v>0.8</v>
      </c>
      <c r="R2177">
        <v>410</v>
      </c>
      <c r="S2177">
        <v>10.029999999999999</v>
      </c>
      <c r="T2177">
        <v>0.75</v>
      </c>
      <c r="U2177" s="1">
        <v>45465</v>
      </c>
      <c r="V2177">
        <v>29.59</v>
      </c>
      <c r="W2177">
        <v>0.60399999999999998</v>
      </c>
      <c r="X2177" t="str">
        <f>IF(WarehouseData[[#This Row],[stock_level]]&lt;=WarehouseData[[#This Row],[reorder_point]],"Low Stock","Sufficient Stock")</f>
        <v>Sufficient Stock</v>
      </c>
      <c r="Y2177">
        <f>WarehouseData[[#This Row],[daily_demand]]*WarehouseData[[#This Row],[lead_time_days]]</f>
        <v>148.47999999999999</v>
      </c>
      <c r="Z2177" t="str">
        <f>IF(WarehouseData[[#This Row],[stock_level]]&lt;=WarehouseData[[#This Row],[Demand During Lead Time]],"At Risk","Safe")</f>
        <v>Safe</v>
      </c>
      <c r="AA2177">
        <f>WarehouseData[[#This Row],[stock_level]]/WarehouseData[[#This Row],[daily_demand]]</f>
        <v>19.396551724137932</v>
      </c>
      <c r="AB2177">
        <f>WarehouseData[[#This Row],[stock_level]]*WarehouseData[[#This Row],[unit_price]]</f>
        <v>50439.600000000006</v>
      </c>
      <c r="AC2177">
        <f>WarehouseData[[#This Row],[stock_level]]*WarehouseData[[#This Row],[holding_cost_per_unit_day]]*30</f>
        <v>12960</v>
      </c>
      <c r="AD2177" t="str">
        <f>IF(WarehouseData[[#This Row],[order_fulfillment_rate]]&gt;=0.9,"Strong",IF(WarehouseData[[#This Row],[order_fulfillment_rate]]&gt;=0.8,"Moderate","Needs Attention"))</f>
        <v>Moderate</v>
      </c>
      <c r="AE2177" t="str">
        <f>IF(WarehouseData[[#This Row],[picking_time_seconds]]&gt;120,"Slow",IF(WarehouseData[[#This Row],[picking_time_seconds]]&gt;=60,"Average","Fast"))</f>
        <v>Slow</v>
      </c>
    </row>
    <row r="2178" spans="1:31" x14ac:dyDescent="0.25">
      <c r="A2178" t="s">
        <v>2316</v>
      </c>
      <c r="B2178" t="s">
        <v>73</v>
      </c>
      <c r="C2178">
        <v>443</v>
      </c>
      <c r="D2178">
        <v>83</v>
      </c>
      <c r="E2178">
        <v>13</v>
      </c>
      <c r="F2178">
        <v>9</v>
      </c>
      <c r="G2178">
        <v>5.21</v>
      </c>
      <c r="H2178">
        <v>3.27</v>
      </c>
      <c r="I2178">
        <v>0.37</v>
      </c>
      <c r="J2178" t="s">
        <v>92</v>
      </c>
      <c r="K2178" t="s">
        <v>38</v>
      </c>
      <c r="L2178">
        <v>99</v>
      </c>
      <c r="M2178">
        <v>2.37</v>
      </c>
      <c r="N2178">
        <v>74.28</v>
      </c>
      <c r="O2178">
        <v>1.79</v>
      </c>
      <c r="P2178">
        <v>7</v>
      </c>
      <c r="Q2178">
        <v>0.82</v>
      </c>
      <c r="R2178">
        <v>749</v>
      </c>
      <c r="S2178">
        <v>7.43</v>
      </c>
      <c r="T2178">
        <v>0.88</v>
      </c>
      <c r="U2178" s="1">
        <v>45347</v>
      </c>
      <c r="V2178">
        <v>97.3</v>
      </c>
      <c r="W2178">
        <v>0.52</v>
      </c>
      <c r="X2178" t="str">
        <f>IF(WarehouseData[[#This Row],[stock_level]]&lt;=WarehouseData[[#This Row],[reorder_point]],"Low Stock","Sufficient Stock")</f>
        <v>Sufficient Stock</v>
      </c>
      <c r="Y2178">
        <f>WarehouseData[[#This Row],[daily_demand]]*WarehouseData[[#This Row],[lead_time_days]]</f>
        <v>46.89</v>
      </c>
      <c r="Z2178" t="str">
        <f>IF(WarehouseData[[#This Row],[stock_level]]&lt;=WarehouseData[[#This Row],[Demand During Lead Time]],"At Risk","Safe")</f>
        <v>Safe</v>
      </c>
      <c r="AA2178">
        <f>WarehouseData[[#This Row],[stock_level]]/WarehouseData[[#This Row],[daily_demand]]</f>
        <v>85.028790786948178</v>
      </c>
      <c r="AB2178">
        <f>WarehouseData[[#This Row],[stock_level]]*WarehouseData[[#This Row],[unit_price]]</f>
        <v>32906.04</v>
      </c>
      <c r="AC2178">
        <f>WarehouseData[[#This Row],[stock_level]]*WarehouseData[[#This Row],[holding_cost_per_unit_day]]*30</f>
        <v>23789.100000000002</v>
      </c>
      <c r="AD2178" t="str">
        <f>IF(WarehouseData[[#This Row],[order_fulfillment_rate]]&gt;=0.9,"Strong",IF(WarehouseData[[#This Row],[order_fulfillment_rate]]&gt;=0.8,"Moderate","Needs Attention"))</f>
        <v>Moderate</v>
      </c>
      <c r="AE2178" t="str">
        <f>IF(WarehouseData[[#This Row],[picking_time_seconds]]&gt;120,"Slow",IF(WarehouseData[[#This Row],[picking_time_seconds]]&gt;=60,"Average","Fast"))</f>
        <v>Average</v>
      </c>
    </row>
    <row r="2179" spans="1:31" x14ac:dyDescent="0.25">
      <c r="A2179" t="s">
        <v>2317</v>
      </c>
      <c r="B2179" t="s">
        <v>40</v>
      </c>
      <c r="C2179">
        <v>426</v>
      </c>
      <c r="D2179">
        <v>52</v>
      </c>
      <c r="E2179">
        <v>4</v>
      </c>
      <c r="F2179">
        <v>7</v>
      </c>
      <c r="G2179">
        <v>36.770000000000003</v>
      </c>
      <c r="H2179">
        <v>6.17</v>
      </c>
      <c r="I2179">
        <v>0.62</v>
      </c>
      <c r="J2179" t="s">
        <v>54</v>
      </c>
      <c r="K2179" t="s">
        <v>38</v>
      </c>
      <c r="L2179">
        <v>126</v>
      </c>
      <c r="M2179">
        <v>2.27</v>
      </c>
      <c r="N2179">
        <v>187.97</v>
      </c>
      <c r="O2179">
        <v>0.14000000000000001</v>
      </c>
      <c r="P2179">
        <v>4</v>
      </c>
      <c r="Q2179">
        <v>0.93</v>
      </c>
      <c r="R2179">
        <v>476</v>
      </c>
      <c r="S2179">
        <v>6.87</v>
      </c>
      <c r="T2179">
        <v>0.78</v>
      </c>
      <c r="U2179" s="1">
        <v>45504</v>
      </c>
      <c r="V2179">
        <v>92.68</v>
      </c>
      <c r="W2179">
        <v>0.74</v>
      </c>
      <c r="X2179" t="str">
        <f>IF(WarehouseData[[#This Row],[stock_level]]&lt;=WarehouseData[[#This Row],[reorder_point]],"Low Stock","Sufficient Stock")</f>
        <v>Sufficient Stock</v>
      </c>
      <c r="Y2179">
        <f>WarehouseData[[#This Row],[daily_demand]]*WarehouseData[[#This Row],[lead_time_days]]</f>
        <v>257.39000000000004</v>
      </c>
      <c r="Z2179" t="str">
        <f>IF(WarehouseData[[#This Row],[stock_level]]&lt;=WarehouseData[[#This Row],[Demand During Lead Time]],"At Risk","Safe")</f>
        <v>Safe</v>
      </c>
      <c r="AA2179">
        <f>WarehouseData[[#This Row],[stock_level]]/WarehouseData[[#This Row],[daily_demand]]</f>
        <v>11.585531683437583</v>
      </c>
      <c r="AB2179">
        <f>WarehouseData[[#This Row],[stock_level]]*WarehouseData[[#This Row],[unit_price]]</f>
        <v>80075.22</v>
      </c>
      <c r="AC2179">
        <f>WarehouseData[[#This Row],[stock_level]]*WarehouseData[[#This Row],[holding_cost_per_unit_day]]*30</f>
        <v>1789.2000000000003</v>
      </c>
      <c r="AD2179" t="str">
        <f>IF(WarehouseData[[#This Row],[order_fulfillment_rate]]&gt;=0.9,"Strong",IF(WarehouseData[[#This Row],[order_fulfillment_rate]]&gt;=0.8,"Moderate","Needs Attention"))</f>
        <v>Strong</v>
      </c>
      <c r="AE2179" t="str">
        <f>IF(WarehouseData[[#This Row],[picking_time_seconds]]&gt;120,"Slow",IF(WarehouseData[[#This Row],[picking_time_seconds]]&gt;=60,"Average","Fast"))</f>
        <v>Slow</v>
      </c>
    </row>
    <row r="2180" spans="1:31" x14ac:dyDescent="0.25">
      <c r="A2180" t="s">
        <v>2318</v>
      </c>
      <c r="B2180" t="s">
        <v>73</v>
      </c>
      <c r="C2180">
        <v>75</v>
      </c>
      <c r="D2180">
        <v>90</v>
      </c>
      <c r="E2180">
        <v>4</v>
      </c>
      <c r="F2180">
        <v>6</v>
      </c>
      <c r="G2180">
        <v>43.69</v>
      </c>
      <c r="H2180">
        <v>7.31</v>
      </c>
      <c r="I2180">
        <v>0.64</v>
      </c>
      <c r="J2180" t="s">
        <v>104</v>
      </c>
      <c r="K2180" t="s">
        <v>52</v>
      </c>
      <c r="L2180">
        <v>119</v>
      </c>
      <c r="M2180">
        <v>1.88</v>
      </c>
      <c r="N2180">
        <v>22.26</v>
      </c>
      <c r="O2180">
        <v>1.38</v>
      </c>
      <c r="P2180">
        <v>2</v>
      </c>
      <c r="Q2180">
        <v>0.9</v>
      </c>
      <c r="R2180">
        <v>266</v>
      </c>
      <c r="S2180">
        <v>8.91</v>
      </c>
      <c r="T2180">
        <v>0.97</v>
      </c>
      <c r="U2180" s="1">
        <v>45315</v>
      </c>
      <c r="V2180">
        <v>26.89</v>
      </c>
      <c r="W2180">
        <v>0.71499999999999997</v>
      </c>
      <c r="X2180" t="str">
        <f>IF(WarehouseData[[#This Row],[stock_level]]&lt;=WarehouseData[[#This Row],[reorder_point]],"Low Stock","Sufficient Stock")</f>
        <v>Low Stock</v>
      </c>
      <c r="Y2180">
        <f>WarehouseData[[#This Row],[daily_demand]]*WarehouseData[[#This Row],[lead_time_days]]</f>
        <v>262.14</v>
      </c>
      <c r="Z2180" t="str">
        <f>IF(WarehouseData[[#This Row],[stock_level]]&lt;=WarehouseData[[#This Row],[Demand During Lead Time]],"At Risk","Safe")</f>
        <v>At Risk</v>
      </c>
      <c r="AA2180">
        <f>WarehouseData[[#This Row],[stock_level]]/WarehouseData[[#This Row],[daily_demand]]</f>
        <v>1.7166399633783476</v>
      </c>
      <c r="AB2180">
        <f>WarehouseData[[#This Row],[stock_level]]*WarehouseData[[#This Row],[unit_price]]</f>
        <v>1669.5000000000002</v>
      </c>
      <c r="AC2180">
        <f>WarehouseData[[#This Row],[stock_level]]*WarehouseData[[#This Row],[holding_cost_per_unit_day]]*30</f>
        <v>3104.9999999999995</v>
      </c>
      <c r="AD2180" t="str">
        <f>IF(WarehouseData[[#This Row],[order_fulfillment_rate]]&gt;=0.9,"Strong",IF(WarehouseData[[#This Row],[order_fulfillment_rate]]&gt;=0.8,"Moderate","Needs Attention"))</f>
        <v>Strong</v>
      </c>
      <c r="AE2180" t="str">
        <f>IF(WarehouseData[[#This Row],[picking_time_seconds]]&gt;120,"Slow",IF(WarehouseData[[#This Row],[picking_time_seconds]]&gt;=60,"Average","Fast"))</f>
        <v>Average</v>
      </c>
    </row>
    <row r="2181" spans="1:31" x14ac:dyDescent="0.25">
      <c r="A2181" t="s">
        <v>2319</v>
      </c>
      <c r="B2181" t="s">
        <v>40</v>
      </c>
      <c r="C2181">
        <v>409</v>
      </c>
      <c r="D2181">
        <v>78</v>
      </c>
      <c r="E2181">
        <v>11</v>
      </c>
      <c r="F2181">
        <v>5</v>
      </c>
      <c r="G2181">
        <v>48.53</v>
      </c>
      <c r="H2181">
        <v>4.75</v>
      </c>
      <c r="I2181">
        <v>0.12</v>
      </c>
      <c r="J2181" t="s">
        <v>158</v>
      </c>
      <c r="K2181" t="s">
        <v>46</v>
      </c>
      <c r="L2181">
        <v>130</v>
      </c>
      <c r="M2181">
        <v>4.3499999999999996</v>
      </c>
      <c r="N2181">
        <v>113.65</v>
      </c>
      <c r="O2181">
        <v>1.1499999999999999</v>
      </c>
      <c r="P2181">
        <v>0</v>
      </c>
      <c r="Q2181">
        <v>0.99</v>
      </c>
      <c r="R2181">
        <v>808</v>
      </c>
      <c r="S2181">
        <v>10.58</v>
      </c>
      <c r="T2181">
        <v>0.66</v>
      </c>
      <c r="U2181" s="1">
        <v>45616</v>
      </c>
      <c r="V2181">
        <v>254.58</v>
      </c>
      <c r="W2181">
        <v>0.75600000000000001</v>
      </c>
      <c r="X2181" t="str">
        <f>IF(WarehouseData[[#This Row],[stock_level]]&lt;=WarehouseData[[#This Row],[reorder_point]],"Low Stock","Sufficient Stock")</f>
        <v>Sufficient Stock</v>
      </c>
      <c r="Y2181">
        <f>WarehouseData[[#This Row],[daily_demand]]*WarehouseData[[#This Row],[lead_time_days]]</f>
        <v>242.65</v>
      </c>
      <c r="Z2181" t="str">
        <f>IF(WarehouseData[[#This Row],[stock_level]]&lt;=WarehouseData[[#This Row],[Demand During Lead Time]],"At Risk","Safe")</f>
        <v>Safe</v>
      </c>
      <c r="AA2181">
        <f>WarehouseData[[#This Row],[stock_level]]/WarehouseData[[#This Row],[daily_demand]]</f>
        <v>8.4277766330105095</v>
      </c>
      <c r="AB2181">
        <f>WarehouseData[[#This Row],[stock_level]]*WarehouseData[[#This Row],[unit_price]]</f>
        <v>46482.850000000006</v>
      </c>
      <c r="AC2181">
        <f>WarehouseData[[#This Row],[stock_level]]*WarehouseData[[#This Row],[holding_cost_per_unit_day]]*30</f>
        <v>14110.499999999998</v>
      </c>
      <c r="AD2181" t="str">
        <f>IF(WarehouseData[[#This Row],[order_fulfillment_rate]]&gt;=0.9,"Strong",IF(WarehouseData[[#This Row],[order_fulfillment_rate]]&gt;=0.8,"Moderate","Needs Attention"))</f>
        <v>Strong</v>
      </c>
      <c r="AE2181" t="str">
        <f>IF(WarehouseData[[#This Row],[picking_time_seconds]]&gt;120,"Slow",IF(WarehouseData[[#This Row],[picking_time_seconds]]&gt;=60,"Average","Fast"))</f>
        <v>Slow</v>
      </c>
    </row>
    <row r="2182" spans="1:31" x14ac:dyDescent="0.25">
      <c r="A2182" t="s">
        <v>2320</v>
      </c>
      <c r="B2182" t="s">
        <v>36</v>
      </c>
      <c r="C2182">
        <v>361</v>
      </c>
      <c r="D2182">
        <v>54</v>
      </c>
      <c r="E2182">
        <v>4</v>
      </c>
      <c r="F2182">
        <v>8</v>
      </c>
      <c r="G2182">
        <v>46.4</v>
      </c>
      <c r="H2182">
        <v>8.8000000000000007</v>
      </c>
      <c r="I2182">
        <v>0.26</v>
      </c>
      <c r="J2182" t="s">
        <v>357</v>
      </c>
      <c r="K2182" t="s">
        <v>38</v>
      </c>
      <c r="L2182">
        <v>107</v>
      </c>
      <c r="M2182">
        <v>3.06</v>
      </c>
      <c r="N2182">
        <v>26.61</v>
      </c>
      <c r="O2182">
        <v>1.91</v>
      </c>
      <c r="P2182">
        <v>9</v>
      </c>
      <c r="Q2182">
        <v>0.76</v>
      </c>
      <c r="R2182">
        <v>715</v>
      </c>
      <c r="S2182">
        <v>12.91</v>
      </c>
      <c r="T2182">
        <v>0.5</v>
      </c>
      <c r="U2182" s="1">
        <v>45636</v>
      </c>
      <c r="V2182">
        <v>261.44</v>
      </c>
      <c r="W2182">
        <v>0.45300000000000001</v>
      </c>
      <c r="X2182" t="str">
        <f>IF(WarehouseData[[#This Row],[stock_level]]&lt;=WarehouseData[[#This Row],[reorder_point]],"Low Stock","Sufficient Stock")</f>
        <v>Sufficient Stock</v>
      </c>
      <c r="Y2182">
        <f>WarehouseData[[#This Row],[daily_demand]]*WarehouseData[[#This Row],[lead_time_days]]</f>
        <v>371.2</v>
      </c>
      <c r="Z2182" t="str">
        <f>IF(WarehouseData[[#This Row],[stock_level]]&lt;=WarehouseData[[#This Row],[Demand During Lead Time]],"At Risk","Safe")</f>
        <v>At Risk</v>
      </c>
      <c r="AA2182">
        <f>WarehouseData[[#This Row],[stock_level]]/WarehouseData[[#This Row],[daily_demand]]</f>
        <v>7.7801724137931041</v>
      </c>
      <c r="AB2182">
        <f>WarehouseData[[#This Row],[stock_level]]*WarehouseData[[#This Row],[unit_price]]</f>
        <v>9606.2099999999991</v>
      </c>
      <c r="AC2182">
        <f>WarehouseData[[#This Row],[stock_level]]*WarehouseData[[#This Row],[holding_cost_per_unit_day]]*30</f>
        <v>20685.3</v>
      </c>
      <c r="AD2182" t="str">
        <f>IF(WarehouseData[[#This Row],[order_fulfillment_rate]]&gt;=0.9,"Strong",IF(WarehouseData[[#This Row],[order_fulfillment_rate]]&gt;=0.8,"Moderate","Needs Attention"))</f>
        <v>Needs Attention</v>
      </c>
      <c r="AE2182" t="str">
        <f>IF(WarehouseData[[#This Row],[picking_time_seconds]]&gt;120,"Slow",IF(WarehouseData[[#This Row],[picking_time_seconds]]&gt;=60,"Average","Fast"))</f>
        <v>Average</v>
      </c>
    </row>
    <row r="2183" spans="1:31" x14ac:dyDescent="0.25">
      <c r="A2183" t="s">
        <v>2321</v>
      </c>
      <c r="B2183" t="s">
        <v>73</v>
      </c>
      <c r="C2183">
        <v>453</v>
      </c>
      <c r="D2183">
        <v>18</v>
      </c>
      <c r="E2183">
        <v>4</v>
      </c>
      <c r="F2183">
        <v>4</v>
      </c>
      <c r="G2183">
        <v>40.07</v>
      </c>
      <c r="H2183">
        <v>5.41</v>
      </c>
      <c r="I2183">
        <v>0.6</v>
      </c>
      <c r="J2183" t="s">
        <v>98</v>
      </c>
      <c r="K2183" t="s">
        <v>52</v>
      </c>
      <c r="L2183">
        <v>24</v>
      </c>
      <c r="M2183">
        <v>0.9</v>
      </c>
      <c r="N2183">
        <v>94.13</v>
      </c>
      <c r="O2183">
        <v>0.59</v>
      </c>
      <c r="P2183">
        <v>0</v>
      </c>
      <c r="Q2183">
        <v>0.86</v>
      </c>
      <c r="R2183">
        <v>756</v>
      </c>
      <c r="S2183">
        <v>4.29</v>
      </c>
      <c r="T2183">
        <v>0.74</v>
      </c>
      <c r="U2183" s="1">
        <v>45593</v>
      </c>
      <c r="V2183">
        <v>274.58999999999997</v>
      </c>
      <c r="W2183">
        <v>0.71799999999999997</v>
      </c>
      <c r="X2183" t="str">
        <f>IF(WarehouseData[[#This Row],[stock_level]]&lt;=WarehouseData[[#This Row],[reorder_point]],"Low Stock","Sufficient Stock")</f>
        <v>Sufficient Stock</v>
      </c>
      <c r="Y2183">
        <f>WarehouseData[[#This Row],[daily_demand]]*WarehouseData[[#This Row],[lead_time_days]]</f>
        <v>160.28</v>
      </c>
      <c r="Z2183" t="str">
        <f>IF(WarehouseData[[#This Row],[stock_level]]&lt;=WarehouseData[[#This Row],[Demand During Lead Time]],"At Risk","Safe")</f>
        <v>Safe</v>
      </c>
      <c r="AA2183">
        <f>WarehouseData[[#This Row],[stock_level]]/WarehouseData[[#This Row],[daily_demand]]</f>
        <v>11.305215872223609</v>
      </c>
      <c r="AB2183">
        <f>WarehouseData[[#This Row],[stock_level]]*WarehouseData[[#This Row],[unit_price]]</f>
        <v>42640.89</v>
      </c>
      <c r="AC2183">
        <f>WarehouseData[[#This Row],[stock_level]]*WarehouseData[[#This Row],[holding_cost_per_unit_day]]*30</f>
        <v>8018.0999999999995</v>
      </c>
      <c r="AD2183" t="str">
        <f>IF(WarehouseData[[#This Row],[order_fulfillment_rate]]&gt;=0.9,"Strong",IF(WarehouseData[[#This Row],[order_fulfillment_rate]]&gt;=0.8,"Moderate","Needs Attention"))</f>
        <v>Moderate</v>
      </c>
      <c r="AE2183" t="str">
        <f>IF(WarehouseData[[#This Row],[picking_time_seconds]]&gt;120,"Slow",IF(WarehouseData[[#This Row],[picking_time_seconds]]&gt;=60,"Average","Fast"))</f>
        <v>Fast</v>
      </c>
    </row>
    <row r="2184" spans="1:31" x14ac:dyDescent="0.25">
      <c r="A2184" t="s">
        <v>2322</v>
      </c>
      <c r="B2184" t="s">
        <v>32</v>
      </c>
      <c r="C2184">
        <v>121</v>
      </c>
      <c r="D2184">
        <v>58</v>
      </c>
      <c r="E2184">
        <v>5</v>
      </c>
      <c r="F2184">
        <v>9</v>
      </c>
      <c r="G2184">
        <v>32.53</v>
      </c>
      <c r="H2184">
        <v>1.87</v>
      </c>
      <c r="I2184">
        <v>0.46</v>
      </c>
      <c r="J2184" t="s">
        <v>565</v>
      </c>
      <c r="K2184" t="s">
        <v>38</v>
      </c>
      <c r="L2184">
        <v>145</v>
      </c>
      <c r="M2184">
        <v>4.34</v>
      </c>
      <c r="N2184">
        <v>58.94</v>
      </c>
      <c r="O2184">
        <v>1.73</v>
      </c>
      <c r="P2184">
        <v>1</v>
      </c>
      <c r="Q2184">
        <v>0.83</v>
      </c>
      <c r="R2184">
        <v>677</v>
      </c>
      <c r="S2184">
        <v>5.0999999999999996</v>
      </c>
      <c r="T2184">
        <v>0.26</v>
      </c>
      <c r="U2184" s="1">
        <v>45355</v>
      </c>
      <c r="V2184">
        <v>225.12</v>
      </c>
      <c r="W2184">
        <v>0.49299999999999999</v>
      </c>
      <c r="X2184" t="str">
        <f>IF(WarehouseData[[#This Row],[stock_level]]&lt;=WarehouseData[[#This Row],[reorder_point]],"Low Stock","Sufficient Stock")</f>
        <v>Sufficient Stock</v>
      </c>
      <c r="Y2184">
        <f>WarehouseData[[#This Row],[daily_demand]]*WarehouseData[[#This Row],[lead_time_days]]</f>
        <v>292.77</v>
      </c>
      <c r="Z2184" t="str">
        <f>IF(WarehouseData[[#This Row],[stock_level]]&lt;=WarehouseData[[#This Row],[Demand During Lead Time]],"At Risk","Safe")</f>
        <v>At Risk</v>
      </c>
      <c r="AA2184">
        <f>WarehouseData[[#This Row],[stock_level]]/WarehouseData[[#This Row],[daily_demand]]</f>
        <v>3.7196434060866892</v>
      </c>
      <c r="AB2184">
        <f>WarehouseData[[#This Row],[stock_level]]*WarehouseData[[#This Row],[unit_price]]</f>
        <v>7131.74</v>
      </c>
      <c r="AC2184">
        <f>WarehouseData[[#This Row],[stock_level]]*WarehouseData[[#This Row],[holding_cost_per_unit_day]]*30</f>
        <v>6279.9</v>
      </c>
      <c r="AD2184" t="str">
        <f>IF(WarehouseData[[#This Row],[order_fulfillment_rate]]&gt;=0.9,"Strong",IF(WarehouseData[[#This Row],[order_fulfillment_rate]]&gt;=0.8,"Moderate","Needs Attention"))</f>
        <v>Moderate</v>
      </c>
      <c r="AE2184" t="str">
        <f>IF(WarehouseData[[#This Row],[picking_time_seconds]]&gt;120,"Slow",IF(WarehouseData[[#This Row],[picking_time_seconds]]&gt;=60,"Average","Fast"))</f>
        <v>Slow</v>
      </c>
    </row>
    <row r="2185" spans="1:31" x14ac:dyDescent="0.25">
      <c r="A2185" t="s">
        <v>2323</v>
      </c>
      <c r="B2185" t="s">
        <v>40</v>
      </c>
      <c r="C2185">
        <v>440</v>
      </c>
      <c r="D2185">
        <v>42</v>
      </c>
      <c r="E2185">
        <v>5</v>
      </c>
      <c r="F2185">
        <v>3</v>
      </c>
      <c r="G2185">
        <v>39.29</v>
      </c>
      <c r="H2185">
        <v>6.41</v>
      </c>
      <c r="I2185">
        <v>0.27</v>
      </c>
      <c r="J2185" t="s">
        <v>102</v>
      </c>
      <c r="K2185" t="s">
        <v>38</v>
      </c>
      <c r="L2185">
        <v>61</v>
      </c>
      <c r="M2185">
        <v>2.91</v>
      </c>
      <c r="N2185">
        <v>188.01</v>
      </c>
      <c r="O2185">
        <v>0.69</v>
      </c>
      <c r="P2185">
        <v>4</v>
      </c>
      <c r="Q2185">
        <v>0.98</v>
      </c>
      <c r="R2185">
        <v>245</v>
      </c>
      <c r="S2185">
        <v>8.68</v>
      </c>
      <c r="T2185">
        <v>0.6</v>
      </c>
      <c r="U2185" s="1">
        <v>45522</v>
      </c>
      <c r="V2185">
        <v>216.05</v>
      </c>
      <c r="W2185">
        <v>0.68300000000000005</v>
      </c>
      <c r="X2185" t="str">
        <f>IF(WarehouseData[[#This Row],[stock_level]]&lt;=WarehouseData[[#This Row],[reorder_point]],"Low Stock","Sufficient Stock")</f>
        <v>Sufficient Stock</v>
      </c>
      <c r="Y2185">
        <f>WarehouseData[[#This Row],[daily_demand]]*WarehouseData[[#This Row],[lead_time_days]]</f>
        <v>117.87</v>
      </c>
      <c r="Z2185" t="str">
        <f>IF(WarehouseData[[#This Row],[stock_level]]&lt;=WarehouseData[[#This Row],[Demand During Lead Time]],"At Risk","Safe")</f>
        <v>Safe</v>
      </c>
      <c r="AA2185">
        <f>WarehouseData[[#This Row],[stock_level]]/WarehouseData[[#This Row],[daily_demand]]</f>
        <v>11.198778315092898</v>
      </c>
      <c r="AB2185">
        <f>WarehouseData[[#This Row],[stock_level]]*WarehouseData[[#This Row],[unit_price]]</f>
        <v>82724.399999999994</v>
      </c>
      <c r="AC2185">
        <f>WarehouseData[[#This Row],[stock_level]]*WarehouseData[[#This Row],[holding_cost_per_unit_day]]*30</f>
        <v>9107.9999999999982</v>
      </c>
      <c r="AD2185" t="str">
        <f>IF(WarehouseData[[#This Row],[order_fulfillment_rate]]&gt;=0.9,"Strong",IF(WarehouseData[[#This Row],[order_fulfillment_rate]]&gt;=0.8,"Moderate","Needs Attention"))</f>
        <v>Strong</v>
      </c>
      <c r="AE2185" t="str">
        <f>IF(WarehouseData[[#This Row],[picking_time_seconds]]&gt;120,"Slow",IF(WarehouseData[[#This Row],[picking_time_seconds]]&gt;=60,"Average","Fast"))</f>
        <v>Average</v>
      </c>
    </row>
    <row r="2186" spans="1:31" x14ac:dyDescent="0.25">
      <c r="A2186" t="s">
        <v>2324</v>
      </c>
      <c r="B2186" t="s">
        <v>32</v>
      </c>
      <c r="C2186">
        <v>211</v>
      </c>
      <c r="D2186">
        <v>27</v>
      </c>
      <c r="E2186">
        <v>6</v>
      </c>
      <c r="F2186">
        <v>2</v>
      </c>
      <c r="G2186">
        <v>22.17</v>
      </c>
      <c r="H2186">
        <v>4.8899999999999997</v>
      </c>
      <c r="I2186">
        <v>0.8</v>
      </c>
      <c r="J2186" t="s">
        <v>142</v>
      </c>
      <c r="K2186" t="s">
        <v>34</v>
      </c>
      <c r="L2186">
        <v>64</v>
      </c>
      <c r="M2186">
        <v>2.37</v>
      </c>
      <c r="N2186">
        <v>12.48</v>
      </c>
      <c r="O2186">
        <v>0.92</v>
      </c>
      <c r="P2186">
        <v>2</v>
      </c>
      <c r="Q2186">
        <v>0.7</v>
      </c>
      <c r="R2186">
        <v>616</v>
      </c>
      <c r="S2186">
        <v>5.85</v>
      </c>
      <c r="T2186">
        <v>0.82</v>
      </c>
      <c r="U2186" s="1">
        <v>45526</v>
      </c>
      <c r="V2186">
        <v>148.57</v>
      </c>
      <c r="W2186">
        <v>0.65</v>
      </c>
      <c r="X2186" t="str">
        <f>IF(WarehouseData[[#This Row],[stock_level]]&lt;=WarehouseData[[#This Row],[reorder_point]],"Low Stock","Sufficient Stock")</f>
        <v>Sufficient Stock</v>
      </c>
      <c r="Y2186">
        <f>WarehouseData[[#This Row],[daily_demand]]*WarehouseData[[#This Row],[lead_time_days]]</f>
        <v>44.34</v>
      </c>
      <c r="Z2186" t="str">
        <f>IF(WarehouseData[[#This Row],[stock_level]]&lt;=WarehouseData[[#This Row],[Demand During Lead Time]],"At Risk","Safe")</f>
        <v>Safe</v>
      </c>
      <c r="AA2186">
        <f>WarehouseData[[#This Row],[stock_level]]/WarehouseData[[#This Row],[daily_demand]]</f>
        <v>9.5173658096526825</v>
      </c>
      <c r="AB2186">
        <f>WarehouseData[[#This Row],[stock_level]]*WarehouseData[[#This Row],[unit_price]]</f>
        <v>2633.28</v>
      </c>
      <c r="AC2186">
        <f>WarehouseData[[#This Row],[stock_level]]*WarehouseData[[#This Row],[holding_cost_per_unit_day]]*30</f>
        <v>5823.6</v>
      </c>
      <c r="AD2186" t="str">
        <f>IF(WarehouseData[[#This Row],[order_fulfillment_rate]]&gt;=0.9,"Strong",IF(WarehouseData[[#This Row],[order_fulfillment_rate]]&gt;=0.8,"Moderate","Needs Attention"))</f>
        <v>Needs Attention</v>
      </c>
      <c r="AE2186" t="str">
        <f>IF(WarehouseData[[#This Row],[picking_time_seconds]]&gt;120,"Slow",IF(WarehouseData[[#This Row],[picking_time_seconds]]&gt;=60,"Average","Fast"))</f>
        <v>Average</v>
      </c>
    </row>
    <row r="2187" spans="1:31" x14ac:dyDescent="0.25">
      <c r="A2187" t="s">
        <v>2325</v>
      </c>
      <c r="B2187" t="s">
        <v>73</v>
      </c>
      <c r="C2187">
        <v>329</v>
      </c>
      <c r="D2187">
        <v>18</v>
      </c>
      <c r="E2187">
        <v>9</v>
      </c>
      <c r="F2187">
        <v>4</v>
      </c>
      <c r="G2187">
        <v>30.14</v>
      </c>
      <c r="H2187">
        <v>9.39</v>
      </c>
      <c r="I2187">
        <v>0.54</v>
      </c>
      <c r="J2187" t="s">
        <v>334</v>
      </c>
      <c r="K2187" t="s">
        <v>34</v>
      </c>
      <c r="L2187">
        <v>46</v>
      </c>
      <c r="M2187">
        <v>2.02</v>
      </c>
      <c r="N2187">
        <v>84.33</v>
      </c>
      <c r="O2187">
        <v>0.51</v>
      </c>
      <c r="P2187">
        <v>6</v>
      </c>
      <c r="Q2187">
        <v>1</v>
      </c>
      <c r="R2187">
        <v>736</v>
      </c>
      <c r="S2187">
        <v>8.9600000000000009</v>
      </c>
      <c r="T2187">
        <v>0.34</v>
      </c>
      <c r="U2187" s="1">
        <v>45629</v>
      </c>
      <c r="V2187">
        <v>258.64999999999998</v>
      </c>
      <c r="W2187">
        <v>0.61599999999999999</v>
      </c>
      <c r="X2187" t="str">
        <f>IF(WarehouseData[[#This Row],[stock_level]]&lt;=WarehouseData[[#This Row],[reorder_point]],"Low Stock","Sufficient Stock")</f>
        <v>Sufficient Stock</v>
      </c>
      <c r="Y2187">
        <f>WarehouseData[[#This Row],[daily_demand]]*WarehouseData[[#This Row],[lead_time_days]]</f>
        <v>120.56</v>
      </c>
      <c r="Z2187" t="str">
        <f>IF(WarehouseData[[#This Row],[stock_level]]&lt;=WarehouseData[[#This Row],[Demand During Lead Time]],"At Risk","Safe")</f>
        <v>Safe</v>
      </c>
      <c r="AA2187">
        <f>WarehouseData[[#This Row],[stock_level]]/WarehouseData[[#This Row],[daily_demand]]</f>
        <v>10.915726609157266</v>
      </c>
      <c r="AB2187">
        <f>WarehouseData[[#This Row],[stock_level]]*WarehouseData[[#This Row],[unit_price]]</f>
        <v>27744.57</v>
      </c>
      <c r="AC2187">
        <f>WarehouseData[[#This Row],[stock_level]]*WarehouseData[[#This Row],[holding_cost_per_unit_day]]*30</f>
        <v>5033.7</v>
      </c>
      <c r="AD2187" t="str">
        <f>IF(WarehouseData[[#This Row],[order_fulfillment_rate]]&gt;=0.9,"Strong",IF(WarehouseData[[#This Row],[order_fulfillment_rate]]&gt;=0.8,"Moderate","Needs Attention"))</f>
        <v>Strong</v>
      </c>
      <c r="AE2187" t="str">
        <f>IF(WarehouseData[[#This Row],[picking_time_seconds]]&gt;120,"Slow",IF(WarehouseData[[#This Row],[picking_time_seconds]]&gt;=60,"Average","Fast"))</f>
        <v>Fast</v>
      </c>
    </row>
    <row r="2188" spans="1:31" x14ac:dyDescent="0.25">
      <c r="A2188" t="s">
        <v>2326</v>
      </c>
      <c r="B2188" t="s">
        <v>32</v>
      </c>
      <c r="C2188">
        <v>219</v>
      </c>
      <c r="D2188">
        <v>71</v>
      </c>
      <c r="E2188">
        <v>11</v>
      </c>
      <c r="F2188">
        <v>3</v>
      </c>
      <c r="G2188">
        <v>18.09</v>
      </c>
      <c r="H2188">
        <v>4.22</v>
      </c>
      <c r="I2188">
        <v>0.38</v>
      </c>
      <c r="J2188" t="s">
        <v>283</v>
      </c>
      <c r="K2188" t="s">
        <v>34</v>
      </c>
      <c r="L2188">
        <v>141</v>
      </c>
      <c r="M2188">
        <v>0.95</v>
      </c>
      <c r="N2188">
        <v>158.59</v>
      </c>
      <c r="O2188">
        <v>1.74</v>
      </c>
      <c r="P2188">
        <v>1</v>
      </c>
      <c r="Q2188">
        <v>0.84</v>
      </c>
      <c r="R2188">
        <v>492</v>
      </c>
      <c r="S2188">
        <v>3.8</v>
      </c>
      <c r="T2188">
        <v>0.52</v>
      </c>
      <c r="U2188" s="1">
        <v>45593</v>
      </c>
      <c r="V2188">
        <v>157.94</v>
      </c>
      <c r="W2188">
        <v>0.52900000000000003</v>
      </c>
      <c r="X2188" t="str">
        <f>IF(WarehouseData[[#This Row],[stock_level]]&lt;=WarehouseData[[#This Row],[reorder_point]],"Low Stock","Sufficient Stock")</f>
        <v>Sufficient Stock</v>
      </c>
      <c r="Y2188">
        <f>WarehouseData[[#This Row],[daily_demand]]*WarehouseData[[#This Row],[lead_time_days]]</f>
        <v>54.269999999999996</v>
      </c>
      <c r="Z2188" t="str">
        <f>IF(WarehouseData[[#This Row],[stock_level]]&lt;=WarehouseData[[#This Row],[Demand During Lead Time]],"At Risk","Safe")</f>
        <v>Safe</v>
      </c>
      <c r="AA2188">
        <f>WarehouseData[[#This Row],[stock_level]]/WarehouseData[[#This Row],[daily_demand]]</f>
        <v>12.106135986733001</v>
      </c>
      <c r="AB2188">
        <f>WarehouseData[[#This Row],[stock_level]]*WarehouseData[[#This Row],[unit_price]]</f>
        <v>34731.21</v>
      </c>
      <c r="AC2188">
        <f>WarehouseData[[#This Row],[stock_level]]*WarehouseData[[#This Row],[holding_cost_per_unit_day]]*30</f>
        <v>11431.8</v>
      </c>
      <c r="AD2188" t="str">
        <f>IF(WarehouseData[[#This Row],[order_fulfillment_rate]]&gt;=0.9,"Strong",IF(WarehouseData[[#This Row],[order_fulfillment_rate]]&gt;=0.8,"Moderate","Needs Attention"))</f>
        <v>Moderate</v>
      </c>
      <c r="AE2188" t="str">
        <f>IF(WarehouseData[[#This Row],[picking_time_seconds]]&gt;120,"Slow",IF(WarehouseData[[#This Row],[picking_time_seconds]]&gt;=60,"Average","Fast"))</f>
        <v>Slow</v>
      </c>
    </row>
    <row r="2189" spans="1:31" x14ac:dyDescent="0.25">
      <c r="A2189" t="s">
        <v>2327</v>
      </c>
      <c r="B2189" t="s">
        <v>32</v>
      </c>
      <c r="C2189">
        <v>252</v>
      </c>
      <c r="D2189">
        <v>66</v>
      </c>
      <c r="E2189">
        <v>4</v>
      </c>
      <c r="F2189">
        <v>2</v>
      </c>
      <c r="G2189">
        <v>17.010000000000002</v>
      </c>
      <c r="H2189">
        <v>4.33</v>
      </c>
      <c r="I2189">
        <v>0.25</v>
      </c>
      <c r="J2189" t="s">
        <v>75</v>
      </c>
      <c r="K2189" t="s">
        <v>34</v>
      </c>
      <c r="L2189">
        <v>64</v>
      </c>
      <c r="M2189">
        <v>4.8099999999999996</v>
      </c>
      <c r="N2189">
        <v>45.81</v>
      </c>
      <c r="O2189">
        <v>0.47</v>
      </c>
      <c r="P2189">
        <v>1</v>
      </c>
      <c r="Q2189">
        <v>0.89</v>
      </c>
      <c r="R2189">
        <v>508</v>
      </c>
      <c r="S2189">
        <v>5.31</v>
      </c>
      <c r="T2189">
        <v>0.48</v>
      </c>
      <c r="U2189" s="1">
        <v>45550</v>
      </c>
      <c r="V2189">
        <v>18.600000000000001</v>
      </c>
      <c r="W2189">
        <v>0.67800000000000005</v>
      </c>
      <c r="X2189" t="str">
        <f>IF(WarehouseData[[#This Row],[stock_level]]&lt;=WarehouseData[[#This Row],[reorder_point]],"Low Stock","Sufficient Stock")</f>
        <v>Sufficient Stock</v>
      </c>
      <c r="Y2189">
        <f>WarehouseData[[#This Row],[daily_demand]]*WarehouseData[[#This Row],[lead_time_days]]</f>
        <v>34.020000000000003</v>
      </c>
      <c r="Z2189" t="str">
        <f>IF(WarehouseData[[#This Row],[stock_level]]&lt;=WarehouseData[[#This Row],[Demand During Lead Time]],"At Risk","Safe")</f>
        <v>Safe</v>
      </c>
      <c r="AA2189">
        <f>WarehouseData[[#This Row],[stock_level]]/WarehouseData[[#This Row],[daily_demand]]</f>
        <v>14.814814814814813</v>
      </c>
      <c r="AB2189">
        <f>WarehouseData[[#This Row],[stock_level]]*WarehouseData[[#This Row],[unit_price]]</f>
        <v>11544.12</v>
      </c>
      <c r="AC2189">
        <f>WarehouseData[[#This Row],[stock_level]]*WarehouseData[[#This Row],[holding_cost_per_unit_day]]*30</f>
        <v>3553.2</v>
      </c>
      <c r="AD2189" t="str">
        <f>IF(WarehouseData[[#This Row],[order_fulfillment_rate]]&gt;=0.9,"Strong",IF(WarehouseData[[#This Row],[order_fulfillment_rate]]&gt;=0.8,"Moderate","Needs Attention"))</f>
        <v>Moderate</v>
      </c>
      <c r="AE2189" t="str">
        <f>IF(WarehouseData[[#This Row],[picking_time_seconds]]&gt;120,"Slow",IF(WarehouseData[[#This Row],[picking_time_seconds]]&gt;=60,"Average","Fast"))</f>
        <v>Average</v>
      </c>
    </row>
    <row r="2190" spans="1:31" x14ac:dyDescent="0.25">
      <c r="A2190" t="s">
        <v>2328</v>
      </c>
      <c r="B2190" t="s">
        <v>73</v>
      </c>
      <c r="C2190">
        <v>452</v>
      </c>
      <c r="D2190">
        <v>38</v>
      </c>
      <c r="E2190">
        <v>6</v>
      </c>
      <c r="F2190">
        <v>6</v>
      </c>
      <c r="G2190">
        <v>38.08</v>
      </c>
      <c r="H2190">
        <v>6.68</v>
      </c>
      <c r="I2190">
        <v>0.65</v>
      </c>
      <c r="J2190" t="s">
        <v>113</v>
      </c>
      <c r="K2190" t="s">
        <v>46</v>
      </c>
      <c r="L2190">
        <v>21</v>
      </c>
      <c r="M2190">
        <v>3.84</v>
      </c>
      <c r="N2190">
        <v>164.96</v>
      </c>
      <c r="O2190">
        <v>1.73</v>
      </c>
      <c r="P2190">
        <v>2</v>
      </c>
      <c r="Q2190">
        <v>0.81</v>
      </c>
      <c r="R2190">
        <v>508</v>
      </c>
      <c r="S2190">
        <v>5.55</v>
      </c>
      <c r="T2190">
        <v>0.47</v>
      </c>
      <c r="U2190" s="1">
        <v>45360</v>
      </c>
      <c r="V2190">
        <v>179.62</v>
      </c>
      <c r="W2190">
        <v>0.51700000000000002</v>
      </c>
      <c r="X2190" t="str">
        <f>IF(WarehouseData[[#This Row],[stock_level]]&lt;=WarehouseData[[#This Row],[reorder_point]],"Low Stock","Sufficient Stock")</f>
        <v>Sufficient Stock</v>
      </c>
      <c r="Y2190">
        <f>WarehouseData[[#This Row],[daily_demand]]*WarehouseData[[#This Row],[lead_time_days]]</f>
        <v>228.48</v>
      </c>
      <c r="Z2190" t="str">
        <f>IF(WarehouseData[[#This Row],[stock_level]]&lt;=WarehouseData[[#This Row],[Demand During Lead Time]],"At Risk","Safe")</f>
        <v>Safe</v>
      </c>
      <c r="AA2190">
        <f>WarehouseData[[#This Row],[stock_level]]/WarehouseData[[#This Row],[daily_demand]]</f>
        <v>11.869747899159664</v>
      </c>
      <c r="AB2190">
        <f>WarehouseData[[#This Row],[stock_level]]*WarehouseData[[#This Row],[unit_price]]</f>
        <v>74561.919999999998</v>
      </c>
      <c r="AC2190">
        <f>WarehouseData[[#This Row],[stock_level]]*WarehouseData[[#This Row],[holding_cost_per_unit_day]]*30</f>
        <v>23458.800000000003</v>
      </c>
      <c r="AD2190" t="str">
        <f>IF(WarehouseData[[#This Row],[order_fulfillment_rate]]&gt;=0.9,"Strong",IF(WarehouseData[[#This Row],[order_fulfillment_rate]]&gt;=0.8,"Moderate","Needs Attention"))</f>
        <v>Moderate</v>
      </c>
      <c r="AE2190" t="str">
        <f>IF(WarehouseData[[#This Row],[picking_time_seconds]]&gt;120,"Slow",IF(WarehouseData[[#This Row],[picking_time_seconds]]&gt;=60,"Average","Fast"))</f>
        <v>Fast</v>
      </c>
    </row>
    <row r="2191" spans="1:31" x14ac:dyDescent="0.25">
      <c r="A2191" t="s">
        <v>2329</v>
      </c>
      <c r="B2191" t="s">
        <v>36</v>
      </c>
      <c r="C2191">
        <v>246</v>
      </c>
      <c r="D2191">
        <v>87</v>
      </c>
      <c r="E2191">
        <v>11</v>
      </c>
      <c r="F2191">
        <v>4</v>
      </c>
      <c r="G2191">
        <v>23.24</v>
      </c>
      <c r="H2191">
        <v>5.51</v>
      </c>
      <c r="I2191">
        <v>0.7</v>
      </c>
      <c r="J2191" t="s">
        <v>144</v>
      </c>
      <c r="K2191" t="s">
        <v>46</v>
      </c>
      <c r="L2191">
        <v>156</v>
      </c>
      <c r="M2191">
        <v>1.0900000000000001</v>
      </c>
      <c r="N2191">
        <v>173.35</v>
      </c>
      <c r="O2191">
        <v>0.97</v>
      </c>
      <c r="P2191">
        <v>0</v>
      </c>
      <c r="Q2191">
        <v>0.96</v>
      </c>
      <c r="R2191">
        <v>533</v>
      </c>
      <c r="S2191">
        <v>14.89</v>
      </c>
      <c r="T2191">
        <v>0.72</v>
      </c>
      <c r="U2191" s="1">
        <v>45547</v>
      </c>
      <c r="V2191">
        <v>123.23</v>
      </c>
      <c r="W2191">
        <v>0.83799999999999997</v>
      </c>
      <c r="X2191" t="str">
        <f>IF(WarehouseData[[#This Row],[stock_level]]&lt;=WarehouseData[[#This Row],[reorder_point]],"Low Stock","Sufficient Stock")</f>
        <v>Sufficient Stock</v>
      </c>
      <c r="Y2191">
        <f>WarehouseData[[#This Row],[daily_demand]]*WarehouseData[[#This Row],[lead_time_days]]</f>
        <v>92.96</v>
      </c>
      <c r="Z2191" t="str">
        <f>IF(WarehouseData[[#This Row],[stock_level]]&lt;=WarehouseData[[#This Row],[Demand During Lead Time]],"At Risk","Safe")</f>
        <v>Safe</v>
      </c>
      <c r="AA2191">
        <f>WarehouseData[[#This Row],[stock_level]]/WarehouseData[[#This Row],[daily_demand]]</f>
        <v>10.585197934595525</v>
      </c>
      <c r="AB2191">
        <f>WarehouseData[[#This Row],[stock_level]]*WarehouseData[[#This Row],[unit_price]]</f>
        <v>42644.1</v>
      </c>
      <c r="AC2191">
        <f>WarehouseData[[#This Row],[stock_level]]*WarehouseData[[#This Row],[holding_cost_per_unit_day]]*30</f>
        <v>7158.6</v>
      </c>
      <c r="AD2191" t="str">
        <f>IF(WarehouseData[[#This Row],[order_fulfillment_rate]]&gt;=0.9,"Strong",IF(WarehouseData[[#This Row],[order_fulfillment_rate]]&gt;=0.8,"Moderate","Needs Attention"))</f>
        <v>Strong</v>
      </c>
      <c r="AE2191" t="str">
        <f>IF(WarehouseData[[#This Row],[picking_time_seconds]]&gt;120,"Slow",IF(WarehouseData[[#This Row],[picking_time_seconds]]&gt;=60,"Average","Fast"))</f>
        <v>Slow</v>
      </c>
    </row>
    <row r="2192" spans="1:31" x14ac:dyDescent="0.25">
      <c r="A2192" t="s">
        <v>2330</v>
      </c>
      <c r="B2192" t="s">
        <v>32</v>
      </c>
      <c r="C2192">
        <v>390</v>
      </c>
      <c r="D2192">
        <v>34</v>
      </c>
      <c r="E2192">
        <v>4</v>
      </c>
      <c r="F2192">
        <v>9</v>
      </c>
      <c r="G2192">
        <v>11.4</v>
      </c>
      <c r="H2192">
        <v>4.0599999999999996</v>
      </c>
      <c r="I2192">
        <v>0.7</v>
      </c>
      <c r="J2192" t="s">
        <v>133</v>
      </c>
      <c r="K2192" t="s">
        <v>34</v>
      </c>
      <c r="L2192">
        <v>46</v>
      </c>
      <c r="M2192">
        <v>2.8</v>
      </c>
      <c r="N2192">
        <v>144.52000000000001</v>
      </c>
      <c r="O2192">
        <v>1.69</v>
      </c>
      <c r="P2192">
        <v>1</v>
      </c>
      <c r="Q2192">
        <v>0.87</v>
      </c>
      <c r="R2192">
        <v>193</v>
      </c>
      <c r="S2192">
        <v>12.96</v>
      </c>
      <c r="T2192">
        <v>0.6</v>
      </c>
      <c r="U2192" s="1">
        <v>45294</v>
      </c>
      <c r="V2192">
        <v>161.18</v>
      </c>
      <c r="W2192">
        <v>0.67800000000000005</v>
      </c>
      <c r="X2192" t="str">
        <f>IF(WarehouseData[[#This Row],[stock_level]]&lt;=WarehouseData[[#This Row],[reorder_point]],"Low Stock","Sufficient Stock")</f>
        <v>Sufficient Stock</v>
      </c>
      <c r="Y2192">
        <f>WarehouseData[[#This Row],[daily_demand]]*WarehouseData[[#This Row],[lead_time_days]]</f>
        <v>102.60000000000001</v>
      </c>
      <c r="Z2192" t="str">
        <f>IF(WarehouseData[[#This Row],[stock_level]]&lt;=WarehouseData[[#This Row],[Demand During Lead Time]],"At Risk","Safe")</f>
        <v>Safe</v>
      </c>
      <c r="AA2192">
        <f>WarehouseData[[#This Row],[stock_level]]/WarehouseData[[#This Row],[daily_demand]]</f>
        <v>34.210526315789473</v>
      </c>
      <c r="AB2192">
        <f>WarehouseData[[#This Row],[stock_level]]*WarehouseData[[#This Row],[unit_price]]</f>
        <v>56362.8</v>
      </c>
      <c r="AC2192">
        <f>WarehouseData[[#This Row],[stock_level]]*WarehouseData[[#This Row],[holding_cost_per_unit_day]]*30</f>
        <v>19773</v>
      </c>
      <c r="AD2192" t="str">
        <f>IF(WarehouseData[[#This Row],[order_fulfillment_rate]]&gt;=0.9,"Strong",IF(WarehouseData[[#This Row],[order_fulfillment_rate]]&gt;=0.8,"Moderate","Needs Attention"))</f>
        <v>Moderate</v>
      </c>
      <c r="AE2192" t="str">
        <f>IF(WarehouseData[[#This Row],[picking_time_seconds]]&gt;120,"Slow",IF(WarehouseData[[#This Row],[picking_time_seconds]]&gt;=60,"Average","Fast"))</f>
        <v>Fast</v>
      </c>
    </row>
    <row r="2193" spans="1:31" x14ac:dyDescent="0.25">
      <c r="A2193" t="s">
        <v>2331</v>
      </c>
      <c r="B2193" t="s">
        <v>32</v>
      </c>
      <c r="C2193">
        <v>158</v>
      </c>
      <c r="D2193">
        <v>24</v>
      </c>
      <c r="E2193">
        <v>12</v>
      </c>
      <c r="F2193">
        <v>4</v>
      </c>
      <c r="G2193">
        <v>10.89</v>
      </c>
      <c r="H2193">
        <v>9.9</v>
      </c>
      <c r="I2193">
        <v>0.3</v>
      </c>
      <c r="J2193" t="s">
        <v>81</v>
      </c>
      <c r="K2193" t="s">
        <v>34</v>
      </c>
      <c r="L2193">
        <v>16</v>
      </c>
      <c r="M2193">
        <v>3</v>
      </c>
      <c r="N2193">
        <v>49.72</v>
      </c>
      <c r="O2193">
        <v>0.6</v>
      </c>
      <c r="P2193">
        <v>4</v>
      </c>
      <c r="Q2193">
        <v>0.9</v>
      </c>
      <c r="R2193">
        <v>363</v>
      </c>
      <c r="S2193">
        <v>12.73</v>
      </c>
      <c r="T2193">
        <v>0.84</v>
      </c>
      <c r="U2193" s="1">
        <v>45563</v>
      </c>
      <c r="V2193">
        <v>137.80000000000001</v>
      </c>
      <c r="W2193">
        <v>0.77800000000000002</v>
      </c>
      <c r="X2193" t="str">
        <f>IF(WarehouseData[[#This Row],[stock_level]]&lt;=WarehouseData[[#This Row],[reorder_point]],"Low Stock","Sufficient Stock")</f>
        <v>Sufficient Stock</v>
      </c>
      <c r="Y2193">
        <f>WarehouseData[[#This Row],[daily_demand]]*WarehouseData[[#This Row],[lead_time_days]]</f>
        <v>43.56</v>
      </c>
      <c r="Z2193" t="str">
        <f>IF(WarehouseData[[#This Row],[stock_level]]&lt;=WarehouseData[[#This Row],[Demand During Lead Time]],"At Risk","Safe")</f>
        <v>Safe</v>
      </c>
      <c r="AA2193">
        <f>WarehouseData[[#This Row],[stock_level]]/WarehouseData[[#This Row],[daily_demand]]</f>
        <v>14.50872359963269</v>
      </c>
      <c r="AB2193">
        <f>WarehouseData[[#This Row],[stock_level]]*WarehouseData[[#This Row],[unit_price]]</f>
        <v>7855.76</v>
      </c>
      <c r="AC2193">
        <f>WarehouseData[[#This Row],[stock_level]]*WarehouseData[[#This Row],[holding_cost_per_unit_day]]*30</f>
        <v>2844</v>
      </c>
      <c r="AD2193" t="str">
        <f>IF(WarehouseData[[#This Row],[order_fulfillment_rate]]&gt;=0.9,"Strong",IF(WarehouseData[[#This Row],[order_fulfillment_rate]]&gt;=0.8,"Moderate","Needs Attention"))</f>
        <v>Strong</v>
      </c>
      <c r="AE2193" t="str">
        <f>IF(WarehouseData[[#This Row],[picking_time_seconds]]&gt;120,"Slow",IF(WarehouseData[[#This Row],[picking_time_seconds]]&gt;=60,"Average","Fast"))</f>
        <v>Fast</v>
      </c>
    </row>
    <row r="2194" spans="1:31" x14ac:dyDescent="0.25">
      <c r="A2194" t="s">
        <v>2332</v>
      </c>
      <c r="B2194" t="s">
        <v>36</v>
      </c>
      <c r="C2194">
        <v>363</v>
      </c>
      <c r="D2194">
        <v>15</v>
      </c>
      <c r="E2194">
        <v>13</v>
      </c>
      <c r="F2194">
        <v>8</v>
      </c>
      <c r="G2194">
        <v>43.1</v>
      </c>
      <c r="H2194">
        <v>3.37</v>
      </c>
      <c r="I2194">
        <v>0.64</v>
      </c>
      <c r="J2194" t="s">
        <v>281</v>
      </c>
      <c r="K2194" t="s">
        <v>38</v>
      </c>
      <c r="L2194">
        <v>64</v>
      </c>
      <c r="M2194">
        <v>1.26</v>
      </c>
      <c r="N2194">
        <v>61.69</v>
      </c>
      <c r="O2194">
        <v>0.35</v>
      </c>
      <c r="P2194">
        <v>2</v>
      </c>
      <c r="Q2194">
        <v>0.89</v>
      </c>
      <c r="R2194">
        <v>924</v>
      </c>
      <c r="S2194">
        <v>8.19</v>
      </c>
      <c r="T2194">
        <v>0.25</v>
      </c>
      <c r="U2194" s="1">
        <v>45316</v>
      </c>
      <c r="V2194">
        <v>154.07</v>
      </c>
      <c r="W2194">
        <v>0.66200000000000003</v>
      </c>
      <c r="X2194" t="str">
        <f>IF(WarehouseData[[#This Row],[stock_level]]&lt;=WarehouseData[[#This Row],[reorder_point]],"Low Stock","Sufficient Stock")</f>
        <v>Sufficient Stock</v>
      </c>
      <c r="Y2194">
        <f>WarehouseData[[#This Row],[daily_demand]]*WarehouseData[[#This Row],[lead_time_days]]</f>
        <v>344.8</v>
      </c>
      <c r="Z2194" t="str">
        <f>IF(WarehouseData[[#This Row],[stock_level]]&lt;=WarehouseData[[#This Row],[Demand During Lead Time]],"At Risk","Safe")</f>
        <v>Safe</v>
      </c>
      <c r="AA2194">
        <f>WarehouseData[[#This Row],[stock_level]]/WarehouseData[[#This Row],[daily_demand]]</f>
        <v>8.4222737819025522</v>
      </c>
      <c r="AB2194">
        <f>WarehouseData[[#This Row],[stock_level]]*WarehouseData[[#This Row],[unit_price]]</f>
        <v>22393.469999999998</v>
      </c>
      <c r="AC2194">
        <f>WarehouseData[[#This Row],[stock_level]]*WarehouseData[[#This Row],[holding_cost_per_unit_day]]*30</f>
        <v>3811.5</v>
      </c>
      <c r="AD2194" t="str">
        <f>IF(WarehouseData[[#This Row],[order_fulfillment_rate]]&gt;=0.9,"Strong",IF(WarehouseData[[#This Row],[order_fulfillment_rate]]&gt;=0.8,"Moderate","Needs Attention"))</f>
        <v>Moderate</v>
      </c>
      <c r="AE2194" t="str">
        <f>IF(WarehouseData[[#This Row],[picking_time_seconds]]&gt;120,"Slow",IF(WarehouseData[[#This Row],[picking_time_seconds]]&gt;=60,"Average","Fast"))</f>
        <v>Average</v>
      </c>
    </row>
    <row r="2195" spans="1:31" x14ac:dyDescent="0.25">
      <c r="A2195" t="s">
        <v>2333</v>
      </c>
      <c r="B2195" t="s">
        <v>32</v>
      </c>
      <c r="C2195">
        <v>324</v>
      </c>
      <c r="D2195">
        <v>51</v>
      </c>
      <c r="E2195">
        <v>3</v>
      </c>
      <c r="F2195">
        <v>8</v>
      </c>
      <c r="G2195">
        <v>34.21</v>
      </c>
      <c r="H2195">
        <v>3.14</v>
      </c>
      <c r="I2195">
        <v>0.91</v>
      </c>
      <c r="J2195" t="s">
        <v>68</v>
      </c>
      <c r="K2195" t="s">
        <v>38</v>
      </c>
      <c r="L2195">
        <v>37</v>
      </c>
      <c r="M2195">
        <v>2.42</v>
      </c>
      <c r="N2195">
        <v>41.72</v>
      </c>
      <c r="O2195">
        <v>1.1499999999999999</v>
      </c>
      <c r="P2195">
        <v>9</v>
      </c>
      <c r="Q2195">
        <v>0.81</v>
      </c>
      <c r="R2195">
        <v>778</v>
      </c>
      <c r="S2195">
        <v>7.54</v>
      </c>
      <c r="T2195">
        <v>0.56000000000000005</v>
      </c>
      <c r="U2195" s="1">
        <v>45575</v>
      </c>
      <c r="V2195">
        <v>41.49</v>
      </c>
      <c r="W2195">
        <v>0.48</v>
      </c>
      <c r="X2195" t="str">
        <f>IF(WarehouseData[[#This Row],[stock_level]]&lt;=WarehouseData[[#This Row],[reorder_point]],"Low Stock","Sufficient Stock")</f>
        <v>Sufficient Stock</v>
      </c>
      <c r="Y2195">
        <f>WarehouseData[[#This Row],[daily_demand]]*WarehouseData[[#This Row],[lead_time_days]]</f>
        <v>273.68</v>
      </c>
      <c r="Z2195" t="str">
        <f>IF(WarehouseData[[#This Row],[stock_level]]&lt;=WarehouseData[[#This Row],[Demand During Lead Time]],"At Risk","Safe")</f>
        <v>Safe</v>
      </c>
      <c r="AA2195">
        <f>WarehouseData[[#This Row],[stock_level]]/WarehouseData[[#This Row],[daily_demand]]</f>
        <v>9.4709149371528785</v>
      </c>
      <c r="AB2195">
        <f>WarehouseData[[#This Row],[stock_level]]*WarehouseData[[#This Row],[unit_price]]</f>
        <v>13517.279999999999</v>
      </c>
      <c r="AC2195">
        <f>WarehouseData[[#This Row],[stock_level]]*WarehouseData[[#This Row],[holding_cost_per_unit_day]]*30</f>
        <v>11177.999999999998</v>
      </c>
      <c r="AD2195" t="str">
        <f>IF(WarehouseData[[#This Row],[order_fulfillment_rate]]&gt;=0.9,"Strong",IF(WarehouseData[[#This Row],[order_fulfillment_rate]]&gt;=0.8,"Moderate","Needs Attention"))</f>
        <v>Moderate</v>
      </c>
      <c r="AE2195" t="str">
        <f>IF(WarehouseData[[#This Row],[picking_time_seconds]]&gt;120,"Slow",IF(WarehouseData[[#This Row],[picking_time_seconds]]&gt;=60,"Average","Fast"))</f>
        <v>Fast</v>
      </c>
    </row>
    <row r="2196" spans="1:31" x14ac:dyDescent="0.25">
      <c r="A2196" t="s">
        <v>2334</v>
      </c>
      <c r="B2196" t="s">
        <v>32</v>
      </c>
      <c r="C2196">
        <v>168</v>
      </c>
      <c r="D2196">
        <v>38</v>
      </c>
      <c r="E2196">
        <v>12</v>
      </c>
      <c r="F2196">
        <v>3</v>
      </c>
      <c r="G2196">
        <v>27.76</v>
      </c>
      <c r="H2196">
        <v>8.7100000000000009</v>
      </c>
      <c r="I2196">
        <v>0.42</v>
      </c>
      <c r="J2196" t="s">
        <v>37</v>
      </c>
      <c r="K2196" t="s">
        <v>34</v>
      </c>
      <c r="L2196">
        <v>46</v>
      </c>
      <c r="M2196">
        <v>3.41</v>
      </c>
      <c r="N2196">
        <v>44.97</v>
      </c>
      <c r="O2196">
        <v>1.07</v>
      </c>
      <c r="P2196">
        <v>5</v>
      </c>
      <c r="Q2196">
        <v>0.72</v>
      </c>
      <c r="R2196">
        <v>306</v>
      </c>
      <c r="S2196">
        <v>1.98</v>
      </c>
      <c r="T2196">
        <v>0.21</v>
      </c>
      <c r="U2196" s="1">
        <v>45513</v>
      </c>
      <c r="V2196">
        <v>14.21</v>
      </c>
      <c r="W2196">
        <v>0.40500000000000003</v>
      </c>
      <c r="X2196" t="str">
        <f>IF(WarehouseData[[#This Row],[stock_level]]&lt;=WarehouseData[[#This Row],[reorder_point]],"Low Stock","Sufficient Stock")</f>
        <v>Sufficient Stock</v>
      </c>
      <c r="Y2196">
        <f>WarehouseData[[#This Row],[daily_demand]]*WarehouseData[[#This Row],[lead_time_days]]</f>
        <v>83.28</v>
      </c>
      <c r="Z2196" t="str">
        <f>IF(WarehouseData[[#This Row],[stock_level]]&lt;=WarehouseData[[#This Row],[Demand During Lead Time]],"At Risk","Safe")</f>
        <v>Safe</v>
      </c>
      <c r="AA2196">
        <f>WarehouseData[[#This Row],[stock_level]]/WarehouseData[[#This Row],[daily_demand]]</f>
        <v>6.0518731988472618</v>
      </c>
      <c r="AB2196">
        <f>WarehouseData[[#This Row],[stock_level]]*WarehouseData[[#This Row],[unit_price]]</f>
        <v>7554.96</v>
      </c>
      <c r="AC2196">
        <f>WarehouseData[[#This Row],[stock_level]]*WarehouseData[[#This Row],[holding_cost_per_unit_day]]*30</f>
        <v>5392.8</v>
      </c>
      <c r="AD2196" t="str">
        <f>IF(WarehouseData[[#This Row],[order_fulfillment_rate]]&gt;=0.9,"Strong",IF(WarehouseData[[#This Row],[order_fulfillment_rate]]&gt;=0.8,"Moderate","Needs Attention"))</f>
        <v>Needs Attention</v>
      </c>
      <c r="AE2196" t="str">
        <f>IF(WarehouseData[[#This Row],[picking_time_seconds]]&gt;120,"Slow",IF(WarehouseData[[#This Row],[picking_time_seconds]]&gt;=60,"Average","Fast"))</f>
        <v>Fast</v>
      </c>
    </row>
    <row r="2197" spans="1:31" x14ac:dyDescent="0.25">
      <c r="A2197" t="s">
        <v>2335</v>
      </c>
      <c r="B2197" t="s">
        <v>32</v>
      </c>
      <c r="C2197">
        <v>134</v>
      </c>
      <c r="D2197">
        <v>88</v>
      </c>
      <c r="E2197">
        <v>10</v>
      </c>
      <c r="F2197">
        <v>9</v>
      </c>
      <c r="G2197">
        <v>20.65</v>
      </c>
      <c r="H2197">
        <v>0.53</v>
      </c>
      <c r="I2197">
        <v>0.28999999999999998</v>
      </c>
      <c r="J2197" t="s">
        <v>215</v>
      </c>
      <c r="K2197" t="s">
        <v>34</v>
      </c>
      <c r="L2197">
        <v>84</v>
      </c>
      <c r="M2197">
        <v>1.78</v>
      </c>
      <c r="N2197">
        <v>16.93</v>
      </c>
      <c r="O2197">
        <v>0.78</v>
      </c>
      <c r="P2197">
        <v>1</v>
      </c>
      <c r="Q2197">
        <v>0.94</v>
      </c>
      <c r="R2197">
        <v>688</v>
      </c>
      <c r="S2197">
        <v>3.76</v>
      </c>
      <c r="T2197">
        <v>0.38</v>
      </c>
      <c r="U2197" s="1">
        <v>45591</v>
      </c>
      <c r="V2197">
        <v>108.65</v>
      </c>
      <c r="W2197">
        <v>0.61599999999999999</v>
      </c>
      <c r="X2197" t="str">
        <f>IF(WarehouseData[[#This Row],[stock_level]]&lt;=WarehouseData[[#This Row],[reorder_point]],"Low Stock","Sufficient Stock")</f>
        <v>Sufficient Stock</v>
      </c>
      <c r="Y2197">
        <f>WarehouseData[[#This Row],[daily_demand]]*WarehouseData[[#This Row],[lead_time_days]]</f>
        <v>185.85</v>
      </c>
      <c r="Z2197" t="str">
        <f>IF(WarehouseData[[#This Row],[stock_level]]&lt;=WarehouseData[[#This Row],[Demand During Lead Time]],"At Risk","Safe")</f>
        <v>At Risk</v>
      </c>
      <c r="AA2197">
        <f>WarehouseData[[#This Row],[stock_level]]/WarehouseData[[#This Row],[daily_demand]]</f>
        <v>6.4891041162227605</v>
      </c>
      <c r="AB2197">
        <f>WarehouseData[[#This Row],[stock_level]]*WarehouseData[[#This Row],[unit_price]]</f>
        <v>2268.62</v>
      </c>
      <c r="AC2197">
        <f>WarehouseData[[#This Row],[stock_level]]*WarehouseData[[#This Row],[holding_cost_per_unit_day]]*30</f>
        <v>3135.6000000000004</v>
      </c>
      <c r="AD2197" t="str">
        <f>IF(WarehouseData[[#This Row],[order_fulfillment_rate]]&gt;=0.9,"Strong",IF(WarehouseData[[#This Row],[order_fulfillment_rate]]&gt;=0.8,"Moderate","Needs Attention"))</f>
        <v>Strong</v>
      </c>
      <c r="AE2197" t="str">
        <f>IF(WarehouseData[[#This Row],[picking_time_seconds]]&gt;120,"Slow",IF(WarehouseData[[#This Row],[picking_time_seconds]]&gt;=60,"Average","Fast"))</f>
        <v>Average</v>
      </c>
    </row>
    <row r="2198" spans="1:31" x14ac:dyDescent="0.25">
      <c r="A2198" t="s">
        <v>2336</v>
      </c>
      <c r="B2198" t="s">
        <v>48</v>
      </c>
      <c r="C2198">
        <v>469</v>
      </c>
      <c r="D2198">
        <v>13</v>
      </c>
      <c r="E2198">
        <v>11</v>
      </c>
      <c r="F2198">
        <v>7</v>
      </c>
      <c r="G2198">
        <v>22.11</v>
      </c>
      <c r="H2198">
        <v>2.41</v>
      </c>
      <c r="I2198">
        <v>0.79</v>
      </c>
      <c r="J2198" t="s">
        <v>477</v>
      </c>
      <c r="K2198" t="s">
        <v>34</v>
      </c>
      <c r="L2198">
        <v>123</v>
      </c>
      <c r="M2198">
        <v>1.99</v>
      </c>
      <c r="N2198">
        <v>172.89</v>
      </c>
      <c r="O2198">
        <v>1.36</v>
      </c>
      <c r="P2198">
        <v>7</v>
      </c>
      <c r="Q2198">
        <v>0.79</v>
      </c>
      <c r="R2198">
        <v>523</v>
      </c>
      <c r="S2198">
        <v>13.53</v>
      </c>
      <c r="T2198">
        <v>0.82</v>
      </c>
      <c r="U2198" s="1">
        <v>45539</v>
      </c>
      <c r="V2198">
        <v>83.82</v>
      </c>
      <c r="W2198">
        <v>0.626</v>
      </c>
      <c r="X2198" t="str">
        <f>IF(WarehouseData[[#This Row],[stock_level]]&lt;=WarehouseData[[#This Row],[reorder_point]],"Low Stock","Sufficient Stock")</f>
        <v>Sufficient Stock</v>
      </c>
      <c r="Y2198">
        <f>WarehouseData[[#This Row],[daily_demand]]*WarehouseData[[#This Row],[lead_time_days]]</f>
        <v>154.76999999999998</v>
      </c>
      <c r="Z2198" t="str">
        <f>IF(WarehouseData[[#This Row],[stock_level]]&lt;=WarehouseData[[#This Row],[Demand During Lead Time]],"At Risk","Safe")</f>
        <v>Safe</v>
      </c>
      <c r="AA2198">
        <f>WarehouseData[[#This Row],[stock_level]]/WarehouseData[[#This Row],[daily_demand]]</f>
        <v>21.212121212121211</v>
      </c>
      <c r="AB2198">
        <f>WarehouseData[[#This Row],[stock_level]]*WarehouseData[[#This Row],[unit_price]]</f>
        <v>81085.409999999989</v>
      </c>
      <c r="AC2198">
        <f>WarehouseData[[#This Row],[stock_level]]*WarehouseData[[#This Row],[holding_cost_per_unit_day]]*30</f>
        <v>19135.2</v>
      </c>
      <c r="AD2198" t="str">
        <f>IF(WarehouseData[[#This Row],[order_fulfillment_rate]]&gt;=0.9,"Strong",IF(WarehouseData[[#This Row],[order_fulfillment_rate]]&gt;=0.8,"Moderate","Needs Attention"))</f>
        <v>Needs Attention</v>
      </c>
      <c r="AE2198" t="str">
        <f>IF(WarehouseData[[#This Row],[picking_time_seconds]]&gt;120,"Slow",IF(WarehouseData[[#This Row],[picking_time_seconds]]&gt;=60,"Average","Fast"))</f>
        <v>Slow</v>
      </c>
    </row>
    <row r="2199" spans="1:31" x14ac:dyDescent="0.25">
      <c r="A2199" t="s">
        <v>2337</v>
      </c>
      <c r="B2199" t="s">
        <v>36</v>
      </c>
      <c r="C2199">
        <v>82</v>
      </c>
      <c r="D2199">
        <v>91</v>
      </c>
      <c r="E2199">
        <v>9</v>
      </c>
      <c r="F2199">
        <v>8</v>
      </c>
      <c r="G2199">
        <v>3.81</v>
      </c>
      <c r="H2199">
        <v>6.11</v>
      </c>
      <c r="I2199">
        <v>0.26</v>
      </c>
      <c r="J2199" t="s">
        <v>340</v>
      </c>
      <c r="K2199" t="s">
        <v>38</v>
      </c>
      <c r="L2199">
        <v>176</v>
      </c>
      <c r="M2199">
        <v>1.05</v>
      </c>
      <c r="N2199">
        <v>110.42</v>
      </c>
      <c r="O2199">
        <v>0.28000000000000003</v>
      </c>
      <c r="P2199">
        <v>3</v>
      </c>
      <c r="Q2199">
        <v>0.95</v>
      </c>
      <c r="R2199">
        <v>734</v>
      </c>
      <c r="S2199">
        <v>8.36</v>
      </c>
      <c r="T2199">
        <v>0.28000000000000003</v>
      </c>
      <c r="U2199" s="1">
        <v>45552</v>
      </c>
      <c r="V2199">
        <v>82.52</v>
      </c>
      <c r="W2199">
        <v>0.66900000000000004</v>
      </c>
      <c r="X2199" t="str">
        <f>IF(WarehouseData[[#This Row],[stock_level]]&lt;=WarehouseData[[#This Row],[reorder_point]],"Low Stock","Sufficient Stock")</f>
        <v>Low Stock</v>
      </c>
      <c r="Y2199">
        <f>WarehouseData[[#This Row],[daily_demand]]*WarehouseData[[#This Row],[lead_time_days]]</f>
        <v>30.48</v>
      </c>
      <c r="Z2199" t="str">
        <f>IF(WarehouseData[[#This Row],[stock_level]]&lt;=WarehouseData[[#This Row],[Demand During Lead Time]],"At Risk","Safe")</f>
        <v>Safe</v>
      </c>
      <c r="AA2199">
        <f>WarehouseData[[#This Row],[stock_level]]/WarehouseData[[#This Row],[daily_demand]]</f>
        <v>21.522309711286088</v>
      </c>
      <c r="AB2199">
        <f>WarehouseData[[#This Row],[stock_level]]*WarehouseData[[#This Row],[unit_price]]</f>
        <v>9054.44</v>
      </c>
      <c r="AC2199">
        <f>WarehouseData[[#This Row],[stock_level]]*WarehouseData[[#This Row],[holding_cost_per_unit_day]]*30</f>
        <v>688.80000000000007</v>
      </c>
      <c r="AD2199" t="str">
        <f>IF(WarehouseData[[#This Row],[order_fulfillment_rate]]&gt;=0.9,"Strong",IF(WarehouseData[[#This Row],[order_fulfillment_rate]]&gt;=0.8,"Moderate","Needs Attention"))</f>
        <v>Strong</v>
      </c>
      <c r="AE2199" t="str">
        <f>IF(WarehouseData[[#This Row],[picking_time_seconds]]&gt;120,"Slow",IF(WarehouseData[[#This Row],[picking_time_seconds]]&gt;=60,"Average","Fast"))</f>
        <v>Slow</v>
      </c>
    </row>
    <row r="2200" spans="1:31" x14ac:dyDescent="0.25">
      <c r="A2200" t="s">
        <v>2338</v>
      </c>
      <c r="B2200" t="s">
        <v>32</v>
      </c>
      <c r="C2200">
        <v>123</v>
      </c>
      <c r="D2200">
        <v>66</v>
      </c>
      <c r="E2200">
        <v>10</v>
      </c>
      <c r="F2200">
        <v>5</v>
      </c>
      <c r="G2200">
        <v>23.29</v>
      </c>
      <c r="H2200">
        <v>2.04</v>
      </c>
      <c r="I2200">
        <v>0.33</v>
      </c>
      <c r="J2200" t="s">
        <v>316</v>
      </c>
      <c r="K2200" t="s">
        <v>34</v>
      </c>
      <c r="L2200">
        <v>115</v>
      </c>
      <c r="M2200">
        <v>2.36</v>
      </c>
      <c r="N2200">
        <v>72.27</v>
      </c>
      <c r="O2200">
        <v>1.28</v>
      </c>
      <c r="P2200">
        <v>2</v>
      </c>
      <c r="Q2200">
        <v>0.88</v>
      </c>
      <c r="R2200">
        <v>655</v>
      </c>
      <c r="S2200">
        <v>14.82</v>
      </c>
      <c r="T2200">
        <v>0.28000000000000003</v>
      </c>
      <c r="U2200" s="1">
        <v>45382</v>
      </c>
      <c r="V2200">
        <v>281.76</v>
      </c>
      <c r="W2200">
        <v>0.66200000000000003</v>
      </c>
      <c r="X2200" t="str">
        <f>IF(WarehouseData[[#This Row],[stock_level]]&lt;=WarehouseData[[#This Row],[reorder_point]],"Low Stock","Sufficient Stock")</f>
        <v>Sufficient Stock</v>
      </c>
      <c r="Y2200">
        <f>WarehouseData[[#This Row],[daily_demand]]*WarehouseData[[#This Row],[lead_time_days]]</f>
        <v>116.44999999999999</v>
      </c>
      <c r="Z2200" t="str">
        <f>IF(WarehouseData[[#This Row],[stock_level]]&lt;=WarehouseData[[#This Row],[Demand During Lead Time]],"At Risk","Safe")</f>
        <v>Safe</v>
      </c>
      <c r="AA2200">
        <f>WarehouseData[[#This Row],[stock_level]]/WarehouseData[[#This Row],[daily_demand]]</f>
        <v>5.2812365822241309</v>
      </c>
      <c r="AB2200">
        <f>WarehouseData[[#This Row],[stock_level]]*WarehouseData[[#This Row],[unit_price]]</f>
        <v>8889.2099999999991</v>
      </c>
      <c r="AC2200">
        <f>WarehouseData[[#This Row],[stock_level]]*WarehouseData[[#This Row],[holding_cost_per_unit_day]]*30</f>
        <v>4723.2</v>
      </c>
      <c r="AD2200" t="str">
        <f>IF(WarehouseData[[#This Row],[order_fulfillment_rate]]&gt;=0.9,"Strong",IF(WarehouseData[[#This Row],[order_fulfillment_rate]]&gt;=0.8,"Moderate","Needs Attention"))</f>
        <v>Moderate</v>
      </c>
      <c r="AE2200" t="str">
        <f>IF(WarehouseData[[#This Row],[picking_time_seconds]]&gt;120,"Slow",IF(WarehouseData[[#This Row],[picking_time_seconds]]&gt;=60,"Average","Fast"))</f>
        <v>Average</v>
      </c>
    </row>
    <row r="2201" spans="1:31" x14ac:dyDescent="0.25">
      <c r="A2201" t="s">
        <v>2339</v>
      </c>
      <c r="B2201" t="s">
        <v>36</v>
      </c>
      <c r="C2201">
        <v>358</v>
      </c>
      <c r="D2201">
        <v>58</v>
      </c>
      <c r="E2201">
        <v>6</v>
      </c>
      <c r="F2201">
        <v>6</v>
      </c>
      <c r="G2201">
        <v>39.979999999999997</v>
      </c>
      <c r="H2201">
        <v>9.8699999999999992</v>
      </c>
      <c r="I2201">
        <v>0.19</v>
      </c>
      <c r="J2201" t="s">
        <v>139</v>
      </c>
      <c r="K2201" t="s">
        <v>34</v>
      </c>
      <c r="L2201">
        <v>160</v>
      </c>
      <c r="M2201">
        <v>3.13</v>
      </c>
      <c r="N2201">
        <v>65.02</v>
      </c>
      <c r="O2201">
        <v>0.5</v>
      </c>
      <c r="P2201">
        <v>4</v>
      </c>
      <c r="Q2201">
        <v>0.81</v>
      </c>
      <c r="R2201">
        <v>548</v>
      </c>
      <c r="S2201">
        <v>9.2899999999999991</v>
      </c>
      <c r="T2201">
        <v>0.52</v>
      </c>
      <c r="U2201" s="1">
        <v>45646</v>
      </c>
      <c r="V2201">
        <v>247.51</v>
      </c>
      <c r="W2201">
        <v>0.66</v>
      </c>
      <c r="X2201" t="str">
        <f>IF(WarehouseData[[#This Row],[stock_level]]&lt;=WarehouseData[[#This Row],[reorder_point]],"Low Stock","Sufficient Stock")</f>
        <v>Sufficient Stock</v>
      </c>
      <c r="Y2201">
        <f>WarehouseData[[#This Row],[daily_demand]]*WarehouseData[[#This Row],[lead_time_days]]</f>
        <v>239.88</v>
      </c>
      <c r="Z2201" t="str">
        <f>IF(WarehouseData[[#This Row],[stock_level]]&lt;=WarehouseData[[#This Row],[Demand During Lead Time]],"At Risk","Safe")</f>
        <v>Safe</v>
      </c>
      <c r="AA2201">
        <f>WarehouseData[[#This Row],[stock_level]]/WarehouseData[[#This Row],[daily_demand]]</f>
        <v>8.9544772386193099</v>
      </c>
      <c r="AB2201">
        <f>WarehouseData[[#This Row],[stock_level]]*WarehouseData[[#This Row],[unit_price]]</f>
        <v>23277.16</v>
      </c>
      <c r="AC2201">
        <f>WarehouseData[[#This Row],[stock_level]]*WarehouseData[[#This Row],[holding_cost_per_unit_day]]*30</f>
        <v>5370</v>
      </c>
      <c r="AD2201" t="str">
        <f>IF(WarehouseData[[#This Row],[order_fulfillment_rate]]&gt;=0.9,"Strong",IF(WarehouseData[[#This Row],[order_fulfillment_rate]]&gt;=0.8,"Moderate","Needs Attention"))</f>
        <v>Moderate</v>
      </c>
      <c r="AE2201" t="str">
        <f>IF(WarehouseData[[#This Row],[picking_time_seconds]]&gt;120,"Slow",IF(WarehouseData[[#This Row],[picking_time_seconds]]&gt;=60,"Average","Fast"))</f>
        <v>Slow</v>
      </c>
    </row>
    <row r="2202" spans="1:31" x14ac:dyDescent="0.25">
      <c r="A2202" t="s">
        <v>2340</v>
      </c>
      <c r="B2202" t="s">
        <v>40</v>
      </c>
      <c r="C2202">
        <v>378</v>
      </c>
      <c r="D2202">
        <v>53</v>
      </c>
      <c r="E2202">
        <v>6</v>
      </c>
      <c r="F2202">
        <v>5</v>
      </c>
      <c r="G2202">
        <v>20.010000000000002</v>
      </c>
      <c r="H2202">
        <v>4.91</v>
      </c>
      <c r="I2202">
        <v>0.34</v>
      </c>
      <c r="J2202" t="s">
        <v>265</v>
      </c>
      <c r="K2202" t="s">
        <v>46</v>
      </c>
      <c r="L2202">
        <v>119</v>
      </c>
      <c r="M2202">
        <v>1.02</v>
      </c>
      <c r="N2202">
        <v>113.49</v>
      </c>
      <c r="O2202">
        <v>0.35</v>
      </c>
      <c r="P2202">
        <v>7</v>
      </c>
      <c r="Q2202">
        <v>0.88</v>
      </c>
      <c r="R2202">
        <v>951</v>
      </c>
      <c r="S2202">
        <v>6.28</v>
      </c>
      <c r="T2202">
        <v>0.82</v>
      </c>
      <c r="U2202" s="1">
        <v>45588</v>
      </c>
      <c r="V2202">
        <v>13.88</v>
      </c>
      <c r="W2202">
        <v>0.64900000000000002</v>
      </c>
      <c r="X2202" t="str">
        <f>IF(WarehouseData[[#This Row],[stock_level]]&lt;=WarehouseData[[#This Row],[reorder_point]],"Low Stock","Sufficient Stock")</f>
        <v>Sufficient Stock</v>
      </c>
      <c r="Y2202">
        <f>WarehouseData[[#This Row],[daily_demand]]*WarehouseData[[#This Row],[lead_time_days]]</f>
        <v>100.05000000000001</v>
      </c>
      <c r="Z2202" t="str">
        <f>IF(WarehouseData[[#This Row],[stock_level]]&lt;=WarehouseData[[#This Row],[Demand During Lead Time]],"At Risk","Safe")</f>
        <v>Safe</v>
      </c>
      <c r="AA2202">
        <f>WarehouseData[[#This Row],[stock_level]]/WarehouseData[[#This Row],[daily_demand]]</f>
        <v>18.890554722638679</v>
      </c>
      <c r="AB2202">
        <f>WarehouseData[[#This Row],[stock_level]]*WarehouseData[[#This Row],[unit_price]]</f>
        <v>42899.22</v>
      </c>
      <c r="AC2202">
        <f>WarehouseData[[#This Row],[stock_level]]*WarehouseData[[#This Row],[holding_cost_per_unit_day]]*30</f>
        <v>3968.9999999999995</v>
      </c>
      <c r="AD2202" t="str">
        <f>IF(WarehouseData[[#This Row],[order_fulfillment_rate]]&gt;=0.9,"Strong",IF(WarehouseData[[#This Row],[order_fulfillment_rate]]&gt;=0.8,"Moderate","Needs Attention"))</f>
        <v>Moderate</v>
      </c>
      <c r="AE2202" t="str">
        <f>IF(WarehouseData[[#This Row],[picking_time_seconds]]&gt;120,"Slow",IF(WarehouseData[[#This Row],[picking_time_seconds]]&gt;=60,"Average","Fast"))</f>
        <v>Average</v>
      </c>
    </row>
    <row r="2203" spans="1:31" x14ac:dyDescent="0.25">
      <c r="A2203" t="s">
        <v>2341</v>
      </c>
      <c r="B2203" t="s">
        <v>40</v>
      </c>
      <c r="C2203">
        <v>175</v>
      </c>
      <c r="D2203">
        <v>89</v>
      </c>
      <c r="E2203">
        <v>4</v>
      </c>
      <c r="F2203">
        <v>4</v>
      </c>
      <c r="G2203">
        <v>19.8</v>
      </c>
      <c r="H2203">
        <v>6.17</v>
      </c>
      <c r="I2203">
        <v>0.47</v>
      </c>
      <c r="J2203" t="s">
        <v>340</v>
      </c>
      <c r="K2203" t="s">
        <v>46</v>
      </c>
      <c r="L2203">
        <v>93</v>
      </c>
      <c r="M2203">
        <v>3.27</v>
      </c>
      <c r="N2203">
        <v>72.069999999999993</v>
      </c>
      <c r="O2203">
        <v>1.83</v>
      </c>
      <c r="P2203">
        <v>8</v>
      </c>
      <c r="Q2203">
        <v>0.89</v>
      </c>
      <c r="R2203">
        <v>268</v>
      </c>
      <c r="S2203">
        <v>4.84</v>
      </c>
      <c r="T2203">
        <v>0.71</v>
      </c>
      <c r="U2203" s="1">
        <v>45380</v>
      </c>
      <c r="V2203">
        <v>12.53</v>
      </c>
      <c r="W2203">
        <v>0.442</v>
      </c>
      <c r="X2203" t="str">
        <f>IF(WarehouseData[[#This Row],[stock_level]]&lt;=WarehouseData[[#This Row],[reorder_point]],"Low Stock","Sufficient Stock")</f>
        <v>Sufficient Stock</v>
      </c>
      <c r="Y2203">
        <f>WarehouseData[[#This Row],[daily_demand]]*WarehouseData[[#This Row],[lead_time_days]]</f>
        <v>79.2</v>
      </c>
      <c r="Z2203" t="str">
        <f>IF(WarehouseData[[#This Row],[stock_level]]&lt;=WarehouseData[[#This Row],[Demand During Lead Time]],"At Risk","Safe")</f>
        <v>Safe</v>
      </c>
      <c r="AA2203">
        <f>WarehouseData[[#This Row],[stock_level]]/WarehouseData[[#This Row],[daily_demand]]</f>
        <v>8.8383838383838373</v>
      </c>
      <c r="AB2203">
        <f>WarehouseData[[#This Row],[stock_level]]*WarehouseData[[#This Row],[unit_price]]</f>
        <v>12612.249999999998</v>
      </c>
      <c r="AC2203">
        <f>WarehouseData[[#This Row],[stock_level]]*WarehouseData[[#This Row],[holding_cost_per_unit_day]]*30</f>
        <v>9607.5</v>
      </c>
      <c r="AD2203" t="str">
        <f>IF(WarehouseData[[#This Row],[order_fulfillment_rate]]&gt;=0.9,"Strong",IF(WarehouseData[[#This Row],[order_fulfillment_rate]]&gt;=0.8,"Moderate","Needs Attention"))</f>
        <v>Moderate</v>
      </c>
      <c r="AE2203" t="str">
        <f>IF(WarehouseData[[#This Row],[picking_time_seconds]]&gt;120,"Slow",IF(WarehouseData[[#This Row],[picking_time_seconds]]&gt;=60,"Average","Fast"))</f>
        <v>Average</v>
      </c>
    </row>
    <row r="2204" spans="1:31" x14ac:dyDescent="0.25">
      <c r="A2204" t="s">
        <v>2342</v>
      </c>
      <c r="B2204" t="s">
        <v>32</v>
      </c>
      <c r="C2204">
        <v>292</v>
      </c>
      <c r="D2204">
        <v>84</v>
      </c>
      <c r="E2204">
        <v>10</v>
      </c>
      <c r="F2204">
        <v>5</v>
      </c>
      <c r="G2204">
        <v>1.77</v>
      </c>
      <c r="H2204">
        <v>2.02</v>
      </c>
      <c r="I2204">
        <v>0.16</v>
      </c>
      <c r="J2204" t="s">
        <v>95</v>
      </c>
      <c r="K2204" t="s">
        <v>38</v>
      </c>
      <c r="L2204">
        <v>20</v>
      </c>
      <c r="M2204">
        <v>2.29</v>
      </c>
      <c r="N2204">
        <v>174.11</v>
      </c>
      <c r="O2204">
        <v>0.97</v>
      </c>
      <c r="P2204">
        <v>0</v>
      </c>
      <c r="Q2204">
        <v>0.91</v>
      </c>
      <c r="R2204">
        <v>613</v>
      </c>
      <c r="S2204">
        <v>13.86</v>
      </c>
      <c r="T2204">
        <v>0.83</v>
      </c>
      <c r="U2204" s="1">
        <v>45357</v>
      </c>
      <c r="V2204">
        <v>235.3</v>
      </c>
      <c r="W2204">
        <v>0.83599999999999997</v>
      </c>
      <c r="X2204" t="str">
        <f>IF(WarehouseData[[#This Row],[stock_level]]&lt;=WarehouseData[[#This Row],[reorder_point]],"Low Stock","Sufficient Stock")</f>
        <v>Sufficient Stock</v>
      </c>
      <c r="Y2204">
        <f>WarehouseData[[#This Row],[daily_demand]]*WarehouseData[[#This Row],[lead_time_days]]</f>
        <v>8.85</v>
      </c>
      <c r="Z2204" t="str">
        <f>IF(WarehouseData[[#This Row],[stock_level]]&lt;=WarehouseData[[#This Row],[Demand During Lead Time]],"At Risk","Safe")</f>
        <v>Safe</v>
      </c>
      <c r="AA2204">
        <f>WarehouseData[[#This Row],[stock_level]]/WarehouseData[[#This Row],[daily_demand]]</f>
        <v>164.97175141242937</v>
      </c>
      <c r="AB2204">
        <f>WarehouseData[[#This Row],[stock_level]]*WarehouseData[[#This Row],[unit_price]]</f>
        <v>50840.12</v>
      </c>
      <c r="AC2204">
        <f>WarehouseData[[#This Row],[stock_level]]*WarehouseData[[#This Row],[holding_cost_per_unit_day]]*30</f>
        <v>8497.2000000000007</v>
      </c>
      <c r="AD2204" t="str">
        <f>IF(WarehouseData[[#This Row],[order_fulfillment_rate]]&gt;=0.9,"Strong",IF(WarehouseData[[#This Row],[order_fulfillment_rate]]&gt;=0.8,"Moderate","Needs Attention"))</f>
        <v>Strong</v>
      </c>
      <c r="AE2204" t="str">
        <f>IF(WarehouseData[[#This Row],[picking_time_seconds]]&gt;120,"Slow",IF(WarehouseData[[#This Row],[picking_time_seconds]]&gt;=60,"Average","Fast"))</f>
        <v>Fast</v>
      </c>
    </row>
    <row r="2205" spans="1:31" x14ac:dyDescent="0.25">
      <c r="A2205" t="s">
        <v>2343</v>
      </c>
      <c r="B2205" t="s">
        <v>36</v>
      </c>
      <c r="C2205">
        <v>25</v>
      </c>
      <c r="D2205">
        <v>23</v>
      </c>
      <c r="E2205">
        <v>13</v>
      </c>
      <c r="F2205">
        <v>2</v>
      </c>
      <c r="G2205">
        <v>23.43</v>
      </c>
      <c r="H2205">
        <v>3.25</v>
      </c>
      <c r="I2205">
        <v>0.88</v>
      </c>
      <c r="J2205" t="s">
        <v>33</v>
      </c>
      <c r="K2205" t="s">
        <v>46</v>
      </c>
      <c r="L2205">
        <v>75</v>
      </c>
      <c r="M2205">
        <v>3.55</v>
      </c>
      <c r="N2205">
        <v>50.08</v>
      </c>
      <c r="O2205">
        <v>1.55</v>
      </c>
      <c r="P2205">
        <v>3</v>
      </c>
      <c r="Q2205">
        <v>0.95</v>
      </c>
      <c r="R2205">
        <v>580</v>
      </c>
      <c r="S2205">
        <v>6.19</v>
      </c>
      <c r="T2205">
        <v>0.24</v>
      </c>
      <c r="U2205" s="1">
        <v>45345</v>
      </c>
      <c r="V2205">
        <v>295.61</v>
      </c>
      <c r="W2205">
        <v>0.50600000000000001</v>
      </c>
      <c r="X2205" t="str">
        <f>IF(WarehouseData[[#This Row],[stock_level]]&lt;=WarehouseData[[#This Row],[reorder_point]],"Low Stock","Sufficient Stock")</f>
        <v>Sufficient Stock</v>
      </c>
      <c r="Y2205">
        <f>WarehouseData[[#This Row],[daily_demand]]*WarehouseData[[#This Row],[lead_time_days]]</f>
        <v>46.86</v>
      </c>
      <c r="Z2205" t="str">
        <f>IF(WarehouseData[[#This Row],[stock_level]]&lt;=WarehouseData[[#This Row],[Demand During Lead Time]],"At Risk","Safe")</f>
        <v>At Risk</v>
      </c>
      <c r="AA2205">
        <f>WarehouseData[[#This Row],[stock_level]]/WarehouseData[[#This Row],[daily_demand]]</f>
        <v>1.0670081092616304</v>
      </c>
      <c r="AB2205">
        <f>WarehouseData[[#This Row],[stock_level]]*WarehouseData[[#This Row],[unit_price]]</f>
        <v>1252</v>
      </c>
      <c r="AC2205">
        <f>WarehouseData[[#This Row],[stock_level]]*WarehouseData[[#This Row],[holding_cost_per_unit_day]]*30</f>
        <v>1162.5</v>
      </c>
      <c r="AD2205" t="str">
        <f>IF(WarehouseData[[#This Row],[order_fulfillment_rate]]&gt;=0.9,"Strong",IF(WarehouseData[[#This Row],[order_fulfillment_rate]]&gt;=0.8,"Moderate","Needs Attention"))</f>
        <v>Strong</v>
      </c>
      <c r="AE2205" t="str">
        <f>IF(WarehouseData[[#This Row],[picking_time_seconds]]&gt;120,"Slow",IF(WarehouseData[[#This Row],[picking_time_seconds]]&gt;=60,"Average","Fast"))</f>
        <v>Average</v>
      </c>
    </row>
    <row r="2206" spans="1:31" x14ac:dyDescent="0.25">
      <c r="A2206" t="s">
        <v>2344</v>
      </c>
      <c r="B2206" t="s">
        <v>36</v>
      </c>
      <c r="C2206">
        <v>166</v>
      </c>
      <c r="D2206">
        <v>12</v>
      </c>
      <c r="E2206">
        <v>4</v>
      </c>
      <c r="F2206">
        <v>6</v>
      </c>
      <c r="G2206">
        <v>2.2400000000000002</v>
      </c>
      <c r="H2206">
        <v>6.34</v>
      </c>
      <c r="I2206">
        <v>0.56000000000000005</v>
      </c>
      <c r="J2206" t="s">
        <v>150</v>
      </c>
      <c r="K2206" t="s">
        <v>38</v>
      </c>
      <c r="L2206">
        <v>22</v>
      </c>
      <c r="M2206">
        <v>1.92</v>
      </c>
      <c r="N2206">
        <v>177.64</v>
      </c>
      <c r="O2206">
        <v>0.27</v>
      </c>
      <c r="P2206">
        <v>5</v>
      </c>
      <c r="Q2206">
        <v>0.75</v>
      </c>
      <c r="R2206">
        <v>407</v>
      </c>
      <c r="S2206">
        <v>3.05</v>
      </c>
      <c r="T2206">
        <v>0.65</v>
      </c>
      <c r="U2206" s="1">
        <v>45490</v>
      </c>
      <c r="V2206">
        <v>144.91</v>
      </c>
      <c r="W2206">
        <v>0.59399999999999997</v>
      </c>
      <c r="X2206" t="str">
        <f>IF(WarehouseData[[#This Row],[stock_level]]&lt;=WarehouseData[[#This Row],[reorder_point]],"Low Stock","Sufficient Stock")</f>
        <v>Sufficient Stock</v>
      </c>
      <c r="Y2206">
        <f>WarehouseData[[#This Row],[daily_demand]]*WarehouseData[[#This Row],[lead_time_days]]</f>
        <v>13.440000000000001</v>
      </c>
      <c r="Z2206" t="str">
        <f>IF(WarehouseData[[#This Row],[stock_level]]&lt;=WarehouseData[[#This Row],[Demand During Lead Time]],"At Risk","Safe")</f>
        <v>Safe</v>
      </c>
      <c r="AA2206">
        <f>WarehouseData[[#This Row],[stock_level]]/WarehouseData[[#This Row],[daily_demand]]</f>
        <v>74.107142857142847</v>
      </c>
      <c r="AB2206">
        <f>WarehouseData[[#This Row],[stock_level]]*WarehouseData[[#This Row],[unit_price]]</f>
        <v>29488.239999999998</v>
      </c>
      <c r="AC2206">
        <f>WarehouseData[[#This Row],[stock_level]]*WarehouseData[[#This Row],[holding_cost_per_unit_day]]*30</f>
        <v>1344.6</v>
      </c>
      <c r="AD2206" t="str">
        <f>IF(WarehouseData[[#This Row],[order_fulfillment_rate]]&gt;=0.9,"Strong",IF(WarehouseData[[#This Row],[order_fulfillment_rate]]&gt;=0.8,"Moderate","Needs Attention"))</f>
        <v>Needs Attention</v>
      </c>
      <c r="AE2206" t="str">
        <f>IF(WarehouseData[[#This Row],[picking_time_seconds]]&gt;120,"Slow",IF(WarehouseData[[#This Row],[picking_time_seconds]]&gt;=60,"Average","Fast"))</f>
        <v>Fast</v>
      </c>
    </row>
    <row r="2207" spans="1:31" x14ac:dyDescent="0.25">
      <c r="A2207" t="s">
        <v>2345</v>
      </c>
      <c r="B2207" t="s">
        <v>36</v>
      </c>
      <c r="C2207">
        <v>203</v>
      </c>
      <c r="D2207">
        <v>71</v>
      </c>
      <c r="E2207">
        <v>11</v>
      </c>
      <c r="F2207">
        <v>5</v>
      </c>
      <c r="G2207">
        <v>28.95</v>
      </c>
      <c r="H2207">
        <v>5.72</v>
      </c>
      <c r="I2207">
        <v>0.63</v>
      </c>
      <c r="J2207" t="s">
        <v>135</v>
      </c>
      <c r="K2207" t="s">
        <v>52</v>
      </c>
      <c r="L2207">
        <v>178</v>
      </c>
      <c r="M2207">
        <v>3.06</v>
      </c>
      <c r="N2207">
        <v>136.18</v>
      </c>
      <c r="O2207">
        <v>0.21</v>
      </c>
      <c r="P2207">
        <v>5</v>
      </c>
      <c r="Q2207">
        <v>0.98</v>
      </c>
      <c r="R2207">
        <v>286</v>
      </c>
      <c r="S2207">
        <v>4.9000000000000004</v>
      </c>
      <c r="T2207">
        <v>0.56000000000000005</v>
      </c>
      <c r="U2207" s="1">
        <v>45628</v>
      </c>
      <c r="V2207">
        <v>135.61000000000001</v>
      </c>
      <c r="W2207">
        <v>0.65200000000000002</v>
      </c>
      <c r="X2207" t="str">
        <f>IF(WarehouseData[[#This Row],[stock_level]]&lt;=WarehouseData[[#This Row],[reorder_point]],"Low Stock","Sufficient Stock")</f>
        <v>Sufficient Stock</v>
      </c>
      <c r="Y2207">
        <f>WarehouseData[[#This Row],[daily_demand]]*WarehouseData[[#This Row],[lead_time_days]]</f>
        <v>144.75</v>
      </c>
      <c r="Z2207" t="str">
        <f>IF(WarehouseData[[#This Row],[stock_level]]&lt;=WarehouseData[[#This Row],[Demand During Lead Time]],"At Risk","Safe")</f>
        <v>Safe</v>
      </c>
      <c r="AA2207">
        <f>WarehouseData[[#This Row],[stock_level]]/WarehouseData[[#This Row],[daily_demand]]</f>
        <v>7.0120898100172715</v>
      </c>
      <c r="AB2207">
        <f>WarehouseData[[#This Row],[stock_level]]*WarehouseData[[#This Row],[unit_price]]</f>
        <v>27644.54</v>
      </c>
      <c r="AC2207">
        <f>WarehouseData[[#This Row],[stock_level]]*WarehouseData[[#This Row],[holding_cost_per_unit_day]]*30</f>
        <v>1278.8999999999999</v>
      </c>
      <c r="AD2207" t="str">
        <f>IF(WarehouseData[[#This Row],[order_fulfillment_rate]]&gt;=0.9,"Strong",IF(WarehouseData[[#This Row],[order_fulfillment_rate]]&gt;=0.8,"Moderate","Needs Attention"))</f>
        <v>Strong</v>
      </c>
      <c r="AE2207" t="str">
        <f>IF(WarehouseData[[#This Row],[picking_time_seconds]]&gt;120,"Slow",IF(WarehouseData[[#This Row],[picking_time_seconds]]&gt;=60,"Average","Fast"))</f>
        <v>Slow</v>
      </c>
    </row>
    <row r="2208" spans="1:31" x14ac:dyDescent="0.25">
      <c r="A2208" t="s">
        <v>2346</v>
      </c>
      <c r="B2208" t="s">
        <v>48</v>
      </c>
      <c r="C2208">
        <v>47</v>
      </c>
      <c r="D2208">
        <v>73</v>
      </c>
      <c r="E2208">
        <v>6</v>
      </c>
      <c r="F2208">
        <v>2</v>
      </c>
      <c r="G2208">
        <v>25.83</v>
      </c>
      <c r="H2208">
        <v>7.95</v>
      </c>
      <c r="I2208">
        <v>0.43</v>
      </c>
      <c r="J2208" t="s">
        <v>160</v>
      </c>
      <c r="K2208" t="s">
        <v>34</v>
      </c>
      <c r="L2208">
        <v>24</v>
      </c>
      <c r="M2208">
        <v>3.26</v>
      </c>
      <c r="N2208">
        <v>191.76</v>
      </c>
      <c r="O2208">
        <v>1.04</v>
      </c>
      <c r="P2208">
        <v>8</v>
      </c>
      <c r="Q2208">
        <v>0.82</v>
      </c>
      <c r="R2208">
        <v>732</v>
      </c>
      <c r="S2208">
        <v>10.039999999999999</v>
      </c>
      <c r="T2208">
        <v>0.92</v>
      </c>
      <c r="U2208" s="1">
        <v>45599</v>
      </c>
      <c r="V2208">
        <v>89.99</v>
      </c>
      <c r="W2208">
        <v>0.61799999999999999</v>
      </c>
      <c r="X2208" t="str">
        <f>IF(WarehouseData[[#This Row],[stock_level]]&lt;=WarehouseData[[#This Row],[reorder_point]],"Low Stock","Sufficient Stock")</f>
        <v>Low Stock</v>
      </c>
      <c r="Y2208">
        <f>WarehouseData[[#This Row],[daily_demand]]*WarehouseData[[#This Row],[lead_time_days]]</f>
        <v>51.66</v>
      </c>
      <c r="Z2208" t="str">
        <f>IF(WarehouseData[[#This Row],[stock_level]]&lt;=WarehouseData[[#This Row],[Demand During Lead Time]],"At Risk","Safe")</f>
        <v>At Risk</v>
      </c>
      <c r="AA2208">
        <f>WarehouseData[[#This Row],[stock_level]]/WarehouseData[[#This Row],[daily_demand]]</f>
        <v>1.8195896244676735</v>
      </c>
      <c r="AB2208">
        <f>WarehouseData[[#This Row],[stock_level]]*WarehouseData[[#This Row],[unit_price]]</f>
        <v>9012.7199999999993</v>
      </c>
      <c r="AC2208">
        <f>WarehouseData[[#This Row],[stock_level]]*WarehouseData[[#This Row],[holding_cost_per_unit_day]]*30</f>
        <v>1466.4</v>
      </c>
      <c r="AD2208" t="str">
        <f>IF(WarehouseData[[#This Row],[order_fulfillment_rate]]&gt;=0.9,"Strong",IF(WarehouseData[[#This Row],[order_fulfillment_rate]]&gt;=0.8,"Moderate","Needs Attention"))</f>
        <v>Moderate</v>
      </c>
      <c r="AE2208" t="str">
        <f>IF(WarehouseData[[#This Row],[picking_time_seconds]]&gt;120,"Slow",IF(WarehouseData[[#This Row],[picking_time_seconds]]&gt;=60,"Average","Fast"))</f>
        <v>Fast</v>
      </c>
    </row>
    <row r="2209" spans="1:31" x14ac:dyDescent="0.25">
      <c r="A2209" t="s">
        <v>2347</v>
      </c>
      <c r="B2209" t="s">
        <v>40</v>
      </c>
      <c r="C2209">
        <v>469</v>
      </c>
      <c r="D2209">
        <v>54</v>
      </c>
      <c r="E2209">
        <v>3</v>
      </c>
      <c r="F2209">
        <v>3</v>
      </c>
      <c r="G2209">
        <v>42.16</v>
      </c>
      <c r="H2209">
        <v>3.06</v>
      </c>
      <c r="I2209">
        <v>0.7</v>
      </c>
      <c r="J2209" t="s">
        <v>37</v>
      </c>
      <c r="K2209" t="s">
        <v>38</v>
      </c>
      <c r="L2209">
        <v>65</v>
      </c>
      <c r="M2209">
        <v>3.61</v>
      </c>
      <c r="N2209">
        <v>12.87</v>
      </c>
      <c r="O2209">
        <v>0.7</v>
      </c>
      <c r="P2209">
        <v>0</v>
      </c>
      <c r="Q2209">
        <v>0.96</v>
      </c>
      <c r="R2209">
        <v>324</v>
      </c>
      <c r="S2209">
        <v>2.86</v>
      </c>
      <c r="T2209">
        <v>0.79</v>
      </c>
      <c r="U2209" s="1">
        <v>45602</v>
      </c>
      <c r="V2209">
        <v>203.32</v>
      </c>
      <c r="W2209">
        <v>0.71799999999999997</v>
      </c>
      <c r="X2209" t="str">
        <f>IF(WarehouseData[[#This Row],[stock_level]]&lt;=WarehouseData[[#This Row],[reorder_point]],"Low Stock","Sufficient Stock")</f>
        <v>Sufficient Stock</v>
      </c>
      <c r="Y2209">
        <f>WarehouseData[[#This Row],[daily_demand]]*WarehouseData[[#This Row],[lead_time_days]]</f>
        <v>126.47999999999999</v>
      </c>
      <c r="Z2209" t="str">
        <f>IF(WarehouseData[[#This Row],[stock_level]]&lt;=WarehouseData[[#This Row],[Demand During Lead Time]],"At Risk","Safe")</f>
        <v>Safe</v>
      </c>
      <c r="AA2209">
        <f>WarehouseData[[#This Row],[stock_level]]/WarehouseData[[#This Row],[daily_demand]]</f>
        <v>11.124288425047439</v>
      </c>
      <c r="AB2209">
        <f>WarehouseData[[#This Row],[stock_level]]*WarehouseData[[#This Row],[unit_price]]</f>
        <v>6036.03</v>
      </c>
      <c r="AC2209">
        <f>WarehouseData[[#This Row],[stock_level]]*WarehouseData[[#This Row],[holding_cost_per_unit_day]]*30</f>
        <v>9848.9999999999982</v>
      </c>
      <c r="AD2209" t="str">
        <f>IF(WarehouseData[[#This Row],[order_fulfillment_rate]]&gt;=0.9,"Strong",IF(WarehouseData[[#This Row],[order_fulfillment_rate]]&gt;=0.8,"Moderate","Needs Attention"))</f>
        <v>Strong</v>
      </c>
      <c r="AE2209" t="str">
        <f>IF(WarehouseData[[#This Row],[picking_time_seconds]]&gt;120,"Slow",IF(WarehouseData[[#This Row],[picking_time_seconds]]&gt;=60,"Average","Fast"))</f>
        <v>Average</v>
      </c>
    </row>
    <row r="2210" spans="1:31" x14ac:dyDescent="0.25">
      <c r="A2210" t="s">
        <v>2348</v>
      </c>
      <c r="B2210" t="s">
        <v>36</v>
      </c>
      <c r="C2210">
        <v>57</v>
      </c>
      <c r="D2210">
        <v>91</v>
      </c>
      <c r="E2210">
        <v>6</v>
      </c>
      <c r="F2210">
        <v>5</v>
      </c>
      <c r="G2210">
        <v>29.51</v>
      </c>
      <c r="H2210">
        <v>6.71</v>
      </c>
      <c r="I2210">
        <v>0.49</v>
      </c>
      <c r="J2210" t="s">
        <v>234</v>
      </c>
      <c r="K2210" t="s">
        <v>46</v>
      </c>
      <c r="L2210">
        <v>168</v>
      </c>
      <c r="M2210">
        <v>3.91</v>
      </c>
      <c r="N2210">
        <v>21.23</v>
      </c>
      <c r="O2210">
        <v>0.11</v>
      </c>
      <c r="P2210">
        <v>4</v>
      </c>
      <c r="Q2210">
        <v>0.77</v>
      </c>
      <c r="R2210">
        <v>856</v>
      </c>
      <c r="S2210">
        <v>2.2799999999999998</v>
      </c>
      <c r="T2210">
        <v>0.54</v>
      </c>
      <c r="U2210" s="1">
        <v>45456</v>
      </c>
      <c r="V2210">
        <v>146.78</v>
      </c>
      <c r="W2210">
        <v>0.60099999999999998</v>
      </c>
      <c r="X2210" t="str">
        <f>IF(WarehouseData[[#This Row],[stock_level]]&lt;=WarehouseData[[#This Row],[reorder_point]],"Low Stock","Sufficient Stock")</f>
        <v>Low Stock</v>
      </c>
      <c r="Y2210">
        <f>WarehouseData[[#This Row],[daily_demand]]*WarehouseData[[#This Row],[lead_time_days]]</f>
        <v>147.55000000000001</v>
      </c>
      <c r="Z2210" t="str">
        <f>IF(WarehouseData[[#This Row],[stock_level]]&lt;=WarehouseData[[#This Row],[Demand During Lead Time]],"At Risk","Safe")</f>
        <v>At Risk</v>
      </c>
      <c r="AA2210">
        <f>WarehouseData[[#This Row],[stock_level]]/WarehouseData[[#This Row],[daily_demand]]</f>
        <v>1.9315486275838698</v>
      </c>
      <c r="AB2210">
        <f>WarehouseData[[#This Row],[stock_level]]*WarehouseData[[#This Row],[unit_price]]</f>
        <v>1210.1100000000001</v>
      </c>
      <c r="AC2210">
        <f>WarehouseData[[#This Row],[stock_level]]*WarehouseData[[#This Row],[holding_cost_per_unit_day]]*30</f>
        <v>188.10000000000002</v>
      </c>
      <c r="AD2210" t="str">
        <f>IF(WarehouseData[[#This Row],[order_fulfillment_rate]]&gt;=0.9,"Strong",IF(WarehouseData[[#This Row],[order_fulfillment_rate]]&gt;=0.8,"Moderate","Needs Attention"))</f>
        <v>Needs Attention</v>
      </c>
      <c r="AE2210" t="str">
        <f>IF(WarehouseData[[#This Row],[picking_time_seconds]]&gt;120,"Slow",IF(WarehouseData[[#This Row],[picking_time_seconds]]&gt;=60,"Average","Fast"))</f>
        <v>Slow</v>
      </c>
    </row>
    <row r="2211" spans="1:31" x14ac:dyDescent="0.25">
      <c r="A2211" t="s">
        <v>2349</v>
      </c>
      <c r="B2211" t="s">
        <v>36</v>
      </c>
      <c r="C2211">
        <v>138</v>
      </c>
      <c r="D2211">
        <v>67</v>
      </c>
      <c r="E2211">
        <v>5</v>
      </c>
      <c r="F2211">
        <v>6</v>
      </c>
      <c r="G2211">
        <v>16.850000000000001</v>
      </c>
      <c r="H2211">
        <v>3.26</v>
      </c>
      <c r="I2211">
        <v>0.79</v>
      </c>
      <c r="J2211" t="s">
        <v>273</v>
      </c>
      <c r="K2211" t="s">
        <v>52</v>
      </c>
      <c r="L2211">
        <v>62</v>
      </c>
      <c r="M2211">
        <v>1.1100000000000001</v>
      </c>
      <c r="N2211">
        <v>105.17</v>
      </c>
      <c r="O2211">
        <v>0.45</v>
      </c>
      <c r="P2211">
        <v>9</v>
      </c>
      <c r="Q2211">
        <v>0.71</v>
      </c>
      <c r="R2211">
        <v>925</v>
      </c>
      <c r="S2211">
        <v>7.41</v>
      </c>
      <c r="T2211">
        <v>0.64</v>
      </c>
      <c r="U2211" s="1">
        <v>45550</v>
      </c>
      <c r="V2211">
        <v>58.58</v>
      </c>
      <c r="W2211">
        <v>0.54400000000000004</v>
      </c>
      <c r="X2211" t="str">
        <f>IF(WarehouseData[[#This Row],[stock_level]]&lt;=WarehouseData[[#This Row],[reorder_point]],"Low Stock","Sufficient Stock")</f>
        <v>Sufficient Stock</v>
      </c>
      <c r="Y2211">
        <f>WarehouseData[[#This Row],[daily_demand]]*WarehouseData[[#This Row],[lead_time_days]]</f>
        <v>101.10000000000001</v>
      </c>
      <c r="Z2211" t="str">
        <f>IF(WarehouseData[[#This Row],[stock_level]]&lt;=WarehouseData[[#This Row],[Demand During Lead Time]],"At Risk","Safe")</f>
        <v>Safe</v>
      </c>
      <c r="AA2211">
        <f>WarehouseData[[#This Row],[stock_level]]/WarehouseData[[#This Row],[daily_demand]]</f>
        <v>8.1899109792284861</v>
      </c>
      <c r="AB2211">
        <f>WarehouseData[[#This Row],[stock_level]]*WarehouseData[[#This Row],[unit_price]]</f>
        <v>14513.460000000001</v>
      </c>
      <c r="AC2211">
        <f>WarehouseData[[#This Row],[stock_level]]*WarehouseData[[#This Row],[holding_cost_per_unit_day]]*30</f>
        <v>1863</v>
      </c>
      <c r="AD2211" t="str">
        <f>IF(WarehouseData[[#This Row],[order_fulfillment_rate]]&gt;=0.9,"Strong",IF(WarehouseData[[#This Row],[order_fulfillment_rate]]&gt;=0.8,"Moderate","Needs Attention"))</f>
        <v>Needs Attention</v>
      </c>
      <c r="AE2211" t="str">
        <f>IF(WarehouseData[[#This Row],[picking_time_seconds]]&gt;120,"Slow",IF(WarehouseData[[#This Row],[picking_time_seconds]]&gt;=60,"Average","Fast"))</f>
        <v>Average</v>
      </c>
    </row>
    <row r="2212" spans="1:31" x14ac:dyDescent="0.25">
      <c r="A2212" t="s">
        <v>2350</v>
      </c>
      <c r="B2212" t="s">
        <v>48</v>
      </c>
      <c r="C2212">
        <v>312</v>
      </c>
      <c r="D2212">
        <v>29</v>
      </c>
      <c r="E2212">
        <v>14</v>
      </c>
      <c r="F2212">
        <v>2</v>
      </c>
      <c r="G2212">
        <v>26.3</v>
      </c>
      <c r="H2212">
        <v>6.07</v>
      </c>
      <c r="I2212">
        <v>0.84</v>
      </c>
      <c r="J2212" t="s">
        <v>137</v>
      </c>
      <c r="K2212" t="s">
        <v>46</v>
      </c>
      <c r="L2212">
        <v>70</v>
      </c>
      <c r="M2212">
        <v>4.84</v>
      </c>
      <c r="N2212">
        <v>183.35</v>
      </c>
      <c r="O2212">
        <v>0.52</v>
      </c>
      <c r="P2212">
        <v>0</v>
      </c>
      <c r="Q2212">
        <v>0.87</v>
      </c>
      <c r="R2212">
        <v>721</v>
      </c>
      <c r="S2212">
        <v>2.17</v>
      </c>
      <c r="T2212">
        <v>0.54</v>
      </c>
      <c r="U2212" s="1">
        <v>45488</v>
      </c>
      <c r="V2212">
        <v>149.6</v>
      </c>
      <c r="W2212">
        <v>0.65900000000000003</v>
      </c>
      <c r="X2212" t="str">
        <f>IF(WarehouseData[[#This Row],[stock_level]]&lt;=WarehouseData[[#This Row],[reorder_point]],"Low Stock","Sufficient Stock")</f>
        <v>Sufficient Stock</v>
      </c>
      <c r="Y2212">
        <f>WarehouseData[[#This Row],[daily_demand]]*WarehouseData[[#This Row],[lead_time_days]]</f>
        <v>52.6</v>
      </c>
      <c r="Z2212" t="str">
        <f>IF(WarehouseData[[#This Row],[stock_level]]&lt;=WarehouseData[[#This Row],[Demand During Lead Time]],"At Risk","Safe")</f>
        <v>Safe</v>
      </c>
      <c r="AA2212">
        <f>WarehouseData[[#This Row],[stock_level]]/WarehouseData[[#This Row],[daily_demand]]</f>
        <v>11.863117870722434</v>
      </c>
      <c r="AB2212">
        <f>WarehouseData[[#This Row],[stock_level]]*WarehouseData[[#This Row],[unit_price]]</f>
        <v>57205.2</v>
      </c>
      <c r="AC2212">
        <f>WarehouseData[[#This Row],[stock_level]]*WarehouseData[[#This Row],[holding_cost_per_unit_day]]*30</f>
        <v>4867.2000000000007</v>
      </c>
      <c r="AD2212" t="str">
        <f>IF(WarehouseData[[#This Row],[order_fulfillment_rate]]&gt;=0.9,"Strong",IF(WarehouseData[[#This Row],[order_fulfillment_rate]]&gt;=0.8,"Moderate","Needs Attention"))</f>
        <v>Moderate</v>
      </c>
      <c r="AE2212" t="str">
        <f>IF(WarehouseData[[#This Row],[picking_time_seconds]]&gt;120,"Slow",IF(WarehouseData[[#This Row],[picking_time_seconds]]&gt;=60,"Average","Fast"))</f>
        <v>Average</v>
      </c>
    </row>
    <row r="2213" spans="1:31" x14ac:dyDescent="0.25">
      <c r="A2213" t="s">
        <v>2351</v>
      </c>
      <c r="B2213" t="s">
        <v>48</v>
      </c>
      <c r="C2213">
        <v>390</v>
      </c>
      <c r="D2213">
        <v>67</v>
      </c>
      <c r="E2213">
        <v>8</v>
      </c>
      <c r="F2213">
        <v>5</v>
      </c>
      <c r="G2213">
        <v>35.29</v>
      </c>
      <c r="H2213">
        <v>6.25</v>
      </c>
      <c r="I2213">
        <v>0.7</v>
      </c>
      <c r="J2213" t="s">
        <v>334</v>
      </c>
      <c r="K2213" t="s">
        <v>38</v>
      </c>
      <c r="L2213">
        <v>137</v>
      </c>
      <c r="M2213">
        <v>4.3</v>
      </c>
      <c r="N2213">
        <v>148.85</v>
      </c>
      <c r="O2213">
        <v>0.65</v>
      </c>
      <c r="P2213">
        <v>5</v>
      </c>
      <c r="Q2213">
        <v>0.8</v>
      </c>
      <c r="R2213">
        <v>801</v>
      </c>
      <c r="S2213">
        <v>6.5</v>
      </c>
      <c r="T2213">
        <v>0.55000000000000004</v>
      </c>
      <c r="U2213" s="1">
        <v>45506</v>
      </c>
      <c r="V2213">
        <v>119.15</v>
      </c>
      <c r="W2213">
        <v>0.59199999999999997</v>
      </c>
      <c r="X2213" t="str">
        <f>IF(WarehouseData[[#This Row],[stock_level]]&lt;=WarehouseData[[#This Row],[reorder_point]],"Low Stock","Sufficient Stock")</f>
        <v>Sufficient Stock</v>
      </c>
      <c r="Y2213">
        <f>WarehouseData[[#This Row],[daily_demand]]*WarehouseData[[#This Row],[lead_time_days]]</f>
        <v>176.45</v>
      </c>
      <c r="Z2213" t="str">
        <f>IF(WarehouseData[[#This Row],[stock_level]]&lt;=WarehouseData[[#This Row],[Demand During Lead Time]],"At Risk","Safe")</f>
        <v>Safe</v>
      </c>
      <c r="AA2213">
        <f>WarehouseData[[#This Row],[stock_level]]/WarehouseData[[#This Row],[daily_demand]]</f>
        <v>11.051289317086994</v>
      </c>
      <c r="AB2213">
        <f>WarehouseData[[#This Row],[stock_level]]*WarehouseData[[#This Row],[unit_price]]</f>
        <v>58051.5</v>
      </c>
      <c r="AC2213">
        <f>WarehouseData[[#This Row],[stock_level]]*WarehouseData[[#This Row],[holding_cost_per_unit_day]]*30</f>
        <v>7605</v>
      </c>
      <c r="AD2213" t="str">
        <f>IF(WarehouseData[[#This Row],[order_fulfillment_rate]]&gt;=0.9,"Strong",IF(WarehouseData[[#This Row],[order_fulfillment_rate]]&gt;=0.8,"Moderate","Needs Attention"))</f>
        <v>Moderate</v>
      </c>
      <c r="AE2213" t="str">
        <f>IF(WarehouseData[[#This Row],[picking_time_seconds]]&gt;120,"Slow",IF(WarehouseData[[#This Row],[picking_time_seconds]]&gt;=60,"Average","Fast"))</f>
        <v>Slow</v>
      </c>
    </row>
    <row r="2214" spans="1:31" x14ac:dyDescent="0.25">
      <c r="A2214" t="s">
        <v>2352</v>
      </c>
      <c r="B2214" t="s">
        <v>36</v>
      </c>
      <c r="C2214">
        <v>263</v>
      </c>
      <c r="D2214">
        <v>98</v>
      </c>
      <c r="E2214">
        <v>9</v>
      </c>
      <c r="F2214">
        <v>3</v>
      </c>
      <c r="G2214">
        <v>5.6</v>
      </c>
      <c r="H2214">
        <v>1.66</v>
      </c>
      <c r="I2214">
        <v>0.54</v>
      </c>
      <c r="J2214" t="s">
        <v>148</v>
      </c>
      <c r="K2214" t="s">
        <v>52</v>
      </c>
      <c r="L2214">
        <v>51</v>
      </c>
      <c r="M2214">
        <v>3.03</v>
      </c>
      <c r="N2214">
        <v>128.21</v>
      </c>
      <c r="O2214">
        <v>1.77</v>
      </c>
      <c r="P2214">
        <v>8</v>
      </c>
      <c r="Q2214">
        <v>1</v>
      </c>
      <c r="R2214">
        <v>626</v>
      </c>
      <c r="S2214">
        <v>5.52</v>
      </c>
      <c r="T2214">
        <v>0.71</v>
      </c>
      <c r="U2214" s="1">
        <v>45603</v>
      </c>
      <c r="V2214">
        <v>268.04000000000002</v>
      </c>
      <c r="W2214">
        <v>0.47899999999999998</v>
      </c>
      <c r="X2214" t="str">
        <f>IF(WarehouseData[[#This Row],[stock_level]]&lt;=WarehouseData[[#This Row],[reorder_point]],"Low Stock","Sufficient Stock")</f>
        <v>Sufficient Stock</v>
      </c>
      <c r="Y2214">
        <f>WarehouseData[[#This Row],[daily_demand]]*WarehouseData[[#This Row],[lead_time_days]]</f>
        <v>16.799999999999997</v>
      </c>
      <c r="Z2214" t="str">
        <f>IF(WarehouseData[[#This Row],[stock_level]]&lt;=WarehouseData[[#This Row],[Demand During Lead Time]],"At Risk","Safe")</f>
        <v>Safe</v>
      </c>
      <c r="AA2214">
        <f>WarehouseData[[#This Row],[stock_level]]/WarehouseData[[#This Row],[daily_demand]]</f>
        <v>46.964285714285715</v>
      </c>
      <c r="AB2214">
        <f>WarehouseData[[#This Row],[stock_level]]*WarehouseData[[#This Row],[unit_price]]</f>
        <v>33719.230000000003</v>
      </c>
      <c r="AC2214">
        <f>WarehouseData[[#This Row],[stock_level]]*WarehouseData[[#This Row],[holding_cost_per_unit_day]]*30</f>
        <v>13965.3</v>
      </c>
      <c r="AD2214" t="str">
        <f>IF(WarehouseData[[#This Row],[order_fulfillment_rate]]&gt;=0.9,"Strong",IF(WarehouseData[[#This Row],[order_fulfillment_rate]]&gt;=0.8,"Moderate","Needs Attention"))</f>
        <v>Strong</v>
      </c>
      <c r="AE2214" t="str">
        <f>IF(WarehouseData[[#This Row],[picking_time_seconds]]&gt;120,"Slow",IF(WarehouseData[[#This Row],[picking_time_seconds]]&gt;=60,"Average","Fast"))</f>
        <v>Fast</v>
      </c>
    </row>
    <row r="2215" spans="1:31" x14ac:dyDescent="0.25">
      <c r="A2215" t="s">
        <v>2353</v>
      </c>
      <c r="B2215" t="s">
        <v>73</v>
      </c>
      <c r="C2215">
        <v>87</v>
      </c>
      <c r="D2215">
        <v>66</v>
      </c>
      <c r="E2215">
        <v>10</v>
      </c>
      <c r="F2215">
        <v>5</v>
      </c>
      <c r="G2215">
        <v>31.43</v>
      </c>
      <c r="H2215">
        <v>5.71</v>
      </c>
      <c r="I2215">
        <v>0.8</v>
      </c>
      <c r="J2215" t="s">
        <v>259</v>
      </c>
      <c r="K2215" t="s">
        <v>46</v>
      </c>
      <c r="L2215">
        <v>38</v>
      </c>
      <c r="M2215">
        <v>4.51</v>
      </c>
      <c r="N2215">
        <v>16</v>
      </c>
      <c r="O2215">
        <v>0.9</v>
      </c>
      <c r="P2215">
        <v>3</v>
      </c>
      <c r="Q2215">
        <v>0.73</v>
      </c>
      <c r="R2215">
        <v>266</v>
      </c>
      <c r="S2215">
        <v>6.48</v>
      </c>
      <c r="T2215">
        <v>0.37</v>
      </c>
      <c r="U2215" s="1">
        <v>45646</v>
      </c>
      <c r="V2215">
        <v>233.76</v>
      </c>
      <c r="W2215">
        <v>0.55600000000000005</v>
      </c>
      <c r="X2215" t="str">
        <f>IF(WarehouseData[[#This Row],[stock_level]]&lt;=WarehouseData[[#This Row],[reorder_point]],"Low Stock","Sufficient Stock")</f>
        <v>Sufficient Stock</v>
      </c>
      <c r="Y2215">
        <f>WarehouseData[[#This Row],[daily_demand]]*WarehouseData[[#This Row],[lead_time_days]]</f>
        <v>157.15</v>
      </c>
      <c r="Z2215" t="str">
        <f>IF(WarehouseData[[#This Row],[stock_level]]&lt;=WarehouseData[[#This Row],[Demand During Lead Time]],"At Risk","Safe")</f>
        <v>At Risk</v>
      </c>
      <c r="AA2215">
        <f>WarehouseData[[#This Row],[stock_level]]/WarehouseData[[#This Row],[daily_demand]]</f>
        <v>2.768055997454661</v>
      </c>
      <c r="AB2215">
        <f>WarehouseData[[#This Row],[stock_level]]*WarehouseData[[#This Row],[unit_price]]</f>
        <v>1392</v>
      </c>
      <c r="AC2215">
        <f>WarehouseData[[#This Row],[stock_level]]*WarehouseData[[#This Row],[holding_cost_per_unit_day]]*30</f>
        <v>2349</v>
      </c>
      <c r="AD2215" t="str">
        <f>IF(WarehouseData[[#This Row],[order_fulfillment_rate]]&gt;=0.9,"Strong",IF(WarehouseData[[#This Row],[order_fulfillment_rate]]&gt;=0.8,"Moderate","Needs Attention"))</f>
        <v>Needs Attention</v>
      </c>
      <c r="AE2215" t="str">
        <f>IF(WarehouseData[[#This Row],[picking_time_seconds]]&gt;120,"Slow",IF(WarehouseData[[#This Row],[picking_time_seconds]]&gt;=60,"Average","Fast"))</f>
        <v>Fast</v>
      </c>
    </row>
    <row r="2216" spans="1:31" x14ac:dyDescent="0.25">
      <c r="A2216" t="s">
        <v>2354</v>
      </c>
      <c r="B2216" t="s">
        <v>36</v>
      </c>
      <c r="C2216">
        <v>233</v>
      </c>
      <c r="D2216">
        <v>86</v>
      </c>
      <c r="E2216">
        <v>4</v>
      </c>
      <c r="F2216">
        <v>2</v>
      </c>
      <c r="G2216">
        <v>45.91</v>
      </c>
      <c r="H2216">
        <v>0.61</v>
      </c>
      <c r="I2216">
        <v>0.54</v>
      </c>
      <c r="J2216" t="s">
        <v>154</v>
      </c>
      <c r="K2216" t="s">
        <v>52</v>
      </c>
      <c r="L2216">
        <v>164</v>
      </c>
      <c r="M2216">
        <v>2.2200000000000002</v>
      </c>
      <c r="N2216">
        <v>77.290000000000006</v>
      </c>
      <c r="O2216">
        <v>1.39</v>
      </c>
      <c r="P2216">
        <v>9</v>
      </c>
      <c r="Q2216">
        <v>0.71</v>
      </c>
      <c r="R2216">
        <v>608</v>
      </c>
      <c r="S2216">
        <v>7.83</v>
      </c>
      <c r="T2216">
        <v>0.47</v>
      </c>
      <c r="U2216" s="1">
        <v>45419</v>
      </c>
      <c r="V2216">
        <v>213.36</v>
      </c>
      <c r="W2216">
        <v>0.42099999999999999</v>
      </c>
      <c r="X2216" t="str">
        <f>IF(WarehouseData[[#This Row],[stock_level]]&lt;=WarehouseData[[#This Row],[reorder_point]],"Low Stock","Sufficient Stock")</f>
        <v>Sufficient Stock</v>
      </c>
      <c r="Y2216">
        <f>WarehouseData[[#This Row],[daily_demand]]*WarehouseData[[#This Row],[lead_time_days]]</f>
        <v>91.82</v>
      </c>
      <c r="Z2216" t="str">
        <f>IF(WarehouseData[[#This Row],[stock_level]]&lt;=WarehouseData[[#This Row],[Demand During Lead Time]],"At Risk","Safe")</f>
        <v>Safe</v>
      </c>
      <c r="AA2216">
        <f>WarehouseData[[#This Row],[stock_level]]/WarehouseData[[#This Row],[daily_demand]]</f>
        <v>5.0751470267915488</v>
      </c>
      <c r="AB2216">
        <f>WarehouseData[[#This Row],[stock_level]]*WarehouseData[[#This Row],[unit_price]]</f>
        <v>18008.57</v>
      </c>
      <c r="AC2216">
        <f>WarehouseData[[#This Row],[stock_level]]*WarehouseData[[#This Row],[holding_cost_per_unit_day]]*30</f>
        <v>9716.1</v>
      </c>
      <c r="AD2216" t="str">
        <f>IF(WarehouseData[[#This Row],[order_fulfillment_rate]]&gt;=0.9,"Strong",IF(WarehouseData[[#This Row],[order_fulfillment_rate]]&gt;=0.8,"Moderate","Needs Attention"))</f>
        <v>Needs Attention</v>
      </c>
      <c r="AE2216" t="str">
        <f>IF(WarehouseData[[#This Row],[picking_time_seconds]]&gt;120,"Slow",IF(WarehouseData[[#This Row],[picking_time_seconds]]&gt;=60,"Average","Fast"))</f>
        <v>Slow</v>
      </c>
    </row>
    <row r="2217" spans="1:31" x14ac:dyDescent="0.25">
      <c r="A2217" t="s">
        <v>2355</v>
      </c>
      <c r="B2217" t="s">
        <v>36</v>
      </c>
      <c r="C2217">
        <v>237</v>
      </c>
      <c r="D2217">
        <v>77</v>
      </c>
      <c r="E2217">
        <v>8</v>
      </c>
      <c r="F2217">
        <v>5</v>
      </c>
      <c r="G2217">
        <v>15.66</v>
      </c>
      <c r="H2217">
        <v>5.26</v>
      </c>
      <c r="I2217">
        <v>0.2</v>
      </c>
      <c r="J2217" t="s">
        <v>340</v>
      </c>
      <c r="K2217" t="s">
        <v>34</v>
      </c>
      <c r="L2217">
        <v>53</v>
      </c>
      <c r="M2217">
        <v>0.65</v>
      </c>
      <c r="N2217">
        <v>75.709999999999994</v>
      </c>
      <c r="O2217">
        <v>0.13</v>
      </c>
      <c r="P2217">
        <v>9</v>
      </c>
      <c r="Q2217">
        <v>0.71</v>
      </c>
      <c r="R2217">
        <v>446</v>
      </c>
      <c r="S2217">
        <v>3.59</v>
      </c>
      <c r="T2217">
        <v>0.42</v>
      </c>
      <c r="U2217" s="1">
        <v>45432</v>
      </c>
      <c r="V2217">
        <v>104.88</v>
      </c>
      <c r="W2217">
        <v>0.48099999999999998</v>
      </c>
      <c r="X2217" t="str">
        <f>IF(WarehouseData[[#This Row],[stock_level]]&lt;=WarehouseData[[#This Row],[reorder_point]],"Low Stock","Sufficient Stock")</f>
        <v>Sufficient Stock</v>
      </c>
      <c r="Y2217">
        <f>WarehouseData[[#This Row],[daily_demand]]*WarehouseData[[#This Row],[lead_time_days]]</f>
        <v>78.3</v>
      </c>
      <c r="Z2217" t="str">
        <f>IF(WarehouseData[[#This Row],[stock_level]]&lt;=WarehouseData[[#This Row],[Demand During Lead Time]],"At Risk","Safe")</f>
        <v>Safe</v>
      </c>
      <c r="AA2217">
        <f>WarehouseData[[#This Row],[stock_level]]/WarehouseData[[#This Row],[daily_demand]]</f>
        <v>15.134099616858238</v>
      </c>
      <c r="AB2217">
        <f>WarehouseData[[#This Row],[stock_level]]*WarehouseData[[#This Row],[unit_price]]</f>
        <v>17943.269999999997</v>
      </c>
      <c r="AC2217">
        <f>WarehouseData[[#This Row],[stock_level]]*WarehouseData[[#This Row],[holding_cost_per_unit_day]]*30</f>
        <v>924.30000000000007</v>
      </c>
      <c r="AD2217" t="str">
        <f>IF(WarehouseData[[#This Row],[order_fulfillment_rate]]&gt;=0.9,"Strong",IF(WarehouseData[[#This Row],[order_fulfillment_rate]]&gt;=0.8,"Moderate","Needs Attention"))</f>
        <v>Needs Attention</v>
      </c>
      <c r="AE2217" t="str">
        <f>IF(WarehouseData[[#This Row],[picking_time_seconds]]&gt;120,"Slow",IF(WarehouseData[[#This Row],[picking_time_seconds]]&gt;=60,"Average","Fast"))</f>
        <v>Fast</v>
      </c>
    </row>
    <row r="2218" spans="1:31" x14ac:dyDescent="0.25">
      <c r="A2218" t="s">
        <v>2356</v>
      </c>
      <c r="B2218" t="s">
        <v>48</v>
      </c>
      <c r="C2218">
        <v>196</v>
      </c>
      <c r="D2218">
        <v>87</v>
      </c>
      <c r="E2218">
        <v>8</v>
      </c>
      <c r="F2218">
        <v>6</v>
      </c>
      <c r="G2218">
        <v>31.7</v>
      </c>
      <c r="H2218">
        <v>7.13</v>
      </c>
      <c r="I2218">
        <v>0.2</v>
      </c>
      <c r="J2218" t="s">
        <v>88</v>
      </c>
      <c r="K2218" t="s">
        <v>34</v>
      </c>
      <c r="L2218">
        <v>142</v>
      </c>
      <c r="M2218">
        <v>3.77</v>
      </c>
      <c r="N2218">
        <v>113</v>
      </c>
      <c r="O2218">
        <v>1.65</v>
      </c>
      <c r="P2218">
        <v>8</v>
      </c>
      <c r="Q2218">
        <v>0.77</v>
      </c>
      <c r="R2218">
        <v>123</v>
      </c>
      <c r="S2218">
        <v>7.19</v>
      </c>
      <c r="T2218">
        <v>0.84</v>
      </c>
      <c r="U2218" s="1">
        <v>45495</v>
      </c>
      <c r="V2218">
        <v>50.49</v>
      </c>
      <c r="W2218">
        <v>0.49299999999999999</v>
      </c>
      <c r="X2218" t="str">
        <f>IF(WarehouseData[[#This Row],[stock_level]]&lt;=WarehouseData[[#This Row],[reorder_point]],"Low Stock","Sufficient Stock")</f>
        <v>Sufficient Stock</v>
      </c>
      <c r="Y2218">
        <f>WarehouseData[[#This Row],[daily_demand]]*WarehouseData[[#This Row],[lead_time_days]]</f>
        <v>190.2</v>
      </c>
      <c r="Z2218" t="str">
        <f>IF(WarehouseData[[#This Row],[stock_level]]&lt;=WarehouseData[[#This Row],[Demand During Lead Time]],"At Risk","Safe")</f>
        <v>Safe</v>
      </c>
      <c r="AA2218">
        <f>WarehouseData[[#This Row],[stock_level]]/WarehouseData[[#This Row],[daily_demand]]</f>
        <v>6.1829652996845423</v>
      </c>
      <c r="AB2218">
        <f>WarehouseData[[#This Row],[stock_level]]*WarehouseData[[#This Row],[unit_price]]</f>
        <v>22148</v>
      </c>
      <c r="AC2218">
        <f>WarehouseData[[#This Row],[stock_level]]*WarehouseData[[#This Row],[holding_cost_per_unit_day]]*30</f>
        <v>9702</v>
      </c>
      <c r="AD2218" t="str">
        <f>IF(WarehouseData[[#This Row],[order_fulfillment_rate]]&gt;=0.9,"Strong",IF(WarehouseData[[#This Row],[order_fulfillment_rate]]&gt;=0.8,"Moderate","Needs Attention"))</f>
        <v>Needs Attention</v>
      </c>
      <c r="AE2218" t="str">
        <f>IF(WarehouseData[[#This Row],[picking_time_seconds]]&gt;120,"Slow",IF(WarehouseData[[#This Row],[picking_time_seconds]]&gt;=60,"Average","Fast"))</f>
        <v>Slow</v>
      </c>
    </row>
    <row r="2219" spans="1:31" x14ac:dyDescent="0.25">
      <c r="A2219" t="s">
        <v>2357</v>
      </c>
      <c r="B2219" t="s">
        <v>48</v>
      </c>
      <c r="C2219">
        <v>318</v>
      </c>
      <c r="D2219">
        <v>61</v>
      </c>
      <c r="E2219">
        <v>12</v>
      </c>
      <c r="F2219">
        <v>4</v>
      </c>
      <c r="G2219">
        <v>41.25</v>
      </c>
      <c r="H2219">
        <v>1.19</v>
      </c>
      <c r="I2219">
        <v>0.95</v>
      </c>
      <c r="J2219" t="s">
        <v>240</v>
      </c>
      <c r="K2219" t="s">
        <v>52</v>
      </c>
      <c r="L2219">
        <v>122</v>
      </c>
      <c r="M2219">
        <v>4.75</v>
      </c>
      <c r="N2219">
        <v>58.99</v>
      </c>
      <c r="O2219">
        <v>0.56000000000000005</v>
      </c>
      <c r="P2219">
        <v>2</v>
      </c>
      <c r="Q2219">
        <v>0.87</v>
      </c>
      <c r="R2219">
        <v>725</v>
      </c>
      <c r="S2219">
        <v>6.06</v>
      </c>
      <c r="T2219">
        <v>0.95</v>
      </c>
      <c r="U2219" s="1">
        <v>45467</v>
      </c>
      <c r="V2219">
        <v>260.76</v>
      </c>
      <c r="W2219">
        <v>0.749</v>
      </c>
      <c r="X2219" t="str">
        <f>IF(WarehouseData[[#This Row],[stock_level]]&lt;=WarehouseData[[#This Row],[reorder_point]],"Low Stock","Sufficient Stock")</f>
        <v>Sufficient Stock</v>
      </c>
      <c r="Y2219">
        <f>WarehouseData[[#This Row],[daily_demand]]*WarehouseData[[#This Row],[lead_time_days]]</f>
        <v>165</v>
      </c>
      <c r="Z2219" t="str">
        <f>IF(WarehouseData[[#This Row],[stock_level]]&lt;=WarehouseData[[#This Row],[Demand During Lead Time]],"At Risk","Safe")</f>
        <v>Safe</v>
      </c>
      <c r="AA2219">
        <f>WarehouseData[[#This Row],[stock_level]]/WarehouseData[[#This Row],[daily_demand]]</f>
        <v>7.709090909090909</v>
      </c>
      <c r="AB2219">
        <f>WarehouseData[[#This Row],[stock_level]]*WarehouseData[[#This Row],[unit_price]]</f>
        <v>18758.82</v>
      </c>
      <c r="AC2219">
        <f>WarehouseData[[#This Row],[stock_level]]*WarehouseData[[#This Row],[holding_cost_per_unit_day]]*30</f>
        <v>5342.4000000000005</v>
      </c>
      <c r="AD2219" t="str">
        <f>IF(WarehouseData[[#This Row],[order_fulfillment_rate]]&gt;=0.9,"Strong",IF(WarehouseData[[#This Row],[order_fulfillment_rate]]&gt;=0.8,"Moderate","Needs Attention"))</f>
        <v>Moderate</v>
      </c>
      <c r="AE2219" t="str">
        <f>IF(WarehouseData[[#This Row],[picking_time_seconds]]&gt;120,"Slow",IF(WarehouseData[[#This Row],[picking_time_seconds]]&gt;=60,"Average","Fast"))</f>
        <v>Slow</v>
      </c>
    </row>
    <row r="2220" spans="1:31" x14ac:dyDescent="0.25">
      <c r="A2220" t="s">
        <v>2358</v>
      </c>
      <c r="B2220" t="s">
        <v>36</v>
      </c>
      <c r="C2220">
        <v>183</v>
      </c>
      <c r="D2220">
        <v>46</v>
      </c>
      <c r="E2220">
        <v>14</v>
      </c>
      <c r="F2220">
        <v>9</v>
      </c>
      <c r="G2220">
        <v>26.08</v>
      </c>
      <c r="H2220">
        <v>9.42</v>
      </c>
      <c r="I2220">
        <v>0.28999999999999998</v>
      </c>
      <c r="J2220" t="s">
        <v>146</v>
      </c>
      <c r="K2220" t="s">
        <v>46</v>
      </c>
      <c r="L2220">
        <v>115</v>
      </c>
      <c r="M2220">
        <v>1.23</v>
      </c>
      <c r="N2220">
        <v>60.76</v>
      </c>
      <c r="O2220">
        <v>0.69</v>
      </c>
      <c r="P2220">
        <v>6</v>
      </c>
      <c r="Q2220">
        <v>0.85</v>
      </c>
      <c r="R2220">
        <v>759</v>
      </c>
      <c r="S2220">
        <v>12.14</v>
      </c>
      <c r="T2220">
        <v>0.53</v>
      </c>
      <c r="U2220" s="1">
        <v>45442</v>
      </c>
      <c r="V2220">
        <v>109.4</v>
      </c>
      <c r="W2220">
        <v>0.64900000000000002</v>
      </c>
      <c r="X2220" t="str">
        <f>IF(WarehouseData[[#This Row],[stock_level]]&lt;=WarehouseData[[#This Row],[reorder_point]],"Low Stock","Sufficient Stock")</f>
        <v>Sufficient Stock</v>
      </c>
      <c r="Y2220">
        <f>WarehouseData[[#This Row],[daily_demand]]*WarehouseData[[#This Row],[lead_time_days]]</f>
        <v>234.71999999999997</v>
      </c>
      <c r="Z2220" t="str">
        <f>IF(WarehouseData[[#This Row],[stock_level]]&lt;=WarehouseData[[#This Row],[Demand During Lead Time]],"At Risk","Safe")</f>
        <v>At Risk</v>
      </c>
      <c r="AA2220">
        <f>WarehouseData[[#This Row],[stock_level]]/WarehouseData[[#This Row],[daily_demand]]</f>
        <v>7.0168711656441722</v>
      </c>
      <c r="AB2220">
        <f>WarehouseData[[#This Row],[stock_level]]*WarehouseData[[#This Row],[unit_price]]</f>
        <v>11119.08</v>
      </c>
      <c r="AC2220">
        <f>WarehouseData[[#This Row],[stock_level]]*WarehouseData[[#This Row],[holding_cost_per_unit_day]]*30</f>
        <v>3788.1</v>
      </c>
      <c r="AD2220" t="str">
        <f>IF(WarehouseData[[#This Row],[order_fulfillment_rate]]&gt;=0.9,"Strong",IF(WarehouseData[[#This Row],[order_fulfillment_rate]]&gt;=0.8,"Moderate","Needs Attention"))</f>
        <v>Moderate</v>
      </c>
      <c r="AE2220" t="str">
        <f>IF(WarehouseData[[#This Row],[picking_time_seconds]]&gt;120,"Slow",IF(WarehouseData[[#This Row],[picking_time_seconds]]&gt;=60,"Average","Fast"))</f>
        <v>Average</v>
      </c>
    </row>
    <row r="2221" spans="1:31" x14ac:dyDescent="0.25">
      <c r="A2221" t="s">
        <v>2359</v>
      </c>
      <c r="B2221" t="s">
        <v>36</v>
      </c>
      <c r="C2221">
        <v>77</v>
      </c>
      <c r="D2221">
        <v>17</v>
      </c>
      <c r="E2221">
        <v>7</v>
      </c>
      <c r="F2221">
        <v>9</v>
      </c>
      <c r="G2221">
        <v>36.18</v>
      </c>
      <c r="H2221">
        <v>4.8600000000000003</v>
      </c>
      <c r="I2221">
        <v>0.83</v>
      </c>
      <c r="J2221" t="s">
        <v>68</v>
      </c>
      <c r="K2221" t="s">
        <v>46</v>
      </c>
      <c r="L2221">
        <v>47</v>
      </c>
      <c r="M2221">
        <v>3.4</v>
      </c>
      <c r="N2221">
        <v>127.96</v>
      </c>
      <c r="O2221">
        <v>0.19</v>
      </c>
      <c r="P2221">
        <v>4</v>
      </c>
      <c r="Q2221">
        <v>0.81</v>
      </c>
      <c r="R2221">
        <v>972</v>
      </c>
      <c r="S2221">
        <v>10.73</v>
      </c>
      <c r="T2221">
        <v>0.26</v>
      </c>
      <c r="U2221" s="1">
        <v>45523</v>
      </c>
      <c r="V2221">
        <v>181.96</v>
      </c>
      <c r="W2221">
        <v>0.65800000000000003</v>
      </c>
      <c r="X2221" t="str">
        <f>IF(WarehouseData[[#This Row],[stock_level]]&lt;=WarehouseData[[#This Row],[reorder_point]],"Low Stock","Sufficient Stock")</f>
        <v>Sufficient Stock</v>
      </c>
      <c r="Y2221">
        <f>WarehouseData[[#This Row],[daily_demand]]*WarehouseData[[#This Row],[lead_time_days]]</f>
        <v>325.62</v>
      </c>
      <c r="Z2221" t="str">
        <f>IF(WarehouseData[[#This Row],[stock_level]]&lt;=WarehouseData[[#This Row],[Demand During Lead Time]],"At Risk","Safe")</f>
        <v>At Risk</v>
      </c>
      <c r="AA2221">
        <f>WarehouseData[[#This Row],[stock_level]]/WarehouseData[[#This Row],[daily_demand]]</f>
        <v>2.1282476506357102</v>
      </c>
      <c r="AB2221">
        <f>WarehouseData[[#This Row],[stock_level]]*WarehouseData[[#This Row],[unit_price]]</f>
        <v>9852.92</v>
      </c>
      <c r="AC2221">
        <f>WarehouseData[[#This Row],[stock_level]]*WarehouseData[[#This Row],[holding_cost_per_unit_day]]*30</f>
        <v>438.90000000000003</v>
      </c>
      <c r="AD2221" t="str">
        <f>IF(WarehouseData[[#This Row],[order_fulfillment_rate]]&gt;=0.9,"Strong",IF(WarehouseData[[#This Row],[order_fulfillment_rate]]&gt;=0.8,"Moderate","Needs Attention"))</f>
        <v>Moderate</v>
      </c>
      <c r="AE2221" t="str">
        <f>IF(WarehouseData[[#This Row],[picking_time_seconds]]&gt;120,"Slow",IF(WarehouseData[[#This Row],[picking_time_seconds]]&gt;=60,"Average","Fast"))</f>
        <v>Fast</v>
      </c>
    </row>
    <row r="2222" spans="1:31" x14ac:dyDescent="0.25">
      <c r="A2222" t="s">
        <v>2360</v>
      </c>
      <c r="B2222" t="s">
        <v>36</v>
      </c>
      <c r="C2222">
        <v>288</v>
      </c>
      <c r="D2222">
        <v>53</v>
      </c>
      <c r="E2222">
        <v>12</v>
      </c>
      <c r="F2222">
        <v>2</v>
      </c>
      <c r="G2222">
        <v>16.239999999999998</v>
      </c>
      <c r="H2222">
        <v>9.41</v>
      </c>
      <c r="I2222">
        <v>0.32</v>
      </c>
      <c r="J2222" t="s">
        <v>102</v>
      </c>
      <c r="K2222" t="s">
        <v>46</v>
      </c>
      <c r="L2222">
        <v>124</v>
      </c>
      <c r="M2222">
        <v>4.16</v>
      </c>
      <c r="N2222">
        <v>189.47</v>
      </c>
      <c r="O2222">
        <v>0.88</v>
      </c>
      <c r="P2222">
        <v>9</v>
      </c>
      <c r="Q2222">
        <v>0.73</v>
      </c>
      <c r="R2222">
        <v>377</v>
      </c>
      <c r="S2222">
        <v>13.22</v>
      </c>
      <c r="T2222">
        <v>0.27</v>
      </c>
      <c r="U2222" s="1">
        <v>45360</v>
      </c>
      <c r="V2222">
        <v>181.34</v>
      </c>
      <c r="W2222">
        <v>0.50800000000000001</v>
      </c>
      <c r="X2222" t="str">
        <f>IF(WarehouseData[[#This Row],[stock_level]]&lt;=WarehouseData[[#This Row],[reorder_point]],"Low Stock","Sufficient Stock")</f>
        <v>Sufficient Stock</v>
      </c>
      <c r="Y2222">
        <f>WarehouseData[[#This Row],[daily_demand]]*WarehouseData[[#This Row],[lead_time_days]]</f>
        <v>32.479999999999997</v>
      </c>
      <c r="Z2222" t="str">
        <f>IF(WarehouseData[[#This Row],[stock_level]]&lt;=WarehouseData[[#This Row],[Demand During Lead Time]],"At Risk","Safe")</f>
        <v>Safe</v>
      </c>
      <c r="AA2222">
        <f>WarehouseData[[#This Row],[stock_level]]/WarehouseData[[#This Row],[daily_demand]]</f>
        <v>17.733990147783253</v>
      </c>
      <c r="AB2222">
        <f>WarehouseData[[#This Row],[stock_level]]*WarehouseData[[#This Row],[unit_price]]</f>
        <v>54567.360000000001</v>
      </c>
      <c r="AC2222">
        <f>WarehouseData[[#This Row],[stock_level]]*WarehouseData[[#This Row],[holding_cost_per_unit_day]]*30</f>
        <v>7603.2</v>
      </c>
      <c r="AD2222" t="str">
        <f>IF(WarehouseData[[#This Row],[order_fulfillment_rate]]&gt;=0.9,"Strong",IF(WarehouseData[[#This Row],[order_fulfillment_rate]]&gt;=0.8,"Moderate","Needs Attention"))</f>
        <v>Needs Attention</v>
      </c>
      <c r="AE2222" t="str">
        <f>IF(WarehouseData[[#This Row],[picking_time_seconds]]&gt;120,"Slow",IF(WarehouseData[[#This Row],[picking_time_seconds]]&gt;=60,"Average","Fast"))</f>
        <v>Slow</v>
      </c>
    </row>
    <row r="2223" spans="1:31" x14ac:dyDescent="0.25">
      <c r="A2223" t="s">
        <v>2361</v>
      </c>
      <c r="B2223" t="s">
        <v>48</v>
      </c>
      <c r="C2223">
        <v>327</v>
      </c>
      <c r="D2223">
        <v>14</v>
      </c>
      <c r="E2223">
        <v>12</v>
      </c>
      <c r="F2223">
        <v>2</v>
      </c>
      <c r="G2223">
        <v>16</v>
      </c>
      <c r="H2223">
        <v>1.52</v>
      </c>
      <c r="I2223">
        <v>0.49</v>
      </c>
      <c r="J2223" t="s">
        <v>565</v>
      </c>
      <c r="K2223" t="s">
        <v>34</v>
      </c>
      <c r="L2223">
        <v>139</v>
      </c>
      <c r="M2223">
        <v>4.57</v>
      </c>
      <c r="N2223">
        <v>135.43</v>
      </c>
      <c r="O2223">
        <v>1.72</v>
      </c>
      <c r="P2223">
        <v>0</v>
      </c>
      <c r="Q2223">
        <v>0.77</v>
      </c>
      <c r="R2223">
        <v>457</v>
      </c>
      <c r="S2223">
        <v>10.37</v>
      </c>
      <c r="T2223">
        <v>0.52</v>
      </c>
      <c r="U2223" s="1">
        <v>45362</v>
      </c>
      <c r="V2223">
        <v>279.14</v>
      </c>
      <c r="W2223">
        <v>0.624</v>
      </c>
      <c r="X2223" t="str">
        <f>IF(WarehouseData[[#This Row],[stock_level]]&lt;=WarehouseData[[#This Row],[reorder_point]],"Low Stock","Sufficient Stock")</f>
        <v>Sufficient Stock</v>
      </c>
      <c r="Y2223">
        <f>WarehouseData[[#This Row],[daily_demand]]*WarehouseData[[#This Row],[lead_time_days]]</f>
        <v>32</v>
      </c>
      <c r="Z2223" t="str">
        <f>IF(WarehouseData[[#This Row],[stock_level]]&lt;=WarehouseData[[#This Row],[Demand During Lead Time]],"At Risk","Safe")</f>
        <v>Safe</v>
      </c>
      <c r="AA2223">
        <f>WarehouseData[[#This Row],[stock_level]]/WarehouseData[[#This Row],[daily_demand]]</f>
        <v>20.4375</v>
      </c>
      <c r="AB2223">
        <f>WarehouseData[[#This Row],[stock_level]]*WarehouseData[[#This Row],[unit_price]]</f>
        <v>44285.61</v>
      </c>
      <c r="AC2223">
        <f>WarehouseData[[#This Row],[stock_level]]*WarehouseData[[#This Row],[holding_cost_per_unit_day]]*30</f>
        <v>16873.199999999997</v>
      </c>
      <c r="AD2223" t="str">
        <f>IF(WarehouseData[[#This Row],[order_fulfillment_rate]]&gt;=0.9,"Strong",IF(WarehouseData[[#This Row],[order_fulfillment_rate]]&gt;=0.8,"Moderate","Needs Attention"))</f>
        <v>Needs Attention</v>
      </c>
      <c r="AE2223" t="str">
        <f>IF(WarehouseData[[#This Row],[picking_time_seconds]]&gt;120,"Slow",IF(WarehouseData[[#This Row],[picking_time_seconds]]&gt;=60,"Average","Fast"))</f>
        <v>Slow</v>
      </c>
    </row>
    <row r="2224" spans="1:31" x14ac:dyDescent="0.25">
      <c r="A2224" t="s">
        <v>2362</v>
      </c>
      <c r="B2224" t="s">
        <v>36</v>
      </c>
      <c r="C2224">
        <v>77</v>
      </c>
      <c r="D2224">
        <v>78</v>
      </c>
      <c r="E2224">
        <v>9</v>
      </c>
      <c r="F2224">
        <v>2</v>
      </c>
      <c r="G2224">
        <v>33.71</v>
      </c>
      <c r="H2224">
        <v>9.52</v>
      </c>
      <c r="I2224">
        <v>0.69</v>
      </c>
      <c r="J2224" t="s">
        <v>124</v>
      </c>
      <c r="K2224" t="s">
        <v>38</v>
      </c>
      <c r="L2224">
        <v>118</v>
      </c>
      <c r="M2224">
        <v>1.74</v>
      </c>
      <c r="N2224">
        <v>136.94</v>
      </c>
      <c r="O2224">
        <v>0.82</v>
      </c>
      <c r="P2224">
        <v>6</v>
      </c>
      <c r="Q2224">
        <v>0.76</v>
      </c>
      <c r="R2224">
        <v>197</v>
      </c>
      <c r="S2224">
        <v>2.7</v>
      </c>
      <c r="T2224">
        <v>0.52</v>
      </c>
      <c r="U2224" s="1">
        <v>45503</v>
      </c>
      <c r="V2224">
        <v>59.8</v>
      </c>
      <c r="W2224">
        <v>0.49</v>
      </c>
      <c r="X2224" t="str">
        <f>IF(WarehouseData[[#This Row],[stock_level]]&lt;=WarehouseData[[#This Row],[reorder_point]],"Low Stock","Sufficient Stock")</f>
        <v>Low Stock</v>
      </c>
      <c r="Y2224">
        <f>WarehouseData[[#This Row],[daily_demand]]*WarehouseData[[#This Row],[lead_time_days]]</f>
        <v>67.42</v>
      </c>
      <c r="Z2224" t="str">
        <f>IF(WarehouseData[[#This Row],[stock_level]]&lt;=WarehouseData[[#This Row],[Demand During Lead Time]],"At Risk","Safe")</f>
        <v>Safe</v>
      </c>
      <c r="AA2224">
        <f>WarehouseData[[#This Row],[stock_level]]/WarehouseData[[#This Row],[daily_demand]]</f>
        <v>2.2841886680510233</v>
      </c>
      <c r="AB2224">
        <f>WarehouseData[[#This Row],[stock_level]]*WarehouseData[[#This Row],[unit_price]]</f>
        <v>10544.38</v>
      </c>
      <c r="AC2224">
        <f>WarehouseData[[#This Row],[stock_level]]*WarehouseData[[#This Row],[holding_cost_per_unit_day]]*30</f>
        <v>1894.1999999999998</v>
      </c>
      <c r="AD2224" t="str">
        <f>IF(WarehouseData[[#This Row],[order_fulfillment_rate]]&gt;=0.9,"Strong",IF(WarehouseData[[#This Row],[order_fulfillment_rate]]&gt;=0.8,"Moderate","Needs Attention"))</f>
        <v>Needs Attention</v>
      </c>
      <c r="AE2224" t="str">
        <f>IF(WarehouseData[[#This Row],[picking_time_seconds]]&gt;120,"Slow",IF(WarehouseData[[#This Row],[picking_time_seconds]]&gt;=60,"Average","Fast"))</f>
        <v>Average</v>
      </c>
    </row>
    <row r="2225" spans="1:31" x14ac:dyDescent="0.25">
      <c r="A2225" t="s">
        <v>2363</v>
      </c>
      <c r="B2225" t="s">
        <v>36</v>
      </c>
      <c r="C2225">
        <v>307</v>
      </c>
      <c r="D2225">
        <v>40</v>
      </c>
      <c r="E2225">
        <v>5</v>
      </c>
      <c r="F2225">
        <v>2</v>
      </c>
      <c r="G2225">
        <v>35.57</v>
      </c>
      <c r="H2225">
        <v>1.54</v>
      </c>
      <c r="I2225">
        <v>0.24</v>
      </c>
      <c r="J2225" t="s">
        <v>340</v>
      </c>
      <c r="K2225" t="s">
        <v>38</v>
      </c>
      <c r="L2225">
        <v>93</v>
      </c>
      <c r="M2225">
        <v>1.08</v>
      </c>
      <c r="N2225">
        <v>197.38</v>
      </c>
      <c r="O2225">
        <v>1.83</v>
      </c>
      <c r="P2225">
        <v>7</v>
      </c>
      <c r="Q2225">
        <v>0.92</v>
      </c>
      <c r="R2225">
        <v>135</v>
      </c>
      <c r="S2225">
        <v>8.1</v>
      </c>
      <c r="T2225">
        <v>0.32</v>
      </c>
      <c r="U2225" s="1">
        <v>45600</v>
      </c>
      <c r="V2225">
        <v>233.78</v>
      </c>
      <c r="W2225">
        <v>0.433</v>
      </c>
      <c r="X2225" t="str">
        <f>IF(WarehouseData[[#This Row],[stock_level]]&lt;=WarehouseData[[#This Row],[reorder_point]],"Low Stock","Sufficient Stock")</f>
        <v>Sufficient Stock</v>
      </c>
      <c r="Y2225">
        <f>WarehouseData[[#This Row],[daily_demand]]*WarehouseData[[#This Row],[lead_time_days]]</f>
        <v>71.14</v>
      </c>
      <c r="Z2225" t="str">
        <f>IF(WarehouseData[[#This Row],[stock_level]]&lt;=WarehouseData[[#This Row],[Demand During Lead Time]],"At Risk","Safe")</f>
        <v>Safe</v>
      </c>
      <c r="AA2225">
        <f>WarehouseData[[#This Row],[stock_level]]/WarehouseData[[#This Row],[daily_demand]]</f>
        <v>8.6308687095867302</v>
      </c>
      <c r="AB2225">
        <f>WarehouseData[[#This Row],[stock_level]]*WarehouseData[[#This Row],[unit_price]]</f>
        <v>60595.659999999996</v>
      </c>
      <c r="AC2225">
        <f>WarehouseData[[#This Row],[stock_level]]*WarehouseData[[#This Row],[holding_cost_per_unit_day]]*30</f>
        <v>16854.300000000003</v>
      </c>
      <c r="AD2225" t="str">
        <f>IF(WarehouseData[[#This Row],[order_fulfillment_rate]]&gt;=0.9,"Strong",IF(WarehouseData[[#This Row],[order_fulfillment_rate]]&gt;=0.8,"Moderate","Needs Attention"))</f>
        <v>Strong</v>
      </c>
      <c r="AE2225" t="str">
        <f>IF(WarehouseData[[#This Row],[picking_time_seconds]]&gt;120,"Slow",IF(WarehouseData[[#This Row],[picking_time_seconds]]&gt;=60,"Average","Fast"))</f>
        <v>Average</v>
      </c>
    </row>
    <row r="2226" spans="1:31" x14ac:dyDescent="0.25">
      <c r="A2226" t="s">
        <v>2364</v>
      </c>
      <c r="B2226" t="s">
        <v>32</v>
      </c>
      <c r="C2226">
        <v>484</v>
      </c>
      <c r="D2226">
        <v>54</v>
      </c>
      <c r="E2226">
        <v>6</v>
      </c>
      <c r="F2226">
        <v>5</v>
      </c>
      <c r="G2226">
        <v>46.91</v>
      </c>
      <c r="H2226">
        <v>4.88</v>
      </c>
      <c r="I2226">
        <v>0.76</v>
      </c>
      <c r="J2226" t="s">
        <v>154</v>
      </c>
      <c r="K2226" t="s">
        <v>52</v>
      </c>
      <c r="L2226">
        <v>172</v>
      </c>
      <c r="M2226">
        <v>1.62</v>
      </c>
      <c r="N2226">
        <v>39.159999999999997</v>
      </c>
      <c r="O2226">
        <v>1.75</v>
      </c>
      <c r="P2226">
        <v>5</v>
      </c>
      <c r="Q2226">
        <v>0.93</v>
      </c>
      <c r="R2226">
        <v>570</v>
      </c>
      <c r="S2226">
        <v>11.39</v>
      </c>
      <c r="T2226">
        <v>0.85</v>
      </c>
      <c r="U2226" s="1">
        <v>45650</v>
      </c>
      <c r="V2226">
        <v>144.15</v>
      </c>
      <c r="W2226">
        <v>0.63300000000000001</v>
      </c>
      <c r="X2226" t="str">
        <f>IF(WarehouseData[[#This Row],[stock_level]]&lt;=WarehouseData[[#This Row],[reorder_point]],"Low Stock","Sufficient Stock")</f>
        <v>Sufficient Stock</v>
      </c>
      <c r="Y2226">
        <f>WarehouseData[[#This Row],[daily_demand]]*WarehouseData[[#This Row],[lead_time_days]]</f>
        <v>234.54999999999998</v>
      </c>
      <c r="Z2226" t="str">
        <f>IF(WarehouseData[[#This Row],[stock_level]]&lt;=WarehouseData[[#This Row],[Demand During Lead Time]],"At Risk","Safe")</f>
        <v>Safe</v>
      </c>
      <c r="AA2226">
        <f>WarehouseData[[#This Row],[stock_level]]/WarehouseData[[#This Row],[daily_demand]]</f>
        <v>10.3176295033042</v>
      </c>
      <c r="AB2226">
        <f>WarehouseData[[#This Row],[stock_level]]*WarehouseData[[#This Row],[unit_price]]</f>
        <v>18953.439999999999</v>
      </c>
      <c r="AC2226">
        <f>WarehouseData[[#This Row],[stock_level]]*WarehouseData[[#This Row],[holding_cost_per_unit_day]]*30</f>
        <v>25410</v>
      </c>
      <c r="AD2226" t="str">
        <f>IF(WarehouseData[[#This Row],[order_fulfillment_rate]]&gt;=0.9,"Strong",IF(WarehouseData[[#This Row],[order_fulfillment_rate]]&gt;=0.8,"Moderate","Needs Attention"))</f>
        <v>Strong</v>
      </c>
      <c r="AE2226" t="str">
        <f>IF(WarehouseData[[#This Row],[picking_time_seconds]]&gt;120,"Slow",IF(WarehouseData[[#This Row],[picking_time_seconds]]&gt;=60,"Average","Fast"))</f>
        <v>Slow</v>
      </c>
    </row>
    <row r="2227" spans="1:31" x14ac:dyDescent="0.25">
      <c r="A2227" t="s">
        <v>2365</v>
      </c>
      <c r="B2227" t="s">
        <v>73</v>
      </c>
      <c r="C2227">
        <v>124</v>
      </c>
      <c r="D2227">
        <v>18</v>
      </c>
      <c r="E2227">
        <v>12</v>
      </c>
      <c r="F2227">
        <v>6</v>
      </c>
      <c r="G2227">
        <v>12.02</v>
      </c>
      <c r="H2227">
        <v>9.41</v>
      </c>
      <c r="I2227">
        <v>0.72</v>
      </c>
      <c r="J2227" t="s">
        <v>95</v>
      </c>
      <c r="K2227" t="s">
        <v>46</v>
      </c>
      <c r="L2227">
        <v>55</v>
      </c>
      <c r="M2227">
        <v>3.1</v>
      </c>
      <c r="N2227">
        <v>16.43</v>
      </c>
      <c r="O2227">
        <v>0.22</v>
      </c>
      <c r="P2227">
        <v>0</v>
      </c>
      <c r="Q2227">
        <v>0.93</v>
      </c>
      <c r="R2227">
        <v>552</v>
      </c>
      <c r="S2227">
        <v>12.78</v>
      </c>
      <c r="T2227">
        <v>0.6</v>
      </c>
      <c r="U2227" s="1">
        <v>45554</v>
      </c>
      <c r="V2227">
        <v>60.68</v>
      </c>
      <c r="W2227">
        <v>0.85399999999999998</v>
      </c>
      <c r="X2227" t="str">
        <f>IF(WarehouseData[[#This Row],[stock_level]]&lt;=WarehouseData[[#This Row],[reorder_point]],"Low Stock","Sufficient Stock")</f>
        <v>Sufficient Stock</v>
      </c>
      <c r="Y2227">
        <f>WarehouseData[[#This Row],[daily_demand]]*WarehouseData[[#This Row],[lead_time_days]]</f>
        <v>72.12</v>
      </c>
      <c r="Z2227" t="str">
        <f>IF(WarehouseData[[#This Row],[stock_level]]&lt;=WarehouseData[[#This Row],[Demand During Lead Time]],"At Risk","Safe")</f>
        <v>Safe</v>
      </c>
      <c r="AA2227">
        <f>WarehouseData[[#This Row],[stock_level]]/WarehouseData[[#This Row],[daily_demand]]</f>
        <v>10.316139767054908</v>
      </c>
      <c r="AB2227">
        <f>WarehouseData[[#This Row],[stock_level]]*WarehouseData[[#This Row],[unit_price]]</f>
        <v>2037.32</v>
      </c>
      <c r="AC2227">
        <f>WarehouseData[[#This Row],[stock_level]]*WarehouseData[[#This Row],[holding_cost_per_unit_day]]*30</f>
        <v>818.40000000000009</v>
      </c>
      <c r="AD2227" t="str">
        <f>IF(WarehouseData[[#This Row],[order_fulfillment_rate]]&gt;=0.9,"Strong",IF(WarehouseData[[#This Row],[order_fulfillment_rate]]&gt;=0.8,"Moderate","Needs Attention"))</f>
        <v>Strong</v>
      </c>
      <c r="AE2227" t="str">
        <f>IF(WarehouseData[[#This Row],[picking_time_seconds]]&gt;120,"Slow",IF(WarehouseData[[#This Row],[picking_time_seconds]]&gt;=60,"Average","Fast"))</f>
        <v>Fast</v>
      </c>
    </row>
    <row r="2228" spans="1:31" x14ac:dyDescent="0.25">
      <c r="A2228" t="s">
        <v>2366</v>
      </c>
      <c r="B2228" t="s">
        <v>40</v>
      </c>
      <c r="C2228">
        <v>247</v>
      </c>
      <c r="D2228">
        <v>41</v>
      </c>
      <c r="E2228">
        <v>11</v>
      </c>
      <c r="F2228">
        <v>9</v>
      </c>
      <c r="G2228">
        <v>23.94</v>
      </c>
      <c r="H2228">
        <v>2.71</v>
      </c>
      <c r="I2228">
        <v>0.59</v>
      </c>
      <c r="J2228" t="s">
        <v>447</v>
      </c>
      <c r="K2228" t="s">
        <v>52</v>
      </c>
      <c r="L2228">
        <v>101</v>
      </c>
      <c r="M2228">
        <v>4.63</v>
      </c>
      <c r="N2228">
        <v>151.65</v>
      </c>
      <c r="O2228">
        <v>0.68</v>
      </c>
      <c r="P2228">
        <v>8</v>
      </c>
      <c r="Q2228">
        <v>0.99</v>
      </c>
      <c r="R2228">
        <v>814</v>
      </c>
      <c r="S2228">
        <v>3.54</v>
      </c>
      <c r="T2228">
        <v>0.28999999999999998</v>
      </c>
      <c r="U2228" s="1">
        <v>45445</v>
      </c>
      <c r="V2228">
        <v>252.34</v>
      </c>
      <c r="W2228">
        <v>0.47499999999999998</v>
      </c>
      <c r="X2228" t="str">
        <f>IF(WarehouseData[[#This Row],[stock_level]]&lt;=WarehouseData[[#This Row],[reorder_point]],"Low Stock","Sufficient Stock")</f>
        <v>Sufficient Stock</v>
      </c>
      <c r="Y2228">
        <f>WarehouseData[[#This Row],[daily_demand]]*WarehouseData[[#This Row],[lead_time_days]]</f>
        <v>215.46</v>
      </c>
      <c r="Z2228" t="str">
        <f>IF(WarehouseData[[#This Row],[stock_level]]&lt;=WarehouseData[[#This Row],[Demand During Lead Time]],"At Risk","Safe")</f>
        <v>Safe</v>
      </c>
      <c r="AA2228">
        <f>WarehouseData[[#This Row],[stock_level]]/WarehouseData[[#This Row],[daily_demand]]</f>
        <v>10.317460317460316</v>
      </c>
      <c r="AB2228">
        <f>WarehouseData[[#This Row],[stock_level]]*WarehouseData[[#This Row],[unit_price]]</f>
        <v>37457.550000000003</v>
      </c>
      <c r="AC2228">
        <f>WarehouseData[[#This Row],[stock_level]]*WarehouseData[[#This Row],[holding_cost_per_unit_day]]*30</f>
        <v>5038.8</v>
      </c>
      <c r="AD2228" t="str">
        <f>IF(WarehouseData[[#This Row],[order_fulfillment_rate]]&gt;=0.9,"Strong",IF(WarehouseData[[#This Row],[order_fulfillment_rate]]&gt;=0.8,"Moderate","Needs Attention"))</f>
        <v>Strong</v>
      </c>
      <c r="AE2228" t="str">
        <f>IF(WarehouseData[[#This Row],[picking_time_seconds]]&gt;120,"Slow",IF(WarehouseData[[#This Row],[picking_time_seconds]]&gt;=60,"Average","Fast"))</f>
        <v>Average</v>
      </c>
    </row>
    <row r="2229" spans="1:31" x14ac:dyDescent="0.25">
      <c r="A2229" t="s">
        <v>2367</v>
      </c>
      <c r="B2229" t="s">
        <v>73</v>
      </c>
      <c r="C2229">
        <v>266</v>
      </c>
      <c r="D2229">
        <v>42</v>
      </c>
      <c r="E2229">
        <v>6</v>
      </c>
      <c r="F2229">
        <v>3</v>
      </c>
      <c r="G2229">
        <v>13.28</v>
      </c>
      <c r="H2229">
        <v>0.83</v>
      </c>
      <c r="I2229">
        <v>0.61</v>
      </c>
      <c r="J2229" t="s">
        <v>183</v>
      </c>
      <c r="K2229" t="s">
        <v>38</v>
      </c>
      <c r="L2229">
        <v>114</v>
      </c>
      <c r="M2229">
        <v>3.12</v>
      </c>
      <c r="N2229">
        <v>93.37</v>
      </c>
      <c r="O2229">
        <v>1.83</v>
      </c>
      <c r="P2229">
        <v>6</v>
      </c>
      <c r="Q2229">
        <v>0.97</v>
      </c>
      <c r="R2229">
        <v>281</v>
      </c>
      <c r="S2229">
        <v>4.13</v>
      </c>
      <c r="T2229">
        <v>0.28000000000000003</v>
      </c>
      <c r="U2229" s="1">
        <v>45651</v>
      </c>
      <c r="V2229">
        <v>247.84</v>
      </c>
      <c r="W2229">
        <v>0.40200000000000002</v>
      </c>
      <c r="X2229" t="str">
        <f>IF(WarehouseData[[#This Row],[stock_level]]&lt;=WarehouseData[[#This Row],[reorder_point]],"Low Stock","Sufficient Stock")</f>
        <v>Sufficient Stock</v>
      </c>
      <c r="Y2229">
        <f>WarehouseData[[#This Row],[daily_demand]]*WarehouseData[[#This Row],[lead_time_days]]</f>
        <v>39.839999999999996</v>
      </c>
      <c r="Z2229" t="str">
        <f>IF(WarehouseData[[#This Row],[stock_level]]&lt;=WarehouseData[[#This Row],[Demand During Lead Time]],"At Risk","Safe")</f>
        <v>Safe</v>
      </c>
      <c r="AA2229">
        <f>WarehouseData[[#This Row],[stock_level]]/WarehouseData[[#This Row],[daily_demand]]</f>
        <v>20.03012048192771</v>
      </c>
      <c r="AB2229">
        <f>WarehouseData[[#This Row],[stock_level]]*WarehouseData[[#This Row],[unit_price]]</f>
        <v>24836.420000000002</v>
      </c>
      <c r="AC2229">
        <f>WarehouseData[[#This Row],[stock_level]]*WarehouseData[[#This Row],[holding_cost_per_unit_day]]*30</f>
        <v>14603.400000000001</v>
      </c>
      <c r="AD2229" t="str">
        <f>IF(WarehouseData[[#This Row],[order_fulfillment_rate]]&gt;=0.9,"Strong",IF(WarehouseData[[#This Row],[order_fulfillment_rate]]&gt;=0.8,"Moderate","Needs Attention"))</f>
        <v>Strong</v>
      </c>
      <c r="AE2229" t="str">
        <f>IF(WarehouseData[[#This Row],[picking_time_seconds]]&gt;120,"Slow",IF(WarehouseData[[#This Row],[picking_time_seconds]]&gt;=60,"Average","Fast"))</f>
        <v>Average</v>
      </c>
    </row>
    <row r="2230" spans="1:31" x14ac:dyDescent="0.25">
      <c r="A2230" t="s">
        <v>2368</v>
      </c>
      <c r="B2230" t="s">
        <v>32</v>
      </c>
      <c r="C2230">
        <v>207</v>
      </c>
      <c r="D2230">
        <v>76</v>
      </c>
      <c r="E2230">
        <v>5</v>
      </c>
      <c r="F2230">
        <v>9</v>
      </c>
      <c r="G2230">
        <v>4.92</v>
      </c>
      <c r="H2230">
        <v>8.0299999999999994</v>
      </c>
      <c r="I2230">
        <v>0.2</v>
      </c>
      <c r="J2230" t="s">
        <v>183</v>
      </c>
      <c r="K2230" t="s">
        <v>38</v>
      </c>
      <c r="L2230">
        <v>81</v>
      </c>
      <c r="M2230">
        <v>4.6399999999999997</v>
      </c>
      <c r="N2230">
        <v>91.48</v>
      </c>
      <c r="O2230">
        <v>0.16</v>
      </c>
      <c r="P2230">
        <v>5</v>
      </c>
      <c r="Q2230">
        <v>0.85</v>
      </c>
      <c r="R2230">
        <v>937</v>
      </c>
      <c r="S2230">
        <v>13.07</v>
      </c>
      <c r="T2230">
        <v>0.56000000000000005</v>
      </c>
      <c r="U2230" s="1">
        <v>45572</v>
      </c>
      <c r="V2230">
        <v>21.65</v>
      </c>
      <c r="W2230">
        <v>0.74</v>
      </c>
      <c r="X2230" t="str">
        <f>IF(WarehouseData[[#This Row],[stock_level]]&lt;=WarehouseData[[#This Row],[reorder_point]],"Low Stock","Sufficient Stock")</f>
        <v>Sufficient Stock</v>
      </c>
      <c r="Y2230">
        <f>WarehouseData[[#This Row],[daily_demand]]*WarehouseData[[#This Row],[lead_time_days]]</f>
        <v>44.28</v>
      </c>
      <c r="Z2230" t="str">
        <f>IF(WarehouseData[[#This Row],[stock_level]]&lt;=WarehouseData[[#This Row],[Demand During Lead Time]],"At Risk","Safe")</f>
        <v>Safe</v>
      </c>
      <c r="AA2230">
        <f>WarehouseData[[#This Row],[stock_level]]/WarehouseData[[#This Row],[daily_demand]]</f>
        <v>42.073170731707314</v>
      </c>
      <c r="AB2230">
        <f>WarehouseData[[#This Row],[stock_level]]*WarehouseData[[#This Row],[unit_price]]</f>
        <v>18936.36</v>
      </c>
      <c r="AC2230">
        <f>WarehouseData[[#This Row],[stock_level]]*WarehouseData[[#This Row],[holding_cost_per_unit_day]]*30</f>
        <v>993.59999999999991</v>
      </c>
      <c r="AD2230" t="str">
        <f>IF(WarehouseData[[#This Row],[order_fulfillment_rate]]&gt;=0.9,"Strong",IF(WarehouseData[[#This Row],[order_fulfillment_rate]]&gt;=0.8,"Moderate","Needs Attention"))</f>
        <v>Moderate</v>
      </c>
      <c r="AE2230" t="str">
        <f>IF(WarehouseData[[#This Row],[picking_time_seconds]]&gt;120,"Slow",IF(WarehouseData[[#This Row],[picking_time_seconds]]&gt;=60,"Average","Fast"))</f>
        <v>Average</v>
      </c>
    </row>
    <row r="2231" spans="1:31" x14ac:dyDescent="0.25">
      <c r="A2231" t="s">
        <v>2369</v>
      </c>
      <c r="B2231" t="s">
        <v>40</v>
      </c>
      <c r="C2231">
        <v>102</v>
      </c>
      <c r="D2231">
        <v>39</v>
      </c>
      <c r="E2231">
        <v>4</v>
      </c>
      <c r="F2231">
        <v>6</v>
      </c>
      <c r="G2231">
        <v>20.76</v>
      </c>
      <c r="H2231">
        <v>6.16</v>
      </c>
      <c r="I2231">
        <v>0.49</v>
      </c>
      <c r="J2231" t="s">
        <v>142</v>
      </c>
      <c r="K2231" t="s">
        <v>46</v>
      </c>
      <c r="L2231">
        <v>148</v>
      </c>
      <c r="M2231">
        <v>3.97</v>
      </c>
      <c r="N2231">
        <v>52.81</v>
      </c>
      <c r="O2231">
        <v>1.56</v>
      </c>
      <c r="P2231">
        <v>3</v>
      </c>
      <c r="Q2231">
        <v>0.82</v>
      </c>
      <c r="R2231">
        <v>547</v>
      </c>
      <c r="S2231">
        <v>7.8</v>
      </c>
      <c r="T2231">
        <v>0.28999999999999998</v>
      </c>
      <c r="U2231" s="1">
        <v>45452</v>
      </c>
      <c r="V2231">
        <v>215.74</v>
      </c>
      <c r="W2231">
        <v>0.51</v>
      </c>
      <c r="X2231" t="str">
        <f>IF(WarehouseData[[#This Row],[stock_level]]&lt;=WarehouseData[[#This Row],[reorder_point]],"Low Stock","Sufficient Stock")</f>
        <v>Sufficient Stock</v>
      </c>
      <c r="Y2231">
        <f>WarehouseData[[#This Row],[daily_demand]]*WarehouseData[[#This Row],[lead_time_days]]</f>
        <v>124.56</v>
      </c>
      <c r="Z2231" t="str">
        <f>IF(WarehouseData[[#This Row],[stock_level]]&lt;=WarehouseData[[#This Row],[Demand During Lead Time]],"At Risk","Safe")</f>
        <v>At Risk</v>
      </c>
      <c r="AA2231">
        <f>WarehouseData[[#This Row],[stock_level]]/WarehouseData[[#This Row],[daily_demand]]</f>
        <v>4.9132947976878611</v>
      </c>
      <c r="AB2231">
        <f>WarehouseData[[#This Row],[stock_level]]*WarehouseData[[#This Row],[unit_price]]</f>
        <v>5386.62</v>
      </c>
      <c r="AC2231">
        <f>WarehouseData[[#This Row],[stock_level]]*WarehouseData[[#This Row],[holding_cost_per_unit_day]]*30</f>
        <v>4773.6000000000004</v>
      </c>
      <c r="AD2231" t="str">
        <f>IF(WarehouseData[[#This Row],[order_fulfillment_rate]]&gt;=0.9,"Strong",IF(WarehouseData[[#This Row],[order_fulfillment_rate]]&gt;=0.8,"Moderate","Needs Attention"))</f>
        <v>Moderate</v>
      </c>
      <c r="AE2231" t="str">
        <f>IF(WarehouseData[[#This Row],[picking_time_seconds]]&gt;120,"Slow",IF(WarehouseData[[#This Row],[picking_time_seconds]]&gt;=60,"Average","Fast"))</f>
        <v>Slow</v>
      </c>
    </row>
    <row r="2232" spans="1:31" x14ac:dyDescent="0.25">
      <c r="A2232" t="s">
        <v>2370</v>
      </c>
      <c r="B2232" t="s">
        <v>36</v>
      </c>
      <c r="C2232">
        <v>205</v>
      </c>
      <c r="D2232">
        <v>85</v>
      </c>
      <c r="E2232">
        <v>7</v>
      </c>
      <c r="F2232">
        <v>2</v>
      </c>
      <c r="G2232">
        <v>19.329999999999998</v>
      </c>
      <c r="H2232">
        <v>5.38</v>
      </c>
      <c r="I2232">
        <v>0.18</v>
      </c>
      <c r="J2232" t="s">
        <v>281</v>
      </c>
      <c r="K2232" t="s">
        <v>52</v>
      </c>
      <c r="L2232">
        <v>38</v>
      </c>
      <c r="M2232">
        <v>3.19</v>
      </c>
      <c r="N2232">
        <v>106.3</v>
      </c>
      <c r="O2232">
        <v>1.82</v>
      </c>
      <c r="P2232">
        <v>2</v>
      </c>
      <c r="Q2232">
        <v>0.97</v>
      </c>
      <c r="R2232">
        <v>472</v>
      </c>
      <c r="S2232">
        <v>7.33</v>
      </c>
      <c r="T2232">
        <v>0.65</v>
      </c>
      <c r="U2232" s="1">
        <v>45656</v>
      </c>
      <c r="V2232">
        <v>54.52</v>
      </c>
      <c r="W2232">
        <v>0.6</v>
      </c>
      <c r="X2232" t="str">
        <f>IF(WarehouseData[[#This Row],[stock_level]]&lt;=WarehouseData[[#This Row],[reorder_point]],"Low Stock","Sufficient Stock")</f>
        <v>Sufficient Stock</v>
      </c>
      <c r="Y2232">
        <f>WarehouseData[[#This Row],[daily_demand]]*WarehouseData[[#This Row],[lead_time_days]]</f>
        <v>38.659999999999997</v>
      </c>
      <c r="Z2232" t="str">
        <f>IF(WarehouseData[[#This Row],[stock_level]]&lt;=WarehouseData[[#This Row],[Demand During Lead Time]],"At Risk","Safe")</f>
        <v>Safe</v>
      </c>
      <c r="AA2232">
        <f>WarehouseData[[#This Row],[stock_level]]/WarehouseData[[#This Row],[daily_demand]]</f>
        <v>10.605276771857218</v>
      </c>
      <c r="AB2232">
        <f>WarehouseData[[#This Row],[stock_level]]*WarehouseData[[#This Row],[unit_price]]</f>
        <v>21791.5</v>
      </c>
      <c r="AC2232">
        <f>WarehouseData[[#This Row],[stock_level]]*WarehouseData[[#This Row],[holding_cost_per_unit_day]]*30</f>
        <v>11193</v>
      </c>
      <c r="AD2232" t="str">
        <f>IF(WarehouseData[[#This Row],[order_fulfillment_rate]]&gt;=0.9,"Strong",IF(WarehouseData[[#This Row],[order_fulfillment_rate]]&gt;=0.8,"Moderate","Needs Attention"))</f>
        <v>Strong</v>
      </c>
      <c r="AE2232" t="str">
        <f>IF(WarehouseData[[#This Row],[picking_time_seconds]]&gt;120,"Slow",IF(WarehouseData[[#This Row],[picking_time_seconds]]&gt;=60,"Average","Fast"))</f>
        <v>Fast</v>
      </c>
    </row>
    <row r="2233" spans="1:31" x14ac:dyDescent="0.25">
      <c r="A2233" t="s">
        <v>2371</v>
      </c>
      <c r="B2233" t="s">
        <v>32</v>
      </c>
      <c r="C2233">
        <v>271</v>
      </c>
      <c r="D2233">
        <v>38</v>
      </c>
      <c r="E2233">
        <v>6</v>
      </c>
      <c r="F2233">
        <v>7</v>
      </c>
      <c r="G2233">
        <v>14.25</v>
      </c>
      <c r="H2233">
        <v>0.83</v>
      </c>
      <c r="I2233">
        <v>0.38</v>
      </c>
      <c r="J2233" t="s">
        <v>152</v>
      </c>
      <c r="K2233" t="s">
        <v>46</v>
      </c>
      <c r="L2233">
        <v>56</v>
      </c>
      <c r="M2233">
        <v>0.6</v>
      </c>
      <c r="N2233">
        <v>94.01</v>
      </c>
      <c r="O2233">
        <v>1.56</v>
      </c>
      <c r="P2233">
        <v>3</v>
      </c>
      <c r="Q2233">
        <v>0.88</v>
      </c>
      <c r="R2233">
        <v>516</v>
      </c>
      <c r="S2233">
        <v>7.92</v>
      </c>
      <c r="T2233">
        <v>0.51</v>
      </c>
      <c r="U2233" s="1">
        <v>45575</v>
      </c>
      <c r="V2233">
        <v>187</v>
      </c>
      <c r="W2233">
        <v>0.56799999999999995</v>
      </c>
      <c r="X2233" t="str">
        <f>IF(WarehouseData[[#This Row],[stock_level]]&lt;=WarehouseData[[#This Row],[reorder_point]],"Low Stock","Sufficient Stock")</f>
        <v>Sufficient Stock</v>
      </c>
      <c r="Y2233">
        <f>WarehouseData[[#This Row],[daily_demand]]*WarehouseData[[#This Row],[lead_time_days]]</f>
        <v>99.75</v>
      </c>
      <c r="Z2233" t="str">
        <f>IF(WarehouseData[[#This Row],[stock_level]]&lt;=WarehouseData[[#This Row],[Demand During Lead Time]],"At Risk","Safe")</f>
        <v>Safe</v>
      </c>
      <c r="AA2233">
        <f>WarehouseData[[#This Row],[stock_level]]/WarehouseData[[#This Row],[daily_demand]]</f>
        <v>19.017543859649123</v>
      </c>
      <c r="AB2233">
        <f>WarehouseData[[#This Row],[stock_level]]*WarehouseData[[#This Row],[unit_price]]</f>
        <v>25476.710000000003</v>
      </c>
      <c r="AC2233">
        <f>WarehouseData[[#This Row],[stock_level]]*WarehouseData[[#This Row],[holding_cost_per_unit_day]]*30</f>
        <v>12682.8</v>
      </c>
      <c r="AD2233" t="str">
        <f>IF(WarehouseData[[#This Row],[order_fulfillment_rate]]&gt;=0.9,"Strong",IF(WarehouseData[[#This Row],[order_fulfillment_rate]]&gt;=0.8,"Moderate","Needs Attention"))</f>
        <v>Moderate</v>
      </c>
      <c r="AE2233" t="str">
        <f>IF(WarehouseData[[#This Row],[picking_time_seconds]]&gt;120,"Slow",IF(WarehouseData[[#This Row],[picking_time_seconds]]&gt;=60,"Average","Fast"))</f>
        <v>Fast</v>
      </c>
    </row>
    <row r="2234" spans="1:31" x14ac:dyDescent="0.25">
      <c r="A2234" t="s">
        <v>2372</v>
      </c>
      <c r="B2234" t="s">
        <v>36</v>
      </c>
      <c r="C2234">
        <v>374</v>
      </c>
      <c r="D2234">
        <v>12</v>
      </c>
      <c r="E2234">
        <v>10</v>
      </c>
      <c r="F2234">
        <v>5</v>
      </c>
      <c r="G2234">
        <v>15.55</v>
      </c>
      <c r="H2234">
        <v>6.71</v>
      </c>
      <c r="I2234">
        <v>0.91</v>
      </c>
      <c r="J2234" t="s">
        <v>160</v>
      </c>
      <c r="K2234" t="s">
        <v>38</v>
      </c>
      <c r="L2234">
        <v>120</v>
      </c>
      <c r="M2234">
        <v>2</v>
      </c>
      <c r="N2234">
        <v>75.64</v>
      </c>
      <c r="O2234">
        <v>1.51</v>
      </c>
      <c r="P2234">
        <v>0</v>
      </c>
      <c r="Q2234">
        <v>0.79</v>
      </c>
      <c r="R2234">
        <v>296</v>
      </c>
      <c r="S2234">
        <v>3.43</v>
      </c>
      <c r="T2234">
        <v>0.94</v>
      </c>
      <c r="U2234" s="1">
        <v>45615</v>
      </c>
      <c r="V2234">
        <v>196.7</v>
      </c>
      <c r="W2234">
        <v>0.64100000000000001</v>
      </c>
      <c r="X2234" t="str">
        <f>IF(WarehouseData[[#This Row],[stock_level]]&lt;=WarehouseData[[#This Row],[reorder_point]],"Low Stock","Sufficient Stock")</f>
        <v>Sufficient Stock</v>
      </c>
      <c r="Y2234">
        <f>WarehouseData[[#This Row],[daily_demand]]*WarehouseData[[#This Row],[lead_time_days]]</f>
        <v>77.75</v>
      </c>
      <c r="Z2234" t="str">
        <f>IF(WarehouseData[[#This Row],[stock_level]]&lt;=WarehouseData[[#This Row],[Demand During Lead Time]],"At Risk","Safe")</f>
        <v>Safe</v>
      </c>
      <c r="AA2234">
        <f>WarehouseData[[#This Row],[stock_level]]/WarehouseData[[#This Row],[daily_demand]]</f>
        <v>24.05144694533762</v>
      </c>
      <c r="AB2234">
        <f>WarehouseData[[#This Row],[stock_level]]*WarehouseData[[#This Row],[unit_price]]</f>
        <v>28289.360000000001</v>
      </c>
      <c r="AC2234">
        <f>WarehouseData[[#This Row],[stock_level]]*WarehouseData[[#This Row],[holding_cost_per_unit_day]]*30</f>
        <v>16942.2</v>
      </c>
      <c r="AD2234" t="str">
        <f>IF(WarehouseData[[#This Row],[order_fulfillment_rate]]&gt;=0.9,"Strong",IF(WarehouseData[[#This Row],[order_fulfillment_rate]]&gt;=0.8,"Moderate","Needs Attention"))</f>
        <v>Needs Attention</v>
      </c>
      <c r="AE2234" t="str">
        <f>IF(WarehouseData[[#This Row],[picking_time_seconds]]&gt;120,"Slow",IF(WarehouseData[[#This Row],[picking_time_seconds]]&gt;=60,"Average","Fast"))</f>
        <v>Average</v>
      </c>
    </row>
    <row r="2235" spans="1:31" x14ac:dyDescent="0.25">
      <c r="A2235" t="s">
        <v>2373</v>
      </c>
      <c r="B2235" t="s">
        <v>48</v>
      </c>
      <c r="C2235">
        <v>257</v>
      </c>
      <c r="D2235">
        <v>99</v>
      </c>
      <c r="E2235">
        <v>9</v>
      </c>
      <c r="F2235">
        <v>7</v>
      </c>
      <c r="G2235">
        <v>18.66</v>
      </c>
      <c r="H2235">
        <v>2.13</v>
      </c>
      <c r="I2235">
        <v>0.62</v>
      </c>
      <c r="J2235" t="s">
        <v>281</v>
      </c>
      <c r="K2235" t="s">
        <v>38</v>
      </c>
      <c r="L2235">
        <v>16</v>
      </c>
      <c r="M2235">
        <v>0.76</v>
      </c>
      <c r="N2235">
        <v>94.12</v>
      </c>
      <c r="O2235">
        <v>1.7</v>
      </c>
      <c r="P2235">
        <v>8</v>
      </c>
      <c r="Q2235">
        <v>0.87</v>
      </c>
      <c r="R2235">
        <v>419</v>
      </c>
      <c r="S2235">
        <v>9.7899999999999991</v>
      </c>
      <c r="T2235">
        <v>0.54</v>
      </c>
      <c r="U2235" s="1">
        <v>45403</v>
      </c>
      <c r="V2235">
        <v>202.92</v>
      </c>
      <c r="W2235">
        <v>0.48299999999999998</v>
      </c>
      <c r="X2235" t="str">
        <f>IF(WarehouseData[[#This Row],[stock_level]]&lt;=WarehouseData[[#This Row],[reorder_point]],"Low Stock","Sufficient Stock")</f>
        <v>Sufficient Stock</v>
      </c>
      <c r="Y2235">
        <f>WarehouseData[[#This Row],[daily_demand]]*WarehouseData[[#This Row],[lead_time_days]]</f>
        <v>130.62</v>
      </c>
      <c r="Z2235" t="str">
        <f>IF(WarehouseData[[#This Row],[stock_level]]&lt;=WarehouseData[[#This Row],[Demand During Lead Time]],"At Risk","Safe")</f>
        <v>Safe</v>
      </c>
      <c r="AA2235">
        <f>WarehouseData[[#This Row],[stock_level]]/WarehouseData[[#This Row],[daily_demand]]</f>
        <v>13.772775991425508</v>
      </c>
      <c r="AB2235">
        <f>WarehouseData[[#This Row],[stock_level]]*WarehouseData[[#This Row],[unit_price]]</f>
        <v>24188.84</v>
      </c>
      <c r="AC2235">
        <f>WarehouseData[[#This Row],[stock_level]]*WarehouseData[[#This Row],[holding_cost_per_unit_day]]*30</f>
        <v>13107</v>
      </c>
      <c r="AD2235" t="str">
        <f>IF(WarehouseData[[#This Row],[order_fulfillment_rate]]&gt;=0.9,"Strong",IF(WarehouseData[[#This Row],[order_fulfillment_rate]]&gt;=0.8,"Moderate","Needs Attention"))</f>
        <v>Moderate</v>
      </c>
      <c r="AE2235" t="str">
        <f>IF(WarehouseData[[#This Row],[picking_time_seconds]]&gt;120,"Slow",IF(WarehouseData[[#This Row],[picking_time_seconds]]&gt;=60,"Average","Fast"))</f>
        <v>Fast</v>
      </c>
    </row>
    <row r="2236" spans="1:31" x14ac:dyDescent="0.25">
      <c r="A2236" t="s">
        <v>2374</v>
      </c>
      <c r="B2236" t="s">
        <v>32</v>
      </c>
      <c r="C2236">
        <v>379</v>
      </c>
      <c r="D2236">
        <v>66</v>
      </c>
      <c r="E2236">
        <v>8</v>
      </c>
      <c r="F2236">
        <v>5</v>
      </c>
      <c r="G2236">
        <v>49.45</v>
      </c>
      <c r="H2236">
        <v>9.35</v>
      </c>
      <c r="I2236">
        <v>0.77</v>
      </c>
      <c r="J2236" t="s">
        <v>62</v>
      </c>
      <c r="K2236" t="s">
        <v>46</v>
      </c>
      <c r="L2236">
        <v>126</v>
      </c>
      <c r="M2236">
        <v>1.95</v>
      </c>
      <c r="N2236">
        <v>82.93</v>
      </c>
      <c r="O2236">
        <v>1.37</v>
      </c>
      <c r="P2236">
        <v>1</v>
      </c>
      <c r="Q2236">
        <v>1</v>
      </c>
      <c r="R2236">
        <v>562</v>
      </c>
      <c r="S2236">
        <v>12.31</v>
      </c>
      <c r="T2236">
        <v>0.69</v>
      </c>
      <c r="U2236" s="1">
        <v>45394</v>
      </c>
      <c r="V2236">
        <v>44.83</v>
      </c>
      <c r="W2236">
        <v>0.745</v>
      </c>
      <c r="X2236" t="str">
        <f>IF(WarehouseData[[#This Row],[stock_level]]&lt;=WarehouseData[[#This Row],[reorder_point]],"Low Stock","Sufficient Stock")</f>
        <v>Sufficient Stock</v>
      </c>
      <c r="Y2236">
        <f>WarehouseData[[#This Row],[daily_demand]]*WarehouseData[[#This Row],[lead_time_days]]</f>
        <v>247.25</v>
      </c>
      <c r="Z2236" t="str">
        <f>IF(WarehouseData[[#This Row],[stock_level]]&lt;=WarehouseData[[#This Row],[Demand During Lead Time]],"At Risk","Safe")</f>
        <v>Safe</v>
      </c>
      <c r="AA2236">
        <f>WarehouseData[[#This Row],[stock_level]]/WarehouseData[[#This Row],[daily_demand]]</f>
        <v>7.6643073811931242</v>
      </c>
      <c r="AB2236">
        <f>WarehouseData[[#This Row],[stock_level]]*WarehouseData[[#This Row],[unit_price]]</f>
        <v>31430.47</v>
      </c>
      <c r="AC2236">
        <f>WarehouseData[[#This Row],[stock_level]]*WarehouseData[[#This Row],[holding_cost_per_unit_day]]*30</f>
        <v>15576.900000000001</v>
      </c>
      <c r="AD2236" t="str">
        <f>IF(WarehouseData[[#This Row],[order_fulfillment_rate]]&gt;=0.9,"Strong",IF(WarehouseData[[#This Row],[order_fulfillment_rate]]&gt;=0.8,"Moderate","Needs Attention"))</f>
        <v>Strong</v>
      </c>
      <c r="AE2236" t="str">
        <f>IF(WarehouseData[[#This Row],[picking_time_seconds]]&gt;120,"Slow",IF(WarehouseData[[#This Row],[picking_time_seconds]]&gt;=60,"Average","Fast"))</f>
        <v>Slow</v>
      </c>
    </row>
    <row r="2237" spans="1:31" x14ac:dyDescent="0.25">
      <c r="A2237" t="s">
        <v>2375</v>
      </c>
      <c r="B2237" t="s">
        <v>48</v>
      </c>
      <c r="C2237">
        <v>203</v>
      </c>
      <c r="D2237">
        <v>39</v>
      </c>
      <c r="E2237">
        <v>13</v>
      </c>
      <c r="F2237">
        <v>2</v>
      </c>
      <c r="G2237">
        <v>39.36</v>
      </c>
      <c r="H2237">
        <v>7.01</v>
      </c>
      <c r="I2237">
        <v>0.62</v>
      </c>
      <c r="J2237" t="s">
        <v>79</v>
      </c>
      <c r="K2237" t="s">
        <v>52</v>
      </c>
      <c r="L2237">
        <v>73</v>
      </c>
      <c r="M2237">
        <v>0.78</v>
      </c>
      <c r="N2237">
        <v>188.58</v>
      </c>
      <c r="O2237">
        <v>0.9</v>
      </c>
      <c r="P2237">
        <v>1</v>
      </c>
      <c r="Q2237">
        <v>0.95</v>
      </c>
      <c r="R2237">
        <v>828</v>
      </c>
      <c r="S2237">
        <v>12.72</v>
      </c>
      <c r="T2237">
        <v>0.85</v>
      </c>
      <c r="U2237" s="1">
        <v>45399</v>
      </c>
      <c r="V2237">
        <v>183.51</v>
      </c>
      <c r="W2237">
        <v>0.82</v>
      </c>
      <c r="X2237" t="str">
        <f>IF(WarehouseData[[#This Row],[stock_level]]&lt;=WarehouseData[[#This Row],[reorder_point]],"Low Stock","Sufficient Stock")</f>
        <v>Sufficient Stock</v>
      </c>
      <c r="Y2237">
        <f>WarehouseData[[#This Row],[daily_demand]]*WarehouseData[[#This Row],[lead_time_days]]</f>
        <v>78.72</v>
      </c>
      <c r="Z2237" t="str">
        <f>IF(WarehouseData[[#This Row],[stock_level]]&lt;=WarehouseData[[#This Row],[Demand During Lead Time]],"At Risk","Safe")</f>
        <v>Safe</v>
      </c>
      <c r="AA2237">
        <f>WarehouseData[[#This Row],[stock_level]]/WarehouseData[[#This Row],[daily_demand]]</f>
        <v>5.1575203252032518</v>
      </c>
      <c r="AB2237">
        <f>WarehouseData[[#This Row],[stock_level]]*WarehouseData[[#This Row],[unit_price]]</f>
        <v>38281.740000000005</v>
      </c>
      <c r="AC2237">
        <f>WarehouseData[[#This Row],[stock_level]]*WarehouseData[[#This Row],[holding_cost_per_unit_day]]*30</f>
        <v>5481.0000000000009</v>
      </c>
      <c r="AD2237" t="str">
        <f>IF(WarehouseData[[#This Row],[order_fulfillment_rate]]&gt;=0.9,"Strong",IF(WarehouseData[[#This Row],[order_fulfillment_rate]]&gt;=0.8,"Moderate","Needs Attention"))</f>
        <v>Strong</v>
      </c>
      <c r="AE2237" t="str">
        <f>IF(WarehouseData[[#This Row],[picking_time_seconds]]&gt;120,"Slow",IF(WarehouseData[[#This Row],[picking_time_seconds]]&gt;=60,"Average","Fast"))</f>
        <v>Average</v>
      </c>
    </row>
    <row r="2238" spans="1:31" x14ac:dyDescent="0.25">
      <c r="A2238" t="s">
        <v>2376</v>
      </c>
      <c r="B2238" t="s">
        <v>32</v>
      </c>
      <c r="C2238">
        <v>303</v>
      </c>
      <c r="D2238">
        <v>18</v>
      </c>
      <c r="E2238">
        <v>14</v>
      </c>
      <c r="F2238">
        <v>5</v>
      </c>
      <c r="G2238">
        <v>4.5</v>
      </c>
      <c r="H2238">
        <v>7.22</v>
      </c>
      <c r="I2238">
        <v>0.27</v>
      </c>
      <c r="J2238" t="s">
        <v>79</v>
      </c>
      <c r="K2238" t="s">
        <v>34</v>
      </c>
      <c r="L2238">
        <v>91</v>
      </c>
      <c r="M2238">
        <v>1.26</v>
      </c>
      <c r="N2238">
        <v>196.25</v>
      </c>
      <c r="O2238">
        <v>0.22</v>
      </c>
      <c r="P2238">
        <v>2</v>
      </c>
      <c r="Q2238">
        <v>0.78</v>
      </c>
      <c r="R2238">
        <v>154</v>
      </c>
      <c r="S2238">
        <v>1.43</v>
      </c>
      <c r="T2238">
        <v>0.44</v>
      </c>
      <c r="U2238" s="1">
        <v>45611</v>
      </c>
      <c r="V2238">
        <v>38.96</v>
      </c>
      <c r="W2238">
        <v>0.60099999999999998</v>
      </c>
      <c r="X2238" t="str">
        <f>IF(WarehouseData[[#This Row],[stock_level]]&lt;=WarehouseData[[#This Row],[reorder_point]],"Low Stock","Sufficient Stock")</f>
        <v>Sufficient Stock</v>
      </c>
      <c r="Y2238">
        <f>WarehouseData[[#This Row],[daily_demand]]*WarehouseData[[#This Row],[lead_time_days]]</f>
        <v>22.5</v>
      </c>
      <c r="Z2238" t="str">
        <f>IF(WarehouseData[[#This Row],[stock_level]]&lt;=WarehouseData[[#This Row],[Demand During Lead Time]],"At Risk","Safe")</f>
        <v>Safe</v>
      </c>
      <c r="AA2238">
        <f>WarehouseData[[#This Row],[stock_level]]/WarehouseData[[#This Row],[daily_demand]]</f>
        <v>67.333333333333329</v>
      </c>
      <c r="AB2238">
        <f>WarehouseData[[#This Row],[stock_level]]*WarehouseData[[#This Row],[unit_price]]</f>
        <v>59463.75</v>
      </c>
      <c r="AC2238">
        <f>WarehouseData[[#This Row],[stock_level]]*WarehouseData[[#This Row],[holding_cost_per_unit_day]]*30</f>
        <v>1999.8</v>
      </c>
      <c r="AD2238" t="str">
        <f>IF(WarehouseData[[#This Row],[order_fulfillment_rate]]&gt;=0.9,"Strong",IF(WarehouseData[[#This Row],[order_fulfillment_rate]]&gt;=0.8,"Moderate","Needs Attention"))</f>
        <v>Needs Attention</v>
      </c>
      <c r="AE2238" t="str">
        <f>IF(WarehouseData[[#This Row],[picking_time_seconds]]&gt;120,"Slow",IF(WarehouseData[[#This Row],[picking_time_seconds]]&gt;=60,"Average","Fast"))</f>
        <v>Average</v>
      </c>
    </row>
    <row r="2239" spans="1:31" x14ac:dyDescent="0.25">
      <c r="A2239" t="s">
        <v>2377</v>
      </c>
      <c r="B2239" t="s">
        <v>32</v>
      </c>
      <c r="C2239">
        <v>404</v>
      </c>
      <c r="D2239">
        <v>35</v>
      </c>
      <c r="E2239">
        <v>4</v>
      </c>
      <c r="F2239">
        <v>2</v>
      </c>
      <c r="G2239">
        <v>43.75</v>
      </c>
      <c r="H2239">
        <v>2.71</v>
      </c>
      <c r="I2239">
        <v>0.64</v>
      </c>
      <c r="J2239" t="s">
        <v>144</v>
      </c>
      <c r="K2239" t="s">
        <v>46</v>
      </c>
      <c r="L2239">
        <v>73</v>
      </c>
      <c r="M2239">
        <v>2.35</v>
      </c>
      <c r="N2239">
        <v>169.58</v>
      </c>
      <c r="O2239">
        <v>1.6</v>
      </c>
      <c r="P2239">
        <v>0</v>
      </c>
      <c r="Q2239">
        <v>0.99</v>
      </c>
      <c r="R2239">
        <v>283</v>
      </c>
      <c r="S2239">
        <v>11.01</v>
      </c>
      <c r="T2239">
        <v>0.61</v>
      </c>
      <c r="U2239" s="1">
        <v>45440</v>
      </c>
      <c r="V2239">
        <v>226.21</v>
      </c>
      <c r="W2239">
        <v>0.70699999999999996</v>
      </c>
      <c r="X2239" t="str">
        <f>IF(WarehouseData[[#This Row],[stock_level]]&lt;=WarehouseData[[#This Row],[reorder_point]],"Low Stock","Sufficient Stock")</f>
        <v>Sufficient Stock</v>
      </c>
      <c r="Y2239">
        <f>WarehouseData[[#This Row],[daily_demand]]*WarehouseData[[#This Row],[lead_time_days]]</f>
        <v>87.5</v>
      </c>
      <c r="Z2239" t="str">
        <f>IF(WarehouseData[[#This Row],[stock_level]]&lt;=WarehouseData[[#This Row],[Demand During Lead Time]],"At Risk","Safe")</f>
        <v>Safe</v>
      </c>
      <c r="AA2239">
        <f>WarehouseData[[#This Row],[stock_level]]/WarehouseData[[#This Row],[daily_demand]]</f>
        <v>9.2342857142857149</v>
      </c>
      <c r="AB2239">
        <f>WarehouseData[[#This Row],[stock_level]]*WarehouseData[[#This Row],[unit_price]]</f>
        <v>68510.320000000007</v>
      </c>
      <c r="AC2239">
        <f>WarehouseData[[#This Row],[stock_level]]*WarehouseData[[#This Row],[holding_cost_per_unit_day]]*30</f>
        <v>19392.000000000004</v>
      </c>
      <c r="AD2239" t="str">
        <f>IF(WarehouseData[[#This Row],[order_fulfillment_rate]]&gt;=0.9,"Strong",IF(WarehouseData[[#This Row],[order_fulfillment_rate]]&gt;=0.8,"Moderate","Needs Attention"))</f>
        <v>Strong</v>
      </c>
      <c r="AE2239" t="str">
        <f>IF(WarehouseData[[#This Row],[picking_time_seconds]]&gt;120,"Slow",IF(WarehouseData[[#This Row],[picking_time_seconds]]&gt;=60,"Average","Fast"))</f>
        <v>Average</v>
      </c>
    </row>
    <row r="2240" spans="1:31" x14ac:dyDescent="0.25">
      <c r="A2240" t="s">
        <v>2378</v>
      </c>
      <c r="B2240" t="s">
        <v>48</v>
      </c>
      <c r="C2240">
        <v>445</v>
      </c>
      <c r="D2240">
        <v>11</v>
      </c>
      <c r="E2240">
        <v>5</v>
      </c>
      <c r="F2240">
        <v>6</v>
      </c>
      <c r="G2240">
        <v>32.03</v>
      </c>
      <c r="H2240">
        <v>8.8699999999999992</v>
      </c>
      <c r="I2240">
        <v>0.78</v>
      </c>
      <c r="J2240" t="s">
        <v>334</v>
      </c>
      <c r="K2240" t="s">
        <v>38</v>
      </c>
      <c r="L2240">
        <v>101</v>
      </c>
      <c r="M2240">
        <v>2.82</v>
      </c>
      <c r="N2240">
        <v>198.18</v>
      </c>
      <c r="O2240">
        <v>1.82</v>
      </c>
      <c r="P2240">
        <v>9</v>
      </c>
      <c r="Q2240">
        <v>0.99</v>
      </c>
      <c r="R2240">
        <v>507</v>
      </c>
      <c r="S2240">
        <v>2.2799999999999998</v>
      </c>
      <c r="T2240">
        <v>0.3</v>
      </c>
      <c r="U2240" s="1">
        <v>45643</v>
      </c>
      <c r="V2240">
        <v>28.49</v>
      </c>
      <c r="W2240">
        <v>0.32600000000000001</v>
      </c>
      <c r="X2240" t="str">
        <f>IF(WarehouseData[[#This Row],[stock_level]]&lt;=WarehouseData[[#This Row],[reorder_point]],"Low Stock","Sufficient Stock")</f>
        <v>Sufficient Stock</v>
      </c>
      <c r="Y2240">
        <f>WarehouseData[[#This Row],[daily_demand]]*WarehouseData[[#This Row],[lead_time_days]]</f>
        <v>192.18</v>
      </c>
      <c r="Z2240" t="str">
        <f>IF(WarehouseData[[#This Row],[stock_level]]&lt;=WarehouseData[[#This Row],[Demand During Lead Time]],"At Risk","Safe")</f>
        <v>Safe</v>
      </c>
      <c r="AA2240">
        <f>WarehouseData[[#This Row],[stock_level]]/WarehouseData[[#This Row],[daily_demand]]</f>
        <v>13.893225101467374</v>
      </c>
      <c r="AB2240">
        <f>WarehouseData[[#This Row],[stock_level]]*WarehouseData[[#This Row],[unit_price]]</f>
        <v>88190.1</v>
      </c>
      <c r="AC2240">
        <f>WarehouseData[[#This Row],[stock_level]]*WarehouseData[[#This Row],[holding_cost_per_unit_day]]*30</f>
        <v>24297</v>
      </c>
      <c r="AD2240" t="str">
        <f>IF(WarehouseData[[#This Row],[order_fulfillment_rate]]&gt;=0.9,"Strong",IF(WarehouseData[[#This Row],[order_fulfillment_rate]]&gt;=0.8,"Moderate","Needs Attention"))</f>
        <v>Strong</v>
      </c>
      <c r="AE2240" t="str">
        <f>IF(WarehouseData[[#This Row],[picking_time_seconds]]&gt;120,"Slow",IF(WarehouseData[[#This Row],[picking_time_seconds]]&gt;=60,"Average","Fast"))</f>
        <v>Average</v>
      </c>
    </row>
    <row r="2241" spans="1:31" x14ac:dyDescent="0.25">
      <c r="A2241" t="s">
        <v>2379</v>
      </c>
      <c r="B2241" t="s">
        <v>40</v>
      </c>
      <c r="C2241">
        <v>229</v>
      </c>
      <c r="D2241">
        <v>71</v>
      </c>
      <c r="E2241">
        <v>12</v>
      </c>
      <c r="F2241">
        <v>8</v>
      </c>
      <c r="G2241">
        <v>44.64</v>
      </c>
      <c r="H2241">
        <v>5.61</v>
      </c>
      <c r="I2241">
        <v>0.22</v>
      </c>
      <c r="J2241" t="s">
        <v>276</v>
      </c>
      <c r="K2241" t="s">
        <v>34</v>
      </c>
      <c r="L2241">
        <v>21</v>
      </c>
      <c r="M2241">
        <v>1.48</v>
      </c>
      <c r="N2241">
        <v>60.49</v>
      </c>
      <c r="O2241">
        <v>1.07</v>
      </c>
      <c r="P2241">
        <v>2</v>
      </c>
      <c r="Q2241">
        <v>0.77</v>
      </c>
      <c r="R2241">
        <v>306</v>
      </c>
      <c r="S2241">
        <v>14.54</v>
      </c>
      <c r="T2241">
        <v>0.55000000000000004</v>
      </c>
      <c r="U2241" s="1">
        <v>45468</v>
      </c>
      <c r="V2241">
        <v>229.77</v>
      </c>
      <c r="W2241">
        <v>0.71099999999999997</v>
      </c>
      <c r="X2241" t="str">
        <f>IF(WarehouseData[[#This Row],[stock_level]]&lt;=WarehouseData[[#This Row],[reorder_point]],"Low Stock","Sufficient Stock")</f>
        <v>Sufficient Stock</v>
      </c>
      <c r="Y2241">
        <f>WarehouseData[[#This Row],[daily_demand]]*WarehouseData[[#This Row],[lead_time_days]]</f>
        <v>357.12</v>
      </c>
      <c r="Z2241" t="str">
        <f>IF(WarehouseData[[#This Row],[stock_level]]&lt;=WarehouseData[[#This Row],[Demand During Lead Time]],"At Risk","Safe")</f>
        <v>At Risk</v>
      </c>
      <c r="AA2241">
        <f>WarehouseData[[#This Row],[stock_level]]/WarehouseData[[#This Row],[daily_demand]]</f>
        <v>5.1299283154121866</v>
      </c>
      <c r="AB2241">
        <f>WarehouseData[[#This Row],[stock_level]]*WarehouseData[[#This Row],[unit_price]]</f>
        <v>13852.210000000001</v>
      </c>
      <c r="AC2241">
        <f>WarehouseData[[#This Row],[stock_level]]*WarehouseData[[#This Row],[holding_cost_per_unit_day]]*30</f>
        <v>7350.9</v>
      </c>
      <c r="AD2241" t="str">
        <f>IF(WarehouseData[[#This Row],[order_fulfillment_rate]]&gt;=0.9,"Strong",IF(WarehouseData[[#This Row],[order_fulfillment_rate]]&gt;=0.8,"Moderate","Needs Attention"))</f>
        <v>Needs Attention</v>
      </c>
      <c r="AE2241" t="str">
        <f>IF(WarehouseData[[#This Row],[picking_time_seconds]]&gt;120,"Slow",IF(WarehouseData[[#This Row],[picking_time_seconds]]&gt;=60,"Average","Fast"))</f>
        <v>Fast</v>
      </c>
    </row>
    <row r="2242" spans="1:31" x14ac:dyDescent="0.25">
      <c r="A2242" t="s">
        <v>2380</v>
      </c>
      <c r="B2242" t="s">
        <v>73</v>
      </c>
      <c r="C2242">
        <v>323</v>
      </c>
      <c r="D2242">
        <v>12</v>
      </c>
      <c r="E2242">
        <v>11</v>
      </c>
      <c r="F2242">
        <v>4</v>
      </c>
      <c r="G2242">
        <v>17.739999999999998</v>
      </c>
      <c r="H2242">
        <v>8.64</v>
      </c>
      <c r="I2242">
        <v>0.84</v>
      </c>
      <c r="J2242" t="s">
        <v>357</v>
      </c>
      <c r="K2242" t="s">
        <v>46</v>
      </c>
      <c r="L2242">
        <v>21</v>
      </c>
      <c r="M2242">
        <v>3.8</v>
      </c>
      <c r="N2242">
        <v>170.16</v>
      </c>
      <c r="O2242">
        <v>1.1100000000000001</v>
      </c>
      <c r="P2242">
        <v>3</v>
      </c>
      <c r="Q2242">
        <v>0.97</v>
      </c>
      <c r="R2242">
        <v>524</v>
      </c>
      <c r="S2242">
        <v>7.75</v>
      </c>
      <c r="T2242">
        <v>0.5</v>
      </c>
      <c r="U2242" s="1">
        <v>45636</v>
      </c>
      <c r="V2242">
        <v>266.20999999999998</v>
      </c>
      <c r="W2242">
        <v>0.626</v>
      </c>
      <c r="X2242" t="str">
        <f>IF(WarehouseData[[#This Row],[stock_level]]&lt;=WarehouseData[[#This Row],[reorder_point]],"Low Stock","Sufficient Stock")</f>
        <v>Sufficient Stock</v>
      </c>
      <c r="Y2242">
        <f>WarehouseData[[#This Row],[daily_demand]]*WarehouseData[[#This Row],[lead_time_days]]</f>
        <v>70.959999999999994</v>
      </c>
      <c r="Z2242" t="str">
        <f>IF(WarehouseData[[#This Row],[stock_level]]&lt;=WarehouseData[[#This Row],[Demand During Lead Time]],"At Risk","Safe")</f>
        <v>Safe</v>
      </c>
      <c r="AA2242">
        <f>WarehouseData[[#This Row],[stock_level]]/WarehouseData[[#This Row],[daily_demand]]</f>
        <v>18.207440811724918</v>
      </c>
      <c r="AB2242">
        <f>WarehouseData[[#This Row],[stock_level]]*WarehouseData[[#This Row],[unit_price]]</f>
        <v>54961.68</v>
      </c>
      <c r="AC2242">
        <f>WarehouseData[[#This Row],[stock_level]]*WarehouseData[[#This Row],[holding_cost_per_unit_day]]*30</f>
        <v>10755.900000000001</v>
      </c>
      <c r="AD2242" t="str">
        <f>IF(WarehouseData[[#This Row],[order_fulfillment_rate]]&gt;=0.9,"Strong",IF(WarehouseData[[#This Row],[order_fulfillment_rate]]&gt;=0.8,"Moderate","Needs Attention"))</f>
        <v>Strong</v>
      </c>
      <c r="AE2242" t="str">
        <f>IF(WarehouseData[[#This Row],[picking_time_seconds]]&gt;120,"Slow",IF(WarehouseData[[#This Row],[picking_time_seconds]]&gt;=60,"Average","Fast"))</f>
        <v>Fast</v>
      </c>
    </row>
    <row r="2243" spans="1:31" x14ac:dyDescent="0.25">
      <c r="A2243" t="s">
        <v>2381</v>
      </c>
      <c r="B2243" t="s">
        <v>36</v>
      </c>
      <c r="C2243">
        <v>315</v>
      </c>
      <c r="D2243">
        <v>55</v>
      </c>
      <c r="E2243">
        <v>11</v>
      </c>
      <c r="F2243">
        <v>5</v>
      </c>
      <c r="G2243">
        <v>23.76</v>
      </c>
      <c r="H2243">
        <v>3.07</v>
      </c>
      <c r="I2243">
        <v>0.6</v>
      </c>
      <c r="J2243" t="s">
        <v>131</v>
      </c>
      <c r="K2243" t="s">
        <v>34</v>
      </c>
      <c r="L2243">
        <v>45</v>
      </c>
      <c r="M2243">
        <v>3.16</v>
      </c>
      <c r="N2243">
        <v>87.26</v>
      </c>
      <c r="O2243">
        <v>0.87</v>
      </c>
      <c r="P2243">
        <v>8</v>
      </c>
      <c r="Q2243">
        <v>0.96</v>
      </c>
      <c r="R2243">
        <v>642</v>
      </c>
      <c r="S2243">
        <v>11.86</v>
      </c>
      <c r="T2243">
        <v>0.54</v>
      </c>
      <c r="U2243" s="1">
        <v>45359</v>
      </c>
      <c r="V2243">
        <v>96.58</v>
      </c>
      <c r="W2243">
        <v>0.61099999999999999</v>
      </c>
      <c r="X2243" t="str">
        <f>IF(WarehouseData[[#This Row],[stock_level]]&lt;=WarehouseData[[#This Row],[reorder_point]],"Low Stock","Sufficient Stock")</f>
        <v>Sufficient Stock</v>
      </c>
      <c r="Y2243">
        <f>WarehouseData[[#This Row],[daily_demand]]*WarehouseData[[#This Row],[lead_time_days]]</f>
        <v>118.80000000000001</v>
      </c>
      <c r="Z2243" t="str">
        <f>IF(WarehouseData[[#This Row],[stock_level]]&lt;=WarehouseData[[#This Row],[Demand During Lead Time]],"At Risk","Safe")</f>
        <v>Safe</v>
      </c>
      <c r="AA2243">
        <f>WarehouseData[[#This Row],[stock_level]]/WarehouseData[[#This Row],[daily_demand]]</f>
        <v>13.257575757575756</v>
      </c>
      <c r="AB2243">
        <f>WarehouseData[[#This Row],[stock_level]]*WarehouseData[[#This Row],[unit_price]]</f>
        <v>27486.9</v>
      </c>
      <c r="AC2243">
        <f>WarehouseData[[#This Row],[stock_level]]*WarehouseData[[#This Row],[holding_cost_per_unit_day]]*30</f>
        <v>8221.5</v>
      </c>
      <c r="AD2243" t="str">
        <f>IF(WarehouseData[[#This Row],[order_fulfillment_rate]]&gt;=0.9,"Strong",IF(WarehouseData[[#This Row],[order_fulfillment_rate]]&gt;=0.8,"Moderate","Needs Attention"))</f>
        <v>Strong</v>
      </c>
      <c r="AE2243" t="str">
        <f>IF(WarehouseData[[#This Row],[picking_time_seconds]]&gt;120,"Slow",IF(WarehouseData[[#This Row],[picking_time_seconds]]&gt;=60,"Average","Fast"))</f>
        <v>Fast</v>
      </c>
    </row>
    <row r="2244" spans="1:31" x14ac:dyDescent="0.25">
      <c r="A2244" t="s">
        <v>2382</v>
      </c>
      <c r="B2244" t="s">
        <v>32</v>
      </c>
      <c r="C2244">
        <v>116</v>
      </c>
      <c r="D2244">
        <v>77</v>
      </c>
      <c r="E2244">
        <v>7</v>
      </c>
      <c r="F2244">
        <v>2</v>
      </c>
      <c r="G2244">
        <v>44.92</v>
      </c>
      <c r="H2244">
        <v>7.68</v>
      </c>
      <c r="I2244">
        <v>0.1</v>
      </c>
      <c r="J2244" t="s">
        <v>33</v>
      </c>
      <c r="K2244" t="s">
        <v>46</v>
      </c>
      <c r="L2244">
        <v>38</v>
      </c>
      <c r="M2244">
        <v>3.61</v>
      </c>
      <c r="N2244">
        <v>151.77000000000001</v>
      </c>
      <c r="O2244">
        <v>1.73</v>
      </c>
      <c r="P2244">
        <v>4</v>
      </c>
      <c r="Q2244">
        <v>0.71</v>
      </c>
      <c r="R2244">
        <v>684</v>
      </c>
      <c r="S2244">
        <v>9.7100000000000009</v>
      </c>
      <c r="T2244">
        <v>0.28999999999999998</v>
      </c>
      <c r="U2244" s="1">
        <v>45655</v>
      </c>
      <c r="V2244">
        <v>235.7</v>
      </c>
      <c r="W2244">
        <v>0.47599999999999998</v>
      </c>
      <c r="X2244" t="str">
        <f>IF(WarehouseData[[#This Row],[stock_level]]&lt;=WarehouseData[[#This Row],[reorder_point]],"Low Stock","Sufficient Stock")</f>
        <v>Sufficient Stock</v>
      </c>
      <c r="Y2244">
        <f>WarehouseData[[#This Row],[daily_demand]]*WarehouseData[[#This Row],[lead_time_days]]</f>
        <v>89.84</v>
      </c>
      <c r="Z2244" t="str">
        <f>IF(WarehouseData[[#This Row],[stock_level]]&lt;=WarehouseData[[#This Row],[Demand During Lead Time]],"At Risk","Safe")</f>
        <v>Safe</v>
      </c>
      <c r="AA2244">
        <f>WarehouseData[[#This Row],[stock_level]]/WarehouseData[[#This Row],[daily_demand]]</f>
        <v>2.5823686553873553</v>
      </c>
      <c r="AB2244">
        <f>WarehouseData[[#This Row],[stock_level]]*WarehouseData[[#This Row],[unit_price]]</f>
        <v>17605.32</v>
      </c>
      <c r="AC2244">
        <f>WarehouseData[[#This Row],[stock_level]]*WarehouseData[[#This Row],[holding_cost_per_unit_day]]*30</f>
        <v>6020.4000000000005</v>
      </c>
      <c r="AD2244" t="str">
        <f>IF(WarehouseData[[#This Row],[order_fulfillment_rate]]&gt;=0.9,"Strong",IF(WarehouseData[[#This Row],[order_fulfillment_rate]]&gt;=0.8,"Moderate","Needs Attention"))</f>
        <v>Needs Attention</v>
      </c>
      <c r="AE2244" t="str">
        <f>IF(WarehouseData[[#This Row],[picking_time_seconds]]&gt;120,"Slow",IF(WarehouseData[[#This Row],[picking_time_seconds]]&gt;=60,"Average","Fast"))</f>
        <v>Fast</v>
      </c>
    </row>
    <row r="2245" spans="1:31" x14ac:dyDescent="0.25">
      <c r="A2245" t="s">
        <v>2383</v>
      </c>
      <c r="B2245" t="s">
        <v>36</v>
      </c>
      <c r="C2245">
        <v>466</v>
      </c>
      <c r="D2245">
        <v>34</v>
      </c>
      <c r="E2245">
        <v>5</v>
      </c>
      <c r="F2245">
        <v>7</v>
      </c>
      <c r="G2245">
        <v>14.36</v>
      </c>
      <c r="H2245">
        <v>5.96</v>
      </c>
      <c r="I2245">
        <v>0.56999999999999995</v>
      </c>
      <c r="J2245" t="s">
        <v>276</v>
      </c>
      <c r="K2245" t="s">
        <v>38</v>
      </c>
      <c r="L2245">
        <v>148</v>
      </c>
      <c r="M2245">
        <v>3.8</v>
      </c>
      <c r="N2245">
        <v>48.26</v>
      </c>
      <c r="O2245">
        <v>0.13</v>
      </c>
      <c r="P2245">
        <v>5</v>
      </c>
      <c r="Q2245">
        <v>0.9</v>
      </c>
      <c r="R2245">
        <v>221</v>
      </c>
      <c r="S2245">
        <v>14.33</v>
      </c>
      <c r="T2245">
        <v>0.52</v>
      </c>
      <c r="U2245" s="1">
        <v>45624</v>
      </c>
      <c r="V2245">
        <v>131.08000000000001</v>
      </c>
      <c r="W2245">
        <v>0.76200000000000001</v>
      </c>
      <c r="X2245" t="str">
        <f>IF(WarehouseData[[#This Row],[stock_level]]&lt;=WarehouseData[[#This Row],[reorder_point]],"Low Stock","Sufficient Stock")</f>
        <v>Sufficient Stock</v>
      </c>
      <c r="Y2245">
        <f>WarehouseData[[#This Row],[daily_demand]]*WarehouseData[[#This Row],[lead_time_days]]</f>
        <v>100.52</v>
      </c>
      <c r="Z2245" t="str">
        <f>IF(WarehouseData[[#This Row],[stock_level]]&lt;=WarehouseData[[#This Row],[Demand During Lead Time]],"At Risk","Safe")</f>
        <v>Safe</v>
      </c>
      <c r="AA2245">
        <f>WarehouseData[[#This Row],[stock_level]]/WarehouseData[[#This Row],[daily_demand]]</f>
        <v>32.451253481894149</v>
      </c>
      <c r="AB2245">
        <f>WarehouseData[[#This Row],[stock_level]]*WarehouseData[[#This Row],[unit_price]]</f>
        <v>22489.16</v>
      </c>
      <c r="AC2245">
        <f>WarehouseData[[#This Row],[stock_level]]*WarehouseData[[#This Row],[holding_cost_per_unit_day]]*30</f>
        <v>1817.4</v>
      </c>
      <c r="AD2245" t="str">
        <f>IF(WarehouseData[[#This Row],[order_fulfillment_rate]]&gt;=0.9,"Strong",IF(WarehouseData[[#This Row],[order_fulfillment_rate]]&gt;=0.8,"Moderate","Needs Attention"))</f>
        <v>Strong</v>
      </c>
      <c r="AE2245" t="str">
        <f>IF(WarehouseData[[#This Row],[picking_time_seconds]]&gt;120,"Slow",IF(WarehouseData[[#This Row],[picking_time_seconds]]&gt;=60,"Average","Fast"))</f>
        <v>Slow</v>
      </c>
    </row>
    <row r="2246" spans="1:31" x14ac:dyDescent="0.25">
      <c r="A2246" t="s">
        <v>2384</v>
      </c>
      <c r="B2246" t="s">
        <v>48</v>
      </c>
      <c r="C2246">
        <v>479</v>
      </c>
      <c r="D2246">
        <v>60</v>
      </c>
      <c r="E2246">
        <v>4</v>
      </c>
      <c r="F2246">
        <v>2</v>
      </c>
      <c r="G2246">
        <v>45.86</v>
      </c>
      <c r="H2246">
        <v>0.96</v>
      </c>
      <c r="I2246">
        <v>0.46</v>
      </c>
      <c r="J2246" t="s">
        <v>178</v>
      </c>
      <c r="K2246" t="s">
        <v>46</v>
      </c>
      <c r="L2246">
        <v>94</v>
      </c>
      <c r="M2246">
        <v>3.77</v>
      </c>
      <c r="N2246">
        <v>164.27</v>
      </c>
      <c r="O2246">
        <v>1.29</v>
      </c>
      <c r="P2246">
        <v>0</v>
      </c>
      <c r="Q2246">
        <v>0.79</v>
      </c>
      <c r="R2246">
        <v>868</v>
      </c>
      <c r="S2246">
        <v>14.63</v>
      </c>
      <c r="T2246">
        <v>0.9</v>
      </c>
      <c r="U2246" s="1">
        <v>45383</v>
      </c>
      <c r="V2246">
        <v>241.34</v>
      </c>
      <c r="W2246">
        <v>0.80400000000000005</v>
      </c>
      <c r="X2246" t="str">
        <f>IF(WarehouseData[[#This Row],[stock_level]]&lt;=WarehouseData[[#This Row],[reorder_point]],"Low Stock","Sufficient Stock")</f>
        <v>Sufficient Stock</v>
      </c>
      <c r="Y2246">
        <f>WarehouseData[[#This Row],[daily_demand]]*WarehouseData[[#This Row],[lead_time_days]]</f>
        <v>91.72</v>
      </c>
      <c r="Z2246" t="str">
        <f>IF(WarehouseData[[#This Row],[stock_level]]&lt;=WarehouseData[[#This Row],[Demand During Lead Time]],"At Risk","Safe")</f>
        <v>Safe</v>
      </c>
      <c r="AA2246">
        <f>WarehouseData[[#This Row],[stock_level]]/WarehouseData[[#This Row],[daily_demand]]</f>
        <v>10.444832097688618</v>
      </c>
      <c r="AB2246">
        <f>WarehouseData[[#This Row],[stock_level]]*WarehouseData[[#This Row],[unit_price]]</f>
        <v>78685.33</v>
      </c>
      <c r="AC2246">
        <f>WarehouseData[[#This Row],[stock_level]]*WarehouseData[[#This Row],[holding_cost_per_unit_day]]*30</f>
        <v>18537.3</v>
      </c>
      <c r="AD2246" t="str">
        <f>IF(WarehouseData[[#This Row],[order_fulfillment_rate]]&gt;=0.9,"Strong",IF(WarehouseData[[#This Row],[order_fulfillment_rate]]&gt;=0.8,"Moderate","Needs Attention"))</f>
        <v>Needs Attention</v>
      </c>
      <c r="AE2246" t="str">
        <f>IF(WarehouseData[[#This Row],[picking_time_seconds]]&gt;120,"Slow",IF(WarehouseData[[#This Row],[picking_time_seconds]]&gt;=60,"Average","Fast"))</f>
        <v>Average</v>
      </c>
    </row>
    <row r="2247" spans="1:31" x14ac:dyDescent="0.25">
      <c r="A2247" t="s">
        <v>2385</v>
      </c>
      <c r="B2247" t="s">
        <v>36</v>
      </c>
      <c r="C2247">
        <v>475</v>
      </c>
      <c r="D2247">
        <v>22</v>
      </c>
      <c r="E2247">
        <v>10</v>
      </c>
      <c r="F2247">
        <v>7</v>
      </c>
      <c r="G2247">
        <v>41.6</v>
      </c>
      <c r="H2247">
        <v>4.3499999999999996</v>
      </c>
      <c r="I2247">
        <v>0.37</v>
      </c>
      <c r="J2247" t="s">
        <v>283</v>
      </c>
      <c r="K2247" t="s">
        <v>34</v>
      </c>
      <c r="L2247">
        <v>83</v>
      </c>
      <c r="M2247">
        <v>4.71</v>
      </c>
      <c r="N2247">
        <v>25.86</v>
      </c>
      <c r="O2247">
        <v>1.82</v>
      </c>
      <c r="P2247">
        <v>2</v>
      </c>
      <c r="Q2247">
        <v>0.9</v>
      </c>
      <c r="R2247">
        <v>322</v>
      </c>
      <c r="S2247">
        <v>4.9000000000000004</v>
      </c>
      <c r="T2247">
        <v>0.95</v>
      </c>
      <c r="U2247" s="1">
        <v>45549</v>
      </c>
      <c r="V2247">
        <v>209.01</v>
      </c>
      <c r="W2247">
        <v>0.61299999999999999</v>
      </c>
      <c r="X2247" t="str">
        <f>IF(WarehouseData[[#This Row],[stock_level]]&lt;=WarehouseData[[#This Row],[reorder_point]],"Low Stock","Sufficient Stock")</f>
        <v>Sufficient Stock</v>
      </c>
      <c r="Y2247">
        <f>WarehouseData[[#This Row],[daily_demand]]*WarehouseData[[#This Row],[lead_time_days]]</f>
        <v>291.2</v>
      </c>
      <c r="Z2247" t="str">
        <f>IF(WarehouseData[[#This Row],[stock_level]]&lt;=WarehouseData[[#This Row],[Demand During Lead Time]],"At Risk","Safe")</f>
        <v>Safe</v>
      </c>
      <c r="AA2247">
        <f>WarehouseData[[#This Row],[stock_level]]/WarehouseData[[#This Row],[daily_demand]]</f>
        <v>11.41826923076923</v>
      </c>
      <c r="AB2247">
        <f>WarehouseData[[#This Row],[stock_level]]*WarehouseData[[#This Row],[unit_price]]</f>
        <v>12283.5</v>
      </c>
      <c r="AC2247">
        <f>WarehouseData[[#This Row],[stock_level]]*WarehouseData[[#This Row],[holding_cost_per_unit_day]]*30</f>
        <v>25935</v>
      </c>
      <c r="AD2247" t="str">
        <f>IF(WarehouseData[[#This Row],[order_fulfillment_rate]]&gt;=0.9,"Strong",IF(WarehouseData[[#This Row],[order_fulfillment_rate]]&gt;=0.8,"Moderate","Needs Attention"))</f>
        <v>Strong</v>
      </c>
      <c r="AE2247" t="str">
        <f>IF(WarehouseData[[#This Row],[picking_time_seconds]]&gt;120,"Slow",IF(WarehouseData[[#This Row],[picking_time_seconds]]&gt;=60,"Average","Fast"))</f>
        <v>Average</v>
      </c>
    </row>
    <row r="2248" spans="1:31" x14ac:dyDescent="0.25">
      <c r="A2248" t="s">
        <v>2386</v>
      </c>
      <c r="B2248" t="s">
        <v>48</v>
      </c>
      <c r="C2248">
        <v>491</v>
      </c>
      <c r="D2248">
        <v>53</v>
      </c>
      <c r="E2248">
        <v>8</v>
      </c>
      <c r="F2248">
        <v>9</v>
      </c>
      <c r="G2248">
        <v>49.05</v>
      </c>
      <c r="H2248">
        <v>2.25</v>
      </c>
      <c r="I2248">
        <v>0.79</v>
      </c>
      <c r="J2248" t="s">
        <v>245</v>
      </c>
      <c r="K2248" t="s">
        <v>52</v>
      </c>
      <c r="L2248">
        <v>56</v>
      </c>
      <c r="M2248">
        <v>1.57</v>
      </c>
      <c r="N2248">
        <v>61.41</v>
      </c>
      <c r="O2248">
        <v>0.3</v>
      </c>
      <c r="P2248">
        <v>6</v>
      </c>
      <c r="Q2248">
        <v>0.97</v>
      </c>
      <c r="R2248">
        <v>920</v>
      </c>
      <c r="S2248">
        <v>7.76</v>
      </c>
      <c r="T2248">
        <v>0.39</v>
      </c>
      <c r="U2248" s="1">
        <v>45569</v>
      </c>
      <c r="V2248">
        <v>93.85</v>
      </c>
      <c r="W2248">
        <v>0.625</v>
      </c>
      <c r="X2248" t="str">
        <f>IF(WarehouseData[[#This Row],[stock_level]]&lt;=WarehouseData[[#This Row],[reorder_point]],"Low Stock","Sufficient Stock")</f>
        <v>Sufficient Stock</v>
      </c>
      <c r="Y2248">
        <f>WarehouseData[[#This Row],[daily_demand]]*WarehouseData[[#This Row],[lead_time_days]]</f>
        <v>441.45</v>
      </c>
      <c r="Z2248" t="str">
        <f>IF(WarehouseData[[#This Row],[stock_level]]&lt;=WarehouseData[[#This Row],[Demand During Lead Time]],"At Risk","Safe")</f>
        <v>Safe</v>
      </c>
      <c r="AA2248">
        <f>WarehouseData[[#This Row],[stock_level]]/WarehouseData[[#This Row],[daily_demand]]</f>
        <v>10.010193679918451</v>
      </c>
      <c r="AB2248">
        <f>WarehouseData[[#This Row],[stock_level]]*WarehouseData[[#This Row],[unit_price]]</f>
        <v>30152.309999999998</v>
      </c>
      <c r="AC2248">
        <f>WarehouseData[[#This Row],[stock_level]]*WarehouseData[[#This Row],[holding_cost_per_unit_day]]*30</f>
        <v>4418.9999999999991</v>
      </c>
      <c r="AD2248" t="str">
        <f>IF(WarehouseData[[#This Row],[order_fulfillment_rate]]&gt;=0.9,"Strong",IF(WarehouseData[[#This Row],[order_fulfillment_rate]]&gt;=0.8,"Moderate","Needs Attention"))</f>
        <v>Strong</v>
      </c>
      <c r="AE2248" t="str">
        <f>IF(WarehouseData[[#This Row],[picking_time_seconds]]&gt;120,"Slow",IF(WarehouseData[[#This Row],[picking_time_seconds]]&gt;=60,"Average","Fast"))</f>
        <v>Fast</v>
      </c>
    </row>
    <row r="2249" spans="1:31" x14ac:dyDescent="0.25">
      <c r="A2249" t="s">
        <v>2387</v>
      </c>
      <c r="B2249" t="s">
        <v>36</v>
      </c>
      <c r="C2249">
        <v>227</v>
      </c>
      <c r="D2249">
        <v>44</v>
      </c>
      <c r="E2249">
        <v>12</v>
      </c>
      <c r="F2249">
        <v>5</v>
      </c>
      <c r="G2249">
        <v>16.89</v>
      </c>
      <c r="H2249">
        <v>3.91</v>
      </c>
      <c r="I2249">
        <v>0.91</v>
      </c>
      <c r="J2249" t="s">
        <v>334</v>
      </c>
      <c r="K2249" t="s">
        <v>38</v>
      </c>
      <c r="L2249">
        <v>170</v>
      </c>
      <c r="M2249">
        <v>1.72</v>
      </c>
      <c r="N2249">
        <v>166.17</v>
      </c>
      <c r="O2249">
        <v>1.92</v>
      </c>
      <c r="P2249">
        <v>6</v>
      </c>
      <c r="Q2249">
        <v>0.85</v>
      </c>
      <c r="R2249">
        <v>808</v>
      </c>
      <c r="S2249">
        <v>8.06</v>
      </c>
      <c r="T2249">
        <v>0.44</v>
      </c>
      <c r="U2249" s="1">
        <v>45647</v>
      </c>
      <c r="V2249">
        <v>66.180000000000007</v>
      </c>
      <c r="W2249">
        <v>0.45300000000000001</v>
      </c>
      <c r="X2249" t="str">
        <f>IF(WarehouseData[[#This Row],[stock_level]]&lt;=WarehouseData[[#This Row],[reorder_point]],"Low Stock","Sufficient Stock")</f>
        <v>Sufficient Stock</v>
      </c>
      <c r="Y2249">
        <f>WarehouseData[[#This Row],[daily_demand]]*WarehouseData[[#This Row],[lead_time_days]]</f>
        <v>84.45</v>
      </c>
      <c r="Z2249" t="str">
        <f>IF(WarehouseData[[#This Row],[stock_level]]&lt;=WarehouseData[[#This Row],[Demand During Lead Time]],"At Risk","Safe")</f>
        <v>Safe</v>
      </c>
      <c r="AA2249">
        <f>WarehouseData[[#This Row],[stock_level]]/WarehouseData[[#This Row],[daily_demand]]</f>
        <v>13.439905269390172</v>
      </c>
      <c r="AB2249">
        <f>WarehouseData[[#This Row],[stock_level]]*WarehouseData[[#This Row],[unit_price]]</f>
        <v>37720.589999999997</v>
      </c>
      <c r="AC2249">
        <f>WarehouseData[[#This Row],[stock_level]]*WarehouseData[[#This Row],[holding_cost_per_unit_day]]*30</f>
        <v>13075.199999999999</v>
      </c>
      <c r="AD2249" t="str">
        <f>IF(WarehouseData[[#This Row],[order_fulfillment_rate]]&gt;=0.9,"Strong",IF(WarehouseData[[#This Row],[order_fulfillment_rate]]&gt;=0.8,"Moderate","Needs Attention"))</f>
        <v>Moderate</v>
      </c>
      <c r="AE2249" t="str">
        <f>IF(WarehouseData[[#This Row],[picking_time_seconds]]&gt;120,"Slow",IF(WarehouseData[[#This Row],[picking_time_seconds]]&gt;=60,"Average","Fast"))</f>
        <v>Slow</v>
      </c>
    </row>
    <row r="2250" spans="1:31" x14ac:dyDescent="0.25">
      <c r="A2250" t="s">
        <v>2388</v>
      </c>
      <c r="B2250" t="s">
        <v>73</v>
      </c>
      <c r="C2250">
        <v>389</v>
      </c>
      <c r="D2250">
        <v>64</v>
      </c>
      <c r="E2250">
        <v>13</v>
      </c>
      <c r="F2250">
        <v>3</v>
      </c>
      <c r="G2250">
        <v>12.55</v>
      </c>
      <c r="H2250">
        <v>4.1399999999999997</v>
      </c>
      <c r="I2250">
        <v>0.79</v>
      </c>
      <c r="J2250" t="s">
        <v>124</v>
      </c>
      <c r="K2250" t="s">
        <v>38</v>
      </c>
      <c r="L2250">
        <v>90</v>
      </c>
      <c r="M2250">
        <v>0.92</v>
      </c>
      <c r="N2250">
        <v>151.96</v>
      </c>
      <c r="O2250">
        <v>1.94</v>
      </c>
      <c r="P2250">
        <v>9</v>
      </c>
      <c r="Q2250">
        <v>0.82</v>
      </c>
      <c r="R2250">
        <v>924</v>
      </c>
      <c r="S2250">
        <v>3.49</v>
      </c>
      <c r="T2250">
        <v>0.21</v>
      </c>
      <c r="U2250" s="1">
        <v>45618</v>
      </c>
      <c r="V2250">
        <v>275.27999999999997</v>
      </c>
      <c r="W2250">
        <v>0.27900000000000003</v>
      </c>
      <c r="X2250" t="str">
        <f>IF(WarehouseData[[#This Row],[stock_level]]&lt;=WarehouseData[[#This Row],[reorder_point]],"Low Stock","Sufficient Stock")</f>
        <v>Sufficient Stock</v>
      </c>
      <c r="Y2250">
        <f>WarehouseData[[#This Row],[daily_demand]]*WarehouseData[[#This Row],[lead_time_days]]</f>
        <v>37.650000000000006</v>
      </c>
      <c r="Z2250" t="str">
        <f>IF(WarehouseData[[#This Row],[stock_level]]&lt;=WarehouseData[[#This Row],[Demand During Lead Time]],"At Risk","Safe")</f>
        <v>Safe</v>
      </c>
      <c r="AA2250">
        <f>WarehouseData[[#This Row],[stock_level]]/WarehouseData[[#This Row],[daily_demand]]</f>
        <v>30.996015936254977</v>
      </c>
      <c r="AB2250">
        <f>WarehouseData[[#This Row],[stock_level]]*WarehouseData[[#This Row],[unit_price]]</f>
        <v>59112.44</v>
      </c>
      <c r="AC2250">
        <f>WarehouseData[[#This Row],[stock_level]]*WarehouseData[[#This Row],[holding_cost_per_unit_day]]*30</f>
        <v>22639.8</v>
      </c>
      <c r="AD2250" t="str">
        <f>IF(WarehouseData[[#This Row],[order_fulfillment_rate]]&gt;=0.9,"Strong",IF(WarehouseData[[#This Row],[order_fulfillment_rate]]&gt;=0.8,"Moderate","Needs Attention"))</f>
        <v>Moderate</v>
      </c>
      <c r="AE2250" t="str">
        <f>IF(WarehouseData[[#This Row],[picking_time_seconds]]&gt;120,"Slow",IF(WarehouseData[[#This Row],[picking_time_seconds]]&gt;=60,"Average","Fast"))</f>
        <v>Average</v>
      </c>
    </row>
    <row r="2251" spans="1:31" x14ac:dyDescent="0.25">
      <c r="A2251" t="s">
        <v>2389</v>
      </c>
      <c r="B2251" t="s">
        <v>73</v>
      </c>
      <c r="C2251">
        <v>407</v>
      </c>
      <c r="D2251">
        <v>96</v>
      </c>
      <c r="E2251">
        <v>14</v>
      </c>
      <c r="F2251">
        <v>7</v>
      </c>
      <c r="G2251">
        <v>17.21</v>
      </c>
      <c r="H2251">
        <v>5.01</v>
      </c>
      <c r="I2251">
        <v>0.86</v>
      </c>
      <c r="J2251" t="s">
        <v>160</v>
      </c>
      <c r="K2251" t="s">
        <v>34</v>
      </c>
      <c r="L2251">
        <v>130</v>
      </c>
      <c r="M2251">
        <v>3.17</v>
      </c>
      <c r="N2251">
        <v>105.24</v>
      </c>
      <c r="O2251">
        <v>1.87</v>
      </c>
      <c r="P2251">
        <v>0</v>
      </c>
      <c r="Q2251">
        <v>0.98</v>
      </c>
      <c r="R2251">
        <v>937</v>
      </c>
      <c r="S2251">
        <v>13.66</v>
      </c>
      <c r="T2251">
        <v>0.28999999999999998</v>
      </c>
      <c r="U2251" s="1">
        <v>45457</v>
      </c>
      <c r="V2251">
        <v>253.3</v>
      </c>
      <c r="W2251">
        <v>0.64900000000000002</v>
      </c>
      <c r="X2251" t="str">
        <f>IF(WarehouseData[[#This Row],[stock_level]]&lt;=WarehouseData[[#This Row],[reorder_point]],"Low Stock","Sufficient Stock")</f>
        <v>Sufficient Stock</v>
      </c>
      <c r="Y2251">
        <f>WarehouseData[[#This Row],[daily_demand]]*WarehouseData[[#This Row],[lead_time_days]]</f>
        <v>120.47</v>
      </c>
      <c r="Z2251" t="str">
        <f>IF(WarehouseData[[#This Row],[stock_level]]&lt;=WarehouseData[[#This Row],[Demand During Lead Time]],"At Risk","Safe")</f>
        <v>Safe</v>
      </c>
      <c r="AA2251">
        <f>WarehouseData[[#This Row],[stock_level]]/WarehouseData[[#This Row],[daily_demand]]</f>
        <v>23.649041255084253</v>
      </c>
      <c r="AB2251">
        <f>WarehouseData[[#This Row],[stock_level]]*WarehouseData[[#This Row],[unit_price]]</f>
        <v>42832.68</v>
      </c>
      <c r="AC2251">
        <f>WarehouseData[[#This Row],[stock_level]]*WarehouseData[[#This Row],[holding_cost_per_unit_day]]*30</f>
        <v>22832.7</v>
      </c>
      <c r="AD2251" t="str">
        <f>IF(WarehouseData[[#This Row],[order_fulfillment_rate]]&gt;=0.9,"Strong",IF(WarehouseData[[#This Row],[order_fulfillment_rate]]&gt;=0.8,"Moderate","Needs Attention"))</f>
        <v>Strong</v>
      </c>
      <c r="AE2251" t="str">
        <f>IF(WarehouseData[[#This Row],[picking_time_seconds]]&gt;120,"Slow",IF(WarehouseData[[#This Row],[picking_time_seconds]]&gt;=60,"Average","Fast"))</f>
        <v>Slow</v>
      </c>
    </row>
    <row r="2252" spans="1:31" x14ac:dyDescent="0.25">
      <c r="A2252" t="s">
        <v>2390</v>
      </c>
      <c r="B2252" t="s">
        <v>73</v>
      </c>
      <c r="C2252">
        <v>441</v>
      </c>
      <c r="D2252">
        <v>18</v>
      </c>
      <c r="E2252">
        <v>9</v>
      </c>
      <c r="F2252">
        <v>2</v>
      </c>
      <c r="G2252">
        <v>47.78</v>
      </c>
      <c r="H2252">
        <v>6.2</v>
      </c>
      <c r="I2252">
        <v>0.92</v>
      </c>
      <c r="J2252" t="s">
        <v>126</v>
      </c>
      <c r="K2252" t="s">
        <v>46</v>
      </c>
      <c r="L2252">
        <v>52</v>
      </c>
      <c r="M2252">
        <v>2.2799999999999998</v>
      </c>
      <c r="N2252">
        <v>137.83000000000001</v>
      </c>
      <c r="O2252">
        <v>0.98</v>
      </c>
      <c r="P2252">
        <v>8</v>
      </c>
      <c r="Q2252">
        <v>0.99</v>
      </c>
      <c r="R2252">
        <v>243</v>
      </c>
      <c r="S2252">
        <v>5.89</v>
      </c>
      <c r="T2252">
        <v>0.48</v>
      </c>
      <c r="U2252" s="1">
        <v>45655</v>
      </c>
      <c r="V2252">
        <v>201.37</v>
      </c>
      <c r="W2252">
        <v>0.51500000000000001</v>
      </c>
      <c r="X2252" t="str">
        <f>IF(WarehouseData[[#This Row],[stock_level]]&lt;=WarehouseData[[#This Row],[reorder_point]],"Low Stock","Sufficient Stock")</f>
        <v>Sufficient Stock</v>
      </c>
      <c r="Y2252">
        <f>WarehouseData[[#This Row],[daily_demand]]*WarehouseData[[#This Row],[lead_time_days]]</f>
        <v>95.56</v>
      </c>
      <c r="Z2252" t="str">
        <f>IF(WarehouseData[[#This Row],[stock_level]]&lt;=WarehouseData[[#This Row],[Demand During Lead Time]],"At Risk","Safe")</f>
        <v>Safe</v>
      </c>
      <c r="AA2252">
        <f>WarehouseData[[#This Row],[stock_level]]/WarehouseData[[#This Row],[daily_demand]]</f>
        <v>9.2298032649644206</v>
      </c>
      <c r="AB2252">
        <f>WarehouseData[[#This Row],[stock_level]]*WarehouseData[[#This Row],[unit_price]]</f>
        <v>60783.030000000006</v>
      </c>
      <c r="AC2252">
        <f>WarehouseData[[#This Row],[stock_level]]*WarehouseData[[#This Row],[holding_cost_per_unit_day]]*30</f>
        <v>12965.4</v>
      </c>
      <c r="AD2252" t="str">
        <f>IF(WarehouseData[[#This Row],[order_fulfillment_rate]]&gt;=0.9,"Strong",IF(WarehouseData[[#This Row],[order_fulfillment_rate]]&gt;=0.8,"Moderate","Needs Attention"))</f>
        <v>Strong</v>
      </c>
      <c r="AE2252" t="str">
        <f>IF(WarehouseData[[#This Row],[picking_time_seconds]]&gt;120,"Slow",IF(WarehouseData[[#This Row],[picking_time_seconds]]&gt;=60,"Average","Fast"))</f>
        <v>Fast</v>
      </c>
    </row>
    <row r="2253" spans="1:31" x14ac:dyDescent="0.25">
      <c r="A2253" t="s">
        <v>2391</v>
      </c>
      <c r="B2253" t="s">
        <v>73</v>
      </c>
      <c r="C2253">
        <v>430</v>
      </c>
      <c r="D2253">
        <v>11</v>
      </c>
      <c r="E2253">
        <v>3</v>
      </c>
      <c r="F2253">
        <v>5</v>
      </c>
      <c r="G2253">
        <v>17.32</v>
      </c>
      <c r="H2253">
        <v>5.92</v>
      </c>
      <c r="I2253">
        <v>0.92</v>
      </c>
      <c r="J2253" t="s">
        <v>340</v>
      </c>
      <c r="K2253" t="s">
        <v>46</v>
      </c>
      <c r="L2253">
        <v>155</v>
      </c>
      <c r="M2253">
        <v>2.73</v>
      </c>
      <c r="N2253">
        <v>45.26</v>
      </c>
      <c r="O2253">
        <v>0.83</v>
      </c>
      <c r="P2253">
        <v>0</v>
      </c>
      <c r="Q2253">
        <v>0.72</v>
      </c>
      <c r="R2253">
        <v>161</v>
      </c>
      <c r="S2253">
        <v>2.2200000000000002</v>
      </c>
      <c r="T2253">
        <v>0.75</v>
      </c>
      <c r="U2253" s="1">
        <v>45351</v>
      </c>
      <c r="V2253">
        <v>111.32</v>
      </c>
      <c r="W2253">
        <v>0.64100000000000001</v>
      </c>
      <c r="X2253" t="str">
        <f>IF(WarehouseData[[#This Row],[stock_level]]&lt;=WarehouseData[[#This Row],[reorder_point]],"Low Stock","Sufficient Stock")</f>
        <v>Sufficient Stock</v>
      </c>
      <c r="Y2253">
        <f>WarehouseData[[#This Row],[daily_demand]]*WarehouseData[[#This Row],[lead_time_days]]</f>
        <v>86.6</v>
      </c>
      <c r="Z2253" t="str">
        <f>IF(WarehouseData[[#This Row],[stock_level]]&lt;=WarehouseData[[#This Row],[Demand During Lead Time]],"At Risk","Safe")</f>
        <v>Safe</v>
      </c>
      <c r="AA2253">
        <f>WarehouseData[[#This Row],[stock_level]]/WarehouseData[[#This Row],[daily_demand]]</f>
        <v>24.826789838337181</v>
      </c>
      <c r="AB2253">
        <f>WarehouseData[[#This Row],[stock_level]]*WarehouseData[[#This Row],[unit_price]]</f>
        <v>19461.8</v>
      </c>
      <c r="AC2253">
        <f>WarehouseData[[#This Row],[stock_level]]*WarehouseData[[#This Row],[holding_cost_per_unit_day]]*30</f>
        <v>10707</v>
      </c>
      <c r="AD2253" t="str">
        <f>IF(WarehouseData[[#This Row],[order_fulfillment_rate]]&gt;=0.9,"Strong",IF(WarehouseData[[#This Row],[order_fulfillment_rate]]&gt;=0.8,"Moderate","Needs Attention"))</f>
        <v>Needs Attention</v>
      </c>
      <c r="AE2253" t="str">
        <f>IF(WarehouseData[[#This Row],[picking_time_seconds]]&gt;120,"Slow",IF(WarehouseData[[#This Row],[picking_time_seconds]]&gt;=60,"Average","Fast"))</f>
        <v>Slow</v>
      </c>
    </row>
    <row r="2254" spans="1:31" x14ac:dyDescent="0.25">
      <c r="A2254" t="s">
        <v>2392</v>
      </c>
      <c r="B2254" t="s">
        <v>73</v>
      </c>
      <c r="C2254">
        <v>156</v>
      </c>
      <c r="D2254">
        <v>70</v>
      </c>
      <c r="E2254">
        <v>3</v>
      </c>
      <c r="F2254">
        <v>2</v>
      </c>
      <c r="G2254">
        <v>28.7</v>
      </c>
      <c r="H2254">
        <v>0.87</v>
      </c>
      <c r="I2254">
        <v>0.2</v>
      </c>
      <c r="J2254" t="s">
        <v>133</v>
      </c>
      <c r="K2254" t="s">
        <v>46</v>
      </c>
      <c r="L2254">
        <v>83</v>
      </c>
      <c r="M2254">
        <v>1.26</v>
      </c>
      <c r="N2254">
        <v>136.88</v>
      </c>
      <c r="O2254">
        <v>1.44</v>
      </c>
      <c r="P2254">
        <v>6</v>
      </c>
      <c r="Q2254">
        <v>0.98</v>
      </c>
      <c r="R2254">
        <v>72</v>
      </c>
      <c r="S2254">
        <v>3.16</v>
      </c>
      <c r="T2254">
        <v>0.43</v>
      </c>
      <c r="U2254" s="1">
        <v>45472</v>
      </c>
      <c r="V2254">
        <v>158.03</v>
      </c>
      <c r="W2254">
        <v>0.46</v>
      </c>
      <c r="X2254" t="str">
        <f>IF(WarehouseData[[#This Row],[stock_level]]&lt;=WarehouseData[[#This Row],[reorder_point]],"Low Stock","Sufficient Stock")</f>
        <v>Sufficient Stock</v>
      </c>
      <c r="Y2254">
        <f>WarehouseData[[#This Row],[daily_demand]]*WarehouseData[[#This Row],[lead_time_days]]</f>
        <v>57.4</v>
      </c>
      <c r="Z2254" t="str">
        <f>IF(WarehouseData[[#This Row],[stock_level]]&lt;=WarehouseData[[#This Row],[Demand During Lead Time]],"At Risk","Safe")</f>
        <v>Safe</v>
      </c>
      <c r="AA2254">
        <f>WarehouseData[[#This Row],[stock_level]]/WarehouseData[[#This Row],[daily_demand]]</f>
        <v>5.4355400696864109</v>
      </c>
      <c r="AB2254">
        <f>WarehouseData[[#This Row],[stock_level]]*WarehouseData[[#This Row],[unit_price]]</f>
        <v>21353.279999999999</v>
      </c>
      <c r="AC2254">
        <f>WarehouseData[[#This Row],[stock_level]]*WarehouseData[[#This Row],[holding_cost_per_unit_day]]*30</f>
        <v>6739.2</v>
      </c>
      <c r="AD2254" t="str">
        <f>IF(WarehouseData[[#This Row],[order_fulfillment_rate]]&gt;=0.9,"Strong",IF(WarehouseData[[#This Row],[order_fulfillment_rate]]&gt;=0.8,"Moderate","Needs Attention"))</f>
        <v>Strong</v>
      </c>
      <c r="AE2254" t="str">
        <f>IF(WarehouseData[[#This Row],[picking_time_seconds]]&gt;120,"Slow",IF(WarehouseData[[#This Row],[picking_time_seconds]]&gt;=60,"Average","Fast"))</f>
        <v>Average</v>
      </c>
    </row>
    <row r="2255" spans="1:31" x14ac:dyDescent="0.25">
      <c r="A2255" t="s">
        <v>2393</v>
      </c>
      <c r="B2255" t="s">
        <v>73</v>
      </c>
      <c r="C2255">
        <v>386</v>
      </c>
      <c r="D2255">
        <v>50</v>
      </c>
      <c r="E2255">
        <v>12</v>
      </c>
      <c r="F2255">
        <v>3</v>
      </c>
      <c r="G2255">
        <v>20.78</v>
      </c>
      <c r="H2255">
        <v>7.63</v>
      </c>
      <c r="I2255">
        <v>0.51</v>
      </c>
      <c r="J2255" t="s">
        <v>163</v>
      </c>
      <c r="K2255" t="s">
        <v>38</v>
      </c>
      <c r="L2255">
        <v>62</v>
      </c>
      <c r="M2255">
        <v>3.42</v>
      </c>
      <c r="N2255">
        <v>11.52</v>
      </c>
      <c r="O2255">
        <v>0.71</v>
      </c>
      <c r="P2255">
        <v>1</v>
      </c>
      <c r="Q2255">
        <v>0.72</v>
      </c>
      <c r="R2255">
        <v>986</v>
      </c>
      <c r="S2255">
        <v>8.19</v>
      </c>
      <c r="T2255">
        <v>0.26</v>
      </c>
      <c r="U2255" s="1">
        <v>45579</v>
      </c>
      <c r="V2255">
        <v>171.78</v>
      </c>
      <c r="W2255">
        <v>0.61399999999999999</v>
      </c>
      <c r="X2255" t="str">
        <f>IF(WarehouseData[[#This Row],[stock_level]]&lt;=WarehouseData[[#This Row],[reorder_point]],"Low Stock","Sufficient Stock")</f>
        <v>Sufficient Stock</v>
      </c>
      <c r="Y2255">
        <f>WarehouseData[[#This Row],[daily_demand]]*WarehouseData[[#This Row],[lead_time_days]]</f>
        <v>62.34</v>
      </c>
      <c r="Z2255" t="str">
        <f>IF(WarehouseData[[#This Row],[stock_level]]&lt;=WarehouseData[[#This Row],[Demand During Lead Time]],"At Risk","Safe")</f>
        <v>Safe</v>
      </c>
      <c r="AA2255">
        <f>WarehouseData[[#This Row],[stock_level]]/WarehouseData[[#This Row],[daily_demand]]</f>
        <v>18.575553416746871</v>
      </c>
      <c r="AB2255">
        <f>WarehouseData[[#This Row],[stock_level]]*WarehouseData[[#This Row],[unit_price]]</f>
        <v>4446.72</v>
      </c>
      <c r="AC2255">
        <f>WarehouseData[[#This Row],[stock_level]]*WarehouseData[[#This Row],[holding_cost_per_unit_day]]*30</f>
        <v>8221.7999999999993</v>
      </c>
      <c r="AD2255" t="str">
        <f>IF(WarehouseData[[#This Row],[order_fulfillment_rate]]&gt;=0.9,"Strong",IF(WarehouseData[[#This Row],[order_fulfillment_rate]]&gt;=0.8,"Moderate","Needs Attention"))</f>
        <v>Needs Attention</v>
      </c>
      <c r="AE2255" t="str">
        <f>IF(WarehouseData[[#This Row],[picking_time_seconds]]&gt;120,"Slow",IF(WarehouseData[[#This Row],[picking_time_seconds]]&gt;=60,"Average","Fast"))</f>
        <v>Average</v>
      </c>
    </row>
    <row r="2256" spans="1:31" x14ac:dyDescent="0.25">
      <c r="A2256" t="s">
        <v>2394</v>
      </c>
      <c r="B2256" t="s">
        <v>48</v>
      </c>
      <c r="C2256">
        <v>419</v>
      </c>
      <c r="D2256">
        <v>53</v>
      </c>
      <c r="E2256">
        <v>4</v>
      </c>
      <c r="F2256">
        <v>4</v>
      </c>
      <c r="G2256">
        <v>20.41</v>
      </c>
      <c r="H2256">
        <v>9.52</v>
      </c>
      <c r="I2256">
        <v>0.1</v>
      </c>
      <c r="J2256" t="s">
        <v>148</v>
      </c>
      <c r="K2256" t="s">
        <v>38</v>
      </c>
      <c r="L2256">
        <v>48</v>
      </c>
      <c r="M2256">
        <v>3.29</v>
      </c>
      <c r="N2256">
        <v>168.31</v>
      </c>
      <c r="O2256">
        <v>0.23</v>
      </c>
      <c r="P2256">
        <v>8</v>
      </c>
      <c r="Q2256">
        <v>0.8</v>
      </c>
      <c r="R2256">
        <v>943</v>
      </c>
      <c r="S2256">
        <v>13.34</v>
      </c>
      <c r="T2256">
        <v>0.78</v>
      </c>
      <c r="U2256" s="1">
        <v>45537</v>
      </c>
      <c r="V2256">
        <v>34.96</v>
      </c>
      <c r="W2256">
        <v>0.71099999999999997</v>
      </c>
      <c r="X2256" t="str">
        <f>IF(WarehouseData[[#This Row],[stock_level]]&lt;=WarehouseData[[#This Row],[reorder_point]],"Low Stock","Sufficient Stock")</f>
        <v>Sufficient Stock</v>
      </c>
      <c r="Y2256">
        <f>WarehouseData[[#This Row],[daily_demand]]*WarehouseData[[#This Row],[lead_time_days]]</f>
        <v>81.64</v>
      </c>
      <c r="Z2256" t="str">
        <f>IF(WarehouseData[[#This Row],[stock_level]]&lt;=WarehouseData[[#This Row],[Demand During Lead Time]],"At Risk","Safe")</f>
        <v>Safe</v>
      </c>
      <c r="AA2256">
        <f>WarehouseData[[#This Row],[stock_level]]/WarehouseData[[#This Row],[daily_demand]]</f>
        <v>20.529152376286135</v>
      </c>
      <c r="AB2256">
        <f>WarehouseData[[#This Row],[stock_level]]*WarehouseData[[#This Row],[unit_price]]</f>
        <v>70521.89</v>
      </c>
      <c r="AC2256">
        <f>WarehouseData[[#This Row],[stock_level]]*WarehouseData[[#This Row],[holding_cost_per_unit_day]]*30</f>
        <v>2891.1000000000004</v>
      </c>
      <c r="AD2256" t="str">
        <f>IF(WarehouseData[[#This Row],[order_fulfillment_rate]]&gt;=0.9,"Strong",IF(WarehouseData[[#This Row],[order_fulfillment_rate]]&gt;=0.8,"Moderate","Needs Attention"))</f>
        <v>Moderate</v>
      </c>
      <c r="AE2256" t="str">
        <f>IF(WarehouseData[[#This Row],[picking_time_seconds]]&gt;120,"Slow",IF(WarehouseData[[#This Row],[picking_time_seconds]]&gt;=60,"Average","Fast"))</f>
        <v>Fast</v>
      </c>
    </row>
    <row r="2257" spans="1:31" x14ac:dyDescent="0.25">
      <c r="A2257" t="s">
        <v>2395</v>
      </c>
      <c r="B2257" t="s">
        <v>32</v>
      </c>
      <c r="C2257">
        <v>203</v>
      </c>
      <c r="D2257">
        <v>73</v>
      </c>
      <c r="E2257">
        <v>12</v>
      </c>
      <c r="F2257">
        <v>8</v>
      </c>
      <c r="G2257">
        <v>10.48</v>
      </c>
      <c r="H2257">
        <v>3.81</v>
      </c>
      <c r="I2257">
        <v>0.56000000000000005</v>
      </c>
      <c r="J2257" t="s">
        <v>57</v>
      </c>
      <c r="K2257" t="s">
        <v>34</v>
      </c>
      <c r="L2257">
        <v>116</v>
      </c>
      <c r="M2257">
        <v>1.69</v>
      </c>
      <c r="N2257">
        <v>108.09</v>
      </c>
      <c r="O2257">
        <v>1.81</v>
      </c>
      <c r="P2257">
        <v>8</v>
      </c>
      <c r="Q2257">
        <v>0.93</v>
      </c>
      <c r="R2257">
        <v>364</v>
      </c>
      <c r="S2257">
        <v>9.8000000000000007</v>
      </c>
      <c r="T2257">
        <v>0.56999999999999995</v>
      </c>
      <c r="U2257" s="1">
        <v>45590</v>
      </c>
      <c r="V2257">
        <v>291.95</v>
      </c>
      <c r="W2257">
        <v>0.49</v>
      </c>
      <c r="X2257" t="str">
        <f>IF(WarehouseData[[#This Row],[stock_level]]&lt;=WarehouseData[[#This Row],[reorder_point]],"Low Stock","Sufficient Stock")</f>
        <v>Sufficient Stock</v>
      </c>
      <c r="Y2257">
        <f>WarehouseData[[#This Row],[daily_demand]]*WarehouseData[[#This Row],[lead_time_days]]</f>
        <v>83.84</v>
      </c>
      <c r="Z2257" t="str">
        <f>IF(WarehouseData[[#This Row],[stock_level]]&lt;=WarehouseData[[#This Row],[Demand During Lead Time]],"At Risk","Safe")</f>
        <v>Safe</v>
      </c>
      <c r="AA2257">
        <f>WarehouseData[[#This Row],[stock_level]]/WarehouseData[[#This Row],[daily_demand]]</f>
        <v>19.370229007633586</v>
      </c>
      <c r="AB2257">
        <f>WarehouseData[[#This Row],[stock_level]]*WarehouseData[[#This Row],[unit_price]]</f>
        <v>21942.27</v>
      </c>
      <c r="AC2257">
        <f>WarehouseData[[#This Row],[stock_level]]*WarehouseData[[#This Row],[holding_cost_per_unit_day]]*30</f>
        <v>11022.9</v>
      </c>
      <c r="AD2257" t="str">
        <f>IF(WarehouseData[[#This Row],[order_fulfillment_rate]]&gt;=0.9,"Strong",IF(WarehouseData[[#This Row],[order_fulfillment_rate]]&gt;=0.8,"Moderate","Needs Attention"))</f>
        <v>Strong</v>
      </c>
      <c r="AE2257" t="str">
        <f>IF(WarehouseData[[#This Row],[picking_time_seconds]]&gt;120,"Slow",IF(WarehouseData[[#This Row],[picking_time_seconds]]&gt;=60,"Average","Fast"))</f>
        <v>Average</v>
      </c>
    </row>
    <row r="2258" spans="1:31" x14ac:dyDescent="0.25">
      <c r="A2258" t="s">
        <v>2396</v>
      </c>
      <c r="B2258" t="s">
        <v>36</v>
      </c>
      <c r="C2258">
        <v>95</v>
      </c>
      <c r="D2258">
        <v>40</v>
      </c>
      <c r="E2258">
        <v>5</v>
      </c>
      <c r="F2258">
        <v>8</v>
      </c>
      <c r="G2258">
        <v>27.32</v>
      </c>
      <c r="H2258">
        <v>2.21</v>
      </c>
      <c r="I2258">
        <v>0.93</v>
      </c>
      <c r="J2258" t="s">
        <v>166</v>
      </c>
      <c r="K2258" t="s">
        <v>46</v>
      </c>
      <c r="L2258">
        <v>171</v>
      </c>
      <c r="M2258">
        <v>2.59</v>
      </c>
      <c r="N2258">
        <v>189.34</v>
      </c>
      <c r="O2258">
        <v>1.31</v>
      </c>
      <c r="P2258">
        <v>8</v>
      </c>
      <c r="Q2258">
        <v>0.93</v>
      </c>
      <c r="R2258">
        <v>251</v>
      </c>
      <c r="S2258">
        <v>4.01</v>
      </c>
      <c r="T2258">
        <v>0.62</v>
      </c>
      <c r="U2258" s="1">
        <v>45584</v>
      </c>
      <c r="V2258">
        <v>36.630000000000003</v>
      </c>
      <c r="W2258">
        <v>0.47199999999999998</v>
      </c>
      <c r="X2258" t="str">
        <f>IF(WarehouseData[[#This Row],[stock_level]]&lt;=WarehouseData[[#This Row],[reorder_point]],"Low Stock","Sufficient Stock")</f>
        <v>Sufficient Stock</v>
      </c>
      <c r="Y2258">
        <f>WarehouseData[[#This Row],[daily_demand]]*WarehouseData[[#This Row],[lead_time_days]]</f>
        <v>218.56</v>
      </c>
      <c r="Z2258" t="str">
        <f>IF(WarehouseData[[#This Row],[stock_level]]&lt;=WarehouseData[[#This Row],[Demand During Lead Time]],"At Risk","Safe")</f>
        <v>At Risk</v>
      </c>
      <c r="AA2258">
        <f>WarehouseData[[#This Row],[stock_level]]/WarehouseData[[#This Row],[daily_demand]]</f>
        <v>3.4773060029282576</v>
      </c>
      <c r="AB2258">
        <f>WarehouseData[[#This Row],[stock_level]]*WarehouseData[[#This Row],[unit_price]]</f>
        <v>17987.3</v>
      </c>
      <c r="AC2258">
        <f>WarehouseData[[#This Row],[stock_level]]*WarehouseData[[#This Row],[holding_cost_per_unit_day]]*30</f>
        <v>3733.5</v>
      </c>
      <c r="AD2258" t="str">
        <f>IF(WarehouseData[[#This Row],[order_fulfillment_rate]]&gt;=0.9,"Strong",IF(WarehouseData[[#This Row],[order_fulfillment_rate]]&gt;=0.8,"Moderate","Needs Attention"))</f>
        <v>Strong</v>
      </c>
      <c r="AE2258" t="str">
        <f>IF(WarehouseData[[#This Row],[picking_time_seconds]]&gt;120,"Slow",IF(WarehouseData[[#This Row],[picking_time_seconds]]&gt;=60,"Average","Fast"))</f>
        <v>Slow</v>
      </c>
    </row>
    <row r="2259" spans="1:31" x14ac:dyDescent="0.25">
      <c r="A2259" t="s">
        <v>2397</v>
      </c>
      <c r="B2259" t="s">
        <v>73</v>
      </c>
      <c r="C2259">
        <v>306</v>
      </c>
      <c r="D2259">
        <v>56</v>
      </c>
      <c r="E2259">
        <v>14</v>
      </c>
      <c r="F2259">
        <v>3</v>
      </c>
      <c r="G2259">
        <v>42.62</v>
      </c>
      <c r="H2259">
        <v>5.63</v>
      </c>
      <c r="I2259">
        <v>0.28000000000000003</v>
      </c>
      <c r="J2259" t="s">
        <v>251</v>
      </c>
      <c r="K2259" t="s">
        <v>46</v>
      </c>
      <c r="L2259">
        <v>46</v>
      </c>
      <c r="M2259">
        <v>4.5199999999999996</v>
      </c>
      <c r="N2259">
        <v>100.85</v>
      </c>
      <c r="O2259">
        <v>0.49</v>
      </c>
      <c r="P2259">
        <v>3</v>
      </c>
      <c r="Q2259">
        <v>0.92</v>
      </c>
      <c r="R2259">
        <v>550</v>
      </c>
      <c r="S2259">
        <v>5.16</v>
      </c>
      <c r="T2259">
        <v>0.46</v>
      </c>
      <c r="U2259" s="1">
        <v>45633</v>
      </c>
      <c r="V2259">
        <v>219.29</v>
      </c>
      <c r="W2259">
        <v>0.63600000000000001</v>
      </c>
      <c r="X2259" t="str">
        <f>IF(WarehouseData[[#This Row],[stock_level]]&lt;=WarehouseData[[#This Row],[reorder_point]],"Low Stock","Sufficient Stock")</f>
        <v>Sufficient Stock</v>
      </c>
      <c r="Y2259">
        <f>WarehouseData[[#This Row],[daily_demand]]*WarehouseData[[#This Row],[lead_time_days]]</f>
        <v>127.85999999999999</v>
      </c>
      <c r="Z2259" t="str">
        <f>IF(WarehouseData[[#This Row],[stock_level]]&lt;=WarehouseData[[#This Row],[Demand During Lead Time]],"At Risk","Safe")</f>
        <v>Safe</v>
      </c>
      <c r="AA2259">
        <f>WarehouseData[[#This Row],[stock_level]]/WarehouseData[[#This Row],[daily_demand]]</f>
        <v>7.1797278273111216</v>
      </c>
      <c r="AB2259">
        <f>WarehouseData[[#This Row],[stock_level]]*WarehouseData[[#This Row],[unit_price]]</f>
        <v>30860.1</v>
      </c>
      <c r="AC2259">
        <f>WarehouseData[[#This Row],[stock_level]]*WarehouseData[[#This Row],[holding_cost_per_unit_day]]*30</f>
        <v>4498.2</v>
      </c>
      <c r="AD2259" t="str">
        <f>IF(WarehouseData[[#This Row],[order_fulfillment_rate]]&gt;=0.9,"Strong",IF(WarehouseData[[#This Row],[order_fulfillment_rate]]&gt;=0.8,"Moderate","Needs Attention"))</f>
        <v>Strong</v>
      </c>
      <c r="AE2259" t="str">
        <f>IF(WarehouseData[[#This Row],[picking_time_seconds]]&gt;120,"Slow",IF(WarehouseData[[#This Row],[picking_time_seconds]]&gt;=60,"Average","Fast"))</f>
        <v>Fast</v>
      </c>
    </row>
    <row r="2260" spans="1:31" x14ac:dyDescent="0.25">
      <c r="A2260" t="s">
        <v>2398</v>
      </c>
      <c r="B2260" t="s">
        <v>48</v>
      </c>
      <c r="C2260">
        <v>491</v>
      </c>
      <c r="D2260">
        <v>11</v>
      </c>
      <c r="E2260">
        <v>3</v>
      </c>
      <c r="F2260">
        <v>6</v>
      </c>
      <c r="G2260">
        <v>3.42</v>
      </c>
      <c r="H2260">
        <v>7.2</v>
      </c>
      <c r="I2260">
        <v>0.68</v>
      </c>
      <c r="J2260" t="s">
        <v>43</v>
      </c>
      <c r="K2260" t="s">
        <v>34</v>
      </c>
      <c r="L2260">
        <v>178</v>
      </c>
      <c r="M2260">
        <v>3.98</v>
      </c>
      <c r="N2260">
        <v>92.29</v>
      </c>
      <c r="O2260">
        <v>0.13</v>
      </c>
      <c r="P2260">
        <v>5</v>
      </c>
      <c r="Q2260">
        <v>0.71</v>
      </c>
      <c r="R2260">
        <v>667</v>
      </c>
      <c r="S2260">
        <v>14.66</v>
      </c>
      <c r="T2260">
        <v>0.69</v>
      </c>
      <c r="U2260" s="1">
        <v>45655</v>
      </c>
      <c r="V2260">
        <v>152.91</v>
      </c>
      <c r="W2260">
        <v>0.76200000000000001</v>
      </c>
      <c r="X2260" t="str">
        <f>IF(WarehouseData[[#This Row],[stock_level]]&lt;=WarehouseData[[#This Row],[reorder_point]],"Low Stock","Sufficient Stock")</f>
        <v>Sufficient Stock</v>
      </c>
      <c r="Y2260">
        <f>WarehouseData[[#This Row],[daily_demand]]*WarehouseData[[#This Row],[lead_time_days]]</f>
        <v>20.52</v>
      </c>
      <c r="Z2260" t="str">
        <f>IF(WarehouseData[[#This Row],[stock_level]]&lt;=WarehouseData[[#This Row],[Demand During Lead Time]],"At Risk","Safe")</f>
        <v>Safe</v>
      </c>
      <c r="AA2260">
        <f>WarehouseData[[#This Row],[stock_level]]/WarehouseData[[#This Row],[daily_demand]]</f>
        <v>143.56725146198832</v>
      </c>
      <c r="AB2260">
        <f>WarehouseData[[#This Row],[stock_level]]*WarehouseData[[#This Row],[unit_price]]</f>
        <v>45314.390000000007</v>
      </c>
      <c r="AC2260">
        <f>WarehouseData[[#This Row],[stock_level]]*WarehouseData[[#This Row],[holding_cost_per_unit_day]]*30</f>
        <v>1914.9</v>
      </c>
      <c r="AD2260" t="str">
        <f>IF(WarehouseData[[#This Row],[order_fulfillment_rate]]&gt;=0.9,"Strong",IF(WarehouseData[[#This Row],[order_fulfillment_rate]]&gt;=0.8,"Moderate","Needs Attention"))</f>
        <v>Needs Attention</v>
      </c>
      <c r="AE2260" t="str">
        <f>IF(WarehouseData[[#This Row],[picking_time_seconds]]&gt;120,"Slow",IF(WarehouseData[[#This Row],[picking_time_seconds]]&gt;=60,"Average","Fast"))</f>
        <v>Slow</v>
      </c>
    </row>
    <row r="2261" spans="1:31" x14ac:dyDescent="0.25">
      <c r="A2261" t="s">
        <v>2399</v>
      </c>
      <c r="B2261" t="s">
        <v>48</v>
      </c>
      <c r="C2261">
        <v>394</v>
      </c>
      <c r="D2261">
        <v>91</v>
      </c>
      <c r="E2261">
        <v>7</v>
      </c>
      <c r="F2261">
        <v>5</v>
      </c>
      <c r="G2261">
        <v>44.57</v>
      </c>
      <c r="H2261">
        <v>6.95</v>
      </c>
      <c r="I2261">
        <v>0.68</v>
      </c>
      <c r="J2261" t="s">
        <v>263</v>
      </c>
      <c r="K2261" t="s">
        <v>38</v>
      </c>
      <c r="L2261">
        <v>106</v>
      </c>
      <c r="M2261">
        <v>1.52</v>
      </c>
      <c r="N2261">
        <v>95.51</v>
      </c>
      <c r="O2261">
        <v>1.47</v>
      </c>
      <c r="P2261">
        <v>1</v>
      </c>
      <c r="Q2261">
        <v>0.74</v>
      </c>
      <c r="R2261">
        <v>655</v>
      </c>
      <c r="S2261">
        <v>1.74</v>
      </c>
      <c r="T2261">
        <v>0.91</v>
      </c>
      <c r="U2261" s="1">
        <v>45505</v>
      </c>
      <c r="V2261">
        <v>230.36</v>
      </c>
      <c r="W2261">
        <v>0.58599999999999997</v>
      </c>
      <c r="X2261" t="str">
        <f>IF(WarehouseData[[#This Row],[stock_level]]&lt;=WarehouseData[[#This Row],[reorder_point]],"Low Stock","Sufficient Stock")</f>
        <v>Sufficient Stock</v>
      </c>
      <c r="Y2261">
        <f>WarehouseData[[#This Row],[daily_demand]]*WarehouseData[[#This Row],[lead_time_days]]</f>
        <v>222.85</v>
      </c>
      <c r="Z2261" t="str">
        <f>IF(WarehouseData[[#This Row],[stock_level]]&lt;=WarehouseData[[#This Row],[Demand During Lead Time]],"At Risk","Safe")</f>
        <v>Safe</v>
      </c>
      <c r="AA2261">
        <f>WarehouseData[[#This Row],[stock_level]]/WarehouseData[[#This Row],[daily_demand]]</f>
        <v>8.8400269239398703</v>
      </c>
      <c r="AB2261">
        <f>WarehouseData[[#This Row],[stock_level]]*WarehouseData[[#This Row],[unit_price]]</f>
        <v>37630.94</v>
      </c>
      <c r="AC2261">
        <f>WarehouseData[[#This Row],[stock_level]]*WarehouseData[[#This Row],[holding_cost_per_unit_day]]*30</f>
        <v>17375.399999999998</v>
      </c>
      <c r="AD2261" t="str">
        <f>IF(WarehouseData[[#This Row],[order_fulfillment_rate]]&gt;=0.9,"Strong",IF(WarehouseData[[#This Row],[order_fulfillment_rate]]&gt;=0.8,"Moderate","Needs Attention"))</f>
        <v>Needs Attention</v>
      </c>
      <c r="AE2261" t="str">
        <f>IF(WarehouseData[[#This Row],[picking_time_seconds]]&gt;120,"Slow",IF(WarehouseData[[#This Row],[picking_time_seconds]]&gt;=60,"Average","Fast"))</f>
        <v>Average</v>
      </c>
    </row>
    <row r="2262" spans="1:31" x14ac:dyDescent="0.25">
      <c r="A2262" t="s">
        <v>2400</v>
      </c>
      <c r="B2262" t="s">
        <v>48</v>
      </c>
      <c r="C2262">
        <v>161</v>
      </c>
      <c r="D2262">
        <v>86</v>
      </c>
      <c r="E2262">
        <v>5</v>
      </c>
      <c r="F2262">
        <v>3</v>
      </c>
      <c r="G2262">
        <v>33.61</v>
      </c>
      <c r="H2262">
        <v>6.32</v>
      </c>
      <c r="I2262">
        <v>0.24</v>
      </c>
      <c r="J2262" t="s">
        <v>401</v>
      </c>
      <c r="K2262" t="s">
        <v>38</v>
      </c>
      <c r="L2262">
        <v>58</v>
      </c>
      <c r="M2262">
        <v>4.45</v>
      </c>
      <c r="N2262">
        <v>78.349999999999994</v>
      </c>
      <c r="O2262">
        <v>1.72</v>
      </c>
      <c r="P2262">
        <v>2</v>
      </c>
      <c r="Q2262">
        <v>0.98</v>
      </c>
      <c r="R2262">
        <v>74</v>
      </c>
      <c r="S2262">
        <v>14.92</v>
      </c>
      <c r="T2262">
        <v>0.64</v>
      </c>
      <c r="U2262" s="1">
        <v>45637</v>
      </c>
      <c r="V2262">
        <v>85.67</v>
      </c>
      <c r="W2262">
        <v>0.71099999999999997</v>
      </c>
      <c r="X2262" t="str">
        <f>IF(WarehouseData[[#This Row],[stock_level]]&lt;=WarehouseData[[#This Row],[reorder_point]],"Low Stock","Sufficient Stock")</f>
        <v>Sufficient Stock</v>
      </c>
      <c r="Y2262">
        <f>WarehouseData[[#This Row],[daily_demand]]*WarehouseData[[#This Row],[lead_time_days]]</f>
        <v>100.83</v>
      </c>
      <c r="Z2262" t="str">
        <f>IF(WarehouseData[[#This Row],[stock_level]]&lt;=WarehouseData[[#This Row],[Demand During Lead Time]],"At Risk","Safe")</f>
        <v>Safe</v>
      </c>
      <c r="AA2262">
        <f>WarehouseData[[#This Row],[stock_level]]/WarehouseData[[#This Row],[daily_demand]]</f>
        <v>4.79024099970247</v>
      </c>
      <c r="AB2262">
        <f>WarehouseData[[#This Row],[stock_level]]*WarehouseData[[#This Row],[unit_price]]</f>
        <v>12614.349999999999</v>
      </c>
      <c r="AC2262">
        <f>WarehouseData[[#This Row],[stock_level]]*WarehouseData[[#This Row],[holding_cost_per_unit_day]]*30</f>
        <v>8307.6</v>
      </c>
      <c r="AD2262" t="str">
        <f>IF(WarehouseData[[#This Row],[order_fulfillment_rate]]&gt;=0.9,"Strong",IF(WarehouseData[[#This Row],[order_fulfillment_rate]]&gt;=0.8,"Moderate","Needs Attention"))</f>
        <v>Strong</v>
      </c>
      <c r="AE2262" t="str">
        <f>IF(WarehouseData[[#This Row],[picking_time_seconds]]&gt;120,"Slow",IF(WarehouseData[[#This Row],[picking_time_seconds]]&gt;=60,"Average","Fast"))</f>
        <v>Fast</v>
      </c>
    </row>
    <row r="2263" spans="1:31" x14ac:dyDescent="0.25">
      <c r="A2263" t="s">
        <v>2401</v>
      </c>
      <c r="B2263" t="s">
        <v>32</v>
      </c>
      <c r="C2263">
        <v>256</v>
      </c>
      <c r="D2263">
        <v>78</v>
      </c>
      <c r="E2263">
        <v>3</v>
      </c>
      <c r="F2263">
        <v>4</v>
      </c>
      <c r="G2263">
        <v>31.22</v>
      </c>
      <c r="H2263">
        <v>1.89</v>
      </c>
      <c r="I2263">
        <v>0.31</v>
      </c>
      <c r="J2263" t="s">
        <v>54</v>
      </c>
      <c r="K2263" t="s">
        <v>52</v>
      </c>
      <c r="L2263">
        <v>137</v>
      </c>
      <c r="M2263">
        <v>0.8</v>
      </c>
      <c r="N2263">
        <v>41.67</v>
      </c>
      <c r="O2263">
        <v>0.87</v>
      </c>
      <c r="P2263">
        <v>5</v>
      </c>
      <c r="Q2263">
        <v>0.72</v>
      </c>
      <c r="R2263">
        <v>706</v>
      </c>
      <c r="S2263">
        <v>13.68</v>
      </c>
      <c r="T2263">
        <v>0.67</v>
      </c>
      <c r="U2263" s="1">
        <v>45565</v>
      </c>
      <c r="V2263">
        <v>124.58</v>
      </c>
      <c r="W2263">
        <v>0.67300000000000004</v>
      </c>
      <c r="X2263" t="str">
        <f>IF(WarehouseData[[#This Row],[stock_level]]&lt;=WarehouseData[[#This Row],[reorder_point]],"Low Stock","Sufficient Stock")</f>
        <v>Sufficient Stock</v>
      </c>
      <c r="Y2263">
        <f>WarehouseData[[#This Row],[daily_demand]]*WarehouseData[[#This Row],[lead_time_days]]</f>
        <v>124.88</v>
      </c>
      <c r="Z2263" t="str">
        <f>IF(WarehouseData[[#This Row],[stock_level]]&lt;=WarehouseData[[#This Row],[Demand During Lead Time]],"At Risk","Safe")</f>
        <v>Safe</v>
      </c>
      <c r="AA2263">
        <f>WarehouseData[[#This Row],[stock_level]]/WarehouseData[[#This Row],[daily_demand]]</f>
        <v>8.1998718770019217</v>
      </c>
      <c r="AB2263">
        <f>WarehouseData[[#This Row],[stock_level]]*WarehouseData[[#This Row],[unit_price]]</f>
        <v>10667.52</v>
      </c>
      <c r="AC2263">
        <f>WarehouseData[[#This Row],[stock_level]]*WarehouseData[[#This Row],[holding_cost_per_unit_day]]*30</f>
        <v>6681.6</v>
      </c>
      <c r="AD2263" t="str">
        <f>IF(WarehouseData[[#This Row],[order_fulfillment_rate]]&gt;=0.9,"Strong",IF(WarehouseData[[#This Row],[order_fulfillment_rate]]&gt;=0.8,"Moderate","Needs Attention"))</f>
        <v>Needs Attention</v>
      </c>
      <c r="AE2263" t="str">
        <f>IF(WarehouseData[[#This Row],[picking_time_seconds]]&gt;120,"Slow",IF(WarehouseData[[#This Row],[picking_time_seconds]]&gt;=60,"Average","Fast"))</f>
        <v>Slow</v>
      </c>
    </row>
    <row r="2264" spans="1:31" x14ac:dyDescent="0.25">
      <c r="A2264" t="s">
        <v>2402</v>
      </c>
      <c r="B2264" t="s">
        <v>36</v>
      </c>
      <c r="C2264">
        <v>44</v>
      </c>
      <c r="D2264">
        <v>67</v>
      </c>
      <c r="E2264">
        <v>10</v>
      </c>
      <c r="F2264">
        <v>2</v>
      </c>
      <c r="G2264">
        <v>31.67</v>
      </c>
      <c r="H2264">
        <v>8.4499999999999993</v>
      </c>
      <c r="I2264">
        <v>0.52</v>
      </c>
      <c r="J2264" t="s">
        <v>131</v>
      </c>
      <c r="K2264" t="s">
        <v>52</v>
      </c>
      <c r="L2264">
        <v>19</v>
      </c>
      <c r="M2264">
        <v>2.36</v>
      </c>
      <c r="N2264">
        <v>169.99</v>
      </c>
      <c r="O2264">
        <v>0.25</v>
      </c>
      <c r="P2264">
        <v>0</v>
      </c>
      <c r="Q2264">
        <v>0.72</v>
      </c>
      <c r="R2264">
        <v>557</v>
      </c>
      <c r="S2264">
        <v>10.5</v>
      </c>
      <c r="T2264">
        <v>0.5</v>
      </c>
      <c r="U2264" s="1">
        <v>45438</v>
      </c>
      <c r="V2264">
        <v>162.4</v>
      </c>
      <c r="W2264">
        <v>0.75900000000000001</v>
      </c>
      <c r="X2264" t="str">
        <f>IF(WarehouseData[[#This Row],[stock_level]]&lt;=WarehouseData[[#This Row],[reorder_point]],"Low Stock","Sufficient Stock")</f>
        <v>Low Stock</v>
      </c>
      <c r="Y2264">
        <f>WarehouseData[[#This Row],[daily_demand]]*WarehouseData[[#This Row],[lead_time_days]]</f>
        <v>63.34</v>
      </c>
      <c r="Z2264" t="str">
        <f>IF(WarehouseData[[#This Row],[stock_level]]&lt;=WarehouseData[[#This Row],[Demand During Lead Time]],"At Risk","Safe")</f>
        <v>At Risk</v>
      </c>
      <c r="AA2264">
        <f>WarehouseData[[#This Row],[stock_level]]/WarehouseData[[#This Row],[daily_demand]]</f>
        <v>1.3893274392169244</v>
      </c>
      <c r="AB2264">
        <f>WarehouseData[[#This Row],[stock_level]]*WarehouseData[[#This Row],[unit_price]]</f>
        <v>7479.56</v>
      </c>
      <c r="AC2264">
        <f>WarehouseData[[#This Row],[stock_level]]*WarehouseData[[#This Row],[holding_cost_per_unit_day]]*30</f>
        <v>330</v>
      </c>
      <c r="AD2264" t="str">
        <f>IF(WarehouseData[[#This Row],[order_fulfillment_rate]]&gt;=0.9,"Strong",IF(WarehouseData[[#This Row],[order_fulfillment_rate]]&gt;=0.8,"Moderate","Needs Attention"))</f>
        <v>Needs Attention</v>
      </c>
      <c r="AE2264" t="str">
        <f>IF(WarehouseData[[#This Row],[picking_time_seconds]]&gt;120,"Slow",IF(WarehouseData[[#This Row],[picking_time_seconds]]&gt;=60,"Average","Fast"))</f>
        <v>Fast</v>
      </c>
    </row>
    <row r="2265" spans="1:31" x14ac:dyDescent="0.25">
      <c r="A2265" t="s">
        <v>2403</v>
      </c>
      <c r="B2265" t="s">
        <v>32</v>
      </c>
      <c r="C2265">
        <v>309</v>
      </c>
      <c r="D2265">
        <v>53</v>
      </c>
      <c r="E2265">
        <v>14</v>
      </c>
      <c r="F2265">
        <v>5</v>
      </c>
      <c r="G2265">
        <v>15.52</v>
      </c>
      <c r="H2265">
        <v>4.54</v>
      </c>
      <c r="I2265">
        <v>0.27</v>
      </c>
      <c r="J2265" t="s">
        <v>124</v>
      </c>
      <c r="K2265" t="s">
        <v>46</v>
      </c>
      <c r="L2265">
        <v>49</v>
      </c>
      <c r="M2265">
        <v>0.86</v>
      </c>
      <c r="N2265">
        <v>83.93</v>
      </c>
      <c r="O2265">
        <v>1.33</v>
      </c>
      <c r="P2265">
        <v>6</v>
      </c>
      <c r="Q2265">
        <v>0.95</v>
      </c>
      <c r="R2265">
        <v>415</v>
      </c>
      <c r="S2265">
        <v>14.2</v>
      </c>
      <c r="T2265">
        <v>0.27</v>
      </c>
      <c r="U2265" s="1">
        <v>45508</v>
      </c>
      <c r="V2265">
        <v>45.01</v>
      </c>
      <c r="W2265">
        <v>0.57999999999999996</v>
      </c>
      <c r="X2265" t="str">
        <f>IF(WarehouseData[[#This Row],[stock_level]]&lt;=WarehouseData[[#This Row],[reorder_point]],"Low Stock","Sufficient Stock")</f>
        <v>Sufficient Stock</v>
      </c>
      <c r="Y2265">
        <f>WarehouseData[[#This Row],[daily_demand]]*WarehouseData[[#This Row],[lead_time_days]]</f>
        <v>77.599999999999994</v>
      </c>
      <c r="Z2265" t="str">
        <f>IF(WarehouseData[[#This Row],[stock_level]]&lt;=WarehouseData[[#This Row],[Demand During Lead Time]],"At Risk","Safe")</f>
        <v>Safe</v>
      </c>
      <c r="AA2265">
        <f>WarehouseData[[#This Row],[stock_level]]/WarehouseData[[#This Row],[daily_demand]]</f>
        <v>19.909793814432991</v>
      </c>
      <c r="AB2265">
        <f>WarehouseData[[#This Row],[stock_level]]*WarehouseData[[#This Row],[unit_price]]</f>
        <v>25934.370000000003</v>
      </c>
      <c r="AC2265">
        <f>WarehouseData[[#This Row],[stock_level]]*WarehouseData[[#This Row],[holding_cost_per_unit_day]]*30</f>
        <v>12329.1</v>
      </c>
      <c r="AD2265" t="str">
        <f>IF(WarehouseData[[#This Row],[order_fulfillment_rate]]&gt;=0.9,"Strong",IF(WarehouseData[[#This Row],[order_fulfillment_rate]]&gt;=0.8,"Moderate","Needs Attention"))</f>
        <v>Strong</v>
      </c>
      <c r="AE2265" t="str">
        <f>IF(WarehouseData[[#This Row],[picking_time_seconds]]&gt;120,"Slow",IF(WarehouseData[[#This Row],[picking_time_seconds]]&gt;=60,"Average","Fast"))</f>
        <v>Fast</v>
      </c>
    </row>
    <row r="2266" spans="1:31" x14ac:dyDescent="0.25">
      <c r="A2266" t="s">
        <v>2404</v>
      </c>
      <c r="B2266" t="s">
        <v>40</v>
      </c>
      <c r="C2266">
        <v>86</v>
      </c>
      <c r="D2266">
        <v>83</v>
      </c>
      <c r="E2266">
        <v>13</v>
      </c>
      <c r="F2266">
        <v>9</v>
      </c>
      <c r="G2266">
        <v>21.34</v>
      </c>
      <c r="H2266">
        <v>2.6</v>
      </c>
      <c r="I2266">
        <v>0.63</v>
      </c>
      <c r="J2266" t="s">
        <v>62</v>
      </c>
      <c r="K2266" t="s">
        <v>38</v>
      </c>
      <c r="L2266">
        <v>155</v>
      </c>
      <c r="M2266">
        <v>4.66</v>
      </c>
      <c r="N2266">
        <v>110.53</v>
      </c>
      <c r="O2266">
        <v>0.66</v>
      </c>
      <c r="P2266">
        <v>1</v>
      </c>
      <c r="Q2266">
        <v>0.89</v>
      </c>
      <c r="R2266">
        <v>580</v>
      </c>
      <c r="S2266">
        <v>3.13</v>
      </c>
      <c r="T2266">
        <v>0.54</v>
      </c>
      <c r="U2266" s="1">
        <v>45298</v>
      </c>
      <c r="V2266">
        <v>257.02999999999997</v>
      </c>
      <c r="W2266">
        <v>0.64200000000000002</v>
      </c>
      <c r="X2266" t="str">
        <f>IF(WarehouseData[[#This Row],[stock_level]]&lt;=WarehouseData[[#This Row],[reorder_point]],"Low Stock","Sufficient Stock")</f>
        <v>Sufficient Stock</v>
      </c>
      <c r="Y2266">
        <f>WarehouseData[[#This Row],[daily_demand]]*WarehouseData[[#This Row],[lead_time_days]]</f>
        <v>192.06</v>
      </c>
      <c r="Z2266" t="str">
        <f>IF(WarehouseData[[#This Row],[stock_level]]&lt;=WarehouseData[[#This Row],[Demand During Lead Time]],"At Risk","Safe")</f>
        <v>At Risk</v>
      </c>
      <c r="AA2266">
        <f>WarehouseData[[#This Row],[stock_level]]/WarehouseData[[#This Row],[daily_demand]]</f>
        <v>4.0299906279287727</v>
      </c>
      <c r="AB2266">
        <f>WarehouseData[[#This Row],[stock_level]]*WarehouseData[[#This Row],[unit_price]]</f>
        <v>9505.58</v>
      </c>
      <c r="AC2266">
        <f>WarehouseData[[#This Row],[stock_level]]*WarehouseData[[#This Row],[holding_cost_per_unit_day]]*30</f>
        <v>1702.8000000000002</v>
      </c>
      <c r="AD2266" t="str">
        <f>IF(WarehouseData[[#This Row],[order_fulfillment_rate]]&gt;=0.9,"Strong",IF(WarehouseData[[#This Row],[order_fulfillment_rate]]&gt;=0.8,"Moderate","Needs Attention"))</f>
        <v>Moderate</v>
      </c>
      <c r="AE2266" t="str">
        <f>IF(WarehouseData[[#This Row],[picking_time_seconds]]&gt;120,"Slow",IF(WarehouseData[[#This Row],[picking_time_seconds]]&gt;=60,"Average","Fast"))</f>
        <v>Slow</v>
      </c>
    </row>
    <row r="2267" spans="1:31" x14ac:dyDescent="0.25">
      <c r="A2267" t="s">
        <v>2405</v>
      </c>
      <c r="B2267" t="s">
        <v>48</v>
      </c>
      <c r="C2267">
        <v>269</v>
      </c>
      <c r="D2267">
        <v>65</v>
      </c>
      <c r="E2267">
        <v>8</v>
      </c>
      <c r="F2267">
        <v>7</v>
      </c>
      <c r="G2267">
        <v>40.17</v>
      </c>
      <c r="H2267">
        <v>1.32</v>
      </c>
      <c r="I2267">
        <v>0.54</v>
      </c>
      <c r="J2267" t="s">
        <v>110</v>
      </c>
      <c r="K2267" t="s">
        <v>46</v>
      </c>
      <c r="L2267">
        <v>162</v>
      </c>
      <c r="M2267">
        <v>0.68</v>
      </c>
      <c r="N2267">
        <v>13.78</v>
      </c>
      <c r="O2267">
        <v>0.37</v>
      </c>
      <c r="P2267">
        <v>7</v>
      </c>
      <c r="Q2267">
        <v>0.81</v>
      </c>
      <c r="R2267">
        <v>771</v>
      </c>
      <c r="S2267">
        <v>14.2</v>
      </c>
      <c r="T2267">
        <v>0.94</v>
      </c>
      <c r="U2267" s="1">
        <v>45559</v>
      </c>
      <c r="V2267">
        <v>297.55</v>
      </c>
      <c r="W2267">
        <v>0.76200000000000001</v>
      </c>
      <c r="X2267" t="str">
        <f>IF(WarehouseData[[#This Row],[stock_level]]&lt;=WarehouseData[[#This Row],[reorder_point]],"Low Stock","Sufficient Stock")</f>
        <v>Sufficient Stock</v>
      </c>
      <c r="Y2267">
        <f>WarehouseData[[#This Row],[daily_demand]]*WarehouseData[[#This Row],[lead_time_days]]</f>
        <v>281.19</v>
      </c>
      <c r="Z2267" t="str">
        <f>IF(WarehouseData[[#This Row],[stock_level]]&lt;=WarehouseData[[#This Row],[Demand During Lead Time]],"At Risk","Safe")</f>
        <v>At Risk</v>
      </c>
      <c r="AA2267">
        <f>WarehouseData[[#This Row],[stock_level]]/WarehouseData[[#This Row],[daily_demand]]</f>
        <v>6.6965397062484442</v>
      </c>
      <c r="AB2267">
        <f>WarehouseData[[#This Row],[stock_level]]*WarehouseData[[#This Row],[unit_price]]</f>
        <v>3706.8199999999997</v>
      </c>
      <c r="AC2267">
        <f>WarehouseData[[#This Row],[stock_level]]*WarehouseData[[#This Row],[holding_cost_per_unit_day]]*30</f>
        <v>2985.9</v>
      </c>
      <c r="AD2267" t="str">
        <f>IF(WarehouseData[[#This Row],[order_fulfillment_rate]]&gt;=0.9,"Strong",IF(WarehouseData[[#This Row],[order_fulfillment_rate]]&gt;=0.8,"Moderate","Needs Attention"))</f>
        <v>Moderate</v>
      </c>
      <c r="AE2267" t="str">
        <f>IF(WarehouseData[[#This Row],[picking_time_seconds]]&gt;120,"Slow",IF(WarehouseData[[#This Row],[picking_time_seconds]]&gt;=60,"Average","Fast"))</f>
        <v>Slow</v>
      </c>
    </row>
    <row r="2268" spans="1:31" x14ac:dyDescent="0.25">
      <c r="A2268" t="s">
        <v>2406</v>
      </c>
      <c r="B2268" t="s">
        <v>40</v>
      </c>
      <c r="C2268">
        <v>427</v>
      </c>
      <c r="D2268">
        <v>52</v>
      </c>
      <c r="E2268">
        <v>11</v>
      </c>
      <c r="F2268">
        <v>3</v>
      </c>
      <c r="G2268">
        <v>16.010000000000002</v>
      </c>
      <c r="H2268">
        <v>4.46</v>
      </c>
      <c r="I2268">
        <v>0.56999999999999995</v>
      </c>
      <c r="J2268" t="s">
        <v>190</v>
      </c>
      <c r="K2268" t="s">
        <v>38</v>
      </c>
      <c r="L2268">
        <v>115</v>
      </c>
      <c r="M2268">
        <v>1.18</v>
      </c>
      <c r="N2268">
        <v>21.45</v>
      </c>
      <c r="O2268">
        <v>1.07</v>
      </c>
      <c r="P2268">
        <v>4</v>
      </c>
      <c r="Q2268">
        <v>0.75</v>
      </c>
      <c r="R2268">
        <v>643</v>
      </c>
      <c r="S2268">
        <v>3.98</v>
      </c>
      <c r="T2268">
        <v>0.74</v>
      </c>
      <c r="U2268" s="1">
        <v>45346</v>
      </c>
      <c r="V2268">
        <v>131.1</v>
      </c>
      <c r="W2268">
        <v>0.56399999999999995</v>
      </c>
      <c r="X2268" t="str">
        <f>IF(WarehouseData[[#This Row],[stock_level]]&lt;=WarehouseData[[#This Row],[reorder_point]],"Low Stock","Sufficient Stock")</f>
        <v>Sufficient Stock</v>
      </c>
      <c r="Y2268">
        <f>WarehouseData[[#This Row],[daily_demand]]*WarehouseData[[#This Row],[lead_time_days]]</f>
        <v>48.03</v>
      </c>
      <c r="Z2268" t="str">
        <f>IF(WarehouseData[[#This Row],[stock_level]]&lt;=WarehouseData[[#This Row],[Demand During Lead Time]],"At Risk","Safe")</f>
        <v>Safe</v>
      </c>
      <c r="AA2268">
        <f>WarehouseData[[#This Row],[stock_level]]/WarehouseData[[#This Row],[daily_demand]]</f>
        <v>26.670830730793252</v>
      </c>
      <c r="AB2268">
        <f>WarehouseData[[#This Row],[stock_level]]*WarehouseData[[#This Row],[unit_price]]</f>
        <v>9159.15</v>
      </c>
      <c r="AC2268">
        <f>WarehouseData[[#This Row],[stock_level]]*WarehouseData[[#This Row],[holding_cost_per_unit_day]]*30</f>
        <v>13706.7</v>
      </c>
      <c r="AD2268" t="str">
        <f>IF(WarehouseData[[#This Row],[order_fulfillment_rate]]&gt;=0.9,"Strong",IF(WarehouseData[[#This Row],[order_fulfillment_rate]]&gt;=0.8,"Moderate","Needs Attention"))</f>
        <v>Needs Attention</v>
      </c>
      <c r="AE2268" t="str">
        <f>IF(WarehouseData[[#This Row],[picking_time_seconds]]&gt;120,"Slow",IF(WarehouseData[[#This Row],[picking_time_seconds]]&gt;=60,"Average","Fast"))</f>
        <v>Average</v>
      </c>
    </row>
    <row r="2269" spans="1:31" x14ac:dyDescent="0.25">
      <c r="A2269" t="s">
        <v>2407</v>
      </c>
      <c r="B2269" t="s">
        <v>73</v>
      </c>
      <c r="C2269">
        <v>137</v>
      </c>
      <c r="D2269">
        <v>98</v>
      </c>
      <c r="E2269">
        <v>5</v>
      </c>
      <c r="F2269">
        <v>9</v>
      </c>
      <c r="G2269">
        <v>24.03</v>
      </c>
      <c r="H2269">
        <v>6.37</v>
      </c>
      <c r="I2269">
        <v>0.22</v>
      </c>
      <c r="J2269" t="s">
        <v>311</v>
      </c>
      <c r="K2269" t="s">
        <v>52</v>
      </c>
      <c r="L2269">
        <v>50</v>
      </c>
      <c r="M2269">
        <v>4.62</v>
      </c>
      <c r="N2269">
        <v>123.46</v>
      </c>
      <c r="O2269">
        <v>1.02</v>
      </c>
      <c r="P2269">
        <v>6</v>
      </c>
      <c r="Q2269">
        <v>0.97</v>
      </c>
      <c r="R2269">
        <v>95</v>
      </c>
      <c r="S2269">
        <v>8.65</v>
      </c>
      <c r="T2269">
        <v>0.59</v>
      </c>
      <c r="U2269" s="1">
        <v>45304</v>
      </c>
      <c r="V2269">
        <v>119.28</v>
      </c>
      <c r="W2269">
        <v>0.60499999999999998</v>
      </c>
      <c r="X2269" t="str">
        <f>IF(WarehouseData[[#This Row],[stock_level]]&lt;=WarehouseData[[#This Row],[reorder_point]],"Low Stock","Sufficient Stock")</f>
        <v>Sufficient Stock</v>
      </c>
      <c r="Y2269">
        <f>WarehouseData[[#This Row],[daily_demand]]*WarehouseData[[#This Row],[lead_time_days]]</f>
        <v>216.27</v>
      </c>
      <c r="Z2269" t="str">
        <f>IF(WarehouseData[[#This Row],[stock_level]]&lt;=WarehouseData[[#This Row],[Demand During Lead Time]],"At Risk","Safe")</f>
        <v>At Risk</v>
      </c>
      <c r="AA2269">
        <f>WarehouseData[[#This Row],[stock_level]]/WarehouseData[[#This Row],[daily_demand]]</f>
        <v>5.7012068248023304</v>
      </c>
      <c r="AB2269">
        <f>WarehouseData[[#This Row],[stock_level]]*WarehouseData[[#This Row],[unit_price]]</f>
        <v>16914.02</v>
      </c>
      <c r="AC2269">
        <f>WarehouseData[[#This Row],[stock_level]]*WarehouseData[[#This Row],[holding_cost_per_unit_day]]*30</f>
        <v>4192.2000000000007</v>
      </c>
      <c r="AD2269" t="str">
        <f>IF(WarehouseData[[#This Row],[order_fulfillment_rate]]&gt;=0.9,"Strong",IF(WarehouseData[[#This Row],[order_fulfillment_rate]]&gt;=0.8,"Moderate","Needs Attention"))</f>
        <v>Strong</v>
      </c>
      <c r="AE2269" t="str">
        <f>IF(WarehouseData[[#This Row],[picking_time_seconds]]&gt;120,"Slow",IF(WarehouseData[[#This Row],[picking_time_seconds]]&gt;=60,"Average","Fast"))</f>
        <v>Fast</v>
      </c>
    </row>
    <row r="2270" spans="1:31" x14ac:dyDescent="0.25">
      <c r="A2270" t="s">
        <v>2408</v>
      </c>
      <c r="B2270" t="s">
        <v>73</v>
      </c>
      <c r="C2270">
        <v>92</v>
      </c>
      <c r="D2270">
        <v>43</v>
      </c>
      <c r="E2270">
        <v>11</v>
      </c>
      <c r="F2270">
        <v>9</v>
      </c>
      <c r="G2270">
        <v>1.96</v>
      </c>
      <c r="H2270">
        <v>6.82</v>
      </c>
      <c r="I2270">
        <v>0.56999999999999995</v>
      </c>
      <c r="J2270" t="s">
        <v>215</v>
      </c>
      <c r="K2270" t="s">
        <v>34</v>
      </c>
      <c r="L2270">
        <v>173</v>
      </c>
      <c r="M2270">
        <v>3.12</v>
      </c>
      <c r="N2270">
        <v>177.05</v>
      </c>
      <c r="O2270">
        <v>1.08</v>
      </c>
      <c r="P2270">
        <v>7</v>
      </c>
      <c r="Q2270">
        <v>1</v>
      </c>
      <c r="R2270">
        <v>84</v>
      </c>
      <c r="S2270">
        <v>7.84</v>
      </c>
      <c r="T2270">
        <v>0.7</v>
      </c>
      <c r="U2270" s="1">
        <v>45487</v>
      </c>
      <c r="V2270">
        <v>182.28</v>
      </c>
      <c r="W2270">
        <v>0.59699999999999998</v>
      </c>
      <c r="X2270" t="str">
        <f>IF(WarehouseData[[#This Row],[stock_level]]&lt;=WarehouseData[[#This Row],[reorder_point]],"Low Stock","Sufficient Stock")</f>
        <v>Sufficient Stock</v>
      </c>
      <c r="Y2270">
        <f>WarehouseData[[#This Row],[daily_demand]]*WarehouseData[[#This Row],[lead_time_days]]</f>
        <v>17.64</v>
      </c>
      <c r="Z2270" t="str">
        <f>IF(WarehouseData[[#This Row],[stock_level]]&lt;=WarehouseData[[#This Row],[Demand During Lead Time]],"At Risk","Safe")</f>
        <v>Safe</v>
      </c>
      <c r="AA2270">
        <f>WarehouseData[[#This Row],[stock_level]]/WarehouseData[[#This Row],[daily_demand]]</f>
        <v>46.938775510204081</v>
      </c>
      <c r="AB2270">
        <f>WarehouseData[[#This Row],[stock_level]]*WarehouseData[[#This Row],[unit_price]]</f>
        <v>16288.6</v>
      </c>
      <c r="AC2270">
        <f>WarehouseData[[#This Row],[stock_level]]*WarehouseData[[#This Row],[holding_cost_per_unit_day]]*30</f>
        <v>2980.8</v>
      </c>
      <c r="AD2270" t="str">
        <f>IF(WarehouseData[[#This Row],[order_fulfillment_rate]]&gt;=0.9,"Strong",IF(WarehouseData[[#This Row],[order_fulfillment_rate]]&gt;=0.8,"Moderate","Needs Attention"))</f>
        <v>Strong</v>
      </c>
      <c r="AE2270" t="str">
        <f>IF(WarehouseData[[#This Row],[picking_time_seconds]]&gt;120,"Slow",IF(WarehouseData[[#This Row],[picking_time_seconds]]&gt;=60,"Average","Fast"))</f>
        <v>Slow</v>
      </c>
    </row>
    <row r="2271" spans="1:31" x14ac:dyDescent="0.25">
      <c r="A2271" t="s">
        <v>2409</v>
      </c>
      <c r="B2271" t="s">
        <v>32</v>
      </c>
      <c r="C2271">
        <v>301</v>
      </c>
      <c r="D2271">
        <v>39</v>
      </c>
      <c r="E2271">
        <v>11</v>
      </c>
      <c r="F2271">
        <v>4</v>
      </c>
      <c r="G2271">
        <v>36.94</v>
      </c>
      <c r="H2271">
        <v>9.65</v>
      </c>
      <c r="I2271">
        <v>0.14000000000000001</v>
      </c>
      <c r="J2271" t="s">
        <v>188</v>
      </c>
      <c r="K2271" t="s">
        <v>38</v>
      </c>
      <c r="L2271">
        <v>11</v>
      </c>
      <c r="M2271">
        <v>4.08</v>
      </c>
      <c r="N2271">
        <v>103.75</v>
      </c>
      <c r="O2271">
        <v>1.67</v>
      </c>
      <c r="P2271">
        <v>2</v>
      </c>
      <c r="Q2271">
        <v>0.71</v>
      </c>
      <c r="R2271">
        <v>251</v>
      </c>
      <c r="S2271">
        <v>8.17</v>
      </c>
      <c r="T2271">
        <v>0.65</v>
      </c>
      <c r="U2271" s="1">
        <v>45366</v>
      </c>
      <c r="V2271">
        <v>209.71</v>
      </c>
      <c r="W2271">
        <v>0.57399999999999995</v>
      </c>
      <c r="X2271" t="str">
        <f>IF(WarehouseData[[#This Row],[stock_level]]&lt;=WarehouseData[[#This Row],[reorder_point]],"Low Stock","Sufficient Stock")</f>
        <v>Sufficient Stock</v>
      </c>
      <c r="Y2271">
        <f>WarehouseData[[#This Row],[daily_demand]]*WarehouseData[[#This Row],[lead_time_days]]</f>
        <v>147.76</v>
      </c>
      <c r="Z2271" t="str">
        <f>IF(WarehouseData[[#This Row],[stock_level]]&lt;=WarehouseData[[#This Row],[Demand During Lead Time]],"At Risk","Safe")</f>
        <v>Safe</v>
      </c>
      <c r="AA2271">
        <f>WarehouseData[[#This Row],[stock_level]]/WarehouseData[[#This Row],[daily_demand]]</f>
        <v>8.1483486735246355</v>
      </c>
      <c r="AB2271">
        <f>WarehouseData[[#This Row],[stock_level]]*WarehouseData[[#This Row],[unit_price]]</f>
        <v>31228.75</v>
      </c>
      <c r="AC2271">
        <f>WarehouseData[[#This Row],[stock_level]]*WarehouseData[[#This Row],[holding_cost_per_unit_day]]*30</f>
        <v>15080.099999999999</v>
      </c>
      <c r="AD2271" t="str">
        <f>IF(WarehouseData[[#This Row],[order_fulfillment_rate]]&gt;=0.9,"Strong",IF(WarehouseData[[#This Row],[order_fulfillment_rate]]&gt;=0.8,"Moderate","Needs Attention"))</f>
        <v>Needs Attention</v>
      </c>
      <c r="AE2271" t="str">
        <f>IF(WarehouseData[[#This Row],[picking_time_seconds]]&gt;120,"Slow",IF(WarehouseData[[#This Row],[picking_time_seconds]]&gt;=60,"Average","Fast"))</f>
        <v>Fast</v>
      </c>
    </row>
    <row r="2272" spans="1:31" x14ac:dyDescent="0.25">
      <c r="A2272" t="s">
        <v>2410</v>
      </c>
      <c r="B2272" t="s">
        <v>36</v>
      </c>
      <c r="C2272">
        <v>423</v>
      </c>
      <c r="D2272">
        <v>80</v>
      </c>
      <c r="E2272">
        <v>14</v>
      </c>
      <c r="F2272">
        <v>9</v>
      </c>
      <c r="G2272">
        <v>21.47</v>
      </c>
      <c r="H2272">
        <v>1.95</v>
      </c>
      <c r="I2272">
        <v>0.89</v>
      </c>
      <c r="J2272" t="s">
        <v>202</v>
      </c>
      <c r="K2272" t="s">
        <v>52</v>
      </c>
      <c r="L2272">
        <v>62</v>
      </c>
      <c r="M2272">
        <v>0.56999999999999995</v>
      </c>
      <c r="N2272">
        <v>41.35</v>
      </c>
      <c r="O2272">
        <v>1.02</v>
      </c>
      <c r="P2272">
        <v>5</v>
      </c>
      <c r="Q2272">
        <v>0.87</v>
      </c>
      <c r="R2272">
        <v>584</v>
      </c>
      <c r="S2272">
        <v>4.74</v>
      </c>
      <c r="T2272">
        <v>0.93</v>
      </c>
      <c r="U2272" s="1">
        <v>45319</v>
      </c>
      <c r="V2272">
        <v>261.89</v>
      </c>
      <c r="W2272">
        <v>0.621</v>
      </c>
      <c r="X2272" t="str">
        <f>IF(WarehouseData[[#This Row],[stock_level]]&lt;=WarehouseData[[#This Row],[reorder_point]],"Low Stock","Sufficient Stock")</f>
        <v>Sufficient Stock</v>
      </c>
      <c r="Y2272">
        <f>WarehouseData[[#This Row],[daily_demand]]*WarehouseData[[#This Row],[lead_time_days]]</f>
        <v>193.23</v>
      </c>
      <c r="Z2272" t="str">
        <f>IF(WarehouseData[[#This Row],[stock_level]]&lt;=WarehouseData[[#This Row],[Demand During Lead Time]],"At Risk","Safe")</f>
        <v>Safe</v>
      </c>
      <c r="AA2272">
        <f>WarehouseData[[#This Row],[stock_level]]/WarehouseData[[#This Row],[daily_demand]]</f>
        <v>19.701909641360039</v>
      </c>
      <c r="AB2272">
        <f>WarehouseData[[#This Row],[stock_level]]*WarehouseData[[#This Row],[unit_price]]</f>
        <v>17491.05</v>
      </c>
      <c r="AC2272">
        <f>WarehouseData[[#This Row],[stock_level]]*WarehouseData[[#This Row],[holding_cost_per_unit_day]]*30</f>
        <v>12943.8</v>
      </c>
      <c r="AD2272" t="str">
        <f>IF(WarehouseData[[#This Row],[order_fulfillment_rate]]&gt;=0.9,"Strong",IF(WarehouseData[[#This Row],[order_fulfillment_rate]]&gt;=0.8,"Moderate","Needs Attention"))</f>
        <v>Moderate</v>
      </c>
      <c r="AE2272" t="str">
        <f>IF(WarehouseData[[#This Row],[picking_time_seconds]]&gt;120,"Slow",IF(WarehouseData[[#This Row],[picking_time_seconds]]&gt;=60,"Average","Fast"))</f>
        <v>Average</v>
      </c>
    </row>
    <row r="2273" spans="1:31" x14ac:dyDescent="0.25">
      <c r="A2273" t="s">
        <v>2411</v>
      </c>
      <c r="B2273" t="s">
        <v>40</v>
      </c>
      <c r="C2273">
        <v>467</v>
      </c>
      <c r="D2273">
        <v>79</v>
      </c>
      <c r="E2273">
        <v>14</v>
      </c>
      <c r="F2273">
        <v>3</v>
      </c>
      <c r="G2273">
        <v>26.74</v>
      </c>
      <c r="H2273">
        <v>9.86</v>
      </c>
      <c r="I2273">
        <v>0.41</v>
      </c>
      <c r="J2273" t="s">
        <v>92</v>
      </c>
      <c r="K2273" t="s">
        <v>52</v>
      </c>
      <c r="L2273">
        <v>156</v>
      </c>
      <c r="M2273">
        <v>2.39</v>
      </c>
      <c r="N2273">
        <v>32.06</v>
      </c>
      <c r="O2273">
        <v>1.81</v>
      </c>
      <c r="P2273">
        <v>8</v>
      </c>
      <c r="Q2273">
        <v>0.78</v>
      </c>
      <c r="R2273">
        <v>414</v>
      </c>
      <c r="S2273">
        <v>11.93</v>
      </c>
      <c r="T2273">
        <v>0.38</v>
      </c>
      <c r="U2273" s="1">
        <v>45635</v>
      </c>
      <c r="V2273">
        <v>118.14</v>
      </c>
      <c r="W2273">
        <v>0.45</v>
      </c>
      <c r="X2273" t="str">
        <f>IF(WarehouseData[[#This Row],[stock_level]]&lt;=WarehouseData[[#This Row],[reorder_point]],"Low Stock","Sufficient Stock")</f>
        <v>Sufficient Stock</v>
      </c>
      <c r="Y2273">
        <f>WarehouseData[[#This Row],[daily_demand]]*WarehouseData[[#This Row],[lead_time_days]]</f>
        <v>80.22</v>
      </c>
      <c r="Z2273" t="str">
        <f>IF(WarehouseData[[#This Row],[stock_level]]&lt;=WarehouseData[[#This Row],[Demand During Lead Time]],"At Risk","Safe")</f>
        <v>Safe</v>
      </c>
      <c r="AA2273">
        <f>WarehouseData[[#This Row],[stock_level]]/WarehouseData[[#This Row],[daily_demand]]</f>
        <v>17.464472700074797</v>
      </c>
      <c r="AB2273">
        <f>WarehouseData[[#This Row],[stock_level]]*WarehouseData[[#This Row],[unit_price]]</f>
        <v>14972.02</v>
      </c>
      <c r="AC2273">
        <f>WarehouseData[[#This Row],[stock_level]]*WarehouseData[[#This Row],[holding_cost_per_unit_day]]*30</f>
        <v>25358.1</v>
      </c>
      <c r="AD2273" t="str">
        <f>IF(WarehouseData[[#This Row],[order_fulfillment_rate]]&gt;=0.9,"Strong",IF(WarehouseData[[#This Row],[order_fulfillment_rate]]&gt;=0.8,"Moderate","Needs Attention"))</f>
        <v>Needs Attention</v>
      </c>
      <c r="AE2273" t="str">
        <f>IF(WarehouseData[[#This Row],[picking_time_seconds]]&gt;120,"Slow",IF(WarehouseData[[#This Row],[picking_time_seconds]]&gt;=60,"Average","Fast"))</f>
        <v>Slow</v>
      </c>
    </row>
    <row r="2274" spans="1:31" x14ac:dyDescent="0.25">
      <c r="A2274" t="s">
        <v>2412</v>
      </c>
      <c r="B2274" t="s">
        <v>36</v>
      </c>
      <c r="C2274">
        <v>379</v>
      </c>
      <c r="D2274">
        <v>64</v>
      </c>
      <c r="E2274">
        <v>3</v>
      </c>
      <c r="F2274">
        <v>6</v>
      </c>
      <c r="G2274">
        <v>6.62</v>
      </c>
      <c r="H2274">
        <v>6.72</v>
      </c>
      <c r="I2274">
        <v>0.87</v>
      </c>
      <c r="J2274" t="s">
        <v>466</v>
      </c>
      <c r="K2274" t="s">
        <v>38</v>
      </c>
      <c r="L2274">
        <v>35</v>
      </c>
      <c r="M2274">
        <v>4.93</v>
      </c>
      <c r="N2274">
        <v>180.96</v>
      </c>
      <c r="O2274">
        <v>1.7</v>
      </c>
      <c r="P2274">
        <v>3</v>
      </c>
      <c r="Q2274">
        <v>0.95</v>
      </c>
      <c r="R2274">
        <v>519</v>
      </c>
      <c r="S2274">
        <v>11.4</v>
      </c>
      <c r="T2274">
        <v>0.91</v>
      </c>
      <c r="U2274" s="1">
        <v>45320</v>
      </c>
      <c r="V2274">
        <v>231.8</v>
      </c>
      <c r="W2274">
        <v>0.69399999999999995</v>
      </c>
      <c r="X2274" t="str">
        <f>IF(WarehouseData[[#This Row],[stock_level]]&lt;=WarehouseData[[#This Row],[reorder_point]],"Low Stock","Sufficient Stock")</f>
        <v>Sufficient Stock</v>
      </c>
      <c r="Y2274">
        <f>WarehouseData[[#This Row],[daily_demand]]*WarehouseData[[#This Row],[lead_time_days]]</f>
        <v>39.72</v>
      </c>
      <c r="Z2274" t="str">
        <f>IF(WarehouseData[[#This Row],[stock_level]]&lt;=WarehouseData[[#This Row],[Demand During Lead Time]],"At Risk","Safe")</f>
        <v>Safe</v>
      </c>
      <c r="AA2274">
        <f>WarehouseData[[#This Row],[stock_level]]/WarehouseData[[#This Row],[daily_demand]]</f>
        <v>57.250755287009063</v>
      </c>
      <c r="AB2274">
        <f>WarehouseData[[#This Row],[stock_level]]*WarehouseData[[#This Row],[unit_price]]</f>
        <v>68583.839999999997</v>
      </c>
      <c r="AC2274">
        <f>WarehouseData[[#This Row],[stock_level]]*WarehouseData[[#This Row],[holding_cost_per_unit_day]]*30</f>
        <v>19329</v>
      </c>
      <c r="AD2274" t="str">
        <f>IF(WarehouseData[[#This Row],[order_fulfillment_rate]]&gt;=0.9,"Strong",IF(WarehouseData[[#This Row],[order_fulfillment_rate]]&gt;=0.8,"Moderate","Needs Attention"))</f>
        <v>Strong</v>
      </c>
      <c r="AE2274" t="str">
        <f>IF(WarehouseData[[#This Row],[picking_time_seconds]]&gt;120,"Slow",IF(WarehouseData[[#This Row],[picking_time_seconds]]&gt;=60,"Average","Fast"))</f>
        <v>Fast</v>
      </c>
    </row>
    <row r="2275" spans="1:31" x14ac:dyDescent="0.25">
      <c r="A2275" t="s">
        <v>2413</v>
      </c>
      <c r="B2275" t="s">
        <v>32</v>
      </c>
      <c r="C2275">
        <v>29</v>
      </c>
      <c r="D2275">
        <v>76</v>
      </c>
      <c r="E2275">
        <v>5</v>
      </c>
      <c r="F2275">
        <v>8</v>
      </c>
      <c r="G2275">
        <v>49.59</v>
      </c>
      <c r="H2275">
        <v>4.82</v>
      </c>
      <c r="I2275">
        <v>0.73</v>
      </c>
      <c r="J2275" t="s">
        <v>148</v>
      </c>
      <c r="K2275" t="s">
        <v>46</v>
      </c>
      <c r="L2275">
        <v>63</v>
      </c>
      <c r="M2275">
        <v>3.11</v>
      </c>
      <c r="N2275">
        <v>143.31</v>
      </c>
      <c r="O2275">
        <v>1.34</v>
      </c>
      <c r="P2275">
        <v>9</v>
      </c>
      <c r="Q2275">
        <v>0.8</v>
      </c>
      <c r="R2275">
        <v>349</v>
      </c>
      <c r="S2275">
        <v>14.36</v>
      </c>
      <c r="T2275">
        <v>0.75</v>
      </c>
      <c r="U2275" s="1">
        <v>45394</v>
      </c>
      <c r="V2275">
        <v>79.62</v>
      </c>
      <c r="W2275">
        <v>0.58699999999999997</v>
      </c>
      <c r="X2275" t="str">
        <f>IF(WarehouseData[[#This Row],[stock_level]]&lt;=WarehouseData[[#This Row],[reorder_point]],"Low Stock","Sufficient Stock")</f>
        <v>Low Stock</v>
      </c>
      <c r="Y2275">
        <f>WarehouseData[[#This Row],[daily_demand]]*WarehouseData[[#This Row],[lead_time_days]]</f>
        <v>396.72</v>
      </c>
      <c r="Z2275" t="str">
        <f>IF(WarehouseData[[#This Row],[stock_level]]&lt;=WarehouseData[[#This Row],[Demand During Lead Time]],"At Risk","Safe")</f>
        <v>At Risk</v>
      </c>
      <c r="AA2275">
        <f>WarehouseData[[#This Row],[stock_level]]/WarehouseData[[#This Row],[daily_demand]]</f>
        <v>0.58479532163742687</v>
      </c>
      <c r="AB2275">
        <f>WarehouseData[[#This Row],[stock_level]]*WarehouseData[[#This Row],[unit_price]]</f>
        <v>4155.99</v>
      </c>
      <c r="AC2275">
        <f>WarehouseData[[#This Row],[stock_level]]*WarehouseData[[#This Row],[holding_cost_per_unit_day]]*30</f>
        <v>1165.8</v>
      </c>
      <c r="AD2275" t="str">
        <f>IF(WarehouseData[[#This Row],[order_fulfillment_rate]]&gt;=0.9,"Strong",IF(WarehouseData[[#This Row],[order_fulfillment_rate]]&gt;=0.8,"Moderate","Needs Attention"))</f>
        <v>Moderate</v>
      </c>
      <c r="AE2275" t="str">
        <f>IF(WarehouseData[[#This Row],[picking_time_seconds]]&gt;120,"Slow",IF(WarehouseData[[#This Row],[picking_time_seconds]]&gt;=60,"Average","Fast"))</f>
        <v>Average</v>
      </c>
    </row>
    <row r="2276" spans="1:31" x14ac:dyDescent="0.25">
      <c r="A2276" t="s">
        <v>2414</v>
      </c>
      <c r="B2276" t="s">
        <v>73</v>
      </c>
      <c r="C2276">
        <v>230</v>
      </c>
      <c r="D2276">
        <v>22</v>
      </c>
      <c r="E2276">
        <v>8</v>
      </c>
      <c r="F2276">
        <v>8</v>
      </c>
      <c r="G2276">
        <v>15.82</v>
      </c>
      <c r="H2276">
        <v>8.94</v>
      </c>
      <c r="I2276">
        <v>0.79</v>
      </c>
      <c r="J2276" t="s">
        <v>447</v>
      </c>
      <c r="K2276" t="s">
        <v>38</v>
      </c>
      <c r="L2276">
        <v>60</v>
      </c>
      <c r="M2276">
        <v>4.32</v>
      </c>
      <c r="N2276">
        <v>193.58</v>
      </c>
      <c r="O2276">
        <v>0.21</v>
      </c>
      <c r="P2276">
        <v>6</v>
      </c>
      <c r="Q2276">
        <v>0.91</v>
      </c>
      <c r="R2276">
        <v>826</v>
      </c>
      <c r="S2276">
        <v>8.1</v>
      </c>
      <c r="T2276">
        <v>0.3</v>
      </c>
      <c r="U2276" s="1">
        <v>45428</v>
      </c>
      <c r="V2276">
        <v>207.33</v>
      </c>
      <c r="W2276">
        <v>0.60899999999999999</v>
      </c>
      <c r="X2276" t="str">
        <f>IF(WarehouseData[[#This Row],[stock_level]]&lt;=WarehouseData[[#This Row],[reorder_point]],"Low Stock","Sufficient Stock")</f>
        <v>Sufficient Stock</v>
      </c>
      <c r="Y2276">
        <f>WarehouseData[[#This Row],[daily_demand]]*WarehouseData[[#This Row],[lead_time_days]]</f>
        <v>126.56</v>
      </c>
      <c r="Z2276" t="str">
        <f>IF(WarehouseData[[#This Row],[stock_level]]&lt;=WarehouseData[[#This Row],[Demand During Lead Time]],"At Risk","Safe")</f>
        <v>Safe</v>
      </c>
      <c r="AA2276">
        <f>WarehouseData[[#This Row],[stock_level]]/WarehouseData[[#This Row],[daily_demand]]</f>
        <v>14.538558786346396</v>
      </c>
      <c r="AB2276">
        <f>WarehouseData[[#This Row],[stock_level]]*WarehouseData[[#This Row],[unit_price]]</f>
        <v>44523.4</v>
      </c>
      <c r="AC2276">
        <f>WarehouseData[[#This Row],[stock_level]]*WarehouseData[[#This Row],[holding_cost_per_unit_day]]*30</f>
        <v>1449</v>
      </c>
      <c r="AD2276" t="str">
        <f>IF(WarehouseData[[#This Row],[order_fulfillment_rate]]&gt;=0.9,"Strong",IF(WarehouseData[[#This Row],[order_fulfillment_rate]]&gt;=0.8,"Moderate","Needs Attention"))</f>
        <v>Strong</v>
      </c>
      <c r="AE2276" t="str">
        <f>IF(WarehouseData[[#This Row],[picking_time_seconds]]&gt;120,"Slow",IF(WarehouseData[[#This Row],[picking_time_seconds]]&gt;=60,"Average","Fast"))</f>
        <v>Average</v>
      </c>
    </row>
    <row r="2277" spans="1:31" x14ac:dyDescent="0.25">
      <c r="A2277" t="s">
        <v>2415</v>
      </c>
      <c r="B2277" t="s">
        <v>36</v>
      </c>
      <c r="C2277">
        <v>342</v>
      </c>
      <c r="D2277">
        <v>12</v>
      </c>
      <c r="E2277">
        <v>10</v>
      </c>
      <c r="F2277">
        <v>5</v>
      </c>
      <c r="G2277">
        <v>32.11</v>
      </c>
      <c r="H2277">
        <v>7.1</v>
      </c>
      <c r="I2277">
        <v>0.38</v>
      </c>
      <c r="J2277" t="s">
        <v>54</v>
      </c>
      <c r="K2277" t="s">
        <v>52</v>
      </c>
      <c r="L2277">
        <v>162</v>
      </c>
      <c r="M2277">
        <v>4.84</v>
      </c>
      <c r="N2277">
        <v>25.65</v>
      </c>
      <c r="O2277">
        <v>1.74</v>
      </c>
      <c r="P2277">
        <v>0</v>
      </c>
      <c r="Q2277">
        <v>0.86</v>
      </c>
      <c r="R2277">
        <v>465</v>
      </c>
      <c r="S2277">
        <v>8.67</v>
      </c>
      <c r="T2277">
        <v>0.5</v>
      </c>
      <c r="U2277" s="1">
        <v>45374</v>
      </c>
      <c r="V2277">
        <v>145.36000000000001</v>
      </c>
      <c r="W2277">
        <v>0.61399999999999999</v>
      </c>
      <c r="X2277" t="str">
        <f>IF(WarehouseData[[#This Row],[stock_level]]&lt;=WarehouseData[[#This Row],[reorder_point]],"Low Stock","Sufficient Stock")</f>
        <v>Sufficient Stock</v>
      </c>
      <c r="Y2277">
        <f>WarehouseData[[#This Row],[daily_demand]]*WarehouseData[[#This Row],[lead_time_days]]</f>
        <v>160.55000000000001</v>
      </c>
      <c r="Z2277" t="str">
        <f>IF(WarehouseData[[#This Row],[stock_level]]&lt;=WarehouseData[[#This Row],[Demand During Lead Time]],"At Risk","Safe")</f>
        <v>Safe</v>
      </c>
      <c r="AA2277">
        <f>WarehouseData[[#This Row],[stock_level]]/WarehouseData[[#This Row],[daily_demand]]</f>
        <v>10.650887573964496</v>
      </c>
      <c r="AB2277">
        <f>WarehouseData[[#This Row],[stock_level]]*WarehouseData[[#This Row],[unit_price]]</f>
        <v>8772.2999999999993</v>
      </c>
      <c r="AC2277">
        <f>WarehouseData[[#This Row],[stock_level]]*WarehouseData[[#This Row],[holding_cost_per_unit_day]]*30</f>
        <v>17852.400000000001</v>
      </c>
      <c r="AD2277" t="str">
        <f>IF(WarehouseData[[#This Row],[order_fulfillment_rate]]&gt;=0.9,"Strong",IF(WarehouseData[[#This Row],[order_fulfillment_rate]]&gt;=0.8,"Moderate","Needs Attention"))</f>
        <v>Moderate</v>
      </c>
      <c r="AE2277" t="str">
        <f>IF(WarehouseData[[#This Row],[picking_time_seconds]]&gt;120,"Slow",IF(WarehouseData[[#This Row],[picking_time_seconds]]&gt;=60,"Average","Fast"))</f>
        <v>Slow</v>
      </c>
    </row>
    <row r="2278" spans="1:31" x14ac:dyDescent="0.25">
      <c r="A2278" t="s">
        <v>2416</v>
      </c>
      <c r="B2278" t="s">
        <v>36</v>
      </c>
      <c r="C2278">
        <v>171</v>
      </c>
      <c r="D2278">
        <v>35</v>
      </c>
      <c r="E2278">
        <v>6</v>
      </c>
      <c r="F2278">
        <v>2</v>
      </c>
      <c r="G2278">
        <v>29.48</v>
      </c>
      <c r="H2278">
        <v>3.81</v>
      </c>
      <c r="I2278">
        <v>0.3</v>
      </c>
      <c r="J2278" t="s">
        <v>160</v>
      </c>
      <c r="K2278" t="s">
        <v>38</v>
      </c>
      <c r="L2278">
        <v>123</v>
      </c>
      <c r="M2278">
        <v>3.58</v>
      </c>
      <c r="N2278">
        <v>181.5</v>
      </c>
      <c r="O2278">
        <v>1.82</v>
      </c>
      <c r="P2278">
        <v>6</v>
      </c>
      <c r="Q2278">
        <v>0.86</v>
      </c>
      <c r="R2278">
        <v>395</v>
      </c>
      <c r="S2278">
        <v>13.65</v>
      </c>
      <c r="T2278">
        <v>0.55000000000000004</v>
      </c>
      <c r="U2278" s="1">
        <v>45438</v>
      </c>
      <c r="V2278">
        <v>201.89</v>
      </c>
      <c r="W2278">
        <v>0.56200000000000006</v>
      </c>
      <c r="X2278" t="str">
        <f>IF(WarehouseData[[#This Row],[stock_level]]&lt;=WarehouseData[[#This Row],[reorder_point]],"Low Stock","Sufficient Stock")</f>
        <v>Sufficient Stock</v>
      </c>
      <c r="Y2278">
        <f>WarehouseData[[#This Row],[daily_demand]]*WarehouseData[[#This Row],[lead_time_days]]</f>
        <v>58.96</v>
      </c>
      <c r="Z2278" t="str">
        <f>IF(WarehouseData[[#This Row],[stock_level]]&lt;=WarehouseData[[#This Row],[Demand During Lead Time]],"At Risk","Safe")</f>
        <v>Safe</v>
      </c>
      <c r="AA2278">
        <f>WarehouseData[[#This Row],[stock_level]]/WarehouseData[[#This Row],[daily_demand]]</f>
        <v>5.800542740841248</v>
      </c>
      <c r="AB2278">
        <f>WarehouseData[[#This Row],[stock_level]]*WarehouseData[[#This Row],[unit_price]]</f>
        <v>31036.5</v>
      </c>
      <c r="AC2278">
        <f>WarehouseData[[#This Row],[stock_level]]*WarehouseData[[#This Row],[holding_cost_per_unit_day]]*30</f>
        <v>9336.6</v>
      </c>
      <c r="AD2278" t="str">
        <f>IF(WarehouseData[[#This Row],[order_fulfillment_rate]]&gt;=0.9,"Strong",IF(WarehouseData[[#This Row],[order_fulfillment_rate]]&gt;=0.8,"Moderate","Needs Attention"))</f>
        <v>Moderate</v>
      </c>
      <c r="AE2278" t="str">
        <f>IF(WarehouseData[[#This Row],[picking_time_seconds]]&gt;120,"Slow",IF(WarehouseData[[#This Row],[picking_time_seconds]]&gt;=60,"Average","Fast"))</f>
        <v>Slow</v>
      </c>
    </row>
    <row r="2279" spans="1:31" x14ac:dyDescent="0.25">
      <c r="A2279" t="s">
        <v>2417</v>
      </c>
      <c r="B2279" t="s">
        <v>73</v>
      </c>
      <c r="C2279">
        <v>24</v>
      </c>
      <c r="D2279">
        <v>66</v>
      </c>
      <c r="E2279">
        <v>7</v>
      </c>
      <c r="F2279">
        <v>4</v>
      </c>
      <c r="G2279">
        <v>39.47</v>
      </c>
      <c r="H2279">
        <v>8.9</v>
      </c>
      <c r="I2279">
        <v>0.47</v>
      </c>
      <c r="J2279" t="s">
        <v>88</v>
      </c>
      <c r="K2279" t="s">
        <v>34</v>
      </c>
      <c r="L2279">
        <v>26</v>
      </c>
      <c r="M2279">
        <v>1.97</v>
      </c>
      <c r="N2279">
        <v>170.67</v>
      </c>
      <c r="O2279">
        <v>0.81</v>
      </c>
      <c r="P2279">
        <v>8</v>
      </c>
      <c r="Q2279">
        <v>0.96</v>
      </c>
      <c r="R2279">
        <v>398</v>
      </c>
      <c r="S2279">
        <v>13.87</v>
      </c>
      <c r="T2279">
        <v>0.27</v>
      </c>
      <c r="U2279" s="1">
        <v>45641</v>
      </c>
      <c r="V2279">
        <v>120.14</v>
      </c>
      <c r="W2279">
        <v>0.59</v>
      </c>
      <c r="X2279" t="str">
        <f>IF(WarehouseData[[#This Row],[stock_level]]&lt;=WarehouseData[[#This Row],[reorder_point]],"Low Stock","Sufficient Stock")</f>
        <v>Low Stock</v>
      </c>
      <c r="Y2279">
        <f>WarehouseData[[#This Row],[daily_demand]]*WarehouseData[[#This Row],[lead_time_days]]</f>
        <v>157.88</v>
      </c>
      <c r="Z2279" t="str">
        <f>IF(WarehouseData[[#This Row],[stock_level]]&lt;=WarehouseData[[#This Row],[Demand During Lead Time]],"At Risk","Safe")</f>
        <v>At Risk</v>
      </c>
      <c r="AA2279">
        <f>WarehouseData[[#This Row],[stock_level]]/WarehouseData[[#This Row],[daily_demand]]</f>
        <v>0.60805675196351661</v>
      </c>
      <c r="AB2279">
        <f>WarehouseData[[#This Row],[stock_level]]*WarehouseData[[#This Row],[unit_price]]</f>
        <v>4096.08</v>
      </c>
      <c r="AC2279">
        <f>WarehouseData[[#This Row],[stock_level]]*WarehouseData[[#This Row],[holding_cost_per_unit_day]]*30</f>
        <v>583.20000000000005</v>
      </c>
      <c r="AD2279" t="str">
        <f>IF(WarehouseData[[#This Row],[order_fulfillment_rate]]&gt;=0.9,"Strong",IF(WarehouseData[[#This Row],[order_fulfillment_rate]]&gt;=0.8,"Moderate","Needs Attention"))</f>
        <v>Strong</v>
      </c>
      <c r="AE2279" t="str">
        <f>IF(WarehouseData[[#This Row],[picking_time_seconds]]&gt;120,"Slow",IF(WarehouseData[[#This Row],[picking_time_seconds]]&gt;=60,"Average","Fast"))</f>
        <v>Fast</v>
      </c>
    </row>
    <row r="2280" spans="1:31" x14ac:dyDescent="0.25">
      <c r="A2280" t="s">
        <v>2418</v>
      </c>
      <c r="B2280" t="s">
        <v>40</v>
      </c>
      <c r="C2280">
        <v>214</v>
      </c>
      <c r="D2280">
        <v>33</v>
      </c>
      <c r="E2280">
        <v>11</v>
      </c>
      <c r="F2280">
        <v>3</v>
      </c>
      <c r="G2280">
        <v>15.4</v>
      </c>
      <c r="H2280">
        <v>6.83</v>
      </c>
      <c r="I2280">
        <v>0.12</v>
      </c>
      <c r="J2280" t="s">
        <v>215</v>
      </c>
      <c r="K2280" t="s">
        <v>46</v>
      </c>
      <c r="L2280">
        <v>129</v>
      </c>
      <c r="M2280">
        <v>1.89</v>
      </c>
      <c r="N2280">
        <v>179.71</v>
      </c>
      <c r="O2280">
        <v>1.1000000000000001</v>
      </c>
      <c r="P2280">
        <v>9</v>
      </c>
      <c r="Q2280">
        <v>0.84</v>
      </c>
      <c r="R2280">
        <v>748</v>
      </c>
      <c r="S2280">
        <v>10.09</v>
      </c>
      <c r="T2280">
        <v>0.64</v>
      </c>
      <c r="U2280" s="1">
        <v>45420</v>
      </c>
      <c r="V2280">
        <v>95.36</v>
      </c>
      <c r="W2280">
        <v>0.54100000000000004</v>
      </c>
      <c r="X2280" t="str">
        <f>IF(WarehouseData[[#This Row],[stock_level]]&lt;=WarehouseData[[#This Row],[reorder_point]],"Low Stock","Sufficient Stock")</f>
        <v>Sufficient Stock</v>
      </c>
      <c r="Y2280">
        <f>WarehouseData[[#This Row],[daily_demand]]*WarehouseData[[#This Row],[lead_time_days]]</f>
        <v>46.2</v>
      </c>
      <c r="Z2280" t="str">
        <f>IF(WarehouseData[[#This Row],[stock_level]]&lt;=WarehouseData[[#This Row],[Demand During Lead Time]],"At Risk","Safe")</f>
        <v>Safe</v>
      </c>
      <c r="AA2280">
        <f>WarehouseData[[#This Row],[stock_level]]/WarehouseData[[#This Row],[daily_demand]]</f>
        <v>13.896103896103895</v>
      </c>
      <c r="AB2280">
        <f>WarehouseData[[#This Row],[stock_level]]*WarehouseData[[#This Row],[unit_price]]</f>
        <v>38457.94</v>
      </c>
      <c r="AC2280">
        <f>WarehouseData[[#This Row],[stock_level]]*WarehouseData[[#This Row],[holding_cost_per_unit_day]]*30</f>
        <v>7062</v>
      </c>
      <c r="AD2280" t="str">
        <f>IF(WarehouseData[[#This Row],[order_fulfillment_rate]]&gt;=0.9,"Strong",IF(WarehouseData[[#This Row],[order_fulfillment_rate]]&gt;=0.8,"Moderate","Needs Attention"))</f>
        <v>Moderate</v>
      </c>
      <c r="AE2280" t="str">
        <f>IF(WarehouseData[[#This Row],[picking_time_seconds]]&gt;120,"Slow",IF(WarehouseData[[#This Row],[picking_time_seconds]]&gt;=60,"Average","Fast"))</f>
        <v>Slow</v>
      </c>
    </row>
    <row r="2281" spans="1:31" x14ac:dyDescent="0.25">
      <c r="A2281" t="s">
        <v>2419</v>
      </c>
      <c r="B2281" t="s">
        <v>73</v>
      </c>
      <c r="C2281">
        <v>461</v>
      </c>
      <c r="D2281">
        <v>62</v>
      </c>
      <c r="E2281">
        <v>8</v>
      </c>
      <c r="F2281">
        <v>5</v>
      </c>
      <c r="G2281">
        <v>38.04</v>
      </c>
      <c r="H2281">
        <v>7.14</v>
      </c>
      <c r="I2281">
        <v>0.93</v>
      </c>
      <c r="J2281" t="s">
        <v>135</v>
      </c>
      <c r="K2281" t="s">
        <v>38</v>
      </c>
      <c r="L2281">
        <v>55</v>
      </c>
      <c r="M2281">
        <v>0.82</v>
      </c>
      <c r="N2281">
        <v>11.09</v>
      </c>
      <c r="O2281">
        <v>0.63</v>
      </c>
      <c r="P2281">
        <v>7</v>
      </c>
      <c r="Q2281">
        <v>0.95</v>
      </c>
      <c r="R2281">
        <v>859</v>
      </c>
      <c r="S2281">
        <v>12.49</v>
      </c>
      <c r="T2281">
        <v>0.41</v>
      </c>
      <c r="U2281" s="1">
        <v>45366</v>
      </c>
      <c r="V2281">
        <v>150.94</v>
      </c>
      <c r="W2281">
        <v>0.63600000000000001</v>
      </c>
      <c r="X2281" t="str">
        <f>IF(WarehouseData[[#This Row],[stock_level]]&lt;=WarehouseData[[#This Row],[reorder_point]],"Low Stock","Sufficient Stock")</f>
        <v>Sufficient Stock</v>
      </c>
      <c r="Y2281">
        <f>WarehouseData[[#This Row],[daily_demand]]*WarehouseData[[#This Row],[lead_time_days]]</f>
        <v>190.2</v>
      </c>
      <c r="Z2281" t="str">
        <f>IF(WarehouseData[[#This Row],[stock_level]]&lt;=WarehouseData[[#This Row],[Demand During Lead Time]],"At Risk","Safe")</f>
        <v>Safe</v>
      </c>
      <c r="AA2281">
        <f>WarehouseData[[#This Row],[stock_level]]/WarehouseData[[#This Row],[daily_demand]]</f>
        <v>12.11882229232387</v>
      </c>
      <c r="AB2281">
        <f>WarehouseData[[#This Row],[stock_level]]*WarehouseData[[#This Row],[unit_price]]</f>
        <v>5112.49</v>
      </c>
      <c r="AC2281">
        <f>WarehouseData[[#This Row],[stock_level]]*WarehouseData[[#This Row],[holding_cost_per_unit_day]]*30</f>
        <v>8712.9</v>
      </c>
      <c r="AD2281" t="str">
        <f>IF(WarehouseData[[#This Row],[order_fulfillment_rate]]&gt;=0.9,"Strong",IF(WarehouseData[[#This Row],[order_fulfillment_rate]]&gt;=0.8,"Moderate","Needs Attention"))</f>
        <v>Strong</v>
      </c>
      <c r="AE2281" t="str">
        <f>IF(WarehouseData[[#This Row],[picking_time_seconds]]&gt;120,"Slow",IF(WarehouseData[[#This Row],[picking_time_seconds]]&gt;=60,"Average","Fast"))</f>
        <v>Fast</v>
      </c>
    </row>
    <row r="2282" spans="1:31" x14ac:dyDescent="0.25">
      <c r="A2282" t="s">
        <v>2420</v>
      </c>
      <c r="B2282" t="s">
        <v>36</v>
      </c>
      <c r="C2282">
        <v>302</v>
      </c>
      <c r="D2282">
        <v>79</v>
      </c>
      <c r="E2282">
        <v>14</v>
      </c>
      <c r="F2282">
        <v>3</v>
      </c>
      <c r="G2282">
        <v>19.739999999999998</v>
      </c>
      <c r="H2282">
        <v>9.02</v>
      </c>
      <c r="I2282">
        <v>0.45</v>
      </c>
      <c r="J2282" t="s">
        <v>70</v>
      </c>
      <c r="K2282" t="s">
        <v>52</v>
      </c>
      <c r="L2282">
        <v>64</v>
      </c>
      <c r="M2282">
        <v>2.42</v>
      </c>
      <c r="N2282">
        <v>150.96</v>
      </c>
      <c r="O2282">
        <v>0.13</v>
      </c>
      <c r="P2282">
        <v>3</v>
      </c>
      <c r="Q2282">
        <v>0.81</v>
      </c>
      <c r="R2282">
        <v>239</v>
      </c>
      <c r="S2282">
        <v>8.07</v>
      </c>
      <c r="T2282">
        <v>0.56999999999999995</v>
      </c>
      <c r="U2282" s="1">
        <v>45323</v>
      </c>
      <c r="V2282">
        <v>269.58</v>
      </c>
      <c r="W2282">
        <v>0.71099999999999997</v>
      </c>
      <c r="X2282" t="str">
        <f>IF(WarehouseData[[#This Row],[stock_level]]&lt;=WarehouseData[[#This Row],[reorder_point]],"Low Stock","Sufficient Stock")</f>
        <v>Sufficient Stock</v>
      </c>
      <c r="Y2282">
        <f>WarehouseData[[#This Row],[daily_demand]]*WarehouseData[[#This Row],[lead_time_days]]</f>
        <v>59.22</v>
      </c>
      <c r="Z2282" t="str">
        <f>IF(WarehouseData[[#This Row],[stock_level]]&lt;=WarehouseData[[#This Row],[Demand During Lead Time]],"At Risk","Safe")</f>
        <v>Safe</v>
      </c>
      <c r="AA2282">
        <f>WarehouseData[[#This Row],[stock_level]]/WarehouseData[[#This Row],[daily_demand]]</f>
        <v>15.29888551165147</v>
      </c>
      <c r="AB2282">
        <f>WarehouseData[[#This Row],[stock_level]]*WarehouseData[[#This Row],[unit_price]]</f>
        <v>45589.920000000006</v>
      </c>
      <c r="AC2282">
        <f>WarehouseData[[#This Row],[stock_level]]*WarehouseData[[#This Row],[holding_cost_per_unit_day]]*30</f>
        <v>1177.8</v>
      </c>
      <c r="AD2282" t="str">
        <f>IF(WarehouseData[[#This Row],[order_fulfillment_rate]]&gt;=0.9,"Strong",IF(WarehouseData[[#This Row],[order_fulfillment_rate]]&gt;=0.8,"Moderate","Needs Attention"))</f>
        <v>Moderate</v>
      </c>
      <c r="AE2282" t="str">
        <f>IF(WarehouseData[[#This Row],[picking_time_seconds]]&gt;120,"Slow",IF(WarehouseData[[#This Row],[picking_time_seconds]]&gt;=60,"Average","Fast"))</f>
        <v>Average</v>
      </c>
    </row>
    <row r="2283" spans="1:31" x14ac:dyDescent="0.25">
      <c r="A2283" t="s">
        <v>2421</v>
      </c>
      <c r="B2283" t="s">
        <v>40</v>
      </c>
      <c r="C2283">
        <v>483</v>
      </c>
      <c r="D2283">
        <v>52</v>
      </c>
      <c r="E2283">
        <v>9</v>
      </c>
      <c r="F2283">
        <v>5</v>
      </c>
      <c r="G2283">
        <v>21.15</v>
      </c>
      <c r="H2283">
        <v>4.76</v>
      </c>
      <c r="I2283">
        <v>0.99</v>
      </c>
      <c r="J2283" t="s">
        <v>146</v>
      </c>
      <c r="K2283" t="s">
        <v>52</v>
      </c>
      <c r="L2283">
        <v>59</v>
      </c>
      <c r="M2283">
        <v>4.62</v>
      </c>
      <c r="N2283">
        <v>114.3</v>
      </c>
      <c r="O2283">
        <v>1.01</v>
      </c>
      <c r="P2283">
        <v>2</v>
      </c>
      <c r="Q2283">
        <v>0.75</v>
      </c>
      <c r="R2283">
        <v>452</v>
      </c>
      <c r="S2283">
        <v>6.43</v>
      </c>
      <c r="T2283">
        <v>0.55000000000000004</v>
      </c>
      <c r="U2283" s="1">
        <v>45645</v>
      </c>
      <c r="V2283">
        <v>205.71</v>
      </c>
      <c r="W2283">
        <v>0.60499999999999998</v>
      </c>
      <c r="X2283" t="str">
        <f>IF(WarehouseData[[#This Row],[stock_level]]&lt;=WarehouseData[[#This Row],[reorder_point]],"Low Stock","Sufficient Stock")</f>
        <v>Sufficient Stock</v>
      </c>
      <c r="Y2283">
        <f>WarehouseData[[#This Row],[daily_demand]]*WarehouseData[[#This Row],[lead_time_days]]</f>
        <v>105.75</v>
      </c>
      <c r="Z2283" t="str">
        <f>IF(WarehouseData[[#This Row],[stock_level]]&lt;=WarehouseData[[#This Row],[Demand During Lead Time]],"At Risk","Safe")</f>
        <v>Safe</v>
      </c>
      <c r="AA2283">
        <f>WarehouseData[[#This Row],[stock_level]]/WarehouseData[[#This Row],[daily_demand]]</f>
        <v>22.836879432624116</v>
      </c>
      <c r="AB2283">
        <f>WarehouseData[[#This Row],[stock_level]]*WarehouseData[[#This Row],[unit_price]]</f>
        <v>55206.9</v>
      </c>
      <c r="AC2283">
        <f>WarehouseData[[#This Row],[stock_level]]*WarehouseData[[#This Row],[holding_cost_per_unit_day]]*30</f>
        <v>14634.9</v>
      </c>
      <c r="AD2283" t="str">
        <f>IF(WarehouseData[[#This Row],[order_fulfillment_rate]]&gt;=0.9,"Strong",IF(WarehouseData[[#This Row],[order_fulfillment_rate]]&gt;=0.8,"Moderate","Needs Attention"))</f>
        <v>Needs Attention</v>
      </c>
      <c r="AE2283" t="str">
        <f>IF(WarehouseData[[#This Row],[picking_time_seconds]]&gt;120,"Slow",IF(WarehouseData[[#This Row],[picking_time_seconds]]&gt;=60,"Average","Fast"))</f>
        <v>Fast</v>
      </c>
    </row>
    <row r="2284" spans="1:31" x14ac:dyDescent="0.25">
      <c r="A2284" t="s">
        <v>2422</v>
      </c>
      <c r="B2284" t="s">
        <v>40</v>
      </c>
      <c r="C2284">
        <v>132</v>
      </c>
      <c r="D2284">
        <v>69</v>
      </c>
      <c r="E2284">
        <v>9</v>
      </c>
      <c r="F2284">
        <v>8</v>
      </c>
      <c r="G2284">
        <v>33.96</v>
      </c>
      <c r="H2284">
        <v>6.74</v>
      </c>
      <c r="I2284">
        <v>0.79</v>
      </c>
      <c r="J2284" t="s">
        <v>86</v>
      </c>
      <c r="K2284" t="s">
        <v>46</v>
      </c>
      <c r="L2284">
        <v>84</v>
      </c>
      <c r="M2284">
        <v>2.65</v>
      </c>
      <c r="N2284">
        <v>118.9</v>
      </c>
      <c r="O2284">
        <v>0.35</v>
      </c>
      <c r="P2284">
        <v>6</v>
      </c>
      <c r="Q2284">
        <v>0.84</v>
      </c>
      <c r="R2284">
        <v>801</v>
      </c>
      <c r="S2284">
        <v>13.1</v>
      </c>
      <c r="T2284">
        <v>0.62</v>
      </c>
      <c r="U2284" s="1">
        <v>45443</v>
      </c>
      <c r="V2284">
        <v>187.38</v>
      </c>
      <c r="W2284">
        <v>0.71199999999999997</v>
      </c>
      <c r="X2284" t="str">
        <f>IF(WarehouseData[[#This Row],[stock_level]]&lt;=WarehouseData[[#This Row],[reorder_point]],"Low Stock","Sufficient Stock")</f>
        <v>Sufficient Stock</v>
      </c>
      <c r="Y2284">
        <f>WarehouseData[[#This Row],[daily_demand]]*WarehouseData[[#This Row],[lead_time_days]]</f>
        <v>271.68</v>
      </c>
      <c r="Z2284" t="str">
        <f>IF(WarehouseData[[#This Row],[stock_level]]&lt;=WarehouseData[[#This Row],[Demand During Lead Time]],"At Risk","Safe")</f>
        <v>At Risk</v>
      </c>
      <c r="AA2284">
        <f>WarehouseData[[#This Row],[stock_level]]/WarehouseData[[#This Row],[daily_demand]]</f>
        <v>3.8869257950530036</v>
      </c>
      <c r="AB2284">
        <f>WarehouseData[[#This Row],[stock_level]]*WarehouseData[[#This Row],[unit_price]]</f>
        <v>15694.800000000001</v>
      </c>
      <c r="AC2284">
        <f>WarehouseData[[#This Row],[stock_level]]*WarehouseData[[#This Row],[holding_cost_per_unit_day]]*30</f>
        <v>1385.9999999999998</v>
      </c>
      <c r="AD2284" t="str">
        <f>IF(WarehouseData[[#This Row],[order_fulfillment_rate]]&gt;=0.9,"Strong",IF(WarehouseData[[#This Row],[order_fulfillment_rate]]&gt;=0.8,"Moderate","Needs Attention"))</f>
        <v>Moderate</v>
      </c>
      <c r="AE2284" t="str">
        <f>IF(WarehouseData[[#This Row],[picking_time_seconds]]&gt;120,"Slow",IF(WarehouseData[[#This Row],[picking_time_seconds]]&gt;=60,"Average","Fast"))</f>
        <v>Average</v>
      </c>
    </row>
    <row r="2285" spans="1:31" x14ac:dyDescent="0.25">
      <c r="A2285" t="s">
        <v>2423</v>
      </c>
      <c r="B2285" t="s">
        <v>73</v>
      </c>
      <c r="C2285">
        <v>290</v>
      </c>
      <c r="D2285">
        <v>67</v>
      </c>
      <c r="E2285">
        <v>6</v>
      </c>
      <c r="F2285">
        <v>9</v>
      </c>
      <c r="G2285">
        <v>39.43</v>
      </c>
      <c r="H2285">
        <v>7.57</v>
      </c>
      <c r="I2285">
        <v>0.17</v>
      </c>
      <c r="J2285" t="s">
        <v>131</v>
      </c>
      <c r="K2285" t="s">
        <v>38</v>
      </c>
      <c r="L2285">
        <v>20</v>
      </c>
      <c r="M2285">
        <v>4.5999999999999996</v>
      </c>
      <c r="N2285">
        <v>99.15</v>
      </c>
      <c r="O2285">
        <v>0.45</v>
      </c>
      <c r="P2285">
        <v>0</v>
      </c>
      <c r="Q2285">
        <v>0.85</v>
      </c>
      <c r="R2285">
        <v>398</v>
      </c>
      <c r="S2285">
        <v>11.88</v>
      </c>
      <c r="T2285">
        <v>0.88</v>
      </c>
      <c r="U2285" s="1">
        <v>45396</v>
      </c>
      <c r="V2285">
        <v>218.76</v>
      </c>
      <c r="W2285">
        <v>0.85899999999999999</v>
      </c>
      <c r="X2285" t="str">
        <f>IF(WarehouseData[[#This Row],[stock_level]]&lt;=WarehouseData[[#This Row],[reorder_point]],"Low Stock","Sufficient Stock")</f>
        <v>Sufficient Stock</v>
      </c>
      <c r="Y2285">
        <f>WarehouseData[[#This Row],[daily_demand]]*WarehouseData[[#This Row],[lead_time_days]]</f>
        <v>354.87</v>
      </c>
      <c r="Z2285" t="str">
        <f>IF(WarehouseData[[#This Row],[stock_level]]&lt;=WarehouseData[[#This Row],[Demand During Lead Time]],"At Risk","Safe")</f>
        <v>At Risk</v>
      </c>
      <c r="AA2285">
        <f>WarehouseData[[#This Row],[stock_level]]/WarehouseData[[#This Row],[daily_demand]]</f>
        <v>7.3548059852903878</v>
      </c>
      <c r="AB2285">
        <f>WarehouseData[[#This Row],[stock_level]]*WarehouseData[[#This Row],[unit_price]]</f>
        <v>28753.5</v>
      </c>
      <c r="AC2285">
        <f>WarehouseData[[#This Row],[stock_level]]*WarehouseData[[#This Row],[holding_cost_per_unit_day]]*30</f>
        <v>3915</v>
      </c>
      <c r="AD2285" t="str">
        <f>IF(WarehouseData[[#This Row],[order_fulfillment_rate]]&gt;=0.9,"Strong",IF(WarehouseData[[#This Row],[order_fulfillment_rate]]&gt;=0.8,"Moderate","Needs Attention"))</f>
        <v>Moderate</v>
      </c>
      <c r="AE2285" t="str">
        <f>IF(WarehouseData[[#This Row],[picking_time_seconds]]&gt;120,"Slow",IF(WarehouseData[[#This Row],[picking_time_seconds]]&gt;=60,"Average","Fast"))</f>
        <v>Fast</v>
      </c>
    </row>
    <row r="2286" spans="1:31" x14ac:dyDescent="0.25">
      <c r="A2286" t="s">
        <v>2424</v>
      </c>
      <c r="B2286" t="s">
        <v>36</v>
      </c>
      <c r="C2286">
        <v>182</v>
      </c>
      <c r="D2286">
        <v>58</v>
      </c>
      <c r="E2286">
        <v>6</v>
      </c>
      <c r="F2286">
        <v>6</v>
      </c>
      <c r="G2286">
        <v>33.68</v>
      </c>
      <c r="H2286">
        <v>4.8099999999999996</v>
      </c>
      <c r="I2286">
        <v>0.69</v>
      </c>
      <c r="J2286" t="s">
        <v>86</v>
      </c>
      <c r="K2286" t="s">
        <v>52</v>
      </c>
      <c r="L2286">
        <v>149</v>
      </c>
      <c r="M2286">
        <v>4.18</v>
      </c>
      <c r="N2286">
        <v>151.11000000000001</v>
      </c>
      <c r="O2286">
        <v>1.01</v>
      </c>
      <c r="P2286">
        <v>7</v>
      </c>
      <c r="Q2286">
        <v>0.84</v>
      </c>
      <c r="R2286">
        <v>422</v>
      </c>
      <c r="S2286">
        <v>4.3899999999999997</v>
      </c>
      <c r="T2286">
        <v>0.82</v>
      </c>
      <c r="U2286" s="1">
        <v>45569</v>
      </c>
      <c r="V2286">
        <v>221.44</v>
      </c>
      <c r="W2286">
        <v>0.55000000000000004</v>
      </c>
      <c r="X2286" t="str">
        <f>IF(WarehouseData[[#This Row],[stock_level]]&lt;=WarehouseData[[#This Row],[reorder_point]],"Low Stock","Sufficient Stock")</f>
        <v>Sufficient Stock</v>
      </c>
      <c r="Y2286">
        <f>WarehouseData[[#This Row],[daily_demand]]*WarehouseData[[#This Row],[lead_time_days]]</f>
        <v>202.07999999999998</v>
      </c>
      <c r="Z2286" t="str">
        <f>IF(WarehouseData[[#This Row],[stock_level]]&lt;=WarehouseData[[#This Row],[Demand During Lead Time]],"At Risk","Safe")</f>
        <v>At Risk</v>
      </c>
      <c r="AA2286">
        <f>WarehouseData[[#This Row],[stock_level]]/WarehouseData[[#This Row],[daily_demand]]</f>
        <v>5.4038004750593824</v>
      </c>
      <c r="AB2286">
        <f>WarehouseData[[#This Row],[stock_level]]*WarehouseData[[#This Row],[unit_price]]</f>
        <v>27502.020000000004</v>
      </c>
      <c r="AC2286">
        <f>WarehouseData[[#This Row],[stock_level]]*WarehouseData[[#This Row],[holding_cost_per_unit_day]]*30</f>
        <v>5514.5999999999995</v>
      </c>
      <c r="AD2286" t="str">
        <f>IF(WarehouseData[[#This Row],[order_fulfillment_rate]]&gt;=0.9,"Strong",IF(WarehouseData[[#This Row],[order_fulfillment_rate]]&gt;=0.8,"Moderate","Needs Attention"))</f>
        <v>Moderate</v>
      </c>
      <c r="AE2286" t="str">
        <f>IF(WarehouseData[[#This Row],[picking_time_seconds]]&gt;120,"Slow",IF(WarehouseData[[#This Row],[picking_time_seconds]]&gt;=60,"Average","Fast"))</f>
        <v>Slow</v>
      </c>
    </row>
    <row r="2287" spans="1:31" x14ac:dyDescent="0.25">
      <c r="A2287" t="s">
        <v>2425</v>
      </c>
      <c r="B2287" t="s">
        <v>32</v>
      </c>
      <c r="C2287">
        <v>479</v>
      </c>
      <c r="D2287">
        <v>51</v>
      </c>
      <c r="E2287">
        <v>6</v>
      </c>
      <c r="F2287">
        <v>3</v>
      </c>
      <c r="G2287">
        <v>45.09</v>
      </c>
      <c r="H2287">
        <v>1.29</v>
      </c>
      <c r="I2287">
        <v>0.34</v>
      </c>
      <c r="J2287" t="s">
        <v>131</v>
      </c>
      <c r="K2287" t="s">
        <v>46</v>
      </c>
      <c r="L2287">
        <v>177</v>
      </c>
      <c r="M2287">
        <v>4.93</v>
      </c>
      <c r="N2287">
        <v>199.97</v>
      </c>
      <c r="O2287">
        <v>1.75</v>
      </c>
      <c r="P2287">
        <v>0</v>
      </c>
      <c r="Q2287">
        <v>0.94</v>
      </c>
      <c r="R2287">
        <v>688</v>
      </c>
      <c r="S2287">
        <v>1.67</v>
      </c>
      <c r="T2287">
        <v>0.9</v>
      </c>
      <c r="U2287" s="1">
        <v>45308</v>
      </c>
      <c r="V2287">
        <v>95.48</v>
      </c>
      <c r="W2287">
        <v>0.61499999999999999</v>
      </c>
      <c r="X2287" t="str">
        <f>IF(WarehouseData[[#This Row],[stock_level]]&lt;=WarehouseData[[#This Row],[reorder_point]],"Low Stock","Sufficient Stock")</f>
        <v>Sufficient Stock</v>
      </c>
      <c r="Y2287">
        <f>WarehouseData[[#This Row],[daily_demand]]*WarehouseData[[#This Row],[lead_time_days]]</f>
        <v>135.27000000000001</v>
      </c>
      <c r="Z2287" t="str">
        <f>IF(WarehouseData[[#This Row],[stock_level]]&lt;=WarehouseData[[#This Row],[Demand During Lead Time]],"At Risk","Safe")</f>
        <v>Safe</v>
      </c>
      <c r="AA2287">
        <f>WarehouseData[[#This Row],[stock_level]]/WarehouseData[[#This Row],[daily_demand]]</f>
        <v>10.623198048347748</v>
      </c>
      <c r="AB2287">
        <f>WarehouseData[[#This Row],[stock_level]]*WarehouseData[[#This Row],[unit_price]]</f>
        <v>95785.63</v>
      </c>
      <c r="AC2287">
        <f>WarehouseData[[#This Row],[stock_level]]*WarehouseData[[#This Row],[holding_cost_per_unit_day]]*30</f>
        <v>25147.5</v>
      </c>
      <c r="AD2287" t="str">
        <f>IF(WarehouseData[[#This Row],[order_fulfillment_rate]]&gt;=0.9,"Strong",IF(WarehouseData[[#This Row],[order_fulfillment_rate]]&gt;=0.8,"Moderate","Needs Attention"))</f>
        <v>Strong</v>
      </c>
      <c r="AE2287" t="str">
        <f>IF(WarehouseData[[#This Row],[picking_time_seconds]]&gt;120,"Slow",IF(WarehouseData[[#This Row],[picking_time_seconds]]&gt;=60,"Average","Fast"))</f>
        <v>Slow</v>
      </c>
    </row>
    <row r="2288" spans="1:31" x14ac:dyDescent="0.25">
      <c r="A2288" t="s">
        <v>2426</v>
      </c>
      <c r="B2288" t="s">
        <v>36</v>
      </c>
      <c r="C2288">
        <v>124</v>
      </c>
      <c r="D2288">
        <v>85</v>
      </c>
      <c r="E2288">
        <v>13</v>
      </c>
      <c r="F2288">
        <v>6</v>
      </c>
      <c r="G2288">
        <v>14.97</v>
      </c>
      <c r="H2288">
        <v>7.83</v>
      </c>
      <c r="I2288">
        <v>0.32</v>
      </c>
      <c r="J2288" t="s">
        <v>221</v>
      </c>
      <c r="K2288" t="s">
        <v>34</v>
      </c>
      <c r="L2288">
        <v>57</v>
      </c>
      <c r="M2288">
        <v>4.76</v>
      </c>
      <c r="N2288">
        <v>145</v>
      </c>
      <c r="O2288">
        <v>1.7</v>
      </c>
      <c r="P2288">
        <v>6</v>
      </c>
      <c r="Q2288">
        <v>0.87</v>
      </c>
      <c r="R2288">
        <v>554</v>
      </c>
      <c r="S2288">
        <v>8.92</v>
      </c>
      <c r="T2288">
        <v>0.66</v>
      </c>
      <c r="U2288" s="1">
        <v>45475</v>
      </c>
      <c r="V2288">
        <v>77.489999999999995</v>
      </c>
      <c r="W2288">
        <v>0.53500000000000003</v>
      </c>
      <c r="X2288" t="str">
        <f>IF(WarehouseData[[#This Row],[stock_level]]&lt;=WarehouseData[[#This Row],[reorder_point]],"Low Stock","Sufficient Stock")</f>
        <v>Sufficient Stock</v>
      </c>
      <c r="Y2288">
        <f>WarehouseData[[#This Row],[daily_demand]]*WarehouseData[[#This Row],[lead_time_days]]</f>
        <v>89.820000000000007</v>
      </c>
      <c r="Z2288" t="str">
        <f>IF(WarehouseData[[#This Row],[stock_level]]&lt;=WarehouseData[[#This Row],[Demand During Lead Time]],"At Risk","Safe")</f>
        <v>Safe</v>
      </c>
      <c r="AA2288">
        <f>WarehouseData[[#This Row],[stock_level]]/WarehouseData[[#This Row],[daily_demand]]</f>
        <v>8.2832331329325317</v>
      </c>
      <c r="AB2288">
        <f>WarehouseData[[#This Row],[stock_level]]*WarehouseData[[#This Row],[unit_price]]</f>
        <v>17980</v>
      </c>
      <c r="AC2288">
        <f>WarehouseData[[#This Row],[stock_level]]*WarehouseData[[#This Row],[holding_cost_per_unit_day]]*30</f>
        <v>6323.9999999999991</v>
      </c>
      <c r="AD2288" t="str">
        <f>IF(WarehouseData[[#This Row],[order_fulfillment_rate]]&gt;=0.9,"Strong",IF(WarehouseData[[#This Row],[order_fulfillment_rate]]&gt;=0.8,"Moderate","Needs Attention"))</f>
        <v>Moderate</v>
      </c>
      <c r="AE2288" t="str">
        <f>IF(WarehouseData[[#This Row],[picking_time_seconds]]&gt;120,"Slow",IF(WarehouseData[[#This Row],[picking_time_seconds]]&gt;=60,"Average","Fast"))</f>
        <v>Fast</v>
      </c>
    </row>
    <row r="2289" spans="1:31" x14ac:dyDescent="0.25">
      <c r="A2289" t="s">
        <v>2427</v>
      </c>
      <c r="B2289" t="s">
        <v>48</v>
      </c>
      <c r="C2289">
        <v>200</v>
      </c>
      <c r="D2289">
        <v>75</v>
      </c>
      <c r="E2289">
        <v>7</v>
      </c>
      <c r="F2289">
        <v>7</v>
      </c>
      <c r="G2289">
        <v>45.13</v>
      </c>
      <c r="H2289">
        <v>0.95</v>
      </c>
      <c r="I2289">
        <v>0.33</v>
      </c>
      <c r="J2289" t="s">
        <v>338</v>
      </c>
      <c r="K2289" t="s">
        <v>46</v>
      </c>
      <c r="L2289">
        <v>130</v>
      </c>
      <c r="M2289">
        <v>3.68</v>
      </c>
      <c r="N2289">
        <v>138.83000000000001</v>
      </c>
      <c r="O2289">
        <v>1.93</v>
      </c>
      <c r="P2289">
        <v>5</v>
      </c>
      <c r="Q2289">
        <v>0.97</v>
      </c>
      <c r="R2289">
        <v>340</v>
      </c>
      <c r="S2289">
        <v>12.78</v>
      </c>
      <c r="T2289">
        <v>0.69</v>
      </c>
      <c r="U2289" s="1">
        <v>45523</v>
      </c>
      <c r="V2289">
        <v>157.65</v>
      </c>
      <c r="W2289">
        <v>0.60899999999999999</v>
      </c>
      <c r="X2289" t="str">
        <f>IF(WarehouseData[[#This Row],[stock_level]]&lt;=WarehouseData[[#This Row],[reorder_point]],"Low Stock","Sufficient Stock")</f>
        <v>Sufficient Stock</v>
      </c>
      <c r="Y2289">
        <f>WarehouseData[[#This Row],[daily_demand]]*WarehouseData[[#This Row],[lead_time_days]]</f>
        <v>315.91000000000003</v>
      </c>
      <c r="Z2289" t="str">
        <f>IF(WarehouseData[[#This Row],[stock_level]]&lt;=WarehouseData[[#This Row],[Demand During Lead Time]],"At Risk","Safe")</f>
        <v>At Risk</v>
      </c>
      <c r="AA2289">
        <f>WarehouseData[[#This Row],[stock_level]]/WarehouseData[[#This Row],[daily_demand]]</f>
        <v>4.4316419233325943</v>
      </c>
      <c r="AB2289">
        <f>WarehouseData[[#This Row],[stock_level]]*WarehouseData[[#This Row],[unit_price]]</f>
        <v>27766.000000000004</v>
      </c>
      <c r="AC2289">
        <f>WarehouseData[[#This Row],[stock_level]]*WarehouseData[[#This Row],[holding_cost_per_unit_day]]*30</f>
        <v>11580</v>
      </c>
      <c r="AD2289" t="str">
        <f>IF(WarehouseData[[#This Row],[order_fulfillment_rate]]&gt;=0.9,"Strong",IF(WarehouseData[[#This Row],[order_fulfillment_rate]]&gt;=0.8,"Moderate","Needs Attention"))</f>
        <v>Strong</v>
      </c>
      <c r="AE2289" t="str">
        <f>IF(WarehouseData[[#This Row],[picking_time_seconds]]&gt;120,"Slow",IF(WarehouseData[[#This Row],[picking_time_seconds]]&gt;=60,"Average","Fast"))</f>
        <v>Slow</v>
      </c>
    </row>
    <row r="2290" spans="1:31" x14ac:dyDescent="0.25">
      <c r="A2290" t="s">
        <v>2428</v>
      </c>
      <c r="B2290" t="s">
        <v>32</v>
      </c>
      <c r="C2290">
        <v>63</v>
      </c>
      <c r="D2290">
        <v>20</v>
      </c>
      <c r="E2290">
        <v>7</v>
      </c>
      <c r="F2290">
        <v>7</v>
      </c>
      <c r="G2290">
        <v>7.41</v>
      </c>
      <c r="H2290">
        <v>7.32</v>
      </c>
      <c r="I2290">
        <v>0.92</v>
      </c>
      <c r="J2290" t="s">
        <v>259</v>
      </c>
      <c r="K2290" t="s">
        <v>38</v>
      </c>
      <c r="L2290">
        <v>65</v>
      </c>
      <c r="M2290">
        <v>4.42</v>
      </c>
      <c r="N2290">
        <v>134.34</v>
      </c>
      <c r="O2290">
        <v>1.02</v>
      </c>
      <c r="P2290">
        <v>9</v>
      </c>
      <c r="Q2290">
        <v>0.85</v>
      </c>
      <c r="R2290">
        <v>953</v>
      </c>
      <c r="S2290">
        <v>4.46</v>
      </c>
      <c r="T2290">
        <v>0.54</v>
      </c>
      <c r="U2290" s="1">
        <v>45344</v>
      </c>
      <c r="V2290">
        <v>52.87</v>
      </c>
      <c r="W2290">
        <v>0.45500000000000002</v>
      </c>
      <c r="X2290" t="str">
        <f>IF(WarehouseData[[#This Row],[stock_level]]&lt;=WarehouseData[[#This Row],[reorder_point]],"Low Stock","Sufficient Stock")</f>
        <v>Sufficient Stock</v>
      </c>
      <c r="Y2290">
        <f>WarehouseData[[#This Row],[daily_demand]]*WarehouseData[[#This Row],[lead_time_days]]</f>
        <v>51.870000000000005</v>
      </c>
      <c r="Z2290" t="str">
        <f>IF(WarehouseData[[#This Row],[stock_level]]&lt;=WarehouseData[[#This Row],[Demand During Lead Time]],"At Risk","Safe")</f>
        <v>Safe</v>
      </c>
      <c r="AA2290">
        <f>WarehouseData[[#This Row],[stock_level]]/WarehouseData[[#This Row],[daily_demand]]</f>
        <v>8.5020242914979747</v>
      </c>
      <c r="AB2290">
        <f>WarehouseData[[#This Row],[stock_level]]*WarehouseData[[#This Row],[unit_price]]</f>
        <v>8463.42</v>
      </c>
      <c r="AC2290">
        <f>WarehouseData[[#This Row],[stock_level]]*WarehouseData[[#This Row],[holding_cost_per_unit_day]]*30</f>
        <v>1927.8000000000002</v>
      </c>
      <c r="AD2290" t="str">
        <f>IF(WarehouseData[[#This Row],[order_fulfillment_rate]]&gt;=0.9,"Strong",IF(WarehouseData[[#This Row],[order_fulfillment_rate]]&gt;=0.8,"Moderate","Needs Attention"))</f>
        <v>Moderate</v>
      </c>
      <c r="AE2290" t="str">
        <f>IF(WarehouseData[[#This Row],[picking_time_seconds]]&gt;120,"Slow",IF(WarehouseData[[#This Row],[picking_time_seconds]]&gt;=60,"Average","Fast"))</f>
        <v>Average</v>
      </c>
    </row>
    <row r="2291" spans="1:31" x14ac:dyDescent="0.25">
      <c r="A2291" t="s">
        <v>2429</v>
      </c>
      <c r="B2291" t="s">
        <v>40</v>
      </c>
      <c r="C2291">
        <v>301</v>
      </c>
      <c r="D2291">
        <v>99</v>
      </c>
      <c r="E2291">
        <v>10</v>
      </c>
      <c r="F2291">
        <v>9</v>
      </c>
      <c r="G2291">
        <v>33.32</v>
      </c>
      <c r="H2291">
        <v>9.15</v>
      </c>
      <c r="I2291">
        <v>0.55000000000000004</v>
      </c>
      <c r="J2291" t="s">
        <v>236</v>
      </c>
      <c r="K2291" t="s">
        <v>38</v>
      </c>
      <c r="L2291">
        <v>17</v>
      </c>
      <c r="M2291">
        <v>3.87</v>
      </c>
      <c r="N2291">
        <v>142.09</v>
      </c>
      <c r="O2291">
        <v>1.1499999999999999</v>
      </c>
      <c r="P2291">
        <v>7</v>
      </c>
      <c r="Q2291">
        <v>0.77</v>
      </c>
      <c r="R2291">
        <v>160</v>
      </c>
      <c r="S2291">
        <v>11.74</v>
      </c>
      <c r="T2291">
        <v>0.77</v>
      </c>
      <c r="U2291" s="1">
        <v>45607</v>
      </c>
      <c r="V2291">
        <v>147.66999999999999</v>
      </c>
      <c r="W2291">
        <v>0.61</v>
      </c>
      <c r="X2291" t="str">
        <f>IF(WarehouseData[[#This Row],[stock_level]]&lt;=WarehouseData[[#This Row],[reorder_point]],"Low Stock","Sufficient Stock")</f>
        <v>Sufficient Stock</v>
      </c>
      <c r="Y2291">
        <f>WarehouseData[[#This Row],[daily_demand]]*WarehouseData[[#This Row],[lead_time_days]]</f>
        <v>299.88</v>
      </c>
      <c r="Z2291" t="str">
        <f>IF(WarehouseData[[#This Row],[stock_level]]&lt;=WarehouseData[[#This Row],[Demand During Lead Time]],"At Risk","Safe")</f>
        <v>Safe</v>
      </c>
      <c r="AA2291">
        <f>WarehouseData[[#This Row],[stock_level]]/WarehouseData[[#This Row],[daily_demand]]</f>
        <v>9.0336134453781511</v>
      </c>
      <c r="AB2291">
        <f>WarehouseData[[#This Row],[stock_level]]*WarehouseData[[#This Row],[unit_price]]</f>
        <v>42769.090000000004</v>
      </c>
      <c r="AC2291">
        <f>WarehouseData[[#This Row],[stock_level]]*WarehouseData[[#This Row],[holding_cost_per_unit_day]]*30</f>
        <v>10384.5</v>
      </c>
      <c r="AD2291" t="str">
        <f>IF(WarehouseData[[#This Row],[order_fulfillment_rate]]&gt;=0.9,"Strong",IF(WarehouseData[[#This Row],[order_fulfillment_rate]]&gt;=0.8,"Moderate","Needs Attention"))</f>
        <v>Needs Attention</v>
      </c>
      <c r="AE2291" t="str">
        <f>IF(WarehouseData[[#This Row],[picking_time_seconds]]&gt;120,"Slow",IF(WarehouseData[[#This Row],[picking_time_seconds]]&gt;=60,"Average","Fast"))</f>
        <v>Fast</v>
      </c>
    </row>
    <row r="2292" spans="1:31" x14ac:dyDescent="0.25">
      <c r="A2292" t="s">
        <v>2430</v>
      </c>
      <c r="B2292" t="s">
        <v>32</v>
      </c>
      <c r="C2292">
        <v>194</v>
      </c>
      <c r="D2292">
        <v>27</v>
      </c>
      <c r="E2292">
        <v>11</v>
      </c>
      <c r="F2292">
        <v>8</v>
      </c>
      <c r="G2292">
        <v>27.83</v>
      </c>
      <c r="H2292">
        <v>3.8</v>
      </c>
      <c r="I2292">
        <v>0.7</v>
      </c>
      <c r="J2292" t="s">
        <v>62</v>
      </c>
      <c r="K2292" t="s">
        <v>52</v>
      </c>
      <c r="L2292">
        <v>23</v>
      </c>
      <c r="M2292">
        <v>3.67</v>
      </c>
      <c r="N2292">
        <v>75</v>
      </c>
      <c r="O2292">
        <v>1.66</v>
      </c>
      <c r="P2292">
        <v>5</v>
      </c>
      <c r="Q2292">
        <v>0.74</v>
      </c>
      <c r="R2292">
        <v>604</v>
      </c>
      <c r="S2292">
        <v>6.8</v>
      </c>
      <c r="T2292">
        <v>0.36</v>
      </c>
      <c r="U2292" s="1">
        <v>45637</v>
      </c>
      <c r="V2292">
        <v>210.98</v>
      </c>
      <c r="W2292">
        <v>0.44500000000000001</v>
      </c>
      <c r="X2292" t="str">
        <f>IF(WarehouseData[[#This Row],[stock_level]]&lt;=WarehouseData[[#This Row],[reorder_point]],"Low Stock","Sufficient Stock")</f>
        <v>Sufficient Stock</v>
      </c>
      <c r="Y2292">
        <f>WarehouseData[[#This Row],[daily_demand]]*WarehouseData[[#This Row],[lead_time_days]]</f>
        <v>222.64</v>
      </c>
      <c r="Z2292" t="str">
        <f>IF(WarehouseData[[#This Row],[stock_level]]&lt;=WarehouseData[[#This Row],[Demand During Lead Time]],"At Risk","Safe")</f>
        <v>At Risk</v>
      </c>
      <c r="AA2292">
        <f>WarehouseData[[#This Row],[stock_level]]/WarehouseData[[#This Row],[daily_demand]]</f>
        <v>6.9708947179302916</v>
      </c>
      <c r="AB2292">
        <f>WarehouseData[[#This Row],[stock_level]]*WarehouseData[[#This Row],[unit_price]]</f>
        <v>14550</v>
      </c>
      <c r="AC2292">
        <f>WarehouseData[[#This Row],[stock_level]]*WarehouseData[[#This Row],[holding_cost_per_unit_day]]*30</f>
        <v>9661.1999999999989</v>
      </c>
      <c r="AD2292" t="str">
        <f>IF(WarehouseData[[#This Row],[order_fulfillment_rate]]&gt;=0.9,"Strong",IF(WarehouseData[[#This Row],[order_fulfillment_rate]]&gt;=0.8,"Moderate","Needs Attention"))</f>
        <v>Needs Attention</v>
      </c>
      <c r="AE2292" t="str">
        <f>IF(WarehouseData[[#This Row],[picking_time_seconds]]&gt;120,"Slow",IF(WarehouseData[[#This Row],[picking_time_seconds]]&gt;=60,"Average","Fast"))</f>
        <v>Fast</v>
      </c>
    </row>
    <row r="2293" spans="1:31" x14ac:dyDescent="0.25">
      <c r="A2293" t="s">
        <v>2431</v>
      </c>
      <c r="B2293" t="s">
        <v>40</v>
      </c>
      <c r="C2293">
        <v>181</v>
      </c>
      <c r="D2293">
        <v>94</v>
      </c>
      <c r="E2293">
        <v>4</v>
      </c>
      <c r="F2293">
        <v>4</v>
      </c>
      <c r="G2293">
        <v>25.24</v>
      </c>
      <c r="H2293">
        <v>1.47</v>
      </c>
      <c r="I2293">
        <v>0.35</v>
      </c>
      <c r="J2293" t="s">
        <v>357</v>
      </c>
      <c r="K2293" t="s">
        <v>34</v>
      </c>
      <c r="L2293">
        <v>123</v>
      </c>
      <c r="M2293">
        <v>3.72</v>
      </c>
      <c r="N2293">
        <v>70.84</v>
      </c>
      <c r="O2293">
        <v>1.43</v>
      </c>
      <c r="P2293">
        <v>4</v>
      </c>
      <c r="Q2293">
        <v>0.96</v>
      </c>
      <c r="R2293">
        <v>552</v>
      </c>
      <c r="S2293">
        <v>5.7</v>
      </c>
      <c r="T2293">
        <v>0.57999999999999996</v>
      </c>
      <c r="U2293" s="1">
        <v>45579</v>
      </c>
      <c r="V2293">
        <v>12.15</v>
      </c>
      <c r="W2293">
        <v>0.56100000000000005</v>
      </c>
      <c r="X2293" t="str">
        <f>IF(WarehouseData[[#This Row],[stock_level]]&lt;=WarehouseData[[#This Row],[reorder_point]],"Low Stock","Sufficient Stock")</f>
        <v>Sufficient Stock</v>
      </c>
      <c r="Y2293">
        <f>WarehouseData[[#This Row],[daily_demand]]*WarehouseData[[#This Row],[lead_time_days]]</f>
        <v>100.96</v>
      </c>
      <c r="Z2293" t="str">
        <f>IF(WarehouseData[[#This Row],[stock_level]]&lt;=WarehouseData[[#This Row],[Demand During Lead Time]],"At Risk","Safe")</f>
        <v>Safe</v>
      </c>
      <c r="AA2293">
        <f>WarehouseData[[#This Row],[stock_level]]/WarehouseData[[#This Row],[daily_demand]]</f>
        <v>7.1711568938193349</v>
      </c>
      <c r="AB2293">
        <f>WarehouseData[[#This Row],[stock_level]]*WarehouseData[[#This Row],[unit_price]]</f>
        <v>12822.04</v>
      </c>
      <c r="AC2293">
        <f>WarehouseData[[#This Row],[stock_level]]*WarehouseData[[#This Row],[holding_cost_per_unit_day]]*30</f>
        <v>7764.9</v>
      </c>
      <c r="AD2293" t="str">
        <f>IF(WarehouseData[[#This Row],[order_fulfillment_rate]]&gt;=0.9,"Strong",IF(WarehouseData[[#This Row],[order_fulfillment_rate]]&gt;=0.8,"Moderate","Needs Attention"))</f>
        <v>Strong</v>
      </c>
      <c r="AE2293" t="str">
        <f>IF(WarehouseData[[#This Row],[picking_time_seconds]]&gt;120,"Slow",IF(WarehouseData[[#This Row],[picking_time_seconds]]&gt;=60,"Average","Fast"))</f>
        <v>Slow</v>
      </c>
    </row>
    <row r="2294" spans="1:31" x14ac:dyDescent="0.25">
      <c r="A2294" t="s">
        <v>2432</v>
      </c>
      <c r="B2294" t="s">
        <v>40</v>
      </c>
      <c r="C2294">
        <v>490</v>
      </c>
      <c r="D2294">
        <v>61</v>
      </c>
      <c r="E2294">
        <v>13</v>
      </c>
      <c r="F2294">
        <v>6</v>
      </c>
      <c r="G2294">
        <v>16.23</v>
      </c>
      <c r="H2294">
        <v>2.71</v>
      </c>
      <c r="I2294">
        <v>0.56999999999999995</v>
      </c>
      <c r="J2294" t="s">
        <v>283</v>
      </c>
      <c r="K2294" t="s">
        <v>38</v>
      </c>
      <c r="L2294">
        <v>63</v>
      </c>
      <c r="M2294">
        <v>3.74</v>
      </c>
      <c r="N2294">
        <v>159.02000000000001</v>
      </c>
      <c r="O2294">
        <v>0.45</v>
      </c>
      <c r="P2294">
        <v>8</v>
      </c>
      <c r="Q2294">
        <v>0.72</v>
      </c>
      <c r="R2294">
        <v>350</v>
      </c>
      <c r="S2294">
        <v>3.42</v>
      </c>
      <c r="T2294">
        <v>0.77</v>
      </c>
      <c r="U2294" s="1">
        <v>45406</v>
      </c>
      <c r="V2294">
        <v>42.23</v>
      </c>
      <c r="W2294">
        <v>0.53900000000000003</v>
      </c>
      <c r="X2294" t="str">
        <f>IF(WarehouseData[[#This Row],[stock_level]]&lt;=WarehouseData[[#This Row],[reorder_point]],"Low Stock","Sufficient Stock")</f>
        <v>Sufficient Stock</v>
      </c>
      <c r="Y2294">
        <f>WarehouseData[[#This Row],[daily_demand]]*WarehouseData[[#This Row],[lead_time_days]]</f>
        <v>97.38</v>
      </c>
      <c r="Z2294" t="str">
        <f>IF(WarehouseData[[#This Row],[stock_level]]&lt;=WarehouseData[[#This Row],[Demand During Lead Time]],"At Risk","Safe")</f>
        <v>Safe</v>
      </c>
      <c r="AA2294">
        <f>WarehouseData[[#This Row],[stock_level]]/WarehouseData[[#This Row],[daily_demand]]</f>
        <v>30.191004313000615</v>
      </c>
      <c r="AB2294">
        <f>WarehouseData[[#This Row],[stock_level]]*WarehouseData[[#This Row],[unit_price]]</f>
        <v>77919.8</v>
      </c>
      <c r="AC2294">
        <f>WarehouseData[[#This Row],[stock_level]]*WarehouseData[[#This Row],[holding_cost_per_unit_day]]*30</f>
        <v>6615</v>
      </c>
      <c r="AD2294" t="str">
        <f>IF(WarehouseData[[#This Row],[order_fulfillment_rate]]&gt;=0.9,"Strong",IF(WarehouseData[[#This Row],[order_fulfillment_rate]]&gt;=0.8,"Moderate","Needs Attention"))</f>
        <v>Needs Attention</v>
      </c>
      <c r="AE2294" t="str">
        <f>IF(WarehouseData[[#This Row],[picking_time_seconds]]&gt;120,"Slow",IF(WarehouseData[[#This Row],[picking_time_seconds]]&gt;=60,"Average","Fast"))</f>
        <v>Average</v>
      </c>
    </row>
    <row r="2295" spans="1:31" x14ac:dyDescent="0.25">
      <c r="A2295" t="s">
        <v>2433</v>
      </c>
      <c r="B2295" t="s">
        <v>32</v>
      </c>
      <c r="C2295">
        <v>370</v>
      </c>
      <c r="D2295">
        <v>55</v>
      </c>
      <c r="E2295">
        <v>9</v>
      </c>
      <c r="F2295">
        <v>5</v>
      </c>
      <c r="G2295">
        <v>25.68</v>
      </c>
      <c r="H2295">
        <v>5.84</v>
      </c>
      <c r="I2295">
        <v>0.42</v>
      </c>
      <c r="J2295" t="s">
        <v>70</v>
      </c>
      <c r="K2295" t="s">
        <v>52</v>
      </c>
      <c r="L2295">
        <v>26</v>
      </c>
      <c r="M2295">
        <v>2.21</v>
      </c>
      <c r="N2295">
        <v>20.09</v>
      </c>
      <c r="O2295">
        <v>0.86</v>
      </c>
      <c r="P2295">
        <v>3</v>
      </c>
      <c r="Q2295">
        <v>0.74</v>
      </c>
      <c r="R2295">
        <v>695</v>
      </c>
      <c r="S2295">
        <v>14.08</v>
      </c>
      <c r="T2295">
        <v>0.82</v>
      </c>
      <c r="U2295" s="1">
        <v>45623</v>
      </c>
      <c r="V2295">
        <v>289.02</v>
      </c>
      <c r="W2295">
        <v>0.754</v>
      </c>
      <c r="X2295" t="str">
        <f>IF(WarehouseData[[#This Row],[stock_level]]&lt;=WarehouseData[[#This Row],[reorder_point]],"Low Stock","Sufficient Stock")</f>
        <v>Sufficient Stock</v>
      </c>
      <c r="Y2295">
        <f>WarehouseData[[#This Row],[daily_demand]]*WarehouseData[[#This Row],[lead_time_days]]</f>
        <v>128.4</v>
      </c>
      <c r="Z2295" t="str">
        <f>IF(WarehouseData[[#This Row],[stock_level]]&lt;=WarehouseData[[#This Row],[Demand During Lead Time]],"At Risk","Safe")</f>
        <v>Safe</v>
      </c>
      <c r="AA2295">
        <f>WarehouseData[[#This Row],[stock_level]]/WarehouseData[[#This Row],[daily_demand]]</f>
        <v>14.40809968847352</v>
      </c>
      <c r="AB2295">
        <f>WarehouseData[[#This Row],[stock_level]]*WarehouseData[[#This Row],[unit_price]]</f>
        <v>7433.3</v>
      </c>
      <c r="AC2295">
        <f>WarehouseData[[#This Row],[stock_level]]*WarehouseData[[#This Row],[holding_cost_per_unit_day]]*30</f>
        <v>9546</v>
      </c>
      <c r="AD2295" t="str">
        <f>IF(WarehouseData[[#This Row],[order_fulfillment_rate]]&gt;=0.9,"Strong",IF(WarehouseData[[#This Row],[order_fulfillment_rate]]&gt;=0.8,"Moderate","Needs Attention"))</f>
        <v>Needs Attention</v>
      </c>
      <c r="AE2295" t="str">
        <f>IF(WarehouseData[[#This Row],[picking_time_seconds]]&gt;120,"Slow",IF(WarehouseData[[#This Row],[picking_time_seconds]]&gt;=60,"Average","Fast"))</f>
        <v>Fast</v>
      </c>
    </row>
    <row r="2296" spans="1:31" x14ac:dyDescent="0.25">
      <c r="A2296" t="s">
        <v>2434</v>
      </c>
      <c r="B2296" t="s">
        <v>40</v>
      </c>
      <c r="C2296">
        <v>453</v>
      </c>
      <c r="D2296">
        <v>53</v>
      </c>
      <c r="E2296">
        <v>3</v>
      </c>
      <c r="F2296">
        <v>4</v>
      </c>
      <c r="G2296">
        <v>8.93</v>
      </c>
      <c r="H2296">
        <v>9.4600000000000009</v>
      </c>
      <c r="I2296">
        <v>0.39</v>
      </c>
      <c r="J2296" t="s">
        <v>263</v>
      </c>
      <c r="K2296" t="s">
        <v>46</v>
      </c>
      <c r="L2296">
        <v>142</v>
      </c>
      <c r="M2296">
        <v>2.41</v>
      </c>
      <c r="N2296">
        <v>154.26</v>
      </c>
      <c r="O2296">
        <v>1.87</v>
      </c>
      <c r="P2296">
        <v>6</v>
      </c>
      <c r="Q2296">
        <v>0.72</v>
      </c>
      <c r="R2296">
        <v>62</v>
      </c>
      <c r="S2296">
        <v>4.16</v>
      </c>
      <c r="T2296">
        <v>0.4</v>
      </c>
      <c r="U2296" s="1">
        <v>45579</v>
      </c>
      <c r="V2296">
        <v>279.10000000000002</v>
      </c>
      <c r="W2296">
        <v>0.372</v>
      </c>
      <c r="X2296" t="str">
        <f>IF(WarehouseData[[#This Row],[stock_level]]&lt;=WarehouseData[[#This Row],[reorder_point]],"Low Stock","Sufficient Stock")</f>
        <v>Sufficient Stock</v>
      </c>
      <c r="Y2296">
        <f>WarehouseData[[#This Row],[daily_demand]]*WarehouseData[[#This Row],[lead_time_days]]</f>
        <v>35.72</v>
      </c>
      <c r="Z2296" t="str">
        <f>IF(WarehouseData[[#This Row],[stock_level]]&lt;=WarehouseData[[#This Row],[Demand During Lead Time]],"At Risk","Safe")</f>
        <v>Safe</v>
      </c>
      <c r="AA2296">
        <f>WarehouseData[[#This Row],[stock_level]]/WarehouseData[[#This Row],[daily_demand]]</f>
        <v>50.727883538633819</v>
      </c>
      <c r="AB2296">
        <f>WarehouseData[[#This Row],[stock_level]]*WarehouseData[[#This Row],[unit_price]]</f>
        <v>69879.78</v>
      </c>
      <c r="AC2296">
        <f>WarehouseData[[#This Row],[stock_level]]*WarehouseData[[#This Row],[holding_cost_per_unit_day]]*30</f>
        <v>25413.3</v>
      </c>
      <c r="AD2296" t="str">
        <f>IF(WarehouseData[[#This Row],[order_fulfillment_rate]]&gt;=0.9,"Strong",IF(WarehouseData[[#This Row],[order_fulfillment_rate]]&gt;=0.8,"Moderate","Needs Attention"))</f>
        <v>Needs Attention</v>
      </c>
      <c r="AE2296" t="str">
        <f>IF(WarehouseData[[#This Row],[picking_time_seconds]]&gt;120,"Slow",IF(WarehouseData[[#This Row],[picking_time_seconds]]&gt;=60,"Average","Fast"))</f>
        <v>Slow</v>
      </c>
    </row>
    <row r="2297" spans="1:31" x14ac:dyDescent="0.25">
      <c r="A2297" t="s">
        <v>2435</v>
      </c>
      <c r="B2297" t="s">
        <v>40</v>
      </c>
      <c r="C2297">
        <v>359</v>
      </c>
      <c r="D2297">
        <v>31</v>
      </c>
      <c r="E2297">
        <v>3</v>
      </c>
      <c r="F2297">
        <v>3</v>
      </c>
      <c r="G2297">
        <v>19.100000000000001</v>
      </c>
      <c r="H2297">
        <v>5.37</v>
      </c>
      <c r="I2297">
        <v>0.32</v>
      </c>
      <c r="J2297" t="s">
        <v>190</v>
      </c>
      <c r="K2297" t="s">
        <v>46</v>
      </c>
      <c r="L2297">
        <v>140</v>
      </c>
      <c r="M2297">
        <v>1.82</v>
      </c>
      <c r="N2297">
        <v>164.63</v>
      </c>
      <c r="O2297">
        <v>0.38</v>
      </c>
      <c r="P2297">
        <v>5</v>
      </c>
      <c r="Q2297">
        <v>0.83</v>
      </c>
      <c r="R2297">
        <v>572</v>
      </c>
      <c r="S2297">
        <v>4.91</v>
      </c>
      <c r="T2297">
        <v>0.35</v>
      </c>
      <c r="U2297" s="1">
        <v>45491</v>
      </c>
      <c r="V2297">
        <v>131.19999999999999</v>
      </c>
      <c r="W2297">
        <v>0.56299999999999994</v>
      </c>
      <c r="X2297" t="str">
        <f>IF(WarehouseData[[#This Row],[stock_level]]&lt;=WarehouseData[[#This Row],[reorder_point]],"Low Stock","Sufficient Stock")</f>
        <v>Sufficient Stock</v>
      </c>
      <c r="Y2297">
        <f>WarehouseData[[#This Row],[daily_demand]]*WarehouseData[[#This Row],[lead_time_days]]</f>
        <v>57.300000000000004</v>
      </c>
      <c r="Z2297" t="str">
        <f>IF(WarehouseData[[#This Row],[stock_level]]&lt;=WarehouseData[[#This Row],[Demand During Lead Time]],"At Risk","Safe")</f>
        <v>Safe</v>
      </c>
      <c r="AA2297">
        <f>WarehouseData[[#This Row],[stock_level]]/WarehouseData[[#This Row],[daily_demand]]</f>
        <v>18.795811518324605</v>
      </c>
      <c r="AB2297">
        <f>WarehouseData[[#This Row],[stock_level]]*WarehouseData[[#This Row],[unit_price]]</f>
        <v>59102.17</v>
      </c>
      <c r="AC2297">
        <f>WarehouseData[[#This Row],[stock_level]]*WarehouseData[[#This Row],[holding_cost_per_unit_day]]*30</f>
        <v>4092.5999999999995</v>
      </c>
      <c r="AD2297" t="str">
        <f>IF(WarehouseData[[#This Row],[order_fulfillment_rate]]&gt;=0.9,"Strong",IF(WarehouseData[[#This Row],[order_fulfillment_rate]]&gt;=0.8,"Moderate","Needs Attention"))</f>
        <v>Moderate</v>
      </c>
      <c r="AE2297" t="str">
        <f>IF(WarehouseData[[#This Row],[picking_time_seconds]]&gt;120,"Slow",IF(WarehouseData[[#This Row],[picking_time_seconds]]&gt;=60,"Average","Fast"))</f>
        <v>Slow</v>
      </c>
    </row>
    <row r="2298" spans="1:31" x14ac:dyDescent="0.25">
      <c r="A2298" t="s">
        <v>2436</v>
      </c>
      <c r="B2298" t="s">
        <v>48</v>
      </c>
      <c r="C2298">
        <v>159</v>
      </c>
      <c r="D2298">
        <v>62</v>
      </c>
      <c r="E2298">
        <v>6</v>
      </c>
      <c r="F2298">
        <v>3</v>
      </c>
      <c r="G2298">
        <v>5.84</v>
      </c>
      <c r="H2298">
        <v>1.57</v>
      </c>
      <c r="I2298">
        <v>0.47</v>
      </c>
      <c r="J2298" t="s">
        <v>156</v>
      </c>
      <c r="K2298" t="s">
        <v>38</v>
      </c>
      <c r="L2298">
        <v>18</v>
      </c>
      <c r="M2298">
        <v>1.17</v>
      </c>
      <c r="N2298">
        <v>109.1</v>
      </c>
      <c r="O2298">
        <v>0.5</v>
      </c>
      <c r="P2298">
        <v>9</v>
      </c>
      <c r="Q2298">
        <v>0.86</v>
      </c>
      <c r="R2298">
        <v>151</v>
      </c>
      <c r="S2298">
        <v>5.64</v>
      </c>
      <c r="T2298">
        <v>0.43</v>
      </c>
      <c r="U2298" s="1">
        <v>45413</v>
      </c>
      <c r="V2298">
        <v>181.11</v>
      </c>
      <c r="W2298">
        <v>0.503</v>
      </c>
      <c r="X2298" t="str">
        <f>IF(WarehouseData[[#This Row],[stock_level]]&lt;=WarehouseData[[#This Row],[reorder_point]],"Low Stock","Sufficient Stock")</f>
        <v>Sufficient Stock</v>
      </c>
      <c r="Y2298">
        <f>WarehouseData[[#This Row],[daily_demand]]*WarehouseData[[#This Row],[lead_time_days]]</f>
        <v>17.52</v>
      </c>
      <c r="Z2298" t="str">
        <f>IF(WarehouseData[[#This Row],[stock_level]]&lt;=WarehouseData[[#This Row],[Demand During Lead Time]],"At Risk","Safe")</f>
        <v>Safe</v>
      </c>
      <c r="AA2298">
        <f>WarehouseData[[#This Row],[stock_level]]/WarehouseData[[#This Row],[daily_demand]]</f>
        <v>27.226027397260275</v>
      </c>
      <c r="AB2298">
        <f>WarehouseData[[#This Row],[stock_level]]*WarehouseData[[#This Row],[unit_price]]</f>
        <v>17346.899999999998</v>
      </c>
      <c r="AC2298">
        <f>WarehouseData[[#This Row],[stock_level]]*WarehouseData[[#This Row],[holding_cost_per_unit_day]]*30</f>
        <v>2385</v>
      </c>
      <c r="AD2298" t="str">
        <f>IF(WarehouseData[[#This Row],[order_fulfillment_rate]]&gt;=0.9,"Strong",IF(WarehouseData[[#This Row],[order_fulfillment_rate]]&gt;=0.8,"Moderate","Needs Attention"))</f>
        <v>Moderate</v>
      </c>
      <c r="AE2298" t="str">
        <f>IF(WarehouseData[[#This Row],[picking_time_seconds]]&gt;120,"Slow",IF(WarehouseData[[#This Row],[picking_time_seconds]]&gt;=60,"Average","Fast"))</f>
        <v>Fast</v>
      </c>
    </row>
    <row r="2299" spans="1:31" x14ac:dyDescent="0.25">
      <c r="A2299" t="s">
        <v>2437</v>
      </c>
      <c r="B2299" t="s">
        <v>36</v>
      </c>
      <c r="C2299">
        <v>490</v>
      </c>
      <c r="D2299">
        <v>68</v>
      </c>
      <c r="E2299">
        <v>12</v>
      </c>
      <c r="F2299">
        <v>5</v>
      </c>
      <c r="G2299">
        <v>29.02</v>
      </c>
      <c r="H2299">
        <v>6.46</v>
      </c>
      <c r="I2299">
        <v>0.69</v>
      </c>
      <c r="J2299" t="s">
        <v>477</v>
      </c>
      <c r="K2299" t="s">
        <v>34</v>
      </c>
      <c r="L2299">
        <v>131</v>
      </c>
      <c r="M2299">
        <v>2.56</v>
      </c>
      <c r="N2299">
        <v>182.93</v>
      </c>
      <c r="O2299">
        <v>0.86</v>
      </c>
      <c r="P2299">
        <v>5</v>
      </c>
      <c r="Q2299">
        <v>0.71</v>
      </c>
      <c r="R2299">
        <v>246</v>
      </c>
      <c r="S2299">
        <v>4.99</v>
      </c>
      <c r="T2299">
        <v>0.94</v>
      </c>
      <c r="U2299" s="1">
        <v>45553</v>
      </c>
      <c r="V2299">
        <v>55.03</v>
      </c>
      <c r="W2299">
        <v>0.61099999999999999</v>
      </c>
      <c r="X2299" t="str">
        <f>IF(WarehouseData[[#This Row],[stock_level]]&lt;=WarehouseData[[#This Row],[reorder_point]],"Low Stock","Sufficient Stock")</f>
        <v>Sufficient Stock</v>
      </c>
      <c r="Y2299">
        <f>WarehouseData[[#This Row],[daily_demand]]*WarehouseData[[#This Row],[lead_time_days]]</f>
        <v>145.1</v>
      </c>
      <c r="Z2299" t="str">
        <f>IF(WarehouseData[[#This Row],[stock_level]]&lt;=WarehouseData[[#This Row],[Demand During Lead Time]],"At Risk","Safe")</f>
        <v>Safe</v>
      </c>
      <c r="AA2299">
        <f>WarehouseData[[#This Row],[stock_level]]/WarehouseData[[#This Row],[daily_demand]]</f>
        <v>16.884906960716748</v>
      </c>
      <c r="AB2299">
        <f>WarehouseData[[#This Row],[stock_level]]*WarehouseData[[#This Row],[unit_price]]</f>
        <v>89635.7</v>
      </c>
      <c r="AC2299">
        <f>WarehouseData[[#This Row],[stock_level]]*WarehouseData[[#This Row],[holding_cost_per_unit_day]]*30</f>
        <v>12642</v>
      </c>
      <c r="AD2299" t="str">
        <f>IF(WarehouseData[[#This Row],[order_fulfillment_rate]]&gt;=0.9,"Strong",IF(WarehouseData[[#This Row],[order_fulfillment_rate]]&gt;=0.8,"Moderate","Needs Attention"))</f>
        <v>Needs Attention</v>
      </c>
      <c r="AE2299" t="str">
        <f>IF(WarehouseData[[#This Row],[picking_time_seconds]]&gt;120,"Slow",IF(WarehouseData[[#This Row],[picking_time_seconds]]&gt;=60,"Average","Fast"))</f>
        <v>Slow</v>
      </c>
    </row>
    <row r="2300" spans="1:31" x14ac:dyDescent="0.25">
      <c r="A2300" t="s">
        <v>2438</v>
      </c>
      <c r="B2300" t="s">
        <v>36</v>
      </c>
      <c r="C2300">
        <v>151</v>
      </c>
      <c r="D2300">
        <v>39</v>
      </c>
      <c r="E2300">
        <v>9</v>
      </c>
      <c r="F2300">
        <v>2</v>
      </c>
      <c r="G2300">
        <v>5.69</v>
      </c>
      <c r="H2300">
        <v>7.46</v>
      </c>
      <c r="I2300">
        <v>0.3</v>
      </c>
      <c r="J2300" t="s">
        <v>124</v>
      </c>
      <c r="K2300" t="s">
        <v>52</v>
      </c>
      <c r="L2300">
        <v>123</v>
      </c>
      <c r="M2300">
        <v>4.55</v>
      </c>
      <c r="N2300">
        <v>99.89</v>
      </c>
      <c r="O2300">
        <v>1.89</v>
      </c>
      <c r="P2300">
        <v>4</v>
      </c>
      <c r="Q2300">
        <v>0.85</v>
      </c>
      <c r="R2300">
        <v>440</v>
      </c>
      <c r="S2300">
        <v>3.28</v>
      </c>
      <c r="T2300">
        <v>0.3</v>
      </c>
      <c r="U2300" s="1">
        <v>45648</v>
      </c>
      <c r="V2300">
        <v>105.99</v>
      </c>
      <c r="W2300">
        <v>0.40500000000000003</v>
      </c>
      <c r="X2300" t="str">
        <f>IF(WarehouseData[[#This Row],[stock_level]]&lt;=WarehouseData[[#This Row],[reorder_point]],"Low Stock","Sufficient Stock")</f>
        <v>Sufficient Stock</v>
      </c>
      <c r="Y2300">
        <f>WarehouseData[[#This Row],[daily_demand]]*WarehouseData[[#This Row],[lead_time_days]]</f>
        <v>11.38</v>
      </c>
      <c r="Z2300" t="str">
        <f>IF(WarehouseData[[#This Row],[stock_level]]&lt;=WarehouseData[[#This Row],[Demand During Lead Time]],"At Risk","Safe")</f>
        <v>Safe</v>
      </c>
      <c r="AA2300">
        <f>WarehouseData[[#This Row],[stock_level]]/WarehouseData[[#This Row],[daily_demand]]</f>
        <v>26.537785588752197</v>
      </c>
      <c r="AB2300">
        <f>WarehouseData[[#This Row],[stock_level]]*WarehouseData[[#This Row],[unit_price]]</f>
        <v>15083.39</v>
      </c>
      <c r="AC2300">
        <f>WarehouseData[[#This Row],[stock_level]]*WarehouseData[[#This Row],[holding_cost_per_unit_day]]*30</f>
        <v>8561.6999999999989</v>
      </c>
      <c r="AD2300" t="str">
        <f>IF(WarehouseData[[#This Row],[order_fulfillment_rate]]&gt;=0.9,"Strong",IF(WarehouseData[[#This Row],[order_fulfillment_rate]]&gt;=0.8,"Moderate","Needs Attention"))</f>
        <v>Moderate</v>
      </c>
      <c r="AE2300" t="str">
        <f>IF(WarehouseData[[#This Row],[picking_time_seconds]]&gt;120,"Slow",IF(WarehouseData[[#This Row],[picking_time_seconds]]&gt;=60,"Average","Fast"))</f>
        <v>Slow</v>
      </c>
    </row>
    <row r="2301" spans="1:31" x14ac:dyDescent="0.25">
      <c r="A2301" t="s">
        <v>2439</v>
      </c>
      <c r="B2301" t="s">
        <v>48</v>
      </c>
      <c r="C2301">
        <v>106</v>
      </c>
      <c r="D2301">
        <v>17</v>
      </c>
      <c r="E2301">
        <v>4</v>
      </c>
      <c r="F2301">
        <v>9</v>
      </c>
      <c r="G2301">
        <v>8.86</v>
      </c>
      <c r="H2301">
        <v>4.24</v>
      </c>
      <c r="I2301">
        <v>0.97</v>
      </c>
      <c r="J2301" t="s">
        <v>215</v>
      </c>
      <c r="K2301" t="s">
        <v>38</v>
      </c>
      <c r="L2301">
        <v>29</v>
      </c>
      <c r="M2301">
        <v>3.43</v>
      </c>
      <c r="N2301">
        <v>43.84</v>
      </c>
      <c r="O2301">
        <v>0.32</v>
      </c>
      <c r="P2301">
        <v>1</v>
      </c>
      <c r="Q2301">
        <v>0.82</v>
      </c>
      <c r="R2301">
        <v>104</v>
      </c>
      <c r="S2301">
        <v>5.96</v>
      </c>
      <c r="T2301">
        <v>0.96</v>
      </c>
      <c r="U2301" s="1">
        <v>45439</v>
      </c>
      <c r="V2301">
        <v>239.95</v>
      </c>
      <c r="W2301">
        <v>0.78300000000000003</v>
      </c>
      <c r="X2301" t="str">
        <f>IF(WarehouseData[[#This Row],[stock_level]]&lt;=WarehouseData[[#This Row],[reorder_point]],"Low Stock","Sufficient Stock")</f>
        <v>Sufficient Stock</v>
      </c>
      <c r="Y2301">
        <f>WarehouseData[[#This Row],[daily_demand]]*WarehouseData[[#This Row],[lead_time_days]]</f>
        <v>79.739999999999995</v>
      </c>
      <c r="Z2301" t="str">
        <f>IF(WarehouseData[[#This Row],[stock_level]]&lt;=WarehouseData[[#This Row],[Demand During Lead Time]],"At Risk","Safe")</f>
        <v>Safe</v>
      </c>
      <c r="AA2301">
        <f>WarehouseData[[#This Row],[stock_level]]/WarehouseData[[#This Row],[daily_demand]]</f>
        <v>11.963882618510159</v>
      </c>
      <c r="AB2301">
        <f>WarehouseData[[#This Row],[stock_level]]*WarehouseData[[#This Row],[unit_price]]</f>
        <v>4647.04</v>
      </c>
      <c r="AC2301">
        <f>WarehouseData[[#This Row],[stock_level]]*WarehouseData[[#This Row],[holding_cost_per_unit_day]]*30</f>
        <v>1017.6</v>
      </c>
      <c r="AD2301" t="str">
        <f>IF(WarehouseData[[#This Row],[order_fulfillment_rate]]&gt;=0.9,"Strong",IF(WarehouseData[[#This Row],[order_fulfillment_rate]]&gt;=0.8,"Moderate","Needs Attention"))</f>
        <v>Moderate</v>
      </c>
      <c r="AE2301" t="str">
        <f>IF(WarehouseData[[#This Row],[picking_time_seconds]]&gt;120,"Slow",IF(WarehouseData[[#This Row],[picking_time_seconds]]&gt;=60,"Average","Fast"))</f>
        <v>Fast</v>
      </c>
    </row>
    <row r="2302" spans="1:31" x14ac:dyDescent="0.25">
      <c r="A2302" t="s">
        <v>2440</v>
      </c>
      <c r="B2302" t="s">
        <v>32</v>
      </c>
      <c r="C2302">
        <v>195</v>
      </c>
      <c r="D2302">
        <v>66</v>
      </c>
      <c r="E2302">
        <v>13</v>
      </c>
      <c r="F2302">
        <v>2</v>
      </c>
      <c r="G2302">
        <v>5.19</v>
      </c>
      <c r="H2302">
        <v>7.35</v>
      </c>
      <c r="I2302">
        <v>0.21</v>
      </c>
      <c r="J2302" t="s">
        <v>265</v>
      </c>
      <c r="K2302" t="s">
        <v>52</v>
      </c>
      <c r="L2302">
        <v>92</v>
      </c>
      <c r="M2302">
        <v>0.75</v>
      </c>
      <c r="N2302">
        <v>78.67</v>
      </c>
      <c r="O2302">
        <v>1.38</v>
      </c>
      <c r="P2302">
        <v>3</v>
      </c>
      <c r="Q2302">
        <v>0.93</v>
      </c>
      <c r="R2302">
        <v>232</v>
      </c>
      <c r="S2302">
        <v>7.6</v>
      </c>
      <c r="T2302">
        <v>1</v>
      </c>
      <c r="U2302" s="1">
        <v>45646</v>
      </c>
      <c r="V2302">
        <v>258.23</v>
      </c>
      <c r="W2302">
        <v>0.68899999999999995</v>
      </c>
      <c r="X2302" t="str">
        <f>IF(WarehouseData[[#This Row],[stock_level]]&lt;=WarehouseData[[#This Row],[reorder_point]],"Low Stock","Sufficient Stock")</f>
        <v>Sufficient Stock</v>
      </c>
      <c r="Y2302">
        <f>WarehouseData[[#This Row],[daily_demand]]*WarehouseData[[#This Row],[lead_time_days]]</f>
        <v>10.38</v>
      </c>
      <c r="Z2302" t="str">
        <f>IF(WarehouseData[[#This Row],[stock_level]]&lt;=WarehouseData[[#This Row],[Demand During Lead Time]],"At Risk","Safe")</f>
        <v>Safe</v>
      </c>
      <c r="AA2302">
        <f>WarehouseData[[#This Row],[stock_level]]/WarehouseData[[#This Row],[daily_demand]]</f>
        <v>37.572254335260112</v>
      </c>
      <c r="AB2302">
        <f>WarehouseData[[#This Row],[stock_level]]*WarehouseData[[#This Row],[unit_price]]</f>
        <v>15340.65</v>
      </c>
      <c r="AC2302">
        <f>WarehouseData[[#This Row],[stock_level]]*WarehouseData[[#This Row],[holding_cost_per_unit_day]]*30</f>
        <v>8072.9999999999991</v>
      </c>
      <c r="AD2302" t="str">
        <f>IF(WarehouseData[[#This Row],[order_fulfillment_rate]]&gt;=0.9,"Strong",IF(WarehouseData[[#This Row],[order_fulfillment_rate]]&gt;=0.8,"Moderate","Needs Attention"))</f>
        <v>Strong</v>
      </c>
      <c r="AE2302" t="str">
        <f>IF(WarehouseData[[#This Row],[picking_time_seconds]]&gt;120,"Slow",IF(WarehouseData[[#This Row],[picking_time_seconds]]&gt;=60,"Average","Fast"))</f>
        <v>Average</v>
      </c>
    </row>
    <row r="2303" spans="1:31" x14ac:dyDescent="0.25">
      <c r="A2303" t="s">
        <v>2441</v>
      </c>
      <c r="B2303" t="s">
        <v>73</v>
      </c>
      <c r="C2303">
        <v>202</v>
      </c>
      <c r="D2303">
        <v>82</v>
      </c>
      <c r="E2303">
        <v>4</v>
      </c>
      <c r="F2303">
        <v>9</v>
      </c>
      <c r="G2303">
        <v>19.68</v>
      </c>
      <c r="H2303">
        <v>3.59</v>
      </c>
      <c r="I2303">
        <v>0.53</v>
      </c>
      <c r="J2303" t="s">
        <v>90</v>
      </c>
      <c r="K2303" t="s">
        <v>46</v>
      </c>
      <c r="L2303">
        <v>30</v>
      </c>
      <c r="M2303">
        <v>4.1500000000000004</v>
      </c>
      <c r="N2303">
        <v>182.11</v>
      </c>
      <c r="O2303">
        <v>0.35</v>
      </c>
      <c r="P2303">
        <v>0</v>
      </c>
      <c r="Q2303">
        <v>0.95</v>
      </c>
      <c r="R2303">
        <v>68</v>
      </c>
      <c r="S2303">
        <v>8.7200000000000006</v>
      </c>
      <c r="T2303">
        <v>0.83</v>
      </c>
      <c r="U2303" s="1">
        <v>45632</v>
      </c>
      <c r="V2303">
        <v>127.53</v>
      </c>
      <c r="W2303">
        <v>0.83699999999999997</v>
      </c>
      <c r="X2303" t="str">
        <f>IF(WarehouseData[[#This Row],[stock_level]]&lt;=WarehouseData[[#This Row],[reorder_point]],"Low Stock","Sufficient Stock")</f>
        <v>Sufficient Stock</v>
      </c>
      <c r="Y2303">
        <f>WarehouseData[[#This Row],[daily_demand]]*WarehouseData[[#This Row],[lead_time_days]]</f>
        <v>177.12</v>
      </c>
      <c r="Z2303" t="str">
        <f>IF(WarehouseData[[#This Row],[stock_level]]&lt;=WarehouseData[[#This Row],[Demand During Lead Time]],"At Risk","Safe")</f>
        <v>Safe</v>
      </c>
      <c r="AA2303">
        <f>WarehouseData[[#This Row],[stock_level]]/WarehouseData[[#This Row],[daily_demand]]</f>
        <v>10.264227642276422</v>
      </c>
      <c r="AB2303">
        <f>WarehouseData[[#This Row],[stock_level]]*WarehouseData[[#This Row],[unit_price]]</f>
        <v>36786.22</v>
      </c>
      <c r="AC2303">
        <f>WarehouseData[[#This Row],[stock_level]]*WarehouseData[[#This Row],[holding_cost_per_unit_day]]*30</f>
        <v>2120.9999999999995</v>
      </c>
      <c r="AD2303" t="str">
        <f>IF(WarehouseData[[#This Row],[order_fulfillment_rate]]&gt;=0.9,"Strong",IF(WarehouseData[[#This Row],[order_fulfillment_rate]]&gt;=0.8,"Moderate","Needs Attention"))</f>
        <v>Strong</v>
      </c>
      <c r="AE2303" t="str">
        <f>IF(WarehouseData[[#This Row],[picking_time_seconds]]&gt;120,"Slow",IF(WarehouseData[[#This Row],[picking_time_seconds]]&gt;=60,"Average","Fast"))</f>
        <v>Fast</v>
      </c>
    </row>
    <row r="2304" spans="1:31" x14ac:dyDescent="0.25">
      <c r="A2304" t="s">
        <v>2442</v>
      </c>
      <c r="B2304" t="s">
        <v>73</v>
      </c>
      <c r="C2304">
        <v>387</v>
      </c>
      <c r="D2304">
        <v>29</v>
      </c>
      <c r="E2304">
        <v>3</v>
      </c>
      <c r="F2304">
        <v>3</v>
      </c>
      <c r="G2304">
        <v>42.26</v>
      </c>
      <c r="H2304">
        <v>8</v>
      </c>
      <c r="I2304">
        <v>0.18</v>
      </c>
      <c r="J2304" t="s">
        <v>401</v>
      </c>
      <c r="K2304" t="s">
        <v>52</v>
      </c>
      <c r="L2304">
        <v>42</v>
      </c>
      <c r="M2304">
        <v>4.71</v>
      </c>
      <c r="N2304">
        <v>198.81</v>
      </c>
      <c r="O2304">
        <v>1.1000000000000001</v>
      </c>
      <c r="P2304">
        <v>8</v>
      </c>
      <c r="Q2304">
        <v>0.91</v>
      </c>
      <c r="R2304">
        <v>412</v>
      </c>
      <c r="S2304">
        <v>3.19</v>
      </c>
      <c r="T2304">
        <v>0.81</v>
      </c>
      <c r="U2304" s="1">
        <v>45316</v>
      </c>
      <c r="V2304">
        <v>100.21</v>
      </c>
      <c r="W2304">
        <v>0.51700000000000002</v>
      </c>
      <c r="X2304" t="str">
        <f>IF(WarehouseData[[#This Row],[stock_level]]&lt;=WarehouseData[[#This Row],[reorder_point]],"Low Stock","Sufficient Stock")</f>
        <v>Sufficient Stock</v>
      </c>
      <c r="Y2304">
        <f>WarehouseData[[#This Row],[daily_demand]]*WarehouseData[[#This Row],[lead_time_days]]</f>
        <v>126.78</v>
      </c>
      <c r="Z2304" t="str">
        <f>IF(WarehouseData[[#This Row],[stock_level]]&lt;=WarehouseData[[#This Row],[Demand During Lead Time]],"At Risk","Safe")</f>
        <v>Safe</v>
      </c>
      <c r="AA2304">
        <f>WarehouseData[[#This Row],[stock_level]]/WarehouseData[[#This Row],[daily_demand]]</f>
        <v>9.1575958353052531</v>
      </c>
      <c r="AB2304">
        <f>WarehouseData[[#This Row],[stock_level]]*WarehouseData[[#This Row],[unit_price]]</f>
        <v>76939.47</v>
      </c>
      <c r="AC2304">
        <f>WarehouseData[[#This Row],[stock_level]]*WarehouseData[[#This Row],[holding_cost_per_unit_day]]*30</f>
        <v>12771.000000000002</v>
      </c>
      <c r="AD2304" t="str">
        <f>IF(WarehouseData[[#This Row],[order_fulfillment_rate]]&gt;=0.9,"Strong",IF(WarehouseData[[#This Row],[order_fulfillment_rate]]&gt;=0.8,"Moderate","Needs Attention"))</f>
        <v>Strong</v>
      </c>
      <c r="AE2304" t="str">
        <f>IF(WarehouseData[[#This Row],[picking_time_seconds]]&gt;120,"Slow",IF(WarehouseData[[#This Row],[picking_time_seconds]]&gt;=60,"Average","Fast"))</f>
        <v>Fast</v>
      </c>
    </row>
    <row r="2305" spans="1:31" x14ac:dyDescent="0.25">
      <c r="A2305" t="s">
        <v>2443</v>
      </c>
      <c r="B2305" t="s">
        <v>73</v>
      </c>
      <c r="C2305">
        <v>148</v>
      </c>
      <c r="D2305">
        <v>34</v>
      </c>
      <c r="E2305">
        <v>12</v>
      </c>
      <c r="F2305">
        <v>9</v>
      </c>
      <c r="G2305">
        <v>45.44</v>
      </c>
      <c r="H2305">
        <v>3.74</v>
      </c>
      <c r="I2305">
        <v>0.12</v>
      </c>
      <c r="J2305" t="s">
        <v>185</v>
      </c>
      <c r="K2305" t="s">
        <v>46</v>
      </c>
      <c r="L2305">
        <v>142</v>
      </c>
      <c r="M2305">
        <v>4.2300000000000004</v>
      </c>
      <c r="N2305">
        <v>90.15</v>
      </c>
      <c r="O2305">
        <v>1.1200000000000001</v>
      </c>
      <c r="P2305">
        <v>8</v>
      </c>
      <c r="Q2305">
        <v>0.84</v>
      </c>
      <c r="R2305">
        <v>823</v>
      </c>
      <c r="S2305">
        <v>11.91</v>
      </c>
      <c r="T2305">
        <v>0.96</v>
      </c>
      <c r="U2305" s="1">
        <v>45487</v>
      </c>
      <c r="V2305">
        <v>207.69</v>
      </c>
      <c r="W2305">
        <v>0.64700000000000002</v>
      </c>
      <c r="X2305" t="str">
        <f>IF(WarehouseData[[#This Row],[stock_level]]&lt;=WarehouseData[[#This Row],[reorder_point]],"Low Stock","Sufficient Stock")</f>
        <v>Sufficient Stock</v>
      </c>
      <c r="Y2305">
        <f>WarehouseData[[#This Row],[daily_demand]]*WarehouseData[[#This Row],[lead_time_days]]</f>
        <v>408.96</v>
      </c>
      <c r="Z2305" t="str">
        <f>IF(WarehouseData[[#This Row],[stock_level]]&lt;=WarehouseData[[#This Row],[Demand During Lead Time]],"At Risk","Safe")</f>
        <v>At Risk</v>
      </c>
      <c r="AA2305">
        <f>WarehouseData[[#This Row],[stock_level]]/WarehouseData[[#This Row],[daily_demand]]</f>
        <v>3.257042253521127</v>
      </c>
      <c r="AB2305">
        <f>WarehouseData[[#This Row],[stock_level]]*WarehouseData[[#This Row],[unit_price]]</f>
        <v>13342.2</v>
      </c>
      <c r="AC2305">
        <f>WarehouseData[[#This Row],[stock_level]]*WarehouseData[[#This Row],[holding_cost_per_unit_day]]*30</f>
        <v>4972.8</v>
      </c>
      <c r="AD2305" t="str">
        <f>IF(WarehouseData[[#This Row],[order_fulfillment_rate]]&gt;=0.9,"Strong",IF(WarehouseData[[#This Row],[order_fulfillment_rate]]&gt;=0.8,"Moderate","Needs Attention"))</f>
        <v>Moderate</v>
      </c>
      <c r="AE2305" t="str">
        <f>IF(WarehouseData[[#This Row],[picking_time_seconds]]&gt;120,"Slow",IF(WarehouseData[[#This Row],[picking_time_seconds]]&gt;=60,"Average","Fast"))</f>
        <v>Slow</v>
      </c>
    </row>
    <row r="2306" spans="1:31" x14ac:dyDescent="0.25">
      <c r="A2306" t="s">
        <v>2444</v>
      </c>
      <c r="B2306" t="s">
        <v>48</v>
      </c>
      <c r="C2306">
        <v>265</v>
      </c>
      <c r="D2306">
        <v>28</v>
      </c>
      <c r="E2306">
        <v>4</v>
      </c>
      <c r="F2306">
        <v>8</v>
      </c>
      <c r="G2306">
        <v>4.5199999999999996</v>
      </c>
      <c r="H2306">
        <v>2.93</v>
      </c>
      <c r="I2306">
        <v>0.93</v>
      </c>
      <c r="J2306" t="s">
        <v>139</v>
      </c>
      <c r="K2306" t="s">
        <v>34</v>
      </c>
      <c r="L2306">
        <v>161</v>
      </c>
      <c r="M2306">
        <v>3.77</v>
      </c>
      <c r="N2306">
        <v>41.7</v>
      </c>
      <c r="O2306">
        <v>0.18</v>
      </c>
      <c r="P2306">
        <v>7</v>
      </c>
      <c r="Q2306">
        <v>0.76</v>
      </c>
      <c r="R2306">
        <v>522</v>
      </c>
      <c r="S2306">
        <v>5.36</v>
      </c>
      <c r="T2306">
        <v>0.43</v>
      </c>
      <c r="U2306" s="1">
        <v>45490</v>
      </c>
      <c r="V2306">
        <v>218.19</v>
      </c>
      <c r="W2306">
        <v>0.55100000000000005</v>
      </c>
      <c r="X2306" t="str">
        <f>IF(WarehouseData[[#This Row],[stock_level]]&lt;=WarehouseData[[#This Row],[reorder_point]],"Low Stock","Sufficient Stock")</f>
        <v>Sufficient Stock</v>
      </c>
      <c r="Y2306">
        <f>WarehouseData[[#This Row],[daily_demand]]*WarehouseData[[#This Row],[lead_time_days]]</f>
        <v>36.159999999999997</v>
      </c>
      <c r="Z2306" t="str">
        <f>IF(WarehouseData[[#This Row],[stock_level]]&lt;=WarehouseData[[#This Row],[Demand During Lead Time]],"At Risk","Safe")</f>
        <v>Safe</v>
      </c>
      <c r="AA2306">
        <f>WarehouseData[[#This Row],[stock_level]]/WarehouseData[[#This Row],[daily_demand]]</f>
        <v>58.628318584070804</v>
      </c>
      <c r="AB2306">
        <f>WarehouseData[[#This Row],[stock_level]]*WarehouseData[[#This Row],[unit_price]]</f>
        <v>11050.5</v>
      </c>
      <c r="AC2306">
        <f>WarehouseData[[#This Row],[stock_level]]*WarehouseData[[#This Row],[holding_cost_per_unit_day]]*30</f>
        <v>1430.9999999999998</v>
      </c>
      <c r="AD2306" t="str">
        <f>IF(WarehouseData[[#This Row],[order_fulfillment_rate]]&gt;=0.9,"Strong",IF(WarehouseData[[#This Row],[order_fulfillment_rate]]&gt;=0.8,"Moderate","Needs Attention"))</f>
        <v>Needs Attention</v>
      </c>
      <c r="AE2306" t="str">
        <f>IF(WarehouseData[[#This Row],[picking_time_seconds]]&gt;120,"Slow",IF(WarehouseData[[#This Row],[picking_time_seconds]]&gt;=60,"Average","Fast"))</f>
        <v>Slow</v>
      </c>
    </row>
    <row r="2307" spans="1:31" x14ac:dyDescent="0.25">
      <c r="A2307" t="s">
        <v>2445</v>
      </c>
      <c r="B2307" t="s">
        <v>48</v>
      </c>
      <c r="C2307">
        <v>108</v>
      </c>
      <c r="D2307">
        <v>14</v>
      </c>
      <c r="E2307">
        <v>9</v>
      </c>
      <c r="F2307">
        <v>8</v>
      </c>
      <c r="G2307">
        <v>32.090000000000003</v>
      </c>
      <c r="H2307">
        <v>8.85</v>
      </c>
      <c r="I2307">
        <v>0.83</v>
      </c>
      <c r="J2307" t="s">
        <v>178</v>
      </c>
      <c r="K2307" t="s">
        <v>34</v>
      </c>
      <c r="L2307">
        <v>35</v>
      </c>
      <c r="M2307">
        <v>1.18</v>
      </c>
      <c r="N2307">
        <v>64.400000000000006</v>
      </c>
      <c r="O2307">
        <v>1.91</v>
      </c>
      <c r="P2307">
        <v>3</v>
      </c>
      <c r="Q2307">
        <v>0.95</v>
      </c>
      <c r="R2307">
        <v>58</v>
      </c>
      <c r="S2307">
        <v>13.85</v>
      </c>
      <c r="T2307">
        <v>0.3</v>
      </c>
      <c r="U2307" s="1">
        <v>45505</v>
      </c>
      <c r="V2307">
        <v>295.3</v>
      </c>
      <c r="W2307">
        <v>0.58399999999999996</v>
      </c>
      <c r="X2307" t="str">
        <f>IF(WarehouseData[[#This Row],[stock_level]]&lt;=WarehouseData[[#This Row],[reorder_point]],"Low Stock","Sufficient Stock")</f>
        <v>Sufficient Stock</v>
      </c>
      <c r="Y2307">
        <f>WarehouseData[[#This Row],[daily_demand]]*WarehouseData[[#This Row],[lead_time_days]]</f>
        <v>256.72000000000003</v>
      </c>
      <c r="Z2307" t="str">
        <f>IF(WarehouseData[[#This Row],[stock_level]]&lt;=WarehouseData[[#This Row],[Demand During Lead Time]],"At Risk","Safe")</f>
        <v>At Risk</v>
      </c>
      <c r="AA2307">
        <f>WarehouseData[[#This Row],[stock_level]]/WarehouseData[[#This Row],[daily_demand]]</f>
        <v>3.3655344344032407</v>
      </c>
      <c r="AB2307">
        <f>WarehouseData[[#This Row],[stock_level]]*WarehouseData[[#This Row],[unit_price]]</f>
        <v>6955.2000000000007</v>
      </c>
      <c r="AC2307">
        <f>WarehouseData[[#This Row],[stock_level]]*WarehouseData[[#This Row],[holding_cost_per_unit_day]]*30</f>
        <v>6188.4</v>
      </c>
      <c r="AD2307" t="str">
        <f>IF(WarehouseData[[#This Row],[order_fulfillment_rate]]&gt;=0.9,"Strong",IF(WarehouseData[[#This Row],[order_fulfillment_rate]]&gt;=0.8,"Moderate","Needs Attention"))</f>
        <v>Strong</v>
      </c>
      <c r="AE2307" t="str">
        <f>IF(WarehouseData[[#This Row],[picking_time_seconds]]&gt;120,"Slow",IF(WarehouseData[[#This Row],[picking_time_seconds]]&gt;=60,"Average","Fast"))</f>
        <v>Fast</v>
      </c>
    </row>
    <row r="2308" spans="1:31" x14ac:dyDescent="0.25">
      <c r="A2308" t="s">
        <v>2446</v>
      </c>
      <c r="B2308" t="s">
        <v>40</v>
      </c>
      <c r="C2308">
        <v>85</v>
      </c>
      <c r="D2308">
        <v>84</v>
      </c>
      <c r="E2308">
        <v>11</v>
      </c>
      <c r="F2308">
        <v>5</v>
      </c>
      <c r="G2308">
        <v>34.53</v>
      </c>
      <c r="H2308">
        <v>5.71</v>
      </c>
      <c r="I2308">
        <v>0.72</v>
      </c>
      <c r="J2308" t="s">
        <v>301</v>
      </c>
      <c r="K2308" t="s">
        <v>46</v>
      </c>
      <c r="L2308">
        <v>117</v>
      </c>
      <c r="M2308">
        <v>2.0699999999999998</v>
      </c>
      <c r="N2308">
        <v>115.13</v>
      </c>
      <c r="O2308">
        <v>1.63</v>
      </c>
      <c r="P2308">
        <v>4</v>
      </c>
      <c r="Q2308">
        <v>0.8</v>
      </c>
      <c r="R2308">
        <v>709</v>
      </c>
      <c r="S2308">
        <v>5.61</v>
      </c>
      <c r="T2308">
        <v>0.86</v>
      </c>
      <c r="U2308" s="1">
        <v>45642</v>
      </c>
      <c r="V2308">
        <v>212.23</v>
      </c>
      <c r="W2308">
        <v>0.56399999999999995</v>
      </c>
      <c r="X2308" t="str">
        <f>IF(WarehouseData[[#This Row],[stock_level]]&lt;=WarehouseData[[#This Row],[reorder_point]],"Low Stock","Sufficient Stock")</f>
        <v>Sufficient Stock</v>
      </c>
      <c r="Y2308">
        <f>WarehouseData[[#This Row],[daily_demand]]*WarehouseData[[#This Row],[lead_time_days]]</f>
        <v>172.65</v>
      </c>
      <c r="Z2308" t="str">
        <f>IF(WarehouseData[[#This Row],[stock_level]]&lt;=WarehouseData[[#This Row],[Demand During Lead Time]],"At Risk","Safe")</f>
        <v>At Risk</v>
      </c>
      <c r="AA2308">
        <f>WarehouseData[[#This Row],[stock_level]]/WarehouseData[[#This Row],[daily_demand]]</f>
        <v>2.4616275702287864</v>
      </c>
      <c r="AB2308">
        <f>WarehouseData[[#This Row],[stock_level]]*WarehouseData[[#This Row],[unit_price]]</f>
        <v>9786.0499999999993</v>
      </c>
      <c r="AC2308">
        <f>WarehouseData[[#This Row],[stock_level]]*WarehouseData[[#This Row],[holding_cost_per_unit_day]]*30</f>
        <v>4156.4999999999991</v>
      </c>
      <c r="AD2308" t="str">
        <f>IF(WarehouseData[[#This Row],[order_fulfillment_rate]]&gt;=0.9,"Strong",IF(WarehouseData[[#This Row],[order_fulfillment_rate]]&gt;=0.8,"Moderate","Needs Attention"))</f>
        <v>Moderate</v>
      </c>
      <c r="AE2308" t="str">
        <f>IF(WarehouseData[[#This Row],[picking_time_seconds]]&gt;120,"Slow",IF(WarehouseData[[#This Row],[picking_time_seconds]]&gt;=60,"Average","Fast"))</f>
        <v>Average</v>
      </c>
    </row>
    <row r="2309" spans="1:31" x14ac:dyDescent="0.25">
      <c r="A2309" t="s">
        <v>2447</v>
      </c>
      <c r="B2309" t="s">
        <v>73</v>
      </c>
      <c r="C2309">
        <v>177</v>
      </c>
      <c r="D2309">
        <v>88</v>
      </c>
      <c r="E2309">
        <v>8</v>
      </c>
      <c r="F2309">
        <v>2</v>
      </c>
      <c r="G2309">
        <v>27.15</v>
      </c>
      <c r="H2309">
        <v>3.21</v>
      </c>
      <c r="I2309">
        <v>0.88</v>
      </c>
      <c r="J2309" t="s">
        <v>223</v>
      </c>
      <c r="K2309" t="s">
        <v>38</v>
      </c>
      <c r="L2309">
        <v>98</v>
      </c>
      <c r="M2309">
        <v>3.04</v>
      </c>
      <c r="N2309">
        <v>118.7</v>
      </c>
      <c r="O2309">
        <v>0.68</v>
      </c>
      <c r="P2309">
        <v>0</v>
      </c>
      <c r="Q2309">
        <v>0.81</v>
      </c>
      <c r="R2309">
        <v>74</v>
      </c>
      <c r="S2309">
        <v>13.08</v>
      </c>
      <c r="T2309">
        <v>0.34</v>
      </c>
      <c r="U2309" s="1">
        <v>45452</v>
      </c>
      <c r="V2309">
        <v>79.650000000000006</v>
      </c>
      <c r="W2309">
        <v>0.73599999999999999</v>
      </c>
      <c r="X2309" t="str">
        <f>IF(WarehouseData[[#This Row],[stock_level]]&lt;=WarehouseData[[#This Row],[reorder_point]],"Low Stock","Sufficient Stock")</f>
        <v>Sufficient Stock</v>
      </c>
      <c r="Y2309">
        <f>WarehouseData[[#This Row],[daily_demand]]*WarehouseData[[#This Row],[lead_time_days]]</f>
        <v>54.3</v>
      </c>
      <c r="Z2309" t="str">
        <f>IF(WarehouseData[[#This Row],[stock_level]]&lt;=WarehouseData[[#This Row],[Demand During Lead Time]],"At Risk","Safe")</f>
        <v>Safe</v>
      </c>
      <c r="AA2309">
        <f>WarehouseData[[#This Row],[stock_level]]/WarehouseData[[#This Row],[daily_demand]]</f>
        <v>6.5193370165745863</v>
      </c>
      <c r="AB2309">
        <f>WarehouseData[[#This Row],[stock_level]]*WarehouseData[[#This Row],[unit_price]]</f>
        <v>21009.9</v>
      </c>
      <c r="AC2309">
        <f>WarehouseData[[#This Row],[stock_level]]*WarehouseData[[#This Row],[holding_cost_per_unit_day]]*30</f>
        <v>3610.8</v>
      </c>
      <c r="AD2309" t="str">
        <f>IF(WarehouseData[[#This Row],[order_fulfillment_rate]]&gt;=0.9,"Strong",IF(WarehouseData[[#This Row],[order_fulfillment_rate]]&gt;=0.8,"Moderate","Needs Attention"))</f>
        <v>Moderate</v>
      </c>
      <c r="AE2309" t="str">
        <f>IF(WarehouseData[[#This Row],[picking_time_seconds]]&gt;120,"Slow",IF(WarehouseData[[#This Row],[picking_time_seconds]]&gt;=60,"Average","Fast"))</f>
        <v>Average</v>
      </c>
    </row>
    <row r="2310" spans="1:31" x14ac:dyDescent="0.25">
      <c r="A2310" t="s">
        <v>2448</v>
      </c>
      <c r="B2310" t="s">
        <v>32</v>
      </c>
      <c r="C2310">
        <v>406</v>
      </c>
      <c r="D2310">
        <v>81</v>
      </c>
      <c r="E2310">
        <v>12</v>
      </c>
      <c r="F2310">
        <v>6</v>
      </c>
      <c r="G2310">
        <v>33.68</v>
      </c>
      <c r="H2310">
        <v>9.3800000000000008</v>
      </c>
      <c r="I2310">
        <v>0.82</v>
      </c>
      <c r="J2310" t="s">
        <v>245</v>
      </c>
      <c r="K2310" t="s">
        <v>46</v>
      </c>
      <c r="L2310">
        <v>101</v>
      </c>
      <c r="M2310">
        <v>0.85</v>
      </c>
      <c r="N2310">
        <v>129.71</v>
      </c>
      <c r="O2310">
        <v>0.35</v>
      </c>
      <c r="P2310">
        <v>3</v>
      </c>
      <c r="Q2310">
        <v>0.97</v>
      </c>
      <c r="R2310">
        <v>355</v>
      </c>
      <c r="S2310">
        <v>5.94</v>
      </c>
      <c r="T2310">
        <v>0.24</v>
      </c>
      <c r="U2310" s="1">
        <v>45574</v>
      </c>
      <c r="V2310">
        <v>27.4</v>
      </c>
      <c r="W2310">
        <v>0.626</v>
      </c>
      <c r="X2310" t="str">
        <f>IF(WarehouseData[[#This Row],[stock_level]]&lt;=WarehouseData[[#This Row],[reorder_point]],"Low Stock","Sufficient Stock")</f>
        <v>Sufficient Stock</v>
      </c>
      <c r="Y2310">
        <f>WarehouseData[[#This Row],[daily_demand]]*WarehouseData[[#This Row],[lead_time_days]]</f>
        <v>202.07999999999998</v>
      </c>
      <c r="Z2310" t="str">
        <f>IF(WarehouseData[[#This Row],[stock_level]]&lt;=WarehouseData[[#This Row],[Demand During Lead Time]],"At Risk","Safe")</f>
        <v>Safe</v>
      </c>
      <c r="AA2310">
        <f>WarehouseData[[#This Row],[stock_level]]/WarehouseData[[#This Row],[daily_demand]]</f>
        <v>12.054631828978623</v>
      </c>
      <c r="AB2310">
        <f>WarehouseData[[#This Row],[stock_level]]*WarehouseData[[#This Row],[unit_price]]</f>
        <v>52662.26</v>
      </c>
      <c r="AC2310">
        <f>WarehouseData[[#This Row],[stock_level]]*WarehouseData[[#This Row],[holding_cost_per_unit_day]]*30</f>
        <v>4263</v>
      </c>
      <c r="AD2310" t="str">
        <f>IF(WarehouseData[[#This Row],[order_fulfillment_rate]]&gt;=0.9,"Strong",IF(WarehouseData[[#This Row],[order_fulfillment_rate]]&gt;=0.8,"Moderate","Needs Attention"))</f>
        <v>Strong</v>
      </c>
      <c r="AE2310" t="str">
        <f>IF(WarehouseData[[#This Row],[picking_time_seconds]]&gt;120,"Slow",IF(WarehouseData[[#This Row],[picking_time_seconds]]&gt;=60,"Average","Fast"))</f>
        <v>Average</v>
      </c>
    </row>
    <row r="2311" spans="1:31" x14ac:dyDescent="0.25">
      <c r="A2311" t="s">
        <v>2449</v>
      </c>
      <c r="B2311" t="s">
        <v>32</v>
      </c>
      <c r="C2311">
        <v>397</v>
      </c>
      <c r="D2311">
        <v>92</v>
      </c>
      <c r="E2311">
        <v>4</v>
      </c>
      <c r="F2311">
        <v>3</v>
      </c>
      <c r="G2311">
        <v>12.45</v>
      </c>
      <c r="H2311">
        <v>7.06</v>
      </c>
      <c r="I2311">
        <v>0.68</v>
      </c>
      <c r="J2311" t="s">
        <v>377</v>
      </c>
      <c r="K2311" t="s">
        <v>52</v>
      </c>
      <c r="L2311">
        <v>42</v>
      </c>
      <c r="M2311">
        <v>0.98</v>
      </c>
      <c r="N2311">
        <v>168.72</v>
      </c>
      <c r="O2311">
        <v>0.76</v>
      </c>
      <c r="P2311">
        <v>3</v>
      </c>
      <c r="Q2311">
        <v>0.99</v>
      </c>
      <c r="R2311">
        <v>633</v>
      </c>
      <c r="S2311">
        <v>8.08</v>
      </c>
      <c r="T2311">
        <v>0.36</v>
      </c>
      <c r="U2311" s="1">
        <v>45319</v>
      </c>
      <c r="V2311">
        <v>84.71</v>
      </c>
      <c r="W2311">
        <v>0.64200000000000002</v>
      </c>
      <c r="X2311" t="str">
        <f>IF(WarehouseData[[#This Row],[stock_level]]&lt;=WarehouseData[[#This Row],[reorder_point]],"Low Stock","Sufficient Stock")</f>
        <v>Sufficient Stock</v>
      </c>
      <c r="Y2311">
        <f>WarehouseData[[#This Row],[daily_demand]]*WarehouseData[[#This Row],[lead_time_days]]</f>
        <v>37.349999999999994</v>
      </c>
      <c r="Z2311" t="str">
        <f>IF(WarehouseData[[#This Row],[stock_level]]&lt;=WarehouseData[[#This Row],[Demand During Lead Time]],"At Risk","Safe")</f>
        <v>Safe</v>
      </c>
      <c r="AA2311">
        <f>WarehouseData[[#This Row],[stock_level]]/WarehouseData[[#This Row],[daily_demand]]</f>
        <v>31.887550200803215</v>
      </c>
      <c r="AB2311">
        <f>WarehouseData[[#This Row],[stock_level]]*WarehouseData[[#This Row],[unit_price]]</f>
        <v>66981.84</v>
      </c>
      <c r="AC2311">
        <f>WarehouseData[[#This Row],[stock_level]]*WarehouseData[[#This Row],[holding_cost_per_unit_day]]*30</f>
        <v>9051.6</v>
      </c>
      <c r="AD2311" t="str">
        <f>IF(WarehouseData[[#This Row],[order_fulfillment_rate]]&gt;=0.9,"Strong",IF(WarehouseData[[#This Row],[order_fulfillment_rate]]&gt;=0.8,"Moderate","Needs Attention"))</f>
        <v>Strong</v>
      </c>
      <c r="AE2311" t="str">
        <f>IF(WarehouseData[[#This Row],[picking_time_seconds]]&gt;120,"Slow",IF(WarehouseData[[#This Row],[picking_time_seconds]]&gt;=60,"Average","Fast"))</f>
        <v>Fast</v>
      </c>
    </row>
    <row r="2312" spans="1:31" x14ac:dyDescent="0.25">
      <c r="A2312" t="s">
        <v>2450</v>
      </c>
      <c r="B2312" t="s">
        <v>73</v>
      </c>
      <c r="C2312">
        <v>168</v>
      </c>
      <c r="D2312">
        <v>96</v>
      </c>
      <c r="E2312">
        <v>14</v>
      </c>
      <c r="F2312">
        <v>7</v>
      </c>
      <c r="G2312">
        <v>24.99</v>
      </c>
      <c r="H2312">
        <v>2.6</v>
      </c>
      <c r="I2312">
        <v>0.86</v>
      </c>
      <c r="J2312" t="s">
        <v>276</v>
      </c>
      <c r="K2312" t="s">
        <v>52</v>
      </c>
      <c r="L2312">
        <v>27</v>
      </c>
      <c r="M2312">
        <v>4.7</v>
      </c>
      <c r="N2312">
        <v>145.13</v>
      </c>
      <c r="O2312">
        <v>1.8</v>
      </c>
      <c r="P2312">
        <v>4</v>
      </c>
      <c r="Q2312">
        <v>0.97</v>
      </c>
      <c r="R2312">
        <v>483</v>
      </c>
      <c r="S2312">
        <v>6.21</v>
      </c>
      <c r="T2312">
        <v>0.55000000000000004</v>
      </c>
      <c r="U2312" s="1">
        <v>45298</v>
      </c>
      <c r="V2312">
        <v>75.73</v>
      </c>
      <c r="W2312">
        <v>0.52700000000000002</v>
      </c>
      <c r="X2312" t="str">
        <f>IF(WarehouseData[[#This Row],[stock_level]]&lt;=WarehouseData[[#This Row],[reorder_point]],"Low Stock","Sufficient Stock")</f>
        <v>Sufficient Stock</v>
      </c>
      <c r="Y2312">
        <f>WarehouseData[[#This Row],[daily_demand]]*WarehouseData[[#This Row],[lead_time_days]]</f>
        <v>174.92999999999998</v>
      </c>
      <c r="Z2312" t="str">
        <f>IF(WarehouseData[[#This Row],[stock_level]]&lt;=WarehouseData[[#This Row],[Demand During Lead Time]],"At Risk","Safe")</f>
        <v>At Risk</v>
      </c>
      <c r="AA2312">
        <f>WarehouseData[[#This Row],[stock_level]]/WarehouseData[[#This Row],[daily_demand]]</f>
        <v>6.7226890756302522</v>
      </c>
      <c r="AB2312">
        <f>WarehouseData[[#This Row],[stock_level]]*WarehouseData[[#This Row],[unit_price]]</f>
        <v>24381.84</v>
      </c>
      <c r="AC2312">
        <f>WarehouseData[[#This Row],[stock_level]]*WarehouseData[[#This Row],[holding_cost_per_unit_day]]*30</f>
        <v>9072.0000000000018</v>
      </c>
      <c r="AD2312" t="str">
        <f>IF(WarehouseData[[#This Row],[order_fulfillment_rate]]&gt;=0.9,"Strong",IF(WarehouseData[[#This Row],[order_fulfillment_rate]]&gt;=0.8,"Moderate","Needs Attention"))</f>
        <v>Strong</v>
      </c>
      <c r="AE2312" t="str">
        <f>IF(WarehouseData[[#This Row],[picking_time_seconds]]&gt;120,"Slow",IF(WarehouseData[[#This Row],[picking_time_seconds]]&gt;=60,"Average","Fast"))</f>
        <v>Fast</v>
      </c>
    </row>
    <row r="2313" spans="1:31" x14ac:dyDescent="0.25">
      <c r="A2313" t="s">
        <v>2451</v>
      </c>
      <c r="B2313" t="s">
        <v>73</v>
      </c>
      <c r="C2313">
        <v>492</v>
      </c>
      <c r="D2313">
        <v>36</v>
      </c>
      <c r="E2313">
        <v>12</v>
      </c>
      <c r="F2313">
        <v>6</v>
      </c>
      <c r="G2313">
        <v>20.149999999999999</v>
      </c>
      <c r="H2313">
        <v>6.34</v>
      </c>
      <c r="I2313">
        <v>0.45</v>
      </c>
      <c r="J2313" t="s">
        <v>110</v>
      </c>
      <c r="K2313" t="s">
        <v>52</v>
      </c>
      <c r="L2313">
        <v>27</v>
      </c>
      <c r="M2313">
        <v>3.66</v>
      </c>
      <c r="N2313">
        <v>59.56</v>
      </c>
      <c r="O2313">
        <v>0.35</v>
      </c>
      <c r="P2313">
        <v>1</v>
      </c>
      <c r="Q2313">
        <v>1</v>
      </c>
      <c r="R2313">
        <v>471</v>
      </c>
      <c r="S2313">
        <v>6.42</v>
      </c>
      <c r="T2313">
        <v>0.6</v>
      </c>
      <c r="U2313" s="1">
        <v>45420</v>
      </c>
      <c r="V2313">
        <v>36.92</v>
      </c>
      <c r="W2313">
        <v>0.751</v>
      </c>
      <c r="X2313" t="str">
        <f>IF(WarehouseData[[#This Row],[stock_level]]&lt;=WarehouseData[[#This Row],[reorder_point]],"Low Stock","Sufficient Stock")</f>
        <v>Sufficient Stock</v>
      </c>
      <c r="Y2313">
        <f>WarehouseData[[#This Row],[daily_demand]]*WarehouseData[[#This Row],[lead_time_days]]</f>
        <v>120.89999999999999</v>
      </c>
      <c r="Z2313" t="str">
        <f>IF(WarehouseData[[#This Row],[stock_level]]&lt;=WarehouseData[[#This Row],[Demand During Lead Time]],"At Risk","Safe")</f>
        <v>Safe</v>
      </c>
      <c r="AA2313">
        <f>WarehouseData[[#This Row],[stock_level]]/WarehouseData[[#This Row],[daily_demand]]</f>
        <v>24.416873449131515</v>
      </c>
      <c r="AB2313">
        <f>WarehouseData[[#This Row],[stock_level]]*WarehouseData[[#This Row],[unit_price]]</f>
        <v>29303.52</v>
      </c>
      <c r="AC2313">
        <f>WarehouseData[[#This Row],[stock_level]]*WarehouseData[[#This Row],[holding_cost_per_unit_day]]*30</f>
        <v>5166</v>
      </c>
      <c r="AD2313" t="str">
        <f>IF(WarehouseData[[#This Row],[order_fulfillment_rate]]&gt;=0.9,"Strong",IF(WarehouseData[[#This Row],[order_fulfillment_rate]]&gt;=0.8,"Moderate","Needs Attention"))</f>
        <v>Strong</v>
      </c>
      <c r="AE2313" t="str">
        <f>IF(WarehouseData[[#This Row],[picking_time_seconds]]&gt;120,"Slow",IF(WarehouseData[[#This Row],[picking_time_seconds]]&gt;=60,"Average","Fast"))</f>
        <v>Fast</v>
      </c>
    </row>
    <row r="2314" spans="1:31" x14ac:dyDescent="0.25">
      <c r="A2314" t="s">
        <v>2452</v>
      </c>
      <c r="B2314" t="s">
        <v>73</v>
      </c>
      <c r="C2314">
        <v>359</v>
      </c>
      <c r="D2314">
        <v>49</v>
      </c>
      <c r="E2314">
        <v>12</v>
      </c>
      <c r="F2314">
        <v>5</v>
      </c>
      <c r="G2314">
        <v>5.4</v>
      </c>
      <c r="H2314">
        <v>8.77</v>
      </c>
      <c r="I2314">
        <v>0.6</v>
      </c>
      <c r="J2314" t="s">
        <v>447</v>
      </c>
      <c r="K2314" t="s">
        <v>38</v>
      </c>
      <c r="L2314">
        <v>175</v>
      </c>
      <c r="M2314">
        <v>1.74</v>
      </c>
      <c r="N2314">
        <v>85.06</v>
      </c>
      <c r="O2314">
        <v>0.76</v>
      </c>
      <c r="P2314">
        <v>1</v>
      </c>
      <c r="Q2314">
        <v>0.96</v>
      </c>
      <c r="R2314">
        <v>883</v>
      </c>
      <c r="S2314">
        <v>9.66</v>
      </c>
      <c r="T2314">
        <v>0.25</v>
      </c>
      <c r="U2314" s="1">
        <v>45395</v>
      </c>
      <c r="V2314">
        <v>138.87</v>
      </c>
      <c r="W2314">
        <v>0.67500000000000004</v>
      </c>
      <c r="X2314" t="str">
        <f>IF(WarehouseData[[#This Row],[stock_level]]&lt;=WarehouseData[[#This Row],[reorder_point]],"Low Stock","Sufficient Stock")</f>
        <v>Sufficient Stock</v>
      </c>
      <c r="Y2314">
        <f>WarehouseData[[#This Row],[daily_demand]]*WarehouseData[[#This Row],[lead_time_days]]</f>
        <v>27</v>
      </c>
      <c r="Z2314" t="str">
        <f>IF(WarehouseData[[#This Row],[stock_level]]&lt;=WarehouseData[[#This Row],[Demand During Lead Time]],"At Risk","Safe")</f>
        <v>Safe</v>
      </c>
      <c r="AA2314">
        <f>WarehouseData[[#This Row],[stock_level]]/WarehouseData[[#This Row],[daily_demand]]</f>
        <v>66.481481481481481</v>
      </c>
      <c r="AB2314">
        <f>WarehouseData[[#This Row],[stock_level]]*WarehouseData[[#This Row],[unit_price]]</f>
        <v>30536.54</v>
      </c>
      <c r="AC2314">
        <f>WarehouseData[[#This Row],[stock_level]]*WarehouseData[[#This Row],[holding_cost_per_unit_day]]*30</f>
        <v>8185.1999999999989</v>
      </c>
      <c r="AD2314" t="str">
        <f>IF(WarehouseData[[#This Row],[order_fulfillment_rate]]&gt;=0.9,"Strong",IF(WarehouseData[[#This Row],[order_fulfillment_rate]]&gt;=0.8,"Moderate","Needs Attention"))</f>
        <v>Strong</v>
      </c>
      <c r="AE2314" t="str">
        <f>IF(WarehouseData[[#This Row],[picking_time_seconds]]&gt;120,"Slow",IF(WarehouseData[[#This Row],[picking_time_seconds]]&gt;=60,"Average","Fast"))</f>
        <v>Slow</v>
      </c>
    </row>
    <row r="2315" spans="1:31" x14ac:dyDescent="0.25">
      <c r="A2315" t="s">
        <v>2453</v>
      </c>
      <c r="B2315" t="s">
        <v>48</v>
      </c>
      <c r="C2315">
        <v>452</v>
      </c>
      <c r="D2315">
        <v>35</v>
      </c>
      <c r="E2315">
        <v>11</v>
      </c>
      <c r="F2315">
        <v>7</v>
      </c>
      <c r="G2315">
        <v>31.65</v>
      </c>
      <c r="H2315">
        <v>7.11</v>
      </c>
      <c r="I2315">
        <v>0.8</v>
      </c>
      <c r="J2315" t="s">
        <v>234</v>
      </c>
      <c r="K2315" t="s">
        <v>34</v>
      </c>
      <c r="L2315">
        <v>42</v>
      </c>
      <c r="M2315">
        <v>1.97</v>
      </c>
      <c r="N2315">
        <v>169.57</v>
      </c>
      <c r="O2315">
        <v>1.04</v>
      </c>
      <c r="P2315">
        <v>1</v>
      </c>
      <c r="Q2315">
        <v>0.91</v>
      </c>
      <c r="R2315">
        <v>106</v>
      </c>
      <c r="S2315">
        <v>10.7</v>
      </c>
      <c r="T2315">
        <v>0.55000000000000004</v>
      </c>
      <c r="U2315" s="1">
        <v>45609</v>
      </c>
      <c r="V2315">
        <v>93.56</v>
      </c>
      <c r="W2315">
        <v>0.71099999999999997</v>
      </c>
      <c r="X2315" t="str">
        <f>IF(WarehouseData[[#This Row],[stock_level]]&lt;=WarehouseData[[#This Row],[reorder_point]],"Low Stock","Sufficient Stock")</f>
        <v>Sufficient Stock</v>
      </c>
      <c r="Y2315">
        <f>WarehouseData[[#This Row],[daily_demand]]*WarehouseData[[#This Row],[lead_time_days]]</f>
        <v>221.54999999999998</v>
      </c>
      <c r="Z2315" t="str">
        <f>IF(WarehouseData[[#This Row],[stock_level]]&lt;=WarehouseData[[#This Row],[Demand During Lead Time]],"At Risk","Safe")</f>
        <v>Safe</v>
      </c>
      <c r="AA2315">
        <f>WarehouseData[[#This Row],[stock_level]]/WarehouseData[[#This Row],[daily_demand]]</f>
        <v>14.281200631911533</v>
      </c>
      <c r="AB2315">
        <f>WarehouseData[[#This Row],[stock_level]]*WarehouseData[[#This Row],[unit_price]]</f>
        <v>76645.64</v>
      </c>
      <c r="AC2315">
        <f>WarehouseData[[#This Row],[stock_level]]*WarehouseData[[#This Row],[holding_cost_per_unit_day]]*30</f>
        <v>14102.400000000001</v>
      </c>
      <c r="AD2315" t="str">
        <f>IF(WarehouseData[[#This Row],[order_fulfillment_rate]]&gt;=0.9,"Strong",IF(WarehouseData[[#This Row],[order_fulfillment_rate]]&gt;=0.8,"Moderate","Needs Attention"))</f>
        <v>Strong</v>
      </c>
      <c r="AE2315" t="str">
        <f>IF(WarehouseData[[#This Row],[picking_time_seconds]]&gt;120,"Slow",IF(WarehouseData[[#This Row],[picking_time_seconds]]&gt;=60,"Average","Fast"))</f>
        <v>Fast</v>
      </c>
    </row>
    <row r="2316" spans="1:31" x14ac:dyDescent="0.25">
      <c r="A2316" t="s">
        <v>2454</v>
      </c>
      <c r="B2316" t="s">
        <v>48</v>
      </c>
      <c r="C2316">
        <v>135</v>
      </c>
      <c r="D2316">
        <v>36</v>
      </c>
      <c r="E2316">
        <v>9</v>
      </c>
      <c r="F2316">
        <v>6</v>
      </c>
      <c r="G2316">
        <v>25.27</v>
      </c>
      <c r="H2316">
        <v>2.83</v>
      </c>
      <c r="I2316">
        <v>0.18</v>
      </c>
      <c r="J2316" t="s">
        <v>207</v>
      </c>
      <c r="K2316" t="s">
        <v>34</v>
      </c>
      <c r="L2316">
        <v>36</v>
      </c>
      <c r="M2316">
        <v>2.23</v>
      </c>
      <c r="N2316">
        <v>130.34</v>
      </c>
      <c r="O2316">
        <v>0.16</v>
      </c>
      <c r="P2316">
        <v>7</v>
      </c>
      <c r="Q2316">
        <v>0.79</v>
      </c>
      <c r="R2316">
        <v>583</v>
      </c>
      <c r="S2316">
        <v>13.19</v>
      </c>
      <c r="T2316">
        <v>0.68</v>
      </c>
      <c r="U2316" s="1">
        <v>45518</v>
      </c>
      <c r="V2316">
        <v>278.27999999999997</v>
      </c>
      <c r="W2316">
        <v>0.71399999999999997</v>
      </c>
      <c r="X2316" t="str">
        <f>IF(WarehouseData[[#This Row],[stock_level]]&lt;=WarehouseData[[#This Row],[reorder_point]],"Low Stock","Sufficient Stock")</f>
        <v>Sufficient Stock</v>
      </c>
      <c r="Y2316">
        <f>WarehouseData[[#This Row],[daily_demand]]*WarehouseData[[#This Row],[lead_time_days]]</f>
        <v>151.62</v>
      </c>
      <c r="Z2316" t="str">
        <f>IF(WarehouseData[[#This Row],[stock_level]]&lt;=WarehouseData[[#This Row],[Demand During Lead Time]],"At Risk","Safe")</f>
        <v>At Risk</v>
      </c>
      <c r="AA2316">
        <f>WarehouseData[[#This Row],[stock_level]]/WarehouseData[[#This Row],[daily_demand]]</f>
        <v>5.3423031262366445</v>
      </c>
      <c r="AB2316">
        <f>WarehouseData[[#This Row],[stock_level]]*WarehouseData[[#This Row],[unit_price]]</f>
        <v>17595.900000000001</v>
      </c>
      <c r="AC2316">
        <f>WarehouseData[[#This Row],[stock_level]]*WarehouseData[[#This Row],[holding_cost_per_unit_day]]*30</f>
        <v>648</v>
      </c>
      <c r="AD2316" t="str">
        <f>IF(WarehouseData[[#This Row],[order_fulfillment_rate]]&gt;=0.9,"Strong",IF(WarehouseData[[#This Row],[order_fulfillment_rate]]&gt;=0.8,"Moderate","Needs Attention"))</f>
        <v>Needs Attention</v>
      </c>
      <c r="AE2316" t="str">
        <f>IF(WarehouseData[[#This Row],[picking_time_seconds]]&gt;120,"Slow",IF(WarehouseData[[#This Row],[picking_time_seconds]]&gt;=60,"Average","Fast"))</f>
        <v>Fast</v>
      </c>
    </row>
    <row r="2317" spans="1:31" x14ac:dyDescent="0.25">
      <c r="A2317" t="s">
        <v>2455</v>
      </c>
      <c r="B2317" t="s">
        <v>48</v>
      </c>
      <c r="C2317">
        <v>233</v>
      </c>
      <c r="D2317">
        <v>71</v>
      </c>
      <c r="E2317">
        <v>13</v>
      </c>
      <c r="F2317">
        <v>2</v>
      </c>
      <c r="G2317">
        <v>14.48</v>
      </c>
      <c r="H2317">
        <v>6.66</v>
      </c>
      <c r="I2317">
        <v>0.87</v>
      </c>
      <c r="J2317" t="s">
        <v>234</v>
      </c>
      <c r="K2317" t="s">
        <v>52</v>
      </c>
      <c r="L2317">
        <v>58</v>
      </c>
      <c r="M2317">
        <v>0.84</v>
      </c>
      <c r="N2317">
        <v>41.62</v>
      </c>
      <c r="O2317">
        <v>0.61</v>
      </c>
      <c r="P2317">
        <v>1</v>
      </c>
      <c r="Q2317">
        <v>0.99</v>
      </c>
      <c r="R2317">
        <v>873</v>
      </c>
      <c r="S2317">
        <v>8.9700000000000006</v>
      </c>
      <c r="T2317">
        <v>0.95</v>
      </c>
      <c r="U2317" s="1">
        <v>45407</v>
      </c>
      <c r="V2317">
        <v>127.13</v>
      </c>
      <c r="W2317">
        <v>0.82699999999999996</v>
      </c>
      <c r="X2317" t="str">
        <f>IF(WarehouseData[[#This Row],[stock_level]]&lt;=WarehouseData[[#This Row],[reorder_point]],"Low Stock","Sufficient Stock")</f>
        <v>Sufficient Stock</v>
      </c>
      <c r="Y2317">
        <f>WarehouseData[[#This Row],[daily_demand]]*WarehouseData[[#This Row],[lead_time_days]]</f>
        <v>28.96</v>
      </c>
      <c r="Z2317" t="str">
        <f>IF(WarehouseData[[#This Row],[stock_level]]&lt;=WarehouseData[[#This Row],[Demand During Lead Time]],"At Risk","Safe")</f>
        <v>Safe</v>
      </c>
      <c r="AA2317">
        <f>WarehouseData[[#This Row],[stock_level]]/WarehouseData[[#This Row],[daily_demand]]</f>
        <v>16.091160220994475</v>
      </c>
      <c r="AB2317">
        <f>WarehouseData[[#This Row],[stock_level]]*WarehouseData[[#This Row],[unit_price]]</f>
        <v>9697.4599999999991</v>
      </c>
      <c r="AC2317">
        <f>WarehouseData[[#This Row],[stock_level]]*WarehouseData[[#This Row],[holding_cost_per_unit_day]]*30</f>
        <v>4263.8999999999996</v>
      </c>
      <c r="AD2317" t="str">
        <f>IF(WarehouseData[[#This Row],[order_fulfillment_rate]]&gt;=0.9,"Strong",IF(WarehouseData[[#This Row],[order_fulfillment_rate]]&gt;=0.8,"Moderate","Needs Attention"))</f>
        <v>Strong</v>
      </c>
      <c r="AE2317" t="str">
        <f>IF(WarehouseData[[#This Row],[picking_time_seconds]]&gt;120,"Slow",IF(WarehouseData[[#This Row],[picking_time_seconds]]&gt;=60,"Average","Fast"))</f>
        <v>Fast</v>
      </c>
    </row>
    <row r="2318" spans="1:31" x14ac:dyDescent="0.25">
      <c r="A2318" t="s">
        <v>2456</v>
      </c>
      <c r="B2318" t="s">
        <v>36</v>
      </c>
      <c r="C2318">
        <v>488</v>
      </c>
      <c r="D2318">
        <v>92</v>
      </c>
      <c r="E2318">
        <v>3</v>
      </c>
      <c r="F2318">
        <v>9</v>
      </c>
      <c r="G2318">
        <v>24.21</v>
      </c>
      <c r="H2318">
        <v>6.38</v>
      </c>
      <c r="I2318">
        <v>0.24</v>
      </c>
      <c r="J2318" t="s">
        <v>178</v>
      </c>
      <c r="K2318" t="s">
        <v>38</v>
      </c>
      <c r="L2318">
        <v>152</v>
      </c>
      <c r="M2318">
        <v>3.83</v>
      </c>
      <c r="N2318">
        <v>71.849999999999994</v>
      </c>
      <c r="O2318">
        <v>1.23</v>
      </c>
      <c r="P2318">
        <v>5</v>
      </c>
      <c r="Q2318">
        <v>0.96</v>
      </c>
      <c r="R2318">
        <v>597</v>
      </c>
      <c r="S2318">
        <v>4.04</v>
      </c>
      <c r="T2318">
        <v>0.38</v>
      </c>
      <c r="U2318" s="1">
        <v>45616</v>
      </c>
      <c r="V2318">
        <v>264.22000000000003</v>
      </c>
      <c r="W2318">
        <v>0.499</v>
      </c>
      <c r="X2318" t="str">
        <f>IF(WarehouseData[[#This Row],[stock_level]]&lt;=WarehouseData[[#This Row],[reorder_point]],"Low Stock","Sufficient Stock")</f>
        <v>Sufficient Stock</v>
      </c>
      <c r="Y2318">
        <f>WarehouseData[[#This Row],[daily_demand]]*WarehouseData[[#This Row],[lead_time_days]]</f>
        <v>217.89000000000001</v>
      </c>
      <c r="Z2318" t="str">
        <f>IF(WarehouseData[[#This Row],[stock_level]]&lt;=WarehouseData[[#This Row],[Demand During Lead Time]],"At Risk","Safe")</f>
        <v>Safe</v>
      </c>
      <c r="AA2318">
        <f>WarehouseData[[#This Row],[stock_level]]/WarehouseData[[#This Row],[daily_demand]]</f>
        <v>20.156959933911605</v>
      </c>
      <c r="AB2318">
        <f>WarehouseData[[#This Row],[stock_level]]*WarehouseData[[#This Row],[unit_price]]</f>
        <v>35062.799999999996</v>
      </c>
      <c r="AC2318">
        <f>WarehouseData[[#This Row],[stock_level]]*WarehouseData[[#This Row],[holding_cost_per_unit_day]]*30</f>
        <v>18007.2</v>
      </c>
      <c r="AD2318" t="str">
        <f>IF(WarehouseData[[#This Row],[order_fulfillment_rate]]&gt;=0.9,"Strong",IF(WarehouseData[[#This Row],[order_fulfillment_rate]]&gt;=0.8,"Moderate","Needs Attention"))</f>
        <v>Strong</v>
      </c>
      <c r="AE2318" t="str">
        <f>IF(WarehouseData[[#This Row],[picking_time_seconds]]&gt;120,"Slow",IF(WarehouseData[[#This Row],[picking_time_seconds]]&gt;=60,"Average","Fast"))</f>
        <v>Slow</v>
      </c>
    </row>
    <row r="2319" spans="1:31" x14ac:dyDescent="0.25">
      <c r="A2319" t="s">
        <v>2457</v>
      </c>
      <c r="B2319" t="s">
        <v>32</v>
      </c>
      <c r="C2319">
        <v>465</v>
      </c>
      <c r="D2319">
        <v>59</v>
      </c>
      <c r="E2319">
        <v>14</v>
      </c>
      <c r="F2319">
        <v>8</v>
      </c>
      <c r="G2319">
        <v>38.99</v>
      </c>
      <c r="H2319">
        <v>8.3000000000000007</v>
      </c>
      <c r="I2319">
        <v>0.88</v>
      </c>
      <c r="J2319" t="s">
        <v>379</v>
      </c>
      <c r="K2319" t="s">
        <v>52</v>
      </c>
      <c r="L2319">
        <v>117</v>
      </c>
      <c r="M2319">
        <v>1.3</v>
      </c>
      <c r="N2319">
        <v>160.31</v>
      </c>
      <c r="O2319">
        <v>0.72</v>
      </c>
      <c r="P2319">
        <v>1</v>
      </c>
      <c r="Q2319">
        <v>0.77</v>
      </c>
      <c r="R2319">
        <v>228</v>
      </c>
      <c r="S2319">
        <v>14.85</v>
      </c>
      <c r="T2319">
        <v>0.37</v>
      </c>
      <c r="U2319" s="1">
        <v>45652</v>
      </c>
      <c r="V2319">
        <v>98.95</v>
      </c>
      <c r="W2319">
        <v>0.73399999999999999</v>
      </c>
      <c r="X2319" t="str">
        <f>IF(WarehouseData[[#This Row],[stock_level]]&lt;=WarehouseData[[#This Row],[reorder_point]],"Low Stock","Sufficient Stock")</f>
        <v>Sufficient Stock</v>
      </c>
      <c r="Y2319">
        <f>WarehouseData[[#This Row],[daily_demand]]*WarehouseData[[#This Row],[lead_time_days]]</f>
        <v>311.92</v>
      </c>
      <c r="Z2319" t="str">
        <f>IF(WarehouseData[[#This Row],[stock_level]]&lt;=WarehouseData[[#This Row],[Demand During Lead Time]],"At Risk","Safe")</f>
        <v>Safe</v>
      </c>
      <c r="AA2319">
        <f>WarehouseData[[#This Row],[stock_level]]/WarehouseData[[#This Row],[daily_demand]]</f>
        <v>11.926134906386253</v>
      </c>
      <c r="AB2319">
        <f>WarehouseData[[#This Row],[stock_level]]*WarehouseData[[#This Row],[unit_price]]</f>
        <v>74544.149999999994</v>
      </c>
      <c r="AC2319">
        <f>WarehouseData[[#This Row],[stock_level]]*WarehouseData[[#This Row],[holding_cost_per_unit_day]]*30</f>
        <v>10044</v>
      </c>
      <c r="AD2319" t="str">
        <f>IF(WarehouseData[[#This Row],[order_fulfillment_rate]]&gt;=0.9,"Strong",IF(WarehouseData[[#This Row],[order_fulfillment_rate]]&gt;=0.8,"Moderate","Needs Attention"))</f>
        <v>Needs Attention</v>
      </c>
      <c r="AE2319" t="str">
        <f>IF(WarehouseData[[#This Row],[picking_time_seconds]]&gt;120,"Slow",IF(WarehouseData[[#This Row],[picking_time_seconds]]&gt;=60,"Average","Fast"))</f>
        <v>Average</v>
      </c>
    </row>
    <row r="2320" spans="1:31" x14ac:dyDescent="0.25">
      <c r="A2320" t="s">
        <v>2458</v>
      </c>
      <c r="B2320" t="s">
        <v>32</v>
      </c>
      <c r="C2320">
        <v>391</v>
      </c>
      <c r="D2320">
        <v>51</v>
      </c>
      <c r="E2320">
        <v>11</v>
      </c>
      <c r="F2320">
        <v>2</v>
      </c>
      <c r="G2320">
        <v>40.28</v>
      </c>
      <c r="H2320">
        <v>2.19</v>
      </c>
      <c r="I2320">
        <v>0.38</v>
      </c>
      <c r="J2320" t="s">
        <v>185</v>
      </c>
      <c r="K2320" t="s">
        <v>34</v>
      </c>
      <c r="L2320">
        <v>77</v>
      </c>
      <c r="M2320">
        <v>4.12</v>
      </c>
      <c r="N2320">
        <v>42.7</v>
      </c>
      <c r="O2320">
        <v>1.75</v>
      </c>
      <c r="P2320">
        <v>7</v>
      </c>
      <c r="Q2320">
        <v>0.85</v>
      </c>
      <c r="R2320">
        <v>117</v>
      </c>
      <c r="S2320">
        <v>10.57</v>
      </c>
      <c r="T2320">
        <v>0.51</v>
      </c>
      <c r="U2320" s="1">
        <v>45655</v>
      </c>
      <c r="V2320">
        <v>251.13</v>
      </c>
      <c r="W2320">
        <v>0.498</v>
      </c>
      <c r="X2320" t="str">
        <f>IF(WarehouseData[[#This Row],[stock_level]]&lt;=WarehouseData[[#This Row],[reorder_point]],"Low Stock","Sufficient Stock")</f>
        <v>Sufficient Stock</v>
      </c>
      <c r="Y2320">
        <f>WarehouseData[[#This Row],[daily_demand]]*WarehouseData[[#This Row],[lead_time_days]]</f>
        <v>80.56</v>
      </c>
      <c r="Z2320" t="str">
        <f>IF(WarehouseData[[#This Row],[stock_level]]&lt;=WarehouseData[[#This Row],[Demand During Lead Time]],"At Risk","Safe")</f>
        <v>Safe</v>
      </c>
      <c r="AA2320">
        <f>WarehouseData[[#This Row],[stock_level]]/WarehouseData[[#This Row],[daily_demand]]</f>
        <v>9.7070506454816279</v>
      </c>
      <c r="AB2320">
        <f>WarehouseData[[#This Row],[stock_level]]*WarehouseData[[#This Row],[unit_price]]</f>
        <v>16695.7</v>
      </c>
      <c r="AC2320">
        <f>WarehouseData[[#This Row],[stock_level]]*WarehouseData[[#This Row],[holding_cost_per_unit_day]]*30</f>
        <v>20527.5</v>
      </c>
      <c r="AD2320" t="str">
        <f>IF(WarehouseData[[#This Row],[order_fulfillment_rate]]&gt;=0.9,"Strong",IF(WarehouseData[[#This Row],[order_fulfillment_rate]]&gt;=0.8,"Moderate","Needs Attention"))</f>
        <v>Moderate</v>
      </c>
      <c r="AE2320" t="str">
        <f>IF(WarehouseData[[#This Row],[picking_time_seconds]]&gt;120,"Slow",IF(WarehouseData[[#This Row],[picking_time_seconds]]&gt;=60,"Average","Fast"))</f>
        <v>Average</v>
      </c>
    </row>
    <row r="2321" spans="1:31" x14ac:dyDescent="0.25">
      <c r="A2321" t="s">
        <v>2459</v>
      </c>
      <c r="B2321" t="s">
        <v>40</v>
      </c>
      <c r="C2321">
        <v>313</v>
      </c>
      <c r="D2321">
        <v>38</v>
      </c>
      <c r="E2321">
        <v>4</v>
      </c>
      <c r="F2321">
        <v>7</v>
      </c>
      <c r="G2321">
        <v>32.83</v>
      </c>
      <c r="H2321">
        <v>7.15</v>
      </c>
      <c r="I2321">
        <v>0.39</v>
      </c>
      <c r="J2321" t="s">
        <v>142</v>
      </c>
      <c r="K2321" t="s">
        <v>46</v>
      </c>
      <c r="L2321">
        <v>108</v>
      </c>
      <c r="M2321">
        <v>4.3099999999999996</v>
      </c>
      <c r="N2321">
        <v>141.30000000000001</v>
      </c>
      <c r="O2321">
        <v>1.88</v>
      </c>
      <c r="P2321">
        <v>0</v>
      </c>
      <c r="Q2321">
        <v>0.72</v>
      </c>
      <c r="R2321">
        <v>545</v>
      </c>
      <c r="S2321">
        <v>6.25</v>
      </c>
      <c r="T2321">
        <v>0.99</v>
      </c>
      <c r="U2321" s="1">
        <v>45623</v>
      </c>
      <c r="V2321">
        <v>141.81</v>
      </c>
      <c r="W2321">
        <v>0.63700000000000001</v>
      </c>
      <c r="X2321" t="str">
        <f>IF(WarehouseData[[#This Row],[stock_level]]&lt;=WarehouseData[[#This Row],[reorder_point]],"Low Stock","Sufficient Stock")</f>
        <v>Sufficient Stock</v>
      </c>
      <c r="Y2321">
        <f>WarehouseData[[#This Row],[daily_demand]]*WarehouseData[[#This Row],[lead_time_days]]</f>
        <v>229.81</v>
      </c>
      <c r="Z2321" t="str">
        <f>IF(WarehouseData[[#This Row],[stock_level]]&lt;=WarehouseData[[#This Row],[Demand During Lead Time]],"At Risk","Safe")</f>
        <v>Safe</v>
      </c>
      <c r="AA2321">
        <f>WarehouseData[[#This Row],[stock_level]]/WarehouseData[[#This Row],[daily_demand]]</f>
        <v>9.5339628388668913</v>
      </c>
      <c r="AB2321">
        <f>WarehouseData[[#This Row],[stock_level]]*WarehouseData[[#This Row],[unit_price]]</f>
        <v>44226.9</v>
      </c>
      <c r="AC2321">
        <f>WarehouseData[[#This Row],[stock_level]]*WarehouseData[[#This Row],[holding_cost_per_unit_day]]*30</f>
        <v>17653.199999999997</v>
      </c>
      <c r="AD2321" t="str">
        <f>IF(WarehouseData[[#This Row],[order_fulfillment_rate]]&gt;=0.9,"Strong",IF(WarehouseData[[#This Row],[order_fulfillment_rate]]&gt;=0.8,"Moderate","Needs Attention"))</f>
        <v>Needs Attention</v>
      </c>
      <c r="AE2321" t="str">
        <f>IF(WarehouseData[[#This Row],[picking_time_seconds]]&gt;120,"Slow",IF(WarehouseData[[#This Row],[picking_time_seconds]]&gt;=60,"Average","Fast"))</f>
        <v>Average</v>
      </c>
    </row>
    <row r="2322" spans="1:31" x14ac:dyDescent="0.25">
      <c r="A2322" t="s">
        <v>2460</v>
      </c>
      <c r="B2322" t="s">
        <v>48</v>
      </c>
      <c r="C2322">
        <v>272</v>
      </c>
      <c r="D2322">
        <v>48</v>
      </c>
      <c r="E2322">
        <v>6</v>
      </c>
      <c r="F2322">
        <v>9</v>
      </c>
      <c r="G2322">
        <v>23.92</v>
      </c>
      <c r="H2322">
        <v>0.76</v>
      </c>
      <c r="I2322">
        <v>0.17</v>
      </c>
      <c r="J2322" t="s">
        <v>133</v>
      </c>
      <c r="K2322" t="s">
        <v>52</v>
      </c>
      <c r="L2322">
        <v>28</v>
      </c>
      <c r="M2322">
        <v>3.37</v>
      </c>
      <c r="N2322">
        <v>117.07</v>
      </c>
      <c r="O2322">
        <v>0.94</v>
      </c>
      <c r="P2322">
        <v>1</v>
      </c>
      <c r="Q2322">
        <v>0.99</v>
      </c>
      <c r="R2322">
        <v>50</v>
      </c>
      <c r="S2322">
        <v>14.55</v>
      </c>
      <c r="T2322">
        <v>0.47</v>
      </c>
      <c r="U2322" s="1">
        <v>45480</v>
      </c>
      <c r="V2322">
        <v>19.38</v>
      </c>
      <c r="W2322">
        <v>0.77200000000000002</v>
      </c>
      <c r="X2322" t="str">
        <f>IF(WarehouseData[[#This Row],[stock_level]]&lt;=WarehouseData[[#This Row],[reorder_point]],"Low Stock","Sufficient Stock")</f>
        <v>Sufficient Stock</v>
      </c>
      <c r="Y2322">
        <f>WarehouseData[[#This Row],[daily_demand]]*WarehouseData[[#This Row],[lead_time_days]]</f>
        <v>215.28000000000003</v>
      </c>
      <c r="Z2322" t="str">
        <f>IF(WarehouseData[[#This Row],[stock_level]]&lt;=WarehouseData[[#This Row],[Demand During Lead Time]],"At Risk","Safe")</f>
        <v>Safe</v>
      </c>
      <c r="AA2322">
        <f>WarehouseData[[#This Row],[stock_level]]/WarehouseData[[#This Row],[daily_demand]]</f>
        <v>11.371237458193979</v>
      </c>
      <c r="AB2322">
        <f>WarehouseData[[#This Row],[stock_level]]*WarehouseData[[#This Row],[unit_price]]</f>
        <v>31843.039999999997</v>
      </c>
      <c r="AC2322">
        <f>WarehouseData[[#This Row],[stock_level]]*WarehouseData[[#This Row],[holding_cost_per_unit_day]]*30</f>
        <v>7670.4</v>
      </c>
      <c r="AD2322" t="str">
        <f>IF(WarehouseData[[#This Row],[order_fulfillment_rate]]&gt;=0.9,"Strong",IF(WarehouseData[[#This Row],[order_fulfillment_rate]]&gt;=0.8,"Moderate","Needs Attention"))</f>
        <v>Strong</v>
      </c>
      <c r="AE2322" t="str">
        <f>IF(WarehouseData[[#This Row],[picking_time_seconds]]&gt;120,"Slow",IF(WarehouseData[[#This Row],[picking_time_seconds]]&gt;=60,"Average","Fast"))</f>
        <v>Fast</v>
      </c>
    </row>
    <row r="2323" spans="1:31" x14ac:dyDescent="0.25">
      <c r="A2323" t="s">
        <v>2461</v>
      </c>
      <c r="B2323" t="s">
        <v>36</v>
      </c>
      <c r="C2323">
        <v>162</v>
      </c>
      <c r="D2323">
        <v>69</v>
      </c>
      <c r="E2323">
        <v>11</v>
      </c>
      <c r="F2323">
        <v>9</v>
      </c>
      <c r="G2323">
        <v>29.21</v>
      </c>
      <c r="H2323">
        <v>7.11</v>
      </c>
      <c r="I2323">
        <v>0.9</v>
      </c>
      <c r="J2323" t="s">
        <v>68</v>
      </c>
      <c r="K2323" t="s">
        <v>52</v>
      </c>
      <c r="L2323">
        <v>34</v>
      </c>
      <c r="M2323">
        <v>3.96</v>
      </c>
      <c r="N2323">
        <v>38.020000000000003</v>
      </c>
      <c r="O2323">
        <v>1.1100000000000001</v>
      </c>
      <c r="P2323">
        <v>4</v>
      </c>
      <c r="Q2323">
        <v>0.87</v>
      </c>
      <c r="R2323">
        <v>97</v>
      </c>
      <c r="S2323">
        <v>14.42</v>
      </c>
      <c r="T2323">
        <v>0.24</v>
      </c>
      <c r="U2323" s="1">
        <v>45593</v>
      </c>
      <c r="V2323">
        <v>151.22</v>
      </c>
      <c r="W2323">
        <v>0.623</v>
      </c>
      <c r="X2323" t="str">
        <f>IF(WarehouseData[[#This Row],[stock_level]]&lt;=WarehouseData[[#This Row],[reorder_point]],"Low Stock","Sufficient Stock")</f>
        <v>Sufficient Stock</v>
      </c>
      <c r="Y2323">
        <f>WarehouseData[[#This Row],[daily_demand]]*WarehouseData[[#This Row],[lead_time_days]]</f>
        <v>262.89</v>
      </c>
      <c r="Z2323" t="str">
        <f>IF(WarehouseData[[#This Row],[stock_level]]&lt;=WarehouseData[[#This Row],[Demand During Lead Time]],"At Risk","Safe")</f>
        <v>At Risk</v>
      </c>
      <c r="AA2323">
        <f>WarehouseData[[#This Row],[stock_level]]/WarehouseData[[#This Row],[daily_demand]]</f>
        <v>5.5460458747004449</v>
      </c>
      <c r="AB2323">
        <f>WarehouseData[[#This Row],[stock_level]]*WarehouseData[[#This Row],[unit_price]]</f>
        <v>6159.2400000000007</v>
      </c>
      <c r="AC2323">
        <f>WarehouseData[[#This Row],[stock_level]]*WarehouseData[[#This Row],[holding_cost_per_unit_day]]*30</f>
        <v>5394.6</v>
      </c>
      <c r="AD2323" t="str">
        <f>IF(WarehouseData[[#This Row],[order_fulfillment_rate]]&gt;=0.9,"Strong",IF(WarehouseData[[#This Row],[order_fulfillment_rate]]&gt;=0.8,"Moderate","Needs Attention"))</f>
        <v>Moderate</v>
      </c>
      <c r="AE2323" t="str">
        <f>IF(WarehouseData[[#This Row],[picking_time_seconds]]&gt;120,"Slow",IF(WarehouseData[[#This Row],[picking_time_seconds]]&gt;=60,"Average","Fast"))</f>
        <v>Fast</v>
      </c>
    </row>
    <row r="2324" spans="1:31" x14ac:dyDescent="0.25">
      <c r="A2324" t="s">
        <v>2462</v>
      </c>
      <c r="B2324" t="s">
        <v>36</v>
      </c>
      <c r="C2324">
        <v>269</v>
      </c>
      <c r="D2324">
        <v>50</v>
      </c>
      <c r="E2324">
        <v>6</v>
      </c>
      <c r="F2324">
        <v>9</v>
      </c>
      <c r="G2324">
        <v>19.87</v>
      </c>
      <c r="H2324">
        <v>9.6199999999999992</v>
      </c>
      <c r="I2324">
        <v>0.26</v>
      </c>
      <c r="J2324" t="s">
        <v>142</v>
      </c>
      <c r="K2324" t="s">
        <v>52</v>
      </c>
      <c r="L2324">
        <v>113</v>
      </c>
      <c r="M2324">
        <v>1.27</v>
      </c>
      <c r="N2324">
        <v>140.88999999999999</v>
      </c>
      <c r="O2324">
        <v>1.3</v>
      </c>
      <c r="P2324">
        <v>5</v>
      </c>
      <c r="Q2324">
        <v>0.77</v>
      </c>
      <c r="R2324">
        <v>466</v>
      </c>
      <c r="S2324">
        <v>2.11</v>
      </c>
      <c r="T2324">
        <v>0.41</v>
      </c>
      <c r="U2324" s="1">
        <v>45571</v>
      </c>
      <c r="V2324">
        <v>75.760000000000005</v>
      </c>
      <c r="W2324">
        <v>0.434</v>
      </c>
      <c r="X2324" t="str">
        <f>IF(WarehouseData[[#This Row],[stock_level]]&lt;=WarehouseData[[#This Row],[reorder_point]],"Low Stock","Sufficient Stock")</f>
        <v>Sufficient Stock</v>
      </c>
      <c r="Y2324">
        <f>WarehouseData[[#This Row],[daily_demand]]*WarehouseData[[#This Row],[lead_time_days]]</f>
        <v>178.83</v>
      </c>
      <c r="Z2324" t="str">
        <f>IF(WarehouseData[[#This Row],[stock_level]]&lt;=WarehouseData[[#This Row],[Demand During Lead Time]],"At Risk","Safe")</f>
        <v>Safe</v>
      </c>
      <c r="AA2324">
        <f>WarehouseData[[#This Row],[stock_level]]/WarehouseData[[#This Row],[daily_demand]]</f>
        <v>13.537996980372419</v>
      </c>
      <c r="AB2324">
        <f>WarehouseData[[#This Row],[stock_level]]*WarehouseData[[#This Row],[unit_price]]</f>
        <v>37899.409999999996</v>
      </c>
      <c r="AC2324">
        <f>WarehouseData[[#This Row],[stock_level]]*WarehouseData[[#This Row],[holding_cost_per_unit_day]]*30</f>
        <v>10491</v>
      </c>
      <c r="AD2324" t="str">
        <f>IF(WarehouseData[[#This Row],[order_fulfillment_rate]]&gt;=0.9,"Strong",IF(WarehouseData[[#This Row],[order_fulfillment_rate]]&gt;=0.8,"Moderate","Needs Attention"))</f>
        <v>Needs Attention</v>
      </c>
      <c r="AE2324" t="str">
        <f>IF(WarehouseData[[#This Row],[picking_time_seconds]]&gt;120,"Slow",IF(WarehouseData[[#This Row],[picking_time_seconds]]&gt;=60,"Average","Fast"))</f>
        <v>Average</v>
      </c>
    </row>
    <row r="2325" spans="1:31" x14ac:dyDescent="0.25">
      <c r="A2325" t="s">
        <v>2463</v>
      </c>
      <c r="B2325" t="s">
        <v>32</v>
      </c>
      <c r="C2325">
        <v>385</v>
      </c>
      <c r="D2325">
        <v>42</v>
      </c>
      <c r="E2325">
        <v>5</v>
      </c>
      <c r="F2325">
        <v>4</v>
      </c>
      <c r="G2325">
        <v>7.2</v>
      </c>
      <c r="H2325">
        <v>2.16</v>
      </c>
      <c r="I2325">
        <v>0.67</v>
      </c>
      <c r="J2325" t="s">
        <v>301</v>
      </c>
      <c r="K2325" t="s">
        <v>34</v>
      </c>
      <c r="L2325">
        <v>85</v>
      </c>
      <c r="M2325">
        <v>3.09</v>
      </c>
      <c r="N2325">
        <v>37.049999999999997</v>
      </c>
      <c r="O2325">
        <v>1.36</v>
      </c>
      <c r="P2325">
        <v>8</v>
      </c>
      <c r="Q2325">
        <v>0.79</v>
      </c>
      <c r="R2325">
        <v>713</v>
      </c>
      <c r="S2325">
        <v>1.28</v>
      </c>
      <c r="T2325">
        <v>0.65</v>
      </c>
      <c r="U2325" s="1">
        <v>45600</v>
      </c>
      <c r="V2325">
        <v>99.16</v>
      </c>
      <c r="W2325">
        <v>0.40899999999999997</v>
      </c>
      <c r="X2325" t="str">
        <f>IF(WarehouseData[[#This Row],[stock_level]]&lt;=WarehouseData[[#This Row],[reorder_point]],"Low Stock","Sufficient Stock")</f>
        <v>Sufficient Stock</v>
      </c>
      <c r="Y2325">
        <f>WarehouseData[[#This Row],[daily_demand]]*WarehouseData[[#This Row],[lead_time_days]]</f>
        <v>28.8</v>
      </c>
      <c r="Z2325" t="str">
        <f>IF(WarehouseData[[#This Row],[stock_level]]&lt;=WarehouseData[[#This Row],[Demand During Lead Time]],"At Risk","Safe")</f>
        <v>Safe</v>
      </c>
      <c r="AA2325">
        <f>WarehouseData[[#This Row],[stock_level]]/WarehouseData[[#This Row],[daily_demand]]</f>
        <v>53.472222222222221</v>
      </c>
      <c r="AB2325">
        <f>WarehouseData[[#This Row],[stock_level]]*WarehouseData[[#This Row],[unit_price]]</f>
        <v>14264.249999999998</v>
      </c>
      <c r="AC2325">
        <f>WarehouseData[[#This Row],[stock_level]]*WarehouseData[[#This Row],[holding_cost_per_unit_day]]*30</f>
        <v>15708</v>
      </c>
      <c r="AD2325" t="str">
        <f>IF(WarehouseData[[#This Row],[order_fulfillment_rate]]&gt;=0.9,"Strong",IF(WarehouseData[[#This Row],[order_fulfillment_rate]]&gt;=0.8,"Moderate","Needs Attention"))</f>
        <v>Needs Attention</v>
      </c>
      <c r="AE2325" t="str">
        <f>IF(WarehouseData[[#This Row],[picking_time_seconds]]&gt;120,"Slow",IF(WarehouseData[[#This Row],[picking_time_seconds]]&gt;=60,"Average","Fast"))</f>
        <v>Average</v>
      </c>
    </row>
    <row r="2326" spans="1:31" x14ac:dyDescent="0.25">
      <c r="A2326" t="s">
        <v>2464</v>
      </c>
      <c r="B2326" t="s">
        <v>48</v>
      </c>
      <c r="C2326">
        <v>455</v>
      </c>
      <c r="D2326">
        <v>92</v>
      </c>
      <c r="E2326">
        <v>3</v>
      </c>
      <c r="F2326">
        <v>8</v>
      </c>
      <c r="G2326">
        <v>19.899999999999999</v>
      </c>
      <c r="H2326">
        <v>3.46</v>
      </c>
      <c r="I2326">
        <v>0.68</v>
      </c>
      <c r="J2326" t="s">
        <v>81</v>
      </c>
      <c r="K2326" t="s">
        <v>38</v>
      </c>
      <c r="L2326">
        <v>85</v>
      </c>
      <c r="M2326">
        <v>3.55</v>
      </c>
      <c r="N2326">
        <v>85.7</v>
      </c>
      <c r="O2326">
        <v>0.22</v>
      </c>
      <c r="P2326">
        <v>5</v>
      </c>
      <c r="Q2326">
        <v>0.99</v>
      </c>
      <c r="R2326">
        <v>994</v>
      </c>
      <c r="S2326">
        <v>1.62</v>
      </c>
      <c r="T2326">
        <v>0.53</v>
      </c>
      <c r="U2326" s="1">
        <v>45392</v>
      </c>
      <c r="V2326">
        <v>208.46</v>
      </c>
      <c r="W2326">
        <v>0.60399999999999998</v>
      </c>
      <c r="X2326" t="str">
        <f>IF(WarehouseData[[#This Row],[stock_level]]&lt;=WarehouseData[[#This Row],[reorder_point]],"Low Stock","Sufficient Stock")</f>
        <v>Sufficient Stock</v>
      </c>
      <c r="Y2326">
        <f>WarehouseData[[#This Row],[daily_demand]]*WarehouseData[[#This Row],[lead_time_days]]</f>
        <v>159.19999999999999</v>
      </c>
      <c r="Z2326" t="str">
        <f>IF(WarehouseData[[#This Row],[stock_level]]&lt;=WarehouseData[[#This Row],[Demand During Lead Time]],"At Risk","Safe")</f>
        <v>Safe</v>
      </c>
      <c r="AA2326">
        <f>WarehouseData[[#This Row],[stock_level]]/WarehouseData[[#This Row],[daily_demand]]</f>
        <v>22.864321608040203</v>
      </c>
      <c r="AB2326">
        <f>WarehouseData[[#This Row],[stock_level]]*WarehouseData[[#This Row],[unit_price]]</f>
        <v>38993.5</v>
      </c>
      <c r="AC2326">
        <f>WarehouseData[[#This Row],[stock_level]]*WarehouseData[[#This Row],[holding_cost_per_unit_day]]*30</f>
        <v>3003</v>
      </c>
      <c r="AD2326" t="str">
        <f>IF(WarehouseData[[#This Row],[order_fulfillment_rate]]&gt;=0.9,"Strong",IF(WarehouseData[[#This Row],[order_fulfillment_rate]]&gt;=0.8,"Moderate","Needs Attention"))</f>
        <v>Strong</v>
      </c>
      <c r="AE2326" t="str">
        <f>IF(WarehouseData[[#This Row],[picking_time_seconds]]&gt;120,"Slow",IF(WarehouseData[[#This Row],[picking_time_seconds]]&gt;=60,"Average","Fast"))</f>
        <v>Average</v>
      </c>
    </row>
    <row r="2327" spans="1:31" x14ac:dyDescent="0.25">
      <c r="A2327" t="s">
        <v>2465</v>
      </c>
      <c r="B2327" t="s">
        <v>40</v>
      </c>
      <c r="C2327">
        <v>482</v>
      </c>
      <c r="D2327">
        <v>92</v>
      </c>
      <c r="E2327">
        <v>9</v>
      </c>
      <c r="F2327">
        <v>3</v>
      </c>
      <c r="G2327">
        <v>26.99</v>
      </c>
      <c r="H2327">
        <v>6.04</v>
      </c>
      <c r="I2327">
        <v>0.35</v>
      </c>
      <c r="J2327" t="s">
        <v>447</v>
      </c>
      <c r="K2327" t="s">
        <v>46</v>
      </c>
      <c r="L2327">
        <v>115</v>
      </c>
      <c r="M2327">
        <v>3.48</v>
      </c>
      <c r="N2327">
        <v>68.63</v>
      </c>
      <c r="O2327">
        <v>0.2</v>
      </c>
      <c r="P2327">
        <v>7</v>
      </c>
      <c r="Q2327">
        <v>0.88</v>
      </c>
      <c r="R2327">
        <v>246</v>
      </c>
      <c r="S2327">
        <v>10.59</v>
      </c>
      <c r="T2327">
        <v>0.82</v>
      </c>
      <c r="U2327" s="1">
        <v>45391</v>
      </c>
      <c r="V2327">
        <v>163.56</v>
      </c>
      <c r="W2327">
        <v>0.72099999999999997</v>
      </c>
      <c r="X2327" t="str">
        <f>IF(WarehouseData[[#This Row],[stock_level]]&lt;=WarehouseData[[#This Row],[reorder_point]],"Low Stock","Sufficient Stock")</f>
        <v>Sufficient Stock</v>
      </c>
      <c r="Y2327">
        <f>WarehouseData[[#This Row],[daily_demand]]*WarehouseData[[#This Row],[lead_time_days]]</f>
        <v>80.97</v>
      </c>
      <c r="Z2327" t="str">
        <f>IF(WarehouseData[[#This Row],[stock_level]]&lt;=WarehouseData[[#This Row],[Demand During Lead Time]],"At Risk","Safe")</f>
        <v>Safe</v>
      </c>
      <c r="AA2327">
        <f>WarehouseData[[#This Row],[stock_level]]/WarehouseData[[#This Row],[daily_demand]]</f>
        <v>17.85846609855502</v>
      </c>
      <c r="AB2327">
        <f>WarehouseData[[#This Row],[stock_level]]*WarehouseData[[#This Row],[unit_price]]</f>
        <v>33079.659999999996</v>
      </c>
      <c r="AC2327">
        <f>WarehouseData[[#This Row],[stock_level]]*WarehouseData[[#This Row],[holding_cost_per_unit_day]]*30</f>
        <v>2892</v>
      </c>
      <c r="AD2327" t="str">
        <f>IF(WarehouseData[[#This Row],[order_fulfillment_rate]]&gt;=0.9,"Strong",IF(WarehouseData[[#This Row],[order_fulfillment_rate]]&gt;=0.8,"Moderate","Needs Attention"))</f>
        <v>Moderate</v>
      </c>
      <c r="AE2327" t="str">
        <f>IF(WarehouseData[[#This Row],[picking_time_seconds]]&gt;120,"Slow",IF(WarehouseData[[#This Row],[picking_time_seconds]]&gt;=60,"Average","Fast"))</f>
        <v>Average</v>
      </c>
    </row>
    <row r="2328" spans="1:31" x14ac:dyDescent="0.25">
      <c r="A2328" t="s">
        <v>2466</v>
      </c>
      <c r="B2328" t="s">
        <v>48</v>
      </c>
      <c r="C2328">
        <v>321</v>
      </c>
      <c r="D2328">
        <v>25</v>
      </c>
      <c r="E2328">
        <v>8</v>
      </c>
      <c r="F2328">
        <v>7</v>
      </c>
      <c r="G2328">
        <v>30.34</v>
      </c>
      <c r="H2328">
        <v>7.46</v>
      </c>
      <c r="I2328">
        <v>0.99</v>
      </c>
      <c r="J2328" t="s">
        <v>62</v>
      </c>
      <c r="K2328" t="s">
        <v>46</v>
      </c>
      <c r="L2328">
        <v>162</v>
      </c>
      <c r="M2328">
        <v>1.03</v>
      </c>
      <c r="N2328">
        <v>141.1</v>
      </c>
      <c r="O2328">
        <v>1.74</v>
      </c>
      <c r="P2328">
        <v>6</v>
      </c>
      <c r="Q2328">
        <v>0.83</v>
      </c>
      <c r="R2328">
        <v>619</v>
      </c>
      <c r="S2328">
        <v>10.95</v>
      </c>
      <c r="T2328">
        <v>0.69</v>
      </c>
      <c r="U2328" s="1">
        <v>45442</v>
      </c>
      <c r="V2328">
        <v>267.7</v>
      </c>
      <c r="W2328">
        <v>0.55600000000000005</v>
      </c>
      <c r="X2328" t="str">
        <f>IF(WarehouseData[[#This Row],[stock_level]]&lt;=WarehouseData[[#This Row],[reorder_point]],"Low Stock","Sufficient Stock")</f>
        <v>Sufficient Stock</v>
      </c>
      <c r="Y2328">
        <f>WarehouseData[[#This Row],[daily_demand]]*WarehouseData[[#This Row],[lead_time_days]]</f>
        <v>212.38</v>
      </c>
      <c r="Z2328" t="str">
        <f>IF(WarehouseData[[#This Row],[stock_level]]&lt;=WarehouseData[[#This Row],[Demand During Lead Time]],"At Risk","Safe")</f>
        <v>Safe</v>
      </c>
      <c r="AA2328">
        <f>WarehouseData[[#This Row],[stock_level]]/WarehouseData[[#This Row],[daily_demand]]</f>
        <v>10.580092287409361</v>
      </c>
      <c r="AB2328">
        <f>WarehouseData[[#This Row],[stock_level]]*WarehouseData[[#This Row],[unit_price]]</f>
        <v>45293.1</v>
      </c>
      <c r="AC2328">
        <f>WarehouseData[[#This Row],[stock_level]]*WarehouseData[[#This Row],[holding_cost_per_unit_day]]*30</f>
        <v>16756.199999999997</v>
      </c>
      <c r="AD2328" t="str">
        <f>IF(WarehouseData[[#This Row],[order_fulfillment_rate]]&gt;=0.9,"Strong",IF(WarehouseData[[#This Row],[order_fulfillment_rate]]&gt;=0.8,"Moderate","Needs Attention"))</f>
        <v>Moderate</v>
      </c>
      <c r="AE2328" t="str">
        <f>IF(WarehouseData[[#This Row],[picking_time_seconds]]&gt;120,"Slow",IF(WarehouseData[[#This Row],[picking_time_seconds]]&gt;=60,"Average","Fast"))</f>
        <v>Slow</v>
      </c>
    </row>
    <row r="2329" spans="1:31" x14ac:dyDescent="0.25">
      <c r="A2329" t="s">
        <v>2467</v>
      </c>
      <c r="B2329" t="s">
        <v>73</v>
      </c>
      <c r="C2329">
        <v>44</v>
      </c>
      <c r="D2329">
        <v>32</v>
      </c>
      <c r="E2329">
        <v>12</v>
      </c>
      <c r="F2329">
        <v>5</v>
      </c>
      <c r="G2329">
        <v>46.85</v>
      </c>
      <c r="H2329">
        <v>3.77</v>
      </c>
      <c r="I2329">
        <v>0.16</v>
      </c>
      <c r="J2329" t="s">
        <v>146</v>
      </c>
      <c r="K2329" t="s">
        <v>46</v>
      </c>
      <c r="L2329">
        <v>42</v>
      </c>
      <c r="M2329">
        <v>2.0499999999999998</v>
      </c>
      <c r="N2329">
        <v>158.65</v>
      </c>
      <c r="O2329">
        <v>0.52</v>
      </c>
      <c r="P2329">
        <v>0</v>
      </c>
      <c r="Q2329">
        <v>0.85</v>
      </c>
      <c r="R2329">
        <v>97</v>
      </c>
      <c r="S2329">
        <v>11.14</v>
      </c>
      <c r="T2329">
        <v>0.65</v>
      </c>
      <c r="U2329" s="1">
        <v>45521</v>
      </c>
      <c r="V2329">
        <v>281.43</v>
      </c>
      <c r="W2329">
        <v>0.79700000000000004</v>
      </c>
      <c r="X2329" t="str">
        <f>IF(WarehouseData[[#This Row],[stock_level]]&lt;=WarehouseData[[#This Row],[reorder_point]],"Low Stock","Sufficient Stock")</f>
        <v>Sufficient Stock</v>
      </c>
      <c r="Y2329">
        <f>WarehouseData[[#This Row],[daily_demand]]*WarehouseData[[#This Row],[lead_time_days]]</f>
        <v>234.25</v>
      </c>
      <c r="Z2329" t="str">
        <f>IF(WarehouseData[[#This Row],[stock_level]]&lt;=WarehouseData[[#This Row],[Demand During Lead Time]],"At Risk","Safe")</f>
        <v>At Risk</v>
      </c>
      <c r="AA2329">
        <f>WarehouseData[[#This Row],[stock_level]]/WarehouseData[[#This Row],[daily_demand]]</f>
        <v>0.93916755602988256</v>
      </c>
      <c r="AB2329">
        <f>WarehouseData[[#This Row],[stock_level]]*WarehouseData[[#This Row],[unit_price]]</f>
        <v>6980.6</v>
      </c>
      <c r="AC2329">
        <f>WarehouseData[[#This Row],[stock_level]]*WarehouseData[[#This Row],[holding_cost_per_unit_day]]*30</f>
        <v>686.40000000000009</v>
      </c>
      <c r="AD2329" t="str">
        <f>IF(WarehouseData[[#This Row],[order_fulfillment_rate]]&gt;=0.9,"Strong",IF(WarehouseData[[#This Row],[order_fulfillment_rate]]&gt;=0.8,"Moderate","Needs Attention"))</f>
        <v>Moderate</v>
      </c>
      <c r="AE2329" t="str">
        <f>IF(WarehouseData[[#This Row],[picking_time_seconds]]&gt;120,"Slow",IF(WarehouseData[[#This Row],[picking_time_seconds]]&gt;=60,"Average","Fast"))</f>
        <v>Fast</v>
      </c>
    </row>
    <row r="2330" spans="1:31" x14ac:dyDescent="0.25">
      <c r="A2330" t="s">
        <v>2468</v>
      </c>
      <c r="B2330" t="s">
        <v>48</v>
      </c>
      <c r="C2330">
        <v>296</v>
      </c>
      <c r="D2330">
        <v>16</v>
      </c>
      <c r="E2330">
        <v>6</v>
      </c>
      <c r="F2330">
        <v>3</v>
      </c>
      <c r="G2330">
        <v>39.090000000000003</v>
      </c>
      <c r="H2330">
        <v>6.81</v>
      </c>
      <c r="I2330">
        <v>0.65</v>
      </c>
      <c r="J2330" t="s">
        <v>212</v>
      </c>
      <c r="K2330" t="s">
        <v>52</v>
      </c>
      <c r="L2330">
        <v>46</v>
      </c>
      <c r="M2330">
        <v>1.96</v>
      </c>
      <c r="N2330">
        <v>41.98</v>
      </c>
      <c r="O2330">
        <v>1.21</v>
      </c>
      <c r="P2330">
        <v>1</v>
      </c>
      <c r="Q2330">
        <v>0.73</v>
      </c>
      <c r="R2330">
        <v>404</v>
      </c>
      <c r="S2330">
        <v>9.82</v>
      </c>
      <c r="T2330">
        <v>0.46</v>
      </c>
      <c r="U2330" s="1">
        <v>45382</v>
      </c>
      <c r="V2330">
        <v>210.38</v>
      </c>
      <c r="W2330">
        <v>0.628</v>
      </c>
      <c r="X2330" t="str">
        <f>IF(WarehouseData[[#This Row],[stock_level]]&lt;=WarehouseData[[#This Row],[reorder_point]],"Low Stock","Sufficient Stock")</f>
        <v>Sufficient Stock</v>
      </c>
      <c r="Y2330">
        <f>WarehouseData[[#This Row],[daily_demand]]*WarehouseData[[#This Row],[lead_time_days]]</f>
        <v>117.27000000000001</v>
      </c>
      <c r="Z2330" t="str">
        <f>IF(WarehouseData[[#This Row],[stock_level]]&lt;=WarehouseData[[#This Row],[Demand During Lead Time]],"At Risk","Safe")</f>
        <v>Safe</v>
      </c>
      <c r="AA2330">
        <f>WarehouseData[[#This Row],[stock_level]]/WarehouseData[[#This Row],[daily_demand]]</f>
        <v>7.5722691225377332</v>
      </c>
      <c r="AB2330">
        <f>WarehouseData[[#This Row],[stock_level]]*WarehouseData[[#This Row],[unit_price]]</f>
        <v>12426.08</v>
      </c>
      <c r="AC2330">
        <f>WarehouseData[[#This Row],[stock_level]]*WarehouseData[[#This Row],[holding_cost_per_unit_day]]*30</f>
        <v>10744.8</v>
      </c>
      <c r="AD2330" t="str">
        <f>IF(WarehouseData[[#This Row],[order_fulfillment_rate]]&gt;=0.9,"Strong",IF(WarehouseData[[#This Row],[order_fulfillment_rate]]&gt;=0.8,"Moderate","Needs Attention"))</f>
        <v>Needs Attention</v>
      </c>
      <c r="AE2330" t="str">
        <f>IF(WarehouseData[[#This Row],[picking_time_seconds]]&gt;120,"Slow",IF(WarehouseData[[#This Row],[picking_time_seconds]]&gt;=60,"Average","Fast"))</f>
        <v>Fast</v>
      </c>
    </row>
    <row r="2331" spans="1:31" x14ac:dyDescent="0.25">
      <c r="A2331" t="s">
        <v>2469</v>
      </c>
      <c r="B2331" t="s">
        <v>73</v>
      </c>
      <c r="C2331">
        <v>491</v>
      </c>
      <c r="D2331">
        <v>35</v>
      </c>
      <c r="E2331">
        <v>8</v>
      </c>
      <c r="F2331">
        <v>6</v>
      </c>
      <c r="G2331">
        <v>8.4499999999999993</v>
      </c>
      <c r="H2331">
        <v>9.0399999999999991</v>
      </c>
      <c r="I2331">
        <v>0.53</v>
      </c>
      <c r="J2331" t="s">
        <v>57</v>
      </c>
      <c r="K2331" t="s">
        <v>34</v>
      </c>
      <c r="L2331">
        <v>101</v>
      </c>
      <c r="M2331">
        <v>3.08</v>
      </c>
      <c r="N2331">
        <v>164.28</v>
      </c>
      <c r="O2331">
        <v>1.29</v>
      </c>
      <c r="P2331">
        <v>3</v>
      </c>
      <c r="Q2331">
        <v>0.72</v>
      </c>
      <c r="R2331">
        <v>283</v>
      </c>
      <c r="S2331">
        <v>5</v>
      </c>
      <c r="T2331">
        <v>0.64</v>
      </c>
      <c r="U2331" s="1">
        <v>45641</v>
      </c>
      <c r="V2331">
        <v>260.43</v>
      </c>
      <c r="W2331">
        <v>0.55000000000000004</v>
      </c>
      <c r="X2331" t="str">
        <f>IF(WarehouseData[[#This Row],[stock_level]]&lt;=WarehouseData[[#This Row],[reorder_point]],"Low Stock","Sufficient Stock")</f>
        <v>Sufficient Stock</v>
      </c>
      <c r="Y2331">
        <f>WarehouseData[[#This Row],[daily_demand]]*WarehouseData[[#This Row],[lead_time_days]]</f>
        <v>50.699999999999996</v>
      </c>
      <c r="Z2331" t="str">
        <f>IF(WarehouseData[[#This Row],[stock_level]]&lt;=WarehouseData[[#This Row],[Demand During Lead Time]],"At Risk","Safe")</f>
        <v>Safe</v>
      </c>
      <c r="AA2331">
        <f>WarehouseData[[#This Row],[stock_level]]/WarehouseData[[#This Row],[daily_demand]]</f>
        <v>58.10650887573965</v>
      </c>
      <c r="AB2331">
        <f>WarehouseData[[#This Row],[stock_level]]*WarehouseData[[#This Row],[unit_price]]</f>
        <v>80661.48</v>
      </c>
      <c r="AC2331">
        <f>WarehouseData[[#This Row],[stock_level]]*WarehouseData[[#This Row],[holding_cost_per_unit_day]]*30</f>
        <v>19001.7</v>
      </c>
      <c r="AD2331" t="str">
        <f>IF(WarehouseData[[#This Row],[order_fulfillment_rate]]&gt;=0.9,"Strong",IF(WarehouseData[[#This Row],[order_fulfillment_rate]]&gt;=0.8,"Moderate","Needs Attention"))</f>
        <v>Needs Attention</v>
      </c>
      <c r="AE2331" t="str">
        <f>IF(WarehouseData[[#This Row],[picking_time_seconds]]&gt;120,"Slow",IF(WarehouseData[[#This Row],[picking_time_seconds]]&gt;=60,"Average","Fast"))</f>
        <v>Average</v>
      </c>
    </row>
    <row r="2332" spans="1:31" x14ac:dyDescent="0.25">
      <c r="A2332" t="s">
        <v>2470</v>
      </c>
      <c r="B2332" t="s">
        <v>73</v>
      </c>
      <c r="C2332">
        <v>396</v>
      </c>
      <c r="D2332">
        <v>21</v>
      </c>
      <c r="E2332">
        <v>8</v>
      </c>
      <c r="F2332">
        <v>8</v>
      </c>
      <c r="G2332">
        <v>9.5299999999999994</v>
      </c>
      <c r="H2332">
        <v>7.4</v>
      </c>
      <c r="I2332">
        <v>0.32</v>
      </c>
      <c r="J2332" t="s">
        <v>142</v>
      </c>
      <c r="K2332" t="s">
        <v>46</v>
      </c>
      <c r="L2332">
        <v>133</v>
      </c>
      <c r="M2332">
        <v>3.94</v>
      </c>
      <c r="N2332">
        <v>11.37</v>
      </c>
      <c r="O2332">
        <v>0.41</v>
      </c>
      <c r="P2332">
        <v>0</v>
      </c>
      <c r="Q2332">
        <v>0.88</v>
      </c>
      <c r="R2332">
        <v>486</v>
      </c>
      <c r="S2332">
        <v>3.34</v>
      </c>
      <c r="T2332">
        <v>0.69</v>
      </c>
      <c r="U2332" s="1">
        <v>45330</v>
      </c>
      <c r="V2332">
        <v>66.569999999999993</v>
      </c>
      <c r="W2332">
        <v>0.71799999999999997</v>
      </c>
      <c r="X2332" t="str">
        <f>IF(WarehouseData[[#This Row],[stock_level]]&lt;=WarehouseData[[#This Row],[reorder_point]],"Low Stock","Sufficient Stock")</f>
        <v>Sufficient Stock</v>
      </c>
      <c r="Y2332">
        <f>WarehouseData[[#This Row],[daily_demand]]*WarehouseData[[#This Row],[lead_time_days]]</f>
        <v>76.239999999999995</v>
      </c>
      <c r="Z2332" t="str">
        <f>IF(WarehouseData[[#This Row],[stock_level]]&lt;=WarehouseData[[#This Row],[Demand During Lead Time]],"At Risk","Safe")</f>
        <v>Safe</v>
      </c>
      <c r="AA2332">
        <f>WarehouseData[[#This Row],[stock_level]]/WarehouseData[[#This Row],[daily_demand]]</f>
        <v>41.552990556138511</v>
      </c>
      <c r="AB2332">
        <f>WarehouseData[[#This Row],[stock_level]]*WarehouseData[[#This Row],[unit_price]]</f>
        <v>4502.5199999999995</v>
      </c>
      <c r="AC2332">
        <f>WarehouseData[[#This Row],[stock_level]]*WarehouseData[[#This Row],[holding_cost_per_unit_day]]*30</f>
        <v>4870.7999999999993</v>
      </c>
      <c r="AD2332" t="str">
        <f>IF(WarehouseData[[#This Row],[order_fulfillment_rate]]&gt;=0.9,"Strong",IF(WarehouseData[[#This Row],[order_fulfillment_rate]]&gt;=0.8,"Moderate","Needs Attention"))</f>
        <v>Moderate</v>
      </c>
      <c r="AE2332" t="str">
        <f>IF(WarehouseData[[#This Row],[picking_time_seconds]]&gt;120,"Slow",IF(WarehouseData[[#This Row],[picking_time_seconds]]&gt;=60,"Average","Fast"))</f>
        <v>Slow</v>
      </c>
    </row>
    <row r="2333" spans="1:31" x14ac:dyDescent="0.25">
      <c r="A2333" t="s">
        <v>2471</v>
      </c>
      <c r="B2333" t="s">
        <v>40</v>
      </c>
      <c r="C2333">
        <v>397</v>
      </c>
      <c r="D2333">
        <v>81</v>
      </c>
      <c r="E2333">
        <v>6</v>
      </c>
      <c r="F2333">
        <v>5</v>
      </c>
      <c r="G2333">
        <v>5.92</v>
      </c>
      <c r="H2333">
        <v>7.25</v>
      </c>
      <c r="I2333">
        <v>0.25</v>
      </c>
      <c r="J2333" t="s">
        <v>212</v>
      </c>
      <c r="K2333" t="s">
        <v>52</v>
      </c>
      <c r="L2333">
        <v>52</v>
      </c>
      <c r="M2333">
        <v>3.07</v>
      </c>
      <c r="N2333">
        <v>110.71</v>
      </c>
      <c r="O2333">
        <v>1.55</v>
      </c>
      <c r="P2333">
        <v>7</v>
      </c>
      <c r="Q2333">
        <v>0.85</v>
      </c>
      <c r="R2333">
        <v>749</v>
      </c>
      <c r="S2333">
        <v>13.99</v>
      </c>
      <c r="T2333">
        <v>0.34</v>
      </c>
      <c r="U2333" s="1">
        <v>45387</v>
      </c>
      <c r="V2333">
        <v>32.99</v>
      </c>
      <c r="W2333">
        <v>0.53</v>
      </c>
      <c r="X2333" t="str">
        <f>IF(WarehouseData[[#This Row],[stock_level]]&lt;=WarehouseData[[#This Row],[reorder_point]],"Low Stock","Sufficient Stock")</f>
        <v>Sufficient Stock</v>
      </c>
      <c r="Y2333">
        <f>WarehouseData[[#This Row],[daily_demand]]*WarehouseData[[#This Row],[lead_time_days]]</f>
        <v>29.6</v>
      </c>
      <c r="Z2333" t="str">
        <f>IF(WarehouseData[[#This Row],[stock_level]]&lt;=WarehouseData[[#This Row],[Demand During Lead Time]],"At Risk","Safe")</f>
        <v>Safe</v>
      </c>
      <c r="AA2333">
        <f>WarehouseData[[#This Row],[stock_level]]/WarehouseData[[#This Row],[daily_demand]]</f>
        <v>67.060810810810807</v>
      </c>
      <c r="AB2333">
        <f>WarehouseData[[#This Row],[stock_level]]*WarehouseData[[#This Row],[unit_price]]</f>
        <v>43951.869999999995</v>
      </c>
      <c r="AC2333">
        <f>WarehouseData[[#This Row],[stock_level]]*WarehouseData[[#This Row],[holding_cost_per_unit_day]]*30</f>
        <v>18460.5</v>
      </c>
      <c r="AD2333" t="str">
        <f>IF(WarehouseData[[#This Row],[order_fulfillment_rate]]&gt;=0.9,"Strong",IF(WarehouseData[[#This Row],[order_fulfillment_rate]]&gt;=0.8,"Moderate","Needs Attention"))</f>
        <v>Moderate</v>
      </c>
      <c r="AE2333" t="str">
        <f>IF(WarehouseData[[#This Row],[picking_time_seconds]]&gt;120,"Slow",IF(WarehouseData[[#This Row],[picking_time_seconds]]&gt;=60,"Average","Fast"))</f>
        <v>Fast</v>
      </c>
    </row>
    <row r="2334" spans="1:31" x14ac:dyDescent="0.25">
      <c r="A2334" t="s">
        <v>2472</v>
      </c>
      <c r="B2334" t="s">
        <v>32</v>
      </c>
      <c r="C2334">
        <v>408</v>
      </c>
      <c r="D2334">
        <v>14</v>
      </c>
      <c r="E2334">
        <v>8</v>
      </c>
      <c r="F2334">
        <v>5</v>
      </c>
      <c r="G2334">
        <v>37.17</v>
      </c>
      <c r="H2334">
        <v>4.13</v>
      </c>
      <c r="I2334">
        <v>0.76</v>
      </c>
      <c r="J2334" t="s">
        <v>163</v>
      </c>
      <c r="K2334" t="s">
        <v>38</v>
      </c>
      <c r="L2334">
        <v>135</v>
      </c>
      <c r="M2334">
        <v>3.9</v>
      </c>
      <c r="N2334">
        <v>108.19</v>
      </c>
      <c r="O2334">
        <v>1.75</v>
      </c>
      <c r="P2334">
        <v>3</v>
      </c>
      <c r="Q2334">
        <v>0.81</v>
      </c>
      <c r="R2334">
        <v>943</v>
      </c>
      <c r="S2334">
        <v>13.78</v>
      </c>
      <c r="T2334">
        <v>0.79</v>
      </c>
      <c r="U2334" s="1">
        <v>45380</v>
      </c>
      <c r="V2334">
        <v>106.56</v>
      </c>
      <c r="W2334">
        <v>0.66900000000000004</v>
      </c>
      <c r="X2334" t="str">
        <f>IF(WarehouseData[[#This Row],[stock_level]]&lt;=WarehouseData[[#This Row],[reorder_point]],"Low Stock","Sufficient Stock")</f>
        <v>Sufficient Stock</v>
      </c>
      <c r="Y2334">
        <f>WarehouseData[[#This Row],[daily_demand]]*WarehouseData[[#This Row],[lead_time_days]]</f>
        <v>185.85000000000002</v>
      </c>
      <c r="Z2334" t="str">
        <f>IF(WarehouseData[[#This Row],[stock_level]]&lt;=WarehouseData[[#This Row],[Demand During Lead Time]],"At Risk","Safe")</f>
        <v>Safe</v>
      </c>
      <c r="AA2334">
        <f>WarehouseData[[#This Row],[stock_level]]/WarehouseData[[#This Row],[daily_demand]]</f>
        <v>10.976594027441484</v>
      </c>
      <c r="AB2334">
        <f>WarehouseData[[#This Row],[stock_level]]*WarehouseData[[#This Row],[unit_price]]</f>
        <v>44141.52</v>
      </c>
      <c r="AC2334">
        <f>WarehouseData[[#This Row],[stock_level]]*WarehouseData[[#This Row],[holding_cost_per_unit_day]]*30</f>
        <v>21420</v>
      </c>
      <c r="AD2334" t="str">
        <f>IF(WarehouseData[[#This Row],[order_fulfillment_rate]]&gt;=0.9,"Strong",IF(WarehouseData[[#This Row],[order_fulfillment_rate]]&gt;=0.8,"Moderate","Needs Attention"))</f>
        <v>Moderate</v>
      </c>
      <c r="AE2334" t="str">
        <f>IF(WarehouseData[[#This Row],[picking_time_seconds]]&gt;120,"Slow",IF(WarehouseData[[#This Row],[picking_time_seconds]]&gt;=60,"Average","Fast"))</f>
        <v>Slow</v>
      </c>
    </row>
    <row r="2335" spans="1:31" x14ac:dyDescent="0.25">
      <c r="A2335" t="s">
        <v>2473</v>
      </c>
      <c r="B2335" t="s">
        <v>48</v>
      </c>
      <c r="C2335">
        <v>89</v>
      </c>
      <c r="D2335">
        <v>78</v>
      </c>
      <c r="E2335">
        <v>12</v>
      </c>
      <c r="F2335">
        <v>2</v>
      </c>
      <c r="G2335">
        <v>35.6</v>
      </c>
      <c r="H2335">
        <v>9.16</v>
      </c>
      <c r="I2335">
        <v>0.92</v>
      </c>
      <c r="J2335" t="s">
        <v>146</v>
      </c>
      <c r="K2335" t="s">
        <v>52</v>
      </c>
      <c r="L2335">
        <v>18</v>
      </c>
      <c r="M2335">
        <v>0.95</v>
      </c>
      <c r="N2335">
        <v>128.53</v>
      </c>
      <c r="O2335">
        <v>0.64</v>
      </c>
      <c r="P2335">
        <v>6</v>
      </c>
      <c r="Q2335">
        <v>0.87</v>
      </c>
      <c r="R2335">
        <v>675</v>
      </c>
      <c r="S2335">
        <v>4.3899999999999997</v>
      </c>
      <c r="T2335">
        <v>0.51</v>
      </c>
      <c r="U2335" s="1">
        <v>45555</v>
      </c>
      <c r="V2335">
        <v>104.46</v>
      </c>
      <c r="W2335">
        <v>0.55100000000000005</v>
      </c>
      <c r="X2335" t="str">
        <f>IF(WarehouseData[[#This Row],[stock_level]]&lt;=WarehouseData[[#This Row],[reorder_point]],"Low Stock","Sufficient Stock")</f>
        <v>Sufficient Stock</v>
      </c>
      <c r="Y2335">
        <f>WarehouseData[[#This Row],[daily_demand]]*WarehouseData[[#This Row],[lead_time_days]]</f>
        <v>71.2</v>
      </c>
      <c r="Z2335" t="str">
        <f>IF(WarehouseData[[#This Row],[stock_level]]&lt;=WarehouseData[[#This Row],[Demand During Lead Time]],"At Risk","Safe")</f>
        <v>Safe</v>
      </c>
      <c r="AA2335">
        <f>WarehouseData[[#This Row],[stock_level]]/WarehouseData[[#This Row],[daily_demand]]</f>
        <v>2.5</v>
      </c>
      <c r="AB2335">
        <f>WarehouseData[[#This Row],[stock_level]]*WarehouseData[[#This Row],[unit_price]]</f>
        <v>11439.17</v>
      </c>
      <c r="AC2335">
        <f>WarehouseData[[#This Row],[stock_level]]*WarehouseData[[#This Row],[holding_cost_per_unit_day]]*30</f>
        <v>1708.8</v>
      </c>
      <c r="AD2335" t="str">
        <f>IF(WarehouseData[[#This Row],[order_fulfillment_rate]]&gt;=0.9,"Strong",IF(WarehouseData[[#This Row],[order_fulfillment_rate]]&gt;=0.8,"Moderate","Needs Attention"))</f>
        <v>Moderate</v>
      </c>
      <c r="AE2335" t="str">
        <f>IF(WarehouseData[[#This Row],[picking_time_seconds]]&gt;120,"Slow",IF(WarehouseData[[#This Row],[picking_time_seconds]]&gt;=60,"Average","Fast"))</f>
        <v>Fast</v>
      </c>
    </row>
    <row r="2336" spans="1:31" x14ac:dyDescent="0.25">
      <c r="A2336" t="s">
        <v>2474</v>
      </c>
      <c r="B2336" t="s">
        <v>73</v>
      </c>
      <c r="C2336">
        <v>132</v>
      </c>
      <c r="D2336">
        <v>58</v>
      </c>
      <c r="E2336">
        <v>13</v>
      </c>
      <c r="F2336">
        <v>6</v>
      </c>
      <c r="G2336">
        <v>49.33</v>
      </c>
      <c r="H2336">
        <v>3.13</v>
      </c>
      <c r="I2336">
        <v>0.2</v>
      </c>
      <c r="J2336" t="s">
        <v>338</v>
      </c>
      <c r="K2336" t="s">
        <v>46</v>
      </c>
      <c r="L2336">
        <v>23</v>
      </c>
      <c r="M2336">
        <v>4.45</v>
      </c>
      <c r="N2336">
        <v>55.54</v>
      </c>
      <c r="O2336">
        <v>1.77</v>
      </c>
      <c r="P2336">
        <v>6</v>
      </c>
      <c r="Q2336">
        <v>0.72</v>
      </c>
      <c r="R2336">
        <v>139</v>
      </c>
      <c r="S2336">
        <v>3.35</v>
      </c>
      <c r="T2336">
        <v>0.79</v>
      </c>
      <c r="U2336" s="1">
        <v>45353</v>
      </c>
      <c r="V2336">
        <v>202.88</v>
      </c>
      <c r="W2336">
        <v>0.45</v>
      </c>
      <c r="X2336" t="str">
        <f>IF(WarehouseData[[#This Row],[stock_level]]&lt;=WarehouseData[[#This Row],[reorder_point]],"Low Stock","Sufficient Stock")</f>
        <v>Sufficient Stock</v>
      </c>
      <c r="Y2336">
        <f>WarehouseData[[#This Row],[daily_demand]]*WarehouseData[[#This Row],[lead_time_days]]</f>
        <v>295.98</v>
      </c>
      <c r="Z2336" t="str">
        <f>IF(WarehouseData[[#This Row],[stock_level]]&lt;=WarehouseData[[#This Row],[Demand During Lead Time]],"At Risk","Safe")</f>
        <v>At Risk</v>
      </c>
      <c r="AA2336">
        <f>WarehouseData[[#This Row],[stock_level]]/WarehouseData[[#This Row],[daily_demand]]</f>
        <v>2.6758564767889723</v>
      </c>
      <c r="AB2336">
        <f>WarehouseData[[#This Row],[stock_level]]*WarehouseData[[#This Row],[unit_price]]</f>
        <v>7331.28</v>
      </c>
      <c r="AC2336">
        <f>WarehouseData[[#This Row],[stock_level]]*WarehouseData[[#This Row],[holding_cost_per_unit_day]]*30</f>
        <v>7009.2000000000007</v>
      </c>
      <c r="AD2336" t="str">
        <f>IF(WarehouseData[[#This Row],[order_fulfillment_rate]]&gt;=0.9,"Strong",IF(WarehouseData[[#This Row],[order_fulfillment_rate]]&gt;=0.8,"Moderate","Needs Attention"))</f>
        <v>Needs Attention</v>
      </c>
      <c r="AE2336" t="str">
        <f>IF(WarehouseData[[#This Row],[picking_time_seconds]]&gt;120,"Slow",IF(WarehouseData[[#This Row],[picking_time_seconds]]&gt;=60,"Average","Fast"))</f>
        <v>Fast</v>
      </c>
    </row>
    <row r="2337" spans="1:31" x14ac:dyDescent="0.25">
      <c r="A2337" t="s">
        <v>2475</v>
      </c>
      <c r="B2337" t="s">
        <v>48</v>
      </c>
      <c r="C2337">
        <v>382</v>
      </c>
      <c r="D2337">
        <v>35</v>
      </c>
      <c r="E2337">
        <v>10</v>
      </c>
      <c r="F2337">
        <v>2</v>
      </c>
      <c r="G2337">
        <v>26.58</v>
      </c>
      <c r="H2337">
        <v>2.4500000000000002</v>
      </c>
      <c r="I2337">
        <v>0.27</v>
      </c>
      <c r="J2337" t="s">
        <v>98</v>
      </c>
      <c r="K2337" t="s">
        <v>46</v>
      </c>
      <c r="L2337">
        <v>140</v>
      </c>
      <c r="M2337">
        <v>2.91</v>
      </c>
      <c r="N2337">
        <v>11.87</v>
      </c>
      <c r="O2337">
        <v>0.25</v>
      </c>
      <c r="P2337">
        <v>7</v>
      </c>
      <c r="Q2337">
        <v>0.98</v>
      </c>
      <c r="R2337">
        <v>418</v>
      </c>
      <c r="S2337">
        <v>6.25</v>
      </c>
      <c r="T2337">
        <v>0.34</v>
      </c>
      <c r="U2337" s="1">
        <v>45485</v>
      </c>
      <c r="V2337">
        <v>253.7</v>
      </c>
      <c r="W2337">
        <v>0.58199999999999996</v>
      </c>
      <c r="X2337" t="str">
        <f>IF(WarehouseData[[#This Row],[stock_level]]&lt;=WarehouseData[[#This Row],[reorder_point]],"Low Stock","Sufficient Stock")</f>
        <v>Sufficient Stock</v>
      </c>
      <c r="Y2337">
        <f>WarehouseData[[#This Row],[daily_demand]]*WarehouseData[[#This Row],[lead_time_days]]</f>
        <v>53.16</v>
      </c>
      <c r="Z2337" t="str">
        <f>IF(WarehouseData[[#This Row],[stock_level]]&lt;=WarehouseData[[#This Row],[Demand During Lead Time]],"At Risk","Safe")</f>
        <v>Safe</v>
      </c>
      <c r="AA2337">
        <f>WarehouseData[[#This Row],[stock_level]]/WarehouseData[[#This Row],[daily_demand]]</f>
        <v>14.371708051166291</v>
      </c>
      <c r="AB2337">
        <f>WarehouseData[[#This Row],[stock_level]]*WarehouseData[[#This Row],[unit_price]]</f>
        <v>4534.34</v>
      </c>
      <c r="AC2337">
        <f>WarehouseData[[#This Row],[stock_level]]*WarehouseData[[#This Row],[holding_cost_per_unit_day]]*30</f>
        <v>2865</v>
      </c>
      <c r="AD2337" t="str">
        <f>IF(WarehouseData[[#This Row],[order_fulfillment_rate]]&gt;=0.9,"Strong",IF(WarehouseData[[#This Row],[order_fulfillment_rate]]&gt;=0.8,"Moderate","Needs Attention"))</f>
        <v>Strong</v>
      </c>
      <c r="AE2337" t="str">
        <f>IF(WarehouseData[[#This Row],[picking_time_seconds]]&gt;120,"Slow",IF(WarehouseData[[#This Row],[picking_time_seconds]]&gt;=60,"Average","Fast"))</f>
        <v>Slow</v>
      </c>
    </row>
    <row r="2338" spans="1:31" x14ac:dyDescent="0.25">
      <c r="A2338" t="s">
        <v>2476</v>
      </c>
      <c r="B2338" t="s">
        <v>32</v>
      </c>
      <c r="C2338">
        <v>131</v>
      </c>
      <c r="D2338">
        <v>14</v>
      </c>
      <c r="E2338">
        <v>5</v>
      </c>
      <c r="F2338">
        <v>2</v>
      </c>
      <c r="G2338">
        <v>41.49</v>
      </c>
      <c r="H2338">
        <v>3.96</v>
      </c>
      <c r="I2338">
        <v>0.99</v>
      </c>
      <c r="J2338" t="s">
        <v>81</v>
      </c>
      <c r="K2338" t="s">
        <v>38</v>
      </c>
      <c r="L2338">
        <v>78</v>
      </c>
      <c r="M2338">
        <v>0.67</v>
      </c>
      <c r="N2338">
        <v>96.4</v>
      </c>
      <c r="O2338">
        <v>1.62</v>
      </c>
      <c r="P2338">
        <v>8</v>
      </c>
      <c r="Q2338">
        <v>0.79</v>
      </c>
      <c r="R2338">
        <v>988</v>
      </c>
      <c r="S2338">
        <v>1.68</v>
      </c>
      <c r="T2338">
        <v>0.73</v>
      </c>
      <c r="U2338" s="1">
        <v>45312</v>
      </c>
      <c r="V2338">
        <v>96.1</v>
      </c>
      <c r="W2338">
        <v>0.40400000000000003</v>
      </c>
      <c r="X2338" t="str">
        <f>IF(WarehouseData[[#This Row],[stock_level]]&lt;=WarehouseData[[#This Row],[reorder_point]],"Low Stock","Sufficient Stock")</f>
        <v>Sufficient Stock</v>
      </c>
      <c r="Y2338">
        <f>WarehouseData[[#This Row],[daily_demand]]*WarehouseData[[#This Row],[lead_time_days]]</f>
        <v>82.98</v>
      </c>
      <c r="Z2338" t="str">
        <f>IF(WarehouseData[[#This Row],[stock_level]]&lt;=WarehouseData[[#This Row],[Demand During Lead Time]],"At Risk","Safe")</f>
        <v>Safe</v>
      </c>
      <c r="AA2338">
        <f>WarehouseData[[#This Row],[stock_level]]/WarehouseData[[#This Row],[daily_demand]]</f>
        <v>3.1573873222463242</v>
      </c>
      <c r="AB2338">
        <f>WarehouseData[[#This Row],[stock_level]]*WarehouseData[[#This Row],[unit_price]]</f>
        <v>12628.400000000001</v>
      </c>
      <c r="AC2338">
        <f>WarehouseData[[#This Row],[stock_level]]*WarehouseData[[#This Row],[holding_cost_per_unit_day]]*30</f>
        <v>6366.6</v>
      </c>
      <c r="AD2338" t="str">
        <f>IF(WarehouseData[[#This Row],[order_fulfillment_rate]]&gt;=0.9,"Strong",IF(WarehouseData[[#This Row],[order_fulfillment_rate]]&gt;=0.8,"Moderate","Needs Attention"))</f>
        <v>Needs Attention</v>
      </c>
      <c r="AE2338" t="str">
        <f>IF(WarehouseData[[#This Row],[picking_time_seconds]]&gt;120,"Slow",IF(WarehouseData[[#This Row],[picking_time_seconds]]&gt;=60,"Average","Fast"))</f>
        <v>Average</v>
      </c>
    </row>
    <row r="2339" spans="1:31" x14ac:dyDescent="0.25">
      <c r="A2339" t="s">
        <v>2477</v>
      </c>
      <c r="B2339" t="s">
        <v>32</v>
      </c>
      <c r="C2339">
        <v>383</v>
      </c>
      <c r="D2339">
        <v>31</v>
      </c>
      <c r="E2339">
        <v>6</v>
      </c>
      <c r="F2339">
        <v>9</v>
      </c>
      <c r="G2339">
        <v>29.25</v>
      </c>
      <c r="H2339">
        <v>6.68</v>
      </c>
      <c r="I2339">
        <v>0.11</v>
      </c>
      <c r="J2339" t="s">
        <v>88</v>
      </c>
      <c r="K2339" t="s">
        <v>34</v>
      </c>
      <c r="L2339">
        <v>35</v>
      </c>
      <c r="M2339">
        <v>3.39</v>
      </c>
      <c r="N2339">
        <v>23.57</v>
      </c>
      <c r="O2339">
        <v>1.32</v>
      </c>
      <c r="P2339">
        <v>8</v>
      </c>
      <c r="Q2339">
        <v>0.72</v>
      </c>
      <c r="R2339">
        <v>218</v>
      </c>
      <c r="S2339">
        <v>3.27</v>
      </c>
      <c r="T2339">
        <v>0.22</v>
      </c>
      <c r="U2339" s="1">
        <v>45511</v>
      </c>
      <c r="V2339">
        <v>133.18</v>
      </c>
      <c r="W2339">
        <v>0.34</v>
      </c>
      <c r="X2339" t="str">
        <f>IF(WarehouseData[[#This Row],[stock_level]]&lt;=WarehouseData[[#This Row],[reorder_point]],"Low Stock","Sufficient Stock")</f>
        <v>Sufficient Stock</v>
      </c>
      <c r="Y2339">
        <f>WarehouseData[[#This Row],[daily_demand]]*WarehouseData[[#This Row],[lead_time_days]]</f>
        <v>263.25</v>
      </c>
      <c r="Z2339" t="str">
        <f>IF(WarehouseData[[#This Row],[stock_level]]&lt;=WarehouseData[[#This Row],[Demand During Lead Time]],"At Risk","Safe")</f>
        <v>Safe</v>
      </c>
      <c r="AA2339">
        <f>WarehouseData[[#This Row],[stock_level]]/WarehouseData[[#This Row],[daily_demand]]</f>
        <v>13.094017094017094</v>
      </c>
      <c r="AB2339">
        <f>WarehouseData[[#This Row],[stock_level]]*WarehouseData[[#This Row],[unit_price]]</f>
        <v>9027.31</v>
      </c>
      <c r="AC2339">
        <f>WarehouseData[[#This Row],[stock_level]]*WarehouseData[[#This Row],[holding_cost_per_unit_day]]*30</f>
        <v>15166.8</v>
      </c>
      <c r="AD2339" t="str">
        <f>IF(WarehouseData[[#This Row],[order_fulfillment_rate]]&gt;=0.9,"Strong",IF(WarehouseData[[#This Row],[order_fulfillment_rate]]&gt;=0.8,"Moderate","Needs Attention"))</f>
        <v>Needs Attention</v>
      </c>
      <c r="AE2339" t="str">
        <f>IF(WarehouseData[[#This Row],[picking_time_seconds]]&gt;120,"Slow",IF(WarehouseData[[#This Row],[picking_time_seconds]]&gt;=60,"Average","Fast"))</f>
        <v>Fast</v>
      </c>
    </row>
    <row r="2340" spans="1:31" x14ac:dyDescent="0.25">
      <c r="A2340" t="s">
        <v>2478</v>
      </c>
      <c r="B2340" t="s">
        <v>36</v>
      </c>
      <c r="C2340">
        <v>322</v>
      </c>
      <c r="D2340">
        <v>88</v>
      </c>
      <c r="E2340">
        <v>12</v>
      </c>
      <c r="F2340">
        <v>8</v>
      </c>
      <c r="G2340">
        <v>43.83</v>
      </c>
      <c r="H2340">
        <v>8.69</v>
      </c>
      <c r="I2340">
        <v>0.56000000000000005</v>
      </c>
      <c r="J2340" t="s">
        <v>68</v>
      </c>
      <c r="K2340" t="s">
        <v>38</v>
      </c>
      <c r="L2340">
        <v>136</v>
      </c>
      <c r="M2340">
        <v>2.83</v>
      </c>
      <c r="N2340">
        <v>179.52</v>
      </c>
      <c r="O2340">
        <v>1.21</v>
      </c>
      <c r="P2340">
        <v>6</v>
      </c>
      <c r="Q2340">
        <v>0.75</v>
      </c>
      <c r="R2340">
        <v>412</v>
      </c>
      <c r="S2340">
        <v>6.32</v>
      </c>
      <c r="T2340">
        <v>0.33</v>
      </c>
      <c r="U2340" s="1">
        <v>45434</v>
      </c>
      <c r="V2340">
        <v>40.44</v>
      </c>
      <c r="W2340">
        <v>0.45900000000000002</v>
      </c>
      <c r="X2340" t="str">
        <f>IF(WarehouseData[[#This Row],[stock_level]]&lt;=WarehouseData[[#This Row],[reorder_point]],"Low Stock","Sufficient Stock")</f>
        <v>Sufficient Stock</v>
      </c>
      <c r="Y2340">
        <f>WarehouseData[[#This Row],[daily_demand]]*WarehouseData[[#This Row],[lead_time_days]]</f>
        <v>350.64</v>
      </c>
      <c r="Z2340" t="str">
        <f>IF(WarehouseData[[#This Row],[stock_level]]&lt;=WarehouseData[[#This Row],[Demand During Lead Time]],"At Risk","Safe")</f>
        <v>At Risk</v>
      </c>
      <c r="AA2340">
        <f>WarehouseData[[#This Row],[stock_level]]/WarehouseData[[#This Row],[daily_demand]]</f>
        <v>7.3465662788044721</v>
      </c>
      <c r="AB2340">
        <f>WarehouseData[[#This Row],[stock_level]]*WarehouseData[[#This Row],[unit_price]]</f>
        <v>57805.440000000002</v>
      </c>
      <c r="AC2340">
        <f>WarehouseData[[#This Row],[stock_level]]*WarehouseData[[#This Row],[holding_cost_per_unit_day]]*30</f>
        <v>11688.6</v>
      </c>
      <c r="AD2340" t="str">
        <f>IF(WarehouseData[[#This Row],[order_fulfillment_rate]]&gt;=0.9,"Strong",IF(WarehouseData[[#This Row],[order_fulfillment_rate]]&gt;=0.8,"Moderate","Needs Attention"))</f>
        <v>Needs Attention</v>
      </c>
      <c r="AE2340" t="str">
        <f>IF(WarehouseData[[#This Row],[picking_time_seconds]]&gt;120,"Slow",IF(WarehouseData[[#This Row],[picking_time_seconds]]&gt;=60,"Average","Fast"))</f>
        <v>Slow</v>
      </c>
    </row>
    <row r="2341" spans="1:31" x14ac:dyDescent="0.25">
      <c r="A2341" t="s">
        <v>2479</v>
      </c>
      <c r="B2341" t="s">
        <v>32</v>
      </c>
      <c r="C2341">
        <v>490</v>
      </c>
      <c r="D2341">
        <v>22</v>
      </c>
      <c r="E2341">
        <v>14</v>
      </c>
      <c r="F2341">
        <v>4</v>
      </c>
      <c r="G2341">
        <v>36.33</v>
      </c>
      <c r="H2341">
        <v>1.75</v>
      </c>
      <c r="I2341">
        <v>0.56000000000000005</v>
      </c>
      <c r="J2341" t="s">
        <v>196</v>
      </c>
      <c r="K2341" t="s">
        <v>38</v>
      </c>
      <c r="L2341">
        <v>62</v>
      </c>
      <c r="M2341">
        <v>1.49</v>
      </c>
      <c r="N2341">
        <v>43</v>
      </c>
      <c r="O2341">
        <v>0.54</v>
      </c>
      <c r="P2341">
        <v>8</v>
      </c>
      <c r="Q2341">
        <v>0.73</v>
      </c>
      <c r="R2341">
        <v>971</v>
      </c>
      <c r="S2341">
        <v>4.34</v>
      </c>
      <c r="T2341">
        <v>0.91</v>
      </c>
      <c r="U2341" s="1">
        <v>45576</v>
      </c>
      <c r="V2341">
        <v>129.69</v>
      </c>
      <c r="W2341">
        <v>0.57199999999999995</v>
      </c>
      <c r="X2341" t="str">
        <f>IF(WarehouseData[[#This Row],[stock_level]]&lt;=WarehouseData[[#This Row],[reorder_point]],"Low Stock","Sufficient Stock")</f>
        <v>Sufficient Stock</v>
      </c>
      <c r="Y2341">
        <f>WarehouseData[[#This Row],[daily_demand]]*WarehouseData[[#This Row],[lead_time_days]]</f>
        <v>145.32</v>
      </c>
      <c r="Z2341" t="str">
        <f>IF(WarehouseData[[#This Row],[stock_level]]&lt;=WarehouseData[[#This Row],[Demand During Lead Time]],"At Risk","Safe")</f>
        <v>Safe</v>
      </c>
      <c r="AA2341">
        <f>WarehouseData[[#This Row],[stock_level]]/WarehouseData[[#This Row],[daily_demand]]</f>
        <v>13.48747591522158</v>
      </c>
      <c r="AB2341">
        <f>WarehouseData[[#This Row],[stock_level]]*WarehouseData[[#This Row],[unit_price]]</f>
        <v>21070</v>
      </c>
      <c r="AC2341">
        <f>WarehouseData[[#This Row],[stock_level]]*WarehouseData[[#This Row],[holding_cost_per_unit_day]]*30</f>
        <v>7938.0000000000009</v>
      </c>
      <c r="AD2341" t="str">
        <f>IF(WarehouseData[[#This Row],[order_fulfillment_rate]]&gt;=0.9,"Strong",IF(WarehouseData[[#This Row],[order_fulfillment_rate]]&gt;=0.8,"Moderate","Needs Attention"))</f>
        <v>Needs Attention</v>
      </c>
      <c r="AE2341" t="str">
        <f>IF(WarehouseData[[#This Row],[picking_time_seconds]]&gt;120,"Slow",IF(WarehouseData[[#This Row],[picking_time_seconds]]&gt;=60,"Average","Fast"))</f>
        <v>Average</v>
      </c>
    </row>
    <row r="2342" spans="1:31" x14ac:dyDescent="0.25">
      <c r="A2342" t="s">
        <v>2480</v>
      </c>
      <c r="B2342" t="s">
        <v>40</v>
      </c>
      <c r="C2342">
        <v>471</v>
      </c>
      <c r="D2342">
        <v>37</v>
      </c>
      <c r="E2342">
        <v>3</v>
      </c>
      <c r="F2342">
        <v>2</v>
      </c>
      <c r="G2342">
        <v>32.5</v>
      </c>
      <c r="H2342">
        <v>8.23</v>
      </c>
      <c r="I2342">
        <v>0.34</v>
      </c>
      <c r="J2342" t="s">
        <v>207</v>
      </c>
      <c r="K2342" t="s">
        <v>46</v>
      </c>
      <c r="L2342">
        <v>50</v>
      </c>
      <c r="M2342">
        <v>3.94</v>
      </c>
      <c r="N2342">
        <v>90.79</v>
      </c>
      <c r="O2342">
        <v>0.79</v>
      </c>
      <c r="P2342">
        <v>4</v>
      </c>
      <c r="Q2342">
        <v>0.75</v>
      </c>
      <c r="R2342">
        <v>922</v>
      </c>
      <c r="S2342">
        <v>11.32</v>
      </c>
      <c r="T2342">
        <v>0.56999999999999995</v>
      </c>
      <c r="U2342" s="1">
        <v>45427</v>
      </c>
      <c r="V2342">
        <v>72.180000000000007</v>
      </c>
      <c r="W2342">
        <v>0.65600000000000003</v>
      </c>
      <c r="X2342" t="str">
        <f>IF(WarehouseData[[#This Row],[stock_level]]&lt;=WarehouseData[[#This Row],[reorder_point]],"Low Stock","Sufficient Stock")</f>
        <v>Sufficient Stock</v>
      </c>
      <c r="Y2342">
        <f>WarehouseData[[#This Row],[daily_demand]]*WarehouseData[[#This Row],[lead_time_days]]</f>
        <v>65</v>
      </c>
      <c r="Z2342" t="str">
        <f>IF(WarehouseData[[#This Row],[stock_level]]&lt;=WarehouseData[[#This Row],[Demand During Lead Time]],"At Risk","Safe")</f>
        <v>Safe</v>
      </c>
      <c r="AA2342">
        <f>WarehouseData[[#This Row],[stock_level]]/WarehouseData[[#This Row],[daily_demand]]</f>
        <v>14.492307692307692</v>
      </c>
      <c r="AB2342">
        <f>WarehouseData[[#This Row],[stock_level]]*WarehouseData[[#This Row],[unit_price]]</f>
        <v>42762.090000000004</v>
      </c>
      <c r="AC2342">
        <f>WarehouseData[[#This Row],[stock_level]]*WarehouseData[[#This Row],[holding_cost_per_unit_day]]*30</f>
        <v>11162.7</v>
      </c>
      <c r="AD2342" t="str">
        <f>IF(WarehouseData[[#This Row],[order_fulfillment_rate]]&gt;=0.9,"Strong",IF(WarehouseData[[#This Row],[order_fulfillment_rate]]&gt;=0.8,"Moderate","Needs Attention"))</f>
        <v>Needs Attention</v>
      </c>
      <c r="AE2342" t="str">
        <f>IF(WarehouseData[[#This Row],[picking_time_seconds]]&gt;120,"Slow",IF(WarehouseData[[#This Row],[picking_time_seconds]]&gt;=60,"Average","Fast"))</f>
        <v>Fast</v>
      </c>
    </row>
    <row r="2343" spans="1:31" x14ac:dyDescent="0.25">
      <c r="A2343" t="s">
        <v>2481</v>
      </c>
      <c r="B2343" t="s">
        <v>73</v>
      </c>
      <c r="C2343">
        <v>110</v>
      </c>
      <c r="D2343">
        <v>42</v>
      </c>
      <c r="E2343">
        <v>6</v>
      </c>
      <c r="F2343">
        <v>3</v>
      </c>
      <c r="G2343">
        <v>28.69</v>
      </c>
      <c r="H2343">
        <v>8.2200000000000006</v>
      </c>
      <c r="I2343">
        <v>0.7</v>
      </c>
      <c r="J2343" t="s">
        <v>377</v>
      </c>
      <c r="K2343" t="s">
        <v>46</v>
      </c>
      <c r="L2343">
        <v>91</v>
      </c>
      <c r="M2343">
        <v>4.7</v>
      </c>
      <c r="N2343">
        <v>92.46</v>
      </c>
      <c r="O2343">
        <v>1.83</v>
      </c>
      <c r="P2343">
        <v>9</v>
      </c>
      <c r="Q2343">
        <v>0.83</v>
      </c>
      <c r="R2343">
        <v>226</v>
      </c>
      <c r="S2343">
        <v>13.67</v>
      </c>
      <c r="T2343">
        <v>0.61</v>
      </c>
      <c r="U2343" s="1">
        <v>45358</v>
      </c>
      <c r="V2343">
        <v>120.91</v>
      </c>
      <c r="W2343">
        <v>0.50700000000000001</v>
      </c>
      <c r="X2343" t="str">
        <f>IF(WarehouseData[[#This Row],[stock_level]]&lt;=WarehouseData[[#This Row],[reorder_point]],"Low Stock","Sufficient Stock")</f>
        <v>Sufficient Stock</v>
      </c>
      <c r="Y2343">
        <f>WarehouseData[[#This Row],[daily_demand]]*WarehouseData[[#This Row],[lead_time_days]]</f>
        <v>86.070000000000007</v>
      </c>
      <c r="Z2343" t="str">
        <f>IF(WarehouseData[[#This Row],[stock_level]]&lt;=WarehouseData[[#This Row],[Demand During Lead Time]],"At Risk","Safe")</f>
        <v>Safe</v>
      </c>
      <c r="AA2343">
        <f>WarehouseData[[#This Row],[stock_level]]/WarehouseData[[#This Row],[daily_demand]]</f>
        <v>3.8340885325897522</v>
      </c>
      <c r="AB2343">
        <f>WarehouseData[[#This Row],[stock_level]]*WarehouseData[[#This Row],[unit_price]]</f>
        <v>10170.599999999999</v>
      </c>
      <c r="AC2343">
        <f>WarehouseData[[#This Row],[stock_level]]*WarehouseData[[#This Row],[holding_cost_per_unit_day]]*30</f>
        <v>6039</v>
      </c>
      <c r="AD2343" t="str">
        <f>IF(WarehouseData[[#This Row],[order_fulfillment_rate]]&gt;=0.9,"Strong",IF(WarehouseData[[#This Row],[order_fulfillment_rate]]&gt;=0.8,"Moderate","Needs Attention"))</f>
        <v>Moderate</v>
      </c>
      <c r="AE2343" t="str">
        <f>IF(WarehouseData[[#This Row],[picking_time_seconds]]&gt;120,"Slow",IF(WarehouseData[[#This Row],[picking_time_seconds]]&gt;=60,"Average","Fast"))</f>
        <v>Average</v>
      </c>
    </row>
    <row r="2344" spans="1:31" x14ac:dyDescent="0.25">
      <c r="A2344" t="s">
        <v>2482</v>
      </c>
      <c r="B2344" t="s">
        <v>36</v>
      </c>
      <c r="C2344">
        <v>37</v>
      </c>
      <c r="D2344">
        <v>32</v>
      </c>
      <c r="E2344">
        <v>13</v>
      </c>
      <c r="F2344">
        <v>5</v>
      </c>
      <c r="G2344">
        <v>36.43</v>
      </c>
      <c r="H2344">
        <v>6.08</v>
      </c>
      <c r="I2344">
        <v>0.95</v>
      </c>
      <c r="J2344" t="s">
        <v>126</v>
      </c>
      <c r="K2344" t="s">
        <v>34</v>
      </c>
      <c r="L2344">
        <v>111</v>
      </c>
      <c r="M2344">
        <v>1.95</v>
      </c>
      <c r="N2344">
        <v>115.04</v>
      </c>
      <c r="O2344">
        <v>0.98</v>
      </c>
      <c r="P2344">
        <v>3</v>
      </c>
      <c r="Q2344">
        <v>0.92</v>
      </c>
      <c r="R2344">
        <v>549</v>
      </c>
      <c r="S2344">
        <v>13.73</v>
      </c>
      <c r="T2344">
        <v>0.93</v>
      </c>
      <c r="U2344" s="1">
        <v>45374</v>
      </c>
      <c r="V2344">
        <v>87.24</v>
      </c>
      <c r="W2344">
        <v>0.79500000000000004</v>
      </c>
      <c r="X2344" t="str">
        <f>IF(WarehouseData[[#This Row],[stock_level]]&lt;=WarehouseData[[#This Row],[reorder_point]],"Low Stock","Sufficient Stock")</f>
        <v>Sufficient Stock</v>
      </c>
      <c r="Y2344">
        <f>WarehouseData[[#This Row],[daily_demand]]*WarehouseData[[#This Row],[lead_time_days]]</f>
        <v>182.15</v>
      </c>
      <c r="Z2344" t="str">
        <f>IF(WarehouseData[[#This Row],[stock_level]]&lt;=WarehouseData[[#This Row],[Demand During Lead Time]],"At Risk","Safe")</f>
        <v>At Risk</v>
      </c>
      <c r="AA2344">
        <f>WarehouseData[[#This Row],[stock_level]]/WarehouseData[[#This Row],[daily_demand]]</f>
        <v>1.0156464452374416</v>
      </c>
      <c r="AB2344">
        <f>WarehouseData[[#This Row],[stock_level]]*WarehouseData[[#This Row],[unit_price]]</f>
        <v>4256.4800000000005</v>
      </c>
      <c r="AC2344">
        <f>WarehouseData[[#This Row],[stock_level]]*WarehouseData[[#This Row],[holding_cost_per_unit_day]]*30</f>
        <v>1087.8</v>
      </c>
      <c r="AD2344" t="str">
        <f>IF(WarehouseData[[#This Row],[order_fulfillment_rate]]&gt;=0.9,"Strong",IF(WarehouseData[[#This Row],[order_fulfillment_rate]]&gt;=0.8,"Moderate","Needs Attention"))</f>
        <v>Strong</v>
      </c>
      <c r="AE2344" t="str">
        <f>IF(WarehouseData[[#This Row],[picking_time_seconds]]&gt;120,"Slow",IF(WarehouseData[[#This Row],[picking_time_seconds]]&gt;=60,"Average","Fast"))</f>
        <v>Average</v>
      </c>
    </row>
    <row r="2345" spans="1:31" x14ac:dyDescent="0.25">
      <c r="A2345" t="s">
        <v>2483</v>
      </c>
      <c r="B2345" t="s">
        <v>40</v>
      </c>
      <c r="C2345">
        <v>168</v>
      </c>
      <c r="D2345">
        <v>27</v>
      </c>
      <c r="E2345">
        <v>12</v>
      </c>
      <c r="F2345">
        <v>8</v>
      </c>
      <c r="G2345">
        <v>21.56</v>
      </c>
      <c r="H2345">
        <v>7.73</v>
      </c>
      <c r="I2345">
        <v>0.51</v>
      </c>
      <c r="J2345" t="s">
        <v>98</v>
      </c>
      <c r="K2345" t="s">
        <v>46</v>
      </c>
      <c r="L2345">
        <v>30</v>
      </c>
      <c r="M2345">
        <v>2.72</v>
      </c>
      <c r="N2345">
        <v>158.68</v>
      </c>
      <c r="O2345">
        <v>1.23</v>
      </c>
      <c r="P2345">
        <v>2</v>
      </c>
      <c r="Q2345">
        <v>0.78</v>
      </c>
      <c r="R2345">
        <v>753</v>
      </c>
      <c r="S2345">
        <v>9.4600000000000009</v>
      </c>
      <c r="T2345">
        <v>0.59</v>
      </c>
      <c r="U2345" s="1">
        <v>45591</v>
      </c>
      <c r="V2345">
        <v>244.53</v>
      </c>
      <c r="W2345">
        <v>0.63700000000000001</v>
      </c>
      <c r="X2345" t="str">
        <f>IF(WarehouseData[[#This Row],[stock_level]]&lt;=WarehouseData[[#This Row],[reorder_point]],"Low Stock","Sufficient Stock")</f>
        <v>Sufficient Stock</v>
      </c>
      <c r="Y2345">
        <f>WarehouseData[[#This Row],[daily_demand]]*WarehouseData[[#This Row],[lead_time_days]]</f>
        <v>172.48</v>
      </c>
      <c r="Z2345" t="str">
        <f>IF(WarehouseData[[#This Row],[stock_level]]&lt;=WarehouseData[[#This Row],[Demand During Lead Time]],"At Risk","Safe")</f>
        <v>At Risk</v>
      </c>
      <c r="AA2345">
        <f>WarehouseData[[#This Row],[stock_level]]/WarehouseData[[#This Row],[daily_demand]]</f>
        <v>7.792207792207793</v>
      </c>
      <c r="AB2345">
        <f>WarehouseData[[#This Row],[stock_level]]*WarehouseData[[#This Row],[unit_price]]</f>
        <v>26658.240000000002</v>
      </c>
      <c r="AC2345">
        <f>WarehouseData[[#This Row],[stock_level]]*WarehouseData[[#This Row],[holding_cost_per_unit_day]]*30</f>
        <v>6199.2</v>
      </c>
      <c r="AD2345" t="str">
        <f>IF(WarehouseData[[#This Row],[order_fulfillment_rate]]&gt;=0.9,"Strong",IF(WarehouseData[[#This Row],[order_fulfillment_rate]]&gt;=0.8,"Moderate","Needs Attention"))</f>
        <v>Needs Attention</v>
      </c>
      <c r="AE2345" t="str">
        <f>IF(WarehouseData[[#This Row],[picking_time_seconds]]&gt;120,"Slow",IF(WarehouseData[[#This Row],[picking_time_seconds]]&gt;=60,"Average","Fast"))</f>
        <v>Fast</v>
      </c>
    </row>
    <row r="2346" spans="1:31" x14ac:dyDescent="0.25">
      <c r="A2346" t="s">
        <v>2484</v>
      </c>
      <c r="B2346" t="s">
        <v>48</v>
      </c>
      <c r="C2346">
        <v>495</v>
      </c>
      <c r="D2346">
        <v>39</v>
      </c>
      <c r="E2346">
        <v>12</v>
      </c>
      <c r="F2346">
        <v>2</v>
      </c>
      <c r="G2346">
        <v>5.73</v>
      </c>
      <c r="H2346">
        <v>2.23</v>
      </c>
      <c r="I2346">
        <v>0.77</v>
      </c>
      <c r="J2346" t="s">
        <v>131</v>
      </c>
      <c r="K2346" t="s">
        <v>38</v>
      </c>
      <c r="L2346">
        <v>130</v>
      </c>
      <c r="M2346">
        <v>1.08</v>
      </c>
      <c r="N2346">
        <v>99.71</v>
      </c>
      <c r="O2346">
        <v>1.88</v>
      </c>
      <c r="P2346">
        <v>5</v>
      </c>
      <c r="Q2346">
        <v>0.83</v>
      </c>
      <c r="R2346">
        <v>182</v>
      </c>
      <c r="S2346">
        <v>10.85</v>
      </c>
      <c r="T2346">
        <v>0.72</v>
      </c>
      <c r="U2346" s="1">
        <v>45422</v>
      </c>
      <c r="V2346">
        <v>11.18</v>
      </c>
      <c r="W2346">
        <v>0.56699999999999995</v>
      </c>
      <c r="X2346" t="str">
        <f>IF(WarehouseData[[#This Row],[stock_level]]&lt;=WarehouseData[[#This Row],[reorder_point]],"Low Stock","Sufficient Stock")</f>
        <v>Sufficient Stock</v>
      </c>
      <c r="Y2346">
        <f>WarehouseData[[#This Row],[daily_demand]]*WarehouseData[[#This Row],[lead_time_days]]</f>
        <v>11.46</v>
      </c>
      <c r="Z2346" t="str">
        <f>IF(WarehouseData[[#This Row],[stock_level]]&lt;=WarehouseData[[#This Row],[Demand During Lead Time]],"At Risk","Safe")</f>
        <v>Safe</v>
      </c>
      <c r="AA2346">
        <f>WarehouseData[[#This Row],[stock_level]]/WarehouseData[[#This Row],[daily_demand]]</f>
        <v>86.387434554973822</v>
      </c>
      <c r="AB2346">
        <f>WarehouseData[[#This Row],[stock_level]]*WarehouseData[[#This Row],[unit_price]]</f>
        <v>49356.45</v>
      </c>
      <c r="AC2346">
        <f>WarehouseData[[#This Row],[stock_level]]*WarehouseData[[#This Row],[holding_cost_per_unit_day]]*30</f>
        <v>27917.999999999996</v>
      </c>
      <c r="AD2346" t="str">
        <f>IF(WarehouseData[[#This Row],[order_fulfillment_rate]]&gt;=0.9,"Strong",IF(WarehouseData[[#This Row],[order_fulfillment_rate]]&gt;=0.8,"Moderate","Needs Attention"))</f>
        <v>Moderate</v>
      </c>
      <c r="AE2346" t="str">
        <f>IF(WarehouseData[[#This Row],[picking_time_seconds]]&gt;120,"Slow",IF(WarehouseData[[#This Row],[picking_time_seconds]]&gt;=60,"Average","Fast"))</f>
        <v>Slow</v>
      </c>
    </row>
    <row r="2347" spans="1:31" x14ac:dyDescent="0.25">
      <c r="A2347" t="s">
        <v>2485</v>
      </c>
      <c r="B2347" t="s">
        <v>73</v>
      </c>
      <c r="C2347">
        <v>246</v>
      </c>
      <c r="D2347">
        <v>35</v>
      </c>
      <c r="E2347">
        <v>14</v>
      </c>
      <c r="F2347">
        <v>7</v>
      </c>
      <c r="G2347">
        <v>2.96</v>
      </c>
      <c r="H2347">
        <v>2.11</v>
      </c>
      <c r="I2347">
        <v>0.68</v>
      </c>
      <c r="J2347" t="s">
        <v>133</v>
      </c>
      <c r="K2347" t="s">
        <v>38</v>
      </c>
      <c r="L2347">
        <v>48</v>
      </c>
      <c r="M2347">
        <v>4.68</v>
      </c>
      <c r="N2347">
        <v>14.89</v>
      </c>
      <c r="O2347">
        <v>0.99</v>
      </c>
      <c r="P2347">
        <v>9</v>
      </c>
      <c r="Q2347">
        <v>0.98</v>
      </c>
      <c r="R2347">
        <v>221</v>
      </c>
      <c r="S2347">
        <v>7.92</v>
      </c>
      <c r="T2347">
        <v>0.38</v>
      </c>
      <c r="U2347" s="1">
        <v>45294</v>
      </c>
      <c r="V2347">
        <v>108.23</v>
      </c>
      <c r="W2347">
        <v>0.499</v>
      </c>
      <c r="X2347" t="str">
        <f>IF(WarehouseData[[#This Row],[stock_level]]&lt;=WarehouseData[[#This Row],[reorder_point]],"Low Stock","Sufficient Stock")</f>
        <v>Sufficient Stock</v>
      </c>
      <c r="Y2347">
        <f>WarehouseData[[#This Row],[daily_demand]]*WarehouseData[[#This Row],[lead_time_days]]</f>
        <v>20.72</v>
      </c>
      <c r="Z2347" t="str">
        <f>IF(WarehouseData[[#This Row],[stock_level]]&lt;=WarehouseData[[#This Row],[Demand During Lead Time]],"At Risk","Safe")</f>
        <v>Safe</v>
      </c>
      <c r="AA2347">
        <f>WarehouseData[[#This Row],[stock_level]]/WarehouseData[[#This Row],[daily_demand]]</f>
        <v>83.108108108108112</v>
      </c>
      <c r="AB2347">
        <f>WarehouseData[[#This Row],[stock_level]]*WarehouseData[[#This Row],[unit_price]]</f>
        <v>3662.94</v>
      </c>
      <c r="AC2347">
        <f>WarehouseData[[#This Row],[stock_level]]*WarehouseData[[#This Row],[holding_cost_per_unit_day]]*30</f>
        <v>7306.2</v>
      </c>
      <c r="AD2347" t="str">
        <f>IF(WarehouseData[[#This Row],[order_fulfillment_rate]]&gt;=0.9,"Strong",IF(WarehouseData[[#This Row],[order_fulfillment_rate]]&gt;=0.8,"Moderate","Needs Attention"))</f>
        <v>Strong</v>
      </c>
      <c r="AE2347" t="str">
        <f>IF(WarehouseData[[#This Row],[picking_time_seconds]]&gt;120,"Slow",IF(WarehouseData[[#This Row],[picking_time_seconds]]&gt;=60,"Average","Fast"))</f>
        <v>Fast</v>
      </c>
    </row>
    <row r="2348" spans="1:31" x14ac:dyDescent="0.25">
      <c r="A2348" t="s">
        <v>2486</v>
      </c>
      <c r="B2348" t="s">
        <v>32</v>
      </c>
      <c r="C2348">
        <v>233</v>
      </c>
      <c r="D2348">
        <v>25</v>
      </c>
      <c r="E2348">
        <v>11</v>
      </c>
      <c r="F2348">
        <v>3</v>
      </c>
      <c r="G2348">
        <v>24.47</v>
      </c>
      <c r="H2348">
        <v>8.6999999999999993</v>
      </c>
      <c r="I2348">
        <v>0.53</v>
      </c>
      <c r="J2348" t="s">
        <v>124</v>
      </c>
      <c r="K2348" t="s">
        <v>34</v>
      </c>
      <c r="L2348">
        <v>160</v>
      </c>
      <c r="M2348">
        <v>1.93</v>
      </c>
      <c r="N2348">
        <v>156.51</v>
      </c>
      <c r="O2348">
        <v>0.84</v>
      </c>
      <c r="P2348">
        <v>8</v>
      </c>
      <c r="Q2348">
        <v>0.79</v>
      </c>
      <c r="R2348">
        <v>579</v>
      </c>
      <c r="S2348">
        <v>3.05</v>
      </c>
      <c r="T2348">
        <v>0.27</v>
      </c>
      <c r="U2348" s="1">
        <v>45461</v>
      </c>
      <c r="V2348">
        <v>291.08</v>
      </c>
      <c r="W2348">
        <v>0.40899999999999997</v>
      </c>
      <c r="X2348" t="str">
        <f>IF(WarehouseData[[#This Row],[stock_level]]&lt;=WarehouseData[[#This Row],[reorder_point]],"Low Stock","Sufficient Stock")</f>
        <v>Sufficient Stock</v>
      </c>
      <c r="Y2348">
        <f>WarehouseData[[#This Row],[daily_demand]]*WarehouseData[[#This Row],[lead_time_days]]</f>
        <v>73.41</v>
      </c>
      <c r="Z2348" t="str">
        <f>IF(WarehouseData[[#This Row],[stock_level]]&lt;=WarehouseData[[#This Row],[Demand During Lead Time]],"At Risk","Safe")</f>
        <v>Safe</v>
      </c>
      <c r="AA2348">
        <f>WarehouseData[[#This Row],[stock_level]]/WarehouseData[[#This Row],[daily_demand]]</f>
        <v>9.521863506334288</v>
      </c>
      <c r="AB2348">
        <f>WarehouseData[[#This Row],[stock_level]]*WarehouseData[[#This Row],[unit_price]]</f>
        <v>36466.829999999994</v>
      </c>
      <c r="AC2348">
        <f>WarehouseData[[#This Row],[stock_level]]*WarehouseData[[#This Row],[holding_cost_per_unit_day]]*30</f>
        <v>5871.6</v>
      </c>
      <c r="AD2348" t="str">
        <f>IF(WarehouseData[[#This Row],[order_fulfillment_rate]]&gt;=0.9,"Strong",IF(WarehouseData[[#This Row],[order_fulfillment_rate]]&gt;=0.8,"Moderate","Needs Attention"))</f>
        <v>Needs Attention</v>
      </c>
      <c r="AE2348" t="str">
        <f>IF(WarehouseData[[#This Row],[picking_time_seconds]]&gt;120,"Slow",IF(WarehouseData[[#This Row],[picking_time_seconds]]&gt;=60,"Average","Fast"))</f>
        <v>Slow</v>
      </c>
    </row>
    <row r="2349" spans="1:31" x14ac:dyDescent="0.25">
      <c r="A2349" t="s">
        <v>2487</v>
      </c>
      <c r="B2349" t="s">
        <v>73</v>
      </c>
      <c r="C2349">
        <v>379</v>
      </c>
      <c r="D2349">
        <v>86</v>
      </c>
      <c r="E2349">
        <v>10</v>
      </c>
      <c r="F2349">
        <v>6</v>
      </c>
      <c r="G2349">
        <v>30.37</v>
      </c>
      <c r="H2349">
        <v>5.23</v>
      </c>
      <c r="I2349">
        <v>0.14000000000000001</v>
      </c>
      <c r="J2349" t="s">
        <v>565</v>
      </c>
      <c r="K2349" t="s">
        <v>46</v>
      </c>
      <c r="L2349">
        <v>78</v>
      </c>
      <c r="M2349">
        <v>1.38</v>
      </c>
      <c r="N2349">
        <v>25.61</v>
      </c>
      <c r="O2349">
        <v>1.8</v>
      </c>
      <c r="P2349">
        <v>3</v>
      </c>
      <c r="Q2349">
        <v>0.94</v>
      </c>
      <c r="R2349">
        <v>812</v>
      </c>
      <c r="S2349">
        <v>9.89</v>
      </c>
      <c r="T2349">
        <v>0.48</v>
      </c>
      <c r="U2349" s="1">
        <v>45530</v>
      </c>
      <c r="V2349">
        <v>206.91</v>
      </c>
      <c r="W2349">
        <v>0.57599999999999996</v>
      </c>
      <c r="X2349" t="str">
        <f>IF(WarehouseData[[#This Row],[stock_level]]&lt;=WarehouseData[[#This Row],[reorder_point]],"Low Stock","Sufficient Stock")</f>
        <v>Sufficient Stock</v>
      </c>
      <c r="Y2349">
        <f>WarehouseData[[#This Row],[daily_demand]]*WarehouseData[[#This Row],[lead_time_days]]</f>
        <v>182.22</v>
      </c>
      <c r="Z2349" t="str">
        <f>IF(WarehouseData[[#This Row],[stock_level]]&lt;=WarehouseData[[#This Row],[Demand During Lead Time]],"At Risk","Safe")</f>
        <v>Safe</v>
      </c>
      <c r="AA2349">
        <f>WarehouseData[[#This Row],[stock_level]]/WarehouseData[[#This Row],[daily_demand]]</f>
        <v>12.47942048073757</v>
      </c>
      <c r="AB2349">
        <f>WarehouseData[[#This Row],[stock_level]]*WarehouseData[[#This Row],[unit_price]]</f>
        <v>9706.19</v>
      </c>
      <c r="AC2349">
        <f>WarehouseData[[#This Row],[stock_level]]*WarehouseData[[#This Row],[holding_cost_per_unit_day]]*30</f>
        <v>20466</v>
      </c>
      <c r="AD2349" t="str">
        <f>IF(WarehouseData[[#This Row],[order_fulfillment_rate]]&gt;=0.9,"Strong",IF(WarehouseData[[#This Row],[order_fulfillment_rate]]&gt;=0.8,"Moderate","Needs Attention"))</f>
        <v>Strong</v>
      </c>
      <c r="AE2349" t="str">
        <f>IF(WarehouseData[[#This Row],[picking_time_seconds]]&gt;120,"Slow",IF(WarehouseData[[#This Row],[picking_time_seconds]]&gt;=60,"Average","Fast"))</f>
        <v>Average</v>
      </c>
    </row>
    <row r="2350" spans="1:31" x14ac:dyDescent="0.25">
      <c r="A2350" t="s">
        <v>2488</v>
      </c>
      <c r="B2350" t="s">
        <v>48</v>
      </c>
      <c r="C2350">
        <v>170</v>
      </c>
      <c r="D2350">
        <v>48</v>
      </c>
      <c r="E2350">
        <v>13</v>
      </c>
      <c r="F2350">
        <v>5</v>
      </c>
      <c r="G2350">
        <v>4.8600000000000003</v>
      </c>
      <c r="H2350">
        <v>2.84</v>
      </c>
      <c r="I2350">
        <v>0.77</v>
      </c>
      <c r="J2350" t="s">
        <v>301</v>
      </c>
      <c r="K2350" t="s">
        <v>46</v>
      </c>
      <c r="L2350">
        <v>84</v>
      </c>
      <c r="M2350">
        <v>2.65</v>
      </c>
      <c r="N2350">
        <v>131.9</v>
      </c>
      <c r="O2350">
        <v>1.83</v>
      </c>
      <c r="P2350">
        <v>1</v>
      </c>
      <c r="Q2350">
        <v>0.75</v>
      </c>
      <c r="R2350">
        <v>490</v>
      </c>
      <c r="S2350">
        <v>5.9</v>
      </c>
      <c r="T2350">
        <v>0.84</v>
      </c>
      <c r="U2350" s="1">
        <v>45655</v>
      </c>
      <c r="V2350">
        <v>233.93</v>
      </c>
      <c r="W2350">
        <v>0.59399999999999997</v>
      </c>
      <c r="X2350" t="str">
        <f>IF(WarehouseData[[#This Row],[stock_level]]&lt;=WarehouseData[[#This Row],[reorder_point]],"Low Stock","Sufficient Stock")</f>
        <v>Sufficient Stock</v>
      </c>
      <c r="Y2350">
        <f>WarehouseData[[#This Row],[daily_demand]]*WarehouseData[[#This Row],[lead_time_days]]</f>
        <v>24.3</v>
      </c>
      <c r="Z2350" t="str">
        <f>IF(WarehouseData[[#This Row],[stock_level]]&lt;=WarehouseData[[#This Row],[Demand During Lead Time]],"At Risk","Safe")</f>
        <v>Safe</v>
      </c>
      <c r="AA2350">
        <f>WarehouseData[[#This Row],[stock_level]]/WarehouseData[[#This Row],[daily_demand]]</f>
        <v>34.979423868312757</v>
      </c>
      <c r="AB2350">
        <f>WarehouseData[[#This Row],[stock_level]]*WarehouseData[[#This Row],[unit_price]]</f>
        <v>22423</v>
      </c>
      <c r="AC2350">
        <f>WarehouseData[[#This Row],[stock_level]]*WarehouseData[[#This Row],[holding_cost_per_unit_day]]*30</f>
        <v>9333</v>
      </c>
      <c r="AD2350" t="str">
        <f>IF(WarehouseData[[#This Row],[order_fulfillment_rate]]&gt;=0.9,"Strong",IF(WarehouseData[[#This Row],[order_fulfillment_rate]]&gt;=0.8,"Moderate","Needs Attention"))</f>
        <v>Needs Attention</v>
      </c>
      <c r="AE2350" t="str">
        <f>IF(WarehouseData[[#This Row],[picking_time_seconds]]&gt;120,"Slow",IF(WarehouseData[[#This Row],[picking_time_seconds]]&gt;=60,"Average","Fast"))</f>
        <v>Average</v>
      </c>
    </row>
    <row r="2351" spans="1:31" x14ac:dyDescent="0.25">
      <c r="A2351" t="s">
        <v>2489</v>
      </c>
      <c r="B2351" t="s">
        <v>36</v>
      </c>
      <c r="C2351">
        <v>211</v>
      </c>
      <c r="D2351">
        <v>42</v>
      </c>
      <c r="E2351">
        <v>6</v>
      </c>
      <c r="F2351">
        <v>8</v>
      </c>
      <c r="G2351">
        <v>15.06</v>
      </c>
      <c r="H2351">
        <v>7.04</v>
      </c>
      <c r="I2351">
        <v>0.43</v>
      </c>
      <c r="J2351" t="s">
        <v>45</v>
      </c>
      <c r="K2351" t="s">
        <v>38</v>
      </c>
      <c r="L2351">
        <v>166</v>
      </c>
      <c r="M2351">
        <v>0.69</v>
      </c>
      <c r="N2351">
        <v>162.65</v>
      </c>
      <c r="O2351">
        <v>0.77</v>
      </c>
      <c r="P2351">
        <v>2</v>
      </c>
      <c r="Q2351">
        <v>0.75</v>
      </c>
      <c r="R2351">
        <v>161</v>
      </c>
      <c r="S2351">
        <v>1.08</v>
      </c>
      <c r="T2351">
        <v>0.56000000000000005</v>
      </c>
      <c r="U2351" s="1">
        <v>45371</v>
      </c>
      <c r="V2351">
        <v>259.36</v>
      </c>
      <c r="W2351">
        <v>0.55900000000000005</v>
      </c>
      <c r="X2351" t="str">
        <f>IF(WarehouseData[[#This Row],[stock_level]]&lt;=WarehouseData[[#This Row],[reorder_point]],"Low Stock","Sufficient Stock")</f>
        <v>Sufficient Stock</v>
      </c>
      <c r="Y2351">
        <f>WarehouseData[[#This Row],[daily_demand]]*WarehouseData[[#This Row],[lead_time_days]]</f>
        <v>120.48</v>
      </c>
      <c r="Z2351" t="str">
        <f>IF(WarehouseData[[#This Row],[stock_level]]&lt;=WarehouseData[[#This Row],[Demand During Lead Time]],"At Risk","Safe")</f>
        <v>Safe</v>
      </c>
      <c r="AA2351">
        <f>WarehouseData[[#This Row],[stock_level]]/WarehouseData[[#This Row],[daily_demand]]</f>
        <v>14.01062416998672</v>
      </c>
      <c r="AB2351">
        <f>WarehouseData[[#This Row],[stock_level]]*WarehouseData[[#This Row],[unit_price]]</f>
        <v>34319.15</v>
      </c>
      <c r="AC2351">
        <f>WarehouseData[[#This Row],[stock_level]]*WarehouseData[[#This Row],[holding_cost_per_unit_day]]*30</f>
        <v>4874.1000000000004</v>
      </c>
      <c r="AD2351" t="str">
        <f>IF(WarehouseData[[#This Row],[order_fulfillment_rate]]&gt;=0.9,"Strong",IF(WarehouseData[[#This Row],[order_fulfillment_rate]]&gt;=0.8,"Moderate","Needs Attention"))</f>
        <v>Needs Attention</v>
      </c>
      <c r="AE2351" t="str">
        <f>IF(WarehouseData[[#This Row],[picking_time_seconds]]&gt;120,"Slow",IF(WarehouseData[[#This Row],[picking_time_seconds]]&gt;=60,"Average","Fast"))</f>
        <v>Slow</v>
      </c>
    </row>
    <row r="2352" spans="1:31" x14ac:dyDescent="0.25">
      <c r="A2352" t="s">
        <v>2490</v>
      </c>
      <c r="B2352" t="s">
        <v>36</v>
      </c>
      <c r="C2352">
        <v>470</v>
      </c>
      <c r="D2352">
        <v>35</v>
      </c>
      <c r="E2352">
        <v>14</v>
      </c>
      <c r="F2352">
        <v>7</v>
      </c>
      <c r="G2352">
        <v>16.78</v>
      </c>
      <c r="H2352">
        <v>8.9700000000000006</v>
      </c>
      <c r="I2352">
        <v>0.3</v>
      </c>
      <c r="J2352" t="s">
        <v>33</v>
      </c>
      <c r="K2352" t="s">
        <v>38</v>
      </c>
      <c r="L2352">
        <v>71</v>
      </c>
      <c r="M2352">
        <v>1.64</v>
      </c>
      <c r="N2352">
        <v>63.71</v>
      </c>
      <c r="O2352">
        <v>1.22</v>
      </c>
      <c r="P2352">
        <v>2</v>
      </c>
      <c r="Q2352">
        <v>0.84</v>
      </c>
      <c r="R2352">
        <v>89</v>
      </c>
      <c r="S2352">
        <v>9.0500000000000007</v>
      </c>
      <c r="T2352">
        <v>0.33</v>
      </c>
      <c r="U2352" s="1">
        <v>45312</v>
      </c>
      <c r="V2352">
        <v>114.93</v>
      </c>
      <c r="W2352">
        <v>0.59299999999999997</v>
      </c>
      <c r="X2352" t="str">
        <f>IF(WarehouseData[[#This Row],[stock_level]]&lt;=WarehouseData[[#This Row],[reorder_point]],"Low Stock","Sufficient Stock")</f>
        <v>Sufficient Stock</v>
      </c>
      <c r="Y2352">
        <f>WarehouseData[[#This Row],[daily_demand]]*WarehouseData[[#This Row],[lead_time_days]]</f>
        <v>117.46000000000001</v>
      </c>
      <c r="Z2352" t="str">
        <f>IF(WarehouseData[[#This Row],[stock_level]]&lt;=WarehouseData[[#This Row],[Demand During Lead Time]],"At Risk","Safe")</f>
        <v>Safe</v>
      </c>
      <c r="AA2352">
        <f>WarehouseData[[#This Row],[stock_level]]/WarehouseData[[#This Row],[daily_demand]]</f>
        <v>28.009535160905838</v>
      </c>
      <c r="AB2352">
        <f>WarehouseData[[#This Row],[stock_level]]*WarehouseData[[#This Row],[unit_price]]</f>
        <v>29943.7</v>
      </c>
      <c r="AC2352">
        <f>WarehouseData[[#This Row],[stock_level]]*WarehouseData[[#This Row],[holding_cost_per_unit_day]]*30</f>
        <v>17202</v>
      </c>
      <c r="AD2352" t="str">
        <f>IF(WarehouseData[[#This Row],[order_fulfillment_rate]]&gt;=0.9,"Strong",IF(WarehouseData[[#This Row],[order_fulfillment_rate]]&gt;=0.8,"Moderate","Needs Attention"))</f>
        <v>Moderate</v>
      </c>
      <c r="AE2352" t="str">
        <f>IF(WarehouseData[[#This Row],[picking_time_seconds]]&gt;120,"Slow",IF(WarehouseData[[#This Row],[picking_time_seconds]]&gt;=60,"Average","Fast"))</f>
        <v>Average</v>
      </c>
    </row>
    <row r="2353" spans="1:31" x14ac:dyDescent="0.25">
      <c r="A2353" t="s">
        <v>2491</v>
      </c>
      <c r="B2353" t="s">
        <v>36</v>
      </c>
      <c r="C2353">
        <v>59</v>
      </c>
      <c r="D2353">
        <v>57</v>
      </c>
      <c r="E2353">
        <v>9</v>
      </c>
      <c r="F2353">
        <v>8</v>
      </c>
      <c r="G2353">
        <v>28.58</v>
      </c>
      <c r="H2353">
        <v>6.51</v>
      </c>
      <c r="I2353">
        <v>0.95</v>
      </c>
      <c r="J2353" t="s">
        <v>217</v>
      </c>
      <c r="K2353" t="s">
        <v>46</v>
      </c>
      <c r="L2353">
        <v>54</v>
      </c>
      <c r="M2353">
        <v>0.8</v>
      </c>
      <c r="N2353">
        <v>95.33</v>
      </c>
      <c r="O2353">
        <v>1.93</v>
      </c>
      <c r="P2353">
        <v>1</v>
      </c>
      <c r="Q2353">
        <v>0.77</v>
      </c>
      <c r="R2353">
        <v>151</v>
      </c>
      <c r="S2353">
        <v>3.78</v>
      </c>
      <c r="T2353">
        <v>0.64</v>
      </c>
      <c r="U2353" s="1">
        <v>45370</v>
      </c>
      <c r="V2353">
        <v>29.12</v>
      </c>
      <c r="W2353">
        <v>0.51900000000000002</v>
      </c>
      <c r="X2353" t="str">
        <f>IF(WarehouseData[[#This Row],[stock_level]]&lt;=WarehouseData[[#This Row],[reorder_point]],"Low Stock","Sufficient Stock")</f>
        <v>Sufficient Stock</v>
      </c>
      <c r="Y2353">
        <f>WarehouseData[[#This Row],[daily_demand]]*WarehouseData[[#This Row],[lead_time_days]]</f>
        <v>228.64</v>
      </c>
      <c r="Z2353" t="str">
        <f>IF(WarehouseData[[#This Row],[stock_level]]&lt;=WarehouseData[[#This Row],[Demand During Lead Time]],"At Risk","Safe")</f>
        <v>At Risk</v>
      </c>
      <c r="AA2353">
        <f>WarehouseData[[#This Row],[stock_level]]/WarehouseData[[#This Row],[daily_demand]]</f>
        <v>2.0643806857942617</v>
      </c>
      <c r="AB2353">
        <f>WarehouseData[[#This Row],[stock_level]]*WarehouseData[[#This Row],[unit_price]]</f>
        <v>5624.47</v>
      </c>
      <c r="AC2353">
        <f>WarehouseData[[#This Row],[stock_level]]*WarehouseData[[#This Row],[holding_cost_per_unit_day]]*30</f>
        <v>3416.1</v>
      </c>
      <c r="AD2353" t="str">
        <f>IF(WarehouseData[[#This Row],[order_fulfillment_rate]]&gt;=0.9,"Strong",IF(WarehouseData[[#This Row],[order_fulfillment_rate]]&gt;=0.8,"Moderate","Needs Attention"))</f>
        <v>Needs Attention</v>
      </c>
      <c r="AE2353" t="str">
        <f>IF(WarehouseData[[#This Row],[picking_time_seconds]]&gt;120,"Slow",IF(WarehouseData[[#This Row],[picking_time_seconds]]&gt;=60,"Average","Fast"))</f>
        <v>Fast</v>
      </c>
    </row>
    <row r="2354" spans="1:31" x14ac:dyDescent="0.25">
      <c r="A2354" t="s">
        <v>2492</v>
      </c>
      <c r="B2354" t="s">
        <v>32</v>
      </c>
      <c r="C2354">
        <v>261</v>
      </c>
      <c r="D2354">
        <v>74</v>
      </c>
      <c r="E2354">
        <v>12</v>
      </c>
      <c r="F2354">
        <v>8</v>
      </c>
      <c r="G2354">
        <v>14.65</v>
      </c>
      <c r="H2354">
        <v>3.8</v>
      </c>
      <c r="I2354">
        <v>0.8</v>
      </c>
      <c r="J2354" t="s">
        <v>192</v>
      </c>
      <c r="K2354" t="s">
        <v>52</v>
      </c>
      <c r="L2354">
        <v>36</v>
      </c>
      <c r="M2354">
        <v>1.07</v>
      </c>
      <c r="N2354">
        <v>12.72</v>
      </c>
      <c r="O2354">
        <v>0.21</v>
      </c>
      <c r="P2354">
        <v>8</v>
      </c>
      <c r="Q2354">
        <v>0.97</v>
      </c>
      <c r="R2354">
        <v>418</v>
      </c>
      <c r="S2354">
        <v>13.41</v>
      </c>
      <c r="T2354">
        <v>0.41</v>
      </c>
      <c r="U2354" s="1">
        <v>45457</v>
      </c>
      <c r="V2354">
        <v>129.1</v>
      </c>
      <c r="W2354">
        <v>0.67400000000000004</v>
      </c>
      <c r="X2354" t="str">
        <f>IF(WarehouseData[[#This Row],[stock_level]]&lt;=WarehouseData[[#This Row],[reorder_point]],"Low Stock","Sufficient Stock")</f>
        <v>Sufficient Stock</v>
      </c>
      <c r="Y2354">
        <f>WarehouseData[[#This Row],[daily_demand]]*WarehouseData[[#This Row],[lead_time_days]]</f>
        <v>117.2</v>
      </c>
      <c r="Z2354" t="str">
        <f>IF(WarehouseData[[#This Row],[stock_level]]&lt;=WarehouseData[[#This Row],[Demand During Lead Time]],"At Risk","Safe")</f>
        <v>Safe</v>
      </c>
      <c r="AA2354">
        <f>WarehouseData[[#This Row],[stock_level]]/WarehouseData[[#This Row],[daily_demand]]</f>
        <v>17.815699658703071</v>
      </c>
      <c r="AB2354">
        <f>WarehouseData[[#This Row],[stock_level]]*WarehouseData[[#This Row],[unit_price]]</f>
        <v>3319.92</v>
      </c>
      <c r="AC2354">
        <f>WarehouseData[[#This Row],[stock_level]]*WarehouseData[[#This Row],[holding_cost_per_unit_day]]*30</f>
        <v>1644.3</v>
      </c>
      <c r="AD2354" t="str">
        <f>IF(WarehouseData[[#This Row],[order_fulfillment_rate]]&gt;=0.9,"Strong",IF(WarehouseData[[#This Row],[order_fulfillment_rate]]&gt;=0.8,"Moderate","Needs Attention"))</f>
        <v>Strong</v>
      </c>
      <c r="AE2354" t="str">
        <f>IF(WarehouseData[[#This Row],[picking_time_seconds]]&gt;120,"Slow",IF(WarehouseData[[#This Row],[picking_time_seconds]]&gt;=60,"Average","Fast"))</f>
        <v>Fast</v>
      </c>
    </row>
    <row r="2355" spans="1:31" x14ac:dyDescent="0.25">
      <c r="A2355" t="s">
        <v>2493</v>
      </c>
      <c r="B2355" t="s">
        <v>40</v>
      </c>
      <c r="C2355">
        <v>157</v>
      </c>
      <c r="D2355">
        <v>47</v>
      </c>
      <c r="E2355">
        <v>5</v>
      </c>
      <c r="F2355">
        <v>7</v>
      </c>
      <c r="G2355">
        <v>5.69</v>
      </c>
      <c r="H2355">
        <v>5.09</v>
      </c>
      <c r="I2355">
        <v>0.97</v>
      </c>
      <c r="J2355" t="s">
        <v>183</v>
      </c>
      <c r="K2355" t="s">
        <v>38</v>
      </c>
      <c r="L2355">
        <v>125</v>
      </c>
      <c r="M2355">
        <v>1</v>
      </c>
      <c r="N2355">
        <v>162.74</v>
      </c>
      <c r="O2355">
        <v>0.18</v>
      </c>
      <c r="P2355">
        <v>3</v>
      </c>
      <c r="Q2355">
        <v>0.72</v>
      </c>
      <c r="R2355">
        <v>223</v>
      </c>
      <c r="S2355">
        <v>14.08</v>
      </c>
      <c r="T2355">
        <v>0.96</v>
      </c>
      <c r="U2355" s="1">
        <v>45597</v>
      </c>
      <c r="V2355">
        <v>199.28</v>
      </c>
      <c r="W2355">
        <v>0.84599999999999997</v>
      </c>
      <c r="X2355" t="str">
        <f>IF(WarehouseData[[#This Row],[stock_level]]&lt;=WarehouseData[[#This Row],[reorder_point]],"Low Stock","Sufficient Stock")</f>
        <v>Sufficient Stock</v>
      </c>
      <c r="Y2355">
        <f>WarehouseData[[#This Row],[daily_demand]]*WarehouseData[[#This Row],[lead_time_days]]</f>
        <v>39.830000000000005</v>
      </c>
      <c r="Z2355" t="str">
        <f>IF(WarehouseData[[#This Row],[stock_level]]&lt;=WarehouseData[[#This Row],[Demand During Lead Time]],"At Risk","Safe")</f>
        <v>Safe</v>
      </c>
      <c r="AA2355">
        <f>WarehouseData[[#This Row],[stock_level]]/WarehouseData[[#This Row],[daily_demand]]</f>
        <v>27.59226713532513</v>
      </c>
      <c r="AB2355">
        <f>WarehouseData[[#This Row],[stock_level]]*WarehouseData[[#This Row],[unit_price]]</f>
        <v>25550.18</v>
      </c>
      <c r="AC2355">
        <f>WarehouseData[[#This Row],[stock_level]]*WarehouseData[[#This Row],[holding_cost_per_unit_day]]*30</f>
        <v>847.8</v>
      </c>
      <c r="AD2355" t="str">
        <f>IF(WarehouseData[[#This Row],[order_fulfillment_rate]]&gt;=0.9,"Strong",IF(WarehouseData[[#This Row],[order_fulfillment_rate]]&gt;=0.8,"Moderate","Needs Attention"))</f>
        <v>Needs Attention</v>
      </c>
      <c r="AE2355" t="str">
        <f>IF(WarehouseData[[#This Row],[picking_time_seconds]]&gt;120,"Slow",IF(WarehouseData[[#This Row],[picking_time_seconds]]&gt;=60,"Average","Fast"))</f>
        <v>Slow</v>
      </c>
    </row>
    <row r="2356" spans="1:31" x14ac:dyDescent="0.25">
      <c r="A2356" t="s">
        <v>2494</v>
      </c>
      <c r="B2356" t="s">
        <v>40</v>
      </c>
      <c r="C2356">
        <v>364</v>
      </c>
      <c r="D2356">
        <v>11</v>
      </c>
      <c r="E2356">
        <v>11</v>
      </c>
      <c r="F2356">
        <v>6</v>
      </c>
      <c r="G2356">
        <v>9.08</v>
      </c>
      <c r="H2356">
        <v>7.65</v>
      </c>
      <c r="I2356">
        <v>0.33</v>
      </c>
      <c r="J2356" t="s">
        <v>33</v>
      </c>
      <c r="K2356" t="s">
        <v>38</v>
      </c>
      <c r="L2356">
        <v>171</v>
      </c>
      <c r="M2356">
        <v>4.43</v>
      </c>
      <c r="N2356">
        <v>143.62</v>
      </c>
      <c r="O2356">
        <v>1.08</v>
      </c>
      <c r="P2356">
        <v>2</v>
      </c>
      <c r="Q2356">
        <v>0.88</v>
      </c>
      <c r="R2356">
        <v>875</v>
      </c>
      <c r="S2356">
        <v>3.27</v>
      </c>
      <c r="T2356">
        <v>0.66</v>
      </c>
      <c r="U2356" s="1">
        <v>45318</v>
      </c>
      <c r="V2356">
        <v>117.53</v>
      </c>
      <c r="W2356">
        <v>0.60399999999999998</v>
      </c>
      <c r="X2356" t="str">
        <f>IF(WarehouseData[[#This Row],[stock_level]]&lt;=WarehouseData[[#This Row],[reorder_point]],"Low Stock","Sufficient Stock")</f>
        <v>Sufficient Stock</v>
      </c>
      <c r="Y2356">
        <f>WarehouseData[[#This Row],[daily_demand]]*WarehouseData[[#This Row],[lead_time_days]]</f>
        <v>54.480000000000004</v>
      </c>
      <c r="Z2356" t="str">
        <f>IF(WarehouseData[[#This Row],[stock_level]]&lt;=WarehouseData[[#This Row],[Demand During Lead Time]],"At Risk","Safe")</f>
        <v>Safe</v>
      </c>
      <c r="AA2356">
        <f>WarehouseData[[#This Row],[stock_level]]/WarehouseData[[#This Row],[daily_demand]]</f>
        <v>40.088105726872243</v>
      </c>
      <c r="AB2356">
        <f>WarehouseData[[#This Row],[stock_level]]*WarehouseData[[#This Row],[unit_price]]</f>
        <v>52277.68</v>
      </c>
      <c r="AC2356">
        <f>WarehouseData[[#This Row],[stock_level]]*WarehouseData[[#This Row],[holding_cost_per_unit_day]]*30</f>
        <v>11793.6</v>
      </c>
      <c r="AD2356" t="str">
        <f>IF(WarehouseData[[#This Row],[order_fulfillment_rate]]&gt;=0.9,"Strong",IF(WarehouseData[[#This Row],[order_fulfillment_rate]]&gt;=0.8,"Moderate","Needs Attention"))</f>
        <v>Moderate</v>
      </c>
      <c r="AE2356" t="str">
        <f>IF(WarehouseData[[#This Row],[picking_time_seconds]]&gt;120,"Slow",IF(WarehouseData[[#This Row],[picking_time_seconds]]&gt;=60,"Average","Fast"))</f>
        <v>Slow</v>
      </c>
    </row>
    <row r="2357" spans="1:31" x14ac:dyDescent="0.25">
      <c r="A2357" t="s">
        <v>2495</v>
      </c>
      <c r="B2357" t="s">
        <v>73</v>
      </c>
      <c r="C2357">
        <v>199</v>
      </c>
      <c r="D2357">
        <v>15</v>
      </c>
      <c r="E2357">
        <v>12</v>
      </c>
      <c r="F2357">
        <v>7</v>
      </c>
      <c r="G2357">
        <v>9.52</v>
      </c>
      <c r="H2357">
        <v>1.1399999999999999</v>
      </c>
      <c r="I2357">
        <v>0.85</v>
      </c>
      <c r="J2357" t="s">
        <v>223</v>
      </c>
      <c r="K2357" t="s">
        <v>38</v>
      </c>
      <c r="L2357">
        <v>151</v>
      </c>
      <c r="M2357">
        <v>4.6900000000000004</v>
      </c>
      <c r="N2357">
        <v>53.96</v>
      </c>
      <c r="O2357">
        <v>0.65</v>
      </c>
      <c r="P2357">
        <v>9</v>
      </c>
      <c r="Q2357">
        <v>0.88</v>
      </c>
      <c r="R2357">
        <v>390</v>
      </c>
      <c r="S2357">
        <v>1.41</v>
      </c>
      <c r="T2357">
        <v>0.99</v>
      </c>
      <c r="U2357" s="1">
        <v>45612</v>
      </c>
      <c r="V2357">
        <v>140.01</v>
      </c>
      <c r="W2357">
        <v>0.54800000000000004</v>
      </c>
      <c r="X2357" t="str">
        <f>IF(WarehouseData[[#This Row],[stock_level]]&lt;=WarehouseData[[#This Row],[reorder_point]],"Low Stock","Sufficient Stock")</f>
        <v>Sufficient Stock</v>
      </c>
      <c r="Y2357">
        <f>WarehouseData[[#This Row],[daily_demand]]*WarehouseData[[#This Row],[lead_time_days]]</f>
        <v>66.64</v>
      </c>
      <c r="Z2357" t="str">
        <f>IF(WarehouseData[[#This Row],[stock_level]]&lt;=WarehouseData[[#This Row],[Demand During Lead Time]],"At Risk","Safe")</f>
        <v>Safe</v>
      </c>
      <c r="AA2357">
        <f>WarehouseData[[#This Row],[stock_level]]/WarehouseData[[#This Row],[daily_demand]]</f>
        <v>20.903361344537817</v>
      </c>
      <c r="AB2357">
        <f>WarehouseData[[#This Row],[stock_level]]*WarehouseData[[#This Row],[unit_price]]</f>
        <v>10738.04</v>
      </c>
      <c r="AC2357">
        <f>WarehouseData[[#This Row],[stock_level]]*WarehouseData[[#This Row],[holding_cost_per_unit_day]]*30</f>
        <v>3880.5</v>
      </c>
      <c r="AD2357" t="str">
        <f>IF(WarehouseData[[#This Row],[order_fulfillment_rate]]&gt;=0.9,"Strong",IF(WarehouseData[[#This Row],[order_fulfillment_rate]]&gt;=0.8,"Moderate","Needs Attention"))</f>
        <v>Moderate</v>
      </c>
      <c r="AE2357" t="str">
        <f>IF(WarehouseData[[#This Row],[picking_time_seconds]]&gt;120,"Slow",IF(WarehouseData[[#This Row],[picking_time_seconds]]&gt;=60,"Average","Fast"))</f>
        <v>Slow</v>
      </c>
    </row>
    <row r="2358" spans="1:31" x14ac:dyDescent="0.25">
      <c r="A2358" t="s">
        <v>2496</v>
      </c>
      <c r="B2358" t="s">
        <v>32</v>
      </c>
      <c r="C2358">
        <v>219</v>
      </c>
      <c r="D2358">
        <v>55</v>
      </c>
      <c r="E2358">
        <v>6</v>
      </c>
      <c r="F2358">
        <v>3</v>
      </c>
      <c r="G2358">
        <v>42.29</v>
      </c>
      <c r="H2358">
        <v>2.56</v>
      </c>
      <c r="I2358">
        <v>0.65</v>
      </c>
      <c r="J2358" t="s">
        <v>152</v>
      </c>
      <c r="K2358" t="s">
        <v>34</v>
      </c>
      <c r="L2358">
        <v>50</v>
      </c>
      <c r="M2358">
        <v>2.64</v>
      </c>
      <c r="N2358">
        <v>84.14</v>
      </c>
      <c r="O2358">
        <v>1.21</v>
      </c>
      <c r="P2358">
        <v>5</v>
      </c>
      <c r="Q2358">
        <v>0.72</v>
      </c>
      <c r="R2358">
        <v>969</v>
      </c>
      <c r="S2358">
        <v>1.06</v>
      </c>
      <c r="T2358">
        <v>0.23</v>
      </c>
      <c r="U2358" s="1">
        <v>45607</v>
      </c>
      <c r="V2358">
        <v>249.4</v>
      </c>
      <c r="W2358">
        <v>0.38300000000000001</v>
      </c>
      <c r="X2358" t="str">
        <f>IF(WarehouseData[[#This Row],[stock_level]]&lt;=WarehouseData[[#This Row],[reorder_point]],"Low Stock","Sufficient Stock")</f>
        <v>Sufficient Stock</v>
      </c>
      <c r="Y2358">
        <f>WarehouseData[[#This Row],[daily_demand]]*WarehouseData[[#This Row],[lead_time_days]]</f>
        <v>126.87</v>
      </c>
      <c r="Z2358" t="str">
        <f>IF(WarehouseData[[#This Row],[stock_level]]&lt;=WarehouseData[[#This Row],[Demand During Lead Time]],"At Risk","Safe")</f>
        <v>Safe</v>
      </c>
      <c r="AA2358">
        <f>WarehouseData[[#This Row],[stock_level]]/WarehouseData[[#This Row],[daily_demand]]</f>
        <v>5.1785292031213057</v>
      </c>
      <c r="AB2358">
        <f>WarehouseData[[#This Row],[stock_level]]*WarehouseData[[#This Row],[unit_price]]</f>
        <v>18426.66</v>
      </c>
      <c r="AC2358">
        <f>WarehouseData[[#This Row],[stock_level]]*WarehouseData[[#This Row],[holding_cost_per_unit_day]]*30</f>
        <v>7949.7000000000007</v>
      </c>
      <c r="AD2358" t="str">
        <f>IF(WarehouseData[[#This Row],[order_fulfillment_rate]]&gt;=0.9,"Strong",IF(WarehouseData[[#This Row],[order_fulfillment_rate]]&gt;=0.8,"Moderate","Needs Attention"))</f>
        <v>Needs Attention</v>
      </c>
      <c r="AE2358" t="str">
        <f>IF(WarehouseData[[#This Row],[picking_time_seconds]]&gt;120,"Slow",IF(WarehouseData[[#This Row],[picking_time_seconds]]&gt;=60,"Average","Fast"))</f>
        <v>Fast</v>
      </c>
    </row>
    <row r="2359" spans="1:31" x14ac:dyDescent="0.25">
      <c r="A2359" t="s">
        <v>2497</v>
      </c>
      <c r="B2359" t="s">
        <v>36</v>
      </c>
      <c r="C2359">
        <v>222</v>
      </c>
      <c r="D2359">
        <v>59</v>
      </c>
      <c r="E2359">
        <v>4</v>
      </c>
      <c r="F2359">
        <v>9</v>
      </c>
      <c r="G2359">
        <v>14.93</v>
      </c>
      <c r="H2359">
        <v>4.8899999999999997</v>
      </c>
      <c r="I2359">
        <v>0.98</v>
      </c>
      <c r="J2359" t="s">
        <v>259</v>
      </c>
      <c r="K2359" t="s">
        <v>46</v>
      </c>
      <c r="L2359">
        <v>115</v>
      </c>
      <c r="M2359">
        <v>3.34</v>
      </c>
      <c r="N2359">
        <v>142.11000000000001</v>
      </c>
      <c r="O2359">
        <v>1.48</v>
      </c>
      <c r="P2359">
        <v>7</v>
      </c>
      <c r="Q2359">
        <v>0.92</v>
      </c>
      <c r="R2359">
        <v>973</v>
      </c>
      <c r="S2359">
        <v>13.78</v>
      </c>
      <c r="T2359">
        <v>0.21</v>
      </c>
      <c r="U2359" s="1">
        <v>45630</v>
      </c>
      <c r="V2359">
        <v>20.51</v>
      </c>
      <c r="W2359">
        <v>0.52200000000000002</v>
      </c>
      <c r="X2359" t="str">
        <f>IF(WarehouseData[[#This Row],[stock_level]]&lt;=WarehouseData[[#This Row],[reorder_point]],"Low Stock","Sufficient Stock")</f>
        <v>Sufficient Stock</v>
      </c>
      <c r="Y2359">
        <f>WarehouseData[[#This Row],[daily_demand]]*WarehouseData[[#This Row],[lead_time_days]]</f>
        <v>134.37</v>
      </c>
      <c r="Z2359" t="str">
        <f>IF(WarehouseData[[#This Row],[stock_level]]&lt;=WarehouseData[[#This Row],[Demand During Lead Time]],"At Risk","Safe")</f>
        <v>Safe</v>
      </c>
      <c r="AA2359">
        <f>WarehouseData[[#This Row],[stock_level]]/WarehouseData[[#This Row],[daily_demand]]</f>
        <v>14.869390488948426</v>
      </c>
      <c r="AB2359">
        <f>WarehouseData[[#This Row],[stock_level]]*WarehouseData[[#This Row],[unit_price]]</f>
        <v>31548.420000000002</v>
      </c>
      <c r="AC2359">
        <f>WarehouseData[[#This Row],[stock_level]]*WarehouseData[[#This Row],[holding_cost_per_unit_day]]*30</f>
        <v>9856.7999999999993</v>
      </c>
      <c r="AD2359" t="str">
        <f>IF(WarehouseData[[#This Row],[order_fulfillment_rate]]&gt;=0.9,"Strong",IF(WarehouseData[[#This Row],[order_fulfillment_rate]]&gt;=0.8,"Moderate","Needs Attention"))</f>
        <v>Strong</v>
      </c>
      <c r="AE2359" t="str">
        <f>IF(WarehouseData[[#This Row],[picking_time_seconds]]&gt;120,"Slow",IF(WarehouseData[[#This Row],[picking_time_seconds]]&gt;=60,"Average","Fast"))</f>
        <v>Average</v>
      </c>
    </row>
    <row r="2360" spans="1:31" x14ac:dyDescent="0.25">
      <c r="A2360" t="s">
        <v>2498</v>
      </c>
      <c r="B2360" t="s">
        <v>36</v>
      </c>
      <c r="C2360">
        <v>80</v>
      </c>
      <c r="D2360">
        <v>47</v>
      </c>
      <c r="E2360">
        <v>12</v>
      </c>
      <c r="F2360">
        <v>8</v>
      </c>
      <c r="G2360">
        <v>36.020000000000003</v>
      </c>
      <c r="H2360">
        <v>6.24</v>
      </c>
      <c r="I2360">
        <v>0.95</v>
      </c>
      <c r="J2360" t="s">
        <v>245</v>
      </c>
      <c r="K2360" t="s">
        <v>46</v>
      </c>
      <c r="L2360">
        <v>83</v>
      </c>
      <c r="M2360">
        <v>3.63</v>
      </c>
      <c r="N2360">
        <v>78.05</v>
      </c>
      <c r="O2360">
        <v>0.23</v>
      </c>
      <c r="P2360">
        <v>7</v>
      </c>
      <c r="Q2360">
        <v>0.84</v>
      </c>
      <c r="R2360">
        <v>863</v>
      </c>
      <c r="S2360">
        <v>3.13</v>
      </c>
      <c r="T2360">
        <v>0.57999999999999996</v>
      </c>
      <c r="U2360" s="1">
        <v>45446</v>
      </c>
      <c r="V2360">
        <v>107.07</v>
      </c>
      <c r="W2360">
        <v>0.56299999999999994</v>
      </c>
      <c r="X2360" t="str">
        <f>IF(WarehouseData[[#This Row],[stock_level]]&lt;=WarehouseData[[#This Row],[reorder_point]],"Low Stock","Sufficient Stock")</f>
        <v>Sufficient Stock</v>
      </c>
      <c r="Y2360">
        <f>WarehouseData[[#This Row],[daily_demand]]*WarehouseData[[#This Row],[lead_time_days]]</f>
        <v>288.16000000000003</v>
      </c>
      <c r="Z2360" t="str">
        <f>IF(WarehouseData[[#This Row],[stock_level]]&lt;=WarehouseData[[#This Row],[Demand During Lead Time]],"At Risk","Safe")</f>
        <v>At Risk</v>
      </c>
      <c r="AA2360">
        <f>WarehouseData[[#This Row],[stock_level]]/WarehouseData[[#This Row],[daily_demand]]</f>
        <v>2.2209883398112158</v>
      </c>
      <c r="AB2360">
        <f>WarehouseData[[#This Row],[stock_level]]*WarehouseData[[#This Row],[unit_price]]</f>
        <v>6244</v>
      </c>
      <c r="AC2360">
        <f>WarehouseData[[#This Row],[stock_level]]*WarehouseData[[#This Row],[holding_cost_per_unit_day]]*30</f>
        <v>552.00000000000011</v>
      </c>
      <c r="AD2360" t="str">
        <f>IF(WarehouseData[[#This Row],[order_fulfillment_rate]]&gt;=0.9,"Strong",IF(WarehouseData[[#This Row],[order_fulfillment_rate]]&gt;=0.8,"Moderate","Needs Attention"))</f>
        <v>Moderate</v>
      </c>
      <c r="AE2360" t="str">
        <f>IF(WarehouseData[[#This Row],[picking_time_seconds]]&gt;120,"Slow",IF(WarehouseData[[#This Row],[picking_time_seconds]]&gt;=60,"Average","Fast"))</f>
        <v>Average</v>
      </c>
    </row>
    <row r="2361" spans="1:31" x14ac:dyDescent="0.25">
      <c r="A2361" t="s">
        <v>2499</v>
      </c>
      <c r="B2361" t="s">
        <v>48</v>
      </c>
      <c r="C2361">
        <v>211</v>
      </c>
      <c r="D2361">
        <v>97</v>
      </c>
      <c r="E2361">
        <v>7</v>
      </c>
      <c r="F2361">
        <v>6</v>
      </c>
      <c r="G2361">
        <v>28.82</v>
      </c>
      <c r="H2361">
        <v>3.72</v>
      </c>
      <c r="I2361">
        <v>0.98</v>
      </c>
      <c r="J2361" t="s">
        <v>59</v>
      </c>
      <c r="K2361" t="s">
        <v>46</v>
      </c>
      <c r="L2361">
        <v>69</v>
      </c>
      <c r="M2361">
        <v>2.2599999999999998</v>
      </c>
      <c r="N2361">
        <v>40.86</v>
      </c>
      <c r="O2361">
        <v>1.78</v>
      </c>
      <c r="P2361">
        <v>9</v>
      </c>
      <c r="Q2361">
        <v>0.92</v>
      </c>
      <c r="R2361">
        <v>245</v>
      </c>
      <c r="S2361">
        <v>7.09</v>
      </c>
      <c r="T2361">
        <v>0.89</v>
      </c>
      <c r="U2361" s="1">
        <v>45543</v>
      </c>
      <c r="V2361">
        <v>151.63999999999999</v>
      </c>
      <c r="W2361">
        <v>0.499</v>
      </c>
      <c r="X2361" t="str">
        <f>IF(WarehouseData[[#This Row],[stock_level]]&lt;=WarehouseData[[#This Row],[reorder_point]],"Low Stock","Sufficient Stock")</f>
        <v>Sufficient Stock</v>
      </c>
      <c r="Y2361">
        <f>WarehouseData[[#This Row],[daily_demand]]*WarehouseData[[#This Row],[lead_time_days]]</f>
        <v>172.92000000000002</v>
      </c>
      <c r="Z2361" t="str">
        <f>IF(WarehouseData[[#This Row],[stock_level]]&lt;=WarehouseData[[#This Row],[Demand During Lead Time]],"At Risk","Safe")</f>
        <v>Safe</v>
      </c>
      <c r="AA2361">
        <f>WarehouseData[[#This Row],[stock_level]]/WarehouseData[[#This Row],[daily_demand]]</f>
        <v>7.3213046495489245</v>
      </c>
      <c r="AB2361">
        <f>WarehouseData[[#This Row],[stock_level]]*WarehouseData[[#This Row],[unit_price]]</f>
        <v>8621.4599999999991</v>
      </c>
      <c r="AC2361">
        <f>WarehouseData[[#This Row],[stock_level]]*WarehouseData[[#This Row],[holding_cost_per_unit_day]]*30</f>
        <v>11267.4</v>
      </c>
      <c r="AD2361" t="str">
        <f>IF(WarehouseData[[#This Row],[order_fulfillment_rate]]&gt;=0.9,"Strong",IF(WarehouseData[[#This Row],[order_fulfillment_rate]]&gt;=0.8,"Moderate","Needs Attention"))</f>
        <v>Strong</v>
      </c>
      <c r="AE2361" t="str">
        <f>IF(WarehouseData[[#This Row],[picking_time_seconds]]&gt;120,"Slow",IF(WarehouseData[[#This Row],[picking_time_seconds]]&gt;=60,"Average","Fast"))</f>
        <v>Average</v>
      </c>
    </row>
    <row r="2362" spans="1:31" x14ac:dyDescent="0.25">
      <c r="A2362" t="s">
        <v>2500</v>
      </c>
      <c r="B2362" t="s">
        <v>48</v>
      </c>
      <c r="C2362">
        <v>24</v>
      </c>
      <c r="D2362">
        <v>27</v>
      </c>
      <c r="E2362">
        <v>4</v>
      </c>
      <c r="F2362">
        <v>8</v>
      </c>
      <c r="G2362">
        <v>48.87</v>
      </c>
      <c r="H2362">
        <v>3.33</v>
      </c>
      <c r="I2362">
        <v>0.96</v>
      </c>
      <c r="J2362" t="s">
        <v>106</v>
      </c>
      <c r="K2362" t="s">
        <v>38</v>
      </c>
      <c r="L2362">
        <v>51</v>
      </c>
      <c r="M2362">
        <v>2.17</v>
      </c>
      <c r="N2362">
        <v>108.52</v>
      </c>
      <c r="O2362">
        <v>0.63</v>
      </c>
      <c r="P2362">
        <v>5</v>
      </c>
      <c r="Q2362">
        <v>0.95</v>
      </c>
      <c r="R2362">
        <v>633</v>
      </c>
      <c r="S2362">
        <v>1.8</v>
      </c>
      <c r="T2362">
        <v>0.62</v>
      </c>
      <c r="U2362" s="1">
        <v>45585</v>
      </c>
      <c r="V2362">
        <v>96.76</v>
      </c>
      <c r="W2362">
        <v>0.57499999999999996</v>
      </c>
      <c r="X2362" t="str">
        <f>IF(WarehouseData[[#This Row],[stock_level]]&lt;=WarehouseData[[#This Row],[reorder_point]],"Low Stock","Sufficient Stock")</f>
        <v>Low Stock</v>
      </c>
      <c r="Y2362">
        <f>WarehouseData[[#This Row],[daily_demand]]*WarehouseData[[#This Row],[lead_time_days]]</f>
        <v>390.96</v>
      </c>
      <c r="Z2362" t="str">
        <f>IF(WarehouseData[[#This Row],[stock_level]]&lt;=WarehouseData[[#This Row],[Demand During Lead Time]],"At Risk","Safe")</f>
        <v>At Risk</v>
      </c>
      <c r="AA2362">
        <f>WarehouseData[[#This Row],[stock_level]]/WarehouseData[[#This Row],[daily_demand]]</f>
        <v>0.49109883364027013</v>
      </c>
      <c r="AB2362">
        <f>WarehouseData[[#This Row],[stock_level]]*WarehouseData[[#This Row],[unit_price]]</f>
        <v>2604.48</v>
      </c>
      <c r="AC2362">
        <f>WarehouseData[[#This Row],[stock_level]]*WarehouseData[[#This Row],[holding_cost_per_unit_day]]*30</f>
        <v>453.6</v>
      </c>
      <c r="AD2362" t="str">
        <f>IF(WarehouseData[[#This Row],[order_fulfillment_rate]]&gt;=0.9,"Strong",IF(WarehouseData[[#This Row],[order_fulfillment_rate]]&gt;=0.8,"Moderate","Needs Attention"))</f>
        <v>Strong</v>
      </c>
      <c r="AE2362" t="str">
        <f>IF(WarehouseData[[#This Row],[picking_time_seconds]]&gt;120,"Slow",IF(WarehouseData[[#This Row],[picking_time_seconds]]&gt;=60,"Average","Fast"))</f>
        <v>Fast</v>
      </c>
    </row>
    <row r="2363" spans="1:31" x14ac:dyDescent="0.25">
      <c r="A2363" t="s">
        <v>2501</v>
      </c>
      <c r="B2363" t="s">
        <v>36</v>
      </c>
      <c r="C2363">
        <v>397</v>
      </c>
      <c r="D2363">
        <v>36</v>
      </c>
      <c r="E2363">
        <v>12</v>
      </c>
      <c r="F2363">
        <v>7</v>
      </c>
      <c r="G2363">
        <v>14.37</v>
      </c>
      <c r="H2363">
        <v>0.89</v>
      </c>
      <c r="I2363">
        <v>0.11</v>
      </c>
      <c r="J2363" t="s">
        <v>41</v>
      </c>
      <c r="K2363" t="s">
        <v>46</v>
      </c>
      <c r="L2363">
        <v>131</v>
      </c>
      <c r="M2363">
        <v>3.54</v>
      </c>
      <c r="N2363">
        <v>147.47999999999999</v>
      </c>
      <c r="O2363">
        <v>0.82</v>
      </c>
      <c r="P2363">
        <v>4</v>
      </c>
      <c r="Q2363">
        <v>0.8</v>
      </c>
      <c r="R2363">
        <v>231</v>
      </c>
      <c r="S2363">
        <v>6.23</v>
      </c>
      <c r="T2363">
        <v>0.9</v>
      </c>
      <c r="U2363" s="1">
        <v>45573</v>
      </c>
      <c r="V2363">
        <v>139.29</v>
      </c>
      <c r="W2363">
        <v>0.66100000000000003</v>
      </c>
      <c r="X2363" t="str">
        <f>IF(WarehouseData[[#This Row],[stock_level]]&lt;=WarehouseData[[#This Row],[reorder_point]],"Low Stock","Sufficient Stock")</f>
        <v>Sufficient Stock</v>
      </c>
      <c r="Y2363">
        <f>WarehouseData[[#This Row],[daily_demand]]*WarehouseData[[#This Row],[lead_time_days]]</f>
        <v>100.58999999999999</v>
      </c>
      <c r="Z2363" t="str">
        <f>IF(WarehouseData[[#This Row],[stock_level]]&lt;=WarehouseData[[#This Row],[Demand During Lead Time]],"At Risk","Safe")</f>
        <v>Safe</v>
      </c>
      <c r="AA2363">
        <f>WarehouseData[[#This Row],[stock_level]]/WarehouseData[[#This Row],[daily_demand]]</f>
        <v>27.627000695894225</v>
      </c>
      <c r="AB2363">
        <f>WarehouseData[[#This Row],[stock_level]]*WarehouseData[[#This Row],[unit_price]]</f>
        <v>58549.56</v>
      </c>
      <c r="AC2363">
        <f>WarehouseData[[#This Row],[stock_level]]*WarehouseData[[#This Row],[holding_cost_per_unit_day]]*30</f>
        <v>9766.1999999999989</v>
      </c>
      <c r="AD2363" t="str">
        <f>IF(WarehouseData[[#This Row],[order_fulfillment_rate]]&gt;=0.9,"Strong",IF(WarehouseData[[#This Row],[order_fulfillment_rate]]&gt;=0.8,"Moderate","Needs Attention"))</f>
        <v>Moderate</v>
      </c>
      <c r="AE2363" t="str">
        <f>IF(WarehouseData[[#This Row],[picking_time_seconds]]&gt;120,"Slow",IF(WarehouseData[[#This Row],[picking_time_seconds]]&gt;=60,"Average","Fast"))</f>
        <v>Slow</v>
      </c>
    </row>
    <row r="2364" spans="1:31" x14ac:dyDescent="0.25">
      <c r="A2364" t="s">
        <v>2502</v>
      </c>
      <c r="B2364" t="s">
        <v>36</v>
      </c>
      <c r="C2364">
        <v>256</v>
      </c>
      <c r="D2364">
        <v>50</v>
      </c>
      <c r="E2364">
        <v>8</v>
      </c>
      <c r="F2364">
        <v>6</v>
      </c>
      <c r="G2364">
        <v>8.76</v>
      </c>
      <c r="H2364">
        <v>0.81</v>
      </c>
      <c r="I2364">
        <v>0.77</v>
      </c>
      <c r="J2364" t="s">
        <v>240</v>
      </c>
      <c r="K2364" t="s">
        <v>46</v>
      </c>
      <c r="L2364">
        <v>20</v>
      </c>
      <c r="M2364">
        <v>2.2000000000000002</v>
      </c>
      <c r="N2364">
        <v>70.95</v>
      </c>
      <c r="O2364">
        <v>0.74</v>
      </c>
      <c r="P2364">
        <v>6</v>
      </c>
      <c r="Q2364">
        <v>0.85</v>
      </c>
      <c r="R2364">
        <v>802</v>
      </c>
      <c r="S2364">
        <v>12</v>
      </c>
      <c r="T2364">
        <v>0.3</v>
      </c>
      <c r="U2364" s="1">
        <v>45475</v>
      </c>
      <c r="V2364">
        <v>126.51</v>
      </c>
      <c r="W2364">
        <v>0.59599999999999997</v>
      </c>
      <c r="X2364" t="str">
        <f>IF(WarehouseData[[#This Row],[stock_level]]&lt;=WarehouseData[[#This Row],[reorder_point]],"Low Stock","Sufficient Stock")</f>
        <v>Sufficient Stock</v>
      </c>
      <c r="Y2364">
        <f>WarehouseData[[#This Row],[daily_demand]]*WarehouseData[[#This Row],[lead_time_days]]</f>
        <v>52.56</v>
      </c>
      <c r="Z2364" t="str">
        <f>IF(WarehouseData[[#This Row],[stock_level]]&lt;=WarehouseData[[#This Row],[Demand During Lead Time]],"At Risk","Safe")</f>
        <v>Safe</v>
      </c>
      <c r="AA2364">
        <f>WarehouseData[[#This Row],[stock_level]]/WarehouseData[[#This Row],[daily_demand]]</f>
        <v>29.223744292237445</v>
      </c>
      <c r="AB2364">
        <f>WarehouseData[[#This Row],[stock_level]]*WarehouseData[[#This Row],[unit_price]]</f>
        <v>18163.2</v>
      </c>
      <c r="AC2364">
        <f>WarehouseData[[#This Row],[stock_level]]*WarehouseData[[#This Row],[holding_cost_per_unit_day]]*30</f>
        <v>5683.2</v>
      </c>
      <c r="AD2364" t="str">
        <f>IF(WarehouseData[[#This Row],[order_fulfillment_rate]]&gt;=0.9,"Strong",IF(WarehouseData[[#This Row],[order_fulfillment_rate]]&gt;=0.8,"Moderate","Needs Attention"))</f>
        <v>Moderate</v>
      </c>
      <c r="AE2364" t="str">
        <f>IF(WarehouseData[[#This Row],[picking_time_seconds]]&gt;120,"Slow",IF(WarehouseData[[#This Row],[picking_time_seconds]]&gt;=60,"Average","Fast"))</f>
        <v>Fast</v>
      </c>
    </row>
    <row r="2365" spans="1:31" x14ac:dyDescent="0.25">
      <c r="A2365" t="s">
        <v>2503</v>
      </c>
      <c r="B2365" t="s">
        <v>32</v>
      </c>
      <c r="C2365">
        <v>200</v>
      </c>
      <c r="D2365">
        <v>81</v>
      </c>
      <c r="E2365">
        <v>13</v>
      </c>
      <c r="F2365">
        <v>6</v>
      </c>
      <c r="G2365">
        <v>3.55</v>
      </c>
      <c r="H2365">
        <v>3.15</v>
      </c>
      <c r="I2365">
        <v>0.34</v>
      </c>
      <c r="J2365" t="s">
        <v>81</v>
      </c>
      <c r="K2365" t="s">
        <v>46</v>
      </c>
      <c r="L2365">
        <v>172</v>
      </c>
      <c r="M2365">
        <v>3.11</v>
      </c>
      <c r="N2365">
        <v>33.14</v>
      </c>
      <c r="O2365">
        <v>1.7</v>
      </c>
      <c r="P2365">
        <v>2</v>
      </c>
      <c r="Q2365">
        <v>0.78</v>
      </c>
      <c r="R2365">
        <v>850</v>
      </c>
      <c r="S2365">
        <v>6.69</v>
      </c>
      <c r="T2365">
        <v>0.76</v>
      </c>
      <c r="U2365" s="1">
        <v>45329</v>
      </c>
      <c r="V2365">
        <v>277.93</v>
      </c>
      <c r="W2365">
        <v>0.58699999999999997</v>
      </c>
      <c r="X2365" t="str">
        <f>IF(WarehouseData[[#This Row],[stock_level]]&lt;=WarehouseData[[#This Row],[reorder_point]],"Low Stock","Sufficient Stock")</f>
        <v>Sufficient Stock</v>
      </c>
      <c r="Y2365">
        <f>WarehouseData[[#This Row],[daily_demand]]*WarehouseData[[#This Row],[lead_time_days]]</f>
        <v>21.299999999999997</v>
      </c>
      <c r="Z2365" t="str">
        <f>IF(WarehouseData[[#This Row],[stock_level]]&lt;=WarehouseData[[#This Row],[Demand During Lead Time]],"At Risk","Safe")</f>
        <v>Safe</v>
      </c>
      <c r="AA2365">
        <f>WarehouseData[[#This Row],[stock_level]]/WarehouseData[[#This Row],[daily_demand]]</f>
        <v>56.338028169014088</v>
      </c>
      <c r="AB2365">
        <f>WarehouseData[[#This Row],[stock_level]]*WarehouseData[[#This Row],[unit_price]]</f>
        <v>6628</v>
      </c>
      <c r="AC2365">
        <f>WarehouseData[[#This Row],[stock_level]]*WarehouseData[[#This Row],[holding_cost_per_unit_day]]*30</f>
        <v>10200</v>
      </c>
      <c r="AD2365" t="str">
        <f>IF(WarehouseData[[#This Row],[order_fulfillment_rate]]&gt;=0.9,"Strong",IF(WarehouseData[[#This Row],[order_fulfillment_rate]]&gt;=0.8,"Moderate","Needs Attention"))</f>
        <v>Needs Attention</v>
      </c>
      <c r="AE2365" t="str">
        <f>IF(WarehouseData[[#This Row],[picking_time_seconds]]&gt;120,"Slow",IF(WarehouseData[[#This Row],[picking_time_seconds]]&gt;=60,"Average","Fast"))</f>
        <v>Slow</v>
      </c>
    </row>
    <row r="2366" spans="1:31" x14ac:dyDescent="0.25">
      <c r="A2366" t="s">
        <v>2504</v>
      </c>
      <c r="B2366" t="s">
        <v>40</v>
      </c>
      <c r="C2366">
        <v>330</v>
      </c>
      <c r="D2366">
        <v>83</v>
      </c>
      <c r="E2366">
        <v>12</v>
      </c>
      <c r="F2366">
        <v>2</v>
      </c>
      <c r="G2366">
        <v>12.81</v>
      </c>
      <c r="H2366">
        <v>5.54</v>
      </c>
      <c r="I2366">
        <v>0.73</v>
      </c>
      <c r="J2366" t="s">
        <v>59</v>
      </c>
      <c r="K2366" t="s">
        <v>34</v>
      </c>
      <c r="L2366">
        <v>156</v>
      </c>
      <c r="M2366">
        <v>2.82</v>
      </c>
      <c r="N2366">
        <v>167.61</v>
      </c>
      <c r="O2366">
        <v>0.42</v>
      </c>
      <c r="P2366">
        <v>9</v>
      </c>
      <c r="Q2366">
        <v>0.76</v>
      </c>
      <c r="R2366">
        <v>372</v>
      </c>
      <c r="S2366">
        <v>11.86</v>
      </c>
      <c r="T2366">
        <v>0.73</v>
      </c>
      <c r="U2366" s="1">
        <v>45654</v>
      </c>
      <c r="V2366">
        <v>153.01</v>
      </c>
      <c r="W2366">
        <v>0.63400000000000001</v>
      </c>
      <c r="X2366" t="str">
        <f>IF(WarehouseData[[#This Row],[stock_level]]&lt;=WarehouseData[[#This Row],[reorder_point]],"Low Stock","Sufficient Stock")</f>
        <v>Sufficient Stock</v>
      </c>
      <c r="Y2366">
        <f>WarehouseData[[#This Row],[daily_demand]]*WarehouseData[[#This Row],[lead_time_days]]</f>
        <v>25.62</v>
      </c>
      <c r="Z2366" t="str">
        <f>IF(WarehouseData[[#This Row],[stock_level]]&lt;=WarehouseData[[#This Row],[Demand During Lead Time]],"At Risk","Safe")</f>
        <v>Safe</v>
      </c>
      <c r="AA2366">
        <f>WarehouseData[[#This Row],[stock_level]]/WarehouseData[[#This Row],[daily_demand]]</f>
        <v>25.761124121779858</v>
      </c>
      <c r="AB2366">
        <f>WarehouseData[[#This Row],[stock_level]]*WarehouseData[[#This Row],[unit_price]]</f>
        <v>55311.3</v>
      </c>
      <c r="AC2366">
        <f>WarehouseData[[#This Row],[stock_level]]*WarehouseData[[#This Row],[holding_cost_per_unit_day]]*30</f>
        <v>4158</v>
      </c>
      <c r="AD2366" t="str">
        <f>IF(WarehouseData[[#This Row],[order_fulfillment_rate]]&gt;=0.9,"Strong",IF(WarehouseData[[#This Row],[order_fulfillment_rate]]&gt;=0.8,"Moderate","Needs Attention"))</f>
        <v>Needs Attention</v>
      </c>
      <c r="AE2366" t="str">
        <f>IF(WarehouseData[[#This Row],[picking_time_seconds]]&gt;120,"Slow",IF(WarehouseData[[#This Row],[picking_time_seconds]]&gt;=60,"Average","Fast"))</f>
        <v>Slow</v>
      </c>
    </row>
    <row r="2367" spans="1:31" x14ac:dyDescent="0.25">
      <c r="A2367" t="s">
        <v>2505</v>
      </c>
      <c r="B2367" t="s">
        <v>48</v>
      </c>
      <c r="C2367">
        <v>56</v>
      </c>
      <c r="D2367">
        <v>26</v>
      </c>
      <c r="E2367">
        <v>3</v>
      </c>
      <c r="F2367">
        <v>2</v>
      </c>
      <c r="G2367">
        <v>34.520000000000003</v>
      </c>
      <c r="H2367">
        <v>5.79</v>
      </c>
      <c r="I2367">
        <v>0.98</v>
      </c>
      <c r="J2367" t="s">
        <v>377</v>
      </c>
      <c r="K2367" t="s">
        <v>34</v>
      </c>
      <c r="L2367">
        <v>127</v>
      </c>
      <c r="M2367">
        <v>2.86</v>
      </c>
      <c r="N2367">
        <v>58.03</v>
      </c>
      <c r="O2367">
        <v>0.15</v>
      </c>
      <c r="P2367">
        <v>1</v>
      </c>
      <c r="Q2367">
        <v>0.7</v>
      </c>
      <c r="R2367">
        <v>162</v>
      </c>
      <c r="S2367">
        <v>10.64</v>
      </c>
      <c r="T2367">
        <v>0.64</v>
      </c>
      <c r="U2367" s="1">
        <v>45454</v>
      </c>
      <c r="V2367">
        <v>148.13</v>
      </c>
      <c r="W2367">
        <v>0.77500000000000002</v>
      </c>
      <c r="X2367" t="str">
        <f>IF(WarehouseData[[#This Row],[stock_level]]&lt;=WarehouseData[[#This Row],[reorder_point]],"Low Stock","Sufficient Stock")</f>
        <v>Sufficient Stock</v>
      </c>
      <c r="Y2367">
        <f>WarehouseData[[#This Row],[daily_demand]]*WarehouseData[[#This Row],[lead_time_days]]</f>
        <v>69.040000000000006</v>
      </c>
      <c r="Z2367" t="str">
        <f>IF(WarehouseData[[#This Row],[stock_level]]&lt;=WarehouseData[[#This Row],[Demand During Lead Time]],"At Risk","Safe")</f>
        <v>At Risk</v>
      </c>
      <c r="AA2367">
        <f>WarehouseData[[#This Row],[stock_level]]/WarehouseData[[#This Row],[daily_demand]]</f>
        <v>1.6222479721900347</v>
      </c>
      <c r="AB2367">
        <f>WarehouseData[[#This Row],[stock_level]]*WarehouseData[[#This Row],[unit_price]]</f>
        <v>3249.6800000000003</v>
      </c>
      <c r="AC2367">
        <f>WarehouseData[[#This Row],[stock_level]]*WarehouseData[[#This Row],[holding_cost_per_unit_day]]*30</f>
        <v>252</v>
      </c>
      <c r="AD2367" t="str">
        <f>IF(WarehouseData[[#This Row],[order_fulfillment_rate]]&gt;=0.9,"Strong",IF(WarehouseData[[#This Row],[order_fulfillment_rate]]&gt;=0.8,"Moderate","Needs Attention"))</f>
        <v>Needs Attention</v>
      </c>
      <c r="AE2367" t="str">
        <f>IF(WarehouseData[[#This Row],[picking_time_seconds]]&gt;120,"Slow",IF(WarehouseData[[#This Row],[picking_time_seconds]]&gt;=60,"Average","Fast"))</f>
        <v>Slow</v>
      </c>
    </row>
    <row r="2368" spans="1:31" x14ac:dyDescent="0.25">
      <c r="A2368" t="s">
        <v>2506</v>
      </c>
      <c r="B2368" t="s">
        <v>40</v>
      </c>
      <c r="C2368">
        <v>75</v>
      </c>
      <c r="D2368">
        <v>71</v>
      </c>
      <c r="E2368">
        <v>8</v>
      </c>
      <c r="F2368">
        <v>9</v>
      </c>
      <c r="G2368">
        <v>5.18</v>
      </c>
      <c r="H2368">
        <v>5.19</v>
      </c>
      <c r="I2368">
        <v>0.14000000000000001</v>
      </c>
      <c r="J2368" t="s">
        <v>70</v>
      </c>
      <c r="K2368" t="s">
        <v>38</v>
      </c>
      <c r="L2368">
        <v>74</v>
      </c>
      <c r="M2368">
        <v>4.2300000000000004</v>
      </c>
      <c r="N2368">
        <v>107.43</v>
      </c>
      <c r="O2368">
        <v>1.95</v>
      </c>
      <c r="P2368">
        <v>7</v>
      </c>
      <c r="Q2368">
        <v>0.99</v>
      </c>
      <c r="R2368">
        <v>901</v>
      </c>
      <c r="S2368">
        <v>8.24</v>
      </c>
      <c r="T2368">
        <v>0.52</v>
      </c>
      <c r="U2368" s="1">
        <v>45561</v>
      </c>
      <c r="V2368">
        <v>83.8</v>
      </c>
      <c r="W2368">
        <v>0.47699999999999998</v>
      </c>
      <c r="X2368" t="str">
        <f>IF(WarehouseData[[#This Row],[stock_level]]&lt;=WarehouseData[[#This Row],[reorder_point]],"Low Stock","Sufficient Stock")</f>
        <v>Sufficient Stock</v>
      </c>
      <c r="Y2368">
        <f>WarehouseData[[#This Row],[daily_demand]]*WarehouseData[[#This Row],[lead_time_days]]</f>
        <v>46.62</v>
      </c>
      <c r="Z2368" t="str">
        <f>IF(WarehouseData[[#This Row],[stock_level]]&lt;=WarehouseData[[#This Row],[Demand During Lead Time]],"At Risk","Safe")</f>
        <v>Safe</v>
      </c>
      <c r="AA2368">
        <f>WarehouseData[[#This Row],[stock_level]]/WarehouseData[[#This Row],[daily_demand]]</f>
        <v>14.478764478764479</v>
      </c>
      <c r="AB2368">
        <f>WarehouseData[[#This Row],[stock_level]]*WarehouseData[[#This Row],[unit_price]]</f>
        <v>8057.2500000000009</v>
      </c>
      <c r="AC2368">
        <f>WarehouseData[[#This Row],[stock_level]]*WarehouseData[[#This Row],[holding_cost_per_unit_day]]*30</f>
        <v>4387.5</v>
      </c>
      <c r="AD2368" t="str">
        <f>IF(WarehouseData[[#This Row],[order_fulfillment_rate]]&gt;=0.9,"Strong",IF(WarehouseData[[#This Row],[order_fulfillment_rate]]&gt;=0.8,"Moderate","Needs Attention"))</f>
        <v>Strong</v>
      </c>
      <c r="AE2368" t="str">
        <f>IF(WarehouseData[[#This Row],[picking_time_seconds]]&gt;120,"Slow",IF(WarehouseData[[#This Row],[picking_time_seconds]]&gt;=60,"Average","Fast"))</f>
        <v>Average</v>
      </c>
    </row>
    <row r="2369" spans="1:31" x14ac:dyDescent="0.25">
      <c r="A2369" t="s">
        <v>2507</v>
      </c>
      <c r="B2369" t="s">
        <v>32</v>
      </c>
      <c r="C2369">
        <v>462</v>
      </c>
      <c r="D2369">
        <v>38</v>
      </c>
      <c r="E2369">
        <v>6</v>
      </c>
      <c r="F2369">
        <v>2</v>
      </c>
      <c r="G2369">
        <v>12.99</v>
      </c>
      <c r="H2369">
        <v>4.3899999999999997</v>
      </c>
      <c r="I2369">
        <v>0.61</v>
      </c>
      <c r="J2369" t="s">
        <v>353</v>
      </c>
      <c r="K2369" t="s">
        <v>46</v>
      </c>
      <c r="L2369">
        <v>56</v>
      </c>
      <c r="M2369">
        <v>3.67</v>
      </c>
      <c r="N2369">
        <v>141.36000000000001</v>
      </c>
      <c r="O2369">
        <v>1.96</v>
      </c>
      <c r="P2369">
        <v>8</v>
      </c>
      <c r="Q2369">
        <v>0.83</v>
      </c>
      <c r="R2369">
        <v>724</v>
      </c>
      <c r="S2369">
        <v>11.33</v>
      </c>
      <c r="T2369">
        <v>0.72</v>
      </c>
      <c r="U2369" s="1">
        <v>45404</v>
      </c>
      <c r="V2369">
        <v>23.43</v>
      </c>
      <c r="W2369">
        <v>0.505</v>
      </c>
      <c r="X2369" t="str">
        <f>IF(WarehouseData[[#This Row],[stock_level]]&lt;=WarehouseData[[#This Row],[reorder_point]],"Low Stock","Sufficient Stock")</f>
        <v>Sufficient Stock</v>
      </c>
      <c r="Y2369">
        <f>WarehouseData[[#This Row],[daily_demand]]*WarehouseData[[#This Row],[lead_time_days]]</f>
        <v>25.98</v>
      </c>
      <c r="Z2369" t="str">
        <f>IF(WarehouseData[[#This Row],[stock_level]]&lt;=WarehouseData[[#This Row],[Demand During Lead Time]],"At Risk","Safe")</f>
        <v>Safe</v>
      </c>
      <c r="AA2369">
        <f>WarehouseData[[#This Row],[stock_level]]/WarehouseData[[#This Row],[daily_demand]]</f>
        <v>35.565819861431869</v>
      </c>
      <c r="AB2369">
        <f>WarehouseData[[#This Row],[stock_level]]*WarehouseData[[#This Row],[unit_price]]</f>
        <v>65308.320000000007</v>
      </c>
      <c r="AC2369">
        <f>WarehouseData[[#This Row],[stock_level]]*WarehouseData[[#This Row],[holding_cost_per_unit_day]]*30</f>
        <v>27165.599999999999</v>
      </c>
      <c r="AD2369" t="str">
        <f>IF(WarehouseData[[#This Row],[order_fulfillment_rate]]&gt;=0.9,"Strong",IF(WarehouseData[[#This Row],[order_fulfillment_rate]]&gt;=0.8,"Moderate","Needs Attention"))</f>
        <v>Moderate</v>
      </c>
      <c r="AE2369" t="str">
        <f>IF(WarehouseData[[#This Row],[picking_time_seconds]]&gt;120,"Slow",IF(WarehouseData[[#This Row],[picking_time_seconds]]&gt;=60,"Average","Fast"))</f>
        <v>Fast</v>
      </c>
    </row>
    <row r="2370" spans="1:31" x14ac:dyDescent="0.25">
      <c r="A2370" t="s">
        <v>2508</v>
      </c>
      <c r="B2370" t="s">
        <v>36</v>
      </c>
      <c r="C2370">
        <v>256</v>
      </c>
      <c r="D2370">
        <v>67</v>
      </c>
      <c r="E2370">
        <v>5</v>
      </c>
      <c r="F2370">
        <v>7</v>
      </c>
      <c r="G2370">
        <v>42.91</v>
      </c>
      <c r="H2370">
        <v>2.9</v>
      </c>
      <c r="I2370">
        <v>0.76</v>
      </c>
      <c r="J2370" t="s">
        <v>160</v>
      </c>
      <c r="K2370" t="s">
        <v>38</v>
      </c>
      <c r="L2370">
        <v>23</v>
      </c>
      <c r="M2370">
        <v>4.82</v>
      </c>
      <c r="N2370">
        <v>70.239999999999995</v>
      </c>
      <c r="O2370">
        <v>0.59</v>
      </c>
      <c r="P2370">
        <v>5</v>
      </c>
      <c r="Q2370">
        <v>0.7</v>
      </c>
      <c r="R2370">
        <v>600</v>
      </c>
      <c r="S2370">
        <v>13.31</v>
      </c>
      <c r="T2370">
        <v>0.64</v>
      </c>
      <c r="U2370" s="1">
        <v>45386</v>
      </c>
      <c r="V2370">
        <v>96.85</v>
      </c>
      <c r="W2370">
        <v>0.68600000000000005</v>
      </c>
      <c r="X2370" t="str">
        <f>IF(WarehouseData[[#This Row],[stock_level]]&lt;=WarehouseData[[#This Row],[reorder_point]],"Low Stock","Sufficient Stock")</f>
        <v>Sufficient Stock</v>
      </c>
      <c r="Y2370">
        <f>WarehouseData[[#This Row],[daily_demand]]*WarehouseData[[#This Row],[lead_time_days]]</f>
        <v>300.37</v>
      </c>
      <c r="Z2370" t="str">
        <f>IF(WarehouseData[[#This Row],[stock_level]]&lt;=WarehouseData[[#This Row],[Demand During Lead Time]],"At Risk","Safe")</f>
        <v>At Risk</v>
      </c>
      <c r="AA2370">
        <f>WarehouseData[[#This Row],[stock_level]]/WarehouseData[[#This Row],[daily_demand]]</f>
        <v>5.9659752971335358</v>
      </c>
      <c r="AB2370">
        <f>WarehouseData[[#This Row],[stock_level]]*WarehouseData[[#This Row],[unit_price]]</f>
        <v>17981.439999999999</v>
      </c>
      <c r="AC2370">
        <f>WarehouseData[[#This Row],[stock_level]]*WarehouseData[[#This Row],[holding_cost_per_unit_day]]*30</f>
        <v>4531.2</v>
      </c>
      <c r="AD2370" t="str">
        <f>IF(WarehouseData[[#This Row],[order_fulfillment_rate]]&gt;=0.9,"Strong",IF(WarehouseData[[#This Row],[order_fulfillment_rate]]&gt;=0.8,"Moderate","Needs Attention"))</f>
        <v>Needs Attention</v>
      </c>
      <c r="AE2370" t="str">
        <f>IF(WarehouseData[[#This Row],[picking_time_seconds]]&gt;120,"Slow",IF(WarehouseData[[#This Row],[picking_time_seconds]]&gt;=60,"Average","Fast"))</f>
        <v>Fast</v>
      </c>
    </row>
    <row r="2371" spans="1:31" x14ac:dyDescent="0.25">
      <c r="A2371" t="s">
        <v>2509</v>
      </c>
      <c r="B2371" t="s">
        <v>40</v>
      </c>
      <c r="C2371">
        <v>377</v>
      </c>
      <c r="D2371">
        <v>79</v>
      </c>
      <c r="E2371">
        <v>4</v>
      </c>
      <c r="F2371">
        <v>5</v>
      </c>
      <c r="G2371">
        <v>29.56</v>
      </c>
      <c r="H2371">
        <v>4.3099999999999996</v>
      </c>
      <c r="I2371">
        <v>0.33</v>
      </c>
      <c r="J2371" t="s">
        <v>340</v>
      </c>
      <c r="K2371" t="s">
        <v>38</v>
      </c>
      <c r="L2371">
        <v>76</v>
      </c>
      <c r="M2371">
        <v>4.0599999999999996</v>
      </c>
      <c r="N2371">
        <v>133.24</v>
      </c>
      <c r="O2371">
        <v>0.12</v>
      </c>
      <c r="P2371">
        <v>3</v>
      </c>
      <c r="Q2371">
        <v>0.7</v>
      </c>
      <c r="R2371">
        <v>284</v>
      </c>
      <c r="S2371">
        <v>12.1</v>
      </c>
      <c r="T2371">
        <v>0.42</v>
      </c>
      <c r="U2371" s="1">
        <v>45558</v>
      </c>
      <c r="V2371">
        <v>17.89</v>
      </c>
      <c r="W2371">
        <v>0.71299999999999997</v>
      </c>
      <c r="X2371" t="str">
        <f>IF(WarehouseData[[#This Row],[stock_level]]&lt;=WarehouseData[[#This Row],[reorder_point]],"Low Stock","Sufficient Stock")</f>
        <v>Sufficient Stock</v>
      </c>
      <c r="Y2371">
        <f>WarehouseData[[#This Row],[daily_demand]]*WarehouseData[[#This Row],[lead_time_days]]</f>
        <v>147.79999999999998</v>
      </c>
      <c r="Z2371" t="str">
        <f>IF(WarehouseData[[#This Row],[stock_level]]&lt;=WarehouseData[[#This Row],[Demand During Lead Time]],"At Risk","Safe")</f>
        <v>Safe</v>
      </c>
      <c r="AA2371">
        <f>WarehouseData[[#This Row],[stock_level]]/WarehouseData[[#This Row],[daily_demand]]</f>
        <v>12.753721244925575</v>
      </c>
      <c r="AB2371">
        <f>WarehouseData[[#This Row],[stock_level]]*WarehouseData[[#This Row],[unit_price]]</f>
        <v>50231.48</v>
      </c>
      <c r="AC2371">
        <f>WarehouseData[[#This Row],[stock_level]]*WarehouseData[[#This Row],[holding_cost_per_unit_day]]*30</f>
        <v>1357.1999999999998</v>
      </c>
      <c r="AD2371" t="str">
        <f>IF(WarehouseData[[#This Row],[order_fulfillment_rate]]&gt;=0.9,"Strong",IF(WarehouseData[[#This Row],[order_fulfillment_rate]]&gt;=0.8,"Moderate","Needs Attention"))</f>
        <v>Needs Attention</v>
      </c>
      <c r="AE2371" t="str">
        <f>IF(WarehouseData[[#This Row],[picking_time_seconds]]&gt;120,"Slow",IF(WarehouseData[[#This Row],[picking_time_seconds]]&gt;=60,"Average","Fast"))</f>
        <v>Average</v>
      </c>
    </row>
    <row r="2372" spans="1:31" x14ac:dyDescent="0.25">
      <c r="A2372" t="s">
        <v>2510</v>
      </c>
      <c r="B2372" t="s">
        <v>36</v>
      </c>
      <c r="C2372">
        <v>368</v>
      </c>
      <c r="D2372">
        <v>87</v>
      </c>
      <c r="E2372">
        <v>9</v>
      </c>
      <c r="F2372">
        <v>3</v>
      </c>
      <c r="G2372">
        <v>4.41</v>
      </c>
      <c r="H2372">
        <v>1.82</v>
      </c>
      <c r="I2372">
        <v>0.3</v>
      </c>
      <c r="J2372" t="s">
        <v>215</v>
      </c>
      <c r="K2372" t="s">
        <v>38</v>
      </c>
      <c r="L2372">
        <v>118</v>
      </c>
      <c r="M2372">
        <v>1.1599999999999999</v>
      </c>
      <c r="N2372">
        <v>97.34</v>
      </c>
      <c r="O2372">
        <v>1.33</v>
      </c>
      <c r="P2372">
        <v>5</v>
      </c>
      <c r="Q2372">
        <v>0.79</v>
      </c>
      <c r="R2372">
        <v>554</v>
      </c>
      <c r="S2372">
        <v>10.68</v>
      </c>
      <c r="T2372">
        <v>0.28000000000000003</v>
      </c>
      <c r="U2372" s="1">
        <v>45326</v>
      </c>
      <c r="V2372">
        <v>249.76</v>
      </c>
      <c r="W2372">
        <v>0.52300000000000002</v>
      </c>
      <c r="X2372" t="str">
        <f>IF(WarehouseData[[#This Row],[stock_level]]&lt;=WarehouseData[[#This Row],[reorder_point]],"Low Stock","Sufficient Stock")</f>
        <v>Sufficient Stock</v>
      </c>
      <c r="Y2372">
        <f>WarehouseData[[#This Row],[daily_demand]]*WarehouseData[[#This Row],[lead_time_days]]</f>
        <v>13.23</v>
      </c>
      <c r="Z2372" t="str">
        <f>IF(WarehouseData[[#This Row],[stock_level]]&lt;=WarehouseData[[#This Row],[Demand During Lead Time]],"At Risk","Safe")</f>
        <v>Safe</v>
      </c>
      <c r="AA2372">
        <f>WarehouseData[[#This Row],[stock_level]]/WarehouseData[[#This Row],[daily_demand]]</f>
        <v>83.446712018140587</v>
      </c>
      <c r="AB2372">
        <f>WarehouseData[[#This Row],[stock_level]]*WarehouseData[[#This Row],[unit_price]]</f>
        <v>35821.120000000003</v>
      </c>
      <c r="AC2372">
        <f>WarehouseData[[#This Row],[stock_level]]*WarehouseData[[#This Row],[holding_cost_per_unit_day]]*30</f>
        <v>14683.2</v>
      </c>
      <c r="AD2372" t="str">
        <f>IF(WarehouseData[[#This Row],[order_fulfillment_rate]]&gt;=0.9,"Strong",IF(WarehouseData[[#This Row],[order_fulfillment_rate]]&gt;=0.8,"Moderate","Needs Attention"))</f>
        <v>Needs Attention</v>
      </c>
      <c r="AE2372" t="str">
        <f>IF(WarehouseData[[#This Row],[picking_time_seconds]]&gt;120,"Slow",IF(WarehouseData[[#This Row],[picking_time_seconds]]&gt;=60,"Average","Fast"))</f>
        <v>Average</v>
      </c>
    </row>
    <row r="2373" spans="1:31" x14ac:dyDescent="0.25">
      <c r="A2373" t="s">
        <v>2511</v>
      </c>
      <c r="B2373" t="s">
        <v>36</v>
      </c>
      <c r="C2373">
        <v>216</v>
      </c>
      <c r="D2373">
        <v>31</v>
      </c>
      <c r="E2373">
        <v>11</v>
      </c>
      <c r="F2373">
        <v>7</v>
      </c>
      <c r="G2373">
        <v>3.34</v>
      </c>
      <c r="H2373">
        <v>1.59</v>
      </c>
      <c r="I2373">
        <v>0.15</v>
      </c>
      <c r="J2373" t="s">
        <v>190</v>
      </c>
      <c r="K2373" t="s">
        <v>38</v>
      </c>
      <c r="L2373">
        <v>169</v>
      </c>
      <c r="M2373">
        <v>3.82</v>
      </c>
      <c r="N2373">
        <v>118.38</v>
      </c>
      <c r="O2373">
        <v>1.33</v>
      </c>
      <c r="P2373">
        <v>6</v>
      </c>
      <c r="Q2373">
        <v>0.7</v>
      </c>
      <c r="R2373">
        <v>992</v>
      </c>
      <c r="S2373">
        <v>10.83</v>
      </c>
      <c r="T2373">
        <v>0.51</v>
      </c>
      <c r="U2373" s="1">
        <v>45550</v>
      </c>
      <c r="V2373">
        <v>69.239999999999995</v>
      </c>
      <c r="W2373">
        <v>0.53300000000000003</v>
      </c>
      <c r="X2373" t="str">
        <f>IF(WarehouseData[[#This Row],[stock_level]]&lt;=WarehouseData[[#This Row],[reorder_point]],"Low Stock","Sufficient Stock")</f>
        <v>Sufficient Stock</v>
      </c>
      <c r="Y2373">
        <f>WarehouseData[[#This Row],[daily_demand]]*WarehouseData[[#This Row],[lead_time_days]]</f>
        <v>23.38</v>
      </c>
      <c r="Z2373" t="str">
        <f>IF(WarehouseData[[#This Row],[stock_level]]&lt;=WarehouseData[[#This Row],[Demand During Lead Time]],"At Risk","Safe")</f>
        <v>Safe</v>
      </c>
      <c r="AA2373">
        <f>WarehouseData[[#This Row],[stock_level]]/WarehouseData[[#This Row],[daily_demand]]</f>
        <v>64.670658682634738</v>
      </c>
      <c r="AB2373">
        <f>WarehouseData[[#This Row],[stock_level]]*WarehouseData[[#This Row],[unit_price]]</f>
        <v>25570.079999999998</v>
      </c>
      <c r="AC2373">
        <f>WarehouseData[[#This Row],[stock_level]]*WarehouseData[[#This Row],[holding_cost_per_unit_day]]*30</f>
        <v>8618.4000000000015</v>
      </c>
      <c r="AD2373" t="str">
        <f>IF(WarehouseData[[#This Row],[order_fulfillment_rate]]&gt;=0.9,"Strong",IF(WarehouseData[[#This Row],[order_fulfillment_rate]]&gt;=0.8,"Moderate","Needs Attention"))</f>
        <v>Needs Attention</v>
      </c>
      <c r="AE2373" t="str">
        <f>IF(WarehouseData[[#This Row],[picking_time_seconds]]&gt;120,"Slow",IF(WarehouseData[[#This Row],[picking_time_seconds]]&gt;=60,"Average","Fast"))</f>
        <v>Slow</v>
      </c>
    </row>
    <row r="2374" spans="1:31" x14ac:dyDescent="0.25">
      <c r="A2374" t="s">
        <v>2512</v>
      </c>
      <c r="B2374" t="s">
        <v>73</v>
      </c>
      <c r="C2374">
        <v>92</v>
      </c>
      <c r="D2374">
        <v>15</v>
      </c>
      <c r="E2374">
        <v>14</v>
      </c>
      <c r="F2374">
        <v>8</v>
      </c>
      <c r="G2374">
        <v>4</v>
      </c>
      <c r="H2374">
        <v>3.35</v>
      </c>
      <c r="I2374">
        <v>0.18</v>
      </c>
      <c r="J2374" t="s">
        <v>152</v>
      </c>
      <c r="K2374" t="s">
        <v>38</v>
      </c>
      <c r="L2374">
        <v>19</v>
      </c>
      <c r="M2374">
        <v>3.5</v>
      </c>
      <c r="N2374">
        <v>122.21</v>
      </c>
      <c r="O2374">
        <v>1.89</v>
      </c>
      <c r="P2374">
        <v>7</v>
      </c>
      <c r="Q2374">
        <v>0.81</v>
      </c>
      <c r="R2374">
        <v>120</v>
      </c>
      <c r="S2374">
        <v>3.26</v>
      </c>
      <c r="T2374">
        <v>0.61</v>
      </c>
      <c r="U2374" s="1">
        <v>45373</v>
      </c>
      <c r="V2374">
        <v>274.25</v>
      </c>
      <c r="W2374">
        <v>0.39800000000000002</v>
      </c>
      <c r="X2374" t="str">
        <f>IF(WarehouseData[[#This Row],[stock_level]]&lt;=WarehouseData[[#This Row],[reorder_point]],"Low Stock","Sufficient Stock")</f>
        <v>Sufficient Stock</v>
      </c>
      <c r="Y2374">
        <f>WarehouseData[[#This Row],[daily_demand]]*WarehouseData[[#This Row],[lead_time_days]]</f>
        <v>32</v>
      </c>
      <c r="Z2374" t="str">
        <f>IF(WarehouseData[[#This Row],[stock_level]]&lt;=WarehouseData[[#This Row],[Demand During Lead Time]],"At Risk","Safe")</f>
        <v>Safe</v>
      </c>
      <c r="AA2374">
        <f>WarehouseData[[#This Row],[stock_level]]/WarehouseData[[#This Row],[daily_demand]]</f>
        <v>23</v>
      </c>
      <c r="AB2374">
        <f>WarehouseData[[#This Row],[stock_level]]*WarehouseData[[#This Row],[unit_price]]</f>
        <v>11243.32</v>
      </c>
      <c r="AC2374">
        <f>WarehouseData[[#This Row],[stock_level]]*WarehouseData[[#This Row],[holding_cost_per_unit_day]]*30</f>
        <v>5216.3999999999996</v>
      </c>
      <c r="AD2374" t="str">
        <f>IF(WarehouseData[[#This Row],[order_fulfillment_rate]]&gt;=0.9,"Strong",IF(WarehouseData[[#This Row],[order_fulfillment_rate]]&gt;=0.8,"Moderate","Needs Attention"))</f>
        <v>Moderate</v>
      </c>
      <c r="AE2374" t="str">
        <f>IF(WarehouseData[[#This Row],[picking_time_seconds]]&gt;120,"Slow",IF(WarehouseData[[#This Row],[picking_time_seconds]]&gt;=60,"Average","Fast"))</f>
        <v>Fast</v>
      </c>
    </row>
    <row r="2375" spans="1:31" x14ac:dyDescent="0.25">
      <c r="A2375" t="s">
        <v>2513</v>
      </c>
      <c r="B2375" t="s">
        <v>40</v>
      </c>
      <c r="C2375">
        <v>78</v>
      </c>
      <c r="D2375">
        <v>35</v>
      </c>
      <c r="E2375">
        <v>5</v>
      </c>
      <c r="F2375">
        <v>2</v>
      </c>
      <c r="G2375">
        <v>47.15</v>
      </c>
      <c r="H2375">
        <v>9.9600000000000009</v>
      </c>
      <c r="I2375">
        <v>0.69</v>
      </c>
      <c r="J2375" t="s">
        <v>152</v>
      </c>
      <c r="K2375" t="s">
        <v>38</v>
      </c>
      <c r="L2375">
        <v>133</v>
      </c>
      <c r="M2375">
        <v>3.41</v>
      </c>
      <c r="N2375">
        <v>166.59</v>
      </c>
      <c r="O2375">
        <v>0.67</v>
      </c>
      <c r="P2375">
        <v>2</v>
      </c>
      <c r="Q2375">
        <v>0.72</v>
      </c>
      <c r="R2375">
        <v>268</v>
      </c>
      <c r="S2375">
        <v>14.31</v>
      </c>
      <c r="T2375">
        <v>0.61</v>
      </c>
      <c r="U2375" s="1">
        <v>45504</v>
      </c>
      <c r="V2375">
        <v>266.89</v>
      </c>
      <c r="W2375">
        <v>0.75</v>
      </c>
      <c r="X2375" t="str">
        <f>IF(WarehouseData[[#This Row],[stock_level]]&lt;=WarehouseData[[#This Row],[reorder_point]],"Low Stock","Sufficient Stock")</f>
        <v>Sufficient Stock</v>
      </c>
      <c r="Y2375">
        <f>WarehouseData[[#This Row],[daily_demand]]*WarehouseData[[#This Row],[lead_time_days]]</f>
        <v>94.3</v>
      </c>
      <c r="Z2375" t="str">
        <f>IF(WarehouseData[[#This Row],[stock_level]]&lt;=WarehouseData[[#This Row],[Demand During Lead Time]],"At Risk","Safe")</f>
        <v>At Risk</v>
      </c>
      <c r="AA2375">
        <f>WarehouseData[[#This Row],[stock_level]]/WarehouseData[[#This Row],[daily_demand]]</f>
        <v>1.6542948038176035</v>
      </c>
      <c r="AB2375">
        <f>WarehouseData[[#This Row],[stock_level]]*WarehouseData[[#This Row],[unit_price]]</f>
        <v>12994.02</v>
      </c>
      <c r="AC2375">
        <f>WarehouseData[[#This Row],[stock_level]]*WarehouseData[[#This Row],[holding_cost_per_unit_day]]*30</f>
        <v>1567.8000000000002</v>
      </c>
      <c r="AD2375" t="str">
        <f>IF(WarehouseData[[#This Row],[order_fulfillment_rate]]&gt;=0.9,"Strong",IF(WarehouseData[[#This Row],[order_fulfillment_rate]]&gt;=0.8,"Moderate","Needs Attention"))</f>
        <v>Needs Attention</v>
      </c>
      <c r="AE2375" t="str">
        <f>IF(WarehouseData[[#This Row],[picking_time_seconds]]&gt;120,"Slow",IF(WarehouseData[[#This Row],[picking_time_seconds]]&gt;=60,"Average","Fast"))</f>
        <v>Slow</v>
      </c>
    </row>
    <row r="2376" spans="1:31" x14ac:dyDescent="0.25">
      <c r="A2376" t="s">
        <v>2514</v>
      </c>
      <c r="B2376" t="s">
        <v>40</v>
      </c>
      <c r="C2376">
        <v>259</v>
      </c>
      <c r="D2376">
        <v>48</v>
      </c>
      <c r="E2376">
        <v>8</v>
      </c>
      <c r="F2376">
        <v>6</v>
      </c>
      <c r="G2376">
        <v>42.64</v>
      </c>
      <c r="H2376">
        <v>3.6</v>
      </c>
      <c r="I2376">
        <v>0.55000000000000004</v>
      </c>
      <c r="J2376" t="s">
        <v>276</v>
      </c>
      <c r="K2376" t="s">
        <v>34</v>
      </c>
      <c r="L2376">
        <v>26</v>
      </c>
      <c r="M2376">
        <v>2.66</v>
      </c>
      <c r="N2376">
        <v>134.69999999999999</v>
      </c>
      <c r="O2376">
        <v>0.46</v>
      </c>
      <c r="P2376">
        <v>5</v>
      </c>
      <c r="Q2376">
        <v>0.71</v>
      </c>
      <c r="R2376">
        <v>566</v>
      </c>
      <c r="S2376">
        <v>3.88</v>
      </c>
      <c r="T2376">
        <v>0.54</v>
      </c>
      <c r="U2376" s="1">
        <v>45570</v>
      </c>
      <c r="V2376">
        <v>202.76</v>
      </c>
      <c r="W2376">
        <v>0.55600000000000005</v>
      </c>
      <c r="X2376" t="str">
        <f>IF(WarehouseData[[#This Row],[stock_level]]&lt;=WarehouseData[[#This Row],[reorder_point]],"Low Stock","Sufficient Stock")</f>
        <v>Sufficient Stock</v>
      </c>
      <c r="Y2376">
        <f>WarehouseData[[#This Row],[daily_demand]]*WarehouseData[[#This Row],[lead_time_days]]</f>
        <v>255.84</v>
      </c>
      <c r="Z2376" t="str">
        <f>IF(WarehouseData[[#This Row],[stock_level]]&lt;=WarehouseData[[#This Row],[Demand During Lead Time]],"At Risk","Safe")</f>
        <v>Safe</v>
      </c>
      <c r="AA2376">
        <f>WarehouseData[[#This Row],[stock_level]]/WarehouseData[[#This Row],[daily_demand]]</f>
        <v>6.0741088180112568</v>
      </c>
      <c r="AB2376">
        <f>WarehouseData[[#This Row],[stock_level]]*WarehouseData[[#This Row],[unit_price]]</f>
        <v>34887.299999999996</v>
      </c>
      <c r="AC2376">
        <f>WarehouseData[[#This Row],[stock_level]]*WarehouseData[[#This Row],[holding_cost_per_unit_day]]*30</f>
        <v>3574.2</v>
      </c>
      <c r="AD2376" t="str">
        <f>IF(WarehouseData[[#This Row],[order_fulfillment_rate]]&gt;=0.9,"Strong",IF(WarehouseData[[#This Row],[order_fulfillment_rate]]&gt;=0.8,"Moderate","Needs Attention"))</f>
        <v>Needs Attention</v>
      </c>
      <c r="AE2376" t="str">
        <f>IF(WarehouseData[[#This Row],[picking_time_seconds]]&gt;120,"Slow",IF(WarehouseData[[#This Row],[picking_time_seconds]]&gt;=60,"Average","Fast"))</f>
        <v>Fast</v>
      </c>
    </row>
    <row r="2377" spans="1:31" x14ac:dyDescent="0.25">
      <c r="A2377" t="s">
        <v>2515</v>
      </c>
      <c r="B2377" t="s">
        <v>36</v>
      </c>
      <c r="C2377">
        <v>21</v>
      </c>
      <c r="D2377">
        <v>21</v>
      </c>
      <c r="E2377">
        <v>11</v>
      </c>
      <c r="F2377">
        <v>7</v>
      </c>
      <c r="G2377">
        <v>42.4</v>
      </c>
      <c r="H2377">
        <v>9.4</v>
      </c>
      <c r="I2377">
        <v>0.13</v>
      </c>
      <c r="J2377" t="s">
        <v>228</v>
      </c>
      <c r="K2377" t="s">
        <v>52</v>
      </c>
      <c r="L2377">
        <v>177</v>
      </c>
      <c r="M2377">
        <v>0.78</v>
      </c>
      <c r="N2377">
        <v>60.22</v>
      </c>
      <c r="O2377">
        <v>1.27</v>
      </c>
      <c r="P2377">
        <v>9</v>
      </c>
      <c r="Q2377">
        <v>0.9</v>
      </c>
      <c r="R2377">
        <v>802</v>
      </c>
      <c r="S2377">
        <v>5.89</v>
      </c>
      <c r="T2377">
        <v>0.46</v>
      </c>
      <c r="U2377" s="1">
        <v>45566</v>
      </c>
      <c r="V2377">
        <v>260.14</v>
      </c>
      <c r="W2377">
        <v>0.44400000000000001</v>
      </c>
      <c r="X2377" t="str">
        <f>IF(WarehouseData[[#This Row],[stock_level]]&lt;=WarehouseData[[#This Row],[reorder_point]],"Low Stock","Sufficient Stock")</f>
        <v>Low Stock</v>
      </c>
      <c r="Y2377">
        <f>WarehouseData[[#This Row],[daily_demand]]*WarehouseData[[#This Row],[lead_time_days]]</f>
        <v>296.8</v>
      </c>
      <c r="Z2377" t="str">
        <f>IF(WarehouseData[[#This Row],[stock_level]]&lt;=WarehouseData[[#This Row],[Demand During Lead Time]],"At Risk","Safe")</f>
        <v>At Risk</v>
      </c>
      <c r="AA2377">
        <f>WarehouseData[[#This Row],[stock_level]]/WarehouseData[[#This Row],[daily_demand]]</f>
        <v>0.49528301886792453</v>
      </c>
      <c r="AB2377">
        <f>WarehouseData[[#This Row],[stock_level]]*WarehouseData[[#This Row],[unit_price]]</f>
        <v>1264.6199999999999</v>
      </c>
      <c r="AC2377">
        <f>WarehouseData[[#This Row],[stock_level]]*WarehouseData[[#This Row],[holding_cost_per_unit_day]]*30</f>
        <v>800.1</v>
      </c>
      <c r="AD2377" t="str">
        <f>IF(WarehouseData[[#This Row],[order_fulfillment_rate]]&gt;=0.9,"Strong",IF(WarehouseData[[#This Row],[order_fulfillment_rate]]&gt;=0.8,"Moderate","Needs Attention"))</f>
        <v>Strong</v>
      </c>
      <c r="AE2377" t="str">
        <f>IF(WarehouseData[[#This Row],[picking_time_seconds]]&gt;120,"Slow",IF(WarehouseData[[#This Row],[picking_time_seconds]]&gt;=60,"Average","Fast"))</f>
        <v>Slow</v>
      </c>
    </row>
    <row r="2378" spans="1:31" x14ac:dyDescent="0.25">
      <c r="A2378" t="s">
        <v>2516</v>
      </c>
      <c r="B2378" t="s">
        <v>32</v>
      </c>
      <c r="C2378">
        <v>468</v>
      </c>
      <c r="D2378">
        <v>23</v>
      </c>
      <c r="E2378">
        <v>4</v>
      </c>
      <c r="F2378">
        <v>6</v>
      </c>
      <c r="G2378">
        <v>46.29</v>
      </c>
      <c r="H2378">
        <v>4.2300000000000004</v>
      </c>
      <c r="I2378">
        <v>0.97</v>
      </c>
      <c r="J2378" t="s">
        <v>70</v>
      </c>
      <c r="K2378" t="s">
        <v>34</v>
      </c>
      <c r="L2378">
        <v>152</v>
      </c>
      <c r="M2378">
        <v>4.78</v>
      </c>
      <c r="N2378">
        <v>21.32</v>
      </c>
      <c r="O2378">
        <v>1.17</v>
      </c>
      <c r="P2378">
        <v>5</v>
      </c>
      <c r="Q2378">
        <v>0.97</v>
      </c>
      <c r="R2378">
        <v>214</v>
      </c>
      <c r="S2378">
        <v>8.25</v>
      </c>
      <c r="T2378">
        <v>0.48</v>
      </c>
      <c r="U2378" s="1">
        <v>45498</v>
      </c>
      <c r="V2378">
        <v>264.60000000000002</v>
      </c>
      <c r="W2378">
        <v>0.58299999999999996</v>
      </c>
      <c r="X2378" t="str">
        <f>IF(WarehouseData[[#This Row],[stock_level]]&lt;=WarehouseData[[#This Row],[reorder_point]],"Low Stock","Sufficient Stock")</f>
        <v>Sufficient Stock</v>
      </c>
      <c r="Y2378">
        <f>WarehouseData[[#This Row],[daily_demand]]*WarehouseData[[#This Row],[lead_time_days]]</f>
        <v>277.74</v>
      </c>
      <c r="Z2378" t="str">
        <f>IF(WarehouseData[[#This Row],[stock_level]]&lt;=WarehouseData[[#This Row],[Demand During Lead Time]],"At Risk","Safe")</f>
        <v>Safe</v>
      </c>
      <c r="AA2378">
        <f>WarehouseData[[#This Row],[stock_level]]/WarehouseData[[#This Row],[daily_demand]]</f>
        <v>10.110174983797796</v>
      </c>
      <c r="AB2378">
        <f>WarehouseData[[#This Row],[stock_level]]*WarehouseData[[#This Row],[unit_price]]</f>
        <v>9977.76</v>
      </c>
      <c r="AC2378">
        <f>WarehouseData[[#This Row],[stock_level]]*WarehouseData[[#This Row],[holding_cost_per_unit_day]]*30</f>
        <v>16426.8</v>
      </c>
      <c r="AD2378" t="str">
        <f>IF(WarehouseData[[#This Row],[order_fulfillment_rate]]&gt;=0.9,"Strong",IF(WarehouseData[[#This Row],[order_fulfillment_rate]]&gt;=0.8,"Moderate","Needs Attention"))</f>
        <v>Strong</v>
      </c>
      <c r="AE2378" t="str">
        <f>IF(WarehouseData[[#This Row],[picking_time_seconds]]&gt;120,"Slow",IF(WarehouseData[[#This Row],[picking_time_seconds]]&gt;=60,"Average","Fast"))</f>
        <v>Slow</v>
      </c>
    </row>
    <row r="2379" spans="1:31" x14ac:dyDescent="0.25">
      <c r="A2379" t="s">
        <v>2517</v>
      </c>
      <c r="B2379" t="s">
        <v>73</v>
      </c>
      <c r="C2379">
        <v>379</v>
      </c>
      <c r="D2379">
        <v>31</v>
      </c>
      <c r="E2379">
        <v>9</v>
      </c>
      <c r="F2379">
        <v>9</v>
      </c>
      <c r="G2379">
        <v>25.76</v>
      </c>
      <c r="H2379">
        <v>4.67</v>
      </c>
      <c r="I2379">
        <v>0.69</v>
      </c>
      <c r="J2379" t="s">
        <v>81</v>
      </c>
      <c r="K2379" t="s">
        <v>38</v>
      </c>
      <c r="L2379">
        <v>106</v>
      </c>
      <c r="M2379">
        <v>4.33</v>
      </c>
      <c r="N2379">
        <v>10.38</v>
      </c>
      <c r="O2379">
        <v>1.46</v>
      </c>
      <c r="P2379">
        <v>9</v>
      </c>
      <c r="Q2379">
        <v>0.82</v>
      </c>
      <c r="R2379">
        <v>562</v>
      </c>
      <c r="S2379">
        <v>2.77</v>
      </c>
      <c r="T2379">
        <v>0.41</v>
      </c>
      <c r="U2379" s="1">
        <v>45339</v>
      </c>
      <c r="V2379">
        <v>235.14</v>
      </c>
      <c r="W2379">
        <v>0.35699999999999998</v>
      </c>
      <c r="X2379" t="str">
        <f>IF(WarehouseData[[#This Row],[stock_level]]&lt;=WarehouseData[[#This Row],[reorder_point]],"Low Stock","Sufficient Stock")</f>
        <v>Sufficient Stock</v>
      </c>
      <c r="Y2379">
        <f>WarehouseData[[#This Row],[daily_demand]]*WarehouseData[[#This Row],[lead_time_days]]</f>
        <v>231.84</v>
      </c>
      <c r="Z2379" t="str">
        <f>IF(WarehouseData[[#This Row],[stock_level]]&lt;=WarehouseData[[#This Row],[Demand During Lead Time]],"At Risk","Safe")</f>
        <v>Safe</v>
      </c>
      <c r="AA2379">
        <f>WarehouseData[[#This Row],[stock_level]]/WarehouseData[[#This Row],[daily_demand]]</f>
        <v>14.712732919254657</v>
      </c>
      <c r="AB2379">
        <f>WarehouseData[[#This Row],[stock_level]]*WarehouseData[[#This Row],[unit_price]]</f>
        <v>3934.0200000000004</v>
      </c>
      <c r="AC2379">
        <f>WarehouseData[[#This Row],[stock_level]]*WarehouseData[[#This Row],[holding_cost_per_unit_day]]*30</f>
        <v>16600.2</v>
      </c>
      <c r="AD2379" t="str">
        <f>IF(WarehouseData[[#This Row],[order_fulfillment_rate]]&gt;=0.9,"Strong",IF(WarehouseData[[#This Row],[order_fulfillment_rate]]&gt;=0.8,"Moderate","Needs Attention"))</f>
        <v>Moderate</v>
      </c>
      <c r="AE2379" t="str">
        <f>IF(WarehouseData[[#This Row],[picking_time_seconds]]&gt;120,"Slow",IF(WarehouseData[[#This Row],[picking_time_seconds]]&gt;=60,"Average","Fast"))</f>
        <v>Average</v>
      </c>
    </row>
    <row r="2380" spans="1:31" x14ac:dyDescent="0.25">
      <c r="A2380" t="s">
        <v>2518</v>
      </c>
      <c r="B2380" t="s">
        <v>36</v>
      </c>
      <c r="C2380">
        <v>207</v>
      </c>
      <c r="D2380">
        <v>60</v>
      </c>
      <c r="E2380">
        <v>7</v>
      </c>
      <c r="F2380">
        <v>8</v>
      </c>
      <c r="G2380">
        <v>13.12</v>
      </c>
      <c r="H2380">
        <v>8.07</v>
      </c>
      <c r="I2380">
        <v>0.56000000000000005</v>
      </c>
      <c r="J2380" t="s">
        <v>113</v>
      </c>
      <c r="K2380" t="s">
        <v>52</v>
      </c>
      <c r="L2380">
        <v>176</v>
      </c>
      <c r="M2380">
        <v>2.69</v>
      </c>
      <c r="N2380">
        <v>181.84</v>
      </c>
      <c r="O2380">
        <v>1.78</v>
      </c>
      <c r="P2380">
        <v>6</v>
      </c>
      <c r="Q2380">
        <v>0.95</v>
      </c>
      <c r="R2380">
        <v>430</v>
      </c>
      <c r="S2380">
        <v>9.31</v>
      </c>
      <c r="T2380">
        <v>0.66</v>
      </c>
      <c r="U2380" s="1">
        <v>45470</v>
      </c>
      <c r="V2380">
        <v>157.30000000000001</v>
      </c>
      <c r="W2380">
        <v>0.54800000000000004</v>
      </c>
      <c r="X2380" t="str">
        <f>IF(WarehouseData[[#This Row],[stock_level]]&lt;=WarehouseData[[#This Row],[reorder_point]],"Low Stock","Sufficient Stock")</f>
        <v>Sufficient Stock</v>
      </c>
      <c r="Y2380">
        <f>WarehouseData[[#This Row],[daily_demand]]*WarehouseData[[#This Row],[lead_time_days]]</f>
        <v>104.96</v>
      </c>
      <c r="Z2380" t="str">
        <f>IF(WarehouseData[[#This Row],[stock_level]]&lt;=WarehouseData[[#This Row],[Demand During Lead Time]],"At Risk","Safe")</f>
        <v>Safe</v>
      </c>
      <c r="AA2380">
        <f>WarehouseData[[#This Row],[stock_level]]/WarehouseData[[#This Row],[daily_demand]]</f>
        <v>15.777439024390246</v>
      </c>
      <c r="AB2380">
        <f>WarehouseData[[#This Row],[stock_level]]*WarehouseData[[#This Row],[unit_price]]</f>
        <v>37640.879999999997</v>
      </c>
      <c r="AC2380">
        <f>WarehouseData[[#This Row],[stock_level]]*WarehouseData[[#This Row],[holding_cost_per_unit_day]]*30</f>
        <v>11053.8</v>
      </c>
      <c r="AD2380" t="str">
        <f>IF(WarehouseData[[#This Row],[order_fulfillment_rate]]&gt;=0.9,"Strong",IF(WarehouseData[[#This Row],[order_fulfillment_rate]]&gt;=0.8,"Moderate","Needs Attention"))</f>
        <v>Strong</v>
      </c>
      <c r="AE2380" t="str">
        <f>IF(WarehouseData[[#This Row],[picking_time_seconds]]&gt;120,"Slow",IF(WarehouseData[[#This Row],[picking_time_seconds]]&gt;=60,"Average","Fast"))</f>
        <v>Slow</v>
      </c>
    </row>
    <row r="2381" spans="1:31" x14ac:dyDescent="0.25">
      <c r="A2381" t="s">
        <v>2519</v>
      </c>
      <c r="B2381" t="s">
        <v>48</v>
      </c>
      <c r="C2381">
        <v>326</v>
      </c>
      <c r="D2381">
        <v>32</v>
      </c>
      <c r="E2381">
        <v>7</v>
      </c>
      <c r="F2381">
        <v>6</v>
      </c>
      <c r="G2381">
        <v>20.67</v>
      </c>
      <c r="H2381">
        <v>1.39</v>
      </c>
      <c r="I2381">
        <v>0.35</v>
      </c>
      <c r="J2381" t="s">
        <v>59</v>
      </c>
      <c r="K2381" t="s">
        <v>52</v>
      </c>
      <c r="L2381">
        <v>66</v>
      </c>
      <c r="M2381">
        <v>1.21</v>
      </c>
      <c r="N2381">
        <v>189</v>
      </c>
      <c r="O2381">
        <v>1.1599999999999999</v>
      </c>
      <c r="P2381">
        <v>3</v>
      </c>
      <c r="Q2381">
        <v>0.71</v>
      </c>
      <c r="R2381">
        <v>233</v>
      </c>
      <c r="S2381">
        <v>3.56</v>
      </c>
      <c r="T2381">
        <v>0.88</v>
      </c>
      <c r="U2381" s="1">
        <v>45405</v>
      </c>
      <c r="V2381">
        <v>285.51</v>
      </c>
      <c r="W2381">
        <v>0.58899999999999997</v>
      </c>
      <c r="X2381" t="str">
        <f>IF(WarehouseData[[#This Row],[stock_level]]&lt;=WarehouseData[[#This Row],[reorder_point]],"Low Stock","Sufficient Stock")</f>
        <v>Sufficient Stock</v>
      </c>
      <c r="Y2381">
        <f>WarehouseData[[#This Row],[daily_demand]]*WarehouseData[[#This Row],[lead_time_days]]</f>
        <v>124.02000000000001</v>
      </c>
      <c r="Z2381" t="str">
        <f>IF(WarehouseData[[#This Row],[stock_level]]&lt;=WarehouseData[[#This Row],[Demand During Lead Time]],"At Risk","Safe")</f>
        <v>Safe</v>
      </c>
      <c r="AA2381">
        <f>WarehouseData[[#This Row],[stock_level]]/WarehouseData[[#This Row],[daily_demand]]</f>
        <v>15.771649733913884</v>
      </c>
      <c r="AB2381">
        <f>WarehouseData[[#This Row],[stock_level]]*WarehouseData[[#This Row],[unit_price]]</f>
        <v>61614</v>
      </c>
      <c r="AC2381">
        <f>WarehouseData[[#This Row],[stock_level]]*WarehouseData[[#This Row],[holding_cost_per_unit_day]]*30</f>
        <v>11344.8</v>
      </c>
      <c r="AD2381" t="str">
        <f>IF(WarehouseData[[#This Row],[order_fulfillment_rate]]&gt;=0.9,"Strong",IF(WarehouseData[[#This Row],[order_fulfillment_rate]]&gt;=0.8,"Moderate","Needs Attention"))</f>
        <v>Needs Attention</v>
      </c>
      <c r="AE2381" t="str">
        <f>IF(WarehouseData[[#This Row],[picking_time_seconds]]&gt;120,"Slow",IF(WarehouseData[[#This Row],[picking_time_seconds]]&gt;=60,"Average","Fast"))</f>
        <v>Average</v>
      </c>
    </row>
    <row r="2382" spans="1:31" x14ac:dyDescent="0.25">
      <c r="A2382" t="s">
        <v>2520</v>
      </c>
      <c r="B2382" t="s">
        <v>48</v>
      </c>
      <c r="C2382">
        <v>49</v>
      </c>
      <c r="D2382">
        <v>57</v>
      </c>
      <c r="E2382">
        <v>13</v>
      </c>
      <c r="F2382">
        <v>6</v>
      </c>
      <c r="G2382">
        <v>36.22</v>
      </c>
      <c r="H2382">
        <v>2.23</v>
      </c>
      <c r="I2382">
        <v>0.69</v>
      </c>
      <c r="J2382" t="s">
        <v>98</v>
      </c>
      <c r="K2382" t="s">
        <v>46</v>
      </c>
      <c r="L2382">
        <v>147</v>
      </c>
      <c r="M2382">
        <v>4.21</v>
      </c>
      <c r="N2382">
        <v>27.88</v>
      </c>
      <c r="O2382">
        <v>0.39</v>
      </c>
      <c r="P2382">
        <v>5</v>
      </c>
      <c r="Q2382">
        <v>0.93</v>
      </c>
      <c r="R2382">
        <v>952</v>
      </c>
      <c r="S2382">
        <v>13.93</v>
      </c>
      <c r="T2382">
        <v>0.9</v>
      </c>
      <c r="U2382" s="1">
        <v>45401</v>
      </c>
      <c r="V2382">
        <v>247.14</v>
      </c>
      <c r="W2382">
        <v>0.81299999999999994</v>
      </c>
      <c r="X2382" t="str">
        <f>IF(WarehouseData[[#This Row],[stock_level]]&lt;=WarehouseData[[#This Row],[reorder_point]],"Low Stock","Sufficient Stock")</f>
        <v>Low Stock</v>
      </c>
      <c r="Y2382">
        <f>WarehouseData[[#This Row],[daily_demand]]*WarehouseData[[#This Row],[lead_time_days]]</f>
        <v>217.32</v>
      </c>
      <c r="Z2382" t="str">
        <f>IF(WarehouseData[[#This Row],[stock_level]]&lt;=WarehouseData[[#This Row],[Demand During Lead Time]],"At Risk","Safe")</f>
        <v>At Risk</v>
      </c>
      <c r="AA2382">
        <f>WarehouseData[[#This Row],[stock_level]]/WarehouseData[[#This Row],[daily_demand]]</f>
        <v>1.3528437327443401</v>
      </c>
      <c r="AB2382">
        <f>WarehouseData[[#This Row],[stock_level]]*WarehouseData[[#This Row],[unit_price]]</f>
        <v>1366.12</v>
      </c>
      <c r="AC2382">
        <f>WarehouseData[[#This Row],[stock_level]]*WarehouseData[[#This Row],[holding_cost_per_unit_day]]*30</f>
        <v>573.29999999999995</v>
      </c>
      <c r="AD2382" t="str">
        <f>IF(WarehouseData[[#This Row],[order_fulfillment_rate]]&gt;=0.9,"Strong",IF(WarehouseData[[#This Row],[order_fulfillment_rate]]&gt;=0.8,"Moderate","Needs Attention"))</f>
        <v>Strong</v>
      </c>
      <c r="AE2382" t="str">
        <f>IF(WarehouseData[[#This Row],[picking_time_seconds]]&gt;120,"Slow",IF(WarehouseData[[#This Row],[picking_time_seconds]]&gt;=60,"Average","Fast"))</f>
        <v>Slow</v>
      </c>
    </row>
    <row r="2383" spans="1:31" x14ac:dyDescent="0.25">
      <c r="A2383" t="s">
        <v>2521</v>
      </c>
      <c r="B2383" t="s">
        <v>73</v>
      </c>
      <c r="C2383">
        <v>286</v>
      </c>
      <c r="D2383">
        <v>80</v>
      </c>
      <c r="E2383">
        <v>9</v>
      </c>
      <c r="F2383">
        <v>9</v>
      </c>
      <c r="G2383">
        <v>43.93</v>
      </c>
      <c r="H2383">
        <v>9.75</v>
      </c>
      <c r="I2383">
        <v>0.43</v>
      </c>
      <c r="J2383" t="s">
        <v>178</v>
      </c>
      <c r="K2383" t="s">
        <v>38</v>
      </c>
      <c r="L2383">
        <v>80</v>
      </c>
      <c r="M2383">
        <v>2.44</v>
      </c>
      <c r="N2383">
        <v>102.54</v>
      </c>
      <c r="O2383">
        <v>1.24</v>
      </c>
      <c r="P2383">
        <v>1</v>
      </c>
      <c r="Q2383">
        <v>0.72</v>
      </c>
      <c r="R2383">
        <v>418</v>
      </c>
      <c r="S2383">
        <v>13.44</v>
      </c>
      <c r="T2383">
        <v>0.99</v>
      </c>
      <c r="U2383" s="1">
        <v>45631</v>
      </c>
      <c r="V2383">
        <v>46.83</v>
      </c>
      <c r="W2383">
        <v>0.77700000000000002</v>
      </c>
      <c r="X2383" t="str">
        <f>IF(WarehouseData[[#This Row],[stock_level]]&lt;=WarehouseData[[#This Row],[reorder_point]],"Low Stock","Sufficient Stock")</f>
        <v>Sufficient Stock</v>
      </c>
      <c r="Y2383">
        <f>WarehouseData[[#This Row],[daily_demand]]*WarehouseData[[#This Row],[lead_time_days]]</f>
        <v>395.37</v>
      </c>
      <c r="Z2383" t="str">
        <f>IF(WarehouseData[[#This Row],[stock_level]]&lt;=WarehouseData[[#This Row],[Demand During Lead Time]],"At Risk","Safe")</f>
        <v>At Risk</v>
      </c>
      <c r="AA2383">
        <f>WarehouseData[[#This Row],[stock_level]]/WarehouseData[[#This Row],[daily_demand]]</f>
        <v>6.5103573867516502</v>
      </c>
      <c r="AB2383">
        <f>WarehouseData[[#This Row],[stock_level]]*WarehouseData[[#This Row],[unit_price]]</f>
        <v>29326.440000000002</v>
      </c>
      <c r="AC2383">
        <f>WarehouseData[[#This Row],[stock_level]]*WarehouseData[[#This Row],[holding_cost_per_unit_day]]*30</f>
        <v>10639.199999999999</v>
      </c>
      <c r="AD2383" t="str">
        <f>IF(WarehouseData[[#This Row],[order_fulfillment_rate]]&gt;=0.9,"Strong",IF(WarehouseData[[#This Row],[order_fulfillment_rate]]&gt;=0.8,"Moderate","Needs Attention"))</f>
        <v>Needs Attention</v>
      </c>
      <c r="AE2383" t="str">
        <f>IF(WarehouseData[[#This Row],[picking_time_seconds]]&gt;120,"Slow",IF(WarehouseData[[#This Row],[picking_time_seconds]]&gt;=60,"Average","Fast"))</f>
        <v>Average</v>
      </c>
    </row>
    <row r="2384" spans="1:31" x14ac:dyDescent="0.25">
      <c r="A2384" t="s">
        <v>2522</v>
      </c>
      <c r="B2384" t="s">
        <v>32</v>
      </c>
      <c r="C2384">
        <v>495</v>
      </c>
      <c r="D2384">
        <v>59</v>
      </c>
      <c r="E2384">
        <v>11</v>
      </c>
      <c r="F2384">
        <v>4</v>
      </c>
      <c r="G2384">
        <v>22.32</v>
      </c>
      <c r="H2384">
        <v>5.31</v>
      </c>
      <c r="I2384">
        <v>0.73</v>
      </c>
      <c r="J2384" t="s">
        <v>178</v>
      </c>
      <c r="K2384" t="s">
        <v>38</v>
      </c>
      <c r="L2384">
        <v>106</v>
      </c>
      <c r="M2384">
        <v>2.2599999999999998</v>
      </c>
      <c r="N2384">
        <v>38.799999999999997</v>
      </c>
      <c r="O2384">
        <v>0.81</v>
      </c>
      <c r="P2384">
        <v>7</v>
      </c>
      <c r="Q2384">
        <v>0.95</v>
      </c>
      <c r="R2384">
        <v>497</v>
      </c>
      <c r="S2384">
        <v>8.6199999999999992</v>
      </c>
      <c r="T2384">
        <v>0.27</v>
      </c>
      <c r="U2384" s="1">
        <v>45461</v>
      </c>
      <c r="V2384">
        <v>131.77000000000001</v>
      </c>
      <c r="W2384">
        <v>0.53800000000000003</v>
      </c>
      <c r="X2384" t="str">
        <f>IF(WarehouseData[[#This Row],[stock_level]]&lt;=WarehouseData[[#This Row],[reorder_point]],"Low Stock","Sufficient Stock")</f>
        <v>Sufficient Stock</v>
      </c>
      <c r="Y2384">
        <f>WarehouseData[[#This Row],[daily_demand]]*WarehouseData[[#This Row],[lead_time_days]]</f>
        <v>89.28</v>
      </c>
      <c r="Z2384" t="str">
        <f>IF(WarehouseData[[#This Row],[stock_level]]&lt;=WarehouseData[[#This Row],[Demand During Lead Time]],"At Risk","Safe")</f>
        <v>Safe</v>
      </c>
      <c r="AA2384">
        <f>WarehouseData[[#This Row],[stock_level]]/WarehouseData[[#This Row],[daily_demand]]</f>
        <v>22.177419354838708</v>
      </c>
      <c r="AB2384">
        <f>WarehouseData[[#This Row],[stock_level]]*WarehouseData[[#This Row],[unit_price]]</f>
        <v>19206</v>
      </c>
      <c r="AC2384">
        <f>WarehouseData[[#This Row],[stock_level]]*WarehouseData[[#This Row],[holding_cost_per_unit_day]]*30</f>
        <v>12028.500000000002</v>
      </c>
      <c r="AD2384" t="str">
        <f>IF(WarehouseData[[#This Row],[order_fulfillment_rate]]&gt;=0.9,"Strong",IF(WarehouseData[[#This Row],[order_fulfillment_rate]]&gt;=0.8,"Moderate","Needs Attention"))</f>
        <v>Strong</v>
      </c>
      <c r="AE2384" t="str">
        <f>IF(WarehouseData[[#This Row],[picking_time_seconds]]&gt;120,"Slow",IF(WarehouseData[[#This Row],[picking_time_seconds]]&gt;=60,"Average","Fast"))</f>
        <v>Average</v>
      </c>
    </row>
    <row r="2385" spans="1:31" x14ac:dyDescent="0.25">
      <c r="A2385" t="s">
        <v>2523</v>
      </c>
      <c r="B2385" t="s">
        <v>36</v>
      </c>
      <c r="C2385">
        <v>127</v>
      </c>
      <c r="D2385">
        <v>98</v>
      </c>
      <c r="E2385">
        <v>6</v>
      </c>
      <c r="F2385">
        <v>5</v>
      </c>
      <c r="G2385">
        <v>27.23</v>
      </c>
      <c r="H2385">
        <v>0.92</v>
      </c>
      <c r="I2385">
        <v>0.71</v>
      </c>
      <c r="J2385" t="s">
        <v>377</v>
      </c>
      <c r="K2385" t="s">
        <v>34</v>
      </c>
      <c r="L2385">
        <v>26</v>
      </c>
      <c r="M2385">
        <v>3.49</v>
      </c>
      <c r="N2385">
        <v>190.26</v>
      </c>
      <c r="O2385">
        <v>0.96</v>
      </c>
      <c r="P2385">
        <v>2</v>
      </c>
      <c r="Q2385">
        <v>0.96</v>
      </c>
      <c r="R2385">
        <v>57</v>
      </c>
      <c r="S2385">
        <v>7.29</v>
      </c>
      <c r="T2385">
        <v>0.37</v>
      </c>
      <c r="U2385" s="1">
        <v>45461</v>
      </c>
      <c r="V2385">
        <v>166.51</v>
      </c>
      <c r="W2385">
        <v>0.627</v>
      </c>
      <c r="X2385" t="str">
        <f>IF(WarehouseData[[#This Row],[stock_level]]&lt;=WarehouseData[[#This Row],[reorder_point]],"Low Stock","Sufficient Stock")</f>
        <v>Sufficient Stock</v>
      </c>
      <c r="Y2385">
        <f>WarehouseData[[#This Row],[daily_demand]]*WarehouseData[[#This Row],[lead_time_days]]</f>
        <v>136.15</v>
      </c>
      <c r="Z2385" t="str">
        <f>IF(WarehouseData[[#This Row],[stock_level]]&lt;=WarehouseData[[#This Row],[Demand During Lead Time]],"At Risk","Safe")</f>
        <v>At Risk</v>
      </c>
      <c r="AA2385">
        <f>WarehouseData[[#This Row],[stock_level]]/WarehouseData[[#This Row],[daily_demand]]</f>
        <v>4.6639735585751012</v>
      </c>
      <c r="AB2385">
        <f>WarehouseData[[#This Row],[stock_level]]*WarehouseData[[#This Row],[unit_price]]</f>
        <v>24163.02</v>
      </c>
      <c r="AC2385">
        <f>WarehouseData[[#This Row],[stock_level]]*WarehouseData[[#This Row],[holding_cost_per_unit_day]]*30</f>
        <v>3657.6</v>
      </c>
      <c r="AD2385" t="str">
        <f>IF(WarehouseData[[#This Row],[order_fulfillment_rate]]&gt;=0.9,"Strong",IF(WarehouseData[[#This Row],[order_fulfillment_rate]]&gt;=0.8,"Moderate","Needs Attention"))</f>
        <v>Strong</v>
      </c>
      <c r="AE2385" t="str">
        <f>IF(WarehouseData[[#This Row],[picking_time_seconds]]&gt;120,"Slow",IF(WarehouseData[[#This Row],[picking_time_seconds]]&gt;=60,"Average","Fast"))</f>
        <v>Fast</v>
      </c>
    </row>
    <row r="2386" spans="1:31" x14ac:dyDescent="0.25">
      <c r="A2386" t="s">
        <v>2524</v>
      </c>
      <c r="B2386" t="s">
        <v>40</v>
      </c>
      <c r="C2386">
        <v>351</v>
      </c>
      <c r="D2386">
        <v>22</v>
      </c>
      <c r="E2386">
        <v>11</v>
      </c>
      <c r="F2386">
        <v>3</v>
      </c>
      <c r="G2386">
        <v>46.66</v>
      </c>
      <c r="H2386">
        <v>0.95</v>
      </c>
      <c r="I2386">
        <v>0.18</v>
      </c>
      <c r="J2386" t="s">
        <v>104</v>
      </c>
      <c r="K2386" t="s">
        <v>52</v>
      </c>
      <c r="L2386">
        <v>85</v>
      </c>
      <c r="M2386">
        <v>3.91</v>
      </c>
      <c r="N2386">
        <v>56.9</v>
      </c>
      <c r="O2386">
        <v>1.92</v>
      </c>
      <c r="P2386">
        <v>8</v>
      </c>
      <c r="Q2386">
        <v>0.94</v>
      </c>
      <c r="R2386">
        <v>669</v>
      </c>
      <c r="S2386">
        <v>2.44</v>
      </c>
      <c r="T2386">
        <v>0.78</v>
      </c>
      <c r="U2386" s="1">
        <v>45476</v>
      </c>
      <c r="V2386">
        <v>163.53</v>
      </c>
      <c r="W2386">
        <v>0.42499999999999999</v>
      </c>
      <c r="X2386" t="str">
        <f>IF(WarehouseData[[#This Row],[stock_level]]&lt;=WarehouseData[[#This Row],[reorder_point]],"Low Stock","Sufficient Stock")</f>
        <v>Sufficient Stock</v>
      </c>
      <c r="Y2386">
        <f>WarehouseData[[#This Row],[daily_demand]]*WarehouseData[[#This Row],[lead_time_days]]</f>
        <v>139.97999999999999</v>
      </c>
      <c r="Z2386" t="str">
        <f>IF(WarehouseData[[#This Row],[stock_level]]&lt;=WarehouseData[[#This Row],[Demand During Lead Time]],"At Risk","Safe")</f>
        <v>Safe</v>
      </c>
      <c r="AA2386">
        <f>WarehouseData[[#This Row],[stock_level]]/WarehouseData[[#This Row],[daily_demand]]</f>
        <v>7.5225032147449644</v>
      </c>
      <c r="AB2386">
        <f>WarehouseData[[#This Row],[stock_level]]*WarehouseData[[#This Row],[unit_price]]</f>
        <v>19971.899999999998</v>
      </c>
      <c r="AC2386">
        <f>WarehouseData[[#This Row],[stock_level]]*WarehouseData[[#This Row],[holding_cost_per_unit_day]]*30</f>
        <v>20217.599999999999</v>
      </c>
      <c r="AD2386" t="str">
        <f>IF(WarehouseData[[#This Row],[order_fulfillment_rate]]&gt;=0.9,"Strong",IF(WarehouseData[[#This Row],[order_fulfillment_rate]]&gt;=0.8,"Moderate","Needs Attention"))</f>
        <v>Strong</v>
      </c>
      <c r="AE2386" t="str">
        <f>IF(WarehouseData[[#This Row],[picking_time_seconds]]&gt;120,"Slow",IF(WarehouseData[[#This Row],[picking_time_seconds]]&gt;=60,"Average","Fast"))</f>
        <v>Average</v>
      </c>
    </row>
    <row r="2387" spans="1:31" x14ac:dyDescent="0.25">
      <c r="A2387" t="s">
        <v>2525</v>
      </c>
      <c r="B2387" t="s">
        <v>73</v>
      </c>
      <c r="C2387">
        <v>442</v>
      </c>
      <c r="D2387">
        <v>94</v>
      </c>
      <c r="E2387">
        <v>13</v>
      </c>
      <c r="F2387">
        <v>3</v>
      </c>
      <c r="G2387">
        <v>6.27</v>
      </c>
      <c r="H2387">
        <v>9.1199999999999992</v>
      </c>
      <c r="I2387">
        <v>0.92</v>
      </c>
      <c r="J2387" t="s">
        <v>192</v>
      </c>
      <c r="K2387" t="s">
        <v>52</v>
      </c>
      <c r="L2387">
        <v>26</v>
      </c>
      <c r="M2387">
        <v>0.78</v>
      </c>
      <c r="N2387">
        <v>105.31</v>
      </c>
      <c r="O2387">
        <v>1.1499999999999999</v>
      </c>
      <c r="P2387">
        <v>7</v>
      </c>
      <c r="Q2387">
        <v>0.95</v>
      </c>
      <c r="R2387">
        <v>431</v>
      </c>
      <c r="S2387">
        <v>12.53</v>
      </c>
      <c r="T2387">
        <v>0.72</v>
      </c>
      <c r="U2387" s="1">
        <v>45442</v>
      </c>
      <c r="V2387">
        <v>120.07</v>
      </c>
      <c r="W2387">
        <v>0.64600000000000002</v>
      </c>
      <c r="X2387" t="str">
        <f>IF(WarehouseData[[#This Row],[stock_level]]&lt;=WarehouseData[[#This Row],[reorder_point]],"Low Stock","Sufficient Stock")</f>
        <v>Sufficient Stock</v>
      </c>
      <c r="Y2387">
        <f>WarehouseData[[#This Row],[daily_demand]]*WarehouseData[[#This Row],[lead_time_days]]</f>
        <v>18.809999999999999</v>
      </c>
      <c r="Z2387" t="str">
        <f>IF(WarehouseData[[#This Row],[stock_level]]&lt;=WarehouseData[[#This Row],[Demand During Lead Time]],"At Risk","Safe")</f>
        <v>Safe</v>
      </c>
      <c r="AA2387">
        <f>WarehouseData[[#This Row],[stock_level]]/WarehouseData[[#This Row],[daily_demand]]</f>
        <v>70.494417862838915</v>
      </c>
      <c r="AB2387">
        <f>WarehouseData[[#This Row],[stock_level]]*WarehouseData[[#This Row],[unit_price]]</f>
        <v>46547.020000000004</v>
      </c>
      <c r="AC2387">
        <f>WarehouseData[[#This Row],[stock_level]]*WarehouseData[[#This Row],[holding_cost_per_unit_day]]*30</f>
        <v>15248.999999999998</v>
      </c>
      <c r="AD2387" t="str">
        <f>IF(WarehouseData[[#This Row],[order_fulfillment_rate]]&gt;=0.9,"Strong",IF(WarehouseData[[#This Row],[order_fulfillment_rate]]&gt;=0.8,"Moderate","Needs Attention"))</f>
        <v>Strong</v>
      </c>
      <c r="AE2387" t="str">
        <f>IF(WarehouseData[[#This Row],[picking_time_seconds]]&gt;120,"Slow",IF(WarehouseData[[#This Row],[picking_time_seconds]]&gt;=60,"Average","Fast"))</f>
        <v>Fast</v>
      </c>
    </row>
    <row r="2388" spans="1:31" x14ac:dyDescent="0.25">
      <c r="A2388" t="s">
        <v>2526</v>
      </c>
      <c r="B2388" t="s">
        <v>32</v>
      </c>
      <c r="C2388">
        <v>109</v>
      </c>
      <c r="D2388">
        <v>19</v>
      </c>
      <c r="E2388">
        <v>12</v>
      </c>
      <c r="F2388">
        <v>2</v>
      </c>
      <c r="G2388">
        <v>43.25</v>
      </c>
      <c r="H2388">
        <v>8.8000000000000007</v>
      </c>
      <c r="I2388">
        <v>0.54</v>
      </c>
      <c r="J2388" t="s">
        <v>154</v>
      </c>
      <c r="K2388" t="s">
        <v>38</v>
      </c>
      <c r="L2388">
        <v>120</v>
      </c>
      <c r="M2388">
        <v>3.95</v>
      </c>
      <c r="N2388">
        <v>41.47</v>
      </c>
      <c r="O2388">
        <v>0.38</v>
      </c>
      <c r="P2388">
        <v>5</v>
      </c>
      <c r="Q2388">
        <v>0.87</v>
      </c>
      <c r="R2388">
        <v>431</v>
      </c>
      <c r="S2388">
        <v>6.31</v>
      </c>
      <c r="T2388">
        <v>0.31</v>
      </c>
      <c r="U2388" s="1">
        <v>45403</v>
      </c>
      <c r="V2388">
        <v>164.18</v>
      </c>
      <c r="W2388">
        <v>0.58199999999999996</v>
      </c>
      <c r="X2388" t="str">
        <f>IF(WarehouseData[[#This Row],[stock_level]]&lt;=WarehouseData[[#This Row],[reorder_point]],"Low Stock","Sufficient Stock")</f>
        <v>Sufficient Stock</v>
      </c>
      <c r="Y2388">
        <f>WarehouseData[[#This Row],[daily_demand]]*WarehouseData[[#This Row],[lead_time_days]]</f>
        <v>86.5</v>
      </c>
      <c r="Z2388" t="str">
        <f>IF(WarehouseData[[#This Row],[stock_level]]&lt;=WarehouseData[[#This Row],[Demand During Lead Time]],"At Risk","Safe")</f>
        <v>Safe</v>
      </c>
      <c r="AA2388">
        <f>WarehouseData[[#This Row],[stock_level]]/WarehouseData[[#This Row],[daily_demand]]</f>
        <v>2.5202312138728322</v>
      </c>
      <c r="AB2388">
        <f>WarehouseData[[#This Row],[stock_level]]*WarehouseData[[#This Row],[unit_price]]</f>
        <v>4520.2299999999996</v>
      </c>
      <c r="AC2388">
        <f>WarehouseData[[#This Row],[stock_level]]*WarehouseData[[#This Row],[holding_cost_per_unit_day]]*30</f>
        <v>1242.6000000000001</v>
      </c>
      <c r="AD2388" t="str">
        <f>IF(WarehouseData[[#This Row],[order_fulfillment_rate]]&gt;=0.9,"Strong",IF(WarehouseData[[#This Row],[order_fulfillment_rate]]&gt;=0.8,"Moderate","Needs Attention"))</f>
        <v>Moderate</v>
      </c>
      <c r="AE2388" t="str">
        <f>IF(WarehouseData[[#This Row],[picking_time_seconds]]&gt;120,"Slow",IF(WarehouseData[[#This Row],[picking_time_seconds]]&gt;=60,"Average","Fast"))</f>
        <v>Average</v>
      </c>
    </row>
    <row r="2389" spans="1:31" x14ac:dyDescent="0.25">
      <c r="A2389" t="s">
        <v>2527</v>
      </c>
      <c r="B2389" t="s">
        <v>40</v>
      </c>
      <c r="C2389">
        <v>224</v>
      </c>
      <c r="D2389">
        <v>64</v>
      </c>
      <c r="E2389">
        <v>11</v>
      </c>
      <c r="F2389">
        <v>4</v>
      </c>
      <c r="G2389">
        <v>8.81</v>
      </c>
      <c r="H2389">
        <v>4.8499999999999996</v>
      </c>
      <c r="I2389">
        <v>0.45</v>
      </c>
      <c r="J2389" t="s">
        <v>54</v>
      </c>
      <c r="K2389" t="s">
        <v>46</v>
      </c>
      <c r="L2389">
        <v>129</v>
      </c>
      <c r="M2389">
        <v>3.8</v>
      </c>
      <c r="N2389">
        <v>73.22</v>
      </c>
      <c r="O2389">
        <v>0.94</v>
      </c>
      <c r="P2389">
        <v>9</v>
      </c>
      <c r="Q2389">
        <v>0.78</v>
      </c>
      <c r="R2389">
        <v>497</v>
      </c>
      <c r="S2389">
        <v>4.45</v>
      </c>
      <c r="T2389">
        <v>0.7</v>
      </c>
      <c r="U2389" s="1">
        <v>45608</v>
      </c>
      <c r="V2389">
        <v>36.97</v>
      </c>
      <c r="W2389">
        <v>0.48099999999999998</v>
      </c>
      <c r="X2389" t="str">
        <f>IF(WarehouseData[[#This Row],[stock_level]]&lt;=WarehouseData[[#This Row],[reorder_point]],"Low Stock","Sufficient Stock")</f>
        <v>Sufficient Stock</v>
      </c>
      <c r="Y2389">
        <f>WarehouseData[[#This Row],[daily_demand]]*WarehouseData[[#This Row],[lead_time_days]]</f>
        <v>35.24</v>
      </c>
      <c r="Z2389" t="str">
        <f>IF(WarehouseData[[#This Row],[stock_level]]&lt;=WarehouseData[[#This Row],[Demand During Lead Time]],"At Risk","Safe")</f>
        <v>Safe</v>
      </c>
      <c r="AA2389">
        <f>WarehouseData[[#This Row],[stock_level]]/WarehouseData[[#This Row],[daily_demand]]</f>
        <v>25.425652667423382</v>
      </c>
      <c r="AB2389">
        <f>WarehouseData[[#This Row],[stock_level]]*WarehouseData[[#This Row],[unit_price]]</f>
        <v>16401.28</v>
      </c>
      <c r="AC2389">
        <f>WarehouseData[[#This Row],[stock_level]]*WarehouseData[[#This Row],[holding_cost_per_unit_day]]*30</f>
        <v>6316.8</v>
      </c>
      <c r="AD2389" t="str">
        <f>IF(WarehouseData[[#This Row],[order_fulfillment_rate]]&gt;=0.9,"Strong",IF(WarehouseData[[#This Row],[order_fulfillment_rate]]&gt;=0.8,"Moderate","Needs Attention"))</f>
        <v>Needs Attention</v>
      </c>
      <c r="AE2389" t="str">
        <f>IF(WarehouseData[[#This Row],[picking_time_seconds]]&gt;120,"Slow",IF(WarehouseData[[#This Row],[picking_time_seconds]]&gt;=60,"Average","Fast"))</f>
        <v>Slow</v>
      </c>
    </row>
    <row r="2390" spans="1:31" x14ac:dyDescent="0.25">
      <c r="A2390" t="s">
        <v>2528</v>
      </c>
      <c r="B2390" t="s">
        <v>48</v>
      </c>
      <c r="C2390">
        <v>398</v>
      </c>
      <c r="D2390">
        <v>18</v>
      </c>
      <c r="E2390">
        <v>6</v>
      </c>
      <c r="F2390">
        <v>7</v>
      </c>
      <c r="G2390">
        <v>24.71</v>
      </c>
      <c r="H2390">
        <v>2.0499999999999998</v>
      </c>
      <c r="I2390">
        <v>0.96</v>
      </c>
      <c r="J2390" t="s">
        <v>281</v>
      </c>
      <c r="K2390" t="s">
        <v>38</v>
      </c>
      <c r="L2390">
        <v>153</v>
      </c>
      <c r="M2390">
        <v>3.15</v>
      </c>
      <c r="N2390">
        <v>60.69</v>
      </c>
      <c r="O2390">
        <v>0.53</v>
      </c>
      <c r="P2390">
        <v>1</v>
      </c>
      <c r="Q2390">
        <v>0.89</v>
      </c>
      <c r="R2390">
        <v>746</v>
      </c>
      <c r="S2390">
        <v>14.93</v>
      </c>
      <c r="T2390">
        <v>0.53</v>
      </c>
      <c r="U2390" s="1">
        <v>45563</v>
      </c>
      <c r="V2390">
        <v>200.02</v>
      </c>
      <c r="W2390">
        <v>0.81</v>
      </c>
      <c r="X2390" t="str">
        <f>IF(WarehouseData[[#This Row],[stock_level]]&lt;=WarehouseData[[#This Row],[reorder_point]],"Low Stock","Sufficient Stock")</f>
        <v>Sufficient Stock</v>
      </c>
      <c r="Y2390">
        <f>WarehouseData[[#This Row],[daily_demand]]*WarehouseData[[#This Row],[lead_time_days]]</f>
        <v>172.97</v>
      </c>
      <c r="Z2390" t="str">
        <f>IF(WarehouseData[[#This Row],[stock_level]]&lt;=WarehouseData[[#This Row],[Demand During Lead Time]],"At Risk","Safe")</f>
        <v>Safe</v>
      </c>
      <c r="AA2390">
        <f>WarehouseData[[#This Row],[stock_level]]/WarehouseData[[#This Row],[daily_demand]]</f>
        <v>16.106839336301093</v>
      </c>
      <c r="AB2390">
        <f>WarehouseData[[#This Row],[stock_level]]*WarehouseData[[#This Row],[unit_price]]</f>
        <v>24154.62</v>
      </c>
      <c r="AC2390">
        <f>WarehouseData[[#This Row],[stock_level]]*WarehouseData[[#This Row],[holding_cost_per_unit_day]]*30</f>
        <v>6328.2</v>
      </c>
      <c r="AD2390" t="str">
        <f>IF(WarehouseData[[#This Row],[order_fulfillment_rate]]&gt;=0.9,"Strong",IF(WarehouseData[[#This Row],[order_fulfillment_rate]]&gt;=0.8,"Moderate","Needs Attention"))</f>
        <v>Moderate</v>
      </c>
      <c r="AE2390" t="str">
        <f>IF(WarehouseData[[#This Row],[picking_time_seconds]]&gt;120,"Slow",IF(WarehouseData[[#This Row],[picking_time_seconds]]&gt;=60,"Average","Fast"))</f>
        <v>Slow</v>
      </c>
    </row>
    <row r="2391" spans="1:31" x14ac:dyDescent="0.25">
      <c r="A2391" t="s">
        <v>2529</v>
      </c>
      <c r="B2391" t="s">
        <v>48</v>
      </c>
      <c r="C2391">
        <v>475</v>
      </c>
      <c r="D2391">
        <v>88</v>
      </c>
      <c r="E2391">
        <v>5</v>
      </c>
      <c r="F2391">
        <v>9</v>
      </c>
      <c r="G2391">
        <v>11.7</v>
      </c>
      <c r="H2391">
        <v>8.39</v>
      </c>
      <c r="I2391">
        <v>0.49</v>
      </c>
      <c r="J2391" t="s">
        <v>152</v>
      </c>
      <c r="K2391" t="s">
        <v>52</v>
      </c>
      <c r="L2391">
        <v>128</v>
      </c>
      <c r="M2391">
        <v>2.02</v>
      </c>
      <c r="N2391">
        <v>100.33</v>
      </c>
      <c r="O2391">
        <v>0.36</v>
      </c>
      <c r="P2391">
        <v>7</v>
      </c>
      <c r="Q2391">
        <v>0.83</v>
      </c>
      <c r="R2391">
        <v>845</v>
      </c>
      <c r="S2391">
        <v>10.36</v>
      </c>
      <c r="T2391">
        <v>0.97</v>
      </c>
      <c r="U2391" s="1">
        <v>45535</v>
      </c>
      <c r="V2391">
        <v>154.35</v>
      </c>
      <c r="W2391">
        <v>0.72199999999999998</v>
      </c>
      <c r="X2391" t="str">
        <f>IF(WarehouseData[[#This Row],[stock_level]]&lt;=WarehouseData[[#This Row],[reorder_point]],"Low Stock","Sufficient Stock")</f>
        <v>Sufficient Stock</v>
      </c>
      <c r="Y2391">
        <f>WarehouseData[[#This Row],[daily_demand]]*WarehouseData[[#This Row],[lead_time_days]]</f>
        <v>105.3</v>
      </c>
      <c r="Z2391" t="str">
        <f>IF(WarehouseData[[#This Row],[stock_level]]&lt;=WarehouseData[[#This Row],[Demand During Lead Time]],"At Risk","Safe")</f>
        <v>Safe</v>
      </c>
      <c r="AA2391">
        <f>WarehouseData[[#This Row],[stock_level]]/WarehouseData[[#This Row],[daily_demand]]</f>
        <v>40.598290598290603</v>
      </c>
      <c r="AB2391">
        <f>WarehouseData[[#This Row],[stock_level]]*WarehouseData[[#This Row],[unit_price]]</f>
        <v>47656.75</v>
      </c>
      <c r="AC2391">
        <f>WarehouseData[[#This Row],[stock_level]]*WarehouseData[[#This Row],[holding_cost_per_unit_day]]*30</f>
        <v>5130</v>
      </c>
      <c r="AD2391" t="str">
        <f>IF(WarehouseData[[#This Row],[order_fulfillment_rate]]&gt;=0.9,"Strong",IF(WarehouseData[[#This Row],[order_fulfillment_rate]]&gt;=0.8,"Moderate","Needs Attention"))</f>
        <v>Moderate</v>
      </c>
      <c r="AE2391" t="str">
        <f>IF(WarehouseData[[#This Row],[picking_time_seconds]]&gt;120,"Slow",IF(WarehouseData[[#This Row],[picking_time_seconds]]&gt;=60,"Average","Fast"))</f>
        <v>Slow</v>
      </c>
    </row>
    <row r="2392" spans="1:31" x14ac:dyDescent="0.25">
      <c r="A2392" t="s">
        <v>2530</v>
      </c>
      <c r="B2392" t="s">
        <v>40</v>
      </c>
      <c r="C2392">
        <v>466</v>
      </c>
      <c r="D2392">
        <v>61</v>
      </c>
      <c r="E2392">
        <v>4</v>
      </c>
      <c r="F2392">
        <v>7</v>
      </c>
      <c r="G2392">
        <v>30.54</v>
      </c>
      <c r="H2392">
        <v>3.58</v>
      </c>
      <c r="I2392">
        <v>0.75</v>
      </c>
      <c r="J2392" t="s">
        <v>236</v>
      </c>
      <c r="K2392" t="s">
        <v>46</v>
      </c>
      <c r="L2392">
        <v>87</v>
      </c>
      <c r="M2392">
        <v>1.24</v>
      </c>
      <c r="N2392">
        <v>89.76</v>
      </c>
      <c r="O2392">
        <v>1.45</v>
      </c>
      <c r="P2392">
        <v>5</v>
      </c>
      <c r="Q2392">
        <v>0.7</v>
      </c>
      <c r="R2392">
        <v>203</v>
      </c>
      <c r="S2392">
        <v>2.0299999999999998</v>
      </c>
      <c r="T2392">
        <v>0.88</v>
      </c>
      <c r="U2392" s="1">
        <v>45579</v>
      </c>
      <c r="V2392">
        <v>238.42</v>
      </c>
      <c r="W2392">
        <v>0.498</v>
      </c>
      <c r="X2392" t="str">
        <f>IF(WarehouseData[[#This Row],[stock_level]]&lt;=WarehouseData[[#This Row],[reorder_point]],"Low Stock","Sufficient Stock")</f>
        <v>Sufficient Stock</v>
      </c>
      <c r="Y2392">
        <f>WarehouseData[[#This Row],[daily_demand]]*WarehouseData[[#This Row],[lead_time_days]]</f>
        <v>213.78</v>
      </c>
      <c r="Z2392" t="str">
        <f>IF(WarehouseData[[#This Row],[stock_level]]&lt;=WarehouseData[[#This Row],[Demand During Lead Time]],"At Risk","Safe")</f>
        <v>Safe</v>
      </c>
      <c r="AA2392">
        <f>WarehouseData[[#This Row],[stock_level]]/WarehouseData[[#This Row],[daily_demand]]</f>
        <v>15.258677144728226</v>
      </c>
      <c r="AB2392">
        <f>WarehouseData[[#This Row],[stock_level]]*WarehouseData[[#This Row],[unit_price]]</f>
        <v>41828.160000000003</v>
      </c>
      <c r="AC2392">
        <f>WarehouseData[[#This Row],[stock_level]]*WarehouseData[[#This Row],[holding_cost_per_unit_day]]*30</f>
        <v>20270.999999999996</v>
      </c>
      <c r="AD2392" t="str">
        <f>IF(WarehouseData[[#This Row],[order_fulfillment_rate]]&gt;=0.9,"Strong",IF(WarehouseData[[#This Row],[order_fulfillment_rate]]&gt;=0.8,"Moderate","Needs Attention"))</f>
        <v>Needs Attention</v>
      </c>
      <c r="AE2392" t="str">
        <f>IF(WarehouseData[[#This Row],[picking_time_seconds]]&gt;120,"Slow",IF(WarehouseData[[#This Row],[picking_time_seconds]]&gt;=60,"Average","Fast"))</f>
        <v>Average</v>
      </c>
    </row>
    <row r="2393" spans="1:31" x14ac:dyDescent="0.25">
      <c r="A2393" t="s">
        <v>2531</v>
      </c>
      <c r="B2393" t="s">
        <v>73</v>
      </c>
      <c r="C2393">
        <v>467</v>
      </c>
      <c r="D2393">
        <v>11</v>
      </c>
      <c r="E2393">
        <v>11</v>
      </c>
      <c r="F2393">
        <v>3</v>
      </c>
      <c r="G2393">
        <v>28.37</v>
      </c>
      <c r="H2393">
        <v>4.4800000000000004</v>
      </c>
      <c r="I2393">
        <v>0.69</v>
      </c>
      <c r="J2393" t="s">
        <v>221</v>
      </c>
      <c r="K2393" t="s">
        <v>46</v>
      </c>
      <c r="L2393">
        <v>12</v>
      </c>
      <c r="M2393">
        <v>0.96</v>
      </c>
      <c r="N2393">
        <v>72.849999999999994</v>
      </c>
      <c r="O2393">
        <v>1.29</v>
      </c>
      <c r="P2393">
        <v>0</v>
      </c>
      <c r="Q2393">
        <v>0.84</v>
      </c>
      <c r="R2393">
        <v>83</v>
      </c>
      <c r="S2393">
        <v>12.22</v>
      </c>
      <c r="T2393">
        <v>0.26</v>
      </c>
      <c r="U2393" s="1">
        <v>45624</v>
      </c>
      <c r="V2393">
        <v>211.08</v>
      </c>
      <c r="W2393">
        <v>0.65400000000000003</v>
      </c>
      <c r="X2393" t="str">
        <f>IF(WarehouseData[[#This Row],[stock_level]]&lt;=WarehouseData[[#This Row],[reorder_point]],"Low Stock","Sufficient Stock")</f>
        <v>Sufficient Stock</v>
      </c>
      <c r="Y2393">
        <f>WarehouseData[[#This Row],[daily_demand]]*WarehouseData[[#This Row],[lead_time_days]]</f>
        <v>85.11</v>
      </c>
      <c r="Z2393" t="str">
        <f>IF(WarehouseData[[#This Row],[stock_level]]&lt;=WarehouseData[[#This Row],[Demand During Lead Time]],"At Risk","Safe")</f>
        <v>Safe</v>
      </c>
      <c r="AA2393">
        <f>WarehouseData[[#This Row],[stock_level]]/WarehouseData[[#This Row],[daily_demand]]</f>
        <v>16.461050405357771</v>
      </c>
      <c r="AB2393">
        <f>WarehouseData[[#This Row],[stock_level]]*WarehouseData[[#This Row],[unit_price]]</f>
        <v>34020.949999999997</v>
      </c>
      <c r="AC2393">
        <f>WarehouseData[[#This Row],[stock_level]]*WarehouseData[[#This Row],[holding_cost_per_unit_day]]*30</f>
        <v>18072.900000000001</v>
      </c>
      <c r="AD2393" t="str">
        <f>IF(WarehouseData[[#This Row],[order_fulfillment_rate]]&gt;=0.9,"Strong",IF(WarehouseData[[#This Row],[order_fulfillment_rate]]&gt;=0.8,"Moderate","Needs Attention"))</f>
        <v>Moderate</v>
      </c>
      <c r="AE2393" t="str">
        <f>IF(WarehouseData[[#This Row],[picking_time_seconds]]&gt;120,"Slow",IF(WarehouseData[[#This Row],[picking_time_seconds]]&gt;=60,"Average","Fast"))</f>
        <v>Fast</v>
      </c>
    </row>
    <row r="2394" spans="1:31" x14ac:dyDescent="0.25">
      <c r="A2394" t="s">
        <v>2532</v>
      </c>
      <c r="B2394" t="s">
        <v>48</v>
      </c>
      <c r="C2394">
        <v>464</v>
      </c>
      <c r="D2394">
        <v>34</v>
      </c>
      <c r="E2394">
        <v>14</v>
      </c>
      <c r="F2394">
        <v>5</v>
      </c>
      <c r="G2394">
        <v>19.62</v>
      </c>
      <c r="H2394">
        <v>6.98</v>
      </c>
      <c r="I2394">
        <v>0.25</v>
      </c>
      <c r="J2394" t="s">
        <v>90</v>
      </c>
      <c r="K2394" t="s">
        <v>52</v>
      </c>
      <c r="L2394">
        <v>117</v>
      </c>
      <c r="M2394">
        <v>0.51</v>
      </c>
      <c r="N2394">
        <v>30.12</v>
      </c>
      <c r="O2394">
        <v>1.05</v>
      </c>
      <c r="P2394">
        <v>5</v>
      </c>
      <c r="Q2394">
        <v>0.9</v>
      </c>
      <c r="R2394">
        <v>546</v>
      </c>
      <c r="S2394">
        <v>11.51</v>
      </c>
      <c r="T2394">
        <v>0.27</v>
      </c>
      <c r="U2394" s="1">
        <v>45296</v>
      </c>
      <c r="V2394">
        <v>42.7</v>
      </c>
      <c r="W2394">
        <v>0.58199999999999996</v>
      </c>
      <c r="X2394" t="str">
        <f>IF(WarehouseData[[#This Row],[stock_level]]&lt;=WarehouseData[[#This Row],[reorder_point]],"Low Stock","Sufficient Stock")</f>
        <v>Sufficient Stock</v>
      </c>
      <c r="Y2394">
        <f>WarehouseData[[#This Row],[daily_demand]]*WarehouseData[[#This Row],[lead_time_days]]</f>
        <v>98.100000000000009</v>
      </c>
      <c r="Z2394" t="str">
        <f>IF(WarehouseData[[#This Row],[stock_level]]&lt;=WarehouseData[[#This Row],[Demand During Lead Time]],"At Risk","Safe")</f>
        <v>Safe</v>
      </c>
      <c r="AA2394">
        <f>WarehouseData[[#This Row],[stock_level]]/WarehouseData[[#This Row],[daily_demand]]</f>
        <v>23.649337410805298</v>
      </c>
      <c r="AB2394">
        <f>WarehouseData[[#This Row],[stock_level]]*WarehouseData[[#This Row],[unit_price]]</f>
        <v>13975.68</v>
      </c>
      <c r="AC2394">
        <f>WarehouseData[[#This Row],[stock_level]]*WarehouseData[[#This Row],[holding_cost_per_unit_day]]*30</f>
        <v>14616.000000000002</v>
      </c>
      <c r="AD2394" t="str">
        <f>IF(WarehouseData[[#This Row],[order_fulfillment_rate]]&gt;=0.9,"Strong",IF(WarehouseData[[#This Row],[order_fulfillment_rate]]&gt;=0.8,"Moderate","Needs Attention"))</f>
        <v>Strong</v>
      </c>
      <c r="AE2394" t="str">
        <f>IF(WarehouseData[[#This Row],[picking_time_seconds]]&gt;120,"Slow",IF(WarehouseData[[#This Row],[picking_time_seconds]]&gt;=60,"Average","Fast"))</f>
        <v>Average</v>
      </c>
    </row>
    <row r="2395" spans="1:31" x14ac:dyDescent="0.25">
      <c r="A2395" t="s">
        <v>2533</v>
      </c>
      <c r="B2395" t="s">
        <v>36</v>
      </c>
      <c r="C2395">
        <v>400</v>
      </c>
      <c r="D2395">
        <v>22</v>
      </c>
      <c r="E2395">
        <v>4</v>
      </c>
      <c r="F2395">
        <v>6</v>
      </c>
      <c r="G2395">
        <v>43.3</v>
      </c>
      <c r="H2395">
        <v>3.86</v>
      </c>
      <c r="I2395">
        <v>0.99</v>
      </c>
      <c r="J2395" t="s">
        <v>45</v>
      </c>
      <c r="K2395" t="s">
        <v>38</v>
      </c>
      <c r="L2395">
        <v>60</v>
      </c>
      <c r="M2395">
        <v>1.43</v>
      </c>
      <c r="N2395">
        <v>102.05</v>
      </c>
      <c r="O2395">
        <v>0.9</v>
      </c>
      <c r="P2395">
        <v>4</v>
      </c>
      <c r="Q2395">
        <v>0.7</v>
      </c>
      <c r="R2395">
        <v>913</v>
      </c>
      <c r="S2395">
        <v>6.62</v>
      </c>
      <c r="T2395">
        <v>0.53</v>
      </c>
      <c r="U2395" s="1">
        <v>45350</v>
      </c>
      <c r="V2395">
        <v>111.71</v>
      </c>
      <c r="W2395">
        <v>0.56399999999999995</v>
      </c>
      <c r="X2395" t="str">
        <f>IF(WarehouseData[[#This Row],[stock_level]]&lt;=WarehouseData[[#This Row],[reorder_point]],"Low Stock","Sufficient Stock")</f>
        <v>Sufficient Stock</v>
      </c>
      <c r="Y2395">
        <f>WarehouseData[[#This Row],[daily_demand]]*WarehouseData[[#This Row],[lead_time_days]]</f>
        <v>259.79999999999995</v>
      </c>
      <c r="Z2395" t="str">
        <f>IF(WarehouseData[[#This Row],[stock_level]]&lt;=WarehouseData[[#This Row],[Demand During Lead Time]],"At Risk","Safe")</f>
        <v>Safe</v>
      </c>
      <c r="AA2395">
        <f>WarehouseData[[#This Row],[stock_level]]/WarehouseData[[#This Row],[daily_demand]]</f>
        <v>9.237875288683604</v>
      </c>
      <c r="AB2395">
        <f>WarehouseData[[#This Row],[stock_level]]*WarehouseData[[#This Row],[unit_price]]</f>
        <v>40820</v>
      </c>
      <c r="AC2395">
        <f>WarehouseData[[#This Row],[stock_level]]*WarehouseData[[#This Row],[holding_cost_per_unit_day]]*30</f>
        <v>10800</v>
      </c>
      <c r="AD2395" t="str">
        <f>IF(WarehouseData[[#This Row],[order_fulfillment_rate]]&gt;=0.9,"Strong",IF(WarehouseData[[#This Row],[order_fulfillment_rate]]&gt;=0.8,"Moderate","Needs Attention"))</f>
        <v>Needs Attention</v>
      </c>
      <c r="AE2395" t="str">
        <f>IF(WarehouseData[[#This Row],[picking_time_seconds]]&gt;120,"Slow",IF(WarehouseData[[#This Row],[picking_time_seconds]]&gt;=60,"Average","Fast"))</f>
        <v>Average</v>
      </c>
    </row>
    <row r="2396" spans="1:31" x14ac:dyDescent="0.25">
      <c r="A2396" t="s">
        <v>2534</v>
      </c>
      <c r="B2396" t="s">
        <v>40</v>
      </c>
      <c r="C2396">
        <v>457</v>
      </c>
      <c r="D2396">
        <v>60</v>
      </c>
      <c r="E2396">
        <v>8</v>
      </c>
      <c r="F2396">
        <v>8</v>
      </c>
      <c r="G2396">
        <v>33.33</v>
      </c>
      <c r="H2396">
        <v>6.47</v>
      </c>
      <c r="I2396">
        <v>0.52</v>
      </c>
      <c r="J2396" t="s">
        <v>49</v>
      </c>
      <c r="K2396" t="s">
        <v>38</v>
      </c>
      <c r="L2396">
        <v>123</v>
      </c>
      <c r="M2396">
        <v>2.35</v>
      </c>
      <c r="N2396">
        <v>171.54</v>
      </c>
      <c r="O2396">
        <v>0.71</v>
      </c>
      <c r="P2396">
        <v>5</v>
      </c>
      <c r="Q2396">
        <v>0.89</v>
      </c>
      <c r="R2396">
        <v>71</v>
      </c>
      <c r="S2396">
        <v>2.73</v>
      </c>
      <c r="T2396">
        <v>0.21</v>
      </c>
      <c r="U2396" s="1">
        <v>45634</v>
      </c>
      <c r="V2396">
        <v>223.51</v>
      </c>
      <c r="W2396">
        <v>0.48499999999999999</v>
      </c>
      <c r="X2396" t="str">
        <f>IF(WarehouseData[[#This Row],[stock_level]]&lt;=WarehouseData[[#This Row],[reorder_point]],"Low Stock","Sufficient Stock")</f>
        <v>Sufficient Stock</v>
      </c>
      <c r="Y2396">
        <f>WarehouseData[[#This Row],[daily_demand]]*WarehouseData[[#This Row],[lead_time_days]]</f>
        <v>266.64</v>
      </c>
      <c r="Z2396" t="str">
        <f>IF(WarehouseData[[#This Row],[stock_level]]&lt;=WarehouseData[[#This Row],[Demand During Lead Time]],"At Risk","Safe")</f>
        <v>Safe</v>
      </c>
      <c r="AA2396">
        <f>WarehouseData[[#This Row],[stock_level]]/WarehouseData[[#This Row],[daily_demand]]</f>
        <v>13.711371137113712</v>
      </c>
      <c r="AB2396">
        <f>WarehouseData[[#This Row],[stock_level]]*WarehouseData[[#This Row],[unit_price]]</f>
        <v>78393.78</v>
      </c>
      <c r="AC2396">
        <f>WarehouseData[[#This Row],[stock_level]]*WarehouseData[[#This Row],[holding_cost_per_unit_day]]*30</f>
        <v>9734.0999999999985</v>
      </c>
      <c r="AD2396" t="str">
        <f>IF(WarehouseData[[#This Row],[order_fulfillment_rate]]&gt;=0.9,"Strong",IF(WarehouseData[[#This Row],[order_fulfillment_rate]]&gt;=0.8,"Moderate","Needs Attention"))</f>
        <v>Moderate</v>
      </c>
      <c r="AE2396" t="str">
        <f>IF(WarehouseData[[#This Row],[picking_time_seconds]]&gt;120,"Slow",IF(WarehouseData[[#This Row],[picking_time_seconds]]&gt;=60,"Average","Fast"))</f>
        <v>Slow</v>
      </c>
    </row>
    <row r="2397" spans="1:31" x14ac:dyDescent="0.25">
      <c r="A2397" t="s">
        <v>2535</v>
      </c>
      <c r="B2397" t="s">
        <v>40</v>
      </c>
      <c r="C2397">
        <v>239</v>
      </c>
      <c r="D2397">
        <v>67</v>
      </c>
      <c r="E2397">
        <v>7</v>
      </c>
      <c r="F2397">
        <v>2</v>
      </c>
      <c r="G2397">
        <v>36.340000000000003</v>
      </c>
      <c r="H2397">
        <v>8.91</v>
      </c>
      <c r="I2397">
        <v>0.46</v>
      </c>
      <c r="J2397" t="s">
        <v>37</v>
      </c>
      <c r="K2397" t="s">
        <v>38</v>
      </c>
      <c r="L2397">
        <v>103</v>
      </c>
      <c r="M2397">
        <v>1.6</v>
      </c>
      <c r="N2397">
        <v>148.74</v>
      </c>
      <c r="O2397">
        <v>0.27</v>
      </c>
      <c r="P2397">
        <v>0</v>
      </c>
      <c r="Q2397">
        <v>0.9</v>
      </c>
      <c r="R2397">
        <v>429</v>
      </c>
      <c r="S2397">
        <v>7.96</v>
      </c>
      <c r="T2397">
        <v>0.28000000000000003</v>
      </c>
      <c r="U2397" s="1">
        <v>45469</v>
      </c>
      <c r="V2397">
        <v>107.7</v>
      </c>
      <c r="W2397">
        <v>0.71499999999999997</v>
      </c>
      <c r="X2397" t="str">
        <f>IF(WarehouseData[[#This Row],[stock_level]]&lt;=WarehouseData[[#This Row],[reorder_point]],"Low Stock","Sufficient Stock")</f>
        <v>Sufficient Stock</v>
      </c>
      <c r="Y2397">
        <f>WarehouseData[[#This Row],[daily_demand]]*WarehouseData[[#This Row],[lead_time_days]]</f>
        <v>72.680000000000007</v>
      </c>
      <c r="Z2397" t="str">
        <f>IF(WarehouseData[[#This Row],[stock_level]]&lt;=WarehouseData[[#This Row],[Demand During Lead Time]],"At Risk","Safe")</f>
        <v>Safe</v>
      </c>
      <c r="AA2397">
        <f>WarehouseData[[#This Row],[stock_level]]/WarehouseData[[#This Row],[daily_demand]]</f>
        <v>6.5767749036873964</v>
      </c>
      <c r="AB2397">
        <f>WarehouseData[[#This Row],[stock_level]]*WarehouseData[[#This Row],[unit_price]]</f>
        <v>35548.86</v>
      </c>
      <c r="AC2397">
        <f>WarehouseData[[#This Row],[stock_level]]*WarehouseData[[#This Row],[holding_cost_per_unit_day]]*30</f>
        <v>1935.9</v>
      </c>
      <c r="AD2397" t="str">
        <f>IF(WarehouseData[[#This Row],[order_fulfillment_rate]]&gt;=0.9,"Strong",IF(WarehouseData[[#This Row],[order_fulfillment_rate]]&gt;=0.8,"Moderate","Needs Attention"))</f>
        <v>Strong</v>
      </c>
      <c r="AE2397" t="str">
        <f>IF(WarehouseData[[#This Row],[picking_time_seconds]]&gt;120,"Slow",IF(WarehouseData[[#This Row],[picking_time_seconds]]&gt;=60,"Average","Fast"))</f>
        <v>Average</v>
      </c>
    </row>
    <row r="2398" spans="1:31" x14ac:dyDescent="0.25">
      <c r="A2398" t="s">
        <v>2536</v>
      </c>
      <c r="B2398" t="s">
        <v>48</v>
      </c>
      <c r="C2398">
        <v>397</v>
      </c>
      <c r="D2398">
        <v>43</v>
      </c>
      <c r="E2398">
        <v>7</v>
      </c>
      <c r="F2398">
        <v>5</v>
      </c>
      <c r="G2398">
        <v>8.3800000000000008</v>
      </c>
      <c r="H2398">
        <v>8.08</v>
      </c>
      <c r="I2398">
        <v>0.93</v>
      </c>
      <c r="J2398" t="s">
        <v>41</v>
      </c>
      <c r="K2398" t="s">
        <v>34</v>
      </c>
      <c r="L2398">
        <v>125</v>
      </c>
      <c r="M2398">
        <v>1.89</v>
      </c>
      <c r="N2398">
        <v>146.91</v>
      </c>
      <c r="O2398">
        <v>0.67</v>
      </c>
      <c r="P2398">
        <v>3</v>
      </c>
      <c r="Q2398">
        <v>0.75</v>
      </c>
      <c r="R2398">
        <v>197</v>
      </c>
      <c r="S2398">
        <v>11.69</v>
      </c>
      <c r="T2398">
        <v>0.95</v>
      </c>
      <c r="U2398" s="1">
        <v>45520</v>
      </c>
      <c r="V2398">
        <v>174.4</v>
      </c>
      <c r="W2398">
        <v>0.76900000000000002</v>
      </c>
      <c r="X2398" t="str">
        <f>IF(WarehouseData[[#This Row],[stock_level]]&lt;=WarehouseData[[#This Row],[reorder_point]],"Low Stock","Sufficient Stock")</f>
        <v>Sufficient Stock</v>
      </c>
      <c r="Y2398">
        <f>WarehouseData[[#This Row],[daily_demand]]*WarehouseData[[#This Row],[lead_time_days]]</f>
        <v>41.900000000000006</v>
      </c>
      <c r="Z2398" t="str">
        <f>IF(WarehouseData[[#This Row],[stock_level]]&lt;=WarehouseData[[#This Row],[Demand During Lead Time]],"At Risk","Safe")</f>
        <v>Safe</v>
      </c>
      <c r="AA2398">
        <f>WarehouseData[[#This Row],[stock_level]]/WarehouseData[[#This Row],[daily_demand]]</f>
        <v>47.374701670644384</v>
      </c>
      <c r="AB2398">
        <f>WarehouseData[[#This Row],[stock_level]]*WarehouseData[[#This Row],[unit_price]]</f>
        <v>58323.27</v>
      </c>
      <c r="AC2398">
        <f>WarehouseData[[#This Row],[stock_level]]*WarehouseData[[#This Row],[holding_cost_per_unit_day]]*30</f>
        <v>7979.7000000000007</v>
      </c>
      <c r="AD2398" t="str">
        <f>IF(WarehouseData[[#This Row],[order_fulfillment_rate]]&gt;=0.9,"Strong",IF(WarehouseData[[#This Row],[order_fulfillment_rate]]&gt;=0.8,"Moderate","Needs Attention"))</f>
        <v>Needs Attention</v>
      </c>
      <c r="AE2398" t="str">
        <f>IF(WarehouseData[[#This Row],[picking_time_seconds]]&gt;120,"Slow",IF(WarehouseData[[#This Row],[picking_time_seconds]]&gt;=60,"Average","Fast"))</f>
        <v>Slow</v>
      </c>
    </row>
    <row r="2399" spans="1:31" x14ac:dyDescent="0.25">
      <c r="A2399" t="s">
        <v>2537</v>
      </c>
      <c r="B2399" t="s">
        <v>73</v>
      </c>
      <c r="C2399">
        <v>113</v>
      </c>
      <c r="D2399">
        <v>44</v>
      </c>
      <c r="E2399">
        <v>6</v>
      </c>
      <c r="F2399">
        <v>3</v>
      </c>
      <c r="G2399">
        <v>44.28</v>
      </c>
      <c r="H2399">
        <v>4.13</v>
      </c>
      <c r="I2399">
        <v>0.57999999999999996</v>
      </c>
      <c r="J2399" t="s">
        <v>43</v>
      </c>
      <c r="K2399" t="s">
        <v>34</v>
      </c>
      <c r="L2399">
        <v>114</v>
      </c>
      <c r="M2399">
        <v>2.2599999999999998</v>
      </c>
      <c r="N2399">
        <v>79.56</v>
      </c>
      <c r="O2399">
        <v>1.69</v>
      </c>
      <c r="P2399">
        <v>6</v>
      </c>
      <c r="Q2399">
        <v>0.83</v>
      </c>
      <c r="R2399">
        <v>959</v>
      </c>
      <c r="S2399">
        <v>2.06</v>
      </c>
      <c r="T2399">
        <v>0.83</v>
      </c>
      <c r="U2399" s="1">
        <v>45415</v>
      </c>
      <c r="V2399">
        <v>288.77</v>
      </c>
      <c r="W2399">
        <v>0.47</v>
      </c>
      <c r="X2399" t="str">
        <f>IF(WarehouseData[[#This Row],[stock_level]]&lt;=WarehouseData[[#This Row],[reorder_point]],"Low Stock","Sufficient Stock")</f>
        <v>Sufficient Stock</v>
      </c>
      <c r="Y2399">
        <f>WarehouseData[[#This Row],[daily_demand]]*WarehouseData[[#This Row],[lead_time_days]]</f>
        <v>132.84</v>
      </c>
      <c r="Z2399" t="str">
        <f>IF(WarehouseData[[#This Row],[stock_level]]&lt;=WarehouseData[[#This Row],[Demand During Lead Time]],"At Risk","Safe")</f>
        <v>At Risk</v>
      </c>
      <c r="AA2399">
        <f>WarehouseData[[#This Row],[stock_level]]/WarehouseData[[#This Row],[daily_demand]]</f>
        <v>2.5519421860885276</v>
      </c>
      <c r="AB2399">
        <f>WarehouseData[[#This Row],[stock_level]]*WarehouseData[[#This Row],[unit_price]]</f>
        <v>8990.2800000000007</v>
      </c>
      <c r="AC2399">
        <f>WarehouseData[[#This Row],[stock_level]]*WarehouseData[[#This Row],[holding_cost_per_unit_day]]*30</f>
        <v>5729.1</v>
      </c>
      <c r="AD2399" t="str">
        <f>IF(WarehouseData[[#This Row],[order_fulfillment_rate]]&gt;=0.9,"Strong",IF(WarehouseData[[#This Row],[order_fulfillment_rate]]&gt;=0.8,"Moderate","Needs Attention"))</f>
        <v>Moderate</v>
      </c>
      <c r="AE2399" t="str">
        <f>IF(WarehouseData[[#This Row],[picking_time_seconds]]&gt;120,"Slow",IF(WarehouseData[[#This Row],[picking_time_seconds]]&gt;=60,"Average","Fast"))</f>
        <v>Average</v>
      </c>
    </row>
    <row r="2400" spans="1:31" x14ac:dyDescent="0.25">
      <c r="A2400" t="s">
        <v>2538</v>
      </c>
      <c r="B2400" t="s">
        <v>36</v>
      </c>
      <c r="C2400">
        <v>476</v>
      </c>
      <c r="D2400">
        <v>12</v>
      </c>
      <c r="E2400">
        <v>8</v>
      </c>
      <c r="F2400">
        <v>4</v>
      </c>
      <c r="G2400">
        <v>9.18</v>
      </c>
      <c r="H2400">
        <v>3.24</v>
      </c>
      <c r="I2400">
        <v>0.73</v>
      </c>
      <c r="J2400" t="s">
        <v>447</v>
      </c>
      <c r="K2400" t="s">
        <v>46</v>
      </c>
      <c r="L2400">
        <v>108</v>
      </c>
      <c r="M2400">
        <v>1.89</v>
      </c>
      <c r="N2400">
        <v>144.6</v>
      </c>
      <c r="O2400">
        <v>1.59</v>
      </c>
      <c r="P2400">
        <v>4</v>
      </c>
      <c r="Q2400">
        <v>0.99</v>
      </c>
      <c r="R2400">
        <v>712</v>
      </c>
      <c r="S2400">
        <v>3.29</v>
      </c>
      <c r="T2400">
        <v>0.74</v>
      </c>
      <c r="U2400" s="1">
        <v>45620</v>
      </c>
      <c r="V2400">
        <v>33.18</v>
      </c>
      <c r="W2400">
        <v>0.55100000000000005</v>
      </c>
      <c r="X2400" t="str">
        <f>IF(WarehouseData[[#This Row],[stock_level]]&lt;=WarehouseData[[#This Row],[reorder_point]],"Low Stock","Sufficient Stock")</f>
        <v>Sufficient Stock</v>
      </c>
      <c r="Y2400">
        <f>WarehouseData[[#This Row],[daily_demand]]*WarehouseData[[#This Row],[lead_time_days]]</f>
        <v>36.72</v>
      </c>
      <c r="Z2400" t="str">
        <f>IF(WarehouseData[[#This Row],[stock_level]]&lt;=WarehouseData[[#This Row],[Demand During Lead Time]],"At Risk","Safe")</f>
        <v>Safe</v>
      </c>
      <c r="AA2400">
        <f>WarehouseData[[#This Row],[stock_level]]/WarehouseData[[#This Row],[daily_demand]]</f>
        <v>51.851851851851855</v>
      </c>
      <c r="AB2400">
        <f>WarehouseData[[#This Row],[stock_level]]*WarehouseData[[#This Row],[unit_price]]</f>
        <v>68829.599999999991</v>
      </c>
      <c r="AC2400">
        <f>WarehouseData[[#This Row],[stock_level]]*WarehouseData[[#This Row],[holding_cost_per_unit_day]]*30</f>
        <v>22705.200000000001</v>
      </c>
      <c r="AD2400" t="str">
        <f>IF(WarehouseData[[#This Row],[order_fulfillment_rate]]&gt;=0.9,"Strong",IF(WarehouseData[[#This Row],[order_fulfillment_rate]]&gt;=0.8,"Moderate","Needs Attention"))</f>
        <v>Strong</v>
      </c>
      <c r="AE2400" t="str">
        <f>IF(WarehouseData[[#This Row],[picking_time_seconds]]&gt;120,"Slow",IF(WarehouseData[[#This Row],[picking_time_seconds]]&gt;=60,"Average","Fast"))</f>
        <v>Average</v>
      </c>
    </row>
    <row r="2401" spans="1:31" x14ac:dyDescent="0.25">
      <c r="A2401" t="s">
        <v>2539</v>
      </c>
      <c r="B2401" t="s">
        <v>73</v>
      </c>
      <c r="C2401">
        <v>122</v>
      </c>
      <c r="D2401">
        <v>68</v>
      </c>
      <c r="E2401">
        <v>7</v>
      </c>
      <c r="F2401">
        <v>2</v>
      </c>
      <c r="G2401">
        <v>11.92</v>
      </c>
      <c r="H2401">
        <v>3.21</v>
      </c>
      <c r="I2401">
        <v>0.86</v>
      </c>
      <c r="J2401" t="s">
        <v>234</v>
      </c>
      <c r="K2401" t="s">
        <v>38</v>
      </c>
      <c r="L2401">
        <v>163</v>
      </c>
      <c r="M2401">
        <v>3.76</v>
      </c>
      <c r="N2401">
        <v>98.45</v>
      </c>
      <c r="O2401">
        <v>1.95</v>
      </c>
      <c r="P2401">
        <v>5</v>
      </c>
      <c r="Q2401">
        <v>0.97</v>
      </c>
      <c r="R2401">
        <v>628</v>
      </c>
      <c r="S2401">
        <v>9.66</v>
      </c>
      <c r="T2401">
        <v>0.86</v>
      </c>
      <c r="U2401" s="1">
        <v>45606</v>
      </c>
      <c r="V2401">
        <v>65.180000000000007</v>
      </c>
      <c r="W2401">
        <v>0.6</v>
      </c>
      <c r="X2401" t="str">
        <f>IF(WarehouseData[[#This Row],[stock_level]]&lt;=WarehouseData[[#This Row],[reorder_point]],"Low Stock","Sufficient Stock")</f>
        <v>Sufficient Stock</v>
      </c>
      <c r="Y2401">
        <f>WarehouseData[[#This Row],[daily_demand]]*WarehouseData[[#This Row],[lead_time_days]]</f>
        <v>23.84</v>
      </c>
      <c r="Z2401" t="str">
        <f>IF(WarehouseData[[#This Row],[stock_level]]&lt;=WarehouseData[[#This Row],[Demand During Lead Time]],"At Risk","Safe")</f>
        <v>Safe</v>
      </c>
      <c r="AA2401">
        <f>WarehouseData[[#This Row],[stock_level]]/WarehouseData[[#This Row],[daily_demand]]</f>
        <v>10.234899328859061</v>
      </c>
      <c r="AB2401">
        <f>WarehouseData[[#This Row],[stock_level]]*WarehouseData[[#This Row],[unit_price]]</f>
        <v>12010.9</v>
      </c>
      <c r="AC2401">
        <f>WarehouseData[[#This Row],[stock_level]]*WarehouseData[[#This Row],[holding_cost_per_unit_day]]*30</f>
        <v>7137</v>
      </c>
      <c r="AD2401" t="str">
        <f>IF(WarehouseData[[#This Row],[order_fulfillment_rate]]&gt;=0.9,"Strong",IF(WarehouseData[[#This Row],[order_fulfillment_rate]]&gt;=0.8,"Moderate","Needs Attention"))</f>
        <v>Strong</v>
      </c>
      <c r="AE2401" t="str">
        <f>IF(WarehouseData[[#This Row],[picking_time_seconds]]&gt;120,"Slow",IF(WarehouseData[[#This Row],[picking_time_seconds]]&gt;=60,"Average","Fast"))</f>
        <v>Slow</v>
      </c>
    </row>
    <row r="2402" spans="1:31" x14ac:dyDescent="0.25">
      <c r="A2402" t="s">
        <v>2540</v>
      </c>
      <c r="B2402" t="s">
        <v>32</v>
      </c>
      <c r="C2402">
        <v>242</v>
      </c>
      <c r="D2402">
        <v>79</v>
      </c>
      <c r="E2402">
        <v>13</v>
      </c>
      <c r="F2402">
        <v>9</v>
      </c>
      <c r="G2402">
        <v>7.27</v>
      </c>
      <c r="H2402">
        <v>3.81</v>
      </c>
      <c r="I2402">
        <v>0.31</v>
      </c>
      <c r="J2402" t="s">
        <v>379</v>
      </c>
      <c r="K2402" t="s">
        <v>34</v>
      </c>
      <c r="L2402">
        <v>85</v>
      </c>
      <c r="M2402">
        <v>2.71</v>
      </c>
      <c r="N2402">
        <v>38.549999999999997</v>
      </c>
      <c r="O2402">
        <v>1.35</v>
      </c>
      <c r="P2402">
        <v>1</v>
      </c>
      <c r="Q2402">
        <v>0.82</v>
      </c>
      <c r="R2402">
        <v>964</v>
      </c>
      <c r="S2402">
        <v>8.83</v>
      </c>
      <c r="T2402">
        <v>0.4</v>
      </c>
      <c r="U2402" s="1">
        <v>45610</v>
      </c>
      <c r="V2402">
        <v>149.38</v>
      </c>
      <c r="W2402">
        <v>0.60699999999999998</v>
      </c>
      <c r="X2402" t="str">
        <f>IF(WarehouseData[[#This Row],[stock_level]]&lt;=WarehouseData[[#This Row],[reorder_point]],"Low Stock","Sufficient Stock")</f>
        <v>Sufficient Stock</v>
      </c>
      <c r="Y2402">
        <f>WarehouseData[[#This Row],[daily_demand]]*WarehouseData[[#This Row],[lead_time_days]]</f>
        <v>65.429999999999993</v>
      </c>
      <c r="Z2402" t="str">
        <f>IF(WarehouseData[[#This Row],[stock_level]]&lt;=WarehouseData[[#This Row],[Demand During Lead Time]],"At Risk","Safe")</f>
        <v>Safe</v>
      </c>
      <c r="AA2402">
        <f>WarehouseData[[#This Row],[stock_level]]/WarehouseData[[#This Row],[daily_demand]]</f>
        <v>33.287482806052274</v>
      </c>
      <c r="AB2402">
        <f>WarehouseData[[#This Row],[stock_level]]*WarehouseData[[#This Row],[unit_price]]</f>
        <v>9329.0999999999985</v>
      </c>
      <c r="AC2402">
        <f>WarehouseData[[#This Row],[stock_level]]*WarehouseData[[#This Row],[holding_cost_per_unit_day]]*30</f>
        <v>9801.0000000000018</v>
      </c>
      <c r="AD2402" t="str">
        <f>IF(WarehouseData[[#This Row],[order_fulfillment_rate]]&gt;=0.9,"Strong",IF(WarehouseData[[#This Row],[order_fulfillment_rate]]&gt;=0.8,"Moderate","Needs Attention"))</f>
        <v>Moderate</v>
      </c>
      <c r="AE2402" t="str">
        <f>IF(WarehouseData[[#This Row],[picking_time_seconds]]&gt;120,"Slow",IF(WarehouseData[[#This Row],[picking_time_seconds]]&gt;=60,"Average","Fast"))</f>
        <v>Average</v>
      </c>
    </row>
    <row r="2403" spans="1:31" x14ac:dyDescent="0.25">
      <c r="A2403" t="s">
        <v>2541</v>
      </c>
      <c r="B2403" t="s">
        <v>32</v>
      </c>
      <c r="C2403">
        <v>205</v>
      </c>
      <c r="D2403">
        <v>57</v>
      </c>
      <c r="E2403">
        <v>6</v>
      </c>
      <c r="F2403">
        <v>3</v>
      </c>
      <c r="G2403">
        <v>22.58</v>
      </c>
      <c r="H2403">
        <v>5.19</v>
      </c>
      <c r="I2403">
        <v>0.25</v>
      </c>
      <c r="J2403" t="s">
        <v>276</v>
      </c>
      <c r="K2403" t="s">
        <v>46</v>
      </c>
      <c r="L2403">
        <v>168</v>
      </c>
      <c r="M2403">
        <v>0.59</v>
      </c>
      <c r="N2403">
        <v>89.62</v>
      </c>
      <c r="O2403">
        <v>1.1499999999999999</v>
      </c>
      <c r="P2403">
        <v>7</v>
      </c>
      <c r="Q2403">
        <v>0.8</v>
      </c>
      <c r="R2403">
        <v>639</v>
      </c>
      <c r="S2403">
        <v>13.67</v>
      </c>
      <c r="T2403">
        <v>0.78</v>
      </c>
      <c r="U2403" s="1">
        <v>45416</v>
      </c>
      <c r="V2403">
        <v>224.15</v>
      </c>
      <c r="W2403">
        <v>0.64300000000000002</v>
      </c>
      <c r="X2403" t="str">
        <f>IF(WarehouseData[[#This Row],[stock_level]]&lt;=WarehouseData[[#This Row],[reorder_point]],"Low Stock","Sufficient Stock")</f>
        <v>Sufficient Stock</v>
      </c>
      <c r="Y2403">
        <f>WarehouseData[[#This Row],[daily_demand]]*WarehouseData[[#This Row],[lead_time_days]]</f>
        <v>67.739999999999995</v>
      </c>
      <c r="Z2403" t="str">
        <f>IF(WarehouseData[[#This Row],[stock_level]]&lt;=WarehouseData[[#This Row],[Demand During Lead Time]],"At Risk","Safe")</f>
        <v>Safe</v>
      </c>
      <c r="AA2403">
        <f>WarehouseData[[#This Row],[stock_level]]/WarehouseData[[#This Row],[daily_demand]]</f>
        <v>9.078830823737821</v>
      </c>
      <c r="AB2403">
        <f>WarehouseData[[#This Row],[stock_level]]*WarehouseData[[#This Row],[unit_price]]</f>
        <v>18372.100000000002</v>
      </c>
      <c r="AC2403">
        <f>WarehouseData[[#This Row],[stock_level]]*WarehouseData[[#This Row],[holding_cost_per_unit_day]]*30</f>
        <v>7072.4999999999991</v>
      </c>
      <c r="AD2403" t="str">
        <f>IF(WarehouseData[[#This Row],[order_fulfillment_rate]]&gt;=0.9,"Strong",IF(WarehouseData[[#This Row],[order_fulfillment_rate]]&gt;=0.8,"Moderate","Needs Attention"))</f>
        <v>Moderate</v>
      </c>
      <c r="AE2403" t="str">
        <f>IF(WarehouseData[[#This Row],[picking_time_seconds]]&gt;120,"Slow",IF(WarehouseData[[#This Row],[picking_time_seconds]]&gt;=60,"Average","Fast"))</f>
        <v>Slow</v>
      </c>
    </row>
    <row r="2404" spans="1:31" x14ac:dyDescent="0.25">
      <c r="A2404" t="s">
        <v>2542</v>
      </c>
      <c r="B2404" t="s">
        <v>48</v>
      </c>
      <c r="C2404">
        <v>488</v>
      </c>
      <c r="D2404">
        <v>73</v>
      </c>
      <c r="E2404">
        <v>11</v>
      </c>
      <c r="F2404">
        <v>7</v>
      </c>
      <c r="G2404">
        <v>44.5</v>
      </c>
      <c r="H2404">
        <v>4.46</v>
      </c>
      <c r="I2404">
        <v>0.16</v>
      </c>
      <c r="J2404" t="s">
        <v>84</v>
      </c>
      <c r="K2404" t="s">
        <v>52</v>
      </c>
      <c r="L2404">
        <v>90</v>
      </c>
      <c r="M2404">
        <v>1.52</v>
      </c>
      <c r="N2404">
        <v>35.22</v>
      </c>
      <c r="O2404">
        <v>0.66</v>
      </c>
      <c r="P2404">
        <v>9</v>
      </c>
      <c r="Q2404">
        <v>0.74</v>
      </c>
      <c r="R2404">
        <v>793</v>
      </c>
      <c r="S2404">
        <v>12.41</v>
      </c>
      <c r="T2404">
        <v>0.69</v>
      </c>
      <c r="U2404" s="1">
        <v>45312</v>
      </c>
      <c r="V2404">
        <v>105.73</v>
      </c>
      <c r="W2404">
        <v>0.60499999999999998</v>
      </c>
      <c r="X2404" t="str">
        <f>IF(WarehouseData[[#This Row],[stock_level]]&lt;=WarehouseData[[#This Row],[reorder_point]],"Low Stock","Sufficient Stock")</f>
        <v>Sufficient Stock</v>
      </c>
      <c r="Y2404">
        <f>WarehouseData[[#This Row],[daily_demand]]*WarehouseData[[#This Row],[lead_time_days]]</f>
        <v>311.5</v>
      </c>
      <c r="Z2404" t="str">
        <f>IF(WarehouseData[[#This Row],[stock_level]]&lt;=WarehouseData[[#This Row],[Demand During Lead Time]],"At Risk","Safe")</f>
        <v>Safe</v>
      </c>
      <c r="AA2404">
        <f>WarehouseData[[#This Row],[stock_level]]/WarehouseData[[#This Row],[daily_demand]]</f>
        <v>10.966292134831461</v>
      </c>
      <c r="AB2404">
        <f>WarehouseData[[#This Row],[stock_level]]*WarehouseData[[#This Row],[unit_price]]</f>
        <v>17187.36</v>
      </c>
      <c r="AC2404">
        <f>WarehouseData[[#This Row],[stock_level]]*WarehouseData[[#This Row],[holding_cost_per_unit_day]]*30</f>
        <v>9662.4000000000015</v>
      </c>
      <c r="AD2404" t="str">
        <f>IF(WarehouseData[[#This Row],[order_fulfillment_rate]]&gt;=0.9,"Strong",IF(WarehouseData[[#This Row],[order_fulfillment_rate]]&gt;=0.8,"Moderate","Needs Attention"))</f>
        <v>Needs Attention</v>
      </c>
      <c r="AE2404" t="str">
        <f>IF(WarehouseData[[#This Row],[picking_time_seconds]]&gt;120,"Slow",IF(WarehouseData[[#This Row],[picking_time_seconds]]&gt;=60,"Average","Fast"))</f>
        <v>Average</v>
      </c>
    </row>
    <row r="2405" spans="1:31" x14ac:dyDescent="0.25">
      <c r="A2405" t="s">
        <v>2543</v>
      </c>
      <c r="B2405" t="s">
        <v>48</v>
      </c>
      <c r="C2405">
        <v>203</v>
      </c>
      <c r="D2405">
        <v>28</v>
      </c>
      <c r="E2405">
        <v>8</v>
      </c>
      <c r="F2405">
        <v>2</v>
      </c>
      <c r="G2405">
        <v>13.37</v>
      </c>
      <c r="H2405">
        <v>1.76</v>
      </c>
      <c r="I2405">
        <v>0.91</v>
      </c>
      <c r="J2405" t="s">
        <v>139</v>
      </c>
      <c r="K2405" t="s">
        <v>52</v>
      </c>
      <c r="L2405">
        <v>81</v>
      </c>
      <c r="M2405">
        <v>3.69</v>
      </c>
      <c r="N2405">
        <v>31.75</v>
      </c>
      <c r="O2405">
        <v>0.25</v>
      </c>
      <c r="P2405">
        <v>3</v>
      </c>
      <c r="Q2405">
        <v>0.71</v>
      </c>
      <c r="R2405">
        <v>600</v>
      </c>
      <c r="S2405">
        <v>13.86</v>
      </c>
      <c r="T2405">
        <v>0.88</v>
      </c>
      <c r="U2405" s="1">
        <v>45641</v>
      </c>
      <c r="V2405">
        <v>44.06</v>
      </c>
      <c r="W2405">
        <v>0.81799999999999995</v>
      </c>
      <c r="X2405" t="str">
        <f>IF(WarehouseData[[#This Row],[stock_level]]&lt;=WarehouseData[[#This Row],[reorder_point]],"Low Stock","Sufficient Stock")</f>
        <v>Sufficient Stock</v>
      </c>
      <c r="Y2405">
        <f>WarehouseData[[#This Row],[daily_demand]]*WarehouseData[[#This Row],[lead_time_days]]</f>
        <v>26.74</v>
      </c>
      <c r="Z2405" t="str">
        <f>IF(WarehouseData[[#This Row],[stock_level]]&lt;=WarehouseData[[#This Row],[Demand During Lead Time]],"At Risk","Safe")</f>
        <v>Safe</v>
      </c>
      <c r="AA2405">
        <f>WarehouseData[[#This Row],[stock_level]]/WarehouseData[[#This Row],[daily_demand]]</f>
        <v>15.183246073298431</v>
      </c>
      <c r="AB2405">
        <f>WarehouseData[[#This Row],[stock_level]]*WarehouseData[[#This Row],[unit_price]]</f>
        <v>6445.25</v>
      </c>
      <c r="AC2405">
        <f>WarehouseData[[#This Row],[stock_level]]*WarehouseData[[#This Row],[holding_cost_per_unit_day]]*30</f>
        <v>1522.5</v>
      </c>
      <c r="AD2405" t="str">
        <f>IF(WarehouseData[[#This Row],[order_fulfillment_rate]]&gt;=0.9,"Strong",IF(WarehouseData[[#This Row],[order_fulfillment_rate]]&gt;=0.8,"Moderate","Needs Attention"))</f>
        <v>Needs Attention</v>
      </c>
      <c r="AE2405" t="str">
        <f>IF(WarehouseData[[#This Row],[picking_time_seconds]]&gt;120,"Slow",IF(WarehouseData[[#This Row],[picking_time_seconds]]&gt;=60,"Average","Fast"))</f>
        <v>Average</v>
      </c>
    </row>
    <row r="2406" spans="1:31" x14ac:dyDescent="0.25">
      <c r="A2406" t="s">
        <v>2544</v>
      </c>
      <c r="B2406" t="s">
        <v>48</v>
      </c>
      <c r="C2406">
        <v>181</v>
      </c>
      <c r="D2406">
        <v>76</v>
      </c>
      <c r="E2406">
        <v>13</v>
      </c>
      <c r="F2406">
        <v>9</v>
      </c>
      <c r="G2406">
        <v>19.309999999999999</v>
      </c>
      <c r="H2406">
        <v>2.0499999999999998</v>
      </c>
      <c r="I2406">
        <v>0.28000000000000003</v>
      </c>
      <c r="J2406" t="s">
        <v>129</v>
      </c>
      <c r="K2406" t="s">
        <v>38</v>
      </c>
      <c r="L2406">
        <v>156</v>
      </c>
      <c r="M2406">
        <v>1.85</v>
      </c>
      <c r="N2406">
        <v>14.38</v>
      </c>
      <c r="O2406">
        <v>1.27</v>
      </c>
      <c r="P2406">
        <v>5</v>
      </c>
      <c r="Q2406">
        <v>0.79</v>
      </c>
      <c r="R2406">
        <v>726</v>
      </c>
      <c r="S2406">
        <v>7.52</v>
      </c>
      <c r="T2406">
        <v>0.43</v>
      </c>
      <c r="U2406" s="1">
        <v>45456</v>
      </c>
      <c r="V2406">
        <v>101.57</v>
      </c>
      <c r="W2406">
        <v>0.51700000000000002</v>
      </c>
      <c r="X2406" t="str">
        <f>IF(WarehouseData[[#This Row],[stock_level]]&lt;=WarehouseData[[#This Row],[reorder_point]],"Low Stock","Sufficient Stock")</f>
        <v>Sufficient Stock</v>
      </c>
      <c r="Y2406">
        <f>WarehouseData[[#This Row],[daily_demand]]*WarehouseData[[#This Row],[lead_time_days]]</f>
        <v>173.79</v>
      </c>
      <c r="Z2406" t="str">
        <f>IF(WarehouseData[[#This Row],[stock_level]]&lt;=WarehouseData[[#This Row],[Demand During Lead Time]],"At Risk","Safe")</f>
        <v>Safe</v>
      </c>
      <c r="AA2406">
        <f>WarehouseData[[#This Row],[stock_level]]/WarehouseData[[#This Row],[daily_demand]]</f>
        <v>9.3733816675297774</v>
      </c>
      <c r="AB2406">
        <f>WarehouseData[[#This Row],[stock_level]]*WarehouseData[[#This Row],[unit_price]]</f>
        <v>2602.7800000000002</v>
      </c>
      <c r="AC2406">
        <f>WarehouseData[[#This Row],[stock_level]]*WarehouseData[[#This Row],[holding_cost_per_unit_day]]*30</f>
        <v>6896.1</v>
      </c>
      <c r="AD2406" t="str">
        <f>IF(WarehouseData[[#This Row],[order_fulfillment_rate]]&gt;=0.9,"Strong",IF(WarehouseData[[#This Row],[order_fulfillment_rate]]&gt;=0.8,"Moderate","Needs Attention"))</f>
        <v>Needs Attention</v>
      </c>
      <c r="AE2406" t="str">
        <f>IF(WarehouseData[[#This Row],[picking_time_seconds]]&gt;120,"Slow",IF(WarehouseData[[#This Row],[picking_time_seconds]]&gt;=60,"Average","Fast"))</f>
        <v>Slow</v>
      </c>
    </row>
    <row r="2407" spans="1:31" x14ac:dyDescent="0.25">
      <c r="A2407" t="s">
        <v>2545</v>
      </c>
      <c r="B2407" t="s">
        <v>32</v>
      </c>
      <c r="C2407">
        <v>266</v>
      </c>
      <c r="D2407">
        <v>91</v>
      </c>
      <c r="E2407">
        <v>12</v>
      </c>
      <c r="F2407">
        <v>3</v>
      </c>
      <c r="G2407">
        <v>42.46</v>
      </c>
      <c r="H2407">
        <v>3.76</v>
      </c>
      <c r="I2407">
        <v>0.38</v>
      </c>
      <c r="J2407" t="s">
        <v>215</v>
      </c>
      <c r="K2407" t="s">
        <v>52</v>
      </c>
      <c r="L2407">
        <v>152</v>
      </c>
      <c r="M2407">
        <v>4.6399999999999997</v>
      </c>
      <c r="N2407">
        <v>63.74</v>
      </c>
      <c r="O2407">
        <v>1.03</v>
      </c>
      <c r="P2407">
        <v>2</v>
      </c>
      <c r="Q2407">
        <v>0.98</v>
      </c>
      <c r="R2407">
        <v>148</v>
      </c>
      <c r="S2407">
        <v>12.03</v>
      </c>
      <c r="T2407">
        <v>0.81</v>
      </c>
      <c r="U2407" s="1">
        <v>45487</v>
      </c>
      <c r="V2407">
        <v>196.89</v>
      </c>
      <c r="W2407">
        <v>0.77500000000000002</v>
      </c>
      <c r="X2407" t="str">
        <f>IF(WarehouseData[[#This Row],[stock_level]]&lt;=WarehouseData[[#This Row],[reorder_point]],"Low Stock","Sufficient Stock")</f>
        <v>Sufficient Stock</v>
      </c>
      <c r="Y2407">
        <f>WarehouseData[[#This Row],[daily_demand]]*WarehouseData[[#This Row],[lead_time_days]]</f>
        <v>127.38</v>
      </c>
      <c r="Z2407" t="str">
        <f>IF(WarehouseData[[#This Row],[stock_level]]&lt;=WarehouseData[[#This Row],[Demand During Lead Time]],"At Risk","Safe")</f>
        <v>Safe</v>
      </c>
      <c r="AA2407">
        <f>WarehouseData[[#This Row],[stock_level]]/WarehouseData[[#This Row],[daily_demand]]</f>
        <v>6.264719736222327</v>
      </c>
      <c r="AB2407">
        <f>WarehouseData[[#This Row],[stock_level]]*WarehouseData[[#This Row],[unit_price]]</f>
        <v>16954.84</v>
      </c>
      <c r="AC2407">
        <f>WarehouseData[[#This Row],[stock_level]]*WarehouseData[[#This Row],[holding_cost_per_unit_day]]*30</f>
        <v>8219.4000000000015</v>
      </c>
      <c r="AD2407" t="str">
        <f>IF(WarehouseData[[#This Row],[order_fulfillment_rate]]&gt;=0.9,"Strong",IF(WarehouseData[[#This Row],[order_fulfillment_rate]]&gt;=0.8,"Moderate","Needs Attention"))</f>
        <v>Strong</v>
      </c>
      <c r="AE2407" t="str">
        <f>IF(WarehouseData[[#This Row],[picking_time_seconds]]&gt;120,"Slow",IF(WarehouseData[[#This Row],[picking_time_seconds]]&gt;=60,"Average","Fast"))</f>
        <v>Slow</v>
      </c>
    </row>
    <row r="2408" spans="1:31" x14ac:dyDescent="0.25">
      <c r="A2408" t="s">
        <v>2546</v>
      </c>
      <c r="B2408" t="s">
        <v>73</v>
      </c>
      <c r="C2408">
        <v>50</v>
      </c>
      <c r="D2408">
        <v>82</v>
      </c>
      <c r="E2408">
        <v>12</v>
      </c>
      <c r="F2408">
        <v>7</v>
      </c>
      <c r="G2408">
        <v>31.27</v>
      </c>
      <c r="H2408">
        <v>5.84</v>
      </c>
      <c r="I2408">
        <v>0.36</v>
      </c>
      <c r="J2408" t="s">
        <v>129</v>
      </c>
      <c r="K2408" t="s">
        <v>52</v>
      </c>
      <c r="L2408">
        <v>120</v>
      </c>
      <c r="M2408">
        <v>3.71</v>
      </c>
      <c r="N2408">
        <v>72.87</v>
      </c>
      <c r="O2408">
        <v>1.54</v>
      </c>
      <c r="P2408">
        <v>8</v>
      </c>
      <c r="Q2408">
        <v>0.99</v>
      </c>
      <c r="R2408">
        <v>690</v>
      </c>
      <c r="S2408">
        <v>1.68</v>
      </c>
      <c r="T2408">
        <v>0.88</v>
      </c>
      <c r="U2408" s="1">
        <v>45350</v>
      </c>
      <c r="V2408">
        <v>239.84</v>
      </c>
      <c r="W2408">
        <v>0.48199999999999998</v>
      </c>
      <c r="X2408" t="str">
        <f>IF(WarehouseData[[#This Row],[stock_level]]&lt;=WarehouseData[[#This Row],[reorder_point]],"Low Stock","Sufficient Stock")</f>
        <v>Low Stock</v>
      </c>
      <c r="Y2408">
        <f>WarehouseData[[#This Row],[daily_demand]]*WarehouseData[[#This Row],[lead_time_days]]</f>
        <v>218.89</v>
      </c>
      <c r="Z2408" t="str">
        <f>IF(WarehouseData[[#This Row],[stock_level]]&lt;=WarehouseData[[#This Row],[Demand During Lead Time]],"At Risk","Safe")</f>
        <v>At Risk</v>
      </c>
      <c r="AA2408">
        <f>WarehouseData[[#This Row],[stock_level]]/WarehouseData[[#This Row],[daily_demand]]</f>
        <v>1.598976654940838</v>
      </c>
      <c r="AB2408">
        <f>WarehouseData[[#This Row],[stock_level]]*WarehouseData[[#This Row],[unit_price]]</f>
        <v>3643.5</v>
      </c>
      <c r="AC2408">
        <f>WarehouseData[[#This Row],[stock_level]]*WarehouseData[[#This Row],[holding_cost_per_unit_day]]*30</f>
        <v>2310</v>
      </c>
      <c r="AD2408" t="str">
        <f>IF(WarehouseData[[#This Row],[order_fulfillment_rate]]&gt;=0.9,"Strong",IF(WarehouseData[[#This Row],[order_fulfillment_rate]]&gt;=0.8,"Moderate","Needs Attention"))</f>
        <v>Strong</v>
      </c>
      <c r="AE2408" t="str">
        <f>IF(WarehouseData[[#This Row],[picking_time_seconds]]&gt;120,"Slow",IF(WarehouseData[[#This Row],[picking_time_seconds]]&gt;=60,"Average","Fast"))</f>
        <v>Average</v>
      </c>
    </row>
    <row r="2409" spans="1:31" x14ac:dyDescent="0.25">
      <c r="A2409" t="s">
        <v>2547</v>
      </c>
      <c r="B2409" t="s">
        <v>73</v>
      </c>
      <c r="C2409">
        <v>71</v>
      </c>
      <c r="D2409">
        <v>85</v>
      </c>
      <c r="E2409">
        <v>12</v>
      </c>
      <c r="F2409">
        <v>8</v>
      </c>
      <c r="G2409">
        <v>37.83</v>
      </c>
      <c r="H2409">
        <v>6.13</v>
      </c>
      <c r="I2409">
        <v>0.37</v>
      </c>
      <c r="J2409" t="s">
        <v>158</v>
      </c>
      <c r="K2409" t="s">
        <v>52</v>
      </c>
      <c r="L2409">
        <v>67</v>
      </c>
      <c r="M2409">
        <v>1.8</v>
      </c>
      <c r="N2409">
        <v>142.88999999999999</v>
      </c>
      <c r="O2409">
        <v>0.88</v>
      </c>
      <c r="P2409">
        <v>7</v>
      </c>
      <c r="Q2409">
        <v>0.94</v>
      </c>
      <c r="R2409">
        <v>580</v>
      </c>
      <c r="S2409">
        <v>5.12</v>
      </c>
      <c r="T2409">
        <v>0.64</v>
      </c>
      <c r="U2409" s="1">
        <v>45489</v>
      </c>
      <c r="V2409">
        <v>293.33</v>
      </c>
      <c r="W2409">
        <v>0.55600000000000005</v>
      </c>
      <c r="X2409" t="str">
        <f>IF(WarehouseData[[#This Row],[stock_level]]&lt;=WarehouseData[[#This Row],[reorder_point]],"Low Stock","Sufficient Stock")</f>
        <v>Low Stock</v>
      </c>
      <c r="Y2409">
        <f>WarehouseData[[#This Row],[daily_demand]]*WarehouseData[[#This Row],[lead_time_days]]</f>
        <v>302.64</v>
      </c>
      <c r="Z2409" t="str">
        <f>IF(WarehouseData[[#This Row],[stock_level]]&lt;=WarehouseData[[#This Row],[Demand During Lead Time]],"At Risk","Safe")</f>
        <v>At Risk</v>
      </c>
      <c r="AA2409">
        <f>WarehouseData[[#This Row],[stock_level]]/WarehouseData[[#This Row],[daily_demand]]</f>
        <v>1.8768173407348665</v>
      </c>
      <c r="AB2409">
        <f>WarehouseData[[#This Row],[stock_level]]*WarehouseData[[#This Row],[unit_price]]</f>
        <v>10145.189999999999</v>
      </c>
      <c r="AC2409">
        <f>WarehouseData[[#This Row],[stock_level]]*WarehouseData[[#This Row],[holding_cost_per_unit_day]]*30</f>
        <v>1874.3999999999999</v>
      </c>
      <c r="AD2409" t="str">
        <f>IF(WarehouseData[[#This Row],[order_fulfillment_rate]]&gt;=0.9,"Strong",IF(WarehouseData[[#This Row],[order_fulfillment_rate]]&gt;=0.8,"Moderate","Needs Attention"))</f>
        <v>Strong</v>
      </c>
      <c r="AE2409" t="str">
        <f>IF(WarehouseData[[#This Row],[picking_time_seconds]]&gt;120,"Slow",IF(WarehouseData[[#This Row],[picking_time_seconds]]&gt;=60,"Average","Fast"))</f>
        <v>Average</v>
      </c>
    </row>
    <row r="2410" spans="1:31" x14ac:dyDescent="0.25">
      <c r="A2410" t="s">
        <v>2548</v>
      </c>
      <c r="B2410" t="s">
        <v>48</v>
      </c>
      <c r="C2410">
        <v>364</v>
      </c>
      <c r="D2410">
        <v>14</v>
      </c>
      <c r="E2410">
        <v>5</v>
      </c>
      <c r="F2410">
        <v>7</v>
      </c>
      <c r="G2410">
        <v>11.49</v>
      </c>
      <c r="H2410">
        <v>5.12</v>
      </c>
      <c r="I2410">
        <v>0.7</v>
      </c>
      <c r="J2410" t="s">
        <v>98</v>
      </c>
      <c r="K2410" t="s">
        <v>46</v>
      </c>
      <c r="L2410">
        <v>87</v>
      </c>
      <c r="M2410">
        <v>2.82</v>
      </c>
      <c r="N2410">
        <v>112.22</v>
      </c>
      <c r="O2410">
        <v>1.97</v>
      </c>
      <c r="P2410">
        <v>5</v>
      </c>
      <c r="Q2410">
        <v>0.81</v>
      </c>
      <c r="R2410">
        <v>320</v>
      </c>
      <c r="S2410">
        <v>10.02</v>
      </c>
      <c r="T2410">
        <v>0.53</v>
      </c>
      <c r="U2410" s="1">
        <v>45423</v>
      </c>
      <c r="V2410">
        <v>230.79</v>
      </c>
      <c r="W2410">
        <v>0.505</v>
      </c>
      <c r="X2410" t="str">
        <f>IF(WarehouseData[[#This Row],[stock_level]]&lt;=WarehouseData[[#This Row],[reorder_point]],"Low Stock","Sufficient Stock")</f>
        <v>Sufficient Stock</v>
      </c>
      <c r="Y2410">
        <f>WarehouseData[[#This Row],[daily_demand]]*WarehouseData[[#This Row],[lead_time_days]]</f>
        <v>80.430000000000007</v>
      </c>
      <c r="Z2410" t="str">
        <f>IF(WarehouseData[[#This Row],[stock_level]]&lt;=WarehouseData[[#This Row],[Demand During Lead Time]],"At Risk","Safe")</f>
        <v>Safe</v>
      </c>
      <c r="AA2410">
        <f>WarehouseData[[#This Row],[stock_level]]/WarehouseData[[#This Row],[daily_demand]]</f>
        <v>31.679721496953871</v>
      </c>
      <c r="AB2410">
        <f>WarehouseData[[#This Row],[stock_level]]*WarehouseData[[#This Row],[unit_price]]</f>
        <v>40848.080000000002</v>
      </c>
      <c r="AC2410">
        <f>WarehouseData[[#This Row],[stock_level]]*WarehouseData[[#This Row],[holding_cost_per_unit_day]]*30</f>
        <v>21512.400000000001</v>
      </c>
      <c r="AD2410" t="str">
        <f>IF(WarehouseData[[#This Row],[order_fulfillment_rate]]&gt;=0.9,"Strong",IF(WarehouseData[[#This Row],[order_fulfillment_rate]]&gt;=0.8,"Moderate","Needs Attention"))</f>
        <v>Moderate</v>
      </c>
      <c r="AE2410" t="str">
        <f>IF(WarehouseData[[#This Row],[picking_time_seconds]]&gt;120,"Slow",IF(WarehouseData[[#This Row],[picking_time_seconds]]&gt;=60,"Average","Fast"))</f>
        <v>Average</v>
      </c>
    </row>
    <row r="2411" spans="1:31" x14ac:dyDescent="0.25">
      <c r="A2411" t="s">
        <v>2549</v>
      </c>
      <c r="B2411" t="s">
        <v>36</v>
      </c>
      <c r="C2411">
        <v>95</v>
      </c>
      <c r="D2411">
        <v>76</v>
      </c>
      <c r="E2411">
        <v>12</v>
      </c>
      <c r="F2411">
        <v>6</v>
      </c>
      <c r="G2411">
        <v>36.11</v>
      </c>
      <c r="H2411">
        <v>7.52</v>
      </c>
      <c r="I2411">
        <v>0.96</v>
      </c>
      <c r="J2411" t="s">
        <v>75</v>
      </c>
      <c r="K2411" t="s">
        <v>52</v>
      </c>
      <c r="L2411">
        <v>167</v>
      </c>
      <c r="M2411">
        <v>3.5</v>
      </c>
      <c r="N2411">
        <v>173.11</v>
      </c>
      <c r="O2411">
        <v>0.86</v>
      </c>
      <c r="P2411">
        <v>8</v>
      </c>
      <c r="Q2411">
        <v>0.74</v>
      </c>
      <c r="R2411">
        <v>50</v>
      </c>
      <c r="S2411">
        <v>11.69</v>
      </c>
      <c r="T2411">
        <v>0.96</v>
      </c>
      <c r="U2411" s="1">
        <v>45568</v>
      </c>
      <c r="V2411">
        <v>152.76</v>
      </c>
      <c r="W2411">
        <v>0.65</v>
      </c>
      <c r="X2411" t="str">
        <f>IF(WarehouseData[[#This Row],[stock_level]]&lt;=WarehouseData[[#This Row],[reorder_point]],"Low Stock","Sufficient Stock")</f>
        <v>Sufficient Stock</v>
      </c>
      <c r="Y2411">
        <f>WarehouseData[[#This Row],[daily_demand]]*WarehouseData[[#This Row],[lead_time_days]]</f>
        <v>216.66</v>
      </c>
      <c r="Z2411" t="str">
        <f>IF(WarehouseData[[#This Row],[stock_level]]&lt;=WarehouseData[[#This Row],[Demand During Lead Time]],"At Risk","Safe")</f>
        <v>At Risk</v>
      </c>
      <c r="AA2411">
        <f>WarehouseData[[#This Row],[stock_level]]/WarehouseData[[#This Row],[daily_demand]]</f>
        <v>2.6308501800055386</v>
      </c>
      <c r="AB2411">
        <f>WarehouseData[[#This Row],[stock_level]]*WarehouseData[[#This Row],[unit_price]]</f>
        <v>16445.45</v>
      </c>
      <c r="AC2411">
        <f>WarehouseData[[#This Row],[stock_level]]*WarehouseData[[#This Row],[holding_cost_per_unit_day]]*30</f>
        <v>2451</v>
      </c>
      <c r="AD2411" t="str">
        <f>IF(WarehouseData[[#This Row],[order_fulfillment_rate]]&gt;=0.9,"Strong",IF(WarehouseData[[#This Row],[order_fulfillment_rate]]&gt;=0.8,"Moderate","Needs Attention"))</f>
        <v>Needs Attention</v>
      </c>
      <c r="AE2411" t="str">
        <f>IF(WarehouseData[[#This Row],[picking_time_seconds]]&gt;120,"Slow",IF(WarehouseData[[#This Row],[picking_time_seconds]]&gt;=60,"Average","Fast"))</f>
        <v>Slow</v>
      </c>
    </row>
    <row r="2412" spans="1:31" x14ac:dyDescent="0.25">
      <c r="A2412" t="s">
        <v>2550</v>
      </c>
      <c r="B2412" t="s">
        <v>73</v>
      </c>
      <c r="C2412">
        <v>404</v>
      </c>
      <c r="D2412">
        <v>20</v>
      </c>
      <c r="E2412">
        <v>8</v>
      </c>
      <c r="F2412">
        <v>9</v>
      </c>
      <c r="G2412">
        <v>12.15</v>
      </c>
      <c r="H2412">
        <v>7.5</v>
      </c>
      <c r="I2412">
        <v>0.4</v>
      </c>
      <c r="J2412" t="s">
        <v>565</v>
      </c>
      <c r="K2412" t="s">
        <v>52</v>
      </c>
      <c r="L2412">
        <v>57</v>
      </c>
      <c r="M2412">
        <v>1.37</v>
      </c>
      <c r="N2412">
        <v>43.53</v>
      </c>
      <c r="O2412">
        <v>0.73</v>
      </c>
      <c r="P2412">
        <v>9</v>
      </c>
      <c r="Q2412">
        <v>0.88</v>
      </c>
      <c r="R2412">
        <v>336</v>
      </c>
      <c r="S2412">
        <v>8.99</v>
      </c>
      <c r="T2412">
        <v>0.34</v>
      </c>
      <c r="U2412" s="1">
        <v>45436</v>
      </c>
      <c r="V2412">
        <v>94.86</v>
      </c>
      <c r="W2412">
        <v>0.51100000000000001</v>
      </c>
      <c r="X2412" t="str">
        <f>IF(WarehouseData[[#This Row],[stock_level]]&lt;=WarehouseData[[#This Row],[reorder_point]],"Low Stock","Sufficient Stock")</f>
        <v>Sufficient Stock</v>
      </c>
      <c r="Y2412">
        <f>WarehouseData[[#This Row],[daily_demand]]*WarehouseData[[#This Row],[lead_time_days]]</f>
        <v>109.35000000000001</v>
      </c>
      <c r="Z2412" t="str">
        <f>IF(WarehouseData[[#This Row],[stock_level]]&lt;=WarehouseData[[#This Row],[Demand During Lead Time]],"At Risk","Safe")</f>
        <v>Safe</v>
      </c>
      <c r="AA2412">
        <f>WarehouseData[[#This Row],[stock_level]]/WarehouseData[[#This Row],[daily_demand]]</f>
        <v>33.251028806584358</v>
      </c>
      <c r="AB2412">
        <f>WarehouseData[[#This Row],[stock_level]]*WarehouseData[[#This Row],[unit_price]]</f>
        <v>17586.12</v>
      </c>
      <c r="AC2412">
        <f>WarehouseData[[#This Row],[stock_level]]*WarehouseData[[#This Row],[holding_cost_per_unit_day]]*30</f>
        <v>8847.6</v>
      </c>
      <c r="AD2412" t="str">
        <f>IF(WarehouseData[[#This Row],[order_fulfillment_rate]]&gt;=0.9,"Strong",IF(WarehouseData[[#This Row],[order_fulfillment_rate]]&gt;=0.8,"Moderate","Needs Attention"))</f>
        <v>Moderate</v>
      </c>
      <c r="AE2412" t="str">
        <f>IF(WarehouseData[[#This Row],[picking_time_seconds]]&gt;120,"Slow",IF(WarehouseData[[#This Row],[picking_time_seconds]]&gt;=60,"Average","Fast"))</f>
        <v>Fast</v>
      </c>
    </row>
    <row r="2413" spans="1:31" x14ac:dyDescent="0.25">
      <c r="A2413" t="s">
        <v>2551</v>
      </c>
      <c r="B2413" t="s">
        <v>32</v>
      </c>
      <c r="C2413">
        <v>458</v>
      </c>
      <c r="D2413">
        <v>77</v>
      </c>
      <c r="E2413">
        <v>3</v>
      </c>
      <c r="F2413">
        <v>9</v>
      </c>
      <c r="G2413">
        <v>49.38</v>
      </c>
      <c r="H2413">
        <v>4.5599999999999996</v>
      </c>
      <c r="I2413">
        <v>0.47</v>
      </c>
      <c r="J2413" t="s">
        <v>477</v>
      </c>
      <c r="K2413" t="s">
        <v>46</v>
      </c>
      <c r="L2413">
        <v>65</v>
      </c>
      <c r="M2413">
        <v>1.61</v>
      </c>
      <c r="N2413">
        <v>60.53</v>
      </c>
      <c r="O2413">
        <v>1.75</v>
      </c>
      <c r="P2413">
        <v>8</v>
      </c>
      <c r="Q2413">
        <v>0.89</v>
      </c>
      <c r="R2413">
        <v>229</v>
      </c>
      <c r="S2413">
        <v>7.73</v>
      </c>
      <c r="T2413">
        <v>0.23</v>
      </c>
      <c r="U2413" s="1">
        <v>45304</v>
      </c>
      <c r="V2413">
        <v>278.98</v>
      </c>
      <c r="W2413">
        <v>0.39200000000000002</v>
      </c>
      <c r="X2413" t="str">
        <f>IF(WarehouseData[[#This Row],[stock_level]]&lt;=WarehouseData[[#This Row],[reorder_point]],"Low Stock","Sufficient Stock")</f>
        <v>Sufficient Stock</v>
      </c>
      <c r="Y2413">
        <f>WarehouseData[[#This Row],[daily_demand]]*WarehouseData[[#This Row],[lead_time_days]]</f>
        <v>444.42</v>
      </c>
      <c r="Z2413" t="str">
        <f>IF(WarehouseData[[#This Row],[stock_level]]&lt;=WarehouseData[[#This Row],[Demand During Lead Time]],"At Risk","Safe")</f>
        <v>Safe</v>
      </c>
      <c r="AA2413">
        <f>WarehouseData[[#This Row],[stock_level]]/WarehouseData[[#This Row],[daily_demand]]</f>
        <v>9.2750101255569053</v>
      </c>
      <c r="AB2413">
        <f>WarehouseData[[#This Row],[stock_level]]*WarehouseData[[#This Row],[unit_price]]</f>
        <v>27722.74</v>
      </c>
      <c r="AC2413">
        <f>WarehouseData[[#This Row],[stock_level]]*WarehouseData[[#This Row],[holding_cost_per_unit_day]]*30</f>
        <v>24045</v>
      </c>
      <c r="AD2413" t="str">
        <f>IF(WarehouseData[[#This Row],[order_fulfillment_rate]]&gt;=0.9,"Strong",IF(WarehouseData[[#This Row],[order_fulfillment_rate]]&gt;=0.8,"Moderate","Needs Attention"))</f>
        <v>Moderate</v>
      </c>
      <c r="AE2413" t="str">
        <f>IF(WarehouseData[[#This Row],[picking_time_seconds]]&gt;120,"Slow",IF(WarehouseData[[#This Row],[picking_time_seconds]]&gt;=60,"Average","Fast"))</f>
        <v>Average</v>
      </c>
    </row>
    <row r="2414" spans="1:31" x14ac:dyDescent="0.25">
      <c r="A2414" t="s">
        <v>2552</v>
      </c>
      <c r="B2414" t="s">
        <v>40</v>
      </c>
      <c r="C2414">
        <v>297</v>
      </c>
      <c r="D2414">
        <v>78</v>
      </c>
      <c r="E2414">
        <v>7</v>
      </c>
      <c r="F2414">
        <v>4</v>
      </c>
      <c r="G2414">
        <v>28.43</v>
      </c>
      <c r="H2414">
        <v>1.68</v>
      </c>
      <c r="I2414">
        <v>0.79</v>
      </c>
      <c r="J2414" t="s">
        <v>207</v>
      </c>
      <c r="K2414" t="s">
        <v>34</v>
      </c>
      <c r="L2414">
        <v>51</v>
      </c>
      <c r="M2414">
        <v>2.78</v>
      </c>
      <c r="N2414">
        <v>188.8</v>
      </c>
      <c r="O2414">
        <v>0.85</v>
      </c>
      <c r="P2414">
        <v>1</v>
      </c>
      <c r="Q2414">
        <v>0.83</v>
      </c>
      <c r="R2414">
        <v>988</v>
      </c>
      <c r="S2414">
        <v>4.2699999999999996</v>
      </c>
      <c r="T2414">
        <v>0.34</v>
      </c>
      <c r="U2414" s="1">
        <v>45556</v>
      </c>
      <c r="V2414">
        <v>164.92</v>
      </c>
      <c r="W2414">
        <v>0.58599999999999997</v>
      </c>
      <c r="X2414" t="str">
        <f>IF(WarehouseData[[#This Row],[stock_level]]&lt;=WarehouseData[[#This Row],[reorder_point]],"Low Stock","Sufficient Stock")</f>
        <v>Sufficient Stock</v>
      </c>
      <c r="Y2414">
        <f>WarehouseData[[#This Row],[daily_demand]]*WarehouseData[[#This Row],[lead_time_days]]</f>
        <v>113.72</v>
      </c>
      <c r="Z2414" t="str">
        <f>IF(WarehouseData[[#This Row],[stock_level]]&lt;=WarehouseData[[#This Row],[Demand During Lead Time]],"At Risk","Safe")</f>
        <v>Safe</v>
      </c>
      <c r="AA2414">
        <f>WarehouseData[[#This Row],[stock_level]]/WarehouseData[[#This Row],[daily_demand]]</f>
        <v>10.446711220541681</v>
      </c>
      <c r="AB2414">
        <f>WarehouseData[[#This Row],[stock_level]]*WarehouseData[[#This Row],[unit_price]]</f>
        <v>56073.600000000006</v>
      </c>
      <c r="AC2414">
        <f>WarehouseData[[#This Row],[stock_level]]*WarehouseData[[#This Row],[holding_cost_per_unit_day]]*30</f>
        <v>7573.5</v>
      </c>
      <c r="AD2414" t="str">
        <f>IF(WarehouseData[[#This Row],[order_fulfillment_rate]]&gt;=0.9,"Strong",IF(WarehouseData[[#This Row],[order_fulfillment_rate]]&gt;=0.8,"Moderate","Needs Attention"))</f>
        <v>Moderate</v>
      </c>
      <c r="AE2414" t="str">
        <f>IF(WarehouseData[[#This Row],[picking_time_seconds]]&gt;120,"Slow",IF(WarehouseData[[#This Row],[picking_time_seconds]]&gt;=60,"Average","Fast"))</f>
        <v>Fast</v>
      </c>
    </row>
    <row r="2415" spans="1:31" x14ac:dyDescent="0.25">
      <c r="A2415" t="s">
        <v>2553</v>
      </c>
      <c r="B2415" t="s">
        <v>40</v>
      </c>
      <c r="C2415">
        <v>59</v>
      </c>
      <c r="D2415">
        <v>10</v>
      </c>
      <c r="E2415">
        <v>12</v>
      </c>
      <c r="F2415">
        <v>9</v>
      </c>
      <c r="G2415">
        <v>35.090000000000003</v>
      </c>
      <c r="H2415">
        <v>5.54</v>
      </c>
      <c r="I2415">
        <v>0.49</v>
      </c>
      <c r="J2415" t="s">
        <v>332</v>
      </c>
      <c r="K2415" t="s">
        <v>46</v>
      </c>
      <c r="L2415">
        <v>33</v>
      </c>
      <c r="M2415">
        <v>4.66</v>
      </c>
      <c r="N2415">
        <v>94.37</v>
      </c>
      <c r="O2415">
        <v>1.75</v>
      </c>
      <c r="P2415">
        <v>8</v>
      </c>
      <c r="Q2415">
        <v>0.91</v>
      </c>
      <c r="R2415">
        <v>305</v>
      </c>
      <c r="S2415">
        <v>3.44</v>
      </c>
      <c r="T2415">
        <v>0.75</v>
      </c>
      <c r="U2415" s="1">
        <v>45483</v>
      </c>
      <c r="V2415">
        <v>209.75</v>
      </c>
      <c r="W2415">
        <v>0.443</v>
      </c>
      <c r="X2415" t="str">
        <f>IF(WarehouseData[[#This Row],[stock_level]]&lt;=WarehouseData[[#This Row],[reorder_point]],"Low Stock","Sufficient Stock")</f>
        <v>Sufficient Stock</v>
      </c>
      <c r="Y2415">
        <f>WarehouseData[[#This Row],[daily_demand]]*WarehouseData[[#This Row],[lead_time_days]]</f>
        <v>315.81000000000006</v>
      </c>
      <c r="Z2415" t="str">
        <f>IF(WarehouseData[[#This Row],[stock_level]]&lt;=WarehouseData[[#This Row],[Demand During Lead Time]],"At Risk","Safe")</f>
        <v>At Risk</v>
      </c>
      <c r="AA2415">
        <f>WarehouseData[[#This Row],[stock_level]]/WarehouseData[[#This Row],[daily_demand]]</f>
        <v>1.6813907096038756</v>
      </c>
      <c r="AB2415">
        <f>WarehouseData[[#This Row],[stock_level]]*WarehouseData[[#This Row],[unit_price]]</f>
        <v>5567.83</v>
      </c>
      <c r="AC2415">
        <f>WarehouseData[[#This Row],[stock_level]]*WarehouseData[[#This Row],[holding_cost_per_unit_day]]*30</f>
        <v>3097.5</v>
      </c>
      <c r="AD2415" t="str">
        <f>IF(WarehouseData[[#This Row],[order_fulfillment_rate]]&gt;=0.9,"Strong",IF(WarehouseData[[#This Row],[order_fulfillment_rate]]&gt;=0.8,"Moderate","Needs Attention"))</f>
        <v>Strong</v>
      </c>
      <c r="AE2415" t="str">
        <f>IF(WarehouseData[[#This Row],[picking_time_seconds]]&gt;120,"Slow",IF(WarehouseData[[#This Row],[picking_time_seconds]]&gt;=60,"Average","Fast"))</f>
        <v>Fast</v>
      </c>
    </row>
    <row r="2416" spans="1:31" x14ac:dyDescent="0.25">
      <c r="A2416" t="s">
        <v>2554</v>
      </c>
      <c r="B2416" t="s">
        <v>40</v>
      </c>
      <c r="C2416">
        <v>120</v>
      </c>
      <c r="D2416">
        <v>72</v>
      </c>
      <c r="E2416">
        <v>8</v>
      </c>
      <c r="F2416">
        <v>6</v>
      </c>
      <c r="G2416">
        <v>6.8</v>
      </c>
      <c r="H2416">
        <v>4.12</v>
      </c>
      <c r="I2416">
        <v>0.93</v>
      </c>
      <c r="J2416" t="s">
        <v>86</v>
      </c>
      <c r="K2416" t="s">
        <v>34</v>
      </c>
      <c r="L2416">
        <v>119</v>
      </c>
      <c r="M2416">
        <v>2.0499999999999998</v>
      </c>
      <c r="N2416">
        <v>159.91999999999999</v>
      </c>
      <c r="O2416">
        <v>0.15</v>
      </c>
      <c r="P2416">
        <v>7</v>
      </c>
      <c r="Q2416">
        <v>0.92</v>
      </c>
      <c r="R2416">
        <v>223</v>
      </c>
      <c r="S2416">
        <v>13.26</v>
      </c>
      <c r="T2416">
        <v>0.83</v>
      </c>
      <c r="U2416" s="1">
        <v>45555</v>
      </c>
      <c r="V2416">
        <v>147.01</v>
      </c>
      <c r="W2416">
        <v>0.77200000000000002</v>
      </c>
      <c r="X2416" t="str">
        <f>IF(WarehouseData[[#This Row],[stock_level]]&lt;=WarehouseData[[#This Row],[reorder_point]],"Low Stock","Sufficient Stock")</f>
        <v>Sufficient Stock</v>
      </c>
      <c r="Y2416">
        <f>WarehouseData[[#This Row],[daily_demand]]*WarehouseData[[#This Row],[lead_time_days]]</f>
        <v>40.799999999999997</v>
      </c>
      <c r="Z2416" t="str">
        <f>IF(WarehouseData[[#This Row],[stock_level]]&lt;=WarehouseData[[#This Row],[Demand During Lead Time]],"At Risk","Safe")</f>
        <v>Safe</v>
      </c>
      <c r="AA2416">
        <f>WarehouseData[[#This Row],[stock_level]]/WarehouseData[[#This Row],[daily_demand]]</f>
        <v>17.647058823529413</v>
      </c>
      <c r="AB2416">
        <f>WarehouseData[[#This Row],[stock_level]]*WarehouseData[[#This Row],[unit_price]]</f>
        <v>19190.399999999998</v>
      </c>
      <c r="AC2416">
        <f>WarehouseData[[#This Row],[stock_level]]*WarehouseData[[#This Row],[holding_cost_per_unit_day]]*30</f>
        <v>540</v>
      </c>
      <c r="AD2416" t="str">
        <f>IF(WarehouseData[[#This Row],[order_fulfillment_rate]]&gt;=0.9,"Strong",IF(WarehouseData[[#This Row],[order_fulfillment_rate]]&gt;=0.8,"Moderate","Needs Attention"))</f>
        <v>Strong</v>
      </c>
      <c r="AE2416" t="str">
        <f>IF(WarehouseData[[#This Row],[picking_time_seconds]]&gt;120,"Slow",IF(WarehouseData[[#This Row],[picking_time_seconds]]&gt;=60,"Average","Fast"))</f>
        <v>Average</v>
      </c>
    </row>
    <row r="2417" spans="1:31" x14ac:dyDescent="0.25">
      <c r="A2417" t="s">
        <v>2555</v>
      </c>
      <c r="B2417" t="s">
        <v>36</v>
      </c>
      <c r="C2417">
        <v>130</v>
      </c>
      <c r="D2417">
        <v>38</v>
      </c>
      <c r="E2417">
        <v>13</v>
      </c>
      <c r="F2417">
        <v>3</v>
      </c>
      <c r="G2417">
        <v>13.28</v>
      </c>
      <c r="H2417">
        <v>1.81</v>
      </c>
      <c r="I2417">
        <v>0.55000000000000004</v>
      </c>
      <c r="J2417" t="s">
        <v>139</v>
      </c>
      <c r="K2417" t="s">
        <v>46</v>
      </c>
      <c r="L2417">
        <v>61</v>
      </c>
      <c r="M2417">
        <v>2.31</v>
      </c>
      <c r="N2417">
        <v>103.51</v>
      </c>
      <c r="O2417">
        <v>1.42</v>
      </c>
      <c r="P2417">
        <v>1</v>
      </c>
      <c r="Q2417">
        <v>0.93</v>
      </c>
      <c r="R2417">
        <v>903</v>
      </c>
      <c r="S2417">
        <v>2.99</v>
      </c>
      <c r="T2417">
        <v>0.77</v>
      </c>
      <c r="U2417" s="1">
        <v>45552</v>
      </c>
      <c r="V2417">
        <v>80.209999999999994</v>
      </c>
      <c r="W2417">
        <v>0.61799999999999999</v>
      </c>
      <c r="X2417" t="str">
        <f>IF(WarehouseData[[#This Row],[stock_level]]&lt;=WarehouseData[[#This Row],[reorder_point]],"Low Stock","Sufficient Stock")</f>
        <v>Sufficient Stock</v>
      </c>
      <c r="Y2417">
        <f>WarehouseData[[#This Row],[daily_demand]]*WarehouseData[[#This Row],[lead_time_days]]</f>
        <v>39.839999999999996</v>
      </c>
      <c r="Z2417" t="str">
        <f>IF(WarehouseData[[#This Row],[stock_level]]&lt;=WarehouseData[[#This Row],[Demand During Lead Time]],"At Risk","Safe")</f>
        <v>Safe</v>
      </c>
      <c r="AA2417">
        <f>WarehouseData[[#This Row],[stock_level]]/WarehouseData[[#This Row],[daily_demand]]</f>
        <v>9.7891566265060241</v>
      </c>
      <c r="AB2417">
        <f>WarehouseData[[#This Row],[stock_level]]*WarehouseData[[#This Row],[unit_price]]</f>
        <v>13456.300000000001</v>
      </c>
      <c r="AC2417">
        <f>WarehouseData[[#This Row],[stock_level]]*WarehouseData[[#This Row],[holding_cost_per_unit_day]]*30</f>
        <v>5538</v>
      </c>
      <c r="AD2417" t="str">
        <f>IF(WarehouseData[[#This Row],[order_fulfillment_rate]]&gt;=0.9,"Strong",IF(WarehouseData[[#This Row],[order_fulfillment_rate]]&gt;=0.8,"Moderate","Needs Attention"))</f>
        <v>Strong</v>
      </c>
      <c r="AE2417" t="str">
        <f>IF(WarehouseData[[#This Row],[picking_time_seconds]]&gt;120,"Slow",IF(WarehouseData[[#This Row],[picking_time_seconds]]&gt;=60,"Average","Fast"))</f>
        <v>Average</v>
      </c>
    </row>
    <row r="2418" spans="1:31" x14ac:dyDescent="0.25">
      <c r="A2418" t="s">
        <v>2556</v>
      </c>
      <c r="B2418" t="s">
        <v>48</v>
      </c>
      <c r="C2418">
        <v>404</v>
      </c>
      <c r="D2418">
        <v>91</v>
      </c>
      <c r="E2418">
        <v>10</v>
      </c>
      <c r="F2418">
        <v>8</v>
      </c>
      <c r="G2418">
        <v>7.85</v>
      </c>
      <c r="H2418">
        <v>9.83</v>
      </c>
      <c r="I2418">
        <v>0.41</v>
      </c>
      <c r="J2418" t="s">
        <v>54</v>
      </c>
      <c r="K2418" t="s">
        <v>38</v>
      </c>
      <c r="L2418">
        <v>43</v>
      </c>
      <c r="M2418">
        <v>1.36</v>
      </c>
      <c r="N2418">
        <v>99.51</v>
      </c>
      <c r="O2418">
        <v>0.24</v>
      </c>
      <c r="P2418">
        <v>8</v>
      </c>
      <c r="Q2418">
        <v>0.85</v>
      </c>
      <c r="R2418">
        <v>99</v>
      </c>
      <c r="S2418">
        <v>7.09</v>
      </c>
      <c r="T2418">
        <v>0.54</v>
      </c>
      <c r="U2418" s="1">
        <v>45520</v>
      </c>
      <c r="V2418">
        <v>168.61</v>
      </c>
      <c r="W2418">
        <v>0.58899999999999997</v>
      </c>
      <c r="X2418" t="str">
        <f>IF(WarehouseData[[#This Row],[stock_level]]&lt;=WarehouseData[[#This Row],[reorder_point]],"Low Stock","Sufficient Stock")</f>
        <v>Sufficient Stock</v>
      </c>
      <c r="Y2418">
        <f>WarehouseData[[#This Row],[daily_demand]]*WarehouseData[[#This Row],[lead_time_days]]</f>
        <v>62.8</v>
      </c>
      <c r="Z2418" t="str">
        <f>IF(WarehouseData[[#This Row],[stock_level]]&lt;=WarehouseData[[#This Row],[Demand During Lead Time]],"At Risk","Safe")</f>
        <v>Safe</v>
      </c>
      <c r="AA2418">
        <f>WarehouseData[[#This Row],[stock_level]]/WarehouseData[[#This Row],[daily_demand]]</f>
        <v>51.464968152866241</v>
      </c>
      <c r="AB2418">
        <f>WarehouseData[[#This Row],[stock_level]]*WarehouseData[[#This Row],[unit_price]]</f>
        <v>40202.04</v>
      </c>
      <c r="AC2418">
        <f>WarehouseData[[#This Row],[stock_level]]*WarehouseData[[#This Row],[holding_cost_per_unit_day]]*30</f>
        <v>2908.7999999999997</v>
      </c>
      <c r="AD2418" t="str">
        <f>IF(WarehouseData[[#This Row],[order_fulfillment_rate]]&gt;=0.9,"Strong",IF(WarehouseData[[#This Row],[order_fulfillment_rate]]&gt;=0.8,"Moderate","Needs Attention"))</f>
        <v>Moderate</v>
      </c>
      <c r="AE2418" t="str">
        <f>IF(WarehouseData[[#This Row],[picking_time_seconds]]&gt;120,"Slow",IF(WarehouseData[[#This Row],[picking_time_seconds]]&gt;=60,"Average","Fast"))</f>
        <v>Fast</v>
      </c>
    </row>
    <row r="2419" spans="1:31" x14ac:dyDescent="0.25">
      <c r="A2419" t="s">
        <v>2557</v>
      </c>
      <c r="B2419" t="s">
        <v>32</v>
      </c>
      <c r="C2419">
        <v>340</v>
      </c>
      <c r="D2419">
        <v>21</v>
      </c>
      <c r="E2419">
        <v>13</v>
      </c>
      <c r="F2419">
        <v>5</v>
      </c>
      <c r="G2419">
        <v>20.12</v>
      </c>
      <c r="H2419">
        <v>4.01</v>
      </c>
      <c r="I2419">
        <v>0.97</v>
      </c>
      <c r="J2419" t="s">
        <v>192</v>
      </c>
      <c r="K2419" t="s">
        <v>52</v>
      </c>
      <c r="L2419">
        <v>12</v>
      </c>
      <c r="M2419">
        <v>3.17</v>
      </c>
      <c r="N2419">
        <v>38.14</v>
      </c>
      <c r="O2419">
        <v>0.38</v>
      </c>
      <c r="P2419">
        <v>4</v>
      </c>
      <c r="Q2419">
        <v>0.94</v>
      </c>
      <c r="R2419">
        <v>581</v>
      </c>
      <c r="S2419">
        <v>13.44</v>
      </c>
      <c r="T2419">
        <v>0.97</v>
      </c>
      <c r="U2419" s="1">
        <v>45541</v>
      </c>
      <c r="V2419">
        <v>253.57</v>
      </c>
      <c r="W2419">
        <v>0.84299999999999997</v>
      </c>
      <c r="X2419" t="str">
        <f>IF(WarehouseData[[#This Row],[stock_level]]&lt;=WarehouseData[[#This Row],[reorder_point]],"Low Stock","Sufficient Stock")</f>
        <v>Sufficient Stock</v>
      </c>
      <c r="Y2419">
        <f>WarehouseData[[#This Row],[daily_demand]]*WarehouseData[[#This Row],[lead_time_days]]</f>
        <v>100.60000000000001</v>
      </c>
      <c r="Z2419" t="str">
        <f>IF(WarehouseData[[#This Row],[stock_level]]&lt;=WarehouseData[[#This Row],[Demand During Lead Time]],"At Risk","Safe")</f>
        <v>Safe</v>
      </c>
      <c r="AA2419">
        <f>WarehouseData[[#This Row],[stock_level]]/WarehouseData[[#This Row],[daily_demand]]</f>
        <v>16.898608349900595</v>
      </c>
      <c r="AB2419">
        <f>WarehouseData[[#This Row],[stock_level]]*WarehouseData[[#This Row],[unit_price]]</f>
        <v>12967.6</v>
      </c>
      <c r="AC2419">
        <f>WarehouseData[[#This Row],[stock_level]]*WarehouseData[[#This Row],[holding_cost_per_unit_day]]*30</f>
        <v>3875.9999999999995</v>
      </c>
      <c r="AD2419" t="str">
        <f>IF(WarehouseData[[#This Row],[order_fulfillment_rate]]&gt;=0.9,"Strong",IF(WarehouseData[[#This Row],[order_fulfillment_rate]]&gt;=0.8,"Moderate","Needs Attention"))</f>
        <v>Strong</v>
      </c>
      <c r="AE2419" t="str">
        <f>IF(WarehouseData[[#This Row],[picking_time_seconds]]&gt;120,"Slow",IF(WarehouseData[[#This Row],[picking_time_seconds]]&gt;=60,"Average","Fast"))</f>
        <v>Fast</v>
      </c>
    </row>
    <row r="2420" spans="1:31" x14ac:dyDescent="0.25">
      <c r="A2420" t="s">
        <v>2558</v>
      </c>
      <c r="B2420" t="s">
        <v>36</v>
      </c>
      <c r="C2420">
        <v>268</v>
      </c>
      <c r="D2420">
        <v>86</v>
      </c>
      <c r="E2420">
        <v>11</v>
      </c>
      <c r="F2420">
        <v>8</v>
      </c>
      <c r="G2420">
        <v>14.92</v>
      </c>
      <c r="H2420">
        <v>6.45</v>
      </c>
      <c r="I2420">
        <v>0.48</v>
      </c>
      <c r="J2420" t="s">
        <v>98</v>
      </c>
      <c r="K2420" t="s">
        <v>34</v>
      </c>
      <c r="L2420">
        <v>77</v>
      </c>
      <c r="M2420">
        <v>3.83</v>
      </c>
      <c r="N2420">
        <v>171.73</v>
      </c>
      <c r="O2420">
        <v>1.43</v>
      </c>
      <c r="P2420">
        <v>8</v>
      </c>
      <c r="Q2420">
        <v>0.71</v>
      </c>
      <c r="R2420">
        <v>666</v>
      </c>
      <c r="S2420">
        <v>3.07</v>
      </c>
      <c r="T2420">
        <v>0.56000000000000005</v>
      </c>
      <c r="U2420" s="1">
        <v>45314</v>
      </c>
      <c r="V2420">
        <v>121.16</v>
      </c>
      <c r="W2420">
        <v>0.39200000000000002</v>
      </c>
      <c r="X2420" t="str">
        <f>IF(WarehouseData[[#This Row],[stock_level]]&lt;=WarehouseData[[#This Row],[reorder_point]],"Low Stock","Sufficient Stock")</f>
        <v>Sufficient Stock</v>
      </c>
      <c r="Y2420">
        <f>WarehouseData[[#This Row],[daily_demand]]*WarehouseData[[#This Row],[lead_time_days]]</f>
        <v>119.36</v>
      </c>
      <c r="Z2420" t="str">
        <f>IF(WarehouseData[[#This Row],[stock_level]]&lt;=WarehouseData[[#This Row],[Demand During Lead Time]],"At Risk","Safe")</f>
        <v>Safe</v>
      </c>
      <c r="AA2420">
        <f>WarehouseData[[#This Row],[stock_level]]/WarehouseData[[#This Row],[daily_demand]]</f>
        <v>17.962466487935657</v>
      </c>
      <c r="AB2420">
        <f>WarehouseData[[#This Row],[stock_level]]*WarehouseData[[#This Row],[unit_price]]</f>
        <v>46023.64</v>
      </c>
      <c r="AC2420">
        <f>WarehouseData[[#This Row],[stock_level]]*WarehouseData[[#This Row],[holding_cost_per_unit_day]]*30</f>
        <v>11497.2</v>
      </c>
      <c r="AD2420" t="str">
        <f>IF(WarehouseData[[#This Row],[order_fulfillment_rate]]&gt;=0.9,"Strong",IF(WarehouseData[[#This Row],[order_fulfillment_rate]]&gt;=0.8,"Moderate","Needs Attention"))</f>
        <v>Needs Attention</v>
      </c>
      <c r="AE2420" t="str">
        <f>IF(WarehouseData[[#This Row],[picking_time_seconds]]&gt;120,"Slow",IF(WarehouseData[[#This Row],[picking_time_seconds]]&gt;=60,"Average","Fast"))</f>
        <v>Average</v>
      </c>
    </row>
    <row r="2421" spans="1:31" x14ac:dyDescent="0.25">
      <c r="A2421" t="s">
        <v>2559</v>
      </c>
      <c r="B2421" t="s">
        <v>32</v>
      </c>
      <c r="C2421">
        <v>210</v>
      </c>
      <c r="D2421">
        <v>50</v>
      </c>
      <c r="E2421">
        <v>13</v>
      </c>
      <c r="F2421">
        <v>8</v>
      </c>
      <c r="G2421">
        <v>36.909999999999997</v>
      </c>
      <c r="H2421">
        <v>5.16</v>
      </c>
      <c r="I2421">
        <v>0.31</v>
      </c>
      <c r="J2421" t="s">
        <v>311</v>
      </c>
      <c r="K2421" t="s">
        <v>46</v>
      </c>
      <c r="L2421">
        <v>148</v>
      </c>
      <c r="M2421">
        <v>2.48</v>
      </c>
      <c r="N2421">
        <v>24.89</v>
      </c>
      <c r="O2421">
        <v>0.65</v>
      </c>
      <c r="P2421">
        <v>2</v>
      </c>
      <c r="Q2421">
        <v>0.9</v>
      </c>
      <c r="R2421">
        <v>239</v>
      </c>
      <c r="S2421">
        <v>2.79</v>
      </c>
      <c r="T2421">
        <v>0.99</v>
      </c>
      <c r="U2421" s="1">
        <v>45443</v>
      </c>
      <c r="V2421">
        <v>203.93</v>
      </c>
      <c r="W2421">
        <v>0.71</v>
      </c>
      <c r="X2421" t="str">
        <f>IF(WarehouseData[[#This Row],[stock_level]]&lt;=WarehouseData[[#This Row],[reorder_point]],"Low Stock","Sufficient Stock")</f>
        <v>Sufficient Stock</v>
      </c>
      <c r="Y2421">
        <f>WarehouseData[[#This Row],[daily_demand]]*WarehouseData[[#This Row],[lead_time_days]]</f>
        <v>295.27999999999997</v>
      </c>
      <c r="Z2421" t="str">
        <f>IF(WarehouseData[[#This Row],[stock_level]]&lt;=WarehouseData[[#This Row],[Demand During Lead Time]],"At Risk","Safe")</f>
        <v>At Risk</v>
      </c>
      <c r="AA2421">
        <f>WarehouseData[[#This Row],[stock_level]]/WarehouseData[[#This Row],[daily_demand]]</f>
        <v>5.6895150365754548</v>
      </c>
      <c r="AB2421">
        <f>WarehouseData[[#This Row],[stock_level]]*WarehouseData[[#This Row],[unit_price]]</f>
        <v>5226.9000000000005</v>
      </c>
      <c r="AC2421">
        <f>WarehouseData[[#This Row],[stock_level]]*WarehouseData[[#This Row],[holding_cost_per_unit_day]]*30</f>
        <v>4095</v>
      </c>
      <c r="AD2421" t="str">
        <f>IF(WarehouseData[[#This Row],[order_fulfillment_rate]]&gt;=0.9,"Strong",IF(WarehouseData[[#This Row],[order_fulfillment_rate]]&gt;=0.8,"Moderate","Needs Attention"))</f>
        <v>Strong</v>
      </c>
      <c r="AE2421" t="str">
        <f>IF(WarehouseData[[#This Row],[picking_time_seconds]]&gt;120,"Slow",IF(WarehouseData[[#This Row],[picking_time_seconds]]&gt;=60,"Average","Fast"))</f>
        <v>Slow</v>
      </c>
    </row>
    <row r="2422" spans="1:31" x14ac:dyDescent="0.25">
      <c r="A2422" t="s">
        <v>2560</v>
      </c>
      <c r="B2422" t="s">
        <v>32</v>
      </c>
      <c r="C2422">
        <v>201</v>
      </c>
      <c r="D2422">
        <v>11</v>
      </c>
      <c r="E2422">
        <v>5</v>
      </c>
      <c r="F2422">
        <v>9</v>
      </c>
      <c r="G2422">
        <v>6.33</v>
      </c>
      <c r="H2422">
        <v>1.86</v>
      </c>
      <c r="I2422">
        <v>0.26</v>
      </c>
      <c r="J2422" t="s">
        <v>88</v>
      </c>
      <c r="K2422" t="s">
        <v>34</v>
      </c>
      <c r="L2422">
        <v>150</v>
      </c>
      <c r="M2422">
        <v>3.88</v>
      </c>
      <c r="N2422">
        <v>68.95</v>
      </c>
      <c r="O2422">
        <v>0.5</v>
      </c>
      <c r="P2422">
        <v>3</v>
      </c>
      <c r="Q2422">
        <v>0.77</v>
      </c>
      <c r="R2422">
        <v>800</v>
      </c>
      <c r="S2422">
        <v>10.7</v>
      </c>
      <c r="T2422">
        <v>0.93</v>
      </c>
      <c r="U2422" s="1">
        <v>45625</v>
      </c>
      <c r="V2422">
        <v>22.28</v>
      </c>
      <c r="W2422">
        <v>0.77300000000000002</v>
      </c>
      <c r="X2422" t="str">
        <f>IF(WarehouseData[[#This Row],[stock_level]]&lt;=WarehouseData[[#This Row],[reorder_point]],"Low Stock","Sufficient Stock")</f>
        <v>Sufficient Stock</v>
      </c>
      <c r="Y2422">
        <f>WarehouseData[[#This Row],[daily_demand]]*WarehouseData[[#This Row],[lead_time_days]]</f>
        <v>56.97</v>
      </c>
      <c r="Z2422" t="str">
        <f>IF(WarehouseData[[#This Row],[stock_level]]&lt;=WarehouseData[[#This Row],[Demand During Lead Time]],"At Risk","Safe")</f>
        <v>Safe</v>
      </c>
      <c r="AA2422">
        <f>WarehouseData[[#This Row],[stock_level]]/WarehouseData[[#This Row],[daily_demand]]</f>
        <v>31.753554502369667</v>
      </c>
      <c r="AB2422">
        <f>WarehouseData[[#This Row],[stock_level]]*WarehouseData[[#This Row],[unit_price]]</f>
        <v>13858.95</v>
      </c>
      <c r="AC2422">
        <f>WarehouseData[[#This Row],[stock_level]]*WarehouseData[[#This Row],[holding_cost_per_unit_day]]*30</f>
        <v>3015</v>
      </c>
      <c r="AD2422" t="str">
        <f>IF(WarehouseData[[#This Row],[order_fulfillment_rate]]&gt;=0.9,"Strong",IF(WarehouseData[[#This Row],[order_fulfillment_rate]]&gt;=0.8,"Moderate","Needs Attention"))</f>
        <v>Needs Attention</v>
      </c>
      <c r="AE2422" t="str">
        <f>IF(WarehouseData[[#This Row],[picking_time_seconds]]&gt;120,"Slow",IF(WarehouseData[[#This Row],[picking_time_seconds]]&gt;=60,"Average","Fast"))</f>
        <v>Slow</v>
      </c>
    </row>
    <row r="2423" spans="1:31" x14ac:dyDescent="0.25">
      <c r="A2423" t="s">
        <v>2561</v>
      </c>
      <c r="B2423" t="s">
        <v>48</v>
      </c>
      <c r="C2423">
        <v>445</v>
      </c>
      <c r="D2423">
        <v>46</v>
      </c>
      <c r="E2423">
        <v>4</v>
      </c>
      <c r="F2423">
        <v>8</v>
      </c>
      <c r="G2423">
        <v>37.85</v>
      </c>
      <c r="H2423">
        <v>1.03</v>
      </c>
      <c r="I2423">
        <v>1</v>
      </c>
      <c r="J2423" t="s">
        <v>377</v>
      </c>
      <c r="K2423" t="s">
        <v>34</v>
      </c>
      <c r="L2423">
        <v>59</v>
      </c>
      <c r="M2423">
        <v>1.86</v>
      </c>
      <c r="N2423">
        <v>137.96</v>
      </c>
      <c r="O2423">
        <v>1.62</v>
      </c>
      <c r="P2423">
        <v>0</v>
      </c>
      <c r="Q2423">
        <v>0.78</v>
      </c>
      <c r="R2423">
        <v>92</v>
      </c>
      <c r="S2423">
        <v>5.64</v>
      </c>
      <c r="T2423">
        <v>0.53</v>
      </c>
      <c r="U2423" s="1">
        <v>45390</v>
      </c>
      <c r="V2423">
        <v>281.60000000000002</v>
      </c>
      <c r="W2423">
        <v>0.57499999999999996</v>
      </c>
      <c r="X2423" t="str">
        <f>IF(WarehouseData[[#This Row],[stock_level]]&lt;=WarehouseData[[#This Row],[reorder_point]],"Low Stock","Sufficient Stock")</f>
        <v>Sufficient Stock</v>
      </c>
      <c r="Y2423">
        <f>WarehouseData[[#This Row],[daily_demand]]*WarehouseData[[#This Row],[lead_time_days]]</f>
        <v>302.8</v>
      </c>
      <c r="Z2423" t="str">
        <f>IF(WarehouseData[[#This Row],[stock_level]]&lt;=WarehouseData[[#This Row],[Demand During Lead Time]],"At Risk","Safe")</f>
        <v>Safe</v>
      </c>
      <c r="AA2423">
        <f>WarehouseData[[#This Row],[stock_level]]/WarehouseData[[#This Row],[daily_demand]]</f>
        <v>11.756935270805812</v>
      </c>
      <c r="AB2423">
        <f>WarehouseData[[#This Row],[stock_level]]*WarehouseData[[#This Row],[unit_price]]</f>
        <v>61392.200000000004</v>
      </c>
      <c r="AC2423">
        <f>WarehouseData[[#This Row],[stock_level]]*WarehouseData[[#This Row],[holding_cost_per_unit_day]]*30</f>
        <v>21627.000000000004</v>
      </c>
      <c r="AD2423" t="str">
        <f>IF(WarehouseData[[#This Row],[order_fulfillment_rate]]&gt;=0.9,"Strong",IF(WarehouseData[[#This Row],[order_fulfillment_rate]]&gt;=0.8,"Moderate","Needs Attention"))</f>
        <v>Needs Attention</v>
      </c>
      <c r="AE2423" t="str">
        <f>IF(WarehouseData[[#This Row],[picking_time_seconds]]&gt;120,"Slow",IF(WarehouseData[[#This Row],[picking_time_seconds]]&gt;=60,"Average","Fast"))</f>
        <v>Fast</v>
      </c>
    </row>
    <row r="2424" spans="1:31" x14ac:dyDescent="0.25">
      <c r="A2424" t="s">
        <v>2562</v>
      </c>
      <c r="B2424" t="s">
        <v>40</v>
      </c>
      <c r="C2424">
        <v>424</v>
      </c>
      <c r="D2424">
        <v>54</v>
      </c>
      <c r="E2424">
        <v>6</v>
      </c>
      <c r="F2424">
        <v>9</v>
      </c>
      <c r="G2424">
        <v>3.24</v>
      </c>
      <c r="H2424">
        <v>6.44</v>
      </c>
      <c r="I2424">
        <v>0.78</v>
      </c>
      <c r="J2424" t="s">
        <v>64</v>
      </c>
      <c r="K2424" t="s">
        <v>52</v>
      </c>
      <c r="L2424">
        <v>91</v>
      </c>
      <c r="M2424">
        <v>3.68</v>
      </c>
      <c r="N2424">
        <v>106.38</v>
      </c>
      <c r="O2424">
        <v>1.9</v>
      </c>
      <c r="P2424">
        <v>4</v>
      </c>
      <c r="Q2424">
        <v>0.73</v>
      </c>
      <c r="R2424">
        <v>566</v>
      </c>
      <c r="S2424">
        <v>7.1</v>
      </c>
      <c r="T2424">
        <v>0.33</v>
      </c>
      <c r="U2424" s="1">
        <v>45456</v>
      </c>
      <c r="V2424">
        <v>291.27999999999997</v>
      </c>
      <c r="W2424">
        <v>0.437</v>
      </c>
      <c r="X2424" t="str">
        <f>IF(WarehouseData[[#This Row],[stock_level]]&lt;=WarehouseData[[#This Row],[reorder_point]],"Low Stock","Sufficient Stock")</f>
        <v>Sufficient Stock</v>
      </c>
      <c r="Y2424">
        <f>WarehouseData[[#This Row],[daily_demand]]*WarehouseData[[#This Row],[lead_time_days]]</f>
        <v>29.160000000000004</v>
      </c>
      <c r="Z2424" t="str">
        <f>IF(WarehouseData[[#This Row],[stock_level]]&lt;=WarehouseData[[#This Row],[Demand During Lead Time]],"At Risk","Safe")</f>
        <v>Safe</v>
      </c>
      <c r="AA2424">
        <f>WarehouseData[[#This Row],[stock_level]]/WarehouseData[[#This Row],[daily_demand]]</f>
        <v>130.86419753086417</v>
      </c>
      <c r="AB2424">
        <f>WarehouseData[[#This Row],[stock_level]]*WarehouseData[[#This Row],[unit_price]]</f>
        <v>45105.119999999995</v>
      </c>
      <c r="AC2424">
        <f>WarehouseData[[#This Row],[stock_level]]*WarehouseData[[#This Row],[holding_cost_per_unit_day]]*30</f>
        <v>24167.999999999996</v>
      </c>
      <c r="AD2424" t="str">
        <f>IF(WarehouseData[[#This Row],[order_fulfillment_rate]]&gt;=0.9,"Strong",IF(WarehouseData[[#This Row],[order_fulfillment_rate]]&gt;=0.8,"Moderate","Needs Attention"))</f>
        <v>Needs Attention</v>
      </c>
      <c r="AE2424" t="str">
        <f>IF(WarehouseData[[#This Row],[picking_time_seconds]]&gt;120,"Slow",IF(WarehouseData[[#This Row],[picking_time_seconds]]&gt;=60,"Average","Fast"))</f>
        <v>Average</v>
      </c>
    </row>
    <row r="2425" spans="1:31" x14ac:dyDescent="0.25">
      <c r="A2425" t="s">
        <v>2563</v>
      </c>
      <c r="B2425" t="s">
        <v>48</v>
      </c>
      <c r="C2425">
        <v>354</v>
      </c>
      <c r="D2425">
        <v>89</v>
      </c>
      <c r="E2425">
        <v>10</v>
      </c>
      <c r="F2425">
        <v>6</v>
      </c>
      <c r="G2425">
        <v>10.9</v>
      </c>
      <c r="H2425">
        <v>2.85</v>
      </c>
      <c r="I2425">
        <v>0.47</v>
      </c>
      <c r="J2425" t="s">
        <v>188</v>
      </c>
      <c r="K2425" t="s">
        <v>34</v>
      </c>
      <c r="L2425">
        <v>28</v>
      </c>
      <c r="M2425">
        <v>1.66</v>
      </c>
      <c r="N2425">
        <v>177.46</v>
      </c>
      <c r="O2425">
        <v>0.54</v>
      </c>
      <c r="P2425">
        <v>6</v>
      </c>
      <c r="Q2425">
        <v>0.76</v>
      </c>
      <c r="R2425">
        <v>809</v>
      </c>
      <c r="S2425">
        <v>9.76</v>
      </c>
      <c r="T2425">
        <v>0.27</v>
      </c>
      <c r="U2425" s="1">
        <v>45555</v>
      </c>
      <c r="V2425">
        <v>122.03</v>
      </c>
      <c r="W2425">
        <v>0.56200000000000006</v>
      </c>
      <c r="X2425" t="str">
        <f>IF(WarehouseData[[#This Row],[stock_level]]&lt;=WarehouseData[[#This Row],[reorder_point]],"Low Stock","Sufficient Stock")</f>
        <v>Sufficient Stock</v>
      </c>
      <c r="Y2425">
        <f>WarehouseData[[#This Row],[daily_demand]]*WarehouseData[[#This Row],[lead_time_days]]</f>
        <v>65.400000000000006</v>
      </c>
      <c r="Z2425" t="str">
        <f>IF(WarehouseData[[#This Row],[stock_level]]&lt;=WarehouseData[[#This Row],[Demand During Lead Time]],"At Risk","Safe")</f>
        <v>Safe</v>
      </c>
      <c r="AA2425">
        <f>WarehouseData[[#This Row],[stock_level]]/WarehouseData[[#This Row],[daily_demand]]</f>
        <v>32.477064220183486</v>
      </c>
      <c r="AB2425">
        <f>WarehouseData[[#This Row],[stock_level]]*WarehouseData[[#This Row],[unit_price]]</f>
        <v>62820.840000000004</v>
      </c>
      <c r="AC2425">
        <f>WarehouseData[[#This Row],[stock_level]]*WarehouseData[[#This Row],[holding_cost_per_unit_day]]*30</f>
        <v>5734.8000000000011</v>
      </c>
      <c r="AD2425" t="str">
        <f>IF(WarehouseData[[#This Row],[order_fulfillment_rate]]&gt;=0.9,"Strong",IF(WarehouseData[[#This Row],[order_fulfillment_rate]]&gt;=0.8,"Moderate","Needs Attention"))</f>
        <v>Needs Attention</v>
      </c>
      <c r="AE2425" t="str">
        <f>IF(WarehouseData[[#This Row],[picking_time_seconds]]&gt;120,"Slow",IF(WarehouseData[[#This Row],[picking_time_seconds]]&gt;=60,"Average","Fast"))</f>
        <v>Fast</v>
      </c>
    </row>
    <row r="2426" spans="1:31" x14ac:dyDescent="0.25">
      <c r="A2426" t="s">
        <v>2564</v>
      </c>
      <c r="B2426" t="s">
        <v>36</v>
      </c>
      <c r="C2426">
        <v>228</v>
      </c>
      <c r="D2426">
        <v>57</v>
      </c>
      <c r="E2426">
        <v>13</v>
      </c>
      <c r="F2426">
        <v>5</v>
      </c>
      <c r="G2426">
        <v>39.81</v>
      </c>
      <c r="H2426">
        <v>2.81</v>
      </c>
      <c r="I2426">
        <v>0.84</v>
      </c>
      <c r="J2426" t="s">
        <v>221</v>
      </c>
      <c r="K2426" t="s">
        <v>46</v>
      </c>
      <c r="L2426">
        <v>53</v>
      </c>
      <c r="M2426">
        <v>4.01</v>
      </c>
      <c r="N2426">
        <v>17.47</v>
      </c>
      <c r="O2426">
        <v>0.7</v>
      </c>
      <c r="P2426">
        <v>6</v>
      </c>
      <c r="Q2426">
        <v>1</v>
      </c>
      <c r="R2426">
        <v>115</v>
      </c>
      <c r="S2426">
        <v>6.31</v>
      </c>
      <c r="T2426">
        <v>0.63</v>
      </c>
      <c r="U2426" s="1">
        <v>45334</v>
      </c>
      <c r="V2426">
        <v>154.53</v>
      </c>
      <c r="W2426">
        <v>0.62</v>
      </c>
      <c r="X2426" t="str">
        <f>IF(WarehouseData[[#This Row],[stock_level]]&lt;=WarehouseData[[#This Row],[reorder_point]],"Low Stock","Sufficient Stock")</f>
        <v>Sufficient Stock</v>
      </c>
      <c r="Y2426">
        <f>WarehouseData[[#This Row],[daily_demand]]*WarehouseData[[#This Row],[lead_time_days]]</f>
        <v>199.05</v>
      </c>
      <c r="Z2426" t="str">
        <f>IF(WarehouseData[[#This Row],[stock_level]]&lt;=WarehouseData[[#This Row],[Demand During Lead Time]],"At Risk","Safe")</f>
        <v>Safe</v>
      </c>
      <c r="AA2426">
        <f>WarehouseData[[#This Row],[stock_level]]/WarehouseData[[#This Row],[daily_demand]]</f>
        <v>5.7272042200452145</v>
      </c>
      <c r="AB2426">
        <f>WarehouseData[[#This Row],[stock_level]]*WarehouseData[[#This Row],[unit_price]]</f>
        <v>3983.16</v>
      </c>
      <c r="AC2426">
        <f>WarehouseData[[#This Row],[stock_level]]*WarehouseData[[#This Row],[holding_cost_per_unit_day]]*30</f>
        <v>4788</v>
      </c>
      <c r="AD2426" t="str">
        <f>IF(WarehouseData[[#This Row],[order_fulfillment_rate]]&gt;=0.9,"Strong",IF(WarehouseData[[#This Row],[order_fulfillment_rate]]&gt;=0.8,"Moderate","Needs Attention"))</f>
        <v>Strong</v>
      </c>
      <c r="AE2426" t="str">
        <f>IF(WarehouseData[[#This Row],[picking_time_seconds]]&gt;120,"Slow",IF(WarehouseData[[#This Row],[picking_time_seconds]]&gt;=60,"Average","Fast"))</f>
        <v>Fast</v>
      </c>
    </row>
    <row r="2427" spans="1:31" x14ac:dyDescent="0.25">
      <c r="A2427" t="s">
        <v>2565</v>
      </c>
      <c r="B2427" t="s">
        <v>36</v>
      </c>
      <c r="C2427">
        <v>41</v>
      </c>
      <c r="D2427">
        <v>33</v>
      </c>
      <c r="E2427">
        <v>10</v>
      </c>
      <c r="F2427">
        <v>7</v>
      </c>
      <c r="G2427">
        <v>37.4</v>
      </c>
      <c r="H2427">
        <v>9.59</v>
      </c>
      <c r="I2427">
        <v>0.59</v>
      </c>
      <c r="J2427" t="s">
        <v>183</v>
      </c>
      <c r="K2427" t="s">
        <v>38</v>
      </c>
      <c r="L2427">
        <v>170</v>
      </c>
      <c r="M2427">
        <v>4.24</v>
      </c>
      <c r="N2427">
        <v>133.38999999999999</v>
      </c>
      <c r="O2427">
        <v>1.46</v>
      </c>
      <c r="P2427">
        <v>5</v>
      </c>
      <c r="Q2427">
        <v>0.82</v>
      </c>
      <c r="R2427">
        <v>445</v>
      </c>
      <c r="S2427">
        <v>12.2</v>
      </c>
      <c r="T2427">
        <v>0.81</v>
      </c>
      <c r="U2427" s="1">
        <v>45341</v>
      </c>
      <c r="V2427">
        <v>56.57</v>
      </c>
      <c r="W2427">
        <v>0.64300000000000002</v>
      </c>
      <c r="X2427" t="str">
        <f>IF(WarehouseData[[#This Row],[stock_level]]&lt;=WarehouseData[[#This Row],[reorder_point]],"Low Stock","Sufficient Stock")</f>
        <v>Sufficient Stock</v>
      </c>
      <c r="Y2427">
        <f>WarehouseData[[#This Row],[daily_demand]]*WarehouseData[[#This Row],[lead_time_days]]</f>
        <v>261.8</v>
      </c>
      <c r="Z2427" t="str">
        <f>IF(WarehouseData[[#This Row],[stock_level]]&lt;=WarehouseData[[#This Row],[Demand During Lead Time]],"At Risk","Safe")</f>
        <v>At Risk</v>
      </c>
      <c r="AA2427">
        <f>WarehouseData[[#This Row],[stock_level]]/WarehouseData[[#This Row],[daily_demand]]</f>
        <v>1.0962566844919786</v>
      </c>
      <c r="AB2427">
        <f>WarehouseData[[#This Row],[stock_level]]*WarehouseData[[#This Row],[unit_price]]</f>
        <v>5468.99</v>
      </c>
      <c r="AC2427">
        <f>WarehouseData[[#This Row],[stock_level]]*WarehouseData[[#This Row],[holding_cost_per_unit_day]]*30</f>
        <v>1795.8</v>
      </c>
      <c r="AD2427" t="str">
        <f>IF(WarehouseData[[#This Row],[order_fulfillment_rate]]&gt;=0.9,"Strong",IF(WarehouseData[[#This Row],[order_fulfillment_rate]]&gt;=0.8,"Moderate","Needs Attention"))</f>
        <v>Moderate</v>
      </c>
      <c r="AE2427" t="str">
        <f>IF(WarehouseData[[#This Row],[picking_time_seconds]]&gt;120,"Slow",IF(WarehouseData[[#This Row],[picking_time_seconds]]&gt;=60,"Average","Fast"))</f>
        <v>Slow</v>
      </c>
    </row>
    <row r="2428" spans="1:31" x14ac:dyDescent="0.25">
      <c r="A2428" t="s">
        <v>2566</v>
      </c>
      <c r="B2428" t="s">
        <v>36</v>
      </c>
      <c r="C2428">
        <v>185</v>
      </c>
      <c r="D2428">
        <v>31</v>
      </c>
      <c r="E2428">
        <v>5</v>
      </c>
      <c r="F2428">
        <v>9</v>
      </c>
      <c r="G2428">
        <v>24.34</v>
      </c>
      <c r="H2428">
        <v>4.8899999999999997</v>
      </c>
      <c r="I2428">
        <v>0.39</v>
      </c>
      <c r="J2428" t="s">
        <v>126</v>
      </c>
      <c r="K2428" t="s">
        <v>38</v>
      </c>
      <c r="L2428">
        <v>175</v>
      </c>
      <c r="M2428">
        <v>4.09</v>
      </c>
      <c r="N2428">
        <v>100.72</v>
      </c>
      <c r="O2428">
        <v>1.65</v>
      </c>
      <c r="P2428">
        <v>5</v>
      </c>
      <c r="Q2428">
        <v>0.98</v>
      </c>
      <c r="R2428">
        <v>300</v>
      </c>
      <c r="S2428">
        <v>14.57</v>
      </c>
      <c r="T2428">
        <v>0.34</v>
      </c>
      <c r="U2428" s="1">
        <v>45377</v>
      </c>
      <c r="V2428">
        <v>66.900000000000006</v>
      </c>
      <c r="W2428">
        <v>0.59299999999999997</v>
      </c>
      <c r="X2428" t="str">
        <f>IF(WarehouseData[[#This Row],[stock_level]]&lt;=WarehouseData[[#This Row],[reorder_point]],"Low Stock","Sufficient Stock")</f>
        <v>Sufficient Stock</v>
      </c>
      <c r="Y2428">
        <f>WarehouseData[[#This Row],[daily_demand]]*WarehouseData[[#This Row],[lead_time_days]]</f>
        <v>219.06</v>
      </c>
      <c r="Z2428" t="str">
        <f>IF(WarehouseData[[#This Row],[stock_level]]&lt;=WarehouseData[[#This Row],[Demand During Lead Time]],"At Risk","Safe")</f>
        <v>At Risk</v>
      </c>
      <c r="AA2428">
        <f>WarehouseData[[#This Row],[stock_level]]/WarehouseData[[#This Row],[daily_demand]]</f>
        <v>7.6006573541495479</v>
      </c>
      <c r="AB2428">
        <f>WarehouseData[[#This Row],[stock_level]]*WarehouseData[[#This Row],[unit_price]]</f>
        <v>18633.2</v>
      </c>
      <c r="AC2428">
        <f>WarehouseData[[#This Row],[stock_level]]*WarehouseData[[#This Row],[holding_cost_per_unit_day]]*30</f>
        <v>9157.5</v>
      </c>
      <c r="AD2428" t="str">
        <f>IF(WarehouseData[[#This Row],[order_fulfillment_rate]]&gt;=0.9,"Strong",IF(WarehouseData[[#This Row],[order_fulfillment_rate]]&gt;=0.8,"Moderate","Needs Attention"))</f>
        <v>Strong</v>
      </c>
      <c r="AE2428" t="str">
        <f>IF(WarehouseData[[#This Row],[picking_time_seconds]]&gt;120,"Slow",IF(WarehouseData[[#This Row],[picking_time_seconds]]&gt;=60,"Average","Fast"))</f>
        <v>Slow</v>
      </c>
    </row>
    <row r="2429" spans="1:31" x14ac:dyDescent="0.25">
      <c r="A2429" t="s">
        <v>2567</v>
      </c>
      <c r="B2429" t="s">
        <v>48</v>
      </c>
      <c r="C2429">
        <v>118</v>
      </c>
      <c r="D2429">
        <v>20</v>
      </c>
      <c r="E2429">
        <v>6</v>
      </c>
      <c r="F2429">
        <v>3</v>
      </c>
      <c r="G2429">
        <v>3.45</v>
      </c>
      <c r="H2429">
        <v>0.78</v>
      </c>
      <c r="I2429">
        <v>0.77</v>
      </c>
      <c r="J2429" t="s">
        <v>158</v>
      </c>
      <c r="K2429" t="s">
        <v>52</v>
      </c>
      <c r="L2429">
        <v>12</v>
      </c>
      <c r="M2429">
        <v>1.47</v>
      </c>
      <c r="N2429">
        <v>39.32</v>
      </c>
      <c r="O2429">
        <v>2</v>
      </c>
      <c r="P2429">
        <v>7</v>
      </c>
      <c r="Q2429">
        <v>0.75</v>
      </c>
      <c r="R2429">
        <v>177</v>
      </c>
      <c r="S2429">
        <v>14.06</v>
      </c>
      <c r="T2429">
        <v>0.45</v>
      </c>
      <c r="U2429" s="1">
        <v>45567</v>
      </c>
      <c r="V2429">
        <v>184.6</v>
      </c>
      <c r="W2429">
        <v>0.48699999999999999</v>
      </c>
      <c r="X2429" t="str">
        <f>IF(WarehouseData[[#This Row],[stock_level]]&lt;=WarehouseData[[#This Row],[reorder_point]],"Low Stock","Sufficient Stock")</f>
        <v>Sufficient Stock</v>
      </c>
      <c r="Y2429">
        <f>WarehouseData[[#This Row],[daily_demand]]*WarehouseData[[#This Row],[lead_time_days]]</f>
        <v>10.350000000000001</v>
      </c>
      <c r="Z2429" t="str">
        <f>IF(WarehouseData[[#This Row],[stock_level]]&lt;=WarehouseData[[#This Row],[Demand During Lead Time]],"At Risk","Safe")</f>
        <v>Safe</v>
      </c>
      <c r="AA2429">
        <f>WarehouseData[[#This Row],[stock_level]]/WarehouseData[[#This Row],[daily_demand]]</f>
        <v>34.202898550724633</v>
      </c>
      <c r="AB2429">
        <f>WarehouseData[[#This Row],[stock_level]]*WarehouseData[[#This Row],[unit_price]]</f>
        <v>4639.76</v>
      </c>
      <c r="AC2429">
        <f>WarehouseData[[#This Row],[stock_level]]*WarehouseData[[#This Row],[holding_cost_per_unit_day]]*30</f>
        <v>7080</v>
      </c>
      <c r="AD2429" t="str">
        <f>IF(WarehouseData[[#This Row],[order_fulfillment_rate]]&gt;=0.9,"Strong",IF(WarehouseData[[#This Row],[order_fulfillment_rate]]&gt;=0.8,"Moderate","Needs Attention"))</f>
        <v>Needs Attention</v>
      </c>
      <c r="AE2429" t="str">
        <f>IF(WarehouseData[[#This Row],[picking_time_seconds]]&gt;120,"Slow",IF(WarehouseData[[#This Row],[picking_time_seconds]]&gt;=60,"Average","Fast"))</f>
        <v>Fast</v>
      </c>
    </row>
    <row r="2430" spans="1:31" x14ac:dyDescent="0.25">
      <c r="A2430" t="s">
        <v>2568</v>
      </c>
      <c r="B2430" t="s">
        <v>32</v>
      </c>
      <c r="C2430">
        <v>227</v>
      </c>
      <c r="D2430">
        <v>67</v>
      </c>
      <c r="E2430">
        <v>5</v>
      </c>
      <c r="F2430">
        <v>4</v>
      </c>
      <c r="G2430">
        <v>30.88</v>
      </c>
      <c r="H2430">
        <v>3.73</v>
      </c>
      <c r="I2430">
        <v>0.77</v>
      </c>
      <c r="J2430" t="s">
        <v>160</v>
      </c>
      <c r="K2430" t="s">
        <v>46</v>
      </c>
      <c r="L2430">
        <v>122</v>
      </c>
      <c r="M2430">
        <v>3.62</v>
      </c>
      <c r="N2430">
        <v>151.22</v>
      </c>
      <c r="O2430">
        <v>0.62</v>
      </c>
      <c r="P2430">
        <v>9</v>
      </c>
      <c r="Q2430">
        <v>0.76</v>
      </c>
      <c r="R2430">
        <v>746</v>
      </c>
      <c r="S2430">
        <v>8.64</v>
      </c>
      <c r="T2430">
        <v>0.7</v>
      </c>
      <c r="U2430" s="1">
        <v>45565</v>
      </c>
      <c r="V2430">
        <v>191.83</v>
      </c>
      <c r="W2430">
        <v>0.56499999999999995</v>
      </c>
      <c r="X2430" t="str">
        <f>IF(WarehouseData[[#This Row],[stock_level]]&lt;=WarehouseData[[#This Row],[reorder_point]],"Low Stock","Sufficient Stock")</f>
        <v>Sufficient Stock</v>
      </c>
      <c r="Y2430">
        <f>WarehouseData[[#This Row],[daily_demand]]*WarehouseData[[#This Row],[lead_time_days]]</f>
        <v>123.52</v>
      </c>
      <c r="Z2430" t="str">
        <f>IF(WarehouseData[[#This Row],[stock_level]]&lt;=WarehouseData[[#This Row],[Demand During Lead Time]],"At Risk","Safe")</f>
        <v>Safe</v>
      </c>
      <c r="AA2430">
        <f>WarehouseData[[#This Row],[stock_level]]/WarehouseData[[#This Row],[daily_demand]]</f>
        <v>7.3510362694300522</v>
      </c>
      <c r="AB2430">
        <f>WarehouseData[[#This Row],[stock_level]]*WarehouseData[[#This Row],[unit_price]]</f>
        <v>34326.94</v>
      </c>
      <c r="AC2430">
        <f>WarehouseData[[#This Row],[stock_level]]*WarehouseData[[#This Row],[holding_cost_per_unit_day]]*30</f>
        <v>4222.2000000000007</v>
      </c>
      <c r="AD2430" t="str">
        <f>IF(WarehouseData[[#This Row],[order_fulfillment_rate]]&gt;=0.9,"Strong",IF(WarehouseData[[#This Row],[order_fulfillment_rate]]&gt;=0.8,"Moderate","Needs Attention"))</f>
        <v>Needs Attention</v>
      </c>
      <c r="AE2430" t="str">
        <f>IF(WarehouseData[[#This Row],[picking_time_seconds]]&gt;120,"Slow",IF(WarehouseData[[#This Row],[picking_time_seconds]]&gt;=60,"Average","Fast"))</f>
        <v>Slow</v>
      </c>
    </row>
    <row r="2431" spans="1:31" x14ac:dyDescent="0.25">
      <c r="A2431" t="s">
        <v>2569</v>
      </c>
      <c r="B2431" t="s">
        <v>32</v>
      </c>
      <c r="C2431">
        <v>27</v>
      </c>
      <c r="D2431">
        <v>55</v>
      </c>
      <c r="E2431">
        <v>12</v>
      </c>
      <c r="F2431">
        <v>5</v>
      </c>
      <c r="G2431">
        <v>20.93</v>
      </c>
      <c r="H2431">
        <v>6.05</v>
      </c>
      <c r="I2431">
        <v>0.55000000000000004</v>
      </c>
      <c r="J2431" t="s">
        <v>144</v>
      </c>
      <c r="K2431" t="s">
        <v>46</v>
      </c>
      <c r="L2431">
        <v>74</v>
      </c>
      <c r="M2431">
        <v>2.92</v>
      </c>
      <c r="N2431">
        <v>88.15</v>
      </c>
      <c r="O2431">
        <v>1.1599999999999999</v>
      </c>
      <c r="P2431">
        <v>8</v>
      </c>
      <c r="Q2431">
        <v>0.87</v>
      </c>
      <c r="R2431">
        <v>237</v>
      </c>
      <c r="S2431">
        <v>5.97</v>
      </c>
      <c r="T2431">
        <v>0.56999999999999995</v>
      </c>
      <c r="U2431" s="1">
        <v>45295</v>
      </c>
      <c r="V2431">
        <v>109.07</v>
      </c>
      <c r="W2431">
        <v>0.49199999999999999</v>
      </c>
      <c r="X2431" t="str">
        <f>IF(WarehouseData[[#This Row],[stock_level]]&lt;=WarehouseData[[#This Row],[reorder_point]],"Low Stock","Sufficient Stock")</f>
        <v>Low Stock</v>
      </c>
      <c r="Y2431">
        <f>WarehouseData[[#This Row],[daily_demand]]*WarehouseData[[#This Row],[lead_time_days]]</f>
        <v>104.65</v>
      </c>
      <c r="Z2431" t="str">
        <f>IF(WarehouseData[[#This Row],[stock_level]]&lt;=WarehouseData[[#This Row],[Demand During Lead Time]],"At Risk","Safe")</f>
        <v>At Risk</v>
      </c>
      <c r="AA2431">
        <f>WarehouseData[[#This Row],[stock_level]]/WarehouseData[[#This Row],[daily_demand]]</f>
        <v>1.2900143334925944</v>
      </c>
      <c r="AB2431">
        <f>WarehouseData[[#This Row],[stock_level]]*WarehouseData[[#This Row],[unit_price]]</f>
        <v>2380.0500000000002</v>
      </c>
      <c r="AC2431">
        <f>WarehouseData[[#This Row],[stock_level]]*WarehouseData[[#This Row],[holding_cost_per_unit_day]]*30</f>
        <v>939.59999999999991</v>
      </c>
      <c r="AD2431" t="str">
        <f>IF(WarehouseData[[#This Row],[order_fulfillment_rate]]&gt;=0.9,"Strong",IF(WarehouseData[[#This Row],[order_fulfillment_rate]]&gt;=0.8,"Moderate","Needs Attention"))</f>
        <v>Moderate</v>
      </c>
      <c r="AE2431" t="str">
        <f>IF(WarehouseData[[#This Row],[picking_time_seconds]]&gt;120,"Slow",IF(WarehouseData[[#This Row],[picking_time_seconds]]&gt;=60,"Average","Fast"))</f>
        <v>Average</v>
      </c>
    </row>
    <row r="2432" spans="1:31" x14ac:dyDescent="0.25">
      <c r="A2432" t="s">
        <v>2570</v>
      </c>
      <c r="B2432" t="s">
        <v>73</v>
      </c>
      <c r="C2432">
        <v>209</v>
      </c>
      <c r="D2432">
        <v>38</v>
      </c>
      <c r="E2432">
        <v>4</v>
      </c>
      <c r="F2432">
        <v>3</v>
      </c>
      <c r="G2432">
        <v>16.510000000000002</v>
      </c>
      <c r="H2432">
        <v>3.62</v>
      </c>
      <c r="I2432">
        <v>0.14000000000000001</v>
      </c>
      <c r="J2432" t="s">
        <v>62</v>
      </c>
      <c r="K2432" t="s">
        <v>38</v>
      </c>
      <c r="L2432">
        <v>172</v>
      </c>
      <c r="M2432">
        <v>4.9400000000000004</v>
      </c>
      <c r="N2432">
        <v>111</v>
      </c>
      <c r="O2432">
        <v>0.35</v>
      </c>
      <c r="P2432">
        <v>3</v>
      </c>
      <c r="Q2432">
        <v>0.8</v>
      </c>
      <c r="R2432">
        <v>232</v>
      </c>
      <c r="S2432">
        <v>7.07</v>
      </c>
      <c r="T2432">
        <v>0.68</v>
      </c>
      <c r="U2432" s="1">
        <v>45612</v>
      </c>
      <c r="V2432">
        <v>118.47</v>
      </c>
      <c r="W2432">
        <v>0.69499999999999995</v>
      </c>
      <c r="X2432" t="str">
        <f>IF(WarehouseData[[#This Row],[stock_level]]&lt;=WarehouseData[[#This Row],[reorder_point]],"Low Stock","Sufficient Stock")</f>
        <v>Sufficient Stock</v>
      </c>
      <c r="Y2432">
        <f>WarehouseData[[#This Row],[daily_demand]]*WarehouseData[[#This Row],[lead_time_days]]</f>
        <v>49.53</v>
      </c>
      <c r="Z2432" t="str">
        <f>IF(WarehouseData[[#This Row],[stock_level]]&lt;=WarehouseData[[#This Row],[Demand During Lead Time]],"At Risk","Safe")</f>
        <v>Safe</v>
      </c>
      <c r="AA2432">
        <f>WarehouseData[[#This Row],[stock_level]]/WarehouseData[[#This Row],[daily_demand]]</f>
        <v>12.658994548758328</v>
      </c>
      <c r="AB2432">
        <f>WarehouseData[[#This Row],[stock_level]]*WarehouseData[[#This Row],[unit_price]]</f>
        <v>23199</v>
      </c>
      <c r="AC2432">
        <f>WarehouseData[[#This Row],[stock_level]]*WarehouseData[[#This Row],[holding_cost_per_unit_day]]*30</f>
        <v>2194.4999999999995</v>
      </c>
      <c r="AD2432" t="str">
        <f>IF(WarehouseData[[#This Row],[order_fulfillment_rate]]&gt;=0.9,"Strong",IF(WarehouseData[[#This Row],[order_fulfillment_rate]]&gt;=0.8,"Moderate","Needs Attention"))</f>
        <v>Moderate</v>
      </c>
      <c r="AE2432" t="str">
        <f>IF(WarehouseData[[#This Row],[picking_time_seconds]]&gt;120,"Slow",IF(WarehouseData[[#This Row],[picking_time_seconds]]&gt;=60,"Average","Fast"))</f>
        <v>Slow</v>
      </c>
    </row>
    <row r="2433" spans="1:31" x14ac:dyDescent="0.25">
      <c r="A2433" t="s">
        <v>2571</v>
      </c>
      <c r="B2433" t="s">
        <v>36</v>
      </c>
      <c r="C2433">
        <v>194</v>
      </c>
      <c r="D2433">
        <v>44</v>
      </c>
      <c r="E2433">
        <v>6</v>
      </c>
      <c r="F2433">
        <v>9</v>
      </c>
      <c r="G2433">
        <v>32.380000000000003</v>
      </c>
      <c r="H2433">
        <v>0.76</v>
      </c>
      <c r="I2433">
        <v>0.17</v>
      </c>
      <c r="J2433" t="s">
        <v>146</v>
      </c>
      <c r="K2433" t="s">
        <v>46</v>
      </c>
      <c r="L2433">
        <v>173</v>
      </c>
      <c r="M2433">
        <v>2.13</v>
      </c>
      <c r="N2433">
        <v>193.78</v>
      </c>
      <c r="O2433">
        <v>0.73</v>
      </c>
      <c r="P2433">
        <v>3</v>
      </c>
      <c r="Q2433">
        <v>0.89</v>
      </c>
      <c r="R2433">
        <v>632</v>
      </c>
      <c r="S2433">
        <v>5.62</v>
      </c>
      <c r="T2433">
        <v>0.74</v>
      </c>
      <c r="U2433" s="1">
        <v>45325</v>
      </c>
      <c r="V2433">
        <v>156.81</v>
      </c>
      <c r="W2433">
        <v>0.66800000000000004</v>
      </c>
      <c r="X2433" t="str">
        <f>IF(WarehouseData[[#This Row],[stock_level]]&lt;=WarehouseData[[#This Row],[reorder_point]],"Low Stock","Sufficient Stock")</f>
        <v>Sufficient Stock</v>
      </c>
      <c r="Y2433">
        <f>WarehouseData[[#This Row],[daily_demand]]*WarehouseData[[#This Row],[lead_time_days]]</f>
        <v>291.42</v>
      </c>
      <c r="Z2433" t="str">
        <f>IF(WarehouseData[[#This Row],[stock_level]]&lt;=WarehouseData[[#This Row],[Demand During Lead Time]],"At Risk","Safe")</f>
        <v>At Risk</v>
      </c>
      <c r="AA2433">
        <f>WarehouseData[[#This Row],[stock_level]]/WarehouseData[[#This Row],[daily_demand]]</f>
        <v>5.9913526868437303</v>
      </c>
      <c r="AB2433">
        <f>WarehouseData[[#This Row],[stock_level]]*WarehouseData[[#This Row],[unit_price]]</f>
        <v>37593.32</v>
      </c>
      <c r="AC2433">
        <f>WarehouseData[[#This Row],[stock_level]]*WarehouseData[[#This Row],[holding_cost_per_unit_day]]*30</f>
        <v>4248.6000000000004</v>
      </c>
      <c r="AD2433" t="str">
        <f>IF(WarehouseData[[#This Row],[order_fulfillment_rate]]&gt;=0.9,"Strong",IF(WarehouseData[[#This Row],[order_fulfillment_rate]]&gt;=0.8,"Moderate","Needs Attention"))</f>
        <v>Moderate</v>
      </c>
      <c r="AE2433" t="str">
        <f>IF(WarehouseData[[#This Row],[picking_time_seconds]]&gt;120,"Slow",IF(WarehouseData[[#This Row],[picking_time_seconds]]&gt;=60,"Average","Fast"))</f>
        <v>Slow</v>
      </c>
    </row>
    <row r="2434" spans="1:31" x14ac:dyDescent="0.25">
      <c r="A2434" t="s">
        <v>2572</v>
      </c>
      <c r="B2434" t="s">
        <v>32</v>
      </c>
      <c r="C2434">
        <v>292</v>
      </c>
      <c r="D2434">
        <v>24</v>
      </c>
      <c r="E2434">
        <v>8</v>
      </c>
      <c r="F2434">
        <v>5</v>
      </c>
      <c r="G2434">
        <v>22.39</v>
      </c>
      <c r="H2434">
        <v>4.72</v>
      </c>
      <c r="I2434">
        <v>0.81</v>
      </c>
      <c r="J2434" t="s">
        <v>316</v>
      </c>
      <c r="K2434" t="s">
        <v>34</v>
      </c>
      <c r="L2434">
        <v>175</v>
      </c>
      <c r="M2434">
        <v>3.97</v>
      </c>
      <c r="N2434">
        <v>102.38</v>
      </c>
      <c r="O2434">
        <v>0.19</v>
      </c>
      <c r="P2434">
        <v>7</v>
      </c>
      <c r="Q2434">
        <v>0.83</v>
      </c>
      <c r="R2434">
        <v>627</v>
      </c>
      <c r="S2434">
        <v>7.18</v>
      </c>
      <c r="T2434">
        <v>0.5</v>
      </c>
      <c r="U2434" s="1">
        <v>45399</v>
      </c>
      <c r="V2434">
        <v>282.54000000000002</v>
      </c>
      <c r="W2434">
        <v>0.60299999999999998</v>
      </c>
      <c r="X2434" t="str">
        <f>IF(WarehouseData[[#This Row],[stock_level]]&lt;=WarehouseData[[#This Row],[reorder_point]],"Low Stock","Sufficient Stock")</f>
        <v>Sufficient Stock</v>
      </c>
      <c r="Y2434">
        <f>WarehouseData[[#This Row],[daily_demand]]*WarehouseData[[#This Row],[lead_time_days]]</f>
        <v>111.95</v>
      </c>
      <c r="Z2434" t="str">
        <f>IF(WarehouseData[[#This Row],[stock_level]]&lt;=WarehouseData[[#This Row],[Demand During Lead Time]],"At Risk","Safe")</f>
        <v>Safe</v>
      </c>
      <c r="AA2434">
        <f>WarehouseData[[#This Row],[stock_level]]/WarehouseData[[#This Row],[daily_demand]]</f>
        <v>13.04153640017865</v>
      </c>
      <c r="AB2434">
        <f>WarehouseData[[#This Row],[stock_level]]*WarehouseData[[#This Row],[unit_price]]</f>
        <v>29894.959999999999</v>
      </c>
      <c r="AC2434">
        <f>WarehouseData[[#This Row],[stock_level]]*WarehouseData[[#This Row],[holding_cost_per_unit_day]]*30</f>
        <v>1664.4</v>
      </c>
      <c r="AD2434" t="str">
        <f>IF(WarehouseData[[#This Row],[order_fulfillment_rate]]&gt;=0.9,"Strong",IF(WarehouseData[[#This Row],[order_fulfillment_rate]]&gt;=0.8,"Moderate","Needs Attention"))</f>
        <v>Moderate</v>
      </c>
      <c r="AE2434" t="str">
        <f>IF(WarehouseData[[#This Row],[picking_time_seconds]]&gt;120,"Slow",IF(WarehouseData[[#This Row],[picking_time_seconds]]&gt;=60,"Average","Fast"))</f>
        <v>Slow</v>
      </c>
    </row>
    <row r="2435" spans="1:31" x14ac:dyDescent="0.25">
      <c r="A2435" t="s">
        <v>2573</v>
      </c>
      <c r="B2435" t="s">
        <v>73</v>
      </c>
      <c r="C2435">
        <v>36</v>
      </c>
      <c r="D2435">
        <v>69</v>
      </c>
      <c r="E2435">
        <v>13</v>
      </c>
      <c r="F2435">
        <v>9</v>
      </c>
      <c r="G2435">
        <v>5.53</v>
      </c>
      <c r="H2435">
        <v>1.51</v>
      </c>
      <c r="I2435">
        <v>0.84</v>
      </c>
      <c r="J2435" t="s">
        <v>106</v>
      </c>
      <c r="K2435" t="s">
        <v>52</v>
      </c>
      <c r="L2435">
        <v>48</v>
      </c>
      <c r="M2435">
        <v>2.17</v>
      </c>
      <c r="N2435">
        <v>166.44</v>
      </c>
      <c r="O2435">
        <v>0.5</v>
      </c>
      <c r="P2435">
        <v>4</v>
      </c>
      <c r="Q2435">
        <v>0.94</v>
      </c>
      <c r="R2435">
        <v>890</v>
      </c>
      <c r="S2435">
        <v>1.18</v>
      </c>
      <c r="T2435">
        <v>0.83</v>
      </c>
      <c r="U2435" s="1">
        <v>45635</v>
      </c>
      <c r="V2435">
        <v>53.4</v>
      </c>
      <c r="W2435">
        <v>0.64</v>
      </c>
      <c r="X2435" t="str">
        <f>IF(WarehouseData[[#This Row],[stock_level]]&lt;=WarehouseData[[#This Row],[reorder_point]],"Low Stock","Sufficient Stock")</f>
        <v>Low Stock</v>
      </c>
      <c r="Y2435">
        <f>WarehouseData[[#This Row],[daily_demand]]*WarehouseData[[#This Row],[lead_time_days]]</f>
        <v>49.77</v>
      </c>
      <c r="Z2435" t="str">
        <f>IF(WarehouseData[[#This Row],[stock_level]]&lt;=WarehouseData[[#This Row],[Demand During Lead Time]],"At Risk","Safe")</f>
        <v>At Risk</v>
      </c>
      <c r="AA2435">
        <f>WarehouseData[[#This Row],[stock_level]]/WarehouseData[[#This Row],[daily_demand]]</f>
        <v>6.5099457504520792</v>
      </c>
      <c r="AB2435">
        <f>WarehouseData[[#This Row],[stock_level]]*WarehouseData[[#This Row],[unit_price]]</f>
        <v>5991.84</v>
      </c>
      <c r="AC2435">
        <f>WarehouseData[[#This Row],[stock_level]]*WarehouseData[[#This Row],[holding_cost_per_unit_day]]*30</f>
        <v>540</v>
      </c>
      <c r="AD2435" t="str">
        <f>IF(WarehouseData[[#This Row],[order_fulfillment_rate]]&gt;=0.9,"Strong",IF(WarehouseData[[#This Row],[order_fulfillment_rate]]&gt;=0.8,"Moderate","Needs Attention"))</f>
        <v>Strong</v>
      </c>
      <c r="AE2435" t="str">
        <f>IF(WarehouseData[[#This Row],[picking_time_seconds]]&gt;120,"Slow",IF(WarehouseData[[#This Row],[picking_time_seconds]]&gt;=60,"Average","Fast"))</f>
        <v>Fast</v>
      </c>
    </row>
    <row r="2436" spans="1:31" x14ac:dyDescent="0.25">
      <c r="A2436" t="s">
        <v>2574</v>
      </c>
      <c r="B2436" t="s">
        <v>32</v>
      </c>
      <c r="C2436">
        <v>109</v>
      </c>
      <c r="D2436">
        <v>51</v>
      </c>
      <c r="E2436">
        <v>13</v>
      </c>
      <c r="F2436">
        <v>6</v>
      </c>
      <c r="G2436">
        <v>45.88</v>
      </c>
      <c r="H2436">
        <v>6.38</v>
      </c>
      <c r="I2436">
        <v>0.71</v>
      </c>
      <c r="J2436" t="s">
        <v>88</v>
      </c>
      <c r="K2436" t="s">
        <v>38</v>
      </c>
      <c r="L2436">
        <v>162</v>
      </c>
      <c r="M2436">
        <v>2.29</v>
      </c>
      <c r="N2436">
        <v>156.22</v>
      </c>
      <c r="O2436">
        <v>1.06</v>
      </c>
      <c r="P2436">
        <v>9</v>
      </c>
      <c r="Q2436">
        <v>0.83</v>
      </c>
      <c r="R2436">
        <v>811</v>
      </c>
      <c r="S2436">
        <v>1.77</v>
      </c>
      <c r="T2436">
        <v>0.76</v>
      </c>
      <c r="U2436" s="1">
        <v>45614</v>
      </c>
      <c r="V2436">
        <v>169.94</v>
      </c>
      <c r="W2436">
        <v>0.45600000000000002</v>
      </c>
      <c r="X2436" t="str">
        <f>IF(WarehouseData[[#This Row],[stock_level]]&lt;=WarehouseData[[#This Row],[reorder_point]],"Low Stock","Sufficient Stock")</f>
        <v>Sufficient Stock</v>
      </c>
      <c r="Y2436">
        <f>WarehouseData[[#This Row],[daily_demand]]*WarehouseData[[#This Row],[lead_time_days]]</f>
        <v>275.28000000000003</v>
      </c>
      <c r="Z2436" t="str">
        <f>IF(WarehouseData[[#This Row],[stock_level]]&lt;=WarehouseData[[#This Row],[Demand During Lead Time]],"At Risk","Safe")</f>
        <v>At Risk</v>
      </c>
      <c r="AA2436">
        <f>WarehouseData[[#This Row],[stock_level]]/WarehouseData[[#This Row],[daily_demand]]</f>
        <v>2.3757628596338272</v>
      </c>
      <c r="AB2436">
        <f>WarehouseData[[#This Row],[stock_level]]*WarehouseData[[#This Row],[unit_price]]</f>
        <v>17027.98</v>
      </c>
      <c r="AC2436">
        <f>WarehouseData[[#This Row],[stock_level]]*WarehouseData[[#This Row],[holding_cost_per_unit_day]]*30</f>
        <v>3466.2000000000003</v>
      </c>
      <c r="AD2436" t="str">
        <f>IF(WarehouseData[[#This Row],[order_fulfillment_rate]]&gt;=0.9,"Strong",IF(WarehouseData[[#This Row],[order_fulfillment_rate]]&gt;=0.8,"Moderate","Needs Attention"))</f>
        <v>Moderate</v>
      </c>
      <c r="AE2436" t="str">
        <f>IF(WarehouseData[[#This Row],[picking_time_seconds]]&gt;120,"Slow",IF(WarehouseData[[#This Row],[picking_time_seconds]]&gt;=60,"Average","Fast"))</f>
        <v>Slow</v>
      </c>
    </row>
    <row r="2437" spans="1:31" x14ac:dyDescent="0.25">
      <c r="A2437" t="s">
        <v>2575</v>
      </c>
      <c r="B2437" t="s">
        <v>36</v>
      </c>
      <c r="C2437">
        <v>160</v>
      </c>
      <c r="D2437">
        <v>52</v>
      </c>
      <c r="E2437">
        <v>7</v>
      </c>
      <c r="F2437">
        <v>3</v>
      </c>
      <c r="G2437">
        <v>39.15</v>
      </c>
      <c r="H2437">
        <v>6.39</v>
      </c>
      <c r="I2437">
        <v>0.86</v>
      </c>
      <c r="J2437" t="s">
        <v>158</v>
      </c>
      <c r="K2437" t="s">
        <v>52</v>
      </c>
      <c r="L2437">
        <v>73</v>
      </c>
      <c r="M2437">
        <v>1</v>
      </c>
      <c r="N2437">
        <v>135.91999999999999</v>
      </c>
      <c r="O2437">
        <v>0.41</v>
      </c>
      <c r="P2437">
        <v>8</v>
      </c>
      <c r="Q2437">
        <v>0.87</v>
      </c>
      <c r="R2437">
        <v>716</v>
      </c>
      <c r="S2437">
        <v>11.8</v>
      </c>
      <c r="T2437">
        <v>0.75</v>
      </c>
      <c r="U2437" s="1">
        <v>45401</v>
      </c>
      <c r="V2437">
        <v>26.87</v>
      </c>
      <c r="W2437">
        <v>0.68</v>
      </c>
      <c r="X2437" t="str">
        <f>IF(WarehouseData[[#This Row],[stock_level]]&lt;=WarehouseData[[#This Row],[reorder_point]],"Low Stock","Sufficient Stock")</f>
        <v>Sufficient Stock</v>
      </c>
      <c r="Y2437">
        <f>WarehouseData[[#This Row],[daily_demand]]*WarehouseData[[#This Row],[lead_time_days]]</f>
        <v>117.44999999999999</v>
      </c>
      <c r="Z2437" t="str">
        <f>IF(WarehouseData[[#This Row],[stock_level]]&lt;=WarehouseData[[#This Row],[Demand During Lead Time]],"At Risk","Safe")</f>
        <v>Safe</v>
      </c>
      <c r="AA2437">
        <f>WarehouseData[[#This Row],[stock_level]]/WarehouseData[[#This Row],[daily_demand]]</f>
        <v>4.0868454661558111</v>
      </c>
      <c r="AB2437">
        <f>WarehouseData[[#This Row],[stock_level]]*WarehouseData[[#This Row],[unit_price]]</f>
        <v>21747.199999999997</v>
      </c>
      <c r="AC2437">
        <f>WarehouseData[[#This Row],[stock_level]]*WarehouseData[[#This Row],[holding_cost_per_unit_day]]*30</f>
        <v>1967.9999999999998</v>
      </c>
      <c r="AD2437" t="str">
        <f>IF(WarehouseData[[#This Row],[order_fulfillment_rate]]&gt;=0.9,"Strong",IF(WarehouseData[[#This Row],[order_fulfillment_rate]]&gt;=0.8,"Moderate","Needs Attention"))</f>
        <v>Moderate</v>
      </c>
      <c r="AE2437" t="str">
        <f>IF(WarehouseData[[#This Row],[picking_time_seconds]]&gt;120,"Slow",IF(WarehouseData[[#This Row],[picking_time_seconds]]&gt;=60,"Average","Fast"))</f>
        <v>Average</v>
      </c>
    </row>
    <row r="2438" spans="1:31" x14ac:dyDescent="0.25">
      <c r="A2438" t="s">
        <v>2576</v>
      </c>
      <c r="B2438" t="s">
        <v>40</v>
      </c>
      <c r="C2438">
        <v>164</v>
      </c>
      <c r="D2438">
        <v>89</v>
      </c>
      <c r="E2438">
        <v>5</v>
      </c>
      <c r="F2438">
        <v>6</v>
      </c>
      <c r="G2438">
        <v>3.76</v>
      </c>
      <c r="H2438">
        <v>0.86</v>
      </c>
      <c r="I2438">
        <v>0.75</v>
      </c>
      <c r="J2438" t="s">
        <v>92</v>
      </c>
      <c r="K2438" t="s">
        <v>34</v>
      </c>
      <c r="L2438">
        <v>113</v>
      </c>
      <c r="M2438">
        <v>1.58</v>
      </c>
      <c r="N2438">
        <v>180.39</v>
      </c>
      <c r="O2438">
        <v>1.79</v>
      </c>
      <c r="P2438">
        <v>5</v>
      </c>
      <c r="Q2438">
        <v>0.8</v>
      </c>
      <c r="R2438">
        <v>461</v>
      </c>
      <c r="S2438">
        <v>5.69</v>
      </c>
      <c r="T2438">
        <v>0.32</v>
      </c>
      <c r="U2438" s="1">
        <v>45642</v>
      </c>
      <c r="V2438">
        <v>142.91999999999999</v>
      </c>
      <c r="W2438">
        <v>0.42099999999999999</v>
      </c>
      <c r="X2438" t="str">
        <f>IF(WarehouseData[[#This Row],[stock_level]]&lt;=WarehouseData[[#This Row],[reorder_point]],"Low Stock","Sufficient Stock")</f>
        <v>Sufficient Stock</v>
      </c>
      <c r="Y2438">
        <f>WarehouseData[[#This Row],[daily_demand]]*WarehouseData[[#This Row],[lead_time_days]]</f>
        <v>22.56</v>
      </c>
      <c r="Z2438" t="str">
        <f>IF(WarehouseData[[#This Row],[stock_level]]&lt;=WarehouseData[[#This Row],[Demand During Lead Time]],"At Risk","Safe")</f>
        <v>Safe</v>
      </c>
      <c r="AA2438">
        <f>WarehouseData[[#This Row],[stock_level]]/WarehouseData[[#This Row],[daily_demand]]</f>
        <v>43.61702127659575</v>
      </c>
      <c r="AB2438">
        <f>WarehouseData[[#This Row],[stock_level]]*WarehouseData[[#This Row],[unit_price]]</f>
        <v>29583.96</v>
      </c>
      <c r="AC2438">
        <f>WarehouseData[[#This Row],[stock_level]]*WarehouseData[[#This Row],[holding_cost_per_unit_day]]*30</f>
        <v>8806.7999999999993</v>
      </c>
      <c r="AD2438" t="str">
        <f>IF(WarehouseData[[#This Row],[order_fulfillment_rate]]&gt;=0.9,"Strong",IF(WarehouseData[[#This Row],[order_fulfillment_rate]]&gt;=0.8,"Moderate","Needs Attention"))</f>
        <v>Moderate</v>
      </c>
      <c r="AE2438" t="str">
        <f>IF(WarehouseData[[#This Row],[picking_time_seconds]]&gt;120,"Slow",IF(WarehouseData[[#This Row],[picking_time_seconds]]&gt;=60,"Average","Fast"))</f>
        <v>Average</v>
      </c>
    </row>
    <row r="2439" spans="1:31" x14ac:dyDescent="0.25">
      <c r="A2439" t="s">
        <v>2577</v>
      </c>
      <c r="B2439" t="s">
        <v>36</v>
      </c>
      <c r="C2439">
        <v>185</v>
      </c>
      <c r="D2439">
        <v>83</v>
      </c>
      <c r="E2439">
        <v>4</v>
      </c>
      <c r="F2439">
        <v>2</v>
      </c>
      <c r="G2439">
        <v>26.73</v>
      </c>
      <c r="H2439">
        <v>3.26</v>
      </c>
      <c r="I2439">
        <v>0.91</v>
      </c>
      <c r="J2439" t="s">
        <v>33</v>
      </c>
      <c r="K2439" t="s">
        <v>38</v>
      </c>
      <c r="L2439">
        <v>22</v>
      </c>
      <c r="M2439">
        <v>1.24</v>
      </c>
      <c r="N2439">
        <v>57.8</v>
      </c>
      <c r="O2439">
        <v>1.45</v>
      </c>
      <c r="P2439">
        <v>8</v>
      </c>
      <c r="Q2439">
        <v>0.91</v>
      </c>
      <c r="R2439">
        <v>982</v>
      </c>
      <c r="S2439">
        <v>12.12</v>
      </c>
      <c r="T2439">
        <v>0.57999999999999996</v>
      </c>
      <c r="U2439" s="1">
        <v>45509</v>
      </c>
      <c r="V2439">
        <v>125.19</v>
      </c>
      <c r="W2439">
        <v>0.55500000000000005</v>
      </c>
      <c r="X2439" t="str">
        <f>IF(WarehouseData[[#This Row],[stock_level]]&lt;=WarehouseData[[#This Row],[reorder_point]],"Low Stock","Sufficient Stock")</f>
        <v>Sufficient Stock</v>
      </c>
      <c r="Y2439">
        <f>WarehouseData[[#This Row],[daily_demand]]*WarehouseData[[#This Row],[lead_time_days]]</f>
        <v>53.46</v>
      </c>
      <c r="Z2439" t="str">
        <f>IF(WarehouseData[[#This Row],[stock_level]]&lt;=WarehouseData[[#This Row],[Demand During Lead Time]],"At Risk","Safe")</f>
        <v>Safe</v>
      </c>
      <c r="AA2439">
        <f>WarehouseData[[#This Row],[stock_level]]/WarehouseData[[#This Row],[daily_demand]]</f>
        <v>6.9210624766180322</v>
      </c>
      <c r="AB2439">
        <f>WarehouseData[[#This Row],[stock_level]]*WarehouseData[[#This Row],[unit_price]]</f>
        <v>10693</v>
      </c>
      <c r="AC2439">
        <f>WarehouseData[[#This Row],[stock_level]]*WarehouseData[[#This Row],[holding_cost_per_unit_day]]*30</f>
        <v>8047.5</v>
      </c>
      <c r="AD2439" t="str">
        <f>IF(WarehouseData[[#This Row],[order_fulfillment_rate]]&gt;=0.9,"Strong",IF(WarehouseData[[#This Row],[order_fulfillment_rate]]&gt;=0.8,"Moderate","Needs Attention"))</f>
        <v>Strong</v>
      </c>
      <c r="AE2439" t="str">
        <f>IF(WarehouseData[[#This Row],[picking_time_seconds]]&gt;120,"Slow",IF(WarehouseData[[#This Row],[picking_time_seconds]]&gt;=60,"Average","Fast"))</f>
        <v>Fast</v>
      </c>
    </row>
    <row r="2440" spans="1:31" x14ac:dyDescent="0.25">
      <c r="A2440" t="s">
        <v>2578</v>
      </c>
      <c r="B2440" t="s">
        <v>48</v>
      </c>
      <c r="C2440">
        <v>356</v>
      </c>
      <c r="D2440">
        <v>58</v>
      </c>
      <c r="E2440">
        <v>11</v>
      </c>
      <c r="F2440">
        <v>3</v>
      </c>
      <c r="G2440">
        <v>5.09</v>
      </c>
      <c r="H2440">
        <v>4.43</v>
      </c>
      <c r="I2440">
        <v>0.24</v>
      </c>
      <c r="J2440" t="s">
        <v>311</v>
      </c>
      <c r="K2440" t="s">
        <v>46</v>
      </c>
      <c r="L2440">
        <v>77</v>
      </c>
      <c r="M2440">
        <v>1.22</v>
      </c>
      <c r="N2440">
        <v>165.95</v>
      </c>
      <c r="O2440">
        <v>0.15</v>
      </c>
      <c r="P2440">
        <v>3</v>
      </c>
      <c r="Q2440">
        <v>0.9</v>
      </c>
      <c r="R2440">
        <v>128</v>
      </c>
      <c r="S2440">
        <v>7.72</v>
      </c>
      <c r="T2440">
        <v>0.66</v>
      </c>
      <c r="U2440" s="1">
        <v>45345</v>
      </c>
      <c r="V2440">
        <v>57.62</v>
      </c>
      <c r="W2440">
        <v>0.74</v>
      </c>
      <c r="X2440" t="str">
        <f>IF(WarehouseData[[#This Row],[stock_level]]&lt;=WarehouseData[[#This Row],[reorder_point]],"Low Stock","Sufficient Stock")</f>
        <v>Sufficient Stock</v>
      </c>
      <c r="Y2440">
        <f>WarehouseData[[#This Row],[daily_demand]]*WarehouseData[[#This Row],[lead_time_days]]</f>
        <v>15.27</v>
      </c>
      <c r="Z2440" t="str">
        <f>IF(WarehouseData[[#This Row],[stock_level]]&lt;=WarehouseData[[#This Row],[Demand During Lead Time]],"At Risk","Safe")</f>
        <v>Safe</v>
      </c>
      <c r="AA2440">
        <f>WarehouseData[[#This Row],[stock_level]]/WarehouseData[[#This Row],[daily_demand]]</f>
        <v>69.941060903732804</v>
      </c>
      <c r="AB2440">
        <f>WarehouseData[[#This Row],[stock_level]]*WarehouseData[[#This Row],[unit_price]]</f>
        <v>59078.2</v>
      </c>
      <c r="AC2440">
        <f>WarehouseData[[#This Row],[stock_level]]*WarehouseData[[#This Row],[holding_cost_per_unit_day]]*30</f>
        <v>1602</v>
      </c>
      <c r="AD2440" t="str">
        <f>IF(WarehouseData[[#This Row],[order_fulfillment_rate]]&gt;=0.9,"Strong",IF(WarehouseData[[#This Row],[order_fulfillment_rate]]&gt;=0.8,"Moderate","Needs Attention"))</f>
        <v>Strong</v>
      </c>
      <c r="AE2440" t="str">
        <f>IF(WarehouseData[[#This Row],[picking_time_seconds]]&gt;120,"Slow",IF(WarehouseData[[#This Row],[picking_time_seconds]]&gt;=60,"Average","Fast"))</f>
        <v>Average</v>
      </c>
    </row>
    <row r="2441" spans="1:31" x14ac:dyDescent="0.25">
      <c r="A2441" t="s">
        <v>2579</v>
      </c>
      <c r="B2441" t="s">
        <v>32</v>
      </c>
      <c r="C2441">
        <v>97</v>
      </c>
      <c r="D2441">
        <v>73</v>
      </c>
      <c r="E2441">
        <v>3</v>
      </c>
      <c r="F2441">
        <v>5</v>
      </c>
      <c r="G2441">
        <v>42.03</v>
      </c>
      <c r="H2441">
        <v>5.73</v>
      </c>
      <c r="I2441">
        <v>0.45</v>
      </c>
      <c r="J2441" t="s">
        <v>152</v>
      </c>
      <c r="K2441" t="s">
        <v>46</v>
      </c>
      <c r="L2441">
        <v>79</v>
      </c>
      <c r="M2441">
        <v>0.54</v>
      </c>
      <c r="N2441">
        <v>81.78</v>
      </c>
      <c r="O2441">
        <v>1.77</v>
      </c>
      <c r="P2441">
        <v>0</v>
      </c>
      <c r="Q2441">
        <v>0.82</v>
      </c>
      <c r="R2441">
        <v>68</v>
      </c>
      <c r="S2441">
        <v>12.28</v>
      </c>
      <c r="T2441">
        <v>0.38</v>
      </c>
      <c r="U2441" s="1">
        <v>45397</v>
      </c>
      <c r="V2441">
        <v>57.56</v>
      </c>
      <c r="W2441">
        <v>0.627</v>
      </c>
      <c r="X2441" t="str">
        <f>IF(WarehouseData[[#This Row],[stock_level]]&lt;=WarehouseData[[#This Row],[reorder_point]],"Low Stock","Sufficient Stock")</f>
        <v>Sufficient Stock</v>
      </c>
      <c r="Y2441">
        <f>WarehouseData[[#This Row],[daily_demand]]*WarehouseData[[#This Row],[lead_time_days]]</f>
        <v>210.15</v>
      </c>
      <c r="Z2441" t="str">
        <f>IF(WarehouseData[[#This Row],[stock_level]]&lt;=WarehouseData[[#This Row],[Demand During Lead Time]],"At Risk","Safe")</f>
        <v>At Risk</v>
      </c>
      <c r="AA2441">
        <f>WarehouseData[[#This Row],[stock_level]]/WarehouseData[[#This Row],[daily_demand]]</f>
        <v>2.3078753271472756</v>
      </c>
      <c r="AB2441">
        <f>WarehouseData[[#This Row],[stock_level]]*WarehouseData[[#This Row],[unit_price]]</f>
        <v>7932.66</v>
      </c>
      <c r="AC2441">
        <f>WarehouseData[[#This Row],[stock_level]]*WarehouseData[[#This Row],[holding_cost_per_unit_day]]*30</f>
        <v>5150.7</v>
      </c>
      <c r="AD2441" t="str">
        <f>IF(WarehouseData[[#This Row],[order_fulfillment_rate]]&gt;=0.9,"Strong",IF(WarehouseData[[#This Row],[order_fulfillment_rate]]&gt;=0.8,"Moderate","Needs Attention"))</f>
        <v>Moderate</v>
      </c>
      <c r="AE2441" t="str">
        <f>IF(WarehouseData[[#This Row],[picking_time_seconds]]&gt;120,"Slow",IF(WarehouseData[[#This Row],[picking_time_seconds]]&gt;=60,"Average","Fast"))</f>
        <v>Average</v>
      </c>
    </row>
    <row r="2442" spans="1:31" x14ac:dyDescent="0.25">
      <c r="A2442" t="s">
        <v>2580</v>
      </c>
      <c r="B2442" t="s">
        <v>32</v>
      </c>
      <c r="C2442">
        <v>448</v>
      </c>
      <c r="D2442">
        <v>41</v>
      </c>
      <c r="E2442">
        <v>11</v>
      </c>
      <c r="F2442">
        <v>2</v>
      </c>
      <c r="G2442">
        <v>31.04</v>
      </c>
      <c r="H2442">
        <v>3.31</v>
      </c>
      <c r="I2442">
        <v>0.52</v>
      </c>
      <c r="J2442" t="s">
        <v>259</v>
      </c>
      <c r="K2442" t="s">
        <v>34</v>
      </c>
      <c r="L2442">
        <v>84</v>
      </c>
      <c r="M2442">
        <v>4.07</v>
      </c>
      <c r="N2442">
        <v>164.37</v>
      </c>
      <c r="O2442">
        <v>1.96</v>
      </c>
      <c r="P2442">
        <v>3</v>
      </c>
      <c r="Q2442">
        <v>0.78</v>
      </c>
      <c r="R2442">
        <v>527</v>
      </c>
      <c r="S2442">
        <v>10.29</v>
      </c>
      <c r="T2442">
        <v>0.81</v>
      </c>
      <c r="U2442" s="1">
        <v>45567</v>
      </c>
      <c r="V2442">
        <v>140.53</v>
      </c>
      <c r="W2442">
        <v>0.59899999999999998</v>
      </c>
      <c r="X2442" t="str">
        <f>IF(WarehouseData[[#This Row],[stock_level]]&lt;=WarehouseData[[#This Row],[reorder_point]],"Low Stock","Sufficient Stock")</f>
        <v>Sufficient Stock</v>
      </c>
      <c r="Y2442">
        <f>WarehouseData[[#This Row],[daily_demand]]*WarehouseData[[#This Row],[lead_time_days]]</f>
        <v>62.08</v>
      </c>
      <c r="Z2442" t="str">
        <f>IF(WarehouseData[[#This Row],[stock_level]]&lt;=WarehouseData[[#This Row],[Demand During Lead Time]],"At Risk","Safe")</f>
        <v>Safe</v>
      </c>
      <c r="AA2442">
        <f>WarehouseData[[#This Row],[stock_level]]/WarehouseData[[#This Row],[daily_demand]]</f>
        <v>14.43298969072165</v>
      </c>
      <c r="AB2442">
        <f>WarehouseData[[#This Row],[stock_level]]*WarehouseData[[#This Row],[unit_price]]</f>
        <v>73637.760000000009</v>
      </c>
      <c r="AC2442">
        <f>WarehouseData[[#This Row],[stock_level]]*WarehouseData[[#This Row],[holding_cost_per_unit_day]]*30</f>
        <v>26342.399999999998</v>
      </c>
      <c r="AD2442" t="str">
        <f>IF(WarehouseData[[#This Row],[order_fulfillment_rate]]&gt;=0.9,"Strong",IF(WarehouseData[[#This Row],[order_fulfillment_rate]]&gt;=0.8,"Moderate","Needs Attention"))</f>
        <v>Needs Attention</v>
      </c>
      <c r="AE2442" t="str">
        <f>IF(WarehouseData[[#This Row],[picking_time_seconds]]&gt;120,"Slow",IF(WarehouseData[[#This Row],[picking_time_seconds]]&gt;=60,"Average","Fast"))</f>
        <v>Average</v>
      </c>
    </row>
    <row r="2443" spans="1:31" x14ac:dyDescent="0.25">
      <c r="A2443" t="s">
        <v>2581</v>
      </c>
      <c r="B2443" t="s">
        <v>48</v>
      </c>
      <c r="C2443">
        <v>281</v>
      </c>
      <c r="D2443">
        <v>73</v>
      </c>
      <c r="E2443">
        <v>3</v>
      </c>
      <c r="F2443">
        <v>6</v>
      </c>
      <c r="G2443">
        <v>9.4499999999999993</v>
      </c>
      <c r="H2443">
        <v>3.23</v>
      </c>
      <c r="I2443">
        <v>0.37</v>
      </c>
      <c r="J2443" t="s">
        <v>51</v>
      </c>
      <c r="K2443" t="s">
        <v>38</v>
      </c>
      <c r="L2443">
        <v>10</v>
      </c>
      <c r="M2443">
        <v>2.61</v>
      </c>
      <c r="N2443">
        <v>103.82</v>
      </c>
      <c r="O2443">
        <v>1.05</v>
      </c>
      <c r="P2443">
        <v>8</v>
      </c>
      <c r="Q2443">
        <v>0.88</v>
      </c>
      <c r="R2443">
        <v>996</v>
      </c>
      <c r="S2443">
        <v>3.81</v>
      </c>
      <c r="T2443">
        <v>0.3</v>
      </c>
      <c r="U2443" s="1">
        <v>45651</v>
      </c>
      <c r="V2443">
        <v>46.71</v>
      </c>
      <c r="W2443">
        <v>0.42199999999999999</v>
      </c>
      <c r="X2443" t="str">
        <f>IF(WarehouseData[[#This Row],[stock_level]]&lt;=WarehouseData[[#This Row],[reorder_point]],"Low Stock","Sufficient Stock")</f>
        <v>Sufficient Stock</v>
      </c>
      <c r="Y2443">
        <f>WarehouseData[[#This Row],[daily_demand]]*WarehouseData[[#This Row],[lead_time_days]]</f>
        <v>56.699999999999996</v>
      </c>
      <c r="Z2443" t="str">
        <f>IF(WarehouseData[[#This Row],[stock_level]]&lt;=WarehouseData[[#This Row],[Demand During Lead Time]],"At Risk","Safe")</f>
        <v>Safe</v>
      </c>
      <c r="AA2443">
        <f>WarehouseData[[#This Row],[stock_level]]/WarehouseData[[#This Row],[daily_demand]]</f>
        <v>29.735449735449738</v>
      </c>
      <c r="AB2443">
        <f>WarehouseData[[#This Row],[stock_level]]*WarehouseData[[#This Row],[unit_price]]</f>
        <v>29173.42</v>
      </c>
      <c r="AC2443">
        <f>WarehouseData[[#This Row],[stock_level]]*WarehouseData[[#This Row],[holding_cost_per_unit_day]]*30</f>
        <v>8851.5</v>
      </c>
      <c r="AD2443" t="str">
        <f>IF(WarehouseData[[#This Row],[order_fulfillment_rate]]&gt;=0.9,"Strong",IF(WarehouseData[[#This Row],[order_fulfillment_rate]]&gt;=0.8,"Moderate","Needs Attention"))</f>
        <v>Moderate</v>
      </c>
      <c r="AE2443" t="str">
        <f>IF(WarehouseData[[#This Row],[picking_time_seconds]]&gt;120,"Slow",IF(WarehouseData[[#This Row],[picking_time_seconds]]&gt;=60,"Average","Fast"))</f>
        <v>Fast</v>
      </c>
    </row>
    <row r="2444" spans="1:31" x14ac:dyDescent="0.25">
      <c r="A2444" t="s">
        <v>2582</v>
      </c>
      <c r="B2444" t="s">
        <v>48</v>
      </c>
      <c r="C2444">
        <v>182</v>
      </c>
      <c r="D2444">
        <v>11</v>
      </c>
      <c r="E2444">
        <v>9</v>
      </c>
      <c r="F2444">
        <v>6</v>
      </c>
      <c r="G2444">
        <v>2.02</v>
      </c>
      <c r="H2444">
        <v>9.84</v>
      </c>
      <c r="I2444">
        <v>0.75</v>
      </c>
      <c r="J2444" t="s">
        <v>139</v>
      </c>
      <c r="K2444" t="s">
        <v>52</v>
      </c>
      <c r="L2444">
        <v>107</v>
      </c>
      <c r="M2444">
        <v>4.12</v>
      </c>
      <c r="N2444">
        <v>172.96</v>
      </c>
      <c r="O2444">
        <v>0.7</v>
      </c>
      <c r="P2444">
        <v>6</v>
      </c>
      <c r="Q2444">
        <v>0.98</v>
      </c>
      <c r="R2444">
        <v>830</v>
      </c>
      <c r="S2444">
        <v>7.27</v>
      </c>
      <c r="T2444">
        <v>0.32</v>
      </c>
      <c r="U2444" s="1">
        <v>45514</v>
      </c>
      <c r="V2444">
        <v>95.49</v>
      </c>
      <c r="W2444">
        <v>0.56699999999999995</v>
      </c>
      <c r="X2444" t="str">
        <f>IF(WarehouseData[[#This Row],[stock_level]]&lt;=WarehouseData[[#This Row],[reorder_point]],"Low Stock","Sufficient Stock")</f>
        <v>Sufficient Stock</v>
      </c>
      <c r="Y2444">
        <f>WarehouseData[[#This Row],[daily_demand]]*WarehouseData[[#This Row],[lead_time_days]]</f>
        <v>12.120000000000001</v>
      </c>
      <c r="Z2444" t="str">
        <f>IF(WarehouseData[[#This Row],[stock_level]]&lt;=WarehouseData[[#This Row],[Demand During Lead Time]],"At Risk","Safe")</f>
        <v>Safe</v>
      </c>
      <c r="AA2444">
        <f>WarehouseData[[#This Row],[stock_level]]/WarehouseData[[#This Row],[daily_demand]]</f>
        <v>90.099009900990097</v>
      </c>
      <c r="AB2444">
        <f>WarehouseData[[#This Row],[stock_level]]*WarehouseData[[#This Row],[unit_price]]</f>
        <v>31478.720000000001</v>
      </c>
      <c r="AC2444">
        <f>WarehouseData[[#This Row],[stock_level]]*WarehouseData[[#This Row],[holding_cost_per_unit_day]]*30</f>
        <v>3821.9999999999995</v>
      </c>
      <c r="AD2444" t="str">
        <f>IF(WarehouseData[[#This Row],[order_fulfillment_rate]]&gt;=0.9,"Strong",IF(WarehouseData[[#This Row],[order_fulfillment_rate]]&gt;=0.8,"Moderate","Needs Attention"))</f>
        <v>Strong</v>
      </c>
      <c r="AE2444" t="str">
        <f>IF(WarehouseData[[#This Row],[picking_time_seconds]]&gt;120,"Slow",IF(WarehouseData[[#This Row],[picking_time_seconds]]&gt;=60,"Average","Fast"))</f>
        <v>Average</v>
      </c>
    </row>
    <row r="2445" spans="1:31" x14ac:dyDescent="0.25">
      <c r="A2445" t="s">
        <v>2583</v>
      </c>
      <c r="B2445" t="s">
        <v>40</v>
      </c>
      <c r="C2445">
        <v>385</v>
      </c>
      <c r="D2445">
        <v>33</v>
      </c>
      <c r="E2445">
        <v>8</v>
      </c>
      <c r="F2445">
        <v>5</v>
      </c>
      <c r="G2445">
        <v>2.5499999999999998</v>
      </c>
      <c r="H2445">
        <v>0.9</v>
      </c>
      <c r="I2445">
        <v>0.92</v>
      </c>
      <c r="J2445" t="s">
        <v>86</v>
      </c>
      <c r="K2445" t="s">
        <v>38</v>
      </c>
      <c r="L2445">
        <v>113</v>
      </c>
      <c r="M2445">
        <v>3.26</v>
      </c>
      <c r="N2445">
        <v>180.02</v>
      </c>
      <c r="O2445">
        <v>0.6</v>
      </c>
      <c r="P2445">
        <v>5</v>
      </c>
      <c r="Q2445">
        <v>0.74</v>
      </c>
      <c r="R2445">
        <v>94</v>
      </c>
      <c r="S2445">
        <v>10.86</v>
      </c>
      <c r="T2445">
        <v>0.53</v>
      </c>
      <c r="U2445" s="1">
        <v>45623</v>
      </c>
      <c r="V2445">
        <v>30.65</v>
      </c>
      <c r="W2445">
        <v>0.63900000000000001</v>
      </c>
      <c r="X2445" t="str">
        <f>IF(WarehouseData[[#This Row],[stock_level]]&lt;=WarehouseData[[#This Row],[reorder_point]],"Low Stock","Sufficient Stock")</f>
        <v>Sufficient Stock</v>
      </c>
      <c r="Y2445">
        <f>WarehouseData[[#This Row],[daily_demand]]*WarehouseData[[#This Row],[lead_time_days]]</f>
        <v>12.75</v>
      </c>
      <c r="Z2445" t="str">
        <f>IF(WarehouseData[[#This Row],[stock_level]]&lt;=WarehouseData[[#This Row],[Demand During Lead Time]],"At Risk","Safe")</f>
        <v>Safe</v>
      </c>
      <c r="AA2445">
        <f>WarehouseData[[#This Row],[stock_level]]/WarehouseData[[#This Row],[daily_demand]]</f>
        <v>150.98039215686276</v>
      </c>
      <c r="AB2445">
        <f>WarehouseData[[#This Row],[stock_level]]*WarehouseData[[#This Row],[unit_price]]</f>
        <v>69307.7</v>
      </c>
      <c r="AC2445">
        <f>WarehouseData[[#This Row],[stock_level]]*WarehouseData[[#This Row],[holding_cost_per_unit_day]]*30</f>
        <v>6930</v>
      </c>
      <c r="AD2445" t="str">
        <f>IF(WarehouseData[[#This Row],[order_fulfillment_rate]]&gt;=0.9,"Strong",IF(WarehouseData[[#This Row],[order_fulfillment_rate]]&gt;=0.8,"Moderate","Needs Attention"))</f>
        <v>Needs Attention</v>
      </c>
      <c r="AE2445" t="str">
        <f>IF(WarehouseData[[#This Row],[picking_time_seconds]]&gt;120,"Slow",IF(WarehouseData[[#This Row],[picking_time_seconds]]&gt;=60,"Average","Fast"))</f>
        <v>Average</v>
      </c>
    </row>
    <row r="2446" spans="1:31" x14ac:dyDescent="0.25">
      <c r="A2446" t="s">
        <v>2584</v>
      </c>
      <c r="B2446" t="s">
        <v>32</v>
      </c>
      <c r="C2446">
        <v>33</v>
      </c>
      <c r="D2446">
        <v>96</v>
      </c>
      <c r="E2446">
        <v>9</v>
      </c>
      <c r="F2446">
        <v>2</v>
      </c>
      <c r="G2446">
        <v>25.86</v>
      </c>
      <c r="H2446">
        <v>9.9</v>
      </c>
      <c r="I2446">
        <v>0.47</v>
      </c>
      <c r="J2446" t="s">
        <v>54</v>
      </c>
      <c r="K2446" t="s">
        <v>46</v>
      </c>
      <c r="L2446">
        <v>125</v>
      </c>
      <c r="M2446">
        <v>4.24</v>
      </c>
      <c r="N2446">
        <v>123.55</v>
      </c>
      <c r="O2446">
        <v>0.27</v>
      </c>
      <c r="P2446">
        <v>1</v>
      </c>
      <c r="Q2446">
        <v>0.94</v>
      </c>
      <c r="R2446">
        <v>823</v>
      </c>
      <c r="S2446">
        <v>5.63</v>
      </c>
      <c r="T2446">
        <v>0.31</v>
      </c>
      <c r="U2446" s="1">
        <v>45328</v>
      </c>
      <c r="V2446">
        <v>96.22</v>
      </c>
      <c r="W2446">
        <v>0.67800000000000005</v>
      </c>
      <c r="X2446" t="str">
        <f>IF(WarehouseData[[#This Row],[stock_level]]&lt;=WarehouseData[[#This Row],[reorder_point]],"Low Stock","Sufficient Stock")</f>
        <v>Low Stock</v>
      </c>
      <c r="Y2446">
        <f>WarehouseData[[#This Row],[daily_demand]]*WarehouseData[[#This Row],[lead_time_days]]</f>
        <v>51.72</v>
      </c>
      <c r="Z2446" t="str">
        <f>IF(WarehouseData[[#This Row],[stock_level]]&lt;=WarehouseData[[#This Row],[Demand During Lead Time]],"At Risk","Safe")</f>
        <v>At Risk</v>
      </c>
      <c r="AA2446">
        <f>WarehouseData[[#This Row],[stock_level]]/WarehouseData[[#This Row],[daily_demand]]</f>
        <v>1.2761020881670533</v>
      </c>
      <c r="AB2446">
        <f>WarehouseData[[#This Row],[stock_level]]*WarehouseData[[#This Row],[unit_price]]</f>
        <v>4077.15</v>
      </c>
      <c r="AC2446">
        <f>WarehouseData[[#This Row],[stock_level]]*WarehouseData[[#This Row],[holding_cost_per_unit_day]]*30</f>
        <v>267.3</v>
      </c>
      <c r="AD2446" t="str">
        <f>IF(WarehouseData[[#This Row],[order_fulfillment_rate]]&gt;=0.9,"Strong",IF(WarehouseData[[#This Row],[order_fulfillment_rate]]&gt;=0.8,"Moderate","Needs Attention"))</f>
        <v>Strong</v>
      </c>
      <c r="AE2446" t="str">
        <f>IF(WarehouseData[[#This Row],[picking_time_seconds]]&gt;120,"Slow",IF(WarehouseData[[#This Row],[picking_time_seconds]]&gt;=60,"Average","Fast"))</f>
        <v>Slow</v>
      </c>
    </row>
    <row r="2447" spans="1:31" x14ac:dyDescent="0.25">
      <c r="A2447" t="s">
        <v>2585</v>
      </c>
      <c r="B2447" t="s">
        <v>32</v>
      </c>
      <c r="C2447">
        <v>258</v>
      </c>
      <c r="D2447">
        <v>75</v>
      </c>
      <c r="E2447">
        <v>5</v>
      </c>
      <c r="F2447">
        <v>8</v>
      </c>
      <c r="G2447">
        <v>36.979999999999997</v>
      </c>
      <c r="H2447">
        <v>0.95</v>
      </c>
      <c r="I2447">
        <v>0.95</v>
      </c>
      <c r="J2447" t="s">
        <v>340</v>
      </c>
      <c r="K2447" t="s">
        <v>38</v>
      </c>
      <c r="L2447">
        <v>146</v>
      </c>
      <c r="M2447">
        <v>2.77</v>
      </c>
      <c r="N2447">
        <v>106.45</v>
      </c>
      <c r="O2447">
        <v>1.03</v>
      </c>
      <c r="P2447">
        <v>3</v>
      </c>
      <c r="Q2447">
        <v>0.86</v>
      </c>
      <c r="R2447">
        <v>271</v>
      </c>
      <c r="S2447">
        <v>3.71</v>
      </c>
      <c r="T2447">
        <v>0.21</v>
      </c>
      <c r="U2447" s="1">
        <v>45643</v>
      </c>
      <c r="V2447">
        <v>164.77</v>
      </c>
      <c r="W2447">
        <v>0.5</v>
      </c>
      <c r="X2447" t="str">
        <f>IF(WarehouseData[[#This Row],[stock_level]]&lt;=WarehouseData[[#This Row],[reorder_point]],"Low Stock","Sufficient Stock")</f>
        <v>Sufficient Stock</v>
      </c>
      <c r="Y2447">
        <f>WarehouseData[[#This Row],[daily_demand]]*WarehouseData[[#This Row],[lead_time_days]]</f>
        <v>295.83999999999997</v>
      </c>
      <c r="Z2447" t="str">
        <f>IF(WarehouseData[[#This Row],[stock_level]]&lt;=WarehouseData[[#This Row],[Demand During Lead Time]],"At Risk","Safe")</f>
        <v>At Risk</v>
      </c>
      <c r="AA2447">
        <f>WarehouseData[[#This Row],[stock_level]]/WarehouseData[[#This Row],[daily_demand]]</f>
        <v>6.9767441860465125</v>
      </c>
      <c r="AB2447">
        <f>WarehouseData[[#This Row],[stock_level]]*WarehouseData[[#This Row],[unit_price]]</f>
        <v>27464.100000000002</v>
      </c>
      <c r="AC2447">
        <f>WarehouseData[[#This Row],[stock_level]]*WarehouseData[[#This Row],[holding_cost_per_unit_day]]*30</f>
        <v>7972.2000000000007</v>
      </c>
      <c r="AD2447" t="str">
        <f>IF(WarehouseData[[#This Row],[order_fulfillment_rate]]&gt;=0.9,"Strong",IF(WarehouseData[[#This Row],[order_fulfillment_rate]]&gt;=0.8,"Moderate","Needs Attention"))</f>
        <v>Moderate</v>
      </c>
      <c r="AE2447" t="str">
        <f>IF(WarehouseData[[#This Row],[picking_time_seconds]]&gt;120,"Slow",IF(WarehouseData[[#This Row],[picking_time_seconds]]&gt;=60,"Average","Fast"))</f>
        <v>Slow</v>
      </c>
    </row>
    <row r="2448" spans="1:31" x14ac:dyDescent="0.25">
      <c r="A2448" t="s">
        <v>2586</v>
      </c>
      <c r="B2448" t="s">
        <v>40</v>
      </c>
      <c r="C2448">
        <v>91</v>
      </c>
      <c r="D2448">
        <v>47</v>
      </c>
      <c r="E2448">
        <v>5</v>
      </c>
      <c r="F2448">
        <v>7</v>
      </c>
      <c r="G2448">
        <v>6.92</v>
      </c>
      <c r="H2448">
        <v>3.24</v>
      </c>
      <c r="I2448">
        <v>0.56999999999999995</v>
      </c>
      <c r="J2448" t="s">
        <v>234</v>
      </c>
      <c r="K2448" t="s">
        <v>38</v>
      </c>
      <c r="L2448">
        <v>173</v>
      </c>
      <c r="M2448">
        <v>0.92</v>
      </c>
      <c r="N2448">
        <v>158.82</v>
      </c>
      <c r="O2448">
        <v>0.2</v>
      </c>
      <c r="P2448">
        <v>0</v>
      </c>
      <c r="Q2448">
        <v>0.86</v>
      </c>
      <c r="R2448">
        <v>178</v>
      </c>
      <c r="S2448">
        <v>8.56</v>
      </c>
      <c r="T2448">
        <v>0.53</v>
      </c>
      <c r="U2448" s="1">
        <v>45370</v>
      </c>
      <c r="V2448">
        <v>225.72</v>
      </c>
      <c r="W2448">
        <v>0.77200000000000002</v>
      </c>
      <c r="X2448" t="str">
        <f>IF(WarehouseData[[#This Row],[stock_level]]&lt;=WarehouseData[[#This Row],[reorder_point]],"Low Stock","Sufficient Stock")</f>
        <v>Sufficient Stock</v>
      </c>
      <c r="Y2448">
        <f>WarehouseData[[#This Row],[daily_demand]]*WarehouseData[[#This Row],[lead_time_days]]</f>
        <v>48.44</v>
      </c>
      <c r="Z2448" t="str">
        <f>IF(WarehouseData[[#This Row],[stock_level]]&lt;=WarehouseData[[#This Row],[Demand During Lead Time]],"At Risk","Safe")</f>
        <v>Safe</v>
      </c>
      <c r="AA2448">
        <f>WarehouseData[[#This Row],[stock_level]]/WarehouseData[[#This Row],[daily_demand]]</f>
        <v>13.150289017341041</v>
      </c>
      <c r="AB2448">
        <f>WarehouseData[[#This Row],[stock_level]]*WarehouseData[[#This Row],[unit_price]]</f>
        <v>14452.619999999999</v>
      </c>
      <c r="AC2448">
        <f>WarehouseData[[#This Row],[stock_level]]*WarehouseData[[#This Row],[holding_cost_per_unit_day]]*30</f>
        <v>546</v>
      </c>
      <c r="AD2448" t="str">
        <f>IF(WarehouseData[[#This Row],[order_fulfillment_rate]]&gt;=0.9,"Strong",IF(WarehouseData[[#This Row],[order_fulfillment_rate]]&gt;=0.8,"Moderate","Needs Attention"))</f>
        <v>Moderate</v>
      </c>
      <c r="AE2448" t="str">
        <f>IF(WarehouseData[[#This Row],[picking_time_seconds]]&gt;120,"Slow",IF(WarehouseData[[#This Row],[picking_time_seconds]]&gt;=60,"Average","Fast"))</f>
        <v>Slow</v>
      </c>
    </row>
    <row r="2449" spans="1:31" x14ac:dyDescent="0.25">
      <c r="A2449" t="s">
        <v>2587</v>
      </c>
      <c r="B2449" t="s">
        <v>73</v>
      </c>
      <c r="C2449">
        <v>464</v>
      </c>
      <c r="D2449">
        <v>40</v>
      </c>
      <c r="E2449">
        <v>13</v>
      </c>
      <c r="F2449">
        <v>4</v>
      </c>
      <c r="G2449">
        <v>11.84</v>
      </c>
      <c r="H2449">
        <v>5.19</v>
      </c>
      <c r="I2449">
        <v>0.56999999999999995</v>
      </c>
      <c r="J2449" t="s">
        <v>41</v>
      </c>
      <c r="K2449" t="s">
        <v>46</v>
      </c>
      <c r="L2449">
        <v>122</v>
      </c>
      <c r="M2449">
        <v>3.28</v>
      </c>
      <c r="N2449">
        <v>60.73</v>
      </c>
      <c r="O2449">
        <v>1.06</v>
      </c>
      <c r="P2449">
        <v>2</v>
      </c>
      <c r="Q2449">
        <v>0.99</v>
      </c>
      <c r="R2449">
        <v>667</v>
      </c>
      <c r="S2449">
        <v>4.83</v>
      </c>
      <c r="T2449">
        <v>0.72</v>
      </c>
      <c r="U2449" s="1">
        <v>45304</v>
      </c>
      <c r="V2449">
        <v>250.82</v>
      </c>
      <c r="W2449">
        <v>0.66</v>
      </c>
      <c r="X2449" t="str">
        <f>IF(WarehouseData[[#This Row],[stock_level]]&lt;=WarehouseData[[#This Row],[reorder_point]],"Low Stock","Sufficient Stock")</f>
        <v>Sufficient Stock</v>
      </c>
      <c r="Y2449">
        <f>WarehouseData[[#This Row],[daily_demand]]*WarehouseData[[#This Row],[lead_time_days]]</f>
        <v>47.36</v>
      </c>
      <c r="Z2449" t="str">
        <f>IF(WarehouseData[[#This Row],[stock_level]]&lt;=WarehouseData[[#This Row],[Demand During Lead Time]],"At Risk","Safe")</f>
        <v>Safe</v>
      </c>
      <c r="AA2449">
        <f>WarehouseData[[#This Row],[stock_level]]/WarehouseData[[#This Row],[daily_demand]]</f>
        <v>39.189189189189193</v>
      </c>
      <c r="AB2449">
        <f>WarehouseData[[#This Row],[stock_level]]*WarehouseData[[#This Row],[unit_price]]</f>
        <v>28178.719999999998</v>
      </c>
      <c r="AC2449">
        <f>WarehouseData[[#This Row],[stock_level]]*WarehouseData[[#This Row],[holding_cost_per_unit_day]]*30</f>
        <v>14755.2</v>
      </c>
      <c r="AD2449" t="str">
        <f>IF(WarehouseData[[#This Row],[order_fulfillment_rate]]&gt;=0.9,"Strong",IF(WarehouseData[[#This Row],[order_fulfillment_rate]]&gt;=0.8,"Moderate","Needs Attention"))</f>
        <v>Strong</v>
      </c>
      <c r="AE2449" t="str">
        <f>IF(WarehouseData[[#This Row],[picking_time_seconds]]&gt;120,"Slow",IF(WarehouseData[[#This Row],[picking_time_seconds]]&gt;=60,"Average","Fast"))</f>
        <v>Slow</v>
      </c>
    </row>
    <row r="2450" spans="1:31" x14ac:dyDescent="0.25">
      <c r="A2450" t="s">
        <v>2588</v>
      </c>
      <c r="B2450" t="s">
        <v>40</v>
      </c>
      <c r="C2450">
        <v>162</v>
      </c>
      <c r="D2450">
        <v>35</v>
      </c>
      <c r="E2450">
        <v>3</v>
      </c>
      <c r="F2450">
        <v>5</v>
      </c>
      <c r="G2450">
        <v>17.04</v>
      </c>
      <c r="H2450">
        <v>1.86</v>
      </c>
      <c r="I2450">
        <v>0.64</v>
      </c>
      <c r="J2450" t="s">
        <v>152</v>
      </c>
      <c r="K2450" t="s">
        <v>46</v>
      </c>
      <c r="L2450">
        <v>112</v>
      </c>
      <c r="M2450">
        <v>3.55</v>
      </c>
      <c r="N2450">
        <v>12.92</v>
      </c>
      <c r="O2450">
        <v>0.57999999999999996</v>
      </c>
      <c r="P2450">
        <v>1</v>
      </c>
      <c r="Q2450">
        <v>0.88</v>
      </c>
      <c r="R2450">
        <v>812</v>
      </c>
      <c r="S2450">
        <v>9.32</v>
      </c>
      <c r="T2450">
        <v>0.6</v>
      </c>
      <c r="U2450" s="1">
        <v>45527</v>
      </c>
      <c r="V2450">
        <v>107.97</v>
      </c>
      <c r="W2450">
        <v>0.74199999999999999</v>
      </c>
      <c r="X2450" t="str">
        <f>IF(WarehouseData[[#This Row],[stock_level]]&lt;=WarehouseData[[#This Row],[reorder_point]],"Low Stock","Sufficient Stock")</f>
        <v>Sufficient Stock</v>
      </c>
      <c r="Y2450">
        <f>WarehouseData[[#This Row],[daily_demand]]*WarehouseData[[#This Row],[lead_time_days]]</f>
        <v>85.199999999999989</v>
      </c>
      <c r="Z2450" t="str">
        <f>IF(WarehouseData[[#This Row],[stock_level]]&lt;=WarehouseData[[#This Row],[Demand During Lead Time]],"At Risk","Safe")</f>
        <v>Safe</v>
      </c>
      <c r="AA2450">
        <f>WarehouseData[[#This Row],[stock_level]]/WarehouseData[[#This Row],[daily_demand]]</f>
        <v>9.5070422535211279</v>
      </c>
      <c r="AB2450">
        <f>WarehouseData[[#This Row],[stock_level]]*WarehouseData[[#This Row],[unit_price]]</f>
        <v>2093.04</v>
      </c>
      <c r="AC2450">
        <f>WarehouseData[[#This Row],[stock_level]]*WarehouseData[[#This Row],[holding_cost_per_unit_day]]*30</f>
        <v>2818.7999999999997</v>
      </c>
      <c r="AD2450" t="str">
        <f>IF(WarehouseData[[#This Row],[order_fulfillment_rate]]&gt;=0.9,"Strong",IF(WarehouseData[[#This Row],[order_fulfillment_rate]]&gt;=0.8,"Moderate","Needs Attention"))</f>
        <v>Moderate</v>
      </c>
      <c r="AE2450" t="str">
        <f>IF(WarehouseData[[#This Row],[picking_time_seconds]]&gt;120,"Slow",IF(WarehouseData[[#This Row],[picking_time_seconds]]&gt;=60,"Average","Fast"))</f>
        <v>Average</v>
      </c>
    </row>
    <row r="2451" spans="1:31" x14ac:dyDescent="0.25">
      <c r="A2451" t="s">
        <v>2589</v>
      </c>
      <c r="B2451" t="s">
        <v>36</v>
      </c>
      <c r="C2451">
        <v>329</v>
      </c>
      <c r="D2451">
        <v>38</v>
      </c>
      <c r="E2451">
        <v>6</v>
      </c>
      <c r="F2451">
        <v>6</v>
      </c>
      <c r="G2451">
        <v>11.69</v>
      </c>
      <c r="H2451">
        <v>1.78</v>
      </c>
      <c r="I2451">
        <v>0.34</v>
      </c>
      <c r="J2451" t="s">
        <v>144</v>
      </c>
      <c r="K2451" t="s">
        <v>52</v>
      </c>
      <c r="L2451">
        <v>46</v>
      </c>
      <c r="M2451">
        <v>3.32</v>
      </c>
      <c r="N2451">
        <v>87.35</v>
      </c>
      <c r="O2451">
        <v>1.01</v>
      </c>
      <c r="P2451">
        <v>3</v>
      </c>
      <c r="Q2451">
        <v>0.95</v>
      </c>
      <c r="R2451">
        <v>682</v>
      </c>
      <c r="S2451">
        <v>4.8</v>
      </c>
      <c r="T2451">
        <v>0.24</v>
      </c>
      <c r="U2451" s="1">
        <v>45461</v>
      </c>
      <c r="V2451">
        <v>282.25</v>
      </c>
      <c r="W2451">
        <v>0.54100000000000004</v>
      </c>
      <c r="X2451" t="str">
        <f>IF(WarehouseData[[#This Row],[stock_level]]&lt;=WarehouseData[[#This Row],[reorder_point]],"Low Stock","Sufficient Stock")</f>
        <v>Sufficient Stock</v>
      </c>
      <c r="Y2451">
        <f>WarehouseData[[#This Row],[daily_demand]]*WarehouseData[[#This Row],[lead_time_days]]</f>
        <v>70.14</v>
      </c>
      <c r="Z2451" t="str">
        <f>IF(WarehouseData[[#This Row],[stock_level]]&lt;=WarehouseData[[#This Row],[Demand During Lead Time]],"At Risk","Safe")</f>
        <v>Safe</v>
      </c>
      <c r="AA2451">
        <f>WarehouseData[[#This Row],[stock_level]]/WarehouseData[[#This Row],[daily_demand]]</f>
        <v>28.143712574850301</v>
      </c>
      <c r="AB2451">
        <f>WarehouseData[[#This Row],[stock_level]]*WarehouseData[[#This Row],[unit_price]]</f>
        <v>28738.149999999998</v>
      </c>
      <c r="AC2451">
        <f>WarehouseData[[#This Row],[stock_level]]*WarehouseData[[#This Row],[holding_cost_per_unit_day]]*30</f>
        <v>9968.7000000000007</v>
      </c>
      <c r="AD2451" t="str">
        <f>IF(WarehouseData[[#This Row],[order_fulfillment_rate]]&gt;=0.9,"Strong",IF(WarehouseData[[#This Row],[order_fulfillment_rate]]&gt;=0.8,"Moderate","Needs Attention"))</f>
        <v>Strong</v>
      </c>
      <c r="AE2451" t="str">
        <f>IF(WarehouseData[[#This Row],[picking_time_seconds]]&gt;120,"Slow",IF(WarehouseData[[#This Row],[picking_time_seconds]]&gt;=60,"Average","Fast"))</f>
        <v>Fast</v>
      </c>
    </row>
    <row r="2452" spans="1:31" x14ac:dyDescent="0.25">
      <c r="A2452" t="s">
        <v>2590</v>
      </c>
      <c r="B2452" t="s">
        <v>32</v>
      </c>
      <c r="C2452">
        <v>302</v>
      </c>
      <c r="D2452">
        <v>76</v>
      </c>
      <c r="E2452">
        <v>14</v>
      </c>
      <c r="F2452">
        <v>3</v>
      </c>
      <c r="G2452">
        <v>20.18</v>
      </c>
      <c r="H2452">
        <v>2.93</v>
      </c>
      <c r="I2452">
        <v>0.45</v>
      </c>
      <c r="J2452" t="s">
        <v>154</v>
      </c>
      <c r="K2452" t="s">
        <v>38</v>
      </c>
      <c r="L2452">
        <v>115</v>
      </c>
      <c r="M2452">
        <v>4.1100000000000003</v>
      </c>
      <c r="N2452">
        <v>106.48</v>
      </c>
      <c r="O2452">
        <v>0.89</v>
      </c>
      <c r="P2452">
        <v>3</v>
      </c>
      <c r="Q2452">
        <v>0.85</v>
      </c>
      <c r="R2452">
        <v>279</v>
      </c>
      <c r="S2452">
        <v>13.69</v>
      </c>
      <c r="T2452">
        <v>0.39</v>
      </c>
      <c r="U2452" s="1">
        <v>45311</v>
      </c>
      <c r="V2452">
        <v>79.78</v>
      </c>
      <c r="W2452">
        <v>0.68200000000000005</v>
      </c>
      <c r="X2452" t="str">
        <f>IF(WarehouseData[[#This Row],[stock_level]]&lt;=WarehouseData[[#This Row],[reorder_point]],"Low Stock","Sufficient Stock")</f>
        <v>Sufficient Stock</v>
      </c>
      <c r="Y2452">
        <f>WarehouseData[[#This Row],[daily_demand]]*WarehouseData[[#This Row],[lead_time_days]]</f>
        <v>60.54</v>
      </c>
      <c r="Z2452" t="str">
        <f>IF(WarehouseData[[#This Row],[stock_level]]&lt;=WarehouseData[[#This Row],[Demand During Lead Time]],"At Risk","Safe")</f>
        <v>Safe</v>
      </c>
      <c r="AA2452">
        <f>WarehouseData[[#This Row],[stock_level]]/WarehouseData[[#This Row],[daily_demand]]</f>
        <v>14.965312190287413</v>
      </c>
      <c r="AB2452">
        <f>WarehouseData[[#This Row],[stock_level]]*WarehouseData[[#This Row],[unit_price]]</f>
        <v>32156.960000000003</v>
      </c>
      <c r="AC2452">
        <f>WarehouseData[[#This Row],[stock_level]]*WarehouseData[[#This Row],[holding_cost_per_unit_day]]*30</f>
        <v>8063.4000000000005</v>
      </c>
      <c r="AD2452" t="str">
        <f>IF(WarehouseData[[#This Row],[order_fulfillment_rate]]&gt;=0.9,"Strong",IF(WarehouseData[[#This Row],[order_fulfillment_rate]]&gt;=0.8,"Moderate","Needs Attention"))</f>
        <v>Moderate</v>
      </c>
      <c r="AE2452" t="str">
        <f>IF(WarehouseData[[#This Row],[picking_time_seconds]]&gt;120,"Slow",IF(WarehouseData[[#This Row],[picking_time_seconds]]&gt;=60,"Average","Fast"))</f>
        <v>Average</v>
      </c>
    </row>
    <row r="2453" spans="1:31" x14ac:dyDescent="0.25">
      <c r="A2453" t="s">
        <v>2591</v>
      </c>
      <c r="B2453" t="s">
        <v>48</v>
      </c>
      <c r="C2453">
        <v>288</v>
      </c>
      <c r="D2453">
        <v>87</v>
      </c>
      <c r="E2453">
        <v>4</v>
      </c>
      <c r="F2453">
        <v>2</v>
      </c>
      <c r="G2453">
        <v>28.42</v>
      </c>
      <c r="H2453">
        <v>9.75</v>
      </c>
      <c r="I2453">
        <v>0.6</v>
      </c>
      <c r="J2453" t="s">
        <v>178</v>
      </c>
      <c r="K2453" t="s">
        <v>46</v>
      </c>
      <c r="L2453">
        <v>117</v>
      </c>
      <c r="M2453">
        <v>3.79</v>
      </c>
      <c r="N2453">
        <v>66.48</v>
      </c>
      <c r="O2453">
        <v>0.68</v>
      </c>
      <c r="P2453">
        <v>8</v>
      </c>
      <c r="Q2453">
        <v>0.77</v>
      </c>
      <c r="R2453">
        <v>842</v>
      </c>
      <c r="S2453">
        <v>5.81</v>
      </c>
      <c r="T2453">
        <v>0.62</v>
      </c>
      <c r="U2453" s="1">
        <v>45336</v>
      </c>
      <c r="V2453">
        <v>33.369999999999997</v>
      </c>
      <c r="W2453">
        <v>0.52700000000000002</v>
      </c>
      <c r="X2453" t="str">
        <f>IF(WarehouseData[[#This Row],[stock_level]]&lt;=WarehouseData[[#This Row],[reorder_point]],"Low Stock","Sufficient Stock")</f>
        <v>Sufficient Stock</v>
      </c>
      <c r="Y2453">
        <f>WarehouseData[[#This Row],[daily_demand]]*WarehouseData[[#This Row],[lead_time_days]]</f>
        <v>56.84</v>
      </c>
      <c r="Z2453" t="str">
        <f>IF(WarehouseData[[#This Row],[stock_level]]&lt;=WarehouseData[[#This Row],[Demand During Lead Time]],"At Risk","Safe")</f>
        <v>Safe</v>
      </c>
      <c r="AA2453">
        <f>WarehouseData[[#This Row],[stock_level]]/WarehouseData[[#This Row],[daily_demand]]</f>
        <v>10.133708655876143</v>
      </c>
      <c r="AB2453">
        <f>WarehouseData[[#This Row],[stock_level]]*WarehouseData[[#This Row],[unit_price]]</f>
        <v>19146.240000000002</v>
      </c>
      <c r="AC2453">
        <f>WarehouseData[[#This Row],[stock_level]]*WarehouseData[[#This Row],[holding_cost_per_unit_day]]*30</f>
        <v>5875.2</v>
      </c>
      <c r="AD2453" t="str">
        <f>IF(WarehouseData[[#This Row],[order_fulfillment_rate]]&gt;=0.9,"Strong",IF(WarehouseData[[#This Row],[order_fulfillment_rate]]&gt;=0.8,"Moderate","Needs Attention"))</f>
        <v>Needs Attention</v>
      </c>
      <c r="AE2453" t="str">
        <f>IF(WarehouseData[[#This Row],[picking_time_seconds]]&gt;120,"Slow",IF(WarehouseData[[#This Row],[picking_time_seconds]]&gt;=60,"Average","Fast"))</f>
        <v>Average</v>
      </c>
    </row>
    <row r="2454" spans="1:31" x14ac:dyDescent="0.25">
      <c r="A2454" t="s">
        <v>2592</v>
      </c>
      <c r="B2454" t="s">
        <v>36</v>
      </c>
      <c r="C2454">
        <v>260</v>
      </c>
      <c r="D2454">
        <v>34</v>
      </c>
      <c r="E2454">
        <v>12</v>
      </c>
      <c r="F2454">
        <v>9</v>
      </c>
      <c r="G2454">
        <v>34.56</v>
      </c>
      <c r="H2454">
        <v>4.1100000000000003</v>
      </c>
      <c r="I2454">
        <v>0.95</v>
      </c>
      <c r="J2454" t="s">
        <v>202</v>
      </c>
      <c r="K2454" t="s">
        <v>34</v>
      </c>
      <c r="L2454">
        <v>30</v>
      </c>
      <c r="M2454">
        <v>2.4500000000000002</v>
      </c>
      <c r="N2454">
        <v>82.84</v>
      </c>
      <c r="O2454">
        <v>0.95</v>
      </c>
      <c r="P2454">
        <v>6</v>
      </c>
      <c r="Q2454">
        <v>0.91</v>
      </c>
      <c r="R2454">
        <v>276</v>
      </c>
      <c r="S2454">
        <v>13.7</v>
      </c>
      <c r="T2454">
        <v>0.79</v>
      </c>
      <c r="U2454" s="1">
        <v>45329</v>
      </c>
      <c r="V2454">
        <v>278.25</v>
      </c>
      <c r="W2454">
        <v>0.70799999999999996</v>
      </c>
      <c r="X2454" t="str">
        <f>IF(WarehouseData[[#This Row],[stock_level]]&lt;=WarehouseData[[#This Row],[reorder_point]],"Low Stock","Sufficient Stock")</f>
        <v>Sufficient Stock</v>
      </c>
      <c r="Y2454">
        <f>WarehouseData[[#This Row],[daily_demand]]*WarehouseData[[#This Row],[lead_time_days]]</f>
        <v>311.04000000000002</v>
      </c>
      <c r="Z2454" t="str">
        <f>IF(WarehouseData[[#This Row],[stock_level]]&lt;=WarehouseData[[#This Row],[Demand During Lead Time]],"At Risk","Safe")</f>
        <v>At Risk</v>
      </c>
      <c r="AA2454">
        <f>WarehouseData[[#This Row],[stock_level]]/WarehouseData[[#This Row],[daily_demand]]</f>
        <v>7.5231481481481479</v>
      </c>
      <c r="AB2454">
        <f>WarehouseData[[#This Row],[stock_level]]*WarehouseData[[#This Row],[unit_price]]</f>
        <v>21538.400000000001</v>
      </c>
      <c r="AC2454">
        <f>WarehouseData[[#This Row],[stock_level]]*WarehouseData[[#This Row],[holding_cost_per_unit_day]]*30</f>
        <v>7410</v>
      </c>
      <c r="AD2454" t="str">
        <f>IF(WarehouseData[[#This Row],[order_fulfillment_rate]]&gt;=0.9,"Strong",IF(WarehouseData[[#This Row],[order_fulfillment_rate]]&gt;=0.8,"Moderate","Needs Attention"))</f>
        <v>Strong</v>
      </c>
      <c r="AE2454" t="str">
        <f>IF(WarehouseData[[#This Row],[picking_time_seconds]]&gt;120,"Slow",IF(WarehouseData[[#This Row],[picking_time_seconds]]&gt;=60,"Average","Fast"))</f>
        <v>Fast</v>
      </c>
    </row>
    <row r="2455" spans="1:31" x14ac:dyDescent="0.25">
      <c r="A2455" t="s">
        <v>2593</v>
      </c>
      <c r="B2455" t="s">
        <v>32</v>
      </c>
      <c r="C2455">
        <v>434</v>
      </c>
      <c r="D2455">
        <v>57</v>
      </c>
      <c r="E2455">
        <v>10</v>
      </c>
      <c r="F2455">
        <v>7</v>
      </c>
      <c r="G2455">
        <v>48.22</v>
      </c>
      <c r="H2455">
        <v>5.88</v>
      </c>
      <c r="I2455">
        <v>0.68</v>
      </c>
      <c r="J2455" t="s">
        <v>144</v>
      </c>
      <c r="K2455" t="s">
        <v>46</v>
      </c>
      <c r="L2455">
        <v>157</v>
      </c>
      <c r="M2455">
        <v>4.1900000000000004</v>
      </c>
      <c r="N2455">
        <v>35.28</v>
      </c>
      <c r="O2455">
        <v>1</v>
      </c>
      <c r="P2455">
        <v>2</v>
      </c>
      <c r="Q2455">
        <v>0.98</v>
      </c>
      <c r="R2455">
        <v>971</v>
      </c>
      <c r="S2455">
        <v>4.91</v>
      </c>
      <c r="T2455">
        <v>0.84</v>
      </c>
      <c r="U2455" s="1">
        <v>45319</v>
      </c>
      <c r="V2455">
        <v>166.55</v>
      </c>
      <c r="W2455">
        <v>0.68899999999999995</v>
      </c>
      <c r="X2455" t="str">
        <f>IF(WarehouseData[[#This Row],[stock_level]]&lt;=WarehouseData[[#This Row],[reorder_point]],"Low Stock","Sufficient Stock")</f>
        <v>Sufficient Stock</v>
      </c>
      <c r="Y2455">
        <f>WarehouseData[[#This Row],[daily_demand]]*WarehouseData[[#This Row],[lead_time_days]]</f>
        <v>337.53999999999996</v>
      </c>
      <c r="Z2455" t="str">
        <f>IF(WarehouseData[[#This Row],[stock_level]]&lt;=WarehouseData[[#This Row],[Demand During Lead Time]],"At Risk","Safe")</f>
        <v>Safe</v>
      </c>
      <c r="AA2455">
        <f>WarehouseData[[#This Row],[stock_level]]/WarehouseData[[#This Row],[daily_demand]]</f>
        <v>9.0004147656574034</v>
      </c>
      <c r="AB2455">
        <f>WarehouseData[[#This Row],[stock_level]]*WarehouseData[[#This Row],[unit_price]]</f>
        <v>15311.52</v>
      </c>
      <c r="AC2455">
        <f>WarehouseData[[#This Row],[stock_level]]*WarehouseData[[#This Row],[holding_cost_per_unit_day]]*30</f>
        <v>13020</v>
      </c>
      <c r="AD2455" t="str">
        <f>IF(WarehouseData[[#This Row],[order_fulfillment_rate]]&gt;=0.9,"Strong",IF(WarehouseData[[#This Row],[order_fulfillment_rate]]&gt;=0.8,"Moderate","Needs Attention"))</f>
        <v>Strong</v>
      </c>
      <c r="AE2455" t="str">
        <f>IF(WarehouseData[[#This Row],[picking_time_seconds]]&gt;120,"Slow",IF(WarehouseData[[#This Row],[picking_time_seconds]]&gt;=60,"Average","Fast"))</f>
        <v>Slow</v>
      </c>
    </row>
    <row r="2456" spans="1:31" x14ac:dyDescent="0.25">
      <c r="A2456" t="s">
        <v>2594</v>
      </c>
      <c r="B2456" t="s">
        <v>40</v>
      </c>
      <c r="C2456">
        <v>264</v>
      </c>
      <c r="D2456">
        <v>74</v>
      </c>
      <c r="E2456">
        <v>5</v>
      </c>
      <c r="F2456">
        <v>4</v>
      </c>
      <c r="G2456">
        <v>46.61</v>
      </c>
      <c r="H2456">
        <v>7.19</v>
      </c>
      <c r="I2456">
        <v>0.4</v>
      </c>
      <c r="J2456" t="s">
        <v>353</v>
      </c>
      <c r="K2456" t="s">
        <v>52</v>
      </c>
      <c r="L2456">
        <v>138</v>
      </c>
      <c r="M2456">
        <v>3.61</v>
      </c>
      <c r="N2456">
        <v>62.69</v>
      </c>
      <c r="O2456">
        <v>1.68</v>
      </c>
      <c r="P2456">
        <v>6</v>
      </c>
      <c r="Q2456">
        <v>0.95</v>
      </c>
      <c r="R2456">
        <v>446</v>
      </c>
      <c r="S2456">
        <v>9.4600000000000009</v>
      </c>
      <c r="T2456">
        <v>0.62</v>
      </c>
      <c r="U2456" s="1">
        <v>45383</v>
      </c>
      <c r="V2456">
        <v>111.9</v>
      </c>
      <c r="W2456">
        <v>0.55200000000000005</v>
      </c>
      <c r="X2456" t="str">
        <f>IF(WarehouseData[[#This Row],[stock_level]]&lt;=WarehouseData[[#This Row],[reorder_point]],"Low Stock","Sufficient Stock")</f>
        <v>Sufficient Stock</v>
      </c>
      <c r="Y2456">
        <f>WarehouseData[[#This Row],[daily_demand]]*WarehouseData[[#This Row],[lead_time_days]]</f>
        <v>186.44</v>
      </c>
      <c r="Z2456" t="str">
        <f>IF(WarehouseData[[#This Row],[stock_level]]&lt;=WarehouseData[[#This Row],[Demand During Lead Time]],"At Risk","Safe")</f>
        <v>Safe</v>
      </c>
      <c r="AA2456">
        <f>WarehouseData[[#This Row],[stock_level]]/WarehouseData[[#This Row],[daily_demand]]</f>
        <v>5.6640205964385322</v>
      </c>
      <c r="AB2456">
        <f>WarehouseData[[#This Row],[stock_level]]*WarehouseData[[#This Row],[unit_price]]</f>
        <v>16550.16</v>
      </c>
      <c r="AC2456">
        <f>WarehouseData[[#This Row],[stock_level]]*WarehouseData[[#This Row],[holding_cost_per_unit_day]]*30</f>
        <v>13305.599999999999</v>
      </c>
      <c r="AD2456" t="str">
        <f>IF(WarehouseData[[#This Row],[order_fulfillment_rate]]&gt;=0.9,"Strong",IF(WarehouseData[[#This Row],[order_fulfillment_rate]]&gt;=0.8,"Moderate","Needs Attention"))</f>
        <v>Strong</v>
      </c>
      <c r="AE2456" t="str">
        <f>IF(WarehouseData[[#This Row],[picking_time_seconds]]&gt;120,"Slow",IF(WarehouseData[[#This Row],[picking_time_seconds]]&gt;=60,"Average","Fast"))</f>
        <v>Slow</v>
      </c>
    </row>
    <row r="2457" spans="1:31" x14ac:dyDescent="0.25">
      <c r="A2457" t="s">
        <v>2595</v>
      </c>
      <c r="B2457" t="s">
        <v>36</v>
      </c>
      <c r="C2457">
        <v>182</v>
      </c>
      <c r="D2457">
        <v>62</v>
      </c>
      <c r="E2457">
        <v>9</v>
      </c>
      <c r="F2457">
        <v>3</v>
      </c>
      <c r="G2457">
        <v>28.94</v>
      </c>
      <c r="H2457">
        <v>7.55</v>
      </c>
      <c r="I2457">
        <v>0.11</v>
      </c>
      <c r="J2457" t="s">
        <v>565</v>
      </c>
      <c r="K2457" t="s">
        <v>52</v>
      </c>
      <c r="L2457">
        <v>37</v>
      </c>
      <c r="M2457">
        <v>1.04</v>
      </c>
      <c r="N2457">
        <v>55.62</v>
      </c>
      <c r="O2457">
        <v>1.36</v>
      </c>
      <c r="P2457">
        <v>7</v>
      </c>
      <c r="Q2457">
        <v>0.76</v>
      </c>
      <c r="R2457">
        <v>324</v>
      </c>
      <c r="S2457">
        <v>2.82</v>
      </c>
      <c r="T2457">
        <v>0.72</v>
      </c>
      <c r="U2457" s="1">
        <v>45420</v>
      </c>
      <c r="V2457">
        <v>270.45</v>
      </c>
      <c r="W2457">
        <v>0.45800000000000002</v>
      </c>
      <c r="X2457" t="str">
        <f>IF(WarehouseData[[#This Row],[stock_level]]&lt;=WarehouseData[[#This Row],[reorder_point]],"Low Stock","Sufficient Stock")</f>
        <v>Sufficient Stock</v>
      </c>
      <c r="Y2457">
        <f>WarehouseData[[#This Row],[daily_demand]]*WarehouseData[[#This Row],[lead_time_days]]</f>
        <v>86.820000000000007</v>
      </c>
      <c r="Z2457" t="str">
        <f>IF(WarehouseData[[#This Row],[stock_level]]&lt;=WarehouseData[[#This Row],[Demand During Lead Time]],"At Risk","Safe")</f>
        <v>Safe</v>
      </c>
      <c r="AA2457">
        <f>WarehouseData[[#This Row],[stock_level]]/WarehouseData[[#This Row],[daily_demand]]</f>
        <v>6.2888735314443673</v>
      </c>
      <c r="AB2457">
        <f>WarehouseData[[#This Row],[stock_level]]*WarehouseData[[#This Row],[unit_price]]</f>
        <v>10122.84</v>
      </c>
      <c r="AC2457">
        <f>WarehouseData[[#This Row],[stock_level]]*WarehouseData[[#This Row],[holding_cost_per_unit_day]]*30</f>
        <v>7425.6</v>
      </c>
      <c r="AD2457" t="str">
        <f>IF(WarehouseData[[#This Row],[order_fulfillment_rate]]&gt;=0.9,"Strong",IF(WarehouseData[[#This Row],[order_fulfillment_rate]]&gt;=0.8,"Moderate","Needs Attention"))</f>
        <v>Needs Attention</v>
      </c>
      <c r="AE2457" t="str">
        <f>IF(WarehouseData[[#This Row],[picking_time_seconds]]&gt;120,"Slow",IF(WarehouseData[[#This Row],[picking_time_seconds]]&gt;=60,"Average","Fast"))</f>
        <v>Fast</v>
      </c>
    </row>
    <row r="2458" spans="1:31" x14ac:dyDescent="0.25">
      <c r="A2458" t="s">
        <v>2596</v>
      </c>
      <c r="B2458" t="s">
        <v>32</v>
      </c>
      <c r="C2458">
        <v>79</v>
      </c>
      <c r="D2458">
        <v>76</v>
      </c>
      <c r="E2458">
        <v>9</v>
      </c>
      <c r="F2458">
        <v>2</v>
      </c>
      <c r="G2458">
        <v>36.97</v>
      </c>
      <c r="H2458">
        <v>7.04</v>
      </c>
      <c r="I2458">
        <v>0.98</v>
      </c>
      <c r="J2458" t="s">
        <v>64</v>
      </c>
      <c r="K2458" t="s">
        <v>34</v>
      </c>
      <c r="L2458">
        <v>117</v>
      </c>
      <c r="M2458">
        <v>2.93</v>
      </c>
      <c r="N2458">
        <v>67.19</v>
      </c>
      <c r="O2458">
        <v>0.92</v>
      </c>
      <c r="P2458">
        <v>6</v>
      </c>
      <c r="Q2458">
        <v>0.8</v>
      </c>
      <c r="R2458">
        <v>187</v>
      </c>
      <c r="S2458">
        <v>11.9</v>
      </c>
      <c r="T2458">
        <v>0.92</v>
      </c>
      <c r="U2458" s="1">
        <v>45577</v>
      </c>
      <c r="V2458">
        <v>234.97</v>
      </c>
      <c r="W2458">
        <v>0.69099999999999995</v>
      </c>
      <c r="X2458" t="str">
        <f>IF(WarehouseData[[#This Row],[stock_level]]&lt;=WarehouseData[[#This Row],[reorder_point]],"Low Stock","Sufficient Stock")</f>
        <v>Sufficient Stock</v>
      </c>
      <c r="Y2458">
        <f>WarehouseData[[#This Row],[daily_demand]]*WarehouseData[[#This Row],[lead_time_days]]</f>
        <v>73.94</v>
      </c>
      <c r="Z2458" t="str">
        <f>IF(WarehouseData[[#This Row],[stock_level]]&lt;=WarehouseData[[#This Row],[Demand During Lead Time]],"At Risk","Safe")</f>
        <v>Safe</v>
      </c>
      <c r="AA2458">
        <f>WarehouseData[[#This Row],[stock_level]]/WarehouseData[[#This Row],[daily_demand]]</f>
        <v>2.1368677305923724</v>
      </c>
      <c r="AB2458">
        <f>WarehouseData[[#This Row],[stock_level]]*WarehouseData[[#This Row],[unit_price]]</f>
        <v>5308.01</v>
      </c>
      <c r="AC2458">
        <f>WarehouseData[[#This Row],[stock_level]]*WarehouseData[[#This Row],[holding_cost_per_unit_day]]*30</f>
        <v>2180.4</v>
      </c>
      <c r="AD2458" t="str">
        <f>IF(WarehouseData[[#This Row],[order_fulfillment_rate]]&gt;=0.9,"Strong",IF(WarehouseData[[#This Row],[order_fulfillment_rate]]&gt;=0.8,"Moderate","Needs Attention"))</f>
        <v>Moderate</v>
      </c>
      <c r="AE2458" t="str">
        <f>IF(WarehouseData[[#This Row],[picking_time_seconds]]&gt;120,"Slow",IF(WarehouseData[[#This Row],[picking_time_seconds]]&gt;=60,"Average","Fast"))</f>
        <v>Average</v>
      </c>
    </row>
    <row r="2459" spans="1:31" x14ac:dyDescent="0.25">
      <c r="A2459" t="s">
        <v>2597</v>
      </c>
      <c r="B2459" t="s">
        <v>73</v>
      </c>
      <c r="C2459">
        <v>25</v>
      </c>
      <c r="D2459">
        <v>99</v>
      </c>
      <c r="E2459">
        <v>14</v>
      </c>
      <c r="F2459">
        <v>7</v>
      </c>
      <c r="G2459">
        <v>47.59</v>
      </c>
      <c r="H2459">
        <v>3.7</v>
      </c>
      <c r="I2459">
        <v>0.54</v>
      </c>
      <c r="J2459" t="s">
        <v>160</v>
      </c>
      <c r="K2459" t="s">
        <v>52</v>
      </c>
      <c r="L2459">
        <v>18</v>
      </c>
      <c r="M2459">
        <v>3.78</v>
      </c>
      <c r="N2459">
        <v>66.819999999999993</v>
      </c>
      <c r="O2459">
        <v>1.82</v>
      </c>
      <c r="P2459">
        <v>7</v>
      </c>
      <c r="Q2459">
        <v>0.86</v>
      </c>
      <c r="R2459">
        <v>222</v>
      </c>
      <c r="S2459">
        <v>3.8</v>
      </c>
      <c r="T2459">
        <v>0.25</v>
      </c>
      <c r="U2459" s="1">
        <v>45328</v>
      </c>
      <c r="V2459">
        <v>251.41</v>
      </c>
      <c r="W2459">
        <v>0.35099999999999998</v>
      </c>
      <c r="X2459" t="str">
        <f>IF(WarehouseData[[#This Row],[stock_level]]&lt;=WarehouseData[[#This Row],[reorder_point]],"Low Stock","Sufficient Stock")</f>
        <v>Low Stock</v>
      </c>
      <c r="Y2459">
        <f>WarehouseData[[#This Row],[daily_demand]]*WarehouseData[[#This Row],[lead_time_days]]</f>
        <v>333.13</v>
      </c>
      <c r="Z2459" t="str">
        <f>IF(WarehouseData[[#This Row],[stock_level]]&lt;=WarehouseData[[#This Row],[Demand During Lead Time]],"At Risk","Safe")</f>
        <v>At Risk</v>
      </c>
      <c r="AA2459">
        <f>WarehouseData[[#This Row],[stock_level]]/WarehouseData[[#This Row],[daily_demand]]</f>
        <v>0.52532044547173773</v>
      </c>
      <c r="AB2459">
        <f>WarehouseData[[#This Row],[stock_level]]*WarehouseData[[#This Row],[unit_price]]</f>
        <v>1670.4999999999998</v>
      </c>
      <c r="AC2459">
        <f>WarehouseData[[#This Row],[stock_level]]*WarehouseData[[#This Row],[holding_cost_per_unit_day]]*30</f>
        <v>1365</v>
      </c>
      <c r="AD2459" t="str">
        <f>IF(WarehouseData[[#This Row],[order_fulfillment_rate]]&gt;=0.9,"Strong",IF(WarehouseData[[#This Row],[order_fulfillment_rate]]&gt;=0.8,"Moderate","Needs Attention"))</f>
        <v>Moderate</v>
      </c>
      <c r="AE2459" t="str">
        <f>IF(WarehouseData[[#This Row],[picking_time_seconds]]&gt;120,"Slow",IF(WarehouseData[[#This Row],[picking_time_seconds]]&gt;=60,"Average","Fast"))</f>
        <v>Fast</v>
      </c>
    </row>
    <row r="2460" spans="1:31" x14ac:dyDescent="0.25">
      <c r="A2460" t="s">
        <v>2598</v>
      </c>
      <c r="B2460" t="s">
        <v>73</v>
      </c>
      <c r="C2460">
        <v>216</v>
      </c>
      <c r="D2460">
        <v>27</v>
      </c>
      <c r="E2460">
        <v>11</v>
      </c>
      <c r="F2460">
        <v>5</v>
      </c>
      <c r="G2460">
        <v>5.09</v>
      </c>
      <c r="H2460">
        <v>1.56</v>
      </c>
      <c r="I2460">
        <v>0.94</v>
      </c>
      <c r="J2460" t="s">
        <v>338</v>
      </c>
      <c r="K2460" t="s">
        <v>38</v>
      </c>
      <c r="L2460">
        <v>173</v>
      </c>
      <c r="M2460">
        <v>2.99</v>
      </c>
      <c r="N2460">
        <v>116.2</v>
      </c>
      <c r="O2460">
        <v>1.54</v>
      </c>
      <c r="P2460">
        <v>8</v>
      </c>
      <c r="Q2460">
        <v>0.87</v>
      </c>
      <c r="R2460">
        <v>376</v>
      </c>
      <c r="S2460">
        <v>13.1</v>
      </c>
      <c r="T2460">
        <v>0.28000000000000003</v>
      </c>
      <c r="U2460" s="1">
        <v>45586</v>
      </c>
      <c r="V2460">
        <v>94.78</v>
      </c>
      <c r="W2460">
        <v>0.49099999999999999</v>
      </c>
      <c r="X2460" t="str">
        <f>IF(WarehouseData[[#This Row],[stock_level]]&lt;=WarehouseData[[#This Row],[reorder_point]],"Low Stock","Sufficient Stock")</f>
        <v>Sufficient Stock</v>
      </c>
      <c r="Y2460">
        <f>WarehouseData[[#This Row],[daily_demand]]*WarehouseData[[#This Row],[lead_time_days]]</f>
        <v>25.45</v>
      </c>
      <c r="Z2460" t="str">
        <f>IF(WarehouseData[[#This Row],[stock_level]]&lt;=WarehouseData[[#This Row],[Demand During Lead Time]],"At Risk","Safe")</f>
        <v>Safe</v>
      </c>
      <c r="AA2460">
        <f>WarehouseData[[#This Row],[stock_level]]/WarehouseData[[#This Row],[daily_demand]]</f>
        <v>42.436149312377211</v>
      </c>
      <c r="AB2460">
        <f>WarehouseData[[#This Row],[stock_level]]*WarehouseData[[#This Row],[unit_price]]</f>
        <v>25099.200000000001</v>
      </c>
      <c r="AC2460">
        <f>WarehouseData[[#This Row],[stock_level]]*WarehouseData[[#This Row],[holding_cost_per_unit_day]]*30</f>
        <v>9979.1999999999989</v>
      </c>
      <c r="AD2460" t="str">
        <f>IF(WarehouseData[[#This Row],[order_fulfillment_rate]]&gt;=0.9,"Strong",IF(WarehouseData[[#This Row],[order_fulfillment_rate]]&gt;=0.8,"Moderate","Needs Attention"))</f>
        <v>Moderate</v>
      </c>
      <c r="AE2460" t="str">
        <f>IF(WarehouseData[[#This Row],[picking_time_seconds]]&gt;120,"Slow",IF(WarehouseData[[#This Row],[picking_time_seconds]]&gt;=60,"Average","Fast"))</f>
        <v>Slow</v>
      </c>
    </row>
    <row r="2461" spans="1:31" x14ac:dyDescent="0.25">
      <c r="A2461" t="s">
        <v>2599</v>
      </c>
      <c r="B2461" t="s">
        <v>48</v>
      </c>
      <c r="C2461">
        <v>489</v>
      </c>
      <c r="D2461">
        <v>18</v>
      </c>
      <c r="E2461">
        <v>8</v>
      </c>
      <c r="F2461">
        <v>9</v>
      </c>
      <c r="G2461">
        <v>1.28</v>
      </c>
      <c r="H2461">
        <v>3.18</v>
      </c>
      <c r="I2461">
        <v>0.59</v>
      </c>
      <c r="J2461" t="s">
        <v>236</v>
      </c>
      <c r="K2461" t="s">
        <v>52</v>
      </c>
      <c r="L2461">
        <v>171</v>
      </c>
      <c r="M2461">
        <v>4.7699999999999996</v>
      </c>
      <c r="N2461">
        <v>57.61</v>
      </c>
      <c r="O2461">
        <v>0.24</v>
      </c>
      <c r="P2461">
        <v>0</v>
      </c>
      <c r="Q2461">
        <v>0.76</v>
      </c>
      <c r="R2461">
        <v>832</v>
      </c>
      <c r="S2461">
        <v>7.33</v>
      </c>
      <c r="T2461">
        <v>0.56999999999999995</v>
      </c>
      <c r="U2461" s="1">
        <v>45408</v>
      </c>
      <c r="V2461">
        <v>263.31</v>
      </c>
      <c r="W2461">
        <v>0.74</v>
      </c>
      <c r="X2461" t="str">
        <f>IF(WarehouseData[[#This Row],[stock_level]]&lt;=WarehouseData[[#This Row],[reorder_point]],"Low Stock","Sufficient Stock")</f>
        <v>Sufficient Stock</v>
      </c>
      <c r="Y2461">
        <f>WarehouseData[[#This Row],[daily_demand]]*WarehouseData[[#This Row],[lead_time_days]]</f>
        <v>11.52</v>
      </c>
      <c r="Z2461" t="str">
        <f>IF(WarehouseData[[#This Row],[stock_level]]&lt;=WarehouseData[[#This Row],[Demand During Lead Time]],"At Risk","Safe")</f>
        <v>Safe</v>
      </c>
      <c r="AA2461">
        <f>WarehouseData[[#This Row],[stock_level]]/WarehouseData[[#This Row],[daily_demand]]</f>
        <v>382.03125</v>
      </c>
      <c r="AB2461">
        <f>WarehouseData[[#This Row],[stock_level]]*WarehouseData[[#This Row],[unit_price]]</f>
        <v>28171.29</v>
      </c>
      <c r="AC2461">
        <f>WarehouseData[[#This Row],[stock_level]]*WarehouseData[[#This Row],[holding_cost_per_unit_day]]*30</f>
        <v>3520.8</v>
      </c>
      <c r="AD2461" t="str">
        <f>IF(WarehouseData[[#This Row],[order_fulfillment_rate]]&gt;=0.9,"Strong",IF(WarehouseData[[#This Row],[order_fulfillment_rate]]&gt;=0.8,"Moderate","Needs Attention"))</f>
        <v>Needs Attention</v>
      </c>
      <c r="AE2461" t="str">
        <f>IF(WarehouseData[[#This Row],[picking_time_seconds]]&gt;120,"Slow",IF(WarehouseData[[#This Row],[picking_time_seconds]]&gt;=60,"Average","Fast"))</f>
        <v>Slow</v>
      </c>
    </row>
    <row r="2462" spans="1:31" x14ac:dyDescent="0.25">
      <c r="A2462" t="s">
        <v>2600</v>
      </c>
      <c r="B2462" t="s">
        <v>32</v>
      </c>
      <c r="C2462">
        <v>77</v>
      </c>
      <c r="D2462">
        <v>47</v>
      </c>
      <c r="E2462">
        <v>3</v>
      </c>
      <c r="F2462">
        <v>7</v>
      </c>
      <c r="G2462">
        <v>2.46</v>
      </c>
      <c r="H2462">
        <v>2.5</v>
      </c>
      <c r="I2462">
        <v>0.64</v>
      </c>
      <c r="J2462" t="s">
        <v>88</v>
      </c>
      <c r="K2462" t="s">
        <v>34</v>
      </c>
      <c r="L2462">
        <v>41</v>
      </c>
      <c r="M2462">
        <v>0.96</v>
      </c>
      <c r="N2462">
        <v>188.78</v>
      </c>
      <c r="O2462">
        <v>0.39</v>
      </c>
      <c r="P2462">
        <v>9</v>
      </c>
      <c r="Q2462">
        <v>0.77</v>
      </c>
      <c r="R2462">
        <v>264</v>
      </c>
      <c r="S2462">
        <v>2.3199999999999998</v>
      </c>
      <c r="T2462">
        <v>0.69</v>
      </c>
      <c r="U2462" s="1">
        <v>45424</v>
      </c>
      <c r="V2462">
        <v>198.43</v>
      </c>
      <c r="W2462">
        <v>0.504</v>
      </c>
      <c r="X2462" t="str">
        <f>IF(WarehouseData[[#This Row],[stock_level]]&lt;=WarehouseData[[#This Row],[reorder_point]],"Low Stock","Sufficient Stock")</f>
        <v>Sufficient Stock</v>
      </c>
      <c r="Y2462">
        <f>WarehouseData[[#This Row],[daily_demand]]*WarehouseData[[#This Row],[lead_time_days]]</f>
        <v>17.22</v>
      </c>
      <c r="Z2462" t="str">
        <f>IF(WarehouseData[[#This Row],[stock_level]]&lt;=WarehouseData[[#This Row],[Demand During Lead Time]],"At Risk","Safe")</f>
        <v>Safe</v>
      </c>
      <c r="AA2462">
        <f>WarehouseData[[#This Row],[stock_level]]/WarehouseData[[#This Row],[daily_demand]]</f>
        <v>31.300813008130081</v>
      </c>
      <c r="AB2462">
        <f>WarehouseData[[#This Row],[stock_level]]*WarehouseData[[#This Row],[unit_price]]</f>
        <v>14536.06</v>
      </c>
      <c r="AC2462">
        <f>WarehouseData[[#This Row],[stock_level]]*WarehouseData[[#This Row],[holding_cost_per_unit_day]]*30</f>
        <v>900.90000000000009</v>
      </c>
      <c r="AD2462" t="str">
        <f>IF(WarehouseData[[#This Row],[order_fulfillment_rate]]&gt;=0.9,"Strong",IF(WarehouseData[[#This Row],[order_fulfillment_rate]]&gt;=0.8,"Moderate","Needs Attention"))</f>
        <v>Needs Attention</v>
      </c>
      <c r="AE2462" t="str">
        <f>IF(WarehouseData[[#This Row],[picking_time_seconds]]&gt;120,"Slow",IF(WarehouseData[[#This Row],[picking_time_seconds]]&gt;=60,"Average","Fast"))</f>
        <v>Fast</v>
      </c>
    </row>
    <row r="2463" spans="1:31" x14ac:dyDescent="0.25">
      <c r="A2463" t="s">
        <v>2601</v>
      </c>
      <c r="B2463" t="s">
        <v>73</v>
      </c>
      <c r="C2463">
        <v>324</v>
      </c>
      <c r="D2463">
        <v>96</v>
      </c>
      <c r="E2463">
        <v>10</v>
      </c>
      <c r="F2463">
        <v>5</v>
      </c>
      <c r="G2463">
        <v>28.6</v>
      </c>
      <c r="H2463">
        <v>1.79</v>
      </c>
      <c r="I2463">
        <v>0.74</v>
      </c>
      <c r="J2463" t="s">
        <v>289</v>
      </c>
      <c r="K2463" t="s">
        <v>52</v>
      </c>
      <c r="L2463">
        <v>75</v>
      </c>
      <c r="M2463">
        <v>3.75</v>
      </c>
      <c r="N2463">
        <v>107.14</v>
      </c>
      <c r="O2463">
        <v>0.26</v>
      </c>
      <c r="P2463">
        <v>5</v>
      </c>
      <c r="Q2463">
        <v>0.93</v>
      </c>
      <c r="R2463">
        <v>277</v>
      </c>
      <c r="S2463">
        <v>6.09</v>
      </c>
      <c r="T2463">
        <v>0.2</v>
      </c>
      <c r="U2463" s="1">
        <v>45500</v>
      </c>
      <c r="V2463">
        <v>224.02</v>
      </c>
      <c r="W2463">
        <v>0.58099999999999996</v>
      </c>
      <c r="X2463" t="str">
        <f>IF(WarehouseData[[#This Row],[stock_level]]&lt;=WarehouseData[[#This Row],[reorder_point]],"Low Stock","Sufficient Stock")</f>
        <v>Sufficient Stock</v>
      </c>
      <c r="Y2463">
        <f>WarehouseData[[#This Row],[daily_demand]]*WarehouseData[[#This Row],[lead_time_days]]</f>
        <v>143</v>
      </c>
      <c r="Z2463" t="str">
        <f>IF(WarehouseData[[#This Row],[stock_level]]&lt;=WarehouseData[[#This Row],[Demand During Lead Time]],"At Risk","Safe")</f>
        <v>Safe</v>
      </c>
      <c r="AA2463">
        <f>WarehouseData[[#This Row],[stock_level]]/WarehouseData[[#This Row],[daily_demand]]</f>
        <v>11.328671328671328</v>
      </c>
      <c r="AB2463">
        <f>WarehouseData[[#This Row],[stock_level]]*WarehouseData[[#This Row],[unit_price]]</f>
        <v>34713.360000000001</v>
      </c>
      <c r="AC2463">
        <f>WarehouseData[[#This Row],[stock_level]]*WarehouseData[[#This Row],[holding_cost_per_unit_day]]*30</f>
        <v>2527.2000000000003</v>
      </c>
      <c r="AD2463" t="str">
        <f>IF(WarehouseData[[#This Row],[order_fulfillment_rate]]&gt;=0.9,"Strong",IF(WarehouseData[[#This Row],[order_fulfillment_rate]]&gt;=0.8,"Moderate","Needs Attention"))</f>
        <v>Strong</v>
      </c>
      <c r="AE2463" t="str">
        <f>IF(WarehouseData[[#This Row],[picking_time_seconds]]&gt;120,"Slow",IF(WarehouseData[[#This Row],[picking_time_seconds]]&gt;=60,"Average","Fast"))</f>
        <v>Average</v>
      </c>
    </row>
    <row r="2464" spans="1:31" x14ac:dyDescent="0.25">
      <c r="A2464" t="s">
        <v>2602</v>
      </c>
      <c r="B2464" t="s">
        <v>40</v>
      </c>
      <c r="C2464">
        <v>426</v>
      </c>
      <c r="D2464">
        <v>30</v>
      </c>
      <c r="E2464">
        <v>3</v>
      </c>
      <c r="F2464">
        <v>9</v>
      </c>
      <c r="G2464">
        <v>38.380000000000003</v>
      </c>
      <c r="H2464">
        <v>0.73</v>
      </c>
      <c r="I2464">
        <v>0.39</v>
      </c>
      <c r="J2464" t="s">
        <v>466</v>
      </c>
      <c r="K2464" t="s">
        <v>34</v>
      </c>
      <c r="L2464">
        <v>109</v>
      </c>
      <c r="M2464">
        <v>4.21</v>
      </c>
      <c r="N2464">
        <v>34.5</v>
      </c>
      <c r="O2464">
        <v>0.71</v>
      </c>
      <c r="P2464">
        <v>3</v>
      </c>
      <c r="Q2464">
        <v>0.92</v>
      </c>
      <c r="R2464">
        <v>156</v>
      </c>
      <c r="S2464">
        <v>11.92</v>
      </c>
      <c r="T2464">
        <v>0.56000000000000005</v>
      </c>
      <c r="U2464" s="1">
        <v>45490</v>
      </c>
      <c r="V2464">
        <v>100.6</v>
      </c>
      <c r="W2464">
        <v>0.72399999999999998</v>
      </c>
      <c r="X2464" t="str">
        <f>IF(WarehouseData[[#This Row],[stock_level]]&lt;=WarehouseData[[#This Row],[reorder_point]],"Low Stock","Sufficient Stock")</f>
        <v>Sufficient Stock</v>
      </c>
      <c r="Y2464">
        <f>WarehouseData[[#This Row],[daily_demand]]*WarehouseData[[#This Row],[lead_time_days]]</f>
        <v>345.42</v>
      </c>
      <c r="Z2464" t="str">
        <f>IF(WarehouseData[[#This Row],[stock_level]]&lt;=WarehouseData[[#This Row],[Demand During Lead Time]],"At Risk","Safe")</f>
        <v>Safe</v>
      </c>
      <c r="AA2464">
        <f>WarehouseData[[#This Row],[stock_level]]/WarehouseData[[#This Row],[daily_demand]]</f>
        <v>11.099531005732151</v>
      </c>
      <c r="AB2464">
        <f>WarehouseData[[#This Row],[stock_level]]*WarehouseData[[#This Row],[unit_price]]</f>
        <v>14697</v>
      </c>
      <c r="AC2464">
        <f>WarehouseData[[#This Row],[stock_level]]*WarehouseData[[#This Row],[holding_cost_per_unit_day]]*30</f>
        <v>9073.7999999999993</v>
      </c>
      <c r="AD2464" t="str">
        <f>IF(WarehouseData[[#This Row],[order_fulfillment_rate]]&gt;=0.9,"Strong",IF(WarehouseData[[#This Row],[order_fulfillment_rate]]&gt;=0.8,"Moderate","Needs Attention"))</f>
        <v>Strong</v>
      </c>
      <c r="AE2464" t="str">
        <f>IF(WarehouseData[[#This Row],[picking_time_seconds]]&gt;120,"Slow",IF(WarehouseData[[#This Row],[picking_time_seconds]]&gt;=60,"Average","Fast"))</f>
        <v>Average</v>
      </c>
    </row>
    <row r="2465" spans="1:31" x14ac:dyDescent="0.25">
      <c r="A2465" t="s">
        <v>2603</v>
      </c>
      <c r="B2465" t="s">
        <v>32</v>
      </c>
      <c r="C2465">
        <v>236</v>
      </c>
      <c r="D2465">
        <v>74</v>
      </c>
      <c r="E2465">
        <v>5</v>
      </c>
      <c r="F2465">
        <v>9</v>
      </c>
      <c r="G2465">
        <v>18.989999999999998</v>
      </c>
      <c r="H2465">
        <v>9.39</v>
      </c>
      <c r="I2465">
        <v>0.73</v>
      </c>
      <c r="J2465" t="s">
        <v>281</v>
      </c>
      <c r="K2465" t="s">
        <v>52</v>
      </c>
      <c r="L2465">
        <v>162</v>
      </c>
      <c r="M2465">
        <v>3.66</v>
      </c>
      <c r="N2465">
        <v>63.13</v>
      </c>
      <c r="O2465">
        <v>0.93</v>
      </c>
      <c r="P2465">
        <v>0</v>
      </c>
      <c r="Q2465">
        <v>0.95</v>
      </c>
      <c r="R2465">
        <v>208</v>
      </c>
      <c r="S2465">
        <v>2.0699999999999998</v>
      </c>
      <c r="T2465">
        <v>0.34</v>
      </c>
      <c r="U2465" s="1">
        <v>45522</v>
      </c>
      <c r="V2465">
        <v>81.05</v>
      </c>
      <c r="W2465">
        <v>0.59299999999999997</v>
      </c>
      <c r="X2465" t="str">
        <f>IF(WarehouseData[[#This Row],[stock_level]]&lt;=WarehouseData[[#This Row],[reorder_point]],"Low Stock","Sufficient Stock")</f>
        <v>Sufficient Stock</v>
      </c>
      <c r="Y2465">
        <f>WarehouseData[[#This Row],[daily_demand]]*WarehouseData[[#This Row],[lead_time_days]]</f>
        <v>170.91</v>
      </c>
      <c r="Z2465" t="str">
        <f>IF(WarehouseData[[#This Row],[stock_level]]&lt;=WarehouseData[[#This Row],[Demand During Lead Time]],"At Risk","Safe")</f>
        <v>Safe</v>
      </c>
      <c r="AA2465">
        <f>WarehouseData[[#This Row],[stock_level]]/WarehouseData[[#This Row],[daily_demand]]</f>
        <v>12.427593470247499</v>
      </c>
      <c r="AB2465">
        <f>WarehouseData[[#This Row],[stock_level]]*WarehouseData[[#This Row],[unit_price]]</f>
        <v>14898.68</v>
      </c>
      <c r="AC2465">
        <f>WarehouseData[[#This Row],[stock_level]]*WarehouseData[[#This Row],[holding_cost_per_unit_day]]*30</f>
        <v>6584.4000000000005</v>
      </c>
      <c r="AD2465" t="str">
        <f>IF(WarehouseData[[#This Row],[order_fulfillment_rate]]&gt;=0.9,"Strong",IF(WarehouseData[[#This Row],[order_fulfillment_rate]]&gt;=0.8,"Moderate","Needs Attention"))</f>
        <v>Strong</v>
      </c>
      <c r="AE2465" t="str">
        <f>IF(WarehouseData[[#This Row],[picking_time_seconds]]&gt;120,"Slow",IF(WarehouseData[[#This Row],[picking_time_seconds]]&gt;=60,"Average","Fast"))</f>
        <v>Slow</v>
      </c>
    </row>
    <row r="2466" spans="1:31" x14ac:dyDescent="0.25">
      <c r="A2466" t="s">
        <v>2604</v>
      </c>
      <c r="B2466" t="s">
        <v>40</v>
      </c>
      <c r="C2466">
        <v>437</v>
      </c>
      <c r="D2466">
        <v>30</v>
      </c>
      <c r="E2466">
        <v>13</v>
      </c>
      <c r="F2466">
        <v>8</v>
      </c>
      <c r="G2466">
        <v>27.72</v>
      </c>
      <c r="H2466">
        <v>9.25</v>
      </c>
      <c r="I2466">
        <v>0.56999999999999995</v>
      </c>
      <c r="J2466" t="s">
        <v>418</v>
      </c>
      <c r="K2466" t="s">
        <v>46</v>
      </c>
      <c r="L2466">
        <v>163</v>
      </c>
      <c r="M2466">
        <v>2.2400000000000002</v>
      </c>
      <c r="N2466">
        <v>148.65</v>
      </c>
      <c r="O2466">
        <v>1.06</v>
      </c>
      <c r="P2466">
        <v>1</v>
      </c>
      <c r="Q2466">
        <v>0.98</v>
      </c>
      <c r="R2466">
        <v>943</v>
      </c>
      <c r="S2466">
        <v>9.76</v>
      </c>
      <c r="T2466">
        <v>0.72</v>
      </c>
      <c r="U2466" s="1">
        <v>45614</v>
      </c>
      <c r="V2466">
        <v>128.37</v>
      </c>
      <c r="W2466">
        <v>0.74399999999999999</v>
      </c>
      <c r="X2466" t="str">
        <f>IF(WarehouseData[[#This Row],[stock_level]]&lt;=WarehouseData[[#This Row],[reorder_point]],"Low Stock","Sufficient Stock")</f>
        <v>Sufficient Stock</v>
      </c>
      <c r="Y2466">
        <f>WarehouseData[[#This Row],[daily_demand]]*WarehouseData[[#This Row],[lead_time_days]]</f>
        <v>221.76</v>
      </c>
      <c r="Z2466" t="str">
        <f>IF(WarehouseData[[#This Row],[stock_level]]&lt;=WarehouseData[[#This Row],[Demand During Lead Time]],"At Risk","Safe")</f>
        <v>Safe</v>
      </c>
      <c r="AA2466">
        <f>WarehouseData[[#This Row],[stock_level]]/WarehouseData[[#This Row],[daily_demand]]</f>
        <v>15.764790764790765</v>
      </c>
      <c r="AB2466">
        <f>WarehouseData[[#This Row],[stock_level]]*WarehouseData[[#This Row],[unit_price]]</f>
        <v>64960.05</v>
      </c>
      <c r="AC2466">
        <f>WarehouseData[[#This Row],[stock_level]]*WarehouseData[[#This Row],[holding_cost_per_unit_day]]*30</f>
        <v>13896.6</v>
      </c>
      <c r="AD2466" t="str">
        <f>IF(WarehouseData[[#This Row],[order_fulfillment_rate]]&gt;=0.9,"Strong",IF(WarehouseData[[#This Row],[order_fulfillment_rate]]&gt;=0.8,"Moderate","Needs Attention"))</f>
        <v>Strong</v>
      </c>
      <c r="AE2466" t="str">
        <f>IF(WarehouseData[[#This Row],[picking_time_seconds]]&gt;120,"Slow",IF(WarehouseData[[#This Row],[picking_time_seconds]]&gt;=60,"Average","Fast"))</f>
        <v>Slow</v>
      </c>
    </row>
    <row r="2467" spans="1:31" x14ac:dyDescent="0.25">
      <c r="A2467" t="s">
        <v>2605</v>
      </c>
      <c r="B2467" t="s">
        <v>40</v>
      </c>
      <c r="C2467">
        <v>45</v>
      </c>
      <c r="D2467">
        <v>36</v>
      </c>
      <c r="E2467">
        <v>7</v>
      </c>
      <c r="F2467">
        <v>2</v>
      </c>
      <c r="G2467">
        <v>26.3</v>
      </c>
      <c r="H2467">
        <v>0.98</v>
      </c>
      <c r="I2467">
        <v>0.71</v>
      </c>
      <c r="J2467" t="s">
        <v>166</v>
      </c>
      <c r="K2467" t="s">
        <v>34</v>
      </c>
      <c r="L2467">
        <v>30</v>
      </c>
      <c r="M2467">
        <v>2.23</v>
      </c>
      <c r="N2467">
        <v>12.6</v>
      </c>
      <c r="O2467">
        <v>1.72</v>
      </c>
      <c r="P2467">
        <v>9</v>
      </c>
      <c r="Q2467">
        <v>0.79</v>
      </c>
      <c r="R2467">
        <v>185</v>
      </c>
      <c r="S2467">
        <v>8.1</v>
      </c>
      <c r="T2467">
        <v>0.41</v>
      </c>
      <c r="U2467" s="1">
        <v>45499</v>
      </c>
      <c r="V2467">
        <v>176.81</v>
      </c>
      <c r="W2467">
        <v>0.39600000000000002</v>
      </c>
      <c r="X2467" t="str">
        <f>IF(WarehouseData[[#This Row],[stock_level]]&lt;=WarehouseData[[#This Row],[reorder_point]],"Low Stock","Sufficient Stock")</f>
        <v>Sufficient Stock</v>
      </c>
      <c r="Y2467">
        <f>WarehouseData[[#This Row],[daily_demand]]*WarehouseData[[#This Row],[lead_time_days]]</f>
        <v>52.6</v>
      </c>
      <c r="Z2467" t="str">
        <f>IF(WarehouseData[[#This Row],[stock_level]]&lt;=WarehouseData[[#This Row],[Demand During Lead Time]],"At Risk","Safe")</f>
        <v>At Risk</v>
      </c>
      <c r="AA2467">
        <f>WarehouseData[[#This Row],[stock_level]]/WarehouseData[[#This Row],[daily_demand]]</f>
        <v>1.7110266159695817</v>
      </c>
      <c r="AB2467">
        <f>WarehouseData[[#This Row],[stock_level]]*WarehouseData[[#This Row],[unit_price]]</f>
        <v>567</v>
      </c>
      <c r="AC2467">
        <f>WarehouseData[[#This Row],[stock_level]]*WarehouseData[[#This Row],[holding_cost_per_unit_day]]*30</f>
        <v>2322</v>
      </c>
      <c r="AD2467" t="str">
        <f>IF(WarehouseData[[#This Row],[order_fulfillment_rate]]&gt;=0.9,"Strong",IF(WarehouseData[[#This Row],[order_fulfillment_rate]]&gt;=0.8,"Moderate","Needs Attention"))</f>
        <v>Needs Attention</v>
      </c>
      <c r="AE2467" t="str">
        <f>IF(WarehouseData[[#This Row],[picking_time_seconds]]&gt;120,"Slow",IF(WarehouseData[[#This Row],[picking_time_seconds]]&gt;=60,"Average","Fast"))</f>
        <v>Fast</v>
      </c>
    </row>
    <row r="2468" spans="1:31" x14ac:dyDescent="0.25">
      <c r="A2468" t="s">
        <v>2606</v>
      </c>
      <c r="B2468" t="s">
        <v>73</v>
      </c>
      <c r="C2468">
        <v>322</v>
      </c>
      <c r="D2468">
        <v>79</v>
      </c>
      <c r="E2468">
        <v>10</v>
      </c>
      <c r="F2468">
        <v>9</v>
      </c>
      <c r="G2468">
        <v>5.64</v>
      </c>
      <c r="H2468">
        <v>2.14</v>
      </c>
      <c r="I2468">
        <v>0.85</v>
      </c>
      <c r="J2468" t="s">
        <v>418</v>
      </c>
      <c r="K2468" t="s">
        <v>52</v>
      </c>
      <c r="L2468">
        <v>91</v>
      </c>
      <c r="M2468">
        <v>3.14</v>
      </c>
      <c r="N2468">
        <v>188.19</v>
      </c>
      <c r="O2468">
        <v>0.13</v>
      </c>
      <c r="P2468">
        <v>3</v>
      </c>
      <c r="Q2468">
        <v>0.96</v>
      </c>
      <c r="R2468">
        <v>812</v>
      </c>
      <c r="S2468">
        <v>5.34</v>
      </c>
      <c r="T2468">
        <v>0.92</v>
      </c>
      <c r="U2468" s="1">
        <v>45513</v>
      </c>
      <c r="V2468">
        <v>203.14</v>
      </c>
      <c r="W2468">
        <v>0.77400000000000002</v>
      </c>
      <c r="X2468" t="str">
        <f>IF(WarehouseData[[#This Row],[stock_level]]&lt;=WarehouseData[[#This Row],[reorder_point]],"Low Stock","Sufficient Stock")</f>
        <v>Sufficient Stock</v>
      </c>
      <c r="Y2468">
        <f>WarehouseData[[#This Row],[daily_demand]]*WarehouseData[[#This Row],[lead_time_days]]</f>
        <v>50.76</v>
      </c>
      <c r="Z2468" t="str">
        <f>IF(WarehouseData[[#This Row],[stock_level]]&lt;=WarehouseData[[#This Row],[Demand During Lead Time]],"At Risk","Safe")</f>
        <v>Safe</v>
      </c>
      <c r="AA2468">
        <f>WarehouseData[[#This Row],[stock_level]]/WarehouseData[[#This Row],[daily_demand]]</f>
        <v>57.092198581560289</v>
      </c>
      <c r="AB2468">
        <f>WarehouseData[[#This Row],[stock_level]]*WarehouseData[[#This Row],[unit_price]]</f>
        <v>60597.18</v>
      </c>
      <c r="AC2468">
        <f>WarehouseData[[#This Row],[stock_level]]*WarehouseData[[#This Row],[holding_cost_per_unit_day]]*30</f>
        <v>1255.8</v>
      </c>
      <c r="AD2468" t="str">
        <f>IF(WarehouseData[[#This Row],[order_fulfillment_rate]]&gt;=0.9,"Strong",IF(WarehouseData[[#This Row],[order_fulfillment_rate]]&gt;=0.8,"Moderate","Needs Attention"))</f>
        <v>Strong</v>
      </c>
      <c r="AE2468" t="str">
        <f>IF(WarehouseData[[#This Row],[picking_time_seconds]]&gt;120,"Slow",IF(WarehouseData[[#This Row],[picking_time_seconds]]&gt;=60,"Average","Fast"))</f>
        <v>Average</v>
      </c>
    </row>
    <row r="2469" spans="1:31" x14ac:dyDescent="0.25">
      <c r="A2469" t="s">
        <v>2607</v>
      </c>
      <c r="B2469" t="s">
        <v>32</v>
      </c>
      <c r="C2469">
        <v>24</v>
      </c>
      <c r="D2469">
        <v>53</v>
      </c>
      <c r="E2469">
        <v>11</v>
      </c>
      <c r="F2469">
        <v>7</v>
      </c>
      <c r="G2469">
        <v>16.760000000000002</v>
      </c>
      <c r="H2469">
        <v>1.83</v>
      </c>
      <c r="I2469">
        <v>0.27</v>
      </c>
      <c r="J2469" t="s">
        <v>154</v>
      </c>
      <c r="K2469" t="s">
        <v>38</v>
      </c>
      <c r="L2469">
        <v>33</v>
      </c>
      <c r="M2469">
        <v>2.29</v>
      </c>
      <c r="N2469">
        <v>94.58</v>
      </c>
      <c r="O2469">
        <v>0.91</v>
      </c>
      <c r="P2469">
        <v>0</v>
      </c>
      <c r="Q2469">
        <v>0.9</v>
      </c>
      <c r="R2469">
        <v>79</v>
      </c>
      <c r="S2469">
        <v>11.58</v>
      </c>
      <c r="T2469">
        <v>0.25</v>
      </c>
      <c r="U2469" s="1">
        <v>45453</v>
      </c>
      <c r="V2469">
        <v>154.41</v>
      </c>
      <c r="W2469">
        <v>0.69299999999999995</v>
      </c>
      <c r="X2469" t="str">
        <f>IF(WarehouseData[[#This Row],[stock_level]]&lt;=WarehouseData[[#This Row],[reorder_point]],"Low Stock","Sufficient Stock")</f>
        <v>Low Stock</v>
      </c>
      <c r="Y2469">
        <f>WarehouseData[[#This Row],[daily_demand]]*WarehouseData[[#This Row],[lead_time_days]]</f>
        <v>117.32000000000001</v>
      </c>
      <c r="Z2469" t="str">
        <f>IF(WarehouseData[[#This Row],[stock_level]]&lt;=WarehouseData[[#This Row],[Demand During Lead Time]],"At Risk","Safe")</f>
        <v>At Risk</v>
      </c>
      <c r="AA2469">
        <f>WarehouseData[[#This Row],[stock_level]]/WarehouseData[[#This Row],[daily_demand]]</f>
        <v>1.431980906921241</v>
      </c>
      <c r="AB2469">
        <f>WarehouseData[[#This Row],[stock_level]]*WarehouseData[[#This Row],[unit_price]]</f>
        <v>2269.92</v>
      </c>
      <c r="AC2469">
        <f>WarehouseData[[#This Row],[stock_level]]*WarehouseData[[#This Row],[holding_cost_per_unit_day]]*30</f>
        <v>655.20000000000005</v>
      </c>
      <c r="AD2469" t="str">
        <f>IF(WarehouseData[[#This Row],[order_fulfillment_rate]]&gt;=0.9,"Strong",IF(WarehouseData[[#This Row],[order_fulfillment_rate]]&gt;=0.8,"Moderate","Needs Attention"))</f>
        <v>Strong</v>
      </c>
      <c r="AE2469" t="str">
        <f>IF(WarehouseData[[#This Row],[picking_time_seconds]]&gt;120,"Slow",IF(WarehouseData[[#This Row],[picking_time_seconds]]&gt;=60,"Average","Fast"))</f>
        <v>Fast</v>
      </c>
    </row>
    <row r="2470" spans="1:31" x14ac:dyDescent="0.25">
      <c r="A2470" t="s">
        <v>2608</v>
      </c>
      <c r="B2470" t="s">
        <v>36</v>
      </c>
      <c r="C2470">
        <v>493</v>
      </c>
      <c r="D2470">
        <v>37</v>
      </c>
      <c r="E2470">
        <v>9</v>
      </c>
      <c r="F2470">
        <v>9</v>
      </c>
      <c r="G2470">
        <v>1.95</v>
      </c>
      <c r="H2470">
        <v>3.17</v>
      </c>
      <c r="I2470">
        <v>0.65</v>
      </c>
      <c r="J2470" t="s">
        <v>192</v>
      </c>
      <c r="K2470" t="s">
        <v>34</v>
      </c>
      <c r="L2470">
        <v>120</v>
      </c>
      <c r="M2470">
        <v>4.47</v>
      </c>
      <c r="N2470">
        <v>109.01</v>
      </c>
      <c r="O2470">
        <v>0.88</v>
      </c>
      <c r="P2470">
        <v>5</v>
      </c>
      <c r="Q2470">
        <v>0.99</v>
      </c>
      <c r="R2470">
        <v>147</v>
      </c>
      <c r="S2470">
        <v>1.73</v>
      </c>
      <c r="T2470">
        <v>0.85</v>
      </c>
      <c r="U2470" s="1">
        <v>45300</v>
      </c>
      <c r="V2470">
        <v>212.67</v>
      </c>
      <c r="W2470">
        <v>0.60299999999999998</v>
      </c>
      <c r="X2470" t="str">
        <f>IF(WarehouseData[[#This Row],[stock_level]]&lt;=WarehouseData[[#This Row],[reorder_point]],"Low Stock","Sufficient Stock")</f>
        <v>Sufficient Stock</v>
      </c>
      <c r="Y2470">
        <f>WarehouseData[[#This Row],[daily_demand]]*WarehouseData[[#This Row],[lead_time_days]]</f>
        <v>17.55</v>
      </c>
      <c r="Z2470" t="str">
        <f>IF(WarehouseData[[#This Row],[stock_level]]&lt;=WarehouseData[[#This Row],[Demand During Lead Time]],"At Risk","Safe")</f>
        <v>Safe</v>
      </c>
      <c r="AA2470">
        <f>WarehouseData[[#This Row],[stock_level]]/WarehouseData[[#This Row],[daily_demand]]</f>
        <v>252.82051282051282</v>
      </c>
      <c r="AB2470">
        <f>WarehouseData[[#This Row],[stock_level]]*WarehouseData[[#This Row],[unit_price]]</f>
        <v>53741.93</v>
      </c>
      <c r="AC2470">
        <f>WarehouseData[[#This Row],[stock_level]]*WarehouseData[[#This Row],[holding_cost_per_unit_day]]*30</f>
        <v>13015.199999999999</v>
      </c>
      <c r="AD2470" t="str">
        <f>IF(WarehouseData[[#This Row],[order_fulfillment_rate]]&gt;=0.9,"Strong",IF(WarehouseData[[#This Row],[order_fulfillment_rate]]&gt;=0.8,"Moderate","Needs Attention"))</f>
        <v>Strong</v>
      </c>
      <c r="AE2470" t="str">
        <f>IF(WarehouseData[[#This Row],[picking_time_seconds]]&gt;120,"Slow",IF(WarehouseData[[#This Row],[picking_time_seconds]]&gt;=60,"Average","Fast"))</f>
        <v>Average</v>
      </c>
    </row>
    <row r="2471" spans="1:31" x14ac:dyDescent="0.25">
      <c r="A2471" t="s">
        <v>2609</v>
      </c>
      <c r="B2471" t="s">
        <v>73</v>
      </c>
      <c r="C2471">
        <v>39</v>
      </c>
      <c r="D2471">
        <v>54</v>
      </c>
      <c r="E2471">
        <v>11</v>
      </c>
      <c r="F2471">
        <v>4</v>
      </c>
      <c r="G2471">
        <v>6.42</v>
      </c>
      <c r="H2471">
        <v>2.44</v>
      </c>
      <c r="I2471">
        <v>0.15</v>
      </c>
      <c r="J2471" t="s">
        <v>353</v>
      </c>
      <c r="K2471" t="s">
        <v>34</v>
      </c>
      <c r="L2471">
        <v>101</v>
      </c>
      <c r="M2471">
        <v>0.99</v>
      </c>
      <c r="N2471">
        <v>197.8</v>
      </c>
      <c r="O2471">
        <v>1.9</v>
      </c>
      <c r="P2471">
        <v>0</v>
      </c>
      <c r="Q2471">
        <v>0.78</v>
      </c>
      <c r="R2471">
        <v>658</v>
      </c>
      <c r="S2471">
        <v>7.97</v>
      </c>
      <c r="T2471">
        <v>0.51</v>
      </c>
      <c r="U2471" s="1">
        <v>45491</v>
      </c>
      <c r="V2471">
        <v>215.42</v>
      </c>
      <c r="W2471">
        <v>0.57399999999999995</v>
      </c>
      <c r="X2471" t="str">
        <f>IF(WarehouseData[[#This Row],[stock_level]]&lt;=WarehouseData[[#This Row],[reorder_point]],"Low Stock","Sufficient Stock")</f>
        <v>Low Stock</v>
      </c>
      <c r="Y2471">
        <f>WarehouseData[[#This Row],[daily_demand]]*WarehouseData[[#This Row],[lead_time_days]]</f>
        <v>25.68</v>
      </c>
      <c r="Z2471" t="str">
        <f>IF(WarehouseData[[#This Row],[stock_level]]&lt;=WarehouseData[[#This Row],[Demand During Lead Time]],"At Risk","Safe")</f>
        <v>Safe</v>
      </c>
      <c r="AA2471">
        <f>WarehouseData[[#This Row],[stock_level]]/WarehouseData[[#This Row],[daily_demand]]</f>
        <v>6.0747663551401869</v>
      </c>
      <c r="AB2471">
        <f>WarehouseData[[#This Row],[stock_level]]*WarehouseData[[#This Row],[unit_price]]</f>
        <v>7714.2000000000007</v>
      </c>
      <c r="AC2471">
        <f>WarehouseData[[#This Row],[stock_level]]*WarehouseData[[#This Row],[holding_cost_per_unit_day]]*30</f>
        <v>2223</v>
      </c>
      <c r="AD2471" t="str">
        <f>IF(WarehouseData[[#This Row],[order_fulfillment_rate]]&gt;=0.9,"Strong",IF(WarehouseData[[#This Row],[order_fulfillment_rate]]&gt;=0.8,"Moderate","Needs Attention"))</f>
        <v>Needs Attention</v>
      </c>
      <c r="AE2471" t="str">
        <f>IF(WarehouseData[[#This Row],[picking_time_seconds]]&gt;120,"Slow",IF(WarehouseData[[#This Row],[picking_time_seconds]]&gt;=60,"Average","Fast"))</f>
        <v>Average</v>
      </c>
    </row>
    <row r="2472" spans="1:31" x14ac:dyDescent="0.25">
      <c r="A2472" t="s">
        <v>2610</v>
      </c>
      <c r="B2472" t="s">
        <v>73</v>
      </c>
      <c r="C2472">
        <v>409</v>
      </c>
      <c r="D2472">
        <v>26</v>
      </c>
      <c r="E2472">
        <v>13</v>
      </c>
      <c r="F2472">
        <v>7</v>
      </c>
      <c r="G2472">
        <v>40.78</v>
      </c>
      <c r="H2472">
        <v>9.49</v>
      </c>
      <c r="I2472">
        <v>0.19</v>
      </c>
      <c r="J2472" t="s">
        <v>221</v>
      </c>
      <c r="K2472" t="s">
        <v>52</v>
      </c>
      <c r="L2472">
        <v>21</v>
      </c>
      <c r="M2472">
        <v>3.38</v>
      </c>
      <c r="N2472">
        <v>105.65</v>
      </c>
      <c r="O2472">
        <v>0.56000000000000005</v>
      </c>
      <c r="P2472">
        <v>8</v>
      </c>
      <c r="Q2472">
        <v>0.78</v>
      </c>
      <c r="R2472">
        <v>818</v>
      </c>
      <c r="S2472">
        <v>8.1</v>
      </c>
      <c r="T2472">
        <v>0.89</v>
      </c>
      <c r="U2472" s="1">
        <v>45636</v>
      </c>
      <c r="V2472">
        <v>203.16</v>
      </c>
      <c r="W2472">
        <v>0.626</v>
      </c>
      <c r="X2472" t="str">
        <f>IF(WarehouseData[[#This Row],[stock_level]]&lt;=WarehouseData[[#This Row],[reorder_point]],"Low Stock","Sufficient Stock")</f>
        <v>Sufficient Stock</v>
      </c>
      <c r="Y2472">
        <f>WarehouseData[[#This Row],[daily_demand]]*WarehouseData[[#This Row],[lead_time_days]]</f>
        <v>285.46000000000004</v>
      </c>
      <c r="Z2472" t="str">
        <f>IF(WarehouseData[[#This Row],[stock_level]]&lt;=WarehouseData[[#This Row],[Demand During Lead Time]],"At Risk","Safe")</f>
        <v>Safe</v>
      </c>
      <c r="AA2472">
        <f>WarehouseData[[#This Row],[stock_level]]/WarehouseData[[#This Row],[daily_demand]]</f>
        <v>10.029426189308484</v>
      </c>
      <c r="AB2472">
        <f>WarehouseData[[#This Row],[stock_level]]*WarehouseData[[#This Row],[unit_price]]</f>
        <v>43210.850000000006</v>
      </c>
      <c r="AC2472">
        <f>WarehouseData[[#This Row],[stock_level]]*WarehouseData[[#This Row],[holding_cost_per_unit_day]]*30</f>
        <v>6871.2000000000007</v>
      </c>
      <c r="AD2472" t="str">
        <f>IF(WarehouseData[[#This Row],[order_fulfillment_rate]]&gt;=0.9,"Strong",IF(WarehouseData[[#This Row],[order_fulfillment_rate]]&gt;=0.8,"Moderate","Needs Attention"))</f>
        <v>Needs Attention</v>
      </c>
      <c r="AE2472" t="str">
        <f>IF(WarehouseData[[#This Row],[picking_time_seconds]]&gt;120,"Slow",IF(WarehouseData[[#This Row],[picking_time_seconds]]&gt;=60,"Average","Fast"))</f>
        <v>Fast</v>
      </c>
    </row>
    <row r="2473" spans="1:31" x14ac:dyDescent="0.25">
      <c r="A2473" t="s">
        <v>2611</v>
      </c>
      <c r="B2473" t="s">
        <v>32</v>
      </c>
      <c r="C2473">
        <v>217</v>
      </c>
      <c r="D2473">
        <v>49</v>
      </c>
      <c r="E2473">
        <v>5</v>
      </c>
      <c r="F2473">
        <v>2</v>
      </c>
      <c r="G2473">
        <v>41.64</v>
      </c>
      <c r="H2473">
        <v>1.3</v>
      </c>
      <c r="I2473">
        <v>0.71</v>
      </c>
      <c r="J2473" t="s">
        <v>190</v>
      </c>
      <c r="K2473" t="s">
        <v>46</v>
      </c>
      <c r="L2473">
        <v>148</v>
      </c>
      <c r="M2473">
        <v>1.1000000000000001</v>
      </c>
      <c r="N2473">
        <v>190.07</v>
      </c>
      <c r="O2473">
        <v>0.33</v>
      </c>
      <c r="P2473">
        <v>9</v>
      </c>
      <c r="Q2473">
        <v>0.91</v>
      </c>
      <c r="R2473">
        <v>833</v>
      </c>
      <c r="S2473">
        <v>2.21</v>
      </c>
      <c r="T2473">
        <v>0.85</v>
      </c>
      <c r="U2473" s="1">
        <v>45352</v>
      </c>
      <c r="V2473">
        <v>82.82</v>
      </c>
      <c r="W2473">
        <v>0.56799999999999995</v>
      </c>
      <c r="X2473" t="str">
        <f>IF(WarehouseData[[#This Row],[stock_level]]&lt;=WarehouseData[[#This Row],[reorder_point]],"Low Stock","Sufficient Stock")</f>
        <v>Sufficient Stock</v>
      </c>
      <c r="Y2473">
        <f>WarehouseData[[#This Row],[daily_demand]]*WarehouseData[[#This Row],[lead_time_days]]</f>
        <v>83.28</v>
      </c>
      <c r="Z2473" t="str">
        <f>IF(WarehouseData[[#This Row],[stock_level]]&lt;=WarehouseData[[#This Row],[Demand During Lead Time]],"At Risk","Safe")</f>
        <v>Safe</v>
      </c>
      <c r="AA2473">
        <f>WarehouseData[[#This Row],[stock_level]]/WarehouseData[[#This Row],[daily_demand]]</f>
        <v>5.2113352545629201</v>
      </c>
      <c r="AB2473">
        <f>WarehouseData[[#This Row],[stock_level]]*WarehouseData[[#This Row],[unit_price]]</f>
        <v>41245.189999999995</v>
      </c>
      <c r="AC2473">
        <f>WarehouseData[[#This Row],[stock_level]]*WarehouseData[[#This Row],[holding_cost_per_unit_day]]*30</f>
        <v>2148.3000000000002</v>
      </c>
      <c r="AD2473" t="str">
        <f>IF(WarehouseData[[#This Row],[order_fulfillment_rate]]&gt;=0.9,"Strong",IF(WarehouseData[[#This Row],[order_fulfillment_rate]]&gt;=0.8,"Moderate","Needs Attention"))</f>
        <v>Strong</v>
      </c>
      <c r="AE2473" t="str">
        <f>IF(WarehouseData[[#This Row],[picking_time_seconds]]&gt;120,"Slow",IF(WarehouseData[[#This Row],[picking_time_seconds]]&gt;=60,"Average","Fast"))</f>
        <v>Slow</v>
      </c>
    </row>
    <row r="2474" spans="1:31" x14ac:dyDescent="0.25">
      <c r="A2474" t="s">
        <v>2612</v>
      </c>
      <c r="B2474" t="s">
        <v>32</v>
      </c>
      <c r="C2474">
        <v>78</v>
      </c>
      <c r="D2474">
        <v>12</v>
      </c>
      <c r="E2474">
        <v>7</v>
      </c>
      <c r="F2474">
        <v>3</v>
      </c>
      <c r="G2474">
        <v>40.299999999999997</v>
      </c>
      <c r="H2474">
        <v>2.5099999999999998</v>
      </c>
      <c r="I2474">
        <v>0.16</v>
      </c>
      <c r="J2474" t="s">
        <v>192</v>
      </c>
      <c r="K2474" t="s">
        <v>46</v>
      </c>
      <c r="L2474">
        <v>164</v>
      </c>
      <c r="M2474">
        <v>2.93</v>
      </c>
      <c r="N2474">
        <v>183.89</v>
      </c>
      <c r="O2474">
        <v>0.37</v>
      </c>
      <c r="P2474">
        <v>2</v>
      </c>
      <c r="Q2474">
        <v>0.98</v>
      </c>
      <c r="R2474">
        <v>931</v>
      </c>
      <c r="S2474">
        <v>2.9</v>
      </c>
      <c r="T2474">
        <v>0.39</v>
      </c>
      <c r="U2474" s="1">
        <v>45565</v>
      </c>
      <c r="V2474">
        <v>139.44</v>
      </c>
      <c r="W2474">
        <v>0.63600000000000001</v>
      </c>
      <c r="X2474" t="str">
        <f>IF(WarehouseData[[#This Row],[stock_level]]&lt;=WarehouseData[[#This Row],[reorder_point]],"Low Stock","Sufficient Stock")</f>
        <v>Sufficient Stock</v>
      </c>
      <c r="Y2474">
        <f>WarehouseData[[#This Row],[daily_demand]]*WarehouseData[[#This Row],[lead_time_days]]</f>
        <v>120.89999999999999</v>
      </c>
      <c r="Z2474" t="str">
        <f>IF(WarehouseData[[#This Row],[stock_level]]&lt;=WarehouseData[[#This Row],[Demand During Lead Time]],"At Risk","Safe")</f>
        <v>At Risk</v>
      </c>
      <c r="AA2474">
        <f>WarehouseData[[#This Row],[stock_level]]/WarehouseData[[#This Row],[daily_demand]]</f>
        <v>1.935483870967742</v>
      </c>
      <c r="AB2474">
        <f>WarehouseData[[#This Row],[stock_level]]*WarehouseData[[#This Row],[unit_price]]</f>
        <v>14343.419999999998</v>
      </c>
      <c r="AC2474">
        <f>WarehouseData[[#This Row],[stock_level]]*WarehouseData[[#This Row],[holding_cost_per_unit_day]]*30</f>
        <v>865.8</v>
      </c>
      <c r="AD2474" t="str">
        <f>IF(WarehouseData[[#This Row],[order_fulfillment_rate]]&gt;=0.9,"Strong",IF(WarehouseData[[#This Row],[order_fulfillment_rate]]&gt;=0.8,"Moderate","Needs Attention"))</f>
        <v>Strong</v>
      </c>
      <c r="AE2474" t="str">
        <f>IF(WarehouseData[[#This Row],[picking_time_seconds]]&gt;120,"Slow",IF(WarehouseData[[#This Row],[picking_time_seconds]]&gt;=60,"Average","Fast"))</f>
        <v>Slow</v>
      </c>
    </row>
    <row r="2475" spans="1:31" x14ac:dyDescent="0.25">
      <c r="A2475" t="s">
        <v>2613</v>
      </c>
      <c r="B2475" t="s">
        <v>40</v>
      </c>
      <c r="C2475">
        <v>467</v>
      </c>
      <c r="D2475">
        <v>85</v>
      </c>
      <c r="E2475">
        <v>12</v>
      </c>
      <c r="F2475">
        <v>3</v>
      </c>
      <c r="G2475">
        <v>36.61</v>
      </c>
      <c r="H2475">
        <v>1.27</v>
      </c>
      <c r="I2475">
        <v>0.64</v>
      </c>
      <c r="J2475" t="s">
        <v>98</v>
      </c>
      <c r="K2475" t="s">
        <v>52</v>
      </c>
      <c r="L2475">
        <v>32</v>
      </c>
      <c r="M2475">
        <v>3.72</v>
      </c>
      <c r="N2475">
        <v>188.85</v>
      </c>
      <c r="O2475">
        <v>1.0900000000000001</v>
      </c>
      <c r="P2475">
        <v>0</v>
      </c>
      <c r="Q2475">
        <v>0.95</v>
      </c>
      <c r="R2475">
        <v>572</v>
      </c>
      <c r="S2475">
        <v>6.74</v>
      </c>
      <c r="T2475">
        <v>0.24</v>
      </c>
      <c r="U2475" s="1">
        <v>45295</v>
      </c>
      <c r="V2475">
        <v>232.07</v>
      </c>
      <c r="W2475">
        <v>0.61899999999999999</v>
      </c>
      <c r="X2475" t="str">
        <f>IF(WarehouseData[[#This Row],[stock_level]]&lt;=WarehouseData[[#This Row],[reorder_point]],"Low Stock","Sufficient Stock")</f>
        <v>Sufficient Stock</v>
      </c>
      <c r="Y2475">
        <f>WarehouseData[[#This Row],[daily_demand]]*WarehouseData[[#This Row],[lead_time_days]]</f>
        <v>109.83</v>
      </c>
      <c r="Z2475" t="str">
        <f>IF(WarehouseData[[#This Row],[stock_level]]&lt;=WarehouseData[[#This Row],[Demand During Lead Time]],"At Risk","Safe")</f>
        <v>Safe</v>
      </c>
      <c r="AA2475">
        <f>WarehouseData[[#This Row],[stock_level]]/WarehouseData[[#This Row],[daily_demand]]</f>
        <v>12.756077574433215</v>
      </c>
      <c r="AB2475">
        <f>WarehouseData[[#This Row],[stock_level]]*WarehouseData[[#This Row],[unit_price]]</f>
        <v>88192.95</v>
      </c>
      <c r="AC2475">
        <f>WarehouseData[[#This Row],[stock_level]]*WarehouseData[[#This Row],[holding_cost_per_unit_day]]*30</f>
        <v>15270.900000000001</v>
      </c>
      <c r="AD2475" t="str">
        <f>IF(WarehouseData[[#This Row],[order_fulfillment_rate]]&gt;=0.9,"Strong",IF(WarehouseData[[#This Row],[order_fulfillment_rate]]&gt;=0.8,"Moderate","Needs Attention"))</f>
        <v>Strong</v>
      </c>
      <c r="AE2475" t="str">
        <f>IF(WarehouseData[[#This Row],[picking_time_seconds]]&gt;120,"Slow",IF(WarehouseData[[#This Row],[picking_time_seconds]]&gt;=60,"Average","Fast"))</f>
        <v>Fast</v>
      </c>
    </row>
    <row r="2476" spans="1:31" x14ac:dyDescent="0.25">
      <c r="A2476" t="s">
        <v>2614</v>
      </c>
      <c r="B2476" t="s">
        <v>32</v>
      </c>
      <c r="C2476">
        <v>261</v>
      </c>
      <c r="D2476">
        <v>85</v>
      </c>
      <c r="E2476">
        <v>10</v>
      </c>
      <c r="F2476">
        <v>7</v>
      </c>
      <c r="G2476">
        <v>39.869999999999997</v>
      </c>
      <c r="H2476">
        <v>9.81</v>
      </c>
      <c r="I2476">
        <v>0.3</v>
      </c>
      <c r="J2476" t="s">
        <v>202</v>
      </c>
      <c r="K2476" t="s">
        <v>52</v>
      </c>
      <c r="L2476">
        <v>170</v>
      </c>
      <c r="M2476">
        <v>1.24</v>
      </c>
      <c r="N2476">
        <v>164.35</v>
      </c>
      <c r="O2476">
        <v>0.84</v>
      </c>
      <c r="P2476">
        <v>5</v>
      </c>
      <c r="Q2476">
        <v>0.92</v>
      </c>
      <c r="R2476">
        <v>972</v>
      </c>
      <c r="S2476">
        <v>8.51</v>
      </c>
      <c r="T2476">
        <v>0.76</v>
      </c>
      <c r="U2476" s="1">
        <v>45620</v>
      </c>
      <c r="V2476">
        <v>267.22000000000003</v>
      </c>
      <c r="W2476">
        <v>0.66500000000000004</v>
      </c>
      <c r="X2476" t="str">
        <f>IF(WarehouseData[[#This Row],[stock_level]]&lt;=WarehouseData[[#This Row],[reorder_point]],"Low Stock","Sufficient Stock")</f>
        <v>Sufficient Stock</v>
      </c>
      <c r="Y2476">
        <f>WarehouseData[[#This Row],[daily_demand]]*WarehouseData[[#This Row],[lead_time_days]]</f>
        <v>279.08999999999997</v>
      </c>
      <c r="Z2476" t="str">
        <f>IF(WarehouseData[[#This Row],[stock_level]]&lt;=WarehouseData[[#This Row],[Demand During Lead Time]],"At Risk","Safe")</f>
        <v>At Risk</v>
      </c>
      <c r="AA2476">
        <f>WarehouseData[[#This Row],[stock_level]]/WarehouseData[[#This Row],[daily_demand]]</f>
        <v>6.5462753950338604</v>
      </c>
      <c r="AB2476">
        <f>WarehouseData[[#This Row],[stock_level]]*WarehouseData[[#This Row],[unit_price]]</f>
        <v>42895.35</v>
      </c>
      <c r="AC2476">
        <f>WarehouseData[[#This Row],[stock_level]]*WarehouseData[[#This Row],[holding_cost_per_unit_day]]*30</f>
        <v>6577.2</v>
      </c>
      <c r="AD2476" t="str">
        <f>IF(WarehouseData[[#This Row],[order_fulfillment_rate]]&gt;=0.9,"Strong",IF(WarehouseData[[#This Row],[order_fulfillment_rate]]&gt;=0.8,"Moderate","Needs Attention"))</f>
        <v>Strong</v>
      </c>
      <c r="AE2476" t="str">
        <f>IF(WarehouseData[[#This Row],[picking_time_seconds]]&gt;120,"Slow",IF(WarehouseData[[#This Row],[picking_time_seconds]]&gt;=60,"Average","Fast"))</f>
        <v>Slow</v>
      </c>
    </row>
    <row r="2477" spans="1:31" x14ac:dyDescent="0.25">
      <c r="A2477" t="s">
        <v>2615</v>
      </c>
      <c r="B2477" t="s">
        <v>40</v>
      </c>
      <c r="C2477">
        <v>165</v>
      </c>
      <c r="D2477">
        <v>75</v>
      </c>
      <c r="E2477">
        <v>14</v>
      </c>
      <c r="F2477">
        <v>7</v>
      </c>
      <c r="G2477">
        <v>33.880000000000003</v>
      </c>
      <c r="H2477">
        <v>9.2200000000000006</v>
      </c>
      <c r="I2477">
        <v>0.37</v>
      </c>
      <c r="J2477" t="s">
        <v>188</v>
      </c>
      <c r="K2477" t="s">
        <v>38</v>
      </c>
      <c r="L2477">
        <v>101</v>
      </c>
      <c r="M2477">
        <v>3.67</v>
      </c>
      <c r="N2477">
        <v>66.319999999999993</v>
      </c>
      <c r="O2477">
        <v>1.53</v>
      </c>
      <c r="P2477">
        <v>5</v>
      </c>
      <c r="Q2477">
        <v>0.82</v>
      </c>
      <c r="R2477">
        <v>391</v>
      </c>
      <c r="S2477">
        <v>1.74</v>
      </c>
      <c r="T2477">
        <v>0.36</v>
      </c>
      <c r="U2477" s="1">
        <v>45608</v>
      </c>
      <c r="V2477">
        <v>155.34</v>
      </c>
      <c r="W2477">
        <v>0.40600000000000003</v>
      </c>
      <c r="X2477" t="str">
        <f>IF(WarehouseData[[#This Row],[stock_level]]&lt;=WarehouseData[[#This Row],[reorder_point]],"Low Stock","Sufficient Stock")</f>
        <v>Sufficient Stock</v>
      </c>
      <c r="Y2477">
        <f>WarehouseData[[#This Row],[daily_demand]]*WarehouseData[[#This Row],[lead_time_days]]</f>
        <v>237.16000000000003</v>
      </c>
      <c r="Z2477" t="str">
        <f>IF(WarehouseData[[#This Row],[stock_level]]&lt;=WarehouseData[[#This Row],[Demand During Lead Time]],"At Risk","Safe")</f>
        <v>At Risk</v>
      </c>
      <c r="AA2477">
        <f>WarehouseData[[#This Row],[stock_level]]/WarehouseData[[#This Row],[daily_demand]]</f>
        <v>4.8701298701298699</v>
      </c>
      <c r="AB2477">
        <f>WarehouseData[[#This Row],[stock_level]]*WarehouseData[[#This Row],[unit_price]]</f>
        <v>10942.8</v>
      </c>
      <c r="AC2477">
        <f>WarehouseData[[#This Row],[stock_level]]*WarehouseData[[#This Row],[holding_cost_per_unit_day]]*30</f>
        <v>7573.5000000000009</v>
      </c>
      <c r="AD2477" t="str">
        <f>IF(WarehouseData[[#This Row],[order_fulfillment_rate]]&gt;=0.9,"Strong",IF(WarehouseData[[#This Row],[order_fulfillment_rate]]&gt;=0.8,"Moderate","Needs Attention"))</f>
        <v>Moderate</v>
      </c>
      <c r="AE2477" t="str">
        <f>IF(WarehouseData[[#This Row],[picking_time_seconds]]&gt;120,"Slow",IF(WarehouseData[[#This Row],[picking_time_seconds]]&gt;=60,"Average","Fast"))</f>
        <v>Average</v>
      </c>
    </row>
    <row r="2478" spans="1:31" x14ac:dyDescent="0.25">
      <c r="A2478" t="s">
        <v>2616</v>
      </c>
      <c r="B2478" t="s">
        <v>73</v>
      </c>
      <c r="C2478">
        <v>407</v>
      </c>
      <c r="D2478">
        <v>55</v>
      </c>
      <c r="E2478">
        <v>3</v>
      </c>
      <c r="F2478">
        <v>5</v>
      </c>
      <c r="G2478">
        <v>33.82</v>
      </c>
      <c r="H2478">
        <v>7.31</v>
      </c>
      <c r="I2478">
        <v>0.22</v>
      </c>
      <c r="J2478" t="s">
        <v>379</v>
      </c>
      <c r="K2478" t="s">
        <v>52</v>
      </c>
      <c r="L2478">
        <v>175</v>
      </c>
      <c r="M2478">
        <v>1.1299999999999999</v>
      </c>
      <c r="N2478">
        <v>75.81</v>
      </c>
      <c r="O2478">
        <v>0.71</v>
      </c>
      <c r="P2478">
        <v>6</v>
      </c>
      <c r="Q2478">
        <v>0.92</v>
      </c>
      <c r="R2478">
        <v>217</v>
      </c>
      <c r="S2478">
        <v>1.1599999999999999</v>
      </c>
      <c r="T2478">
        <v>0.94</v>
      </c>
      <c r="U2478" s="1">
        <v>45324</v>
      </c>
      <c r="V2478">
        <v>296.17</v>
      </c>
      <c r="W2478">
        <v>0.59599999999999997</v>
      </c>
      <c r="X2478" t="str">
        <f>IF(WarehouseData[[#This Row],[stock_level]]&lt;=WarehouseData[[#This Row],[reorder_point]],"Low Stock","Sufficient Stock")</f>
        <v>Sufficient Stock</v>
      </c>
      <c r="Y2478">
        <f>WarehouseData[[#This Row],[daily_demand]]*WarehouseData[[#This Row],[lead_time_days]]</f>
        <v>169.1</v>
      </c>
      <c r="Z2478" t="str">
        <f>IF(WarehouseData[[#This Row],[stock_level]]&lt;=WarehouseData[[#This Row],[Demand During Lead Time]],"At Risk","Safe")</f>
        <v>Safe</v>
      </c>
      <c r="AA2478">
        <f>WarehouseData[[#This Row],[stock_level]]/WarehouseData[[#This Row],[daily_demand]]</f>
        <v>12.034299231224127</v>
      </c>
      <c r="AB2478">
        <f>WarehouseData[[#This Row],[stock_level]]*WarehouseData[[#This Row],[unit_price]]</f>
        <v>30854.670000000002</v>
      </c>
      <c r="AC2478">
        <f>WarehouseData[[#This Row],[stock_level]]*WarehouseData[[#This Row],[holding_cost_per_unit_day]]*30</f>
        <v>8669.0999999999985</v>
      </c>
      <c r="AD2478" t="str">
        <f>IF(WarehouseData[[#This Row],[order_fulfillment_rate]]&gt;=0.9,"Strong",IF(WarehouseData[[#This Row],[order_fulfillment_rate]]&gt;=0.8,"Moderate","Needs Attention"))</f>
        <v>Strong</v>
      </c>
      <c r="AE2478" t="str">
        <f>IF(WarehouseData[[#This Row],[picking_time_seconds]]&gt;120,"Slow",IF(WarehouseData[[#This Row],[picking_time_seconds]]&gt;=60,"Average","Fast"))</f>
        <v>Slow</v>
      </c>
    </row>
    <row r="2479" spans="1:31" x14ac:dyDescent="0.25">
      <c r="A2479" t="s">
        <v>2617</v>
      </c>
      <c r="B2479" t="s">
        <v>48</v>
      </c>
      <c r="C2479">
        <v>292</v>
      </c>
      <c r="D2479">
        <v>95</v>
      </c>
      <c r="E2479">
        <v>10</v>
      </c>
      <c r="F2479">
        <v>2</v>
      </c>
      <c r="G2479">
        <v>33.700000000000003</v>
      </c>
      <c r="H2479">
        <v>4.55</v>
      </c>
      <c r="I2479">
        <v>0.32</v>
      </c>
      <c r="J2479" t="s">
        <v>126</v>
      </c>
      <c r="K2479" t="s">
        <v>34</v>
      </c>
      <c r="L2479">
        <v>179</v>
      </c>
      <c r="M2479">
        <v>3.29</v>
      </c>
      <c r="N2479">
        <v>79.349999999999994</v>
      </c>
      <c r="O2479">
        <v>0.34</v>
      </c>
      <c r="P2479">
        <v>6</v>
      </c>
      <c r="Q2479">
        <v>0.94</v>
      </c>
      <c r="R2479">
        <v>260</v>
      </c>
      <c r="S2479">
        <v>3.7</v>
      </c>
      <c r="T2479">
        <v>0.25</v>
      </c>
      <c r="U2479" s="1">
        <v>45591</v>
      </c>
      <c r="V2479">
        <v>60.67</v>
      </c>
      <c r="W2479">
        <v>0.53300000000000003</v>
      </c>
      <c r="X2479" t="str">
        <f>IF(WarehouseData[[#This Row],[stock_level]]&lt;=WarehouseData[[#This Row],[reorder_point]],"Low Stock","Sufficient Stock")</f>
        <v>Sufficient Stock</v>
      </c>
      <c r="Y2479">
        <f>WarehouseData[[#This Row],[daily_demand]]*WarehouseData[[#This Row],[lead_time_days]]</f>
        <v>67.400000000000006</v>
      </c>
      <c r="Z2479" t="str">
        <f>IF(WarehouseData[[#This Row],[stock_level]]&lt;=WarehouseData[[#This Row],[Demand During Lead Time]],"At Risk","Safe")</f>
        <v>Safe</v>
      </c>
      <c r="AA2479">
        <f>WarehouseData[[#This Row],[stock_level]]/WarehouseData[[#This Row],[daily_demand]]</f>
        <v>8.6646884272997031</v>
      </c>
      <c r="AB2479">
        <f>WarehouseData[[#This Row],[stock_level]]*WarehouseData[[#This Row],[unit_price]]</f>
        <v>23170.199999999997</v>
      </c>
      <c r="AC2479">
        <f>WarehouseData[[#This Row],[stock_level]]*WarehouseData[[#This Row],[holding_cost_per_unit_day]]*30</f>
        <v>2978.4</v>
      </c>
      <c r="AD2479" t="str">
        <f>IF(WarehouseData[[#This Row],[order_fulfillment_rate]]&gt;=0.9,"Strong",IF(WarehouseData[[#This Row],[order_fulfillment_rate]]&gt;=0.8,"Moderate","Needs Attention"))</f>
        <v>Strong</v>
      </c>
      <c r="AE2479" t="str">
        <f>IF(WarehouseData[[#This Row],[picking_time_seconds]]&gt;120,"Slow",IF(WarehouseData[[#This Row],[picking_time_seconds]]&gt;=60,"Average","Fast"))</f>
        <v>Slow</v>
      </c>
    </row>
    <row r="2480" spans="1:31" x14ac:dyDescent="0.25">
      <c r="A2480" t="s">
        <v>2618</v>
      </c>
      <c r="B2480" t="s">
        <v>36</v>
      </c>
      <c r="C2480">
        <v>268</v>
      </c>
      <c r="D2480">
        <v>96</v>
      </c>
      <c r="E2480">
        <v>9</v>
      </c>
      <c r="F2480">
        <v>5</v>
      </c>
      <c r="G2480">
        <v>26.19</v>
      </c>
      <c r="H2480">
        <v>2.31</v>
      </c>
      <c r="I2480">
        <v>0.84</v>
      </c>
      <c r="J2480" t="s">
        <v>353</v>
      </c>
      <c r="K2480" t="s">
        <v>52</v>
      </c>
      <c r="L2480">
        <v>132</v>
      </c>
      <c r="M2480">
        <v>2.77</v>
      </c>
      <c r="N2480">
        <v>196.04</v>
      </c>
      <c r="O2480">
        <v>0.84</v>
      </c>
      <c r="P2480">
        <v>9</v>
      </c>
      <c r="Q2480">
        <v>0.93</v>
      </c>
      <c r="R2480">
        <v>733</v>
      </c>
      <c r="S2480">
        <v>7.83</v>
      </c>
      <c r="T2480">
        <v>0.46</v>
      </c>
      <c r="U2480" s="1">
        <v>45315</v>
      </c>
      <c r="V2480">
        <v>75.069999999999993</v>
      </c>
      <c r="W2480">
        <v>0.51800000000000002</v>
      </c>
      <c r="X2480" t="str">
        <f>IF(WarehouseData[[#This Row],[stock_level]]&lt;=WarehouseData[[#This Row],[reorder_point]],"Low Stock","Sufficient Stock")</f>
        <v>Sufficient Stock</v>
      </c>
      <c r="Y2480">
        <f>WarehouseData[[#This Row],[daily_demand]]*WarehouseData[[#This Row],[lead_time_days]]</f>
        <v>130.95000000000002</v>
      </c>
      <c r="Z2480" t="str">
        <f>IF(WarehouseData[[#This Row],[stock_level]]&lt;=WarehouseData[[#This Row],[Demand During Lead Time]],"At Risk","Safe")</f>
        <v>Safe</v>
      </c>
      <c r="AA2480">
        <f>WarehouseData[[#This Row],[stock_level]]/WarehouseData[[#This Row],[daily_demand]]</f>
        <v>10.232913325696831</v>
      </c>
      <c r="AB2480">
        <f>WarehouseData[[#This Row],[stock_level]]*WarehouseData[[#This Row],[unit_price]]</f>
        <v>52538.720000000001</v>
      </c>
      <c r="AC2480">
        <f>WarehouseData[[#This Row],[stock_level]]*WarehouseData[[#This Row],[holding_cost_per_unit_day]]*30</f>
        <v>6753.6</v>
      </c>
      <c r="AD2480" t="str">
        <f>IF(WarehouseData[[#This Row],[order_fulfillment_rate]]&gt;=0.9,"Strong",IF(WarehouseData[[#This Row],[order_fulfillment_rate]]&gt;=0.8,"Moderate","Needs Attention"))</f>
        <v>Strong</v>
      </c>
      <c r="AE2480" t="str">
        <f>IF(WarehouseData[[#This Row],[picking_time_seconds]]&gt;120,"Slow",IF(WarehouseData[[#This Row],[picking_time_seconds]]&gt;=60,"Average","Fast"))</f>
        <v>Slow</v>
      </c>
    </row>
    <row r="2481" spans="1:31" x14ac:dyDescent="0.25">
      <c r="A2481" t="s">
        <v>2619</v>
      </c>
      <c r="B2481" t="s">
        <v>73</v>
      </c>
      <c r="C2481">
        <v>33</v>
      </c>
      <c r="D2481">
        <v>39</v>
      </c>
      <c r="E2481">
        <v>3</v>
      </c>
      <c r="F2481">
        <v>4</v>
      </c>
      <c r="G2481">
        <v>18.8</v>
      </c>
      <c r="H2481">
        <v>2.6</v>
      </c>
      <c r="I2481">
        <v>0.67</v>
      </c>
      <c r="J2481" t="s">
        <v>215</v>
      </c>
      <c r="K2481" t="s">
        <v>38</v>
      </c>
      <c r="L2481">
        <v>166</v>
      </c>
      <c r="M2481">
        <v>1.84</v>
      </c>
      <c r="N2481">
        <v>78.540000000000006</v>
      </c>
      <c r="O2481">
        <v>1.78</v>
      </c>
      <c r="P2481">
        <v>3</v>
      </c>
      <c r="Q2481">
        <v>0.9</v>
      </c>
      <c r="R2481">
        <v>887</v>
      </c>
      <c r="S2481">
        <v>1.56</v>
      </c>
      <c r="T2481">
        <v>0.21</v>
      </c>
      <c r="U2481" s="1">
        <v>45650</v>
      </c>
      <c r="V2481">
        <v>143.62</v>
      </c>
      <c r="W2481">
        <v>0.40500000000000003</v>
      </c>
      <c r="X2481" t="str">
        <f>IF(WarehouseData[[#This Row],[stock_level]]&lt;=WarehouseData[[#This Row],[reorder_point]],"Low Stock","Sufficient Stock")</f>
        <v>Low Stock</v>
      </c>
      <c r="Y2481">
        <f>WarehouseData[[#This Row],[daily_demand]]*WarehouseData[[#This Row],[lead_time_days]]</f>
        <v>75.2</v>
      </c>
      <c r="Z2481" t="str">
        <f>IF(WarehouseData[[#This Row],[stock_level]]&lt;=WarehouseData[[#This Row],[Demand During Lead Time]],"At Risk","Safe")</f>
        <v>At Risk</v>
      </c>
      <c r="AA2481">
        <f>WarehouseData[[#This Row],[stock_level]]/WarehouseData[[#This Row],[daily_demand]]</f>
        <v>1.7553191489361701</v>
      </c>
      <c r="AB2481">
        <f>WarehouseData[[#This Row],[stock_level]]*WarehouseData[[#This Row],[unit_price]]</f>
        <v>2591.8200000000002</v>
      </c>
      <c r="AC2481">
        <f>WarehouseData[[#This Row],[stock_level]]*WarehouseData[[#This Row],[holding_cost_per_unit_day]]*30</f>
        <v>1762.2</v>
      </c>
      <c r="AD2481" t="str">
        <f>IF(WarehouseData[[#This Row],[order_fulfillment_rate]]&gt;=0.9,"Strong",IF(WarehouseData[[#This Row],[order_fulfillment_rate]]&gt;=0.8,"Moderate","Needs Attention"))</f>
        <v>Strong</v>
      </c>
      <c r="AE2481" t="str">
        <f>IF(WarehouseData[[#This Row],[picking_time_seconds]]&gt;120,"Slow",IF(WarehouseData[[#This Row],[picking_time_seconds]]&gt;=60,"Average","Fast"))</f>
        <v>Slow</v>
      </c>
    </row>
    <row r="2482" spans="1:31" x14ac:dyDescent="0.25">
      <c r="A2482" t="s">
        <v>2620</v>
      </c>
      <c r="B2482" t="s">
        <v>32</v>
      </c>
      <c r="C2482">
        <v>481</v>
      </c>
      <c r="D2482">
        <v>78</v>
      </c>
      <c r="E2482">
        <v>12</v>
      </c>
      <c r="F2482">
        <v>8</v>
      </c>
      <c r="G2482">
        <v>36.78</v>
      </c>
      <c r="H2482">
        <v>4.71</v>
      </c>
      <c r="I2482">
        <v>0.95</v>
      </c>
      <c r="J2482" t="s">
        <v>144</v>
      </c>
      <c r="K2482" t="s">
        <v>52</v>
      </c>
      <c r="L2482">
        <v>43</v>
      </c>
      <c r="M2482">
        <v>1</v>
      </c>
      <c r="N2482">
        <v>30.65</v>
      </c>
      <c r="O2482">
        <v>0.87</v>
      </c>
      <c r="P2482">
        <v>4</v>
      </c>
      <c r="Q2482">
        <v>0.71</v>
      </c>
      <c r="R2482">
        <v>681</v>
      </c>
      <c r="S2482">
        <v>11.27</v>
      </c>
      <c r="T2482">
        <v>0.45</v>
      </c>
      <c r="U2482" s="1">
        <v>45329</v>
      </c>
      <c r="V2482">
        <v>157.53</v>
      </c>
      <c r="W2482">
        <v>0.61499999999999999</v>
      </c>
      <c r="X2482" t="str">
        <f>IF(WarehouseData[[#This Row],[stock_level]]&lt;=WarehouseData[[#This Row],[reorder_point]],"Low Stock","Sufficient Stock")</f>
        <v>Sufficient Stock</v>
      </c>
      <c r="Y2482">
        <f>WarehouseData[[#This Row],[daily_demand]]*WarehouseData[[#This Row],[lead_time_days]]</f>
        <v>294.24</v>
      </c>
      <c r="Z2482" t="str">
        <f>IF(WarehouseData[[#This Row],[stock_level]]&lt;=WarehouseData[[#This Row],[Demand During Lead Time]],"At Risk","Safe")</f>
        <v>Safe</v>
      </c>
      <c r="AA2482">
        <f>WarehouseData[[#This Row],[stock_level]]/WarehouseData[[#This Row],[daily_demand]]</f>
        <v>13.077759651984774</v>
      </c>
      <c r="AB2482">
        <f>WarehouseData[[#This Row],[stock_level]]*WarehouseData[[#This Row],[unit_price]]</f>
        <v>14742.65</v>
      </c>
      <c r="AC2482">
        <f>WarehouseData[[#This Row],[stock_level]]*WarehouseData[[#This Row],[holding_cost_per_unit_day]]*30</f>
        <v>12554.099999999999</v>
      </c>
      <c r="AD2482" t="str">
        <f>IF(WarehouseData[[#This Row],[order_fulfillment_rate]]&gt;=0.9,"Strong",IF(WarehouseData[[#This Row],[order_fulfillment_rate]]&gt;=0.8,"Moderate","Needs Attention"))</f>
        <v>Needs Attention</v>
      </c>
      <c r="AE2482" t="str">
        <f>IF(WarehouseData[[#This Row],[picking_time_seconds]]&gt;120,"Slow",IF(WarehouseData[[#This Row],[picking_time_seconds]]&gt;=60,"Average","Fast"))</f>
        <v>Fast</v>
      </c>
    </row>
    <row r="2483" spans="1:31" x14ac:dyDescent="0.25">
      <c r="A2483" t="s">
        <v>2621</v>
      </c>
      <c r="B2483" t="s">
        <v>36</v>
      </c>
      <c r="C2483">
        <v>32</v>
      </c>
      <c r="D2483">
        <v>18</v>
      </c>
      <c r="E2483">
        <v>14</v>
      </c>
      <c r="F2483">
        <v>3</v>
      </c>
      <c r="G2483">
        <v>15.63</v>
      </c>
      <c r="H2483">
        <v>7.8</v>
      </c>
      <c r="I2483">
        <v>0.14000000000000001</v>
      </c>
      <c r="J2483" t="s">
        <v>33</v>
      </c>
      <c r="K2483" t="s">
        <v>52</v>
      </c>
      <c r="L2483">
        <v>134</v>
      </c>
      <c r="M2483">
        <v>3.81</v>
      </c>
      <c r="N2483">
        <v>157.88</v>
      </c>
      <c r="O2483">
        <v>1.68</v>
      </c>
      <c r="P2483">
        <v>2</v>
      </c>
      <c r="Q2483">
        <v>0.9</v>
      </c>
      <c r="R2483">
        <v>234</v>
      </c>
      <c r="S2483">
        <v>3.13</v>
      </c>
      <c r="T2483">
        <v>0.63</v>
      </c>
      <c r="U2483" s="1">
        <v>45475</v>
      </c>
      <c r="V2483">
        <v>133.1</v>
      </c>
      <c r="W2483">
        <v>0.54</v>
      </c>
      <c r="X2483" t="str">
        <f>IF(WarehouseData[[#This Row],[stock_level]]&lt;=WarehouseData[[#This Row],[reorder_point]],"Low Stock","Sufficient Stock")</f>
        <v>Sufficient Stock</v>
      </c>
      <c r="Y2483">
        <f>WarehouseData[[#This Row],[daily_demand]]*WarehouseData[[#This Row],[lead_time_days]]</f>
        <v>46.89</v>
      </c>
      <c r="Z2483" t="str">
        <f>IF(WarehouseData[[#This Row],[stock_level]]&lt;=WarehouseData[[#This Row],[Demand During Lead Time]],"At Risk","Safe")</f>
        <v>At Risk</v>
      </c>
      <c r="AA2483">
        <f>WarehouseData[[#This Row],[stock_level]]/WarehouseData[[#This Row],[daily_demand]]</f>
        <v>2.0473448496481126</v>
      </c>
      <c r="AB2483">
        <f>WarehouseData[[#This Row],[stock_level]]*WarehouseData[[#This Row],[unit_price]]</f>
        <v>5052.16</v>
      </c>
      <c r="AC2483">
        <f>WarehouseData[[#This Row],[stock_level]]*WarehouseData[[#This Row],[holding_cost_per_unit_day]]*30</f>
        <v>1612.8</v>
      </c>
      <c r="AD2483" t="str">
        <f>IF(WarehouseData[[#This Row],[order_fulfillment_rate]]&gt;=0.9,"Strong",IF(WarehouseData[[#This Row],[order_fulfillment_rate]]&gt;=0.8,"Moderate","Needs Attention"))</f>
        <v>Strong</v>
      </c>
      <c r="AE2483" t="str">
        <f>IF(WarehouseData[[#This Row],[picking_time_seconds]]&gt;120,"Slow",IF(WarehouseData[[#This Row],[picking_time_seconds]]&gt;=60,"Average","Fast"))</f>
        <v>Slow</v>
      </c>
    </row>
    <row r="2484" spans="1:31" x14ac:dyDescent="0.25">
      <c r="A2484" t="s">
        <v>2622</v>
      </c>
      <c r="B2484" t="s">
        <v>48</v>
      </c>
      <c r="C2484">
        <v>410</v>
      </c>
      <c r="D2484">
        <v>94</v>
      </c>
      <c r="E2484">
        <v>12</v>
      </c>
      <c r="F2484">
        <v>9</v>
      </c>
      <c r="G2484">
        <v>27.6</v>
      </c>
      <c r="H2484">
        <v>3.01</v>
      </c>
      <c r="I2484">
        <v>0.81</v>
      </c>
      <c r="J2484" t="s">
        <v>66</v>
      </c>
      <c r="K2484" t="s">
        <v>34</v>
      </c>
      <c r="L2484">
        <v>66</v>
      </c>
      <c r="M2484">
        <v>2.2200000000000002</v>
      </c>
      <c r="N2484">
        <v>79.55</v>
      </c>
      <c r="O2484">
        <v>0.81</v>
      </c>
      <c r="P2484">
        <v>5</v>
      </c>
      <c r="Q2484">
        <v>0.84</v>
      </c>
      <c r="R2484">
        <v>481</v>
      </c>
      <c r="S2484">
        <v>11.82</v>
      </c>
      <c r="T2484">
        <v>0.72</v>
      </c>
      <c r="U2484" s="1">
        <v>45549</v>
      </c>
      <c r="V2484">
        <v>134.82</v>
      </c>
      <c r="W2484">
        <v>0.68899999999999995</v>
      </c>
      <c r="X2484" t="str">
        <f>IF(WarehouseData[[#This Row],[stock_level]]&lt;=WarehouseData[[#This Row],[reorder_point]],"Low Stock","Sufficient Stock")</f>
        <v>Sufficient Stock</v>
      </c>
      <c r="Y2484">
        <f>WarehouseData[[#This Row],[daily_demand]]*WarehouseData[[#This Row],[lead_time_days]]</f>
        <v>248.4</v>
      </c>
      <c r="Z2484" t="str">
        <f>IF(WarehouseData[[#This Row],[stock_level]]&lt;=WarehouseData[[#This Row],[Demand During Lead Time]],"At Risk","Safe")</f>
        <v>Safe</v>
      </c>
      <c r="AA2484">
        <f>WarehouseData[[#This Row],[stock_level]]/WarehouseData[[#This Row],[daily_demand]]</f>
        <v>14.855072463768115</v>
      </c>
      <c r="AB2484">
        <f>WarehouseData[[#This Row],[stock_level]]*WarehouseData[[#This Row],[unit_price]]</f>
        <v>32615.5</v>
      </c>
      <c r="AC2484">
        <f>WarehouseData[[#This Row],[stock_level]]*WarehouseData[[#This Row],[holding_cost_per_unit_day]]*30</f>
        <v>9963</v>
      </c>
      <c r="AD2484" t="str">
        <f>IF(WarehouseData[[#This Row],[order_fulfillment_rate]]&gt;=0.9,"Strong",IF(WarehouseData[[#This Row],[order_fulfillment_rate]]&gt;=0.8,"Moderate","Needs Attention"))</f>
        <v>Moderate</v>
      </c>
      <c r="AE2484" t="str">
        <f>IF(WarehouseData[[#This Row],[picking_time_seconds]]&gt;120,"Slow",IF(WarehouseData[[#This Row],[picking_time_seconds]]&gt;=60,"Average","Fast"))</f>
        <v>Average</v>
      </c>
    </row>
    <row r="2485" spans="1:31" x14ac:dyDescent="0.25">
      <c r="A2485" t="s">
        <v>2623</v>
      </c>
      <c r="B2485" t="s">
        <v>48</v>
      </c>
      <c r="C2485">
        <v>403</v>
      </c>
      <c r="D2485">
        <v>20</v>
      </c>
      <c r="E2485">
        <v>14</v>
      </c>
      <c r="F2485">
        <v>9</v>
      </c>
      <c r="G2485">
        <v>22.23</v>
      </c>
      <c r="H2485">
        <v>3.45</v>
      </c>
      <c r="I2485">
        <v>0.73</v>
      </c>
      <c r="J2485" t="s">
        <v>447</v>
      </c>
      <c r="K2485" t="s">
        <v>46</v>
      </c>
      <c r="L2485">
        <v>12</v>
      </c>
      <c r="M2485">
        <v>0.89</v>
      </c>
      <c r="N2485">
        <v>127.98</v>
      </c>
      <c r="O2485">
        <v>0.63</v>
      </c>
      <c r="P2485">
        <v>6</v>
      </c>
      <c r="Q2485">
        <v>0.99</v>
      </c>
      <c r="R2485">
        <v>473</v>
      </c>
      <c r="S2485">
        <v>3.87</v>
      </c>
      <c r="T2485">
        <v>0.78</v>
      </c>
      <c r="U2485" s="1">
        <v>45346</v>
      </c>
      <c r="V2485">
        <v>151.30000000000001</v>
      </c>
      <c r="W2485">
        <v>0.623</v>
      </c>
      <c r="X2485" t="str">
        <f>IF(WarehouseData[[#This Row],[stock_level]]&lt;=WarehouseData[[#This Row],[reorder_point]],"Low Stock","Sufficient Stock")</f>
        <v>Sufficient Stock</v>
      </c>
      <c r="Y2485">
        <f>WarehouseData[[#This Row],[daily_demand]]*WarehouseData[[#This Row],[lead_time_days]]</f>
        <v>200.07</v>
      </c>
      <c r="Z2485" t="str">
        <f>IF(WarehouseData[[#This Row],[stock_level]]&lt;=WarehouseData[[#This Row],[Demand During Lead Time]],"At Risk","Safe")</f>
        <v>Safe</v>
      </c>
      <c r="AA2485">
        <f>WarehouseData[[#This Row],[stock_level]]/WarehouseData[[#This Row],[daily_demand]]</f>
        <v>18.128654970760234</v>
      </c>
      <c r="AB2485">
        <f>WarehouseData[[#This Row],[stock_level]]*WarehouseData[[#This Row],[unit_price]]</f>
        <v>51575.94</v>
      </c>
      <c r="AC2485">
        <f>WarehouseData[[#This Row],[stock_level]]*WarehouseData[[#This Row],[holding_cost_per_unit_day]]*30</f>
        <v>7616.7000000000007</v>
      </c>
      <c r="AD2485" t="str">
        <f>IF(WarehouseData[[#This Row],[order_fulfillment_rate]]&gt;=0.9,"Strong",IF(WarehouseData[[#This Row],[order_fulfillment_rate]]&gt;=0.8,"Moderate","Needs Attention"))</f>
        <v>Strong</v>
      </c>
      <c r="AE2485" t="str">
        <f>IF(WarehouseData[[#This Row],[picking_time_seconds]]&gt;120,"Slow",IF(WarehouseData[[#This Row],[picking_time_seconds]]&gt;=60,"Average","Fast"))</f>
        <v>Fast</v>
      </c>
    </row>
    <row r="2486" spans="1:31" x14ac:dyDescent="0.25">
      <c r="A2486" t="s">
        <v>2624</v>
      </c>
      <c r="B2486" t="s">
        <v>40</v>
      </c>
      <c r="C2486">
        <v>63</v>
      </c>
      <c r="D2486">
        <v>78</v>
      </c>
      <c r="E2486">
        <v>8</v>
      </c>
      <c r="F2486">
        <v>6</v>
      </c>
      <c r="G2486">
        <v>14.55</v>
      </c>
      <c r="H2486">
        <v>6.2</v>
      </c>
      <c r="I2486">
        <v>0.33</v>
      </c>
      <c r="J2486" t="s">
        <v>166</v>
      </c>
      <c r="K2486" t="s">
        <v>52</v>
      </c>
      <c r="L2486">
        <v>15</v>
      </c>
      <c r="M2486">
        <v>3.98</v>
      </c>
      <c r="N2486">
        <v>185.63</v>
      </c>
      <c r="O2486">
        <v>1.57</v>
      </c>
      <c r="P2486">
        <v>8</v>
      </c>
      <c r="Q2486">
        <v>0.88</v>
      </c>
      <c r="R2486">
        <v>88</v>
      </c>
      <c r="S2486">
        <v>5.85</v>
      </c>
      <c r="T2486">
        <v>0.87</v>
      </c>
      <c r="U2486" s="1">
        <v>45440</v>
      </c>
      <c r="V2486">
        <v>102.85</v>
      </c>
      <c r="W2486">
        <v>0.51100000000000001</v>
      </c>
      <c r="X2486" t="str">
        <f>IF(WarehouseData[[#This Row],[stock_level]]&lt;=WarehouseData[[#This Row],[reorder_point]],"Low Stock","Sufficient Stock")</f>
        <v>Low Stock</v>
      </c>
      <c r="Y2486">
        <f>WarehouseData[[#This Row],[daily_demand]]*WarehouseData[[#This Row],[lead_time_days]]</f>
        <v>87.300000000000011</v>
      </c>
      <c r="Z2486" t="str">
        <f>IF(WarehouseData[[#This Row],[stock_level]]&lt;=WarehouseData[[#This Row],[Demand During Lead Time]],"At Risk","Safe")</f>
        <v>At Risk</v>
      </c>
      <c r="AA2486">
        <f>WarehouseData[[#This Row],[stock_level]]/WarehouseData[[#This Row],[daily_demand]]</f>
        <v>4.3298969072164946</v>
      </c>
      <c r="AB2486">
        <f>WarehouseData[[#This Row],[stock_level]]*WarehouseData[[#This Row],[unit_price]]</f>
        <v>11694.69</v>
      </c>
      <c r="AC2486">
        <f>WarehouseData[[#This Row],[stock_level]]*WarehouseData[[#This Row],[holding_cost_per_unit_day]]*30</f>
        <v>2967.3</v>
      </c>
      <c r="AD2486" t="str">
        <f>IF(WarehouseData[[#This Row],[order_fulfillment_rate]]&gt;=0.9,"Strong",IF(WarehouseData[[#This Row],[order_fulfillment_rate]]&gt;=0.8,"Moderate","Needs Attention"))</f>
        <v>Moderate</v>
      </c>
      <c r="AE2486" t="str">
        <f>IF(WarehouseData[[#This Row],[picking_time_seconds]]&gt;120,"Slow",IF(WarehouseData[[#This Row],[picking_time_seconds]]&gt;=60,"Average","Fast"))</f>
        <v>Fast</v>
      </c>
    </row>
    <row r="2487" spans="1:31" x14ac:dyDescent="0.25">
      <c r="A2487" t="s">
        <v>2625</v>
      </c>
      <c r="B2487" t="s">
        <v>36</v>
      </c>
      <c r="C2487">
        <v>394</v>
      </c>
      <c r="D2487">
        <v>75</v>
      </c>
      <c r="E2487">
        <v>3</v>
      </c>
      <c r="F2487">
        <v>6</v>
      </c>
      <c r="G2487">
        <v>48.76</v>
      </c>
      <c r="H2487">
        <v>2.76</v>
      </c>
      <c r="I2487">
        <v>0.76</v>
      </c>
      <c r="J2487" t="s">
        <v>353</v>
      </c>
      <c r="K2487" t="s">
        <v>38</v>
      </c>
      <c r="L2487">
        <v>57</v>
      </c>
      <c r="M2487">
        <v>1.55</v>
      </c>
      <c r="N2487">
        <v>119.35</v>
      </c>
      <c r="O2487">
        <v>0.5</v>
      </c>
      <c r="P2487">
        <v>8</v>
      </c>
      <c r="Q2487">
        <v>0.88</v>
      </c>
      <c r="R2487">
        <v>436</v>
      </c>
      <c r="S2487">
        <v>7.71</v>
      </c>
      <c r="T2487">
        <v>0.28999999999999998</v>
      </c>
      <c r="U2487" s="1">
        <v>45643</v>
      </c>
      <c r="V2487">
        <v>47.97</v>
      </c>
      <c r="W2487">
        <v>0.52700000000000002</v>
      </c>
      <c r="X2487" t="str">
        <f>IF(WarehouseData[[#This Row],[stock_level]]&lt;=WarehouseData[[#This Row],[reorder_point]],"Low Stock","Sufficient Stock")</f>
        <v>Sufficient Stock</v>
      </c>
      <c r="Y2487">
        <f>WarehouseData[[#This Row],[daily_demand]]*WarehouseData[[#This Row],[lead_time_days]]</f>
        <v>292.56</v>
      </c>
      <c r="Z2487" t="str">
        <f>IF(WarehouseData[[#This Row],[stock_level]]&lt;=WarehouseData[[#This Row],[Demand During Lead Time]],"At Risk","Safe")</f>
        <v>Safe</v>
      </c>
      <c r="AA2487">
        <f>WarehouseData[[#This Row],[stock_level]]/WarehouseData[[#This Row],[daily_demand]]</f>
        <v>8.0803937653814604</v>
      </c>
      <c r="AB2487">
        <f>WarehouseData[[#This Row],[stock_level]]*WarehouseData[[#This Row],[unit_price]]</f>
        <v>47023.899999999994</v>
      </c>
      <c r="AC2487">
        <f>WarehouseData[[#This Row],[stock_level]]*WarehouseData[[#This Row],[holding_cost_per_unit_day]]*30</f>
        <v>5910</v>
      </c>
      <c r="AD2487" t="str">
        <f>IF(WarehouseData[[#This Row],[order_fulfillment_rate]]&gt;=0.9,"Strong",IF(WarehouseData[[#This Row],[order_fulfillment_rate]]&gt;=0.8,"Moderate","Needs Attention"))</f>
        <v>Moderate</v>
      </c>
      <c r="AE2487" t="str">
        <f>IF(WarehouseData[[#This Row],[picking_time_seconds]]&gt;120,"Slow",IF(WarehouseData[[#This Row],[picking_time_seconds]]&gt;=60,"Average","Fast"))</f>
        <v>Fast</v>
      </c>
    </row>
    <row r="2488" spans="1:31" x14ac:dyDescent="0.25">
      <c r="A2488" t="s">
        <v>2626</v>
      </c>
      <c r="B2488" t="s">
        <v>40</v>
      </c>
      <c r="C2488">
        <v>418</v>
      </c>
      <c r="D2488">
        <v>97</v>
      </c>
      <c r="E2488">
        <v>4</v>
      </c>
      <c r="F2488">
        <v>2</v>
      </c>
      <c r="G2488">
        <v>13.68</v>
      </c>
      <c r="H2488">
        <v>6.05</v>
      </c>
      <c r="I2488">
        <v>0.74</v>
      </c>
      <c r="J2488" t="s">
        <v>301</v>
      </c>
      <c r="K2488" t="s">
        <v>52</v>
      </c>
      <c r="L2488">
        <v>111</v>
      </c>
      <c r="M2488">
        <v>3.81</v>
      </c>
      <c r="N2488">
        <v>131.16</v>
      </c>
      <c r="O2488">
        <v>0.54</v>
      </c>
      <c r="P2488">
        <v>4</v>
      </c>
      <c r="Q2488">
        <v>1</v>
      </c>
      <c r="R2488">
        <v>818</v>
      </c>
      <c r="S2488">
        <v>5.86</v>
      </c>
      <c r="T2488">
        <v>0.81</v>
      </c>
      <c r="U2488" s="1">
        <v>45446</v>
      </c>
      <c r="V2488">
        <v>287.27</v>
      </c>
      <c r="W2488">
        <v>0.70599999999999996</v>
      </c>
      <c r="X2488" t="str">
        <f>IF(WarehouseData[[#This Row],[stock_level]]&lt;=WarehouseData[[#This Row],[reorder_point]],"Low Stock","Sufficient Stock")</f>
        <v>Sufficient Stock</v>
      </c>
      <c r="Y2488">
        <f>WarehouseData[[#This Row],[daily_demand]]*WarehouseData[[#This Row],[lead_time_days]]</f>
        <v>27.36</v>
      </c>
      <c r="Z2488" t="str">
        <f>IF(WarehouseData[[#This Row],[stock_level]]&lt;=WarehouseData[[#This Row],[Demand During Lead Time]],"At Risk","Safe")</f>
        <v>Safe</v>
      </c>
      <c r="AA2488">
        <f>WarehouseData[[#This Row],[stock_level]]/WarehouseData[[#This Row],[daily_demand]]</f>
        <v>30.555555555555557</v>
      </c>
      <c r="AB2488">
        <f>WarehouseData[[#This Row],[stock_level]]*WarehouseData[[#This Row],[unit_price]]</f>
        <v>54824.88</v>
      </c>
      <c r="AC2488">
        <f>WarehouseData[[#This Row],[stock_level]]*WarehouseData[[#This Row],[holding_cost_per_unit_day]]*30</f>
        <v>6771.6</v>
      </c>
      <c r="AD2488" t="str">
        <f>IF(WarehouseData[[#This Row],[order_fulfillment_rate]]&gt;=0.9,"Strong",IF(WarehouseData[[#This Row],[order_fulfillment_rate]]&gt;=0.8,"Moderate","Needs Attention"))</f>
        <v>Strong</v>
      </c>
      <c r="AE2488" t="str">
        <f>IF(WarehouseData[[#This Row],[picking_time_seconds]]&gt;120,"Slow",IF(WarehouseData[[#This Row],[picking_time_seconds]]&gt;=60,"Average","Fast"))</f>
        <v>Average</v>
      </c>
    </row>
    <row r="2489" spans="1:31" x14ac:dyDescent="0.25">
      <c r="A2489" t="s">
        <v>2627</v>
      </c>
      <c r="B2489" t="s">
        <v>73</v>
      </c>
      <c r="C2489">
        <v>38</v>
      </c>
      <c r="D2489">
        <v>40</v>
      </c>
      <c r="E2489">
        <v>7</v>
      </c>
      <c r="F2489">
        <v>9</v>
      </c>
      <c r="G2489">
        <v>16.16</v>
      </c>
      <c r="H2489">
        <v>4.18</v>
      </c>
      <c r="I2489">
        <v>0.51</v>
      </c>
      <c r="J2489" t="s">
        <v>79</v>
      </c>
      <c r="K2489" t="s">
        <v>52</v>
      </c>
      <c r="L2489">
        <v>129</v>
      </c>
      <c r="M2489">
        <v>3.04</v>
      </c>
      <c r="N2489">
        <v>132.13999999999999</v>
      </c>
      <c r="O2489">
        <v>0.19</v>
      </c>
      <c r="P2489">
        <v>3</v>
      </c>
      <c r="Q2489">
        <v>0.73</v>
      </c>
      <c r="R2489">
        <v>840</v>
      </c>
      <c r="S2489">
        <v>1.33</v>
      </c>
      <c r="T2489">
        <v>0.42</v>
      </c>
      <c r="U2489" s="1">
        <v>45602</v>
      </c>
      <c r="V2489">
        <v>240.55</v>
      </c>
      <c r="W2489">
        <v>0.56899999999999995</v>
      </c>
      <c r="X2489" t="str">
        <f>IF(WarehouseData[[#This Row],[stock_level]]&lt;=WarehouseData[[#This Row],[reorder_point]],"Low Stock","Sufficient Stock")</f>
        <v>Low Stock</v>
      </c>
      <c r="Y2489">
        <f>WarehouseData[[#This Row],[daily_demand]]*WarehouseData[[#This Row],[lead_time_days]]</f>
        <v>145.44</v>
      </c>
      <c r="Z2489" t="str">
        <f>IF(WarehouseData[[#This Row],[stock_level]]&lt;=WarehouseData[[#This Row],[Demand During Lead Time]],"At Risk","Safe")</f>
        <v>At Risk</v>
      </c>
      <c r="AA2489">
        <f>WarehouseData[[#This Row],[stock_level]]/WarehouseData[[#This Row],[daily_demand]]</f>
        <v>2.3514851485148514</v>
      </c>
      <c r="AB2489">
        <f>WarehouseData[[#This Row],[stock_level]]*WarehouseData[[#This Row],[unit_price]]</f>
        <v>5021.32</v>
      </c>
      <c r="AC2489">
        <f>WarehouseData[[#This Row],[stock_level]]*WarehouseData[[#This Row],[holding_cost_per_unit_day]]*30</f>
        <v>216.6</v>
      </c>
      <c r="AD2489" t="str">
        <f>IF(WarehouseData[[#This Row],[order_fulfillment_rate]]&gt;=0.9,"Strong",IF(WarehouseData[[#This Row],[order_fulfillment_rate]]&gt;=0.8,"Moderate","Needs Attention"))</f>
        <v>Needs Attention</v>
      </c>
      <c r="AE2489" t="str">
        <f>IF(WarehouseData[[#This Row],[picking_time_seconds]]&gt;120,"Slow",IF(WarehouseData[[#This Row],[picking_time_seconds]]&gt;=60,"Average","Fast"))</f>
        <v>Slow</v>
      </c>
    </row>
    <row r="2490" spans="1:31" x14ac:dyDescent="0.25">
      <c r="A2490" t="s">
        <v>2628</v>
      </c>
      <c r="B2490" t="s">
        <v>36</v>
      </c>
      <c r="C2490">
        <v>82</v>
      </c>
      <c r="D2490">
        <v>42</v>
      </c>
      <c r="E2490">
        <v>4</v>
      </c>
      <c r="F2490">
        <v>2</v>
      </c>
      <c r="G2490">
        <v>8.92</v>
      </c>
      <c r="H2490">
        <v>0.83</v>
      </c>
      <c r="I2490">
        <v>0.72</v>
      </c>
      <c r="J2490" t="s">
        <v>217</v>
      </c>
      <c r="K2490" t="s">
        <v>34</v>
      </c>
      <c r="L2490">
        <v>22</v>
      </c>
      <c r="M2490">
        <v>1.38</v>
      </c>
      <c r="N2490">
        <v>126.36</v>
      </c>
      <c r="O2490">
        <v>0.46</v>
      </c>
      <c r="P2490">
        <v>6</v>
      </c>
      <c r="Q2490">
        <v>0.78</v>
      </c>
      <c r="R2490">
        <v>791</v>
      </c>
      <c r="S2490">
        <v>13.72</v>
      </c>
      <c r="T2490">
        <v>0.31</v>
      </c>
      <c r="U2490" s="1">
        <v>45336</v>
      </c>
      <c r="V2490">
        <v>246.32</v>
      </c>
      <c r="W2490">
        <v>0.63500000000000001</v>
      </c>
      <c r="X2490" t="str">
        <f>IF(WarehouseData[[#This Row],[stock_level]]&lt;=WarehouseData[[#This Row],[reorder_point]],"Low Stock","Sufficient Stock")</f>
        <v>Sufficient Stock</v>
      </c>
      <c r="Y2490">
        <f>WarehouseData[[#This Row],[daily_demand]]*WarehouseData[[#This Row],[lead_time_days]]</f>
        <v>17.84</v>
      </c>
      <c r="Z2490" t="str">
        <f>IF(WarehouseData[[#This Row],[stock_level]]&lt;=WarehouseData[[#This Row],[Demand During Lead Time]],"At Risk","Safe")</f>
        <v>Safe</v>
      </c>
      <c r="AA2490">
        <f>WarehouseData[[#This Row],[stock_level]]/WarehouseData[[#This Row],[daily_demand]]</f>
        <v>9.1928251121076237</v>
      </c>
      <c r="AB2490">
        <f>WarehouseData[[#This Row],[stock_level]]*WarehouseData[[#This Row],[unit_price]]</f>
        <v>10361.52</v>
      </c>
      <c r="AC2490">
        <f>WarehouseData[[#This Row],[stock_level]]*WarehouseData[[#This Row],[holding_cost_per_unit_day]]*30</f>
        <v>1131.5999999999999</v>
      </c>
      <c r="AD2490" t="str">
        <f>IF(WarehouseData[[#This Row],[order_fulfillment_rate]]&gt;=0.9,"Strong",IF(WarehouseData[[#This Row],[order_fulfillment_rate]]&gt;=0.8,"Moderate","Needs Attention"))</f>
        <v>Needs Attention</v>
      </c>
      <c r="AE2490" t="str">
        <f>IF(WarehouseData[[#This Row],[picking_time_seconds]]&gt;120,"Slow",IF(WarehouseData[[#This Row],[picking_time_seconds]]&gt;=60,"Average","Fast"))</f>
        <v>Fast</v>
      </c>
    </row>
    <row r="2491" spans="1:31" x14ac:dyDescent="0.25">
      <c r="A2491" t="s">
        <v>2629</v>
      </c>
      <c r="B2491" t="s">
        <v>73</v>
      </c>
      <c r="C2491">
        <v>258</v>
      </c>
      <c r="D2491">
        <v>48</v>
      </c>
      <c r="E2491">
        <v>12</v>
      </c>
      <c r="F2491">
        <v>6</v>
      </c>
      <c r="G2491">
        <v>41.33</v>
      </c>
      <c r="H2491">
        <v>4.33</v>
      </c>
      <c r="I2491">
        <v>0.5</v>
      </c>
      <c r="J2491" t="s">
        <v>139</v>
      </c>
      <c r="K2491" t="s">
        <v>46</v>
      </c>
      <c r="L2491">
        <v>45</v>
      </c>
      <c r="M2491">
        <v>0.84</v>
      </c>
      <c r="N2491">
        <v>40.36</v>
      </c>
      <c r="O2491">
        <v>0.82</v>
      </c>
      <c r="P2491">
        <v>2</v>
      </c>
      <c r="Q2491">
        <v>0.9</v>
      </c>
      <c r="R2491">
        <v>500</v>
      </c>
      <c r="S2491">
        <v>5.01</v>
      </c>
      <c r="T2491">
        <v>0.41</v>
      </c>
      <c r="U2491" s="1">
        <v>45436</v>
      </c>
      <c r="V2491">
        <v>115.84</v>
      </c>
      <c r="W2491">
        <v>0.60699999999999998</v>
      </c>
      <c r="X2491" t="str">
        <f>IF(WarehouseData[[#This Row],[stock_level]]&lt;=WarehouseData[[#This Row],[reorder_point]],"Low Stock","Sufficient Stock")</f>
        <v>Sufficient Stock</v>
      </c>
      <c r="Y2491">
        <f>WarehouseData[[#This Row],[daily_demand]]*WarehouseData[[#This Row],[lead_time_days]]</f>
        <v>247.98</v>
      </c>
      <c r="Z2491" t="str">
        <f>IF(WarehouseData[[#This Row],[stock_level]]&lt;=WarehouseData[[#This Row],[Demand During Lead Time]],"At Risk","Safe")</f>
        <v>Safe</v>
      </c>
      <c r="AA2491">
        <f>WarehouseData[[#This Row],[stock_level]]/WarehouseData[[#This Row],[daily_demand]]</f>
        <v>6.2424389063634163</v>
      </c>
      <c r="AB2491">
        <f>WarehouseData[[#This Row],[stock_level]]*WarehouseData[[#This Row],[unit_price]]</f>
        <v>10412.879999999999</v>
      </c>
      <c r="AC2491">
        <f>WarehouseData[[#This Row],[stock_level]]*WarehouseData[[#This Row],[holding_cost_per_unit_day]]*30</f>
        <v>6346.7999999999993</v>
      </c>
      <c r="AD2491" t="str">
        <f>IF(WarehouseData[[#This Row],[order_fulfillment_rate]]&gt;=0.9,"Strong",IF(WarehouseData[[#This Row],[order_fulfillment_rate]]&gt;=0.8,"Moderate","Needs Attention"))</f>
        <v>Strong</v>
      </c>
      <c r="AE2491" t="str">
        <f>IF(WarehouseData[[#This Row],[picking_time_seconds]]&gt;120,"Slow",IF(WarehouseData[[#This Row],[picking_time_seconds]]&gt;=60,"Average","Fast"))</f>
        <v>Fast</v>
      </c>
    </row>
    <row r="2492" spans="1:31" x14ac:dyDescent="0.25">
      <c r="A2492" t="s">
        <v>2630</v>
      </c>
      <c r="B2492" t="s">
        <v>40</v>
      </c>
      <c r="C2492">
        <v>438</v>
      </c>
      <c r="D2492">
        <v>55</v>
      </c>
      <c r="E2492">
        <v>3</v>
      </c>
      <c r="F2492">
        <v>2</v>
      </c>
      <c r="G2492">
        <v>29.74</v>
      </c>
      <c r="H2492">
        <v>9.24</v>
      </c>
      <c r="I2492">
        <v>0.4</v>
      </c>
      <c r="J2492" t="s">
        <v>379</v>
      </c>
      <c r="K2492" t="s">
        <v>46</v>
      </c>
      <c r="L2492">
        <v>79</v>
      </c>
      <c r="M2492">
        <v>3.17</v>
      </c>
      <c r="N2492">
        <v>96.72</v>
      </c>
      <c r="O2492">
        <v>0.86</v>
      </c>
      <c r="P2492">
        <v>3</v>
      </c>
      <c r="Q2492">
        <v>0.79</v>
      </c>
      <c r="R2492">
        <v>164</v>
      </c>
      <c r="S2492">
        <v>2.9</v>
      </c>
      <c r="T2492">
        <v>0.89</v>
      </c>
      <c r="U2492" s="1">
        <v>45516</v>
      </c>
      <c r="V2492">
        <v>127.13</v>
      </c>
      <c r="W2492">
        <v>0.629</v>
      </c>
      <c r="X2492" t="str">
        <f>IF(WarehouseData[[#This Row],[stock_level]]&lt;=WarehouseData[[#This Row],[reorder_point]],"Low Stock","Sufficient Stock")</f>
        <v>Sufficient Stock</v>
      </c>
      <c r="Y2492">
        <f>WarehouseData[[#This Row],[daily_demand]]*WarehouseData[[#This Row],[lead_time_days]]</f>
        <v>59.48</v>
      </c>
      <c r="Z2492" t="str">
        <f>IF(WarehouseData[[#This Row],[stock_level]]&lt;=WarehouseData[[#This Row],[Demand During Lead Time]],"At Risk","Safe")</f>
        <v>Safe</v>
      </c>
      <c r="AA2492">
        <f>WarehouseData[[#This Row],[stock_level]]/WarehouseData[[#This Row],[daily_demand]]</f>
        <v>14.727639542703431</v>
      </c>
      <c r="AB2492">
        <f>WarehouseData[[#This Row],[stock_level]]*WarehouseData[[#This Row],[unit_price]]</f>
        <v>42363.360000000001</v>
      </c>
      <c r="AC2492">
        <f>WarehouseData[[#This Row],[stock_level]]*WarehouseData[[#This Row],[holding_cost_per_unit_day]]*30</f>
        <v>11300.4</v>
      </c>
      <c r="AD2492" t="str">
        <f>IF(WarehouseData[[#This Row],[order_fulfillment_rate]]&gt;=0.9,"Strong",IF(WarehouseData[[#This Row],[order_fulfillment_rate]]&gt;=0.8,"Moderate","Needs Attention"))</f>
        <v>Needs Attention</v>
      </c>
      <c r="AE2492" t="str">
        <f>IF(WarehouseData[[#This Row],[picking_time_seconds]]&gt;120,"Slow",IF(WarehouseData[[#This Row],[picking_time_seconds]]&gt;=60,"Average","Fast"))</f>
        <v>Average</v>
      </c>
    </row>
    <row r="2493" spans="1:31" x14ac:dyDescent="0.25">
      <c r="A2493" t="s">
        <v>2631</v>
      </c>
      <c r="B2493" t="s">
        <v>36</v>
      </c>
      <c r="C2493">
        <v>356</v>
      </c>
      <c r="D2493">
        <v>46</v>
      </c>
      <c r="E2493">
        <v>8</v>
      </c>
      <c r="F2493">
        <v>3</v>
      </c>
      <c r="G2493">
        <v>31.04</v>
      </c>
      <c r="H2493">
        <v>3.28</v>
      </c>
      <c r="I2493">
        <v>0.52</v>
      </c>
      <c r="J2493" t="s">
        <v>113</v>
      </c>
      <c r="K2493" t="s">
        <v>46</v>
      </c>
      <c r="L2493">
        <v>42</v>
      </c>
      <c r="M2493">
        <v>0.61</v>
      </c>
      <c r="N2493">
        <v>11.46</v>
      </c>
      <c r="O2493">
        <v>0.9</v>
      </c>
      <c r="P2493">
        <v>8</v>
      </c>
      <c r="Q2493">
        <v>0.8</v>
      </c>
      <c r="R2493">
        <v>979</v>
      </c>
      <c r="S2493">
        <v>2.86</v>
      </c>
      <c r="T2493">
        <v>0.7</v>
      </c>
      <c r="U2493" s="1">
        <v>45487</v>
      </c>
      <c r="V2493">
        <v>281.39</v>
      </c>
      <c r="W2493">
        <v>0.48799999999999999</v>
      </c>
      <c r="X2493" t="str">
        <f>IF(WarehouseData[[#This Row],[stock_level]]&lt;=WarehouseData[[#This Row],[reorder_point]],"Low Stock","Sufficient Stock")</f>
        <v>Sufficient Stock</v>
      </c>
      <c r="Y2493">
        <f>WarehouseData[[#This Row],[daily_demand]]*WarehouseData[[#This Row],[lead_time_days]]</f>
        <v>93.12</v>
      </c>
      <c r="Z2493" t="str">
        <f>IF(WarehouseData[[#This Row],[stock_level]]&lt;=WarehouseData[[#This Row],[Demand During Lead Time]],"At Risk","Safe")</f>
        <v>Safe</v>
      </c>
      <c r="AA2493">
        <f>WarehouseData[[#This Row],[stock_level]]/WarehouseData[[#This Row],[daily_demand]]</f>
        <v>11.469072164948454</v>
      </c>
      <c r="AB2493">
        <f>WarehouseData[[#This Row],[stock_level]]*WarehouseData[[#This Row],[unit_price]]</f>
        <v>4079.76</v>
      </c>
      <c r="AC2493">
        <f>WarehouseData[[#This Row],[stock_level]]*WarehouseData[[#This Row],[holding_cost_per_unit_day]]*30</f>
        <v>9612.0000000000018</v>
      </c>
      <c r="AD2493" t="str">
        <f>IF(WarehouseData[[#This Row],[order_fulfillment_rate]]&gt;=0.9,"Strong",IF(WarehouseData[[#This Row],[order_fulfillment_rate]]&gt;=0.8,"Moderate","Needs Attention"))</f>
        <v>Moderate</v>
      </c>
      <c r="AE2493" t="str">
        <f>IF(WarehouseData[[#This Row],[picking_time_seconds]]&gt;120,"Slow",IF(WarehouseData[[#This Row],[picking_time_seconds]]&gt;=60,"Average","Fast"))</f>
        <v>Fast</v>
      </c>
    </row>
    <row r="2494" spans="1:31" x14ac:dyDescent="0.25">
      <c r="A2494" t="s">
        <v>2632</v>
      </c>
      <c r="B2494" t="s">
        <v>40</v>
      </c>
      <c r="C2494">
        <v>438</v>
      </c>
      <c r="D2494">
        <v>69</v>
      </c>
      <c r="E2494">
        <v>10</v>
      </c>
      <c r="F2494">
        <v>4</v>
      </c>
      <c r="G2494">
        <v>41.21</v>
      </c>
      <c r="H2494">
        <v>3.57</v>
      </c>
      <c r="I2494">
        <v>0.91</v>
      </c>
      <c r="J2494" t="s">
        <v>316</v>
      </c>
      <c r="K2494" t="s">
        <v>52</v>
      </c>
      <c r="L2494">
        <v>114</v>
      </c>
      <c r="M2494">
        <v>0.79</v>
      </c>
      <c r="N2494">
        <v>128.99</v>
      </c>
      <c r="O2494">
        <v>1.01</v>
      </c>
      <c r="P2494">
        <v>4</v>
      </c>
      <c r="Q2494">
        <v>0.97</v>
      </c>
      <c r="R2494">
        <v>450</v>
      </c>
      <c r="S2494">
        <v>14.64</v>
      </c>
      <c r="T2494">
        <v>0.68</v>
      </c>
      <c r="U2494" s="1">
        <v>45494</v>
      </c>
      <c r="V2494">
        <v>292.14</v>
      </c>
      <c r="W2494">
        <v>0.74399999999999999</v>
      </c>
      <c r="X2494" t="str">
        <f>IF(WarehouseData[[#This Row],[stock_level]]&lt;=WarehouseData[[#This Row],[reorder_point]],"Low Stock","Sufficient Stock")</f>
        <v>Sufficient Stock</v>
      </c>
      <c r="Y2494">
        <f>WarehouseData[[#This Row],[daily_demand]]*WarehouseData[[#This Row],[lead_time_days]]</f>
        <v>164.84</v>
      </c>
      <c r="Z2494" t="str">
        <f>IF(WarehouseData[[#This Row],[stock_level]]&lt;=WarehouseData[[#This Row],[Demand During Lead Time]],"At Risk","Safe")</f>
        <v>Safe</v>
      </c>
      <c r="AA2494">
        <f>WarehouseData[[#This Row],[stock_level]]/WarehouseData[[#This Row],[daily_demand]]</f>
        <v>10.62848823101189</v>
      </c>
      <c r="AB2494">
        <f>WarehouseData[[#This Row],[stock_level]]*WarehouseData[[#This Row],[unit_price]]</f>
        <v>56497.62</v>
      </c>
      <c r="AC2494">
        <f>WarehouseData[[#This Row],[stock_level]]*WarehouseData[[#This Row],[holding_cost_per_unit_day]]*30</f>
        <v>13271.4</v>
      </c>
      <c r="AD2494" t="str">
        <f>IF(WarehouseData[[#This Row],[order_fulfillment_rate]]&gt;=0.9,"Strong",IF(WarehouseData[[#This Row],[order_fulfillment_rate]]&gt;=0.8,"Moderate","Needs Attention"))</f>
        <v>Strong</v>
      </c>
      <c r="AE2494" t="str">
        <f>IF(WarehouseData[[#This Row],[picking_time_seconds]]&gt;120,"Slow",IF(WarehouseData[[#This Row],[picking_time_seconds]]&gt;=60,"Average","Fast"))</f>
        <v>Average</v>
      </c>
    </row>
    <row r="2495" spans="1:31" x14ac:dyDescent="0.25">
      <c r="A2495" t="s">
        <v>2633</v>
      </c>
      <c r="B2495" t="s">
        <v>36</v>
      </c>
      <c r="C2495">
        <v>422</v>
      </c>
      <c r="D2495">
        <v>40</v>
      </c>
      <c r="E2495">
        <v>10</v>
      </c>
      <c r="F2495">
        <v>4</v>
      </c>
      <c r="G2495">
        <v>17.8</v>
      </c>
      <c r="H2495">
        <v>1.1299999999999999</v>
      </c>
      <c r="I2495">
        <v>0.45</v>
      </c>
      <c r="J2495" t="s">
        <v>196</v>
      </c>
      <c r="K2495" t="s">
        <v>34</v>
      </c>
      <c r="L2495">
        <v>66</v>
      </c>
      <c r="M2495">
        <v>3.66</v>
      </c>
      <c r="N2495">
        <v>119.32</v>
      </c>
      <c r="O2495">
        <v>1.19</v>
      </c>
      <c r="P2495">
        <v>9</v>
      </c>
      <c r="Q2495">
        <v>0.87</v>
      </c>
      <c r="R2495">
        <v>353</v>
      </c>
      <c r="S2495">
        <v>2.72</v>
      </c>
      <c r="T2495">
        <v>0.67</v>
      </c>
      <c r="U2495" s="1">
        <v>45630</v>
      </c>
      <c r="V2495">
        <v>283.36</v>
      </c>
      <c r="W2495">
        <v>0.44500000000000001</v>
      </c>
      <c r="X2495" t="str">
        <f>IF(WarehouseData[[#This Row],[stock_level]]&lt;=WarehouseData[[#This Row],[reorder_point]],"Low Stock","Sufficient Stock")</f>
        <v>Sufficient Stock</v>
      </c>
      <c r="Y2495">
        <f>WarehouseData[[#This Row],[daily_demand]]*WarehouseData[[#This Row],[lead_time_days]]</f>
        <v>71.2</v>
      </c>
      <c r="Z2495" t="str">
        <f>IF(WarehouseData[[#This Row],[stock_level]]&lt;=WarehouseData[[#This Row],[Demand During Lead Time]],"At Risk","Safe")</f>
        <v>Safe</v>
      </c>
      <c r="AA2495">
        <f>WarehouseData[[#This Row],[stock_level]]/WarehouseData[[#This Row],[daily_demand]]</f>
        <v>23.707865168539325</v>
      </c>
      <c r="AB2495">
        <f>WarehouseData[[#This Row],[stock_level]]*WarehouseData[[#This Row],[unit_price]]</f>
        <v>50353.039999999994</v>
      </c>
      <c r="AC2495">
        <f>WarehouseData[[#This Row],[stock_level]]*WarehouseData[[#This Row],[holding_cost_per_unit_day]]*30</f>
        <v>15065.399999999998</v>
      </c>
      <c r="AD2495" t="str">
        <f>IF(WarehouseData[[#This Row],[order_fulfillment_rate]]&gt;=0.9,"Strong",IF(WarehouseData[[#This Row],[order_fulfillment_rate]]&gt;=0.8,"Moderate","Needs Attention"))</f>
        <v>Moderate</v>
      </c>
      <c r="AE2495" t="str">
        <f>IF(WarehouseData[[#This Row],[picking_time_seconds]]&gt;120,"Slow",IF(WarehouseData[[#This Row],[picking_time_seconds]]&gt;=60,"Average","Fast"))</f>
        <v>Average</v>
      </c>
    </row>
    <row r="2496" spans="1:31" x14ac:dyDescent="0.25">
      <c r="A2496" t="s">
        <v>2634</v>
      </c>
      <c r="B2496" t="s">
        <v>40</v>
      </c>
      <c r="C2496">
        <v>423</v>
      </c>
      <c r="D2496">
        <v>20</v>
      </c>
      <c r="E2496">
        <v>10</v>
      </c>
      <c r="F2496">
        <v>9</v>
      </c>
      <c r="G2496">
        <v>10.49</v>
      </c>
      <c r="H2496">
        <v>6.34</v>
      </c>
      <c r="I2496">
        <v>0.46</v>
      </c>
      <c r="J2496" t="s">
        <v>106</v>
      </c>
      <c r="K2496" t="s">
        <v>34</v>
      </c>
      <c r="L2496">
        <v>64</v>
      </c>
      <c r="M2496">
        <v>2.92</v>
      </c>
      <c r="N2496">
        <v>70.45</v>
      </c>
      <c r="O2496">
        <v>0.46</v>
      </c>
      <c r="P2496">
        <v>6</v>
      </c>
      <c r="Q2496">
        <v>0.73</v>
      </c>
      <c r="R2496">
        <v>652</v>
      </c>
      <c r="S2496">
        <v>5.85</v>
      </c>
      <c r="T2496">
        <v>0.53</v>
      </c>
      <c r="U2496" s="1">
        <v>45307</v>
      </c>
      <c r="V2496">
        <v>196.35</v>
      </c>
      <c r="W2496">
        <v>0.56399999999999995</v>
      </c>
      <c r="X2496" t="str">
        <f>IF(WarehouseData[[#This Row],[stock_level]]&lt;=WarehouseData[[#This Row],[reorder_point]],"Low Stock","Sufficient Stock")</f>
        <v>Sufficient Stock</v>
      </c>
      <c r="Y2496">
        <f>WarehouseData[[#This Row],[daily_demand]]*WarehouseData[[#This Row],[lead_time_days]]</f>
        <v>94.41</v>
      </c>
      <c r="Z2496" t="str">
        <f>IF(WarehouseData[[#This Row],[stock_level]]&lt;=WarehouseData[[#This Row],[Demand During Lead Time]],"At Risk","Safe")</f>
        <v>Safe</v>
      </c>
      <c r="AA2496">
        <f>WarehouseData[[#This Row],[stock_level]]/WarehouseData[[#This Row],[daily_demand]]</f>
        <v>40.324118207816966</v>
      </c>
      <c r="AB2496">
        <f>WarehouseData[[#This Row],[stock_level]]*WarehouseData[[#This Row],[unit_price]]</f>
        <v>29800.350000000002</v>
      </c>
      <c r="AC2496">
        <f>WarehouseData[[#This Row],[stock_level]]*WarehouseData[[#This Row],[holding_cost_per_unit_day]]*30</f>
        <v>5837.4000000000005</v>
      </c>
      <c r="AD2496" t="str">
        <f>IF(WarehouseData[[#This Row],[order_fulfillment_rate]]&gt;=0.9,"Strong",IF(WarehouseData[[#This Row],[order_fulfillment_rate]]&gt;=0.8,"Moderate","Needs Attention"))</f>
        <v>Needs Attention</v>
      </c>
      <c r="AE2496" t="str">
        <f>IF(WarehouseData[[#This Row],[picking_time_seconds]]&gt;120,"Slow",IF(WarehouseData[[#This Row],[picking_time_seconds]]&gt;=60,"Average","Fast"))</f>
        <v>Average</v>
      </c>
    </row>
    <row r="2497" spans="1:31" x14ac:dyDescent="0.25">
      <c r="A2497" t="s">
        <v>2635</v>
      </c>
      <c r="B2497" t="s">
        <v>48</v>
      </c>
      <c r="C2497">
        <v>119</v>
      </c>
      <c r="D2497">
        <v>96</v>
      </c>
      <c r="E2497">
        <v>13</v>
      </c>
      <c r="F2497">
        <v>5</v>
      </c>
      <c r="G2497">
        <v>10.72</v>
      </c>
      <c r="H2497">
        <v>8.57</v>
      </c>
      <c r="I2497">
        <v>0.65</v>
      </c>
      <c r="J2497" t="s">
        <v>212</v>
      </c>
      <c r="K2497" t="s">
        <v>52</v>
      </c>
      <c r="L2497">
        <v>116</v>
      </c>
      <c r="M2497">
        <v>1.97</v>
      </c>
      <c r="N2497">
        <v>109.54</v>
      </c>
      <c r="O2497">
        <v>1.27</v>
      </c>
      <c r="P2497">
        <v>1</v>
      </c>
      <c r="Q2497">
        <v>0.79</v>
      </c>
      <c r="R2497">
        <v>358</v>
      </c>
      <c r="S2497">
        <v>1.95</v>
      </c>
      <c r="T2497">
        <v>0.53</v>
      </c>
      <c r="U2497" s="1">
        <v>45534</v>
      </c>
      <c r="V2497">
        <v>80.39</v>
      </c>
      <c r="W2497">
        <v>0.54300000000000004</v>
      </c>
      <c r="X2497" t="str">
        <f>IF(WarehouseData[[#This Row],[stock_level]]&lt;=WarehouseData[[#This Row],[reorder_point]],"Low Stock","Sufficient Stock")</f>
        <v>Sufficient Stock</v>
      </c>
      <c r="Y2497">
        <f>WarehouseData[[#This Row],[daily_demand]]*WarehouseData[[#This Row],[lead_time_days]]</f>
        <v>53.6</v>
      </c>
      <c r="Z2497" t="str">
        <f>IF(WarehouseData[[#This Row],[stock_level]]&lt;=WarehouseData[[#This Row],[Demand During Lead Time]],"At Risk","Safe")</f>
        <v>Safe</v>
      </c>
      <c r="AA2497">
        <f>WarehouseData[[#This Row],[stock_level]]/WarehouseData[[#This Row],[daily_demand]]</f>
        <v>11.100746268656716</v>
      </c>
      <c r="AB2497">
        <f>WarehouseData[[#This Row],[stock_level]]*WarehouseData[[#This Row],[unit_price]]</f>
        <v>13035.26</v>
      </c>
      <c r="AC2497">
        <f>WarehouseData[[#This Row],[stock_level]]*WarehouseData[[#This Row],[holding_cost_per_unit_day]]*30</f>
        <v>4533.8999999999996</v>
      </c>
      <c r="AD2497" t="str">
        <f>IF(WarehouseData[[#This Row],[order_fulfillment_rate]]&gt;=0.9,"Strong",IF(WarehouseData[[#This Row],[order_fulfillment_rate]]&gt;=0.8,"Moderate","Needs Attention"))</f>
        <v>Needs Attention</v>
      </c>
      <c r="AE2497" t="str">
        <f>IF(WarehouseData[[#This Row],[picking_time_seconds]]&gt;120,"Slow",IF(WarehouseData[[#This Row],[picking_time_seconds]]&gt;=60,"Average","Fast"))</f>
        <v>Average</v>
      </c>
    </row>
    <row r="2498" spans="1:31" x14ac:dyDescent="0.25">
      <c r="A2498" t="s">
        <v>2636</v>
      </c>
      <c r="B2498" t="s">
        <v>40</v>
      </c>
      <c r="C2498">
        <v>182</v>
      </c>
      <c r="D2498">
        <v>11</v>
      </c>
      <c r="E2498">
        <v>8</v>
      </c>
      <c r="F2498">
        <v>3</v>
      </c>
      <c r="G2498">
        <v>36.9</v>
      </c>
      <c r="H2498">
        <v>3.85</v>
      </c>
      <c r="I2498">
        <v>0.78</v>
      </c>
      <c r="J2498" t="s">
        <v>158</v>
      </c>
      <c r="K2498" t="s">
        <v>34</v>
      </c>
      <c r="L2498">
        <v>150</v>
      </c>
      <c r="M2498">
        <v>2.93</v>
      </c>
      <c r="N2498">
        <v>103.68</v>
      </c>
      <c r="O2498">
        <v>0.74</v>
      </c>
      <c r="P2498">
        <v>8</v>
      </c>
      <c r="Q2498">
        <v>0.72</v>
      </c>
      <c r="R2498">
        <v>622</v>
      </c>
      <c r="S2498">
        <v>11.3</v>
      </c>
      <c r="T2498">
        <v>0.32</v>
      </c>
      <c r="U2498" s="1">
        <v>45372</v>
      </c>
      <c r="V2498">
        <v>185.44</v>
      </c>
      <c r="W2498">
        <v>0.52500000000000002</v>
      </c>
      <c r="X2498" t="str">
        <f>IF(WarehouseData[[#This Row],[stock_level]]&lt;=WarehouseData[[#This Row],[reorder_point]],"Low Stock","Sufficient Stock")</f>
        <v>Sufficient Stock</v>
      </c>
      <c r="Y2498">
        <f>WarehouseData[[#This Row],[daily_demand]]*WarehouseData[[#This Row],[lead_time_days]]</f>
        <v>110.69999999999999</v>
      </c>
      <c r="Z2498" t="str">
        <f>IF(WarehouseData[[#This Row],[stock_level]]&lt;=WarehouseData[[#This Row],[Demand During Lead Time]],"At Risk","Safe")</f>
        <v>Safe</v>
      </c>
      <c r="AA2498">
        <f>WarehouseData[[#This Row],[stock_level]]/WarehouseData[[#This Row],[daily_demand]]</f>
        <v>4.9322493224932256</v>
      </c>
      <c r="AB2498">
        <f>WarehouseData[[#This Row],[stock_level]]*WarehouseData[[#This Row],[unit_price]]</f>
        <v>18869.760000000002</v>
      </c>
      <c r="AC2498">
        <f>WarehouseData[[#This Row],[stock_level]]*WarehouseData[[#This Row],[holding_cost_per_unit_day]]*30</f>
        <v>4040.4</v>
      </c>
      <c r="AD2498" t="str">
        <f>IF(WarehouseData[[#This Row],[order_fulfillment_rate]]&gt;=0.9,"Strong",IF(WarehouseData[[#This Row],[order_fulfillment_rate]]&gt;=0.8,"Moderate","Needs Attention"))</f>
        <v>Needs Attention</v>
      </c>
      <c r="AE2498" t="str">
        <f>IF(WarehouseData[[#This Row],[picking_time_seconds]]&gt;120,"Slow",IF(WarehouseData[[#This Row],[picking_time_seconds]]&gt;=60,"Average","Fast"))</f>
        <v>Slow</v>
      </c>
    </row>
    <row r="2499" spans="1:31" x14ac:dyDescent="0.25">
      <c r="A2499" t="s">
        <v>2637</v>
      </c>
      <c r="B2499" t="s">
        <v>48</v>
      </c>
      <c r="C2499">
        <v>435</v>
      </c>
      <c r="D2499">
        <v>36</v>
      </c>
      <c r="E2499">
        <v>13</v>
      </c>
      <c r="F2499">
        <v>8</v>
      </c>
      <c r="G2499">
        <v>31.09</v>
      </c>
      <c r="H2499">
        <v>2.78</v>
      </c>
      <c r="I2499">
        <v>0.76</v>
      </c>
      <c r="J2499" t="s">
        <v>51</v>
      </c>
      <c r="K2499" t="s">
        <v>46</v>
      </c>
      <c r="L2499">
        <v>60</v>
      </c>
      <c r="M2499">
        <v>3.16</v>
      </c>
      <c r="N2499">
        <v>57.67</v>
      </c>
      <c r="O2499">
        <v>1.49</v>
      </c>
      <c r="P2499">
        <v>4</v>
      </c>
      <c r="Q2499">
        <v>0.87</v>
      </c>
      <c r="R2499">
        <v>152</v>
      </c>
      <c r="S2499">
        <v>9.35</v>
      </c>
      <c r="T2499">
        <v>0.47</v>
      </c>
      <c r="U2499" s="1">
        <v>45565</v>
      </c>
      <c r="V2499">
        <v>180.84</v>
      </c>
      <c r="W2499">
        <v>0.56399999999999995</v>
      </c>
      <c r="X2499" t="str">
        <f>IF(WarehouseData[[#This Row],[stock_level]]&lt;=WarehouseData[[#This Row],[reorder_point]],"Low Stock","Sufficient Stock")</f>
        <v>Sufficient Stock</v>
      </c>
      <c r="Y2499">
        <f>WarehouseData[[#This Row],[daily_demand]]*WarehouseData[[#This Row],[lead_time_days]]</f>
        <v>248.72</v>
      </c>
      <c r="Z2499" t="str">
        <f>IF(WarehouseData[[#This Row],[stock_level]]&lt;=WarehouseData[[#This Row],[Demand During Lead Time]],"At Risk","Safe")</f>
        <v>Safe</v>
      </c>
      <c r="AA2499">
        <f>WarehouseData[[#This Row],[stock_level]]/WarehouseData[[#This Row],[daily_demand]]</f>
        <v>13.991637182373754</v>
      </c>
      <c r="AB2499">
        <f>WarehouseData[[#This Row],[stock_level]]*WarehouseData[[#This Row],[unit_price]]</f>
        <v>25086.45</v>
      </c>
      <c r="AC2499">
        <f>WarehouseData[[#This Row],[stock_level]]*WarehouseData[[#This Row],[holding_cost_per_unit_day]]*30</f>
        <v>19444.5</v>
      </c>
      <c r="AD2499" t="str">
        <f>IF(WarehouseData[[#This Row],[order_fulfillment_rate]]&gt;=0.9,"Strong",IF(WarehouseData[[#This Row],[order_fulfillment_rate]]&gt;=0.8,"Moderate","Needs Attention"))</f>
        <v>Moderate</v>
      </c>
      <c r="AE2499" t="str">
        <f>IF(WarehouseData[[#This Row],[picking_time_seconds]]&gt;120,"Slow",IF(WarehouseData[[#This Row],[picking_time_seconds]]&gt;=60,"Average","Fast"))</f>
        <v>Average</v>
      </c>
    </row>
    <row r="2500" spans="1:31" x14ac:dyDescent="0.25">
      <c r="A2500" t="s">
        <v>2638</v>
      </c>
      <c r="B2500" t="s">
        <v>40</v>
      </c>
      <c r="C2500">
        <v>141</v>
      </c>
      <c r="D2500">
        <v>11</v>
      </c>
      <c r="E2500">
        <v>5</v>
      </c>
      <c r="F2500">
        <v>2</v>
      </c>
      <c r="G2500">
        <v>11.11</v>
      </c>
      <c r="H2500">
        <v>9.59</v>
      </c>
      <c r="I2500">
        <v>0.12</v>
      </c>
      <c r="J2500" t="s">
        <v>126</v>
      </c>
      <c r="K2500" t="s">
        <v>34</v>
      </c>
      <c r="L2500">
        <v>101</v>
      </c>
      <c r="M2500">
        <v>3.04</v>
      </c>
      <c r="N2500">
        <v>65.72</v>
      </c>
      <c r="O2500">
        <v>1.1599999999999999</v>
      </c>
      <c r="P2500">
        <v>4</v>
      </c>
      <c r="Q2500">
        <v>0.75</v>
      </c>
      <c r="R2500">
        <v>776</v>
      </c>
      <c r="S2500">
        <v>8.4700000000000006</v>
      </c>
      <c r="T2500">
        <v>0.61</v>
      </c>
      <c r="U2500" s="1">
        <v>45404</v>
      </c>
      <c r="V2500">
        <v>273.39</v>
      </c>
      <c r="W2500">
        <v>0.58899999999999997</v>
      </c>
      <c r="X2500" t="str">
        <f>IF(WarehouseData[[#This Row],[stock_level]]&lt;=WarehouseData[[#This Row],[reorder_point]],"Low Stock","Sufficient Stock")</f>
        <v>Sufficient Stock</v>
      </c>
      <c r="Y2500">
        <f>WarehouseData[[#This Row],[daily_demand]]*WarehouseData[[#This Row],[lead_time_days]]</f>
        <v>22.22</v>
      </c>
      <c r="Z2500" t="str">
        <f>IF(WarehouseData[[#This Row],[stock_level]]&lt;=WarehouseData[[#This Row],[Demand During Lead Time]],"At Risk","Safe")</f>
        <v>Safe</v>
      </c>
      <c r="AA2500">
        <f>WarehouseData[[#This Row],[stock_level]]/WarehouseData[[#This Row],[daily_demand]]</f>
        <v>12.691269126912692</v>
      </c>
      <c r="AB2500">
        <f>WarehouseData[[#This Row],[stock_level]]*WarehouseData[[#This Row],[unit_price]]</f>
        <v>9266.52</v>
      </c>
      <c r="AC2500">
        <f>WarehouseData[[#This Row],[stock_level]]*WarehouseData[[#This Row],[holding_cost_per_unit_day]]*30</f>
        <v>4906.8</v>
      </c>
      <c r="AD2500" t="str">
        <f>IF(WarehouseData[[#This Row],[order_fulfillment_rate]]&gt;=0.9,"Strong",IF(WarehouseData[[#This Row],[order_fulfillment_rate]]&gt;=0.8,"Moderate","Needs Attention"))</f>
        <v>Needs Attention</v>
      </c>
      <c r="AE2500" t="str">
        <f>IF(WarehouseData[[#This Row],[picking_time_seconds]]&gt;120,"Slow",IF(WarehouseData[[#This Row],[picking_time_seconds]]&gt;=60,"Average","Fast"))</f>
        <v>Average</v>
      </c>
    </row>
    <row r="2501" spans="1:31" x14ac:dyDescent="0.25">
      <c r="A2501" t="s">
        <v>2639</v>
      </c>
      <c r="B2501" t="s">
        <v>36</v>
      </c>
      <c r="C2501">
        <v>451</v>
      </c>
      <c r="D2501">
        <v>30</v>
      </c>
      <c r="E2501">
        <v>3</v>
      </c>
      <c r="F2501">
        <v>2</v>
      </c>
      <c r="G2501">
        <v>8.11</v>
      </c>
      <c r="H2501">
        <v>7.58</v>
      </c>
      <c r="I2501">
        <v>0.72</v>
      </c>
      <c r="J2501" t="s">
        <v>379</v>
      </c>
      <c r="K2501" t="s">
        <v>52</v>
      </c>
      <c r="L2501">
        <v>62</v>
      </c>
      <c r="M2501">
        <v>3.39</v>
      </c>
      <c r="N2501">
        <v>154.88</v>
      </c>
      <c r="O2501">
        <v>1.1499999999999999</v>
      </c>
      <c r="P2501">
        <v>3</v>
      </c>
      <c r="Q2501">
        <v>0.96</v>
      </c>
      <c r="R2501">
        <v>151</v>
      </c>
      <c r="S2501">
        <v>12.98</v>
      </c>
      <c r="T2501">
        <v>0.68</v>
      </c>
      <c r="U2501" s="1">
        <v>45361</v>
      </c>
      <c r="V2501">
        <v>100.38</v>
      </c>
      <c r="W2501">
        <v>0.72599999999999998</v>
      </c>
      <c r="X2501" t="str">
        <f>IF(WarehouseData[[#This Row],[stock_level]]&lt;=WarehouseData[[#This Row],[reorder_point]],"Low Stock","Sufficient Stock")</f>
        <v>Sufficient Stock</v>
      </c>
      <c r="Y2501">
        <f>WarehouseData[[#This Row],[daily_demand]]*WarehouseData[[#This Row],[lead_time_days]]</f>
        <v>16.22</v>
      </c>
      <c r="Z2501" t="str">
        <f>IF(WarehouseData[[#This Row],[stock_level]]&lt;=WarehouseData[[#This Row],[Demand During Lead Time]],"At Risk","Safe")</f>
        <v>Safe</v>
      </c>
      <c r="AA2501">
        <f>WarehouseData[[#This Row],[stock_level]]/WarehouseData[[#This Row],[daily_demand]]</f>
        <v>55.610357583230581</v>
      </c>
      <c r="AB2501">
        <f>WarehouseData[[#This Row],[stock_level]]*WarehouseData[[#This Row],[unit_price]]</f>
        <v>69850.880000000005</v>
      </c>
      <c r="AC2501">
        <f>WarehouseData[[#This Row],[stock_level]]*WarehouseData[[#This Row],[holding_cost_per_unit_day]]*30</f>
        <v>15559.5</v>
      </c>
      <c r="AD2501" t="str">
        <f>IF(WarehouseData[[#This Row],[order_fulfillment_rate]]&gt;=0.9,"Strong",IF(WarehouseData[[#This Row],[order_fulfillment_rate]]&gt;=0.8,"Moderate","Needs Attention"))</f>
        <v>Strong</v>
      </c>
      <c r="AE2501" t="str">
        <f>IF(WarehouseData[[#This Row],[picking_time_seconds]]&gt;120,"Slow",IF(WarehouseData[[#This Row],[picking_time_seconds]]&gt;=60,"Average","Fast"))</f>
        <v>Average</v>
      </c>
    </row>
    <row r="2502" spans="1:31" x14ac:dyDescent="0.25">
      <c r="A2502" t="s">
        <v>2640</v>
      </c>
      <c r="B2502" t="s">
        <v>36</v>
      </c>
      <c r="C2502">
        <v>63</v>
      </c>
      <c r="D2502">
        <v>67</v>
      </c>
      <c r="E2502">
        <v>4</v>
      </c>
      <c r="F2502">
        <v>9</v>
      </c>
      <c r="G2502">
        <v>6.91</v>
      </c>
      <c r="H2502">
        <v>5.89</v>
      </c>
      <c r="I2502">
        <v>0.51</v>
      </c>
      <c r="J2502" t="s">
        <v>477</v>
      </c>
      <c r="K2502" t="s">
        <v>52</v>
      </c>
      <c r="L2502">
        <v>45</v>
      </c>
      <c r="M2502">
        <v>4.7300000000000004</v>
      </c>
      <c r="N2502">
        <v>153.59</v>
      </c>
      <c r="O2502">
        <v>1.4</v>
      </c>
      <c r="P2502">
        <v>7</v>
      </c>
      <c r="Q2502">
        <v>0.87</v>
      </c>
      <c r="R2502">
        <v>956</v>
      </c>
      <c r="S2502">
        <v>9.0299999999999994</v>
      </c>
      <c r="T2502">
        <v>0.26</v>
      </c>
      <c r="U2502" s="1">
        <v>45492</v>
      </c>
      <c r="V2502">
        <v>68.2</v>
      </c>
      <c r="W2502">
        <v>0.46600000000000003</v>
      </c>
      <c r="X2502" t="str">
        <f>IF(WarehouseData[[#This Row],[stock_level]]&lt;=WarehouseData[[#This Row],[reorder_point]],"Low Stock","Sufficient Stock")</f>
        <v>Low Stock</v>
      </c>
      <c r="Y2502">
        <f>WarehouseData[[#This Row],[daily_demand]]*WarehouseData[[#This Row],[lead_time_days]]</f>
        <v>62.19</v>
      </c>
      <c r="Z2502" t="str">
        <f>IF(WarehouseData[[#This Row],[stock_level]]&lt;=WarehouseData[[#This Row],[Demand During Lead Time]],"At Risk","Safe")</f>
        <v>Safe</v>
      </c>
      <c r="AA2502">
        <f>WarehouseData[[#This Row],[stock_level]]/WarehouseData[[#This Row],[daily_demand]]</f>
        <v>9.1172214182344433</v>
      </c>
      <c r="AB2502">
        <f>WarehouseData[[#This Row],[stock_level]]*WarehouseData[[#This Row],[unit_price]]</f>
        <v>9676.17</v>
      </c>
      <c r="AC2502">
        <f>WarehouseData[[#This Row],[stock_level]]*WarehouseData[[#This Row],[holding_cost_per_unit_day]]*30</f>
        <v>2645.9999999999995</v>
      </c>
      <c r="AD2502" t="str">
        <f>IF(WarehouseData[[#This Row],[order_fulfillment_rate]]&gt;=0.9,"Strong",IF(WarehouseData[[#This Row],[order_fulfillment_rate]]&gt;=0.8,"Moderate","Needs Attention"))</f>
        <v>Moderate</v>
      </c>
      <c r="AE2502" t="str">
        <f>IF(WarehouseData[[#This Row],[picking_time_seconds]]&gt;120,"Slow",IF(WarehouseData[[#This Row],[picking_time_seconds]]&gt;=60,"Average","Fast"))</f>
        <v>Fast</v>
      </c>
    </row>
    <row r="2503" spans="1:31" x14ac:dyDescent="0.25">
      <c r="A2503" t="s">
        <v>2641</v>
      </c>
      <c r="B2503" t="s">
        <v>36</v>
      </c>
      <c r="C2503">
        <v>379</v>
      </c>
      <c r="D2503">
        <v>14</v>
      </c>
      <c r="E2503">
        <v>7</v>
      </c>
      <c r="F2503">
        <v>8</v>
      </c>
      <c r="G2503">
        <v>31.76</v>
      </c>
      <c r="H2503">
        <v>3.4</v>
      </c>
      <c r="I2503">
        <v>0.56999999999999995</v>
      </c>
      <c r="J2503" t="s">
        <v>142</v>
      </c>
      <c r="K2503" t="s">
        <v>38</v>
      </c>
      <c r="L2503">
        <v>142</v>
      </c>
      <c r="M2503">
        <v>2.25</v>
      </c>
      <c r="N2503">
        <v>99.26</v>
      </c>
      <c r="O2503">
        <v>0.73</v>
      </c>
      <c r="P2503">
        <v>3</v>
      </c>
      <c r="Q2503">
        <v>0.72</v>
      </c>
      <c r="R2503">
        <v>704</v>
      </c>
      <c r="S2503">
        <v>14.38</v>
      </c>
      <c r="T2503">
        <v>0.47</v>
      </c>
      <c r="U2503" s="1">
        <v>45571</v>
      </c>
      <c r="V2503">
        <v>87.08</v>
      </c>
      <c r="W2503">
        <v>0.69699999999999995</v>
      </c>
      <c r="X2503" t="str">
        <f>IF(WarehouseData[[#This Row],[stock_level]]&lt;=WarehouseData[[#This Row],[reorder_point]],"Low Stock","Sufficient Stock")</f>
        <v>Sufficient Stock</v>
      </c>
      <c r="Y2503">
        <f>WarehouseData[[#This Row],[daily_demand]]*WarehouseData[[#This Row],[lead_time_days]]</f>
        <v>254.08</v>
      </c>
      <c r="Z2503" t="str">
        <f>IF(WarehouseData[[#This Row],[stock_level]]&lt;=WarehouseData[[#This Row],[Demand During Lead Time]],"At Risk","Safe")</f>
        <v>Safe</v>
      </c>
      <c r="AA2503">
        <f>WarehouseData[[#This Row],[stock_level]]/WarehouseData[[#This Row],[daily_demand]]</f>
        <v>11.933249370277078</v>
      </c>
      <c r="AB2503">
        <f>WarehouseData[[#This Row],[stock_level]]*WarehouseData[[#This Row],[unit_price]]</f>
        <v>37619.54</v>
      </c>
      <c r="AC2503">
        <f>WarehouseData[[#This Row],[stock_level]]*WarehouseData[[#This Row],[holding_cost_per_unit_day]]*30</f>
        <v>8300.1</v>
      </c>
      <c r="AD2503" t="str">
        <f>IF(WarehouseData[[#This Row],[order_fulfillment_rate]]&gt;=0.9,"Strong",IF(WarehouseData[[#This Row],[order_fulfillment_rate]]&gt;=0.8,"Moderate","Needs Attention"))</f>
        <v>Needs Attention</v>
      </c>
      <c r="AE2503" t="str">
        <f>IF(WarehouseData[[#This Row],[picking_time_seconds]]&gt;120,"Slow",IF(WarehouseData[[#This Row],[picking_time_seconds]]&gt;=60,"Average","Fast"))</f>
        <v>Slow</v>
      </c>
    </row>
    <row r="2504" spans="1:31" x14ac:dyDescent="0.25">
      <c r="A2504" t="s">
        <v>2642</v>
      </c>
      <c r="B2504" t="s">
        <v>32</v>
      </c>
      <c r="C2504">
        <v>427</v>
      </c>
      <c r="D2504">
        <v>61</v>
      </c>
      <c r="E2504">
        <v>12</v>
      </c>
      <c r="F2504">
        <v>5</v>
      </c>
      <c r="G2504">
        <v>1.01</v>
      </c>
      <c r="H2504">
        <v>2.6</v>
      </c>
      <c r="I2504">
        <v>0.61</v>
      </c>
      <c r="J2504" t="s">
        <v>283</v>
      </c>
      <c r="K2504" t="s">
        <v>38</v>
      </c>
      <c r="L2504">
        <v>128</v>
      </c>
      <c r="M2504">
        <v>1.86</v>
      </c>
      <c r="N2504">
        <v>146.33000000000001</v>
      </c>
      <c r="O2504">
        <v>0.92</v>
      </c>
      <c r="P2504">
        <v>1</v>
      </c>
      <c r="Q2504">
        <v>0.79</v>
      </c>
      <c r="R2504">
        <v>139</v>
      </c>
      <c r="S2504">
        <v>9.7200000000000006</v>
      </c>
      <c r="T2504">
        <v>0.47</v>
      </c>
      <c r="U2504" s="1">
        <v>45443</v>
      </c>
      <c r="V2504">
        <v>80.510000000000005</v>
      </c>
      <c r="W2504">
        <v>0.67</v>
      </c>
      <c r="X2504" t="str">
        <f>IF(WarehouseData[[#This Row],[stock_level]]&lt;=WarehouseData[[#This Row],[reorder_point]],"Low Stock","Sufficient Stock")</f>
        <v>Sufficient Stock</v>
      </c>
      <c r="Y2504">
        <f>WarehouseData[[#This Row],[daily_demand]]*WarehouseData[[#This Row],[lead_time_days]]</f>
        <v>5.05</v>
      </c>
      <c r="Z2504" t="str">
        <f>IF(WarehouseData[[#This Row],[stock_level]]&lt;=WarehouseData[[#This Row],[Demand During Lead Time]],"At Risk","Safe")</f>
        <v>Safe</v>
      </c>
      <c r="AA2504">
        <f>WarehouseData[[#This Row],[stock_level]]/WarehouseData[[#This Row],[daily_demand]]</f>
        <v>422.77227722772278</v>
      </c>
      <c r="AB2504">
        <f>WarehouseData[[#This Row],[stock_level]]*WarehouseData[[#This Row],[unit_price]]</f>
        <v>62482.91</v>
      </c>
      <c r="AC2504">
        <f>WarehouseData[[#This Row],[stock_level]]*WarehouseData[[#This Row],[holding_cost_per_unit_day]]*30</f>
        <v>11785.2</v>
      </c>
      <c r="AD2504" t="str">
        <f>IF(WarehouseData[[#This Row],[order_fulfillment_rate]]&gt;=0.9,"Strong",IF(WarehouseData[[#This Row],[order_fulfillment_rate]]&gt;=0.8,"Moderate","Needs Attention"))</f>
        <v>Needs Attention</v>
      </c>
      <c r="AE2504" t="str">
        <f>IF(WarehouseData[[#This Row],[picking_time_seconds]]&gt;120,"Slow",IF(WarehouseData[[#This Row],[picking_time_seconds]]&gt;=60,"Average","Fast"))</f>
        <v>Slow</v>
      </c>
    </row>
    <row r="2505" spans="1:31" x14ac:dyDescent="0.25">
      <c r="A2505" t="s">
        <v>2643</v>
      </c>
      <c r="B2505" t="s">
        <v>73</v>
      </c>
      <c r="C2505">
        <v>336</v>
      </c>
      <c r="D2505">
        <v>54</v>
      </c>
      <c r="E2505">
        <v>7</v>
      </c>
      <c r="F2505">
        <v>5</v>
      </c>
      <c r="G2505">
        <v>1.9</v>
      </c>
      <c r="H2505">
        <v>7.3</v>
      </c>
      <c r="I2505">
        <v>0.76</v>
      </c>
      <c r="J2505" t="s">
        <v>86</v>
      </c>
      <c r="K2505" t="s">
        <v>34</v>
      </c>
      <c r="L2505">
        <v>34</v>
      </c>
      <c r="M2505">
        <v>0.67</v>
      </c>
      <c r="N2505">
        <v>95.65</v>
      </c>
      <c r="O2505">
        <v>1.21</v>
      </c>
      <c r="P2505">
        <v>4</v>
      </c>
      <c r="Q2505">
        <v>0.88</v>
      </c>
      <c r="R2505">
        <v>167</v>
      </c>
      <c r="S2505">
        <v>5.96</v>
      </c>
      <c r="T2505">
        <v>0.61</v>
      </c>
      <c r="U2505" s="1">
        <v>45616</v>
      </c>
      <c r="V2505">
        <v>198.03</v>
      </c>
      <c r="W2505">
        <v>0.57599999999999996</v>
      </c>
      <c r="X2505" t="str">
        <f>IF(WarehouseData[[#This Row],[stock_level]]&lt;=WarehouseData[[#This Row],[reorder_point]],"Low Stock","Sufficient Stock")</f>
        <v>Sufficient Stock</v>
      </c>
      <c r="Y2505">
        <f>WarehouseData[[#This Row],[daily_demand]]*WarehouseData[[#This Row],[lead_time_days]]</f>
        <v>9.5</v>
      </c>
      <c r="Z2505" t="str">
        <f>IF(WarehouseData[[#This Row],[stock_level]]&lt;=WarehouseData[[#This Row],[Demand During Lead Time]],"At Risk","Safe")</f>
        <v>Safe</v>
      </c>
      <c r="AA2505">
        <f>WarehouseData[[#This Row],[stock_level]]/WarehouseData[[#This Row],[daily_demand]]</f>
        <v>176.84210526315789</v>
      </c>
      <c r="AB2505">
        <f>WarehouseData[[#This Row],[stock_level]]*WarehouseData[[#This Row],[unit_price]]</f>
        <v>32138.400000000001</v>
      </c>
      <c r="AC2505">
        <f>WarehouseData[[#This Row],[stock_level]]*WarehouseData[[#This Row],[holding_cost_per_unit_day]]*30</f>
        <v>12196.8</v>
      </c>
      <c r="AD2505" t="str">
        <f>IF(WarehouseData[[#This Row],[order_fulfillment_rate]]&gt;=0.9,"Strong",IF(WarehouseData[[#This Row],[order_fulfillment_rate]]&gt;=0.8,"Moderate","Needs Attention"))</f>
        <v>Moderate</v>
      </c>
      <c r="AE2505" t="str">
        <f>IF(WarehouseData[[#This Row],[picking_time_seconds]]&gt;120,"Slow",IF(WarehouseData[[#This Row],[picking_time_seconds]]&gt;=60,"Average","Fast"))</f>
        <v>Fast</v>
      </c>
    </row>
    <row r="2506" spans="1:31" x14ac:dyDescent="0.25">
      <c r="A2506" t="s">
        <v>2644</v>
      </c>
      <c r="B2506" t="s">
        <v>36</v>
      </c>
      <c r="C2506">
        <v>400</v>
      </c>
      <c r="D2506">
        <v>94</v>
      </c>
      <c r="E2506">
        <v>12</v>
      </c>
      <c r="F2506">
        <v>2</v>
      </c>
      <c r="G2506">
        <v>20.09</v>
      </c>
      <c r="H2506">
        <v>5.46</v>
      </c>
      <c r="I2506">
        <v>0.85</v>
      </c>
      <c r="J2506" t="s">
        <v>33</v>
      </c>
      <c r="K2506" t="s">
        <v>34</v>
      </c>
      <c r="L2506">
        <v>90</v>
      </c>
      <c r="M2506">
        <v>1.1599999999999999</v>
      </c>
      <c r="N2506">
        <v>171.76</v>
      </c>
      <c r="O2506">
        <v>0.9</v>
      </c>
      <c r="P2506">
        <v>2</v>
      </c>
      <c r="Q2506">
        <v>0.8</v>
      </c>
      <c r="R2506">
        <v>188</v>
      </c>
      <c r="S2506">
        <v>1.51</v>
      </c>
      <c r="T2506">
        <v>0.77</v>
      </c>
      <c r="U2506" s="1">
        <v>45365</v>
      </c>
      <c r="V2506">
        <v>245.61</v>
      </c>
      <c r="W2506">
        <v>0.60399999999999998</v>
      </c>
      <c r="X2506" t="str">
        <f>IF(WarehouseData[[#This Row],[stock_level]]&lt;=WarehouseData[[#This Row],[reorder_point]],"Low Stock","Sufficient Stock")</f>
        <v>Sufficient Stock</v>
      </c>
      <c r="Y2506">
        <f>WarehouseData[[#This Row],[daily_demand]]*WarehouseData[[#This Row],[lead_time_days]]</f>
        <v>40.18</v>
      </c>
      <c r="Z2506" t="str">
        <f>IF(WarehouseData[[#This Row],[stock_level]]&lt;=WarehouseData[[#This Row],[Demand During Lead Time]],"At Risk","Safe")</f>
        <v>Safe</v>
      </c>
      <c r="AA2506">
        <f>WarehouseData[[#This Row],[stock_level]]/WarehouseData[[#This Row],[daily_demand]]</f>
        <v>19.91040318566451</v>
      </c>
      <c r="AB2506">
        <f>WarehouseData[[#This Row],[stock_level]]*WarehouseData[[#This Row],[unit_price]]</f>
        <v>68704</v>
      </c>
      <c r="AC2506">
        <f>WarehouseData[[#This Row],[stock_level]]*WarehouseData[[#This Row],[holding_cost_per_unit_day]]*30</f>
        <v>10800</v>
      </c>
      <c r="AD2506" t="str">
        <f>IF(WarehouseData[[#This Row],[order_fulfillment_rate]]&gt;=0.9,"Strong",IF(WarehouseData[[#This Row],[order_fulfillment_rate]]&gt;=0.8,"Moderate","Needs Attention"))</f>
        <v>Moderate</v>
      </c>
      <c r="AE2506" t="str">
        <f>IF(WarehouseData[[#This Row],[picking_time_seconds]]&gt;120,"Slow",IF(WarehouseData[[#This Row],[picking_time_seconds]]&gt;=60,"Average","Fast"))</f>
        <v>Average</v>
      </c>
    </row>
    <row r="2507" spans="1:31" x14ac:dyDescent="0.25">
      <c r="A2507" t="s">
        <v>2645</v>
      </c>
      <c r="B2507" t="s">
        <v>48</v>
      </c>
      <c r="C2507">
        <v>164</v>
      </c>
      <c r="D2507">
        <v>29</v>
      </c>
      <c r="E2507">
        <v>3</v>
      </c>
      <c r="F2507">
        <v>2</v>
      </c>
      <c r="G2507">
        <v>34.880000000000003</v>
      </c>
      <c r="H2507">
        <v>5.45</v>
      </c>
      <c r="I2507">
        <v>0.68</v>
      </c>
      <c r="J2507" t="s">
        <v>144</v>
      </c>
      <c r="K2507" t="s">
        <v>52</v>
      </c>
      <c r="L2507">
        <v>46</v>
      </c>
      <c r="M2507">
        <v>0.98</v>
      </c>
      <c r="N2507">
        <v>73.23</v>
      </c>
      <c r="O2507">
        <v>0.94</v>
      </c>
      <c r="P2507">
        <v>3</v>
      </c>
      <c r="Q2507">
        <v>0.85</v>
      </c>
      <c r="R2507">
        <v>952</v>
      </c>
      <c r="S2507">
        <v>11.15</v>
      </c>
      <c r="T2507">
        <v>0.71</v>
      </c>
      <c r="U2507" s="1">
        <v>45444</v>
      </c>
      <c r="V2507">
        <v>116.75</v>
      </c>
      <c r="W2507">
        <v>0.70699999999999996</v>
      </c>
      <c r="X2507" t="str">
        <f>IF(WarehouseData[[#This Row],[stock_level]]&lt;=WarehouseData[[#This Row],[reorder_point]],"Low Stock","Sufficient Stock")</f>
        <v>Sufficient Stock</v>
      </c>
      <c r="Y2507">
        <f>WarehouseData[[#This Row],[daily_demand]]*WarehouseData[[#This Row],[lead_time_days]]</f>
        <v>69.760000000000005</v>
      </c>
      <c r="Z2507" t="str">
        <f>IF(WarehouseData[[#This Row],[stock_level]]&lt;=WarehouseData[[#This Row],[Demand During Lead Time]],"At Risk","Safe")</f>
        <v>Safe</v>
      </c>
      <c r="AA2507">
        <f>WarehouseData[[#This Row],[stock_level]]/WarehouseData[[#This Row],[daily_demand]]</f>
        <v>4.7018348623853203</v>
      </c>
      <c r="AB2507">
        <f>WarehouseData[[#This Row],[stock_level]]*WarehouseData[[#This Row],[unit_price]]</f>
        <v>12009.720000000001</v>
      </c>
      <c r="AC2507">
        <f>WarehouseData[[#This Row],[stock_level]]*WarehouseData[[#This Row],[holding_cost_per_unit_day]]*30</f>
        <v>4624.8</v>
      </c>
      <c r="AD2507" t="str">
        <f>IF(WarehouseData[[#This Row],[order_fulfillment_rate]]&gt;=0.9,"Strong",IF(WarehouseData[[#This Row],[order_fulfillment_rate]]&gt;=0.8,"Moderate","Needs Attention"))</f>
        <v>Moderate</v>
      </c>
      <c r="AE2507" t="str">
        <f>IF(WarehouseData[[#This Row],[picking_time_seconds]]&gt;120,"Slow",IF(WarehouseData[[#This Row],[picking_time_seconds]]&gt;=60,"Average","Fast"))</f>
        <v>Fast</v>
      </c>
    </row>
    <row r="2508" spans="1:31" x14ac:dyDescent="0.25">
      <c r="A2508" t="s">
        <v>2646</v>
      </c>
      <c r="B2508" t="s">
        <v>36</v>
      </c>
      <c r="C2508">
        <v>346</v>
      </c>
      <c r="D2508">
        <v>70</v>
      </c>
      <c r="E2508">
        <v>3</v>
      </c>
      <c r="F2508">
        <v>8</v>
      </c>
      <c r="G2508">
        <v>35.06</v>
      </c>
      <c r="H2508">
        <v>1.2</v>
      </c>
      <c r="I2508">
        <v>0.61</v>
      </c>
      <c r="J2508" t="s">
        <v>45</v>
      </c>
      <c r="K2508" t="s">
        <v>38</v>
      </c>
      <c r="L2508">
        <v>28</v>
      </c>
      <c r="M2508">
        <v>2.0099999999999998</v>
      </c>
      <c r="N2508">
        <v>186.19</v>
      </c>
      <c r="O2508">
        <v>0.62</v>
      </c>
      <c r="P2508">
        <v>2</v>
      </c>
      <c r="Q2508">
        <v>0.97</v>
      </c>
      <c r="R2508">
        <v>352</v>
      </c>
      <c r="S2508">
        <v>6.23</v>
      </c>
      <c r="T2508">
        <v>0.66</v>
      </c>
      <c r="U2508" s="1">
        <v>45638</v>
      </c>
      <c r="V2508">
        <v>61.16</v>
      </c>
      <c r="W2508">
        <v>0.70699999999999996</v>
      </c>
      <c r="X2508" t="str">
        <f>IF(WarehouseData[[#This Row],[stock_level]]&lt;=WarehouseData[[#This Row],[reorder_point]],"Low Stock","Sufficient Stock")</f>
        <v>Sufficient Stock</v>
      </c>
      <c r="Y2508">
        <f>WarehouseData[[#This Row],[daily_demand]]*WarehouseData[[#This Row],[lead_time_days]]</f>
        <v>280.48</v>
      </c>
      <c r="Z2508" t="str">
        <f>IF(WarehouseData[[#This Row],[stock_level]]&lt;=WarehouseData[[#This Row],[Demand During Lead Time]],"At Risk","Safe")</f>
        <v>Safe</v>
      </c>
      <c r="AA2508">
        <f>WarehouseData[[#This Row],[stock_level]]/WarehouseData[[#This Row],[daily_demand]]</f>
        <v>9.8687963491158008</v>
      </c>
      <c r="AB2508">
        <f>WarehouseData[[#This Row],[stock_level]]*WarehouseData[[#This Row],[unit_price]]</f>
        <v>64421.74</v>
      </c>
      <c r="AC2508">
        <f>WarehouseData[[#This Row],[stock_level]]*WarehouseData[[#This Row],[holding_cost_per_unit_day]]*30</f>
        <v>6435.6</v>
      </c>
      <c r="AD2508" t="str">
        <f>IF(WarehouseData[[#This Row],[order_fulfillment_rate]]&gt;=0.9,"Strong",IF(WarehouseData[[#This Row],[order_fulfillment_rate]]&gt;=0.8,"Moderate","Needs Attention"))</f>
        <v>Strong</v>
      </c>
      <c r="AE2508" t="str">
        <f>IF(WarehouseData[[#This Row],[picking_time_seconds]]&gt;120,"Slow",IF(WarehouseData[[#This Row],[picking_time_seconds]]&gt;=60,"Average","Fast"))</f>
        <v>Fast</v>
      </c>
    </row>
    <row r="2509" spans="1:31" x14ac:dyDescent="0.25">
      <c r="A2509" t="s">
        <v>2647</v>
      </c>
      <c r="B2509" t="s">
        <v>32</v>
      </c>
      <c r="C2509">
        <v>382</v>
      </c>
      <c r="D2509">
        <v>47</v>
      </c>
      <c r="E2509">
        <v>11</v>
      </c>
      <c r="F2509">
        <v>9</v>
      </c>
      <c r="G2509">
        <v>22.08</v>
      </c>
      <c r="H2509">
        <v>5.37</v>
      </c>
      <c r="I2509">
        <v>0.44</v>
      </c>
      <c r="J2509" t="s">
        <v>353</v>
      </c>
      <c r="K2509" t="s">
        <v>38</v>
      </c>
      <c r="L2509">
        <v>44</v>
      </c>
      <c r="M2509">
        <v>3.24</v>
      </c>
      <c r="N2509">
        <v>113.03</v>
      </c>
      <c r="O2509">
        <v>0.65</v>
      </c>
      <c r="P2509">
        <v>6</v>
      </c>
      <c r="Q2509">
        <v>0.81</v>
      </c>
      <c r="R2509">
        <v>801</v>
      </c>
      <c r="S2509">
        <v>9.39</v>
      </c>
      <c r="T2509">
        <v>0.43</v>
      </c>
      <c r="U2509" s="1">
        <v>45623</v>
      </c>
      <c r="V2509">
        <v>109.5</v>
      </c>
      <c r="W2509">
        <v>0.58799999999999997</v>
      </c>
      <c r="X2509" t="str">
        <f>IF(WarehouseData[[#This Row],[stock_level]]&lt;=WarehouseData[[#This Row],[reorder_point]],"Low Stock","Sufficient Stock")</f>
        <v>Sufficient Stock</v>
      </c>
      <c r="Y2509">
        <f>WarehouseData[[#This Row],[daily_demand]]*WarehouseData[[#This Row],[lead_time_days]]</f>
        <v>198.71999999999997</v>
      </c>
      <c r="Z2509" t="str">
        <f>IF(WarehouseData[[#This Row],[stock_level]]&lt;=WarehouseData[[#This Row],[Demand During Lead Time]],"At Risk","Safe")</f>
        <v>Safe</v>
      </c>
      <c r="AA2509">
        <f>WarehouseData[[#This Row],[stock_level]]/WarehouseData[[#This Row],[daily_demand]]</f>
        <v>17.30072463768116</v>
      </c>
      <c r="AB2509">
        <f>WarehouseData[[#This Row],[stock_level]]*WarehouseData[[#This Row],[unit_price]]</f>
        <v>43177.46</v>
      </c>
      <c r="AC2509">
        <f>WarehouseData[[#This Row],[stock_level]]*WarehouseData[[#This Row],[holding_cost_per_unit_day]]*30</f>
        <v>7449</v>
      </c>
      <c r="AD2509" t="str">
        <f>IF(WarehouseData[[#This Row],[order_fulfillment_rate]]&gt;=0.9,"Strong",IF(WarehouseData[[#This Row],[order_fulfillment_rate]]&gt;=0.8,"Moderate","Needs Attention"))</f>
        <v>Moderate</v>
      </c>
      <c r="AE2509" t="str">
        <f>IF(WarehouseData[[#This Row],[picking_time_seconds]]&gt;120,"Slow",IF(WarehouseData[[#This Row],[picking_time_seconds]]&gt;=60,"Average","Fast"))</f>
        <v>Fast</v>
      </c>
    </row>
    <row r="2510" spans="1:31" x14ac:dyDescent="0.25">
      <c r="A2510" t="s">
        <v>2648</v>
      </c>
      <c r="B2510" t="s">
        <v>48</v>
      </c>
      <c r="C2510">
        <v>69</v>
      </c>
      <c r="D2510">
        <v>29</v>
      </c>
      <c r="E2510">
        <v>4</v>
      </c>
      <c r="F2510">
        <v>3</v>
      </c>
      <c r="G2510">
        <v>34.86</v>
      </c>
      <c r="H2510">
        <v>8.32</v>
      </c>
      <c r="I2510">
        <v>0.22</v>
      </c>
      <c r="J2510" t="s">
        <v>148</v>
      </c>
      <c r="K2510" t="s">
        <v>46</v>
      </c>
      <c r="L2510">
        <v>116</v>
      </c>
      <c r="M2510">
        <v>0.71</v>
      </c>
      <c r="N2510">
        <v>111.78</v>
      </c>
      <c r="O2510">
        <v>1.43</v>
      </c>
      <c r="P2510">
        <v>5</v>
      </c>
      <c r="Q2510">
        <v>0.8</v>
      </c>
      <c r="R2510">
        <v>697</v>
      </c>
      <c r="S2510">
        <v>13.27</v>
      </c>
      <c r="T2510">
        <v>0.87</v>
      </c>
      <c r="U2510" s="1">
        <v>45483</v>
      </c>
      <c r="V2510">
        <v>168.5</v>
      </c>
      <c r="W2510">
        <v>0.66800000000000004</v>
      </c>
      <c r="X2510" t="str">
        <f>IF(WarehouseData[[#This Row],[stock_level]]&lt;=WarehouseData[[#This Row],[reorder_point]],"Low Stock","Sufficient Stock")</f>
        <v>Sufficient Stock</v>
      </c>
      <c r="Y2510">
        <f>WarehouseData[[#This Row],[daily_demand]]*WarehouseData[[#This Row],[lead_time_days]]</f>
        <v>104.58</v>
      </c>
      <c r="Z2510" t="str">
        <f>IF(WarehouseData[[#This Row],[stock_level]]&lt;=WarehouseData[[#This Row],[Demand During Lead Time]],"At Risk","Safe")</f>
        <v>At Risk</v>
      </c>
      <c r="AA2510">
        <f>WarehouseData[[#This Row],[stock_level]]/WarehouseData[[#This Row],[daily_demand]]</f>
        <v>1.9793459552495698</v>
      </c>
      <c r="AB2510">
        <f>WarehouseData[[#This Row],[stock_level]]*WarehouseData[[#This Row],[unit_price]]</f>
        <v>7712.82</v>
      </c>
      <c r="AC2510">
        <f>WarehouseData[[#This Row],[stock_level]]*WarehouseData[[#This Row],[holding_cost_per_unit_day]]*30</f>
        <v>2960.1</v>
      </c>
      <c r="AD2510" t="str">
        <f>IF(WarehouseData[[#This Row],[order_fulfillment_rate]]&gt;=0.9,"Strong",IF(WarehouseData[[#This Row],[order_fulfillment_rate]]&gt;=0.8,"Moderate","Needs Attention"))</f>
        <v>Moderate</v>
      </c>
      <c r="AE2510" t="str">
        <f>IF(WarehouseData[[#This Row],[picking_time_seconds]]&gt;120,"Slow",IF(WarehouseData[[#This Row],[picking_time_seconds]]&gt;=60,"Average","Fast"))</f>
        <v>Average</v>
      </c>
    </row>
    <row r="2511" spans="1:31" x14ac:dyDescent="0.25">
      <c r="A2511" t="s">
        <v>2649</v>
      </c>
      <c r="B2511" t="s">
        <v>32</v>
      </c>
      <c r="C2511">
        <v>84</v>
      </c>
      <c r="D2511">
        <v>34</v>
      </c>
      <c r="E2511">
        <v>9</v>
      </c>
      <c r="F2511">
        <v>8</v>
      </c>
      <c r="G2511">
        <v>26.53</v>
      </c>
      <c r="H2511">
        <v>9.49</v>
      </c>
      <c r="I2511">
        <v>0.96</v>
      </c>
      <c r="J2511" t="s">
        <v>316</v>
      </c>
      <c r="K2511" t="s">
        <v>46</v>
      </c>
      <c r="L2511">
        <v>171</v>
      </c>
      <c r="M2511">
        <v>3.77</v>
      </c>
      <c r="N2511">
        <v>137.44999999999999</v>
      </c>
      <c r="O2511">
        <v>0.11</v>
      </c>
      <c r="P2511">
        <v>1</v>
      </c>
      <c r="Q2511">
        <v>0.95</v>
      </c>
      <c r="R2511">
        <v>566</v>
      </c>
      <c r="S2511">
        <v>1.1100000000000001</v>
      </c>
      <c r="T2511">
        <v>0.83</v>
      </c>
      <c r="U2511" s="1">
        <v>45297</v>
      </c>
      <c r="V2511">
        <v>202.7</v>
      </c>
      <c r="W2511">
        <v>0.74</v>
      </c>
      <c r="X2511" t="str">
        <f>IF(WarehouseData[[#This Row],[stock_level]]&lt;=WarehouseData[[#This Row],[reorder_point]],"Low Stock","Sufficient Stock")</f>
        <v>Sufficient Stock</v>
      </c>
      <c r="Y2511">
        <f>WarehouseData[[#This Row],[daily_demand]]*WarehouseData[[#This Row],[lead_time_days]]</f>
        <v>212.24</v>
      </c>
      <c r="Z2511" t="str">
        <f>IF(WarehouseData[[#This Row],[stock_level]]&lt;=WarehouseData[[#This Row],[Demand During Lead Time]],"At Risk","Safe")</f>
        <v>At Risk</v>
      </c>
      <c r="AA2511">
        <f>WarehouseData[[#This Row],[stock_level]]/WarehouseData[[#This Row],[daily_demand]]</f>
        <v>3.1662269129287597</v>
      </c>
      <c r="AB2511">
        <f>WarehouseData[[#This Row],[stock_level]]*WarehouseData[[#This Row],[unit_price]]</f>
        <v>11545.8</v>
      </c>
      <c r="AC2511">
        <f>WarehouseData[[#This Row],[stock_level]]*WarehouseData[[#This Row],[holding_cost_per_unit_day]]*30</f>
        <v>277.2</v>
      </c>
      <c r="AD2511" t="str">
        <f>IF(WarehouseData[[#This Row],[order_fulfillment_rate]]&gt;=0.9,"Strong",IF(WarehouseData[[#This Row],[order_fulfillment_rate]]&gt;=0.8,"Moderate","Needs Attention"))</f>
        <v>Strong</v>
      </c>
      <c r="AE2511" t="str">
        <f>IF(WarehouseData[[#This Row],[picking_time_seconds]]&gt;120,"Slow",IF(WarehouseData[[#This Row],[picking_time_seconds]]&gt;=60,"Average","Fast"))</f>
        <v>Slow</v>
      </c>
    </row>
    <row r="2512" spans="1:31" x14ac:dyDescent="0.25">
      <c r="A2512" t="s">
        <v>2650</v>
      </c>
      <c r="B2512" t="s">
        <v>48</v>
      </c>
      <c r="C2512">
        <v>374</v>
      </c>
      <c r="D2512">
        <v>11</v>
      </c>
      <c r="E2512">
        <v>12</v>
      </c>
      <c r="F2512">
        <v>5</v>
      </c>
      <c r="G2512">
        <v>48.87</v>
      </c>
      <c r="H2512">
        <v>1.51</v>
      </c>
      <c r="I2512">
        <v>0.52</v>
      </c>
      <c r="J2512" t="s">
        <v>565</v>
      </c>
      <c r="K2512" t="s">
        <v>52</v>
      </c>
      <c r="L2512">
        <v>63</v>
      </c>
      <c r="M2512">
        <v>2.29</v>
      </c>
      <c r="N2512">
        <v>74.760000000000005</v>
      </c>
      <c r="O2512">
        <v>0.28000000000000003</v>
      </c>
      <c r="P2512">
        <v>7</v>
      </c>
      <c r="Q2512">
        <v>0.8</v>
      </c>
      <c r="R2512">
        <v>258</v>
      </c>
      <c r="S2512">
        <v>11.63</v>
      </c>
      <c r="T2512">
        <v>0.35</v>
      </c>
      <c r="U2512" s="1">
        <v>45575</v>
      </c>
      <c r="V2512">
        <v>169.44</v>
      </c>
      <c r="W2512">
        <v>0.61699999999999999</v>
      </c>
      <c r="X2512" t="str">
        <f>IF(WarehouseData[[#This Row],[stock_level]]&lt;=WarehouseData[[#This Row],[reorder_point]],"Low Stock","Sufficient Stock")</f>
        <v>Sufficient Stock</v>
      </c>
      <c r="Y2512">
        <f>WarehouseData[[#This Row],[daily_demand]]*WarehouseData[[#This Row],[lead_time_days]]</f>
        <v>244.35</v>
      </c>
      <c r="Z2512" t="str">
        <f>IF(WarehouseData[[#This Row],[stock_level]]&lt;=WarehouseData[[#This Row],[Demand During Lead Time]],"At Risk","Safe")</f>
        <v>Safe</v>
      </c>
      <c r="AA2512">
        <f>WarehouseData[[#This Row],[stock_level]]/WarehouseData[[#This Row],[daily_demand]]</f>
        <v>7.6529568242275428</v>
      </c>
      <c r="AB2512">
        <f>WarehouseData[[#This Row],[stock_level]]*WarehouseData[[#This Row],[unit_price]]</f>
        <v>27960.240000000002</v>
      </c>
      <c r="AC2512">
        <f>WarehouseData[[#This Row],[stock_level]]*WarehouseData[[#This Row],[holding_cost_per_unit_day]]*30</f>
        <v>3141.6000000000004</v>
      </c>
      <c r="AD2512" t="str">
        <f>IF(WarehouseData[[#This Row],[order_fulfillment_rate]]&gt;=0.9,"Strong",IF(WarehouseData[[#This Row],[order_fulfillment_rate]]&gt;=0.8,"Moderate","Needs Attention"))</f>
        <v>Moderate</v>
      </c>
      <c r="AE2512" t="str">
        <f>IF(WarehouseData[[#This Row],[picking_time_seconds]]&gt;120,"Slow",IF(WarehouseData[[#This Row],[picking_time_seconds]]&gt;=60,"Average","Fast"))</f>
        <v>Average</v>
      </c>
    </row>
    <row r="2513" spans="1:31" x14ac:dyDescent="0.25">
      <c r="A2513" t="s">
        <v>2651</v>
      </c>
      <c r="B2513" t="s">
        <v>40</v>
      </c>
      <c r="C2513">
        <v>307</v>
      </c>
      <c r="D2513">
        <v>41</v>
      </c>
      <c r="E2513">
        <v>6</v>
      </c>
      <c r="F2513">
        <v>8</v>
      </c>
      <c r="G2513">
        <v>8.9600000000000009</v>
      </c>
      <c r="H2513">
        <v>6.5</v>
      </c>
      <c r="I2513">
        <v>0.61</v>
      </c>
      <c r="J2513" t="s">
        <v>137</v>
      </c>
      <c r="K2513" t="s">
        <v>52</v>
      </c>
      <c r="L2513">
        <v>15</v>
      </c>
      <c r="M2513">
        <v>4.84</v>
      </c>
      <c r="N2513">
        <v>147.62</v>
      </c>
      <c r="O2513">
        <v>1.9</v>
      </c>
      <c r="P2513">
        <v>4</v>
      </c>
      <c r="Q2513">
        <v>0.72</v>
      </c>
      <c r="R2513">
        <v>136</v>
      </c>
      <c r="S2513">
        <v>7.09</v>
      </c>
      <c r="T2513">
        <v>0.72</v>
      </c>
      <c r="U2513" s="1">
        <v>45576</v>
      </c>
      <c r="V2513">
        <v>84.45</v>
      </c>
      <c r="W2513">
        <v>0.51300000000000001</v>
      </c>
      <c r="X2513" t="str">
        <f>IF(WarehouseData[[#This Row],[stock_level]]&lt;=WarehouseData[[#This Row],[reorder_point]],"Low Stock","Sufficient Stock")</f>
        <v>Sufficient Stock</v>
      </c>
      <c r="Y2513">
        <f>WarehouseData[[#This Row],[daily_demand]]*WarehouseData[[#This Row],[lead_time_days]]</f>
        <v>71.680000000000007</v>
      </c>
      <c r="Z2513" t="str">
        <f>IF(WarehouseData[[#This Row],[stock_level]]&lt;=WarehouseData[[#This Row],[Demand During Lead Time]],"At Risk","Safe")</f>
        <v>Safe</v>
      </c>
      <c r="AA2513">
        <f>WarehouseData[[#This Row],[stock_level]]/WarehouseData[[#This Row],[daily_demand]]</f>
        <v>34.263392857142854</v>
      </c>
      <c r="AB2513">
        <f>WarehouseData[[#This Row],[stock_level]]*WarehouseData[[#This Row],[unit_price]]</f>
        <v>45319.340000000004</v>
      </c>
      <c r="AC2513">
        <f>WarehouseData[[#This Row],[stock_level]]*WarehouseData[[#This Row],[holding_cost_per_unit_day]]*30</f>
        <v>17499</v>
      </c>
      <c r="AD2513" t="str">
        <f>IF(WarehouseData[[#This Row],[order_fulfillment_rate]]&gt;=0.9,"Strong",IF(WarehouseData[[#This Row],[order_fulfillment_rate]]&gt;=0.8,"Moderate","Needs Attention"))</f>
        <v>Needs Attention</v>
      </c>
      <c r="AE2513" t="str">
        <f>IF(WarehouseData[[#This Row],[picking_time_seconds]]&gt;120,"Slow",IF(WarehouseData[[#This Row],[picking_time_seconds]]&gt;=60,"Average","Fast"))</f>
        <v>Fast</v>
      </c>
    </row>
    <row r="2514" spans="1:31" x14ac:dyDescent="0.25">
      <c r="A2514" t="s">
        <v>2652</v>
      </c>
      <c r="B2514" t="s">
        <v>73</v>
      </c>
      <c r="C2514">
        <v>183</v>
      </c>
      <c r="D2514">
        <v>35</v>
      </c>
      <c r="E2514">
        <v>9</v>
      </c>
      <c r="F2514">
        <v>8</v>
      </c>
      <c r="G2514">
        <v>30.43</v>
      </c>
      <c r="H2514">
        <v>5.9</v>
      </c>
      <c r="I2514">
        <v>0.78</v>
      </c>
      <c r="J2514" t="s">
        <v>64</v>
      </c>
      <c r="K2514" t="s">
        <v>52</v>
      </c>
      <c r="L2514">
        <v>138</v>
      </c>
      <c r="M2514">
        <v>3.06</v>
      </c>
      <c r="N2514">
        <v>70.88</v>
      </c>
      <c r="O2514">
        <v>0.46</v>
      </c>
      <c r="P2514">
        <v>5</v>
      </c>
      <c r="Q2514">
        <v>0.75</v>
      </c>
      <c r="R2514">
        <v>908</v>
      </c>
      <c r="S2514">
        <v>2.74</v>
      </c>
      <c r="T2514">
        <v>0.93</v>
      </c>
      <c r="U2514" s="1">
        <v>45364</v>
      </c>
      <c r="V2514">
        <v>276.23</v>
      </c>
      <c r="W2514">
        <v>0.627</v>
      </c>
      <c r="X2514" t="str">
        <f>IF(WarehouseData[[#This Row],[stock_level]]&lt;=WarehouseData[[#This Row],[reorder_point]],"Low Stock","Sufficient Stock")</f>
        <v>Sufficient Stock</v>
      </c>
      <c r="Y2514">
        <f>WarehouseData[[#This Row],[daily_demand]]*WarehouseData[[#This Row],[lead_time_days]]</f>
        <v>243.44</v>
      </c>
      <c r="Z2514" t="str">
        <f>IF(WarehouseData[[#This Row],[stock_level]]&lt;=WarehouseData[[#This Row],[Demand During Lead Time]],"At Risk","Safe")</f>
        <v>At Risk</v>
      </c>
      <c r="AA2514">
        <f>WarehouseData[[#This Row],[stock_level]]/WarehouseData[[#This Row],[daily_demand]]</f>
        <v>6.0138021689122576</v>
      </c>
      <c r="AB2514">
        <f>WarehouseData[[#This Row],[stock_level]]*WarehouseData[[#This Row],[unit_price]]</f>
        <v>12971.039999999999</v>
      </c>
      <c r="AC2514">
        <f>WarehouseData[[#This Row],[stock_level]]*WarehouseData[[#This Row],[holding_cost_per_unit_day]]*30</f>
        <v>2525.4</v>
      </c>
      <c r="AD2514" t="str">
        <f>IF(WarehouseData[[#This Row],[order_fulfillment_rate]]&gt;=0.9,"Strong",IF(WarehouseData[[#This Row],[order_fulfillment_rate]]&gt;=0.8,"Moderate","Needs Attention"))</f>
        <v>Needs Attention</v>
      </c>
      <c r="AE2514" t="str">
        <f>IF(WarehouseData[[#This Row],[picking_time_seconds]]&gt;120,"Slow",IF(WarehouseData[[#This Row],[picking_time_seconds]]&gt;=60,"Average","Fast"))</f>
        <v>Slow</v>
      </c>
    </row>
    <row r="2515" spans="1:31" x14ac:dyDescent="0.25">
      <c r="A2515" t="s">
        <v>2653</v>
      </c>
      <c r="B2515" t="s">
        <v>73</v>
      </c>
      <c r="C2515">
        <v>160</v>
      </c>
      <c r="D2515">
        <v>79</v>
      </c>
      <c r="E2515">
        <v>10</v>
      </c>
      <c r="F2515">
        <v>8</v>
      </c>
      <c r="G2515">
        <v>25.07</v>
      </c>
      <c r="H2515">
        <v>8.9600000000000009</v>
      </c>
      <c r="I2515">
        <v>0.16</v>
      </c>
      <c r="J2515" t="s">
        <v>79</v>
      </c>
      <c r="K2515" t="s">
        <v>52</v>
      </c>
      <c r="L2515">
        <v>43</v>
      </c>
      <c r="M2515">
        <v>3.97</v>
      </c>
      <c r="N2515">
        <v>85.53</v>
      </c>
      <c r="O2515">
        <v>0.89</v>
      </c>
      <c r="P2515">
        <v>7</v>
      </c>
      <c r="Q2515">
        <v>0.98</v>
      </c>
      <c r="R2515">
        <v>368</v>
      </c>
      <c r="S2515">
        <v>9.15</v>
      </c>
      <c r="T2515">
        <v>0.55000000000000004</v>
      </c>
      <c r="U2515" s="1">
        <v>45355</v>
      </c>
      <c r="V2515">
        <v>136.97</v>
      </c>
      <c r="W2515">
        <v>0.59899999999999998</v>
      </c>
      <c r="X2515" t="str">
        <f>IF(WarehouseData[[#This Row],[stock_level]]&lt;=WarehouseData[[#This Row],[reorder_point]],"Low Stock","Sufficient Stock")</f>
        <v>Sufficient Stock</v>
      </c>
      <c r="Y2515">
        <f>WarehouseData[[#This Row],[daily_demand]]*WarehouseData[[#This Row],[lead_time_days]]</f>
        <v>200.56</v>
      </c>
      <c r="Z2515" t="str">
        <f>IF(WarehouseData[[#This Row],[stock_level]]&lt;=WarehouseData[[#This Row],[Demand During Lead Time]],"At Risk","Safe")</f>
        <v>At Risk</v>
      </c>
      <c r="AA2515">
        <f>WarehouseData[[#This Row],[stock_level]]/WarehouseData[[#This Row],[daily_demand]]</f>
        <v>6.3821300358994817</v>
      </c>
      <c r="AB2515">
        <f>WarehouseData[[#This Row],[stock_level]]*WarehouseData[[#This Row],[unit_price]]</f>
        <v>13684.8</v>
      </c>
      <c r="AC2515">
        <f>WarehouseData[[#This Row],[stock_level]]*WarehouseData[[#This Row],[holding_cost_per_unit_day]]*30</f>
        <v>4272</v>
      </c>
      <c r="AD2515" t="str">
        <f>IF(WarehouseData[[#This Row],[order_fulfillment_rate]]&gt;=0.9,"Strong",IF(WarehouseData[[#This Row],[order_fulfillment_rate]]&gt;=0.8,"Moderate","Needs Attention"))</f>
        <v>Strong</v>
      </c>
      <c r="AE2515" t="str">
        <f>IF(WarehouseData[[#This Row],[picking_time_seconds]]&gt;120,"Slow",IF(WarehouseData[[#This Row],[picking_time_seconds]]&gt;=60,"Average","Fast"))</f>
        <v>Fast</v>
      </c>
    </row>
    <row r="2516" spans="1:31" x14ac:dyDescent="0.25">
      <c r="A2516" t="s">
        <v>2654</v>
      </c>
      <c r="B2516" t="s">
        <v>32</v>
      </c>
      <c r="C2516">
        <v>473</v>
      </c>
      <c r="D2516">
        <v>50</v>
      </c>
      <c r="E2516">
        <v>7</v>
      </c>
      <c r="F2516">
        <v>3</v>
      </c>
      <c r="G2516">
        <v>10.53</v>
      </c>
      <c r="H2516">
        <v>7.64</v>
      </c>
      <c r="I2516">
        <v>0.87</v>
      </c>
      <c r="J2516" t="s">
        <v>190</v>
      </c>
      <c r="K2516" t="s">
        <v>38</v>
      </c>
      <c r="L2516">
        <v>65</v>
      </c>
      <c r="M2516">
        <v>4.38</v>
      </c>
      <c r="N2516">
        <v>138.19</v>
      </c>
      <c r="O2516">
        <v>1.71</v>
      </c>
      <c r="P2516">
        <v>6</v>
      </c>
      <c r="Q2516">
        <v>0.98</v>
      </c>
      <c r="R2516">
        <v>838</v>
      </c>
      <c r="S2516">
        <v>8.4600000000000009</v>
      </c>
      <c r="T2516">
        <v>0.94</v>
      </c>
      <c r="U2516" s="1">
        <v>45313</v>
      </c>
      <c r="V2516">
        <v>143.1</v>
      </c>
      <c r="W2516">
        <v>0.60599999999999998</v>
      </c>
      <c r="X2516" t="str">
        <f>IF(WarehouseData[[#This Row],[stock_level]]&lt;=WarehouseData[[#This Row],[reorder_point]],"Low Stock","Sufficient Stock")</f>
        <v>Sufficient Stock</v>
      </c>
      <c r="Y2516">
        <f>WarehouseData[[#This Row],[daily_demand]]*WarehouseData[[#This Row],[lead_time_days]]</f>
        <v>31.589999999999996</v>
      </c>
      <c r="Z2516" t="str">
        <f>IF(WarehouseData[[#This Row],[stock_level]]&lt;=WarehouseData[[#This Row],[Demand During Lead Time]],"At Risk","Safe")</f>
        <v>Safe</v>
      </c>
      <c r="AA2516">
        <f>WarehouseData[[#This Row],[stock_level]]/WarehouseData[[#This Row],[daily_demand]]</f>
        <v>44.919278252611591</v>
      </c>
      <c r="AB2516">
        <f>WarehouseData[[#This Row],[stock_level]]*WarehouseData[[#This Row],[unit_price]]</f>
        <v>65363.869999999995</v>
      </c>
      <c r="AC2516">
        <f>WarehouseData[[#This Row],[stock_level]]*WarehouseData[[#This Row],[holding_cost_per_unit_day]]*30</f>
        <v>24264.899999999998</v>
      </c>
      <c r="AD2516" t="str">
        <f>IF(WarehouseData[[#This Row],[order_fulfillment_rate]]&gt;=0.9,"Strong",IF(WarehouseData[[#This Row],[order_fulfillment_rate]]&gt;=0.8,"Moderate","Needs Attention"))</f>
        <v>Strong</v>
      </c>
      <c r="AE2516" t="str">
        <f>IF(WarehouseData[[#This Row],[picking_time_seconds]]&gt;120,"Slow",IF(WarehouseData[[#This Row],[picking_time_seconds]]&gt;=60,"Average","Fast"))</f>
        <v>Average</v>
      </c>
    </row>
    <row r="2517" spans="1:31" x14ac:dyDescent="0.25">
      <c r="A2517" t="s">
        <v>2655</v>
      </c>
      <c r="B2517" t="s">
        <v>73</v>
      </c>
      <c r="C2517">
        <v>333</v>
      </c>
      <c r="D2517">
        <v>76</v>
      </c>
      <c r="E2517">
        <v>14</v>
      </c>
      <c r="F2517">
        <v>7</v>
      </c>
      <c r="G2517">
        <v>37.75</v>
      </c>
      <c r="H2517">
        <v>9.67</v>
      </c>
      <c r="I2517">
        <v>0.82</v>
      </c>
      <c r="J2517" t="s">
        <v>196</v>
      </c>
      <c r="K2517" t="s">
        <v>52</v>
      </c>
      <c r="L2517">
        <v>106</v>
      </c>
      <c r="M2517">
        <v>4.5</v>
      </c>
      <c r="N2517">
        <v>81.91</v>
      </c>
      <c r="O2517">
        <v>0.1</v>
      </c>
      <c r="P2517">
        <v>2</v>
      </c>
      <c r="Q2517">
        <v>0.77</v>
      </c>
      <c r="R2517">
        <v>936</v>
      </c>
      <c r="S2517">
        <v>12.79</v>
      </c>
      <c r="T2517">
        <v>0.22</v>
      </c>
      <c r="U2517" s="1">
        <v>45294</v>
      </c>
      <c r="V2517">
        <v>290.54000000000002</v>
      </c>
      <c r="W2517">
        <v>0.71899999999999997</v>
      </c>
      <c r="X2517" t="str">
        <f>IF(WarehouseData[[#This Row],[stock_level]]&lt;=WarehouseData[[#This Row],[reorder_point]],"Low Stock","Sufficient Stock")</f>
        <v>Sufficient Stock</v>
      </c>
      <c r="Y2517">
        <f>WarehouseData[[#This Row],[daily_demand]]*WarehouseData[[#This Row],[lead_time_days]]</f>
        <v>264.25</v>
      </c>
      <c r="Z2517" t="str">
        <f>IF(WarehouseData[[#This Row],[stock_level]]&lt;=WarehouseData[[#This Row],[Demand During Lead Time]],"At Risk","Safe")</f>
        <v>Safe</v>
      </c>
      <c r="AA2517">
        <f>WarehouseData[[#This Row],[stock_level]]/WarehouseData[[#This Row],[daily_demand]]</f>
        <v>8.8211920529801322</v>
      </c>
      <c r="AB2517">
        <f>WarehouseData[[#This Row],[stock_level]]*WarehouseData[[#This Row],[unit_price]]</f>
        <v>27276.03</v>
      </c>
      <c r="AC2517">
        <f>WarehouseData[[#This Row],[stock_level]]*WarehouseData[[#This Row],[holding_cost_per_unit_day]]*30</f>
        <v>999.00000000000011</v>
      </c>
      <c r="AD2517" t="str">
        <f>IF(WarehouseData[[#This Row],[order_fulfillment_rate]]&gt;=0.9,"Strong",IF(WarehouseData[[#This Row],[order_fulfillment_rate]]&gt;=0.8,"Moderate","Needs Attention"))</f>
        <v>Needs Attention</v>
      </c>
      <c r="AE2517" t="str">
        <f>IF(WarehouseData[[#This Row],[picking_time_seconds]]&gt;120,"Slow",IF(WarehouseData[[#This Row],[picking_time_seconds]]&gt;=60,"Average","Fast"))</f>
        <v>Average</v>
      </c>
    </row>
    <row r="2518" spans="1:31" x14ac:dyDescent="0.25">
      <c r="A2518" t="s">
        <v>2656</v>
      </c>
      <c r="B2518" t="s">
        <v>32</v>
      </c>
      <c r="C2518">
        <v>147</v>
      </c>
      <c r="D2518">
        <v>10</v>
      </c>
      <c r="E2518">
        <v>14</v>
      </c>
      <c r="F2518">
        <v>2</v>
      </c>
      <c r="G2518">
        <v>14.5</v>
      </c>
      <c r="H2518">
        <v>9.6199999999999992</v>
      </c>
      <c r="I2518">
        <v>0.8</v>
      </c>
      <c r="J2518" t="s">
        <v>66</v>
      </c>
      <c r="K2518" t="s">
        <v>52</v>
      </c>
      <c r="L2518">
        <v>35</v>
      </c>
      <c r="M2518">
        <v>2.83</v>
      </c>
      <c r="N2518">
        <v>48</v>
      </c>
      <c r="O2518">
        <v>1.86</v>
      </c>
      <c r="P2518">
        <v>1</v>
      </c>
      <c r="Q2518">
        <v>0.87</v>
      </c>
      <c r="R2518">
        <v>682</v>
      </c>
      <c r="S2518">
        <v>8.3000000000000007</v>
      </c>
      <c r="T2518">
        <v>0.61</v>
      </c>
      <c r="U2518" s="1">
        <v>45585</v>
      </c>
      <c r="V2518">
        <v>261.83</v>
      </c>
      <c r="W2518">
        <v>0.60099999999999998</v>
      </c>
      <c r="X2518" t="str">
        <f>IF(WarehouseData[[#This Row],[stock_level]]&lt;=WarehouseData[[#This Row],[reorder_point]],"Low Stock","Sufficient Stock")</f>
        <v>Sufficient Stock</v>
      </c>
      <c r="Y2518">
        <f>WarehouseData[[#This Row],[daily_demand]]*WarehouseData[[#This Row],[lead_time_days]]</f>
        <v>29</v>
      </c>
      <c r="Z2518" t="str">
        <f>IF(WarehouseData[[#This Row],[stock_level]]&lt;=WarehouseData[[#This Row],[Demand During Lead Time]],"At Risk","Safe")</f>
        <v>Safe</v>
      </c>
      <c r="AA2518">
        <f>WarehouseData[[#This Row],[stock_level]]/WarehouseData[[#This Row],[daily_demand]]</f>
        <v>10.137931034482758</v>
      </c>
      <c r="AB2518">
        <f>WarehouseData[[#This Row],[stock_level]]*WarehouseData[[#This Row],[unit_price]]</f>
        <v>7056</v>
      </c>
      <c r="AC2518">
        <f>WarehouseData[[#This Row],[stock_level]]*WarehouseData[[#This Row],[holding_cost_per_unit_day]]*30</f>
        <v>8202.6</v>
      </c>
      <c r="AD2518" t="str">
        <f>IF(WarehouseData[[#This Row],[order_fulfillment_rate]]&gt;=0.9,"Strong",IF(WarehouseData[[#This Row],[order_fulfillment_rate]]&gt;=0.8,"Moderate","Needs Attention"))</f>
        <v>Moderate</v>
      </c>
      <c r="AE2518" t="str">
        <f>IF(WarehouseData[[#This Row],[picking_time_seconds]]&gt;120,"Slow",IF(WarehouseData[[#This Row],[picking_time_seconds]]&gt;=60,"Average","Fast"))</f>
        <v>Fast</v>
      </c>
    </row>
    <row r="2519" spans="1:31" x14ac:dyDescent="0.25">
      <c r="A2519" t="s">
        <v>2657</v>
      </c>
      <c r="B2519" t="s">
        <v>32</v>
      </c>
      <c r="C2519">
        <v>417</v>
      </c>
      <c r="D2519">
        <v>60</v>
      </c>
      <c r="E2519">
        <v>3</v>
      </c>
      <c r="F2519">
        <v>6</v>
      </c>
      <c r="G2519">
        <v>19.7</v>
      </c>
      <c r="H2519">
        <v>2.64</v>
      </c>
      <c r="I2519">
        <v>0.12</v>
      </c>
      <c r="J2519" t="s">
        <v>251</v>
      </c>
      <c r="K2519" t="s">
        <v>38</v>
      </c>
      <c r="L2519">
        <v>179</v>
      </c>
      <c r="M2519">
        <v>2.29</v>
      </c>
      <c r="N2519">
        <v>175.66</v>
      </c>
      <c r="O2519">
        <v>0.2</v>
      </c>
      <c r="P2519">
        <v>2</v>
      </c>
      <c r="Q2519">
        <v>0.74</v>
      </c>
      <c r="R2519">
        <v>294</v>
      </c>
      <c r="S2519">
        <v>12.58</v>
      </c>
      <c r="T2519">
        <v>0.41</v>
      </c>
      <c r="U2519" s="1">
        <v>45597</v>
      </c>
      <c r="V2519">
        <v>243.82</v>
      </c>
      <c r="W2519">
        <v>0.73799999999999999</v>
      </c>
      <c r="X2519" t="str">
        <f>IF(WarehouseData[[#This Row],[stock_level]]&lt;=WarehouseData[[#This Row],[reorder_point]],"Low Stock","Sufficient Stock")</f>
        <v>Sufficient Stock</v>
      </c>
      <c r="Y2519">
        <f>WarehouseData[[#This Row],[daily_demand]]*WarehouseData[[#This Row],[lead_time_days]]</f>
        <v>118.19999999999999</v>
      </c>
      <c r="Z2519" t="str">
        <f>IF(WarehouseData[[#This Row],[stock_level]]&lt;=WarehouseData[[#This Row],[Demand During Lead Time]],"At Risk","Safe")</f>
        <v>Safe</v>
      </c>
      <c r="AA2519">
        <f>WarehouseData[[#This Row],[stock_level]]/WarehouseData[[#This Row],[daily_demand]]</f>
        <v>21.167512690355331</v>
      </c>
      <c r="AB2519">
        <f>WarehouseData[[#This Row],[stock_level]]*WarehouseData[[#This Row],[unit_price]]</f>
        <v>73250.22</v>
      </c>
      <c r="AC2519">
        <f>WarehouseData[[#This Row],[stock_level]]*WarehouseData[[#This Row],[holding_cost_per_unit_day]]*30</f>
        <v>2502</v>
      </c>
      <c r="AD2519" t="str">
        <f>IF(WarehouseData[[#This Row],[order_fulfillment_rate]]&gt;=0.9,"Strong",IF(WarehouseData[[#This Row],[order_fulfillment_rate]]&gt;=0.8,"Moderate","Needs Attention"))</f>
        <v>Needs Attention</v>
      </c>
      <c r="AE2519" t="str">
        <f>IF(WarehouseData[[#This Row],[picking_time_seconds]]&gt;120,"Slow",IF(WarehouseData[[#This Row],[picking_time_seconds]]&gt;=60,"Average","Fast"))</f>
        <v>Slow</v>
      </c>
    </row>
    <row r="2520" spans="1:31" x14ac:dyDescent="0.25">
      <c r="A2520" t="s">
        <v>2658</v>
      </c>
      <c r="B2520" t="s">
        <v>32</v>
      </c>
      <c r="C2520">
        <v>440</v>
      </c>
      <c r="D2520">
        <v>14</v>
      </c>
      <c r="E2520">
        <v>6</v>
      </c>
      <c r="F2520">
        <v>9</v>
      </c>
      <c r="G2520">
        <v>19.37</v>
      </c>
      <c r="H2520">
        <v>7.39</v>
      </c>
      <c r="I2520">
        <v>0.56999999999999995</v>
      </c>
      <c r="J2520" t="s">
        <v>113</v>
      </c>
      <c r="K2520" t="s">
        <v>46</v>
      </c>
      <c r="L2520">
        <v>100</v>
      </c>
      <c r="M2520">
        <v>3.02</v>
      </c>
      <c r="N2520">
        <v>185.21</v>
      </c>
      <c r="O2520">
        <v>0.42</v>
      </c>
      <c r="P2520">
        <v>7</v>
      </c>
      <c r="Q2520">
        <v>0.9</v>
      </c>
      <c r="R2520">
        <v>919</v>
      </c>
      <c r="S2520">
        <v>8.6199999999999992</v>
      </c>
      <c r="T2520">
        <v>0.41</v>
      </c>
      <c r="U2520" s="1">
        <v>45493</v>
      </c>
      <c r="V2520">
        <v>62.98</v>
      </c>
      <c r="W2520">
        <v>0.59499999999999997</v>
      </c>
      <c r="X2520" t="str">
        <f>IF(WarehouseData[[#This Row],[stock_level]]&lt;=WarehouseData[[#This Row],[reorder_point]],"Low Stock","Sufficient Stock")</f>
        <v>Sufficient Stock</v>
      </c>
      <c r="Y2520">
        <f>WarehouseData[[#This Row],[daily_demand]]*WarehouseData[[#This Row],[lead_time_days]]</f>
        <v>174.33</v>
      </c>
      <c r="Z2520" t="str">
        <f>IF(WarehouseData[[#This Row],[stock_level]]&lt;=WarehouseData[[#This Row],[Demand During Lead Time]],"At Risk","Safe")</f>
        <v>Safe</v>
      </c>
      <c r="AA2520">
        <f>WarehouseData[[#This Row],[stock_level]]/WarehouseData[[#This Row],[daily_demand]]</f>
        <v>22.715539494062984</v>
      </c>
      <c r="AB2520">
        <f>WarehouseData[[#This Row],[stock_level]]*WarehouseData[[#This Row],[unit_price]]</f>
        <v>81492.400000000009</v>
      </c>
      <c r="AC2520">
        <f>WarehouseData[[#This Row],[stock_level]]*WarehouseData[[#This Row],[holding_cost_per_unit_day]]*30</f>
        <v>5543.9999999999991</v>
      </c>
      <c r="AD2520" t="str">
        <f>IF(WarehouseData[[#This Row],[order_fulfillment_rate]]&gt;=0.9,"Strong",IF(WarehouseData[[#This Row],[order_fulfillment_rate]]&gt;=0.8,"Moderate","Needs Attention"))</f>
        <v>Strong</v>
      </c>
      <c r="AE2520" t="str">
        <f>IF(WarehouseData[[#This Row],[picking_time_seconds]]&gt;120,"Slow",IF(WarehouseData[[#This Row],[picking_time_seconds]]&gt;=60,"Average","Fast"))</f>
        <v>Average</v>
      </c>
    </row>
    <row r="2521" spans="1:31" x14ac:dyDescent="0.25">
      <c r="A2521" t="s">
        <v>2659</v>
      </c>
      <c r="B2521" t="s">
        <v>73</v>
      </c>
      <c r="C2521">
        <v>387</v>
      </c>
      <c r="D2521">
        <v>22</v>
      </c>
      <c r="E2521">
        <v>12</v>
      </c>
      <c r="F2521">
        <v>8</v>
      </c>
      <c r="G2521">
        <v>12.97</v>
      </c>
      <c r="H2521">
        <v>5.54</v>
      </c>
      <c r="I2521">
        <v>0.15</v>
      </c>
      <c r="J2521" t="s">
        <v>196</v>
      </c>
      <c r="K2521" t="s">
        <v>52</v>
      </c>
      <c r="L2521">
        <v>47</v>
      </c>
      <c r="M2521">
        <v>2.31</v>
      </c>
      <c r="N2521">
        <v>129.08000000000001</v>
      </c>
      <c r="O2521">
        <v>0.16</v>
      </c>
      <c r="P2521">
        <v>3</v>
      </c>
      <c r="Q2521">
        <v>0.76</v>
      </c>
      <c r="R2521">
        <v>139</v>
      </c>
      <c r="S2521">
        <v>7.26</v>
      </c>
      <c r="T2521">
        <v>0.9</v>
      </c>
      <c r="U2521" s="1">
        <v>45567</v>
      </c>
      <c r="V2521">
        <v>253.05</v>
      </c>
      <c r="W2521">
        <v>0.753</v>
      </c>
      <c r="X2521" t="str">
        <f>IF(WarehouseData[[#This Row],[stock_level]]&lt;=WarehouseData[[#This Row],[reorder_point]],"Low Stock","Sufficient Stock")</f>
        <v>Sufficient Stock</v>
      </c>
      <c r="Y2521">
        <f>WarehouseData[[#This Row],[daily_demand]]*WarehouseData[[#This Row],[lead_time_days]]</f>
        <v>103.76</v>
      </c>
      <c r="Z2521" t="str">
        <f>IF(WarehouseData[[#This Row],[stock_level]]&lt;=WarehouseData[[#This Row],[Demand During Lead Time]],"At Risk","Safe")</f>
        <v>Safe</v>
      </c>
      <c r="AA2521">
        <f>WarehouseData[[#This Row],[stock_level]]/WarehouseData[[#This Row],[daily_demand]]</f>
        <v>29.838087895142635</v>
      </c>
      <c r="AB2521">
        <f>WarehouseData[[#This Row],[stock_level]]*WarehouseData[[#This Row],[unit_price]]</f>
        <v>49953.960000000006</v>
      </c>
      <c r="AC2521">
        <f>WarehouseData[[#This Row],[stock_level]]*WarehouseData[[#This Row],[holding_cost_per_unit_day]]*30</f>
        <v>1857.6000000000001</v>
      </c>
      <c r="AD2521" t="str">
        <f>IF(WarehouseData[[#This Row],[order_fulfillment_rate]]&gt;=0.9,"Strong",IF(WarehouseData[[#This Row],[order_fulfillment_rate]]&gt;=0.8,"Moderate","Needs Attention"))</f>
        <v>Needs Attention</v>
      </c>
      <c r="AE2521" t="str">
        <f>IF(WarehouseData[[#This Row],[picking_time_seconds]]&gt;120,"Slow",IF(WarehouseData[[#This Row],[picking_time_seconds]]&gt;=60,"Average","Fast"))</f>
        <v>Fast</v>
      </c>
    </row>
    <row r="2522" spans="1:31" x14ac:dyDescent="0.25">
      <c r="A2522" t="s">
        <v>2660</v>
      </c>
      <c r="B2522" t="s">
        <v>32</v>
      </c>
      <c r="C2522">
        <v>482</v>
      </c>
      <c r="D2522">
        <v>28</v>
      </c>
      <c r="E2522">
        <v>5</v>
      </c>
      <c r="F2522">
        <v>9</v>
      </c>
      <c r="G2522">
        <v>22.1</v>
      </c>
      <c r="H2522">
        <v>2.54</v>
      </c>
      <c r="I2522">
        <v>0.6</v>
      </c>
      <c r="J2522" t="s">
        <v>163</v>
      </c>
      <c r="K2522" t="s">
        <v>46</v>
      </c>
      <c r="L2522">
        <v>163</v>
      </c>
      <c r="M2522">
        <v>1.58</v>
      </c>
      <c r="N2522">
        <v>164.12</v>
      </c>
      <c r="O2522">
        <v>1.0900000000000001</v>
      </c>
      <c r="P2522">
        <v>7</v>
      </c>
      <c r="Q2522">
        <v>0.71</v>
      </c>
      <c r="R2522">
        <v>527</v>
      </c>
      <c r="S2522">
        <v>6.2</v>
      </c>
      <c r="T2522">
        <v>0.45</v>
      </c>
      <c r="U2522" s="1">
        <v>45572</v>
      </c>
      <c r="V2522">
        <v>142.04</v>
      </c>
      <c r="W2522">
        <v>0.46600000000000003</v>
      </c>
      <c r="X2522" t="str">
        <f>IF(WarehouseData[[#This Row],[stock_level]]&lt;=WarehouseData[[#This Row],[reorder_point]],"Low Stock","Sufficient Stock")</f>
        <v>Sufficient Stock</v>
      </c>
      <c r="Y2522">
        <f>WarehouseData[[#This Row],[daily_demand]]*WarehouseData[[#This Row],[lead_time_days]]</f>
        <v>198.9</v>
      </c>
      <c r="Z2522" t="str">
        <f>IF(WarehouseData[[#This Row],[stock_level]]&lt;=WarehouseData[[#This Row],[Demand During Lead Time]],"At Risk","Safe")</f>
        <v>Safe</v>
      </c>
      <c r="AA2522">
        <f>WarehouseData[[#This Row],[stock_level]]/WarehouseData[[#This Row],[daily_demand]]</f>
        <v>21.809954751131219</v>
      </c>
      <c r="AB2522">
        <f>WarehouseData[[#This Row],[stock_level]]*WarehouseData[[#This Row],[unit_price]]</f>
        <v>79105.84</v>
      </c>
      <c r="AC2522">
        <f>WarehouseData[[#This Row],[stock_level]]*WarehouseData[[#This Row],[holding_cost_per_unit_day]]*30</f>
        <v>15761.4</v>
      </c>
      <c r="AD2522" t="str">
        <f>IF(WarehouseData[[#This Row],[order_fulfillment_rate]]&gt;=0.9,"Strong",IF(WarehouseData[[#This Row],[order_fulfillment_rate]]&gt;=0.8,"Moderate","Needs Attention"))</f>
        <v>Needs Attention</v>
      </c>
      <c r="AE2522" t="str">
        <f>IF(WarehouseData[[#This Row],[picking_time_seconds]]&gt;120,"Slow",IF(WarehouseData[[#This Row],[picking_time_seconds]]&gt;=60,"Average","Fast"))</f>
        <v>Slow</v>
      </c>
    </row>
    <row r="2523" spans="1:31" x14ac:dyDescent="0.25">
      <c r="A2523" t="s">
        <v>2661</v>
      </c>
      <c r="B2523" t="s">
        <v>73</v>
      </c>
      <c r="C2523">
        <v>258</v>
      </c>
      <c r="D2523">
        <v>21</v>
      </c>
      <c r="E2523">
        <v>12</v>
      </c>
      <c r="F2523">
        <v>6</v>
      </c>
      <c r="G2523">
        <v>24.19</v>
      </c>
      <c r="H2523">
        <v>2.35</v>
      </c>
      <c r="I2523">
        <v>0.75</v>
      </c>
      <c r="J2523" t="s">
        <v>150</v>
      </c>
      <c r="K2523" t="s">
        <v>38</v>
      </c>
      <c r="L2523">
        <v>68</v>
      </c>
      <c r="M2523">
        <v>1.96</v>
      </c>
      <c r="N2523">
        <v>197.46</v>
      </c>
      <c r="O2523">
        <v>1.89</v>
      </c>
      <c r="P2523">
        <v>3</v>
      </c>
      <c r="Q2523">
        <v>0.95</v>
      </c>
      <c r="R2523">
        <v>701</v>
      </c>
      <c r="S2523">
        <v>3.43</v>
      </c>
      <c r="T2523">
        <v>0.22</v>
      </c>
      <c r="U2523" s="1">
        <v>45335</v>
      </c>
      <c r="V2523">
        <v>70.72</v>
      </c>
      <c r="W2523">
        <v>0.43099999999999999</v>
      </c>
      <c r="X2523" t="str">
        <f>IF(WarehouseData[[#This Row],[stock_level]]&lt;=WarehouseData[[#This Row],[reorder_point]],"Low Stock","Sufficient Stock")</f>
        <v>Sufficient Stock</v>
      </c>
      <c r="Y2523">
        <f>WarehouseData[[#This Row],[daily_demand]]*WarehouseData[[#This Row],[lead_time_days]]</f>
        <v>145.14000000000001</v>
      </c>
      <c r="Z2523" t="str">
        <f>IF(WarehouseData[[#This Row],[stock_level]]&lt;=WarehouseData[[#This Row],[Demand During Lead Time]],"At Risk","Safe")</f>
        <v>Safe</v>
      </c>
      <c r="AA2523">
        <f>WarehouseData[[#This Row],[stock_level]]/WarehouseData[[#This Row],[daily_demand]]</f>
        <v>10.665564282761471</v>
      </c>
      <c r="AB2523">
        <f>WarehouseData[[#This Row],[stock_level]]*WarehouseData[[#This Row],[unit_price]]</f>
        <v>50944.68</v>
      </c>
      <c r="AC2523">
        <f>WarehouseData[[#This Row],[stock_level]]*WarehouseData[[#This Row],[holding_cost_per_unit_day]]*30</f>
        <v>14628.599999999999</v>
      </c>
      <c r="AD2523" t="str">
        <f>IF(WarehouseData[[#This Row],[order_fulfillment_rate]]&gt;=0.9,"Strong",IF(WarehouseData[[#This Row],[order_fulfillment_rate]]&gt;=0.8,"Moderate","Needs Attention"))</f>
        <v>Strong</v>
      </c>
      <c r="AE2523" t="str">
        <f>IF(WarehouseData[[#This Row],[picking_time_seconds]]&gt;120,"Slow",IF(WarehouseData[[#This Row],[picking_time_seconds]]&gt;=60,"Average","Fast"))</f>
        <v>Average</v>
      </c>
    </row>
    <row r="2524" spans="1:31" x14ac:dyDescent="0.25">
      <c r="A2524" t="s">
        <v>2662</v>
      </c>
      <c r="B2524" t="s">
        <v>32</v>
      </c>
      <c r="C2524">
        <v>343</v>
      </c>
      <c r="D2524">
        <v>57</v>
      </c>
      <c r="E2524">
        <v>14</v>
      </c>
      <c r="F2524">
        <v>7</v>
      </c>
      <c r="G2524">
        <v>37.47</v>
      </c>
      <c r="H2524">
        <v>1.27</v>
      </c>
      <c r="I2524">
        <v>0.21</v>
      </c>
      <c r="J2524" t="s">
        <v>289</v>
      </c>
      <c r="K2524" t="s">
        <v>46</v>
      </c>
      <c r="L2524">
        <v>136</v>
      </c>
      <c r="M2524">
        <v>1.55</v>
      </c>
      <c r="N2524">
        <v>126.81</v>
      </c>
      <c r="O2524">
        <v>1.69</v>
      </c>
      <c r="P2524">
        <v>6</v>
      </c>
      <c r="Q2524">
        <v>0.8</v>
      </c>
      <c r="R2524">
        <v>161</v>
      </c>
      <c r="S2524">
        <v>9.18</v>
      </c>
      <c r="T2524">
        <v>0.63</v>
      </c>
      <c r="U2524" s="1">
        <v>45448</v>
      </c>
      <c r="V2524">
        <v>297.36</v>
      </c>
      <c r="W2524">
        <v>0.51900000000000002</v>
      </c>
      <c r="X2524" t="str">
        <f>IF(WarehouseData[[#This Row],[stock_level]]&lt;=WarehouseData[[#This Row],[reorder_point]],"Low Stock","Sufficient Stock")</f>
        <v>Sufficient Stock</v>
      </c>
      <c r="Y2524">
        <f>WarehouseData[[#This Row],[daily_demand]]*WarehouseData[[#This Row],[lead_time_days]]</f>
        <v>262.28999999999996</v>
      </c>
      <c r="Z2524" t="str">
        <f>IF(WarehouseData[[#This Row],[stock_level]]&lt;=WarehouseData[[#This Row],[Demand During Lead Time]],"At Risk","Safe")</f>
        <v>Safe</v>
      </c>
      <c r="AA2524">
        <f>WarehouseData[[#This Row],[stock_level]]/WarehouseData[[#This Row],[daily_demand]]</f>
        <v>9.1539898585535102</v>
      </c>
      <c r="AB2524">
        <f>WarehouseData[[#This Row],[stock_level]]*WarehouseData[[#This Row],[unit_price]]</f>
        <v>43495.83</v>
      </c>
      <c r="AC2524">
        <f>WarehouseData[[#This Row],[stock_level]]*WarehouseData[[#This Row],[holding_cost_per_unit_day]]*30</f>
        <v>17390.099999999999</v>
      </c>
      <c r="AD2524" t="str">
        <f>IF(WarehouseData[[#This Row],[order_fulfillment_rate]]&gt;=0.9,"Strong",IF(WarehouseData[[#This Row],[order_fulfillment_rate]]&gt;=0.8,"Moderate","Needs Attention"))</f>
        <v>Moderate</v>
      </c>
      <c r="AE2524" t="str">
        <f>IF(WarehouseData[[#This Row],[picking_time_seconds]]&gt;120,"Slow",IF(WarehouseData[[#This Row],[picking_time_seconds]]&gt;=60,"Average","Fast"))</f>
        <v>Slow</v>
      </c>
    </row>
    <row r="2525" spans="1:31" x14ac:dyDescent="0.25">
      <c r="A2525" t="s">
        <v>2663</v>
      </c>
      <c r="B2525" t="s">
        <v>36</v>
      </c>
      <c r="C2525">
        <v>315</v>
      </c>
      <c r="D2525">
        <v>34</v>
      </c>
      <c r="E2525">
        <v>7</v>
      </c>
      <c r="F2525">
        <v>2</v>
      </c>
      <c r="G2525">
        <v>38.49</v>
      </c>
      <c r="H2525">
        <v>8.06</v>
      </c>
      <c r="I2525">
        <v>0.73</v>
      </c>
      <c r="J2525" t="s">
        <v>81</v>
      </c>
      <c r="K2525" t="s">
        <v>38</v>
      </c>
      <c r="L2525">
        <v>33</v>
      </c>
      <c r="M2525">
        <v>1.71</v>
      </c>
      <c r="N2525">
        <v>182.67</v>
      </c>
      <c r="O2525">
        <v>1.32</v>
      </c>
      <c r="P2525">
        <v>5</v>
      </c>
      <c r="Q2525">
        <v>0.73</v>
      </c>
      <c r="R2525">
        <v>956</v>
      </c>
      <c r="S2525">
        <v>8.6199999999999992</v>
      </c>
      <c r="T2525">
        <v>0.98</v>
      </c>
      <c r="U2525" s="1">
        <v>45399</v>
      </c>
      <c r="V2525">
        <v>59.9</v>
      </c>
      <c r="W2525">
        <v>0.625</v>
      </c>
      <c r="X2525" t="str">
        <f>IF(WarehouseData[[#This Row],[stock_level]]&lt;=WarehouseData[[#This Row],[reorder_point]],"Low Stock","Sufficient Stock")</f>
        <v>Sufficient Stock</v>
      </c>
      <c r="Y2525">
        <f>WarehouseData[[#This Row],[daily_demand]]*WarehouseData[[#This Row],[lead_time_days]]</f>
        <v>76.98</v>
      </c>
      <c r="Z2525" t="str">
        <f>IF(WarehouseData[[#This Row],[stock_level]]&lt;=WarehouseData[[#This Row],[Demand During Lead Time]],"At Risk","Safe")</f>
        <v>Safe</v>
      </c>
      <c r="AA2525">
        <f>WarehouseData[[#This Row],[stock_level]]/WarehouseData[[#This Row],[daily_demand]]</f>
        <v>8.1839438815276697</v>
      </c>
      <c r="AB2525">
        <f>WarehouseData[[#This Row],[stock_level]]*WarehouseData[[#This Row],[unit_price]]</f>
        <v>57541.049999999996</v>
      </c>
      <c r="AC2525">
        <f>WarehouseData[[#This Row],[stock_level]]*WarehouseData[[#This Row],[holding_cost_per_unit_day]]*30</f>
        <v>12474</v>
      </c>
      <c r="AD2525" t="str">
        <f>IF(WarehouseData[[#This Row],[order_fulfillment_rate]]&gt;=0.9,"Strong",IF(WarehouseData[[#This Row],[order_fulfillment_rate]]&gt;=0.8,"Moderate","Needs Attention"))</f>
        <v>Needs Attention</v>
      </c>
      <c r="AE2525" t="str">
        <f>IF(WarehouseData[[#This Row],[picking_time_seconds]]&gt;120,"Slow",IF(WarehouseData[[#This Row],[picking_time_seconds]]&gt;=60,"Average","Fast"))</f>
        <v>Fast</v>
      </c>
    </row>
    <row r="2526" spans="1:31" x14ac:dyDescent="0.25">
      <c r="A2526" t="s">
        <v>2664</v>
      </c>
      <c r="B2526" t="s">
        <v>32</v>
      </c>
      <c r="C2526">
        <v>206</v>
      </c>
      <c r="D2526">
        <v>66</v>
      </c>
      <c r="E2526">
        <v>12</v>
      </c>
      <c r="F2526">
        <v>5</v>
      </c>
      <c r="G2526">
        <v>8.77</v>
      </c>
      <c r="H2526">
        <v>3.58</v>
      </c>
      <c r="I2526">
        <v>0.5</v>
      </c>
      <c r="J2526" t="s">
        <v>110</v>
      </c>
      <c r="K2526" t="s">
        <v>52</v>
      </c>
      <c r="L2526">
        <v>120</v>
      </c>
      <c r="M2526">
        <v>0.92</v>
      </c>
      <c r="N2526">
        <v>78.260000000000005</v>
      </c>
      <c r="O2526">
        <v>0.45</v>
      </c>
      <c r="P2526">
        <v>9</v>
      </c>
      <c r="Q2526">
        <v>0.95</v>
      </c>
      <c r="R2526">
        <v>999</v>
      </c>
      <c r="S2526">
        <v>14.66</v>
      </c>
      <c r="T2526">
        <v>0.26</v>
      </c>
      <c r="U2526" s="1">
        <v>45468</v>
      </c>
      <c r="V2526">
        <v>277.36</v>
      </c>
      <c r="W2526">
        <v>0.61199999999999999</v>
      </c>
      <c r="X2526" t="str">
        <f>IF(WarehouseData[[#This Row],[stock_level]]&lt;=WarehouseData[[#This Row],[reorder_point]],"Low Stock","Sufficient Stock")</f>
        <v>Sufficient Stock</v>
      </c>
      <c r="Y2526">
        <f>WarehouseData[[#This Row],[daily_demand]]*WarehouseData[[#This Row],[lead_time_days]]</f>
        <v>43.849999999999994</v>
      </c>
      <c r="Z2526" t="str">
        <f>IF(WarehouseData[[#This Row],[stock_level]]&lt;=WarehouseData[[#This Row],[Demand During Lead Time]],"At Risk","Safe")</f>
        <v>Safe</v>
      </c>
      <c r="AA2526">
        <f>WarehouseData[[#This Row],[stock_level]]/WarehouseData[[#This Row],[daily_demand]]</f>
        <v>23.489167616875715</v>
      </c>
      <c r="AB2526">
        <f>WarehouseData[[#This Row],[stock_level]]*WarehouseData[[#This Row],[unit_price]]</f>
        <v>16121.560000000001</v>
      </c>
      <c r="AC2526">
        <f>WarehouseData[[#This Row],[stock_level]]*WarehouseData[[#This Row],[holding_cost_per_unit_day]]*30</f>
        <v>2781</v>
      </c>
      <c r="AD2526" t="str">
        <f>IF(WarehouseData[[#This Row],[order_fulfillment_rate]]&gt;=0.9,"Strong",IF(WarehouseData[[#This Row],[order_fulfillment_rate]]&gt;=0.8,"Moderate","Needs Attention"))</f>
        <v>Strong</v>
      </c>
      <c r="AE2526" t="str">
        <f>IF(WarehouseData[[#This Row],[picking_time_seconds]]&gt;120,"Slow",IF(WarehouseData[[#This Row],[picking_time_seconds]]&gt;=60,"Average","Fast"))</f>
        <v>Average</v>
      </c>
    </row>
    <row r="2527" spans="1:31" x14ac:dyDescent="0.25">
      <c r="A2527" t="s">
        <v>2665</v>
      </c>
      <c r="B2527" t="s">
        <v>48</v>
      </c>
      <c r="C2527">
        <v>227</v>
      </c>
      <c r="D2527">
        <v>44</v>
      </c>
      <c r="E2527">
        <v>12</v>
      </c>
      <c r="F2527">
        <v>6</v>
      </c>
      <c r="G2527">
        <v>30.05</v>
      </c>
      <c r="H2527">
        <v>8.64</v>
      </c>
      <c r="I2527">
        <v>0.83</v>
      </c>
      <c r="J2527" t="s">
        <v>228</v>
      </c>
      <c r="K2527" t="s">
        <v>46</v>
      </c>
      <c r="L2527">
        <v>30</v>
      </c>
      <c r="M2527">
        <v>2.42</v>
      </c>
      <c r="N2527">
        <v>143.09</v>
      </c>
      <c r="O2527">
        <v>1.75</v>
      </c>
      <c r="P2527">
        <v>0</v>
      </c>
      <c r="Q2527">
        <v>0.93</v>
      </c>
      <c r="R2527">
        <v>443</v>
      </c>
      <c r="S2527">
        <v>6.77</v>
      </c>
      <c r="T2527">
        <v>0.43</v>
      </c>
      <c r="U2527" s="1">
        <v>45400</v>
      </c>
      <c r="V2527">
        <v>10.15</v>
      </c>
      <c r="W2527">
        <v>0.58699999999999997</v>
      </c>
      <c r="X2527" t="str">
        <f>IF(WarehouseData[[#This Row],[stock_level]]&lt;=WarehouseData[[#This Row],[reorder_point]],"Low Stock","Sufficient Stock")</f>
        <v>Sufficient Stock</v>
      </c>
      <c r="Y2527">
        <f>WarehouseData[[#This Row],[daily_demand]]*WarehouseData[[#This Row],[lead_time_days]]</f>
        <v>180.3</v>
      </c>
      <c r="Z2527" t="str">
        <f>IF(WarehouseData[[#This Row],[stock_level]]&lt;=WarehouseData[[#This Row],[Demand During Lead Time]],"At Risk","Safe")</f>
        <v>Safe</v>
      </c>
      <c r="AA2527">
        <f>WarehouseData[[#This Row],[stock_level]]/WarehouseData[[#This Row],[daily_demand]]</f>
        <v>7.554076539101497</v>
      </c>
      <c r="AB2527">
        <f>WarehouseData[[#This Row],[stock_level]]*WarehouseData[[#This Row],[unit_price]]</f>
        <v>32481.43</v>
      </c>
      <c r="AC2527">
        <f>WarehouseData[[#This Row],[stock_level]]*WarehouseData[[#This Row],[holding_cost_per_unit_day]]*30</f>
        <v>11917.5</v>
      </c>
      <c r="AD2527" t="str">
        <f>IF(WarehouseData[[#This Row],[order_fulfillment_rate]]&gt;=0.9,"Strong",IF(WarehouseData[[#This Row],[order_fulfillment_rate]]&gt;=0.8,"Moderate","Needs Attention"))</f>
        <v>Strong</v>
      </c>
      <c r="AE2527" t="str">
        <f>IF(WarehouseData[[#This Row],[picking_time_seconds]]&gt;120,"Slow",IF(WarehouseData[[#This Row],[picking_time_seconds]]&gt;=60,"Average","Fast"))</f>
        <v>Fast</v>
      </c>
    </row>
    <row r="2528" spans="1:31" x14ac:dyDescent="0.25">
      <c r="A2528" t="s">
        <v>2666</v>
      </c>
      <c r="B2528" t="s">
        <v>32</v>
      </c>
      <c r="C2528">
        <v>239</v>
      </c>
      <c r="D2528">
        <v>85</v>
      </c>
      <c r="E2528">
        <v>8</v>
      </c>
      <c r="F2528">
        <v>9</v>
      </c>
      <c r="G2528">
        <v>44.91</v>
      </c>
      <c r="H2528">
        <v>6.28</v>
      </c>
      <c r="I2528">
        <v>0.57999999999999996</v>
      </c>
      <c r="J2528" t="s">
        <v>131</v>
      </c>
      <c r="K2528" t="s">
        <v>52</v>
      </c>
      <c r="L2528">
        <v>69</v>
      </c>
      <c r="M2528">
        <v>1.56</v>
      </c>
      <c r="N2528">
        <v>20.6</v>
      </c>
      <c r="O2528">
        <v>1.53</v>
      </c>
      <c r="P2528">
        <v>7</v>
      </c>
      <c r="Q2528">
        <v>0.91</v>
      </c>
      <c r="R2528">
        <v>936</v>
      </c>
      <c r="S2528">
        <v>6.9</v>
      </c>
      <c r="T2528">
        <v>0.57999999999999996</v>
      </c>
      <c r="U2528" s="1">
        <v>45503</v>
      </c>
      <c r="V2528">
        <v>137</v>
      </c>
      <c r="W2528">
        <v>0.497</v>
      </c>
      <c r="X2528" t="str">
        <f>IF(WarehouseData[[#This Row],[stock_level]]&lt;=WarehouseData[[#This Row],[reorder_point]],"Low Stock","Sufficient Stock")</f>
        <v>Sufficient Stock</v>
      </c>
      <c r="Y2528">
        <f>WarehouseData[[#This Row],[daily_demand]]*WarehouseData[[#This Row],[lead_time_days]]</f>
        <v>404.18999999999994</v>
      </c>
      <c r="Z2528" t="str">
        <f>IF(WarehouseData[[#This Row],[stock_level]]&lt;=WarehouseData[[#This Row],[Demand During Lead Time]],"At Risk","Safe")</f>
        <v>At Risk</v>
      </c>
      <c r="AA2528">
        <f>WarehouseData[[#This Row],[stock_level]]/WarehouseData[[#This Row],[daily_demand]]</f>
        <v>5.3217546203518156</v>
      </c>
      <c r="AB2528">
        <f>WarehouseData[[#This Row],[stock_level]]*WarehouseData[[#This Row],[unit_price]]</f>
        <v>4923.4000000000005</v>
      </c>
      <c r="AC2528">
        <f>WarehouseData[[#This Row],[stock_level]]*WarehouseData[[#This Row],[holding_cost_per_unit_day]]*30</f>
        <v>10970.1</v>
      </c>
      <c r="AD2528" t="str">
        <f>IF(WarehouseData[[#This Row],[order_fulfillment_rate]]&gt;=0.9,"Strong",IF(WarehouseData[[#This Row],[order_fulfillment_rate]]&gt;=0.8,"Moderate","Needs Attention"))</f>
        <v>Strong</v>
      </c>
      <c r="AE2528" t="str">
        <f>IF(WarehouseData[[#This Row],[picking_time_seconds]]&gt;120,"Slow",IF(WarehouseData[[#This Row],[picking_time_seconds]]&gt;=60,"Average","Fast"))</f>
        <v>Average</v>
      </c>
    </row>
    <row r="2529" spans="1:31" x14ac:dyDescent="0.25">
      <c r="A2529" t="s">
        <v>2667</v>
      </c>
      <c r="B2529" t="s">
        <v>40</v>
      </c>
      <c r="C2529">
        <v>419</v>
      </c>
      <c r="D2529">
        <v>14</v>
      </c>
      <c r="E2529">
        <v>4</v>
      </c>
      <c r="F2529">
        <v>9</v>
      </c>
      <c r="G2529">
        <v>6.33</v>
      </c>
      <c r="H2529">
        <v>6.9</v>
      </c>
      <c r="I2529">
        <v>0.4</v>
      </c>
      <c r="J2529" t="s">
        <v>41</v>
      </c>
      <c r="K2529" t="s">
        <v>34</v>
      </c>
      <c r="L2529">
        <v>99</v>
      </c>
      <c r="M2529">
        <v>2.52</v>
      </c>
      <c r="N2529">
        <v>159.9</v>
      </c>
      <c r="O2529">
        <v>0.61</v>
      </c>
      <c r="P2529">
        <v>5</v>
      </c>
      <c r="Q2529">
        <v>0.97</v>
      </c>
      <c r="R2529">
        <v>289</v>
      </c>
      <c r="S2529">
        <v>3.29</v>
      </c>
      <c r="T2529">
        <v>0.86</v>
      </c>
      <c r="U2529" s="1">
        <v>45622</v>
      </c>
      <c r="V2529">
        <v>18.670000000000002</v>
      </c>
      <c r="W2529">
        <v>0.64900000000000002</v>
      </c>
      <c r="X2529" t="str">
        <f>IF(WarehouseData[[#This Row],[stock_level]]&lt;=WarehouseData[[#This Row],[reorder_point]],"Low Stock","Sufficient Stock")</f>
        <v>Sufficient Stock</v>
      </c>
      <c r="Y2529">
        <f>WarehouseData[[#This Row],[daily_demand]]*WarehouseData[[#This Row],[lead_time_days]]</f>
        <v>56.97</v>
      </c>
      <c r="Z2529" t="str">
        <f>IF(WarehouseData[[#This Row],[stock_level]]&lt;=WarehouseData[[#This Row],[Demand During Lead Time]],"At Risk","Safe")</f>
        <v>Safe</v>
      </c>
      <c r="AA2529">
        <f>WarehouseData[[#This Row],[stock_level]]/WarehouseData[[#This Row],[daily_demand]]</f>
        <v>66.192733017377563</v>
      </c>
      <c r="AB2529">
        <f>WarehouseData[[#This Row],[stock_level]]*WarehouseData[[#This Row],[unit_price]]</f>
        <v>66998.100000000006</v>
      </c>
      <c r="AC2529">
        <f>WarehouseData[[#This Row],[stock_level]]*WarehouseData[[#This Row],[holding_cost_per_unit_day]]*30</f>
        <v>7667.7</v>
      </c>
      <c r="AD2529" t="str">
        <f>IF(WarehouseData[[#This Row],[order_fulfillment_rate]]&gt;=0.9,"Strong",IF(WarehouseData[[#This Row],[order_fulfillment_rate]]&gt;=0.8,"Moderate","Needs Attention"))</f>
        <v>Strong</v>
      </c>
      <c r="AE2529" t="str">
        <f>IF(WarehouseData[[#This Row],[picking_time_seconds]]&gt;120,"Slow",IF(WarehouseData[[#This Row],[picking_time_seconds]]&gt;=60,"Average","Fast"))</f>
        <v>Average</v>
      </c>
    </row>
    <row r="2530" spans="1:31" x14ac:dyDescent="0.25">
      <c r="A2530" t="s">
        <v>2668</v>
      </c>
      <c r="B2530" t="s">
        <v>32</v>
      </c>
      <c r="C2530">
        <v>209</v>
      </c>
      <c r="D2530">
        <v>31</v>
      </c>
      <c r="E2530">
        <v>9</v>
      </c>
      <c r="F2530">
        <v>9</v>
      </c>
      <c r="G2530">
        <v>24.17</v>
      </c>
      <c r="H2530">
        <v>3.27</v>
      </c>
      <c r="I2530">
        <v>0.4</v>
      </c>
      <c r="J2530" t="s">
        <v>142</v>
      </c>
      <c r="K2530" t="s">
        <v>34</v>
      </c>
      <c r="L2530">
        <v>157</v>
      </c>
      <c r="M2530">
        <v>4.0599999999999996</v>
      </c>
      <c r="N2530">
        <v>167.66</v>
      </c>
      <c r="O2530">
        <v>1.63</v>
      </c>
      <c r="P2530">
        <v>1</v>
      </c>
      <c r="Q2530">
        <v>0.85</v>
      </c>
      <c r="R2530">
        <v>321</v>
      </c>
      <c r="S2530">
        <v>9.3699999999999992</v>
      </c>
      <c r="T2530">
        <v>0.42</v>
      </c>
      <c r="U2530" s="1">
        <v>45554</v>
      </c>
      <c r="V2530">
        <v>274.61</v>
      </c>
      <c r="W2530">
        <v>0.59599999999999997</v>
      </c>
      <c r="X2530" t="str">
        <f>IF(WarehouseData[[#This Row],[stock_level]]&lt;=WarehouseData[[#This Row],[reorder_point]],"Low Stock","Sufficient Stock")</f>
        <v>Sufficient Stock</v>
      </c>
      <c r="Y2530">
        <f>WarehouseData[[#This Row],[daily_demand]]*WarehouseData[[#This Row],[lead_time_days]]</f>
        <v>217.53000000000003</v>
      </c>
      <c r="Z2530" t="str">
        <f>IF(WarehouseData[[#This Row],[stock_level]]&lt;=WarehouseData[[#This Row],[Demand During Lead Time]],"At Risk","Safe")</f>
        <v>At Risk</v>
      </c>
      <c r="AA2530">
        <f>WarehouseData[[#This Row],[stock_level]]/WarehouseData[[#This Row],[daily_demand]]</f>
        <v>8.6470831609433176</v>
      </c>
      <c r="AB2530">
        <f>WarehouseData[[#This Row],[stock_level]]*WarehouseData[[#This Row],[unit_price]]</f>
        <v>35040.94</v>
      </c>
      <c r="AC2530">
        <f>WarehouseData[[#This Row],[stock_level]]*WarehouseData[[#This Row],[holding_cost_per_unit_day]]*30</f>
        <v>10220.099999999999</v>
      </c>
      <c r="AD2530" t="str">
        <f>IF(WarehouseData[[#This Row],[order_fulfillment_rate]]&gt;=0.9,"Strong",IF(WarehouseData[[#This Row],[order_fulfillment_rate]]&gt;=0.8,"Moderate","Needs Attention"))</f>
        <v>Moderate</v>
      </c>
      <c r="AE2530" t="str">
        <f>IF(WarehouseData[[#This Row],[picking_time_seconds]]&gt;120,"Slow",IF(WarehouseData[[#This Row],[picking_time_seconds]]&gt;=60,"Average","Fast"))</f>
        <v>Slow</v>
      </c>
    </row>
    <row r="2531" spans="1:31" x14ac:dyDescent="0.25">
      <c r="A2531" t="s">
        <v>2669</v>
      </c>
      <c r="B2531" t="s">
        <v>48</v>
      </c>
      <c r="C2531">
        <v>407</v>
      </c>
      <c r="D2531">
        <v>86</v>
      </c>
      <c r="E2531">
        <v>5</v>
      </c>
      <c r="F2531">
        <v>5</v>
      </c>
      <c r="G2531">
        <v>37.770000000000003</v>
      </c>
      <c r="H2531">
        <v>4.84</v>
      </c>
      <c r="I2531">
        <v>0.91</v>
      </c>
      <c r="J2531" t="s">
        <v>131</v>
      </c>
      <c r="K2531" t="s">
        <v>46</v>
      </c>
      <c r="L2531">
        <v>15</v>
      </c>
      <c r="M2531">
        <v>2.52</v>
      </c>
      <c r="N2531">
        <v>86.22</v>
      </c>
      <c r="O2531">
        <v>1.77</v>
      </c>
      <c r="P2531">
        <v>4</v>
      </c>
      <c r="Q2531">
        <v>0.74</v>
      </c>
      <c r="R2531">
        <v>192</v>
      </c>
      <c r="S2531">
        <v>12.87</v>
      </c>
      <c r="T2531">
        <v>0.47</v>
      </c>
      <c r="U2531" s="1">
        <v>45364</v>
      </c>
      <c r="V2531">
        <v>46.51</v>
      </c>
      <c r="W2531">
        <v>0.55700000000000005</v>
      </c>
      <c r="X2531" t="str">
        <f>IF(WarehouseData[[#This Row],[stock_level]]&lt;=WarehouseData[[#This Row],[reorder_point]],"Low Stock","Sufficient Stock")</f>
        <v>Sufficient Stock</v>
      </c>
      <c r="Y2531">
        <f>WarehouseData[[#This Row],[daily_demand]]*WarehouseData[[#This Row],[lead_time_days]]</f>
        <v>188.85000000000002</v>
      </c>
      <c r="Z2531" t="str">
        <f>IF(WarehouseData[[#This Row],[stock_level]]&lt;=WarehouseData[[#This Row],[Demand During Lead Time]],"At Risk","Safe")</f>
        <v>Safe</v>
      </c>
      <c r="AA2531">
        <f>WarehouseData[[#This Row],[stock_level]]/WarehouseData[[#This Row],[daily_demand]]</f>
        <v>10.775747948106963</v>
      </c>
      <c r="AB2531">
        <f>WarehouseData[[#This Row],[stock_level]]*WarehouseData[[#This Row],[unit_price]]</f>
        <v>35091.54</v>
      </c>
      <c r="AC2531">
        <f>WarehouseData[[#This Row],[stock_level]]*WarehouseData[[#This Row],[holding_cost_per_unit_day]]*30</f>
        <v>21611.7</v>
      </c>
      <c r="AD2531" t="str">
        <f>IF(WarehouseData[[#This Row],[order_fulfillment_rate]]&gt;=0.9,"Strong",IF(WarehouseData[[#This Row],[order_fulfillment_rate]]&gt;=0.8,"Moderate","Needs Attention"))</f>
        <v>Needs Attention</v>
      </c>
      <c r="AE2531" t="str">
        <f>IF(WarehouseData[[#This Row],[picking_time_seconds]]&gt;120,"Slow",IF(WarehouseData[[#This Row],[picking_time_seconds]]&gt;=60,"Average","Fast"))</f>
        <v>Fast</v>
      </c>
    </row>
    <row r="2532" spans="1:31" x14ac:dyDescent="0.25">
      <c r="A2532" t="s">
        <v>2670</v>
      </c>
      <c r="B2532" t="s">
        <v>48</v>
      </c>
      <c r="C2532">
        <v>448</v>
      </c>
      <c r="D2532">
        <v>66</v>
      </c>
      <c r="E2532">
        <v>3</v>
      </c>
      <c r="F2532">
        <v>6</v>
      </c>
      <c r="G2532">
        <v>30.96</v>
      </c>
      <c r="H2532">
        <v>4.42</v>
      </c>
      <c r="I2532">
        <v>0.51</v>
      </c>
      <c r="J2532" t="s">
        <v>190</v>
      </c>
      <c r="K2532" t="s">
        <v>38</v>
      </c>
      <c r="L2532">
        <v>19</v>
      </c>
      <c r="M2532">
        <v>4.8</v>
      </c>
      <c r="N2532">
        <v>131.4</v>
      </c>
      <c r="O2532">
        <v>1.43</v>
      </c>
      <c r="P2532">
        <v>1</v>
      </c>
      <c r="Q2532">
        <v>0.72</v>
      </c>
      <c r="R2532">
        <v>768</v>
      </c>
      <c r="S2532">
        <v>4.47</v>
      </c>
      <c r="T2532">
        <v>0.51</v>
      </c>
      <c r="U2532" s="1">
        <v>45374</v>
      </c>
      <c r="V2532">
        <v>205.2</v>
      </c>
      <c r="W2532">
        <v>0.54300000000000004</v>
      </c>
      <c r="X2532" t="str">
        <f>IF(WarehouseData[[#This Row],[stock_level]]&lt;=WarehouseData[[#This Row],[reorder_point]],"Low Stock","Sufficient Stock")</f>
        <v>Sufficient Stock</v>
      </c>
      <c r="Y2532">
        <f>WarehouseData[[#This Row],[daily_demand]]*WarehouseData[[#This Row],[lead_time_days]]</f>
        <v>185.76</v>
      </c>
      <c r="Z2532" t="str">
        <f>IF(WarehouseData[[#This Row],[stock_level]]&lt;=WarehouseData[[#This Row],[Demand During Lead Time]],"At Risk","Safe")</f>
        <v>Safe</v>
      </c>
      <c r="AA2532">
        <f>WarehouseData[[#This Row],[stock_level]]/WarehouseData[[#This Row],[daily_demand]]</f>
        <v>14.470284237726098</v>
      </c>
      <c r="AB2532">
        <f>WarehouseData[[#This Row],[stock_level]]*WarehouseData[[#This Row],[unit_price]]</f>
        <v>58867.200000000004</v>
      </c>
      <c r="AC2532">
        <f>WarehouseData[[#This Row],[stock_level]]*WarehouseData[[#This Row],[holding_cost_per_unit_day]]*30</f>
        <v>19219.2</v>
      </c>
      <c r="AD2532" t="str">
        <f>IF(WarehouseData[[#This Row],[order_fulfillment_rate]]&gt;=0.9,"Strong",IF(WarehouseData[[#This Row],[order_fulfillment_rate]]&gt;=0.8,"Moderate","Needs Attention"))</f>
        <v>Needs Attention</v>
      </c>
      <c r="AE2532" t="str">
        <f>IF(WarehouseData[[#This Row],[picking_time_seconds]]&gt;120,"Slow",IF(WarehouseData[[#This Row],[picking_time_seconds]]&gt;=60,"Average","Fast"))</f>
        <v>Fast</v>
      </c>
    </row>
    <row r="2533" spans="1:31" x14ac:dyDescent="0.25">
      <c r="A2533" t="s">
        <v>2671</v>
      </c>
      <c r="B2533" t="s">
        <v>73</v>
      </c>
      <c r="C2533">
        <v>365</v>
      </c>
      <c r="D2533">
        <v>56</v>
      </c>
      <c r="E2533">
        <v>12</v>
      </c>
      <c r="F2533">
        <v>9</v>
      </c>
      <c r="G2533">
        <v>5.93</v>
      </c>
      <c r="H2533">
        <v>2.74</v>
      </c>
      <c r="I2533">
        <v>0.47</v>
      </c>
      <c r="J2533" t="s">
        <v>166</v>
      </c>
      <c r="K2533" t="s">
        <v>46</v>
      </c>
      <c r="L2533">
        <v>149</v>
      </c>
      <c r="M2533">
        <v>1.17</v>
      </c>
      <c r="N2533">
        <v>173.09</v>
      </c>
      <c r="O2533">
        <v>0.28999999999999998</v>
      </c>
      <c r="P2533">
        <v>9</v>
      </c>
      <c r="Q2533">
        <v>0.8</v>
      </c>
      <c r="R2533">
        <v>168</v>
      </c>
      <c r="S2533">
        <v>1.1299999999999999</v>
      </c>
      <c r="T2533">
        <v>0.5</v>
      </c>
      <c r="U2533" s="1">
        <v>45386</v>
      </c>
      <c r="V2533">
        <v>193.05</v>
      </c>
      <c r="W2533">
        <v>0.46600000000000003</v>
      </c>
      <c r="X2533" t="str">
        <f>IF(WarehouseData[[#This Row],[stock_level]]&lt;=WarehouseData[[#This Row],[reorder_point]],"Low Stock","Sufficient Stock")</f>
        <v>Sufficient Stock</v>
      </c>
      <c r="Y2533">
        <f>WarehouseData[[#This Row],[daily_demand]]*WarehouseData[[#This Row],[lead_time_days]]</f>
        <v>53.37</v>
      </c>
      <c r="Z2533" t="str">
        <f>IF(WarehouseData[[#This Row],[stock_level]]&lt;=WarehouseData[[#This Row],[Demand During Lead Time]],"At Risk","Safe")</f>
        <v>Safe</v>
      </c>
      <c r="AA2533">
        <f>WarehouseData[[#This Row],[stock_level]]/WarehouseData[[#This Row],[daily_demand]]</f>
        <v>61.551433389544691</v>
      </c>
      <c r="AB2533">
        <f>WarehouseData[[#This Row],[stock_level]]*WarehouseData[[#This Row],[unit_price]]</f>
        <v>63177.85</v>
      </c>
      <c r="AC2533">
        <f>WarehouseData[[#This Row],[stock_level]]*WarehouseData[[#This Row],[holding_cost_per_unit_day]]*30</f>
        <v>3175.5</v>
      </c>
      <c r="AD2533" t="str">
        <f>IF(WarehouseData[[#This Row],[order_fulfillment_rate]]&gt;=0.9,"Strong",IF(WarehouseData[[#This Row],[order_fulfillment_rate]]&gt;=0.8,"Moderate","Needs Attention"))</f>
        <v>Moderate</v>
      </c>
      <c r="AE2533" t="str">
        <f>IF(WarehouseData[[#This Row],[picking_time_seconds]]&gt;120,"Slow",IF(WarehouseData[[#This Row],[picking_time_seconds]]&gt;=60,"Average","Fast"))</f>
        <v>Slow</v>
      </c>
    </row>
    <row r="2534" spans="1:31" x14ac:dyDescent="0.25">
      <c r="A2534" t="s">
        <v>2672</v>
      </c>
      <c r="B2534" t="s">
        <v>36</v>
      </c>
      <c r="C2534">
        <v>303</v>
      </c>
      <c r="D2534">
        <v>63</v>
      </c>
      <c r="E2534">
        <v>5</v>
      </c>
      <c r="F2534">
        <v>5</v>
      </c>
      <c r="G2534">
        <v>20.43</v>
      </c>
      <c r="H2534">
        <v>8.41</v>
      </c>
      <c r="I2534">
        <v>0.14000000000000001</v>
      </c>
      <c r="J2534" t="s">
        <v>154</v>
      </c>
      <c r="K2534" t="s">
        <v>38</v>
      </c>
      <c r="L2534">
        <v>106</v>
      </c>
      <c r="M2534">
        <v>4.33</v>
      </c>
      <c r="N2534">
        <v>177.89</v>
      </c>
      <c r="O2534">
        <v>1.97</v>
      </c>
      <c r="P2534">
        <v>6</v>
      </c>
      <c r="Q2534">
        <v>0.73</v>
      </c>
      <c r="R2534">
        <v>645</v>
      </c>
      <c r="S2534">
        <v>10.68</v>
      </c>
      <c r="T2534">
        <v>0.36</v>
      </c>
      <c r="U2534" s="1">
        <v>45405</v>
      </c>
      <c r="V2534">
        <v>235.93</v>
      </c>
      <c r="W2534">
        <v>0.443</v>
      </c>
      <c r="X2534" t="str">
        <f>IF(WarehouseData[[#This Row],[stock_level]]&lt;=WarehouseData[[#This Row],[reorder_point]],"Low Stock","Sufficient Stock")</f>
        <v>Sufficient Stock</v>
      </c>
      <c r="Y2534">
        <f>WarehouseData[[#This Row],[daily_demand]]*WarehouseData[[#This Row],[lead_time_days]]</f>
        <v>102.15</v>
      </c>
      <c r="Z2534" t="str">
        <f>IF(WarehouseData[[#This Row],[stock_level]]&lt;=WarehouseData[[#This Row],[Demand During Lead Time]],"At Risk","Safe")</f>
        <v>Safe</v>
      </c>
      <c r="AA2534">
        <f>WarehouseData[[#This Row],[stock_level]]/WarehouseData[[#This Row],[daily_demand]]</f>
        <v>14.831130690161528</v>
      </c>
      <c r="AB2534">
        <f>WarehouseData[[#This Row],[stock_level]]*WarehouseData[[#This Row],[unit_price]]</f>
        <v>53900.67</v>
      </c>
      <c r="AC2534">
        <f>WarehouseData[[#This Row],[stock_level]]*WarehouseData[[#This Row],[holding_cost_per_unit_day]]*30</f>
        <v>17907.3</v>
      </c>
      <c r="AD2534" t="str">
        <f>IF(WarehouseData[[#This Row],[order_fulfillment_rate]]&gt;=0.9,"Strong",IF(WarehouseData[[#This Row],[order_fulfillment_rate]]&gt;=0.8,"Moderate","Needs Attention"))</f>
        <v>Needs Attention</v>
      </c>
      <c r="AE2534" t="str">
        <f>IF(WarehouseData[[#This Row],[picking_time_seconds]]&gt;120,"Slow",IF(WarehouseData[[#This Row],[picking_time_seconds]]&gt;=60,"Average","Fast"))</f>
        <v>Average</v>
      </c>
    </row>
    <row r="2535" spans="1:31" x14ac:dyDescent="0.25">
      <c r="A2535" t="s">
        <v>2673</v>
      </c>
      <c r="B2535" t="s">
        <v>32</v>
      </c>
      <c r="C2535">
        <v>371</v>
      </c>
      <c r="D2535">
        <v>12</v>
      </c>
      <c r="E2535">
        <v>11</v>
      </c>
      <c r="F2535">
        <v>8</v>
      </c>
      <c r="G2535">
        <v>25.85</v>
      </c>
      <c r="H2535">
        <v>6.41</v>
      </c>
      <c r="I2535">
        <v>0.43</v>
      </c>
      <c r="J2535" t="s">
        <v>129</v>
      </c>
      <c r="K2535" t="s">
        <v>34</v>
      </c>
      <c r="L2535">
        <v>159</v>
      </c>
      <c r="M2535">
        <v>1.62</v>
      </c>
      <c r="N2535">
        <v>30.24</v>
      </c>
      <c r="O2535">
        <v>0.24</v>
      </c>
      <c r="P2535">
        <v>9</v>
      </c>
      <c r="Q2535">
        <v>0.86</v>
      </c>
      <c r="R2535">
        <v>949</v>
      </c>
      <c r="S2535">
        <v>1.44</v>
      </c>
      <c r="T2535">
        <v>0.93</v>
      </c>
      <c r="U2535" s="1">
        <v>45607</v>
      </c>
      <c r="V2535">
        <v>226.59</v>
      </c>
      <c r="W2535">
        <v>0.57299999999999995</v>
      </c>
      <c r="X2535" t="str">
        <f>IF(WarehouseData[[#This Row],[stock_level]]&lt;=WarehouseData[[#This Row],[reorder_point]],"Low Stock","Sufficient Stock")</f>
        <v>Sufficient Stock</v>
      </c>
      <c r="Y2535">
        <f>WarehouseData[[#This Row],[daily_demand]]*WarehouseData[[#This Row],[lead_time_days]]</f>
        <v>206.8</v>
      </c>
      <c r="Z2535" t="str">
        <f>IF(WarehouseData[[#This Row],[stock_level]]&lt;=WarehouseData[[#This Row],[Demand During Lead Time]],"At Risk","Safe")</f>
        <v>Safe</v>
      </c>
      <c r="AA2535">
        <f>WarehouseData[[#This Row],[stock_level]]/WarehouseData[[#This Row],[daily_demand]]</f>
        <v>14.352030947775628</v>
      </c>
      <c r="AB2535">
        <f>WarehouseData[[#This Row],[stock_level]]*WarehouseData[[#This Row],[unit_price]]</f>
        <v>11219.039999999999</v>
      </c>
      <c r="AC2535">
        <f>WarehouseData[[#This Row],[stock_level]]*WarehouseData[[#This Row],[holding_cost_per_unit_day]]*30</f>
        <v>2671.2</v>
      </c>
      <c r="AD2535" t="str">
        <f>IF(WarehouseData[[#This Row],[order_fulfillment_rate]]&gt;=0.9,"Strong",IF(WarehouseData[[#This Row],[order_fulfillment_rate]]&gt;=0.8,"Moderate","Needs Attention"))</f>
        <v>Moderate</v>
      </c>
      <c r="AE2535" t="str">
        <f>IF(WarehouseData[[#This Row],[picking_time_seconds]]&gt;120,"Slow",IF(WarehouseData[[#This Row],[picking_time_seconds]]&gt;=60,"Average","Fast"))</f>
        <v>Slow</v>
      </c>
    </row>
    <row r="2536" spans="1:31" x14ac:dyDescent="0.25">
      <c r="A2536" t="s">
        <v>2674</v>
      </c>
      <c r="B2536" t="s">
        <v>73</v>
      </c>
      <c r="C2536">
        <v>256</v>
      </c>
      <c r="D2536">
        <v>62</v>
      </c>
      <c r="E2536">
        <v>12</v>
      </c>
      <c r="F2536">
        <v>9</v>
      </c>
      <c r="G2536">
        <v>49.8</v>
      </c>
      <c r="H2536">
        <v>0.86</v>
      </c>
      <c r="I2536">
        <v>0.86</v>
      </c>
      <c r="J2536" t="s">
        <v>90</v>
      </c>
      <c r="K2536" t="s">
        <v>38</v>
      </c>
      <c r="L2536">
        <v>89</v>
      </c>
      <c r="M2536">
        <v>4.7</v>
      </c>
      <c r="N2536">
        <v>167.22</v>
      </c>
      <c r="O2536">
        <v>1.34</v>
      </c>
      <c r="P2536">
        <v>5</v>
      </c>
      <c r="Q2536">
        <v>0.7</v>
      </c>
      <c r="R2536">
        <v>300</v>
      </c>
      <c r="S2536">
        <v>6.73</v>
      </c>
      <c r="T2536">
        <v>0.83</v>
      </c>
      <c r="U2536" s="1">
        <v>45421</v>
      </c>
      <c r="V2536">
        <v>19.41</v>
      </c>
      <c r="W2536">
        <v>0.56200000000000006</v>
      </c>
      <c r="X2536" t="str">
        <f>IF(WarehouseData[[#This Row],[stock_level]]&lt;=WarehouseData[[#This Row],[reorder_point]],"Low Stock","Sufficient Stock")</f>
        <v>Sufficient Stock</v>
      </c>
      <c r="Y2536">
        <f>WarehouseData[[#This Row],[daily_demand]]*WarehouseData[[#This Row],[lead_time_days]]</f>
        <v>448.2</v>
      </c>
      <c r="Z2536" t="str">
        <f>IF(WarehouseData[[#This Row],[stock_level]]&lt;=WarehouseData[[#This Row],[Demand During Lead Time]],"At Risk","Safe")</f>
        <v>At Risk</v>
      </c>
      <c r="AA2536">
        <f>WarehouseData[[#This Row],[stock_level]]/WarehouseData[[#This Row],[daily_demand]]</f>
        <v>5.1405622489959839</v>
      </c>
      <c r="AB2536">
        <f>WarehouseData[[#This Row],[stock_level]]*WarehouseData[[#This Row],[unit_price]]</f>
        <v>42808.32</v>
      </c>
      <c r="AC2536">
        <f>WarehouseData[[#This Row],[stock_level]]*WarehouseData[[#This Row],[holding_cost_per_unit_day]]*30</f>
        <v>10291.200000000001</v>
      </c>
      <c r="AD2536" t="str">
        <f>IF(WarehouseData[[#This Row],[order_fulfillment_rate]]&gt;=0.9,"Strong",IF(WarehouseData[[#This Row],[order_fulfillment_rate]]&gt;=0.8,"Moderate","Needs Attention"))</f>
        <v>Needs Attention</v>
      </c>
      <c r="AE2536" t="str">
        <f>IF(WarehouseData[[#This Row],[picking_time_seconds]]&gt;120,"Slow",IF(WarehouseData[[#This Row],[picking_time_seconds]]&gt;=60,"Average","Fast"))</f>
        <v>Average</v>
      </c>
    </row>
    <row r="2537" spans="1:31" x14ac:dyDescent="0.25">
      <c r="A2537" t="s">
        <v>2675</v>
      </c>
      <c r="B2537" t="s">
        <v>36</v>
      </c>
      <c r="C2537">
        <v>213</v>
      </c>
      <c r="D2537">
        <v>93</v>
      </c>
      <c r="E2537">
        <v>13</v>
      </c>
      <c r="F2537">
        <v>6</v>
      </c>
      <c r="G2537">
        <v>9.75</v>
      </c>
      <c r="H2537">
        <v>8.2899999999999991</v>
      </c>
      <c r="I2537">
        <v>0.78</v>
      </c>
      <c r="J2537" t="s">
        <v>181</v>
      </c>
      <c r="K2537" t="s">
        <v>34</v>
      </c>
      <c r="L2537">
        <v>26</v>
      </c>
      <c r="M2537">
        <v>1.52</v>
      </c>
      <c r="N2537">
        <v>62.11</v>
      </c>
      <c r="O2537">
        <v>0.31</v>
      </c>
      <c r="P2537">
        <v>6</v>
      </c>
      <c r="Q2537">
        <v>0.83</v>
      </c>
      <c r="R2537">
        <v>327</v>
      </c>
      <c r="S2537">
        <v>9.58</v>
      </c>
      <c r="T2537">
        <v>0.98</v>
      </c>
      <c r="U2537" s="1">
        <v>45391</v>
      </c>
      <c r="V2537">
        <v>122.64</v>
      </c>
      <c r="W2537">
        <v>0.73899999999999999</v>
      </c>
      <c r="X2537" t="str">
        <f>IF(WarehouseData[[#This Row],[stock_level]]&lt;=WarehouseData[[#This Row],[reorder_point]],"Low Stock","Sufficient Stock")</f>
        <v>Sufficient Stock</v>
      </c>
      <c r="Y2537">
        <f>WarehouseData[[#This Row],[daily_demand]]*WarehouseData[[#This Row],[lead_time_days]]</f>
        <v>58.5</v>
      </c>
      <c r="Z2537" t="str">
        <f>IF(WarehouseData[[#This Row],[stock_level]]&lt;=WarehouseData[[#This Row],[Demand During Lead Time]],"At Risk","Safe")</f>
        <v>Safe</v>
      </c>
      <c r="AA2537">
        <f>WarehouseData[[#This Row],[stock_level]]/WarehouseData[[#This Row],[daily_demand]]</f>
        <v>21.846153846153847</v>
      </c>
      <c r="AB2537">
        <f>WarehouseData[[#This Row],[stock_level]]*WarehouseData[[#This Row],[unit_price]]</f>
        <v>13229.43</v>
      </c>
      <c r="AC2537">
        <f>WarehouseData[[#This Row],[stock_level]]*WarehouseData[[#This Row],[holding_cost_per_unit_day]]*30</f>
        <v>1980.9</v>
      </c>
      <c r="AD2537" t="str">
        <f>IF(WarehouseData[[#This Row],[order_fulfillment_rate]]&gt;=0.9,"Strong",IF(WarehouseData[[#This Row],[order_fulfillment_rate]]&gt;=0.8,"Moderate","Needs Attention"))</f>
        <v>Moderate</v>
      </c>
      <c r="AE2537" t="str">
        <f>IF(WarehouseData[[#This Row],[picking_time_seconds]]&gt;120,"Slow",IF(WarehouseData[[#This Row],[picking_time_seconds]]&gt;=60,"Average","Fast"))</f>
        <v>Fast</v>
      </c>
    </row>
    <row r="2538" spans="1:31" x14ac:dyDescent="0.25">
      <c r="A2538" t="s">
        <v>2676</v>
      </c>
      <c r="B2538" t="s">
        <v>32</v>
      </c>
      <c r="C2538">
        <v>306</v>
      </c>
      <c r="D2538">
        <v>40</v>
      </c>
      <c r="E2538">
        <v>13</v>
      </c>
      <c r="F2538">
        <v>5</v>
      </c>
      <c r="G2538">
        <v>49.14</v>
      </c>
      <c r="H2538">
        <v>1.51</v>
      </c>
      <c r="I2538">
        <v>0.3</v>
      </c>
      <c r="J2538" t="s">
        <v>166</v>
      </c>
      <c r="K2538" t="s">
        <v>46</v>
      </c>
      <c r="L2538">
        <v>147</v>
      </c>
      <c r="M2538">
        <v>3.86</v>
      </c>
      <c r="N2538">
        <v>148.19</v>
      </c>
      <c r="O2538">
        <v>1.82</v>
      </c>
      <c r="P2538">
        <v>5</v>
      </c>
      <c r="Q2538">
        <v>0.75</v>
      </c>
      <c r="R2538">
        <v>212</v>
      </c>
      <c r="S2538">
        <v>6.4</v>
      </c>
      <c r="T2538">
        <v>0.5</v>
      </c>
      <c r="U2538" s="1">
        <v>45350</v>
      </c>
      <c r="V2538">
        <v>103.53</v>
      </c>
      <c r="W2538">
        <v>0.45300000000000001</v>
      </c>
      <c r="X2538" t="str">
        <f>IF(WarehouseData[[#This Row],[stock_level]]&lt;=WarehouseData[[#This Row],[reorder_point]],"Low Stock","Sufficient Stock")</f>
        <v>Sufficient Stock</v>
      </c>
      <c r="Y2538">
        <f>WarehouseData[[#This Row],[daily_demand]]*WarehouseData[[#This Row],[lead_time_days]]</f>
        <v>245.7</v>
      </c>
      <c r="Z2538" t="str">
        <f>IF(WarehouseData[[#This Row],[stock_level]]&lt;=WarehouseData[[#This Row],[Demand During Lead Time]],"At Risk","Safe")</f>
        <v>Safe</v>
      </c>
      <c r="AA2538">
        <f>WarehouseData[[#This Row],[stock_level]]/WarehouseData[[#This Row],[daily_demand]]</f>
        <v>6.2271062271062272</v>
      </c>
      <c r="AB2538">
        <f>WarehouseData[[#This Row],[stock_level]]*WarehouseData[[#This Row],[unit_price]]</f>
        <v>45346.14</v>
      </c>
      <c r="AC2538">
        <f>WarehouseData[[#This Row],[stock_level]]*WarehouseData[[#This Row],[holding_cost_per_unit_day]]*30</f>
        <v>16707.600000000002</v>
      </c>
      <c r="AD2538" t="str">
        <f>IF(WarehouseData[[#This Row],[order_fulfillment_rate]]&gt;=0.9,"Strong",IF(WarehouseData[[#This Row],[order_fulfillment_rate]]&gt;=0.8,"Moderate","Needs Attention"))</f>
        <v>Needs Attention</v>
      </c>
      <c r="AE2538" t="str">
        <f>IF(WarehouseData[[#This Row],[picking_time_seconds]]&gt;120,"Slow",IF(WarehouseData[[#This Row],[picking_time_seconds]]&gt;=60,"Average","Fast"))</f>
        <v>Slow</v>
      </c>
    </row>
    <row r="2539" spans="1:31" x14ac:dyDescent="0.25">
      <c r="A2539" t="s">
        <v>2677</v>
      </c>
      <c r="B2539" t="s">
        <v>40</v>
      </c>
      <c r="C2539">
        <v>278</v>
      </c>
      <c r="D2539">
        <v>78</v>
      </c>
      <c r="E2539">
        <v>8</v>
      </c>
      <c r="F2539">
        <v>7</v>
      </c>
      <c r="G2539">
        <v>19.43</v>
      </c>
      <c r="H2539">
        <v>4.34</v>
      </c>
      <c r="I2539">
        <v>0.47</v>
      </c>
      <c r="J2539" t="s">
        <v>154</v>
      </c>
      <c r="K2539" t="s">
        <v>52</v>
      </c>
      <c r="L2539">
        <v>149</v>
      </c>
      <c r="M2539">
        <v>0.78</v>
      </c>
      <c r="N2539">
        <v>71.78</v>
      </c>
      <c r="O2539">
        <v>0.76</v>
      </c>
      <c r="P2539">
        <v>9</v>
      </c>
      <c r="Q2539">
        <v>0.81</v>
      </c>
      <c r="R2539">
        <v>703</v>
      </c>
      <c r="S2539">
        <v>4.6500000000000004</v>
      </c>
      <c r="T2539">
        <v>0.24</v>
      </c>
      <c r="U2539" s="1">
        <v>45384</v>
      </c>
      <c r="V2539">
        <v>292.14</v>
      </c>
      <c r="W2539">
        <v>0.41599999999999998</v>
      </c>
      <c r="X2539" t="str">
        <f>IF(WarehouseData[[#This Row],[stock_level]]&lt;=WarehouseData[[#This Row],[reorder_point]],"Low Stock","Sufficient Stock")</f>
        <v>Sufficient Stock</v>
      </c>
      <c r="Y2539">
        <f>WarehouseData[[#This Row],[daily_demand]]*WarehouseData[[#This Row],[lead_time_days]]</f>
        <v>136.01</v>
      </c>
      <c r="Z2539" t="str">
        <f>IF(WarehouseData[[#This Row],[stock_level]]&lt;=WarehouseData[[#This Row],[Demand During Lead Time]],"At Risk","Safe")</f>
        <v>Safe</v>
      </c>
      <c r="AA2539">
        <f>WarehouseData[[#This Row],[stock_level]]/WarehouseData[[#This Row],[daily_demand]]</f>
        <v>14.307771487390633</v>
      </c>
      <c r="AB2539">
        <f>WarehouseData[[#This Row],[stock_level]]*WarehouseData[[#This Row],[unit_price]]</f>
        <v>19954.84</v>
      </c>
      <c r="AC2539">
        <f>WarehouseData[[#This Row],[stock_level]]*WarehouseData[[#This Row],[holding_cost_per_unit_day]]*30</f>
        <v>6338.4</v>
      </c>
      <c r="AD2539" t="str">
        <f>IF(WarehouseData[[#This Row],[order_fulfillment_rate]]&gt;=0.9,"Strong",IF(WarehouseData[[#This Row],[order_fulfillment_rate]]&gt;=0.8,"Moderate","Needs Attention"))</f>
        <v>Moderate</v>
      </c>
      <c r="AE2539" t="str">
        <f>IF(WarehouseData[[#This Row],[picking_time_seconds]]&gt;120,"Slow",IF(WarehouseData[[#This Row],[picking_time_seconds]]&gt;=60,"Average","Fast"))</f>
        <v>Slow</v>
      </c>
    </row>
    <row r="2540" spans="1:31" x14ac:dyDescent="0.25">
      <c r="A2540" t="s">
        <v>2678</v>
      </c>
      <c r="B2540" t="s">
        <v>32</v>
      </c>
      <c r="C2540">
        <v>265</v>
      </c>
      <c r="D2540">
        <v>97</v>
      </c>
      <c r="E2540">
        <v>13</v>
      </c>
      <c r="F2540">
        <v>3</v>
      </c>
      <c r="G2540">
        <v>10.82</v>
      </c>
      <c r="H2540">
        <v>5.93</v>
      </c>
      <c r="I2540">
        <v>0.28000000000000003</v>
      </c>
      <c r="J2540" t="s">
        <v>95</v>
      </c>
      <c r="K2540" t="s">
        <v>52</v>
      </c>
      <c r="L2540">
        <v>92</v>
      </c>
      <c r="M2540">
        <v>3.33</v>
      </c>
      <c r="N2540">
        <v>20.7</v>
      </c>
      <c r="O2540">
        <v>1.07</v>
      </c>
      <c r="P2540">
        <v>0</v>
      </c>
      <c r="Q2540">
        <v>0.9</v>
      </c>
      <c r="R2540">
        <v>399</v>
      </c>
      <c r="S2540">
        <v>12.19</v>
      </c>
      <c r="T2540">
        <v>0.28999999999999998</v>
      </c>
      <c r="U2540" s="1">
        <v>45635</v>
      </c>
      <c r="V2540">
        <v>234.72</v>
      </c>
      <c r="W2540">
        <v>0.69399999999999995</v>
      </c>
      <c r="X2540" t="str">
        <f>IF(WarehouseData[[#This Row],[stock_level]]&lt;=WarehouseData[[#This Row],[reorder_point]],"Low Stock","Sufficient Stock")</f>
        <v>Sufficient Stock</v>
      </c>
      <c r="Y2540">
        <f>WarehouseData[[#This Row],[daily_demand]]*WarehouseData[[#This Row],[lead_time_days]]</f>
        <v>32.46</v>
      </c>
      <c r="Z2540" t="str">
        <f>IF(WarehouseData[[#This Row],[stock_level]]&lt;=WarehouseData[[#This Row],[Demand During Lead Time]],"At Risk","Safe")</f>
        <v>Safe</v>
      </c>
      <c r="AA2540">
        <f>WarehouseData[[#This Row],[stock_level]]/WarehouseData[[#This Row],[daily_demand]]</f>
        <v>24.491682070240294</v>
      </c>
      <c r="AB2540">
        <f>WarehouseData[[#This Row],[stock_level]]*WarehouseData[[#This Row],[unit_price]]</f>
        <v>5485.5</v>
      </c>
      <c r="AC2540">
        <f>WarehouseData[[#This Row],[stock_level]]*WarehouseData[[#This Row],[holding_cost_per_unit_day]]*30</f>
        <v>8506.5</v>
      </c>
      <c r="AD2540" t="str">
        <f>IF(WarehouseData[[#This Row],[order_fulfillment_rate]]&gt;=0.9,"Strong",IF(WarehouseData[[#This Row],[order_fulfillment_rate]]&gt;=0.8,"Moderate","Needs Attention"))</f>
        <v>Strong</v>
      </c>
      <c r="AE2540" t="str">
        <f>IF(WarehouseData[[#This Row],[picking_time_seconds]]&gt;120,"Slow",IF(WarehouseData[[#This Row],[picking_time_seconds]]&gt;=60,"Average","Fast"))</f>
        <v>Average</v>
      </c>
    </row>
    <row r="2541" spans="1:31" x14ac:dyDescent="0.25">
      <c r="A2541" t="s">
        <v>2679</v>
      </c>
      <c r="B2541" t="s">
        <v>48</v>
      </c>
      <c r="C2541">
        <v>155</v>
      </c>
      <c r="D2541">
        <v>42</v>
      </c>
      <c r="E2541">
        <v>8</v>
      </c>
      <c r="F2541">
        <v>5</v>
      </c>
      <c r="G2541">
        <v>21.29</v>
      </c>
      <c r="H2541">
        <v>0.56999999999999995</v>
      </c>
      <c r="I2541">
        <v>0.96</v>
      </c>
      <c r="J2541" t="s">
        <v>150</v>
      </c>
      <c r="K2541" t="s">
        <v>52</v>
      </c>
      <c r="L2541">
        <v>49</v>
      </c>
      <c r="M2541">
        <v>1.48</v>
      </c>
      <c r="N2541">
        <v>49.88</v>
      </c>
      <c r="O2541">
        <v>0.44</v>
      </c>
      <c r="P2541">
        <v>2</v>
      </c>
      <c r="Q2541">
        <v>0.81</v>
      </c>
      <c r="R2541">
        <v>80</v>
      </c>
      <c r="S2541">
        <v>5.21</v>
      </c>
      <c r="T2541">
        <v>0.49</v>
      </c>
      <c r="U2541" s="1">
        <v>45582</v>
      </c>
      <c r="V2541">
        <v>215.31</v>
      </c>
      <c r="W2541">
        <v>0.64500000000000002</v>
      </c>
      <c r="X2541" t="str">
        <f>IF(WarehouseData[[#This Row],[stock_level]]&lt;=WarehouseData[[#This Row],[reorder_point]],"Low Stock","Sufficient Stock")</f>
        <v>Sufficient Stock</v>
      </c>
      <c r="Y2541">
        <f>WarehouseData[[#This Row],[daily_demand]]*WarehouseData[[#This Row],[lead_time_days]]</f>
        <v>106.44999999999999</v>
      </c>
      <c r="Z2541" t="str">
        <f>IF(WarehouseData[[#This Row],[stock_level]]&lt;=WarehouseData[[#This Row],[Demand During Lead Time]],"At Risk","Safe")</f>
        <v>Safe</v>
      </c>
      <c r="AA2541">
        <f>WarehouseData[[#This Row],[stock_level]]/WarehouseData[[#This Row],[daily_demand]]</f>
        <v>7.2804133395960546</v>
      </c>
      <c r="AB2541">
        <f>WarehouseData[[#This Row],[stock_level]]*WarehouseData[[#This Row],[unit_price]]</f>
        <v>7731.4000000000005</v>
      </c>
      <c r="AC2541">
        <f>WarehouseData[[#This Row],[stock_level]]*WarehouseData[[#This Row],[holding_cost_per_unit_day]]*30</f>
        <v>2046</v>
      </c>
      <c r="AD2541" t="str">
        <f>IF(WarehouseData[[#This Row],[order_fulfillment_rate]]&gt;=0.9,"Strong",IF(WarehouseData[[#This Row],[order_fulfillment_rate]]&gt;=0.8,"Moderate","Needs Attention"))</f>
        <v>Moderate</v>
      </c>
      <c r="AE2541" t="str">
        <f>IF(WarehouseData[[#This Row],[picking_time_seconds]]&gt;120,"Slow",IF(WarehouseData[[#This Row],[picking_time_seconds]]&gt;=60,"Average","Fast"))</f>
        <v>Fast</v>
      </c>
    </row>
    <row r="2542" spans="1:31" x14ac:dyDescent="0.25">
      <c r="A2542" t="s">
        <v>2680</v>
      </c>
      <c r="B2542" t="s">
        <v>48</v>
      </c>
      <c r="C2542">
        <v>299</v>
      </c>
      <c r="D2542">
        <v>81</v>
      </c>
      <c r="E2542">
        <v>6</v>
      </c>
      <c r="F2542">
        <v>3</v>
      </c>
      <c r="G2542">
        <v>31.09</v>
      </c>
      <c r="H2542">
        <v>6.7</v>
      </c>
      <c r="I2542">
        <v>0.64</v>
      </c>
      <c r="J2542" t="s">
        <v>33</v>
      </c>
      <c r="K2542" t="s">
        <v>38</v>
      </c>
      <c r="L2542">
        <v>160</v>
      </c>
      <c r="M2542">
        <v>3.52</v>
      </c>
      <c r="N2542">
        <v>87.65</v>
      </c>
      <c r="O2542">
        <v>1.1399999999999999</v>
      </c>
      <c r="P2542">
        <v>9</v>
      </c>
      <c r="Q2542">
        <v>0.8</v>
      </c>
      <c r="R2542">
        <v>507</v>
      </c>
      <c r="S2542">
        <v>3.52</v>
      </c>
      <c r="T2542">
        <v>0.93</v>
      </c>
      <c r="U2542" s="1">
        <v>45319</v>
      </c>
      <c r="V2542">
        <v>138.22999999999999</v>
      </c>
      <c r="W2542">
        <v>0.499</v>
      </c>
      <c r="X2542" t="str">
        <f>IF(WarehouseData[[#This Row],[stock_level]]&lt;=WarehouseData[[#This Row],[reorder_point]],"Low Stock","Sufficient Stock")</f>
        <v>Sufficient Stock</v>
      </c>
      <c r="Y2542">
        <f>WarehouseData[[#This Row],[daily_demand]]*WarehouseData[[#This Row],[lead_time_days]]</f>
        <v>93.27</v>
      </c>
      <c r="Z2542" t="str">
        <f>IF(WarehouseData[[#This Row],[stock_level]]&lt;=WarehouseData[[#This Row],[Demand During Lead Time]],"At Risk","Safe")</f>
        <v>Safe</v>
      </c>
      <c r="AA2542">
        <f>WarehouseData[[#This Row],[stock_level]]/WarehouseData[[#This Row],[daily_demand]]</f>
        <v>9.6172402701833395</v>
      </c>
      <c r="AB2542">
        <f>WarehouseData[[#This Row],[stock_level]]*WarehouseData[[#This Row],[unit_price]]</f>
        <v>26207.350000000002</v>
      </c>
      <c r="AC2542">
        <f>WarehouseData[[#This Row],[stock_level]]*WarehouseData[[#This Row],[holding_cost_per_unit_day]]*30</f>
        <v>10225.799999999999</v>
      </c>
      <c r="AD2542" t="str">
        <f>IF(WarehouseData[[#This Row],[order_fulfillment_rate]]&gt;=0.9,"Strong",IF(WarehouseData[[#This Row],[order_fulfillment_rate]]&gt;=0.8,"Moderate","Needs Attention"))</f>
        <v>Moderate</v>
      </c>
      <c r="AE2542" t="str">
        <f>IF(WarehouseData[[#This Row],[picking_time_seconds]]&gt;120,"Slow",IF(WarehouseData[[#This Row],[picking_time_seconds]]&gt;=60,"Average","Fast"))</f>
        <v>Slow</v>
      </c>
    </row>
    <row r="2543" spans="1:31" x14ac:dyDescent="0.25">
      <c r="A2543" t="s">
        <v>2681</v>
      </c>
      <c r="B2543" t="s">
        <v>40</v>
      </c>
      <c r="C2543">
        <v>290</v>
      </c>
      <c r="D2543">
        <v>97</v>
      </c>
      <c r="E2543">
        <v>10</v>
      </c>
      <c r="F2543">
        <v>3</v>
      </c>
      <c r="G2543">
        <v>11.46</v>
      </c>
      <c r="H2543">
        <v>6.77</v>
      </c>
      <c r="I2543">
        <v>0.78</v>
      </c>
      <c r="J2543" t="s">
        <v>41</v>
      </c>
      <c r="K2543" t="s">
        <v>52</v>
      </c>
      <c r="L2543">
        <v>177</v>
      </c>
      <c r="M2543">
        <v>3.36</v>
      </c>
      <c r="N2543">
        <v>150.83000000000001</v>
      </c>
      <c r="O2543">
        <v>1.88</v>
      </c>
      <c r="P2543">
        <v>1</v>
      </c>
      <c r="Q2543">
        <v>1</v>
      </c>
      <c r="R2543">
        <v>887</v>
      </c>
      <c r="S2543">
        <v>6.44</v>
      </c>
      <c r="T2543">
        <v>0.98</v>
      </c>
      <c r="U2543" s="1">
        <v>45573</v>
      </c>
      <c r="V2543">
        <v>268.38</v>
      </c>
      <c r="W2543">
        <v>0.67400000000000004</v>
      </c>
      <c r="X2543" t="str">
        <f>IF(WarehouseData[[#This Row],[stock_level]]&lt;=WarehouseData[[#This Row],[reorder_point]],"Low Stock","Sufficient Stock")</f>
        <v>Sufficient Stock</v>
      </c>
      <c r="Y2543">
        <f>WarehouseData[[#This Row],[daily_demand]]*WarehouseData[[#This Row],[lead_time_days]]</f>
        <v>34.380000000000003</v>
      </c>
      <c r="Z2543" t="str">
        <f>IF(WarehouseData[[#This Row],[stock_level]]&lt;=WarehouseData[[#This Row],[Demand During Lead Time]],"At Risk","Safe")</f>
        <v>Safe</v>
      </c>
      <c r="AA2543">
        <f>WarehouseData[[#This Row],[stock_level]]/WarehouseData[[#This Row],[daily_demand]]</f>
        <v>25.305410122164048</v>
      </c>
      <c r="AB2543">
        <f>WarehouseData[[#This Row],[stock_level]]*WarehouseData[[#This Row],[unit_price]]</f>
        <v>43740.700000000004</v>
      </c>
      <c r="AC2543">
        <f>WarehouseData[[#This Row],[stock_level]]*WarehouseData[[#This Row],[holding_cost_per_unit_day]]*30</f>
        <v>16355.999999999998</v>
      </c>
      <c r="AD2543" t="str">
        <f>IF(WarehouseData[[#This Row],[order_fulfillment_rate]]&gt;=0.9,"Strong",IF(WarehouseData[[#This Row],[order_fulfillment_rate]]&gt;=0.8,"Moderate","Needs Attention"))</f>
        <v>Strong</v>
      </c>
      <c r="AE2543" t="str">
        <f>IF(WarehouseData[[#This Row],[picking_time_seconds]]&gt;120,"Slow",IF(WarehouseData[[#This Row],[picking_time_seconds]]&gt;=60,"Average","Fast"))</f>
        <v>Slow</v>
      </c>
    </row>
    <row r="2544" spans="1:31" x14ac:dyDescent="0.25">
      <c r="A2544" t="s">
        <v>2682</v>
      </c>
      <c r="B2544" t="s">
        <v>73</v>
      </c>
      <c r="C2544">
        <v>190</v>
      </c>
      <c r="D2544">
        <v>59</v>
      </c>
      <c r="E2544">
        <v>7</v>
      </c>
      <c r="F2544">
        <v>2</v>
      </c>
      <c r="G2544">
        <v>15.28</v>
      </c>
      <c r="H2544">
        <v>6.7</v>
      </c>
      <c r="I2544">
        <v>0.74</v>
      </c>
      <c r="J2544" t="s">
        <v>234</v>
      </c>
      <c r="K2544" t="s">
        <v>38</v>
      </c>
      <c r="L2544">
        <v>83</v>
      </c>
      <c r="M2544">
        <v>4.66</v>
      </c>
      <c r="N2544">
        <v>29.13</v>
      </c>
      <c r="O2544">
        <v>1.81</v>
      </c>
      <c r="P2544">
        <v>0</v>
      </c>
      <c r="Q2544">
        <v>0.92</v>
      </c>
      <c r="R2544">
        <v>140</v>
      </c>
      <c r="S2544">
        <v>2.84</v>
      </c>
      <c r="T2544">
        <v>0.86</v>
      </c>
      <c r="U2544" s="1">
        <v>45528</v>
      </c>
      <c r="V2544">
        <v>14.88</v>
      </c>
      <c r="W2544">
        <v>0.61299999999999999</v>
      </c>
      <c r="X2544" t="str">
        <f>IF(WarehouseData[[#This Row],[stock_level]]&lt;=WarehouseData[[#This Row],[reorder_point]],"Low Stock","Sufficient Stock")</f>
        <v>Sufficient Stock</v>
      </c>
      <c r="Y2544">
        <f>WarehouseData[[#This Row],[daily_demand]]*WarehouseData[[#This Row],[lead_time_days]]</f>
        <v>30.56</v>
      </c>
      <c r="Z2544" t="str">
        <f>IF(WarehouseData[[#This Row],[stock_level]]&lt;=WarehouseData[[#This Row],[Demand During Lead Time]],"At Risk","Safe")</f>
        <v>Safe</v>
      </c>
      <c r="AA2544">
        <f>WarehouseData[[#This Row],[stock_level]]/WarehouseData[[#This Row],[daily_demand]]</f>
        <v>12.43455497382199</v>
      </c>
      <c r="AB2544">
        <f>WarehouseData[[#This Row],[stock_level]]*WarehouseData[[#This Row],[unit_price]]</f>
        <v>5534.7</v>
      </c>
      <c r="AC2544">
        <f>WarehouseData[[#This Row],[stock_level]]*WarehouseData[[#This Row],[holding_cost_per_unit_day]]*30</f>
        <v>10317.000000000002</v>
      </c>
      <c r="AD2544" t="str">
        <f>IF(WarehouseData[[#This Row],[order_fulfillment_rate]]&gt;=0.9,"Strong",IF(WarehouseData[[#This Row],[order_fulfillment_rate]]&gt;=0.8,"Moderate","Needs Attention"))</f>
        <v>Strong</v>
      </c>
      <c r="AE2544" t="str">
        <f>IF(WarehouseData[[#This Row],[picking_time_seconds]]&gt;120,"Slow",IF(WarehouseData[[#This Row],[picking_time_seconds]]&gt;=60,"Average","Fast"))</f>
        <v>Average</v>
      </c>
    </row>
    <row r="2545" spans="1:31" x14ac:dyDescent="0.25">
      <c r="A2545" t="s">
        <v>2683</v>
      </c>
      <c r="B2545" t="s">
        <v>36</v>
      </c>
      <c r="C2545">
        <v>178</v>
      </c>
      <c r="D2545">
        <v>93</v>
      </c>
      <c r="E2545">
        <v>9</v>
      </c>
      <c r="F2545">
        <v>8</v>
      </c>
      <c r="G2545">
        <v>42.87</v>
      </c>
      <c r="H2545">
        <v>2.0499999999999998</v>
      </c>
      <c r="I2545">
        <v>0.89</v>
      </c>
      <c r="J2545" t="s">
        <v>148</v>
      </c>
      <c r="K2545" t="s">
        <v>52</v>
      </c>
      <c r="L2545">
        <v>83</v>
      </c>
      <c r="M2545">
        <v>3.32</v>
      </c>
      <c r="N2545">
        <v>164.46</v>
      </c>
      <c r="O2545">
        <v>0.22</v>
      </c>
      <c r="P2545">
        <v>0</v>
      </c>
      <c r="Q2545">
        <v>0.85</v>
      </c>
      <c r="R2545">
        <v>177</v>
      </c>
      <c r="S2545">
        <v>10.67</v>
      </c>
      <c r="T2545">
        <v>0.39</v>
      </c>
      <c r="U2545" s="1">
        <v>45622</v>
      </c>
      <c r="V2545">
        <v>76.25</v>
      </c>
      <c r="W2545">
        <v>0.76800000000000002</v>
      </c>
      <c r="X2545" t="str">
        <f>IF(WarehouseData[[#This Row],[stock_level]]&lt;=WarehouseData[[#This Row],[reorder_point]],"Low Stock","Sufficient Stock")</f>
        <v>Sufficient Stock</v>
      </c>
      <c r="Y2545">
        <f>WarehouseData[[#This Row],[daily_demand]]*WarehouseData[[#This Row],[lead_time_days]]</f>
        <v>342.96</v>
      </c>
      <c r="Z2545" t="str">
        <f>IF(WarehouseData[[#This Row],[stock_level]]&lt;=WarehouseData[[#This Row],[Demand During Lead Time]],"At Risk","Safe")</f>
        <v>At Risk</v>
      </c>
      <c r="AA2545">
        <f>WarehouseData[[#This Row],[stock_level]]/WarehouseData[[#This Row],[daily_demand]]</f>
        <v>4.1520877070212272</v>
      </c>
      <c r="AB2545">
        <f>WarehouseData[[#This Row],[stock_level]]*WarehouseData[[#This Row],[unit_price]]</f>
        <v>29273.88</v>
      </c>
      <c r="AC2545">
        <f>WarehouseData[[#This Row],[stock_level]]*WarehouseData[[#This Row],[holding_cost_per_unit_day]]*30</f>
        <v>1174.8000000000002</v>
      </c>
      <c r="AD2545" t="str">
        <f>IF(WarehouseData[[#This Row],[order_fulfillment_rate]]&gt;=0.9,"Strong",IF(WarehouseData[[#This Row],[order_fulfillment_rate]]&gt;=0.8,"Moderate","Needs Attention"))</f>
        <v>Moderate</v>
      </c>
      <c r="AE2545" t="str">
        <f>IF(WarehouseData[[#This Row],[picking_time_seconds]]&gt;120,"Slow",IF(WarehouseData[[#This Row],[picking_time_seconds]]&gt;=60,"Average","Fast"))</f>
        <v>Average</v>
      </c>
    </row>
    <row r="2546" spans="1:31" x14ac:dyDescent="0.25">
      <c r="A2546" t="s">
        <v>2684</v>
      </c>
      <c r="B2546" t="s">
        <v>32</v>
      </c>
      <c r="C2546">
        <v>220</v>
      </c>
      <c r="D2546">
        <v>25</v>
      </c>
      <c r="E2546">
        <v>11</v>
      </c>
      <c r="F2546">
        <v>7</v>
      </c>
      <c r="G2546">
        <v>49.95</v>
      </c>
      <c r="H2546">
        <v>2.93</v>
      </c>
      <c r="I2546">
        <v>0.95</v>
      </c>
      <c r="J2546" t="s">
        <v>62</v>
      </c>
      <c r="K2546" t="s">
        <v>38</v>
      </c>
      <c r="L2546">
        <v>59</v>
      </c>
      <c r="M2546">
        <v>2.34</v>
      </c>
      <c r="N2546">
        <v>199.42</v>
      </c>
      <c r="O2546">
        <v>0.82</v>
      </c>
      <c r="P2546">
        <v>3</v>
      </c>
      <c r="Q2546">
        <v>0.87</v>
      </c>
      <c r="R2546">
        <v>828</v>
      </c>
      <c r="S2546">
        <v>10.94</v>
      </c>
      <c r="T2546">
        <v>0.73</v>
      </c>
      <c r="U2546" s="1">
        <v>45573</v>
      </c>
      <c r="V2546">
        <v>211.55</v>
      </c>
      <c r="W2546">
        <v>0.72399999999999998</v>
      </c>
      <c r="X2546" t="str">
        <f>IF(WarehouseData[[#This Row],[stock_level]]&lt;=WarehouseData[[#This Row],[reorder_point]],"Low Stock","Sufficient Stock")</f>
        <v>Sufficient Stock</v>
      </c>
      <c r="Y2546">
        <f>WarehouseData[[#This Row],[daily_demand]]*WarehouseData[[#This Row],[lead_time_days]]</f>
        <v>349.65000000000003</v>
      </c>
      <c r="Z2546" t="str">
        <f>IF(WarehouseData[[#This Row],[stock_level]]&lt;=WarehouseData[[#This Row],[Demand During Lead Time]],"At Risk","Safe")</f>
        <v>At Risk</v>
      </c>
      <c r="AA2546">
        <f>WarehouseData[[#This Row],[stock_level]]/WarehouseData[[#This Row],[daily_demand]]</f>
        <v>4.4044044044044037</v>
      </c>
      <c r="AB2546">
        <f>WarehouseData[[#This Row],[stock_level]]*WarehouseData[[#This Row],[unit_price]]</f>
        <v>43872.399999999994</v>
      </c>
      <c r="AC2546">
        <f>WarehouseData[[#This Row],[stock_level]]*WarehouseData[[#This Row],[holding_cost_per_unit_day]]*30</f>
        <v>5411.9999999999991</v>
      </c>
      <c r="AD2546" t="str">
        <f>IF(WarehouseData[[#This Row],[order_fulfillment_rate]]&gt;=0.9,"Strong",IF(WarehouseData[[#This Row],[order_fulfillment_rate]]&gt;=0.8,"Moderate","Needs Attention"))</f>
        <v>Moderate</v>
      </c>
      <c r="AE2546" t="str">
        <f>IF(WarehouseData[[#This Row],[picking_time_seconds]]&gt;120,"Slow",IF(WarehouseData[[#This Row],[picking_time_seconds]]&gt;=60,"Average","Fast"))</f>
        <v>Fast</v>
      </c>
    </row>
    <row r="2547" spans="1:31" x14ac:dyDescent="0.25">
      <c r="A2547" t="s">
        <v>2685</v>
      </c>
      <c r="B2547" t="s">
        <v>48</v>
      </c>
      <c r="C2547">
        <v>64</v>
      </c>
      <c r="D2547">
        <v>85</v>
      </c>
      <c r="E2547">
        <v>7</v>
      </c>
      <c r="F2547">
        <v>3</v>
      </c>
      <c r="G2547">
        <v>16.59</v>
      </c>
      <c r="H2547">
        <v>2.85</v>
      </c>
      <c r="I2547">
        <v>0.13</v>
      </c>
      <c r="J2547" t="s">
        <v>146</v>
      </c>
      <c r="K2547" t="s">
        <v>38</v>
      </c>
      <c r="L2547">
        <v>19</v>
      </c>
      <c r="M2547">
        <v>1.37</v>
      </c>
      <c r="N2547">
        <v>159.77000000000001</v>
      </c>
      <c r="O2547">
        <v>0.61</v>
      </c>
      <c r="P2547">
        <v>0</v>
      </c>
      <c r="Q2547">
        <v>0.89</v>
      </c>
      <c r="R2547">
        <v>597</v>
      </c>
      <c r="S2547">
        <v>1.21</v>
      </c>
      <c r="T2547">
        <v>0.68</v>
      </c>
      <c r="U2547" s="1">
        <v>45329</v>
      </c>
      <c r="V2547">
        <v>157.43</v>
      </c>
      <c r="W2547">
        <v>0.66900000000000004</v>
      </c>
      <c r="X2547" t="str">
        <f>IF(WarehouseData[[#This Row],[stock_level]]&lt;=WarehouseData[[#This Row],[reorder_point]],"Low Stock","Sufficient Stock")</f>
        <v>Low Stock</v>
      </c>
      <c r="Y2547">
        <f>WarehouseData[[#This Row],[daily_demand]]*WarehouseData[[#This Row],[lead_time_days]]</f>
        <v>49.769999999999996</v>
      </c>
      <c r="Z2547" t="str">
        <f>IF(WarehouseData[[#This Row],[stock_level]]&lt;=WarehouseData[[#This Row],[Demand During Lead Time]],"At Risk","Safe")</f>
        <v>Safe</v>
      </c>
      <c r="AA2547">
        <f>WarehouseData[[#This Row],[stock_level]]/WarehouseData[[#This Row],[daily_demand]]</f>
        <v>3.8577456298975288</v>
      </c>
      <c r="AB2547">
        <f>WarehouseData[[#This Row],[stock_level]]*WarehouseData[[#This Row],[unit_price]]</f>
        <v>10225.280000000001</v>
      </c>
      <c r="AC2547">
        <f>WarehouseData[[#This Row],[stock_level]]*WarehouseData[[#This Row],[holding_cost_per_unit_day]]*30</f>
        <v>1171.2</v>
      </c>
      <c r="AD2547" t="str">
        <f>IF(WarehouseData[[#This Row],[order_fulfillment_rate]]&gt;=0.9,"Strong",IF(WarehouseData[[#This Row],[order_fulfillment_rate]]&gt;=0.8,"Moderate","Needs Attention"))</f>
        <v>Moderate</v>
      </c>
      <c r="AE2547" t="str">
        <f>IF(WarehouseData[[#This Row],[picking_time_seconds]]&gt;120,"Slow",IF(WarehouseData[[#This Row],[picking_time_seconds]]&gt;=60,"Average","Fast"))</f>
        <v>Fast</v>
      </c>
    </row>
    <row r="2548" spans="1:31" x14ac:dyDescent="0.25">
      <c r="A2548" t="s">
        <v>2686</v>
      </c>
      <c r="B2548" t="s">
        <v>73</v>
      </c>
      <c r="C2548">
        <v>469</v>
      </c>
      <c r="D2548">
        <v>86</v>
      </c>
      <c r="E2548">
        <v>13</v>
      </c>
      <c r="F2548">
        <v>4</v>
      </c>
      <c r="G2548">
        <v>8.2899999999999991</v>
      </c>
      <c r="H2548">
        <v>9.6199999999999992</v>
      </c>
      <c r="I2548">
        <v>0.98</v>
      </c>
      <c r="J2548" t="s">
        <v>190</v>
      </c>
      <c r="K2548" t="s">
        <v>34</v>
      </c>
      <c r="L2548">
        <v>112</v>
      </c>
      <c r="M2548">
        <v>3.46</v>
      </c>
      <c r="N2548">
        <v>100.01</v>
      </c>
      <c r="O2548">
        <v>1.01</v>
      </c>
      <c r="P2548">
        <v>1</v>
      </c>
      <c r="Q2548">
        <v>0.71</v>
      </c>
      <c r="R2548">
        <v>897</v>
      </c>
      <c r="S2548">
        <v>10.73</v>
      </c>
      <c r="T2548">
        <v>0.86</v>
      </c>
      <c r="U2548" s="1">
        <v>45440</v>
      </c>
      <c r="V2548">
        <v>164.8</v>
      </c>
      <c r="W2548">
        <v>0.73599999999999999</v>
      </c>
      <c r="X2548" t="str">
        <f>IF(WarehouseData[[#This Row],[stock_level]]&lt;=WarehouseData[[#This Row],[reorder_point]],"Low Stock","Sufficient Stock")</f>
        <v>Sufficient Stock</v>
      </c>
      <c r="Y2548">
        <f>WarehouseData[[#This Row],[daily_demand]]*WarehouseData[[#This Row],[lead_time_days]]</f>
        <v>33.159999999999997</v>
      </c>
      <c r="Z2548" t="str">
        <f>IF(WarehouseData[[#This Row],[stock_level]]&lt;=WarehouseData[[#This Row],[Demand During Lead Time]],"At Risk","Safe")</f>
        <v>Safe</v>
      </c>
      <c r="AA2548">
        <f>WarehouseData[[#This Row],[stock_level]]/WarehouseData[[#This Row],[daily_demand]]</f>
        <v>56.574185765983117</v>
      </c>
      <c r="AB2548">
        <f>WarehouseData[[#This Row],[stock_level]]*WarehouseData[[#This Row],[unit_price]]</f>
        <v>46904.69</v>
      </c>
      <c r="AC2548">
        <f>WarehouseData[[#This Row],[stock_level]]*WarehouseData[[#This Row],[holding_cost_per_unit_day]]*30</f>
        <v>14210.7</v>
      </c>
      <c r="AD2548" t="str">
        <f>IF(WarehouseData[[#This Row],[order_fulfillment_rate]]&gt;=0.9,"Strong",IF(WarehouseData[[#This Row],[order_fulfillment_rate]]&gt;=0.8,"Moderate","Needs Attention"))</f>
        <v>Needs Attention</v>
      </c>
      <c r="AE2548" t="str">
        <f>IF(WarehouseData[[#This Row],[picking_time_seconds]]&gt;120,"Slow",IF(WarehouseData[[#This Row],[picking_time_seconds]]&gt;=60,"Average","Fast"))</f>
        <v>Average</v>
      </c>
    </row>
    <row r="2549" spans="1:31" x14ac:dyDescent="0.25">
      <c r="A2549" t="s">
        <v>2687</v>
      </c>
      <c r="B2549" t="s">
        <v>40</v>
      </c>
      <c r="C2549">
        <v>283</v>
      </c>
      <c r="D2549">
        <v>48</v>
      </c>
      <c r="E2549">
        <v>7</v>
      </c>
      <c r="F2549">
        <v>8</v>
      </c>
      <c r="G2549">
        <v>39.869999999999997</v>
      </c>
      <c r="H2549">
        <v>1.1399999999999999</v>
      </c>
      <c r="I2549">
        <v>0.88</v>
      </c>
      <c r="J2549" t="s">
        <v>316</v>
      </c>
      <c r="K2549" t="s">
        <v>34</v>
      </c>
      <c r="L2549">
        <v>103</v>
      </c>
      <c r="M2549">
        <v>1.02</v>
      </c>
      <c r="N2549">
        <v>117.95</v>
      </c>
      <c r="O2549">
        <v>1.68</v>
      </c>
      <c r="P2549">
        <v>0</v>
      </c>
      <c r="Q2549">
        <v>0.72</v>
      </c>
      <c r="R2549">
        <v>841</v>
      </c>
      <c r="S2549">
        <v>5.19</v>
      </c>
      <c r="T2549">
        <v>0.61</v>
      </c>
      <c r="U2549" s="1">
        <v>45635</v>
      </c>
      <c r="V2549">
        <v>130.74</v>
      </c>
      <c r="W2549">
        <v>0.56699999999999995</v>
      </c>
      <c r="X2549" t="str">
        <f>IF(WarehouseData[[#This Row],[stock_level]]&lt;=WarehouseData[[#This Row],[reorder_point]],"Low Stock","Sufficient Stock")</f>
        <v>Sufficient Stock</v>
      </c>
      <c r="Y2549">
        <f>WarehouseData[[#This Row],[daily_demand]]*WarehouseData[[#This Row],[lead_time_days]]</f>
        <v>318.95999999999998</v>
      </c>
      <c r="Z2549" t="str">
        <f>IF(WarehouseData[[#This Row],[stock_level]]&lt;=WarehouseData[[#This Row],[Demand During Lead Time]],"At Risk","Safe")</f>
        <v>At Risk</v>
      </c>
      <c r="AA2549">
        <f>WarehouseData[[#This Row],[stock_level]]/WarehouseData[[#This Row],[daily_demand]]</f>
        <v>7.0980687233508908</v>
      </c>
      <c r="AB2549">
        <f>WarehouseData[[#This Row],[stock_level]]*WarehouseData[[#This Row],[unit_price]]</f>
        <v>33379.85</v>
      </c>
      <c r="AC2549">
        <f>WarehouseData[[#This Row],[stock_level]]*WarehouseData[[#This Row],[holding_cost_per_unit_day]]*30</f>
        <v>14263.2</v>
      </c>
      <c r="AD2549" t="str">
        <f>IF(WarehouseData[[#This Row],[order_fulfillment_rate]]&gt;=0.9,"Strong",IF(WarehouseData[[#This Row],[order_fulfillment_rate]]&gt;=0.8,"Moderate","Needs Attention"))</f>
        <v>Needs Attention</v>
      </c>
      <c r="AE2549" t="str">
        <f>IF(WarehouseData[[#This Row],[picking_time_seconds]]&gt;120,"Slow",IF(WarehouseData[[#This Row],[picking_time_seconds]]&gt;=60,"Average","Fast"))</f>
        <v>Average</v>
      </c>
    </row>
    <row r="2550" spans="1:31" x14ac:dyDescent="0.25">
      <c r="A2550" t="s">
        <v>2688</v>
      </c>
      <c r="B2550" t="s">
        <v>48</v>
      </c>
      <c r="C2550">
        <v>90</v>
      </c>
      <c r="D2550">
        <v>98</v>
      </c>
      <c r="E2550">
        <v>6</v>
      </c>
      <c r="F2550">
        <v>3</v>
      </c>
      <c r="G2550">
        <v>30.42</v>
      </c>
      <c r="H2550">
        <v>4.57</v>
      </c>
      <c r="I2550">
        <v>0.44</v>
      </c>
      <c r="J2550" t="s">
        <v>466</v>
      </c>
      <c r="K2550" t="s">
        <v>46</v>
      </c>
      <c r="L2550">
        <v>141</v>
      </c>
      <c r="M2550">
        <v>4.2300000000000004</v>
      </c>
      <c r="N2550">
        <v>11.17</v>
      </c>
      <c r="O2550">
        <v>1.5</v>
      </c>
      <c r="P2550">
        <v>5</v>
      </c>
      <c r="Q2550">
        <v>0.89</v>
      </c>
      <c r="R2550">
        <v>774</v>
      </c>
      <c r="S2550">
        <v>10.19</v>
      </c>
      <c r="T2550">
        <v>0.45</v>
      </c>
      <c r="U2550" s="1">
        <v>45326</v>
      </c>
      <c r="V2550">
        <v>58.27</v>
      </c>
      <c r="W2550">
        <v>0.55400000000000005</v>
      </c>
      <c r="X2550" t="str">
        <f>IF(WarehouseData[[#This Row],[stock_level]]&lt;=WarehouseData[[#This Row],[reorder_point]],"Low Stock","Sufficient Stock")</f>
        <v>Low Stock</v>
      </c>
      <c r="Y2550">
        <f>WarehouseData[[#This Row],[daily_demand]]*WarehouseData[[#This Row],[lead_time_days]]</f>
        <v>91.26</v>
      </c>
      <c r="Z2550" t="str">
        <f>IF(WarehouseData[[#This Row],[stock_level]]&lt;=WarehouseData[[#This Row],[Demand During Lead Time]],"At Risk","Safe")</f>
        <v>At Risk</v>
      </c>
      <c r="AA2550">
        <f>WarehouseData[[#This Row],[stock_level]]/WarehouseData[[#This Row],[daily_demand]]</f>
        <v>2.9585798816568047</v>
      </c>
      <c r="AB2550">
        <f>WarehouseData[[#This Row],[stock_level]]*WarehouseData[[#This Row],[unit_price]]</f>
        <v>1005.3</v>
      </c>
      <c r="AC2550">
        <f>WarehouseData[[#This Row],[stock_level]]*WarehouseData[[#This Row],[holding_cost_per_unit_day]]*30</f>
        <v>4050</v>
      </c>
      <c r="AD2550" t="str">
        <f>IF(WarehouseData[[#This Row],[order_fulfillment_rate]]&gt;=0.9,"Strong",IF(WarehouseData[[#This Row],[order_fulfillment_rate]]&gt;=0.8,"Moderate","Needs Attention"))</f>
        <v>Moderate</v>
      </c>
      <c r="AE2550" t="str">
        <f>IF(WarehouseData[[#This Row],[picking_time_seconds]]&gt;120,"Slow",IF(WarehouseData[[#This Row],[picking_time_seconds]]&gt;=60,"Average","Fast"))</f>
        <v>Slow</v>
      </c>
    </row>
    <row r="2551" spans="1:31" x14ac:dyDescent="0.25">
      <c r="A2551" t="s">
        <v>2689</v>
      </c>
      <c r="B2551" t="s">
        <v>40</v>
      </c>
      <c r="C2551">
        <v>383</v>
      </c>
      <c r="D2551">
        <v>55</v>
      </c>
      <c r="E2551">
        <v>8</v>
      </c>
      <c r="F2551">
        <v>5</v>
      </c>
      <c r="G2551">
        <v>5.92</v>
      </c>
      <c r="H2551">
        <v>8.7799999999999994</v>
      </c>
      <c r="I2551">
        <v>0.85</v>
      </c>
      <c r="J2551" t="s">
        <v>49</v>
      </c>
      <c r="K2551" t="s">
        <v>34</v>
      </c>
      <c r="L2551">
        <v>138</v>
      </c>
      <c r="M2551">
        <v>1.61</v>
      </c>
      <c r="N2551">
        <v>49.76</v>
      </c>
      <c r="O2551">
        <v>0.75</v>
      </c>
      <c r="P2551">
        <v>3</v>
      </c>
      <c r="Q2551">
        <v>0.81</v>
      </c>
      <c r="R2551">
        <v>558</v>
      </c>
      <c r="S2551">
        <v>10.89</v>
      </c>
      <c r="T2551">
        <v>0.22</v>
      </c>
      <c r="U2551" s="1">
        <v>45420</v>
      </c>
      <c r="V2551">
        <v>58.2</v>
      </c>
      <c r="W2551">
        <v>0.61599999999999999</v>
      </c>
      <c r="X2551" t="str">
        <f>IF(WarehouseData[[#This Row],[stock_level]]&lt;=WarehouseData[[#This Row],[reorder_point]],"Low Stock","Sufficient Stock")</f>
        <v>Sufficient Stock</v>
      </c>
      <c r="Y2551">
        <f>WarehouseData[[#This Row],[daily_demand]]*WarehouseData[[#This Row],[lead_time_days]]</f>
        <v>29.6</v>
      </c>
      <c r="Z2551" t="str">
        <f>IF(WarehouseData[[#This Row],[stock_level]]&lt;=WarehouseData[[#This Row],[Demand During Lead Time]],"At Risk","Safe")</f>
        <v>Safe</v>
      </c>
      <c r="AA2551">
        <f>WarehouseData[[#This Row],[stock_level]]/WarehouseData[[#This Row],[daily_demand]]</f>
        <v>64.695945945945951</v>
      </c>
      <c r="AB2551">
        <f>WarehouseData[[#This Row],[stock_level]]*WarehouseData[[#This Row],[unit_price]]</f>
        <v>19058.079999999998</v>
      </c>
      <c r="AC2551">
        <f>WarehouseData[[#This Row],[stock_level]]*WarehouseData[[#This Row],[holding_cost_per_unit_day]]*30</f>
        <v>8617.5</v>
      </c>
      <c r="AD2551" t="str">
        <f>IF(WarehouseData[[#This Row],[order_fulfillment_rate]]&gt;=0.9,"Strong",IF(WarehouseData[[#This Row],[order_fulfillment_rate]]&gt;=0.8,"Moderate","Needs Attention"))</f>
        <v>Moderate</v>
      </c>
      <c r="AE2551" t="str">
        <f>IF(WarehouseData[[#This Row],[picking_time_seconds]]&gt;120,"Slow",IF(WarehouseData[[#This Row],[picking_time_seconds]]&gt;=60,"Average","Fast"))</f>
        <v>Slow</v>
      </c>
    </row>
    <row r="2552" spans="1:31" x14ac:dyDescent="0.25">
      <c r="A2552" t="s">
        <v>2690</v>
      </c>
      <c r="B2552" t="s">
        <v>32</v>
      </c>
      <c r="C2552">
        <v>390</v>
      </c>
      <c r="D2552">
        <v>97</v>
      </c>
      <c r="E2552">
        <v>4</v>
      </c>
      <c r="F2552">
        <v>3</v>
      </c>
      <c r="G2552">
        <v>47.39</v>
      </c>
      <c r="H2552">
        <v>7.81</v>
      </c>
      <c r="I2552">
        <v>0.76</v>
      </c>
      <c r="J2552" t="s">
        <v>188</v>
      </c>
      <c r="K2552" t="s">
        <v>38</v>
      </c>
      <c r="L2552">
        <v>52</v>
      </c>
      <c r="M2552">
        <v>2.86</v>
      </c>
      <c r="N2552">
        <v>180.81</v>
      </c>
      <c r="O2552">
        <v>0.83</v>
      </c>
      <c r="P2552">
        <v>7</v>
      </c>
      <c r="Q2552">
        <v>0.72</v>
      </c>
      <c r="R2552">
        <v>985</v>
      </c>
      <c r="S2552">
        <v>4.8899999999999997</v>
      </c>
      <c r="T2552">
        <v>0.84</v>
      </c>
      <c r="U2552" s="1">
        <v>45342</v>
      </c>
      <c r="V2552">
        <v>95.4</v>
      </c>
      <c r="W2552">
        <v>0.55400000000000005</v>
      </c>
      <c r="X2552" t="str">
        <f>IF(WarehouseData[[#This Row],[stock_level]]&lt;=WarehouseData[[#This Row],[reorder_point]],"Low Stock","Sufficient Stock")</f>
        <v>Sufficient Stock</v>
      </c>
      <c r="Y2552">
        <f>WarehouseData[[#This Row],[daily_demand]]*WarehouseData[[#This Row],[lead_time_days]]</f>
        <v>142.17000000000002</v>
      </c>
      <c r="Z2552" t="str">
        <f>IF(WarehouseData[[#This Row],[stock_level]]&lt;=WarehouseData[[#This Row],[Demand During Lead Time]],"At Risk","Safe")</f>
        <v>Safe</v>
      </c>
      <c r="AA2552">
        <f>WarehouseData[[#This Row],[stock_level]]/WarehouseData[[#This Row],[daily_demand]]</f>
        <v>8.2295843004853335</v>
      </c>
      <c r="AB2552">
        <f>WarehouseData[[#This Row],[stock_level]]*WarehouseData[[#This Row],[unit_price]]</f>
        <v>70515.899999999994</v>
      </c>
      <c r="AC2552">
        <f>WarehouseData[[#This Row],[stock_level]]*WarehouseData[[#This Row],[holding_cost_per_unit_day]]*30</f>
        <v>9711</v>
      </c>
      <c r="AD2552" t="str">
        <f>IF(WarehouseData[[#This Row],[order_fulfillment_rate]]&gt;=0.9,"Strong",IF(WarehouseData[[#This Row],[order_fulfillment_rate]]&gt;=0.8,"Moderate","Needs Attention"))</f>
        <v>Needs Attention</v>
      </c>
      <c r="AE2552" t="str">
        <f>IF(WarehouseData[[#This Row],[picking_time_seconds]]&gt;120,"Slow",IF(WarehouseData[[#This Row],[picking_time_seconds]]&gt;=60,"Average","Fast"))</f>
        <v>Fast</v>
      </c>
    </row>
    <row r="2553" spans="1:31" x14ac:dyDescent="0.25">
      <c r="A2553" t="s">
        <v>2691</v>
      </c>
      <c r="B2553" t="s">
        <v>36</v>
      </c>
      <c r="C2553">
        <v>122</v>
      </c>
      <c r="D2553">
        <v>56</v>
      </c>
      <c r="E2553">
        <v>5</v>
      </c>
      <c r="F2553">
        <v>5</v>
      </c>
      <c r="G2553">
        <v>4.82</v>
      </c>
      <c r="H2553">
        <v>8.31</v>
      </c>
      <c r="I2553">
        <v>0.81</v>
      </c>
      <c r="J2553" t="s">
        <v>223</v>
      </c>
      <c r="K2553" t="s">
        <v>34</v>
      </c>
      <c r="L2553">
        <v>92</v>
      </c>
      <c r="M2553">
        <v>3.18</v>
      </c>
      <c r="N2553">
        <v>14.13</v>
      </c>
      <c r="O2553">
        <v>1.34</v>
      </c>
      <c r="P2553">
        <v>4</v>
      </c>
      <c r="Q2553">
        <v>0.79</v>
      </c>
      <c r="R2553">
        <v>794</v>
      </c>
      <c r="S2553">
        <v>3.6</v>
      </c>
      <c r="T2553">
        <v>0.62</v>
      </c>
      <c r="U2553" s="1">
        <v>45393</v>
      </c>
      <c r="V2553">
        <v>145.81</v>
      </c>
      <c r="W2553">
        <v>0.51600000000000001</v>
      </c>
      <c r="X2553" t="str">
        <f>IF(WarehouseData[[#This Row],[stock_level]]&lt;=WarehouseData[[#This Row],[reorder_point]],"Low Stock","Sufficient Stock")</f>
        <v>Sufficient Stock</v>
      </c>
      <c r="Y2553">
        <f>WarehouseData[[#This Row],[daily_demand]]*WarehouseData[[#This Row],[lead_time_days]]</f>
        <v>24.1</v>
      </c>
      <c r="Z2553" t="str">
        <f>IF(WarehouseData[[#This Row],[stock_level]]&lt;=WarehouseData[[#This Row],[Demand During Lead Time]],"At Risk","Safe")</f>
        <v>Safe</v>
      </c>
      <c r="AA2553">
        <f>WarehouseData[[#This Row],[stock_level]]/WarehouseData[[#This Row],[daily_demand]]</f>
        <v>25.311203319502074</v>
      </c>
      <c r="AB2553">
        <f>WarehouseData[[#This Row],[stock_level]]*WarehouseData[[#This Row],[unit_price]]</f>
        <v>1723.8600000000001</v>
      </c>
      <c r="AC2553">
        <f>WarehouseData[[#This Row],[stock_level]]*WarehouseData[[#This Row],[holding_cost_per_unit_day]]*30</f>
        <v>4904.4000000000005</v>
      </c>
      <c r="AD2553" t="str">
        <f>IF(WarehouseData[[#This Row],[order_fulfillment_rate]]&gt;=0.9,"Strong",IF(WarehouseData[[#This Row],[order_fulfillment_rate]]&gt;=0.8,"Moderate","Needs Attention"))</f>
        <v>Needs Attention</v>
      </c>
      <c r="AE2553" t="str">
        <f>IF(WarehouseData[[#This Row],[picking_time_seconds]]&gt;120,"Slow",IF(WarehouseData[[#This Row],[picking_time_seconds]]&gt;=60,"Average","Fast"))</f>
        <v>Average</v>
      </c>
    </row>
    <row r="2554" spans="1:31" x14ac:dyDescent="0.25">
      <c r="A2554" t="s">
        <v>2692</v>
      </c>
      <c r="B2554" t="s">
        <v>48</v>
      </c>
      <c r="C2554">
        <v>144</v>
      </c>
      <c r="D2554">
        <v>53</v>
      </c>
      <c r="E2554">
        <v>3</v>
      </c>
      <c r="F2554">
        <v>9</v>
      </c>
      <c r="G2554">
        <v>31.64</v>
      </c>
      <c r="H2554">
        <v>9.74</v>
      </c>
      <c r="I2554">
        <v>0.3</v>
      </c>
      <c r="J2554" t="s">
        <v>316</v>
      </c>
      <c r="K2554" t="s">
        <v>34</v>
      </c>
      <c r="L2554">
        <v>142</v>
      </c>
      <c r="M2554">
        <v>2.13</v>
      </c>
      <c r="N2554">
        <v>181.91</v>
      </c>
      <c r="O2554">
        <v>0.47</v>
      </c>
      <c r="P2554">
        <v>9</v>
      </c>
      <c r="Q2554">
        <v>0.74</v>
      </c>
      <c r="R2554">
        <v>789</v>
      </c>
      <c r="S2554">
        <v>12.57</v>
      </c>
      <c r="T2554">
        <v>0.63</v>
      </c>
      <c r="U2554" s="1">
        <v>45589</v>
      </c>
      <c r="V2554">
        <v>249</v>
      </c>
      <c r="W2554">
        <v>0.61499999999999999</v>
      </c>
      <c r="X2554" t="str">
        <f>IF(WarehouseData[[#This Row],[stock_level]]&lt;=WarehouseData[[#This Row],[reorder_point]],"Low Stock","Sufficient Stock")</f>
        <v>Sufficient Stock</v>
      </c>
      <c r="Y2554">
        <f>WarehouseData[[#This Row],[daily_demand]]*WarehouseData[[#This Row],[lead_time_days]]</f>
        <v>284.76</v>
      </c>
      <c r="Z2554" t="str">
        <f>IF(WarehouseData[[#This Row],[stock_level]]&lt;=WarehouseData[[#This Row],[Demand During Lead Time]],"At Risk","Safe")</f>
        <v>At Risk</v>
      </c>
      <c r="AA2554">
        <f>WarehouseData[[#This Row],[stock_level]]/WarehouseData[[#This Row],[daily_demand]]</f>
        <v>4.5512010113780024</v>
      </c>
      <c r="AB2554">
        <f>WarehouseData[[#This Row],[stock_level]]*WarehouseData[[#This Row],[unit_price]]</f>
        <v>26195.040000000001</v>
      </c>
      <c r="AC2554">
        <f>WarehouseData[[#This Row],[stock_level]]*WarehouseData[[#This Row],[holding_cost_per_unit_day]]*30</f>
        <v>2030.3999999999999</v>
      </c>
      <c r="AD2554" t="str">
        <f>IF(WarehouseData[[#This Row],[order_fulfillment_rate]]&gt;=0.9,"Strong",IF(WarehouseData[[#This Row],[order_fulfillment_rate]]&gt;=0.8,"Moderate","Needs Attention"))</f>
        <v>Needs Attention</v>
      </c>
      <c r="AE2554" t="str">
        <f>IF(WarehouseData[[#This Row],[picking_time_seconds]]&gt;120,"Slow",IF(WarehouseData[[#This Row],[picking_time_seconds]]&gt;=60,"Average","Fast"))</f>
        <v>Slow</v>
      </c>
    </row>
    <row r="2555" spans="1:31" x14ac:dyDescent="0.25">
      <c r="A2555" t="s">
        <v>2693</v>
      </c>
      <c r="B2555" t="s">
        <v>48</v>
      </c>
      <c r="C2555">
        <v>332</v>
      </c>
      <c r="D2555">
        <v>18</v>
      </c>
      <c r="E2555">
        <v>4</v>
      </c>
      <c r="F2555">
        <v>5</v>
      </c>
      <c r="G2555">
        <v>21.77</v>
      </c>
      <c r="H2555">
        <v>4.18</v>
      </c>
      <c r="I2555">
        <v>0.68</v>
      </c>
      <c r="J2555" t="s">
        <v>135</v>
      </c>
      <c r="K2555" t="s">
        <v>34</v>
      </c>
      <c r="L2555">
        <v>113</v>
      </c>
      <c r="M2555">
        <v>3.49</v>
      </c>
      <c r="N2555">
        <v>31.52</v>
      </c>
      <c r="O2555">
        <v>0.3</v>
      </c>
      <c r="P2555">
        <v>4</v>
      </c>
      <c r="Q2555">
        <v>0.97</v>
      </c>
      <c r="R2555">
        <v>930</v>
      </c>
      <c r="S2555">
        <v>11.35</v>
      </c>
      <c r="T2555">
        <v>0.97</v>
      </c>
      <c r="U2555" s="1">
        <v>45541</v>
      </c>
      <c r="V2555">
        <v>139.58000000000001</v>
      </c>
      <c r="W2555">
        <v>0.82899999999999996</v>
      </c>
      <c r="X2555" t="str">
        <f>IF(WarehouseData[[#This Row],[stock_level]]&lt;=WarehouseData[[#This Row],[reorder_point]],"Low Stock","Sufficient Stock")</f>
        <v>Sufficient Stock</v>
      </c>
      <c r="Y2555">
        <f>WarehouseData[[#This Row],[daily_demand]]*WarehouseData[[#This Row],[lead_time_days]]</f>
        <v>108.85</v>
      </c>
      <c r="Z2555" t="str">
        <f>IF(WarehouseData[[#This Row],[stock_level]]&lt;=WarehouseData[[#This Row],[Demand During Lead Time]],"At Risk","Safe")</f>
        <v>Safe</v>
      </c>
      <c r="AA2555">
        <f>WarehouseData[[#This Row],[stock_level]]/WarehouseData[[#This Row],[daily_demand]]</f>
        <v>15.250344510794672</v>
      </c>
      <c r="AB2555">
        <f>WarehouseData[[#This Row],[stock_level]]*WarehouseData[[#This Row],[unit_price]]</f>
        <v>10464.64</v>
      </c>
      <c r="AC2555">
        <f>WarehouseData[[#This Row],[stock_level]]*WarehouseData[[#This Row],[holding_cost_per_unit_day]]*30</f>
        <v>2988</v>
      </c>
      <c r="AD2555" t="str">
        <f>IF(WarehouseData[[#This Row],[order_fulfillment_rate]]&gt;=0.9,"Strong",IF(WarehouseData[[#This Row],[order_fulfillment_rate]]&gt;=0.8,"Moderate","Needs Attention"))</f>
        <v>Strong</v>
      </c>
      <c r="AE2555" t="str">
        <f>IF(WarehouseData[[#This Row],[picking_time_seconds]]&gt;120,"Slow",IF(WarehouseData[[#This Row],[picking_time_seconds]]&gt;=60,"Average","Fast"))</f>
        <v>Average</v>
      </c>
    </row>
    <row r="2556" spans="1:31" x14ac:dyDescent="0.25">
      <c r="A2556" t="s">
        <v>2694</v>
      </c>
      <c r="B2556" t="s">
        <v>32</v>
      </c>
      <c r="C2556">
        <v>483</v>
      </c>
      <c r="D2556">
        <v>96</v>
      </c>
      <c r="E2556">
        <v>4</v>
      </c>
      <c r="F2556">
        <v>4</v>
      </c>
      <c r="G2556">
        <v>28.27</v>
      </c>
      <c r="H2556">
        <v>3.44</v>
      </c>
      <c r="I2556">
        <v>0.12</v>
      </c>
      <c r="J2556" t="s">
        <v>192</v>
      </c>
      <c r="K2556" t="s">
        <v>38</v>
      </c>
      <c r="L2556">
        <v>43</v>
      </c>
      <c r="M2556">
        <v>1.63</v>
      </c>
      <c r="N2556">
        <v>35.28</v>
      </c>
      <c r="O2556">
        <v>0.56000000000000005</v>
      </c>
      <c r="P2556">
        <v>7</v>
      </c>
      <c r="Q2556">
        <v>0.76</v>
      </c>
      <c r="R2556">
        <v>859</v>
      </c>
      <c r="S2556">
        <v>12.72</v>
      </c>
      <c r="T2556">
        <v>0.59</v>
      </c>
      <c r="U2556" s="1">
        <v>45461</v>
      </c>
      <c r="V2556">
        <v>270.36</v>
      </c>
      <c r="W2556">
        <v>0.64400000000000002</v>
      </c>
      <c r="X2556" t="str">
        <f>IF(WarehouseData[[#This Row],[stock_level]]&lt;=WarehouseData[[#This Row],[reorder_point]],"Low Stock","Sufficient Stock")</f>
        <v>Sufficient Stock</v>
      </c>
      <c r="Y2556">
        <f>WarehouseData[[#This Row],[daily_demand]]*WarehouseData[[#This Row],[lead_time_days]]</f>
        <v>113.08</v>
      </c>
      <c r="Z2556" t="str">
        <f>IF(WarehouseData[[#This Row],[stock_level]]&lt;=WarehouseData[[#This Row],[Demand During Lead Time]],"At Risk","Safe")</f>
        <v>Safe</v>
      </c>
      <c r="AA2556">
        <f>WarehouseData[[#This Row],[stock_level]]/WarehouseData[[#This Row],[daily_demand]]</f>
        <v>17.085249380969227</v>
      </c>
      <c r="AB2556">
        <f>WarehouseData[[#This Row],[stock_level]]*WarehouseData[[#This Row],[unit_price]]</f>
        <v>17040.240000000002</v>
      </c>
      <c r="AC2556">
        <f>WarehouseData[[#This Row],[stock_level]]*WarehouseData[[#This Row],[holding_cost_per_unit_day]]*30</f>
        <v>8114.4000000000005</v>
      </c>
      <c r="AD2556" t="str">
        <f>IF(WarehouseData[[#This Row],[order_fulfillment_rate]]&gt;=0.9,"Strong",IF(WarehouseData[[#This Row],[order_fulfillment_rate]]&gt;=0.8,"Moderate","Needs Attention"))</f>
        <v>Needs Attention</v>
      </c>
      <c r="AE2556" t="str">
        <f>IF(WarehouseData[[#This Row],[picking_time_seconds]]&gt;120,"Slow",IF(WarehouseData[[#This Row],[picking_time_seconds]]&gt;=60,"Average","Fast"))</f>
        <v>Fast</v>
      </c>
    </row>
    <row r="2557" spans="1:31" x14ac:dyDescent="0.25">
      <c r="A2557" t="s">
        <v>2695</v>
      </c>
      <c r="B2557" t="s">
        <v>73</v>
      </c>
      <c r="C2557">
        <v>305</v>
      </c>
      <c r="D2557">
        <v>59</v>
      </c>
      <c r="E2557">
        <v>10</v>
      </c>
      <c r="F2557">
        <v>3</v>
      </c>
      <c r="G2557">
        <v>11.45</v>
      </c>
      <c r="H2557">
        <v>0.79</v>
      </c>
      <c r="I2557">
        <v>0.86</v>
      </c>
      <c r="J2557" t="s">
        <v>207</v>
      </c>
      <c r="K2557" t="s">
        <v>38</v>
      </c>
      <c r="L2557">
        <v>33</v>
      </c>
      <c r="M2557">
        <v>0.66</v>
      </c>
      <c r="N2557">
        <v>43.32</v>
      </c>
      <c r="O2557">
        <v>0.34</v>
      </c>
      <c r="P2557">
        <v>9</v>
      </c>
      <c r="Q2557">
        <v>0.74</v>
      </c>
      <c r="R2557">
        <v>286</v>
      </c>
      <c r="S2557">
        <v>7.1</v>
      </c>
      <c r="T2557">
        <v>0.45</v>
      </c>
      <c r="U2557" s="1">
        <v>45474</v>
      </c>
      <c r="V2557">
        <v>44.95</v>
      </c>
      <c r="W2557">
        <v>0.51900000000000002</v>
      </c>
      <c r="X2557" t="str">
        <f>IF(WarehouseData[[#This Row],[stock_level]]&lt;=WarehouseData[[#This Row],[reorder_point]],"Low Stock","Sufficient Stock")</f>
        <v>Sufficient Stock</v>
      </c>
      <c r="Y2557">
        <f>WarehouseData[[#This Row],[daily_demand]]*WarehouseData[[#This Row],[lead_time_days]]</f>
        <v>34.349999999999994</v>
      </c>
      <c r="Z2557" t="str">
        <f>IF(WarehouseData[[#This Row],[stock_level]]&lt;=WarehouseData[[#This Row],[Demand During Lead Time]],"At Risk","Safe")</f>
        <v>Safe</v>
      </c>
      <c r="AA2557">
        <f>WarehouseData[[#This Row],[stock_level]]/WarehouseData[[#This Row],[daily_demand]]</f>
        <v>26.637554585152841</v>
      </c>
      <c r="AB2557">
        <f>WarehouseData[[#This Row],[stock_level]]*WarehouseData[[#This Row],[unit_price]]</f>
        <v>13212.6</v>
      </c>
      <c r="AC2557">
        <f>WarehouseData[[#This Row],[stock_level]]*WarehouseData[[#This Row],[holding_cost_per_unit_day]]*30</f>
        <v>3111</v>
      </c>
      <c r="AD2557" t="str">
        <f>IF(WarehouseData[[#This Row],[order_fulfillment_rate]]&gt;=0.9,"Strong",IF(WarehouseData[[#This Row],[order_fulfillment_rate]]&gt;=0.8,"Moderate","Needs Attention"))</f>
        <v>Needs Attention</v>
      </c>
      <c r="AE2557" t="str">
        <f>IF(WarehouseData[[#This Row],[picking_time_seconds]]&gt;120,"Slow",IF(WarehouseData[[#This Row],[picking_time_seconds]]&gt;=60,"Average","Fast"))</f>
        <v>Fast</v>
      </c>
    </row>
    <row r="2558" spans="1:31" x14ac:dyDescent="0.25">
      <c r="A2558" t="s">
        <v>2696</v>
      </c>
      <c r="B2558" t="s">
        <v>36</v>
      </c>
      <c r="C2558">
        <v>477</v>
      </c>
      <c r="D2558">
        <v>86</v>
      </c>
      <c r="E2558">
        <v>10</v>
      </c>
      <c r="F2558">
        <v>3</v>
      </c>
      <c r="G2558">
        <v>34.72</v>
      </c>
      <c r="H2558">
        <v>1.93</v>
      </c>
      <c r="I2558">
        <v>0.96</v>
      </c>
      <c r="J2558" t="s">
        <v>217</v>
      </c>
      <c r="K2558" t="s">
        <v>46</v>
      </c>
      <c r="L2558">
        <v>151</v>
      </c>
      <c r="M2558">
        <v>4.82</v>
      </c>
      <c r="N2558">
        <v>161.88</v>
      </c>
      <c r="O2558">
        <v>0.77</v>
      </c>
      <c r="P2558">
        <v>5</v>
      </c>
      <c r="Q2558">
        <v>0.89</v>
      </c>
      <c r="R2558">
        <v>582</v>
      </c>
      <c r="S2558">
        <v>7.39</v>
      </c>
      <c r="T2558">
        <v>0.47</v>
      </c>
      <c r="U2558" s="1">
        <v>45357</v>
      </c>
      <c r="V2558">
        <v>88.81</v>
      </c>
      <c r="W2558">
        <v>0.59399999999999997</v>
      </c>
      <c r="X2558" t="str">
        <f>IF(WarehouseData[[#This Row],[stock_level]]&lt;=WarehouseData[[#This Row],[reorder_point]],"Low Stock","Sufficient Stock")</f>
        <v>Sufficient Stock</v>
      </c>
      <c r="Y2558">
        <f>WarehouseData[[#This Row],[daily_demand]]*WarehouseData[[#This Row],[lead_time_days]]</f>
        <v>104.16</v>
      </c>
      <c r="Z2558" t="str">
        <f>IF(WarehouseData[[#This Row],[stock_level]]&lt;=WarehouseData[[#This Row],[Demand During Lead Time]],"At Risk","Safe")</f>
        <v>Safe</v>
      </c>
      <c r="AA2558">
        <f>WarehouseData[[#This Row],[stock_level]]/WarehouseData[[#This Row],[daily_demand]]</f>
        <v>13.738479262672811</v>
      </c>
      <c r="AB2558">
        <f>WarehouseData[[#This Row],[stock_level]]*WarehouseData[[#This Row],[unit_price]]</f>
        <v>77216.759999999995</v>
      </c>
      <c r="AC2558">
        <f>WarehouseData[[#This Row],[stock_level]]*WarehouseData[[#This Row],[holding_cost_per_unit_day]]*30</f>
        <v>11018.7</v>
      </c>
      <c r="AD2558" t="str">
        <f>IF(WarehouseData[[#This Row],[order_fulfillment_rate]]&gt;=0.9,"Strong",IF(WarehouseData[[#This Row],[order_fulfillment_rate]]&gt;=0.8,"Moderate","Needs Attention"))</f>
        <v>Moderate</v>
      </c>
      <c r="AE2558" t="str">
        <f>IF(WarehouseData[[#This Row],[picking_time_seconds]]&gt;120,"Slow",IF(WarehouseData[[#This Row],[picking_time_seconds]]&gt;=60,"Average","Fast"))</f>
        <v>Slow</v>
      </c>
    </row>
    <row r="2559" spans="1:31" x14ac:dyDescent="0.25">
      <c r="A2559" t="s">
        <v>2697</v>
      </c>
      <c r="B2559" t="s">
        <v>48</v>
      </c>
      <c r="C2559">
        <v>249</v>
      </c>
      <c r="D2559">
        <v>69</v>
      </c>
      <c r="E2559">
        <v>4</v>
      </c>
      <c r="F2559">
        <v>6</v>
      </c>
      <c r="G2559">
        <v>48.03</v>
      </c>
      <c r="H2559">
        <v>5.84</v>
      </c>
      <c r="I2559">
        <v>0.7</v>
      </c>
      <c r="J2559" t="s">
        <v>106</v>
      </c>
      <c r="K2559" t="s">
        <v>34</v>
      </c>
      <c r="L2559">
        <v>50</v>
      </c>
      <c r="M2559">
        <v>1.94</v>
      </c>
      <c r="N2559">
        <v>100.86</v>
      </c>
      <c r="O2559">
        <v>1.88</v>
      </c>
      <c r="P2559">
        <v>5</v>
      </c>
      <c r="Q2559">
        <v>0.86</v>
      </c>
      <c r="R2559">
        <v>657</v>
      </c>
      <c r="S2559">
        <v>5.82</v>
      </c>
      <c r="T2559">
        <v>0.21</v>
      </c>
      <c r="U2559" s="1">
        <v>45635</v>
      </c>
      <c r="V2559">
        <v>30.45</v>
      </c>
      <c r="W2559">
        <v>0.40400000000000003</v>
      </c>
      <c r="X2559" t="str">
        <f>IF(WarehouseData[[#This Row],[stock_level]]&lt;=WarehouseData[[#This Row],[reorder_point]],"Low Stock","Sufficient Stock")</f>
        <v>Sufficient Stock</v>
      </c>
      <c r="Y2559">
        <f>WarehouseData[[#This Row],[daily_demand]]*WarehouseData[[#This Row],[lead_time_days]]</f>
        <v>288.18</v>
      </c>
      <c r="Z2559" t="str">
        <f>IF(WarehouseData[[#This Row],[stock_level]]&lt;=WarehouseData[[#This Row],[Demand During Lead Time]],"At Risk","Safe")</f>
        <v>At Risk</v>
      </c>
      <c r="AA2559">
        <f>WarehouseData[[#This Row],[stock_level]]/WarehouseData[[#This Row],[daily_demand]]</f>
        <v>5.1842598376014992</v>
      </c>
      <c r="AB2559">
        <f>WarehouseData[[#This Row],[stock_level]]*WarehouseData[[#This Row],[unit_price]]</f>
        <v>25114.14</v>
      </c>
      <c r="AC2559">
        <f>WarehouseData[[#This Row],[stock_level]]*WarehouseData[[#This Row],[holding_cost_per_unit_day]]*30</f>
        <v>14043.599999999999</v>
      </c>
      <c r="AD2559" t="str">
        <f>IF(WarehouseData[[#This Row],[order_fulfillment_rate]]&gt;=0.9,"Strong",IF(WarehouseData[[#This Row],[order_fulfillment_rate]]&gt;=0.8,"Moderate","Needs Attention"))</f>
        <v>Moderate</v>
      </c>
      <c r="AE2559" t="str">
        <f>IF(WarehouseData[[#This Row],[picking_time_seconds]]&gt;120,"Slow",IF(WarehouseData[[#This Row],[picking_time_seconds]]&gt;=60,"Average","Fast"))</f>
        <v>Fast</v>
      </c>
    </row>
    <row r="2560" spans="1:31" x14ac:dyDescent="0.25">
      <c r="A2560" t="s">
        <v>2698</v>
      </c>
      <c r="B2560" t="s">
        <v>36</v>
      </c>
      <c r="C2560">
        <v>165</v>
      </c>
      <c r="D2560">
        <v>24</v>
      </c>
      <c r="E2560">
        <v>8</v>
      </c>
      <c r="F2560">
        <v>8</v>
      </c>
      <c r="G2560">
        <v>23.46</v>
      </c>
      <c r="H2560">
        <v>2</v>
      </c>
      <c r="I2560">
        <v>0.56000000000000005</v>
      </c>
      <c r="J2560" t="s">
        <v>377</v>
      </c>
      <c r="K2560" t="s">
        <v>34</v>
      </c>
      <c r="L2560">
        <v>179</v>
      </c>
      <c r="M2560">
        <v>3.71</v>
      </c>
      <c r="N2560">
        <v>37.590000000000003</v>
      </c>
      <c r="O2560">
        <v>0.33</v>
      </c>
      <c r="P2560">
        <v>2</v>
      </c>
      <c r="Q2560">
        <v>0.87</v>
      </c>
      <c r="R2560">
        <v>100</v>
      </c>
      <c r="S2560">
        <v>7.99</v>
      </c>
      <c r="T2560">
        <v>0.3</v>
      </c>
      <c r="U2560" s="1">
        <v>45627</v>
      </c>
      <c r="V2560">
        <v>157.91</v>
      </c>
      <c r="W2560">
        <v>0.66800000000000004</v>
      </c>
      <c r="X2560" t="str">
        <f>IF(WarehouseData[[#This Row],[stock_level]]&lt;=WarehouseData[[#This Row],[reorder_point]],"Low Stock","Sufficient Stock")</f>
        <v>Sufficient Stock</v>
      </c>
      <c r="Y2560">
        <f>WarehouseData[[#This Row],[daily_demand]]*WarehouseData[[#This Row],[lead_time_days]]</f>
        <v>187.68</v>
      </c>
      <c r="Z2560" t="str">
        <f>IF(WarehouseData[[#This Row],[stock_level]]&lt;=WarehouseData[[#This Row],[Demand During Lead Time]],"At Risk","Safe")</f>
        <v>At Risk</v>
      </c>
      <c r="AA2560">
        <f>WarehouseData[[#This Row],[stock_level]]/WarehouseData[[#This Row],[daily_demand]]</f>
        <v>7.0332480818414318</v>
      </c>
      <c r="AB2560">
        <f>WarehouseData[[#This Row],[stock_level]]*WarehouseData[[#This Row],[unit_price]]</f>
        <v>6202.35</v>
      </c>
      <c r="AC2560">
        <f>WarehouseData[[#This Row],[stock_level]]*WarehouseData[[#This Row],[holding_cost_per_unit_day]]*30</f>
        <v>1633.5</v>
      </c>
      <c r="AD2560" t="str">
        <f>IF(WarehouseData[[#This Row],[order_fulfillment_rate]]&gt;=0.9,"Strong",IF(WarehouseData[[#This Row],[order_fulfillment_rate]]&gt;=0.8,"Moderate","Needs Attention"))</f>
        <v>Moderate</v>
      </c>
      <c r="AE2560" t="str">
        <f>IF(WarehouseData[[#This Row],[picking_time_seconds]]&gt;120,"Slow",IF(WarehouseData[[#This Row],[picking_time_seconds]]&gt;=60,"Average","Fast"))</f>
        <v>Slow</v>
      </c>
    </row>
    <row r="2561" spans="1:31" x14ac:dyDescent="0.25">
      <c r="A2561" t="s">
        <v>2699</v>
      </c>
      <c r="B2561" t="s">
        <v>48</v>
      </c>
      <c r="C2561">
        <v>389</v>
      </c>
      <c r="D2561">
        <v>45</v>
      </c>
      <c r="E2561">
        <v>7</v>
      </c>
      <c r="F2561">
        <v>6</v>
      </c>
      <c r="G2561">
        <v>26.62</v>
      </c>
      <c r="H2561">
        <v>7.49</v>
      </c>
      <c r="I2561">
        <v>0.75</v>
      </c>
      <c r="J2561" t="s">
        <v>95</v>
      </c>
      <c r="K2561" t="s">
        <v>38</v>
      </c>
      <c r="L2561">
        <v>22</v>
      </c>
      <c r="M2561">
        <v>2.78</v>
      </c>
      <c r="N2561">
        <v>140.49</v>
      </c>
      <c r="O2561">
        <v>1.65</v>
      </c>
      <c r="P2561">
        <v>5</v>
      </c>
      <c r="Q2561">
        <v>0.83</v>
      </c>
      <c r="R2561">
        <v>898</v>
      </c>
      <c r="S2561">
        <v>10.050000000000001</v>
      </c>
      <c r="T2561">
        <v>0.24</v>
      </c>
      <c r="U2561" s="1">
        <v>45412</v>
      </c>
      <c r="V2561">
        <v>36.11</v>
      </c>
      <c r="W2561">
        <v>0.48299999999999998</v>
      </c>
      <c r="X2561" t="str">
        <f>IF(WarehouseData[[#This Row],[stock_level]]&lt;=WarehouseData[[#This Row],[reorder_point]],"Low Stock","Sufficient Stock")</f>
        <v>Sufficient Stock</v>
      </c>
      <c r="Y2561">
        <f>WarehouseData[[#This Row],[daily_demand]]*WarehouseData[[#This Row],[lead_time_days]]</f>
        <v>159.72</v>
      </c>
      <c r="Z2561" t="str">
        <f>IF(WarehouseData[[#This Row],[stock_level]]&lt;=WarehouseData[[#This Row],[Demand During Lead Time]],"At Risk","Safe")</f>
        <v>Safe</v>
      </c>
      <c r="AA2561">
        <f>WarehouseData[[#This Row],[stock_level]]/WarehouseData[[#This Row],[daily_demand]]</f>
        <v>14.613072877535688</v>
      </c>
      <c r="AB2561">
        <f>WarehouseData[[#This Row],[stock_level]]*WarehouseData[[#This Row],[unit_price]]</f>
        <v>54650.61</v>
      </c>
      <c r="AC2561">
        <f>WarehouseData[[#This Row],[stock_level]]*WarehouseData[[#This Row],[holding_cost_per_unit_day]]*30</f>
        <v>19255.499999999996</v>
      </c>
      <c r="AD2561" t="str">
        <f>IF(WarehouseData[[#This Row],[order_fulfillment_rate]]&gt;=0.9,"Strong",IF(WarehouseData[[#This Row],[order_fulfillment_rate]]&gt;=0.8,"Moderate","Needs Attention"))</f>
        <v>Moderate</v>
      </c>
      <c r="AE2561" t="str">
        <f>IF(WarehouseData[[#This Row],[picking_time_seconds]]&gt;120,"Slow",IF(WarehouseData[[#This Row],[picking_time_seconds]]&gt;=60,"Average","Fast"))</f>
        <v>Fast</v>
      </c>
    </row>
    <row r="2562" spans="1:31" x14ac:dyDescent="0.25">
      <c r="A2562" t="s">
        <v>2700</v>
      </c>
      <c r="B2562" t="s">
        <v>36</v>
      </c>
      <c r="C2562">
        <v>216</v>
      </c>
      <c r="D2562">
        <v>72</v>
      </c>
      <c r="E2562">
        <v>5</v>
      </c>
      <c r="F2562">
        <v>2</v>
      </c>
      <c r="G2562">
        <v>12.75</v>
      </c>
      <c r="H2562">
        <v>0.85</v>
      </c>
      <c r="I2562">
        <v>0.39</v>
      </c>
      <c r="J2562" t="s">
        <v>466</v>
      </c>
      <c r="K2562" t="s">
        <v>46</v>
      </c>
      <c r="L2562">
        <v>166</v>
      </c>
      <c r="M2562">
        <v>3.51</v>
      </c>
      <c r="N2562">
        <v>188.73</v>
      </c>
      <c r="O2562">
        <v>1.1200000000000001</v>
      </c>
      <c r="P2562">
        <v>9</v>
      </c>
      <c r="Q2562">
        <v>0.84</v>
      </c>
      <c r="R2562">
        <v>872</v>
      </c>
      <c r="S2562">
        <v>12.4</v>
      </c>
      <c r="T2562">
        <v>0.39</v>
      </c>
      <c r="U2562" s="1">
        <v>45343</v>
      </c>
      <c r="V2562">
        <v>240.75</v>
      </c>
      <c r="W2562">
        <v>0.51900000000000002</v>
      </c>
      <c r="X2562" t="str">
        <f>IF(WarehouseData[[#This Row],[stock_level]]&lt;=WarehouseData[[#This Row],[reorder_point]],"Low Stock","Sufficient Stock")</f>
        <v>Sufficient Stock</v>
      </c>
      <c r="Y2562">
        <f>WarehouseData[[#This Row],[daily_demand]]*WarehouseData[[#This Row],[lead_time_days]]</f>
        <v>25.5</v>
      </c>
      <c r="Z2562" t="str">
        <f>IF(WarehouseData[[#This Row],[stock_level]]&lt;=WarehouseData[[#This Row],[Demand During Lead Time]],"At Risk","Safe")</f>
        <v>Safe</v>
      </c>
      <c r="AA2562">
        <f>WarehouseData[[#This Row],[stock_level]]/WarehouseData[[#This Row],[daily_demand]]</f>
        <v>16.941176470588236</v>
      </c>
      <c r="AB2562">
        <f>WarehouseData[[#This Row],[stock_level]]*WarehouseData[[#This Row],[unit_price]]</f>
        <v>40765.68</v>
      </c>
      <c r="AC2562">
        <f>WarehouseData[[#This Row],[stock_level]]*WarehouseData[[#This Row],[holding_cost_per_unit_day]]*30</f>
        <v>7257.6</v>
      </c>
      <c r="AD2562" t="str">
        <f>IF(WarehouseData[[#This Row],[order_fulfillment_rate]]&gt;=0.9,"Strong",IF(WarehouseData[[#This Row],[order_fulfillment_rate]]&gt;=0.8,"Moderate","Needs Attention"))</f>
        <v>Moderate</v>
      </c>
      <c r="AE2562" t="str">
        <f>IF(WarehouseData[[#This Row],[picking_time_seconds]]&gt;120,"Slow",IF(WarehouseData[[#This Row],[picking_time_seconds]]&gt;=60,"Average","Fast"))</f>
        <v>Slow</v>
      </c>
    </row>
    <row r="2563" spans="1:31" x14ac:dyDescent="0.25">
      <c r="A2563" t="s">
        <v>2701</v>
      </c>
      <c r="B2563" t="s">
        <v>40</v>
      </c>
      <c r="C2563">
        <v>392</v>
      </c>
      <c r="D2563">
        <v>78</v>
      </c>
      <c r="E2563">
        <v>7</v>
      </c>
      <c r="F2563">
        <v>5</v>
      </c>
      <c r="G2563">
        <v>44.7</v>
      </c>
      <c r="H2563">
        <v>2.97</v>
      </c>
      <c r="I2563">
        <v>0.66</v>
      </c>
      <c r="J2563" t="s">
        <v>202</v>
      </c>
      <c r="K2563" t="s">
        <v>46</v>
      </c>
      <c r="L2563">
        <v>171</v>
      </c>
      <c r="M2563">
        <v>1</v>
      </c>
      <c r="N2563">
        <v>118.77</v>
      </c>
      <c r="O2563">
        <v>1.3</v>
      </c>
      <c r="P2563">
        <v>6</v>
      </c>
      <c r="Q2563">
        <v>0.93</v>
      </c>
      <c r="R2563">
        <v>518</v>
      </c>
      <c r="S2563">
        <v>3.56</v>
      </c>
      <c r="T2563">
        <v>0.25</v>
      </c>
      <c r="U2563" s="1">
        <v>45437</v>
      </c>
      <c r="V2563">
        <v>21.53</v>
      </c>
      <c r="W2563">
        <v>0.433</v>
      </c>
      <c r="X2563" t="str">
        <f>IF(WarehouseData[[#This Row],[stock_level]]&lt;=WarehouseData[[#This Row],[reorder_point]],"Low Stock","Sufficient Stock")</f>
        <v>Sufficient Stock</v>
      </c>
      <c r="Y2563">
        <f>WarehouseData[[#This Row],[daily_demand]]*WarehouseData[[#This Row],[lead_time_days]]</f>
        <v>223.5</v>
      </c>
      <c r="Z2563" t="str">
        <f>IF(WarehouseData[[#This Row],[stock_level]]&lt;=WarehouseData[[#This Row],[Demand During Lead Time]],"At Risk","Safe")</f>
        <v>Safe</v>
      </c>
      <c r="AA2563">
        <f>WarehouseData[[#This Row],[stock_level]]/WarehouseData[[#This Row],[daily_demand]]</f>
        <v>8.7695749440715876</v>
      </c>
      <c r="AB2563">
        <f>WarehouseData[[#This Row],[stock_level]]*WarehouseData[[#This Row],[unit_price]]</f>
        <v>46557.84</v>
      </c>
      <c r="AC2563">
        <f>WarehouseData[[#This Row],[stock_level]]*WarehouseData[[#This Row],[holding_cost_per_unit_day]]*30</f>
        <v>15288</v>
      </c>
      <c r="AD2563" t="str">
        <f>IF(WarehouseData[[#This Row],[order_fulfillment_rate]]&gt;=0.9,"Strong",IF(WarehouseData[[#This Row],[order_fulfillment_rate]]&gt;=0.8,"Moderate","Needs Attention"))</f>
        <v>Strong</v>
      </c>
      <c r="AE2563" t="str">
        <f>IF(WarehouseData[[#This Row],[picking_time_seconds]]&gt;120,"Slow",IF(WarehouseData[[#This Row],[picking_time_seconds]]&gt;=60,"Average","Fast"))</f>
        <v>Slow</v>
      </c>
    </row>
    <row r="2564" spans="1:31" x14ac:dyDescent="0.25">
      <c r="A2564" t="s">
        <v>2702</v>
      </c>
      <c r="B2564" t="s">
        <v>48</v>
      </c>
      <c r="C2564">
        <v>240</v>
      </c>
      <c r="D2564">
        <v>95</v>
      </c>
      <c r="E2564">
        <v>7</v>
      </c>
      <c r="F2564">
        <v>4</v>
      </c>
      <c r="G2564">
        <v>48.59</v>
      </c>
      <c r="H2564">
        <v>7.11</v>
      </c>
      <c r="I2564">
        <v>0.75</v>
      </c>
      <c r="J2564" t="s">
        <v>181</v>
      </c>
      <c r="K2564" t="s">
        <v>38</v>
      </c>
      <c r="L2564">
        <v>141</v>
      </c>
      <c r="M2564">
        <v>2.83</v>
      </c>
      <c r="N2564">
        <v>28.75</v>
      </c>
      <c r="O2564">
        <v>0.42</v>
      </c>
      <c r="P2564">
        <v>1</v>
      </c>
      <c r="Q2564">
        <v>0.77</v>
      </c>
      <c r="R2564">
        <v>941</v>
      </c>
      <c r="S2564">
        <v>6.68</v>
      </c>
      <c r="T2564">
        <v>0.46</v>
      </c>
      <c r="U2564" s="1">
        <v>45609</v>
      </c>
      <c r="V2564">
        <v>147.86000000000001</v>
      </c>
      <c r="W2564">
        <v>0.67300000000000004</v>
      </c>
      <c r="X2564" t="str">
        <f>IF(WarehouseData[[#This Row],[stock_level]]&lt;=WarehouseData[[#This Row],[reorder_point]],"Low Stock","Sufficient Stock")</f>
        <v>Sufficient Stock</v>
      </c>
      <c r="Y2564">
        <f>WarehouseData[[#This Row],[daily_demand]]*WarehouseData[[#This Row],[lead_time_days]]</f>
        <v>194.36</v>
      </c>
      <c r="Z2564" t="str">
        <f>IF(WarehouseData[[#This Row],[stock_level]]&lt;=WarehouseData[[#This Row],[Demand During Lead Time]],"At Risk","Safe")</f>
        <v>Safe</v>
      </c>
      <c r="AA2564">
        <f>WarehouseData[[#This Row],[stock_level]]/WarehouseData[[#This Row],[daily_demand]]</f>
        <v>4.9392879193249639</v>
      </c>
      <c r="AB2564">
        <f>WarehouseData[[#This Row],[stock_level]]*WarehouseData[[#This Row],[unit_price]]</f>
        <v>6900</v>
      </c>
      <c r="AC2564">
        <f>WarehouseData[[#This Row],[stock_level]]*WarehouseData[[#This Row],[holding_cost_per_unit_day]]*30</f>
        <v>3024</v>
      </c>
      <c r="AD2564" t="str">
        <f>IF(WarehouseData[[#This Row],[order_fulfillment_rate]]&gt;=0.9,"Strong",IF(WarehouseData[[#This Row],[order_fulfillment_rate]]&gt;=0.8,"Moderate","Needs Attention"))</f>
        <v>Needs Attention</v>
      </c>
      <c r="AE2564" t="str">
        <f>IF(WarehouseData[[#This Row],[picking_time_seconds]]&gt;120,"Slow",IF(WarehouseData[[#This Row],[picking_time_seconds]]&gt;=60,"Average","Fast"))</f>
        <v>Slow</v>
      </c>
    </row>
    <row r="2565" spans="1:31" x14ac:dyDescent="0.25">
      <c r="A2565" t="s">
        <v>2703</v>
      </c>
      <c r="B2565" t="s">
        <v>36</v>
      </c>
      <c r="C2565">
        <v>442</v>
      </c>
      <c r="D2565">
        <v>89</v>
      </c>
      <c r="E2565">
        <v>7</v>
      </c>
      <c r="F2565">
        <v>6</v>
      </c>
      <c r="G2565">
        <v>39.53</v>
      </c>
      <c r="H2565">
        <v>2.93</v>
      </c>
      <c r="I2565">
        <v>0.23</v>
      </c>
      <c r="J2565" t="s">
        <v>110</v>
      </c>
      <c r="K2565" t="s">
        <v>34</v>
      </c>
      <c r="L2565">
        <v>37</v>
      </c>
      <c r="M2565">
        <v>2.2599999999999998</v>
      </c>
      <c r="N2565">
        <v>20.399999999999999</v>
      </c>
      <c r="O2565">
        <v>0.39</v>
      </c>
      <c r="P2565">
        <v>2</v>
      </c>
      <c r="Q2565">
        <v>0.82</v>
      </c>
      <c r="R2565">
        <v>437</v>
      </c>
      <c r="S2565">
        <v>7.46</v>
      </c>
      <c r="T2565">
        <v>0.3</v>
      </c>
      <c r="U2565" s="1">
        <v>45327</v>
      </c>
      <c r="V2565">
        <v>131.97999999999999</v>
      </c>
      <c r="W2565">
        <v>0.64400000000000002</v>
      </c>
      <c r="X2565" t="str">
        <f>IF(WarehouseData[[#This Row],[stock_level]]&lt;=WarehouseData[[#This Row],[reorder_point]],"Low Stock","Sufficient Stock")</f>
        <v>Sufficient Stock</v>
      </c>
      <c r="Y2565">
        <f>WarehouseData[[#This Row],[daily_demand]]*WarehouseData[[#This Row],[lead_time_days]]</f>
        <v>237.18</v>
      </c>
      <c r="Z2565" t="str">
        <f>IF(WarehouseData[[#This Row],[stock_level]]&lt;=WarehouseData[[#This Row],[Demand During Lead Time]],"At Risk","Safe")</f>
        <v>Safe</v>
      </c>
      <c r="AA2565">
        <f>WarehouseData[[#This Row],[stock_level]]/WarehouseData[[#This Row],[daily_demand]]</f>
        <v>11.181381229445989</v>
      </c>
      <c r="AB2565">
        <f>WarehouseData[[#This Row],[stock_level]]*WarehouseData[[#This Row],[unit_price]]</f>
        <v>9016.7999999999993</v>
      </c>
      <c r="AC2565">
        <f>WarehouseData[[#This Row],[stock_level]]*WarehouseData[[#This Row],[holding_cost_per_unit_day]]*30</f>
        <v>5171.3999999999996</v>
      </c>
      <c r="AD2565" t="str">
        <f>IF(WarehouseData[[#This Row],[order_fulfillment_rate]]&gt;=0.9,"Strong",IF(WarehouseData[[#This Row],[order_fulfillment_rate]]&gt;=0.8,"Moderate","Needs Attention"))</f>
        <v>Moderate</v>
      </c>
      <c r="AE2565" t="str">
        <f>IF(WarehouseData[[#This Row],[picking_time_seconds]]&gt;120,"Slow",IF(WarehouseData[[#This Row],[picking_time_seconds]]&gt;=60,"Average","Fast"))</f>
        <v>Fast</v>
      </c>
    </row>
    <row r="2566" spans="1:31" x14ac:dyDescent="0.25">
      <c r="A2566" t="s">
        <v>2704</v>
      </c>
      <c r="B2566" t="s">
        <v>73</v>
      </c>
      <c r="C2566">
        <v>79</v>
      </c>
      <c r="D2566">
        <v>50</v>
      </c>
      <c r="E2566">
        <v>5</v>
      </c>
      <c r="F2566">
        <v>3</v>
      </c>
      <c r="G2566">
        <v>27.6</v>
      </c>
      <c r="H2566">
        <v>7.42</v>
      </c>
      <c r="I2566">
        <v>0.23</v>
      </c>
      <c r="J2566" t="s">
        <v>81</v>
      </c>
      <c r="K2566" t="s">
        <v>46</v>
      </c>
      <c r="L2566">
        <v>92</v>
      </c>
      <c r="M2566">
        <v>2.5299999999999998</v>
      </c>
      <c r="N2566">
        <v>161.22</v>
      </c>
      <c r="O2566">
        <v>0.41</v>
      </c>
      <c r="P2566">
        <v>5</v>
      </c>
      <c r="Q2566">
        <v>0.99</v>
      </c>
      <c r="R2566">
        <v>111</v>
      </c>
      <c r="S2566">
        <v>7.83</v>
      </c>
      <c r="T2566">
        <v>0.93</v>
      </c>
      <c r="U2566" s="1">
        <v>45391</v>
      </c>
      <c r="V2566">
        <v>68.650000000000006</v>
      </c>
      <c r="W2566">
        <v>0.747</v>
      </c>
      <c r="X2566" t="str">
        <f>IF(WarehouseData[[#This Row],[stock_level]]&lt;=WarehouseData[[#This Row],[reorder_point]],"Low Stock","Sufficient Stock")</f>
        <v>Sufficient Stock</v>
      </c>
      <c r="Y2566">
        <f>WarehouseData[[#This Row],[daily_demand]]*WarehouseData[[#This Row],[lead_time_days]]</f>
        <v>82.800000000000011</v>
      </c>
      <c r="Z2566" t="str">
        <f>IF(WarehouseData[[#This Row],[stock_level]]&lt;=WarehouseData[[#This Row],[Demand During Lead Time]],"At Risk","Safe")</f>
        <v>At Risk</v>
      </c>
      <c r="AA2566">
        <f>WarehouseData[[#This Row],[stock_level]]/WarehouseData[[#This Row],[daily_demand]]</f>
        <v>2.86231884057971</v>
      </c>
      <c r="AB2566">
        <f>WarehouseData[[#This Row],[stock_level]]*WarehouseData[[#This Row],[unit_price]]</f>
        <v>12736.38</v>
      </c>
      <c r="AC2566">
        <f>WarehouseData[[#This Row],[stock_level]]*WarehouseData[[#This Row],[holding_cost_per_unit_day]]*30</f>
        <v>971.7</v>
      </c>
      <c r="AD2566" t="str">
        <f>IF(WarehouseData[[#This Row],[order_fulfillment_rate]]&gt;=0.9,"Strong",IF(WarehouseData[[#This Row],[order_fulfillment_rate]]&gt;=0.8,"Moderate","Needs Attention"))</f>
        <v>Strong</v>
      </c>
      <c r="AE2566" t="str">
        <f>IF(WarehouseData[[#This Row],[picking_time_seconds]]&gt;120,"Slow",IF(WarehouseData[[#This Row],[picking_time_seconds]]&gt;=60,"Average","Fast"))</f>
        <v>Average</v>
      </c>
    </row>
    <row r="2567" spans="1:31" x14ac:dyDescent="0.25">
      <c r="A2567" t="s">
        <v>2705</v>
      </c>
      <c r="B2567" t="s">
        <v>40</v>
      </c>
      <c r="C2567">
        <v>117</v>
      </c>
      <c r="D2567">
        <v>83</v>
      </c>
      <c r="E2567">
        <v>5</v>
      </c>
      <c r="F2567">
        <v>2</v>
      </c>
      <c r="G2567">
        <v>47.88</v>
      </c>
      <c r="H2567">
        <v>9.9600000000000009</v>
      </c>
      <c r="I2567">
        <v>0.74</v>
      </c>
      <c r="J2567" t="s">
        <v>240</v>
      </c>
      <c r="K2567" t="s">
        <v>46</v>
      </c>
      <c r="L2567">
        <v>138</v>
      </c>
      <c r="M2567">
        <v>4.8499999999999996</v>
      </c>
      <c r="N2567">
        <v>128.96</v>
      </c>
      <c r="O2567">
        <v>1.37</v>
      </c>
      <c r="P2567">
        <v>9</v>
      </c>
      <c r="Q2567">
        <v>0.76</v>
      </c>
      <c r="R2567">
        <v>392</v>
      </c>
      <c r="S2567">
        <v>8.59</v>
      </c>
      <c r="T2567">
        <v>0.95</v>
      </c>
      <c r="U2567" s="1">
        <v>45454</v>
      </c>
      <c r="V2567">
        <v>180.19</v>
      </c>
      <c r="W2567">
        <v>0.54</v>
      </c>
      <c r="X2567" t="str">
        <f>IF(WarehouseData[[#This Row],[stock_level]]&lt;=WarehouseData[[#This Row],[reorder_point]],"Low Stock","Sufficient Stock")</f>
        <v>Sufficient Stock</v>
      </c>
      <c r="Y2567">
        <f>WarehouseData[[#This Row],[daily_demand]]*WarehouseData[[#This Row],[lead_time_days]]</f>
        <v>95.76</v>
      </c>
      <c r="Z2567" t="str">
        <f>IF(WarehouseData[[#This Row],[stock_level]]&lt;=WarehouseData[[#This Row],[Demand During Lead Time]],"At Risk","Safe")</f>
        <v>Safe</v>
      </c>
      <c r="AA2567">
        <f>WarehouseData[[#This Row],[stock_level]]/WarehouseData[[#This Row],[daily_demand]]</f>
        <v>2.4436090225563909</v>
      </c>
      <c r="AB2567">
        <f>WarehouseData[[#This Row],[stock_level]]*WarehouseData[[#This Row],[unit_price]]</f>
        <v>15088.320000000002</v>
      </c>
      <c r="AC2567">
        <f>WarehouseData[[#This Row],[stock_level]]*WarehouseData[[#This Row],[holding_cost_per_unit_day]]*30</f>
        <v>4808.7000000000007</v>
      </c>
      <c r="AD2567" t="str">
        <f>IF(WarehouseData[[#This Row],[order_fulfillment_rate]]&gt;=0.9,"Strong",IF(WarehouseData[[#This Row],[order_fulfillment_rate]]&gt;=0.8,"Moderate","Needs Attention"))</f>
        <v>Needs Attention</v>
      </c>
      <c r="AE2567" t="str">
        <f>IF(WarehouseData[[#This Row],[picking_time_seconds]]&gt;120,"Slow",IF(WarehouseData[[#This Row],[picking_time_seconds]]&gt;=60,"Average","Fast"))</f>
        <v>Slow</v>
      </c>
    </row>
    <row r="2568" spans="1:31" x14ac:dyDescent="0.25">
      <c r="A2568" t="s">
        <v>2706</v>
      </c>
      <c r="B2568" t="s">
        <v>40</v>
      </c>
      <c r="C2568">
        <v>190</v>
      </c>
      <c r="D2568">
        <v>33</v>
      </c>
      <c r="E2568">
        <v>6</v>
      </c>
      <c r="F2568">
        <v>4</v>
      </c>
      <c r="G2568">
        <v>8.5399999999999991</v>
      </c>
      <c r="H2568">
        <v>8.07</v>
      </c>
      <c r="I2568">
        <v>0.49</v>
      </c>
      <c r="J2568" t="s">
        <v>221</v>
      </c>
      <c r="K2568" t="s">
        <v>34</v>
      </c>
      <c r="L2568">
        <v>173</v>
      </c>
      <c r="M2568">
        <v>1.1100000000000001</v>
      </c>
      <c r="N2568">
        <v>185.3</v>
      </c>
      <c r="O2568">
        <v>1.52</v>
      </c>
      <c r="P2568">
        <v>8</v>
      </c>
      <c r="Q2568">
        <v>0.79</v>
      </c>
      <c r="R2568">
        <v>202</v>
      </c>
      <c r="S2568">
        <v>12.22</v>
      </c>
      <c r="T2568">
        <v>0.68</v>
      </c>
      <c r="U2568" s="1">
        <v>45540</v>
      </c>
      <c r="V2568">
        <v>121.97</v>
      </c>
      <c r="W2568">
        <v>0.54500000000000004</v>
      </c>
      <c r="X2568" t="str">
        <f>IF(WarehouseData[[#This Row],[stock_level]]&lt;=WarehouseData[[#This Row],[reorder_point]],"Low Stock","Sufficient Stock")</f>
        <v>Sufficient Stock</v>
      </c>
      <c r="Y2568">
        <f>WarehouseData[[#This Row],[daily_demand]]*WarehouseData[[#This Row],[lead_time_days]]</f>
        <v>34.159999999999997</v>
      </c>
      <c r="Z2568" t="str">
        <f>IF(WarehouseData[[#This Row],[stock_level]]&lt;=WarehouseData[[#This Row],[Demand During Lead Time]],"At Risk","Safe")</f>
        <v>Safe</v>
      </c>
      <c r="AA2568">
        <f>WarehouseData[[#This Row],[stock_level]]/WarehouseData[[#This Row],[daily_demand]]</f>
        <v>22.248243559718972</v>
      </c>
      <c r="AB2568">
        <f>WarehouseData[[#This Row],[stock_level]]*WarehouseData[[#This Row],[unit_price]]</f>
        <v>35207</v>
      </c>
      <c r="AC2568">
        <f>WarehouseData[[#This Row],[stock_level]]*WarehouseData[[#This Row],[holding_cost_per_unit_day]]*30</f>
        <v>8664</v>
      </c>
      <c r="AD2568" t="str">
        <f>IF(WarehouseData[[#This Row],[order_fulfillment_rate]]&gt;=0.9,"Strong",IF(WarehouseData[[#This Row],[order_fulfillment_rate]]&gt;=0.8,"Moderate","Needs Attention"))</f>
        <v>Needs Attention</v>
      </c>
      <c r="AE2568" t="str">
        <f>IF(WarehouseData[[#This Row],[picking_time_seconds]]&gt;120,"Slow",IF(WarehouseData[[#This Row],[picking_time_seconds]]&gt;=60,"Average","Fast"))</f>
        <v>Slow</v>
      </c>
    </row>
    <row r="2569" spans="1:31" x14ac:dyDescent="0.25">
      <c r="A2569" t="s">
        <v>2707</v>
      </c>
      <c r="B2569" t="s">
        <v>73</v>
      </c>
      <c r="C2569">
        <v>401</v>
      </c>
      <c r="D2569">
        <v>91</v>
      </c>
      <c r="E2569">
        <v>9</v>
      </c>
      <c r="F2569">
        <v>7</v>
      </c>
      <c r="G2569">
        <v>24.45</v>
      </c>
      <c r="H2569">
        <v>3.75</v>
      </c>
      <c r="I2569">
        <v>0.9</v>
      </c>
      <c r="J2569" t="s">
        <v>88</v>
      </c>
      <c r="K2569" t="s">
        <v>46</v>
      </c>
      <c r="L2569">
        <v>116</v>
      </c>
      <c r="M2569">
        <v>3.9</v>
      </c>
      <c r="N2569">
        <v>113.98</v>
      </c>
      <c r="O2569">
        <v>1.85</v>
      </c>
      <c r="P2569">
        <v>8</v>
      </c>
      <c r="Q2569">
        <v>0.76</v>
      </c>
      <c r="R2569">
        <v>785</v>
      </c>
      <c r="S2569">
        <v>13.41</v>
      </c>
      <c r="T2569">
        <v>0.84</v>
      </c>
      <c r="U2569" s="1">
        <v>45522</v>
      </c>
      <c r="V2569">
        <v>67.41</v>
      </c>
      <c r="W2569">
        <v>0.55400000000000005</v>
      </c>
      <c r="X2569" t="str">
        <f>IF(WarehouseData[[#This Row],[stock_level]]&lt;=WarehouseData[[#This Row],[reorder_point]],"Low Stock","Sufficient Stock")</f>
        <v>Sufficient Stock</v>
      </c>
      <c r="Y2569">
        <f>WarehouseData[[#This Row],[daily_demand]]*WarehouseData[[#This Row],[lead_time_days]]</f>
        <v>171.15</v>
      </c>
      <c r="Z2569" t="str">
        <f>IF(WarehouseData[[#This Row],[stock_level]]&lt;=WarehouseData[[#This Row],[Demand During Lead Time]],"At Risk","Safe")</f>
        <v>Safe</v>
      </c>
      <c r="AA2569">
        <f>WarehouseData[[#This Row],[stock_level]]/WarehouseData[[#This Row],[daily_demand]]</f>
        <v>16.400817995910021</v>
      </c>
      <c r="AB2569">
        <f>WarehouseData[[#This Row],[stock_level]]*WarehouseData[[#This Row],[unit_price]]</f>
        <v>45705.98</v>
      </c>
      <c r="AC2569">
        <f>WarehouseData[[#This Row],[stock_level]]*WarehouseData[[#This Row],[holding_cost_per_unit_day]]*30</f>
        <v>22255.5</v>
      </c>
      <c r="AD2569" t="str">
        <f>IF(WarehouseData[[#This Row],[order_fulfillment_rate]]&gt;=0.9,"Strong",IF(WarehouseData[[#This Row],[order_fulfillment_rate]]&gt;=0.8,"Moderate","Needs Attention"))</f>
        <v>Needs Attention</v>
      </c>
      <c r="AE2569" t="str">
        <f>IF(WarehouseData[[#This Row],[picking_time_seconds]]&gt;120,"Slow",IF(WarehouseData[[#This Row],[picking_time_seconds]]&gt;=60,"Average","Fast"))</f>
        <v>Average</v>
      </c>
    </row>
    <row r="2570" spans="1:31" x14ac:dyDescent="0.25">
      <c r="A2570" t="s">
        <v>2708</v>
      </c>
      <c r="B2570" t="s">
        <v>36</v>
      </c>
      <c r="C2570">
        <v>192</v>
      </c>
      <c r="D2570">
        <v>58</v>
      </c>
      <c r="E2570">
        <v>14</v>
      </c>
      <c r="F2570">
        <v>3</v>
      </c>
      <c r="G2570">
        <v>27.34</v>
      </c>
      <c r="H2570">
        <v>9.06</v>
      </c>
      <c r="I2570">
        <v>0.38</v>
      </c>
      <c r="J2570" t="s">
        <v>221</v>
      </c>
      <c r="K2570" t="s">
        <v>34</v>
      </c>
      <c r="L2570">
        <v>22</v>
      </c>
      <c r="M2570">
        <v>1.99</v>
      </c>
      <c r="N2570">
        <v>21.86</v>
      </c>
      <c r="O2570">
        <v>0.86</v>
      </c>
      <c r="P2570">
        <v>7</v>
      </c>
      <c r="Q2570">
        <v>0.71</v>
      </c>
      <c r="R2570">
        <v>703</v>
      </c>
      <c r="S2570">
        <v>3.23</v>
      </c>
      <c r="T2570">
        <v>0.74</v>
      </c>
      <c r="U2570" s="1">
        <v>45460</v>
      </c>
      <c r="V2570">
        <v>249.7</v>
      </c>
      <c r="W2570">
        <v>0.50700000000000001</v>
      </c>
      <c r="X2570" t="str">
        <f>IF(WarehouseData[[#This Row],[stock_level]]&lt;=WarehouseData[[#This Row],[reorder_point]],"Low Stock","Sufficient Stock")</f>
        <v>Sufficient Stock</v>
      </c>
      <c r="Y2570">
        <f>WarehouseData[[#This Row],[daily_demand]]*WarehouseData[[#This Row],[lead_time_days]]</f>
        <v>82.02</v>
      </c>
      <c r="Z2570" t="str">
        <f>IF(WarehouseData[[#This Row],[stock_level]]&lt;=WarehouseData[[#This Row],[Demand During Lead Time]],"At Risk","Safe")</f>
        <v>Safe</v>
      </c>
      <c r="AA2570">
        <f>WarehouseData[[#This Row],[stock_level]]/WarehouseData[[#This Row],[daily_demand]]</f>
        <v>7.0226773957571327</v>
      </c>
      <c r="AB2570">
        <f>WarehouseData[[#This Row],[stock_level]]*WarehouseData[[#This Row],[unit_price]]</f>
        <v>4197.12</v>
      </c>
      <c r="AC2570">
        <f>WarehouseData[[#This Row],[stock_level]]*WarehouseData[[#This Row],[holding_cost_per_unit_day]]*30</f>
        <v>4953.6000000000004</v>
      </c>
      <c r="AD2570" t="str">
        <f>IF(WarehouseData[[#This Row],[order_fulfillment_rate]]&gt;=0.9,"Strong",IF(WarehouseData[[#This Row],[order_fulfillment_rate]]&gt;=0.8,"Moderate","Needs Attention"))</f>
        <v>Needs Attention</v>
      </c>
      <c r="AE2570" t="str">
        <f>IF(WarehouseData[[#This Row],[picking_time_seconds]]&gt;120,"Slow",IF(WarehouseData[[#This Row],[picking_time_seconds]]&gt;=60,"Average","Fast"))</f>
        <v>Fast</v>
      </c>
    </row>
    <row r="2571" spans="1:31" x14ac:dyDescent="0.25">
      <c r="A2571" t="s">
        <v>2709</v>
      </c>
      <c r="B2571" t="s">
        <v>32</v>
      </c>
      <c r="C2571">
        <v>170</v>
      </c>
      <c r="D2571">
        <v>27</v>
      </c>
      <c r="E2571">
        <v>14</v>
      </c>
      <c r="F2571">
        <v>3</v>
      </c>
      <c r="G2571">
        <v>25.1</v>
      </c>
      <c r="H2571">
        <v>0.99</v>
      </c>
      <c r="I2571">
        <v>0.14000000000000001</v>
      </c>
      <c r="J2571" t="s">
        <v>133</v>
      </c>
      <c r="K2571" t="s">
        <v>46</v>
      </c>
      <c r="L2571">
        <v>123</v>
      </c>
      <c r="M2571">
        <v>1.81</v>
      </c>
      <c r="N2571">
        <v>86.7</v>
      </c>
      <c r="O2571">
        <v>0.98</v>
      </c>
      <c r="P2571">
        <v>7</v>
      </c>
      <c r="Q2571">
        <v>0.78</v>
      </c>
      <c r="R2571">
        <v>90</v>
      </c>
      <c r="S2571">
        <v>10.98</v>
      </c>
      <c r="T2571">
        <v>0.85</v>
      </c>
      <c r="U2571" s="1">
        <v>45607</v>
      </c>
      <c r="V2571">
        <v>201.6</v>
      </c>
      <c r="W2571">
        <v>0.63400000000000001</v>
      </c>
      <c r="X2571" t="str">
        <f>IF(WarehouseData[[#This Row],[stock_level]]&lt;=WarehouseData[[#This Row],[reorder_point]],"Low Stock","Sufficient Stock")</f>
        <v>Sufficient Stock</v>
      </c>
      <c r="Y2571">
        <f>WarehouseData[[#This Row],[daily_demand]]*WarehouseData[[#This Row],[lead_time_days]]</f>
        <v>75.300000000000011</v>
      </c>
      <c r="Z2571" t="str">
        <f>IF(WarehouseData[[#This Row],[stock_level]]&lt;=WarehouseData[[#This Row],[Demand During Lead Time]],"At Risk","Safe")</f>
        <v>Safe</v>
      </c>
      <c r="AA2571">
        <f>WarehouseData[[#This Row],[stock_level]]/WarehouseData[[#This Row],[daily_demand]]</f>
        <v>6.7729083665338639</v>
      </c>
      <c r="AB2571">
        <f>WarehouseData[[#This Row],[stock_level]]*WarehouseData[[#This Row],[unit_price]]</f>
        <v>14739</v>
      </c>
      <c r="AC2571">
        <f>WarehouseData[[#This Row],[stock_level]]*WarehouseData[[#This Row],[holding_cost_per_unit_day]]*30</f>
        <v>4998</v>
      </c>
      <c r="AD2571" t="str">
        <f>IF(WarehouseData[[#This Row],[order_fulfillment_rate]]&gt;=0.9,"Strong",IF(WarehouseData[[#This Row],[order_fulfillment_rate]]&gt;=0.8,"Moderate","Needs Attention"))</f>
        <v>Needs Attention</v>
      </c>
      <c r="AE2571" t="str">
        <f>IF(WarehouseData[[#This Row],[picking_time_seconds]]&gt;120,"Slow",IF(WarehouseData[[#This Row],[picking_time_seconds]]&gt;=60,"Average","Fast"))</f>
        <v>Slow</v>
      </c>
    </row>
    <row r="2572" spans="1:31" x14ac:dyDescent="0.25">
      <c r="A2572" t="s">
        <v>2710</v>
      </c>
      <c r="B2572" t="s">
        <v>73</v>
      </c>
      <c r="C2572">
        <v>472</v>
      </c>
      <c r="D2572">
        <v>16</v>
      </c>
      <c r="E2572">
        <v>14</v>
      </c>
      <c r="F2572">
        <v>9</v>
      </c>
      <c r="G2572">
        <v>40.32</v>
      </c>
      <c r="H2572">
        <v>7.39</v>
      </c>
      <c r="I2572">
        <v>0.68</v>
      </c>
      <c r="J2572" t="s">
        <v>126</v>
      </c>
      <c r="K2572" t="s">
        <v>46</v>
      </c>
      <c r="L2572">
        <v>115</v>
      </c>
      <c r="M2572">
        <v>1.72</v>
      </c>
      <c r="N2572">
        <v>135.02000000000001</v>
      </c>
      <c r="O2572">
        <v>0.99</v>
      </c>
      <c r="P2572">
        <v>8</v>
      </c>
      <c r="Q2572">
        <v>0.71</v>
      </c>
      <c r="R2572">
        <v>535</v>
      </c>
      <c r="S2572">
        <v>7.71</v>
      </c>
      <c r="T2572">
        <v>0.71</v>
      </c>
      <c r="U2572" s="1">
        <v>45629</v>
      </c>
      <c r="V2572">
        <v>13.52</v>
      </c>
      <c r="W2572">
        <v>0.52800000000000002</v>
      </c>
      <c r="X2572" t="str">
        <f>IF(WarehouseData[[#This Row],[stock_level]]&lt;=WarehouseData[[#This Row],[reorder_point]],"Low Stock","Sufficient Stock")</f>
        <v>Sufficient Stock</v>
      </c>
      <c r="Y2572">
        <f>WarehouseData[[#This Row],[daily_demand]]*WarehouseData[[#This Row],[lead_time_days]]</f>
        <v>362.88</v>
      </c>
      <c r="Z2572" t="str">
        <f>IF(WarehouseData[[#This Row],[stock_level]]&lt;=WarehouseData[[#This Row],[Demand During Lead Time]],"At Risk","Safe")</f>
        <v>Safe</v>
      </c>
      <c r="AA2572">
        <f>WarehouseData[[#This Row],[stock_level]]/WarehouseData[[#This Row],[daily_demand]]</f>
        <v>11.706349206349206</v>
      </c>
      <c r="AB2572">
        <f>WarehouseData[[#This Row],[stock_level]]*WarehouseData[[#This Row],[unit_price]]</f>
        <v>63729.440000000002</v>
      </c>
      <c r="AC2572">
        <f>WarehouseData[[#This Row],[stock_level]]*WarehouseData[[#This Row],[holding_cost_per_unit_day]]*30</f>
        <v>14018.4</v>
      </c>
      <c r="AD2572" t="str">
        <f>IF(WarehouseData[[#This Row],[order_fulfillment_rate]]&gt;=0.9,"Strong",IF(WarehouseData[[#This Row],[order_fulfillment_rate]]&gt;=0.8,"Moderate","Needs Attention"))</f>
        <v>Needs Attention</v>
      </c>
      <c r="AE2572" t="str">
        <f>IF(WarehouseData[[#This Row],[picking_time_seconds]]&gt;120,"Slow",IF(WarehouseData[[#This Row],[picking_time_seconds]]&gt;=60,"Average","Fast"))</f>
        <v>Average</v>
      </c>
    </row>
    <row r="2573" spans="1:31" x14ac:dyDescent="0.25">
      <c r="A2573" t="s">
        <v>2711</v>
      </c>
      <c r="B2573" t="s">
        <v>36</v>
      </c>
      <c r="C2573">
        <v>369</v>
      </c>
      <c r="D2573">
        <v>13</v>
      </c>
      <c r="E2573">
        <v>4</v>
      </c>
      <c r="F2573">
        <v>7</v>
      </c>
      <c r="G2573">
        <v>33.85</v>
      </c>
      <c r="H2573">
        <v>0.72</v>
      </c>
      <c r="I2573">
        <v>0.72</v>
      </c>
      <c r="J2573" t="s">
        <v>223</v>
      </c>
      <c r="K2573" t="s">
        <v>38</v>
      </c>
      <c r="L2573">
        <v>14</v>
      </c>
      <c r="M2573">
        <v>2.0699999999999998</v>
      </c>
      <c r="N2573">
        <v>83.13</v>
      </c>
      <c r="O2573">
        <v>0.61</v>
      </c>
      <c r="P2573">
        <v>8</v>
      </c>
      <c r="Q2573">
        <v>0.75</v>
      </c>
      <c r="R2573">
        <v>727</v>
      </c>
      <c r="S2573">
        <v>6.85</v>
      </c>
      <c r="T2573">
        <v>0.54</v>
      </c>
      <c r="U2573" s="1">
        <v>45448</v>
      </c>
      <c r="V2573">
        <v>155.54</v>
      </c>
      <c r="W2573">
        <v>0.52800000000000002</v>
      </c>
      <c r="X2573" t="str">
        <f>IF(WarehouseData[[#This Row],[stock_level]]&lt;=WarehouseData[[#This Row],[reorder_point]],"Low Stock","Sufficient Stock")</f>
        <v>Sufficient Stock</v>
      </c>
      <c r="Y2573">
        <f>WarehouseData[[#This Row],[daily_demand]]*WarehouseData[[#This Row],[lead_time_days]]</f>
        <v>236.95000000000002</v>
      </c>
      <c r="Z2573" t="str">
        <f>IF(WarehouseData[[#This Row],[stock_level]]&lt;=WarehouseData[[#This Row],[Demand During Lead Time]],"At Risk","Safe")</f>
        <v>Safe</v>
      </c>
      <c r="AA2573">
        <f>WarehouseData[[#This Row],[stock_level]]/WarehouseData[[#This Row],[daily_demand]]</f>
        <v>10.901033973412112</v>
      </c>
      <c r="AB2573">
        <f>WarehouseData[[#This Row],[stock_level]]*WarehouseData[[#This Row],[unit_price]]</f>
        <v>30674.969999999998</v>
      </c>
      <c r="AC2573">
        <f>WarehouseData[[#This Row],[stock_level]]*WarehouseData[[#This Row],[holding_cost_per_unit_day]]*30</f>
        <v>6752.7</v>
      </c>
      <c r="AD2573" t="str">
        <f>IF(WarehouseData[[#This Row],[order_fulfillment_rate]]&gt;=0.9,"Strong",IF(WarehouseData[[#This Row],[order_fulfillment_rate]]&gt;=0.8,"Moderate","Needs Attention"))</f>
        <v>Needs Attention</v>
      </c>
      <c r="AE2573" t="str">
        <f>IF(WarehouseData[[#This Row],[picking_time_seconds]]&gt;120,"Slow",IF(WarehouseData[[#This Row],[picking_time_seconds]]&gt;=60,"Average","Fast"))</f>
        <v>Fast</v>
      </c>
    </row>
    <row r="2574" spans="1:31" x14ac:dyDescent="0.25">
      <c r="A2574" t="s">
        <v>2712</v>
      </c>
      <c r="B2574" t="s">
        <v>73</v>
      </c>
      <c r="C2574">
        <v>409</v>
      </c>
      <c r="D2574">
        <v>99</v>
      </c>
      <c r="E2574">
        <v>12</v>
      </c>
      <c r="F2574">
        <v>5</v>
      </c>
      <c r="G2574">
        <v>7.21</v>
      </c>
      <c r="H2574">
        <v>2.16</v>
      </c>
      <c r="I2574">
        <v>0.6</v>
      </c>
      <c r="J2574" t="s">
        <v>353</v>
      </c>
      <c r="K2574" t="s">
        <v>46</v>
      </c>
      <c r="L2574">
        <v>106</v>
      </c>
      <c r="M2574">
        <v>2.11</v>
      </c>
      <c r="N2574">
        <v>199.92</v>
      </c>
      <c r="O2574">
        <v>0.72</v>
      </c>
      <c r="P2574">
        <v>9</v>
      </c>
      <c r="Q2574">
        <v>0.81</v>
      </c>
      <c r="R2574">
        <v>751</v>
      </c>
      <c r="S2574">
        <v>2.59</v>
      </c>
      <c r="T2574">
        <v>0.9</v>
      </c>
      <c r="U2574" s="1">
        <v>45647</v>
      </c>
      <c r="V2574">
        <v>88.68</v>
      </c>
      <c r="W2574">
        <v>0.52500000000000002</v>
      </c>
      <c r="X2574" t="str">
        <f>IF(WarehouseData[[#This Row],[stock_level]]&lt;=WarehouseData[[#This Row],[reorder_point]],"Low Stock","Sufficient Stock")</f>
        <v>Sufficient Stock</v>
      </c>
      <c r="Y2574">
        <f>WarehouseData[[#This Row],[daily_demand]]*WarehouseData[[#This Row],[lead_time_days]]</f>
        <v>36.049999999999997</v>
      </c>
      <c r="Z2574" t="str">
        <f>IF(WarehouseData[[#This Row],[stock_level]]&lt;=WarehouseData[[#This Row],[Demand During Lead Time]],"At Risk","Safe")</f>
        <v>Safe</v>
      </c>
      <c r="AA2574">
        <f>WarehouseData[[#This Row],[stock_level]]/WarehouseData[[#This Row],[daily_demand]]</f>
        <v>56.726768377253812</v>
      </c>
      <c r="AB2574">
        <f>WarehouseData[[#This Row],[stock_level]]*WarehouseData[[#This Row],[unit_price]]</f>
        <v>81767.28</v>
      </c>
      <c r="AC2574">
        <f>WarehouseData[[#This Row],[stock_level]]*WarehouseData[[#This Row],[holding_cost_per_unit_day]]*30</f>
        <v>8834.4</v>
      </c>
      <c r="AD2574" t="str">
        <f>IF(WarehouseData[[#This Row],[order_fulfillment_rate]]&gt;=0.9,"Strong",IF(WarehouseData[[#This Row],[order_fulfillment_rate]]&gt;=0.8,"Moderate","Needs Attention"))</f>
        <v>Moderate</v>
      </c>
      <c r="AE2574" t="str">
        <f>IF(WarehouseData[[#This Row],[picking_time_seconds]]&gt;120,"Slow",IF(WarehouseData[[#This Row],[picking_time_seconds]]&gt;=60,"Average","Fast"))</f>
        <v>Average</v>
      </c>
    </row>
    <row r="2575" spans="1:31" x14ac:dyDescent="0.25">
      <c r="A2575" t="s">
        <v>2713</v>
      </c>
      <c r="B2575" t="s">
        <v>73</v>
      </c>
      <c r="C2575">
        <v>459</v>
      </c>
      <c r="D2575">
        <v>78</v>
      </c>
      <c r="E2575">
        <v>6</v>
      </c>
      <c r="F2575">
        <v>5</v>
      </c>
      <c r="G2575">
        <v>17.98</v>
      </c>
      <c r="H2575">
        <v>9.8800000000000008</v>
      </c>
      <c r="I2575">
        <v>0.71</v>
      </c>
      <c r="J2575" t="s">
        <v>104</v>
      </c>
      <c r="K2575" t="s">
        <v>34</v>
      </c>
      <c r="L2575">
        <v>23</v>
      </c>
      <c r="M2575">
        <v>1.72</v>
      </c>
      <c r="N2575">
        <v>87.02</v>
      </c>
      <c r="O2575">
        <v>1.71</v>
      </c>
      <c r="P2575">
        <v>8</v>
      </c>
      <c r="Q2575">
        <v>0.71</v>
      </c>
      <c r="R2575">
        <v>858</v>
      </c>
      <c r="S2575">
        <v>1.9</v>
      </c>
      <c r="T2575">
        <v>0.55000000000000004</v>
      </c>
      <c r="U2575" s="1">
        <v>45591</v>
      </c>
      <c r="V2575">
        <v>275.38</v>
      </c>
      <c r="W2575">
        <v>0.34599999999999997</v>
      </c>
      <c r="X2575" t="str">
        <f>IF(WarehouseData[[#This Row],[stock_level]]&lt;=WarehouseData[[#This Row],[reorder_point]],"Low Stock","Sufficient Stock")</f>
        <v>Sufficient Stock</v>
      </c>
      <c r="Y2575">
        <f>WarehouseData[[#This Row],[daily_demand]]*WarehouseData[[#This Row],[lead_time_days]]</f>
        <v>89.9</v>
      </c>
      <c r="Z2575" t="str">
        <f>IF(WarehouseData[[#This Row],[stock_level]]&lt;=WarehouseData[[#This Row],[Demand During Lead Time]],"At Risk","Safe")</f>
        <v>Safe</v>
      </c>
      <c r="AA2575">
        <f>WarehouseData[[#This Row],[stock_level]]/WarehouseData[[#This Row],[daily_demand]]</f>
        <v>25.528364849833146</v>
      </c>
      <c r="AB2575">
        <f>WarehouseData[[#This Row],[stock_level]]*WarehouseData[[#This Row],[unit_price]]</f>
        <v>39942.18</v>
      </c>
      <c r="AC2575">
        <f>WarehouseData[[#This Row],[stock_level]]*WarehouseData[[#This Row],[holding_cost_per_unit_day]]*30</f>
        <v>23546.7</v>
      </c>
      <c r="AD2575" t="str">
        <f>IF(WarehouseData[[#This Row],[order_fulfillment_rate]]&gt;=0.9,"Strong",IF(WarehouseData[[#This Row],[order_fulfillment_rate]]&gt;=0.8,"Moderate","Needs Attention"))</f>
        <v>Needs Attention</v>
      </c>
      <c r="AE2575" t="str">
        <f>IF(WarehouseData[[#This Row],[picking_time_seconds]]&gt;120,"Slow",IF(WarehouseData[[#This Row],[picking_time_seconds]]&gt;=60,"Average","Fast"))</f>
        <v>Fast</v>
      </c>
    </row>
    <row r="2576" spans="1:31" x14ac:dyDescent="0.25">
      <c r="A2576" t="s">
        <v>2714</v>
      </c>
      <c r="B2576" t="s">
        <v>48</v>
      </c>
      <c r="C2576">
        <v>141</v>
      </c>
      <c r="D2576">
        <v>69</v>
      </c>
      <c r="E2576">
        <v>6</v>
      </c>
      <c r="F2576">
        <v>6</v>
      </c>
      <c r="G2576">
        <v>17.61</v>
      </c>
      <c r="H2576">
        <v>3.93</v>
      </c>
      <c r="I2576">
        <v>0.56999999999999995</v>
      </c>
      <c r="J2576" t="s">
        <v>178</v>
      </c>
      <c r="K2576" t="s">
        <v>46</v>
      </c>
      <c r="L2576">
        <v>89</v>
      </c>
      <c r="M2576">
        <v>3.5</v>
      </c>
      <c r="N2576">
        <v>113.78</v>
      </c>
      <c r="O2576">
        <v>0.75</v>
      </c>
      <c r="P2576">
        <v>4</v>
      </c>
      <c r="Q2576">
        <v>0.93</v>
      </c>
      <c r="R2576">
        <v>606</v>
      </c>
      <c r="S2576">
        <v>14.69</v>
      </c>
      <c r="T2576">
        <v>0.52</v>
      </c>
      <c r="U2576" s="1">
        <v>45370</v>
      </c>
      <c r="V2576">
        <v>220.42</v>
      </c>
      <c r="W2576">
        <v>0.73099999999999998</v>
      </c>
      <c r="X2576" t="str">
        <f>IF(WarehouseData[[#This Row],[stock_level]]&lt;=WarehouseData[[#This Row],[reorder_point]],"Low Stock","Sufficient Stock")</f>
        <v>Sufficient Stock</v>
      </c>
      <c r="Y2576">
        <f>WarehouseData[[#This Row],[daily_demand]]*WarehouseData[[#This Row],[lead_time_days]]</f>
        <v>105.66</v>
      </c>
      <c r="Z2576" t="str">
        <f>IF(WarehouseData[[#This Row],[stock_level]]&lt;=WarehouseData[[#This Row],[Demand During Lead Time]],"At Risk","Safe")</f>
        <v>Safe</v>
      </c>
      <c r="AA2576">
        <f>WarehouseData[[#This Row],[stock_level]]/WarehouseData[[#This Row],[daily_demand]]</f>
        <v>8.0068143100511069</v>
      </c>
      <c r="AB2576">
        <f>WarehouseData[[#This Row],[stock_level]]*WarehouseData[[#This Row],[unit_price]]</f>
        <v>16042.98</v>
      </c>
      <c r="AC2576">
        <f>WarehouseData[[#This Row],[stock_level]]*WarehouseData[[#This Row],[holding_cost_per_unit_day]]*30</f>
        <v>3172.5</v>
      </c>
      <c r="AD2576" t="str">
        <f>IF(WarehouseData[[#This Row],[order_fulfillment_rate]]&gt;=0.9,"Strong",IF(WarehouseData[[#This Row],[order_fulfillment_rate]]&gt;=0.8,"Moderate","Needs Attention"))</f>
        <v>Strong</v>
      </c>
      <c r="AE2576" t="str">
        <f>IF(WarehouseData[[#This Row],[picking_time_seconds]]&gt;120,"Slow",IF(WarehouseData[[#This Row],[picking_time_seconds]]&gt;=60,"Average","Fast"))</f>
        <v>Average</v>
      </c>
    </row>
    <row r="2577" spans="1:31" x14ac:dyDescent="0.25">
      <c r="A2577" t="s">
        <v>2715</v>
      </c>
      <c r="B2577" t="s">
        <v>36</v>
      </c>
      <c r="C2577">
        <v>127</v>
      </c>
      <c r="D2577">
        <v>64</v>
      </c>
      <c r="E2577">
        <v>3</v>
      </c>
      <c r="F2577">
        <v>6</v>
      </c>
      <c r="G2577">
        <v>28.72</v>
      </c>
      <c r="H2577">
        <v>8.2899999999999991</v>
      </c>
      <c r="I2577">
        <v>0.72</v>
      </c>
      <c r="J2577" t="s">
        <v>259</v>
      </c>
      <c r="K2577" t="s">
        <v>38</v>
      </c>
      <c r="L2577">
        <v>129</v>
      </c>
      <c r="M2577">
        <v>0.71</v>
      </c>
      <c r="N2577">
        <v>52.82</v>
      </c>
      <c r="O2577">
        <v>1.75</v>
      </c>
      <c r="P2577">
        <v>5</v>
      </c>
      <c r="Q2577">
        <v>0.94</v>
      </c>
      <c r="R2577">
        <v>769</v>
      </c>
      <c r="S2577">
        <v>9.99</v>
      </c>
      <c r="T2577">
        <v>0.7</v>
      </c>
      <c r="U2577" s="1">
        <v>45581</v>
      </c>
      <c r="V2577">
        <v>187.37</v>
      </c>
      <c r="W2577">
        <v>0.58599999999999997</v>
      </c>
      <c r="X2577" t="str">
        <f>IF(WarehouseData[[#This Row],[stock_level]]&lt;=WarehouseData[[#This Row],[reorder_point]],"Low Stock","Sufficient Stock")</f>
        <v>Sufficient Stock</v>
      </c>
      <c r="Y2577">
        <f>WarehouseData[[#This Row],[daily_demand]]*WarehouseData[[#This Row],[lead_time_days]]</f>
        <v>172.32</v>
      </c>
      <c r="Z2577" t="str">
        <f>IF(WarehouseData[[#This Row],[stock_level]]&lt;=WarehouseData[[#This Row],[Demand During Lead Time]],"At Risk","Safe")</f>
        <v>At Risk</v>
      </c>
      <c r="AA2577">
        <f>WarehouseData[[#This Row],[stock_level]]/WarehouseData[[#This Row],[daily_demand]]</f>
        <v>4.422005571030641</v>
      </c>
      <c r="AB2577">
        <f>WarehouseData[[#This Row],[stock_level]]*WarehouseData[[#This Row],[unit_price]]</f>
        <v>6708.14</v>
      </c>
      <c r="AC2577">
        <f>WarehouseData[[#This Row],[stock_level]]*WarehouseData[[#This Row],[holding_cost_per_unit_day]]*30</f>
        <v>6667.5</v>
      </c>
      <c r="AD2577" t="str">
        <f>IF(WarehouseData[[#This Row],[order_fulfillment_rate]]&gt;=0.9,"Strong",IF(WarehouseData[[#This Row],[order_fulfillment_rate]]&gt;=0.8,"Moderate","Needs Attention"))</f>
        <v>Strong</v>
      </c>
      <c r="AE2577" t="str">
        <f>IF(WarehouseData[[#This Row],[picking_time_seconds]]&gt;120,"Slow",IF(WarehouseData[[#This Row],[picking_time_seconds]]&gt;=60,"Average","Fast"))</f>
        <v>Slow</v>
      </c>
    </row>
    <row r="2578" spans="1:31" x14ac:dyDescent="0.25">
      <c r="A2578" t="s">
        <v>2716</v>
      </c>
      <c r="B2578" t="s">
        <v>32</v>
      </c>
      <c r="C2578">
        <v>23</v>
      </c>
      <c r="D2578">
        <v>25</v>
      </c>
      <c r="E2578">
        <v>12</v>
      </c>
      <c r="F2578">
        <v>3</v>
      </c>
      <c r="G2578">
        <v>15.28</v>
      </c>
      <c r="H2578">
        <v>4.07</v>
      </c>
      <c r="I2578">
        <v>0.14000000000000001</v>
      </c>
      <c r="J2578" t="s">
        <v>84</v>
      </c>
      <c r="K2578" t="s">
        <v>46</v>
      </c>
      <c r="L2578">
        <v>169</v>
      </c>
      <c r="M2578">
        <v>2</v>
      </c>
      <c r="N2578">
        <v>38.909999999999997</v>
      </c>
      <c r="O2578">
        <v>0.68</v>
      </c>
      <c r="P2578">
        <v>4</v>
      </c>
      <c r="Q2578">
        <v>0.82</v>
      </c>
      <c r="R2578">
        <v>431</v>
      </c>
      <c r="S2578">
        <v>7.33</v>
      </c>
      <c r="T2578">
        <v>0.95</v>
      </c>
      <c r="U2578" s="1">
        <v>45582</v>
      </c>
      <c r="V2578">
        <v>35.83</v>
      </c>
      <c r="W2578">
        <v>0.70399999999999996</v>
      </c>
      <c r="X2578" t="str">
        <f>IF(WarehouseData[[#This Row],[stock_level]]&lt;=WarehouseData[[#This Row],[reorder_point]],"Low Stock","Sufficient Stock")</f>
        <v>Low Stock</v>
      </c>
      <c r="Y2578">
        <f>WarehouseData[[#This Row],[daily_demand]]*WarehouseData[[#This Row],[lead_time_days]]</f>
        <v>45.839999999999996</v>
      </c>
      <c r="Z2578" t="str">
        <f>IF(WarehouseData[[#This Row],[stock_level]]&lt;=WarehouseData[[#This Row],[Demand During Lead Time]],"At Risk","Safe")</f>
        <v>At Risk</v>
      </c>
      <c r="AA2578">
        <f>WarehouseData[[#This Row],[stock_level]]/WarehouseData[[#This Row],[daily_demand]]</f>
        <v>1.505235602094241</v>
      </c>
      <c r="AB2578">
        <f>WarehouseData[[#This Row],[stock_level]]*WarehouseData[[#This Row],[unit_price]]</f>
        <v>894.93</v>
      </c>
      <c r="AC2578">
        <f>WarehouseData[[#This Row],[stock_level]]*WarehouseData[[#This Row],[holding_cost_per_unit_day]]*30</f>
        <v>469.20000000000005</v>
      </c>
      <c r="AD2578" t="str">
        <f>IF(WarehouseData[[#This Row],[order_fulfillment_rate]]&gt;=0.9,"Strong",IF(WarehouseData[[#This Row],[order_fulfillment_rate]]&gt;=0.8,"Moderate","Needs Attention"))</f>
        <v>Moderate</v>
      </c>
      <c r="AE2578" t="str">
        <f>IF(WarehouseData[[#This Row],[picking_time_seconds]]&gt;120,"Slow",IF(WarehouseData[[#This Row],[picking_time_seconds]]&gt;=60,"Average","Fast"))</f>
        <v>Slow</v>
      </c>
    </row>
    <row r="2579" spans="1:31" x14ac:dyDescent="0.25">
      <c r="A2579" t="s">
        <v>2717</v>
      </c>
      <c r="B2579" t="s">
        <v>48</v>
      </c>
      <c r="C2579">
        <v>112</v>
      </c>
      <c r="D2579">
        <v>99</v>
      </c>
      <c r="E2579">
        <v>10</v>
      </c>
      <c r="F2579">
        <v>8</v>
      </c>
      <c r="G2579">
        <v>6.75</v>
      </c>
      <c r="H2579">
        <v>8.48</v>
      </c>
      <c r="I2579">
        <v>0.43</v>
      </c>
      <c r="J2579" t="s">
        <v>57</v>
      </c>
      <c r="K2579" t="s">
        <v>52</v>
      </c>
      <c r="L2579">
        <v>164</v>
      </c>
      <c r="M2579">
        <v>1.76</v>
      </c>
      <c r="N2579">
        <v>132.61000000000001</v>
      </c>
      <c r="O2579">
        <v>0.75</v>
      </c>
      <c r="P2579">
        <v>0</v>
      </c>
      <c r="Q2579">
        <v>1</v>
      </c>
      <c r="R2579">
        <v>145</v>
      </c>
      <c r="S2579">
        <v>11.66</v>
      </c>
      <c r="T2579">
        <v>0.55000000000000004</v>
      </c>
      <c r="U2579" s="1">
        <v>45478</v>
      </c>
      <c r="V2579">
        <v>279.89</v>
      </c>
      <c r="W2579">
        <v>0.79</v>
      </c>
      <c r="X2579" t="str">
        <f>IF(WarehouseData[[#This Row],[stock_level]]&lt;=WarehouseData[[#This Row],[reorder_point]],"Low Stock","Sufficient Stock")</f>
        <v>Sufficient Stock</v>
      </c>
      <c r="Y2579">
        <f>WarehouseData[[#This Row],[daily_demand]]*WarehouseData[[#This Row],[lead_time_days]]</f>
        <v>54</v>
      </c>
      <c r="Z2579" t="str">
        <f>IF(WarehouseData[[#This Row],[stock_level]]&lt;=WarehouseData[[#This Row],[Demand During Lead Time]],"At Risk","Safe")</f>
        <v>Safe</v>
      </c>
      <c r="AA2579">
        <f>WarehouseData[[#This Row],[stock_level]]/WarehouseData[[#This Row],[daily_demand]]</f>
        <v>16.592592592592592</v>
      </c>
      <c r="AB2579">
        <f>WarehouseData[[#This Row],[stock_level]]*WarehouseData[[#This Row],[unit_price]]</f>
        <v>14852.320000000002</v>
      </c>
      <c r="AC2579">
        <f>WarehouseData[[#This Row],[stock_level]]*WarehouseData[[#This Row],[holding_cost_per_unit_day]]*30</f>
        <v>2520</v>
      </c>
      <c r="AD2579" t="str">
        <f>IF(WarehouseData[[#This Row],[order_fulfillment_rate]]&gt;=0.9,"Strong",IF(WarehouseData[[#This Row],[order_fulfillment_rate]]&gt;=0.8,"Moderate","Needs Attention"))</f>
        <v>Strong</v>
      </c>
      <c r="AE2579" t="str">
        <f>IF(WarehouseData[[#This Row],[picking_time_seconds]]&gt;120,"Slow",IF(WarehouseData[[#This Row],[picking_time_seconds]]&gt;=60,"Average","Fast"))</f>
        <v>Slow</v>
      </c>
    </row>
    <row r="2580" spans="1:31" x14ac:dyDescent="0.25">
      <c r="A2580" t="s">
        <v>2718</v>
      </c>
      <c r="B2580" t="s">
        <v>73</v>
      </c>
      <c r="C2580">
        <v>426</v>
      </c>
      <c r="D2580">
        <v>91</v>
      </c>
      <c r="E2580">
        <v>3</v>
      </c>
      <c r="F2580">
        <v>3</v>
      </c>
      <c r="G2580">
        <v>33.03</v>
      </c>
      <c r="H2580">
        <v>9.67</v>
      </c>
      <c r="I2580">
        <v>0.28999999999999998</v>
      </c>
      <c r="J2580" t="s">
        <v>221</v>
      </c>
      <c r="K2580" t="s">
        <v>34</v>
      </c>
      <c r="L2580">
        <v>44</v>
      </c>
      <c r="M2580">
        <v>3.88</v>
      </c>
      <c r="N2580">
        <v>121.84</v>
      </c>
      <c r="O2580">
        <v>1.1599999999999999</v>
      </c>
      <c r="P2580">
        <v>3</v>
      </c>
      <c r="Q2580">
        <v>0.9</v>
      </c>
      <c r="R2580">
        <v>961</v>
      </c>
      <c r="S2580">
        <v>2.2799999999999998</v>
      </c>
      <c r="T2580">
        <v>0.66</v>
      </c>
      <c r="U2580" s="1">
        <v>45453</v>
      </c>
      <c r="V2580">
        <v>51.82</v>
      </c>
      <c r="W2580">
        <v>0.56599999999999995</v>
      </c>
      <c r="X2580" t="str">
        <f>IF(WarehouseData[[#This Row],[stock_level]]&lt;=WarehouseData[[#This Row],[reorder_point]],"Low Stock","Sufficient Stock")</f>
        <v>Sufficient Stock</v>
      </c>
      <c r="Y2580">
        <f>WarehouseData[[#This Row],[daily_demand]]*WarehouseData[[#This Row],[lead_time_days]]</f>
        <v>99.09</v>
      </c>
      <c r="Z2580" t="str">
        <f>IF(WarehouseData[[#This Row],[stock_level]]&lt;=WarehouseData[[#This Row],[Demand During Lead Time]],"At Risk","Safe")</f>
        <v>Safe</v>
      </c>
      <c r="AA2580">
        <f>WarehouseData[[#This Row],[stock_level]]/WarehouseData[[#This Row],[daily_demand]]</f>
        <v>12.897366030881017</v>
      </c>
      <c r="AB2580">
        <f>WarehouseData[[#This Row],[stock_level]]*WarehouseData[[#This Row],[unit_price]]</f>
        <v>51903.840000000004</v>
      </c>
      <c r="AC2580">
        <f>WarehouseData[[#This Row],[stock_level]]*WarehouseData[[#This Row],[holding_cost_per_unit_day]]*30</f>
        <v>14824.8</v>
      </c>
      <c r="AD2580" t="str">
        <f>IF(WarehouseData[[#This Row],[order_fulfillment_rate]]&gt;=0.9,"Strong",IF(WarehouseData[[#This Row],[order_fulfillment_rate]]&gt;=0.8,"Moderate","Needs Attention"))</f>
        <v>Strong</v>
      </c>
      <c r="AE2580" t="str">
        <f>IF(WarehouseData[[#This Row],[picking_time_seconds]]&gt;120,"Slow",IF(WarehouseData[[#This Row],[picking_time_seconds]]&gt;=60,"Average","Fast"))</f>
        <v>Fast</v>
      </c>
    </row>
    <row r="2581" spans="1:31" x14ac:dyDescent="0.25">
      <c r="A2581" t="s">
        <v>2719</v>
      </c>
      <c r="B2581" t="s">
        <v>73</v>
      </c>
      <c r="C2581">
        <v>25</v>
      </c>
      <c r="D2581">
        <v>38</v>
      </c>
      <c r="E2581">
        <v>10</v>
      </c>
      <c r="F2581">
        <v>6</v>
      </c>
      <c r="G2581">
        <v>42.7</v>
      </c>
      <c r="H2581">
        <v>4.6399999999999997</v>
      </c>
      <c r="I2581">
        <v>0.19</v>
      </c>
      <c r="J2581" t="s">
        <v>340</v>
      </c>
      <c r="K2581" t="s">
        <v>52</v>
      </c>
      <c r="L2581">
        <v>12</v>
      </c>
      <c r="M2581">
        <v>1.1599999999999999</v>
      </c>
      <c r="N2581">
        <v>10.82</v>
      </c>
      <c r="O2581">
        <v>0.3</v>
      </c>
      <c r="P2581">
        <v>0</v>
      </c>
      <c r="Q2581">
        <v>0.92</v>
      </c>
      <c r="R2581">
        <v>836</v>
      </c>
      <c r="S2581">
        <v>9.5</v>
      </c>
      <c r="T2581">
        <v>0.59</v>
      </c>
      <c r="U2581" s="1">
        <v>45511</v>
      </c>
      <c r="V2581">
        <v>140.72</v>
      </c>
      <c r="W2581">
        <v>0.79900000000000004</v>
      </c>
      <c r="X2581" t="str">
        <f>IF(WarehouseData[[#This Row],[stock_level]]&lt;=WarehouseData[[#This Row],[reorder_point]],"Low Stock","Sufficient Stock")</f>
        <v>Low Stock</v>
      </c>
      <c r="Y2581">
        <f>WarehouseData[[#This Row],[daily_demand]]*WarehouseData[[#This Row],[lead_time_days]]</f>
        <v>256.20000000000005</v>
      </c>
      <c r="Z2581" t="str">
        <f>IF(WarehouseData[[#This Row],[stock_level]]&lt;=WarehouseData[[#This Row],[Demand During Lead Time]],"At Risk","Safe")</f>
        <v>At Risk</v>
      </c>
      <c r="AA2581">
        <f>WarehouseData[[#This Row],[stock_level]]/WarehouseData[[#This Row],[daily_demand]]</f>
        <v>0.58548009367681497</v>
      </c>
      <c r="AB2581">
        <f>WarehouseData[[#This Row],[stock_level]]*WarehouseData[[#This Row],[unit_price]]</f>
        <v>270.5</v>
      </c>
      <c r="AC2581">
        <f>WarehouseData[[#This Row],[stock_level]]*WarehouseData[[#This Row],[holding_cost_per_unit_day]]*30</f>
        <v>225</v>
      </c>
      <c r="AD2581" t="str">
        <f>IF(WarehouseData[[#This Row],[order_fulfillment_rate]]&gt;=0.9,"Strong",IF(WarehouseData[[#This Row],[order_fulfillment_rate]]&gt;=0.8,"Moderate","Needs Attention"))</f>
        <v>Strong</v>
      </c>
      <c r="AE2581" t="str">
        <f>IF(WarehouseData[[#This Row],[picking_time_seconds]]&gt;120,"Slow",IF(WarehouseData[[#This Row],[picking_time_seconds]]&gt;=60,"Average","Fast"))</f>
        <v>Fast</v>
      </c>
    </row>
    <row r="2582" spans="1:31" x14ac:dyDescent="0.25">
      <c r="A2582" t="s">
        <v>2720</v>
      </c>
      <c r="B2582" t="s">
        <v>73</v>
      </c>
      <c r="C2582">
        <v>307</v>
      </c>
      <c r="D2582">
        <v>32</v>
      </c>
      <c r="E2582">
        <v>9</v>
      </c>
      <c r="F2582">
        <v>7</v>
      </c>
      <c r="G2582">
        <v>46.65</v>
      </c>
      <c r="H2582">
        <v>5.81</v>
      </c>
      <c r="I2582">
        <v>0.31</v>
      </c>
      <c r="J2582" t="s">
        <v>202</v>
      </c>
      <c r="K2582" t="s">
        <v>38</v>
      </c>
      <c r="L2582">
        <v>13</v>
      </c>
      <c r="M2582">
        <v>4.7300000000000004</v>
      </c>
      <c r="N2582">
        <v>64.11</v>
      </c>
      <c r="O2582">
        <v>1.85</v>
      </c>
      <c r="P2582">
        <v>0</v>
      </c>
      <c r="Q2582">
        <v>0.76</v>
      </c>
      <c r="R2582">
        <v>342</v>
      </c>
      <c r="S2582">
        <v>10.25</v>
      </c>
      <c r="T2582">
        <v>0.93</v>
      </c>
      <c r="U2582" s="1">
        <v>45378</v>
      </c>
      <c r="V2582">
        <v>207.5</v>
      </c>
      <c r="W2582">
        <v>0.69</v>
      </c>
      <c r="X2582" t="str">
        <f>IF(WarehouseData[[#This Row],[stock_level]]&lt;=WarehouseData[[#This Row],[reorder_point]],"Low Stock","Sufficient Stock")</f>
        <v>Sufficient Stock</v>
      </c>
      <c r="Y2582">
        <f>WarehouseData[[#This Row],[daily_demand]]*WarehouseData[[#This Row],[lead_time_days]]</f>
        <v>326.55</v>
      </c>
      <c r="Z2582" t="str">
        <f>IF(WarehouseData[[#This Row],[stock_level]]&lt;=WarehouseData[[#This Row],[Demand During Lead Time]],"At Risk","Safe")</f>
        <v>At Risk</v>
      </c>
      <c r="AA2582">
        <f>WarehouseData[[#This Row],[stock_level]]/WarehouseData[[#This Row],[daily_demand]]</f>
        <v>6.5809217577706329</v>
      </c>
      <c r="AB2582">
        <f>WarehouseData[[#This Row],[stock_level]]*WarehouseData[[#This Row],[unit_price]]</f>
        <v>19681.77</v>
      </c>
      <c r="AC2582">
        <f>WarehouseData[[#This Row],[stock_level]]*WarehouseData[[#This Row],[holding_cost_per_unit_day]]*30</f>
        <v>17038.5</v>
      </c>
      <c r="AD2582" t="str">
        <f>IF(WarehouseData[[#This Row],[order_fulfillment_rate]]&gt;=0.9,"Strong",IF(WarehouseData[[#This Row],[order_fulfillment_rate]]&gt;=0.8,"Moderate","Needs Attention"))</f>
        <v>Needs Attention</v>
      </c>
      <c r="AE2582" t="str">
        <f>IF(WarehouseData[[#This Row],[picking_time_seconds]]&gt;120,"Slow",IF(WarehouseData[[#This Row],[picking_time_seconds]]&gt;=60,"Average","Fast"))</f>
        <v>Fast</v>
      </c>
    </row>
    <row r="2583" spans="1:31" x14ac:dyDescent="0.25">
      <c r="A2583" t="s">
        <v>2721</v>
      </c>
      <c r="B2583" t="s">
        <v>36</v>
      </c>
      <c r="C2583">
        <v>125</v>
      </c>
      <c r="D2583">
        <v>23</v>
      </c>
      <c r="E2583">
        <v>11</v>
      </c>
      <c r="F2583">
        <v>6</v>
      </c>
      <c r="G2583">
        <v>48.66</v>
      </c>
      <c r="H2583">
        <v>6.47</v>
      </c>
      <c r="I2583">
        <v>0.27</v>
      </c>
      <c r="J2583" t="s">
        <v>139</v>
      </c>
      <c r="K2583" t="s">
        <v>52</v>
      </c>
      <c r="L2583">
        <v>144</v>
      </c>
      <c r="M2583">
        <v>1.27</v>
      </c>
      <c r="N2583">
        <v>132.28</v>
      </c>
      <c r="O2583">
        <v>1.66</v>
      </c>
      <c r="P2583">
        <v>2</v>
      </c>
      <c r="Q2583">
        <v>0.95</v>
      </c>
      <c r="R2583">
        <v>284</v>
      </c>
      <c r="S2583">
        <v>7.33</v>
      </c>
      <c r="T2583">
        <v>0.74</v>
      </c>
      <c r="U2583" s="1">
        <v>45294</v>
      </c>
      <c r="V2583">
        <v>153.47999999999999</v>
      </c>
      <c r="W2583">
        <v>0.63</v>
      </c>
      <c r="X2583" t="str">
        <f>IF(WarehouseData[[#This Row],[stock_level]]&lt;=WarehouseData[[#This Row],[reorder_point]],"Low Stock","Sufficient Stock")</f>
        <v>Sufficient Stock</v>
      </c>
      <c r="Y2583">
        <f>WarehouseData[[#This Row],[daily_demand]]*WarehouseData[[#This Row],[lead_time_days]]</f>
        <v>291.95999999999998</v>
      </c>
      <c r="Z2583" t="str">
        <f>IF(WarehouseData[[#This Row],[stock_level]]&lt;=WarehouseData[[#This Row],[Demand During Lead Time]],"At Risk","Safe")</f>
        <v>At Risk</v>
      </c>
      <c r="AA2583">
        <f>WarehouseData[[#This Row],[stock_level]]/WarehouseData[[#This Row],[daily_demand]]</f>
        <v>2.5688450472667492</v>
      </c>
      <c r="AB2583">
        <f>WarehouseData[[#This Row],[stock_level]]*WarehouseData[[#This Row],[unit_price]]</f>
        <v>16535</v>
      </c>
      <c r="AC2583">
        <f>WarehouseData[[#This Row],[stock_level]]*WarehouseData[[#This Row],[holding_cost_per_unit_day]]*30</f>
        <v>6225</v>
      </c>
      <c r="AD2583" t="str">
        <f>IF(WarehouseData[[#This Row],[order_fulfillment_rate]]&gt;=0.9,"Strong",IF(WarehouseData[[#This Row],[order_fulfillment_rate]]&gt;=0.8,"Moderate","Needs Attention"))</f>
        <v>Strong</v>
      </c>
      <c r="AE2583" t="str">
        <f>IF(WarehouseData[[#This Row],[picking_time_seconds]]&gt;120,"Slow",IF(WarehouseData[[#This Row],[picking_time_seconds]]&gt;=60,"Average","Fast"))</f>
        <v>Slow</v>
      </c>
    </row>
    <row r="2584" spans="1:31" x14ac:dyDescent="0.25">
      <c r="A2584" t="s">
        <v>2722</v>
      </c>
      <c r="B2584" t="s">
        <v>36</v>
      </c>
      <c r="C2584">
        <v>165</v>
      </c>
      <c r="D2584">
        <v>88</v>
      </c>
      <c r="E2584">
        <v>10</v>
      </c>
      <c r="F2584">
        <v>3</v>
      </c>
      <c r="G2584">
        <v>39.270000000000003</v>
      </c>
      <c r="H2584">
        <v>9.3800000000000008</v>
      </c>
      <c r="I2584">
        <v>0.98</v>
      </c>
      <c r="J2584" t="s">
        <v>185</v>
      </c>
      <c r="K2584" t="s">
        <v>46</v>
      </c>
      <c r="L2584">
        <v>140</v>
      </c>
      <c r="M2584">
        <v>2.17</v>
      </c>
      <c r="N2584">
        <v>164.33</v>
      </c>
      <c r="O2584">
        <v>1.37</v>
      </c>
      <c r="P2584">
        <v>6</v>
      </c>
      <c r="Q2584">
        <v>0.98</v>
      </c>
      <c r="R2584">
        <v>390</v>
      </c>
      <c r="S2584">
        <v>4.54</v>
      </c>
      <c r="T2584">
        <v>0.54</v>
      </c>
      <c r="U2584" s="1">
        <v>45452</v>
      </c>
      <c r="V2584">
        <v>265.92</v>
      </c>
      <c r="W2584">
        <v>0.50800000000000001</v>
      </c>
      <c r="X2584" t="str">
        <f>IF(WarehouseData[[#This Row],[stock_level]]&lt;=WarehouseData[[#This Row],[reorder_point]],"Low Stock","Sufficient Stock")</f>
        <v>Sufficient Stock</v>
      </c>
      <c r="Y2584">
        <f>WarehouseData[[#This Row],[daily_demand]]*WarehouseData[[#This Row],[lead_time_days]]</f>
        <v>117.81</v>
      </c>
      <c r="Z2584" t="str">
        <f>IF(WarehouseData[[#This Row],[stock_level]]&lt;=WarehouseData[[#This Row],[Demand During Lead Time]],"At Risk","Safe")</f>
        <v>Safe</v>
      </c>
      <c r="AA2584">
        <f>WarehouseData[[#This Row],[stock_level]]/WarehouseData[[#This Row],[daily_demand]]</f>
        <v>4.2016806722689068</v>
      </c>
      <c r="AB2584">
        <f>WarehouseData[[#This Row],[stock_level]]*WarehouseData[[#This Row],[unit_price]]</f>
        <v>27114.45</v>
      </c>
      <c r="AC2584">
        <f>WarehouseData[[#This Row],[stock_level]]*WarehouseData[[#This Row],[holding_cost_per_unit_day]]*30</f>
        <v>6781.5</v>
      </c>
      <c r="AD2584" t="str">
        <f>IF(WarehouseData[[#This Row],[order_fulfillment_rate]]&gt;=0.9,"Strong",IF(WarehouseData[[#This Row],[order_fulfillment_rate]]&gt;=0.8,"Moderate","Needs Attention"))</f>
        <v>Strong</v>
      </c>
      <c r="AE2584" t="str">
        <f>IF(WarehouseData[[#This Row],[picking_time_seconds]]&gt;120,"Slow",IF(WarehouseData[[#This Row],[picking_time_seconds]]&gt;=60,"Average","Fast"))</f>
        <v>Slow</v>
      </c>
    </row>
    <row r="2585" spans="1:31" x14ac:dyDescent="0.25">
      <c r="A2585" t="s">
        <v>2723</v>
      </c>
      <c r="B2585" t="s">
        <v>48</v>
      </c>
      <c r="C2585">
        <v>290</v>
      </c>
      <c r="D2585">
        <v>58</v>
      </c>
      <c r="E2585">
        <v>7</v>
      </c>
      <c r="F2585">
        <v>4</v>
      </c>
      <c r="G2585">
        <v>7.85</v>
      </c>
      <c r="H2585">
        <v>2.94</v>
      </c>
      <c r="I2585">
        <v>0.36</v>
      </c>
      <c r="J2585" t="s">
        <v>98</v>
      </c>
      <c r="K2585" t="s">
        <v>34</v>
      </c>
      <c r="L2585">
        <v>90</v>
      </c>
      <c r="M2585">
        <v>1.4</v>
      </c>
      <c r="N2585">
        <v>69.349999999999994</v>
      </c>
      <c r="O2585">
        <v>1.98</v>
      </c>
      <c r="P2585">
        <v>0</v>
      </c>
      <c r="Q2585">
        <v>0.77</v>
      </c>
      <c r="R2585">
        <v>768</v>
      </c>
      <c r="S2585">
        <v>14.36</v>
      </c>
      <c r="T2585">
        <v>0.69</v>
      </c>
      <c r="U2585" s="1">
        <v>45418</v>
      </c>
      <c r="V2585">
        <v>252.25</v>
      </c>
      <c r="W2585">
        <v>0.68500000000000005</v>
      </c>
      <c r="X2585" t="str">
        <f>IF(WarehouseData[[#This Row],[stock_level]]&lt;=WarehouseData[[#This Row],[reorder_point]],"Low Stock","Sufficient Stock")</f>
        <v>Sufficient Stock</v>
      </c>
      <c r="Y2585">
        <f>WarehouseData[[#This Row],[daily_demand]]*WarehouseData[[#This Row],[lead_time_days]]</f>
        <v>31.4</v>
      </c>
      <c r="Z2585" t="str">
        <f>IF(WarehouseData[[#This Row],[stock_level]]&lt;=WarehouseData[[#This Row],[Demand During Lead Time]],"At Risk","Safe")</f>
        <v>Safe</v>
      </c>
      <c r="AA2585">
        <f>WarehouseData[[#This Row],[stock_level]]/WarehouseData[[#This Row],[daily_demand]]</f>
        <v>36.942675159235669</v>
      </c>
      <c r="AB2585">
        <f>WarehouseData[[#This Row],[stock_level]]*WarehouseData[[#This Row],[unit_price]]</f>
        <v>20111.5</v>
      </c>
      <c r="AC2585">
        <f>WarehouseData[[#This Row],[stock_level]]*WarehouseData[[#This Row],[holding_cost_per_unit_day]]*30</f>
        <v>17226</v>
      </c>
      <c r="AD2585" t="str">
        <f>IF(WarehouseData[[#This Row],[order_fulfillment_rate]]&gt;=0.9,"Strong",IF(WarehouseData[[#This Row],[order_fulfillment_rate]]&gt;=0.8,"Moderate","Needs Attention"))</f>
        <v>Needs Attention</v>
      </c>
      <c r="AE2585" t="str">
        <f>IF(WarehouseData[[#This Row],[picking_time_seconds]]&gt;120,"Slow",IF(WarehouseData[[#This Row],[picking_time_seconds]]&gt;=60,"Average","Fast"))</f>
        <v>Average</v>
      </c>
    </row>
    <row r="2586" spans="1:31" x14ac:dyDescent="0.25">
      <c r="A2586" t="s">
        <v>2724</v>
      </c>
      <c r="B2586" t="s">
        <v>32</v>
      </c>
      <c r="C2586">
        <v>443</v>
      </c>
      <c r="D2586">
        <v>42</v>
      </c>
      <c r="E2586">
        <v>10</v>
      </c>
      <c r="F2586">
        <v>3</v>
      </c>
      <c r="G2586">
        <v>42.8</v>
      </c>
      <c r="H2586">
        <v>6.31</v>
      </c>
      <c r="I2586">
        <v>0.31</v>
      </c>
      <c r="J2586" t="s">
        <v>49</v>
      </c>
      <c r="K2586" t="s">
        <v>52</v>
      </c>
      <c r="L2586">
        <v>120</v>
      </c>
      <c r="M2586">
        <v>1.79</v>
      </c>
      <c r="N2586">
        <v>133.01</v>
      </c>
      <c r="O2586">
        <v>0.13</v>
      </c>
      <c r="P2586">
        <v>6</v>
      </c>
      <c r="Q2586">
        <v>0.91</v>
      </c>
      <c r="R2586">
        <v>587</v>
      </c>
      <c r="S2586">
        <v>5.22</v>
      </c>
      <c r="T2586">
        <v>0.32</v>
      </c>
      <c r="U2586" s="1">
        <v>45405</v>
      </c>
      <c r="V2586">
        <v>49.26</v>
      </c>
      <c r="W2586">
        <v>0.58299999999999996</v>
      </c>
      <c r="X2586" t="str">
        <f>IF(WarehouseData[[#This Row],[stock_level]]&lt;=WarehouseData[[#This Row],[reorder_point]],"Low Stock","Sufficient Stock")</f>
        <v>Sufficient Stock</v>
      </c>
      <c r="Y2586">
        <f>WarehouseData[[#This Row],[daily_demand]]*WarehouseData[[#This Row],[lead_time_days]]</f>
        <v>128.39999999999998</v>
      </c>
      <c r="Z2586" t="str">
        <f>IF(WarehouseData[[#This Row],[stock_level]]&lt;=WarehouseData[[#This Row],[Demand During Lead Time]],"At Risk","Safe")</f>
        <v>Safe</v>
      </c>
      <c r="AA2586">
        <f>WarehouseData[[#This Row],[stock_level]]/WarehouseData[[#This Row],[daily_demand]]</f>
        <v>10.350467289719626</v>
      </c>
      <c r="AB2586">
        <f>WarehouseData[[#This Row],[stock_level]]*WarehouseData[[#This Row],[unit_price]]</f>
        <v>58923.429999999993</v>
      </c>
      <c r="AC2586">
        <f>WarehouseData[[#This Row],[stock_level]]*WarehouseData[[#This Row],[holding_cost_per_unit_day]]*30</f>
        <v>1727.7</v>
      </c>
      <c r="AD2586" t="str">
        <f>IF(WarehouseData[[#This Row],[order_fulfillment_rate]]&gt;=0.9,"Strong",IF(WarehouseData[[#This Row],[order_fulfillment_rate]]&gt;=0.8,"Moderate","Needs Attention"))</f>
        <v>Strong</v>
      </c>
      <c r="AE2586" t="str">
        <f>IF(WarehouseData[[#This Row],[picking_time_seconds]]&gt;120,"Slow",IF(WarehouseData[[#This Row],[picking_time_seconds]]&gt;=60,"Average","Fast"))</f>
        <v>Average</v>
      </c>
    </row>
    <row r="2587" spans="1:31" x14ac:dyDescent="0.25">
      <c r="A2587" t="s">
        <v>2725</v>
      </c>
      <c r="B2587" t="s">
        <v>48</v>
      </c>
      <c r="C2587">
        <v>397</v>
      </c>
      <c r="D2587">
        <v>34</v>
      </c>
      <c r="E2587">
        <v>13</v>
      </c>
      <c r="F2587">
        <v>4</v>
      </c>
      <c r="G2587">
        <v>20.6</v>
      </c>
      <c r="H2587">
        <v>3.58</v>
      </c>
      <c r="I2587">
        <v>0.85</v>
      </c>
      <c r="J2587" t="s">
        <v>240</v>
      </c>
      <c r="K2587" t="s">
        <v>46</v>
      </c>
      <c r="L2587">
        <v>68</v>
      </c>
      <c r="M2587">
        <v>3.92</v>
      </c>
      <c r="N2587">
        <v>60.4</v>
      </c>
      <c r="O2587">
        <v>0.88</v>
      </c>
      <c r="P2587">
        <v>9</v>
      </c>
      <c r="Q2587">
        <v>0.92</v>
      </c>
      <c r="R2587">
        <v>399</v>
      </c>
      <c r="S2587">
        <v>2.75</v>
      </c>
      <c r="T2587">
        <v>0.47</v>
      </c>
      <c r="U2587" s="1">
        <v>45656</v>
      </c>
      <c r="V2587">
        <v>189.11</v>
      </c>
      <c r="W2587">
        <v>0.44700000000000001</v>
      </c>
      <c r="X2587" t="str">
        <f>IF(WarehouseData[[#This Row],[stock_level]]&lt;=WarehouseData[[#This Row],[reorder_point]],"Low Stock","Sufficient Stock")</f>
        <v>Sufficient Stock</v>
      </c>
      <c r="Y2587">
        <f>WarehouseData[[#This Row],[daily_demand]]*WarehouseData[[#This Row],[lead_time_days]]</f>
        <v>82.4</v>
      </c>
      <c r="Z2587" t="str">
        <f>IF(WarehouseData[[#This Row],[stock_level]]&lt;=WarehouseData[[#This Row],[Demand During Lead Time]],"At Risk","Safe")</f>
        <v>Safe</v>
      </c>
      <c r="AA2587">
        <f>WarehouseData[[#This Row],[stock_level]]/WarehouseData[[#This Row],[daily_demand]]</f>
        <v>19.271844660194173</v>
      </c>
      <c r="AB2587">
        <f>WarehouseData[[#This Row],[stock_level]]*WarehouseData[[#This Row],[unit_price]]</f>
        <v>23978.799999999999</v>
      </c>
      <c r="AC2587">
        <f>WarehouseData[[#This Row],[stock_level]]*WarehouseData[[#This Row],[holding_cost_per_unit_day]]*30</f>
        <v>10480.800000000001</v>
      </c>
      <c r="AD2587" t="str">
        <f>IF(WarehouseData[[#This Row],[order_fulfillment_rate]]&gt;=0.9,"Strong",IF(WarehouseData[[#This Row],[order_fulfillment_rate]]&gt;=0.8,"Moderate","Needs Attention"))</f>
        <v>Strong</v>
      </c>
      <c r="AE2587" t="str">
        <f>IF(WarehouseData[[#This Row],[picking_time_seconds]]&gt;120,"Slow",IF(WarehouseData[[#This Row],[picking_time_seconds]]&gt;=60,"Average","Fast"))</f>
        <v>Average</v>
      </c>
    </row>
    <row r="2588" spans="1:31" x14ac:dyDescent="0.25">
      <c r="A2588" t="s">
        <v>2726</v>
      </c>
      <c r="B2588" t="s">
        <v>40</v>
      </c>
      <c r="C2588">
        <v>115</v>
      </c>
      <c r="D2588">
        <v>30</v>
      </c>
      <c r="E2588">
        <v>12</v>
      </c>
      <c r="F2588">
        <v>4</v>
      </c>
      <c r="G2588">
        <v>36.770000000000003</v>
      </c>
      <c r="H2588">
        <v>2.56</v>
      </c>
      <c r="I2588">
        <v>0.48</v>
      </c>
      <c r="J2588" t="s">
        <v>122</v>
      </c>
      <c r="K2588" t="s">
        <v>52</v>
      </c>
      <c r="L2588">
        <v>83</v>
      </c>
      <c r="M2588">
        <v>2.64</v>
      </c>
      <c r="N2588">
        <v>141.16999999999999</v>
      </c>
      <c r="O2588">
        <v>1.73</v>
      </c>
      <c r="P2588">
        <v>9</v>
      </c>
      <c r="Q2588">
        <v>0.79</v>
      </c>
      <c r="R2588">
        <v>921</v>
      </c>
      <c r="S2588">
        <v>9.83</v>
      </c>
      <c r="T2588">
        <v>0.79</v>
      </c>
      <c r="U2588" s="1">
        <v>45620</v>
      </c>
      <c r="V2588">
        <v>25.14</v>
      </c>
      <c r="W2588">
        <v>0.49399999999999999</v>
      </c>
      <c r="X2588" t="str">
        <f>IF(WarehouseData[[#This Row],[stock_level]]&lt;=WarehouseData[[#This Row],[reorder_point]],"Low Stock","Sufficient Stock")</f>
        <v>Sufficient Stock</v>
      </c>
      <c r="Y2588">
        <f>WarehouseData[[#This Row],[daily_demand]]*WarehouseData[[#This Row],[lead_time_days]]</f>
        <v>147.08000000000001</v>
      </c>
      <c r="Z2588" t="str">
        <f>IF(WarehouseData[[#This Row],[stock_level]]&lt;=WarehouseData[[#This Row],[Demand During Lead Time]],"At Risk","Safe")</f>
        <v>At Risk</v>
      </c>
      <c r="AA2588">
        <f>WarehouseData[[#This Row],[stock_level]]/WarehouseData[[#This Row],[daily_demand]]</f>
        <v>3.1275496328528689</v>
      </c>
      <c r="AB2588">
        <f>WarehouseData[[#This Row],[stock_level]]*WarehouseData[[#This Row],[unit_price]]</f>
        <v>16234.55</v>
      </c>
      <c r="AC2588">
        <f>WarehouseData[[#This Row],[stock_level]]*WarehouseData[[#This Row],[holding_cost_per_unit_day]]*30</f>
        <v>5968.5</v>
      </c>
      <c r="AD2588" t="str">
        <f>IF(WarehouseData[[#This Row],[order_fulfillment_rate]]&gt;=0.9,"Strong",IF(WarehouseData[[#This Row],[order_fulfillment_rate]]&gt;=0.8,"Moderate","Needs Attention"))</f>
        <v>Needs Attention</v>
      </c>
      <c r="AE2588" t="str">
        <f>IF(WarehouseData[[#This Row],[picking_time_seconds]]&gt;120,"Slow",IF(WarehouseData[[#This Row],[picking_time_seconds]]&gt;=60,"Average","Fast"))</f>
        <v>Average</v>
      </c>
    </row>
    <row r="2589" spans="1:31" x14ac:dyDescent="0.25">
      <c r="A2589" t="s">
        <v>2727</v>
      </c>
      <c r="B2589" t="s">
        <v>73</v>
      </c>
      <c r="C2589">
        <v>476</v>
      </c>
      <c r="D2589">
        <v>26</v>
      </c>
      <c r="E2589">
        <v>14</v>
      </c>
      <c r="F2589">
        <v>3</v>
      </c>
      <c r="G2589">
        <v>27.03</v>
      </c>
      <c r="H2589">
        <v>1.31</v>
      </c>
      <c r="I2589">
        <v>0.48</v>
      </c>
      <c r="J2589" t="s">
        <v>265</v>
      </c>
      <c r="K2589" t="s">
        <v>46</v>
      </c>
      <c r="L2589">
        <v>138</v>
      </c>
      <c r="M2589">
        <v>1.23</v>
      </c>
      <c r="N2589">
        <v>142.61000000000001</v>
      </c>
      <c r="O2589">
        <v>0.92</v>
      </c>
      <c r="P2589">
        <v>0</v>
      </c>
      <c r="Q2589">
        <v>0.84</v>
      </c>
      <c r="R2589">
        <v>256</v>
      </c>
      <c r="S2589">
        <v>9.0399999999999991</v>
      </c>
      <c r="T2589">
        <v>0.65</v>
      </c>
      <c r="U2589" s="1">
        <v>45515</v>
      </c>
      <c r="V2589">
        <v>218.97</v>
      </c>
      <c r="W2589">
        <v>0.72699999999999998</v>
      </c>
      <c r="X2589" t="str">
        <f>IF(WarehouseData[[#This Row],[stock_level]]&lt;=WarehouseData[[#This Row],[reorder_point]],"Low Stock","Sufficient Stock")</f>
        <v>Sufficient Stock</v>
      </c>
      <c r="Y2589">
        <f>WarehouseData[[#This Row],[daily_demand]]*WarehouseData[[#This Row],[lead_time_days]]</f>
        <v>81.09</v>
      </c>
      <c r="Z2589" t="str">
        <f>IF(WarehouseData[[#This Row],[stock_level]]&lt;=WarehouseData[[#This Row],[Demand During Lead Time]],"At Risk","Safe")</f>
        <v>Safe</v>
      </c>
      <c r="AA2589">
        <f>WarehouseData[[#This Row],[stock_level]]/WarehouseData[[#This Row],[daily_demand]]</f>
        <v>17.610062893081761</v>
      </c>
      <c r="AB2589">
        <f>WarehouseData[[#This Row],[stock_level]]*WarehouseData[[#This Row],[unit_price]]</f>
        <v>67882.36</v>
      </c>
      <c r="AC2589">
        <f>WarehouseData[[#This Row],[stock_level]]*WarehouseData[[#This Row],[holding_cost_per_unit_day]]*30</f>
        <v>13137.6</v>
      </c>
      <c r="AD2589" t="str">
        <f>IF(WarehouseData[[#This Row],[order_fulfillment_rate]]&gt;=0.9,"Strong",IF(WarehouseData[[#This Row],[order_fulfillment_rate]]&gt;=0.8,"Moderate","Needs Attention"))</f>
        <v>Moderate</v>
      </c>
      <c r="AE2589" t="str">
        <f>IF(WarehouseData[[#This Row],[picking_time_seconds]]&gt;120,"Slow",IF(WarehouseData[[#This Row],[picking_time_seconds]]&gt;=60,"Average","Fast"))</f>
        <v>Slow</v>
      </c>
    </row>
    <row r="2590" spans="1:31" x14ac:dyDescent="0.25">
      <c r="A2590" t="s">
        <v>2728</v>
      </c>
      <c r="B2590" t="s">
        <v>73</v>
      </c>
      <c r="C2590">
        <v>248</v>
      </c>
      <c r="D2590">
        <v>32</v>
      </c>
      <c r="E2590">
        <v>14</v>
      </c>
      <c r="F2590">
        <v>8</v>
      </c>
      <c r="G2590">
        <v>41.6</v>
      </c>
      <c r="H2590">
        <v>6.4</v>
      </c>
      <c r="I2590">
        <v>0.5</v>
      </c>
      <c r="J2590" t="s">
        <v>146</v>
      </c>
      <c r="K2590" t="s">
        <v>46</v>
      </c>
      <c r="L2590">
        <v>165</v>
      </c>
      <c r="M2590">
        <v>0.71</v>
      </c>
      <c r="N2590">
        <v>34.74</v>
      </c>
      <c r="O2590">
        <v>0.11</v>
      </c>
      <c r="P2590">
        <v>8</v>
      </c>
      <c r="Q2590">
        <v>0.73</v>
      </c>
      <c r="R2590">
        <v>540</v>
      </c>
      <c r="S2590">
        <v>11.57</v>
      </c>
      <c r="T2590">
        <v>0.45</v>
      </c>
      <c r="U2590" s="1">
        <v>45433</v>
      </c>
      <c r="V2590">
        <v>223.45</v>
      </c>
      <c r="W2590">
        <v>0.61899999999999999</v>
      </c>
      <c r="X2590" t="str">
        <f>IF(WarehouseData[[#This Row],[stock_level]]&lt;=WarehouseData[[#This Row],[reorder_point]],"Low Stock","Sufficient Stock")</f>
        <v>Sufficient Stock</v>
      </c>
      <c r="Y2590">
        <f>WarehouseData[[#This Row],[daily_demand]]*WarehouseData[[#This Row],[lead_time_days]]</f>
        <v>332.8</v>
      </c>
      <c r="Z2590" t="str">
        <f>IF(WarehouseData[[#This Row],[stock_level]]&lt;=WarehouseData[[#This Row],[Demand During Lead Time]],"At Risk","Safe")</f>
        <v>At Risk</v>
      </c>
      <c r="AA2590">
        <f>WarehouseData[[#This Row],[stock_level]]/WarehouseData[[#This Row],[daily_demand]]</f>
        <v>5.9615384615384617</v>
      </c>
      <c r="AB2590">
        <f>WarehouseData[[#This Row],[stock_level]]*WarehouseData[[#This Row],[unit_price]]</f>
        <v>8615.52</v>
      </c>
      <c r="AC2590">
        <f>WarehouseData[[#This Row],[stock_level]]*WarehouseData[[#This Row],[holding_cost_per_unit_day]]*30</f>
        <v>818.40000000000009</v>
      </c>
      <c r="AD2590" t="str">
        <f>IF(WarehouseData[[#This Row],[order_fulfillment_rate]]&gt;=0.9,"Strong",IF(WarehouseData[[#This Row],[order_fulfillment_rate]]&gt;=0.8,"Moderate","Needs Attention"))</f>
        <v>Needs Attention</v>
      </c>
      <c r="AE2590" t="str">
        <f>IF(WarehouseData[[#This Row],[picking_time_seconds]]&gt;120,"Slow",IF(WarehouseData[[#This Row],[picking_time_seconds]]&gt;=60,"Average","Fast"))</f>
        <v>Slow</v>
      </c>
    </row>
    <row r="2591" spans="1:31" x14ac:dyDescent="0.25">
      <c r="A2591" t="s">
        <v>2729</v>
      </c>
      <c r="B2591" t="s">
        <v>73</v>
      </c>
      <c r="C2591">
        <v>221</v>
      </c>
      <c r="D2591">
        <v>66</v>
      </c>
      <c r="E2591">
        <v>5</v>
      </c>
      <c r="F2591">
        <v>8</v>
      </c>
      <c r="G2591">
        <v>21.85</v>
      </c>
      <c r="H2591">
        <v>8.8800000000000008</v>
      </c>
      <c r="I2591">
        <v>0.47</v>
      </c>
      <c r="J2591" t="s">
        <v>276</v>
      </c>
      <c r="K2591" t="s">
        <v>52</v>
      </c>
      <c r="L2591">
        <v>68</v>
      </c>
      <c r="M2591">
        <v>1.53</v>
      </c>
      <c r="N2591">
        <v>136.37</v>
      </c>
      <c r="O2591">
        <v>0.4</v>
      </c>
      <c r="P2591">
        <v>4</v>
      </c>
      <c r="Q2591">
        <v>0.75</v>
      </c>
      <c r="R2591">
        <v>430</v>
      </c>
      <c r="S2591">
        <v>11.55</v>
      </c>
      <c r="T2591">
        <v>0.49</v>
      </c>
      <c r="U2591" s="1">
        <v>45476</v>
      </c>
      <c r="V2591">
        <v>109.9</v>
      </c>
      <c r="W2591">
        <v>0.68200000000000005</v>
      </c>
      <c r="X2591" t="str">
        <f>IF(WarehouseData[[#This Row],[stock_level]]&lt;=WarehouseData[[#This Row],[reorder_point]],"Low Stock","Sufficient Stock")</f>
        <v>Sufficient Stock</v>
      </c>
      <c r="Y2591">
        <f>WarehouseData[[#This Row],[daily_demand]]*WarehouseData[[#This Row],[lead_time_days]]</f>
        <v>174.8</v>
      </c>
      <c r="Z2591" t="str">
        <f>IF(WarehouseData[[#This Row],[stock_level]]&lt;=WarehouseData[[#This Row],[Demand During Lead Time]],"At Risk","Safe")</f>
        <v>Safe</v>
      </c>
      <c r="AA2591">
        <f>WarehouseData[[#This Row],[stock_level]]/WarehouseData[[#This Row],[daily_demand]]</f>
        <v>10.11441647597254</v>
      </c>
      <c r="AB2591">
        <f>WarehouseData[[#This Row],[stock_level]]*WarehouseData[[#This Row],[unit_price]]</f>
        <v>30137.77</v>
      </c>
      <c r="AC2591">
        <f>WarehouseData[[#This Row],[stock_level]]*WarehouseData[[#This Row],[holding_cost_per_unit_day]]*30</f>
        <v>2652</v>
      </c>
      <c r="AD2591" t="str">
        <f>IF(WarehouseData[[#This Row],[order_fulfillment_rate]]&gt;=0.9,"Strong",IF(WarehouseData[[#This Row],[order_fulfillment_rate]]&gt;=0.8,"Moderate","Needs Attention"))</f>
        <v>Needs Attention</v>
      </c>
      <c r="AE2591" t="str">
        <f>IF(WarehouseData[[#This Row],[picking_time_seconds]]&gt;120,"Slow",IF(WarehouseData[[#This Row],[picking_time_seconds]]&gt;=60,"Average","Fast"))</f>
        <v>Average</v>
      </c>
    </row>
    <row r="2592" spans="1:31" x14ac:dyDescent="0.25">
      <c r="A2592" t="s">
        <v>2730</v>
      </c>
      <c r="B2592" t="s">
        <v>48</v>
      </c>
      <c r="C2592">
        <v>231</v>
      </c>
      <c r="D2592">
        <v>90</v>
      </c>
      <c r="E2592">
        <v>12</v>
      </c>
      <c r="F2592">
        <v>2</v>
      </c>
      <c r="G2592">
        <v>4.03</v>
      </c>
      <c r="H2592">
        <v>3.84</v>
      </c>
      <c r="I2592">
        <v>0.39</v>
      </c>
      <c r="J2592" t="s">
        <v>565</v>
      </c>
      <c r="K2592" t="s">
        <v>38</v>
      </c>
      <c r="L2592">
        <v>127</v>
      </c>
      <c r="M2592">
        <v>4.76</v>
      </c>
      <c r="N2592">
        <v>73.38</v>
      </c>
      <c r="O2592">
        <v>0.92</v>
      </c>
      <c r="P2592">
        <v>5</v>
      </c>
      <c r="Q2592">
        <v>0.72</v>
      </c>
      <c r="R2592">
        <v>190</v>
      </c>
      <c r="S2592">
        <v>9.68</v>
      </c>
      <c r="T2592">
        <v>0.85</v>
      </c>
      <c r="U2592" s="1">
        <v>45360</v>
      </c>
      <c r="V2592">
        <v>238.11</v>
      </c>
      <c r="W2592">
        <v>0.65100000000000002</v>
      </c>
      <c r="X2592" t="str">
        <f>IF(WarehouseData[[#This Row],[stock_level]]&lt;=WarehouseData[[#This Row],[reorder_point]],"Low Stock","Sufficient Stock")</f>
        <v>Sufficient Stock</v>
      </c>
      <c r="Y2592">
        <f>WarehouseData[[#This Row],[daily_demand]]*WarehouseData[[#This Row],[lead_time_days]]</f>
        <v>8.06</v>
      </c>
      <c r="Z2592" t="str">
        <f>IF(WarehouseData[[#This Row],[stock_level]]&lt;=WarehouseData[[#This Row],[Demand During Lead Time]],"At Risk","Safe")</f>
        <v>Safe</v>
      </c>
      <c r="AA2592">
        <f>WarehouseData[[#This Row],[stock_level]]/WarehouseData[[#This Row],[daily_demand]]</f>
        <v>57.320099255583123</v>
      </c>
      <c r="AB2592">
        <f>WarehouseData[[#This Row],[stock_level]]*WarehouseData[[#This Row],[unit_price]]</f>
        <v>16950.78</v>
      </c>
      <c r="AC2592">
        <f>WarehouseData[[#This Row],[stock_level]]*WarehouseData[[#This Row],[holding_cost_per_unit_day]]*30</f>
        <v>6375.6</v>
      </c>
      <c r="AD2592" t="str">
        <f>IF(WarehouseData[[#This Row],[order_fulfillment_rate]]&gt;=0.9,"Strong",IF(WarehouseData[[#This Row],[order_fulfillment_rate]]&gt;=0.8,"Moderate","Needs Attention"))</f>
        <v>Needs Attention</v>
      </c>
      <c r="AE2592" t="str">
        <f>IF(WarehouseData[[#This Row],[picking_time_seconds]]&gt;120,"Slow",IF(WarehouseData[[#This Row],[picking_time_seconds]]&gt;=60,"Average","Fast"))</f>
        <v>Slow</v>
      </c>
    </row>
    <row r="2593" spans="1:31" x14ac:dyDescent="0.25">
      <c r="A2593" t="s">
        <v>2731</v>
      </c>
      <c r="B2593" t="s">
        <v>48</v>
      </c>
      <c r="C2593">
        <v>25</v>
      </c>
      <c r="D2593">
        <v>67</v>
      </c>
      <c r="E2593">
        <v>9</v>
      </c>
      <c r="F2593">
        <v>6</v>
      </c>
      <c r="G2593">
        <v>28.28</v>
      </c>
      <c r="H2593">
        <v>5.75</v>
      </c>
      <c r="I2593">
        <v>0.36</v>
      </c>
      <c r="J2593" t="s">
        <v>95</v>
      </c>
      <c r="K2593" t="s">
        <v>34</v>
      </c>
      <c r="L2593">
        <v>147</v>
      </c>
      <c r="M2593">
        <v>4.3</v>
      </c>
      <c r="N2593">
        <v>42.79</v>
      </c>
      <c r="O2593">
        <v>1.37</v>
      </c>
      <c r="P2593">
        <v>8</v>
      </c>
      <c r="Q2593">
        <v>0.87</v>
      </c>
      <c r="R2593">
        <v>908</v>
      </c>
      <c r="S2593">
        <v>3.91</v>
      </c>
      <c r="T2593">
        <v>0.63</v>
      </c>
      <c r="U2593" s="1">
        <v>45639</v>
      </c>
      <c r="V2593">
        <v>199.28</v>
      </c>
      <c r="W2593">
        <v>0.45500000000000002</v>
      </c>
      <c r="X2593" t="str">
        <f>IF(WarehouseData[[#This Row],[stock_level]]&lt;=WarehouseData[[#This Row],[reorder_point]],"Low Stock","Sufficient Stock")</f>
        <v>Low Stock</v>
      </c>
      <c r="Y2593">
        <f>WarehouseData[[#This Row],[daily_demand]]*WarehouseData[[#This Row],[lead_time_days]]</f>
        <v>169.68</v>
      </c>
      <c r="Z2593" t="str">
        <f>IF(WarehouseData[[#This Row],[stock_level]]&lt;=WarehouseData[[#This Row],[Demand During Lead Time]],"At Risk","Safe")</f>
        <v>At Risk</v>
      </c>
      <c r="AA2593">
        <f>WarehouseData[[#This Row],[stock_level]]/WarehouseData[[#This Row],[daily_demand]]</f>
        <v>0.88401697312588401</v>
      </c>
      <c r="AB2593">
        <f>WarehouseData[[#This Row],[stock_level]]*WarehouseData[[#This Row],[unit_price]]</f>
        <v>1069.75</v>
      </c>
      <c r="AC2593">
        <f>WarehouseData[[#This Row],[stock_level]]*WarehouseData[[#This Row],[holding_cost_per_unit_day]]*30</f>
        <v>1027.5</v>
      </c>
      <c r="AD2593" t="str">
        <f>IF(WarehouseData[[#This Row],[order_fulfillment_rate]]&gt;=0.9,"Strong",IF(WarehouseData[[#This Row],[order_fulfillment_rate]]&gt;=0.8,"Moderate","Needs Attention"))</f>
        <v>Moderate</v>
      </c>
      <c r="AE2593" t="str">
        <f>IF(WarehouseData[[#This Row],[picking_time_seconds]]&gt;120,"Slow",IF(WarehouseData[[#This Row],[picking_time_seconds]]&gt;=60,"Average","Fast"))</f>
        <v>Slow</v>
      </c>
    </row>
    <row r="2594" spans="1:31" x14ac:dyDescent="0.25">
      <c r="A2594" t="s">
        <v>2732</v>
      </c>
      <c r="B2594" t="s">
        <v>73</v>
      </c>
      <c r="C2594">
        <v>131</v>
      </c>
      <c r="D2594">
        <v>23</v>
      </c>
      <c r="E2594">
        <v>14</v>
      </c>
      <c r="F2594">
        <v>8</v>
      </c>
      <c r="G2594">
        <v>9.39</v>
      </c>
      <c r="H2594">
        <v>6.6</v>
      </c>
      <c r="I2594">
        <v>0.89</v>
      </c>
      <c r="J2594" t="s">
        <v>49</v>
      </c>
      <c r="K2594" t="s">
        <v>38</v>
      </c>
      <c r="L2594">
        <v>112</v>
      </c>
      <c r="M2594">
        <v>2.48</v>
      </c>
      <c r="N2594">
        <v>105.07</v>
      </c>
      <c r="O2594">
        <v>0.41</v>
      </c>
      <c r="P2594">
        <v>2</v>
      </c>
      <c r="Q2594">
        <v>0.89</v>
      </c>
      <c r="R2594">
        <v>648</v>
      </c>
      <c r="S2594">
        <v>13.42</v>
      </c>
      <c r="T2594">
        <v>0.39</v>
      </c>
      <c r="U2594" s="1">
        <v>45461</v>
      </c>
      <c r="V2594">
        <v>156.16999999999999</v>
      </c>
      <c r="W2594">
        <v>0.754</v>
      </c>
      <c r="X2594" t="str">
        <f>IF(WarehouseData[[#This Row],[stock_level]]&lt;=WarehouseData[[#This Row],[reorder_point]],"Low Stock","Sufficient Stock")</f>
        <v>Sufficient Stock</v>
      </c>
      <c r="Y2594">
        <f>WarehouseData[[#This Row],[daily_demand]]*WarehouseData[[#This Row],[lead_time_days]]</f>
        <v>75.12</v>
      </c>
      <c r="Z2594" t="str">
        <f>IF(WarehouseData[[#This Row],[stock_level]]&lt;=WarehouseData[[#This Row],[Demand During Lead Time]],"At Risk","Safe")</f>
        <v>Safe</v>
      </c>
      <c r="AA2594">
        <f>WarehouseData[[#This Row],[stock_level]]/WarehouseData[[#This Row],[daily_demand]]</f>
        <v>13.951011714589988</v>
      </c>
      <c r="AB2594">
        <f>WarehouseData[[#This Row],[stock_level]]*WarehouseData[[#This Row],[unit_price]]</f>
        <v>13764.169999999998</v>
      </c>
      <c r="AC2594">
        <f>WarehouseData[[#This Row],[stock_level]]*WarehouseData[[#This Row],[holding_cost_per_unit_day]]*30</f>
        <v>1611.2999999999997</v>
      </c>
      <c r="AD2594" t="str">
        <f>IF(WarehouseData[[#This Row],[order_fulfillment_rate]]&gt;=0.9,"Strong",IF(WarehouseData[[#This Row],[order_fulfillment_rate]]&gt;=0.8,"Moderate","Needs Attention"))</f>
        <v>Moderate</v>
      </c>
      <c r="AE2594" t="str">
        <f>IF(WarehouseData[[#This Row],[picking_time_seconds]]&gt;120,"Slow",IF(WarehouseData[[#This Row],[picking_time_seconds]]&gt;=60,"Average","Fast"))</f>
        <v>Average</v>
      </c>
    </row>
    <row r="2595" spans="1:31" x14ac:dyDescent="0.25">
      <c r="A2595" t="s">
        <v>2733</v>
      </c>
      <c r="B2595" t="s">
        <v>48</v>
      </c>
      <c r="C2595">
        <v>395</v>
      </c>
      <c r="D2595">
        <v>29</v>
      </c>
      <c r="E2595">
        <v>6</v>
      </c>
      <c r="F2595">
        <v>5</v>
      </c>
      <c r="G2595">
        <v>48.31</v>
      </c>
      <c r="H2595">
        <v>4.4400000000000004</v>
      </c>
      <c r="I2595">
        <v>0.25</v>
      </c>
      <c r="J2595" t="s">
        <v>106</v>
      </c>
      <c r="K2595" t="s">
        <v>52</v>
      </c>
      <c r="L2595">
        <v>140</v>
      </c>
      <c r="M2595">
        <v>2.67</v>
      </c>
      <c r="N2595">
        <v>95.94</v>
      </c>
      <c r="O2595">
        <v>0.95</v>
      </c>
      <c r="P2595">
        <v>2</v>
      </c>
      <c r="Q2595">
        <v>0.97</v>
      </c>
      <c r="R2595">
        <v>979</v>
      </c>
      <c r="S2595">
        <v>4.4800000000000004</v>
      </c>
      <c r="T2595">
        <v>0.44</v>
      </c>
      <c r="U2595" s="1">
        <v>45537</v>
      </c>
      <c r="V2595">
        <v>142.03</v>
      </c>
      <c r="W2595">
        <v>0.60699999999999998</v>
      </c>
      <c r="X2595" t="str">
        <f>IF(WarehouseData[[#This Row],[stock_level]]&lt;=WarehouseData[[#This Row],[reorder_point]],"Low Stock","Sufficient Stock")</f>
        <v>Sufficient Stock</v>
      </c>
      <c r="Y2595">
        <f>WarehouseData[[#This Row],[daily_demand]]*WarehouseData[[#This Row],[lead_time_days]]</f>
        <v>241.55</v>
      </c>
      <c r="Z2595" t="str">
        <f>IF(WarehouseData[[#This Row],[stock_level]]&lt;=WarehouseData[[#This Row],[Demand During Lead Time]],"At Risk","Safe")</f>
        <v>Safe</v>
      </c>
      <c r="AA2595">
        <f>WarehouseData[[#This Row],[stock_level]]/WarehouseData[[#This Row],[daily_demand]]</f>
        <v>8.1763610018629684</v>
      </c>
      <c r="AB2595">
        <f>WarehouseData[[#This Row],[stock_level]]*WarehouseData[[#This Row],[unit_price]]</f>
        <v>37896.299999999996</v>
      </c>
      <c r="AC2595">
        <f>WarehouseData[[#This Row],[stock_level]]*WarehouseData[[#This Row],[holding_cost_per_unit_day]]*30</f>
        <v>11257.5</v>
      </c>
      <c r="AD2595" t="str">
        <f>IF(WarehouseData[[#This Row],[order_fulfillment_rate]]&gt;=0.9,"Strong",IF(WarehouseData[[#This Row],[order_fulfillment_rate]]&gt;=0.8,"Moderate","Needs Attention"))</f>
        <v>Strong</v>
      </c>
      <c r="AE2595" t="str">
        <f>IF(WarehouseData[[#This Row],[picking_time_seconds]]&gt;120,"Slow",IF(WarehouseData[[#This Row],[picking_time_seconds]]&gt;=60,"Average","Fast"))</f>
        <v>Slow</v>
      </c>
    </row>
    <row r="2596" spans="1:31" x14ac:dyDescent="0.25">
      <c r="A2596" t="s">
        <v>2734</v>
      </c>
      <c r="B2596" t="s">
        <v>36</v>
      </c>
      <c r="C2596">
        <v>398</v>
      </c>
      <c r="D2596">
        <v>39</v>
      </c>
      <c r="E2596">
        <v>7</v>
      </c>
      <c r="F2596">
        <v>3</v>
      </c>
      <c r="G2596">
        <v>26.82</v>
      </c>
      <c r="H2596">
        <v>9.08</v>
      </c>
      <c r="I2596">
        <v>0.26</v>
      </c>
      <c r="J2596" t="s">
        <v>212</v>
      </c>
      <c r="K2596" t="s">
        <v>46</v>
      </c>
      <c r="L2596">
        <v>144</v>
      </c>
      <c r="M2596">
        <v>4.55</v>
      </c>
      <c r="N2596">
        <v>157.04</v>
      </c>
      <c r="O2596">
        <v>0.12</v>
      </c>
      <c r="P2596">
        <v>4</v>
      </c>
      <c r="Q2596">
        <v>0.86</v>
      </c>
      <c r="R2596">
        <v>940</v>
      </c>
      <c r="S2596">
        <v>2.3199999999999998</v>
      </c>
      <c r="T2596">
        <v>0.56999999999999995</v>
      </c>
      <c r="U2596" s="1">
        <v>45528</v>
      </c>
      <c r="V2596">
        <v>41.65</v>
      </c>
      <c r="W2596">
        <v>0.625</v>
      </c>
      <c r="X2596" t="str">
        <f>IF(WarehouseData[[#This Row],[stock_level]]&lt;=WarehouseData[[#This Row],[reorder_point]],"Low Stock","Sufficient Stock")</f>
        <v>Sufficient Stock</v>
      </c>
      <c r="Y2596">
        <f>WarehouseData[[#This Row],[daily_demand]]*WarehouseData[[#This Row],[lead_time_days]]</f>
        <v>80.460000000000008</v>
      </c>
      <c r="Z2596" t="str">
        <f>IF(WarehouseData[[#This Row],[stock_level]]&lt;=WarehouseData[[#This Row],[Demand During Lead Time]],"At Risk","Safe")</f>
        <v>Safe</v>
      </c>
      <c r="AA2596">
        <f>WarehouseData[[#This Row],[stock_level]]/WarehouseData[[#This Row],[daily_demand]]</f>
        <v>14.839671886651752</v>
      </c>
      <c r="AB2596">
        <f>WarehouseData[[#This Row],[stock_level]]*WarehouseData[[#This Row],[unit_price]]</f>
        <v>62501.919999999998</v>
      </c>
      <c r="AC2596">
        <f>WarehouseData[[#This Row],[stock_level]]*WarehouseData[[#This Row],[holding_cost_per_unit_day]]*30</f>
        <v>1432.8</v>
      </c>
      <c r="AD2596" t="str">
        <f>IF(WarehouseData[[#This Row],[order_fulfillment_rate]]&gt;=0.9,"Strong",IF(WarehouseData[[#This Row],[order_fulfillment_rate]]&gt;=0.8,"Moderate","Needs Attention"))</f>
        <v>Moderate</v>
      </c>
      <c r="AE2596" t="str">
        <f>IF(WarehouseData[[#This Row],[picking_time_seconds]]&gt;120,"Slow",IF(WarehouseData[[#This Row],[picking_time_seconds]]&gt;=60,"Average","Fast"))</f>
        <v>Slow</v>
      </c>
    </row>
    <row r="2597" spans="1:31" x14ac:dyDescent="0.25">
      <c r="A2597" t="s">
        <v>2735</v>
      </c>
      <c r="B2597" t="s">
        <v>36</v>
      </c>
      <c r="C2597">
        <v>466</v>
      </c>
      <c r="D2597">
        <v>28</v>
      </c>
      <c r="E2597">
        <v>11</v>
      </c>
      <c r="F2597">
        <v>4</v>
      </c>
      <c r="G2597">
        <v>28.12</v>
      </c>
      <c r="H2597">
        <v>3.95</v>
      </c>
      <c r="I2597">
        <v>0.61</v>
      </c>
      <c r="J2597" t="s">
        <v>154</v>
      </c>
      <c r="K2597" t="s">
        <v>52</v>
      </c>
      <c r="L2597">
        <v>18</v>
      </c>
      <c r="M2597">
        <v>3.16</v>
      </c>
      <c r="N2597">
        <v>26.06</v>
      </c>
      <c r="O2597">
        <v>1.01</v>
      </c>
      <c r="P2597">
        <v>6</v>
      </c>
      <c r="Q2597">
        <v>0.78</v>
      </c>
      <c r="R2597">
        <v>659</v>
      </c>
      <c r="S2597">
        <v>5.22</v>
      </c>
      <c r="T2597">
        <v>0.81</v>
      </c>
      <c r="U2597" s="1">
        <v>45520</v>
      </c>
      <c r="V2597">
        <v>164.02</v>
      </c>
      <c r="W2597">
        <v>0.56699999999999995</v>
      </c>
      <c r="X2597" t="str">
        <f>IF(WarehouseData[[#This Row],[stock_level]]&lt;=WarehouseData[[#This Row],[reorder_point]],"Low Stock","Sufficient Stock")</f>
        <v>Sufficient Stock</v>
      </c>
      <c r="Y2597">
        <f>WarehouseData[[#This Row],[daily_demand]]*WarehouseData[[#This Row],[lead_time_days]]</f>
        <v>112.48</v>
      </c>
      <c r="Z2597" t="str">
        <f>IF(WarehouseData[[#This Row],[stock_level]]&lt;=WarehouseData[[#This Row],[Demand During Lead Time]],"At Risk","Safe")</f>
        <v>Safe</v>
      </c>
      <c r="AA2597">
        <f>WarehouseData[[#This Row],[stock_level]]/WarehouseData[[#This Row],[daily_demand]]</f>
        <v>16.571834992887624</v>
      </c>
      <c r="AB2597">
        <f>WarehouseData[[#This Row],[stock_level]]*WarehouseData[[#This Row],[unit_price]]</f>
        <v>12143.96</v>
      </c>
      <c r="AC2597">
        <f>WarehouseData[[#This Row],[stock_level]]*WarehouseData[[#This Row],[holding_cost_per_unit_day]]*30</f>
        <v>14119.800000000001</v>
      </c>
      <c r="AD2597" t="str">
        <f>IF(WarehouseData[[#This Row],[order_fulfillment_rate]]&gt;=0.9,"Strong",IF(WarehouseData[[#This Row],[order_fulfillment_rate]]&gt;=0.8,"Moderate","Needs Attention"))</f>
        <v>Needs Attention</v>
      </c>
      <c r="AE2597" t="str">
        <f>IF(WarehouseData[[#This Row],[picking_time_seconds]]&gt;120,"Slow",IF(WarehouseData[[#This Row],[picking_time_seconds]]&gt;=60,"Average","Fast"))</f>
        <v>Fast</v>
      </c>
    </row>
    <row r="2598" spans="1:31" x14ac:dyDescent="0.25">
      <c r="A2598" t="s">
        <v>2736</v>
      </c>
      <c r="B2598" t="s">
        <v>48</v>
      </c>
      <c r="C2598">
        <v>342</v>
      </c>
      <c r="D2598">
        <v>62</v>
      </c>
      <c r="E2598">
        <v>9</v>
      </c>
      <c r="F2598">
        <v>3</v>
      </c>
      <c r="G2598">
        <v>45.46</v>
      </c>
      <c r="H2598">
        <v>1.69</v>
      </c>
      <c r="I2598">
        <v>0.41</v>
      </c>
      <c r="J2598" t="s">
        <v>289</v>
      </c>
      <c r="K2598" t="s">
        <v>46</v>
      </c>
      <c r="L2598">
        <v>108</v>
      </c>
      <c r="M2598">
        <v>4.46</v>
      </c>
      <c r="N2598">
        <v>160.05000000000001</v>
      </c>
      <c r="O2598">
        <v>1.8</v>
      </c>
      <c r="P2598">
        <v>2</v>
      </c>
      <c r="Q2598">
        <v>0.72</v>
      </c>
      <c r="R2598">
        <v>72</v>
      </c>
      <c r="S2598">
        <v>7.77</v>
      </c>
      <c r="T2598">
        <v>1</v>
      </c>
      <c r="U2598" s="1">
        <v>45475</v>
      </c>
      <c r="V2598">
        <v>55.27</v>
      </c>
      <c r="W2598">
        <v>0.628</v>
      </c>
      <c r="X2598" t="str">
        <f>IF(WarehouseData[[#This Row],[stock_level]]&lt;=WarehouseData[[#This Row],[reorder_point]],"Low Stock","Sufficient Stock")</f>
        <v>Sufficient Stock</v>
      </c>
      <c r="Y2598">
        <f>WarehouseData[[#This Row],[daily_demand]]*WarehouseData[[#This Row],[lead_time_days]]</f>
        <v>136.38</v>
      </c>
      <c r="Z2598" t="str">
        <f>IF(WarehouseData[[#This Row],[stock_level]]&lt;=WarehouseData[[#This Row],[Demand During Lead Time]],"At Risk","Safe")</f>
        <v>Safe</v>
      </c>
      <c r="AA2598">
        <f>WarehouseData[[#This Row],[stock_level]]/WarehouseData[[#This Row],[daily_demand]]</f>
        <v>7.5230972283325999</v>
      </c>
      <c r="AB2598">
        <f>WarehouseData[[#This Row],[stock_level]]*WarehouseData[[#This Row],[unit_price]]</f>
        <v>54737.100000000006</v>
      </c>
      <c r="AC2598">
        <f>WarehouseData[[#This Row],[stock_level]]*WarehouseData[[#This Row],[holding_cost_per_unit_day]]*30</f>
        <v>18468</v>
      </c>
      <c r="AD2598" t="str">
        <f>IF(WarehouseData[[#This Row],[order_fulfillment_rate]]&gt;=0.9,"Strong",IF(WarehouseData[[#This Row],[order_fulfillment_rate]]&gt;=0.8,"Moderate","Needs Attention"))</f>
        <v>Needs Attention</v>
      </c>
      <c r="AE2598" t="str">
        <f>IF(WarehouseData[[#This Row],[picking_time_seconds]]&gt;120,"Slow",IF(WarehouseData[[#This Row],[picking_time_seconds]]&gt;=60,"Average","Fast"))</f>
        <v>Average</v>
      </c>
    </row>
    <row r="2599" spans="1:31" x14ac:dyDescent="0.25">
      <c r="A2599" t="s">
        <v>2737</v>
      </c>
      <c r="B2599" t="s">
        <v>73</v>
      </c>
      <c r="C2599">
        <v>125</v>
      </c>
      <c r="D2599">
        <v>65</v>
      </c>
      <c r="E2599">
        <v>6</v>
      </c>
      <c r="F2599">
        <v>6</v>
      </c>
      <c r="G2599">
        <v>31.6</v>
      </c>
      <c r="H2599">
        <v>1.87</v>
      </c>
      <c r="I2599">
        <v>0.48</v>
      </c>
      <c r="J2599" t="s">
        <v>221</v>
      </c>
      <c r="K2599" t="s">
        <v>46</v>
      </c>
      <c r="L2599">
        <v>150</v>
      </c>
      <c r="M2599">
        <v>2.71</v>
      </c>
      <c r="N2599">
        <v>30.16</v>
      </c>
      <c r="O2599">
        <v>1.23</v>
      </c>
      <c r="P2599">
        <v>3</v>
      </c>
      <c r="Q2599">
        <v>0.97</v>
      </c>
      <c r="R2599">
        <v>811</v>
      </c>
      <c r="S2599">
        <v>3.9</v>
      </c>
      <c r="T2599">
        <v>0.35</v>
      </c>
      <c r="U2599" s="1">
        <v>45448</v>
      </c>
      <c r="V2599">
        <v>200.25</v>
      </c>
      <c r="W2599">
        <v>0.53300000000000003</v>
      </c>
      <c r="X2599" t="str">
        <f>IF(WarehouseData[[#This Row],[stock_level]]&lt;=WarehouseData[[#This Row],[reorder_point]],"Low Stock","Sufficient Stock")</f>
        <v>Sufficient Stock</v>
      </c>
      <c r="Y2599">
        <f>WarehouseData[[#This Row],[daily_demand]]*WarehouseData[[#This Row],[lead_time_days]]</f>
        <v>189.60000000000002</v>
      </c>
      <c r="Z2599" t="str">
        <f>IF(WarehouseData[[#This Row],[stock_level]]&lt;=WarehouseData[[#This Row],[Demand During Lead Time]],"At Risk","Safe")</f>
        <v>At Risk</v>
      </c>
      <c r="AA2599">
        <f>WarehouseData[[#This Row],[stock_level]]/WarehouseData[[#This Row],[daily_demand]]</f>
        <v>3.9556962025316453</v>
      </c>
      <c r="AB2599">
        <f>WarehouseData[[#This Row],[stock_level]]*WarehouseData[[#This Row],[unit_price]]</f>
        <v>3770</v>
      </c>
      <c r="AC2599">
        <f>WarehouseData[[#This Row],[stock_level]]*WarehouseData[[#This Row],[holding_cost_per_unit_day]]*30</f>
        <v>4612.5</v>
      </c>
      <c r="AD2599" t="str">
        <f>IF(WarehouseData[[#This Row],[order_fulfillment_rate]]&gt;=0.9,"Strong",IF(WarehouseData[[#This Row],[order_fulfillment_rate]]&gt;=0.8,"Moderate","Needs Attention"))</f>
        <v>Strong</v>
      </c>
      <c r="AE2599" t="str">
        <f>IF(WarehouseData[[#This Row],[picking_time_seconds]]&gt;120,"Slow",IF(WarehouseData[[#This Row],[picking_time_seconds]]&gt;=60,"Average","Fast"))</f>
        <v>Slow</v>
      </c>
    </row>
    <row r="2600" spans="1:31" x14ac:dyDescent="0.25">
      <c r="A2600" t="s">
        <v>2738</v>
      </c>
      <c r="B2600" t="s">
        <v>48</v>
      </c>
      <c r="C2600">
        <v>158</v>
      </c>
      <c r="D2600">
        <v>86</v>
      </c>
      <c r="E2600">
        <v>8</v>
      </c>
      <c r="F2600">
        <v>7</v>
      </c>
      <c r="G2600">
        <v>15.83</v>
      </c>
      <c r="H2600">
        <v>8.9600000000000009</v>
      </c>
      <c r="I2600">
        <v>0.83</v>
      </c>
      <c r="J2600" t="s">
        <v>156</v>
      </c>
      <c r="K2600" t="s">
        <v>38</v>
      </c>
      <c r="L2600">
        <v>177</v>
      </c>
      <c r="M2600">
        <v>1.4</v>
      </c>
      <c r="N2600">
        <v>49.42</v>
      </c>
      <c r="O2600">
        <v>0.94</v>
      </c>
      <c r="P2600">
        <v>1</v>
      </c>
      <c r="Q2600">
        <v>0.84</v>
      </c>
      <c r="R2600">
        <v>413</v>
      </c>
      <c r="S2600">
        <v>5.67</v>
      </c>
      <c r="T2600">
        <v>0.8</v>
      </c>
      <c r="U2600" s="1">
        <v>45541</v>
      </c>
      <c r="V2600">
        <v>182.47</v>
      </c>
      <c r="W2600">
        <v>0.69</v>
      </c>
      <c r="X2600" t="str">
        <f>IF(WarehouseData[[#This Row],[stock_level]]&lt;=WarehouseData[[#This Row],[reorder_point]],"Low Stock","Sufficient Stock")</f>
        <v>Sufficient Stock</v>
      </c>
      <c r="Y2600">
        <f>WarehouseData[[#This Row],[daily_demand]]*WarehouseData[[#This Row],[lead_time_days]]</f>
        <v>110.81</v>
      </c>
      <c r="Z2600" t="str">
        <f>IF(WarehouseData[[#This Row],[stock_level]]&lt;=WarehouseData[[#This Row],[Demand During Lead Time]],"At Risk","Safe")</f>
        <v>Safe</v>
      </c>
      <c r="AA2600">
        <f>WarehouseData[[#This Row],[stock_level]]/WarehouseData[[#This Row],[daily_demand]]</f>
        <v>9.9810486418193296</v>
      </c>
      <c r="AB2600">
        <f>WarehouseData[[#This Row],[stock_level]]*WarehouseData[[#This Row],[unit_price]]</f>
        <v>7808.3600000000006</v>
      </c>
      <c r="AC2600">
        <f>WarehouseData[[#This Row],[stock_level]]*WarehouseData[[#This Row],[holding_cost_per_unit_day]]*30</f>
        <v>4455.5999999999995</v>
      </c>
      <c r="AD2600" t="str">
        <f>IF(WarehouseData[[#This Row],[order_fulfillment_rate]]&gt;=0.9,"Strong",IF(WarehouseData[[#This Row],[order_fulfillment_rate]]&gt;=0.8,"Moderate","Needs Attention"))</f>
        <v>Moderate</v>
      </c>
      <c r="AE2600" t="str">
        <f>IF(WarehouseData[[#This Row],[picking_time_seconds]]&gt;120,"Slow",IF(WarehouseData[[#This Row],[picking_time_seconds]]&gt;=60,"Average","Fast"))</f>
        <v>Slow</v>
      </c>
    </row>
    <row r="2601" spans="1:31" x14ac:dyDescent="0.25">
      <c r="A2601" t="s">
        <v>2739</v>
      </c>
      <c r="B2601" t="s">
        <v>48</v>
      </c>
      <c r="C2601">
        <v>318</v>
      </c>
      <c r="D2601">
        <v>91</v>
      </c>
      <c r="E2601">
        <v>12</v>
      </c>
      <c r="F2601">
        <v>8</v>
      </c>
      <c r="G2601">
        <v>15.51</v>
      </c>
      <c r="H2601">
        <v>9.89</v>
      </c>
      <c r="I2601">
        <v>0.91</v>
      </c>
      <c r="J2601" t="s">
        <v>104</v>
      </c>
      <c r="K2601" t="s">
        <v>38</v>
      </c>
      <c r="L2601">
        <v>123</v>
      </c>
      <c r="M2601">
        <v>3.77</v>
      </c>
      <c r="N2601">
        <v>108.02</v>
      </c>
      <c r="O2601">
        <v>0.41</v>
      </c>
      <c r="P2601">
        <v>8</v>
      </c>
      <c r="Q2601">
        <v>0.92</v>
      </c>
      <c r="R2601">
        <v>811</v>
      </c>
      <c r="S2601">
        <v>8.19</v>
      </c>
      <c r="T2601">
        <v>0.69</v>
      </c>
      <c r="U2601" s="1">
        <v>45574</v>
      </c>
      <c r="V2601">
        <v>94.25</v>
      </c>
      <c r="W2601">
        <v>0.63</v>
      </c>
      <c r="X2601" t="str">
        <f>IF(WarehouseData[[#This Row],[stock_level]]&lt;=WarehouseData[[#This Row],[reorder_point]],"Low Stock","Sufficient Stock")</f>
        <v>Sufficient Stock</v>
      </c>
      <c r="Y2601">
        <f>WarehouseData[[#This Row],[daily_demand]]*WarehouseData[[#This Row],[lead_time_days]]</f>
        <v>124.08</v>
      </c>
      <c r="Z2601" t="str">
        <f>IF(WarehouseData[[#This Row],[stock_level]]&lt;=WarehouseData[[#This Row],[Demand During Lead Time]],"At Risk","Safe")</f>
        <v>Safe</v>
      </c>
      <c r="AA2601">
        <f>WarehouseData[[#This Row],[stock_level]]/WarehouseData[[#This Row],[daily_demand]]</f>
        <v>20.502901353965186</v>
      </c>
      <c r="AB2601">
        <f>WarehouseData[[#This Row],[stock_level]]*WarehouseData[[#This Row],[unit_price]]</f>
        <v>34350.36</v>
      </c>
      <c r="AC2601">
        <f>WarehouseData[[#This Row],[stock_level]]*WarehouseData[[#This Row],[holding_cost_per_unit_day]]*30</f>
        <v>3911.3999999999996</v>
      </c>
      <c r="AD2601" t="str">
        <f>IF(WarehouseData[[#This Row],[order_fulfillment_rate]]&gt;=0.9,"Strong",IF(WarehouseData[[#This Row],[order_fulfillment_rate]]&gt;=0.8,"Moderate","Needs Attention"))</f>
        <v>Strong</v>
      </c>
      <c r="AE2601" t="str">
        <f>IF(WarehouseData[[#This Row],[picking_time_seconds]]&gt;120,"Slow",IF(WarehouseData[[#This Row],[picking_time_seconds]]&gt;=60,"Average","Fast"))</f>
        <v>Slow</v>
      </c>
    </row>
    <row r="2602" spans="1:31" x14ac:dyDescent="0.25">
      <c r="A2602" t="s">
        <v>2740</v>
      </c>
      <c r="B2602" t="s">
        <v>48</v>
      </c>
      <c r="C2602">
        <v>420</v>
      </c>
      <c r="D2602">
        <v>32</v>
      </c>
      <c r="E2602">
        <v>13</v>
      </c>
      <c r="F2602">
        <v>8</v>
      </c>
      <c r="G2602">
        <v>25.58</v>
      </c>
      <c r="H2602">
        <v>3.24</v>
      </c>
      <c r="I2602">
        <v>0.81</v>
      </c>
      <c r="J2602" t="s">
        <v>106</v>
      </c>
      <c r="K2602" t="s">
        <v>52</v>
      </c>
      <c r="L2602">
        <v>71</v>
      </c>
      <c r="M2602">
        <v>2.87</v>
      </c>
      <c r="N2602">
        <v>98</v>
      </c>
      <c r="O2602">
        <v>0.48</v>
      </c>
      <c r="P2602">
        <v>9</v>
      </c>
      <c r="Q2602">
        <v>0.7</v>
      </c>
      <c r="R2602">
        <v>197</v>
      </c>
      <c r="S2602">
        <v>5.52</v>
      </c>
      <c r="T2602">
        <v>0.62</v>
      </c>
      <c r="U2602" s="1">
        <v>45347</v>
      </c>
      <c r="V2602">
        <v>81.63</v>
      </c>
      <c r="W2602">
        <v>0.51</v>
      </c>
      <c r="X2602" t="str">
        <f>IF(WarehouseData[[#This Row],[stock_level]]&lt;=WarehouseData[[#This Row],[reorder_point]],"Low Stock","Sufficient Stock")</f>
        <v>Sufficient Stock</v>
      </c>
      <c r="Y2602">
        <f>WarehouseData[[#This Row],[daily_demand]]*WarehouseData[[#This Row],[lead_time_days]]</f>
        <v>204.64</v>
      </c>
      <c r="Z2602" t="str">
        <f>IF(WarehouseData[[#This Row],[stock_level]]&lt;=WarehouseData[[#This Row],[Demand During Lead Time]],"At Risk","Safe")</f>
        <v>Safe</v>
      </c>
      <c r="AA2602">
        <f>WarehouseData[[#This Row],[stock_level]]/WarehouseData[[#This Row],[daily_demand]]</f>
        <v>16.419077404222051</v>
      </c>
      <c r="AB2602">
        <f>WarehouseData[[#This Row],[stock_level]]*WarehouseData[[#This Row],[unit_price]]</f>
        <v>41160</v>
      </c>
      <c r="AC2602">
        <f>WarehouseData[[#This Row],[stock_level]]*WarehouseData[[#This Row],[holding_cost_per_unit_day]]*30</f>
        <v>6048</v>
      </c>
      <c r="AD2602" t="str">
        <f>IF(WarehouseData[[#This Row],[order_fulfillment_rate]]&gt;=0.9,"Strong",IF(WarehouseData[[#This Row],[order_fulfillment_rate]]&gt;=0.8,"Moderate","Needs Attention"))</f>
        <v>Needs Attention</v>
      </c>
      <c r="AE2602" t="str">
        <f>IF(WarehouseData[[#This Row],[picking_time_seconds]]&gt;120,"Slow",IF(WarehouseData[[#This Row],[picking_time_seconds]]&gt;=60,"Average","Fast"))</f>
        <v>Average</v>
      </c>
    </row>
    <row r="2603" spans="1:31" x14ac:dyDescent="0.25">
      <c r="A2603" t="s">
        <v>2741</v>
      </c>
      <c r="B2603" t="s">
        <v>40</v>
      </c>
      <c r="C2603">
        <v>115</v>
      </c>
      <c r="D2603">
        <v>71</v>
      </c>
      <c r="E2603">
        <v>9</v>
      </c>
      <c r="F2603">
        <v>8</v>
      </c>
      <c r="G2603">
        <v>43.46</v>
      </c>
      <c r="H2603">
        <v>1.86</v>
      </c>
      <c r="I2603">
        <v>0.31</v>
      </c>
      <c r="J2603" t="s">
        <v>234</v>
      </c>
      <c r="K2603" t="s">
        <v>34</v>
      </c>
      <c r="L2603">
        <v>71</v>
      </c>
      <c r="M2603">
        <v>3.51</v>
      </c>
      <c r="N2603">
        <v>197.88</v>
      </c>
      <c r="O2603">
        <v>0.25</v>
      </c>
      <c r="P2603">
        <v>8</v>
      </c>
      <c r="Q2603">
        <v>0.85</v>
      </c>
      <c r="R2603">
        <v>615</v>
      </c>
      <c r="S2603">
        <v>2.25</v>
      </c>
      <c r="T2603">
        <v>0.97</v>
      </c>
      <c r="U2603" s="1">
        <v>45381</v>
      </c>
      <c r="V2603">
        <v>148.06</v>
      </c>
      <c r="W2603">
        <v>0.60899999999999999</v>
      </c>
      <c r="X2603" t="str">
        <f>IF(WarehouseData[[#This Row],[stock_level]]&lt;=WarehouseData[[#This Row],[reorder_point]],"Low Stock","Sufficient Stock")</f>
        <v>Sufficient Stock</v>
      </c>
      <c r="Y2603">
        <f>WarehouseData[[#This Row],[daily_demand]]*WarehouseData[[#This Row],[lead_time_days]]</f>
        <v>347.68</v>
      </c>
      <c r="Z2603" t="str">
        <f>IF(WarehouseData[[#This Row],[stock_level]]&lt;=WarehouseData[[#This Row],[Demand During Lead Time]],"At Risk","Safe")</f>
        <v>At Risk</v>
      </c>
      <c r="AA2603">
        <f>WarehouseData[[#This Row],[stock_level]]/WarehouseData[[#This Row],[daily_demand]]</f>
        <v>2.6461113667740452</v>
      </c>
      <c r="AB2603">
        <f>WarehouseData[[#This Row],[stock_level]]*WarehouseData[[#This Row],[unit_price]]</f>
        <v>22756.2</v>
      </c>
      <c r="AC2603">
        <f>WarehouseData[[#This Row],[stock_level]]*WarehouseData[[#This Row],[holding_cost_per_unit_day]]*30</f>
        <v>862.5</v>
      </c>
      <c r="AD2603" t="str">
        <f>IF(WarehouseData[[#This Row],[order_fulfillment_rate]]&gt;=0.9,"Strong",IF(WarehouseData[[#This Row],[order_fulfillment_rate]]&gt;=0.8,"Moderate","Needs Attention"))</f>
        <v>Moderate</v>
      </c>
      <c r="AE2603" t="str">
        <f>IF(WarehouseData[[#This Row],[picking_time_seconds]]&gt;120,"Slow",IF(WarehouseData[[#This Row],[picking_time_seconds]]&gt;=60,"Average","Fast"))</f>
        <v>Average</v>
      </c>
    </row>
    <row r="2604" spans="1:31" x14ac:dyDescent="0.25">
      <c r="A2604" t="s">
        <v>2742</v>
      </c>
      <c r="B2604" t="s">
        <v>36</v>
      </c>
      <c r="C2604">
        <v>407</v>
      </c>
      <c r="D2604">
        <v>42</v>
      </c>
      <c r="E2604">
        <v>12</v>
      </c>
      <c r="F2604">
        <v>4</v>
      </c>
      <c r="G2604">
        <v>39.94</v>
      </c>
      <c r="H2604">
        <v>5.08</v>
      </c>
      <c r="I2604">
        <v>0.98</v>
      </c>
      <c r="J2604" t="s">
        <v>259</v>
      </c>
      <c r="K2604" t="s">
        <v>38</v>
      </c>
      <c r="L2604">
        <v>19</v>
      </c>
      <c r="M2604">
        <v>1.21</v>
      </c>
      <c r="N2604">
        <v>122</v>
      </c>
      <c r="O2604">
        <v>1.51</v>
      </c>
      <c r="P2604">
        <v>1</v>
      </c>
      <c r="Q2604">
        <v>0.8</v>
      </c>
      <c r="R2604">
        <v>876</v>
      </c>
      <c r="S2604">
        <v>3.76</v>
      </c>
      <c r="T2604">
        <v>0.46</v>
      </c>
      <c r="U2604" s="1">
        <v>45622</v>
      </c>
      <c r="V2604">
        <v>158.62</v>
      </c>
      <c r="W2604">
        <v>0.53100000000000003</v>
      </c>
      <c r="X2604" t="str">
        <f>IF(WarehouseData[[#This Row],[stock_level]]&lt;=WarehouseData[[#This Row],[reorder_point]],"Low Stock","Sufficient Stock")</f>
        <v>Sufficient Stock</v>
      </c>
      <c r="Y2604">
        <f>WarehouseData[[#This Row],[daily_demand]]*WarehouseData[[#This Row],[lead_time_days]]</f>
        <v>159.76</v>
      </c>
      <c r="Z2604" t="str">
        <f>IF(WarehouseData[[#This Row],[stock_level]]&lt;=WarehouseData[[#This Row],[Demand During Lead Time]],"At Risk","Safe")</f>
        <v>Safe</v>
      </c>
      <c r="AA2604">
        <f>WarehouseData[[#This Row],[stock_level]]/WarehouseData[[#This Row],[daily_demand]]</f>
        <v>10.190285428142214</v>
      </c>
      <c r="AB2604">
        <f>WarehouseData[[#This Row],[stock_level]]*WarehouseData[[#This Row],[unit_price]]</f>
        <v>49654</v>
      </c>
      <c r="AC2604">
        <f>WarehouseData[[#This Row],[stock_level]]*WarehouseData[[#This Row],[holding_cost_per_unit_day]]*30</f>
        <v>18437.100000000002</v>
      </c>
      <c r="AD2604" t="str">
        <f>IF(WarehouseData[[#This Row],[order_fulfillment_rate]]&gt;=0.9,"Strong",IF(WarehouseData[[#This Row],[order_fulfillment_rate]]&gt;=0.8,"Moderate","Needs Attention"))</f>
        <v>Moderate</v>
      </c>
      <c r="AE2604" t="str">
        <f>IF(WarehouseData[[#This Row],[picking_time_seconds]]&gt;120,"Slow",IF(WarehouseData[[#This Row],[picking_time_seconds]]&gt;=60,"Average","Fast"))</f>
        <v>Fast</v>
      </c>
    </row>
    <row r="2605" spans="1:31" x14ac:dyDescent="0.25">
      <c r="A2605" t="s">
        <v>2743</v>
      </c>
      <c r="B2605" t="s">
        <v>32</v>
      </c>
      <c r="C2605">
        <v>466</v>
      </c>
      <c r="D2605">
        <v>27</v>
      </c>
      <c r="E2605">
        <v>11</v>
      </c>
      <c r="F2605">
        <v>5</v>
      </c>
      <c r="G2605">
        <v>48.17</v>
      </c>
      <c r="H2605">
        <v>7.24</v>
      </c>
      <c r="I2605">
        <v>0.43</v>
      </c>
      <c r="J2605" t="s">
        <v>202</v>
      </c>
      <c r="K2605" t="s">
        <v>46</v>
      </c>
      <c r="L2605">
        <v>96</v>
      </c>
      <c r="M2605">
        <v>3.41</v>
      </c>
      <c r="N2605">
        <v>72.209999999999994</v>
      </c>
      <c r="O2605">
        <v>0.25</v>
      </c>
      <c r="P2605">
        <v>4</v>
      </c>
      <c r="Q2605">
        <v>0.71</v>
      </c>
      <c r="R2605">
        <v>965</v>
      </c>
      <c r="S2605">
        <v>12.12</v>
      </c>
      <c r="T2605">
        <v>0.34</v>
      </c>
      <c r="U2605" s="1">
        <v>45602</v>
      </c>
      <c r="V2605">
        <v>241.4</v>
      </c>
      <c r="W2605">
        <v>0.66700000000000004</v>
      </c>
      <c r="X2605" t="str">
        <f>IF(WarehouseData[[#This Row],[stock_level]]&lt;=WarehouseData[[#This Row],[reorder_point]],"Low Stock","Sufficient Stock")</f>
        <v>Sufficient Stock</v>
      </c>
      <c r="Y2605">
        <f>WarehouseData[[#This Row],[daily_demand]]*WarehouseData[[#This Row],[lead_time_days]]</f>
        <v>240.85000000000002</v>
      </c>
      <c r="Z2605" t="str">
        <f>IF(WarehouseData[[#This Row],[stock_level]]&lt;=WarehouseData[[#This Row],[Demand During Lead Time]],"At Risk","Safe")</f>
        <v>Safe</v>
      </c>
      <c r="AA2605">
        <f>WarehouseData[[#This Row],[stock_level]]/WarehouseData[[#This Row],[daily_demand]]</f>
        <v>9.6740709985468136</v>
      </c>
      <c r="AB2605">
        <f>WarehouseData[[#This Row],[stock_level]]*WarehouseData[[#This Row],[unit_price]]</f>
        <v>33649.86</v>
      </c>
      <c r="AC2605">
        <f>WarehouseData[[#This Row],[stock_level]]*WarehouseData[[#This Row],[holding_cost_per_unit_day]]*30</f>
        <v>3495</v>
      </c>
      <c r="AD2605" t="str">
        <f>IF(WarehouseData[[#This Row],[order_fulfillment_rate]]&gt;=0.9,"Strong",IF(WarehouseData[[#This Row],[order_fulfillment_rate]]&gt;=0.8,"Moderate","Needs Attention"))</f>
        <v>Needs Attention</v>
      </c>
      <c r="AE2605" t="str">
        <f>IF(WarehouseData[[#This Row],[picking_time_seconds]]&gt;120,"Slow",IF(WarehouseData[[#This Row],[picking_time_seconds]]&gt;=60,"Average","Fast"))</f>
        <v>Average</v>
      </c>
    </row>
    <row r="2606" spans="1:31" x14ac:dyDescent="0.25">
      <c r="A2606" t="s">
        <v>2744</v>
      </c>
      <c r="B2606" t="s">
        <v>32</v>
      </c>
      <c r="C2606">
        <v>471</v>
      </c>
      <c r="D2606">
        <v>82</v>
      </c>
      <c r="E2606">
        <v>6</v>
      </c>
      <c r="F2606">
        <v>9</v>
      </c>
      <c r="G2606">
        <v>4.5199999999999996</v>
      </c>
      <c r="H2606">
        <v>6.32</v>
      </c>
      <c r="I2606">
        <v>0.25</v>
      </c>
      <c r="J2606" t="s">
        <v>234</v>
      </c>
      <c r="K2606" t="s">
        <v>52</v>
      </c>
      <c r="L2606">
        <v>20</v>
      </c>
      <c r="M2606">
        <v>2.2200000000000002</v>
      </c>
      <c r="N2606">
        <v>181.03</v>
      </c>
      <c r="O2606">
        <v>0.83</v>
      </c>
      <c r="P2606">
        <v>0</v>
      </c>
      <c r="Q2606">
        <v>0.93</v>
      </c>
      <c r="R2606">
        <v>600</v>
      </c>
      <c r="S2606">
        <v>14.36</v>
      </c>
      <c r="T2606">
        <v>0.9</v>
      </c>
      <c r="U2606" s="1">
        <v>45333</v>
      </c>
      <c r="V2606">
        <v>98.15</v>
      </c>
      <c r="W2606">
        <v>0.874</v>
      </c>
      <c r="X2606" t="str">
        <f>IF(WarehouseData[[#This Row],[stock_level]]&lt;=WarehouseData[[#This Row],[reorder_point]],"Low Stock","Sufficient Stock")</f>
        <v>Sufficient Stock</v>
      </c>
      <c r="Y2606">
        <f>WarehouseData[[#This Row],[daily_demand]]*WarehouseData[[#This Row],[lead_time_days]]</f>
        <v>40.679999999999993</v>
      </c>
      <c r="Z2606" t="str">
        <f>IF(WarehouseData[[#This Row],[stock_level]]&lt;=WarehouseData[[#This Row],[Demand During Lead Time]],"At Risk","Safe")</f>
        <v>Safe</v>
      </c>
      <c r="AA2606">
        <f>WarehouseData[[#This Row],[stock_level]]/WarehouseData[[#This Row],[daily_demand]]</f>
        <v>104.20353982300885</v>
      </c>
      <c r="AB2606">
        <f>WarehouseData[[#This Row],[stock_level]]*WarehouseData[[#This Row],[unit_price]]</f>
        <v>85265.13</v>
      </c>
      <c r="AC2606">
        <f>WarehouseData[[#This Row],[stock_level]]*WarehouseData[[#This Row],[holding_cost_per_unit_day]]*30</f>
        <v>11727.9</v>
      </c>
      <c r="AD2606" t="str">
        <f>IF(WarehouseData[[#This Row],[order_fulfillment_rate]]&gt;=0.9,"Strong",IF(WarehouseData[[#This Row],[order_fulfillment_rate]]&gt;=0.8,"Moderate","Needs Attention"))</f>
        <v>Strong</v>
      </c>
      <c r="AE2606" t="str">
        <f>IF(WarehouseData[[#This Row],[picking_time_seconds]]&gt;120,"Slow",IF(WarehouseData[[#This Row],[picking_time_seconds]]&gt;=60,"Average","Fast"))</f>
        <v>Fast</v>
      </c>
    </row>
    <row r="2607" spans="1:31" x14ac:dyDescent="0.25">
      <c r="A2607" t="s">
        <v>2745</v>
      </c>
      <c r="B2607" t="s">
        <v>40</v>
      </c>
      <c r="C2607">
        <v>356</v>
      </c>
      <c r="D2607">
        <v>42</v>
      </c>
      <c r="E2607">
        <v>12</v>
      </c>
      <c r="F2607">
        <v>5</v>
      </c>
      <c r="G2607">
        <v>14.15</v>
      </c>
      <c r="H2607">
        <v>9.5399999999999991</v>
      </c>
      <c r="I2607">
        <v>0.55000000000000004</v>
      </c>
      <c r="J2607" t="s">
        <v>338</v>
      </c>
      <c r="K2607" t="s">
        <v>52</v>
      </c>
      <c r="L2607">
        <v>71</v>
      </c>
      <c r="M2607">
        <v>1.99</v>
      </c>
      <c r="N2607">
        <v>69.319999999999993</v>
      </c>
      <c r="O2607">
        <v>1.52</v>
      </c>
      <c r="P2607">
        <v>7</v>
      </c>
      <c r="Q2607">
        <v>0.85</v>
      </c>
      <c r="R2607">
        <v>554</v>
      </c>
      <c r="S2607">
        <v>3.08</v>
      </c>
      <c r="T2607">
        <v>0.25</v>
      </c>
      <c r="U2607" s="1">
        <v>45435</v>
      </c>
      <c r="V2607">
        <v>126.99</v>
      </c>
      <c r="W2607">
        <v>0.36899999999999999</v>
      </c>
      <c r="X2607" t="str">
        <f>IF(WarehouseData[[#This Row],[stock_level]]&lt;=WarehouseData[[#This Row],[reorder_point]],"Low Stock","Sufficient Stock")</f>
        <v>Sufficient Stock</v>
      </c>
      <c r="Y2607">
        <f>WarehouseData[[#This Row],[daily_demand]]*WarehouseData[[#This Row],[lead_time_days]]</f>
        <v>70.75</v>
      </c>
      <c r="Z2607" t="str">
        <f>IF(WarehouseData[[#This Row],[stock_level]]&lt;=WarehouseData[[#This Row],[Demand During Lead Time]],"At Risk","Safe")</f>
        <v>Safe</v>
      </c>
      <c r="AA2607">
        <f>WarehouseData[[#This Row],[stock_level]]/WarehouseData[[#This Row],[daily_demand]]</f>
        <v>25.159010600706715</v>
      </c>
      <c r="AB2607">
        <f>WarehouseData[[#This Row],[stock_level]]*WarehouseData[[#This Row],[unit_price]]</f>
        <v>24677.919999999998</v>
      </c>
      <c r="AC2607">
        <f>WarehouseData[[#This Row],[stock_level]]*WarehouseData[[#This Row],[holding_cost_per_unit_day]]*30</f>
        <v>16233.6</v>
      </c>
      <c r="AD2607" t="str">
        <f>IF(WarehouseData[[#This Row],[order_fulfillment_rate]]&gt;=0.9,"Strong",IF(WarehouseData[[#This Row],[order_fulfillment_rate]]&gt;=0.8,"Moderate","Needs Attention"))</f>
        <v>Moderate</v>
      </c>
      <c r="AE2607" t="str">
        <f>IF(WarehouseData[[#This Row],[picking_time_seconds]]&gt;120,"Slow",IF(WarehouseData[[#This Row],[picking_time_seconds]]&gt;=60,"Average","Fast"))</f>
        <v>Average</v>
      </c>
    </row>
    <row r="2608" spans="1:31" x14ac:dyDescent="0.25">
      <c r="A2608" t="s">
        <v>2746</v>
      </c>
      <c r="B2608" t="s">
        <v>48</v>
      </c>
      <c r="C2608">
        <v>316</v>
      </c>
      <c r="D2608">
        <v>41</v>
      </c>
      <c r="E2608">
        <v>5</v>
      </c>
      <c r="F2608">
        <v>8</v>
      </c>
      <c r="G2608">
        <v>4.93</v>
      </c>
      <c r="H2608">
        <v>8.27</v>
      </c>
      <c r="I2608">
        <v>0.75</v>
      </c>
      <c r="J2608" t="s">
        <v>234</v>
      </c>
      <c r="K2608" t="s">
        <v>34</v>
      </c>
      <c r="L2608">
        <v>86</v>
      </c>
      <c r="M2608">
        <v>3.52</v>
      </c>
      <c r="N2608">
        <v>62.02</v>
      </c>
      <c r="O2608">
        <v>1.45</v>
      </c>
      <c r="P2608">
        <v>5</v>
      </c>
      <c r="Q2608">
        <v>0.8</v>
      </c>
      <c r="R2608">
        <v>895</v>
      </c>
      <c r="S2608">
        <v>10.53</v>
      </c>
      <c r="T2608">
        <v>0.85</v>
      </c>
      <c r="U2608" s="1">
        <v>45363</v>
      </c>
      <c r="V2608">
        <v>109.56</v>
      </c>
      <c r="W2608">
        <v>0.625</v>
      </c>
      <c r="X2608" t="str">
        <f>IF(WarehouseData[[#This Row],[stock_level]]&lt;=WarehouseData[[#This Row],[reorder_point]],"Low Stock","Sufficient Stock")</f>
        <v>Sufficient Stock</v>
      </c>
      <c r="Y2608">
        <f>WarehouseData[[#This Row],[daily_demand]]*WarehouseData[[#This Row],[lead_time_days]]</f>
        <v>39.44</v>
      </c>
      <c r="Z2608" t="str">
        <f>IF(WarehouseData[[#This Row],[stock_level]]&lt;=WarehouseData[[#This Row],[Demand During Lead Time]],"At Risk","Safe")</f>
        <v>Safe</v>
      </c>
      <c r="AA2608">
        <f>WarehouseData[[#This Row],[stock_level]]/WarehouseData[[#This Row],[daily_demand]]</f>
        <v>64.097363083164311</v>
      </c>
      <c r="AB2608">
        <f>WarehouseData[[#This Row],[stock_level]]*WarehouseData[[#This Row],[unit_price]]</f>
        <v>19598.32</v>
      </c>
      <c r="AC2608">
        <f>WarehouseData[[#This Row],[stock_level]]*WarehouseData[[#This Row],[holding_cost_per_unit_day]]*30</f>
        <v>13746</v>
      </c>
      <c r="AD2608" t="str">
        <f>IF(WarehouseData[[#This Row],[order_fulfillment_rate]]&gt;=0.9,"Strong",IF(WarehouseData[[#This Row],[order_fulfillment_rate]]&gt;=0.8,"Moderate","Needs Attention"))</f>
        <v>Moderate</v>
      </c>
      <c r="AE2608" t="str">
        <f>IF(WarehouseData[[#This Row],[picking_time_seconds]]&gt;120,"Slow",IF(WarehouseData[[#This Row],[picking_time_seconds]]&gt;=60,"Average","Fast"))</f>
        <v>Average</v>
      </c>
    </row>
    <row r="2609" spans="1:31" x14ac:dyDescent="0.25">
      <c r="A2609" t="s">
        <v>2747</v>
      </c>
      <c r="B2609" t="s">
        <v>40</v>
      </c>
      <c r="C2609">
        <v>486</v>
      </c>
      <c r="D2609">
        <v>70</v>
      </c>
      <c r="E2609">
        <v>10</v>
      </c>
      <c r="F2609">
        <v>5</v>
      </c>
      <c r="G2609">
        <v>37.799999999999997</v>
      </c>
      <c r="H2609">
        <v>8.76</v>
      </c>
      <c r="I2609">
        <v>0.17</v>
      </c>
      <c r="J2609" t="s">
        <v>334</v>
      </c>
      <c r="K2609" t="s">
        <v>52</v>
      </c>
      <c r="L2609">
        <v>113</v>
      </c>
      <c r="M2609">
        <v>3.17</v>
      </c>
      <c r="N2609">
        <v>103.93</v>
      </c>
      <c r="O2609">
        <v>1.2</v>
      </c>
      <c r="P2609">
        <v>9</v>
      </c>
      <c r="Q2609">
        <v>0.94</v>
      </c>
      <c r="R2609">
        <v>267</v>
      </c>
      <c r="S2609">
        <v>13.68</v>
      </c>
      <c r="T2609">
        <v>0.67</v>
      </c>
      <c r="U2609" s="1">
        <v>45567</v>
      </c>
      <c r="V2609">
        <v>124.29</v>
      </c>
      <c r="W2609">
        <v>0.60399999999999998</v>
      </c>
      <c r="X2609" t="str">
        <f>IF(WarehouseData[[#This Row],[stock_level]]&lt;=WarehouseData[[#This Row],[reorder_point]],"Low Stock","Sufficient Stock")</f>
        <v>Sufficient Stock</v>
      </c>
      <c r="Y2609">
        <f>WarehouseData[[#This Row],[daily_demand]]*WarehouseData[[#This Row],[lead_time_days]]</f>
        <v>189</v>
      </c>
      <c r="Z2609" t="str">
        <f>IF(WarehouseData[[#This Row],[stock_level]]&lt;=WarehouseData[[#This Row],[Demand During Lead Time]],"At Risk","Safe")</f>
        <v>Safe</v>
      </c>
      <c r="AA2609">
        <f>WarehouseData[[#This Row],[stock_level]]/WarehouseData[[#This Row],[daily_demand]]</f>
        <v>12.857142857142858</v>
      </c>
      <c r="AB2609">
        <f>WarehouseData[[#This Row],[stock_level]]*WarehouseData[[#This Row],[unit_price]]</f>
        <v>50509.98</v>
      </c>
      <c r="AC2609">
        <f>WarehouseData[[#This Row],[stock_level]]*WarehouseData[[#This Row],[holding_cost_per_unit_day]]*30</f>
        <v>17495.999999999996</v>
      </c>
      <c r="AD2609" t="str">
        <f>IF(WarehouseData[[#This Row],[order_fulfillment_rate]]&gt;=0.9,"Strong",IF(WarehouseData[[#This Row],[order_fulfillment_rate]]&gt;=0.8,"Moderate","Needs Attention"))</f>
        <v>Strong</v>
      </c>
      <c r="AE2609" t="str">
        <f>IF(WarehouseData[[#This Row],[picking_time_seconds]]&gt;120,"Slow",IF(WarehouseData[[#This Row],[picking_time_seconds]]&gt;=60,"Average","Fast"))</f>
        <v>Average</v>
      </c>
    </row>
    <row r="2610" spans="1:31" x14ac:dyDescent="0.25">
      <c r="A2610" t="s">
        <v>2748</v>
      </c>
      <c r="B2610" t="s">
        <v>40</v>
      </c>
      <c r="C2610">
        <v>408</v>
      </c>
      <c r="D2610">
        <v>63</v>
      </c>
      <c r="E2610">
        <v>3</v>
      </c>
      <c r="F2610">
        <v>7</v>
      </c>
      <c r="G2610">
        <v>7.9</v>
      </c>
      <c r="H2610">
        <v>5.65</v>
      </c>
      <c r="I2610">
        <v>0.67</v>
      </c>
      <c r="J2610" t="s">
        <v>64</v>
      </c>
      <c r="K2610" t="s">
        <v>38</v>
      </c>
      <c r="L2610">
        <v>65</v>
      </c>
      <c r="M2610">
        <v>3.42</v>
      </c>
      <c r="N2610">
        <v>183.5</v>
      </c>
      <c r="O2610">
        <v>1.19</v>
      </c>
      <c r="P2610">
        <v>9</v>
      </c>
      <c r="Q2610">
        <v>0.83</v>
      </c>
      <c r="R2610">
        <v>908</v>
      </c>
      <c r="S2610">
        <v>5.19</v>
      </c>
      <c r="T2610">
        <v>0.33</v>
      </c>
      <c r="U2610" s="1">
        <v>45392</v>
      </c>
      <c r="V2610">
        <v>174.46</v>
      </c>
      <c r="W2610">
        <v>0.40200000000000002</v>
      </c>
      <c r="X2610" t="str">
        <f>IF(WarehouseData[[#This Row],[stock_level]]&lt;=WarehouseData[[#This Row],[reorder_point]],"Low Stock","Sufficient Stock")</f>
        <v>Sufficient Stock</v>
      </c>
      <c r="Y2610">
        <f>WarehouseData[[#This Row],[daily_demand]]*WarehouseData[[#This Row],[lead_time_days]]</f>
        <v>55.300000000000004</v>
      </c>
      <c r="Z2610" t="str">
        <f>IF(WarehouseData[[#This Row],[stock_level]]&lt;=WarehouseData[[#This Row],[Demand During Lead Time]],"At Risk","Safe")</f>
        <v>Safe</v>
      </c>
      <c r="AA2610">
        <f>WarehouseData[[#This Row],[stock_level]]/WarehouseData[[#This Row],[daily_demand]]</f>
        <v>51.645569620253163</v>
      </c>
      <c r="AB2610">
        <f>WarehouseData[[#This Row],[stock_level]]*WarehouseData[[#This Row],[unit_price]]</f>
        <v>74868</v>
      </c>
      <c r="AC2610">
        <f>WarehouseData[[#This Row],[stock_level]]*WarehouseData[[#This Row],[holding_cost_per_unit_day]]*30</f>
        <v>14565.599999999999</v>
      </c>
      <c r="AD2610" t="str">
        <f>IF(WarehouseData[[#This Row],[order_fulfillment_rate]]&gt;=0.9,"Strong",IF(WarehouseData[[#This Row],[order_fulfillment_rate]]&gt;=0.8,"Moderate","Needs Attention"))</f>
        <v>Moderate</v>
      </c>
      <c r="AE2610" t="str">
        <f>IF(WarehouseData[[#This Row],[picking_time_seconds]]&gt;120,"Slow",IF(WarehouseData[[#This Row],[picking_time_seconds]]&gt;=60,"Average","Fast"))</f>
        <v>Average</v>
      </c>
    </row>
    <row r="2611" spans="1:31" x14ac:dyDescent="0.25">
      <c r="A2611" t="s">
        <v>2749</v>
      </c>
      <c r="B2611" t="s">
        <v>73</v>
      </c>
      <c r="C2611">
        <v>435</v>
      </c>
      <c r="D2611">
        <v>26</v>
      </c>
      <c r="E2611">
        <v>11</v>
      </c>
      <c r="F2611">
        <v>8</v>
      </c>
      <c r="G2611">
        <v>5.89</v>
      </c>
      <c r="H2611">
        <v>3.61</v>
      </c>
      <c r="I2611">
        <v>0.87</v>
      </c>
      <c r="J2611" t="s">
        <v>236</v>
      </c>
      <c r="K2611" t="s">
        <v>46</v>
      </c>
      <c r="L2611">
        <v>119</v>
      </c>
      <c r="M2611">
        <v>4.84</v>
      </c>
      <c r="N2611">
        <v>144.62</v>
      </c>
      <c r="O2611">
        <v>0.27</v>
      </c>
      <c r="P2611">
        <v>1</v>
      </c>
      <c r="Q2611">
        <v>0.7</v>
      </c>
      <c r="R2611">
        <v>531</v>
      </c>
      <c r="S2611">
        <v>12.61</v>
      </c>
      <c r="T2611">
        <v>0.38</v>
      </c>
      <c r="U2611" s="1">
        <v>45426</v>
      </c>
      <c r="V2611">
        <v>171.67</v>
      </c>
      <c r="W2611">
        <v>0.73699999999999999</v>
      </c>
      <c r="X2611" t="str">
        <f>IF(WarehouseData[[#This Row],[stock_level]]&lt;=WarehouseData[[#This Row],[reorder_point]],"Low Stock","Sufficient Stock")</f>
        <v>Sufficient Stock</v>
      </c>
      <c r="Y2611">
        <f>WarehouseData[[#This Row],[daily_demand]]*WarehouseData[[#This Row],[lead_time_days]]</f>
        <v>47.12</v>
      </c>
      <c r="Z2611" t="str">
        <f>IF(WarehouseData[[#This Row],[stock_level]]&lt;=WarehouseData[[#This Row],[Demand During Lead Time]],"At Risk","Safe")</f>
        <v>Safe</v>
      </c>
      <c r="AA2611">
        <f>WarehouseData[[#This Row],[stock_level]]/WarehouseData[[#This Row],[daily_demand]]</f>
        <v>73.853989813242791</v>
      </c>
      <c r="AB2611">
        <f>WarehouseData[[#This Row],[stock_level]]*WarehouseData[[#This Row],[unit_price]]</f>
        <v>62909.700000000004</v>
      </c>
      <c r="AC2611">
        <f>WarehouseData[[#This Row],[stock_level]]*WarehouseData[[#This Row],[holding_cost_per_unit_day]]*30</f>
        <v>3523.5</v>
      </c>
      <c r="AD2611" t="str">
        <f>IF(WarehouseData[[#This Row],[order_fulfillment_rate]]&gt;=0.9,"Strong",IF(WarehouseData[[#This Row],[order_fulfillment_rate]]&gt;=0.8,"Moderate","Needs Attention"))</f>
        <v>Needs Attention</v>
      </c>
      <c r="AE2611" t="str">
        <f>IF(WarehouseData[[#This Row],[picking_time_seconds]]&gt;120,"Slow",IF(WarehouseData[[#This Row],[picking_time_seconds]]&gt;=60,"Average","Fast"))</f>
        <v>Average</v>
      </c>
    </row>
    <row r="2612" spans="1:31" x14ac:dyDescent="0.25">
      <c r="A2612" t="s">
        <v>2750</v>
      </c>
      <c r="B2612" t="s">
        <v>36</v>
      </c>
      <c r="C2612">
        <v>233</v>
      </c>
      <c r="D2612">
        <v>28</v>
      </c>
      <c r="E2612">
        <v>3</v>
      </c>
      <c r="F2612">
        <v>2</v>
      </c>
      <c r="G2612">
        <v>28.52</v>
      </c>
      <c r="H2612">
        <v>7.17</v>
      </c>
      <c r="I2612">
        <v>0.34</v>
      </c>
      <c r="J2612" t="s">
        <v>79</v>
      </c>
      <c r="K2612" t="s">
        <v>52</v>
      </c>
      <c r="L2612">
        <v>58</v>
      </c>
      <c r="M2612">
        <v>3.66</v>
      </c>
      <c r="N2612">
        <v>138.72</v>
      </c>
      <c r="O2612">
        <v>0.43</v>
      </c>
      <c r="P2612">
        <v>1</v>
      </c>
      <c r="Q2612">
        <v>0.98</v>
      </c>
      <c r="R2612">
        <v>465</v>
      </c>
      <c r="S2612">
        <v>13.67</v>
      </c>
      <c r="T2612">
        <v>0.32</v>
      </c>
      <c r="U2612" s="1">
        <v>45612</v>
      </c>
      <c r="V2612">
        <v>114.79</v>
      </c>
      <c r="W2612">
        <v>0.77900000000000003</v>
      </c>
      <c r="X2612" t="str">
        <f>IF(WarehouseData[[#This Row],[stock_level]]&lt;=WarehouseData[[#This Row],[reorder_point]],"Low Stock","Sufficient Stock")</f>
        <v>Sufficient Stock</v>
      </c>
      <c r="Y2612">
        <f>WarehouseData[[#This Row],[daily_demand]]*WarehouseData[[#This Row],[lead_time_days]]</f>
        <v>57.04</v>
      </c>
      <c r="Z2612" t="str">
        <f>IF(WarehouseData[[#This Row],[stock_level]]&lt;=WarehouseData[[#This Row],[Demand During Lead Time]],"At Risk","Safe")</f>
        <v>Safe</v>
      </c>
      <c r="AA2612">
        <f>WarehouseData[[#This Row],[stock_level]]/WarehouseData[[#This Row],[daily_demand]]</f>
        <v>8.1697054698457219</v>
      </c>
      <c r="AB2612">
        <f>WarehouseData[[#This Row],[stock_level]]*WarehouseData[[#This Row],[unit_price]]</f>
        <v>32321.759999999998</v>
      </c>
      <c r="AC2612">
        <f>WarehouseData[[#This Row],[stock_level]]*WarehouseData[[#This Row],[holding_cost_per_unit_day]]*30</f>
        <v>3005.7</v>
      </c>
      <c r="AD2612" t="str">
        <f>IF(WarehouseData[[#This Row],[order_fulfillment_rate]]&gt;=0.9,"Strong",IF(WarehouseData[[#This Row],[order_fulfillment_rate]]&gt;=0.8,"Moderate","Needs Attention"))</f>
        <v>Strong</v>
      </c>
      <c r="AE2612" t="str">
        <f>IF(WarehouseData[[#This Row],[picking_time_seconds]]&gt;120,"Slow",IF(WarehouseData[[#This Row],[picking_time_seconds]]&gt;=60,"Average","Fast"))</f>
        <v>Fast</v>
      </c>
    </row>
    <row r="2613" spans="1:31" x14ac:dyDescent="0.25">
      <c r="A2613" t="s">
        <v>2751</v>
      </c>
      <c r="B2613" t="s">
        <v>32</v>
      </c>
      <c r="C2613">
        <v>473</v>
      </c>
      <c r="D2613">
        <v>79</v>
      </c>
      <c r="E2613">
        <v>4</v>
      </c>
      <c r="F2613">
        <v>4</v>
      </c>
      <c r="G2613">
        <v>21.16</v>
      </c>
      <c r="H2613">
        <v>4.67</v>
      </c>
      <c r="I2613">
        <v>0.72</v>
      </c>
      <c r="J2613" t="s">
        <v>135</v>
      </c>
      <c r="K2613" t="s">
        <v>52</v>
      </c>
      <c r="L2613">
        <v>25</v>
      </c>
      <c r="M2613">
        <v>3.38</v>
      </c>
      <c r="N2613">
        <v>147.94999999999999</v>
      </c>
      <c r="O2613">
        <v>1.1200000000000001</v>
      </c>
      <c r="P2613">
        <v>9</v>
      </c>
      <c r="Q2613">
        <v>0.78</v>
      </c>
      <c r="R2613">
        <v>986</v>
      </c>
      <c r="S2613">
        <v>5.19</v>
      </c>
      <c r="T2613">
        <v>0.77</v>
      </c>
      <c r="U2613" s="1">
        <v>45331</v>
      </c>
      <c r="V2613">
        <v>184.71</v>
      </c>
      <c r="W2613">
        <v>0.48699999999999999</v>
      </c>
      <c r="X2613" t="str">
        <f>IF(WarehouseData[[#This Row],[stock_level]]&lt;=WarehouseData[[#This Row],[reorder_point]],"Low Stock","Sufficient Stock")</f>
        <v>Sufficient Stock</v>
      </c>
      <c r="Y2613">
        <f>WarehouseData[[#This Row],[daily_demand]]*WarehouseData[[#This Row],[lead_time_days]]</f>
        <v>84.64</v>
      </c>
      <c r="Z2613" t="str">
        <f>IF(WarehouseData[[#This Row],[stock_level]]&lt;=WarehouseData[[#This Row],[Demand During Lead Time]],"At Risk","Safe")</f>
        <v>Safe</v>
      </c>
      <c r="AA2613">
        <f>WarehouseData[[#This Row],[stock_level]]/WarehouseData[[#This Row],[daily_demand]]</f>
        <v>22.353497164461249</v>
      </c>
      <c r="AB2613">
        <f>WarehouseData[[#This Row],[stock_level]]*WarehouseData[[#This Row],[unit_price]]</f>
        <v>69980.349999999991</v>
      </c>
      <c r="AC2613">
        <f>WarehouseData[[#This Row],[stock_level]]*WarehouseData[[#This Row],[holding_cost_per_unit_day]]*30</f>
        <v>15892.800000000003</v>
      </c>
      <c r="AD2613" t="str">
        <f>IF(WarehouseData[[#This Row],[order_fulfillment_rate]]&gt;=0.9,"Strong",IF(WarehouseData[[#This Row],[order_fulfillment_rate]]&gt;=0.8,"Moderate","Needs Attention"))</f>
        <v>Needs Attention</v>
      </c>
      <c r="AE2613" t="str">
        <f>IF(WarehouseData[[#This Row],[picking_time_seconds]]&gt;120,"Slow",IF(WarehouseData[[#This Row],[picking_time_seconds]]&gt;=60,"Average","Fast"))</f>
        <v>Fast</v>
      </c>
    </row>
    <row r="2614" spans="1:31" x14ac:dyDescent="0.25">
      <c r="A2614" t="s">
        <v>2752</v>
      </c>
      <c r="B2614" t="s">
        <v>48</v>
      </c>
      <c r="C2614">
        <v>310</v>
      </c>
      <c r="D2614">
        <v>43</v>
      </c>
      <c r="E2614">
        <v>10</v>
      </c>
      <c r="F2614">
        <v>7</v>
      </c>
      <c r="G2614">
        <v>36.04</v>
      </c>
      <c r="H2614">
        <v>3.23</v>
      </c>
      <c r="I2614">
        <v>0.46</v>
      </c>
      <c r="J2614" t="s">
        <v>340</v>
      </c>
      <c r="K2614" t="s">
        <v>46</v>
      </c>
      <c r="L2614">
        <v>82</v>
      </c>
      <c r="M2614">
        <v>3.26</v>
      </c>
      <c r="N2614">
        <v>135.33000000000001</v>
      </c>
      <c r="O2614">
        <v>0.76</v>
      </c>
      <c r="P2614">
        <v>4</v>
      </c>
      <c r="Q2614">
        <v>0.95</v>
      </c>
      <c r="R2614">
        <v>798</v>
      </c>
      <c r="S2614">
        <v>1.79</v>
      </c>
      <c r="T2614">
        <v>0.32</v>
      </c>
      <c r="U2614" s="1">
        <v>45330</v>
      </c>
      <c r="V2614">
        <v>188.65</v>
      </c>
      <c r="W2614">
        <v>0.52200000000000002</v>
      </c>
      <c r="X2614" t="str">
        <f>IF(WarehouseData[[#This Row],[stock_level]]&lt;=WarehouseData[[#This Row],[reorder_point]],"Low Stock","Sufficient Stock")</f>
        <v>Sufficient Stock</v>
      </c>
      <c r="Y2614">
        <f>WarehouseData[[#This Row],[daily_demand]]*WarehouseData[[#This Row],[lead_time_days]]</f>
        <v>252.28</v>
      </c>
      <c r="Z2614" t="str">
        <f>IF(WarehouseData[[#This Row],[stock_level]]&lt;=WarehouseData[[#This Row],[Demand During Lead Time]],"At Risk","Safe")</f>
        <v>Safe</v>
      </c>
      <c r="AA2614">
        <f>WarehouseData[[#This Row],[stock_level]]/WarehouseData[[#This Row],[daily_demand]]</f>
        <v>8.6015538290788012</v>
      </c>
      <c r="AB2614">
        <f>WarehouseData[[#This Row],[stock_level]]*WarehouseData[[#This Row],[unit_price]]</f>
        <v>41952.3</v>
      </c>
      <c r="AC2614">
        <f>WarehouseData[[#This Row],[stock_level]]*WarehouseData[[#This Row],[holding_cost_per_unit_day]]*30</f>
        <v>7068</v>
      </c>
      <c r="AD2614" t="str">
        <f>IF(WarehouseData[[#This Row],[order_fulfillment_rate]]&gt;=0.9,"Strong",IF(WarehouseData[[#This Row],[order_fulfillment_rate]]&gt;=0.8,"Moderate","Needs Attention"))</f>
        <v>Strong</v>
      </c>
      <c r="AE2614" t="str">
        <f>IF(WarehouseData[[#This Row],[picking_time_seconds]]&gt;120,"Slow",IF(WarehouseData[[#This Row],[picking_time_seconds]]&gt;=60,"Average","Fast"))</f>
        <v>Average</v>
      </c>
    </row>
    <row r="2615" spans="1:31" x14ac:dyDescent="0.25">
      <c r="A2615" t="s">
        <v>2753</v>
      </c>
      <c r="B2615" t="s">
        <v>32</v>
      </c>
      <c r="C2615">
        <v>41</v>
      </c>
      <c r="D2615">
        <v>93</v>
      </c>
      <c r="E2615">
        <v>11</v>
      </c>
      <c r="F2615">
        <v>9</v>
      </c>
      <c r="G2615">
        <v>24.86</v>
      </c>
      <c r="H2615">
        <v>1.95</v>
      </c>
      <c r="I2615">
        <v>0.47</v>
      </c>
      <c r="J2615" t="s">
        <v>75</v>
      </c>
      <c r="K2615" t="s">
        <v>52</v>
      </c>
      <c r="L2615">
        <v>125</v>
      </c>
      <c r="M2615">
        <v>2.29</v>
      </c>
      <c r="N2615">
        <v>154.36000000000001</v>
      </c>
      <c r="O2615">
        <v>0.14000000000000001</v>
      </c>
      <c r="P2615">
        <v>6</v>
      </c>
      <c r="Q2615">
        <v>0.94</v>
      </c>
      <c r="R2615">
        <v>374</v>
      </c>
      <c r="S2615">
        <v>13.84</v>
      </c>
      <c r="T2615">
        <v>0.75</v>
      </c>
      <c r="U2615" s="1">
        <v>45301</v>
      </c>
      <c r="V2615">
        <v>162.80000000000001</v>
      </c>
      <c r="W2615">
        <v>0.78900000000000003</v>
      </c>
      <c r="X2615" t="str">
        <f>IF(WarehouseData[[#This Row],[stock_level]]&lt;=WarehouseData[[#This Row],[reorder_point]],"Low Stock","Sufficient Stock")</f>
        <v>Low Stock</v>
      </c>
      <c r="Y2615">
        <f>WarehouseData[[#This Row],[daily_demand]]*WarehouseData[[#This Row],[lead_time_days]]</f>
        <v>223.74</v>
      </c>
      <c r="Z2615" t="str">
        <f>IF(WarehouseData[[#This Row],[stock_level]]&lt;=WarehouseData[[#This Row],[Demand During Lead Time]],"At Risk","Safe")</f>
        <v>At Risk</v>
      </c>
      <c r="AA2615">
        <f>WarehouseData[[#This Row],[stock_level]]/WarehouseData[[#This Row],[daily_demand]]</f>
        <v>1.6492357200321803</v>
      </c>
      <c r="AB2615">
        <f>WarehouseData[[#This Row],[stock_level]]*WarehouseData[[#This Row],[unit_price]]</f>
        <v>6328.76</v>
      </c>
      <c r="AC2615">
        <f>WarehouseData[[#This Row],[stock_level]]*WarehouseData[[#This Row],[holding_cost_per_unit_day]]*30</f>
        <v>172.20000000000002</v>
      </c>
      <c r="AD2615" t="str">
        <f>IF(WarehouseData[[#This Row],[order_fulfillment_rate]]&gt;=0.9,"Strong",IF(WarehouseData[[#This Row],[order_fulfillment_rate]]&gt;=0.8,"Moderate","Needs Attention"))</f>
        <v>Strong</v>
      </c>
      <c r="AE2615" t="str">
        <f>IF(WarehouseData[[#This Row],[picking_time_seconds]]&gt;120,"Slow",IF(WarehouseData[[#This Row],[picking_time_seconds]]&gt;=60,"Average","Fast"))</f>
        <v>Slow</v>
      </c>
    </row>
    <row r="2616" spans="1:31" x14ac:dyDescent="0.25">
      <c r="A2616" t="s">
        <v>2754</v>
      </c>
      <c r="B2616" t="s">
        <v>32</v>
      </c>
      <c r="C2616">
        <v>212</v>
      </c>
      <c r="D2616">
        <v>34</v>
      </c>
      <c r="E2616">
        <v>9</v>
      </c>
      <c r="F2616">
        <v>4</v>
      </c>
      <c r="G2616">
        <v>21.84</v>
      </c>
      <c r="H2616">
        <v>5.51</v>
      </c>
      <c r="I2616">
        <v>0.35</v>
      </c>
      <c r="J2616" t="s">
        <v>251</v>
      </c>
      <c r="K2616" t="s">
        <v>52</v>
      </c>
      <c r="L2616">
        <v>102</v>
      </c>
      <c r="M2616">
        <v>4.28</v>
      </c>
      <c r="N2616">
        <v>46.62</v>
      </c>
      <c r="O2616">
        <v>1.62</v>
      </c>
      <c r="P2616">
        <v>8</v>
      </c>
      <c r="Q2616">
        <v>0.75</v>
      </c>
      <c r="R2616">
        <v>885</v>
      </c>
      <c r="S2616">
        <v>5.63</v>
      </c>
      <c r="T2616">
        <v>0.3</v>
      </c>
      <c r="U2616" s="1">
        <v>45551</v>
      </c>
      <c r="V2616">
        <v>141.18</v>
      </c>
      <c r="W2616">
        <v>0.36299999999999999</v>
      </c>
      <c r="X2616" t="str">
        <f>IF(WarehouseData[[#This Row],[stock_level]]&lt;=WarehouseData[[#This Row],[reorder_point]],"Low Stock","Sufficient Stock")</f>
        <v>Sufficient Stock</v>
      </c>
      <c r="Y2616">
        <f>WarehouseData[[#This Row],[daily_demand]]*WarehouseData[[#This Row],[lead_time_days]]</f>
        <v>87.36</v>
      </c>
      <c r="Z2616" t="str">
        <f>IF(WarehouseData[[#This Row],[stock_level]]&lt;=WarehouseData[[#This Row],[Demand During Lead Time]],"At Risk","Safe")</f>
        <v>Safe</v>
      </c>
      <c r="AA2616">
        <f>WarehouseData[[#This Row],[stock_level]]/WarehouseData[[#This Row],[daily_demand]]</f>
        <v>9.7069597069597062</v>
      </c>
      <c r="AB2616">
        <f>WarehouseData[[#This Row],[stock_level]]*WarehouseData[[#This Row],[unit_price]]</f>
        <v>9883.4399999999987</v>
      </c>
      <c r="AC2616">
        <f>WarehouseData[[#This Row],[stock_level]]*WarehouseData[[#This Row],[holding_cost_per_unit_day]]*30</f>
        <v>10303.200000000001</v>
      </c>
      <c r="AD2616" t="str">
        <f>IF(WarehouseData[[#This Row],[order_fulfillment_rate]]&gt;=0.9,"Strong",IF(WarehouseData[[#This Row],[order_fulfillment_rate]]&gt;=0.8,"Moderate","Needs Attention"))</f>
        <v>Needs Attention</v>
      </c>
      <c r="AE2616" t="str">
        <f>IF(WarehouseData[[#This Row],[picking_time_seconds]]&gt;120,"Slow",IF(WarehouseData[[#This Row],[picking_time_seconds]]&gt;=60,"Average","Fast"))</f>
        <v>Average</v>
      </c>
    </row>
    <row r="2617" spans="1:31" x14ac:dyDescent="0.25">
      <c r="A2617" t="s">
        <v>2755</v>
      </c>
      <c r="B2617" t="s">
        <v>36</v>
      </c>
      <c r="C2617">
        <v>487</v>
      </c>
      <c r="D2617">
        <v>77</v>
      </c>
      <c r="E2617">
        <v>5</v>
      </c>
      <c r="F2617">
        <v>9</v>
      </c>
      <c r="G2617">
        <v>21.85</v>
      </c>
      <c r="H2617">
        <v>6.15</v>
      </c>
      <c r="I2617">
        <v>0.66</v>
      </c>
      <c r="J2617" t="s">
        <v>124</v>
      </c>
      <c r="K2617" t="s">
        <v>34</v>
      </c>
      <c r="L2617">
        <v>146</v>
      </c>
      <c r="M2617">
        <v>2.21</v>
      </c>
      <c r="N2617">
        <v>43.68</v>
      </c>
      <c r="O2617">
        <v>1.34</v>
      </c>
      <c r="P2617">
        <v>8</v>
      </c>
      <c r="Q2617">
        <v>0.84</v>
      </c>
      <c r="R2617">
        <v>904</v>
      </c>
      <c r="S2617">
        <v>1.19</v>
      </c>
      <c r="T2617">
        <v>0.84</v>
      </c>
      <c r="U2617" s="1">
        <v>45615</v>
      </c>
      <c r="V2617">
        <v>32.6</v>
      </c>
      <c r="W2617">
        <v>0.45800000000000002</v>
      </c>
      <c r="X2617" t="str">
        <f>IF(WarehouseData[[#This Row],[stock_level]]&lt;=WarehouseData[[#This Row],[reorder_point]],"Low Stock","Sufficient Stock")</f>
        <v>Sufficient Stock</v>
      </c>
      <c r="Y2617">
        <f>WarehouseData[[#This Row],[daily_demand]]*WarehouseData[[#This Row],[lead_time_days]]</f>
        <v>196.65</v>
      </c>
      <c r="Z2617" t="str">
        <f>IF(WarehouseData[[#This Row],[stock_level]]&lt;=WarehouseData[[#This Row],[Demand During Lead Time]],"At Risk","Safe")</f>
        <v>Safe</v>
      </c>
      <c r="AA2617">
        <f>WarehouseData[[#This Row],[stock_level]]/WarehouseData[[#This Row],[daily_demand]]</f>
        <v>22.288329519450798</v>
      </c>
      <c r="AB2617">
        <f>WarehouseData[[#This Row],[stock_level]]*WarehouseData[[#This Row],[unit_price]]</f>
        <v>21272.16</v>
      </c>
      <c r="AC2617">
        <f>WarehouseData[[#This Row],[stock_level]]*WarehouseData[[#This Row],[holding_cost_per_unit_day]]*30</f>
        <v>19577.400000000001</v>
      </c>
      <c r="AD2617" t="str">
        <f>IF(WarehouseData[[#This Row],[order_fulfillment_rate]]&gt;=0.9,"Strong",IF(WarehouseData[[#This Row],[order_fulfillment_rate]]&gt;=0.8,"Moderate","Needs Attention"))</f>
        <v>Moderate</v>
      </c>
      <c r="AE2617" t="str">
        <f>IF(WarehouseData[[#This Row],[picking_time_seconds]]&gt;120,"Slow",IF(WarehouseData[[#This Row],[picking_time_seconds]]&gt;=60,"Average","Fast"))</f>
        <v>Slow</v>
      </c>
    </row>
    <row r="2618" spans="1:31" x14ac:dyDescent="0.25">
      <c r="A2618" t="s">
        <v>2756</v>
      </c>
      <c r="B2618" t="s">
        <v>32</v>
      </c>
      <c r="C2618">
        <v>169</v>
      </c>
      <c r="D2618">
        <v>83</v>
      </c>
      <c r="E2618">
        <v>9</v>
      </c>
      <c r="F2618">
        <v>8</v>
      </c>
      <c r="G2618">
        <v>43.72</v>
      </c>
      <c r="H2618">
        <v>5.9</v>
      </c>
      <c r="I2618">
        <v>0.42</v>
      </c>
      <c r="J2618" t="s">
        <v>265</v>
      </c>
      <c r="K2618" t="s">
        <v>38</v>
      </c>
      <c r="L2618">
        <v>42</v>
      </c>
      <c r="M2618">
        <v>3.65</v>
      </c>
      <c r="N2618">
        <v>78.81</v>
      </c>
      <c r="O2618">
        <v>0.72</v>
      </c>
      <c r="P2618">
        <v>5</v>
      </c>
      <c r="Q2618">
        <v>0.71</v>
      </c>
      <c r="R2618">
        <v>838</v>
      </c>
      <c r="S2618">
        <v>7.65</v>
      </c>
      <c r="T2618">
        <v>0.94</v>
      </c>
      <c r="U2618" s="1">
        <v>45307</v>
      </c>
      <c r="V2618">
        <v>166.97</v>
      </c>
      <c r="W2618">
        <v>0.66</v>
      </c>
      <c r="X2618" t="str">
        <f>IF(WarehouseData[[#This Row],[stock_level]]&lt;=WarehouseData[[#This Row],[reorder_point]],"Low Stock","Sufficient Stock")</f>
        <v>Sufficient Stock</v>
      </c>
      <c r="Y2618">
        <f>WarehouseData[[#This Row],[daily_demand]]*WarehouseData[[#This Row],[lead_time_days]]</f>
        <v>349.76</v>
      </c>
      <c r="Z2618" t="str">
        <f>IF(WarehouseData[[#This Row],[stock_level]]&lt;=WarehouseData[[#This Row],[Demand During Lead Time]],"At Risk","Safe")</f>
        <v>At Risk</v>
      </c>
      <c r="AA2618">
        <f>WarehouseData[[#This Row],[stock_level]]/WarehouseData[[#This Row],[daily_demand]]</f>
        <v>3.8655077767612078</v>
      </c>
      <c r="AB2618">
        <f>WarehouseData[[#This Row],[stock_level]]*WarehouseData[[#This Row],[unit_price]]</f>
        <v>13318.890000000001</v>
      </c>
      <c r="AC2618">
        <f>WarehouseData[[#This Row],[stock_level]]*WarehouseData[[#This Row],[holding_cost_per_unit_day]]*30</f>
        <v>3650.3999999999996</v>
      </c>
      <c r="AD2618" t="str">
        <f>IF(WarehouseData[[#This Row],[order_fulfillment_rate]]&gt;=0.9,"Strong",IF(WarehouseData[[#This Row],[order_fulfillment_rate]]&gt;=0.8,"Moderate","Needs Attention"))</f>
        <v>Needs Attention</v>
      </c>
      <c r="AE2618" t="str">
        <f>IF(WarehouseData[[#This Row],[picking_time_seconds]]&gt;120,"Slow",IF(WarehouseData[[#This Row],[picking_time_seconds]]&gt;=60,"Average","Fast"))</f>
        <v>Fast</v>
      </c>
    </row>
    <row r="2619" spans="1:31" x14ac:dyDescent="0.25">
      <c r="A2619" t="s">
        <v>2757</v>
      </c>
      <c r="B2619" t="s">
        <v>32</v>
      </c>
      <c r="C2619">
        <v>387</v>
      </c>
      <c r="D2619">
        <v>83</v>
      </c>
      <c r="E2619">
        <v>8</v>
      </c>
      <c r="F2619">
        <v>7</v>
      </c>
      <c r="G2619">
        <v>20.37</v>
      </c>
      <c r="H2619">
        <v>1.61</v>
      </c>
      <c r="I2619">
        <v>0.85</v>
      </c>
      <c r="J2619" t="s">
        <v>265</v>
      </c>
      <c r="K2619" t="s">
        <v>52</v>
      </c>
      <c r="L2619">
        <v>97</v>
      </c>
      <c r="M2619">
        <v>1.82</v>
      </c>
      <c r="N2619">
        <v>171.68</v>
      </c>
      <c r="O2619">
        <v>0.28999999999999998</v>
      </c>
      <c r="P2619">
        <v>1</v>
      </c>
      <c r="Q2619">
        <v>0.81</v>
      </c>
      <c r="R2619">
        <v>786</v>
      </c>
      <c r="S2619">
        <v>2.62</v>
      </c>
      <c r="T2619">
        <v>0.65</v>
      </c>
      <c r="U2619" s="1">
        <v>45589</v>
      </c>
      <c r="V2619">
        <v>216.68</v>
      </c>
      <c r="W2619">
        <v>0.67800000000000005</v>
      </c>
      <c r="X2619" t="str">
        <f>IF(WarehouseData[[#This Row],[stock_level]]&lt;=WarehouseData[[#This Row],[reorder_point]],"Low Stock","Sufficient Stock")</f>
        <v>Sufficient Stock</v>
      </c>
      <c r="Y2619">
        <f>WarehouseData[[#This Row],[daily_demand]]*WarehouseData[[#This Row],[lead_time_days]]</f>
        <v>142.59</v>
      </c>
      <c r="Z2619" t="str">
        <f>IF(WarehouseData[[#This Row],[stock_level]]&lt;=WarehouseData[[#This Row],[Demand During Lead Time]],"At Risk","Safe")</f>
        <v>Safe</v>
      </c>
      <c r="AA2619">
        <f>WarehouseData[[#This Row],[stock_level]]/WarehouseData[[#This Row],[daily_demand]]</f>
        <v>18.998527245949926</v>
      </c>
      <c r="AB2619">
        <f>WarehouseData[[#This Row],[stock_level]]*WarehouseData[[#This Row],[unit_price]]</f>
        <v>66440.160000000003</v>
      </c>
      <c r="AC2619">
        <f>WarehouseData[[#This Row],[stock_level]]*WarehouseData[[#This Row],[holding_cost_per_unit_day]]*30</f>
        <v>3366.8999999999996</v>
      </c>
      <c r="AD2619" t="str">
        <f>IF(WarehouseData[[#This Row],[order_fulfillment_rate]]&gt;=0.9,"Strong",IF(WarehouseData[[#This Row],[order_fulfillment_rate]]&gt;=0.8,"Moderate","Needs Attention"))</f>
        <v>Moderate</v>
      </c>
      <c r="AE2619" t="str">
        <f>IF(WarehouseData[[#This Row],[picking_time_seconds]]&gt;120,"Slow",IF(WarehouseData[[#This Row],[picking_time_seconds]]&gt;=60,"Average","Fast"))</f>
        <v>Average</v>
      </c>
    </row>
    <row r="2620" spans="1:31" x14ac:dyDescent="0.25">
      <c r="A2620" t="s">
        <v>2758</v>
      </c>
      <c r="B2620" t="s">
        <v>40</v>
      </c>
      <c r="C2620">
        <v>266</v>
      </c>
      <c r="D2620">
        <v>97</v>
      </c>
      <c r="E2620">
        <v>4</v>
      </c>
      <c r="F2620">
        <v>8</v>
      </c>
      <c r="G2620">
        <v>17.34</v>
      </c>
      <c r="H2620">
        <v>5.91</v>
      </c>
      <c r="I2620">
        <v>0.97</v>
      </c>
      <c r="J2620" t="s">
        <v>477</v>
      </c>
      <c r="K2620" t="s">
        <v>38</v>
      </c>
      <c r="L2620">
        <v>172</v>
      </c>
      <c r="M2620">
        <v>1.1599999999999999</v>
      </c>
      <c r="N2620">
        <v>145.75</v>
      </c>
      <c r="O2620">
        <v>1.22</v>
      </c>
      <c r="P2620">
        <v>5</v>
      </c>
      <c r="Q2620">
        <v>0.92</v>
      </c>
      <c r="R2620">
        <v>538</v>
      </c>
      <c r="S2620">
        <v>13.62</v>
      </c>
      <c r="T2620">
        <v>0.97</v>
      </c>
      <c r="U2620" s="1">
        <v>45588</v>
      </c>
      <c r="V2620">
        <v>72.44</v>
      </c>
      <c r="W2620">
        <v>0.73799999999999999</v>
      </c>
      <c r="X2620" t="str">
        <f>IF(WarehouseData[[#This Row],[stock_level]]&lt;=WarehouseData[[#This Row],[reorder_point]],"Low Stock","Sufficient Stock")</f>
        <v>Sufficient Stock</v>
      </c>
      <c r="Y2620">
        <f>WarehouseData[[#This Row],[daily_demand]]*WarehouseData[[#This Row],[lead_time_days]]</f>
        <v>138.72</v>
      </c>
      <c r="Z2620" t="str">
        <f>IF(WarehouseData[[#This Row],[stock_level]]&lt;=WarehouseData[[#This Row],[Demand During Lead Time]],"At Risk","Safe")</f>
        <v>Safe</v>
      </c>
      <c r="AA2620">
        <f>WarehouseData[[#This Row],[stock_level]]/WarehouseData[[#This Row],[daily_demand]]</f>
        <v>15.340253748558247</v>
      </c>
      <c r="AB2620">
        <f>WarehouseData[[#This Row],[stock_level]]*WarehouseData[[#This Row],[unit_price]]</f>
        <v>38769.5</v>
      </c>
      <c r="AC2620">
        <f>WarehouseData[[#This Row],[stock_level]]*WarehouseData[[#This Row],[holding_cost_per_unit_day]]*30</f>
        <v>9735.5999999999985</v>
      </c>
      <c r="AD2620" t="str">
        <f>IF(WarehouseData[[#This Row],[order_fulfillment_rate]]&gt;=0.9,"Strong",IF(WarehouseData[[#This Row],[order_fulfillment_rate]]&gt;=0.8,"Moderate","Needs Attention"))</f>
        <v>Strong</v>
      </c>
      <c r="AE2620" t="str">
        <f>IF(WarehouseData[[#This Row],[picking_time_seconds]]&gt;120,"Slow",IF(WarehouseData[[#This Row],[picking_time_seconds]]&gt;=60,"Average","Fast"))</f>
        <v>Slow</v>
      </c>
    </row>
    <row r="2621" spans="1:31" x14ac:dyDescent="0.25">
      <c r="A2621" t="s">
        <v>2759</v>
      </c>
      <c r="B2621" t="s">
        <v>36</v>
      </c>
      <c r="C2621">
        <v>286</v>
      </c>
      <c r="D2621">
        <v>94</v>
      </c>
      <c r="E2621">
        <v>5</v>
      </c>
      <c r="F2621">
        <v>9</v>
      </c>
      <c r="G2621">
        <v>17.59</v>
      </c>
      <c r="H2621">
        <v>2.1</v>
      </c>
      <c r="I2621">
        <v>0.94</v>
      </c>
      <c r="J2621" t="s">
        <v>234</v>
      </c>
      <c r="K2621" t="s">
        <v>34</v>
      </c>
      <c r="L2621">
        <v>48</v>
      </c>
      <c r="M2621">
        <v>1.08</v>
      </c>
      <c r="N2621">
        <v>117.63</v>
      </c>
      <c r="O2621">
        <v>0.76</v>
      </c>
      <c r="P2621">
        <v>0</v>
      </c>
      <c r="Q2621">
        <v>0.77</v>
      </c>
      <c r="R2621">
        <v>457</v>
      </c>
      <c r="S2621">
        <v>3.17</v>
      </c>
      <c r="T2621">
        <v>0.51</v>
      </c>
      <c r="U2621" s="1">
        <v>45499</v>
      </c>
      <c r="V2621">
        <v>235.57</v>
      </c>
      <c r="W2621">
        <v>0.622</v>
      </c>
      <c r="X2621" t="str">
        <f>IF(WarehouseData[[#This Row],[stock_level]]&lt;=WarehouseData[[#This Row],[reorder_point]],"Low Stock","Sufficient Stock")</f>
        <v>Sufficient Stock</v>
      </c>
      <c r="Y2621">
        <f>WarehouseData[[#This Row],[daily_demand]]*WarehouseData[[#This Row],[lead_time_days]]</f>
        <v>158.31</v>
      </c>
      <c r="Z2621" t="str">
        <f>IF(WarehouseData[[#This Row],[stock_level]]&lt;=WarehouseData[[#This Row],[Demand During Lead Time]],"At Risk","Safe")</f>
        <v>Safe</v>
      </c>
      <c r="AA2621">
        <f>WarehouseData[[#This Row],[stock_level]]/WarehouseData[[#This Row],[daily_demand]]</f>
        <v>16.259238203524731</v>
      </c>
      <c r="AB2621">
        <f>WarehouseData[[#This Row],[stock_level]]*WarehouseData[[#This Row],[unit_price]]</f>
        <v>33642.18</v>
      </c>
      <c r="AC2621">
        <f>WarehouseData[[#This Row],[stock_level]]*WarehouseData[[#This Row],[holding_cost_per_unit_day]]*30</f>
        <v>6520.8</v>
      </c>
      <c r="AD2621" t="str">
        <f>IF(WarehouseData[[#This Row],[order_fulfillment_rate]]&gt;=0.9,"Strong",IF(WarehouseData[[#This Row],[order_fulfillment_rate]]&gt;=0.8,"Moderate","Needs Attention"))</f>
        <v>Needs Attention</v>
      </c>
      <c r="AE2621" t="str">
        <f>IF(WarehouseData[[#This Row],[picking_time_seconds]]&gt;120,"Slow",IF(WarehouseData[[#This Row],[picking_time_seconds]]&gt;=60,"Average","Fast"))</f>
        <v>Fast</v>
      </c>
    </row>
    <row r="2622" spans="1:31" x14ac:dyDescent="0.25">
      <c r="A2622" t="s">
        <v>2760</v>
      </c>
      <c r="B2622" t="s">
        <v>73</v>
      </c>
      <c r="C2622">
        <v>480</v>
      </c>
      <c r="D2622">
        <v>20</v>
      </c>
      <c r="E2622">
        <v>13</v>
      </c>
      <c r="F2622">
        <v>9</v>
      </c>
      <c r="G2622">
        <v>10.63</v>
      </c>
      <c r="H2622">
        <v>6.81</v>
      </c>
      <c r="I2622">
        <v>0.25</v>
      </c>
      <c r="J2622" t="s">
        <v>273</v>
      </c>
      <c r="K2622" t="s">
        <v>38</v>
      </c>
      <c r="L2622">
        <v>123</v>
      </c>
      <c r="M2622">
        <v>3.36</v>
      </c>
      <c r="N2622">
        <v>13.7</v>
      </c>
      <c r="O2622">
        <v>0.59</v>
      </c>
      <c r="P2622">
        <v>1</v>
      </c>
      <c r="Q2622">
        <v>0.74</v>
      </c>
      <c r="R2622">
        <v>193</v>
      </c>
      <c r="S2622">
        <v>5.26</v>
      </c>
      <c r="T2622">
        <v>0.4</v>
      </c>
      <c r="U2622" s="1">
        <v>45594</v>
      </c>
      <c r="V2622">
        <v>180.06</v>
      </c>
      <c r="W2622">
        <v>0.61899999999999999</v>
      </c>
      <c r="X2622" t="str">
        <f>IF(WarehouseData[[#This Row],[stock_level]]&lt;=WarehouseData[[#This Row],[reorder_point]],"Low Stock","Sufficient Stock")</f>
        <v>Sufficient Stock</v>
      </c>
      <c r="Y2622">
        <f>WarehouseData[[#This Row],[daily_demand]]*WarehouseData[[#This Row],[lead_time_days]]</f>
        <v>95.67</v>
      </c>
      <c r="Z2622" t="str">
        <f>IF(WarehouseData[[#This Row],[stock_level]]&lt;=WarehouseData[[#This Row],[Demand During Lead Time]],"At Risk","Safe")</f>
        <v>Safe</v>
      </c>
      <c r="AA2622">
        <f>WarehouseData[[#This Row],[stock_level]]/WarehouseData[[#This Row],[daily_demand]]</f>
        <v>45.155221072436497</v>
      </c>
      <c r="AB2622">
        <f>WarehouseData[[#This Row],[stock_level]]*WarehouseData[[#This Row],[unit_price]]</f>
        <v>6576</v>
      </c>
      <c r="AC2622">
        <f>WarehouseData[[#This Row],[stock_level]]*WarehouseData[[#This Row],[holding_cost_per_unit_day]]*30</f>
        <v>8496</v>
      </c>
      <c r="AD2622" t="str">
        <f>IF(WarehouseData[[#This Row],[order_fulfillment_rate]]&gt;=0.9,"Strong",IF(WarehouseData[[#This Row],[order_fulfillment_rate]]&gt;=0.8,"Moderate","Needs Attention"))</f>
        <v>Needs Attention</v>
      </c>
      <c r="AE2622" t="str">
        <f>IF(WarehouseData[[#This Row],[picking_time_seconds]]&gt;120,"Slow",IF(WarehouseData[[#This Row],[picking_time_seconds]]&gt;=60,"Average","Fast"))</f>
        <v>Slow</v>
      </c>
    </row>
    <row r="2623" spans="1:31" x14ac:dyDescent="0.25">
      <c r="A2623" t="s">
        <v>2761</v>
      </c>
      <c r="B2623" t="s">
        <v>48</v>
      </c>
      <c r="C2623">
        <v>270</v>
      </c>
      <c r="D2623">
        <v>25</v>
      </c>
      <c r="E2623">
        <v>14</v>
      </c>
      <c r="F2623">
        <v>7</v>
      </c>
      <c r="G2623">
        <v>43.17</v>
      </c>
      <c r="H2623">
        <v>4.58</v>
      </c>
      <c r="I2623">
        <v>0.11</v>
      </c>
      <c r="J2623" t="s">
        <v>90</v>
      </c>
      <c r="K2623" t="s">
        <v>34</v>
      </c>
      <c r="L2623">
        <v>86</v>
      </c>
      <c r="M2623">
        <v>1.98</v>
      </c>
      <c r="N2623">
        <v>54.8</v>
      </c>
      <c r="O2623">
        <v>1.47</v>
      </c>
      <c r="P2623">
        <v>2</v>
      </c>
      <c r="Q2623">
        <v>0.85</v>
      </c>
      <c r="R2623">
        <v>849</v>
      </c>
      <c r="S2623">
        <v>12.07</v>
      </c>
      <c r="T2623">
        <v>0.34</v>
      </c>
      <c r="U2623" s="1">
        <v>45400</v>
      </c>
      <c r="V2623">
        <v>78.88</v>
      </c>
      <c r="W2623">
        <v>0.61199999999999999</v>
      </c>
      <c r="X2623" t="str">
        <f>IF(WarehouseData[[#This Row],[stock_level]]&lt;=WarehouseData[[#This Row],[reorder_point]],"Low Stock","Sufficient Stock")</f>
        <v>Sufficient Stock</v>
      </c>
      <c r="Y2623">
        <f>WarehouseData[[#This Row],[daily_demand]]*WarehouseData[[#This Row],[lead_time_days]]</f>
        <v>302.19</v>
      </c>
      <c r="Z2623" t="str">
        <f>IF(WarehouseData[[#This Row],[stock_level]]&lt;=WarehouseData[[#This Row],[Demand During Lead Time]],"At Risk","Safe")</f>
        <v>At Risk</v>
      </c>
      <c r="AA2623">
        <f>WarehouseData[[#This Row],[stock_level]]/WarehouseData[[#This Row],[daily_demand]]</f>
        <v>6.2543432939541344</v>
      </c>
      <c r="AB2623">
        <f>WarehouseData[[#This Row],[stock_level]]*WarehouseData[[#This Row],[unit_price]]</f>
        <v>14796</v>
      </c>
      <c r="AC2623">
        <f>WarehouseData[[#This Row],[stock_level]]*WarehouseData[[#This Row],[holding_cost_per_unit_day]]*30</f>
        <v>11907</v>
      </c>
      <c r="AD2623" t="str">
        <f>IF(WarehouseData[[#This Row],[order_fulfillment_rate]]&gt;=0.9,"Strong",IF(WarehouseData[[#This Row],[order_fulfillment_rate]]&gt;=0.8,"Moderate","Needs Attention"))</f>
        <v>Moderate</v>
      </c>
      <c r="AE2623" t="str">
        <f>IF(WarehouseData[[#This Row],[picking_time_seconds]]&gt;120,"Slow",IF(WarehouseData[[#This Row],[picking_time_seconds]]&gt;=60,"Average","Fast"))</f>
        <v>Average</v>
      </c>
    </row>
    <row r="2624" spans="1:31" x14ac:dyDescent="0.25">
      <c r="A2624" t="s">
        <v>2762</v>
      </c>
      <c r="B2624" t="s">
        <v>32</v>
      </c>
      <c r="C2624">
        <v>22</v>
      </c>
      <c r="D2624">
        <v>99</v>
      </c>
      <c r="E2624">
        <v>12</v>
      </c>
      <c r="F2624">
        <v>8</v>
      </c>
      <c r="G2624">
        <v>8.18</v>
      </c>
      <c r="H2624">
        <v>8.56</v>
      </c>
      <c r="I2624">
        <v>0.49</v>
      </c>
      <c r="J2624" t="s">
        <v>59</v>
      </c>
      <c r="K2624" t="s">
        <v>38</v>
      </c>
      <c r="L2624">
        <v>96</v>
      </c>
      <c r="M2624">
        <v>1.74</v>
      </c>
      <c r="N2624">
        <v>162.66999999999999</v>
      </c>
      <c r="O2624">
        <v>0.72</v>
      </c>
      <c r="P2624">
        <v>4</v>
      </c>
      <c r="Q2624">
        <v>0.86</v>
      </c>
      <c r="R2624">
        <v>260</v>
      </c>
      <c r="S2624">
        <v>12.29</v>
      </c>
      <c r="T2624">
        <v>0.57999999999999996</v>
      </c>
      <c r="U2624" s="1">
        <v>45310</v>
      </c>
      <c r="V2624">
        <v>57.26</v>
      </c>
      <c r="W2624">
        <v>0.7</v>
      </c>
      <c r="X2624" t="str">
        <f>IF(WarehouseData[[#This Row],[stock_level]]&lt;=WarehouseData[[#This Row],[reorder_point]],"Low Stock","Sufficient Stock")</f>
        <v>Low Stock</v>
      </c>
      <c r="Y2624">
        <f>WarehouseData[[#This Row],[daily_demand]]*WarehouseData[[#This Row],[lead_time_days]]</f>
        <v>65.44</v>
      </c>
      <c r="Z2624" t="str">
        <f>IF(WarehouseData[[#This Row],[stock_level]]&lt;=WarehouseData[[#This Row],[Demand During Lead Time]],"At Risk","Safe")</f>
        <v>At Risk</v>
      </c>
      <c r="AA2624">
        <f>WarehouseData[[#This Row],[stock_level]]/WarehouseData[[#This Row],[daily_demand]]</f>
        <v>2.6894865525672373</v>
      </c>
      <c r="AB2624">
        <f>WarehouseData[[#This Row],[stock_level]]*WarehouseData[[#This Row],[unit_price]]</f>
        <v>3578.74</v>
      </c>
      <c r="AC2624">
        <f>WarehouseData[[#This Row],[stock_level]]*WarehouseData[[#This Row],[holding_cost_per_unit_day]]*30</f>
        <v>475.2</v>
      </c>
      <c r="AD2624" t="str">
        <f>IF(WarehouseData[[#This Row],[order_fulfillment_rate]]&gt;=0.9,"Strong",IF(WarehouseData[[#This Row],[order_fulfillment_rate]]&gt;=0.8,"Moderate","Needs Attention"))</f>
        <v>Moderate</v>
      </c>
      <c r="AE2624" t="str">
        <f>IF(WarehouseData[[#This Row],[picking_time_seconds]]&gt;120,"Slow",IF(WarehouseData[[#This Row],[picking_time_seconds]]&gt;=60,"Average","Fast"))</f>
        <v>Average</v>
      </c>
    </row>
    <row r="2625" spans="1:31" x14ac:dyDescent="0.25">
      <c r="A2625" t="s">
        <v>2763</v>
      </c>
      <c r="B2625" t="s">
        <v>48</v>
      </c>
      <c r="C2625">
        <v>412</v>
      </c>
      <c r="D2625">
        <v>70</v>
      </c>
      <c r="E2625">
        <v>12</v>
      </c>
      <c r="F2625">
        <v>2</v>
      </c>
      <c r="G2625">
        <v>45.52</v>
      </c>
      <c r="H2625">
        <v>7.89</v>
      </c>
      <c r="I2625">
        <v>0.76</v>
      </c>
      <c r="J2625" t="s">
        <v>357</v>
      </c>
      <c r="K2625" t="s">
        <v>38</v>
      </c>
      <c r="L2625">
        <v>162</v>
      </c>
      <c r="M2625">
        <v>3.16</v>
      </c>
      <c r="N2625">
        <v>56.07</v>
      </c>
      <c r="O2625">
        <v>0.36</v>
      </c>
      <c r="P2625">
        <v>9</v>
      </c>
      <c r="Q2625">
        <v>0.9</v>
      </c>
      <c r="R2625">
        <v>715</v>
      </c>
      <c r="S2625">
        <v>13.62</v>
      </c>
      <c r="T2625">
        <v>0.3</v>
      </c>
      <c r="U2625" s="1">
        <v>45574</v>
      </c>
      <c r="V2625">
        <v>81.17</v>
      </c>
      <c r="W2625">
        <v>0.60599999999999998</v>
      </c>
      <c r="X2625" t="str">
        <f>IF(WarehouseData[[#This Row],[stock_level]]&lt;=WarehouseData[[#This Row],[reorder_point]],"Low Stock","Sufficient Stock")</f>
        <v>Sufficient Stock</v>
      </c>
      <c r="Y2625">
        <f>WarehouseData[[#This Row],[daily_demand]]*WarehouseData[[#This Row],[lead_time_days]]</f>
        <v>91.04</v>
      </c>
      <c r="Z2625" t="str">
        <f>IF(WarehouseData[[#This Row],[stock_level]]&lt;=WarehouseData[[#This Row],[Demand During Lead Time]],"At Risk","Safe")</f>
        <v>Safe</v>
      </c>
      <c r="AA2625">
        <f>WarehouseData[[#This Row],[stock_level]]/WarehouseData[[#This Row],[daily_demand]]</f>
        <v>9.0509666080843587</v>
      </c>
      <c r="AB2625">
        <f>WarehouseData[[#This Row],[stock_level]]*WarehouseData[[#This Row],[unit_price]]</f>
        <v>23100.84</v>
      </c>
      <c r="AC2625">
        <f>WarehouseData[[#This Row],[stock_level]]*WarehouseData[[#This Row],[holding_cost_per_unit_day]]*30</f>
        <v>4449.5999999999995</v>
      </c>
      <c r="AD2625" t="str">
        <f>IF(WarehouseData[[#This Row],[order_fulfillment_rate]]&gt;=0.9,"Strong",IF(WarehouseData[[#This Row],[order_fulfillment_rate]]&gt;=0.8,"Moderate","Needs Attention"))</f>
        <v>Strong</v>
      </c>
      <c r="AE2625" t="str">
        <f>IF(WarehouseData[[#This Row],[picking_time_seconds]]&gt;120,"Slow",IF(WarehouseData[[#This Row],[picking_time_seconds]]&gt;=60,"Average","Fast"))</f>
        <v>Slow</v>
      </c>
    </row>
    <row r="2626" spans="1:31" x14ac:dyDescent="0.25">
      <c r="A2626" t="s">
        <v>2764</v>
      </c>
      <c r="B2626" t="s">
        <v>73</v>
      </c>
      <c r="C2626">
        <v>335</v>
      </c>
      <c r="D2626">
        <v>89</v>
      </c>
      <c r="E2626">
        <v>14</v>
      </c>
      <c r="F2626">
        <v>4</v>
      </c>
      <c r="G2626">
        <v>14.89</v>
      </c>
      <c r="H2626">
        <v>7.38</v>
      </c>
      <c r="I2626">
        <v>0.98</v>
      </c>
      <c r="J2626" t="s">
        <v>477</v>
      </c>
      <c r="K2626" t="s">
        <v>52</v>
      </c>
      <c r="L2626">
        <v>123</v>
      </c>
      <c r="M2626">
        <v>0.62</v>
      </c>
      <c r="N2626">
        <v>148.76</v>
      </c>
      <c r="O2626">
        <v>1.02</v>
      </c>
      <c r="P2626">
        <v>0</v>
      </c>
      <c r="Q2626">
        <v>0.93</v>
      </c>
      <c r="R2626">
        <v>308</v>
      </c>
      <c r="S2626">
        <v>7.96</v>
      </c>
      <c r="T2626">
        <v>0.9</v>
      </c>
      <c r="U2626" s="1">
        <v>45425</v>
      </c>
      <c r="V2626">
        <v>230.13</v>
      </c>
      <c r="W2626">
        <v>0.77</v>
      </c>
      <c r="X2626" t="str">
        <f>IF(WarehouseData[[#This Row],[stock_level]]&lt;=WarehouseData[[#This Row],[reorder_point]],"Low Stock","Sufficient Stock")</f>
        <v>Sufficient Stock</v>
      </c>
      <c r="Y2626">
        <f>WarehouseData[[#This Row],[daily_demand]]*WarehouseData[[#This Row],[lead_time_days]]</f>
        <v>59.56</v>
      </c>
      <c r="Z2626" t="str">
        <f>IF(WarehouseData[[#This Row],[stock_level]]&lt;=WarehouseData[[#This Row],[Demand During Lead Time]],"At Risk","Safe")</f>
        <v>Safe</v>
      </c>
      <c r="AA2626">
        <f>WarehouseData[[#This Row],[stock_level]]/WarehouseData[[#This Row],[daily_demand]]</f>
        <v>22.49832102081934</v>
      </c>
      <c r="AB2626">
        <f>WarehouseData[[#This Row],[stock_level]]*WarehouseData[[#This Row],[unit_price]]</f>
        <v>49834.6</v>
      </c>
      <c r="AC2626">
        <f>WarehouseData[[#This Row],[stock_level]]*WarehouseData[[#This Row],[holding_cost_per_unit_day]]*30</f>
        <v>10251</v>
      </c>
      <c r="AD2626" t="str">
        <f>IF(WarehouseData[[#This Row],[order_fulfillment_rate]]&gt;=0.9,"Strong",IF(WarehouseData[[#This Row],[order_fulfillment_rate]]&gt;=0.8,"Moderate","Needs Attention"))</f>
        <v>Strong</v>
      </c>
      <c r="AE2626" t="str">
        <f>IF(WarehouseData[[#This Row],[picking_time_seconds]]&gt;120,"Slow",IF(WarehouseData[[#This Row],[picking_time_seconds]]&gt;=60,"Average","Fast"))</f>
        <v>Slow</v>
      </c>
    </row>
    <row r="2627" spans="1:31" x14ac:dyDescent="0.25">
      <c r="A2627" t="s">
        <v>2765</v>
      </c>
      <c r="B2627" t="s">
        <v>48</v>
      </c>
      <c r="C2627">
        <v>95</v>
      </c>
      <c r="D2627">
        <v>16</v>
      </c>
      <c r="E2627">
        <v>7</v>
      </c>
      <c r="F2627">
        <v>7</v>
      </c>
      <c r="G2627">
        <v>45.07</v>
      </c>
      <c r="H2627">
        <v>7.16</v>
      </c>
      <c r="I2627">
        <v>0.81</v>
      </c>
      <c r="J2627" t="s">
        <v>137</v>
      </c>
      <c r="K2627" t="s">
        <v>38</v>
      </c>
      <c r="L2627">
        <v>65</v>
      </c>
      <c r="M2627">
        <v>1.61</v>
      </c>
      <c r="N2627">
        <v>45.08</v>
      </c>
      <c r="O2627">
        <v>1.67</v>
      </c>
      <c r="P2627">
        <v>9</v>
      </c>
      <c r="Q2627">
        <v>0.91</v>
      </c>
      <c r="R2627">
        <v>276</v>
      </c>
      <c r="S2627">
        <v>14.81</v>
      </c>
      <c r="T2627">
        <v>0.83</v>
      </c>
      <c r="U2627" s="1">
        <v>45570</v>
      </c>
      <c r="V2627">
        <v>82.65</v>
      </c>
      <c r="W2627">
        <v>0.59799999999999998</v>
      </c>
      <c r="X2627" t="str">
        <f>IF(WarehouseData[[#This Row],[stock_level]]&lt;=WarehouseData[[#This Row],[reorder_point]],"Low Stock","Sufficient Stock")</f>
        <v>Sufficient Stock</v>
      </c>
      <c r="Y2627">
        <f>WarehouseData[[#This Row],[daily_demand]]*WarehouseData[[#This Row],[lead_time_days]]</f>
        <v>315.49</v>
      </c>
      <c r="Z2627" t="str">
        <f>IF(WarehouseData[[#This Row],[stock_level]]&lt;=WarehouseData[[#This Row],[Demand During Lead Time]],"At Risk","Safe")</f>
        <v>At Risk</v>
      </c>
      <c r="AA2627">
        <f>WarehouseData[[#This Row],[stock_level]]/WarehouseData[[#This Row],[daily_demand]]</f>
        <v>2.107832260927446</v>
      </c>
      <c r="AB2627">
        <f>WarehouseData[[#This Row],[stock_level]]*WarehouseData[[#This Row],[unit_price]]</f>
        <v>4282.5999999999995</v>
      </c>
      <c r="AC2627">
        <f>WarehouseData[[#This Row],[stock_level]]*WarehouseData[[#This Row],[holding_cost_per_unit_day]]*30</f>
        <v>4759.5</v>
      </c>
      <c r="AD2627" t="str">
        <f>IF(WarehouseData[[#This Row],[order_fulfillment_rate]]&gt;=0.9,"Strong",IF(WarehouseData[[#This Row],[order_fulfillment_rate]]&gt;=0.8,"Moderate","Needs Attention"))</f>
        <v>Strong</v>
      </c>
      <c r="AE2627" t="str">
        <f>IF(WarehouseData[[#This Row],[picking_time_seconds]]&gt;120,"Slow",IF(WarehouseData[[#This Row],[picking_time_seconds]]&gt;=60,"Average","Fast"))</f>
        <v>Average</v>
      </c>
    </row>
    <row r="2628" spans="1:31" x14ac:dyDescent="0.25">
      <c r="A2628" t="s">
        <v>2766</v>
      </c>
      <c r="B2628" t="s">
        <v>73</v>
      </c>
      <c r="C2628">
        <v>106</v>
      </c>
      <c r="D2628">
        <v>25</v>
      </c>
      <c r="E2628">
        <v>12</v>
      </c>
      <c r="F2628">
        <v>2</v>
      </c>
      <c r="G2628">
        <v>39.75</v>
      </c>
      <c r="H2628">
        <v>5.82</v>
      </c>
      <c r="I2628">
        <v>0.62</v>
      </c>
      <c r="J2628" t="s">
        <v>286</v>
      </c>
      <c r="K2628" t="s">
        <v>52</v>
      </c>
      <c r="L2628">
        <v>147</v>
      </c>
      <c r="M2628">
        <v>2.0299999999999998</v>
      </c>
      <c r="N2628">
        <v>125.21</v>
      </c>
      <c r="O2628">
        <v>1.71</v>
      </c>
      <c r="P2628">
        <v>4</v>
      </c>
      <c r="Q2628">
        <v>0.95</v>
      </c>
      <c r="R2628">
        <v>643</v>
      </c>
      <c r="S2628">
        <v>8.23</v>
      </c>
      <c r="T2628">
        <v>0.65</v>
      </c>
      <c r="U2628" s="1">
        <v>45568</v>
      </c>
      <c r="V2628">
        <v>208.13</v>
      </c>
      <c r="W2628">
        <v>0.57899999999999996</v>
      </c>
      <c r="X2628" t="str">
        <f>IF(WarehouseData[[#This Row],[stock_level]]&lt;=WarehouseData[[#This Row],[reorder_point]],"Low Stock","Sufficient Stock")</f>
        <v>Sufficient Stock</v>
      </c>
      <c r="Y2628">
        <f>WarehouseData[[#This Row],[daily_demand]]*WarehouseData[[#This Row],[lead_time_days]]</f>
        <v>79.5</v>
      </c>
      <c r="Z2628" t="str">
        <f>IF(WarehouseData[[#This Row],[stock_level]]&lt;=WarehouseData[[#This Row],[Demand During Lead Time]],"At Risk","Safe")</f>
        <v>Safe</v>
      </c>
      <c r="AA2628">
        <f>WarehouseData[[#This Row],[stock_level]]/WarehouseData[[#This Row],[daily_demand]]</f>
        <v>2.6666666666666665</v>
      </c>
      <c r="AB2628">
        <f>WarehouseData[[#This Row],[stock_level]]*WarehouseData[[#This Row],[unit_price]]</f>
        <v>13272.26</v>
      </c>
      <c r="AC2628">
        <f>WarehouseData[[#This Row],[stock_level]]*WarehouseData[[#This Row],[holding_cost_per_unit_day]]*30</f>
        <v>5437.7999999999993</v>
      </c>
      <c r="AD2628" t="str">
        <f>IF(WarehouseData[[#This Row],[order_fulfillment_rate]]&gt;=0.9,"Strong",IF(WarehouseData[[#This Row],[order_fulfillment_rate]]&gt;=0.8,"Moderate","Needs Attention"))</f>
        <v>Strong</v>
      </c>
      <c r="AE2628" t="str">
        <f>IF(WarehouseData[[#This Row],[picking_time_seconds]]&gt;120,"Slow",IF(WarehouseData[[#This Row],[picking_time_seconds]]&gt;=60,"Average","Fast"))</f>
        <v>Slow</v>
      </c>
    </row>
    <row r="2629" spans="1:31" x14ac:dyDescent="0.25">
      <c r="A2629" t="s">
        <v>2767</v>
      </c>
      <c r="B2629" t="s">
        <v>40</v>
      </c>
      <c r="C2629">
        <v>289</v>
      </c>
      <c r="D2629">
        <v>25</v>
      </c>
      <c r="E2629">
        <v>6</v>
      </c>
      <c r="F2629">
        <v>3</v>
      </c>
      <c r="G2629">
        <v>29.52</v>
      </c>
      <c r="H2629">
        <v>1.08</v>
      </c>
      <c r="I2629">
        <v>0.12</v>
      </c>
      <c r="J2629" t="s">
        <v>57</v>
      </c>
      <c r="K2629" t="s">
        <v>52</v>
      </c>
      <c r="L2629">
        <v>50</v>
      </c>
      <c r="M2629">
        <v>3.69</v>
      </c>
      <c r="N2629">
        <v>129.36000000000001</v>
      </c>
      <c r="O2629">
        <v>1.71</v>
      </c>
      <c r="P2629">
        <v>4</v>
      </c>
      <c r="Q2629">
        <v>0.77</v>
      </c>
      <c r="R2629">
        <v>938</v>
      </c>
      <c r="S2629">
        <v>12.07</v>
      </c>
      <c r="T2629">
        <v>0.78</v>
      </c>
      <c r="U2629" s="1">
        <v>45533</v>
      </c>
      <c r="V2629">
        <v>168.29</v>
      </c>
      <c r="W2629">
        <v>0.62</v>
      </c>
      <c r="X2629" t="str">
        <f>IF(WarehouseData[[#This Row],[stock_level]]&lt;=WarehouseData[[#This Row],[reorder_point]],"Low Stock","Sufficient Stock")</f>
        <v>Sufficient Stock</v>
      </c>
      <c r="Y2629">
        <f>WarehouseData[[#This Row],[daily_demand]]*WarehouseData[[#This Row],[lead_time_days]]</f>
        <v>88.56</v>
      </c>
      <c r="Z2629" t="str">
        <f>IF(WarehouseData[[#This Row],[stock_level]]&lt;=WarehouseData[[#This Row],[Demand During Lead Time]],"At Risk","Safe")</f>
        <v>Safe</v>
      </c>
      <c r="AA2629">
        <f>WarehouseData[[#This Row],[stock_level]]/WarehouseData[[#This Row],[daily_demand]]</f>
        <v>9.7899728997289976</v>
      </c>
      <c r="AB2629">
        <f>WarehouseData[[#This Row],[stock_level]]*WarehouseData[[#This Row],[unit_price]]</f>
        <v>37385.040000000001</v>
      </c>
      <c r="AC2629">
        <f>WarehouseData[[#This Row],[stock_level]]*WarehouseData[[#This Row],[holding_cost_per_unit_day]]*30</f>
        <v>14825.7</v>
      </c>
      <c r="AD2629" t="str">
        <f>IF(WarehouseData[[#This Row],[order_fulfillment_rate]]&gt;=0.9,"Strong",IF(WarehouseData[[#This Row],[order_fulfillment_rate]]&gt;=0.8,"Moderate","Needs Attention"))</f>
        <v>Needs Attention</v>
      </c>
      <c r="AE2629" t="str">
        <f>IF(WarehouseData[[#This Row],[picking_time_seconds]]&gt;120,"Slow",IF(WarehouseData[[#This Row],[picking_time_seconds]]&gt;=60,"Average","Fast"))</f>
        <v>Fast</v>
      </c>
    </row>
    <row r="2630" spans="1:31" x14ac:dyDescent="0.25">
      <c r="A2630" t="s">
        <v>2768</v>
      </c>
      <c r="B2630" t="s">
        <v>32</v>
      </c>
      <c r="C2630">
        <v>244</v>
      </c>
      <c r="D2630">
        <v>49</v>
      </c>
      <c r="E2630">
        <v>4</v>
      </c>
      <c r="F2630">
        <v>8</v>
      </c>
      <c r="G2630">
        <v>33.799999999999997</v>
      </c>
      <c r="H2630">
        <v>6.73</v>
      </c>
      <c r="I2630">
        <v>0.84</v>
      </c>
      <c r="J2630" t="s">
        <v>301</v>
      </c>
      <c r="K2630" t="s">
        <v>38</v>
      </c>
      <c r="L2630">
        <v>113</v>
      </c>
      <c r="M2630">
        <v>2.95</v>
      </c>
      <c r="N2630">
        <v>152.87</v>
      </c>
      <c r="O2630">
        <v>0.9</v>
      </c>
      <c r="P2630">
        <v>3</v>
      </c>
      <c r="Q2630">
        <v>0.87</v>
      </c>
      <c r="R2630">
        <v>421</v>
      </c>
      <c r="S2630">
        <v>6.07</v>
      </c>
      <c r="T2630">
        <v>0.24</v>
      </c>
      <c r="U2630" s="1">
        <v>45626</v>
      </c>
      <c r="V2630">
        <v>168.59</v>
      </c>
      <c r="W2630">
        <v>0.55300000000000005</v>
      </c>
      <c r="X2630" t="str">
        <f>IF(WarehouseData[[#This Row],[stock_level]]&lt;=WarehouseData[[#This Row],[reorder_point]],"Low Stock","Sufficient Stock")</f>
        <v>Sufficient Stock</v>
      </c>
      <c r="Y2630">
        <f>WarehouseData[[#This Row],[daily_demand]]*WarehouseData[[#This Row],[lead_time_days]]</f>
        <v>270.39999999999998</v>
      </c>
      <c r="Z2630" t="str">
        <f>IF(WarehouseData[[#This Row],[stock_level]]&lt;=WarehouseData[[#This Row],[Demand During Lead Time]],"At Risk","Safe")</f>
        <v>At Risk</v>
      </c>
      <c r="AA2630">
        <f>WarehouseData[[#This Row],[stock_level]]/WarehouseData[[#This Row],[daily_demand]]</f>
        <v>7.218934911242604</v>
      </c>
      <c r="AB2630">
        <f>WarehouseData[[#This Row],[stock_level]]*WarehouseData[[#This Row],[unit_price]]</f>
        <v>37300.28</v>
      </c>
      <c r="AC2630">
        <f>WarehouseData[[#This Row],[stock_level]]*WarehouseData[[#This Row],[holding_cost_per_unit_day]]*30</f>
        <v>6588</v>
      </c>
      <c r="AD2630" t="str">
        <f>IF(WarehouseData[[#This Row],[order_fulfillment_rate]]&gt;=0.9,"Strong",IF(WarehouseData[[#This Row],[order_fulfillment_rate]]&gt;=0.8,"Moderate","Needs Attention"))</f>
        <v>Moderate</v>
      </c>
      <c r="AE2630" t="str">
        <f>IF(WarehouseData[[#This Row],[picking_time_seconds]]&gt;120,"Slow",IF(WarehouseData[[#This Row],[picking_time_seconds]]&gt;=60,"Average","Fast"))</f>
        <v>Average</v>
      </c>
    </row>
    <row r="2631" spans="1:31" x14ac:dyDescent="0.25">
      <c r="A2631" t="s">
        <v>2769</v>
      </c>
      <c r="B2631" t="s">
        <v>73</v>
      </c>
      <c r="C2631">
        <v>37</v>
      </c>
      <c r="D2631">
        <v>21</v>
      </c>
      <c r="E2631">
        <v>6</v>
      </c>
      <c r="F2631">
        <v>6</v>
      </c>
      <c r="G2631">
        <v>16.97</v>
      </c>
      <c r="H2631">
        <v>4.9400000000000004</v>
      </c>
      <c r="I2631">
        <v>0.26</v>
      </c>
      <c r="J2631" t="s">
        <v>54</v>
      </c>
      <c r="K2631" t="s">
        <v>52</v>
      </c>
      <c r="L2631">
        <v>108</v>
      </c>
      <c r="M2631">
        <v>4.3499999999999996</v>
      </c>
      <c r="N2631">
        <v>93.29</v>
      </c>
      <c r="O2631">
        <v>1.6</v>
      </c>
      <c r="P2631">
        <v>2</v>
      </c>
      <c r="Q2631">
        <v>0.81</v>
      </c>
      <c r="R2631">
        <v>440</v>
      </c>
      <c r="S2631">
        <v>14.18</v>
      </c>
      <c r="T2631">
        <v>0.36</v>
      </c>
      <c r="U2631" s="1">
        <v>45368</v>
      </c>
      <c r="V2631">
        <v>257.25</v>
      </c>
      <c r="W2631">
        <v>0.623</v>
      </c>
      <c r="X2631" t="str">
        <f>IF(WarehouseData[[#This Row],[stock_level]]&lt;=WarehouseData[[#This Row],[reorder_point]],"Low Stock","Sufficient Stock")</f>
        <v>Sufficient Stock</v>
      </c>
      <c r="Y2631">
        <f>WarehouseData[[#This Row],[daily_demand]]*WarehouseData[[#This Row],[lead_time_days]]</f>
        <v>101.82</v>
      </c>
      <c r="Z2631" t="str">
        <f>IF(WarehouseData[[#This Row],[stock_level]]&lt;=WarehouseData[[#This Row],[Demand During Lead Time]],"At Risk","Safe")</f>
        <v>At Risk</v>
      </c>
      <c r="AA2631">
        <f>WarehouseData[[#This Row],[stock_level]]/WarehouseData[[#This Row],[daily_demand]]</f>
        <v>2.1803182086034179</v>
      </c>
      <c r="AB2631">
        <f>WarehouseData[[#This Row],[stock_level]]*WarehouseData[[#This Row],[unit_price]]</f>
        <v>3451.73</v>
      </c>
      <c r="AC2631">
        <f>WarehouseData[[#This Row],[stock_level]]*WarehouseData[[#This Row],[holding_cost_per_unit_day]]*30</f>
        <v>1776</v>
      </c>
      <c r="AD2631" t="str">
        <f>IF(WarehouseData[[#This Row],[order_fulfillment_rate]]&gt;=0.9,"Strong",IF(WarehouseData[[#This Row],[order_fulfillment_rate]]&gt;=0.8,"Moderate","Needs Attention"))</f>
        <v>Moderate</v>
      </c>
      <c r="AE2631" t="str">
        <f>IF(WarehouseData[[#This Row],[picking_time_seconds]]&gt;120,"Slow",IF(WarehouseData[[#This Row],[picking_time_seconds]]&gt;=60,"Average","Fast"))</f>
        <v>Average</v>
      </c>
    </row>
    <row r="2632" spans="1:31" x14ac:dyDescent="0.25">
      <c r="A2632" t="s">
        <v>2770</v>
      </c>
      <c r="B2632" t="s">
        <v>48</v>
      </c>
      <c r="C2632">
        <v>132</v>
      </c>
      <c r="D2632">
        <v>44</v>
      </c>
      <c r="E2632">
        <v>14</v>
      </c>
      <c r="F2632">
        <v>7</v>
      </c>
      <c r="G2632">
        <v>29.14</v>
      </c>
      <c r="H2632">
        <v>4.96</v>
      </c>
      <c r="I2632">
        <v>0.15</v>
      </c>
      <c r="J2632" t="s">
        <v>129</v>
      </c>
      <c r="K2632" t="s">
        <v>38</v>
      </c>
      <c r="L2632">
        <v>68</v>
      </c>
      <c r="M2632">
        <v>2.0099999999999998</v>
      </c>
      <c r="N2632">
        <v>130.21</v>
      </c>
      <c r="O2632">
        <v>1.72</v>
      </c>
      <c r="P2632">
        <v>6</v>
      </c>
      <c r="Q2632">
        <v>0.99</v>
      </c>
      <c r="R2632">
        <v>137</v>
      </c>
      <c r="S2632">
        <v>10.59</v>
      </c>
      <c r="T2632">
        <v>0.7</v>
      </c>
      <c r="U2632" s="1">
        <v>45479</v>
      </c>
      <c r="V2632">
        <v>263.67</v>
      </c>
      <c r="W2632">
        <v>0.58699999999999997</v>
      </c>
      <c r="X2632" t="str">
        <f>IF(WarehouseData[[#This Row],[stock_level]]&lt;=WarehouseData[[#This Row],[reorder_point]],"Low Stock","Sufficient Stock")</f>
        <v>Sufficient Stock</v>
      </c>
      <c r="Y2632">
        <f>WarehouseData[[#This Row],[daily_demand]]*WarehouseData[[#This Row],[lead_time_days]]</f>
        <v>203.98000000000002</v>
      </c>
      <c r="Z2632" t="str">
        <f>IF(WarehouseData[[#This Row],[stock_level]]&lt;=WarehouseData[[#This Row],[Demand During Lead Time]],"At Risk","Safe")</f>
        <v>At Risk</v>
      </c>
      <c r="AA2632">
        <f>WarehouseData[[#This Row],[stock_level]]/WarehouseData[[#This Row],[daily_demand]]</f>
        <v>4.5298558682223744</v>
      </c>
      <c r="AB2632">
        <f>WarehouseData[[#This Row],[stock_level]]*WarehouseData[[#This Row],[unit_price]]</f>
        <v>17187.72</v>
      </c>
      <c r="AC2632">
        <f>WarehouseData[[#This Row],[stock_level]]*WarehouseData[[#This Row],[holding_cost_per_unit_day]]*30</f>
        <v>6811.2</v>
      </c>
      <c r="AD2632" t="str">
        <f>IF(WarehouseData[[#This Row],[order_fulfillment_rate]]&gt;=0.9,"Strong",IF(WarehouseData[[#This Row],[order_fulfillment_rate]]&gt;=0.8,"Moderate","Needs Attention"))</f>
        <v>Strong</v>
      </c>
      <c r="AE2632" t="str">
        <f>IF(WarehouseData[[#This Row],[picking_time_seconds]]&gt;120,"Slow",IF(WarehouseData[[#This Row],[picking_time_seconds]]&gt;=60,"Average","Fast"))</f>
        <v>Average</v>
      </c>
    </row>
    <row r="2633" spans="1:31" x14ac:dyDescent="0.25">
      <c r="A2633" t="s">
        <v>2771</v>
      </c>
      <c r="B2633" t="s">
        <v>32</v>
      </c>
      <c r="C2633">
        <v>270</v>
      </c>
      <c r="D2633">
        <v>30</v>
      </c>
      <c r="E2633">
        <v>10</v>
      </c>
      <c r="F2633">
        <v>5</v>
      </c>
      <c r="G2633">
        <v>15.33</v>
      </c>
      <c r="H2633">
        <v>4.0999999999999996</v>
      </c>
      <c r="I2633">
        <v>0.87</v>
      </c>
      <c r="J2633" t="s">
        <v>133</v>
      </c>
      <c r="K2633" t="s">
        <v>46</v>
      </c>
      <c r="L2633">
        <v>165</v>
      </c>
      <c r="M2633">
        <v>1.83</v>
      </c>
      <c r="N2633">
        <v>102.52</v>
      </c>
      <c r="O2633">
        <v>0.97</v>
      </c>
      <c r="P2633">
        <v>6</v>
      </c>
      <c r="Q2633">
        <v>0.83</v>
      </c>
      <c r="R2633">
        <v>449</v>
      </c>
      <c r="S2633">
        <v>2.08</v>
      </c>
      <c r="T2633">
        <v>0.57999999999999996</v>
      </c>
      <c r="U2633" s="1">
        <v>45492</v>
      </c>
      <c r="V2633">
        <v>165.7</v>
      </c>
      <c r="W2633">
        <v>0.49299999999999999</v>
      </c>
      <c r="X2633" t="str">
        <f>IF(WarehouseData[[#This Row],[stock_level]]&lt;=WarehouseData[[#This Row],[reorder_point]],"Low Stock","Sufficient Stock")</f>
        <v>Sufficient Stock</v>
      </c>
      <c r="Y2633">
        <f>WarehouseData[[#This Row],[daily_demand]]*WarehouseData[[#This Row],[lead_time_days]]</f>
        <v>76.650000000000006</v>
      </c>
      <c r="Z2633" t="str">
        <f>IF(WarehouseData[[#This Row],[stock_level]]&lt;=WarehouseData[[#This Row],[Demand During Lead Time]],"At Risk","Safe")</f>
        <v>Safe</v>
      </c>
      <c r="AA2633">
        <f>WarehouseData[[#This Row],[stock_level]]/WarehouseData[[#This Row],[daily_demand]]</f>
        <v>17.612524461839531</v>
      </c>
      <c r="AB2633">
        <f>WarehouseData[[#This Row],[stock_level]]*WarehouseData[[#This Row],[unit_price]]</f>
        <v>27680.399999999998</v>
      </c>
      <c r="AC2633">
        <f>WarehouseData[[#This Row],[stock_level]]*WarehouseData[[#This Row],[holding_cost_per_unit_day]]*30</f>
        <v>7856.9999999999991</v>
      </c>
      <c r="AD2633" t="str">
        <f>IF(WarehouseData[[#This Row],[order_fulfillment_rate]]&gt;=0.9,"Strong",IF(WarehouseData[[#This Row],[order_fulfillment_rate]]&gt;=0.8,"Moderate","Needs Attention"))</f>
        <v>Moderate</v>
      </c>
      <c r="AE2633" t="str">
        <f>IF(WarehouseData[[#This Row],[picking_time_seconds]]&gt;120,"Slow",IF(WarehouseData[[#This Row],[picking_time_seconds]]&gt;=60,"Average","Fast"))</f>
        <v>Slow</v>
      </c>
    </row>
    <row r="2634" spans="1:31" x14ac:dyDescent="0.25">
      <c r="A2634" t="s">
        <v>2772</v>
      </c>
      <c r="B2634" t="s">
        <v>40</v>
      </c>
      <c r="C2634">
        <v>252</v>
      </c>
      <c r="D2634">
        <v>59</v>
      </c>
      <c r="E2634">
        <v>7</v>
      </c>
      <c r="F2634">
        <v>2</v>
      </c>
      <c r="G2634">
        <v>20.71</v>
      </c>
      <c r="H2634">
        <v>9.33</v>
      </c>
      <c r="I2634">
        <v>0.61</v>
      </c>
      <c r="J2634" t="s">
        <v>152</v>
      </c>
      <c r="K2634" t="s">
        <v>52</v>
      </c>
      <c r="L2634">
        <v>131</v>
      </c>
      <c r="M2634">
        <v>0.65</v>
      </c>
      <c r="N2634">
        <v>189.99</v>
      </c>
      <c r="O2634">
        <v>0.71</v>
      </c>
      <c r="P2634">
        <v>0</v>
      </c>
      <c r="Q2634">
        <v>0.99</v>
      </c>
      <c r="R2634">
        <v>358</v>
      </c>
      <c r="S2634">
        <v>2.52</v>
      </c>
      <c r="T2634">
        <v>0.68</v>
      </c>
      <c r="U2634" s="1">
        <v>45406</v>
      </c>
      <c r="V2634">
        <v>28.93</v>
      </c>
      <c r="W2634">
        <v>0.69699999999999995</v>
      </c>
      <c r="X2634" t="str">
        <f>IF(WarehouseData[[#This Row],[stock_level]]&lt;=WarehouseData[[#This Row],[reorder_point]],"Low Stock","Sufficient Stock")</f>
        <v>Sufficient Stock</v>
      </c>
      <c r="Y2634">
        <f>WarehouseData[[#This Row],[daily_demand]]*WarehouseData[[#This Row],[lead_time_days]]</f>
        <v>41.42</v>
      </c>
      <c r="Z2634" t="str">
        <f>IF(WarehouseData[[#This Row],[stock_level]]&lt;=WarehouseData[[#This Row],[Demand During Lead Time]],"At Risk","Safe")</f>
        <v>Safe</v>
      </c>
      <c r="AA2634">
        <f>WarehouseData[[#This Row],[stock_level]]/WarehouseData[[#This Row],[daily_demand]]</f>
        <v>12.168034765813616</v>
      </c>
      <c r="AB2634">
        <f>WarehouseData[[#This Row],[stock_level]]*WarehouseData[[#This Row],[unit_price]]</f>
        <v>47877.48</v>
      </c>
      <c r="AC2634">
        <f>WarehouseData[[#This Row],[stock_level]]*WarehouseData[[#This Row],[holding_cost_per_unit_day]]*30</f>
        <v>5367.5999999999995</v>
      </c>
      <c r="AD2634" t="str">
        <f>IF(WarehouseData[[#This Row],[order_fulfillment_rate]]&gt;=0.9,"Strong",IF(WarehouseData[[#This Row],[order_fulfillment_rate]]&gt;=0.8,"Moderate","Needs Attention"))</f>
        <v>Strong</v>
      </c>
      <c r="AE2634" t="str">
        <f>IF(WarehouseData[[#This Row],[picking_time_seconds]]&gt;120,"Slow",IF(WarehouseData[[#This Row],[picking_time_seconds]]&gt;=60,"Average","Fast"))</f>
        <v>Slow</v>
      </c>
    </row>
    <row r="2635" spans="1:31" x14ac:dyDescent="0.25">
      <c r="A2635" t="s">
        <v>2773</v>
      </c>
      <c r="B2635" t="s">
        <v>32</v>
      </c>
      <c r="C2635">
        <v>348</v>
      </c>
      <c r="D2635">
        <v>52</v>
      </c>
      <c r="E2635">
        <v>7</v>
      </c>
      <c r="F2635">
        <v>2</v>
      </c>
      <c r="G2635">
        <v>38.47</v>
      </c>
      <c r="H2635">
        <v>2.87</v>
      </c>
      <c r="I2635">
        <v>0.22</v>
      </c>
      <c r="J2635" t="s">
        <v>104</v>
      </c>
      <c r="K2635" t="s">
        <v>46</v>
      </c>
      <c r="L2635">
        <v>129</v>
      </c>
      <c r="M2635">
        <v>4.78</v>
      </c>
      <c r="N2635">
        <v>109.16</v>
      </c>
      <c r="O2635">
        <v>1.43</v>
      </c>
      <c r="P2635">
        <v>6</v>
      </c>
      <c r="Q2635">
        <v>0.93</v>
      </c>
      <c r="R2635">
        <v>53</v>
      </c>
      <c r="S2635">
        <v>13.47</v>
      </c>
      <c r="T2635">
        <v>0.27</v>
      </c>
      <c r="U2635" s="1">
        <v>45593</v>
      </c>
      <c r="V2635">
        <v>56.74</v>
      </c>
      <c r="W2635">
        <v>0.55700000000000005</v>
      </c>
      <c r="X2635" t="str">
        <f>IF(WarehouseData[[#This Row],[stock_level]]&lt;=WarehouseData[[#This Row],[reorder_point]],"Low Stock","Sufficient Stock")</f>
        <v>Sufficient Stock</v>
      </c>
      <c r="Y2635">
        <f>WarehouseData[[#This Row],[daily_demand]]*WarehouseData[[#This Row],[lead_time_days]]</f>
        <v>76.94</v>
      </c>
      <c r="Z2635" t="str">
        <f>IF(WarehouseData[[#This Row],[stock_level]]&lt;=WarehouseData[[#This Row],[Demand During Lead Time]],"At Risk","Safe")</f>
        <v>Safe</v>
      </c>
      <c r="AA2635">
        <f>WarehouseData[[#This Row],[stock_level]]/WarehouseData[[#This Row],[daily_demand]]</f>
        <v>9.0460098778268776</v>
      </c>
      <c r="AB2635">
        <f>WarehouseData[[#This Row],[stock_level]]*WarehouseData[[#This Row],[unit_price]]</f>
        <v>37987.68</v>
      </c>
      <c r="AC2635">
        <f>WarehouseData[[#This Row],[stock_level]]*WarehouseData[[#This Row],[holding_cost_per_unit_day]]*30</f>
        <v>14929.199999999999</v>
      </c>
      <c r="AD2635" t="str">
        <f>IF(WarehouseData[[#This Row],[order_fulfillment_rate]]&gt;=0.9,"Strong",IF(WarehouseData[[#This Row],[order_fulfillment_rate]]&gt;=0.8,"Moderate","Needs Attention"))</f>
        <v>Strong</v>
      </c>
      <c r="AE2635" t="str">
        <f>IF(WarehouseData[[#This Row],[picking_time_seconds]]&gt;120,"Slow",IF(WarehouseData[[#This Row],[picking_time_seconds]]&gt;=60,"Average","Fast"))</f>
        <v>Slow</v>
      </c>
    </row>
    <row r="2636" spans="1:31" x14ac:dyDescent="0.25">
      <c r="A2636" t="s">
        <v>2774</v>
      </c>
      <c r="B2636" t="s">
        <v>73</v>
      </c>
      <c r="C2636">
        <v>298</v>
      </c>
      <c r="D2636">
        <v>26</v>
      </c>
      <c r="E2636">
        <v>14</v>
      </c>
      <c r="F2636">
        <v>7</v>
      </c>
      <c r="G2636">
        <v>12.95</v>
      </c>
      <c r="H2636">
        <v>3.51</v>
      </c>
      <c r="I2636">
        <v>0.45</v>
      </c>
      <c r="J2636" t="s">
        <v>223</v>
      </c>
      <c r="K2636" t="s">
        <v>46</v>
      </c>
      <c r="L2636">
        <v>50</v>
      </c>
      <c r="M2636">
        <v>2.76</v>
      </c>
      <c r="N2636">
        <v>49.82</v>
      </c>
      <c r="O2636">
        <v>1.82</v>
      </c>
      <c r="P2636">
        <v>2</v>
      </c>
      <c r="Q2636">
        <v>0.92</v>
      </c>
      <c r="R2636">
        <v>222</v>
      </c>
      <c r="S2636">
        <v>12.33</v>
      </c>
      <c r="T2636">
        <v>0.72</v>
      </c>
      <c r="U2636" s="1">
        <v>45440</v>
      </c>
      <c r="V2636">
        <v>285.11</v>
      </c>
      <c r="W2636">
        <v>0.67</v>
      </c>
      <c r="X2636" t="str">
        <f>IF(WarehouseData[[#This Row],[stock_level]]&lt;=WarehouseData[[#This Row],[reorder_point]],"Low Stock","Sufficient Stock")</f>
        <v>Sufficient Stock</v>
      </c>
      <c r="Y2636">
        <f>WarehouseData[[#This Row],[daily_demand]]*WarehouseData[[#This Row],[lead_time_days]]</f>
        <v>90.649999999999991</v>
      </c>
      <c r="Z2636" t="str">
        <f>IF(WarehouseData[[#This Row],[stock_level]]&lt;=WarehouseData[[#This Row],[Demand During Lead Time]],"At Risk","Safe")</f>
        <v>Safe</v>
      </c>
      <c r="AA2636">
        <f>WarehouseData[[#This Row],[stock_level]]/WarehouseData[[#This Row],[daily_demand]]</f>
        <v>23.011583011583014</v>
      </c>
      <c r="AB2636">
        <f>WarehouseData[[#This Row],[stock_level]]*WarehouseData[[#This Row],[unit_price]]</f>
        <v>14846.36</v>
      </c>
      <c r="AC2636">
        <f>WarehouseData[[#This Row],[stock_level]]*WarehouseData[[#This Row],[holding_cost_per_unit_day]]*30</f>
        <v>16270.800000000001</v>
      </c>
      <c r="AD2636" t="str">
        <f>IF(WarehouseData[[#This Row],[order_fulfillment_rate]]&gt;=0.9,"Strong",IF(WarehouseData[[#This Row],[order_fulfillment_rate]]&gt;=0.8,"Moderate","Needs Attention"))</f>
        <v>Strong</v>
      </c>
      <c r="AE2636" t="str">
        <f>IF(WarehouseData[[#This Row],[picking_time_seconds]]&gt;120,"Slow",IF(WarehouseData[[#This Row],[picking_time_seconds]]&gt;=60,"Average","Fast"))</f>
        <v>Fast</v>
      </c>
    </row>
    <row r="2637" spans="1:31" x14ac:dyDescent="0.25">
      <c r="A2637" t="s">
        <v>2775</v>
      </c>
      <c r="B2637" t="s">
        <v>40</v>
      </c>
      <c r="C2637">
        <v>221</v>
      </c>
      <c r="D2637">
        <v>41</v>
      </c>
      <c r="E2637">
        <v>14</v>
      </c>
      <c r="F2637">
        <v>9</v>
      </c>
      <c r="G2637">
        <v>42.1</v>
      </c>
      <c r="H2637">
        <v>9.65</v>
      </c>
      <c r="I2637">
        <v>0.18</v>
      </c>
      <c r="J2637" t="s">
        <v>152</v>
      </c>
      <c r="K2637" t="s">
        <v>52</v>
      </c>
      <c r="L2637">
        <v>75</v>
      </c>
      <c r="M2637">
        <v>2.76</v>
      </c>
      <c r="N2637">
        <v>136.9</v>
      </c>
      <c r="O2637">
        <v>1.95</v>
      </c>
      <c r="P2637">
        <v>2</v>
      </c>
      <c r="Q2637">
        <v>0.85</v>
      </c>
      <c r="R2637">
        <v>593</v>
      </c>
      <c r="S2637">
        <v>5.62</v>
      </c>
      <c r="T2637">
        <v>0.84</v>
      </c>
      <c r="U2637" s="1">
        <v>45360</v>
      </c>
      <c r="V2637">
        <v>49.06</v>
      </c>
      <c r="W2637">
        <v>0.57799999999999996</v>
      </c>
      <c r="X2637" t="str">
        <f>IF(WarehouseData[[#This Row],[stock_level]]&lt;=WarehouseData[[#This Row],[reorder_point]],"Low Stock","Sufficient Stock")</f>
        <v>Sufficient Stock</v>
      </c>
      <c r="Y2637">
        <f>WarehouseData[[#This Row],[daily_demand]]*WarehouseData[[#This Row],[lead_time_days]]</f>
        <v>378.90000000000003</v>
      </c>
      <c r="Z2637" t="str">
        <f>IF(WarehouseData[[#This Row],[stock_level]]&lt;=WarehouseData[[#This Row],[Demand During Lead Time]],"At Risk","Safe")</f>
        <v>At Risk</v>
      </c>
      <c r="AA2637">
        <f>WarehouseData[[#This Row],[stock_level]]/WarehouseData[[#This Row],[daily_demand]]</f>
        <v>5.2494061757719717</v>
      </c>
      <c r="AB2637">
        <f>WarehouseData[[#This Row],[stock_level]]*WarehouseData[[#This Row],[unit_price]]</f>
        <v>30254.9</v>
      </c>
      <c r="AC2637">
        <f>WarehouseData[[#This Row],[stock_level]]*WarehouseData[[#This Row],[holding_cost_per_unit_day]]*30</f>
        <v>12928.5</v>
      </c>
      <c r="AD2637" t="str">
        <f>IF(WarehouseData[[#This Row],[order_fulfillment_rate]]&gt;=0.9,"Strong",IF(WarehouseData[[#This Row],[order_fulfillment_rate]]&gt;=0.8,"Moderate","Needs Attention"))</f>
        <v>Moderate</v>
      </c>
      <c r="AE2637" t="str">
        <f>IF(WarehouseData[[#This Row],[picking_time_seconds]]&gt;120,"Slow",IF(WarehouseData[[#This Row],[picking_time_seconds]]&gt;=60,"Average","Fast"))</f>
        <v>Average</v>
      </c>
    </row>
    <row r="2638" spans="1:31" x14ac:dyDescent="0.25">
      <c r="A2638" t="s">
        <v>2776</v>
      </c>
      <c r="B2638" t="s">
        <v>48</v>
      </c>
      <c r="C2638">
        <v>102</v>
      </c>
      <c r="D2638">
        <v>50</v>
      </c>
      <c r="E2638">
        <v>12</v>
      </c>
      <c r="F2638">
        <v>2</v>
      </c>
      <c r="G2638">
        <v>19.420000000000002</v>
      </c>
      <c r="H2638">
        <v>8.1999999999999993</v>
      </c>
      <c r="I2638">
        <v>0.67</v>
      </c>
      <c r="J2638" t="s">
        <v>131</v>
      </c>
      <c r="K2638" t="s">
        <v>34</v>
      </c>
      <c r="L2638">
        <v>71</v>
      </c>
      <c r="M2638">
        <v>4.66</v>
      </c>
      <c r="N2638">
        <v>114.21</v>
      </c>
      <c r="O2638">
        <v>0.65</v>
      </c>
      <c r="P2638">
        <v>5</v>
      </c>
      <c r="Q2638">
        <v>0.83</v>
      </c>
      <c r="R2638">
        <v>795</v>
      </c>
      <c r="S2638">
        <v>8.3000000000000007</v>
      </c>
      <c r="T2638">
        <v>0.64</v>
      </c>
      <c r="U2638" s="1">
        <v>45529</v>
      </c>
      <c r="V2638">
        <v>252.25</v>
      </c>
      <c r="W2638">
        <v>0.64</v>
      </c>
      <c r="X2638" t="str">
        <f>IF(WarehouseData[[#This Row],[stock_level]]&lt;=WarehouseData[[#This Row],[reorder_point]],"Low Stock","Sufficient Stock")</f>
        <v>Sufficient Stock</v>
      </c>
      <c r="Y2638">
        <f>WarehouseData[[#This Row],[daily_demand]]*WarehouseData[[#This Row],[lead_time_days]]</f>
        <v>38.840000000000003</v>
      </c>
      <c r="Z2638" t="str">
        <f>IF(WarehouseData[[#This Row],[stock_level]]&lt;=WarehouseData[[#This Row],[Demand During Lead Time]],"At Risk","Safe")</f>
        <v>Safe</v>
      </c>
      <c r="AA2638">
        <f>WarehouseData[[#This Row],[stock_level]]/WarehouseData[[#This Row],[daily_demand]]</f>
        <v>5.2523171987641604</v>
      </c>
      <c r="AB2638">
        <f>WarehouseData[[#This Row],[stock_level]]*WarehouseData[[#This Row],[unit_price]]</f>
        <v>11649.42</v>
      </c>
      <c r="AC2638">
        <f>WarehouseData[[#This Row],[stock_level]]*WarehouseData[[#This Row],[holding_cost_per_unit_day]]*30</f>
        <v>1989</v>
      </c>
      <c r="AD2638" t="str">
        <f>IF(WarehouseData[[#This Row],[order_fulfillment_rate]]&gt;=0.9,"Strong",IF(WarehouseData[[#This Row],[order_fulfillment_rate]]&gt;=0.8,"Moderate","Needs Attention"))</f>
        <v>Moderate</v>
      </c>
      <c r="AE2638" t="str">
        <f>IF(WarehouseData[[#This Row],[picking_time_seconds]]&gt;120,"Slow",IF(WarehouseData[[#This Row],[picking_time_seconds]]&gt;=60,"Average","Fast"))</f>
        <v>Average</v>
      </c>
    </row>
    <row r="2639" spans="1:31" x14ac:dyDescent="0.25">
      <c r="A2639" t="s">
        <v>2777</v>
      </c>
      <c r="B2639" t="s">
        <v>40</v>
      </c>
      <c r="C2639">
        <v>144</v>
      </c>
      <c r="D2639">
        <v>15</v>
      </c>
      <c r="E2639">
        <v>5</v>
      </c>
      <c r="F2639">
        <v>3</v>
      </c>
      <c r="G2639">
        <v>27.08</v>
      </c>
      <c r="H2639">
        <v>0.63</v>
      </c>
      <c r="I2639">
        <v>0.35</v>
      </c>
      <c r="J2639" t="s">
        <v>223</v>
      </c>
      <c r="K2639" t="s">
        <v>34</v>
      </c>
      <c r="L2639">
        <v>167</v>
      </c>
      <c r="M2639">
        <v>1.8</v>
      </c>
      <c r="N2639">
        <v>162.72999999999999</v>
      </c>
      <c r="O2639">
        <v>1.92</v>
      </c>
      <c r="P2639">
        <v>5</v>
      </c>
      <c r="Q2639">
        <v>0.86</v>
      </c>
      <c r="R2639">
        <v>275</v>
      </c>
      <c r="S2639">
        <v>12.94</v>
      </c>
      <c r="T2639">
        <v>0.49</v>
      </c>
      <c r="U2639" s="1">
        <v>45548</v>
      </c>
      <c r="V2639">
        <v>166.72</v>
      </c>
      <c r="W2639">
        <v>0.55100000000000005</v>
      </c>
      <c r="X2639" t="str">
        <f>IF(WarehouseData[[#This Row],[stock_level]]&lt;=WarehouseData[[#This Row],[reorder_point]],"Low Stock","Sufficient Stock")</f>
        <v>Sufficient Stock</v>
      </c>
      <c r="Y2639">
        <f>WarehouseData[[#This Row],[daily_demand]]*WarehouseData[[#This Row],[lead_time_days]]</f>
        <v>81.239999999999995</v>
      </c>
      <c r="Z2639" t="str">
        <f>IF(WarehouseData[[#This Row],[stock_level]]&lt;=WarehouseData[[#This Row],[Demand During Lead Time]],"At Risk","Safe")</f>
        <v>Safe</v>
      </c>
      <c r="AA2639">
        <f>WarehouseData[[#This Row],[stock_level]]/WarehouseData[[#This Row],[daily_demand]]</f>
        <v>5.3175775480059091</v>
      </c>
      <c r="AB2639">
        <f>WarehouseData[[#This Row],[stock_level]]*WarehouseData[[#This Row],[unit_price]]</f>
        <v>23433.119999999999</v>
      </c>
      <c r="AC2639">
        <f>WarehouseData[[#This Row],[stock_level]]*WarehouseData[[#This Row],[holding_cost_per_unit_day]]*30</f>
        <v>8294.4000000000015</v>
      </c>
      <c r="AD2639" t="str">
        <f>IF(WarehouseData[[#This Row],[order_fulfillment_rate]]&gt;=0.9,"Strong",IF(WarehouseData[[#This Row],[order_fulfillment_rate]]&gt;=0.8,"Moderate","Needs Attention"))</f>
        <v>Moderate</v>
      </c>
      <c r="AE2639" t="str">
        <f>IF(WarehouseData[[#This Row],[picking_time_seconds]]&gt;120,"Slow",IF(WarehouseData[[#This Row],[picking_time_seconds]]&gt;=60,"Average","Fast"))</f>
        <v>Slow</v>
      </c>
    </row>
    <row r="2640" spans="1:31" x14ac:dyDescent="0.25">
      <c r="A2640" t="s">
        <v>2778</v>
      </c>
      <c r="B2640" t="s">
        <v>40</v>
      </c>
      <c r="C2640">
        <v>194</v>
      </c>
      <c r="D2640">
        <v>97</v>
      </c>
      <c r="E2640">
        <v>10</v>
      </c>
      <c r="F2640">
        <v>2</v>
      </c>
      <c r="G2640">
        <v>47.16</v>
      </c>
      <c r="H2640">
        <v>9.11</v>
      </c>
      <c r="I2640">
        <v>0.88</v>
      </c>
      <c r="J2640" t="s">
        <v>265</v>
      </c>
      <c r="K2640" t="s">
        <v>46</v>
      </c>
      <c r="L2640">
        <v>49</v>
      </c>
      <c r="M2640">
        <v>1.99</v>
      </c>
      <c r="N2640">
        <v>43.61</v>
      </c>
      <c r="O2640">
        <v>1.05</v>
      </c>
      <c r="P2640">
        <v>3</v>
      </c>
      <c r="Q2640">
        <v>0.79</v>
      </c>
      <c r="R2640">
        <v>388</v>
      </c>
      <c r="S2640">
        <v>2.4500000000000002</v>
      </c>
      <c r="T2640">
        <v>0.34</v>
      </c>
      <c r="U2640" s="1">
        <v>45553</v>
      </c>
      <c r="V2640">
        <v>43.06</v>
      </c>
      <c r="W2640">
        <v>0.49399999999999999</v>
      </c>
      <c r="X2640" t="str">
        <f>IF(WarehouseData[[#This Row],[stock_level]]&lt;=WarehouseData[[#This Row],[reorder_point]],"Low Stock","Sufficient Stock")</f>
        <v>Sufficient Stock</v>
      </c>
      <c r="Y2640">
        <f>WarehouseData[[#This Row],[daily_demand]]*WarehouseData[[#This Row],[lead_time_days]]</f>
        <v>94.32</v>
      </c>
      <c r="Z2640" t="str">
        <f>IF(WarehouseData[[#This Row],[stock_level]]&lt;=WarehouseData[[#This Row],[Demand During Lead Time]],"At Risk","Safe")</f>
        <v>Safe</v>
      </c>
      <c r="AA2640">
        <f>WarehouseData[[#This Row],[stock_level]]/WarehouseData[[#This Row],[daily_demand]]</f>
        <v>4.1136556403731976</v>
      </c>
      <c r="AB2640">
        <f>WarehouseData[[#This Row],[stock_level]]*WarehouseData[[#This Row],[unit_price]]</f>
        <v>8460.34</v>
      </c>
      <c r="AC2640">
        <f>WarehouseData[[#This Row],[stock_level]]*WarehouseData[[#This Row],[holding_cost_per_unit_day]]*30</f>
        <v>6111.0000000000009</v>
      </c>
      <c r="AD2640" t="str">
        <f>IF(WarehouseData[[#This Row],[order_fulfillment_rate]]&gt;=0.9,"Strong",IF(WarehouseData[[#This Row],[order_fulfillment_rate]]&gt;=0.8,"Moderate","Needs Attention"))</f>
        <v>Needs Attention</v>
      </c>
      <c r="AE2640" t="str">
        <f>IF(WarehouseData[[#This Row],[picking_time_seconds]]&gt;120,"Slow",IF(WarehouseData[[#This Row],[picking_time_seconds]]&gt;=60,"Average","Fast"))</f>
        <v>Fast</v>
      </c>
    </row>
    <row r="2641" spans="1:31" x14ac:dyDescent="0.25">
      <c r="A2641" t="s">
        <v>2779</v>
      </c>
      <c r="B2641" t="s">
        <v>36</v>
      </c>
      <c r="C2641">
        <v>88</v>
      </c>
      <c r="D2641">
        <v>36</v>
      </c>
      <c r="E2641">
        <v>8</v>
      </c>
      <c r="F2641">
        <v>6</v>
      </c>
      <c r="G2641">
        <v>34.380000000000003</v>
      </c>
      <c r="H2641">
        <v>2.65</v>
      </c>
      <c r="I2641">
        <v>0.42</v>
      </c>
      <c r="J2641" t="s">
        <v>228</v>
      </c>
      <c r="K2641" t="s">
        <v>46</v>
      </c>
      <c r="L2641">
        <v>49</v>
      </c>
      <c r="M2641">
        <v>3.45</v>
      </c>
      <c r="N2641">
        <v>59.58</v>
      </c>
      <c r="O2641">
        <v>0.68</v>
      </c>
      <c r="P2641">
        <v>4</v>
      </c>
      <c r="Q2641">
        <v>0.97</v>
      </c>
      <c r="R2641">
        <v>255</v>
      </c>
      <c r="S2641">
        <v>2.93</v>
      </c>
      <c r="T2641">
        <v>0.41</v>
      </c>
      <c r="U2641" s="1">
        <v>45338</v>
      </c>
      <c r="V2641">
        <v>276.66000000000003</v>
      </c>
      <c r="W2641">
        <v>0.56699999999999995</v>
      </c>
      <c r="X2641" t="str">
        <f>IF(WarehouseData[[#This Row],[stock_level]]&lt;=WarehouseData[[#This Row],[reorder_point]],"Low Stock","Sufficient Stock")</f>
        <v>Sufficient Stock</v>
      </c>
      <c r="Y2641">
        <f>WarehouseData[[#This Row],[daily_demand]]*WarehouseData[[#This Row],[lead_time_days]]</f>
        <v>206.28000000000003</v>
      </c>
      <c r="Z2641" t="str">
        <f>IF(WarehouseData[[#This Row],[stock_level]]&lt;=WarehouseData[[#This Row],[Demand During Lead Time]],"At Risk","Safe")</f>
        <v>At Risk</v>
      </c>
      <c r="AA2641">
        <f>WarehouseData[[#This Row],[stock_level]]/WarehouseData[[#This Row],[daily_demand]]</f>
        <v>2.5596276905177429</v>
      </c>
      <c r="AB2641">
        <f>WarehouseData[[#This Row],[stock_level]]*WarehouseData[[#This Row],[unit_price]]</f>
        <v>5243.04</v>
      </c>
      <c r="AC2641">
        <f>WarehouseData[[#This Row],[stock_level]]*WarehouseData[[#This Row],[holding_cost_per_unit_day]]*30</f>
        <v>1795.2</v>
      </c>
      <c r="AD2641" t="str">
        <f>IF(WarehouseData[[#This Row],[order_fulfillment_rate]]&gt;=0.9,"Strong",IF(WarehouseData[[#This Row],[order_fulfillment_rate]]&gt;=0.8,"Moderate","Needs Attention"))</f>
        <v>Strong</v>
      </c>
      <c r="AE2641" t="str">
        <f>IF(WarehouseData[[#This Row],[picking_time_seconds]]&gt;120,"Slow",IF(WarehouseData[[#This Row],[picking_time_seconds]]&gt;=60,"Average","Fast"))</f>
        <v>Fast</v>
      </c>
    </row>
    <row r="2642" spans="1:31" x14ac:dyDescent="0.25">
      <c r="A2642" t="s">
        <v>2780</v>
      </c>
      <c r="B2642" t="s">
        <v>40</v>
      </c>
      <c r="C2642">
        <v>66</v>
      </c>
      <c r="D2642">
        <v>29</v>
      </c>
      <c r="E2642">
        <v>4</v>
      </c>
      <c r="F2642">
        <v>6</v>
      </c>
      <c r="G2642">
        <v>32.630000000000003</v>
      </c>
      <c r="H2642">
        <v>7.21</v>
      </c>
      <c r="I2642">
        <v>0.55000000000000004</v>
      </c>
      <c r="J2642" t="s">
        <v>84</v>
      </c>
      <c r="K2642" t="s">
        <v>38</v>
      </c>
      <c r="L2642">
        <v>111</v>
      </c>
      <c r="M2642">
        <v>4.03</v>
      </c>
      <c r="N2642">
        <v>185.11</v>
      </c>
      <c r="O2642">
        <v>1.98</v>
      </c>
      <c r="P2642">
        <v>2</v>
      </c>
      <c r="Q2642">
        <v>0.94</v>
      </c>
      <c r="R2642">
        <v>151</v>
      </c>
      <c r="S2642">
        <v>11.02</v>
      </c>
      <c r="T2642">
        <v>0.62</v>
      </c>
      <c r="U2642" s="1">
        <v>45495</v>
      </c>
      <c r="V2642">
        <v>279.14999999999998</v>
      </c>
      <c r="W2642">
        <v>0.621</v>
      </c>
      <c r="X2642" t="str">
        <f>IF(WarehouseData[[#This Row],[stock_level]]&lt;=WarehouseData[[#This Row],[reorder_point]],"Low Stock","Sufficient Stock")</f>
        <v>Sufficient Stock</v>
      </c>
      <c r="Y2642">
        <f>WarehouseData[[#This Row],[daily_demand]]*WarehouseData[[#This Row],[lead_time_days]]</f>
        <v>195.78000000000003</v>
      </c>
      <c r="Z2642" t="str">
        <f>IF(WarehouseData[[#This Row],[stock_level]]&lt;=WarehouseData[[#This Row],[Demand During Lead Time]],"At Risk","Safe")</f>
        <v>At Risk</v>
      </c>
      <c r="AA2642">
        <f>WarehouseData[[#This Row],[stock_level]]/WarehouseData[[#This Row],[daily_demand]]</f>
        <v>2.0226785167024208</v>
      </c>
      <c r="AB2642">
        <f>WarehouseData[[#This Row],[stock_level]]*WarehouseData[[#This Row],[unit_price]]</f>
        <v>12217.26</v>
      </c>
      <c r="AC2642">
        <f>WarehouseData[[#This Row],[stock_level]]*WarehouseData[[#This Row],[holding_cost_per_unit_day]]*30</f>
        <v>3920.4</v>
      </c>
      <c r="AD2642" t="str">
        <f>IF(WarehouseData[[#This Row],[order_fulfillment_rate]]&gt;=0.9,"Strong",IF(WarehouseData[[#This Row],[order_fulfillment_rate]]&gt;=0.8,"Moderate","Needs Attention"))</f>
        <v>Strong</v>
      </c>
      <c r="AE2642" t="str">
        <f>IF(WarehouseData[[#This Row],[picking_time_seconds]]&gt;120,"Slow",IF(WarehouseData[[#This Row],[picking_time_seconds]]&gt;=60,"Average","Fast"))</f>
        <v>Average</v>
      </c>
    </row>
    <row r="2643" spans="1:31" x14ac:dyDescent="0.25">
      <c r="A2643" t="s">
        <v>2781</v>
      </c>
      <c r="B2643" t="s">
        <v>40</v>
      </c>
      <c r="C2643">
        <v>391</v>
      </c>
      <c r="D2643">
        <v>34</v>
      </c>
      <c r="E2643">
        <v>4</v>
      </c>
      <c r="F2643">
        <v>9</v>
      </c>
      <c r="G2643">
        <v>35.869999999999997</v>
      </c>
      <c r="H2643">
        <v>5.75</v>
      </c>
      <c r="I2643">
        <v>0.16</v>
      </c>
      <c r="J2643" t="s">
        <v>156</v>
      </c>
      <c r="K2643" t="s">
        <v>46</v>
      </c>
      <c r="L2643">
        <v>24</v>
      </c>
      <c r="M2643">
        <v>3.65</v>
      </c>
      <c r="N2643">
        <v>186.7</v>
      </c>
      <c r="O2643">
        <v>1.77</v>
      </c>
      <c r="P2643">
        <v>2</v>
      </c>
      <c r="Q2643">
        <v>0.94</v>
      </c>
      <c r="R2643">
        <v>107</v>
      </c>
      <c r="S2643">
        <v>2.15</v>
      </c>
      <c r="T2643">
        <v>0.4</v>
      </c>
      <c r="U2643" s="1">
        <v>45478</v>
      </c>
      <c r="V2643">
        <v>188.45</v>
      </c>
      <c r="W2643">
        <v>0.48</v>
      </c>
      <c r="X2643" t="str">
        <f>IF(WarehouseData[[#This Row],[stock_level]]&lt;=WarehouseData[[#This Row],[reorder_point]],"Low Stock","Sufficient Stock")</f>
        <v>Sufficient Stock</v>
      </c>
      <c r="Y2643">
        <f>WarehouseData[[#This Row],[daily_demand]]*WarehouseData[[#This Row],[lead_time_days]]</f>
        <v>322.83</v>
      </c>
      <c r="Z2643" t="str">
        <f>IF(WarehouseData[[#This Row],[stock_level]]&lt;=WarehouseData[[#This Row],[Demand During Lead Time]],"At Risk","Safe")</f>
        <v>Safe</v>
      </c>
      <c r="AA2643">
        <f>WarehouseData[[#This Row],[stock_level]]/WarehouseData[[#This Row],[daily_demand]]</f>
        <v>10.900473933649289</v>
      </c>
      <c r="AB2643">
        <f>WarehouseData[[#This Row],[stock_level]]*WarehouseData[[#This Row],[unit_price]]</f>
        <v>72999.7</v>
      </c>
      <c r="AC2643">
        <f>WarehouseData[[#This Row],[stock_level]]*WarehouseData[[#This Row],[holding_cost_per_unit_day]]*30</f>
        <v>20762.100000000002</v>
      </c>
      <c r="AD2643" t="str">
        <f>IF(WarehouseData[[#This Row],[order_fulfillment_rate]]&gt;=0.9,"Strong",IF(WarehouseData[[#This Row],[order_fulfillment_rate]]&gt;=0.8,"Moderate","Needs Attention"))</f>
        <v>Strong</v>
      </c>
      <c r="AE2643" t="str">
        <f>IF(WarehouseData[[#This Row],[picking_time_seconds]]&gt;120,"Slow",IF(WarehouseData[[#This Row],[picking_time_seconds]]&gt;=60,"Average","Fast"))</f>
        <v>Fast</v>
      </c>
    </row>
    <row r="2644" spans="1:31" x14ac:dyDescent="0.25">
      <c r="A2644" t="s">
        <v>2782</v>
      </c>
      <c r="B2644" t="s">
        <v>32</v>
      </c>
      <c r="C2644">
        <v>275</v>
      </c>
      <c r="D2644">
        <v>75</v>
      </c>
      <c r="E2644">
        <v>11</v>
      </c>
      <c r="F2644">
        <v>8</v>
      </c>
      <c r="G2644">
        <v>45.99</v>
      </c>
      <c r="H2644">
        <v>5.6</v>
      </c>
      <c r="I2644">
        <v>0.35</v>
      </c>
      <c r="J2644" t="s">
        <v>152</v>
      </c>
      <c r="K2644" t="s">
        <v>52</v>
      </c>
      <c r="L2644">
        <v>133</v>
      </c>
      <c r="M2644">
        <v>4.05</v>
      </c>
      <c r="N2644">
        <v>94.03</v>
      </c>
      <c r="O2644">
        <v>1.42</v>
      </c>
      <c r="P2644">
        <v>8</v>
      </c>
      <c r="Q2644">
        <v>0.83</v>
      </c>
      <c r="R2644">
        <v>830</v>
      </c>
      <c r="S2644">
        <v>5.94</v>
      </c>
      <c r="T2644">
        <v>0.82</v>
      </c>
      <c r="U2644" s="1">
        <v>45549</v>
      </c>
      <c r="V2644">
        <v>122.77</v>
      </c>
      <c r="W2644">
        <v>0.50700000000000001</v>
      </c>
      <c r="X2644" t="str">
        <f>IF(WarehouseData[[#This Row],[stock_level]]&lt;=WarehouseData[[#This Row],[reorder_point]],"Low Stock","Sufficient Stock")</f>
        <v>Sufficient Stock</v>
      </c>
      <c r="Y2644">
        <f>WarehouseData[[#This Row],[daily_demand]]*WarehouseData[[#This Row],[lead_time_days]]</f>
        <v>367.92</v>
      </c>
      <c r="Z2644" t="str">
        <f>IF(WarehouseData[[#This Row],[stock_level]]&lt;=WarehouseData[[#This Row],[Demand During Lead Time]],"At Risk","Safe")</f>
        <v>At Risk</v>
      </c>
      <c r="AA2644">
        <f>WarehouseData[[#This Row],[stock_level]]/WarehouseData[[#This Row],[daily_demand]]</f>
        <v>5.9795607740813219</v>
      </c>
      <c r="AB2644">
        <f>WarehouseData[[#This Row],[stock_level]]*WarehouseData[[#This Row],[unit_price]]</f>
        <v>25858.25</v>
      </c>
      <c r="AC2644">
        <f>WarehouseData[[#This Row],[stock_level]]*WarehouseData[[#This Row],[holding_cost_per_unit_day]]*30</f>
        <v>11715</v>
      </c>
      <c r="AD2644" t="str">
        <f>IF(WarehouseData[[#This Row],[order_fulfillment_rate]]&gt;=0.9,"Strong",IF(WarehouseData[[#This Row],[order_fulfillment_rate]]&gt;=0.8,"Moderate","Needs Attention"))</f>
        <v>Moderate</v>
      </c>
      <c r="AE2644" t="str">
        <f>IF(WarehouseData[[#This Row],[picking_time_seconds]]&gt;120,"Slow",IF(WarehouseData[[#This Row],[picking_time_seconds]]&gt;=60,"Average","Fast"))</f>
        <v>Slow</v>
      </c>
    </row>
    <row r="2645" spans="1:31" x14ac:dyDescent="0.25">
      <c r="A2645" t="s">
        <v>2783</v>
      </c>
      <c r="B2645" t="s">
        <v>48</v>
      </c>
      <c r="C2645">
        <v>234</v>
      </c>
      <c r="D2645">
        <v>18</v>
      </c>
      <c r="E2645">
        <v>9</v>
      </c>
      <c r="F2645">
        <v>8</v>
      </c>
      <c r="G2645">
        <v>13.18</v>
      </c>
      <c r="H2645">
        <v>7.32</v>
      </c>
      <c r="I2645">
        <v>0.71</v>
      </c>
      <c r="J2645" t="s">
        <v>144</v>
      </c>
      <c r="K2645" t="s">
        <v>34</v>
      </c>
      <c r="L2645">
        <v>140</v>
      </c>
      <c r="M2645">
        <v>3.09</v>
      </c>
      <c r="N2645">
        <v>19.07</v>
      </c>
      <c r="O2645">
        <v>1.8</v>
      </c>
      <c r="P2645">
        <v>4</v>
      </c>
      <c r="Q2645">
        <v>0.72</v>
      </c>
      <c r="R2645">
        <v>199</v>
      </c>
      <c r="S2645">
        <v>4.53</v>
      </c>
      <c r="T2645">
        <v>0.31</v>
      </c>
      <c r="U2645" s="1">
        <v>45297</v>
      </c>
      <c r="V2645">
        <v>186.17</v>
      </c>
      <c r="W2645">
        <v>0.40600000000000003</v>
      </c>
      <c r="X2645" t="str">
        <f>IF(WarehouseData[[#This Row],[stock_level]]&lt;=WarehouseData[[#This Row],[reorder_point]],"Low Stock","Sufficient Stock")</f>
        <v>Sufficient Stock</v>
      </c>
      <c r="Y2645">
        <f>WarehouseData[[#This Row],[daily_demand]]*WarehouseData[[#This Row],[lead_time_days]]</f>
        <v>105.44</v>
      </c>
      <c r="Z2645" t="str">
        <f>IF(WarehouseData[[#This Row],[stock_level]]&lt;=WarehouseData[[#This Row],[Demand During Lead Time]],"At Risk","Safe")</f>
        <v>Safe</v>
      </c>
      <c r="AA2645">
        <f>WarehouseData[[#This Row],[stock_level]]/WarehouseData[[#This Row],[daily_demand]]</f>
        <v>17.754172989377846</v>
      </c>
      <c r="AB2645">
        <f>WarehouseData[[#This Row],[stock_level]]*WarehouseData[[#This Row],[unit_price]]</f>
        <v>4462.38</v>
      </c>
      <c r="AC2645">
        <f>WarehouseData[[#This Row],[stock_level]]*WarehouseData[[#This Row],[holding_cost_per_unit_day]]*30</f>
        <v>12636</v>
      </c>
      <c r="AD2645" t="str">
        <f>IF(WarehouseData[[#This Row],[order_fulfillment_rate]]&gt;=0.9,"Strong",IF(WarehouseData[[#This Row],[order_fulfillment_rate]]&gt;=0.8,"Moderate","Needs Attention"))</f>
        <v>Needs Attention</v>
      </c>
      <c r="AE2645" t="str">
        <f>IF(WarehouseData[[#This Row],[picking_time_seconds]]&gt;120,"Slow",IF(WarehouseData[[#This Row],[picking_time_seconds]]&gt;=60,"Average","Fast"))</f>
        <v>Slow</v>
      </c>
    </row>
    <row r="2646" spans="1:31" x14ac:dyDescent="0.25">
      <c r="A2646" t="s">
        <v>2784</v>
      </c>
      <c r="B2646" t="s">
        <v>32</v>
      </c>
      <c r="C2646">
        <v>49</v>
      </c>
      <c r="D2646">
        <v>62</v>
      </c>
      <c r="E2646">
        <v>12</v>
      </c>
      <c r="F2646">
        <v>9</v>
      </c>
      <c r="G2646">
        <v>31.05</v>
      </c>
      <c r="H2646">
        <v>2.4700000000000002</v>
      </c>
      <c r="I2646">
        <v>0.76</v>
      </c>
      <c r="J2646" t="s">
        <v>477</v>
      </c>
      <c r="K2646" t="s">
        <v>34</v>
      </c>
      <c r="L2646">
        <v>33</v>
      </c>
      <c r="M2646">
        <v>4.38</v>
      </c>
      <c r="N2646">
        <v>68.25</v>
      </c>
      <c r="O2646">
        <v>1.39</v>
      </c>
      <c r="P2646">
        <v>0</v>
      </c>
      <c r="Q2646">
        <v>0.9</v>
      </c>
      <c r="R2646">
        <v>301</v>
      </c>
      <c r="S2646">
        <v>11.64</v>
      </c>
      <c r="T2646">
        <v>0.61</v>
      </c>
      <c r="U2646" s="1">
        <v>45631</v>
      </c>
      <c r="V2646">
        <v>192.05</v>
      </c>
      <c r="W2646">
        <v>0.71799999999999997</v>
      </c>
      <c r="X2646" t="str">
        <f>IF(WarehouseData[[#This Row],[stock_level]]&lt;=WarehouseData[[#This Row],[reorder_point]],"Low Stock","Sufficient Stock")</f>
        <v>Low Stock</v>
      </c>
      <c r="Y2646">
        <f>WarehouseData[[#This Row],[daily_demand]]*WarehouseData[[#This Row],[lead_time_days]]</f>
        <v>279.45</v>
      </c>
      <c r="Z2646" t="str">
        <f>IF(WarehouseData[[#This Row],[stock_level]]&lt;=WarehouseData[[#This Row],[Demand During Lead Time]],"At Risk","Safe")</f>
        <v>At Risk</v>
      </c>
      <c r="AA2646">
        <f>WarehouseData[[#This Row],[stock_level]]/WarehouseData[[#This Row],[daily_demand]]</f>
        <v>1.5780998389694041</v>
      </c>
      <c r="AB2646">
        <f>WarehouseData[[#This Row],[stock_level]]*WarehouseData[[#This Row],[unit_price]]</f>
        <v>3344.25</v>
      </c>
      <c r="AC2646">
        <f>WarehouseData[[#This Row],[stock_level]]*WarehouseData[[#This Row],[holding_cost_per_unit_day]]*30</f>
        <v>2043.3</v>
      </c>
      <c r="AD2646" t="str">
        <f>IF(WarehouseData[[#This Row],[order_fulfillment_rate]]&gt;=0.9,"Strong",IF(WarehouseData[[#This Row],[order_fulfillment_rate]]&gt;=0.8,"Moderate","Needs Attention"))</f>
        <v>Strong</v>
      </c>
      <c r="AE2646" t="str">
        <f>IF(WarehouseData[[#This Row],[picking_time_seconds]]&gt;120,"Slow",IF(WarehouseData[[#This Row],[picking_time_seconds]]&gt;=60,"Average","Fast"))</f>
        <v>Fast</v>
      </c>
    </row>
    <row r="2647" spans="1:31" x14ac:dyDescent="0.25">
      <c r="A2647" t="s">
        <v>2785</v>
      </c>
      <c r="B2647" t="s">
        <v>32</v>
      </c>
      <c r="C2647">
        <v>300</v>
      </c>
      <c r="D2647">
        <v>70</v>
      </c>
      <c r="E2647">
        <v>11</v>
      </c>
      <c r="F2647">
        <v>5</v>
      </c>
      <c r="G2647">
        <v>20.62</v>
      </c>
      <c r="H2647">
        <v>2.0099999999999998</v>
      </c>
      <c r="I2647">
        <v>0.32</v>
      </c>
      <c r="J2647" t="s">
        <v>192</v>
      </c>
      <c r="K2647" t="s">
        <v>34</v>
      </c>
      <c r="L2647">
        <v>178</v>
      </c>
      <c r="M2647">
        <v>2.98</v>
      </c>
      <c r="N2647">
        <v>56.95</v>
      </c>
      <c r="O2647">
        <v>0.94</v>
      </c>
      <c r="P2647">
        <v>8</v>
      </c>
      <c r="Q2647">
        <v>0.81</v>
      </c>
      <c r="R2647">
        <v>528</v>
      </c>
      <c r="S2647">
        <v>1.03</v>
      </c>
      <c r="T2647">
        <v>0.6</v>
      </c>
      <c r="U2647" s="1">
        <v>45414</v>
      </c>
      <c r="V2647">
        <v>190.42</v>
      </c>
      <c r="W2647">
        <v>0.442</v>
      </c>
      <c r="X2647" t="str">
        <f>IF(WarehouseData[[#This Row],[stock_level]]&lt;=WarehouseData[[#This Row],[reorder_point]],"Low Stock","Sufficient Stock")</f>
        <v>Sufficient Stock</v>
      </c>
      <c r="Y2647">
        <f>WarehouseData[[#This Row],[daily_demand]]*WarehouseData[[#This Row],[lead_time_days]]</f>
        <v>103.10000000000001</v>
      </c>
      <c r="Z2647" t="str">
        <f>IF(WarehouseData[[#This Row],[stock_level]]&lt;=WarehouseData[[#This Row],[Demand During Lead Time]],"At Risk","Safe")</f>
        <v>Safe</v>
      </c>
      <c r="AA2647">
        <f>WarehouseData[[#This Row],[stock_level]]/WarehouseData[[#This Row],[daily_demand]]</f>
        <v>14.548981571290009</v>
      </c>
      <c r="AB2647">
        <f>WarehouseData[[#This Row],[stock_level]]*WarehouseData[[#This Row],[unit_price]]</f>
        <v>17085</v>
      </c>
      <c r="AC2647">
        <f>WarehouseData[[#This Row],[stock_level]]*WarehouseData[[#This Row],[holding_cost_per_unit_day]]*30</f>
        <v>8460</v>
      </c>
      <c r="AD2647" t="str">
        <f>IF(WarehouseData[[#This Row],[order_fulfillment_rate]]&gt;=0.9,"Strong",IF(WarehouseData[[#This Row],[order_fulfillment_rate]]&gt;=0.8,"Moderate","Needs Attention"))</f>
        <v>Moderate</v>
      </c>
      <c r="AE2647" t="str">
        <f>IF(WarehouseData[[#This Row],[picking_time_seconds]]&gt;120,"Slow",IF(WarehouseData[[#This Row],[picking_time_seconds]]&gt;=60,"Average","Fast"))</f>
        <v>Slow</v>
      </c>
    </row>
    <row r="2648" spans="1:31" x14ac:dyDescent="0.25">
      <c r="A2648" t="s">
        <v>2786</v>
      </c>
      <c r="B2648" t="s">
        <v>73</v>
      </c>
      <c r="C2648">
        <v>431</v>
      </c>
      <c r="D2648">
        <v>47</v>
      </c>
      <c r="E2648">
        <v>8</v>
      </c>
      <c r="F2648">
        <v>3</v>
      </c>
      <c r="G2648">
        <v>1.58</v>
      </c>
      <c r="H2648">
        <v>6.69</v>
      </c>
      <c r="I2648">
        <v>0.55000000000000004</v>
      </c>
      <c r="J2648" t="s">
        <v>276</v>
      </c>
      <c r="K2648" t="s">
        <v>52</v>
      </c>
      <c r="L2648">
        <v>57</v>
      </c>
      <c r="M2648">
        <v>1.53</v>
      </c>
      <c r="N2648">
        <v>88.79</v>
      </c>
      <c r="O2648">
        <v>1.9</v>
      </c>
      <c r="P2648">
        <v>9</v>
      </c>
      <c r="Q2648">
        <v>0.96</v>
      </c>
      <c r="R2648">
        <v>605</v>
      </c>
      <c r="S2648">
        <v>2.62</v>
      </c>
      <c r="T2648">
        <v>0.31</v>
      </c>
      <c r="U2648" s="1">
        <v>45606</v>
      </c>
      <c r="V2648">
        <v>222.69</v>
      </c>
      <c r="W2648">
        <v>0.31900000000000001</v>
      </c>
      <c r="X2648" t="str">
        <f>IF(WarehouseData[[#This Row],[stock_level]]&lt;=WarehouseData[[#This Row],[reorder_point]],"Low Stock","Sufficient Stock")</f>
        <v>Sufficient Stock</v>
      </c>
      <c r="Y2648">
        <f>WarehouseData[[#This Row],[daily_demand]]*WarehouseData[[#This Row],[lead_time_days]]</f>
        <v>4.74</v>
      </c>
      <c r="Z2648" t="str">
        <f>IF(WarehouseData[[#This Row],[stock_level]]&lt;=WarehouseData[[#This Row],[Demand During Lead Time]],"At Risk","Safe")</f>
        <v>Safe</v>
      </c>
      <c r="AA2648">
        <f>WarehouseData[[#This Row],[stock_level]]/WarehouseData[[#This Row],[daily_demand]]</f>
        <v>272.78481012658227</v>
      </c>
      <c r="AB2648">
        <f>WarehouseData[[#This Row],[stock_level]]*WarehouseData[[#This Row],[unit_price]]</f>
        <v>38268.490000000005</v>
      </c>
      <c r="AC2648">
        <f>WarehouseData[[#This Row],[stock_level]]*WarehouseData[[#This Row],[holding_cost_per_unit_day]]*30</f>
        <v>24567</v>
      </c>
      <c r="AD2648" t="str">
        <f>IF(WarehouseData[[#This Row],[order_fulfillment_rate]]&gt;=0.9,"Strong",IF(WarehouseData[[#This Row],[order_fulfillment_rate]]&gt;=0.8,"Moderate","Needs Attention"))</f>
        <v>Strong</v>
      </c>
      <c r="AE2648" t="str">
        <f>IF(WarehouseData[[#This Row],[picking_time_seconds]]&gt;120,"Slow",IF(WarehouseData[[#This Row],[picking_time_seconds]]&gt;=60,"Average","Fast"))</f>
        <v>Fast</v>
      </c>
    </row>
    <row r="2649" spans="1:31" x14ac:dyDescent="0.25">
      <c r="A2649" t="s">
        <v>2787</v>
      </c>
      <c r="B2649" t="s">
        <v>32</v>
      </c>
      <c r="C2649">
        <v>256</v>
      </c>
      <c r="D2649">
        <v>12</v>
      </c>
      <c r="E2649">
        <v>7</v>
      </c>
      <c r="F2649">
        <v>6</v>
      </c>
      <c r="G2649">
        <v>7.14</v>
      </c>
      <c r="H2649">
        <v>3.26</v>
      </c>
      <c r="I2649">
        <v>0.84</v>
      </c>
      <c r="J2649" t="s">
        <v>79</v>
      </c>
      <c r="K2649" t="s">
        <v>38</v>
      </c>
      <c r="L2649">
        <v>57</v>
      </c>
      <c r="M2649">
        <v>2.94</v>
      </c>
      <c r="N2649">
        <v>70.38</v>
      </c>
      <c r="O2649">
        <v>1.93</v>
      </c>
      <c r="P2649">
        <v>5</v>
      </c>
      <c r="Q2649">
        <v>0.93</v>
      </c>
      <c r="R2649">
        <v>477</v>
      </c>
      <c r="S2649">
        <v>2.39</v>
      </c>
      <c r="T2649">
        <v>1</v>
      </c>
      <c r="U2649" s="1">
        <v>45642</v>
      </c>
      <c r="V2649">
        <v>29.47</v>
      </c>
      <c r="W2649">
        <v>0.52500000000000002</v>
      </c>
      <c r="X2649" t="str">
        <f>IF(WarehouseData[[#This Row],[stock_level]]&lt;=WarehouseData[[#This Row],[reorder_point]],"Low Stock","Sufficient Stock")</f>
        <v>Sufficient Stock</v>
      </c>
      <c r="Y2649">
        <f>WarehouseData[[#This Row],[daily_demand]]*WarehouseData[[#This Row],[lead_time_days]]</f>
        <v>42.839999999999996</v>
      </c>
      <c r="Z2649" t="str">
        <f>IF(WarehouseData[[#This Row],[stock_level]]&lt;=WarehouseData[[#This Row],[Demand During Lead Time]],"At Risk","Safe")</f>
        <v>Safe</v>
      </c>
      <c r="AA2649">
        <f>WarehouseData[[#This Row],[stock_level]]/WarehouseData[[#This Row],[daily_demand]]</f>
        <v>35.854341736694678</v>
      </c>
      <c r="AB2649">
        <f>WarehouseData[[#This Row],[stock_level]]*WarehouseData[[#This Row],[unit_price]]</f>
        <v>18017.28</v>
      </c>
      <c r="AC2649">
        <f>WarehouseData[[#This Row],[stock_level]]*WarehouseData[[#This Row],[holding_cost_per_unit_day]]*30</f>
        <v>14822.4</v>
      </c>
      <c r="AD2649" t="str">
        <f>IF(WarehouseData[[#This Row],[order_fulfillment_rate]]&gt;=0.9,"Strong",IF(WarehouseData[[#This Row],[order_fulfillment_rate]]&gt;=0.8,"Moderate","Needs Attention"))</f>
        <v>Strong</v>
      </c>
      <c r="AE2649" t="str">
        <f>IF(WarehouseData[[#This Row],[picking_time_seconds]]&gt;120,"Slow",IF(WarehouseData[[#This Row],[picking_time_seconds]]&gt;=60,"Average","Fast"))</f>
        <v>Fast</v>
      </c>
    </row>
    <row r="2650" spans="1:31" x14ac:dyDescent="0.25">
      <c r="A2650" t="s">
        <v>2788</v>
      </c>
      <c r="B2650" t="s">
        <v>36</v>
      </c>
      <c r="C2650">
        <v>267</v>
      </c>
      <c r="D2650">
        <v>93</v>
      </c>
      <c r="E2650">
        <v>14</v>
      </c>
      <c r="F2650">
        <v>9</v>
      </c>
      <c r="G2650">
        <v>16.920000000000002</v>
      </c>
      <c r="H2650">
        <v>9.75</v>
      </c>
      <c r="I2650">
        <v>0.44</v>
      </c>
      <c r="J2650" t="s">
        <v>98</v>
      </c>
      <c r="K2650" t="s">
        <v>52</v>
      </c>
      <c r="L2650">
        <v>56</v>
      </c>
      <c r="M2650">
        <v>3.71</v>
      </c>
      <c r="N2650">
        <v>167.51</v>
      </c>
      <c r="O2650">
        <v>0.7</v>
      </c>
      <c r="P2650">
        <v>8</v>
      </c>
      <c r="Q2650">
        <v>0.74</v>
      </c>
      <c r="R2650">
        <v>591</v>
      </c>
      <c r="S2650">
        <v>5.45</v>
      </c>
      <c r="T2650">
        <v>0.86</v>
      </c>
      <c r="U2650" s="1">
        <v>45376</v>
      </c>
      <c r="V2650">
        <v>39.729999999999997</v>
      </c>
      <c r="W2650">
        <v>0.56299999999999994</v>
      </c>
      <c r="X2650" t="str">
        <f>IF(WarehouseData[[#This Row],[stock_level]]&lt;=WarehouseData[[#This Row],[reorder_point]],"Low Stock","Sufficient Stock")</f>
        <v>Sufficient Stock</v>
      </c>
      <c r="Y2650">
        <f>WarehouseData[[#This Row],[daily_demand]]*WarehouseData[[#This Row],[lead_time_days]]</f>
        <v>152.28000000000003</v>
      </c>
      <c r="Z2650" t="str">
        <f>IF(WarehouseData[[#This Row],[stock_level]]&lt;=WarehouseData[[#This Row],[Demand During Lead Time]],"At Risk","Safe")</f>
        <v>Safe</v>
      </c>
      <c r="AA2650">
        <f>WarehouseData[[#This Row],[stock_level]]/WarehouseData[[#This Row],[daily_demand]]</f>
        <v>15.780141843971629</v>
      </c>
      <c r="AB2650">
        <f>WarehouseData[[#This Row],[stock_level]]*WarehouseData[[#This Row],[unit_price]]</f>
        <v>44725.17</v>
      </c>
      <c r="AC2650">
        <f>WarehouseData[[#This Row],[stock_level]]*WarehouseData[[#This Row],[holding_cost_per_unit_day]]*30</f>
        <v>5606.9999999999991</v>
      </c>
      <c r="AD2650" t="str">
        <f>IF(WarehouseData[[#This Row],[order_fulfillment_rate]]&gt;=0.9,"Strong",IF(WarehouseData[[#This Row],[order_fulfillment_rate]]&gt;=0.8,"Moderate","Needs Attention"))</f>
        <v>Needs Attention</v>
      </c>
      <c r="AE2650" t="str">
        <f>IF(WarehouseData[[#This Row],[picking_time_seconds]]&gt;120,"Slow",IF(WarehouseData[[#This Row],[picking_time_seconds]]&gt;=60,"Average","Fast"))</f>
        <v>Fast</v>
      </c>
    </row>
    <row r="2651" spans="1:31" x14ac:dyDescent="0.25">
      <c r="A2651" t="s">
        <v>2789</v>
      </c>
      <c r="B2651" t="s">
        <v>36</v>
      </c>
      <c r="C2651">
        <v>387</v>
      </c>
      <c r="D2651">
        <v>79</v>
      </c>
      <c r="E2651">
        <v>3</v>
      </c>
      <c r="F2651">
        <v>7</v>
      </c>
      <c r="G2651">
        <v>28.68</v>
      </c>
      <c r="H2651">
        <v>4.79</v>
      </c>
      <c r="I2651">
        <v>0.22</v>
      </c>
      <c r="J2651" t="s">
        <v>104</v>
      </c>
      <c r="K2651" t="s">
        <v>52</v>
      </c>
      <c r="L2651">
        <v>114</v>
      </c>
      <c r="M2651">
        <v>3.44</v>
      </c>
      <c r="N2651">
        <v>10.58</v>
      </c>
      <c r="O2651">
        <v>0.77</v>
      </c>
      <c r="P2651">
        <v>6</v>
      </c>
      <c r="Q2651">
        <v>0.88</v>
      </c>
      <c r="R2651">
        <v>968</v>
      </c>
      <c r="S2651">
        <v>4.25</v>
      </c>
      <c r="T2651">
        <v>0.51</v>
      </c>
      <c r="U2651" s="1">
        <v>45555</v>
      </c>
      <c r="V2651">
        <v>92.01</v>
      </c>
      <c r="W2651">
        <v>0.53800000000000003</v>
      </c>
      <c r="X2651" t="str">
        <f>IF(WarehouseData[[#This Row],[stock_level]]&lt;=WarehouseData[[#This Row],[reorder_point]],"Low Stock","Sufficient Stock")</f>
        <v>Sufficient Stock</v>
      </c>
      <c r="Y2651">
        <f>WarehouseData[[#This Row],[daily_demand]]*WarehouseData[[#This Row],[lead_time_days]]</f>
        <v>200.76</v>
      </c>
      <c r="Z2651" t="str">
        <f>IF(WarehouseData[[#This Row],[stock_level]]&lt;=WarehouseData[[#This Row],[Demand During Lead Time]],"At Risk","Safe")</f>
        <v>Safe</v>
      </c>
      <c r="AA2651">
        <f>WarehouseData[[#This Row],[stock_level]]/WarehouseData[[#This Row],[daily_demand]]</f>
        <v>13.493723849372385</v>
      </c>
      <c r="AB2651">
        <f>WarehouseData[[#This Row],[stock_level]]*WarehouseData[[#This Row],[unit_price]]</f>
        <v>4094.46</v>
      </c>
      <c r="AC2651">
        <f>WarehouseData[[#This Row],[stock_level]]*WarehouseData[[#This Row],[holding_cost_per_unit_day]]*30</f>
        <v>8939.7000000000007</v>
      </c>
      <c r="AD2651" t="str">
        <f>IF(WarehouseData[[#This Row],[order_fulfillment_rate]]&gt;=0.9,"Strong",IF(WarehouseData[[#This Row],[order_fulfillment_rate]]&gt;=0.8,"Moderate","Needs Attention"))</f>
        <v>Moderate</v>
      </c>
      <c r="AE2651" t="str">
        <f>IF(WarehouseData[[#This Row],[picking_time_seconds]]&gt;120,"Slow",IF(WarehouseData[[#This Row],[picking_time_seconds]]&gt;=60,"Average","Fast"))</f>
        <v>Average</v>
      </c>
    </row>
    <row r="2652" spans="1:31" x14ac:dyDescent="0.25">
      <c r="A2652" t="s">
        <v>2790</v>
      </c>
      <c r="B2652" t="s">
        <v>73</v>
      </c>
      <c r="C2652">
        <v>44</v>
      </c>
      <c r="D2652">
        <v>64</v>
      </c>
      <c r="E2652">
        <v>14</v>
      </c>
      <c r="F2652">
        <v>4</v>
      </c>
      <c r="G2652">
        <v>44.19</v>
      </c>
      <c r="H2652">
        <v>1.56</v>
      </c>
      <c r="I2652">
        <v>0.49</v>
      </c>
      <c r="J2652" t="s">
        <v>144</v>
      </c>
      <c r="K2652" t="s">
        <v>34</v>
      </c>
      <c r="L2652">
        <v>122</v>
      </c>
      <c r="M2652">
        <v>1.59</v>
      </c>
      <c r="N2652">
        <v>132.47999999999999</v>
      </c>
      <c r="O2652">
        <v>0.83</v>
      </c>
      <c r="P2652">
        <v>9</v>
      </c>
      <c r="Q2652">
        <v>0.91</v>
      </c>
      <c r="R2652">
        <v>573</v>
      </c>
      <c r="S2652">
        <v>4.2</v>
      </c>
      <c r="T2652">
        <v>0.75</v>
      </c>
      <c r="U2652" s="1">
        <v>45363</v>
      </c>
      <c r="V2652">
        <v>111.41</v>
      </c>
      <c r="W2652">
        <v>0.52500000000000002</v>
      </c>
      <c r="X2652" t="str">
        <f>IF(WarehouseData[[#This Row],[stock_level]]&lt;=WarehouseData[[#This Row],[reorder_point]],"Low Stock","Sufficient Stock")</f>
        <v>Low Stock</v>
      </c>
      <c r="Y2652">
        <f>WarehouseData[[#This Row],[daily_demand]]*WarehouseData[[#This Row],[lead_time_days]]</f>
        <v>176.76</v>
      </c>
      <c r="Z2652" t="str">
        <f>IF(WarehouseData[[#This Row],[stock_level]]&lt;=WarehouseData[[#This Row],[Demand During Lead Time]],"At Risk","Safe")</f>
        <v>At Risk</v>
      </c>
      <c r="AA2652">
        <f>WarehouseData[[#This Row],[stock_level]]/WarehouseData[[#This Row],[daily_demand]]</f>
        <v>0.99570038470242139</v>
      </c>
      <c r="AB2652">
        <f>WarehouseData[[#This Row],[stock_level]]*WarehouseData[[#This Row],[unit_price]]</f>
        <v>5829.12</v>
      </c>
      <c r="AC2652">
        <f>WarehouseData[[#This Row],[stock_level]]*WarehouseData[[#This Row],[holding_cost_per_unit_day]]*30</f>
        <v>1095.5999999999999</v>
      </c>
      <c r="AD2652" t="str">
        <f>IF(WarehouseData[[#This Row],[order_fulfillment_rate]]&gt;=0.9,"Strong",IF(WarehouseData[[#This Row],[order_fulfillment_rate]]&gt;=0.8,"Moderate","Needs Attention"))</f>
        <v>Strong</v>
      </c>
      <c r="AE2652" t="str">
        <f>IF(WarehouseData[[#This Row],[picking_time_seconds]]&gt;120,"Slow",IF(WarehouseData[[#This Row],[picking_time_seconds]]&gt;=60,"Average","Fast"))</f>
        <v>Slow</v>
      </c>
    </row>
    <row r="2653" spans="1:31" x14ac:dyDescent="0.25">
      <c r="A2653" t="s">
        <v>2791</v>
      </c>
      <c r="B2653" t="s">
        <v>48</v>
      </c>
      <c r="C2653">
        <v>93</v>
      </c>
      <c r="D2653">
        <v>10</v>
      </c>
      <c r="E2653">
        <v>8</v>
      </c>
      <c r="F2653">
        <v>4</v>
      </c>
      <c r="G2653">
        <v>39.76</v>
      </c>
      <c r="H2653">
        <v>7.02</v>
      </c>
      <c r="I2653">
        <v>0.64</v>
      </c>
      <c r="J2653" t="s">
        <v>45</v>
      </c>
      <c r="K2653" t="s">
        <v>52</v>
      </c>
      <c r="L2653">
        <v>17</v>
      </c>
      <c r="M2653">
        <v>0.68</v>
      </c>
      <c r="N2653">
        <v>136.21</v>
      </c>
      <c r="O2653">
        <v>1.66</v>
      </c>
      <c r="P2653">
        <v>9</v>
      </c>
      <c r="Q2653">
        <v>0.87</v>
      </c>
      <c r="R2653">
        <v>540</v>
      </c>
      <c r="S2653">
        <v>6.19</v>
      </c>
      <c r="T2653">
        <v>0.77</v>
      </c>
      <c r="U2653" s="1">
        <v>45520</v>
      </c>
      <c r="V2653">
        <v>195.03</v>
      </c>
      <c r="W2653">
        <v>0.46500000000000002</v>
      </c>
      <c r="X2653" t="str">
        <f>IF(WarehouseData[[#This Row],[stock_level]]&lt;=WarehouseData[[#This Row],[reorder_point]],"Low Stock","Sufficient Stock")</f>
        <v>Sufficient Stock</v>
      </c>
      <c r="Y2653">
        <f>WarehouseData[[#This Row],[daily_demand]]*WarehouseData[[#This Row],[lead_time_days]]</f>
        <v>159.04</v>
      </c>
      <c r="Z2653" t="str">
        <f>IF(WarehouseData[[#This Row],[stock_level]]&lt;=WarehouseData[[#This Row],[Demand During Lead Time]],"At Risk","Safe")</f>
        <v>At Risk</v>
      </c>
      <c r="AA2653">
        <f>WarehouseData[[#This Row],[stock_level]]/WarehouseData[[#This Row],[daily_demand]]</f>
        <v>2.3390342052313886</v>
      </c>
      <c r="AB2653">
        <f>WarehouseData[[#This Row],[stock_level]]*WarehouseData[[#This Row],[unit_price]]</f>
        <v>12667.53</v>
      </c>
      <c r="AC2653">
        <f>WarehouseData[[#This Row],[stock_level]]*WarehouseData[[#This Row],[holding_cost_per_unit_day]]*30</f>
        <v>4631.3999999999996</v>
      </c>
      <c r="AD2653" t="str">
        <f>IF(WarehouseData[[#This Row],[order_fulfillment_rate]]&gt;=0.9,"Strong",IF(WarehouseData[[#This Row],[order_fulfillment_rate]]&gt;=0.8,"Moderate","Needs Attention"))</f>
        <v>Moderate</v>
      </c>
      <c r="AE2653" t="str">
        <f>IF(WarehouseData[[#This Row],[picking_time_seconds]]&gt;120,"Slow",IF(WarehouseData[[#This Row],[picking_time_seconds]]&gt;=60,"Average","Fast"))</f>
        <v>Fast</v>
      </c>
    </row>
    <row r="2654" spans="1:31" x14ac:dyDescent="0.25">
      <c r="A2654" t="s">
        <v>2792</v>
      </c>
      <c r="B2654" t="s">
        <v>48</v>
      </c>
      <c r="C2654">
        <v>225</v>
      </c>
      <c r="D2654">
        <v>79</v>
      </c>
      <c r="E2654">
        <v>8</v>
      </c>
      <c r="F2654">
        <v>4</v>
      </c>
      <c r="G2654">
        <v>28.11</v>
      </c>
      <c r="H2654">
        <v>3.41</v>
      </c>
      <c r="I2654">
        <v>0.11</v>
      </c>
      <c r="J2654" t="s">
        <v>150</v>
      </c>
      <c r="K2654" t="s">
        <v>46</v>
      </c>
      <c r="L2654">
        <v>27</v>
      </c>
      <c r="M2654">
        <v>1.64</v>
      </c>
      <c r="N2654">
        <v>135.52000000000001</v>
      </c>
      <c r="O2654">
        <v>1.6</v>
      </c>
      <c r="P2654">
        <v>6</v>
      </c>
      <c r="Q2654">
        <v>0.85</v>
      </c>
      <c r="R2654">
        <v>575</v>
      </c>
      <c r="S2654">
        <v>4</v>
      </c>
      <c r="T2654">
        <v>0.72</v>
      </c>
      <c r="U2654" s="1">
        <v>45373</v>
      </c>
      <c r="V2654">
        <v>59.84</v>
      </c>
      <c r="W2654">
        <v>0.48699999999999999</v>
      </c>
      <c r="X2654" t="str">
        <f>IF(WarehouseData[[#This Row],[stock_level]]&lt;=WarehouseData[[#This Row],[reorder_point]],"Low Stock","Sufficient Stock")</f>
        <v>Sufficient Stock</v>
      </c>
      <c r="Y2654">
        <f>WarehouseData[[#This Row],[daily_demand]]*WarehouseData[[#This Row],[lead_time_days]]</f>
        <v>112.44</v>
      </c>
      <c r="Z2654" t="str">
        <f>IF(WarehouseData[[#This Row],[stock_level]]&lt;=WarehouseData[[#This Row],[Demand During Lead Time]],"At Risk","Safe")</f>
        <v>Safe</v>
      </c>
      <c r="AA2654">
        <f>WarehouseData[[#This Row],[stock_level]]/WarehouseData[[#This Row],[daily_demand]]</f>
        <v>8.0042689434365002</v>
      </c>
      <c r="AB2654">
        <f>WarehouseData[[#This Row],[stock_level]]*WarehouseData[[#This Row],[unit_price]]</f>
        <v>30492.000000000004</v>
      </c>
      <c r="AC2654">
        <f>WarehouseData[[#This Row],[stock_level]]*WarehouseData[[#This Row],[holding_cost_per_unit_day]]*30</f>
        <v>10800</v>
      </c>
      <c r="AD2654" t="str">
        <f>IF(WarehouseData[[#This Row],[order_fulfillment_rate]]&gt;=0.9,"Strong",IF(WarehouseData[[#This Row],[order_fulfillment_rate]]&gt;=0.8,"Moderate","Needs Attention"))</f>
        <v>Moderate</v>
      </c>
      <c r="AE2654" t="str">
        <f>IF(WarehouseData[[#This Row],[picking_time_seconds]]&gt;120,"Slow",IF(WarehouseData[[#This Row],[picking_time_seconds]]&gt;=60,"Average","Fast"))</f>
        <v>Fast</v>
      </c>
    </row>
    <row r="2655" spans="1:31" x14ac:dyDescent="0.25">
      <c r="A2655" t="s">
        <v>2793</v>
      </c>
      <c r="B2655" t="s">
        <v>32</v>
      </c>
      <c r="C2655">
        <v>333</v>
      </c>
      <c r="D2655">
        <v>54</v>
      </c>
      <c r="E2655">
        <v>5</v>
      </c>
      <c r="F2655">
        <v>8</v>
      </c>
      <c r="G2655">
        <v>4.62</v>
      </c>
      <c r="H2655">
        <v>1.91</v>
      </c>
      <c r="I2655">
        <v>0.41</v>
      </c>
      <c r="J2655" t="s">
        <v>188</v>
      </c>
      <c r="K2655" t="s">
        <v>52</v>
      </c>
      <c r="L2655">
        <v>117</v>
      </c>
      <c r="M2655">
        <v>4.93</v>
      </c>
      <c r="N2655">
        <v>108.91</v>
      </c>
      <c r="O2655">
        <v>1.97</v>
      </c>
      <c r="P2655">
        <v>4</v>
      </c>
      <c r="Q2655">
        <v>0.77</v>
      </c>
      <c r="R2655">
        <v>341</v>
      </c>
      <c r="S2655">
        <v>2.4900000000000002</v>
      </c>
      <c r="T2655">
        <v>0.55000000000000004</v>
      </c>
      <c r="U2655" s="1">
        <v>45383</v>
      </c>
      <c r="V2655">
        <v>166.9</v>
      </c>
      <c r="W2655">
        <v>0.42</v>
      </c>
      <c r="X2655" t="str">
        <f>IF(WarehouseData[[#This Row],[stock_level]]&lt;=WarehouseData[[#This Row],[reorder_point]],"Low Stock","Sufficient Stock")</f>
        <v>Sufficient Stock</v>
      </c>
      <c r="Y2655">
        <f>WarehouseData[[#This Row],[daily_demand]]*WarehouseData[[#This Row],[lead_time_days]]</f>
        <v>36.96</v>
      </c>
      <c r="Z2655" t="str">
        <f>IF(WarehouseData[[#This Row],[stock_level]]&lt;=WarehouseData[[#This Row],[Demand During Lead Time]],"At Risk","Safe")</f>
        <v>Safe</v>
      </c>
      <c r="AA2655">
        <f>WarehouseData[[#This Row],[stock_level]]/WarehouseData[[#This Row],[daily_demand]]</f>
        <v>72.077922077922082</v>
      </c>
      <c r="AB2655">
        <f>WarehouseData[[#This Row],[stock_level]]*WarehouseData[[#This Row],[unit_price]]</f>
        <v>36267.03</v>
      </c>
      <c r="AC2655">
        <f>WarehouseData[[#This Row],[stock_level]]*WarehouseData[[#This Row],[holding_cost_per_unit_day]]*30</f>
        <v>19680.3</v>
      </c>
      <c r="AD2655" t="str">
        <f>IF(WarehouseData[[#This Row],[order_fulfillment_rate]]&gt;=0.9,"Strong",IF(WarehouseData[[#This Row],[order_fulfillment_rate]]&gt;=0.8,"Moderate","Needs Attention"))</f>
        <v>Needs Attention</v>
      </c>
      <c r="AE2655" t="str">
        <f>IF(WarehouseData[[#This Row],[picking_time_seconds]]&gt;120,"Slow",IF(WarehouseData[[#This Row],[picking_time_seconds]]&gt;=60,"Average","Fast"))</f>
        <v>Average</v>
      </c>
    </row>
    <row r="2656" spans="1:31" x14ac:dyDescent="0.25">
      <c r="A2656" t="s">
        <v>2794</v>
      </c>
      <c r="B2656" t="s">
        <v>32</v>
      </c>
      <c r="C2656">
        <v>113</v>
      </c>
      <c r="D2656">
        <v>56</v>
      </c>
      <c r="E2656">
        <v>5</v>
      </c>
      <c r="F2656">
        <v>7</v>
      </c>
      <c r="G2656">
        <v>15.01</v>
      </c>
      <c r="H2656">
        <v>4.5199999999999996</v>
      </c>
      <c r="I2656">
        <v>0.65</v>
      </c>
      <c r="J2656" t="s">
        <v>565</v>
      </c>
      <c r="K2656" t="s">
        <v>34</v>
      </c>
      <c r="L2656">
        <v>93</v>
      </c>
      <c r="M2656">
        <v>1.33</v>
      </c>
      <c r="N2656">
        <v>126.11</v>
      </c>
      <c r="O2656">
        <v>0.98</v>
      </c>
      <c r="P2656">
        <v>6</v>
      </c>
      <c r="Q2656">
        <v>0.77</v>
      </c>
      <c r="R2656">
        <v>94</v>
      </c>
      <c r="S2656">
        <v>9.17</v>
      </c>
      <c r="T2656">
        <v>0.91</v>
      </c>
      <c r="U2656" s="1">
        <v>45581</v>
      </c>
      <c r="V2656">
        <v>63.75</v>
      </c>
      <c r="W2656">
        <v>0.64</v>
      </c>
      <c r="X2656" t="str">
        <f>IF(WarehouseData[[#This Row],[stock_level]]&lt;=WarehouseData[[#This Row],[reorder_point]],"Low Stock","Sufficient Stock")</f>
        <v>Sufficient Stock</v>
      </c>
      <c r="Y2656">
        <f>WarehouseData[[#This Row],[daily_demand]]*WarehouseData[[#This Row],[lead_time_days]]</f>
        <v>105.07</v>
      </c>
      <c r="Z2656" t="str">
        <f>IF(WarehouseData[[#This Row],[stock_level]]&lt;=WarehouseData[[#This Row],[Demand During Lead Time]],"At Risk","Safe")</f>
        <v>Safe</v>
      </c>
      <c r="AA2656">
        <f>WarehouseData[[#This Row],[stock_level]]/WarehouseData[[#This Row],[daily_demand]]</f>
        <v>7.5283144570286478</v>
      </c>
      <c r="AB2656">
        <f>WarehouseData[[#This Row],[stock_level]]*WarehouseData[[#This Row],[unit_price]]</f>
        <v>14250.43</v>
      </c>
      <c r="AC2656">
        <f>WarehouseData[[#This Row],[stock_level]]*WarehouseData[[#This Row],[holding_cost_per_unit_day]]*30</f>
        <v>3322.2</v>
      </c>
      <c r="AD2656" t="str">
        <f>IF(WarehouseData[[#This Row],[order_fulfillment_rate]]&gt;=0.9,"Strong",IF(WarehouseData[[#This Row],[order_fulfillment_rate]]&gt;=0.8,"Moderate","Needs Attention"))</f>
        <v>Needs Attention</v>
      </c>
      <c r="AE2656" t="str">
        <f>IF(WarehouseData[[#This Row],[picking_time_seconds]]&gt;120,"Slow",IF(WarehouseData[[#This Row],[picking_time_seconds]]&gt;=60,"Average","Fast"))</f>
        <v>Average</v>
      </c>
    </row>
    <row r="2657" spans="1:31" x14ac:dyDescent="0.25">
      <c r="A2657" t="s">
        <v>2795</v>
      </c>
      <c r="B2657" t="s">
        <v>32</v>
      </c>
      <c r="C2657">
        <v>394</v>
      </c>
      <c r="D2657">
        <v>88</v>
      </c>
      <c r="E2657">
        <v>5</v>
      </c>
      <c r="F2657">
        <v>2</v>
      </c>
      <c r="G2657">
        <v>18.97</v>
      </c>
      <c r="H2657">
        <v>9.66</v>
      </c>
      <c r="I2657">
        <v>0.96</v>
      </c>
      <c r="J2657" t="s">
        <v>139</v>
      </c>
      <c r="K2657" t="s">
        <v>34</v>
      </c>
      <c r="L2657">
        <v>160</v>
      </c>
      <c r="M2657">
        <v>2.59</v>
      </c>
      <c r="N2657">
        <v>163.99</v>
      </c>
      <c r="O2657">
        <v>1.5</v>
      </c>
      <c r="P2657">
        <v>9</v>
      </c>
      <c r="Q2657">
        <v>0.93</v>
      </c>
      <c r="R2657">
        <v>249</v>
      </c>
      <c r="S2657">
        <v>14.32</v>
      </c>
      <c r="T2657">
        <v>0.82</v>
      </c>
      <c r="U2657" s="1">
        <v>45581</v>
      </c>
      <c r="V2657">
        <v>113.09</v>
      </c>
      <c r="W2657">
        <v>0.61099999999999999</v>
      </c>
      <c r="X2657" t="str">
        <f>IF(WarehouseData[[#This Row],[stock_level]]&lt;=WarehouseData[[#This Row],[reorder_point]],"Low Stock","Sufficient Stock")</f>
        <v>Sufficient Stock</v>
      </c>
      <c r="Y2657">
        <f>WarehouseData[[#This Row],[daily_demand]]*WarehouseData[[#This Row],[lead_time_days]]</f>
        <v>37.94</v>
      </c>
      <c r="Z2657" t="str">
        <f>IF(WarehouseData[[#This Row],[stock_level]]&lt;=WarehouseData[[#This Row],[Demand During Lead Time]],"At Risk","Safe")</f>
        <v>Safe</v>
      </c>
      <c r="AA2657">
        <f>WarehouseData[[#This Row],[stock_level]]/WarehouseData[[#This Row],[daily_demand]]</f>
        <v>20.769636267791249</v>
      </c>
      <c r="AB2657">
        <f>WarehouseData[[#This Row],[stock_level]]*WarehouseData[[#This Row],[unit_price]]</f>
        <v>64612.060000000005</v>
      </c>
      <c r="AC2657">
        <f>WarehouseData[[#This Row],[stock_level]]*WarehouseData[[#This Row],[holding_cost_per_unit_day]]*30</f>
        <v>17730</v>
      </c>
      <c r="AD2657" t="str">
        <f>IF(WarehouseData[[#This Row],[order_fulfillment_rate]]&gt;=0.9,"Strong",IF(WarehouseData[[#This Row],[order_fulfillment_rate]]&gt;=0.8,"Moderate","Needs Attention"))</f>
        <v>Strong</v>
      </c>
      <c r="AE2657" t="str">
        <f>IF(WarehouseData[[#This Row],[picking_time_seconds]]&gt;120,"Slow",IF(WarehouseData[[#This Row],[picking_time_seconds]]&gt;=60,"Average","Fast"))</f>
        <v>Slow</v>
      </c>
    </row>
    <row r="2658" spans="1:31" x14ac:dyDescent="0.25">
      <c r="A2658" t="s">
        <v>2796</v>
      </c>
      <c r="B2658" t="s">
        <v>48</v>
      </c>
      <c r="C2658">
        <v>146</v>
      </c>
      <c r="D2658">
        <v>35</v>
      </c>
      <c r="E2658">
        <v>5</v>
      </c>
      <c r="F2658">
        <v>7</v>
      </c>
      <c r="G2658">
        <v>31.46</v>
      </c>
      <c r="H2658">
        <v>4.41</v>
      </c>
      <c r="I2658">
        <v>0.47</v>
      </c>
      <c r="J2658" t="s">
        <v>353</v>
      </c>
      <c r="K2658" t="s">
        <v>52</v>
      </c>
      <c r="L2658">
        <v>74</v>
      </c>
      <c r="M2658">
        <v>3.37</v>
      </c>
      <c r="N2658">
        <v>159</v>
      </c>
      <c r="O2658">
        <v>1.73</v>
      </c>
      <c r="P2658">
        <v>3</v>
      </c>
      <c r="Q2658">
        <v>0.71</v>
      </c>
      <c r="R2658">
        <v>73</v>
      </c>
      <c r="S2658">
        <v>9.5</v>
      </c>
      <c r="T2658">
        <v>0.63</v>
      </c>
      <c r="U2658" s="1">
        <v>45629</v>
      </c>
      <c r="V2658">
        <v>281.29000000000002</v>
      </c>
      <c r="W2658">
        <v>0.56200000000000006</v>
      </c>
      <c r="X2658" t="str">
        <f>IF(WarehouseData[[#This Row],[stock_level]]&lt;=WarehouseData[[#This Row],[reorder_point]],"Low Stock","Sufficient Stock")</f>
        <v>Sufficient Stock</v>
      </c>
      <c r="Y2658">
        <f>WarehouseData[[#This Row],[daily_demand]]*WarehouseData[[#This Row],[lead_time_days]]</f>
        <v>220.22</v>
      </c>
      <c r="Z2658" t="str">
        <f>IF(WarehouseData[[#This Row],[stock_level]]&lt;=WarehouseData[[#This Row],[Demand During Lead Time]],"At Risk","Safe")</f>
        <v>At Risk</v>
      </c>
      <c r="AA2658">
        <f>WarehouseData[[#This Row],[stock_level]]/WarehouseData[[#This Row],[daily_demand]]</f>
        <v>4.6408137317228224</v>
      </c>
      <c r="AB2658">
        <f>WarehouseData[[#This Row],[stock_level]]*WarehouseData[[#This Row],[unit_price]]</f>
        <v>23214</v>
      </c>
      <c r="AC2658">
        <f>WarehouseData[[#This Row],[stock_level]]*WarehouseData[[#This Row],[holding_cost_per_unit_day]]*30</f>
        <v>7577.4</v>
      </c>
      <c r="AD2658" t="str">
        <f>IF(WarehouseData[[#This Row],[order_fulfillment_rate]]&gt;=0.9,"Strong",IF(WarehouseData[[#This Row],[order_fulfillment_rate]]&gt;=0.8,"Moderate","Needs Attention"))</f>
        <v>Needs Attention</v>
      </c>
      <c r="AE2658" t="str">
        <f>IF(WarehouseData[[#This Row],[picking_time_seconds]]&gt;120,"Slow",IF(WarehouseData[[#This Row],[picking_time_seconds]]&gt;=60,"Average","Fast"))</f>
        <v>Average</v>
      </c>
    </row>
    <row r="2659" spans="1:31" x14ac:dyDescent="0.25">
      <c r="A2659" t="s">
        <v>2797</v>
      </c>
      <c r="B2659" t="s">
        <v>40</v>
      </c>
      <c r="C2659">
        <v>444</v>
      </c>
      <c r="D2659">
        <v>23</v>
      </c>
      <c r="E2659">
        <v>9</v>
      </c>
      <c r="F2659">
        <v>2</v>
      </c>
      <c r="G2659">
        <v>4.18</v>
      </c>
      <c r="H2659">
        <v>3.8</v>
      </c>
      <c r="I2659">
        <v>0.25</v>
      </c>
      <c r="J2659" t="s">
        <v>122</v>
      </c>
      <c r="K2659" t="s">
        <v>46</v>
      </c>
      <c r="L2659">
        <v>118</v>
      </c>
      <c r="M2659">
        <v>4.46</v>
      </c>
      <c r="N2659">
        <v>16.579999999999998</v>
      </c>
      <c r="O2659">
        <v>0.52</v>
      </c>
      <c r="P2659">
        <v>5</v>
      </c>
      <c r="Q2659">
        <v>0.93</v>
      </c>
      <c r="R2659">
        <v>812</v>
      </c>
      <c r="S2659">
        <v>11.6</v>
      </c>
      <c r="T2659">
        <v>0.2</v>
      </c>
      <c r="U2659" s="1">
        <v>45366</v>
      </c>
      <c r="V2659">
        <v>269.75</v>
      </c>
      <c r="W2659">
        <v>0.629</v>
      </c>
      <c r="X2659" t="str">
        <f>IF(WarehouseData[[#This Row],[stock_level]]&lt;=WarehouseData[[#This Row],[reorder_point]],"Low Stock","Sufficient Stock")</f>
        <v>Sufficient Stock</v>
      </c>
      <c r="Y2659">
        <f>WarehouseData[[#This Row],[daily_demand]]*WarehouseData[[#This Row],[lead_time_days]]</f>
        <v>8.36</v>
      </c>
      <c r="Z2659" t="str">
        <f>IF(WarehouseData[[#This Row],[stock_level]]&lt;=WarehouseData[[#This Row],[Demand During Lead Time]],"At Risk","Safe")</f>
        <v>Safe</v>
      </c>
      <c r="AA2659">
        <f>WarehouseData[[#This Row],[stock_level]]/WarehouseData[[#This Row],[daily_demand]]</f>
        <v>106.22009569377991</v>
      </c>
      <c r="AB2659">
        <f>WarehouseData[[#This Row],[stock_level]]*WarehouseData[[#This Row],[unit_price]]</f>
        <v>7361.5199999999995</v>
      </c>
      <c r="AC2659">
        <f>WarehouseData[[#This Row],[stock_level]]*WarehouseData[[#This Row],[holding_cost_per_unit_day]]*30</f>
        <v>6926.4</v>
      </c>
      <c r="AD2659" t="str">
        <f>IF(WarehouseData[[#This Row],[order_fulfillment_rate]]&gt;=0.9,"Strong",IF(WarehouseData[[#This Row],[order_fulfillment_rate]]&gt;=0.8,"Moderate","Needs Attention"))</f>
        <v>Strong</v>
      </c>
      <c r="AE2659" t="str">
        <f>IF(WarehouseData[[#This Row],[picking_time_seconds]]&gt;120,"Slow",IF(WarehouseData[[#This Row],[picking_time_seconds]]&gt;=60,"Average","Fast"))</f>
        <v>Average</v>
      </c>
    </row>
    <row r="2660" spans="1:31" x14ac:dyDescent="0.25">
      <c r="A2660" t="s">
        <v>2798</v>
      </c>
      <c r="B2660" t="s">
        <v>36</v>
      </c>
      <c r="C2660">
        <v>44</v>
      </c>
      <c r="D2660">
        <v>63</v>
      </c>
      <c r="E2660">
        <v>12</v>
      </c>
      <c r="F2660">
        <v>4</v>
      </c>
      <c r="G2660">
        <v>26.98</v>
      </c>
      <c r="H2660">
        <v>4.72</v>
      </c>
      <c r="I2660">
        <v>0.57999999999999996</v>
      </c>
      <c r="J2660" t="s">
        <v>236</v>
      </c>
      <c r="K2660" t="s">
        <v>46</v>
      </c>
      <c r="L2660">
        <v>55</v>
      </c>
      <c r="M2660">
        <v>3.92</v>
      </c>
      <c r="N2660">
        <v>15.78</v>
      </c>
      <c r="O2660">
        <v>1.28</v>
      </c>
      <c r="P2660">
        <v>1</v>
      </c>
      <c r="Q2660">
        <v>0.86</v>
      </c>
      <c r="R2660">
        <v>680</v>
      </c>
      <c r="S2660">
        <v>14.61</v>
      </c>
      <c r="T2660">
        <v>0.38</v>
      </c>
      <c r="U2660" s="1">
        <v>45539</v>
      </c>
      <c r="V2660">
        <v>286.39999999999998</v>
      </c>
      <c r="W2660">
        <v>0.69499999999999995</v>
      </c>
      <c r="X2660" t="str">
        <f>IF(WarehouseData[[#This Row],[stock_level]]&lt;=WarehouseData[[#This Row],[reorder_point]],"Low Stock","Sufficient Stock")</f>
        <v>Low Stock</v>
      </c>
      <c r="Y2660">
        <f>WarehouseData[[#This Row],[daily_demand]]*WarehouseData[[#This Row],[lead_time_days]]</f>
        <v>107.92</v>
      </c>
      <c r="Z2660" t="str">
        <f>IF(WarehouseData[[#This Row],[stock_level]]&lt;=WarehouseData[[#This Row],[Demand During Lead Time]],"At Risk","Safe")</f>
        <v>At Risk</v>
      </c>
      <c r="AA2660">
        <f>WarehouseData[[#This Row],[stock_level]]/WarehouseData[[#This Row],[daily_demand]]</f>
        <v>1.6308376575240919</v>
      </c>
      <c r="AB2660">
        <f>WarehouseData[[#This Row],[stock_level]]*WarehouseData[[#This Row],[unit_price]]</f>
        <v>694.31999999999994</v>
      </c>
      <c r="AC2660">
        <f>WarehouseData[[#This Row],[stock_level]]*WarehouseData[[#This Row],[holding_cost_per_unit_day]]*30</f>
        <v>1689.6</v>
      </c>
      <c r="AD2660" t="str">
        <f>IF(WarehouseData[[#This Row],[order_fulfillment_rate]]&gt;=0.9,"Strong",IF(WarehouseData[[#This Row],[order_fulfillment_rate]]&gt;=0.8,"Moderate","Needs Attention"))</f>
        <v>Moderate</v>
      </c>
      <c r="AE2660" t="str">
        <f>IF(WarehouseData[[#This Row],[picking_time_seconds]]&gt;120,"Slow",IF(WarehouseData[[#This Row],[picking_time_seconds]]&gt;=60,"Average","Fast"))</f>
        <v>Fast</v>
      </c>
    </row>
    <row r="2661" spans="1:31" x14ac:dyDescent="0.25">
      <c r="A2661" t="s">
        <v>2799</v>
      </c>
      <c r="B2661" t="s">
        <v>40</v>
      </c>
      <c r="C2661">
        <v>353</v>
      </c>
      <c r="D2661">
        <v>80</v>
      </c>
      <c r="E2661">
        <v>13</v>
      </c>
      <c r="F2661">
        <v>5</v>
      </c>
      <c r="G2661">
        <v>45.17</v>
      </c>
      <c r="H2661">
        <v>0.62</v>
      </c>
      <c r="I2661">
        <v>0.36</v>
      </c>
      <c r="J2661" t="s">
        <v>178</v>
      </c>
      <c r="K2661" t="s">
        <v>34</v>
      </c>
      <c r="L2661">
        <v>75</v>
      </c>
      <c r="M2661">
        <v>4.59</v>
      </c>
      <c r="N2661">
        <v>169.4</v>
      </c>
      <c r="O2661">
        <v>1.1399999999999999</v>
      </c>
      <c r="P2661">
        <v>9</v>
      </c>
      <c r="Q2661">
        <v>0.98</v>
      </c>
      <c r="R2661">
        <v>436</v>
      </c>
      <c r="S2661">
        <v>3.14</v>
      </c>
      <c r="T2661">
        <v>0.61</v>
      </c>
      <c r="U2661" s="1">
        <v>45475</v>
      </c>
      <c r="V2661">
        <v>181.51</v>
      </c>
      <c r="W2661">
        <v>0.46600000000000003</v>
      </c>
      <c r="X2661" t="str">
        <f>IF(WarehouseData[[#This Row],[stock_level]]&lt;=WarehouseData[[#This Row],[reorder_point]],"Low Stock","Sufficient Stock")</f>
        <v>Sufficient Stock</v>
      </c>
      <c r="Y2661">
        <f>WarehouseData[[#This Row],[daily_demand]]*WarehouseData[[#This Row],[lead_time_days]]</f>
        <v>225.85000000000002</v>
      </c>
      <c r="Z2661" t="str">
        <f>IF(WarehouseData[[#This Row],[stock_level]]&lt;=WarehouseData[[#This Row],[Demand During Lead Time]],"At Risk","Safe")</f>
        <v>Safe</v>
      </c>
      <c r="AA2661">
        <f>WarehouseData[[#This Row],[stock_level]]/WarehouseData[[#This Row],[daily_demand]]</f>
        <v>7.8149214080141682</v>
      </c>
      <c r="AB2661">
        <f>WarehouseData[[#This Row],[stock_level]]*WarehouseData[[#This Row],[unit_price]]</f>
        <v>59798.200000000004</v>
      </c>
      <c r="AC2661">
        <f>WarehouseData[[#This Row],[stock_level]]*WarehouseData[[#This Row],[holding_cost_per_unit_day]]*30</f>
        <v>12072.599999999999</v>
      </c>
      <c r="AD2661" t="str">
        <f>IF(WarehouseData[[#This Row],[order_fulfillment_rate]]&gt;=0.9,"Strong",IF(WarehouseData[[#This Row],[order_fulfillment_rate]]&gt;=0.8,"Moderate","Needs Attention"))</f>
        <v>Strong</v>
      </c>
      <c r="AE2661" t="str">
        <f>IF(WarehouseData[[#This Row],[picking_time_seconds]]&gt;120,"Slow",IF(WarehouseData[[#This Row],[picking_time_seconds]]&gt;=60,"Average","Fast"))</f>
        <v>Average</v>
      </c>
    </row>
    <row r="2662" spans="1:31" x14ac:dyDescent="0.25">
      <c r="A2662" t="s">
        <v>2800</v>
      </c>
      <c r="B2662" t="s">
        <v>40</v>
      </c>
      <c r="C2662">
        <v>374</v>
      </c>
      <c r="D2662">
        <v>55</v>
      </c>
      <c r="E2662">
        <v>4</v>
      </c>
      <c r="F2662">
        <v>5</v>
      </c>
      <c r="G2662">
        <v>35.57</v>
      </c>
      <c r="H2662">
        <v>1.76</v>
      </c>
      <c r="I2662">
        <v>0.28999999999999998</v>
      </c>
      <c r="J2662" t="s">
        <v>110</v>
      </c>
      <c r="K2662" t="s">
        <v>46</v>
      </c>
      <c r="L2662">
        <v>89</v>
      </c>
      <c r="M2662">
        <v>3.22</v>
      </c>
      <c r="N2662">
        <v>119.2</v>
      </c>
      <c r="O2662">
        <v>1.51</v>
      </c>
      <c r="P2662">
        <v>2</v>
      </c>
      <c r="Q2662">
        <v>1</v>
      </c>
      <c r="R2662">
        <v>639</v>
      </c>
      <c r="S2662">
        <v>7.44</v>
      </c>
      <c r="T2662">
        <v>0.92</v>
      </c>
      <c r="U2662" s="1">
        <v>45312</v>
      </c>
      <c r="V2662">
        <v>155.38</v>
      </c>
      <c r="W2662">
        <v>0.69199999999999995</v>
      </c>
      <c r="X2662" t="str">
        <f>IF(WarehouseData[[#This Row],[stock_level]]&lt;=WarehouseData[[#This Row],[reorder_point]],"Low Stock","Sufficient Stock")</f>
        <v>Sufficient Stock</v>
      </c>
      <c r="Y2662">
        <f>WarehouseData[[#This Row],[daily_demand]]*WarehouseData[[#This Row],[lead_time_days]]</f>
        <v>177.85</v>
      </c>
      <c r="Z2662" t="str">
        <f>IF(WarehouseData[[#This Row],[stock_level]]&lt;=WarehouseData[[#This Row],[Demand During Lead Time]],"At Risk","Safe")</f>
        <v>Safe</v>
      </c>
      <c r="AA2662">
        <f>WarehouseData[[#This Row],[stock_level]]/WarehouseData[[#This Row],[daily_demand]]</f>
        <v>10.514478493112174</v>
      </c>
      <c r="AB2662">
        <f>WarehouseData[[#This Row],[stock_level]]*WarehouseData[[#This Row],[unit_price]]</f>
        <v>44580.800000000003</v>
      </c>
      <c r="AC2662">
        <f>WarehouseData[[#This Row],[stock_level]]*WarehouseData[[#This Row],[holding_cost_per_unit_day]]*30</f>
        <v>16942.2</v>
      </c>
      <c r="AD2662" t="str">
        <f>IF(WarehouseData[[#This Row],[order_fulfillment_rate]]&gt;=0.9,"Strong",IF(WarehouseData[[#This Row],[order_fulfillment_rate]]&gt;=0.8,"Moderate","Needs Attention"))</f>
        <v>Strong</v>
      </c>
      <c r="AE2662" t="str">
        <f>IF(WarehouseData[[#This Row],[picking_time_seconds]]&gt;120,"Slow",IF(WarehouseData[[#This Row],[picking_time_seconds]]&gt;=60,"Average","Fast"))</f>
        <v>Average</v>
      </c>
    </row>
    <row r="2663" spans="1:31" x14ac:dyDescent="0.25">
      <c r="A2663" t="s">
        <v>2801</v>
      </c>
      <c r="B2663" t="s">
        <v>48</v>
      </c>
      <c r="C2663">
        <v>135</v>
      </c>
      <c r="D2663">
        <v>40</v>
      </c>
      <c r="E2663">
        <v>12</v>
      </c>
      <c r="F2663">
        <v>9</v>
      </c>
      <c r="G2663">
        <v>40.06</v>
      </c>
      <c r="H2663">
        <v>8.57</v>
      </c>
      <c r="I2663">
        <v>0.63</v>
      </c>
      <c r="J2663" t="s">
        <v>84</v>
      </c>
      <c r="K2663" t="s">
        <v>46</v>
      </c>
      <c r="L2663">
        <v>159</v>
      </c>
      <c r="M2663">
        <v>4.3899999999999997</v>
      </c>
      <c r="N2663">
        <v>191.91</v>
      </c>
      <c r="O2663">
        <v>1.42</v>
      </c>
      <c r="P2663">
        <v>1</v>
      </c>
      <c r="Q2663">
        <v>0.9</v>
      </c>
      <c r="R2663">
        <v>484</v>
      </c>
      <c r="S2663">
        <v>9.15</v>
      </c>
      <c r="T2663">
        <v>0.7</v>
      </c>
      <c r="U2663" s="1">
        <v>45404</v>
      </c>
      <c r="V2663">
        <v>256.19</v>
      </c>
      <c r="W2663">
        <v>0.68</v>
      </c>
      <c r="X2663" t="str">
        <f>IF(WarehouseData[[#This Row],[stock_level]]&lt;=WarehouseData[[#This Row],[reorder_point]],"Low Stock","Sufficient Stock")</f>
        <v>Sufficient Stock</v>
      </c>
      <c r="Y2663">
        <f>WarehouseData[[#This Row],[daily_demand]]*WarehouseData[[#This Row],[lead_time_days]]</f>
        <v>360.54</v>
      </c>
      <c r="Z2663" t="str">
        <f>IF(WarehouseData[[#This Row],[stock_level]]&lt;=WarehouseData[[#This Row],[Demand During Lead Time]],"At Risk","Safe")</f>
        <v>At Risk</v>
      </c>
      <c r="AA2663">
        <f>WarehouseData[[#This Row],[stock_level]]/WarehouseData[[#This Row],[daily_demand]]</f>
        <v>3.369945082376435</v>
      </c>
      <c r="AB2663">
        <f>WarehouseData[[#This Row],[stock_level]]*WarehouseData[[#This Row],[unit_price]]</f>
        <v>25907.85</v>
      </c>
      <c r="AC2663">
        <f>WarehouseData[[#This Row],[stock_level]]*WarehouseData[[#This Row],[holding_cost_per_unit_day]]*30</f>
        <v>5751</v>
      </c>
      <c r="AD2663" t="str">
        <f>IF(WarehouseData[[#This Row],[order_fulfillment_rate]]&gt;=0.9,"Strong",IF(WarehouseData[[#This Row],[order_fulfillment_rate]]&gt;=0.8,"Moderate","Needs Attention"))</f>
        <v>Strong</v>
      </c>
      <c r="AE2663" t="str">
        <f>IF(WarehouseData[[#This Row],[picking_time_seconds]]&gt;120,"Slow",IF(WarehouseData[[#This Row],[picking_time_seconds]]&gt;=60,"Average","Fast"))</f>
        <v>Slow</v>
      </c>
    </row>
    <row r="2664" spans="1:31" x14ac:dyDescent="0.25">
      <c r="A2664" t="s">
        <v>2802</v>
      </c>
      <c r="B2664" t="s">
        <v>40</v>
      </c>
      <c r="C2664">
        <v>67</v>
      </c>
      <c r="D2664">
        <v>97</v>
      </c>
      <c r="E2664">
        <v>12</v>
      </c>
      <c r="F2664">
        <v>2</v>
      </c>
      <c r="G2664">
        <v>34.4</v>
      </c>
      <c r="H2664">
        <v>9.7899999999999991</v>
      </c>
      <c r="I2664">
        <v>0.92</v>
      </c>
      <c r="J2664" t="s">
        <v>152</v>
      </c>
      <c r="K2664" t="s">
        <v>38</v>
      </c>
      <c r="L2664">
        <v>149</v>
      </c>
      <c r="M2664">
        <v>1.69</v>
      </c>
      <c r="N2664">
        <v>92</v>
      </c>
      <c r="O2664">
        <v>1.64</v>
      </c>
      <c r="P2664">
        <v>9</v>
      </c>
      <c r="Q2664">
        <v>0.82</v>
      </c>
      <c r="R2664">
        <v>291</v>
      </c>
      <c r="S2664">
        <v>5.51</v>
      </c>
      <c r="T2664">
        <v>0.53</v>
      </c>
      <c r="U2664" s="1">
        <v>45541</v>
      </c>
      <c r="V2664">
        <v>33.1</v>
      </c>
      <c r="W2664">
        <v>0.39900000000000002</v>
      </c>
      <c r="X2664" t="str">
        <f>IF(WarehouseData[[#This Row],[stock_level]]&lt;=WarehouseData[[#This Row],[reorder_point]],"Low Stock","Sufficient Stock")</f>
        <v>Low Stock</v>
      </c>
      <c r="Y2664">
        <f>WarehouseData[[#This Row],[daily_demand]]*WarehouseData[[#This Row],[lead_time_days]]</f>
        <v>68.8</v>
      </c>
      <c r="Z2664" t="str">
        <f>IF(WarehouseData[[#This Row],[stock_level]]&lt;=WarehouseData[[#This Row],[Demand During Lead Time]],"At Risk","Safe")</f>
        <v>At Risk</v>
      </c>
      <c r="AA2664">
        <f>WarehouseData[[#This Row],[stock_level]]/WarehouseData[[#This Row],[daily_demand]]</f>
        <v>1.9476744186046513</v>
      </c>
      <c r="AB2664">
        <f>WarehouseData[[#This Row],[stock_level]]*WarehouseData[[#This Row],[unit_price]]</f>
        <v>6164</v>
      </c>
      <c r="AC2664">
        <f>WarehouseData[[#This Row],[stock_level]]*WarehouseData[[#This Row],[holding_cost_per_unit_day]]*30</f>
        <v>3296.3999999999996</v>
      </c>
      <c r="AD2664" t="str">
        <f>IF(WarehouseData[[#This Row],[order_fulfillment_rate]]&gt;=0.9,"Strong",IF(WarehouseData[[#This Row],[order_fulfillment_rate]]&gt;=0.8,"Moderate","Needs Attention"))</f>
        <v>Moderate</v>
      </c>
      <c r="AE2664" t="str">
        <f>IF(WarehouseData[[#This Row],[picking_time_seconds]]&gt;120,"Slow",IF(WarehouseData[[#This Row],[picking_time_seconds]]&gt;=60,"Average","Fast"))</f>
        <v>Slow</v>
      </c>
    </row>
    <row r="2665" spans="1:31" x14ac:dyDescent="0.25">
      <c r="A2665" t="s">
        <v>2803</v>
      </c>
      <c r="B2665" t="s">
        <v>73</v>
      </c>
      <c r="C2665">
        <v>245</v>
      </c>
      <c r="D2665">
        <v>68</v>
      </c>
      <c r="E2665">
        <v>4</v>
      </c>
      <c r="F2665">
        <v>4</v>
      </c>
      <c r="G2665">
        <v>11.12</v>
      </c>
      <c r="H2665">
        <v>2</v>
      </c>
      <c r="I2665">
        <v>0.85</v>
      </c>
      <c r="J2665" t="s">
        <v>263</v>
      </c>
      <c r="K2665" t="s">
        <v>38</v>
      </c>
      <c r="L2665">
        <v>156</v>
      </c>
      <c r="M2665">
        <v>2.44</v>
      </c>
      <c r="N2665">
        <v>43.58</v>
      </c>
      <c r="O2665">
        <v>0.69</v>
      </c>
      <c r="P2665">
        <v>1</v>
      </c>
      <c r="Q2665">
        <v>0.84</v>
      </c>
      <c r="R2665">
        <v>252</v>
      </c>
      <c r="S2665">
        <v>9.58</v>
      </c>
      <c r="T2665">
        <v>0.24</v>
      </c>
      <c r="U2665" s="1">
        <v>45410</v>
      </c>
      <c r="V2665">
        <v>293.75</v>
      </c>
      <c r="W2665">
        <v>0.65500000000000003</v>
      </c>
      <c r="X2665" t="str">
        <f>IF(WarehouseData[[#This Row],[stock_level]]&lt;=WarehouseData[[#This Row],[reorder_point]],"Low Stock","Sufficient Stock")</f>
        <v>Sufficient Stock</v>
      </c>
      <c r="Y2665">
        <f>WarehouseData[[#This Row],[daily_demand]]*WarehouseData[[#This Row],[lead_time_days]]</f>
        <v>44.48</v>
      </c>
      <c r="Z2665" t="str">
        <f>IF(WarehouseData[[#This Row],[stock_level]]&lt;=WarehouseData[[#This Row],[Demand During Lead Time]],"At Risk","Safe")</f>
        <v>Safe</v>
      </c>
      <c r="AA2665">
        <f>WarehouseData[[#This Row],[stock_level]]/WarehouseData[[#This Row],[daily_demand]]</f>
        <v>22.032374100719426</v>
      </c>
      <c r="AB2665">
        <f>WarehouseData[[#This Row],[stock_level]]*WarehouseData[[#This Row],[unit_price]]</f>
        <v>10677.1</v>
      </c>
      <c r="AC2665">
        <f>WarehouseData[[#This Row],[stock_level]]*WarehouseData[[#This Row],[holding_cost_per_unit_day]]*30</f>
        <v>5071.4999999999991</v>
      </c>
      <c r="AD2665" t="str">
        <f>IF(WarehouseData[[#This Row],[order_fulfillment_rate]]&gt;=0.9,"Strong",IF(WarehouseData[[#This Row],[order_fulfillment_rate]]&gt;=0.8,"Moderate","Needs Attention"))</f>
        <v>Moderate</v>
      </c>
      <c r="AE2665" t="str">
        <f>IF(WarehouseData[[#This Row],[picking_time_seconds]]&gt;120,"Slow",IF(WarehouseData[[#This Row],[picking_time_seconds]]&gt;=60,"Average","Fast"))</f>
        <v>Slow</v>
      </c>
    </row>
    <row r="2666" spans="1:31" x14ac:dyDescent="0.25">
      <c r="A2666" t="s">
        <v>2804</v>
      </c>
      <c r="B2666" t="s">
        <v>32</v>
      </c>
      <c r="C2666">
        <v>285</v>
      </c>
      <c r="D2666">
        <v>38</v>
      </c>
      <c r="E2666">
        <v>5</v>
      </c>
      <c r="F2666">
        <v>7</v>
      </c>
      <c r="G2666">
        <v>6.41</v>
      </c>
      <c r="H2666">
        <v>5.59</v>
      </c>
      <c r="I2666">
        <v>0.26</v>
      </c>
      <c r="J2666" t="s">
        <v>240</v>
      </c>
      <c r="K2666" t="s">
        <v>46</v>
      </c>
      <c r="L2666">
        <v>159</v>
      </c>
      <c r="M2666">
        <v>4.3</v>
      </c>
      <c r="N2666">
        <v>99.91</v>
      </c>
      <c r="O2666">
        <v>0.51</v>
      </c>
      <c r="P2666">
        <v>6</v>
      </c>
      <c r="Q2666">
        <v>0.76</v>
      </c>
      <c r="R2666">
        <v>286</v>
      </c>
      <c r="S2666">
        <v>9.73</v>
      </c>
      <c r="T2666">
        <v>0.68</v>
      </c>
      <c r="U2666" s="1">
        <v>45324</v>
      </c>
      <c r="V2666">
        <v>144.09</v>
      </c>
      <c r="W2666">
        <v>0.64700000000000002</v>
      </c>
      <c r="X2666" t="str">
        <f>IF(WarehouseData[[#This Row],[stock_level]]&lt;=WarehouseData[[#This Row],[reorder_point]],"Low Stock","Sufficient Stock")</f>
        <v>Sufficient Stock</v>
      </c>
      <c r="Y2666">
        <f>WarehouseData[[#This Row],[daily_demand]]*WarehouseData[[#This Row],[lead_time_days]]</f>
        <v>44.870000000000005</v>
      </c>
      <c r="Z2666" t="str">
        <f>IF(WarehouseData[[#This Row],[stock_level]]&lt;=WarehouseData[[#This Row],[Demand During Lead Time]],"At Risk","Safe")</f>
        <v>Safe</v>
      </c>
      <c r="AA2666">
        <f>WarehouseData[[#This Row],[stock_level]]/WarehouseData[[#This Row],[daily_demand]]</f>
        <v>44.461778471138842</v>
      </c>
      <c r="AB2666">
        <f>WarehouseData[[#This Row],[stock_level]]*WarehouseData[[#This Row],[unit_price]]</f>
        <v>28474.35</v>
      </c>
      <c r="AC2666">
        <f>WarehouseData[[#This Row],[stock_level]]*WarehouseData[[#This Row],[holding_cost_per_unit_day]]*30</f>
        <v>4360.5</v>
      </c>
      <c r="AD2666" t="str">
        <f>IF(WarehouseData[[#This Row],[order_fulfillment_rate]]&gt;=0.9,"Strong",IF(WarehouseData[[#This Row],[order_fulfillment_rate]]&gt;=0.8,"Moderate","Needs Attention"))</f>
        <v>Needs Attention</v>
      </c>
      <c r="AE2666" t="str">
        <f>IF(WarehouseData[[#This Row],[picking_time_seconds]]&gt;120,"Slow",IF(WarehouseData[[#This Row],[picking_time_seconds]]&gt;=60,"Average","Fast"))</f>
        <v>Slow</v>
      </c>
    </row>
    <row r="2667" spans="1:31" x14ac:dyDescent="0.25">
      <c r="A2667" t="s">
        <v>2805</v>
      </c>
      <c r="B2667" t="s">
        <v>73</v>
      </c>
      <c r="C2667">
        <v>118</v>
      </c>
      <c r="D2667">
        <v>26</v>
      </c>
      <c r="E2667">
        <v>12</v>
      </c>
      <c r="F2667">
        <v>5</v>
      </c>
      <c r="G2667">
        <v>41.65</v>
      </c>
      <c r="H2667">
        <v>9.68</v>
      </c>
      <c r="I2667">
        <v>0.79</v>
      </c>
      <c r="J2667" t="s">
        <v>86</v>
      </c>
      <c r="K2667" t="s">
        <v>46</v>
      </c>
      <c r="L2667">
        <v>115</v>
      </c>
      <c r="M2667">
        <v>1.97</v>
      </c>
      <c r="N2667">
        <v>92.94</v>
      </c>
      <c r="O2667">
        <v>1.63</v>
      </c>
      <c r="P2667">
        <v>4</v>
      </c>
      <c r="Q2667">
        <v>0.73</v>
      </c>
      <c r="R2667">
        <v>343</v>
      </c>
      <c r="S2667">
        <v>12.79</v>
      </c>
      <c r="T2667">
        <v>0.48</v>
      </c>
      <c r="U2667" s="1">
        <v>45427</v>
      </c>
      <c r="V2667">
        <v>205.98</v>
      </c>
      <c r="W2667">
        <v>0.56999999999999995</v>
      </c>
      <c r="X2667" t="str">
        <f>IF(WarehouseData[[#This Row],[stock_level]]&lt;=WarehouseData[[#This Row],[reorder_point]],"Low Stock","Sufficient Stock")</f>
        <v>Sufficient Stock</v>
      </c>
      <c r="Y2667">
        <f>WarehouseData[[#This Row],[daily_demand]]*WarehouseData[[#This Row],[lead_time_days]]</f>
        <v>208.25</v>
      </c>
      <c r="Z2667" t="str">
        <f>IF(WarehouseData[[#This Row],[stock_level]]&lt;=WarehouseData[[#This Row],[Demand During Lead Time]],"At Risk","Safe")</f>
        <v>At Risk</v>
      </c>
      <c r="AA2667">
        <f>WarehouseData[[#This Row],[stock_level]]/WarehouseData[[#This Row],[daily_demand]]</f>
        <v>2.8331332533013205</v>
      </c>
      <c r="AB2667">
        <f>WarehouseData[[#This Row],[stock_level]]*WarehouseData[[#This Row],[unit_price]]</f>
        <v>10966.92</v>
      </c>
      <c r="AC2667">
        <f>WarehouseData[[#This Row],[stock_level]]*WarehouseData[[#This Row],[holding_cost_per_unit_day]]*30</f>
        <v>5770.1999999999989</v>
      </c>
      <c r="AD2667" t="str">
        <f>IF(WarehouseData[[#This Row],[order_fulfillment_rate]]&gt;=0.9,"Strong",IF(WarehouseData[[#This Row],[order_fulfillment_rate]]&gt;=0.8,"Moderate","Needs Attention"))</f>
        <v>Needs Attention</v>
      </c>
      <c r="AE2667" t="str">
        <f>IF(WarehouseData[[#This Row],[picking_time_seconds]]&gt;120,"Slow",IF(WarehouseData[[#This Row],[picking_time_seconds]]&gt;=60,"Average","Fast"))</f>
        <v>Average</v>
      </c>
    </row>
    <row r="2668" spans="1:31" x14ac:dyDescent="0.25">
      <c r="A2668" t="s">
        <v>2806</v>
      </c>
      <c r="B2668" t="s">
        <v>36</v>
      </c>
      <c r="C2668">
        <v>478</v>
      </c>
      <c r="D2668">
        <v>23</v>
      </c>
      <c r="E2668">
        <v>14</v>
      </c>
      <c r="F2668">
        <v>2</v>
      </c>
      <c r="G2668">
        <v>35.08</v>
      </c>
      <c r="H2668">
        <v>1.99</v>
      </c>
      <c r="I2668">
        <v>0.31</v>
      </c>
      <c r="J2668" t="s">
        <v>81</v>
      </c>
      <c r="K2668" t="s">
        <v>38</v>
      </c>
      <c r="L2668">
        <v>135</v>
      </c>
      <c r="M2668">
        <v>4.42</v>
      </c>
      <c r="N2668">
        <v>108.26</v>
      </c>
      <c r="O2668">
        <v>0.79</v>
      </c>
      <c r="P2668">
        <v>5</v>
      </c>
      <c r="Q2668">
        <v>0.87</v>
      </c>
      <c r="R2668">
        <v>397</v>
      </c>
      <c r="S2668">
        <v>12.66</v>
      </c>
      <c r="T2668">
        <v>0.63</v>
      </c>
      <c r="U2668" s="1">
        <v>45481</v>
      </c>
      <c r="V2668">
        <v>221.26</v>
      </c>
      <c r="W2668">
        <v>0.69</v>
      </c>
      <c r="X2668" t="str">
        <f>IF(WarehouseData[[#This Row],[stock_level]]&lt;=WarehouseData[[#This Row],[reorder_point]],"Low Stock","Sufficient Stock")</f>
        <v>Sufficient Stock</v>
      </c>
      <c r="Y2668">
        <f>WarehouseData[[#This Row],[daily_demand]]*WarehouseData[[#This Row],[lead_time_days]]</f>
        <v>70.16</v>
      </c>
      <c r="Z2668" t="str">
        <f>IF(WarehouseData[[#This Row],[stock_level]]&lt;=WarehouseData[[#This Row],[Demand During Lead Time]],"At Risk","Safe")</f>
        <v>Safe</v>
      </c>
      <c r="AA2668">
        <f>WarehouseData[[#This Row],[stock_level]]/WarehouseData[[#This Row],[daily_demand]]</f>
        <v>13.62599771949829</v>
      </c>
      <c r="AB2668">
        <f>WarehouseData[[#This Row],[stock_level]]*WarehouseData[[#This Row],[unit_price]]</f>
        <v>51748.28</v>
      </c>
      <c r="AC2668">
        <f>WarehouseData[[#This Row],[stock_level]]*WarehouseData[[#This Row],[holding_cost_per_unit_day]]*30</f>
        <v>11328.6</v>
      </c>
      <c r="AD2668" t="str">
        <f>IF(WarehouseData[[#This Row],[order_fulfillment_rate]]&gt;=0.9,"Strong",IF(WarehouseData[[#This Row],[order_fulfillment_rate]]&gt;=0.8,"Moderate","Needs Attention"))</f>
        <v>Moderate</v>
      </c>
      <c r="AE2668" t="str">
        <f>IF(WarehouseData[[#This Row],[picking_time_seconds]]&gt;120,"Slow",IF(WarehouseData[[#This Row],[picking_time_seconds]]&gt;=60,"Average","Fast"))</f>
        <v>Slow</v>
      </c>
    </row>
    <row r="2669" spans="1:31" x14ac:dyDescent="0.25">
      <c r="A2669" t="s">
        <v>2807</v>
      </c>
      <c r="B2669" t="s">
        <v>32</v>
      </c>
      <c r="C2669">
        <v>30</v>
      </c>
      <c r="D2669">
        <v>45</v>
      </c>
      <c r="E2669">
        <v>9</v>
      </c>
      <c r="F2669">
        <v>9</v>
      </c>
      <c r="G2669">
        <v>29.18</v>
      </c>
      <c r="H2669">
        <v>2.27</v>
      </c>
      <c r="I2669">
        <v>0.36</v>
      </c>
      <c r="J2669" t="s">
        <v>259</v>
      </c>
      <c r="K2669" t="s">
        <v>38</v>
      </c>
      <c r="L2669">
        <v>154</v>
      </c>
      <c r="M2669">
        <v>2.13</v>
      </c>
      <c r="N2669">
        <v>163.51</v>
      </c>
      <c r="O2669">
        <v>0.65</v>
      </c>
      <c r="P2669">
        <v>2</v>
      </c>
      <c r="Q2669">
        <v>0.94</v>
      </c>
      <c r="R2669">
        <v>136</v>
      </c>
      <c r="S2669">
        <v>3</v>
      </c>
      <c r="T2669">
        <v>0.81</v>
      </c>
      <c r="U2669" s="1">
        <v>45411</v>
      </c>
      <c r="V2669">
        <v>192.36</v>
      </c>
      <c r="W2669">
        <v>0.68500000000000005</v>
      </c>
      <c r="X2669" t="str">
        <f>IF(WarehouseData[[#This Row],[stock_level]]&lt;=WarehouseData[[#This Row],[reorder_point]],"Low Stock","Sufficient Stock")</f>
        <v>Low Stock</v>
      </c>
      <c r="Y2669">
        <f>WarehouseData[[#This Row],[daily_demand]]*WarehouseData[[#This Row],[lead_time_days]]</f>
        <v>262.62</v>
      </c>
      <c r="Z2669" t="str">
        <f>IF(WarehouseData[[#This Row],[stock_level]]&lt;=WarehouseData[[#This Row],[Demand During Lead Time]],"At Risk","Safe")</f>
        <v>At Risk</v>
      </c>
      <c r="AA2669">
        <f>WarehouseData[[#This Row],[stock_level]]/WarehouseData[[#This Row],[daily_demand]]</f>
        <v>1.0281014393420151</v>
      </c>
      <c r="AB2669">
        <f>WarehouseData[[#This Row],[stock_level]]*WarehouseData[[#This Row],[unit_price]]</f>
        <v>4905.2999999999993</v>
      </c>
      <c r="AC2669">
        <f>WarehouseData[[#This Row],[stock_level]]*WarehouseData[[#This Row],[holding_cost_per_unit_day]]*30</f>
        <v>585</v>
      </c>
      <c r="AD2669" t="str">
        <f>IF(WarehouseData[[#This Row],[order_fulfillment_rate]]&gt;=0.9,"Strong",IF(WarehouseData[[#This Row],[order_fulfillment_rate]]&gt;=0.8,"Moderate","Needs Attention"))</f>
        <v>Strong</v>
      </c>
      <c r="AE2669" t="str">
        <f>IF(WarehouseData[[#This Row],[picking_time_seconds]]&gt;120,"Slow",IF(WarehouseData[[#This Row],[picking_time_seconds]]&gt;=60,"Average","Fast"))</f>
        <v>Slow</v>
      </c>
    </row>
    <row r="2670" spans="1:31" x14ac:dyDescent="0.25">
      <c r="A2670" t="s">
        <v>2808</v>
      </c>
      <c r="B2670" t="s">
        <v>40</v>
      </c>
      <c r="C2670">
        <v>104</v>
      </c>
      <c r="D2670">
        <v>67</v>
      </c>
      <c r="E2670">
        <v>5</v>
      </c>
      <c r="F2670">
        <v>7</v>
      </c>
      <c r="G2670">
        <v>10.27</v>
      </c>
      <c r="H2670">
        <v>9.3000000000000007</v>
      </c>
      <c r="I2670">
        <v>0.93</v>
      </c>
      <c r="J2670" t="s">
        <v>223</v>
      </c>
      <c r="K2670" t="s">
        <v>38</v>
      </c>
      <c r="L2670">
        <v>22</v>
      </c>
      <c r="M2670">
        <v>2.14</v>
      </c>
      <c r="N2670">
        <v>134.56</v>
      </c>
      <c r="O2670">
        <v>0.74</v>
      </c>
      <c r="P2670">
        <v>9</v>
      </c>
      <c r="Q2670">
        <v>0.78</v>
      </c>
      <c r="R2670">
        <v>259</v>
      </c>
      <c r="S2670">
        <v>3.36</v>
      </c>
      <c r="T2670">
        <v>0.84</v>
      </c>
      <c r="U2670" s="1">
        <v>45313</v>
      </c>
      <c r="V2670">
        <v>268.54000000000002</v>
      </c>
      <c r="W2670">
        <v>0.51500000000000001</v>
      </c>
      <c r="X2670" t="str">
        <f>IF(WarehouseData[[#This Row],[stock_level]]&lt;=WarehouseData[[#This Row],[reorder_point]],"Low Stock","Sufficient Stock")</f>
        <v>Sufficient Stock</v>
      </c>
      <c r="Y2670">
        <f>WarehouseData[[#This Row],[daily_demand]]*WarehouseData[[#This Row],[lead_time_days]]</f>
        <v>71.89</v>
      </c>
      <c r="Z2670" t="str">
        <f>IF(WarehouseData[[#This Row],[stock_level]]&lt;=WarehouseData[[#This Row],[Demand During Lead Time]],"At Risk","Safe")</f>
        <v>Safe</v>
      </c>
      <c r="AA2670">
        <f>WarehouseData[[#This Row],[stock_level]]/WarehouseData[[#This Row],[daily_demand]]</f>
        <v>10.126582278481013</v>
      </c>
      <c r="AB2670">
        <f>WarehouseData[[#This Row],[stock_level]]*WarehouseData[[#This Row],[unit_price]]</f>
        <v>13994.24</v>
      </c>
      <c r="AC2670">
        <f>WarehouseData[[#This Row],[stock_level]]*WarehouseData[[#This Row],[holding_cost_per_unit_day]]*30</f>
        <v>2308.7999999999997</v>
      </c>
      <c r="AD2670" t="str">
        <f>IF(WarehouseData[[#This Row],[order_fulfillment_rate]]&gt;=0.9,"Strong",IF(WarehouseData[[#This Row],[order_fulfillment_rate]]&gt;=0.8,"Moderate","Needs Attention"))</f>
        <v>Needs Attention</v>
      </c>
      <c r="AE2670" t="str">
        <f>IF(WarehouseData[[#This Row],[picking_time_seconds]]&gt;120,"Slow",IF(WarehouseData[[#This Row],[picking_time_seconds]]&gt;=60,"Average","Fast"))</f>
        <v>Fast</v>
      </c>
    </row>
    <row r="2671" spans="1:31" x14ac:dyDescent="0.25">
      <c r="A2671" t="s">
        <v>2809</v>
      </c>
      <c r="B2671" t="s">
        <v>36</v>
      </c>
      <c r="C2671">
        <v>424</v>
      </c>
      <c r="D2671">
        <v>33</v>
      </c>
      <c r="E2671">
        <v>9</v>
      </c>
      <c r="F2671">
        <v>4</v>
      </c>
      <c r="G2671">
        <v>30.56</v>
      </c>
      <c r="H2671">
        <v>7.2</v>
      </c>
      <c r="I2671">
        <v>0.92</v>
      </c>
      <c r="J2671" t="s">
        <v>79</v>
      </c>
      <c r="K2671" t="s">
        <v>34</v>
      </c>
      <c r="L2671">
        <v>37</v>
      </c>
      <c r="M2671">
        <v>1.89</v>
      </c>
      <c r="N2671">
        <v>45.2</v>
      </c>
      <c r="O2671">
        <v>0.23</v>
      </c>
      <c r="P2671">
        <v>4</v>
      </c>
      <c r="Q2671">
        <v>0.83</v>
      </c>
      <c r="R2671">
        <v>837</v>
      </c>
      <c r="S2671">
        <v>4.1100000000000003</v>
      </c>
      <c r="T2671">
        <v>0.89</v>
      </c>
      <c r="U2671" s="1">
        <v>45634</v>
      </c>
      <c r="V2671">
        <v>93.57</v>
      </c>
      <c r="W2671">
        <v>0.69599999999999995</v>
      </c>
      <c r="X2671" t="str">
        <f>IF(WarehouseData[[#This Row],[stock_level]]&lt;=WarehouseData[[#This Row],[reorder_point]],"Low Stock","Sufficient Stock")</f>
        <v>Sufficient Stock</v>
      </c>
      <c r="Y2671">
        <f>WarehouseData[[#This Row],[daily_demand]]*WarehouseData[[#This Row],[lead_time_days]]</f>
        <v>122.24</v>
      </c>
      <c r="Z2671" t="str">
        <f>IF(WarehouseData[[#This Row],[stock_level]]&lt;=WarehouseData[[#This Row],[Demand During Lead Time]],"At Risk","Safe")</f>
        <v>Safe</v>
      </c>
      <c r="AA2671">
        <f>WarehouseData[[#This Row],[stock_level]]/WarehouseData[[#This Row],[daily_demand]]</f>
        <v>13.874345549738221</v>
      </c>
      <c r="AB2671">
        <f>WarehouseData[[#This Row],[stock_level]]*WarehouseData[[#This Row],[unit_price]]</f>
        <v>19164.800000000003</v>
      </c>
      <c r="AC2671">
        <f>WarehouseData[[#This Row],[stock_level]]*WarehouseData[[#This Row],[holding_cost_per_unit_day]]*30</f>
        <v>2925.6000000000004</v>
      </c>
      <c r="AD2671" t="str">
        <f>IF(WarehouseData[[#This Row],[order_fulfillment_rate]]&gt;=0.9,"Strong",IF(WarehouseData[[#This Row],[order_fulfillment_rate]]&gt;=0.8,"Moderate","Needs Attention"))</f>
        <v>Moderate</v>
      </c>
      <c r="AE2671" t="str">
        <f>IF(WarehouseData[[#This Row],[picking_time_seconds]]&gt;120,"Slow",IF(WarehouseData[[#This Row],[picking_time_seconds]]&gt;=60,"Average","Fast"))</f>
        <v>Fast</v>
      </c>
    </row>
    <row r="2672" spans="1:31" x14ac:dyDescent="0.25">
      <c r="A2672" t="s">
        <v>2810</v>
      </c>
      <c r="B2672" t="s">
        <v>32</v>
      </c>
      <c r="C2672">
        <v>233</v>
      </c>
      <c r="D2672">
        <v>72</v>
      </c>
      <c r="E2672">
        <v>11</v>
      </c>
      <c r="F2672">
        <v>3</v>
      </c>
      <c r="G2672">
        <v>2.5299999999999998</v>
      </c>
      <c r="H2672">
        <v>1.94</v>
      </c>
      <c r="I2672">
        <v>0.25</v>
      </c>
      <c r="J2672" t="s">
        <v>131</v>
      </c>
      <c r="K2672" t="s">
        <v>34</v>
      </c>
      <c r="L2672">
        <v>132</v>
      </c>
      <c r="M2672">
        <v>2.96</v>
      </c>
      <c r="N2672">
        <v>149.55000000000001</v>
      </c>
      <c r="O2672">
        <v>1.57</v>
      </c>
      <c r="P2672">
        <v>4</v>
      </c>
      <c r="Q2672">
        <v>0.87</v>
      </c>
      <c r="R2672">
        <v>658</v>
      </c>
      <c r="S2672">
        <v>4.66</v>
      </c>
      <c r="T2672">
        <v>0.71</v>
      </c>
      <c r="U2672" s="1">
        <v>45397</v>
      </c>
      <c r="V2672">
        <v>164.37</v>
      </c>
      <c r="W2672">
        <v>0.54100000000000004</v>
      </c>
      <c r="X2672" t="str">
        <f>IF(WarehouseData[[#This Row],[stock_level]]&lt;=WarehouseData[[#This Row],[reorder_point]],"Low Stock","Sufficient Stock")</f>
        <v>Sufficient Stock</v>
      </c>
      <c r="Y2672">
        <f>WarehouseData[[#This Row],[daily_demand]]*WarehouseData[[#This Row],[lead_time_days]]</f>
        <v>7.59</v>
      </c>
      <c r="Z2672" t="str">
        <f>IF(WarehouseData[[#This Row],[stock_level]]&lt;=WarehouseData[[#This Row],[Demand During Lead Time]],"At Risk","Safe")</f>
        <v>Safe</v>
      </c>
      <c r="AA2672">
        <f>WarehouseData[[#This Row],[stock_level]]/WarehouseData[[#This Row],[daily_demand]]</f>
        <v>92.094861660079061</v>
      </c>
      <c r="AB2672">
        <f>WarehouseData[[#This Row],[stock_level]]*WarehouseData[[#This Row],[unit_price]]</f>
        <v>34845.15</v>
      </c>
      <c r="AC2672">
        <f>WarehouseData[[#This Row],[stock_level]]*WarehouseData[[#This Row],[holding_cost_per_unit_day]]*30</f>
        <v>10974.3</v>
      </c>
      <c r="AD2672" t="str">
        <f>IF(WarehouseData[[#This Row],[order_fulfillment_rate]]&gt;=0.9,"Strong",IF(WarehouseData[[#This Row],[order_fulfillment_rate]]&gt;=0.8,"Moderate","Needs Attention"))</f>
        <v>Moderate</v>
      </c>
      <c r="AE2672" t="str">
        <f>IF(WarehouseData[[#This Row],[picking_time_seconds]]&gt;120,"Slow",IF(WarehouseData[[#This Row],[picking_time_seconds]]&gt;=60,"Average","Fast"))</f>
        <v>Slow</v>
      </c>
    </row>
    <row r="2673" spans="1:31" x14ac:dyDescent="0.25">
      <c r="A2673" t="s">
        <v>2811</v>
      </c>
      <c r="B2673" t="s">
        <v>40</v>
      </c>
      <c r="C2673">
        <v>192</v>
      </c>
      <c r="D2673">
        <v>34</v>
      </c>
      <c r="E2673">
        <v>13</v>
      </c>
      <c r="F2673">
        <v>4</v>
      </c>
      <c r="G2673">
        <v>6.82</v>
      </c>
      <c r="H2673">
        <v>4.24</v>
      </c>
      <c r="I2673">
        <v>0.16</v>
      </c>
      <c r="J2673" t="s">
        <v>131</v>
      </c>
      <c r="K2673" t="s">
        <v>38</v>
      </c>
      <c r="L2673">
        <v>76</v>
      </c>
      <c r="M2673">
        <v>1.08</v>
      </c>
      <c r="N2673">
        <v>122.46</v>
      </c>
      <c r="O2673">
        <v>1.46</v>
      </c>
      <c r="P2673">
        <v>3</v>
      </c>
      <c r="Q2673">
        <v>0.97</v>
      </c>
      <c r="R2673">
        <v>51</v>
      </c>
      <c r="S2673">
        <v>8.9</v>
      </c>
      <c r="T2673">
        <v>0.92</v>
      </c>
      <c r="U2673" s="1">
        <v>45557</v>
      </c>
      <c r="V2673">
        <v>134.79</v>
      </c>
      <c r="W2673">
        <v>0.69099999999999995</v>
      </c>
      <c r="X2673" t="str">
        <f>IF(WarehouseData[[#This Row],[stock_level]]&lt;=WarehouseData[[#This Row],[reorder_point]],"Low Stock","Sufficient Stock")</f>
        <v>Sufficient Stock</v>
      </c>
      <c r="Y2673">
        <f>WarehouseData[[#This Row],[daily_demand]]*WarehouseData[[#This Row],[lead_time_days]]</f>
        <v>27.28</v>
      </c>
      <c r="Z2673" t="str">
        <f>IF(WarehouseData[[#This Row],[stock_level]]&lt;=WarehouseData[[#This Row],[Demand During Lead Time]],"At Risk","Safe")</f>
        <v>Safe</v>
      </c>
      <c r="AA2673">
        <f>WarehouseData[[#This Row],[stock_level]]/WarehouseData[[#This Row],[daily_demand]]</f>
        <v>28.152492668621701</v>
      </c>
      <c r="AB2673">
        <f>WarehouseData[[#This Row],[stock_level]]*WarehouseData[[#This Row],[unit_price]]</f>
        <v>23512.32</v>
      </c>
      <c r="AC2673">
        <f>WarehouseData[[#This Row],[stock_level]]*WarehouseData[[#This Row],[holding_cost_per_unit_day]]*30</f>
        <v>8409.6</v>
      </c>
      <c r="AD2673" t="str">
        <f>IF(WarehouseData[[#This Row],[order_fulfillment_rate]]&gt;=0.9,"Strong",IF(WarehouseData[[#This Row],[order_fulfillment_rate]]&gt;=0.8,"Moderate","Needs Attention"))</f>
        <v>Strong</v>
      </c>
      <c r="AE2673" t="str">
        <f>IF(WarehouseData[[#This Row],[picking_time_seconds]]&gt;120,"Slow",IF(WarehouseData[[#This Row],[picking_time_seconds]]&gt;=60,"Average","Fast"))</f>
        <v>Average</v>
      </c>
    </row>
    <row r="2674" spans="1:31" x14ac:dyDescent="0.25">
      <c r="A2674" t="s">
        <v>2812</v>
      </c>
      <c r="B2674" t="s">
        <v>73</v>
      </c>
      <c r="C2674">
        <v>410</v>
      </c>
      <c r="D2674">
        <v>68</v>
      </c>
      <c r="E2674">
        <v>12</v>
      </c>
      <c r="F2674">
        <v>8</v>
      </c>
      <c r="G2674">
        <v>16.28</v>
      </c>
      <c r="H2674">
        <v>1.03</v>
      </c>
      <c r="I2674">
        <v>0.36</v>
      </c>
      <c r="J2674" t="s">
        <v>70</v>
      </c>
      <c r="K2674" t="s">
        <v>38</v>
      </c>
      <c r="L2674">
        <v>14</v>
      </c>
      <c r="M2674">
        <v>0.66</v>
      </c>
      <c r="N2674">
        <v>119.88</v>
      </c>
      <c r="O2674">
        <v>1.1499999999999999</v>
      </c>
      <c r="P2674">
        <v>9</v>
      </c>
      <c r="Q2674">
        <v>0.74</v>
      </c>
      <c r="R2674">
        <v>278</v>
      </c>
      <c r="S2674">
        <v>5.58</v>
      </c>
      <c r="T2674">
        <v>0.75</v>
      </c>
      <c r="U2674" s="1">
        <v>45476</v>
      </c>
      <c r="V2674">
        <v>214.2</v>
      </c>
      <c r="W2674">
        <v>0.47699999999999998</v>
      </c>
      <c r="X2674" t="str">
        <f>IF(WarehouseData[[#This Row],[stock_level]]&lt;=WarehouseData[[#This Row],[reorder_point]],"Low Stock","Sufficient Stock")</f>
        <v>Sufficient Stock</v>
      </c>
      <c r="Y2674">
        <f>WarehouseData[[#This Row],[daily_demand]]*WarehouseData[[#This Row],[lead_time_days]]</f>
        <v>130.24</v>
      </c>
      <c r="Z2674" t="str">
        <f>IF(WarehouseData[[#This Row],[stock_level]]&lt;=WarehouseData[[#This Row],[Demand During Lead Time]],"At Risk","Safe")</f>
        <v>Safe</v>
      </c>
      <c r="AA2674">
        <f>WarehouseData[[#This Row],[stock_level]]/WarehouseData[[#This Row],[daily_demand]]</f>
        <v>25.184275184275183</v>
      </c>
      <c r="AB2674">
        <f>WarehouseData[[#This Row],[stock_level]]*WarehouseData[[#This Row],[unit_price]]</f>
        <v>49150.799999999996</v>
      </c>
      <c r="AC2674">
        <f>WarehouseData[[#This Row],[stock_level]]*WarehouseData[[#This Row],[holding_cost_per_unit_day]]*30</f>
        <v>14144.999999999998</v>
      </c>
      <c r="AD2674" t="str">
        <f>IF(WarehouseData[[#This Row],[order_fulfillment_rate]]&gt;=0.9,"Strong",IF(WarehouseData[[#This Row],[order_fulfillment_rate]]&gt;=0.8,"Moderate","Needs Attention"))</f>
        <v>Needs Attention</v>
      </c>
      <c r="AE2674" t="str">
        <f>IF(WarehouseData[[#This Row],[picking_time_seconds]]&gt;120,"Slow",IF(WarehouseData[[#This Row],[picking_time_seconds]]&gt;=60,"Average","Fast"))</f>
        <v>Fast</v>
      </c>
    </row>
    <row r="2675" spans="1:31" x14ac:dyDescent="0.25">
      <c r="A2675" t="s">
        <v>2813</v>
      </c>
      <c r="B2675" t="s">
        <v>32</v>
      </c>
      <c r="C2675">
        <v>228</v>
      </c>
      <c r="D2675">
        <v>41</v>
      </c>
      <c r="E2675">
        <v>14</v>
      </c>
      <c r="F2675">
        <v>4</v>
      </c>
      <c r="G2675">
        <v>22.74</v>
      </c>
      <c r="H2675">
        <v>4.6100000000000003</v>
      </c>
      <c r="I2675">
        <v>0.62</v>
      </c>
      <c r="J2675" t="s">
        <v>54</v>
      </c>
      <c r="K2675" t="s">
        <v>38</v>
      </c>
      <c r="L2675">
        <v>109</v>
      </c>
      <c r="M2675">
        <v>4.54</v>
      </c>
      <c r="N2675">
        <v>138.87</v>
      </c>
      <c r="O2675">
        <v>1.46</v>
      </c>
      <c r="P2675">
        <v>3</v>
      </c>
      <c r="Q2675">
        <v>0.77</v>
      </c>
      <c r="R2675">
        <v>459</v>
      </c>
      <c r="S2675">
        <v>14.34</v>
      </c>
      <c r="T2675">
        <v>0.83</v>
      </c>
      <c r="U2675" s="1">
        <v>45490</v>
      </c>
      <c r="V2675">
        <v>124.58</v>
      </c>
      <c r="W2675">
        <v>0.70499999999999996</v>
      </c>
      <c r="X2675" t="str">
        <f>IF(WarehouseData[[#This Row],[stock_level]]&lt;=WarehouseData[[#This Row],[reorder_point]],"Low Stock","Sufficient Stock")</f>
        <v>Sufficient Stock</v>
      </c>
      <c r="Y2675">
        <f>WarehouseData[[#This Row],[daily_demand]]*WarehouseData[[#This Row],[lead_time_days]]</f>
        <v>90.96</v>
      </c>
      <c r="Z2675" t="str">
        <f>IF(WarehouseData[[#This Row],[stock_level]]&lt;=WarehouseData[[#This Row],[Demand During Lead Time]],"At Risk","Safe")</f>
        <v>Safe</v>
      </c>
      <c r="AA2675">
        <f>WarehouseData[[#This Row],[stock_level]]/WarehouseData[[#This Row],[daily_demand]]</f>
        <v>10.026385224274406</v>
      </c>
      <c r="AB2675">
        <f>WarehouseData[[#This Row],[stock_level]]*WarehouseData[[#This Row],[unit_price]]</f>
        <v>31662.36</v>
      </c>
      <c r="AC2675">
        <f>WarehouseData[[#This Row],[stock_level]]*WarehouseData[[#This Row],[holding_cost_per_unit_day]]*30</f>
        <v>9986.4</v>
      </c>
      <c r="AD2675" t="str">
        <f>IF(WarehouseData[[#This Row],[order_fulfillment_rate]]&gt;=0.9,"Strong",IF(WarehouseData[[#This Row],[order_fulfillment_rate]]&gt;=0.8,"Moderate","Needs Attention"))</f>
        <v>Needs Attention</v>
      </c>
      <c r="AE2675" t="str">
        <f>IF(WarehouseData[[#This Row],[picking_time_seconds]]&gt;120,"Slow",IF(WarehouseData[[#This Row],[picking_time_seconds]]&gt;=60,"Average","Fast"))</f>
        <v>Average</v>
      </c>
    </row>
    <row r="2676" spans="1:31" x14ac:dyDescent="0.25">
      <c r="A2676" t="s">
        <v>2814</v>
      </c>
      <c r="B2676" t="s">
        <v>40</v>
      </c>
      <c r="C2676">
        <v>467</v>
      </c>
      <c r="D2676">
        <v>91</v>
      </c>
      <c r="E2676">
        <v>13</v>
      </c>
      <c r="F2676">
        <v>9</v>
      </c>
      <c r="G2676">
        <v>6.91</v>
      </c>
      <c r="H2676">
        <v>7.89</v>
      </c>
      <c r="I2676">
        <v>0.89</v>
      </c>
      <c r="J2676" t="s">
        <v>88</v>
      </c>
      <c r="K2676" t="s">
        <v>34</v>
      </c>
      <c r="L2676">
        <v>152</v>
      </c>
      <c r="M2676">
        <v>4.68</v>
      </c>
      <c r="N2676">
        <v>117.15</v>
      </c>
      <c r="O2676">
        <v>0.81</v>
      </c>
      <c r="P2676">
        <v>7</v>
      </c>
      <c r="Q2676">
        <v>0.98</v>
      </c>
      <c r="R2676">
        <v>292</v>
      </c>
      <c r="S2676">
        <v>2.66</v>
      </c>
      <c r="T2676">
        <v>0.75</v>
      </c>
      <c r="U2676" s="1">
        <v>45532</v>
      </c>
      <c r="V2676">
        <v>268.93</v>
      </c>
      <c r="W2676">
        <v>0.56000000000000005</v>
      </c>
      <c r="X2676" t="str">
        <f>IF(WarehouseData[[#This Row],[stock_level]]&lt;=WarehouseData[[#This Row],[reorder_point]],"Low Stock","Sufficient Stock")</f>
        <v>Sufficient Stock</v>
      </c>
      <c r="Y2676">
        <f>WarehouseData[[#This Row],[daily_demand]]*WarehouseData[[#This Row],[lead_time_days]]</f>
        <v>62.19</v>
      </c>
      <c r="Z2676" t="str">
        <f>IF(WarehouseData[[#This Row],[stock_level]]&lt;=WarehouseData[[#This Row],[Demand During Lead Time]],"At Risk","Safe")</f>
        <v>Safe</v>
      </c>
      <c r="AA2676">
        <f>WarehouseData[[#This Row],[stock_level]]/WarehouseData[[#This Row],[daily_demand]]</f>
        <v>67.583212735166427</v>
      </c>
      <c r="AB2676">
        <f>WarehouseData[[#This Row],[stock_level]]*WarehouseData[[#This Row],[unit_price]]</f>
        <v>54709.05</v>
      </c>
      <c r="AC2676">
        <f>WarehouseData[[#This Row],[stock_level]]*WarehouseData[[#This Row],[holding_cost_per_unit_day]]*30</f>
        <v>11348.1</v>
      </c>
      <c r="AD2676" t="str">
        <f>IF(WarehouseData[[#This Row],[order_fulfillment_rate]]&gt;=0.9,"Strong",IF(WarehouseData[[#This Row],[order_fulfillment_rate]]&gt;=0.8,"Moderate","Needs Attention"))</f>
        <v>Strong</v>
      </c>
      <c r="AE2676" t="str">
        <f>IF(WarehouseData[[#This Row],[picking_time_seconds]]&gt;120,"Slow",IF(WarehouseData[[#This Row],[picking_time_seconds]]&gt;=60,"Average","Fast"))</f>
        <v>Slow</v>
      </c>
    </row>
    <row r="2677" spans="1:31" x14ac:dyDescent="0.25">
      <c r="A2677" t="s">
        <v>2815</v>
      </c>
      <c r="B2677" t="s">
        <v>73</v>
      </c>
      <c r="C2677">
        <v>401</v>
      </c>
      <c r="D2677">
        <v>27</v>
      </c>
      <c r="E2677">
        <v>6</v>
      </c>
      <c r="F2677">
        <v>7</v>
      </c>
      <c r="G2677">
        <v>6.88</v>
      </c>
      <c r="H2677">
        <v>5.76</v>
      </c>
      <c r="I2677">
        <v>0.21</v>
      </c>
      <c r="J2677" t="s">
        <v>401</v>
      </c>
      <c r="K2677" t="s">
        <v>34</v>
      </c>
      <c r="L2677">
        <v>90</v>
      </c>
      <c r="M2677">
        <v>0.84</v>
      </c>
      <c r="N2677">
        <v>96.93</v>
      </c>
      <c r="O2677">
        <v>0.66</v>
      </c>
      <c r="P2677">
        <v>5</v>
      </c>
      <c r="Q2677">
        <v>0.71</v>
      </c>
      <c r="R2677">
        <v>819</v>
      </c>
      <c r="S2677">
        <v>4.45</v>
      </c>
      <c r="T2677">
        <v>0.9</v>
      </c>
      <c r="U2677" s="1">
        <v>45524</v>
      </c>
      <c r="V2677">
        <v>152.22</v>
      </c>
      <c r="W2677">
        <v>0.61499999999999999</v>
      </c>
      <c r="X2677" t="str">
        <f>IF(WarehouseData[[#This Row],[stock_level]]&lt;=WarehouseData[[#This Row],[reorder_point]],"Low Stock","Sufficient Stock")</f>
        <v>Sufficient Stock</v>
      </c>
      <c r="Y2677">
        <f>WarehouseData[[#This Row],[daily_demand]]*WarehouseData[[#This Row],[lead_time_days]]</f>
        <v>48.16</v>
      </c>
      <c r="Z2677" t="str">
        <f>IF(WarehouseData[[#This Row],[stock_level]]&lt;=WarehouseData[[#This Row],[Demand During Lead Time]],"At Risk","Safe")</f>
        <v>Safe</v>
      </c>
      <c r="AA2677">
        <f>WarehouseData[[#This Row],[stock_level]]/WarehouseData[[#This Row],[daily_demand]]</f>
        <v>58.284883720930232</v>
      </c>
      <c r="AB2677">
        <f>WarehouseData[[#This Row],[stock_level]]*WarehouseData[[#This Row],[unit_price]]</f>
        <v>38868.93</v>
      </c>
      <c r="AC2677">
        <f>WarehouseData[[#This Row],[stock_level]]*WarehouseData[[#This Row],[holding_cost_per_unit_day]]*30</f>
        <v>7939.8000000000011</v>
      </c>
      <c r="AD2677" t="str">
        <f>IF(WarehouseData[[#This Row],[order_fulfillment_rate]]&gt;=0.9,"Strong",IF(WarehouseData[[#This Row],[order_fulfillment_rate]]&gt;=0.8,"Moderate","Needs Attention"))</f>
        <v>Needs Attention</v>
      </c>
      <c r="AE2677" t="str">
        <f>IF(WarehouseData[[#This Row],[picking_time_seconds]]&gt;120,"Slow",IF(WarehouseData[[#This Row],[picking_time_seconds]]&gt;=60,"Average","Fast"))</f>
        <v>Average</v>
      </c>
    </row>
    <row r="2678" spans="1:31" x14ac:dyDescent="0.25">
      <c r="A2678" t="s">
        <v>2816</v>
      </c>
      <c r="B2678" t="s">
        <v>36</v>
      </c>
      <c r="C2678">
        <v>83</v>
      </c>
      <c r="D2678">
        <v>46</v>
      </c>
      <c r="E2678">
        <v>9</v>
      </c>
      <c r="F2678">
        <v>9</v>
      </c>
      <c r="G2678">
        <v>36.57</v>
      </c>
      <c r="H2678">
        <v>6.65</v>
      </c>
      <c r="I2678">
        <v>0.47</v>
      </c>
      <c r="J2678" t="s">
        <v>357</v>
      </c>
      <c r="K2678" t="s">
        <v>46</v>
      </c>
      <c r="L2678">
        <v>53</v>
      </c>
      <c r="M2678">
        <v>2.97</v>
      </c>
      <c r="N2678">
        <v>131.66999999999999</v>
      </c>
      <c r="O2678">
        <v>1.74</v>
      </c>
      <c r="P2678">
        <v>1</v>
      </c>
      <c r="Q2678">
        <v>0.9</v>
      </c>
      <c r="R2678">
        <v>517</v>
      </c>
      <c r="S2678">
        <v>13.16</v>
      </c>
      <c r="T2678">
        <v>0.38</v>
      </c>
      <c r="U2678" s="1">
        <v>45315</v>
      </c>
      <c r="V2678">
        <v>165.44</v>
      </c>
      <c r="W2678">
        <v>0.63700000000000001</v>
      </c>
      <c r="X2678" t="str">
        <f>IF(WarehouseData[[#This Row],[stock_level]]&lt;=WarehouseData[[#This Row],[reorder_point]],"Low Stock","Sufficient Stock")</f>
        <v>Sufficient Stock</v>
      </c>
      <c r="Y2678">
        <f>WarehouseData[[#This Row],[daily_demand]]*WarehouseData[[#This Row],[lead_time_days]]</f>
        <v>329.13</v>
      </c>
      <c r="Z2678" t="str">
        <f>IF(WarehouseData[[#This Row],[stock_level]]&lt;=WarehouseData[[#This Row],[Demand During Lead Time]],"At Risk","Safe")</f>
        <v>At Risk</v>
      </c>
      <c r="AA2678">
        <f>WarehouseData[[#This Row],[stock_level]]/WarehouseData[[#This Row],[daily_demand]]</f>
        <v>2.2696199070276184</v>
      </c>
      <c r="AB2678">
        <f>WarehouseData[[#This Row],[stock_level]]*WarehouseData[[#This Row],[unit_price]]</f>
        <v>10928.609999999999</v>
      </c>
      <c r="AC2678">
        <f>WarehouseData[[#This Row],[stock_level]]*WarehouseData[[#This Row],[holding_cost_per_unit_day]]*30</f>
        <v>4332.5999999999995</v>
      </c>
      <c r="AD2678" t="str">
        <f>IF(WarehouseData[[#This Row],[order_fulfillment_rate]]&gt;=0.9,"Strong",IF(WarehouseData[[#This Row],[order_fulfillment_rate]]&gt;=0.8,"Moderate","Needs Attention"))</f>
        <v>Strong</v>
      </c>
      <c r="AE2678" t="str">
        <f>IF(WarehouseData[[#This Row],[picking_time_seconds]]&gt;120,"Slow",IF(WarehouseData[[#This Row],[picking_time_seconds]]&gt;=60,"Average","Fast"))</f>
        <v>Fast</v>
      </c>
    </row>
    <row r="2679" spans="1:31" x14ac:dyDescent="0.25">
      <c r="A2679" t="s">
        <v>2817</v>
      </c>
      <c r="B2679" t="s">
        <v>36</v>
      </c>
      <c r="C2679">
        <v>277</v>
      </c>
      <c r="D2679">
        <v>35</v>
      </c>
      <c r="E2679">
        <v>11</v>
      </c>
      <c r="F2679">
        <v>7</v>
      </c>
      <c r="G2679">
        <v>28.92</v>
      </c>
      <c r="H2679">
        <v>3.6</v>
      </c>
      <c r="I2679">
        <v>0.34</v>
      </c>
      <c r="J2679" t="s">
        <v>379</v>
      </c>
      <c r="K2679" t="s">
        <v>52</v>
      </c>
      <c r="L2679">
        <v>128</v>
      </c>
      <c r="M2679">
        <v>2.93</v>
      </c>
      <c r="N2679">
        <v>147.51</v>
      </c>
      <c r="O2679">
        <v>0.9</v>
      </c>
      <c r="P2679">
        <v>1</v>
      </c>
      <c r="Q2679">
        <v>0.89</v>
      </c>
      <c r="R2679">
        <v>507</v>
      </c>
      <c r="S2679">
        <v>9.18</v>
      </c>
      <c r="T2679">
        <v>0.81</v>
      </c>
      <c r="U2679" s="1">
        <v>45312</v>
      </c>
      <c r="V2679">
        <v>153.08000000000001</v>
      </c>
      <c r="W2679">
        <v>0.752</v>
      </c>
      <c r="X2679" t="str">
        <f>IF(WarehouseData[[#This Row],[stock_level]]&lt;=WarehouseData[[#This Row],[reorder_point]],"Low Stock","Sufficient Stock")</f>
        <v>Sufficient Stock</v>
      </c>
      <c r="Y2679">
        <f>WarehouseData[[#This Row],[daily_demand]]*WarehouseData[[#This Row],[lead_time_days]]</f>
        <v>202.44</v>
      </c>
      <c r="Z2679" t="str">
        <f>IF(WarehouseData[[#This Row],[stock_level]]&lt;=WarehouseData[[#This Row],[Demand During Lead Time]],"At Risk","Safe")</f>
        <v>Safe</v>
      </c>
      <c r="AA2679">
        <f>WarehouseData[[#This Row],[stock_level]]/WarehouseData[[#This Row],[daily_demand]]</f>
        <v>9.5781466113416318</v>
      </c>
      <c r="AB2679">
        <f>WarehouseData[[#This Row],[stock_level]]*WarehouseData[[#This Row],[unit_price]]</f>
        <v>40860.269999999997</v>
      </c>
      <c r="AC2679">
        <f>WarehouseData[[#This Row],[stock_level]]*WarehouseData[[#This Row],[holding_cost_per_unit_day]]*30</f>
        <v>7479</v>
      </c>
      <c r="AD2679" t="str">
        <f>IF(WarehouseData[[#This Row],[order_fulfillment_rate]]&gt;=0.9,"Strong",IF(WarehouseData[[#This Row],[order_fulfillment_rate]]&gt;=0.8,"Moderate","Needs Attention"))</f>
        <v>Moderate</v>
      </c>
      <c r="AE2679" t="str">
        <f>IF(WarehouseData[[#This Row],[picking_time_seconds]]&gt;120,"Slow",IF(WarehouseData[[#This Row],[picking_time_seconds]]&gt;=60,"Average","Fast"))</f>
        <v>Slow</v>
      </c>
    </row>
    <row r="2680" spans="1:31" x14ac:dyDescent="0.25">
      <c r="A2680" t="s">
        <v>2818</v>
      </c>
      <c r="B2680" t="s">
        <v>36</v>
      </c>
      <c r="C2680">
        <v>351</v>
      </c>
      <c r="D2680">
        <v>18</v>
      </c>
      <c r="E2680">
        <v>10</v>
      </c>
      <c r="F2680">
        <v>6</v>
      </c>
      <c r="G2680">
        <v>27.15</v>
      </c>
      <c r="H2680">
        <v>2.0299999999999998</v>
      </c>
      <c r="I2680">
        <v>0.11</v>
      </c>
      <c r="J2680" t="s">
        <v>135</v>
      </c>
      <c r="K2680" t="s">
        <v>46</v>
      </c>
      <c r="L2680">
        <v>55</v>
      </c>
      <c r="M2680">
        <v>2.1800000000000002</v>
      </c>
      <c r="N2680">
        <v>52.9</v>
      </c>
      <c r="O2680">
        <v>0.47</v>
      </c>
      <c r="P2680">
        <v>1</v>
      </c>
      <c r="Q2680">
        <v>0.81</v>
      </c>
      <c r="R2680">
        <v>603</v>
      </c>
      <c r="S2680">
        <v>8.66</v>
      </c>
      <c r="T2680">
        <v>0.28999999999999998</v>
      </c>
      <c r="U2680" s="1">
        <v>45624</v>
      </c>
      <c r="V2680">
        <v>190.56</v>
      </c>
      <c r="W2680">
        <v>0.66800000000000004</v>
      </c>
      <c r="X2680" t="str">
        <f>IF(WarehouseData[[#This Row],[stock_level]]&lt;=WarehouseData[[#This Row],[reorder_point]],"Low Stock","Sufficient Stock")</f>
        <v>Sufficient Stock</v>
      </c>
      <c r="Y2680">
        <f>WarehouseData[[#This Row],[daily_demand]]*WarehouseData[[#This Row],[lead_time_days]]</f>
        <v>162.89999999999998</v>
      </c>
      <c r="Z2680" t="str">
        <f>IF(WarehouseData[[#This Row],[stock_level]]&lt;=WarehouseData[[#This Row],[Demand During Lead Time]],"At Risk","Safe")</f>
        <v>Safe</v>
      </c>
      <c r="AA2680">
        <f>WarehouseData[[#This Row],[stock_level]]/WarehouseData[[#This Row],[daily_demand]]</f>
        <v>12.928176795580111</v>
      </c>
      <c r="AB2680">
        <f>WarehouseData[[#This Row],[stock_level]]*WarehouseData[[#This Row],[unit_price]]</f>
        <v>18567.899999999998</v>
      </c>
      <c r="AC2680">
        <f>WarehouseData[[#This Row],[stock_level]]*WarehouseData[[#This Row],[holding_cost_per_unit_day]]*30</f>
        <v>4949.1000000000004</v>
      </c>
      <c r="AD2680" t="str">
        <f>IF(WarehouseData[[#This Row],[order_fulfillment_rate]]&gt;=0.9,"Strong",IF(WarehouseData[[#This Row],[order_fulfillment_rate]]&gt;=0.8,"Moderate","Needs Attention"))</f>
        <v>Moderate</v>
      </c>
      <c r="AE2680" t="str">
        <f>IF(WarehouseData[[#This Row],[picking_time_seconds]]&gt;120,"Slow",IF(WarehouseData[[#This Row],[picking_time_seconds]]&gt;=60,"Average","Fast"))</f>
        <v>Fast</v>
      </c>
    </row>
    <row r="2681" spans="1:31" x14ac:dyDescent="0.25">
      <c r="A2681" t="s">
        <v>2819</v>
      </c>
      <c r="B2681" t="s">
        <v>36</v>
      </c>
      <c r="C2681">
        <v>140</v>
      </c>
      <c r="D2681">
        <v>73</v>
      </c>
      <c r="E2681">
        <v>10</v>
      </c>
      <c r="F2681">
        <v>6</v>
      </c>
      <c r="G2681">
        <v>23.17</v>
      </c>
      <c r="H2681">
        <v>0.62</v>
      </c>
      <c r="I2681">
        <v>0.81</v>
      </c>
      <c r="J2681" t="s">
        <v>113</v>
      </c>
      <c r="K2681" t="s">
        <v>52</v>
      </c>
      <c r="L2681">
        <v>166</v>
      </c>
      <c r="M2681">
        <v>3.06</v>
      </c>
      <c r="N2681">
        <v>104.44</v>
      </c>
      <c r="O2681">
        <v>1.52</v>
      </c>
      <c r="P2681">
        <v>5</v>
      </c>
      <c r="Q2681">
        <v>0.84</v>
      </c>
      <c r="R2681">
        <v>262</v>
      </c>
      <c r="S2681">
        <v>9.32</v>
      </c>
      <c r="T2681">
        <v>0.27</v>
      </c>
      <c r="U2681" s="1">
        <v>45457</v>
      </c>
      <c r="V2681">
        <v>158.02000000000001</v>
      </c>
      <c r="W2681">
        <v>0.49399999999999999</v>
      </c>
      <c r="X2681" t="str">
        <f>IF(WarehouseData[[#This Row],[stock_level]]&lt;=WarehouseData[[#This Row],[reorder_point]],"Low Stock","Sufficient Stock")</f>
        <v>Sufficient Stock</v>
      </c>
      <c r="Y2681">
        <f>WarehouseData[[#This Row],[daily_demand]]*WarehouseData[[#This Row],[lead_time_days]]</f>
        <v>139.02000000000001</v>
      </c>
      <c r="Z2681" t="str">
        <f>IF(WarehouseData[[#This Row],[stock_level]]&lt;=WarehouseData[[#This Row],[Demand During Lead Time]],"At Risk","Safe")</f>
        <v>Safe</v>
      </c>
      <c r="AA2681">
        <f>WarehouseData[[#This Row],[stock_level]]/WarehouseData[[#This Row],[daily_demand]]</f>
        <v>6.0422960725075523</v>
      </c>
      <c r="AB2681">
        <f>WarehouseData[[#This Row],[stock_level]]*WarehouseData[[#This Row],[unit_price]]</f>
        <v>14621.6</v>
      </c>
      <c r="AC2681">
        <f>WarehouseData[[#This Row],[stock_level]]*WarehouseData[[#This Row],[holding_cost_per_unit_day]]*30</f>
        <v>6384</v>
      </c>
      <c r="AD2681" t="str">
        <f>IF(WarehouseData[[#This Row],[order_fulfillment_rate]]&gt;=0.9,"Strong",IF(WarehouseData[[#This Row],[order_fulfillment_rate]]&gt;=0.8,"Moderate","Needs Attention"))</f>
        <v>Moderate</v>
      </c>
      <c r="AE2681" t="str">
        <f>IF(WarehouseData[[#This Row],[picking_time_seconds]]&gt;120,"Slow",IF(WarehouseData[[#This Row],[picking_time_seconds]]&gt;=60,"Average","Fast"))</f>
        <v>Slow</v>
      </c>
    </row>
    <row r="2682" spans="1:31" x14ac:dyDescent="0.25">
      <c r="A2682" t="s">
        <v>2820</v>
      </c>
      <c r="B2682" t="s">
        <v>48</v>
      </c>
      <c r="C2682">
        <v>317</v>
      </c>
      <c r="D2682">
        <v>81</v>
      </c>
      <c r="E2682">
        <v>11</v>
      </c>
      <c r="F2682">
        <v>7</v>
      </c>
      <c r="G2682">
        <v>48.85</v>
      </c>
      <c r="H2682">
        <v>8.3000000000000007</v>
      </c>
      <c r="I2682">
        <v>0.83</v>
      </c>
      <c r="J2682" t="s">
        <v>81</v>
      </c>
      <c r="K2682" t="s">
        <v>52</v>
      </c>
      <c r="L2682">
        <v>77</v>
      </c>
      <c r="M2682">
        <v>2.56</v>
      </c>
      <c r="N2682">
        <v>97.05</v>
      </c>
      <c r="O2682">
        <v>0.74</v>
      </c>
      <c r="P2682">
        <v>0</v>
      </c>
      <c r="Q2682">
        <v>0.96</v>
      </c>
      <c r="R2682">
        <v>857</v>
      </c>
      <c r="S2682">
        <v>4.53</v>
      </c>
      <c r="T2682">
        <v>0.59</v>
      </c>
      <c r="U2682" s="1">
        <v>45344</v>
      </c>
      <c r="V2682">
        <v>281.85000000000002</v>
      </c>
      <c r="W2682">
        <v>0.69599999999999995</v>
      </c>
      <c r="X2682" t="str">
        <f>IF(WarehouseData[[#This Row],[stock_level]]&lt;=WarehouseData[[#This Row],[reorder_point]],"Low Stock","Sufficient Stock")</f>
        <v>Sufficient Stock</v>
      </c>
      <c r="Y2682">
        <f>WarehouseData[[#This Row],[daily_demand]]*WarehouseData[[#This Row],[lead_time_days]]</f>
        <v>341.95</v>
      </c>
      <c r="Z2682" t="str">
        <f>IF(WarehouseData[[#This Row],[stock_level]]&lt;=WarehouseData[[#This Row],[Demand During Lead Time]],"At Risk","Safe")</f>
        <v>At Risk</v>
      </c>
      <c r="AA2682">
        <f>WarehouseData[[#This Row],[stock_level]]/WarehouseData[[#This Row],[daily_demand]]</f>
        <v>6.4892528147389967</v>
      </c>
      <c r="AB2682">
        <f>WarehouseData[[#This Row],[stock_level]]*WarehouseData[[#This Row],[unit_price]]</f>
        <v>30764.85</v>
      </c>
      <c r="AC2682">
        <f>WarehouseData[[#This Row],[stock_level]]*WarehouseData[[#This Row],[holding_cost_per_unit_day]]*30</f>
        <v>7037.4</v>
      </c>
      <c r="AD2682" t="str">
        <f>IF(WarehouseData[[#This Row],[order_fulfillment_rate]]&gt;=0.9,"Strong",IF(WarehouseData[[#This Row],[order_fulfillment_rate]]&gt;=0.8,"Moderate","Needs Attention"))</f>
        <v>Strong</v>
      </c>
      <c r="AE2682" t="str">
        <f>IF(WarehouseData[[#This Row],[picking_time_seconds]]&gt;120,"Slow",IF(WarehouseData[[#This Row],[picking_time_seconds]]&gt;=60,"Average","Fast"))</f>
        <v>Average</v>
      </c>
    </row>
    <row r="2683" spans="1:31" x14ac:dyDescent="0.25">
      <c r="A2683" t="s">
        <v>2821</v>
      </c>
      <c r="B2683" t="s">
        <v>32</v>
      </c>
      <c r="C2683">
        <v>485</v>
      </c>
      <c r="D2683">
        <v>29</v>
      </c>
      <c r="E2683">
        <v>7</v>
      </c>
      <c r="F2683">
        <v>7</v>
      </c>
      <c r="G2683">
        <v>3.44</v>
      </c>
      <c r="H2683">
        <v>6.55</v>
      </c>
      <c r="I2683">
        <v>0.3</v>
      </c>
      <c r="J2683" t="s">
        <v>259</v>
      </c>
      <c r="K2683" t="s">
        <v>52</v>
      </c>
      <c r="L2683">
        <v>137</v>
      </c>
      <c r="M2683">
        <v>2.7</v>
      </c>
      <c r="N2683">
        <v>17.579999999999998</v>
      </c>
      <c r="O2683">
        <v>0.5</v>
      </c>
      <c r="P2683">
        <v>2</v>
      </c>
      <c r="Q2683">
        <v>0.75</v>
      </c>
      <c r="R2683">
        <v>954</v>
      </c>
      <c r="S2683">
        <v>11.66</v>
      </c>
      <c r="T2683">
        <v>0.44</v>
      </c>
      <c r="U2683" s="1">
        <v>45652</v>
      </c>
      <c r="V2683">
        <v>48.03</v>
      </c>
      <c r="W2683">
        <v>0.70299999999999996</v>
      </c>
      <c r="X2683" t="str">
        <f>IF(WarehouseData[[#This Row],[stock_level]]&lt;=WarehouseData[[#This Row],[reorder_point]],"Low Stock","Sufficient Stock")</f>
        <v>Sufficient Stock</v>
      </c>
      <c r="Y2683">
        <f>WarehouseData[[#This Row],[daily_demand]]*WarehouseData[[#This Row],[lead_time_days]]</f>
        <v>24.08</v>
      </c>
      <c r="Z2683" t="str">
        <f>IF(WarehouseData[[#This Row],[stock_level]]&lt;=WarehouseData[[#This Row],[Demand During Lead Time]],"At Risk","Safe")</f>
        <v>Safe</v>
      </c>
      <c r="AA2683">
        <f>WarehouseData[[#This Row],[stock_level]]/WarehouseData[[#This Row],[daily_demand]]</f>
        <v>140.98837209302326</v>
      </c>
      <c r="AB2683">
        <f>WarehouseData[[#This Row],[stock_level]]*WarehouseData[[#This Row],[unit_price]]</f>
        <v>8526.2999999999993</v>
      </c>
      <c r="AC2683">
        <f>WarehouseData[[#This Row],[stock_level]]*WarehouseData[[#This Row],[holding_cost_per_unit_day]]*30</f>
        <v>7275</v>
      </c>
      <c r="AD2683" t="str">
        <f>IF(WarehouseData[[#This Row],[order_fulfillment_rate]]&gt;=0.9,"Strong",IF(WarehouseData[[#This Row],[order_fulfillment_rate]]&gt;=0.8,"Moderate","Needs Attention"))</f>
        <v>Needs Attention</v>
      </c>
      <c r="AE2683" t="str">
        <f>IF(WarehouseData[[#This Row],[picking_time_seconds]]&gt;120,"Slow",IF(WarehouseData[[#This Row],[picking_time_seconds]]&gt;=60,"Average","Fast"))</f>
        <v>Slow</v>
      </c>
    </row>
    <row r="2684" spans="1:31" x14ac:dyDescent="0.25">
      <c r="A2684" t="s">
        <v>2822</v>
      </c>
      <c r="B2684" t="s">
        <v>32</v>
      </c>
      <c r="C2684">
        <v>73</v>
      </c>
      <c r="D2684">
        <v>63</v>
      </c>
      <c r="E2684">
        <v>7</v>
      </c>
      <c r="F2684">
        <v>3</v>
      </c>
      <c r="G2684">
        <v>9.85</v>
      </c>
      <c r="H2684">
        <v>2.68</v>
      </c>
      <c r="I2684">
        <v>0.24</v>
      </c>
      <c r="J2684" t="s">
        <v>54</v>
      </c>
      <c r="K2684" t="s">
        <v>46</v>
      </c>
      <c r="L2684">
        <v>58</v>
      </c>
      <c r="M2684">
        <v>3.9</v>
      </c>
      <c r="N2684">
        <v>168.54</v>
      </c>
      <c r="O2684">
        <v>0.15</v>
      </c>
      <c r="P2684">
        <v>0</v>
      </c>
      <c r="Q2684">
        <v>0.77</v>
      </c>
      <c r="R2684">
        <v>435</v>
      </c>
      <c r="S2684">
        <v>7.95</v>
      </c>
      <c r="T2684">
        <v>0.65</v>
      </c>
      <c r="U2684" s="1">
        <v>45558</v>
      </c>
      <c r="V2684">
        <v>13.89</v>
      </c>
      <c r="W2684">
        <v>0.77500000000000002</v>
      </c>
      <c r="X2684" t="str">
        <f>IF(WarehouseData[[#This Row],[stock_level]]&lt;=WarehouseData[[#This Row],[reorder_point]],"Low Stock","Sufficient Stock")</f>
        <v>Sufficient Stock</v>
      </c>
      <c r="Y2684">
        <f>WarehouseData[[#This Row],[daily_demand]]*WarehouseData[[#This Row],[lead_time_days]]</f>
        <v>29.549999999999997</v>
      </c>
      <c r="Z2684" t="str">
        <f>IF(WarehouseData[[#This Row],[stock_level]]&lt;=WarehouseData[[#This Row],[Demand During Lead Time]],"At Risk","Safe")</f>
        <v>Safe</v>
      </c>
      <c r="AA2684">
        <f>WarehouseData[[#This Row],[stock_level]]/WarehouseData[[#This Row],[daily_demand]]</f>
        <v>7.4111675126903558</v>
      </c>
      <c r="AB2684">
        <f>WarehouseData[[#This Row],[stock_level]]*WarehouseData[[#This Row],[unit_price]]</f>
        <v>12303.42</v>
      </c>
      <c r="AC2684">
        <f>WarehouseData[[#This Row],[stock_level]]*WarehouseData[[#This Row],[holding_cost_per_unit_day]]*30</f>
        <v>328.5</v>
      </c>
      <c r="AD2684" t="str">
        <f>IF(WarehouseData[[#This Row],[order_fulfillment_rate]]&gt;=0.9,"Strong",IF(WarehouseData[[#This Row],[order_fulfillment_rate]]&gt;=0.8,"Moderate","Needs Attention"))</f>
        <v>Needs Attention</v>
      </c>
      <c r="AE2684" t="str">
        <f>IF(WarehouseData[[#This Row],[picking_time_seconds]]&gt;120,"Slow",IF(WarehouseData[[#This Row],[picking_time_seconds]]&gt;=60,"Average","Fast"))</f>
        <v>Fast</v>
      </c>
    </row>
    <row r="2685" spans="1:31" x14ac:dyDescent="0.25">
      <c r="A2685" t="s">
        <v>2823</v>
      </c>
      <c r="B2685" t="s">
        <v>48</v>
      </c>
      <c r="C2685">
        <v>350</v>
      </c>
      <c r="D2685">
        <v>95</v>
      </c>
      <c r="E2685">
        <v>5</v>
      </c>
      <c r="F2685">
        <v>3</v>
      </c>
      <c r="G2685">
        <v>32.729999999999997</v>
      </c>
      <c r="H2685">
        <v>4.4800000000000004</v>
      </c>
      <c r="I2685">
        <v>0.23</v>
      </c>
      <c r="J2685" t="s">
        <v>212</v>
      </c>
      <c r="K2685" t="s">
        <v>34</v>
      </c>
      <c r="L2685">
        <v>111</v>
      </c>
      <c r="M2685">
        <v>2.87</v>
      </c>
      <c r="N2685">
        <v>81.7</v>
      </c>
      <c r="O2685">
        <v>1.94</v>
      </c>
      <c r="P2685">
        <v>3</v>
      </c>
      <c r="Q2685">
        <v>0.85</v>
      </c>
      <c r="R2685">
        <v>461</v>
      </c>
      <c r="S2685">
        <v>1.6</v>
      </c>
      <c r="T2685">
        <v>0.74</v>
      </c>
      <c r="U2685" s="1">
        <v>45616</v>
      </c>
      <c r="V2685">
        <v>161.32</v>
      </c>
      <c r="W2685">
        <v>0.48499999999999999</v>
      </c>
      <c r="X2685" t="str">
        <f>IF(WarehouseData[[#This Row],[stock_level]]&lt;=WarehouseData[[#This Row],[reorder_point]],"Low Stock","Sufficient Stock")</f>
        <v>Sufficient Stock</v>
      </c>
      <c r="Y2685">
        <f>WarehouseData[[#This Row],[daily_demand]]*WarehouseData[[#This Row],[lead_time_days]]</f>
        <v>98.19</v>
      </c>
      <c r="Z2685" t="str">
        <f>IF(WarehouseData[[#This Row],[stock_level]]&lt;=WarehouseData[[#This Row],[Demand During Lead Time]],"At Risk","Safe")</f>
        <v>Safe</v>
      </c>
      <c r="AA2685">
        <f>WarehouseData[[#This Row],[stock_level]]/WarehouseData[[#This Row],[daily_demand]]</f>
        <v>10.693553315001529</v>
      </c>
      <c r="AB2685">
        <f>WarehouseData[[#This Row],[stock_level]]*WarehouseData[[#This Row],[unit_price]]</f>
        <v>28595</v>
      </c>
      <c r="AC2685">
        <f>WarehouseData[[#This Row],[stock_level]]*WarehouseData[[#This Row],[holding_cost_per_unit_day]]*30</f>
        <v>20370</v>
      </c>
      <c r="AD2685" t="str">
        <f>IF(WarehouseData[[#This Row],[order_fulfillment_rate]]&gt;=0.9,"Strong",IF(WarehouseData[[#This Row],[order_fulfillment_rate]]&gt;=0.8,"Moderate","Needs Attention"))</f>
        <v>Moderate</v>
      </c>
      <c r="AE2685" t="str">
        <f>IF(WarehouseData[[#This Row],[picking_time_seconds]]&gt;120,"Slow",IF(WarehouseData[[#This Row],[picking_time_seconds]]&gt;=60,"Average","Fast"))</f>
        <v>Average</v>
      </c>
    </row>
    <row r="2686" spans="1:31" x14ac:dyDescent="0.25">
      <c r="A2686" t="s">
        <v>2824</v>
      </c>
      <c r="B2686" t="s">
        <v>40</v>
      </c>
      <c r="C2686">
        <v>291</v>
      </c>
      <c r="D2686">
        <v>92</v>
      </c>
      <c r="E2686">
        <v>7</v>
      </c>
      <c r="F2686">
        <v>4</v>
      </c>
      <c r="G2686">
        <v>7.68</v>
      </c>
      <c r="H2686">
        <v>8.11</v>
      </c>
      <c r="I2686">
        <v>0.52</v>
      </c>
      <c r="J2686" t="s">
        <v>565</v>
      </c>
      <c r="K2686" t="s">
        <v>34</v>
      </c>
      <c r="L2686">
        <v>86</v>
      </c>
      <c r="M2686">
        <v>1.96</v>
      </c>
      <c r="N2686">
        <v>23.81</v>
      </c>
      <c r="O2686">
        <v>0.99</v>
      </c>
      <c r="P2686">
        <v>0</v>
      </c>
      <c r="Q2686">
        <v>0.82</v>
      </c>
      <c r="R2686">
        <v>564</v>
      </c>
      <c r="S2686">
        <v>3.48</v>
      </c>
      <c r="T2686">
        <v>0.38</v>
      </c>
      <c r="U2686" s="1">
        <v>45432</v>
      </c>
      <c r="V2686">
        <v>231.74</v>
      </c>
      <c r="W2686">
        <v>0.58699999999999997</v>
      </c>
      <c r="X2686" t="str">
        <f>IF(WarehouseData[[#This Row],[stock_level]]&lt;=WarehouseData[[#This Row],[reorder_point]],"Low Stock","Sufficient Stock")</f>
        <v>Sufficient Stock</v>
      </c>
      <c r="Y2686">
        <f>WarehouseData[[#This Row],[daily_demand]]*WarehouseData[[#This Row],[lead_time_days]]</f>
        <v>30.72</v>
      </c>
      <c r="Z2686" t="str">
        <f>IF(WarehouseData[[#This Row],[stock_level]]&lt;=WarehouseData[[#This Row],[Demand During Lead Time]],"At Risk","Safe")</f>
        <v>Safe</v>
      </c>
      <c r="AA2686">
        <f>WarehouseData[[#This Row],[stock_level]]/WarehouseData[[#This Row],[daily_demand]]</f>
        <v>37.890625</v>
      </c>
      <c r="AB2686">
        <f>WarehouseData[[#This Row],[stock_level]]*WarehouseData[[#This Row],[unit_price]]</f>
        <v>6928.71</v>
      </c>
      <c r="AC2686">
        <f>WarehouseData[[#This Row],[stock_level]]*WarehouseData[[#This Row],[holding_cost_per_unit_day]]*30</f>
        <v>8642.6999999999989</v>
      </c>
      <c r="AD2686" t="str">
        <f>IF(WarehouseData[[#This Row],[order_fulfillment_rate]]&gt;=0.9,"Strong",IF(WarehouseData[[#This Row],[order_fulfillment_rate]]&gt;=0.8,"Moderate","Needs Attention"))</f>
        <v>Moderate</v>
      </c>
      <c r="AE2686" t="str">
        <f>IF(WarehouseData[[#This Row],[picking_time_seconds]]&gt;120,"Slow",IF(WarehouseData[[#This Row],[picking_time_seconds]]&gt;=60,"Average","Fast"))</f>
        <v>Average</v>
      </c>
    </row>
    <row r="2687" spans="1:31" x14ac:dyDescent="0.25">
      <c r="A2687" t="s">
        <v>2825</v>
      </c>
      <c r="B2687" t="s">
        <v>40</v>
      </c>
      <c r="C2687">
        <v>260</v>
      </c>
      <c r="D2687">
        <v>39</v>
      </c>
      <c r="E2687">
        <v>10</v>
      </c>
      <c r="F2687">
        <v>9</v>
      </c>
      <c r="G2687">
        <v>29.88</v>
      </c>
      <c r="H2687">
        <v>5.62</v>
      </c>
      <c r="I2687">
        <v>0.32</v>
      </c>
      <c r="J2687" t="s">
        <v>221</v>
      </c>
      <c r="K2687" t="s">
        <v>34</v>
      </c>
      <c r="L2687">
        <v>29</v>
      </c>
      <c r="M2687">
        <v>3.12</v>
      </c>
      <c r="N2687">
        <v>97</v>
      </c>
      <c r="O2687">
        <v>0.41</v>
      </c>
      <c r="P2687">
        <v>8</v>
      </c>
      <c r="Q2687">
        <v>0.87</v>
      </c>
      <c r="R2687">
        <v>577</v>
      </c>
      <c r="S2687">
        <v>12.43</v>
      </c>
      <c r="T2687">
        <v>0.76</v>
      </c>
      <c r="U2687" s="1">
        <v>45426</v>
      </c>
      <c r="V2687">
        <v>197.98</v>
      </c>
      <c r="W2687">
        <v>0.69099999999999995</v>
      </c>
      <c r="X2687" t="str">
        <f>IF(WarehouseData[[#This Row],[stock_level]]&lt;=WarehouseData[[#This Row],[reorder_point]],"Low Stock","Sufficient Stock")</f>
        <v>Sufficient Stock</v>
      </c>
      <c r="Y2687">
        <f>WarehouseData[[#This Row],[daily_demand]]*WarehouseData[[#This Row],[lead_time_days]]</f>
        <v>268.92</v>
      </c>
      <c r="Z2687" t="str">
        <f>IF(WarehouseData[[#This Row],[stock_level]]&lt;=WarehouseData[[#This Row],[Demand During Lead Time]],"At Risk","Safe")</f>
        <v>At Risk</v>
      </c>
      <c r="AA2687">
        <f>WarehouseData[[#This Row],[stock_level]]/WarehouseData[[#This Row],[daily_demand]]</f>
        <v>8.7014725568942435</v>
      </c>
      <c r="AB2687">
        <f>WarehouseData[[#This Row],[stock_level]]*WarehouseData[[#This Row],[unit_price]]</f>
        <v>25220</v>
      </c>
      <c r="AC2687">
        <f>WarehouseData[[#This Row],[stock_level]]*WarehouseData[[#This Row],[holding_cost_per_unit_day]]*30</f>
        <v>3198</v>
      </c>
      <c r="AD2687" t="str">
        <f>IF(WarehouseData[[#This Row],[order_fulfillment_rate]]&gt;=0.9,"Strong",IF(WarehouseData[[#This Row],[order_fulfillment_rate]]&gt;=0.8,"Moderate","Needs Attention"))</f>
        <v>Moderate</v>
      </c>
      <c r="AE2687" t="str">
        <f>IF(WarehouseData[[#This Row],[picking_time_seconds]]&gt;120,"Slow",IF(WarehouseData[[#This Row],[picking_time_seconds]]&gt;=60,"Average","Fast"))</f>
        <v>Fast</v>
      </c>
    </row>
    <row r="2688" spans="1:31" x14ac:dyDescent="0.25">
      <c r="A2688" t="s">
        <v>2826</v>
      </c>
      <c r="B2688" t="s">
        <v>36</v>
      </c>
      <c r="C2688">
        <v>262</v>
      </c>
      <c r="D2688">
        <v>62</v>
      </c>
      <c r="E2688">
        <v>14</v>
      </c>
      <c r="F2688">
        <v>8</v>
      </c>
      <c r="G2688">
        <v>28.82</v>
      </c>
      <c r="H2688">
        <v>3.35</v>
      </c>
      <c r="I2688">
        <v>0.56000000000000005</v>
      </c>
      <c r="J2688" t="s">
        <v>106</v>
      </c>
      <c r="K2688" t="s">
        <v>34</v>
      </c>
      <c r="L2688">
        <v>120</v>
      </c>
      <c r="M2688">
        <v>3.38</v>
      </c>
      <c r="N2688">
        <v>40.68</v>
      </c>
      <c r="O2688">
        <v>1.54</v>
      </c>
      <c r="P2688">
        <v>5</v>
      </c>
      <c r="Q2688">
        <v>0.98</v>
      </c>
      <c r="R2688">
        <v>437</v>
      </c>
      <c r="S2688">
        <v>5.83</v>
      </c>
      <c r="T2688">
        <v>1</v>
      </c>
      <c r="U2688" s="1">
        <v>45588</v>
      </c>
      <c r="V2688">
        <v>289.19</v>
      </c>
      <c r="W2688">
        <v>0.62</v>
      </c>
      <c r="X2688" t="str">
        <f>IF(WarehouseData[[#This Row],[stock_level]]&lt;=WarehouseData[[#This Row],[reorder_point]],"Low Stock","Sufficient Stock")</f>
        <v>Sufficient Stock</v>
      </c>
      <c r="Y2688">
        <f>WarehouseData[[#This Row],[daily_demand]]*WarehouseData[[#This Row],[lead_time_days]]</f>
        <v>230.56</v>
      </c>
      <c r="Z2688" t="str">
        <f>IF(WarehouseData[[#This Row],[stock_level]]&lt;=WarehouseData[[#This Row],[Demand During Lead Time]],"At Risk","Safe")</f>
        <v>Safe</v>
      </c>
      <c r="AA2688">
        <f>WarehouseData[[#This Row],[stock_level]]/WarehouseData[[#This Row],[daily_demand]]</f>
        <v>9.0909090909090899</v>
      </c>
      <c r="AB2688">
        <f>WarehouseData[[#This Row],[stock_level]]*WarehouseData[[#This Row],[unit_price]]</f>
        <v>10658.16</v>
      </c>
      <c r="AC2688">
        <f>WarehouseData[[#This Row],[stock_level]]*WarehouseData[[#This Row],[holding_cost_per_unit_day]]*30</f>
        <v>12104.400000000001</v>
      </c>
      <c r="AD2688" t="str">
        <f>IF(WarehouseData[[#This Row],[order_fulfillment_rate]]&gt;=0.9,"Strong",IF(WarehouseData[[#This Row],[order_fulfillment_rate]]&gt;=0.8,"Moderate","Needs Attention"))</f>
        <v>Strong</v>
      </c>
      <c r="AE2688" t="str">
        <f>IF(WarehouseData[[#This Row],[picking_time_seconds]]&gt;120,"Slow",IF(WarehouseData[[#This Row],[picking_time_seconds]]&gt;=60,"Average","Fast"))</f>
        <v>Average</v>
      </c>
    </row>
    <row r="2689" spans="1:31" x14ac:dyDescent="0.25">
      <c r="A2689" t="s">
        <v>2827</v>
      </c>
      <c r="B2689" t="s">
        <v>73</v>
      </c>
      <c r="C2689">
        <v>37</v>
      </c>
      <c r="D2689">
        <v>72</v>
      </c>
      <c r="E2689">
        <v>7</v>
      </c>
      <c r="F2689">
        <v>9</v>
      </c>
      <c r="G2689">
        <v>48.58</v>
      </c>
      <c r="H2689">
        <v>3.04</v>
      </c>
      <c r="I2689">
        <v>0.45</v>
      </c>
      <c r="J2689" t="s">
        <v>236</v>
      </c>
      <c r="K2689" t="s">
        <v>46</v>
      </c>
      <c r="L2689">
        <v>155</v>
      </c>
      <c r="M2689">
        <v>3.48</v>
      </c>
      <c r="N2689">
        <v>143.84</v>
      </c>
      <c r="O2689">
        <v>1.79</v>
      </c>
      <c r="P2689">
        <v>7</v>
      </c>
      <c r="Q2689">
        <v>0.98</v>
      </c>
      <c r="R2689">
        <v>328</v>
      </c>
      <c r="S2689">
        <v>11.83</v>
      </c>
      <c r="T2689">
        <v>0.81</v>
      </c>
      <c r="U2689" s="1">
        <v>45570</v>
      </c>
      <c r="V2689">
        <v>62.86</v>
      </c>
      <c r="W2689">
        <v>0.59699999999999998</v>
      </c>
      <c r="X2689" t="str">
        <f>IF(WarehouseData[[#This Row],[stock_level]]&lt;=WarehouseData[[#This Row],[reorder_point]],"Low Stock","Sufficient Stock")</f>
        <v>Low Stock</v>
      </c>
      <c r="Y2689">
        <f>WarehouseData[[#This Row],[daily_demand]]*WarehouseData[[#This Row],[lead_time_days]]</f>
        <v>437.21999999999997</v>
      </c>
      <c r="Z2689" t="str">
        <f>IF(WarehouseData[[#This Row],[stock_level]]&lt;=WarehouseData[[#This Row],[Demand During Lead Time]],"At Risk","Safe")</f>
        <v>At Risk</v>
      </c>
      <c r="AA2689">
        <f>WarehouseData[[#This Row],[stock_level]]/WarehouseData[[#This Row],[daily_demand]]</f>
        <v>0.76163030053519964</v>
      </c>
      <c r="AB2689">
        <f>WarehouseData[[#This Row],[stock_level]]*WarehouseData[[#This Row],[unit_price]]</f>
        <v>5322.08</v>
      </c>
      <c r="AC2689">
        <f>WarehouseData[[#This Row],[stock_level]]*WarehouseData[[#This Row],[holding_cost_per_unit_day]]*30</f>
        <v>1986.9</v>
      </c>
      <c r="AD2689" t="str">
        <f>IF(WarehouseData[[#This Row],[order_fulfillment_rate]]&gt;=0.9,"Strong",IF(WarehouseData[[#This Row],[order_fulfillment_rate]]&gt;=0.8,"Moderate","Needs Attention"))</f>
        <v>Strong</v>
      </c>
      <c r="AE2689" t="str">
        <f>IF(WarehouseData[[#This Row],[picking_time_seconds]]&gt;120,"Slow",IF(WarehouseData[[#This Row],[picking_time_seconds]]&gt;=60,"Average","Fast"))</f>
        <v>Slow</v>
      </c>
    </row>
    <row r="2690" spans="1:31" x14ac:dyDescent="0.25">
      <c r="A2690" t="s">
        <v>2828</v>
      </c>
      <c r="B2690" t="s">
        <v>40</v>
      </c>
      <c r="C2690">
        <v>206</v>
      </c>
      <c r="D2690">
        <v>20</v>
      </c>
      <c r="E2690">
        <v>6</v>
      </c>
      <c r="F2690">
        <v>5</v>
      </c>
      <c r="G2690">
        <v>44.29</v>
      </c>
      <c r="H2690">
        <v>2.57</v>
      </c>
      <c r="I2690">
        <v>0.28999999999999998</v>
      </c>
      <c r="J2690" t="s">
        <v>565</v>
      </c>
      <c r="K2690" t="s">
        <v>38</v>
      </c>
      <c r="L2690">
        <v>124</v>
      </c>
      <c r="M2690">
        <v>3.28</v>
      </c>
      <c r="N2690">
        <v>118.64</v>
      </c>
      <c r="O2690">
        <v>1.1000000000000001</v>
      </c>
      <c r="P2690">
        <v>1</v>
      </c>
      <c r="Q2690">
        <v>0.77</v>
      </c>
      <c r="R2690">
        <v>151</v>
      </c>
      <c r="S2690">
        <v>10.29</v>
      </c>
      <c r="T2690">
        <v>0.34</v>
      </c>
      <c r="U2690" s="1">
        <v>45583</v>
      </c>
      <c r="V2690">
        <v>211.25</v>
      </c>
      <c r="W2690">
        <v>0.629</v>
      </c>
      <c r="X2690" t="str">
        <f>IF(WarehouseData[[#This Row],[stock_level]]&lt;=WarehouseData[[#This Row],[reorder_point]],"Low Stock","Sufficient Stock")</f>
        <v>Sufficient Stock</v>
      </c>
      <c r="Y2690">
        <f>WarehouseData[[#This Row],[daily_demand]]*WarehouseData[[#This Row],[lead_time_days]]</f>
        <v>221.45</v>
      </c>
      <c r="Z2690" t="str">
        <f>IF(WarehouseData[[#This Row],[stock_level]]&lt;=WarehouseData[[#This Row],[Demand During Lead Time]],"At Risk","Safe")</f>
        <v>At Risk</v>
      </c>
      <c r="AA2690">
        <f>WarehouseData[[#This Row],[stock_level]]/WarehouseData[[#This Row],[daily_demand]]</f>
        <v>4.6511627906976747</v>
      </c>
      <c r="AB2690">
        <f>WarehouseData[[#This Row],[stock_level]]*WarehouseData[[#This Row],[unit_price]]</f>
        <v>24439.84</v>
      </c>
      <c r="AC2690">
        <f>WarehouseData[[#This Row],[stock_level]]*WarehouseData[[#This Row],[holding_cost_per_unit_day]]*30</f>
        <v>6798.0000000000009</v>
      </c>
      <c r="AD2690" t="str">
        <f>IF(WarehouseData[[#This Row],[order_fulfillment_rate]]&gt;=0.9,"Strong",IF(WarehouseData[[#This Row],[order_fulfillment_rate]]&gt;=0.8,"Moderate","Needs Attention"))</f>
        <v>Needs Attention</v>
      </c>
      <c r="AE2690" t="str">
        <f>IF(WarehouseData[[#This Row],[picking_time_seconds]]&gt;120,"Slow",IF(WarehouseData[[#This Row],[picking_time_seconds]]&gt;=60,"Average","Fast"))</f>
        <v>Slow</v>
      </c>
    </row>
    <row r="2691" spans="1:31" x14ac:dyDescent="0.25">
      <c r="A2691" t="s">
        <v>2829</v>
      </c>
      <c r="B2691" t="s">
        <v>73</v>
      </c>
      <c r="C2691">
        <v>365</v>
      </c>
      <c r="D2691">
        <v>40</v>
      </c>
      <c r="E2691">
        <v>10</v>
      </c>
      <c r="F2691">
        <v>9</v>
      </c>
      <c r="G2691">
        <v>47.33</v>
      </c>
      <c r="H2691">
        <v>8.33</v>
      </c>
      <c r="I2691">
        <v>0.78</v>
      </c>
      <c r="J2691" t="s">
        <v>43</v>
      </c>
      <c r="K2691" t="s">
        <v>52</v>
      </c>
      <c r="L2691">
        <v>179</v>
      </c>
      <c r="M2691">
        <v>3.49</v>
      </c>
      <c r="N2691">
        <v>61.32</v>
      </c>
      <c r="O2691">
        <v>0.15</v>
      </c>
      <c r="P2691">
        <v>5</v>
      </c>
      <c r="Q2691">
        <v>0.79</v>
      </c>
      <c r="R2691">
        <v>638</v>
      </c>
      <c r="S2691">
        <v>5.22</v>
      </c>
      <c r="T2691">
        <v>0.71</v>
      </c>
      <c r="U2691" s="1">
        <v>45381</v>
      </c>
      <c r="V2691">
        <v>246.6</v>
      </c>
      <c r="W2691">
        <v>0.65500000000000003</v>
      </c>
      <c r="X2691" t="str">
        <f>IF(WarehouseData[[#This Row],[stock_level]]&lt;=WarehouseData[[#This Row],[reorder_point]],"Low Stock","Sufficient Stock")</f>
        <v>Sufficient Stock</v>
      </c>
      <c r="Y2691">
        <f>WarehouseData[[#This Row],[daily_demand]]*WarehouseData[[#This Row],[lead_time_days]]</f>
        <v>425.96999999999997</v>
      </c>
      <c r="Z2691" t="str">
        <f>IF(WarehouseData[[#This Row],[stock_level]]&lt;=WarehouseData[[#This Row],[Demand During Lead Time]],"At Risk","Safe")</f>
        <v>At Risk</v>
      </c>
      <c r="AA2691">
        <f>WarehouseData[[#This Row],[stock_level]]/WarehouseData[[#This Row],[daily_demand]]</f>
        <v>7.7118106908937252</v>
      </c>
      <c r="AB2691">
        <f>WarehouseData[[#This Row],[stock_level]]*WarehouseData[[#This Row],[unit_price]]</f>
        <v>22381.8</v>
      </c>
      <c r="AC2691">
        <f>WarehouseData[[#This Row],[stock_level]]*WarehouseData[[#This Row],[holding_cost_per_unit_day]]*30</f>
        <v>1642.5</v>
      </c>
      <c r="AD2691" t="str">
        <f>IF(WarehouseData[[#This Row],[order_fulfillment_rate]]&gt;=0.9,"Strong",IF(WarehouseData[[#This Row],[order_fulfillment_rate]]&gt;=0.8,"Moderate","Needs Attention"))</f>
        <v>Needs Attention</v>
      </c>
      <c r="AE2691" t="str">
        <f>IF(WarehouseData[[#This Row],[picking_time_seconds]]&gt;120,"Slow",IF(WarehouseData[[#This Row],[picking_time_seconds]]&gt;=60,"Average","Fast"))</f>
        <v>Slow</v>
      </c>
    </row>
    <row r="2692" spans="1:31" x14ac:dyDescent="0.25">
      <c r="A2692" t="s">
        <v>2830</v>
      </c>
      <c r="B2692" t="s">
        <v>32</v>
      </c>
      <c r="C2692">
        <v>163</v>
      </c>
      <c r="D2692">
        <v>58</v>
      </c>
      <c r="E2692">
        <v>9</v>
      </c>
      <c r="F2692">
        <v>8</v>
      </c>
      <c r="G2692">
        <v>6.57</v>
      </c>
      <c r="H2692">
        <v>6.03</v>
      </c>
      <c r="I2692">
        <v>0.24</v>
      </c>
      <c r="J2692" t="s">
        <v>316</v>
      </c>
      <c r="K2692" t="s">
        <v>34</v>
      </c>
      <c r="L2692">
        <v>21</v>
      </c>
      <c r="M2692">
        <v>1.9</v>
      </c>
      <c r="N2692">
        <v>190.59</v>
      </c>
      <c r="O2692">
        <v>0.79</v>
      </c>
      <c r="P2692">
        <v>3</v>
      </c>
      <c r="Q2692">
        <v>0.75</v>
      </c>
      <c r="R2692">
        <v>439</v>
      </c>
      <c r="S2692">
        <v>2.78</v>
      </c>
      <c r="T2692">
        <v>0.21</v>
      </c>
      <c r="U2692" s="1">
        <v>45484</v>
      </c>
      <c r="V2692">
        <v>274.5</v>
      </c>
      <c r="W2692">
        <v>0.49</v>
      </c>
      <c r="X2692" t="str">
        <f>IF(WarehouseData[[#This Row],[stock_level]]&lt;=WarehouseData[[#This Row],[reorder_point]],"Low Stock","Sufficient Stock")</f>
        <v>Sufficient Stock</v>
      </c>
      <c r="Y2692">
        <f>WarehouseData[[#This Row],[daily_demand]]*WarehouseData[[#This Row],[lead_time_days]]</f>
        <v>52.56</v>
      </c>
      <c r="Z2692" t="str">
        <f>IF(WarehouseData[[#This Row],[stock_level]]&lt;=WarehouseData[[#This Row],[Demand During Lead Time]],"At Risk","Safe")</f>
        <v>Safe</v>
      </c>
      <c r="AA2692">
        <f>WarehouseData[[#This Row],[stock_level]]/WarehouseData[[#This Row],[daily_demand]]</f>
        <v>24.80974124809741</v>
      </c>
      <c r="AB2692">
        <f>WarehouseData[[#This Row],[stock_level]]*WarehouseData[[#This Row],[unit_price]]</f>
        <v>31066.170000000002</v>
      </c>
      <c r="AC2692">
        <f>WarehouseData[[#This Row],[stock_level]]*WarehouseData[[#This Row],[holding_cost_per_unit_day]]*30</f>
        <v>3863.1000000000004</v>
      </c>
      <c r="AD2692" t="str">
        <f>IF(WarehouseData[[#This Row],[order_fulfillment_rate]]&gt;=0.9,"Strong",IF(WarehouseData[[#This Row],[order_fulfillment_rate]]&gt;=0.8,"Moderate","Needs Attention"))</f>
        <v>Needs Attention</v>
      </c>
      <c r="AE2692" t="str">
        <f>IF(WarehouseData[[#This Row],[picking_time_seconds]]&gt;120,"Slow",IF(WarehouseData[[#This Row],[picking_time_seconds]]&gt;=60,"Average","Fast"))</f>
        <v>Fast</v>
      </c>
    </row>
    <row r="2693" spans="1:31" x14ac:dyDescent="0.25">
      <c r="A2693" t="s">
        <v>2831</v>
      </c>
      <c r="B2693" t="s">
        <v>73</v>
      </c>
      <c r="C2693">
        <v>281</v>
      </c>
      <c r="D2693">
        <v>96</v>
      </c>
      <c r="E2693">
        <v>8</v>
      </c>
      <c r="F2693">
        <v>3</v>
      </c>
      <c r="G2693">
        <v>43.54</v>
      </c>
      <c r="H2693">
        <v>7.24</v>
      </c>
      <c r="I2693">
        <v>0.82</v>
      </c>
      <c r="J2693" t="s">
        <v>66</v>
      </c>
      <c r="K2693" t="s">
        <v>34</v>
      </c>
      <c r="L2693">
        <v>88</v>
      </c>
      <c r="M2693">
        <v>2.5099999999999998</v>
      </c>
      <c r="N2693">
        <v>65.430000000000007</v>
      </c>
      <c r="O2693">
        <v>0.56000000000000005</v>
      </c>
      <c r="P2693">
        <v>6</v>
      </c>
      <c r="Q2693">
        <v>0.98</v>
      </c>
      <c r="R2693">
        <v>251</v>
      </c>
      <c r="S2693">
        <v>12.3</v>
      </c>
      <c r="T2693">
        <v>0.57999999999999996</v>
      </c>
      <c r="U2693" s="1">
        <v>45626</v>
      </c>
      <c r="V2693">
        <v>163.28</v>
      </c>
      <c r="W2693">
        <v>0.7</v>
      </c>
      <c r="X2693" t="str">
        <f>IF(WarehouseData[[#This Row],[stock_level]]&lt;=WarehouseData[[#This Row],[reorder_point]],"Low Stock","Sufficient Stock")</f>
        <v>Sufficient Stock</v>
      </c>
      <c r="Y2693">
        <f>WarehouseData[[#This Row],[daily_demand]]*WarehouseData[[#This Row],[lead_time_days]]</f>
        <v>130.62</v>
      </c>
      <c r="Z2693" t="str">
        <f>IF(WarehouseData[[#This Row],[stock_level]]&lt;=WarehouseData[[#This Row],[Demand During Lead Time]],"At Risk","Safe")</f>
        <v>Safe</v>
      </c>
      <c r="AA2693">
        <f>WarehouseData[[#This Row],[stock_level]]/WarehouseData[[#This Row],[daily_demand]]</f>
        <v>6.4538355535140104</v>
      </c>
      <c r="AB2693">
        <f>WarehouseData[[#This Row],[stock_level]]*WarehouseData[[#This Row],[unit_price]]</f>
        <v>18385.830000000002</v>
      </c>
      <c r="AC2693">
        <f>WarehouseData[[#This Row],[stock_level]]*WarehouseData[[#This Row],[holding_cost_per_unit_day]]*30</f>
        <v>4720.8</v>
      </c>
      <c r="AD2693" t="str">
        <f>IF(WarehouseData[[#This Row],[order_fulfillment_rate]]&gt;=0.9,"Strong",IF(WarehouseData[[#This Row],[order_fulfillment_rate]]&gt;=0.8,"Moderate","Needs Attention"))</f>
        <v>Strong</v>
      </c>
      <c r="AE2693" t="str">
        <f>IF(WarehouseData[[#This Row],[picking_time_seconds]]&gt;120,"Slow",IF(WarehouseData[[#This Row],[picking_time_seconds]]&gt;=60,"Average","Fast"))</f>
        <v>Average</v>
      </c>
    </row>
    <row r="2694" spans="1:31" x14ac:dyDescent="0.25">
      <c r="A2694" t="s">
        <v>2832</v>
      </c>
      <c r="B2694" t="s">
        <v>32</v>
      </c>
      <c r="C2694">
        <v>460</v>
      </c>
      <c r="D2694">
        <v>28</v>
      </c>
      <c r="E2694">
        <v>7</v>
      </c>
      <c r="F2694">
        <v>4</v>
      </c>
      <c r="G2694">
        <v>7.33</v>
      </c>
      <c r="H2694">
        <v>8.67</v>
      </c>
      <c r="I2694">
        <v>0.61</v>
      </c>
      <c r="J2694" t="s">
        <v>110</v>
      </c>
      <c r="K2694" t="s">
        <v>46</v>
      </c>
      <c r="L2694">
        <v>128</v>
      </c>
      <c r="M2694">
        <v>3.51</v>
      </c>
      <c r="N2694">
        <v>115.45</v>
      </c>
      <c r="O2694">
        <v>1.31</v>
      </c>
      <c r="P2694">
        <v>7</v>
      </c>
      <c r="Q2694">
        <v>0.82</v>
      </c>
      <c r="R2694">
        <v>616</v>
      </c>
      <c r="S2694">
        <v>10</v>
      </c>
      <c r="T2694">
        <v>0.63</v>
      </c>
      <c r="U2694" s="1">
        <v>45485</v>
      </c>
      <c r="V2694">
        <v>115.3</v>
      </c>
      <c r="W2694">
        <v>0.55200000000000005</v>
      </c>
      <c r="X2694" t="str">
        <f>IF(WarehouseData[[#This Row],[stock_level]]&lt;=WarehouseData[[#This Row],[reorder_point]],"Low Stock","Sufficient Stock")</f>
        <v>Sufficient Stock</v>
      </c>
      <c r="Y2694">
        <f>WarehouseData[[#This Row],[daily_demand]]*WarehouseData[[#This Row],[lead_time_days]]</f>
        <v>29.32</v>
      </c>
      <c r="Z2694" t="str">
        <f>IF(WarehouseData[[#This Row],[stock_level]]&lt;=WarehouseData[[#This Row],[Demand During Lead Time]],"At Risk","Safe")</f>
        <v>Safe</v>
      </c>
      <c r="AA2694">
        <f>WarehouseData[[#This Row],[stock_level]]/WarehouseData[[#This Row],[daily_demand]]</f>
        <v>62.755798090040926</v>
      </c>
      <c r="AB2694">
        <f>WarehouseData[[#This Row],[stock_level]]*WarehouseData[[#This Row],[unit_price]]</f>
        <v>53107</v>
      </c>
      <c r="AC2694">
        <f>WarehouseData[[#This Row],[stock_level]]*WarehouseData[[#This Row],[holding_cost_per_unit_day]]*30</f>
        <v>18078</v>
      </c>
      <c r="AD2694" t="str">
        <f>IF(WarehouseData[[#This Row],[order_fulfillment_rate]]&gt;=0.9,"Strong",IF(WarehouseData[[#This Row],[order_fulfillment_rate]]&gt;=0.8,"Moderate","Needs Attention"))</f>
        <v>Moderate</v>
      </c>
      <c r="AE2694" t="str">
        <f>IF(WarehouseData[[#This Row],[picking_time_seconds]]&gt;120,"Slow",IF(WarehouseData[[#This Row],[picking_time_seconds]]&gt;=60,"Average","Fast"))</f>
        <v>Slow</v>
      </c>
    </row>
    <row r="2695" spans="1:31" x14ac:dyDescent="0.25">
      <c r="A2695" t="s">
        <v>2833</v>
      </c>
      <c r="B2695" t="s">
        <v>48</v>
      </c>
      <c r="C2695">
        <v>383</v>
      </c>
      <c r="D2695">
        <v>21</v>
      </c>
      <c r="E2695">
        <v>7</v>
      </c>
      <c r="F2695">
        <v>8</v>
      </c>
      <c r="G2695">
        <v>32.01</v>
      </c>
      <c r="H2695">
        <v>9.8800000000000008</v>
      </c>
      <c r="I2695">
        <v>0.85</v>
      </c>
      <c r="J2695" t="s">
        <v>79</v>
      </c>
      <c r="K2695" t="s">
        <v>52</v>
      </c>
      <c r="L2695">
        <v>45</v>
      </c>
      <c r="M2695">
        <v>3.89</v>
      </c>
      <c r="N2695">
        <v>162.30000000000001</v>
      </c>
      <c r="O2695">
        <v>1.0900000000000001</v>
      </c>
      <c r="P2695">
        <v>5</v>
      </c>
      <c r="Q2695">
        <v>0.83</v>
      </c>
      <c r="R2695">
        <v>770</v>
      </c>
      <c r="S2695">
        <v>5.21</v>
      </c>
      <c r="T2695">
        <v>0.98</v>
      </c>
      <c r="U2695" s="1">
        <v>45479</v>
      </c>
      <c r="V2695">
        <v>287.05</v>
      </c>
      <c r="W2695">
        <v>0.622</v>
      </c>
      <c r="X2695" t="str">
        <f>IF(WarehouseData[[#This Row],[stock_level]]&lt;=WarehouseData[[#This Row],[reorder_point]],"Low Stock","Sufficient Stock")</f>
        <v>Sufficient Stock</v>
      </c>
      <c r="Y2695">
        <f>WarehouseData[[#This Row],[daily_demand]]*WarehouseData[[#This Row],[lead_time_days]]</f>
        <v>256.08</v>
      </c>
      <c r="Z2695" t="str">
        <f>IF(WarehouseData[[#This Row],[stock_level]]&lt;=WarehouseData[[#This Row],[Demand During Lead Time]],"At Risk","Safe")</f>
        <v>Safe</v>
      </c>
      <c r="AA2695">
        <f>WarehouseData[[#This Row],[stock_level]]/WarehouseData[[#This Row],[daily_demand]]</f>
        <v>11.9650109340831</v>
      </c>
      <c r="AB2695">
        <f>WarehouseData[[#This Row],[stock_level]]*WarehouseData[[#This Row],[unit_price]]</f>
        <v>62160.9</v>
      </c>
      <c r="AC2695">
        <f>WarehouseData[[#This Row],[stock_level]]*WarehouseData[[#This Row],[holding_cost_per_unit_day]]*30</f>
        <v>12524.1</v>
      </c>
      <c r="AD2695" t="str">
        <f>IF(WarehouseData[[#This Row],[order_fulfillment_rate]]&gt;=0.9,"Strong",IF(WarehouseData[[#This Row],[order_fulfillment_rate]]&gt;=0.8,"Moderate","Needs Attention"))</f>
        <v>Moderate</v>
      </c>
      <c r="AE2695" t="str">
        <f>IF(WarehouseData[[#This Row],[picking_time_seconds]]&gt;120,"Slow",IF(WarehouseData[[#This Row],[picking_time_seconds]]&gt;=60,"Average","Fast"))</f>
        <v>Fast</v>
      </c>
    </row>
    <row r="2696" spans="1:31" x14ac:dyDescent="0.25">
      <c r="A2696" t="s">
        <v>2834</v>
      </c>
      <c r="B2696" t="s">
        <v>48</v>
      </c>
      <c r="C2696">
        <v>450</v>
      </c>
      <c r="D2696">
        <v>24</v>
      </c>
      <c r="E2696">
        <v>12</v>
      </c>
      <c r="F2696">
        <v>9</v>
      </c>
      <c r="G2696">
        <v>36.28</v>
      </c>
      <c r="H2696">
        <v>2.87</v>
      </c>
      <c r="I2696">
        <v>0.1</v>
      </c>
      <c r="J2696" t="s">
        <v>259</v>
      </c>
      <c r="K2696" t="s">
        <v>34</v>
      </c>
      <c r="L2696">
        <v>17</v>
      </c>
      <c r="M2696">
        <v>2.4500000000000002</v>
      </c>
      <c r="N2696">
        <v>107.64</v>
      </c>
      <c r="O2696">
        <v>0.78</v>
      </c>
      <c r="P2696">
        <v>0</v>
      </c>
      <c r="Q2696">
        <v>0.94</v>
      </c>
      <c r="R2696">
        <v>441</v>
      </c>
      <c r="S2696">
        <v>8.33</v>
      </c>
      <c r="T2696">
        <v>0.79</v>
      </c>
      <c r="U2696" s="1">
        <v>45592</v>
      </c>
      <c r="V2696">
        <v>239.53</v>
      </c>
      <c r="W2696">
        <v>0.77900000000000003</v>
      </c>
      <c r="X2696" t="str">
        <f>IF(WarehouseData[[#This Row],[stock_level]]&lt;=WarehouseData[[#This Row],[reorder_point]],"Low Stock","Sufficient Stock")</f>
        <v>Sufficient Stock</v>
      </c>
      <c r="Y2696">
        <f>WarehouseData[[#This Row],[daily_demand]]*WarehouseData[[#This Row],[lead_time_days]]</f>
        <v>326.52</v>
      </c>
      <c r="Z2696" t="str">
        <f>IF(WarehouseData[[#This Row],[stock_level]]&lt;=WarehouseData[[#This Row],[Demand During Lead Time]],"At Risk","Safe")</f>
        <v>Safe</v>
      </c>
      <c r="AA2696">
        <f>WarehouseData[[#This Row],[stock_level]]/WarehouseData[[#This Row],[daily_demand]]</f>
        <v>12.403528114663727</v>
      </c>
      <c r="AB2696">
        <f>WarehouseData[[#This Row],[stock_level]]*WarehouseData[[#This Row],[unit_price]]</f>
        <v>48438</v>
      </c>
      <c r="AC2696">
        <f>WarehouseData[[#This Row],[stock_level]]*WarehouseData[[#This Row],[holding_cost_per_unit_day]]*30</f>
        <v>10530</v>
      </c>
      <c r="AD2696" t="str">
        <f>IF(WarehouseData[[#This Row],[order_fulfillment_rate]]&gt;=0.9,"Strong",IF(WarehouseData[[#This Row],[order_fulfillment_rate]]&gt;=0.8,"Moderate","Needs Attention"))</f>
        <v>Strong</v>
      </c>
      <c r="AE2696" t="str">
        <f>IF(WarehouseData[[#This Row],[picking_time_seconds]]&gt;120,"Slow",IF(WarehouseData[[#This Row],[picking_time_seconds]]&gt;=60,"Average","Fast"))</f>
        <v>Fast</v>
      </c>
    </row>
    <row r="2697" spans="1:31" x14ac:dyDescent="0.25">
      <c r="A2697" t="s">
        <v>2835</v>
      </c>
      <c r="B2697" t="s">
        <v>36</v>
      </c>
      <c r="C2697">
        <v>258</v>
      </c>
      <c r="D2697">
        <v>40</v>
      </c>
      <c r="E2697">
        <v>4</v>
      </c>
      <c r="F2697">
        <v>2</v>
      </c>
      <c r="G2697">
        <v>8.8800000000000008</v>
      </c>
      <c r="H2697">
        <v>2.2200000000000002</v>
      </c>
      <c r="I2697">
        <v>0.77</v>
      </c>
      <c r="J2697" t="s">
        <v>137</v>
      </c>
      <c r="K2697" t="s">
        <v>38</v>
      </c>
      <c r="L2697">
        <v>37</v>
      </c>
      <c r="M2697">
        <v>2.14</v>
      </c>
      <c r="N2697">
        <v>192.56</v>
      </c>
      <c r="O2697">
        <v>1.33</v>
      </c>
      <c r="P2697">
        <v>7</v>
      </c>
      <c r="Q2697">
        <v>0.85</v>
      </c>
      <c r="R2697">
        <v>890</v>
      </c>
      <c r="S2697">
        <v>9.57</v>
      </c>
      <c r="T2697">
        <v>0.76</v>
      </c>
      <c r="U2697" s="1">
        <v>45626</v>
      </c>
      <c r="V2697">
        <v>146.54</v>
      </c>
      <c r="W2697">
        <v>0.57699999999999996</v>
      </c>
      <c r="X2697" t="str">
        <f>IF(WarehouseData[[#This Row],[stock_level]]&lt;=WarehouseData[[#This Row],[reorder_point]],"Low Stock","Sufficient Stock")</f>
        <v>Sufficient Stock</v>
      </c>
      <c r="Y2697">
        <f>WarehouseData[[#This Row],[daily_demand]]*WarehouseData[[#This Row],[lead_time_days]]</f>
        <v>17.760000000000002</v>
      </c>
      <c r="Z2697" t="str">
        <f>IF(WarehouseData[[#This Row],[stock_level]]&lt;=WarehouseData[[#This Row],[Demand During Lead Time]],"At Risk","Safe")</f>
        <v>Safe</v>
      </c>
      <c r="AA2697">
        <f>WarehouseData[[#This Row],[stock_level]]/WarehouseData[[#This Row],[daily_demand]]</f>
        <v>29.054054054054053</v>
      </c>
      <c r="AB2697">
        <f>WarehouseData[[#This Row],[stock_level]]*WarehouseData[[#This Row],[unit_price]]</f>
        <v>49680.480000000003</v>
      </c>
      <c r="AC2697">
        <f>WarehouseData[[#This Row],[stock_level]]*WarehouseData[[#This Row],[holding_cost_per_unit_day]]*30</f>
        <v>10294.200000000001</v>
      </c>
      <c r="AD2697" t="str">
        <f>IF(WarehouseData[[#This Row],[order_fulfillment_rate]]&gt;=0.9,"Strong",IF(WarehouseData[[#This Row],[order_fulfillment_rate]]&gt;=0.8,"Moderate","Needs Attention"))</f>
        <v>Moderate</v>
      </c>
      <c r="AE2697" t="str">
        <f>IF(WarehouseData[[#This Row],[picking_time_seconds]]&gt;120,"Slow",IF(WarehouseData[[#This Row],[picking_time_seconds]]&gt;=60,"Average","Fast"))</f>
        <v>Fast</v>
      </c>
    </row>
    <row r="2698" spans="1:31" x14ac:dyDescent="0.25">
      <c r="A2698" t="s">
        <v>2836</v>
      </c>
      <c r="B2698" t="s">
        <v>40</v>
      </c>
      <c r="C2698">
        <v>323</v>
      </c>
      <c r="D2698">
        <v>52</v>
      </c>
      <c r="E2698">
        <v>6</v>
      </c>
      <c r="F2698">
        <v>6</v>
      </c>
      <c r="G2698">
        <v>32</v>
      </c>
      <c r="H2698">
        <v>4.8899999999999997</v>
      </c>
      <c r="I2698">
        <v>0.15</v>
      </c>
      <c r="J2698" t="s">
        <v>332</v>
      </c>
      <c r="K2698" t="s">
        <v>34</v>
      </c>
      <c r="L2698">
        <v>125</v>
      </c>
      <c r="M2698">
        <v>3.72</v>
      </c>
      <c r="N2698">
        <v>170.33</v>
      </c>
      <c r="O2698">
        <v>1.21</v>
      </c>
      <c r="P2698">
        <v>0</v>
      </c>
      <c r="Q2698">
        <v>0.74</v>
      </c>
      <c r="R2698">
        <v>403</v>
      </c>
      <c r="S2698">
        <v>1.03</v>
      </c>
      <c r="T2698">
        <v>0.63</v>
      </c>
      <c r="U2698" s="1">
        <v>45331</v>
      </c>
      <c r="V2698">
        <v>198.84</v>
      </c>
      <c r="W2698">
        <v>0.56699999999999995</v>
      </c>
      <c r="X2698" t="str">
        <f>IF(WarehouseData[[#This Row],[stock_level]]&lt;=WarehouseData[[#This Row],[reorder_point]],"Low Stock","Sufficient Stock")</f>
        <v>Sufficient Stock</v>
      </c>
      <c r="Y2698">
        <f>WarehouseData[[#This Row],[daily_demand]]*WarehouseData[[#This Row],[lead_time_days]]</f>
        <v>192</v>
      </c>
      <c r="Z2698" t="str">
        <f>IF(WarehouseData[[#This Row],[stock_level]]&lt;=WarehouseData[[#This Row],[Demand During Lead Time]],"At Risk","Safe")</f>
        <v>Safe</v>
      </c>
      <c r="AA2698">
        <f>WarehouseData[[#This Row],[stock_level]]/WarehouseData[[#This Row],[daily_demand]]</f>
        <v>10.09375</v>
      </c>
      <c r="AB2698">
        <f>WarehouseData[[#This Row],[stock_level]]*WarehouseData[[#This Row],[unit_price]]</f>
        <v>55016.590000000004</v>
      </c>
      <c r="AC2698">
        <f>WarehouseData[[#This Row],[stock_level]]*WarehouseData[[#This Row],[holding_cost_per_unit_day]]*30</f>
        <v>11724.9</v>
      </c>
      <c r="AD2698" t="str">
        <f>IF(WarehouseData[[#This Row],[order_fulfillment_rate]]&gt;=0.9,"Strong",IF(WarehouseData[[#This Row],[order_fulfillment_rate]]&gt;=0.8,"Moderate","Needs Attention"))</f>
        <v>Needs Attention</v>
      </c>
      <c r="AE2698" t="str">
        <f>IF(WarehouseData[[#This Row],[picking_time_seconds]]&gt;120,"Slow",IF(WarehouseData[[#This Row],[picking_time_seconds]]&gt;=60,"Average","Fast"))</f>
        <v>Slow</v>
      </c>
    </row>
    <row r="2699" spans="1:31" x14ac:dyDescent="0.25">
      <c r="A2699" t="s">
        <v>2837</v>
      </c>
      <c r="B2699" t="s">
        <v>36</v>
      </c>
      <c r="C2699">
        <v>317</v>
      </c>
      <c r="D2699">
        <v>46</v>
      </c>
      <c r="E2699">
        <v>10</v>
      </c>
      <c r="F2699">
        <v>8</v>
      </c>
      <c r="G2699">
        <v>3.57</v>
      </c>
      <c r="H2699">
        <v>0.83</v>
      </c>
      <c r="I2699">
        <v>0.96</v>
      </c>
      <c r="J2699" t="s">
        <v>158</v>
      </c>
      <c r="K2699" t="s">
        <v>52</v>
      </c>
      <c r="L2699">
        <v>95</v>
      </c>
      <c r="M2699">
        <v>1.5</v>
      </c>
      <c r="N2699">
        <v>184.99</v>
      </c>
      <c r="O2699">
        <v>1.82</v>
      </c>
      <c r="P2699">
        <v>8</v>
      </c>
      <c r="Q2699">
        <v>0.83</v>
      </c>
      <c r="R2699">
        <v>642</v>
      </c>
      <c r="S2699">
        <v>10.39</v>
      </c>
      <c r="T2699">
        <v>0.61</v>
      </c>
      <c r="U2699" s="1">
        <v>45556</v>
      </c>
      <c r="V2699">
        <v>90.79</v>
      </c>
      <c r="W2699">
        <v>0.48499999999999999</v>
      </c>
      <c r="X2699" t="str">
        <f>IF(WarehouseData[[#This Row],[stock_level]]&lt;=WarehouseData[[#This Row],[reorder_point]],"Low Stock","Sufficient Stock")</f>
        <v>Sufficient Stock</v>
      </c>
      <c r="Y2699">
        <f>WarehouseData[[#This Row],[daily_demand]]*WarehouseData[[#This Row],[lead_time_days]]</f>
        <v>28.56</v>
      </c>
      <c r="Z2699" t="str">
        <f>IF(WarehouseData[[#This Row],[stock_level]]&lt;=WarehouseData[[#This Row],[Demand During Lead Time]],"At Risk","Safe")</f>
        <v>Safe</v>
      </c>
      <c r="AA2699">
        <f>WarehouseData[[#This Row],[stock_level]]/WarehouseData[[#This Row],[daily_demand]]</f>
        <v>88.79551820728291</v>
      </c>
      <c r="AB2699">
        <f>WarehouseData[[#This Row],[stock_level]]*WarehouseData[[#This Row],[unit_price]]</f>
        <v>58641.83</v>
      </c>
      <c r="AC2699">
        <f>WarehouseData[[#This Row],[stock_level]]*WarehouseData[[#This Row],[holding_cost_per_unit_day]]*30</f>
        <v>17308.2</v>
      </c>
      <c r="AD2699" t="str">
        <f>IF(WarehouseData[[#This Row],[order_fulfillment_rate]]&gt;=0.9,"Strong",IF(WarehouseData[[#This Row],[order_fulfillment_rate]]&gt;=0.8,"Moderate","Needs Attention"))</f>
        <v>Moderate</v>
      </c>
      <c r="AE2699" t="str">
        <f>IF(WarehouseData[[#This Row],[picking_time_seconds]]&gt;120,"Slow",IF(WarehouseData[[#This Row],[picking_time_seconds]]&gt;=60,"Average","Fast"))</f>
        <v>Average</v>
      </c>
    </row>
    <row r="2700" spans="1:31" x14ac:dyDescent="0.25">
      <c r="A2700" t="s">
        <v>2838</v>
      </c>
      <c r="B2700" t="s">
        <v>32</v>
      </c>
      <c r="C2700">
        <v>95</v>
      </c>
      <c r="D2700">
        <v>88</v>
      </c>
      <c r="E2700">
        <v>10</v>
      </c>
      <c r="F2700">
        <v>5</v>
      </c>
      <c r="G2700">
        <v>15.37</v>
      </c>
      <c r="H2700">
        <v>8.02</v>
      </c>
      <c r="I2700">
        <v>0.73</v>
      </c>
      <c r="J2700" t="s">
        <v>228</v>
      </c>
      <c r="K2700" t="s">
        <v>38</v>
      </c>
      <c r="L2700">
        <v>58</v>
      </c>
      <c r="M2700">
        <v>0.54</v>
      </c>
      <c r="N2700">
        <v>80.81</v>
      </c>
      <c r="O2700">
        <v>1.23</v>
      </c>
      <c r="P2700">
        <v>1</v>
      </c>
      <c r="Q2700">
        <v>0.89</v>
      </c>
      <c r="R2700">
        <v>805</v>
      </c>
      <c r="S2700">
        <v>10.19</v>
      </c>
      <c r="T2700">
        <v>0.99</v>
      </c>
      <c r="U2700" s="1">
        <v>45420</v>
      </c>
      <c r="V2700">
        <v>188.3</v>
      </c>
      <c r="W2700">
        <v>0.76900000000000002</v>
      </c>
      <c r="X2700" t="str">
        <f>IF(WarehouseData[[#This Row],[stock_level]]&lt;=WarehouseData[[#This Row],[reorder_point]],"Low Stock","Sufficient Stock")</f>
        <v>Sufficient Stock</v>
      </c>
      <c r="Y2700">
        <f>WarehouseData[[#This Row],[daily_demand]]*WarehouseData[[#This Row],[lead_time_days]]</f>
        <v>76.849999999999994</v>
      </c>
      <c r="Z2700" t="str">
        <f>IF(WarehouseData[[#This Row],[stock_level]]&lt;=WarehouseData[[#This Row],[Demand During Lead Time]],"At Risk","Safe")</f>
        <v>Safe</v>
      </c>
      <c r="AA2700">
        <f>WarehouseData[[#This Row],[stock_level]]/WarehouseData[[#This Row],[daily_demand]]</f>
        <v>6.1808718282368256</v>
      </c>
      <c r="AB2700">
        <f>WarehouseData[[#This Row],[stock_level]]*WarehouseData[[#This Row],[unit_price]]</f>
        <v>7676.95</v>
      </c>
      <c r="AC2700">
        <f>WarehouseData[[#This Row],[stock_level]]*WarehouseData[[#This Row],[holding_cost_per_unit_day]]*30</f>
        <v>3505.5</v>
      </c>
      <c r="AD2700" t="str">
        <f>IF(WarehouseData[[#This Row],[order_fulfillment_rate]]&gt;=0.9,"Strong",IF(WarehouseData[[#This Row],[order_fulfillment_rate]]&gt;=0.8,"Moderate","Needs Attention"))</f>
        <v>Moderate</v>
      </c>
      <c r="AE2700" t="str">
        <f>IF(WarehouseData[[#This Row],[picking_time_seconds]]&gt;120,"Slow",IF(WarehouseData[[#This Row],[picking_time_seconds]]&gt;=60,"Average","Fast"))</f>
        <v>Fast</v>
      </c>
    </row>
    <row r="2701" spans="1:31" x14ac:dyDescent="0.25">
      <c r="A2701" t="s">
        <v>2839</v>
      </c>
      <c r="B2701" t="s">
        <v>36</v>
      </c>
      <c r="C2701">
        <v>207</v>
      </c>
      <c r="D2701">
        <v>38</v>
      </c>
      <c r="E2701">
        <v>13</v>
      </c>
      <c r="F2701">
        <v>4</v>
      </c>
      <c r="G2701">
        <v>46.14</v>
      </c>
      <c r="H2701">
        <v>8.9</v>
      </c>
      <c r="I2701">
        <v>0.39</v>
      </c>
      <c r="J2701" t="s">
        <v>316</v>
      </c>
      <c r="K2701" t="s">
        <v>46</v>
      </c>
      <c r="L2701">
        <v>175</v>
      </c>
      <c r="M2701">
        <v>2.62</v>
      </c>
      <c r="N2701">
        <v>114.19</v>
      </c>
      <c r="O2701">
        <v>1.06</v>
      </c>
      <c r="P2701">
        <v>9</v>
      </c>
      <c r="Q2701">
        <v>0.92</v>
      </c>
      <c r="R2701">
        <v>284</v>
      </c>
      <c r="S2701">
        <v>2.16</v>
      </c>
      <c r="T2701">
        <v>0.22</v>
      </c>
      <c r="U2701" s="1">
        <v>45484</v>
      </c>
      <c r="V2701">
        <v>166.61</v>
      </c>
      <c r="W2701">
        <v>0.371</v>
      </c>
      <c r="X2701" t="str">
        <f>IF(WarehouseData[[#This Row],[stock_level]]&lt;=WarehouseData[[#This Row],[reorder_point]],"Low Stock","Sufficient Stock")</f>
        <v>Sufficient Stock</v>
      </c>
      <c r="Y2701">
        <f>WarehouseData[[#This Row],[daily_demand]]*WarehouseData[[#This Row],[lead_time_days]]</f>
        <v>184.56</v>
      </c>
      <c r="Z2701" t="str">
        <f>IF(WarehouseData[[#This Row],[stock_level]]&lt;=WarehouseData[[#This Row],[Demand During Lead Time]],"At Risk","Safe")</f>
        <v>Safe</v>
      </c>
      <c r="AA2701">
        <f>WarehouseData[[#This Row],[stock_level]]/WarehouseData[[#This Row],[daily_demand]]</f>
        <v>4.4863459037711308</v>
      </c>
      <c r="AB2701">
        <f>WarehouseData[[#This Row],[stock_level]]*WarehouseData[[#This Row],[unit_price]]</f>
        <v>23637.329999999998</v>
      </c>
      <c r="AC2701">
        <f>WarehouseData[[#This Row],[stock_level]]*WarehouseData[[#This Row],[holding_cost_per_unit_day]]*30</f>
        <v>6582.6</v>
      </c>
      <c r="AD2701" t="str">
        <f>IF(WarehouseData[[#This Row],[order_fulfillment_rate]]&gt;=0.9,"Strong",IF(WarehouseData[[#This Row],[order_fulfillment_rate]]&gt;=0.8,"Moderate","Needs Attention"))</f>
        <v>Strong</v>
      </c>
      <c r="AE2701" t="str">
        <f>IF(WarehouseData[[#This Row],[picking_time_seconds]]&gt;120,"Slow",IF(WarehouseData[[#This Row],[picking_time_seconds]]&gt;=60,"Average","Fast"))</f>
        <v>Slow</v>
      </c>
    </row>
    <row r="2702" spans="1:31" x14ac:dyDescent="0.25">
      <c r="A2702" t="s">
        <v>2840</v>
      </c>
      <c r="B2702" t="s">
        <v>73</v>
      </c>
      <c r="C2702">
        <v>352</v>
      </c>
      <c r="D2702">
        <v>35</v>
      </c>
      <c r="E2702">
        <v>3</v>
      </c>
      <c r="F2702">
        <v>8</v>
      </c>
      <c r="G2702">
        <v>9.41</v>
      </c>
      <c r="H2702">
        <v>7.02</v>
      </c>
      <c r="I2702">
        <v>0.39</v>
      </c>
      <c r="J2702" t="s">
        <v>357</v>
      </c>
      <c r="K2702" t="s">
        <v>38</v>
      </c>
      <c r="L2702">
        <v>89</v>
      </c>
      <c r="M2702">
        <v>1.28</v>
      </c>
      <c r="N2702">
        <v>169.63</v>
      </c>
      <c r="O2702">
        <v>1.66</v>
      </c>
      <c r="P2702">
        <v>5</v>
      </c>
      <c r="Q2702">
        <v>0.89</v>
      </c>
      <c r="R2702">
        <v>163</v>
      </c>
      <c r="S2702">
        <v>12.03</v>
      </c>
      <c r="T2702">
        <v>0.44</v>
      </c>
      <c r="U2702" s="1">
        <v>45406</v>
      </c>
      <c r="V2702">
        <v>21.38</v>
      </c>
      <c r="W2702">
        <v>0.56000000000000005</v>
      </c>
      <c r="X2702" t="str">
        <f>IF(WarehouseData[[#This Row],[stock_level]]&lt;=WarehouseData[[#This Row],[reorder_point]],"Low Stock","Sufficient Stock")</f>
        <v>Sufficient Stock</v>
      </c>
      <c r="Y2702">
        <f>WarehouseData[[#This Row],[daily_demand]]*WarehouseData[[#This Row],[lead_time_days]]</f>
        <v>75.28</v>
      </c>
      <c r="Z2702" t="str">
        <f>IF(WarehouseData[[#This Row],[stock_level]]&lt;=WarehouseData[[#This Row],[Demand During Lead Time]],"At Risk","Safe")</f>
        <v>Safe</v>
      </c>
      <c r="AA2702">
        <f>WarehouseData[[#This Row],[stock_level]]/WarehouseData[[#This Row],[daily_demand]]</f>
        <v>37.40701381509033</v>
      </c>
      <c r="AB2702">
        <f>WarehouseData[[#This Row],[stock_level]]*WarehouseData[[#This Row],[unit_price]]</f>
        <v>59709.759999999995</v>
      </c>
      <c r="AC2702">
        <f>WarehouseData[[#This Row],[stock_level]]*WarehouseData[[#This Row],[holding_cost_per_unit_day]]*30</f>
        <v>17529.599999999999</v>
      </c>
      <c r="AD2702" t="str">
        <f>IF(WarehouseData[[#This Row],[order_fulfillment_rate]]&gt;=0.9,"Strong",IF(WarehouseData[[#This Row],[order_fulfillment_rate]]&gt;=0.8,"Moderate","Needs Attention"))</f>
        <v>Moderate</v>
      </c>
      <c r="AE2702" t="str">
        <f>IF(WarehouseData[[#This Row],[picking_time_seconds]]&gt;120,"Slow",IF(WarehouseData[[#This Row],[picking_time_seconds]]&gt;=60,"Average","Fast"))</f>
        <v>Average</v>
      </c>
    </row>
    <row r="2703" spans="1:31" x14ac:dyDescent="0.25">
      <c r="A2703" t="s">
        <v>2841</v>
      </c>
      <c r="B2703" t="s">
        <v>32</v>
      </c>
      <c r="C2703">
        <v>407</v>
      </c>
      <c r="D2703">
        <v>11</v>
      </c>
      <c r="E2703">
        <v>4</v>
      </c>
      <c r="F2703">
        <v>7</v>
      </c>
      <c r="G2703">
        <v>4.2</v>
      </c>
      <c r="H2703">
        <v>3.05</v>
      </c>
      <c r="I2703">
        <v>0.88</v>
      </c>
      <c r="J2703" t="s">
        <v>334</v>
      </c>
      <c r="K2703" t="s">
        <v>52</v>
      </c>
      <c r="L2703">
        <v>14</v>
      </c>
      <c r="M2703">
        <v>2.2000000000000002</v>
      </c>
      <c r="N2703">
        <v>181.67</v>
      </c>
      <c r="O2703">
        <v>0.48</v>
      </c>
      <c r="P2703">
        <v>7</v>
      </c>
      <c r="Q2703">
        <v>0.74</v>
      </c>
      <c r="R2703">
        <v>116</v>
      </c>
      <c r="S2703">
        <v>12.55</v>
      </c>
      <c r="T2703">
        <v>0.31</v>
      </c>
      <c r="U2703" s="1">
        <v>45556</v>
      </c>
      <c r="V2703">
        <v>261.07</v>
      </c>
      <c r="W2703">
        <v>0.58899999999999997</v>
      </c>
      <c r="X2703" t="str">
        <f>IF(WarehouseData[[#This Row],[stock_level]]&lt;=WarehouseData[[#This Row],[reorder_point]],"Low Stock","Sufficient Stock")</f>
        <v>Sufficient Stock</v>
      </c>
      <c r="Y2703">
        <f>WarehouseData[[#This Row],[daily_demand]]*WarehouseData[[#This Row],[lead_time_days]]</f>
        <v>29.400000000000002</v>
      </c>
      <c r="Z2703" t="str">
        <f>IF(WarehouseData[[#This Row],[stock_level]]&lt;=WarehouseData[[#This Row],[Demand During Lead Time]],"At Risk","Safe")</f>
        <v>Safe</v>
      </c>
      <c r="AA2703">
        <f>WarehouseData[[#This Row],[stock_level]]/WarehouseData[[#This Row],[daily_demand]]</f>
        <v>96.904761904761898</v>
      </c>
      <c r="AB2703">
        <f>WarehouseData[[#This Row],[stock_level]]*WarehouseData[[#This Row],[unit_price]]</f>
        <v>73939.689999999988</v>
      </c>
      <c r="AC2703">
        <f>WarehouseData[[#This Row],[stock_level]]*WarehouseData[[#This Row],[holding_cost_per_unit_day]]*30</f>
        <v>5860.7999999999993</v>
      </c>
      <c r="AD2703" t="str">
        <f>IF(WarehouseData[[#This Row],[order_fulfillment_rate]]&gt;=0.9,"Strong",IF(WarehouseData[[#This Row],[order_fulfillment_rate]]&gt;=0.8,"Moderate","Needs Attention"))</f>
        <v>Needs Attention</v>
      </c>
      <c r="AE2703" t="str">
        <f>IF(WarehouseData[[#This Row],[picking_time_seconds]]&gt;120,"Slow",IF(WarehouseData[[#This Row],[picking_time_seconds]]&gt;=60,"Average","Fast"))</f>
        <v>Fast</v>
      </c>
    </row>
    <row r="2704" spans="1:31" x14ac:dyDescent="0.25">
      <c r="A2704" t="s">
        <v>2842</v>
      </c>
      <c r="B2704" t="s">
        <v>48</v>
      </c>
      <c r="C2704">
        <v>265</v>
      </c>
      <c r="D2704">
        <v>93</v>
      </c>
      <c r="E2704">
        <v>7</v>
      </c>
      <c r="F2704">
        <v>9</v>
      </c>
      <c r="G2704">
        <v>22.74</v>
      </c>
      <c r="H2704">
        <v>1.67</v>
      </c>
      <c r="I2704">
        <v>0.91</v>
      </c>
      <c r="J2704" t="s">
        <v>178</v>
      </c>
      <c r="K2704" t="s">
        <v>52</v>
      </c>
      <c r="L2704">
        <v>55</v>
      </c>
      <c r="M2704">
        <v>1.81</v>
      </c>
      <c r="N2704">
        <v>189.43</v>
      </c>
      <c r="O2704">
        <v>0.56000000000000005</v>
      </c>
      <c r="P2704">
        <v>4</v>
      </c>
      <c r="Q2704">
        <v>0.79</v>
      </c>
      <c r="R2704">
        <v>858</v>
      </c>
      <c r="S2704">
        <v>5.0599999999999996</v>
      </c>
      <c r="T2704">
        <v>0.45</v>
      </c>
      <c r="U2704" s="1">
        <v>45499</v>
      </c>
      <c r="V2704">
        <v>152.16</v>
      </c>
      <c r="W2704">
        <v>0.57899999999999996</v>
      </c>
      <c r="X2704" t="str">
        <f>IF(WarehouseData[[#This Row],[stock_level]]&lt;=WarehouseData[[#This Row],[reorder_point]],"Low Stock","Sufficient Stock")</f>
        <v>Sufficient Stock</v>
      </c>
      <c r="Y2704">
        <f>WarehouseData[[#This Row],[daily_demand]]*WarehouseData[[#This Row],[lead_time_days]]</f>
        <v>204.66</v>
      </c>
      <c r="Z2704" t="str">
        <f>IF(WarehouseData[[#This Row],[stock_level]]&lt;=WarehouseData[[#This Row],[Demand During Lead Time]],"At Risk","Safe")</f>
        <v>Safe</v>
      </c>
      <c r="AA2704">
        <f>WarehouseData[[#This Row],[stock_level]]/WarehouseData[[#This Row],[daily_demand]]</f>
        <v>11.653474054529465</v>
      </c>
      <c r="AB2704">
        <f>WarehouseData[[#This Row],[stock_level]]*WarehouseData[[#This Row],[unit_price]]</f>
        <v>50198.950000000004</v>
      </c>
      <c r="AC2704">
        <f>WarehouseData[[#This Row],[stock_level]]*WarehouseData[[#This Row],[holding_cost_per_unit_day]]*30</f>
        <v>4452</v>
      </c>
      <c r="AD2704" t="str">
        <f>IF(WarehouseData[[#This Row],[order_fulfillment_rate]]&gt;=0.9,"Strong",IF(WarehouseData[[#This Row],[order_fulfillment_rate]]&gt;=0.8,"Moderate","Needs Attention"))</f>
        <v>Needs Attention</v>
      </c>
      <c r="AE2704" t="str">
        <f>IF(WarehouseData[[#This Row],[picking_time_seconds]]&gt;120,"Slow",IF(WarehouseData[[#This Row],[picking_time_seconds]]&gt;=60,"Average","Fast"))</f>
        <v>Fast</v>
      </c>
    </row>
    <row r="2705" spans="1:31" x14ac:dyDescent="0.25">
      <c r="A2705" t="s">
        <v>2843</v>
      </c>
      <c r="B2705" t="s">
        <v>40</v>
      </c>
      <c r="C2705">
        <v>149</v>
      </c>
      <c r="D2705">
        <v>24</v>
      </c>
      <c r="E2705">
        <v>11</v>
      </c>
      <c r="F2705">
        <v>2</v>
      </c>
      <c r="G2705">
        <v>42.68</v>
      </c>
      <c r="H2705">
        <v>4.13</v>
      </c>
      <c r="I2705">
        <v>0.9</v>
      </c>
      <c r="J2705" t="s">
        <v>401</v>
      </c>
      <c r="K2705" t="s">
        <v>38</v>
      </c>
      <c r="L2705">
        <v>107</v>
      </c>
      <c r="M2705">
        <v>4</v>
      </c>
      <c r="N2705">
        <v>177.04</v>
      </c>
      <c r="O2705">
        <v>1.59</v>
      </c>
      <c r="P2705">
        <v>1</v>
      </c>
      <c r="Q2705">
        <v>0.92</v>
      </c>
      <c r="R2705">
        <v>89</v>
      </c>
      <c r="S2705">
        <v>3.27</v>
      </c>
      <c r="T2705">
        <v>0.56999999999999995</v>
      </c>
      <c r="U2705" s="1">
        <v>45472</v>
      </c>
      <c r="V2705">
        <v>149.12</v>
      </c>
      <c r="W2705">
        <v>0.56299999999999994</v>
      </c>
      <c r="X2705" t="str">
        <f>IF(WarehouseData[[#This Row],[stock_level]]&lt;=WarehouseData[[#This Row],[reorder_point]],"Low Stock","Sufficient Stock")</f>
        <v>Sufficient Stock</v>
      </c>
      <c r="Y2705">
        <f>WarehouseData[[#This Row],[daily_demand]]*WarehouseData[[#This Row],[lead_time_days]]</f>
        <v>85.36</v>
      </c>
      <c r="Z2705" t="str">
        <f>IF(WarehouseData[[#This Row],[stock_level]]&lt;=WarehouseData[[#This Row],[Demand During Lead Time]],"At Risk","Safe")</f>
        <v>Safe</v>
      </c>
      <c r="AA2705">
        <f>WarehouseData[[#This Row],[stock_level]]/WarehouseData[[#This Row],[daily_demand]]</f>
        <v>3.4910965323336458</v>
      </c>
      <c r="AB2705">
        <f>WarehouseData[[#This Row],[stock_level]]*WarehouseData[[#This Row],[unit_price]]</f>
        <v>26378.959999999999</v>
      </c>
      <c r="AC2705">
        <f>WarehouseData[[#This Row],[stock_level]]*WarehouseData[[#This Row],[holding_cost_per_unit_day]]*30</f>
        <v>7107.3000000000011</v>
      </c>
      <c r="AD2705" t="str">
        <f>IF(WarehouseData[[#This Row],[order_fulfillment_rate]]&gt;=0.9,"Strong",IF(WarehouseData[[#This Row],[order_fulfillment_rate]]&gt;=0.8,"Moderate","Needs Attention"))</f>
        <v>Strong</v>
      </c>
      <c r="AE2705" t="str">
        <f>IF(WarehouseData[[#This Row],[picking_time_seconds]]&gt;120,"Slow",IF(WarehouseData[[#This Row],[picking_time_seconds]]&gt;=60,"Average","Fast"))</f>
        <v>Average</v>
      </c>
    </row>
    <row r="2706" spans="1:31" x14ac:dyDescent="0.25">
      <c r="A2706" t="s">
        <v>2844</v>
      </c>
      <c r="B2706" t="s">
        <v>32</v>
      </c>
      <c r="C2706">
        <v>493</v>
      </c>
      <c r="D2706">
        <v>13</v>
      </c>
      <c r="E2706">
        <v>12</v>
      </c>
      <c r="F2706">
        <v>6</v>
      </c>
      <c r="G2706">
        <v>4.76</v>
      </c>
      <c r="H2706">
        <v>8.42</v>
      </c>
      <c r="I2706">
        <v>0.83</v>
      </c>
      <c r="J2706" t="s">
        <v>59</v>
      </c>
      <c r="K2706" t="s">
        <v>34</v>
      </c>
      <c r="L2706">
        <v>111</v>
      </c>
      <c r="M2706">
        <v>1.99</v>
      </c>
      <c r="N2706">
        <v>148.84</v>
      </c>
      <c r="O2706">
        <v>0.94</v>
      </c>
      <c r="P2706">
        <v>4</v>
      </c>
      <c r="Q2706">
        <v>0.96</v>
      </c>
      <c r="R2706">
        <v>782</v>
      </c>
      <c r="S2706">
        <v>10.61</v>
      </c>
      <c r="T2706">
        <v>0.47</v>
      </c>
      <c r="U2706" s="1">
        <v>45468</v>
      </c>
      <c r="V2706">
        <v>92.19</v>
      </c>
      <c r="W2706">
        <v>0.65300000000000002</v>
      </c>
      <c r="X2706" t="str">
        <f>IF(WarehouseData[[#This Row],[stock_level]]&lt;=WarehouseData[[#This Row],[reorder_point]],"Low Stock","Sufficient Stock")</f>
        <v>Sufficient Stock</v>
      </c>
      <c r="Y2706">
        <f>WarehouseData[[#This Row],[daily_demand]]*WarehouseData[[#This Row],[lead_time_days]]</f>
        <v>28.56</v>
      </c>
      <c r="Z2706" t="str">
        <f>IF(WarehouseData[[#This Row],[stock_level]]&lt;=WarehouseData[[#This Row],[Demand During Lead Time]],"At Risk","Safe")</f>
        <v>Safe</v>
      </c>
      <c r="AA2706">
        <f>WarehouseData[[#This Row],[stock_level]]/WarehouseData[[#This Row],[daily_demand]]</f>
        <v>103.57142857142857</v>
      </c>
      <c r="AB2706">
        <f>WarehouseData[[#This Row],[stock_level]]*WarehouseData[[#This Row],[unit_price]]</f>
        <v>73378.12</v>
      </c>
      <c r="AC2706">
        <f>WarehouseData[[#This Row],[stock_level]]*WarehouseData[[#This Row],[holding_cost_per_unit_day]]*30</f>
        <v>13902.599999999999</v>
      </c>
      <c r="AD2706" t="str">
        <f>IF(WarehouseData[[#This Row],[order_fulfillment_rate]]&gt;=0.9,"Strong",IF(WarehouseData[[#This Row],[order_fulfillment_rate]]&gt;=0.8,"Moderate","Needs Attention"))</f>
        <v>Strong</v>
      </c>
      <c r="AE2706" t="str">
        <f>IF(WarehouseData[[#This Row],[picking_time_seconds]]&gt;120,"Slow",IF(WarehouseData[[#This Row],[picking_time_seconds]]&gt;=60,"Average","Fast"))</f>
        <v>Average</v>
      </c>
    </row>
    <row r="2707" spans="1:31" x14ac:dyDescent="0.25">
      <c r="A2707" t="s">
        <v>2845</v>
      </c>
      <c r="B2707" t="s">
        <v>32</v>
      </c>
      <c r="C2707">
        <v>334</v>
      </c>
      <c r="D2707">
        <v>95</v>
      </c>
      <c r="E2707">
        <v>13</v>
      </c>
      <c r="F2707">
        <v>2</v>
      </c>
      <c r="G2707">
        <v>18.420000000000002</v>
      </c>
      <c r="H2707">
        <v>3.8</v>
      </c>
      <c r="I2707">
        <v>0.84</v>
      </c>
      <c r="J2707" t="s">
        <v>37</v>
      </c>
      <c r="K2707" t="s">
        <v>52</v>
      </c>
      <c r="L2707">
        <v>11</v>
      </c>
      <c r="M2707">
        <v>3.38</v>
      </c>
      <c r="N2707">
        <v>14.6</v>
      </c>
      <c r="O2707">
        <v>0.88</v>
      </c>
      <c r="P2707">
        <v>0</v>
      </c>
      <c r="Q2707">
        <v>0.71</v>
      </c>
      <c r="R2707">
        <v>152</v>
      </c>
      <c r="S2707">
        <v>2.73</v>
      </c>
      <c r="T2707">
        <v>0.97</v>
      </c>
      <c r="U2707" s="1">
        <v>45541</v>
      </c>
      <c r="V2707">
        <v>66.95</v>
      </c>
      <c r="W2707">
        <v>0.68400000000000005</v>
      </c>
      <c r="X2707" t="str">
        <f>IF(WarehouseData[[#This Row],[stock_level]]&lt;=WarehouseData[[#This Row],[reorder_point]],"Low Stock","Sufficient Stock")</f>
        <v>Sufficient Stock</v>
      </c>
      <c r="Y2707">
        <f>WarehouseData[[#This Row],[daily_demand]]*WarehouseData[[#This Row],[lead_time_days]]</f>
        <v>36.840000000000003</v>
      </c>
      <c r="Z2707" t="str">
        <f>IF(WarehouseData[[#This Row],[stock_level]]&lt;=WarehouseData[[#This Row],[Demand During Lead Time]],"At Risk","Safe")</f>
        <v>Safe</v>
      </c>
      <c r="AA2707">
        <f>WarehouseData[[#This Row],[stock_level]]/WarehouseData[[#This Row],[daily_demand]]</f>
        <v>18.132464712269272</v>
      </c>
      <c r="AB2707">
        <f>WarehouseData[[#This Row],[stock_level]]*WarehouseData[[#This Row],[unit_price]]</f>
        <v>4876.3999999999996</v>
      </c>
      <c r="AC2707">
        <f>WarehouseData[[#This Row],[stock_level]]*WarehouseData[[#This Row],[holding_cost_per_unit_day]]*30</f>
        <v>8817.6</v>
      </c>
      <c r="AD2707" t="str">
        <f>IF(WarehouseData[[#This Row],[order_fulfillment_rate]]&gt;=0.9,"Strong",IF(WarehouseData[[#This Row],[order_fulfillment_rate]]&gt;=0.8,"Moderate","Needs Attention"))</f>
        <v>Needs Attention</v>
      </c>
      <c r="AE2707" t="str">
        <f>IF(WarehouseData[[#This Row],[picking_time_seconds]]&gt;120,"Slow",IF(WarehouseData[[#This Row],[picking_time_seconds]]&gt;=60,"Average","Fast"))</f>
        <v>Fast</v>
      </c>
    </row>
    <row r="2708" spans="1:31" x14ac:dyDescent="0.25">
      <c r="A2708" t="s">
        <v>2846</v>
      </c>
      <c r="B2708" t="s">
        <v>73</v>
      </c>
      <c r="C2708">
        <v>430</v>
      </c>
      <c r="D2708">
        <v>59</v>
      </c>
      <c r="E2708">
        <v>14</v>
      </c>
      <c r="F2708">
        <v>4</v>
      </c>
      <c r="G2708">
        <v>45.09</v>
      </c>
      <c r="H2708">
        <v>0.83</v>
      </c>
      <c r="I2708">
        <v>0.62</v>
      </c>
      <c r="J2708" t="s">
        <v>95</v>
      </c>
      <c r="K2708" t="s">
        <v>38</v>
      </c>
      <c r="L2708">
        <v>34</v>
      </c>
      <c r="M2708">
        <v>3.53</v>
      </c>
      <c r="N2708">
        <v>69.84</v>
      </c>
      <c r="O2708">
        <v>1.79</v>
      </c>
      <c r="P2708">
        <v>7</v>
      </c>
      <c r="Q2708">
        <v>0.71</v>
      </c>
      <c r="R2708">
        <v>460</v>
      </c>
      <c r="S2708">
        <v>13.01</v>
      </c>
      <c r="T2708">
        <v>0.74</v>
      </c>
      <c r="U2708" s="1">
        <v>45538</v>
      </c>
      <c r="V2708">
        <v>94.5</v>
      </c>
      <c r="W2708">
        <v>0.54400000000000004</v>
      </c>
      <c r="X2708" t="str">
        <f>IF(WarehouseData[[#This Row],[stock_level]]&lt;=WarehouseData[[#This Row],[reorder_point]],"Low Stock","Sufficient Stock")</f>
        <v>Sufficient Stock</v>
      </c>
      <c r="Y2708">
        <f>WarehouseData[[#This Row],[daily_demand]]*WarehouseData[[#This Row],[lead_time_days]]</f>
        <v>180.36</v>
      </c>
      <c r="Z2708" t="str">
        <f>IF(WarehouseData[[#This Row],[stock_level]]&lt;=WarehouseData[[#This Row],[Demand During Lead Time]],"At Risk","Safe")</f>
        <v>Safe</v>
      </c>
      <c r="AA2708">
        <f>WarehouseData[[#This Row],[stock_level]]/WarehouseData[[#This Row],[daily_demand]]</f>
        <v>9.5364825903748045</v>
      </c>
      <c r="AB2708">
        <f>WarehouseData[[#This Row],[stock_level]]*WarehouseData[[#This Row],[unit_price]]</f>
        <v>30031.200000000001</v>
      </c>
      <c r="AC2708">
        <f>WarehouseData[[#This Row],[stock_level]]*WarehouseData[[#This Row],[holding_cost_per_unit_day]]*30</f>
        <v>23091</v>
      </c>
      <c r="AD2708" t="str">
        <f>IF(WarehouseData[[#This Row],[order_fulfillment_rate]]&gt;=0.9,"Strong",IF(WarehouseData[[#This Row],[order_fulfillment_rate]]&gt;=0.8,"Moderate","Needs Attention"))</f>
        <v>Needs Attention</v>
      </c>
      <c r="AE2708" t="str">
        <f>IF(WarehouseData[[#This Row],[picking_time_seconds]]&gt;120,"Slow",IF(WarehouseData[[#This Row],[picking_time_seconds]]&gt;=60,"Average","Fast"))</f>
        <v>Fast</v>
      </c>
    </row>
    <row r="2709" spans="1:31" x14ac:dyDescent="0.25">
      <c r="A2709" t="s">
        <v>2847</v>
      </c>
      <c r="B2709" t="s">
        <v>40</v>
      </c>
      <c r="C2709">
        <v>302</v>
      </c>
      <c r="D2709">
        <v>47</v>
      </c>
      <c r="E2709">
        <v>13</v>
      </c>
      <c r="F2709">
        <v>9</v>
      </c>
      <c r="G2709">
        <v>6.79</v>
      </c>
      <c r="H2709">
        <v>3.11</v>
      </c>
      <c r="I2709">
        <v>0.13</v>
      </c>
      <c r="J2709" t="s">
        <v>251</v>
      </c>
      <c r="K2709" t="s">
        <v>52</v>
      </c>
      <c r="L2709">
        <v>10</v>
      </c>
      <c r="M2709">
        <v>2.5499999999999998</v>
      </c>
      <c r="N2709">
        <v>34.5</v>
      </c>
      <c r="O2709">
        <v>1.26</v>
      </c>
      <c r="P2709">
        <v>7</v>
      </c>
      <c r="Q2709">
        <v>0.89</v>
      </c>
      <c r="R2709">
        <v>344</v>
      </c>
      <c r="S2709">
        <v>7.72</v>
      </c>
      <c r="T2709">
        <v>0.78</v>
      </c>
      <c r="U2709" s="1">
        <v>45601</v>
      </c>
      <c r="V2709">
        <v>198.49</v>
      </c>
      <c r="W2709">
        <v>0.57099999999999995</v>
      </c>
      <c r="X2709" t="str">
        <f>IF(WarehouseData[[#This Row],[stock_level]]&lt;=WarehouseData[[#This Row],[reorder_point]],"Low Stock","Sufficient Stock")</f>
        <v>Sufficient Stock</v>
      </c>
      <c r="Y2709">
        <f>WarehouseData[[#This Row],[daily_demand]]*WarehouseData[[#This Row],[lead_time_days]]</f>
        <v>61.11</v>
      </c>
      <c r="Z2709" t="str">
        <f>IF(WarehouseData[[#This Row],[stock_level]]&lt;=WarehouseData[[#This Row],[Demand During Lead Time]],"At Risk","Safe")</f>
        <v>Safe</v>
      </c>
      <c r="AA2709">
        <f>WarehouseData[[#This Row],[stock_level]]/WarehouseData[[#This Row],[daily_demand]]</f>
        <v>44.477172312223857</v>
      </c>
      <c r="AB2709">
        <f>WarehouseData[[#This Row],[stock_level]]*WarehouseData[[#This Row],[unit_price]]</f>
        <v>10419</v>
      </c>
      <c r="AC2709">
        <f>WarehouseData[[#This Row],[stock_level]]*WarehouseData[[#This Row],[holding_cost_per_unit_day]]*30</f>
        <v>11415.599999999999</v>
      </c>
      <c r="AD2709" t="str">
        <f>IF(WarehouseData[[#This Row],[order_fulfillment_rate]]&gt;=0.9,"Strong",IF(WarehouseData[[#This Row],[order_fulfillment_rate]]&gt;=0.8,"Moderate","Needs Attention"))</f>
        <v>Moderate</v>
      </c>
      <c r="AE2709" t="str">
        <f>IF(WarehouseData[[#This Row],[picking_time_seconds]]&gt;120,"Slow",IF(WarehouseData[[#This Row],[picking_time_seconds]]&gt;=60,"Average","Fast"))</f>
        <v>Fast</v>
      </c>
    </row>
    <row r="2710" spans="1:31" x14ac:dyDescent="0.25">
      <c r="A2710" t="s">
        <v>2848</v>
      </c>
      <c r="B2710" t="s">
        <v>48</v>
      </c>
      <c r="C2710">
        <v>98</v>
      </c>
      <c r="D2710">
        <v>32</v>
      </c>
      <c r="E2710">
        <v>9</v>
      </c>
      <c r="F2710">
        <v>3</v>
      </c>
      <c r="G2710">
        <v>16.22</v>
      </c>
      <c r="H2710">
        <v>9.9</v>
      </c>
      <c r="I2710">
        <v>0.18</v>
      </c>
      <c r="J2710" t="s">
        <v>338</v>
      </c>
      <c r="K2710" t="s">
        <v>34</v>
      </c>
      <c r="L2710">
        <v>177</v>
      </c>
      <c r="M2710">
        <v>0.86</v>
      </c>
      <c r="N2710">
        <v>39.4</v>
      </c>
      <c r="O2710">
        <v>1.63</v>
      </c>
      <c r="P2710">
        <v>1</v>
      </c>
      <c r="Q2710">
        <v>0.86</v>
      </c>
      <c r="R2710">
        <v>614</v>
      </c>
      <c r="S2710">
        <v>13.74</v>
      </c>
      <c r="T2710">
        <v>0.79</v>
      </c>
      <c r="U2710" s="1">
        <v>45295</v>
      </c>
      <c r="V2710">
        <v>38.32</v>
      </c>
      <c r="W2710">
        <v>0.73</v>
      </c>
      <c r="X2710" t="str">
        <f>IF(WarehouseData[[#This Row],[stock_level]]&lt;=WarehouseData[[#This Row],[reorder_point]],"Low Stock","Sufficient Stock")</f>
        <v>Sufficient Stock</v>
      </c>
      <c r="Y2710">
        <f>WarehouseData[[#This Row],[daily_demand]]*WarehouseData[[#This Row],[lead_time_days]]</f>
        <v>48.66</v>
      </c>
      <c r="Z2710" t="str">
        <f>IF(WarehouseData[[#This Row],[stock_level]]&lt;=WarehouseData[[#This Row],[Demand During Lead Time]],"At Risk","Safe")</f>
        <v>Safe</v>
      </c>
      <c r="AA2710">
        <f>WarehouseData[[#This Row],[stock_level]]/WarehouseData[[#This Row],[daily_demand]]</f>
        <v>6.0419235511713936</v>
      </c>
      <c r="AB2710">
        <f>WarehouseData[[#This Row],[stock_level]]*WarehouseData[[#This Row],[unit_price]]</f>
        <v>3861.2</v>
      </c>
      <c r="AC2710">
        <f>WarehouseData[[#This Row],[stock_level]]*WarehouseData[[#This Row],[holding_cost_per_unit_day]]*30</f>
        <v>4792.2</v>
      </c>
      <c r="AD2710" t="str">
        <f>IF(WarehouseData[[#This Row],[order_fulfillment_rate]]&gt;=0.9,"Strong",IF(WarehouseData[[#This Row],[order_fulfillment_rate]]&gt;=0.8,"Moderate","Needs Attention"))</f>
        <v>Moderate</v>
      </c>
      <c r="AE2710" t="str">
        <f>IF(WarehouseData[[#This Row],[picking_time_seconds]]&gt;120,"Slow",IF(WarehouseData[[#This Row],[picking_time_seconds]]&gt;=60,"Average","Fast"))</f>
        <v>Slow</v>
      </c>
    </row>
    <row r="2711" spans="1:31" x14ac:dyDescent="0.25">
      <c r="A2711" t="s">
        <v>2849</v>
      </c>
      <c r="B2711" t="s">
        <v>32</v>
      </c>
      <c r="C2711">
        <v>91</v>
      </c>
      <c r="D2711">
        <v>68</v>
      </c>
      <c r="E2711">
        <v>12</v>
      </c>
      <c r="F2711">
        <v>6</v>
      </c>
      <c r="G2711">
        <v>39.14</v>
      </c>
      <c r="H2711">
        <v>6.93</v>
      </c>
      <c r="I2711">
        <v>0.68</v>
      </c>
      <c r="J2711" t="s">
        <v>289</v>
      </c>
      <c r="K2711" t="s">
        <v>34</v>
      </c>
      <c r="L2711">
        <v>77</v>
      </c>
      <c r="M2711">
        <v>3.65</v>
      </c>
      <c r="N2711">
        <v>65.27</v>
      </c>
      <c r="O2711">
        <v>1.64</v>
      </c>
      <c r="P2711">
        <v>5</v>
      </c>
      <c r="Q2711">
        <v>0.75</v>
      </c>
      <c r="R2711">
        <v>857</v>
      </c>
      <c r="S2711">
        <v>9.99</v>
      </c>
      <c r="T2711">
        <v>0.92</v>
      </c>
      <c r="U2711" s="1">
        <v>45548</v>
      </c>
      <c r="V2711">
        <v>106.53</v>
      </c>
      <c r="W2711">
        <v>0.60299999999999998</v>
      </c>
      <c r="X2711" t="str">
        <f>IF(WarehouseData[[#This Row],[stock_level]]&lt;=WarehouseData[[#This Row],[reorder_point]],"Low Stock","Sufficient Stock")</f>
        <v>Sufficient Stock</v>
      </c>
      <c r="Y2711">
        <f>WarehouseData[[#This Row],[daily_demand]]*WarehouseData[[#This Row],[lead_time_days]]</f>
        <v>234.84</v>
      </c>
      <c r="Z2711" t="str">
        <f>IF(WarehouseData[[#This Row],[stock_level]]&lt;=WarehouseData[[#This Row],[Demand During Lead Time]],"At Risk","Safe")</f>
        <v>At Risk</v>
      </c>
      <c r="AA2711">
        <f>WarehouseData[[#This Row],[stock_level]]/WarehouseData[[#This Row],[daily_demand]]</f>
        <v>2.3249872253449158</v>
      </c>
      <c r="AB2711">
        <f>WarehouseData[[#This Row],[stock_level]]*WarehouseData[[#This Row],[unit_price]]</f>
        <v>5939.57</v>
      </c>
      <c r="AC2711">
        <f>WarehouseData[[#This Row],[stock_level]]*WarehouseData[[#This Row],[holding_cost_per_unit_day]]*30</f>
        <v>4477.2</v>
      </c>
      <c r="AD2711" t="str">
        <f>IF(WarehouseData[[#This Row],[order_fulfillment_rate]]&gt;=0.9,"Strong",IF(WarehouseData[[#This Row],[order_fulfillment_rate]]&gt;=0.8,"Moderate","Needs Attention"))</f>
        <v>Needs Attention</v>
      </c>
      <c r="AE2711" t="str">
        <f>IF(WarehouseData[[#This Row],[picking_time_seconds]]&gt;120,"Slow",IF(WarehouseData[[#This Row],[picking_time_seconds]]&gt;=60,"Average","Fast"))</f>
        <v>Average</v>
      </c>
    </row>
    <row r="2712" spans="1:31" x14ac:dyDescent="0.25">
      <c r="A2712" t="s">
        <v>2850</v>
      </c>
      <c r="B2712" t="s">
        <v>32</v>
      </c>
      <c r="C2712">
        <v>282</v>
      </c>
      <c r="D2712">
        <v>99</v>
      </c>
      <c r="E2712">
        <v>7</v>
      </c>
      <c r="F2712">
        <v>9</v>
      </c>
      <c r="G2712">
        <v>27.62</v>
      </c>
      <c r="H2712">
        <v>9.06</v>
      </c>
      <c r="I2712">
        <v>0.46</v>
      </c>
      <c r="J2712" t="s">
        <v>207</v>
      </c>
      <c r="K2712" t="s">
        <v>38</v>
      </c>
      <c r="L2712">
        <v>78</v>
      </c>
      <c r="M2712">
        <v>0.84</v>
      </c>
      <c r="N2712">
        <v>24.2</v>
      </c>
      <c r="O2712">
        <v>0.33</v>
      </c>
      <c r="P2712">
        <v>7</v>
      </c>
      <c r="Q2712">
        <v>0.86</v>
      </c>
      <c r="R2712">
        <v>613</v>
      </c>
      <c r="S2712">
        <v>4.99</v>
      </c>
      <c r="T2712">
        <v>0.81</v>
      </c>
      <c r="U2712" s="1">
        <v>45363</v>
      </c>
      <c r="V2712">
        <v>293.83</v>
      </c>
      <c r="W2712">
        <v>0.628</v>
      </c>
      <c r="X2712" t="str">
        <f>IF(WarehouseData[[#This Row],[stock_level]]&lt;=WarehouseData[[#This Row],[reorder_point]],"Low Stock","Sufficient Stock")</f>
        <v>Sufficient Stock</v>
      </c>
      <c r="Y2712">
        <f>WarehouseData[[#This Row],[daily_demand]]*WarehouseData[[#This Row],[lead_time_days]]</f>
        <v>248.58</v>
      </c>
      <c r="Z2712" t="str">
        <f>IF(WarehouseData[[#This Row],[stock_level]]&lt;=WarehouseData[[#This Row],[Demand During Lead Time]],"At Risk","Safe")</f>
        <v>Safe</v>
      </c>
      <c r="AA2712">
        <f>WarehouseData[[#This Row],[stock_level]]/WarehouseData[[#This Row],[daily_demand]]</f>
        <v>10.209992758870383</v>
      </c>
      <c r="AB2712">
        <f>WarehouseData[[#This Row],[stock_level]]*WarehouseData[[#This Row],[unit_price]]</f>
        <v>6824.4</v>
      </c>
      <c r="AC2712">
        <f>WarehouseData[[#This Row],[stock_level]]*WarehouseData[[#This Row],[holding_cost_per_unit_day]]*30</f>
        <v>2791.8</v>
      </c>
      <c r="AD2712" t="str">
        <f>IF(WarehouseData[[#This Row],[order_fulfillment_rate]]&gt;=0.9,"Strong",IF(WarehouseData[[#This Row],[order_fulfillment_rate]]&gt;=0.8,"Moderate","Needs Attention"))</f>
        <v>Moderate</v>
      </c>
      <c r="AE2712" t="str">
        <f>IF(WarehouseData[[#This Row],[picking_time_seconds]]&gt;120,"Slow",IF(WarehouseData[[#This Row],[picking_time_seconds]]&gt;=60,"Average","Fast"))</f>
        <v>Average</v>
      </c>
    </row>
    <row r="2713" spans="1:31" x14ac:dyDescent="0.25">
      <c r="A2713" t="s">
        <v>2851</v>
      </c>
      <c r="B2713" t="s">
        <v>73</v>
      </c>
      <c r="C2713">
        <v>210</v>
      </c>
      <c r="D2713">
        <v>84</v>
      </c>
      <c r="E2713">
        <v>3</v>
      </c>
      <c r="F2713">
        <v>2</v>
      </c>
      <c r="G2713">
        <v>41.78</v>
      </c>
      <c r="H2713">
        <v>7.86</v>
      </c>
      <c r="I2713">
        <v>0.61</v>
      </c>
      <c r="J2713" t="s">
        <v>148</v>
      </c>
      <c r="K2713" t="s">
        <v>46</v>
      </c>
      <c r="L2713">
        <v>25</v>
      </c>
      <c r="M2713">
        <v>0.95</v>
      </c>
      <c r="N2713">
        <v>56.18</v>
      </c>
      <c r="O2713">
        <v>1.34</v>
      </c>
      <c r="P2713">
        <v>9</v>
      </c>
      <c r="Q2713">
        <v>0.99</v>
      </c>
      <c r="R2713">
        <v>86</v>
      </c>
      <c r="S2713">
        <v>7.55</v>
      </c>
      <c r="T2713">
        <v>0.21</v>
      </c>
      <c r="U2713" s="1">
        <v>45517</v>
      </c>
      <c r="V2713">
        <v>88.74</v>
      </c>
      <c r="W2713">
        <v>0.42699999999999999</v>
      </c>
      <c r="X2713" t="str">
        <f>IF(WarehouseData[[#This Row],[stock_level]]&lt;=WarehouseData[[#This Row],[reorder_point]],"Low Stock","Sufficient Stock")</f>
        <v>Sufficient Stock</v>
      </c>
      <c r="Y2713">
        <f>WarehouseData[[#This Row],[daily_demand]]*WarehouseData[[#This Row],[lead_time_days]]</f>
        <v>83.56</v>
      </c>
      <c r="Z2713" t="str">
        <f>IF(WarehouseData[[#This Row],[stock_level]]&lt;=WarehouseData[[#This Row],[Demand During Lead Time]],"At Risk","Safe")</f>
        <v>Safe</v>
      </c>
      <c r="AA2713">
        <f>WarehouseData[[#This Row],[stock_level]]/WarehouseData[[#This Row],[daily_demand]]</f>
        <v>5.0263283867879363</v>
      </c>
      <c r="AB2713">
        <f>WarehouseData[[#This Row],[stock_level]]*WarehouseData[[#This Row],[unit_price]]</f>
        <v>11797.8</v>
      </c>
      <c r="AC2713">
        <f>WarehouseData[[#This Row],[stock_level]]*WarehouseData[[#This Row],[holding_cost_per_unit_day]]*30</f>
        <v>8442.0000000000018</v>
      </c>
      <c r="AD2713" t="str">
        <f>IF(WarehouseData[[#This Row],[order_fulfillment_rate]]&gt;=0.9,"Strong",IF(WarehouseData[[#This Row],[order_fulfillment_rate]]&gt;=0.8,"Moderate","Needs Attention"))</f>
        <v>Strong</v>
      </c>
      <c r="AE2713" t="str">
        <f>IF(WarehouseData[[#This Row],[picking_time_seconds]]&gt;120,"Slow",IF(WarehouseData[[#This Row],[picking_time_seconds]]&gt;=60,"Average","Fast"))</f>
        <v>Fast</v>
      </c>
    </row>
    <row r="2714" spans="1:31" x14ac:dyDescent="0.25">
      <c r="A2714" t="s">
        <v>2852</v>
      </c>
      <c r="B2714" t="s">
        <v>36</v>
      </c>
      <c r="C2714">
        <v>386</v>
      </c>
      <c r="D2714">
        <v>37</v>
      </c>
      <c r="E2714">
        <v>8</v>
      </c>
      <c r="F2714">
        <v>3</v>
      </c>
      <c r="G2714">
        <v>6.47</v>
      </c>
      <c r="H2714">
        <v>5.63</v>
      </c>
      <c r="I2714">
        <v>0.31</v>
      </c>
      <c r="J2714" t="s">
        <v>41</v>
      </c>
      <c r="K2714" t="s">
        <v>46</v>
      </c>
      <c r="L2714">
        <v>27</v>
      </c>
      <c r="M2714">
        <v>1.38</v>
      </c>
      <c r="N2714">
        <v>191.83</v>
      </c>
      <c r="O2714">
        <v>1.91</v>
      </c>
      <c r="P2714">
        <v>7</v>
      </c>
      <c r="Q2714">
        <v>0.89</v>
      </c>
      <c r="R2714">
        <v>116</v>
      </c>
      <c r="S2714">
        <v>8.41</v>
      </c>
      <c r="T2714">
        <v>0.41</v>
      </c>
      <c r="U2714" s="1">
        <v>45376</v>
      </c>
      <c r="V2714">
        <v>290.33</v>
      </c>
      <c r="W2714">
        <v>0.441</v>
      </c>
      <c r="X2714" t="str">
        <f>IF(WarehouseData[[#This Row],[stock_level]]&lt;=WarehouseData[[#This Row],[reorder_point]],"Low Stock","Sufficient Stock")</f>
        <v>Sufficient Stock</v>
      </c>
      <c r="Y2714">
        <f>WarehouseData[[#This Row],[daily_demand]]*WarehouseData[[#This Row],[lead_time_days]]</f>
        <v>19.41</v>
      </c>
      <c r="Z2714" t="str">
        <f>IF(WarehouseData[[#This Row],[stock_level]]&lt;=WarehouseData[[#This Row],[Demand During Lead Time]],"At Risk","Safe")</f>
        <v>Safe</v>
      </c>
      <c r="AA2714">
        <f>WarehouseData[[#This Row],[stock_level]]/WarehouseData[[#This Row],[daily_demand]]</f>
        <v>59.659969088098919</v>
      </c>
      <c r="AB2714">
        <f>WarehouseData[[#This Row],[stock_level]]*WarehouseData[[#This Row],[unit_price]]</f>
        <v>74046.38</v>
      </c>
      <c r="AC2714">
        <f>WarehouseData[[#This Row],[stock_level]]*WarehouseData[[#This Row],[holding_cost_per_unit_day]]*30</f>
        <v>22117.8</v>
      </c>
      <c r="AD2714" t="str">
        <f>IF(WarehouseData[[#This Row],[order_fulfillment_rate]]&gt;=0.9,"Strong",IF(WarehouseData[[#This Row],[order_fulfillment_rate]]&gt;=0.8,"Moderate","Needs Attention"))</f>
        <v>Moderate</v>
      </c>
      <c r="AE2714" t="str">
        <f>IF(WarehouseData[[#This Row],[picking_time_seconds]]&gt;120,"Slow",IF(WarehouseData[[#This Row],[picking_time_seconds]]&gt;=60,"Average","Fast"))</f>
        <v>Fast</v>
      </c>
    </row>
    <row r="2715" spans="1:31" x14ac:dyDescent="0.25">
      <c r="A2715" t="s">
        <v>2853</v>
      </c>
      <c r="B2715" t="s">
        <v>48</v>
      </c>
      <c r="C2715">
        <v>394</v>
      </c>
      <c r="D2715">
        <v>75</v>
      </c>
      <c r="E2715">
        <v>14</v>
      </c>
      <c r="F2715">
        <v>5</v>
      </c>
      <c r="G2715">
        <v>46.11</v>
      </c>
      <c r="H2715">
        <v>1.91</v>
      </c>
      <c r="I2715">
        <v>0.68</v>
      </c>
      <c r="J2715" t="s">
        <v>273</v>
      </c>
      <c r="K2715" t="s">
        <v>34</v>
      </c>
      <c r="L2715">
        <v>116</v>
      </c>
      <c r="M2715">
        <v>1.76</v>
      </c>
      <c r="N2715">
        <v>69.27</v>
      </c>
      <c r="O2715">
        <v>1.01</v>
      </c>
      <c r="P2715">
        <v>6</v>
      </c>
      <c r="Q2715">
        <v>0.83</v>
      </c>
      <c r="R2715">
        <v>452</v>
      </c>
      <c r="S2715">
        <v>12.41</v>
      </c>
      <c r="T2715">
        <v>0.99</v>
      </c>
      <c r="U2715" s="1">
        <v>45409</v>
      </c>
      <c r="V2715">
        <v>40.4</v>
      </c>
      <c r="W2715">
        <v>0.70799999999999996</v>
      </c>
      <c r="X2715" t="str">
        <f>IF(WarehouseData[[#This Row],[stock_level]]&lt;=WarehouseData[[#This Row],[reorder_point]],"Low Stock","Sufficient Stock")</f>
        <v>Sufficient Stock</v>
      </c>
      <c r="Y2715">
        <f>WarehouseData[[#This Row],[daily_demand]]*WarehouseData[[#This Row],[lead_time_days]]</f>
        <v>230.55</v>
      </c>
      <c r="Z2715" t="str">
        <f>IF(WarehouseData[[#This Row],[stock_level]]&lt;=WarehouseData[[#This Row],[Demand During Lead Time]],"At Risk","Safe")</f>
        <v>Safe</v>
      </c>
      <c r="AA2715">
        <f>WarehouseData[[#This Row],[stock_level]]/WarehouseData[[#This Row],[daily_demand]]</f>
        <v>8.5447842116677517</v>
      </c>
      <c r="AB2715">
        <f>WarehouseData[[#This Row],[stock_level]]*WarehouseData[[#This Row],[unit_price]]</f>
        <v>27292.379999999997</v>
      </c>
      <c r="AC2715">
        <f>WarehouseData[[#This Row],[stock_level]]*WarehouseData[[#This Row],[holding_cost_per_unit_day]]*30</f>
        <v>11938.2</v>
      </c>
      <c r="AD2715" t="str">
        <f>IF(WarehouseData[[#This Row],[order_fulfillment_rate]]&gt;=0.9,"Strong",IF(WarehouseData[[#This Row],[order_fulfillment_rate]]&gt;=0.8,"Moderate","Needs Attention"))</f>
        <v>Moderate</v>
      </c>
      <c r="AE2715" t="str">
        <f>IF(WarehouseData[[#This Row],[picking_time_seconds]]&gt;120,"Slow",IF(WarehouseData[[#This Row],[picking_time_seconds]]&gt;=60,"Average","Fast"))</f>
        <v>Average</v>
      </c>
    </row>
    <row r="2716" spans="1:31" x14ac:dyDescent="0.25">
      <c r="A2716" t="s">
        <v>2854</v>
      </c>
      <c r="B2716" t="s">
        <v>40</v>
      </c>
      <c r="C2716">
        <v>449</v>
      </c>
      <c r="D2716">
        <v>17</v>
      </c>
      <c r="E2716">
        <v>10</v>
      </c>
      <c r="F2716">
        <v>4</v>
      </c>
      <c r="G2716">
        <v>46.81</v>
      </c>
      <c r="H2716">
        <v>3.81</v>
      </c>
      <c r="I2716">
        <v>0.32</v>
      </c>
      <c r="J2716" t="s">
        <v>357</v>
      </c>
      <c r="K2716" t="s">
        <v>46</v>
      </c>
      <c r="L2716">
        <v>26</v>
      </c>
      <c r="M2716">
        <v>4.3099999999999996</v>
      </c>
      <c r="N2716">
        <v>40.35</v>
      </c>
      <c r="O2716">
        <v>1.49</v>
      </c>
      <c r="P2716">
        <v>2</v>
      </c>
      <c r="Q2716">
        <v>0.95</v>
      </c>
      <c r="R2716">
        <v>723</v>
      </c>
      <c r="S2716">
        <v>13.07</v>
      </c>
      <c r="T2716">
        <v>0.72</v>
      </c>
      <c r="U2716" s="1">
        <v>45331</v>
      </c>
      <c r="V2716">
        <v>240.26</v>
      </c>
      <c r="W2716">
        <v>0.71899999999999997</v>
      </c>
      <c r="X2716" t="str">
        <f>IF(WarehouseData[[#This Row],[stock_level]]&lt;=WarehouseData[[#This Row],[reorder_point]],"Low Stock","Sufficient Stock")</f>
        <v>Sufficient Stock</v>
      </c>
      <c r="Y2716">
        <f>WarehouseData[[#This Row],[daily_demand]]*WarehouseData[[#This Row],[lead_time_days]]</f>
        <v>187.24</v>
      </c>
      <c r="Z2716" t="str">
        <f>IF(WarehouseData[[#This Row],[stock_level]]&lt;=WarehouseData[[#This Row],[Demand During Lead Time]],"At Risk","Safe")</f>
        <v>Safe</v>
      </c>
      <c r="AA2716">
        <f>WarehouseData[[#This Row],[stock_level]]/WarehouseData[[#This Row],[daily_demand]]</f>
        <v>9.5919675283059167</v>
      </c>
      <c r="AB2716">
        <f>WarehouseData[[#This Row],[stock_level]]*WarehouseData[[#This Row],[unit_price]]</f>
        <v>18117.150000000001</v>
      </c>
      <c r="AC2716">
        <f>WarehouseData[[#This Row],[stock_level]]*WarehouseData[[#This Row],[holding_cost_per_unit_day]]*30</f>
        <v>20070.3</v>
      </c>
      <c r="AD2716" t="str">
        <f>IF(WarehouseData[[#This Row],[order_fulfillment_rate]]&gt;=0.9,"Strong",IF(WarehouseData[[#This Row],[order_fulfillment_rate]]&gt;=0.8,"Moderate","Needs Attention"))</f>
        <v>Strong</v>
      </c>
      <c r="AE2716" t="str">
        <f>IF(WarehouseData[[#This Row],[picking_time_seconds]]&gt;120,"Slow",IF(WarehouseData[[#This Row],[picking_time_seconds]]&gt;=60,"Average","Fast"))</f>
        <v>Fast</v>
      </c>
    </row>
    <row r="2717" spans="1:31" x14ac:dyDescent="0.25">
      <c r="A2717" t="s">
        <v>2855</v>
      </c>
      <c r="B2717" t="s">
        <v>32</v>
      </c>
      <c r="C2717">
        <v>82</v>
      </c>
      <c r="D2717">
        <v>38</v>
      </c>
      <c r="E2717">
        <v>9</v>
      </c>
      <c r="F2717">
        <v>4</v>
      </c>
      <c r="G2717">
        <v>8.61</v>
      </c>
      <c r="H2717">
        <v>6.05</v>
      </c>
      <c r="I2717">
        <v>0.51</v>
      </c>
      <c r="J2717" t="s">
        <v>129</v>
      </c>
      <c r="K2717" t="s">
        <v>34</v>
      </c>
      <c r="L2717">
        <v>134</v>
      </c>
      <c r="M2717">
        <v>3.54</v>
      </c>
      <c r="N2717">
        <v>146.47999999999999</v>
      </c>
      <c r="O2717">
        <v>1.18</v>
      </c>
      <c r="P2717">
        <v>3</v>
      </c>
      <c r="Q2717">
        <v>0.76</v>
      </c>
      <c r="R2717">
        <v>255</v>
      </c>
      <c r="S2717">
        <v>10.56</v>
      </c>
      <c r="T2717">
        <v>0.25</v>
      </c>
      <c r="U2717" s="1">
        <v>45555</v>
      </c>
      <c r="V2717">
        <v>137.52000000000001</v>
      </c>
      <c r="W2717">
        <v>0.56499999999999995</v>
      </c>
      <c r="X2717" t="str">
        <f>IF(WarehouseData[[#This Row],[stock_level]]&lt;=WarehouseData[[#This Row],[reorder_point]],"Low Stock","Sufficient Stock")</f>
        <v>Sufficient Stock</v>
      </c>
      <c r="Y2717">
        <f>WarehouseData[[#This Row],[daily_demand]]*WarehouseData[[#This Row],[lead_time_days]]</f>
        <v>34.44</v>
      </c>
      <c r="Z2717" t="str">
        <f>IF(WarehouseData[[#This Row],[stock_level]]&lt;=WarehouseData[[#This Row],[Demand During Lead Time]],"At Risk","Safe")</f>
        <v>Safe</v>
      </c>
      <c r="AA2717">
        <f>WarehouseData[[#This Row],[stock_level]]/WarehouseData[[#This Row],[daily_demand]]</f>
        <v>9.5238095238095237</v>
      </c>
      <c r="AB2717">
        <f>WarehouseData[[#This Row],[stock_level]]*WarehouseData[[#This Row],[unit_price]]</f>
        <v>12011.359999999999</v>
      </c>
      <c r="AC2717">
        <f>WarehouseData[[#This Row],[stock_level]]*WarehouseData[[#This Row],[holding_cost_per_unit_day]]*30</f>
        <v>2902.7999999999997</v>
      </c>
      <c r="AD2717" t="str">
        <f>IF(WarehouseData[[#This Row],[order_fulfillment_rate]]&gt;=0.9,"Strong",IF(WarehouseData[[#This Row],[order_fulfillment_rate]]&gt;=0.8,"Moderate","Needs Attention"))</f>
        <v>Needs Attention</v>
      </c>
      <c r="AE2717" t="str">
        <f>IF(WarehouseData[[#This Row],[picking_time_seconds]]&gt;120,"Slow",IF(WarehouseData[[#This Row],[picking_time_seconds]]&gt;=60,"Average","Fast"))</f>
        <v>Slow</v>
      </c>
    </row>
    <row r="2718" spans="1:31" x14ac:dyDescent="0.25">
      <c r="A2718" t="s">
        <v>2856</v>
      </c>
      <c r="B2718" t="s">
        <v>32</v>
      </c>
      <c r="C2718">
        <v>399</v>
      </c>
      <c r="D2718">
        <v>20</v>
      </c>
      <c r="E2718">
        <v>4</v>
      </c>
      <c r="F2718">
        <v>6</v>
      </c>
      <c r="G2718">
        <v>2.66</v>
      </c>
      <c r="H2718">
        <v>8.77</v>
      </c>
      <c r="I2718">
        <v>0.53</v>
      </c>
      <c r="J2718" t="s">
        <v>90</v>
      </c>
      <c r="K2718" t="s">
        <v>46</v>
      </c>
      <c r="L2718">
        <v>91</v>
      </c>
      <c r="M2718">
        <v>2.2400000000000002</v>
      </c>
      <c r="N2718">
        <v>167.42</v>
      </c>
      <c r="O2718">
        <v>0.49</v>
      </c>
      <c r="P2718">
        <v>0</v>
      </c>
      <c r="Q2718">
        <v>0.82</v>
      </c>
      <c r="R2718">
        <v>390</v>
      </c>
      <c r="S2718">
        <v>5.12</v>
      </c>
      <c r="T2718">
        <v>0.56999999999999995</v>
      </c>
      <c r="U2718" s="1">
        <v>45621</v>
      </c>
      <c r="V2718">
        <v>66.5</v>
      </c>
      <c r="W2718">
        <v>0.69699999999999995</v>
      </c>
      <c r="X2718" t="str">
        <f>IF(WarehouseData[[#This Row],[stock_level]]&lt;=WarehouseData[[#This Row],[reorder_point]],"Low Stock","Sufficient Stock")</f>
        <v>Sufficient Stock</v>
      </c>
      <c r="Y2718">
        <f>WarehouseData[[#This Row],[daily_demand]]*WarehouseData[[#This Row],[lead_time_days]]</f>
        <v>15.96</v>
      </c>
      <c r="Z2718" t="str">
        <f>IF(WarehouseData[[#This Row],[stock_level]]&lt;=WarehouseData[[#This Row],[Demand During Lead Time]],"At Risk","Safe")</f>
        <v>Safe</v>
      </c>
      <c r="AA2718">
        <f>WarehouseData[[#This Row],[stock_level]]/WarehouseData[[#This Row],[daily_demand]]</f>
        <v>150</v>
      </c>
      <c r="AB2718">
        <f>WarehouseData[[#This Row],[stock_level]]*WarehouseData[[#This Row],[unit_price]]</f>
        <v>66800.58</v>
      </c>
      <c r="AC2718">
        <f>WarehouseData[[#This Row],[stock_level]]*WarehouseData[[#This Row],[holding_cost_per_unit_day]]*30</f>
        <v>5865.2999999999993</v>
      </c>
      <c r="AD2718" t="str">
        <f>IF(WarehouseData[[#This Row],[order_fulfillment_rate]]&gt;=0.9,"Strong",IF(WarehouseData[[#This Row],[order_fulfillment_rate]]&gt;=0.8,"Moderate","Needs Attention"))</f>
        <v>Moderate</v>
      </c>
      <c r="AE2718" t="str">
        <f>IF(WarehouseData[[#This Row],[picking_time_seconds]]&gt;120,"Slow",IF(WarehouseData[[#This Row],[picking_time_seconds]]&gt;=60,"Average","Fast"))</f>
        <v>Average</v>
      </c>
    </row>
    <row r="2719" spans="1:31" x14ac:dyDescent="0.25">
      <c r="A2719" t="s">
        <v>2857</v>
      </c>
      <c r="B2719" t="s">
        <v>48</v>
      </c>
      <c r="C2719">
        <v>31</v>
      </c>
      <c r="D2719">
        <v>27</v>
      </c>
      <c r="E2719">
        <v>14</v>
      </c>
      <c r="F2719">
        <v>2</v>
      </c>
      <c r="G2719">
        <v>49.5</v>
      </c>
      <c r="H2719">
        <v>3.05</v>
      </c>
      <c r="I2719">
        <v>0.26</v>
      </c>
      <c r="J2719" t="s">
        <v>215</v>
      </c>
      <c r="K2719" t="s">
        <v>34</v>
      </c>
      <c r="L2719">
        <v>13</v>
      </c>
      <c r="M2719">
        <v>4.9000000000000004</v>
      </c>
      <c r="N2719">
        <v>69.67</v>
      </c>
      <c r="O2719">
        <v>0.47</v>
      </c>
      <c r="P2719">
        <v>8</v>
      </c>
      <c r="Q2719">
        <v>0.86</v>
      </c>
      <c r="R2719">
        <v>883</v>
      </c>
      <c r="S2719">
        <v>8.4</v>
      </c>
      <c r="T2719">
        <v>0.98</v>
      </c>
      <c r="U2719" s="1">
        <v>45435</v>
      </c>
      <c r="V2719">
        <v>238.35</v>
      </c>
      <c r="W2719">
        <v>0.67300000000000004</v>
      </c>
      <c r="X2719" t="str">
        <f>IF(WarehouseData[[#This Row],[stock_level]]&lt;=WarehouseData[[#This Row],[reorder_point]],"Low Stock","Sufficient Stock")</f>
        <v>Sufficient Stock</v>
      </c>
      <c r="Y2719">
        <f>WarehouseData[[#This Row],[daily_demand]]*WarehouseData[[#This Row],[lead_time_days]]</f>
        <v>99</v>
      </c>
      <c r="Z2719" t="str">
        <f>IF(WarehouseData[[#This Row],[stock_level]]&lt;=WarehouseData[[#This Row],[Demand During Lead Time]],"At Risk","Safe")</f>
        <v>At Risk</v>
      </c>
      <c r="AA2719">
        <f>WarehouseData[[#This Row],[stock_level]]/WarehouseData[[#This Row],[daily_demand]]</f>
        <v>0.6262626262626263</v>
      </c>
      <c r="AB2719">
        <f>WarehouseData[[#This Row],[stock_level]]*WarehouseData[[#This Row],[unit_price]]</f>
        <v>2159.77</v>
      </c>
      <c r="AC2719">
        <f>WarehouseData[[#This Row],[stock_level]]*WarehouseData[[#This Row],[holding_cost_per_unit_day]]*30</f>
        <v>437.09999999999997</v>
      </c>
      <c r="AD2719" t="str">
        <f>IF(WarehouseData[[#This Row],[order_fulfillment_rate]]&gt;=0.9,"Strong",IF(WarehouseData[[#This Row],[order_fulfillment_rate]]&gt;=0.8,"Moderate","Needs Attention"))</f>
        <v>Moderate</v>
      </c>
      <c r="AE2719" t="str">
        <f>IF(WarehouseData[[#This Row],[picking_time_seconds]]&gt;120,"Slow",IF(WarehouseData[[#This Row],[picking_time_seconds]]&gt;=60,"Average","Fast"))</f>
        <v>Fast</v>
      </c>
    </row>
    <row r="2720" spans="1:31" x14ac:dyDescent="0.25">
      <c r="A2720" t="s">
        <v>2858</v>
      </c>
      <c r="B2720" t="s">
        <v>36</v>
      </c>
      <c r="C2720">
        <v>160</v>
      </c>
      <c r="D2720">
        <v>64</v>
      </c>
      <c r="E2720">
        <v>7</v>
      </c>
      <c r="F2720">
        <v>5</v>
      </c>
      <c r="G2720">
        <v>24.63</v>
      </c>
      <c r="H2720">
        <v>1.65</v>
      </c>
      <c r="I2720">
        <v>0.89</v>
      </c>
      <c r="J2720" t="s">
        <v>251</v>
      </c>
      <c r="K2720" t="s">
        <v>52</v>
      </c>
      <c r="L2720">
        <v>124</v>
      </c>
      <c r="M2720">
        <v>1.6</v>
      </c>
      <c r="N2720">
        <v>62.91</v>
      </c>
      <c r="O2720">
        <v>0.92</v>
      </c>
      <c r="P2720">
        <v>9</v>
      </c>
      <c r="Q2720">
        <v>0.85</v>
      </c>
      <c r="R2720">
        <v>955</v>
      </c>
      <c r="S2720">
        <v>2.83</v>
      </c>
      <c r="T2720">
        <v>0.99</v>
      </c>
      <c r="U2720" s="1">
        <v>45400</v>
      </c>
      <c r="V2720">
        <v>12.02</v>
      </c>
      <c r="W2720">
        <v>0.53400000000000003</v>
      </c>
      <c r="X2720" t="str">
        <f>IF(WarehouseData[[#This Row],[stock_level]]&lt;=WarehouseData[[#This Row],[reorder_point]],"Low Stock","Sufficient Stock")</f>
        <v>Sufficient Stock</v>
      </c>
      <c r="Y2720">
        <f>WarehouseData[[#This Row],[daily_demand]]*WarehouseData[[#This Row],[lead_time_days]]</f>
        <v>123.14999999999999</v>
      </c>
      <c r="Z2720" t="str">
        <f>IF(WarehouseData[[#This Row],[stock_level]]&lt;=WarehouseData[[#This Row],[Demand During Lead Time]],"At Risk","Safe")</f>
        <v>Safe</v>
      </c>
      <c r="AA2720">
        <f>WarehouseData[[#This Row],[stock_level]]/WarehouseData[[#This Row],[daily_demand]]</f>
        <v>6.4961429151441337</v>
      </c>
      <c r="AB2720">
        <f>WarehouseData[[#This Row],[stock_level]]*WarehouseData[[#This Row],[unit_price]]</f>
        <v>10065.599999999999</v>
      </c>
      <c r="AC2720">
        <f>WarehouseData[[#This Row],[stock_level]]*WarehouseData[[#This Row],[holding_cost_per_unit_day]]*30</f>
        <v>4416.0000000000009</v>
      </c>
      <c r="AD2720" t="str">
        <f>IF(WarehouseData[[#This Row],[order_fulfillment_rate]]&gt;=0.9,"Strong",IF(WarehouseData[[#This Row],[order_fulfillment_rate]]&gt;=0.8,"Moderate","Needs Attention"))</f>
        <v>Moderate</v>
      </c>
      <c r="AE2720" t="str">
        <f>IF(WarehouseData[[#This Row],[picking_time_seconds]]&gt;120,"Slow",IF(WarehouseData[[#This Row],[picking_time_seconds]]&gt;=60,"Average","Fast"))</f>
        <v>Slow</v>
      </c>
    </row>
    <row r="2721" spans="1:31" x14ac:dyDescent="0.25">
      <c r="A2721" t="s">
        <v>2859</v>
      </c>
      <c r="B2721" t="s">
        <v>32</v>
      </c>
      <c r="C2721">
        <v>273</v>
      </c>
      <c r="D2721">
        <v>59</v>
      </c>
      <c r="E2721">
        <v>13</v>
      </c>
      <c r="F2721">
        <v>7</v>
      </c>
      <c r="G2721">
        <v>29.03</v>
      </c>
      <c r="H2721">
        <v>5.81</v>
      </c>
      <c r="I2721">
        <v>0.56999999999999995</v>
      </c>
      <c r="J2721" t="s">
        <v>154</v>
      </c>
      <c r="K2721" t="s">
        <v>38</v>
      </c>
      <c r="L2721">
        <v>104</v>
      </c>
      <c r="M2721">
        <v>3.24</v>
      </c>
      <c r="N2721">
        <v>55.93</v>
      </c>
      <c r="O2721">
        <v>1.02</v>
      </c>
      <c r="P2721">
        <v>9</v>
      </c>
      <c r="Q2721">
        <v>0.98</v>
      </c>
      <c r="R2721">
        <v>101</v>
      </c>
      <c r="S2721">
        <v>4.22</v>
      </c>
      <c r="T2721">
        <v>0.55000000000000004</v>
      </c>
      <c r="U2721" s="1">
        <v>45368</v>
      </c>
      <c r="V2721">
        <v>110.67</v>
      </c>
      <c r="W2721">
        <v>0.48</v>
      </c>
      <c r="X2721" t="str">
        <f>IF(WarehouseData[[#This Row],[stock_level]]&lt;=WarehouseData[[#This Row],[reorder_point]],"Low Stock","Sufficient Stock")</f>
        <v>Sufficient Stock</v>
      </c>
      <c r="Y2721">
        <f>WarehouseData[[#This Row],[daily_demand]]*WarehouseData[[#This Row],[lead_time_days]]</f>
        <v>203.21</v>
      </c>
      <c r="Z2721" t="str">
        <f>IF(WarehouseData[[#This Row],[stock_level]]&lt;=WarehouseData[[#This Row],[Demand During Lead Time]],"At Risk","Safe")</f>
        <v>Safe</v>
      </c>
      <c r="AA2721">
        <f>WarehouseData[[#This Row],[stock_level]]/WarehouseData[[#This Row],[daily_demand]]</f>
        <v>9.4040647605924903</v>
      </c>
      <c r="AB2721">
        <f>WarehouseData[[#This Row],[stock_level]]*WarehouseData[[#This Row],[unit_price]]</f>
        <v>15268.89</v>
      </c>
      <c r="AC2721">
        <f>WarehouseData[[#This Row],[stock_level]]*WarehouseData[[#This Row],[holding_cost_per_unit_day]]*30</f>
        <v>8353.7999999999993</v>
      </c>
      <c r="AD2721" t="str">
        <f>IF(WarehouseData[[#This Row],[order_fulfillment_rate]]&gt;=0.9,"Strong",IF(WarehouseData[[#This Row],[order_fulfillment_rate]]&gt;=0.8,"Moderate","Needs Attention"))</f>
        <v>Strong</v>
      </c>
      <c r="AE2721" t="str">
        <f>IF(WarehouseData[[#This Row],[picking_time_seconds]]&gt;120,"Slow",IF(WarehouseData[[#This Row],[picking_time_seconds]]&gt;=60,"Average","Fast"))</f>
        <v>Average</v>
      </c>
    </row>
    <row r="2722" spans="1:31" x14ac:dyDescent="0.25">
      <c r="A2722" t="s">
        <v>2860</v>
      </c>
      <c r="B2722" t="s">
        <v>48</v>
      </c>
      <c r="C2722">
        <v>62</v>
      </c>
      <c r="D2722">
        <v>23</v>
      </c>
      <c r="E2722">
        <v>6</v>
      </c>
      <c r="F2722">
        <v>6</v>
      </c>
      <c r="G2722">
        <v>31.18</v>
      </c>
      <c r="H2722">
        <v>2.1800000000000002</v>
      </c>
      <c r="I2722">
        <v>0.88</v>
      </c>
      <c r="J2722" t="s">
        <v>77</v>
      </c>
      <c r="K2722" t="s">
        <v>38</v>
      </c>
      <c r="L2722">
        <v>104</v>
      </c>
      <c r="M2722">
        <v>4.3099999999999996</v>
      </c>
      <c r="N2722">
        <v>84.72</v>
      </c>
      <c r="O2722">
        <v>1.06</v>
      </c>
      <c r="P2722">
        <v>1</v>
      </c>
      <c r="Q2722">
        <v>0.79</v>
      </c>
      <c r="R2722">
        <v>475</v>
      </c>
      <c r="S2722">
        <v>5.24</v>
      </c>
      <c r="T2722">
        <v>0.91</v>
      </c>
      <c r="U2722" s="1">
        <v>45387</v>
      </c>
      <c r="V2722">
        <v>185.41</v>
      </c>
      <c r="W2722">
        <v>0.68400000000000005</v>
      </c>
      <c r="X2722" t="str">
        <f>IF(WarehouseData[[#This Row],[stock_level]]&lt;=WarehouseData[[#This Row],[reorder_point]],"Low Stock","Sufficient Stock")</f>
        <v>Sufficient Stock</v>
      </c>
      <c r="Y2722">
        <f>WarehouseData[[#This Row],[daily_demand]]*WarehouseData[[#This Row],[lead_time_days]]</f>
        <v>187.07999999999998</v>
      </c>
      <c r="Z2722" t="str">
        <f>IF(WarehouseData[[#This Row],[stock_level]]&lt;=WarehouseData[[#This Row],[Demand During Lead Time]],"At Risk","Safe")</f>
        <v>At Risk</v>
      </c>
      <c r="AA2722">
        <f>WarehouseData[[#This Row],[stock_level]]/WarehouseData[[#This Row],[daily_demand]]</f>
        <v>1.9884541372674791</v>
      </c>
      <c r="AB2722">
        <f>WarehouseData[[#This Row],[stock_level]]*WarehouseData[[#This Row],[unit_price]]</f>
        <v>5252.64</v>
      </c>
      <c r="AC2722">
        <f>WarehouseData[[#This Row],[stock_level]]*WarehouseData[[#This Row],[holding_cost_per_unit_day]]*30</f>
        <v>1971.6</v>
      </c>
      <c r="AD2722" t="str">
        <f>IF(WarehouseData[[#This Row],[order_fulfillment_rate]]&gt;=0.9,"Strong",IF(WarehouseData[[#This Row],[order_fulfillment_rate]]&gt;=0.8,"Moderate","Needs Attention"))</f>
        <v>Needs Attention</v>
      </c>
      <c r="AE2722" t="str">
        <f>IF(WarehouseData[[#This Row],[picking_time_seconds]]&gt;120,"Slow",IF(WarehouseData[[#This Row],[picking_time_seconds]]&gt;=60,"Average","Fast"))</f>
        <v>Average</v>
      </c>
    </row>
    <row r="2723" spans="1:31" x14ac:dyDescent="0.25">
      <c r="A2723" t="s">
        <v>2861</v>
      </c>
      <c r="B2723" t="s">
        <v>73</v>
      </c>
      <c r="C2723">
        <v>36</v>
      </c>
      <c r="D2723">
        <v>83</v>
      </c>
      <c r="E2723">
        <v>11</v>
      </c>
      <c r="F2723">
        <v>9</v>
      </c>
      <c r="G2723">
        <v>39.69</v>
      </c>
      <c r="H2723">
        <v>6.3</v>
      </c>
      <c r="I2723">
        <v>0.34</v>
      </c>
      <c r="J2723" t="s">
        <v>289</v>
      </c>
      <c r="K2723" t="s">
        <v>46</v>
      </c>
      <c r="L2723">
        <v>146</v>
      </c>
      <c r="M2723">
        <v>4.1100000000000003</v>
      </c>
      <c r="N2723">
        <v>26.57</v>
      </c>
      <c r="O2723">
        <v>1.91</v>
      </c>
      <c r="P2723">
        <v>9</v>
      </c>
      <c r="Q2723">
        <v>0.72</v>
      </c>
      <c r="R2723">
        <v>258</v>
      </c>
      <c r="S2723">
        <v>2.02</v>
      </c>
      <c r="T2723">
        <v>0.67</v>
      </c>
      <c r="U2723" s="1">
        <v>45372</v>
      </c>
      <c r="V2723">
        <v>76.98</v>
      </c>
      <c r="W2723">
        <v>0.33400000000000002</v>
      </c>
      <c r="X2723" t="str">
        <f>IF(WarehouseData[[#This Row],[stock_level]]&lt;=WarehouseData[[#This Row],[reorder_point]],"Low Stock","Sufficient Stock")</f>
        <v>Low Stock</v>
      </c>
      <c r="Y2723">
        <f>WarehouseData[[#This Row],[daily_demand]]*WarehouseData[[#This Row],[lead_time_days]]</f>
        <v>357.21</v>
      </c>
      <c r="Z2723" t="str">
        <f>IF(WarehouseData[[#This Row],[stock_level]]&lt;=WarehouseData[[#This Row],[Demand During Lead Time]],"At Risk","Safe")</f>
        <v>At Risk</v>
      </c>
      <c r="AA2723">
        <f>WarehouseData[[#This Row],[stock_level]]/WarehouseData[[#This Row],[daily_demand]]</f>
        <v>0.90702947845804993</v>
      </c>
      <c r="AB2723">
        <f>WarehouseData[[#This Row],[stock_level]]*WarehouseData[[#This Row],[unit_price]]</f>
        <v>956.52</v>
      </c>
      <c r="AC2723">
        <f>WarehouseData[[#This Row],[stock_level]]*WarehouseData[[#This Row],[holding_cost_per_unit_day]]*30</f>
        <v>2062.7999999999997</v>
      </c>
      <c r="AD2723" t="str">
        <f>IF(WarehouseData[[#This Row],[order_fulfillment_rate]]&gt;=0.9,"Strong",IF(WarehouseData[[#This Row],[order_fulfillment_rate]]&gt;=0.8,"Moderate","Needs Attention"))</f>
        <v>Needs Attention</v>
      </c>
      <c r="AE2723" t="str">
        <f>IF(WarehouseData[[#This Row],[picking_time_seconds]]&gt;120,"Slow",IF(WarehouseData[[#This Row],[picking_time_seconds]]&gt;=60,"Average","Fast"))</f>
        <v>Slow</v>
      </c>
    </row>
    <row r="2724" spans="1:31" x14ac:dyDescent="0.25">
      <c r="A2724" t="s">
        <v>2862</v>
      </c>
      <c r="B2724" t="s">
        <v>36</v>
      </c>
      <c r="C2724">
        <v>82</v>
      </c>
      <c r="D2724">
        <v>18</v>
      </c>
      <c r="E2724">
        <v>12</v>
      </c>
      <c r="F2724">
        <v>7</v>
      </c>
      <c r="G2724">
        <v>40.79</v>
      </c>
      <c r="H2724">
        <v>3</v>
      </c>
      <c r="I2724">
        <v>0.26</v>
      </c>
      <c r="J2724" t="s">
        <v>265</v>
      </c>
      <c r="K2724" t="s">
        <v>38</v>
      </c>
      <c r="L2724">
        <v>40</v>
      </c>
      <c r="M2724">
        <v>0.91</v>
      </c>
      <c r="N2724">
        <v>137.13</v>
      </c>
      <c r="O2724">
        <v>0.28999999999999998</v>
      </c>
      <c r="P2724">
        <v>6</v>
      </c>
      <c r="Q2724">
        <v>0.97</v>
      </c>
      <c r="R2724">
        <v>563</v>
      </c>
      <c r="S2724">
        <v>13.39</v>
      </c>
      <c r="T2724">
        <v>0.61</v>
      </c>
      <c r="U2724" s="1">
        <v>45477</v>
      </c>
      <c r="V2724">
        <v>106.43</v>
      </c>
      <c r="W2724">
        <v>0.746</v>
      </c>
      <c r="X2724" t="str">
        <f>IF(WarehouseData[[#This Row],[stock_level]]&lt;=WarehouseData[[#This Row],[reorder_point]],"Low Stock","Sufficient Stock")</f>
        <v>Sufficient Stock</v>
      </c>
      <c r="Y2724">
        <f>WarehouseData[[#This Row],[daily_demand]]*WarehouseData[[#This Row],[lead_time_days]]</f>
        <v>285.52999999999997</v>
      </c>
      <c r="Z2724" t="str">
        <f>IF(WarehouseData[[#This Row],[stock_level]]&lt;=WarehouseData[[#This Row],[Demand During Lead Time]],"At Risk","Safe")</f>
        <v>At Risk</v>
      </c>
      <c r="AA2724">
        <f>WarehouseData[[#This Row],[stock_level]]/WarehouseData[[#This Row],[daily_demand]]</f>
        <v>2.0102966413336603</v>
      </c>
      <c r="AB2724">
        <f>WarehouseData[[#This Row],[stock_level]]*WarehouseData[[#This Row],[unit_price]]</f>
        <v>11244.66</v>
      </c>
      <c r="AC2724">
        <f>WarehouseData[[#This Row],[stock_level]]*WarehouseData[[#This Row],[holding_cost_per_unit_day]]*30</f>
        <v>713.4</v>
      </c>
      <c r="AD2724" t="str">
        <f>IF(WarehouseData[[#This Row],[order_fulfillment_rate]]&gt;=0.9,"Strong",IF(WarehouseData[[#This Row],[order_fulfillment_rate]]&gt;=0.8,"Moderate","Needs Attention"))</f>
        <v>Strong</v>
      </c>
      <c r="AE2724" t="str">
        <f>IF(WarehouseData[[#This Row],[picking_time_seconds]]&gt;120,"Slow",IF(WarehouseData[[#This Row],[picking_time_seconds]]&gt;=60,"Average","Fast"))</f>
        <v>Fast</v>
      </c>
    </row>
    <row r="2725" spans="1:31" x14ac:dyDescent="0.25">
      <c r="A2725" t="s">
        <v>2863</v>
      </c>
      <c r="B2725" t="s">
        <v>40</v>
      </c>
      <c r="C2725">
        <v>272</v>
      </c>
      <c r="D2725">
        <v>20</v>
      </c>
      <c r="E2725">
        <v>3</v>
      </c>
      <c r="F2725">
        <v>6</v>
      </c>
      <c r="G2725">
        <v>10.5</v>
      </c>
      <c r="H2725">
        <v>2.69</v>
      </c>
      <c r="I2725">
        <v>0.12</v>
      </c>
      <c r="J2725" t="s">
        <v>251</v>
      </c>
      <c r="K2725" t="s">
        <v>46</v>
      </c>
      <c r="L2725">
        <v>142</v>
      </c>
      <c r="M2725">
        <v>3.64</v>
      </c>
      <c r="N2725">
        <v>166.22</v>
      </c>
      <c r="O2725">
        <v>0.82</v>
      </c>
      <c r="P2725">
        <v>7</v>
      </c>
      <c r="Q2725">
        <v>0.77</v>
      </c>
      <c r="R2725">
        <v>690</v>
      </c>
      <c r="S2725">
        <v>2.72</v>
      </c>
      <c r="T2725">
        <v>0.53</v>
      </c>
      <c r="U2725" s="1">
        <v>45600</v>
      </c>
      <c r="V2725">
        <v>36.520000000000003</v>
      </c>
      <c r="W2725">
        <v>0.47399999999999998</v>
      </c>
      <c r="X2725" t="str">
        <f>IF(WarehouseData[[#This Row],[stock_level]]&lt;=WarehouseData[[#This Row],[reorder_point]],"Low Stock","Sufficient Stock")</f>
        <v>Sufficient Stock</v>
      </c>
      <c r="Y2725">
        <f>WarehouseData[[#This Row],[daily_demand]]*WarehouseData[[#This Row],[lead_time_days]]</f>
        <v>63</v>
      </c>
      <c r="Z2725" t="str">
        <f>IF(WarehouseData[[#This Row],[stock_level]]&lt;=WarehouseData[[#This Row],[Demand During Lead Time]],"At Risk","Safe")</f>
        <v>Safe</v>
      </c>
      <c r="AA2725">
        <f>WarehouseData[[#This Row],[stock_level]]/WarehouseData[[#This Row],[daily_demand]]</f>
        <v>25.904761904761905</v>
      </c>
      <c r="AB2725">
        <f>WarehouseData[[#This Row],[stock_level]]*WarehouseData[[#This Row],[unit_price]]</f>
        <v>45211.839999999997</v>
      </c>
      <c r="AC2725">
        <f>WarehouseData[[#This Row],[stock_level]]*WarehouseData[[#This Row],[holding_cost_per_unit_day]]*30</f>
        <v>6691.2</v>
      </c>
      <c r="AD2725" t="str">
        <f>IF(WarehouseData[[#This Row],[order_fulfillment_rate]]&gt;=0.9,"Strong",IF(WarehouseData[[#This Row],[order_fulfillment_rate]]&gt;=0.8,"Moderate","Needs Attention"))</f>
        <v>Needs Attention</v>
      </c>
      <c r="AE2725" t="str">
        <f>IF(WarehouseData[[#This Row],[picking_time_seconds]]&gt;120,"Slow",IF(WarehouseData[[#This Row],[picking_time_seconds]]&gt;=60,"Average","Fast"))</f>
        <v>Slow</v>
      </c>
    </row>
    <row r="2726" spans="1:31" x14ac:dyDescent="0.25">
      <c r="A2726" t="s">
        <v>2864</v>
      </c>
      <c r="B2726" t="s">
        <v>32</v>
      </c>
      <c r="C2726">
        <v>484</v>
      </c>
      <c r="D2726">
        <v>72</v>
      </c>
      <c r="E2726">
        <v>14</v>
      </c>
      <c r="F2726">
        <v>2</v>
      </c>
      <c r="G2726">
        <v>12.6</v>
      </c>
      <c r="H2726">
        <v>4.29</v>
      </c>
      <c r="I2726">
        <v>0.18</v>
      </c>
      <c r="J2726" t="s">
        <v>466</v>
      </c>
      <c r="K2726" t="s">
        <v>34</v>
      </c>
      <c r="L2726">
        <v>25</v>
      </c>
      <c r="M2726">
        <v>1.66</v>
      </c>
      <c r="N2726">
        <v>136.1</v>
      </c>
      <c r="O2726">
        <v>1.08</v>
      </c>
      <c r="P2726">
        <v>3</v>
      </c>
      <c r="Q2726">
        <v>0.81</v>
      </c>
      <c r="R2726">
        <v>227</v>
      </c>
      <c r="S2726">
        <v>10.76</v>
      </c>
      <c r="T2726">
        <v>0.91</v>
      </c>
      <c r="U2726" s="1">
        <v>45352</v>
      </c>
      <c r="V2726">
        <v>257.43</v>
      </c>
      <c r="W2726">
        <v>0.71899999999999997</v>
      </c>
      <c r="X2726" t="str">
        <f>IF(WarehouseData[[#This Row],[stock_level]]&lt;=WarehouseData[[#This Row],[reorder_point]],"Low Stock","Sufficient Stock")</f>
        <v>Sufficient Stock</v>
      </c>
      <c r="Y2726">
        <f>WarehouseData[[#This Row],[daily_demand]]*WarehouseData[[#This Row],[lead_time_days]]</f>
        <v>25.2</v>
      </c>
      <c r="Z2726" t="str">
        <f>IF(WarehouseData[[#This Row],[stock_level]]&lt;=WarehouseData[[#This Row],[Demand During Lead Time]],"At Risk","Safe")</f>
        <v>Safe</v>
      </c>
      <c r="AA2726">
        <f>WarehouseData[[#This Row],[stock_level]]/WarehouseData[[#This Row],[daily_demand]]</f>
        <v>38.412698412698411</v>
      </c>
      <c r="AB2726">
        <f>WarehouseData[[#This Row],[stock_level]]*WarehouseData[[#This Row],[unit_price]]</f>
        <v>65872.399999999994</v>
      </c>
      <c r="AC2726">
        <f>WarehouseData[[#This Row],[stock_level]]*WarehouseData[[#This Row],[holding_cost_per_unit_day]]*30</f>
        <v>15681.6</v>
      </c>
      <c r="AD2726" t="str">
        <f>IF(WarehouseData[[#This Row],[order_fulfillment_rate]]&gt;=0.9,"Strong",IF(WarehouseData[[#This Row],[order_fulfillment_rate]]&gt;=0.8,"Moderate","Needs Attention"))</f>
        <v>Moderate</v>
      </c>
      <c r="AE2726" t="str">
        <f>IF(WarehouseData[[#This Row],[picking_time_seconds]]&gt;120,"Slow",IF(WarehouseData[[#This Row],[picking_time_seconds]]&gt;=60,"Average","Fast"))</f>
        <v>Fast</v>
      </c>
    </row>
    <row r="2727" spans="1:31" x14ac:dyDescent="0.25">
      <c r="A2727" t="s">
        <v>2865</v>
      </c>
      <c r="B2727" t="s">
        <v>48</v>
      </c>
      <c r="C2727">
        <v>395</v>
      </c>
      <c r="D2727">
        <v>85</v>
      </c>
      <c r="E2727">
        <v>8</v>
      </c>
      <c r="F2727">
        <v>5</v>
      </c>
      <c r="G2727">
        <v>43.96</v>
      </c>
      <c r="H2727">
        <v>6.14</v>
      </c>
      <c r="I2727">
        <v>0.23</v>
      </c>
      <c r="J2727" t="s">
        <v>196</v>
      </c>
      <c r="K2727" t="s">
        <v>52</v>
      </c>
      <c r="L2727">
        <v>51</v>
      </c>
      <c r="M2727">
        <v>2.1</v>
      </c>
      <c r="N2727">
        <v>90.03</v>
      </c>
      <c r="O2727">
        <v>1.93</v>
      </c>
      <c r="P2727">
        <v>9</v>
      </c>
      <c r="Q2727">
        <v>0.86</v>
      </c>
      <c r="R2727">
        <v>725</v>
      </c>
      <c r="S2727">
        <v>8.08</v>
      </c>
      <c r="T2727">
        <v>0.7</v>
      </c>
      <c r="U2727" s="1">
        <v>45630</v>
      </c>
      <c r="V2727">
        <v>132.43</v>
      </c>
      <c r="W2727">
        <v>0.44700000000000001</v>
      </c>
      <c r="X2727" t="str">
        <f>IF(WarehouseData[[#This Row],[stock_level]]&lt;=WarehouseData[[#This Row],[reorder_point]],"Low Stock","Sufficient Stock")</f>
        <v>Sufficient Stock</v>
      </c>
      <c r="Y2727">
        <f>WarehouseData[[#This Row],[daily_demand]]*WarehouseData[[#This Row],[lead_time_days]]</f>
        <v>219.8</v>
      </c>
      <c r="Z2727" t="str">
        <f>IF(WarehouseData[[#This Row],[stock_level]]&lt;=WarehouseData[[#This Row],[Demand During Lead Time]],"At Risk","Safe")</f>
        <v>Safe</v>
      </c>
      <c r="AA2727">
        <f>WarehouseData[[#This Row],[stock_level]]/WarehouseData[[#This Row],[daily_demand]]</f>
        <v>8.9854413102820736</v>
      </c>
      <c r="AB2727">
        <f>WarehouseData[[#This Row],[stock_level]]*WarehouseData[[#This Row],[unit_price]]</f>
        <v>35561.85</v>
      </c>
      <c r="AC2727">
        <f>WarehouseData[[#This Row],[stock_level]]*WarehouseData[[#This Row],[holding_cost_per_unit_day]]*30</f>
        <v>22870.5</v>
      </c>
      <c r="AD2727" t="str">
        <f>IF(WarehouseData[[#This Row],[order_fulfillment_rate]]&gt;=0.9,"Strong",IF(WarehouseData[[#This Row],[order_fulfillment_rate]]&gt;=0.8,"Moderate","Needs Attention"))</f>
        <v>Moderate</v>
      </c>
      <c r="AE2727" t="str">
        <f>IF(WarehouseData[[#This Row],[picking_time_seconds]]&gt;120,"Slow",IF(WarehouseData[[#This Row],[picking_time_seconds]]&gt;=60,"Average","Fast"))</f>
        <v>Fast</v>
      </c>
    </row>
    <row r="2728" spans="1:31" x14ac:dyDescent="0.25">
      <c r="A2728" t="s">
        <v>2866</v>
      </c>
      <c r="B2728" t="s">
        <v>73</v>
      </c>
      <c r="C2728">
        <v>311</v>
      </c>
      <c r="D2728">
        <v>76</v>
      </c>
      <c r="E2728">
        <v>5</v>
      </c>
      <c r="F2728">
        <v>2</v>
      </c>
      <c r="G2728">
        <v>41.16</v>
      </c>
      <c r="H2728">
        <v>5.68</v>
      </c>
      <c r="I2728">
        <v>0.17</v>
      </c>
      <c r="J2728" t="s">
        <v>281</v>
      </c>
      <c r="K2728" t="s">
        <v>38</v>
      </c>
      <c r="L2728">
        <v>178</v>
      </c>
      <c r="M2728">
        <v>2.7</v>
      </c>
      <c r="N2728">
        <v>64.900000000000006</v>
      </c>
      <c r="O2728">
        <v>1.06</v>
      </c>
      <c r="P2728">
        <v>0</v>
      </c>
      <c r="Q2728">
        <v>0.99</v>
      </c>
      <c r="R2728">
        <v>914</v>
      </c>
      <c r="S2728">
        <v>12.64</v>
      </c>
      <c r="T2728">
        <v>0.47</v>
      </c>
      <c r="U2728" s="1">
        <v>45409</v>
      </c>
      <c r="V2728">
        <v>52.14</v>
      </c>
      <c r="W2728">
        <v>0.755</v>
      </c>
      <c r="X2728" t="str">
        <f>IF(WarehouseData[[#This Row],[stock_level]]&lt;=WarehouseData[[#This Row],[reorder_point]],"Low Stock","Sufficient Stock")</f>
        <v>Sufficient Stock</v>
      </c>
      <c r="Y2728">
        <f>WarehouseData[[#This Row],[daily_demand]]*WarehouseData[[#This Row],[lead_time_days]]</f>
        <v>82.32</v>
      </c>
      <c r="Z2728" t="str">
        <f>IF(WarehouseData[[#This Row],[stock_level]]&lt;=WarehouseData[[#This Row],[Demand During Lead Time]],"At Risk","Safe")</f>
        <v>Safe</v>
      </c>
      <c r="AA2728">
        <f>WarehouseData[[#This Row],[stock_level]]/WarehouseData[[#This Row],[daily_demand]]</f>
        <v>7.5558794946550059</v>
      </c>
      <c r="AB2728">
        <f>WarehouseData[[#This Row],[stock_level]]*WarehouseData[[#This Row],[unit_price]]</f>
        <v>20183.900000000001</v>
      </c>
      <c r="AC2728">
        <f>WarehouseData[[#This Row],[stock_level]]*WarehouseData[[#This Row],[holding_cost_per_unit_day]]*30</f>
        <v>9889.8000000000011</v>
      </c>
      <c r="AD2728" t="str">
        <f>IF(WarehouseData[[#This Row],[order_fulfillment_rate]]&gt;=0.9,"Strong",IF(WarehouseData[[#This Row],[order_fulfillment_rate]]&gt;=0.8,"Moderate","Needs Attention"))</f>
        <v>Strong</v>
      </c>
      <c r="AE2728" t="str">
        <f>IF(WarehouseData[[#This Row],[picking_time_seconds]]&gt;120,"Slow",IF(WarehouseData[[#This Row],[picking_time_seconds]]&gt;=60,"Average","Fast"))</f>
        <v>Slow</v>
      </c>
    </row>
    <row r="2729" spans="1:31" x14ac:dyDescent="0.25">
      <c r="A2729" t="s">
        <v>2867</v>
      </c>
      <c r="B2729" t="s">
        <v>40</v>
      </c>
      <c r="C2729">
        <v>488</v>
      </c>
      <c r="D2729">
        <v>62</v>
      </c>
      <c r="E2729">
        <v>13</v>
      </c>
      <c r="F2729">
        <v>4</v>
      </c>
      <c r="G2729">
        <v>31.26</v>
      </c>
      <c r="H2729">
        <v>2.82</v>
      </c>
      <c r="I2729">
        <v>0.91</v>
      </c>
      <c r="J2729" t="s">
        <v>148</v>
      </c>
      <c r="K2729" t="s">
        <v>52</v>
      </c>
      <c r="L2729">
        <v>39</v>
      </c>
      <c r="M2729">
        <v>4.0599999999999996</v>
      </c>
      <c r="N2729">
        <v>87.79</v>
      </c>
      <c r="O2729">
        <v>1.57</v>
      </c>
      <c r="P2729">
        <v>4</v>
      </c>
      <c r="Q2729">
        <v>0.86</v>
      </c>
      <c r="R2729">
        <v>71</v>
      </c>
      <c r="S2729">
        <v>11.37</v>
      </c>
      <c r="T2729">
        <v>0.59</v>
      </c>
      <c r="U2729" s="1">
        <v>45504</v>
      </c>
      <c r="V2729">
        <v>67.739999999999995</v>
      </c>
      <c r="W2729">
        <v>0.60499999999999998</v>
      </c>
      <c r="X2729" t="str">
        <f>IF(WarehouseData[[#This Row],[stock_level]]&lt;=WarehouseData[[#This Row],[reorder_point]],"Low Stock","Sufficient Stock")</f>
        <v>Sufficient Stock</v>
      </c>
      <c r="Y2729">
        <f>WarehouseData[[#This Row],[daily_demand]]*WarehouseData[[#This Row],[lead_time_days]]</f>
        <v>125.04</v>
      </c>
      <c r="Z2729" t="str">
        <f>IF(WarehouseData[[#This Row],[stock_level]]&lt;=WarehouseData[[#This Row],[Demand During Lead Time]],"At Risk","Safe")</f>
        <v>Safe</v>
      </c>
      <c r="AA2729">
        <f>WarehouseData[[#This Row],[stock_level]]/WarehouseData[[#This Row],[daily_demand]]</f>
        <v>15.611004478566858</v>
      </c>
      <c r="AB2729">
        <f>WarehouseData[[#This Row],[stock_level]]*WarehouseData[[#This Row],[unit_price]]</f>
        <v>42841.520000000004</v>
      </c>
      <c r="AC2729">
        <f>WarehouseData[[#This Row],[stock_level]]*WarehouseData[[#This Row],[holding_cost_per_unit_day]]*30</f>
        <v>22984.800000000003</v>
      </c>
      <c r="AD2729" t="str">
        <f>IF(WarehouseData[[#This Row],[order_fulfillment_rate]]&gt;=0.9,"Strong",IF(WarehouseData[[#This Row],[order_fulfillment_rate]]&gt;=0.8,"Moderate","Needs Attention"))</f>
        <v>Moderate</v>
      </c>
      <c r="AE2729" t="str">
        <f>IF(WarehouseData[[#This Row],[picking_time_seconds]]&gt;120,"Slow",IF(WarehouseData[[#This Row],[picking_time_seconds]]&gt;=60,"Average","Fast"))</f>
        <v>Fast</v>
      </c>
    </row>
    <row r="2730" spans="1:31" x14ac:dyDescent="0.25">
      <c r="A2730" t="s">
        <v>2868</v>
      </c>
      <c r="B2730" t="s">
        <v>48</v>
      </c>
      <c r="C2730">
        <v>27</v>
      </c>
      <c r="D2730">
        <v>48</v>
      </c>
      <c r="E2730">
        <v>11</v>
      </c>
      <c r="F2730">
        <v>7</v>
      </c>
      <c r="G2730">
        <v>49.74</v>
      </c>
      <c r="H2730">
        <v>8.9700000000000006</v>
      </c>
      <c r="I2730">
        <v>0.92</v>
      </c>
      <c r="J2730" t="s">
        <v>289</v>
      </c>
      <c r="K2730" t="s">
        <v>38</v>
      </c>
      <c r="L2730">
        <v>35</v>
      </c>
      <c r="M2730">
        <v>1.25</v>
      </c>
      <c r="N2730">
        <v>90.53</v>
      </c>
      <c r="O2730">
        <v>1.52</v>
      </c>
      <c r="P2730">
        <v>9</v>
      </c>
      <c r="Q2730">
        <v>0.83</v>
      </c>
      <c r="R2730">
        <v>418</v>
      </c>
      <c r="S2730">
        <v>11.64</v>
      </c>
      <c r="T2730">
        <v>0.56000000000000005</v>
      </c>
      <c r="U2730" s="1">
        <v>45461</v>
      </c>
      <c r="V2730">
        <v>89.8</v>
      </c>
      <c r="W2730">
        <v>0.501</v>
      </c>
      <c r="X2730" t="str">
        <f>IF(WarehouseData[[#This Row],[stock_level]]&lt;=WarehouseData[[#This Row],[reorder_point]],"Low Stock","Sufficient Stock")</f>
        <v>Low Stock</v>
      </c>
      <c r="Y2730">
        <f>WarehouseData[[#This Row],[daily_demand]]*WarehouseData[[#This Row],[lead_time_days]]</f>
        <v>348.18</v>
      </c>
      <c r="Z2730" t="str">
        <f>IF(WarehouseData[[#This Row],[stock_level]]&lt;=WarehouseData[[#This Row],[Demand During Lead Time]],"At Risk","Safe")</f>
        <v>At Risk</v>
      </c>
      <c r="AA2730">
        <f>WarehouseData[[#This Row],[stock_level]]/WarehouseData[[#This Row],[daily_demand]]</f>
        <v>0.54282267792521111</v>
      </c>
      <c r="AB2730">
        <f>WarehouseData[[#This Row],[stock_level]]*WarehouseData[[#This Row],[unit_price]]</f>
        <v>2444.31</v>
      </c>
      <c r="AC2730">
        <f>WarehouseData[[#This Row],[stock_level]]*WarehouseData[[#This Row],[holding_cost_per_unit_day]]*30</f>
        <v>1231.2</v>
      </c>
      <c r="AD2730" t="str">
        <f>IF(WarehouseData[[#This Row],[order_fulfillment_rate]]&gt;=0.9,"Strong",IF(WarehouseData[[#This Row],[order_fulfillment_rate]]&gt;=0.8,"Moderate","Needs Attention"))</f>
        <v>Moderate</v>
      </c>
      <c r="AE2730" t="str">
        <f>IF(WarehouseData[[#This Row],[picking_time_seconds]]&gt;120,"Slow",IF(WarehouseData[[#This Row],[picking_time_seconds]]&gt;=60,"Average","Fast"))</f>
        <v>Fast</v>
      </c>
    </row>
    <row r="2731" spans="1:31" x14ac:dyDescent="0.25">
      <c r="A2731" t="s">
        <v>2869</v>
      </c>
      <c r="B2731" t="s">
        <v>48</v>
      </c>
      <c r="C2731">
        <v>344</v>
      </c>
      <c r="D2731">
        <v>87</v>
      </c>
      <c r="E2731">
        <v>7</v>
      </c>
      <c r="F2731">
        <v>3</v>
      </c>
      <c r="G2731">
        <v>37.020000000000003</v>
      </c>
      <c r="H2731">
        <v>1.54</v>
      </c>
      <c r="I2731">
        <v>0.94</v>
      </c>
      <c r="J2731" t="s">
        <v>150</v>
      </c>
      <c r="K2731" t="s">
        <v>34</v>
      </c>
      <c r="L2731">
        <v>40</v>
      </c>
      <c r="M2731">
        <v>0.99</v>
      </c>
      <c r="N2731">
        <v>136.54</v>
      </c>
      <c r="O2731">
        <v>1.18</v>
      </c>
      <c r="P2731">
        <v>9</v>
      </c>
      <c r="Q2731">
        <v>0.88</v>
      </c>
      <c r="R2731">
        <v>788</v>
      </c>
      <c r="S2731">
        <v>6.86</v>
      </c>
      <c r="T2731">
        <v>0.56000000000000005</v>
      </c>
      <c r="U2731" s="1">
        <v>45350</v>
      </c>
      <c r="V2731">
        <v>76.55</v>
      </c>
      <c r="W2731">
        <v>0.48099999999999998</v>
      </c>
      <c r="X2731" t="str">
        <f>IF(WarehouseData[[#This Row],[stock_level]]&lt;=WarehouseData[[#This Row],[reorder_point]],"Low Stock","Sufficient Stock")</f>
        <v>Sufficient Stock</v>
      </c>
      <c r="Y2731">
        <f>WarehouseData[[#This Row],[daily_demand]]*WarehouseData[[#This Row],[lead_time_days]]</f>
        <v>111.06</v>
      </c>
      <c r="Z2731" t="str">
        <f>IF(WarehouseData[[#This Row],[stock_level]]&lt;=WarehouseData[[#This Row],[Demand During Lead Time]],"At Risk","Safe")</f>
        <v>Safe</v>
      </c>
      <c r="AA2731">
        <f>WarehouseData[[#This Row],[stock_level]]/WarehouseData[[#This Row],[daily_demand]]</f>
        <v>9.2922744462452727</v>
      </c>
      <c r="AB2731">
        <f>WarehouseData[[#This Row],[stock_level]]*WarehouseData[[#This Row],[unit_price]]</f>
        <v>46969.759999999995</v>
      </c>
      <c r="AC2731">
        <f>WarehouseData[[#This Row],[stock_level]]*WarehouseData[[#This Row],[holding_cost_per_unit_day]]*30</f>
        <v>12177.599999999999</v>
      </c>
      <c r="AD2731" t="str">
        <f>IF(WarehouseData[[#This Row],[order_fulfillment_rate]]&gt;=0.9,"Strong",IF(WarehouseData[[#This Row],[order_fulfillment_rate]]&gt;=0.8,"Moderate","Needs Attention"))</f>
        <v>Moderate</v>
      </c>
      <c r="AE2731" t="str">
        <f>IF(WarehouseData[[#This Row],[picking_time_seconds]]&gt;120,"Slow",IF(WarehouseData[[#This Row],[picking_time_seconds]]&gt;=60,"Average","Fast"))</f>
        <v>Fast</v>
      </c>
    </row>
    <row r="2732" spans="1:31" x14ac:dyDescent="0.25">
      <c r="A2732" t="s">
        <v>2870</v>
      </c>
      <c r="B2732" t="s">
        <v>40</v>
      </c>
      <c r="C2732">
        <v>109</v>
      </c>
      <c r="D2732">
        <v>65</v>
      </c>
      <c r="E2732">
        <v>8</v>
      </c>
      <c r="F2732">
        <v>8</v>
      </c>
      <c r="G2732">
        <v>11.58</v>
      </c>
      <c r="H2732">
        <v>0.87</v>
      </c>
      <c r="I2732">
        <v>0.96</v>
      </c>
      <c r="J2732" t="s">
        <v>215</v>
      </c>
      <c r="K2732" t="s">
        <v>38</v>
      </c>
      <c r="L2732">
        <v>59</v>
      </c>
      <c r="M2732">
        <v>1.19</v>
      </c>
      <c r="N2732">
        <v>186.33</v>
      </c>
      <c r="O2732">
        <v>0.35</v>
      </c>
      <c r="P2732">
        <v>5</v>
      </c>
      <c r="Q2732">
        <v>0.99</v>
      </c>
      <c r="R2732">
        <v>131</v>
      </c>
      <c r="S2732">
        <v>12.68</v>
      </c>
      <c r="T2732">
        <v>0.45</v>
      </c>
      <c r="U2732" s="1">
        <v>45538</v>
      </c>
      <c r="V2732">
        <v>155.96</v>
      </c>
      <c r="W2732">
        <v>0.72199999999999998</v>
      </c>
      <c r="X2732" t="str">
        <f>IF(WarehouseData[[#This Row],[stock_level]]&lt;=WarehouseData[[#This Row],[reorder_point]],"Low Stock","Sufficient Stock")</f>
        <v>Sufficient Stock</v>
      </c>
      <c r="Y2732">
        <f>WarehouseData[[#This Row],[daily_demand]]*WarehouseData[[#This Row],[lead_time_days]]</f>
        <v>92.64</v>
      </c>
      <c r="Z2732" t="str">
        <f>IF(WarehouseData[[#This Row],[stock_level]]&lt;=WarehouseData[[#This Row],[Demand During Lead Time]],"At Risk","Safe")</f>
        <v>Safe</v>
      </c>
      <c r="AA2732">
        <f>WarehouseData[[#This Row],[stock_level]]/WarehouseData[[#This Row],[daily_demand]]</f>
        <v>9.4127806563039726</v>
      </c>
      <c r="AB2732">
        <f>WarehouseData[[#This Row],[stock_level]]*WarehouseData[[#This Row],[unit_price]]</f>
        <v>20309.97</v>
      </c>
      <c r="AC2732">
        <f>WarehouseData[[#This Row],[stock_level]]*WarehouseData[[#This Row],[holding_cost_per_unit_day]]*30</f>
        <v>1144.5</v>
      </c>
      <c r="AD2732" t="str">
        <f>IF(WarehouseData[[#This Row],[order_fulfillment_rate]]&gt;=0.9,"Strong",IF(WarehouseData[[#This Row],[order_fulfillment_rate]]&gt;=0.8,"Moderate","Needs Attention"))</f>
        <v>Strong</v>
      </c>
      <c r="AE2732" t="str">
        <f>IF(WarehouseData[[#This Row],[picking_time_seconds]]&gt;120,"Slow",IF(WarehouseData[[#This Row],[picking_time_seconds]]&gt;=60,"Average","Fast"))</f>
        <v>Fast</v>
      </c>
    </row>
    <row r="2733" spans="1:31" x14ac:dyDescent="0.25">
      <c r="A2733" t="s">
        <v>2871</v>
      </c>
      <c r="B2733" t="s">
        <v>73</v>
      </c>
      <c r="C2733">
        <v>227</v>
      </c>
      <c r="D2733">
        <v>37</v>
      </c>
      <c r="E2733">
        <v>13</v>
      </c>
      <c r="F2733">
        <v>9</v>
      </c>
      <c r="G2733">
        <v>42.49</v>
      </c>
      <c r="H2733">
        <v>6.23</v>
      </c>
      <c r="I2733">
        <v>0.54</v>
      </c>
      <c r="J2733" t="s">
        <v>120</v>
      </c>
      <c r="K2733" t="s">
        <v>38</v>
      </c>
      <c r="L2733">
        <v>152</v>
      </c>
      <c r="M2733">
        <v>1.48</v>
      </c>
      <c r="N2733">
        <v>23.41</v>
      </c>
      <c r="O2733">
        <v>0.52</v>
      </c>
      <c r="P2733">
        <v>6</v>
      </c>
      <c r="Q2733">
        <v>0.95</v>
      </c>
      <c r="R2733">
        <v>213</v>
      </c>
      <c r="S2733">
        <v>2.33</v>
      </c>
      <c r="T2733">
        <v>0.71</v>
      </c>
      <c r="U2733" s="1">
        <v>45637</v>
      </c>
      <c r="V2733">
        <v>272.51</v>
      </c>
      <c r="W2733">
        <v>0.59099999999999997</v>
      </c>
      <c r="X2733" t="str">
        <f>IF(WarehouseData[[#This Row],[stock_level]]&lt;=WarehouseData[[#This Row],[reorder_point]],"Low Stock","Sufficient Stock")</f>
        <v>Sufficient Stock</v>
      </c>
      <c r="Y2733">
        <f>WarehouseData[[#This Row],[daily_demand]]*WarehouseData[[#This Row],[lead_time_days]]</f>
        <v>382.41</v>
      </c>
      <c r="Z2733" t="str">
        <f>IF(WarehouseData[[#This Row],[stock_level]]&lt;=WarehouseData[[#This Row],[Demand During Lead Time]],"At Risk","Safe")</f>
        <v>At Risk</v>
      </c>
      <c r="AA2733">
        <f>WarehouseData[[#This Row],[stock_level]]/WarehouseData[[#This Row],[daily_demand]]</f>
        <v>5.3424335137679453</v>
      </c>
      <c r="AB2733">
        <f>WarehouseData[[#This Row],[stock_level]]*WarehouseData[[#This Row],[unit_price]]</f>
        <v>5314.07</v>
      </c>
      <c r="AC2733">
        <f>WarehouseData[[#This Row],[stock_level]]*WarehouseData[[#This Row],[holding_cost_per_unit_day]]*30</f>
        <v>3541.2000000000003</v>
      </c>
      <c r="AD2733" t="str">
        <f>IF(WarehouseData[[#This Row],[order_fulfillment_rate]]&gt;=0.9,"Strong",IF(WarehouseData[[#This Row],[order_fulfillment_rate]]&gt;=0.8,"Moderate","Needs Attention"))</f>
        <v>Strong</v>
      </c>
      <c r="AE2733" t="str">
        <f>IF(WarehouseData[[#This Row],[picking_time_seconds]]&gt;120,"Slow",IF(WarehouseData[[#This Row],[picking_time_seconds]]&gt;=60,"Average","Fast"))</f>
        <v>Slow</v>
      </c>
    </row>
    <row r="2734" spans="1:31" x14ac:dyDescent="0.25">
      <c r="A2734" t="s">
        <v>2872</v>
      </c>
      <c r="B2734" t="s">
        <v>73</v>
      </c>
      <c r="C2734">
        <v>311</v>
      </c>
      <c r="D2734">
        <v>84</v>
      </c>
      <c r="E2734">
        <v>11</v>
      </c>
      <c r="F2734">
        <v>4</v>
      </c>
      <c r="G2734">
        <v>21.32</v>
      </c>
      <c r="H2734">
        <v>1.67</v>
      </c>
      <c r="I2734">
        <v>0.57999999999999996</v>
      </c>
      <c r="J2734" t="s">
        <v>240</v>
      </c>
      <c r="K2734" t="s">
        <v>34</v>
      </c>
      <c r="L2734">
        <v>61</v>
      </c>
      <c r="M2734">
        <v>0.77</v>
      </c>
      <c r="N2734">
        <v>191.14</v>
      </c>
      <c r="O2734">
        <v>0.56000000000000005</v>
      </c>
      <c r="P2734">
        <v>0</v>
      </c>
      <c r="Q2734">
        <v>0.75</v>
      </c>
      <c r="R2734">
        <v>426</v>
      </c>
      <c r="S2734">
        <v>7.22</v>
      </c>
      <c r="T2734">
        <v>0.24</v>
      </c>
      <c r="U2734" s="1">
        <v>45537</v>
      </c>
      <c r="V2734">
        <v>63.34</v>
      </c>
      <c r="W2734">
        <v>0.63800000000000001</v>
      </c>
      <c r="X2734" t="str">
        <f>IF(WarehouseData[[#This Row],[stock_level]]&lt;=WarehouseData[[#This Row],[reorder_point]],"Low Stock","Sufficient Stock")</f>
        <v>Sufficient Stock</v>
      </c>
      <c r="Y2734">
        <f>WarehouseData[[#This Row],[daily_demand]]*WarehouseData[[#This Row],[lead_time_days]]</f>
        <v>85.28</v>
      </c>
      <c r="Z2734" t="str">
        <f>IF(WarehouseData[[#This Row],[stock_level]]&lt;=WarehouseData[[#This Row],[Demand During Lead Time]],"At Risk","Safe")</f>
        <v>Safe</v>
      </c>
      <c r="AA2734">
        <f>WarehouseData[[#This Row],[stock_level]]/WarehouseData[[#This Row],[daily_demand]]</f>
        <v>14.587242026266416</v>
      </c>
      <c r="AB2734">
        <f>WarehouseData[[#This Row],[stock_level]]*WarehouseData[[#This Row],[unit_price]]</f>
        <v>59444.539999999994</v>
      </c>
      <c r="AC2734">
        <f>WarehouseData[[#This Row],[stock_level]]*WarehouseData[[#This Row],[holding_cost_per_unit_day]]*30</f>
        <v>5224.8000000000011</v>
      </c>
      <c r="AD2734" t="str">
        <f>IF(WarehouseData[[#This Row],[order_fulfillment_rate]]&gt;=0.9,"Strong",IF(WarehouseData[[#This Row],[order_fulfillment_rate]]&gt;=0.8,"Moderate","Needs Attention"))</f>
        <v>Needs Attention</v>
      </c>
      <c r="AE2734" t="str">
        <f>IF(WarehouseData[[#This Row],[picking_time_seconds]]&gt;120,"Slow",IF(WarehouseData[[#This Row],[picking_time_seconds]]&gt;=60,"Average","Fast"))</f>
        <v>Average</v>
      </c>
    </row>
    <row r="2735" spans="1:31" x14ac:dyDescent="0.25">
      <c r="A2735" t="s">
        <v>2873</v>
      </c>
      <c r="B2735" t="s">
        <v>36</v>
      </c>
      <c r="C2735">
        <v>303</v>
      </c>
      <c r="D2735">
        <v>48</v>
      </c>
      <c r="E2735">
        <v>11</v>
      </c>
      <c r="F2735">
        <v>4</v>
      </c>
      <c r="G2735">
        <v>2.77</v>
      </c>
      <c r="H2735">
        <v>5.3</v>
      </c>
      <c r="I2735">
        <v>0.22</v>
      </c>
      <c r="J2735" t="s">
        <v>188</v>
      </c>
      <c r="K2735" t="s">
        <v>46</v>
      </c>
      <c r="L2735">
        <v>175</v>
      </c>
      <c r="M2735">
        <v>4.67</v>
      </c>
      <c r="N2735">
        <v>182.94</v>
      </c>
      <c r="O2735">
        <v>0.17</v>
      </c>
      <c r="P2735">
        <v>3</v>
      </c>
      <c r="Q2735">
        <v>0.94</v>
      </c>
      <c r="R2735">
        <v>52</v>
      </c>
      <c r="S2735">
        <v>14.92</v>
      </c>
      <c r="T2735">
        <v>0.91</v>
      </c>
      <c r="U2735" s="1">
        <v>45537</v>
      </c>
      <c r="V2735">
        <v>141.5</v>
      </c>
      <c r="W2735">
        <v>0.89200000000000002</v>
      </c>
      <c r="X2735" t="str">
        <f>IF(WarehouseData[[#This Row],[stock_level]]&lt;=WarehouseData[[#This Row],[reorder_point]],"Low Stock","Sufficient Stock")</f>
        <v>Sufficient Stock</v>
      </c>
      <c r="Y2735">
        <f>WarehouseData[[#This Row],[daily_demand]]*WarehouseData[[#This Row],[lead_time_days]]</f>
        <v>11.08</v>
      </c>
      <c r="Z2735" t="str">
        <f>IF(WarehouseData[[#This Row],[stock_level]]&lt;=WarehouseData[[#This Row],[Demand During Lead Time]],"At Risk","Safe")</f>
        <v>Safe</v>
      </c>
      <c r="AA2735">
        <f>WarehouseData[[#This Row],[stock_level]]/WarehouseData[[#This Row],[daily_demand]]</f>
        <v>109.38628158844766</v>
      </c>
      <c r="AB2735">
        <f>WarehouseData[[#This Row],[stock_level]]*WarehouseData[[#This Row],[unit_price]]</f>
        <v>55430.82</v>
      </c>
      <c r="AC2735">
        <f>WarehouseData[[#This Row],[stock_level]]*WarehouseData[[#This Row],[holding_cost_per_unit_day]]*30</f>
        <v>1545.3000000000002</v>
      </c>
      <c r="AD2735" t="str">
        <f>IF(WarehouseData[[#This Row],[order_fulfillment_rate]]&gt;=0.9,"Strong",IF(WarehouseData[[#This Row],[order_fulfillment_rate]]&gt;=0.8,"Moderate","Needs Attention"))</f>
        <v>Strong</v>
      </c>
      <c r="AE2735" t="str">
        <f>IF(WarehouseData[[#This Row],[picking_time_seconds]]&gt;120,"Slow",IF(WarehouseData[[#This Row],[picking_time_seconds]]&gt;=60,"Average","Fast"))</f>
        <v>Slow</v>
      </c>
    </row>
    <row r="2736" spans="1:31" x14ac:dyDescent="0.25">
      <c r="A2736" t="s">
        <v>2874</v>
      </c>
      <c r="B2736" t="s">
        <v>32</v>
      </c>
      <c r="C2736">
        <v>137</v>
      </c>
      <c r="D2736">
        <v>34</v>
      </c>
      <c r="E2736">
        <v>10</v>
      </c>
      <c r="F2736">
        <v>7</v>
      </c>
      <c r="G2736">
        <v>16.75</v>
      </c>
      <c r="H2736">
        <v>9.5399999999999991</v>
      </c>
      <c r="I2736">
        <v>0.22</v>
      </c>
      <c r="J2736" t="s">
        <v>49</v>
      </c>
      <c r="K2736" t="s">
        <v>46</v>
      </c>
      <c r="L2736">
        <v>47</v>
      </c>
      <c r="M2736">
        <v>1.94</v>
      </c>
      <c r="N2736">
        <v>32.369999999999997</v>
      </c>
      <c r="O2736">
        <v>0.82</v>
      </c>
      <c r="P2736">
        <v>4</v>
      </c>
      <c r="Q2736">
        <v>0.95</v>
      </c>
      <c r="R2736">
        <v>733</v>
      </c>
      <c r="S2736">
        <v>14.27</v>
      </c>
      <c r="T2736">
        <v>0.53</v>
      </c>
      <c r="U2736" s="1">
        <v>45399</v>
      </c>
      <c r="V2736">
        <v>202.54</v>
      </c>
      <c r="W2736">
        <v>0.72399999999999998</v>
      </c>
      <c r="X2736" t="str">
        <f>IF(WarehouseData[[#This Row],[stock_level]]&lt;=WarehouseData[[#This Row],[reorder_point]],"Low Stock","Sufficient Stock")</f>
        <v>Sufficient Stock</v>
      </c>
      <c r="Y2736">
        <f>WarehouseData[[#This Row],[daily_demand]]*WarehouseData[[#This Row],[lead_time_days]]</f>
        <v>117.25</v>
      </c>
      <c r="Z2736" t="str">
        <f>IF(WarehouseData[[#This Row],[stock_level]]&lt;=WarehouseData[[#This Row],[Demand During Lead Time]],"At Risk","Safe")</f>
        <v>Safe</v>
      </c>
      <c r="AA2736">
        <f>WarehouseData[[#This Row],[stock_level]]/WarehouseData[[#This Row],[daily_demand]]</f>
        <v>8.1791044776119399</v>
      </c>
      <c r="AB2736">
        <f>WarehouseData[[#This Row],[stock_level]]*WarehouseData[[#This Row],[unit_price]]</f>
        <v>4434.6899999999996</v>
      </c>
      <c r="AC2736">
        <f>WarehouseData[[#This Row],[stock_level]]*WarehouseData[[#This Row],[holding_cost_per_unit_day]]*30</f>
        <v>3370.2</v>
      </c>
      <c r="AD2736" t="str">
        <f>IF(WarehouseData[[#This Row],[order_fulfillment_rate]]&gt;=0.9,"Strong",IF(WarehouseData[[#This Row],[order_fulfillment_rate]]&gt;=0.8,"Moderate","Needs Attention"))</f>
        <v>Strong</v>
      </c>
      <c r="AE2736" t="str">
        <f>IF(WarehouseData[[#This Row],[picking_time_seconds]]&gt;120,"Slow",IF(WarehouseData[[#This Row],[picking_time_seconds]]&gt;=60,"Average","Fast"))</f>
        <v>Fast</v>
      </c>
    </row>
    <row r="2737" spans="1:31" x14ac:dyDescent="0.25">
      <c r="A2737" t="s">
        <v>2875</v>
      </c>
      <c r="B2737" t="s">
        <v>40</v>
      </c>
      <c r="C2737">
        <v>368</v>
      </c>
      <c r="D2737">
        <v>30</v>
      </c>
      <c r="E2737">
        <v>11</v>
      </c>
      <c r="F2737">
        <v>9</v>
      </c>
      <c r="G2737">
        <v>38.409999999999997</v>
      </c>
      <c r="H2737">
        <v>7.14</v>
      </c>
      <c r="I2737">
        <v>0.8</v>
      </c>
      <c r="J2737" t="s">
        <v>70</v>
      </c>
      <c r="K2737" t="s">
        <v>34</v>
      </c>
      <c r="L2737">
        <v>29</v>
      </c>
      <c r="M2737">
        <v>1.3</v>
      </c>
      <c r="N2737">
        <v>44.88</v>
      </c>
      <c r="O2737">
        <v>1.26</v>
      </c>
      <c r="P2737">
        <v>4</v>
      </c>
      <c r="Q2737">
        <v>0.91</v>
      </c>
      <c r="R2737">
        <v>167</v>
      </c>
      <c r="S2737">
        <v>2.15</v>
      </c>
      <c r="T2737">
        <v>0.84</v>
      </c>
      <c r="U2737" s="1">
        <v>45594</v>
      </c>
      <c r="V2737">
        <v>63.3</v>
      </c>
      <c r="W2737">
        <v>0.57299999999999995</v>
      </c>
      <c r="X2737" t="str">
        <f>IF(WarehouseData[[#This Row],[stock_level]]&lt;=WarehouseData[[#This Row],[reorder_point]],"Low Stock","Sufficient Stock")</f>
        <v>Sufficient Stock</v>
      </c>
      <c r="Y2737">
        <f>WarehouseData[[#This Row],[daily_demand]]*WarehouseData[[#This Row],[lead_time_days]]</f>
        <v>345.68999999999994</v>
      </c>
      <c r="Z2737" t="str">
        <f>IF(WarehouseData[[#This Row],[stock_level]]&lt;=WarehouseData[[#This Row],[Demand During Lead Time]],"At Risk","Safe")</f>
        <v>Safe</v>
      </c>
      <c r="AA2737">
        <f>WarehouseData[[#This Row],[stock_level]]/WarehouseData[[#This Row],[daily_demand]]</f>
        <v>9.5808383233532943</v>
      </c>
      <c r="AB2737">
        <f>WarehouseData[[#This Row],[stock_level]]*WarehouseData[[#This Row],[unit_price]]</f>
        <v>16515.84</v>
      </c>
      <c r="AC2737">
        <f>WarehouseData[[#This Row],[stock_level]]*WarehouseData[[#This Row],[holding_cost_per_unit_day]]*30</f>
        <v>13910.4</v>
      </c>
      <c r="AD2737" t="str">
        <f>IF(WarehouseData[[#This Row],[order_fulfillment_rate]]&gt;=0.9,"Strong",IF(WarehouseData[[#This Row],[order_fulfillment_rate]]&gt;=0.8,"Moderate","Needs Attention"))</f>
        <v>Strong</v>
      </c>
      <c r="AE2737" t="str">
        <f>IF(WarehouseData[[#This Row],[picking_time_seconds]]&gt;120,"Slow",IF(WarehouseData[[#This Row],[picking_time_seconds]]&gt;=60,"Average","Fast"))</f>
        <v>Fast</v>
      </c>
    </row>
    <row r="2738" spans="1:31" x14ac:dyDescent="0.25">
      <c r="A2738" t="s">
        <v>2876</v>
      </c>
      <c r="B2738" t="s">
        <v>40</v>
      </c>
      <c r="C2738">
        <v>194</v>
      </c>
      <c r="D2738">
        <v>19</v>
      </c>
      <c r="E2738">
        <v>6</v>
      </c>
      <c r="F2738">
        <v>6</v>
      </c>
      <c r="G2738">
        <v>48.05</v>
      </c>
      <c r="H2738">
        <v>6.37</v>
      </c>
      <c r="I2738">
        <v>0.87</v>
      </c>
      <c r="J2738" t="s">
        <v>154</v>
      </c>
      <c r="K2738" t="s">
        <v>46</v>
      </c>
      <c r="L2738">
        <v>108</v>
      </c>
      <c r="M2738">
        <v>3.37</v>
      </c>
      <c r="N2738">
        <v>69.2</v>
      </c>
      <c r="O2738">
        <v>0.37</v>
      </c>
      <c r="P2738">
        <v>6</v>
      </c>
      <c r="Q2738">
        <v>0.9</v>
      </c>
      <c r="R2738">
        <v>705</v>
      </c>
      <c r="S2738">
        <v>9.02</v>
      </c>
      <c r="T2738">
        <v>0.78</v>
      </c>
      <c r="U2738" s="1">
        <v>45374</v>
      </c>
      <c r="V2738">
        <v>54.66</v>
      </c>
      <c r="W2738">
        <v>0.69899999999999995</v>
      </c>
      <c r="X2738" t="str">
        <f>IF(WarehouseData[[#This Row],[stock_level]]&lt;=WarehouseData[[#This Row],[reorder_point]],"Low Stock","Sufficient Stock")</f>
        <v>Sufficient Stock</v>
      </c>
      <c r="Y2738">
        <f>WarehouseData[[#This Row],[daily_demand]]*WarehouseData[[#This Row],[lead_time_days]]</f>
        <v>288.29999999999995</v>
      </c>
      <c r="Z2738" t="str">
        <f>IF(WarehouseData[[#This Row],[stock_level]]&lt;=WarehouseData[[#This Row],[Demand During Lead Time]],"At Risk","Safe")</f>
        <v>At Risk</v>
      </c>
      <c r="AA2738">
        <f>WarehouseData[[#This Row],[stock_level]]/WarehouseData[[#This Row],[daily_demand]]</f>
        <v>4.0374609781477631</v>
      </c>
      <c r="AB2738">
        <f>WarehouseData[[#This Row],[stock_level]]*WarehouseData[[#This Row],[unit_price]]</f>
        <v>13424.800000000001</v>
      </c>
      <c r="AC2738">
        <f>WarehouseData[[#This Row],[stock_level]]*WarehouseData[[#This Row],[holding_cost_per_unit_day]]*30</f>
        <v>2153.4</v>
      </c>
      <c r="AD2738" t="str">
        <f>IF(WarehouseData[[#This Row],[order_fulfillment_rate]]&gt;=0.9,"Strong",IF(WarehouseData[[#This Row],[order_fulfillment_rate]]&gt;=0.8,"Moderate","Needs Attention"))</f>
        <v>Strong</v>
      </c>
      <c r="AE2738" t="str">
        <f>IF(WarehouseData[[#This Row],[picking_time_seconds]]&gt;120,"Slow",IF(WarehouseData[[#This Row],[picking_time_seconds]]&gt;=60,"Average","Fast"))</f>
        <v>Average</v>
      </c>
    </row>
    <row r="2739" spans="1:31" x14ac:dyDescent="0.25">
      <c r="A2739" t="s">
        <v>2877</v>
      </c>
      <c r="B2739" t="s">
        <v>40</v>
      </c>
      <c r="C2739">
        <v>95</v>
      </c>
      <c r="D2739">
        <v>52</v>
      </c>
      <c r="E2739">
        <v>8</v>
      </c>
      <c r="F2739">
        <v>4</v>
      </c>
      <c r="G2739">
        <v>14.53</v>
      </c>
      <c r="H2739">
        <v>5.96</v>
      </c>
      <c r="I2739">
        <v>0.81</v>
      </c>
      <c r="J2739" t="s">
        <v>92</v>
      </c>
      <c r="K2739" t="s">
        <v>38</v>
      </c>
      <c r="L2739">
        <v>53</v>
      </c>
      <c r="M2739">
        <v>4.04</v>
      </c>
      <c r="N2739">
        <v>116.34</v>
      </c>
      <c r="O2739">
        <v>0.43</v>
      </c>
      <c r="P2739">
        <v>3</v>
      </c>
      <c r="Q2739">
        <v>0.83</v>
      </c>
      <c r="R2739">
        <v>813</v>
      </c>
      <c r="S2739">
        <v>5.42</v>
      </c>
      <c r="T2739">
        <v>0.57999999999999996</v>
      </c>
      <c r="U2739" s="1">
        <v>45623</v>
      </c>
      <c r="V2739">
        <v>55.06</v>
      </c>
      <c r="W2739">
        <v>0.65100000000000002</v>
      </c>
      <c r="X2739" t="str">
        <f>IF(WarehouseData[[#This Row],[stock_level]]&lt;=WarehouseData[[#This Row],[reorder_point]],"Low Stock","Sufficient Stock")</f>
        <v>Sufficient Stock</v>
      </c>
      <c r="Y2739">
        <f>WarehouseData[[#This Row],[daily_demand]]*WarehouseData[[#This Row],[lead_time_days]]</f>
        <v>58.12</v>
      </c>
      <c r="Z2739" t="str">
        <f>IF(WarehouseData[[#This Row],[stock_level]]&lt;=WarehouseData[[#This Row],[Demand During Lead Time]],"At Risk","Safe")</f>
        <v>Safe</v>
      </c>
      <c r="AA2739">
        <f>WarehouseData[[#This Row],[stock_level]]/WarehouseData[[#This Row],[daily_demand]]</f>
        <v>6.5381968341362704</v>
      </c>
      <c r="AB2739">
        <f>WarehouseData[[#This Row],[stock_level]]*WarehouseData[[#This Row],[unit_price]]</f>
        <v>11052.300000000001</v>
      </c>
      <c r="AC2739">
        <f>WarehouseData[[#This Row],[stock_level]]*WarehouseData[[#This Row],[holding_cost_per_unit_day]]*30</f>
        <v>1225.5</v>
      </c>
      <c r="AD2739" t="str">
        <f>IF(WarehouseData[[#This Row],[order_fulfillment_rate]]&gt;=0.9,"Strong",IF(WarehouseData[[#This Row],[order_fulfillment_rate]]&gt;=0.8,"Moderate","Needs Attention"))</f>
        <v>Moderate</v>
      </c>
      <c r="AE2739" t="str">
        <f>IF(WarehouseData[[#This Row],[picking_time_seconds]]&gt;120,"Slow",IF(WarehouseData[[#This Row],[picking_time_seconds]]&gt;=60,"Average","Fast"))</f>
        <v>Fast</v>
      </c>
    </row>
    <row r="2740" spans="1:31" x14ac:dyDescent="0.25">
      <c r="A2740" t="s">
        <v>2878</v>
      </c>
      <c r="B2740" t="s">
        <v>73</v>
      </c>
      <c r="C2740">
        <v>120</v>
      </c>
      <c r="D2740">
        <v>24</v>
      </c>
      <c r="E2740">
        <v>7</v>
      </c>
      <c r="F2740">
        <v>8</v>
      </c>
      <c r="G2740">
        <v>13.08</v>
      </c>
      <c r="H2740">
        <v>2.21</v>
      </c>
      <c r="I2740">
        <v>0.85</v>
      </c>
      <c r="J2740" t="s">
        <v>37</v>
      </c>
      <c r="K2740" t="s">
        <v>52</v>
      </c>
      <c r="L2740">
        <v>120</v>
      </c>
      <c r="M2740">
        <v>3.89</v>
      </c>
      <c r="N2740">
        <v>35.549999999999997</v>
      </c>
      <c r="O2740">
        <v>1.44</v>
      </c>
      <c r="P2740">
        <v>9</v>
      </c>
      <c r="Q2740">
        <v>0.89</v>
      </c>
      <c r="R2740">
        <v>444</v>
      </c>
      <c r="S2740">
        <v>11.2</v>
      </c>
      <c r="T2740">
        <v>0.36</v>
      </c>
      <c r="U2740" s="1">
        <v>45502</v>
      </c>
      <c r="V2740">
        <v>265.77999999999997</v>
      </c>
      <c r="W2740">
        <v>0.47499999999999998</v>
      </c>
      <c r="X2740" t="str">
        <f>IF(WarehouseData[[#This Row],[stock_level]]&lt;=WarehouseData[[#This Row],[reorder_point]],"Low Stock","Sufficient Stock")</f>
        <v>Sufficient Stock</v>
      </c>
      <c r="Y2740">
        <f>WarehouseData[[#This Row],[daily_demand]]*WarehouseData[[#This Row],[lead_time_days]]</f>
        <v>104.64</v>
      </c>
      <c r="Z2740" t="str">
        <f>IF(WarehouseData[[#This Row],[stock_level]]&lt;=WarehouseData[[#This Row],[Demand During Lead Time]],"At Risk","Safe")</f>
        <v>Safe</v>
      </c>
      <c r="AA2740">
        <f>WarehouseData[[#This Row],[stock_level]]/WarehouseData[[#This Row],[daily_demand]]</f>
        <v>9.1743119266055047</v>
      </c>
      <c r="AB2740">
        <f>WarehouseData[[#This Row],[stock_level]]*WarehouseData[[#This Row],[unit_price]]</f>
        <v>4266</v>
      </c>
      <c r="AC2740">
        <f>WarehouseData[[#This Row],[stock_level]]*WarehouseData[[#This Row],[holding_cost_per_unit_day]]*30</f>
        <v>5183.9999999999991</v>
      </c>
      <c r="AD2740" t="str">
        <f>IF(WarehouseData[[#This Row],[order_fulfillment_rate]]&gt;=0.9,"Strong",IF(WarehouseData[[#This Row],[order_fulfillment_rate]]&gt;=0.8,"Moderate","Needs Attention"))</f>
        <v>Moderate</v>
      </c>
      <c r="AE2740" t="str">
        <f>IF(WarehouseData[[#This Row],[picking_time_seconds]]&gt;120,"Slow",IF(WarehouseData[[#This Row],[picking_time_seconds]]&gt;=60,"Average","Fast"))</f>
        <v>Average</v>
      </c>
    </row>
    <row r="2741" spans="1:31" x14ac:dyDescent="0.25">
      <c r="A2741" t="s">
        <v>2879</v>
      </c>
      <c r="B2741" t="s">
        <v>32</v>
      </c>
      <c r="C2741">
        <v>433</v>
      </c>
      <c r="D2741">
        <v>92</v>
      </c>
      <c r="E2741">
        <v>7</v>
      </c>
      <c r="F2741">
        <v>5</v>
      </c>
      <c r="G2741">
        <v>28.62</v>
      </c>
      <c r="H2741">
        <v>4.6100000000000003</v>
      </c>
      <c r="I2741">
        <v>0.35</v>
      </c>
      <c r="J2741" t="s">
        <v>156</v>
      </c>
      <c r="K2741" t="s">
        <v>34</v>
      </c>
      <c r="L2741">
        <v>98</v>
      </c>
      <c r="M2741">
        <v>3.73</v>
      </c>
      <c r="N2741">
        <v>48.06</v>
      </c>
      <c r="O2741">
        <v>0.42</v>
      </c>
      <c r="P2741">
        <v>6</v>
      </c>
      <c r="Q2741">
        <v>0.92</v>
      </c>
      <c r="R2741">
        <v>315</v>
      </c>
      <c r="S2741">
        <v>11.3</v>
      </c>
      <c r="T2741">
        <v>0.65</v>
      </c>
      <c r="U2741" s="1">
        <v>45303</v>
      </c>
      <c r="V2741">
        <v>216.27</v>
      </c>
      <c r="W2741">
        <v>0.70299999999999996</v>
      </c>
      <c r="X2741" t="str">
        <f>IF(WarehouseData[[#This Row],[stock_level]]&lt;=WarehouseData[[#This Row],[reorder_point]],"Low Stock","Sufficient Stock")</f>
        <v>Sufficient Stock</v>
      </c>
      <c r="Y2741">
        <f>WarehouseData[[#This Row],[daily_demand]]*WarehouseData[[#This Row],[lead_time_days]]</f>
        <v>143.1</v>
      </c>
      <c r="Z2741" t="str">
        <f>IF(WarehouseData[[#This Row],[stock_level]]&lt;=WarehouseData[[#This Row],[Demand During Lead Time]],"At Risk","Safe")</f>
        <v>Safe</v>
      </c>
      <c r="AA2741">
        <f>WarehouseData[[#This Row],[stock_level]]/WarehouseData[[#This Row],[daily_demand]]</f>
        <v>15.129280223619846</v>
      </c>
      <c r="AB2741">
        <f>WarehouseData[[#This Row],[stock_level]]*WarehouseData[[#This Row],[unit_price]]</f>
        <v>20809.98</v>
      </c>
      <c r="AC2741">
        <f>WarehouseData[[#This Row],[stock_level]]*WarehouseData[[#This Row],[holding_cost_per_unit_day]]*30</f>
        <v>5455.7999999999993</v>
      </c>
      <c r="AD2741" t="str">
        <f>IF(WarehouseData[[#This Row],[order_fulfillment_rate]]&gt;=0.9,"Strong",IF(WarehouseData[[#This Row],[order_fulfillment_rate]]&gt;=0.8,"Moderate","Needs Attention"))</f>
        <v>Strong</v>
      </c>
      <c r="AE2741" t="str">
        <f>IF(WarehouseData[[#This Row],[picking_time_seconds]]&gt;120,"Slow",IF(WarehouseData[[#This Row],[picking_time_seconds]]&gt;=60,"Average","Fast"))</f>
        <v>Average</v>
      </c>
    </row>
    <row r="2742" spans="1:31" x14ac:dyDescent="0.25">
      <c r="A2742" t="s">
        <v>2880</v>
      </c>
      <c r="B2742" t="s">
        <v>36</v>
      </c>
      <c r="C2742">
        <v>170</v>
      </c>
      <c r="D2742">
        <v>57</v>
      </c>
      <c r="E2742">
        <v>6</v>
      </c>
      <c r="F2742">
        <v>4</v>
      </c>
      <c r="G2742">
        <v>40.770000000000003</v>
      </c>
      <c r="H2742">
        <v>3.75</v>
      </c>
      <c r="I2742">
        <v>0.52</v>
      </c>
      <c r="J2742" t="s">
        <v>334</v>
      </c>
      <c r="K2742" t="s">
        <v>38</v>
      </c>
      <c r="L2742">
        <v>72</v>
      </c>
      <c r="M2742">
        <v>0.73</v>
      </c>
      <c r="N2742">
        <v>181.51</v>
      </c>
      <c r="O2742">
        <v>0.36</v>
      </c>
      <c r="P2742">
        <v>7</v>
      </c>
      <c r="Q2742">
        <v>0.74</v>
      </c>
      <c r="R2742">
        <v>484</v>
      </c>
      <c r="S2742">
        <v>1</v>
      </c>
      <c r="T2742">
        <v>0.96</v>
      </c>
      <c r="U2742" s="1">
        <v>45416</v>
      </c>
      <c r="V2742">
        <v>107.55</v>
      </c>
      <c r="W2742">
        <v>0.57699999999999996</v>
      </c>
      <c r="X2742" t="str">
        <f>IF(WarehouseData[[#This Row],[stock_level]]&lt;=WarehouseData[[#This Row],[reorder_point]],"Low Stock","Sufficient Stock")</f>
        <v>Sufficient Stock</v>
      </c>
      <c r="Y2742">
        <f>WarehouseData[[#This Row],[daily_demand]]*WarehouseData[[#This Row],[lead_time_days]]</f>
        <v>163.08000000000001</v>
      </c>
      <c r="Z2742" t="str">
        <f>IF(WarehouseData[[#This Row],[stock_level]]&lt;=WarehouseData[[#This Row],[Demand During Lead Time]],"At Risk","Safe")</f>
        <v>Safe</v>
      </c>
      <c r="AA2742">
        <f>WarehouseData[[#This Row],[stock_level]]/WarehouseData[[#This Row],[daily_demand]]</f>
        <v>4.1697326465538387</v>
      </c>
      <c r="AB2742">
        <f>WarehouseData[[#This Row],[stock_level]]*WarehouseData[[#This Row],[unit_price]]</f>
        <v>30856.699999999997</v>
      </c>
      <c r="AC2742">
        <f>WarehouseData[[#This Row],[stock_level]]*WarehouseData[[#This Row],[holding_cost_per_unit_day]]*30</f>
        <v>1835.9999999999998</v>
      </c>
      <c r="AD2742" t="str">
        <f>IF(WarehouseData[[#This Row],[order_fulfillment_rate]]&gt;=0.9,"Strong",IF(WarehouseData[[#This Row],[order_fulfillment_rate]]&gt;=0.8,"Moderate","Needs Attention"))</f>
        <v>Needs Attention</v>
      </c>
      <c r="AE2742" t="str">
        <f>IF(WarehouseData[[#This Row],[picking_time_seconds]]&gt;120,"Slow",IF(WarehouseData[[#This Row],[picking_time_seconds]]&gt;=60,"Average","Fast"))</f>
        <v>Average</v>
      </c>
    </row>
    <row r="2743" spans="1:31" x14ac:dyDescent="0.25">
      <c r="A2743" t="s">
        <v>2881</v>
      </c>
      <c r="B2743" t="s">
        <v>48</v>
      </c>
      <c r="C2743">
        <v>419</v>
      </c>
      <c r="D2743">
        <v>95</v>
      </c>
      <c r="E2743">
        <v>4</v>
      </c>
      <c r="F2743">
        <v>5</v>
      </c>
      <c r="G2743">
        <v>37.58</v>
      </c>
      <c r="H2743">
        <v>9.5500000000000007</v>
      </c>
      <c r="I2743">
        <v>0.51</v>
      </c>
      <c r="J2743" t="s">
        <v>377</v>
      </c>
      <c r="K2743" t="s">
        <v>34</v>
      </c>
      <c r="L2743">
        <v>127</v>
      </c>
      <c r="M2743">
        <v>4.0199999999999996</v>
      </c>
      <c r="N2743">
        <v>30.77</v>
      </c>
      <c r="O2743">
        <v>1.96</v>
      </c>
      <c r="P2743">
        <v>1</v>
      </c>
      <c r="Q2743">
        <v>0.78</v>
      </c>
      <c r="R2743">
        <v>731</v>
      </c>
      <c r="S2743">
        <v>12.84</v>
      </c>
      <c r="T2743">
        <v>0.35</v>
      </c>
      <c r="U2743" s="1">
        <v>45314</v>
      </c>
      <c r="V2743">
        <v>271.74</v>
      </c>
      <c r="W2743">
        <v>0.58099999999999996</v>
      </c>
      <c r="X2743" t="str">
        <f>IF(WarehouseData[[#This Row],[stock_level]]&lt;=WarehouseData[[#This Row],[reorder_point]],"Low Stock","Sufficient Stock")</f>
        <v>Sufficient Stock</v>
      </c>
      <c r="Y2743">
        <f>WarehouseData[[#This Row],[daily_demand]]*WarehouseData[[#This Row],[lead_time_days]]</f>
        <v>187.89999999999998</v>
      </c>
      <c r="Z2743" t="str">
        <f>IF(WarehouseData[[#This Row],[stock_level]]&lt;=WarehouseData[[#This Row],[Demand During Lead Time]],"At Risk","Safe")</f>
        <v>Safe</v>
      </c>
      <c r="AA2743">
        <f>WarehouseData[[#This Row],[stock_level]]/WarehouseData[[#This Row],[daily_demand]]</f>
        <v>11.149547631719001</v>
      </c>
      <c r="AB2743">
        <f>WarehouseData[[#This Row],[stock_level]]*WarehouseData[[#This Row],[unit_price]]</f>
        <v>12892.63</v>
      </c>
      <c r="AC2743">
        <f>WarehouseData[[#This Row],[stock_level]]*WarehouseData[[#This Row],[holding_cost_per_unit_day]]*30</f>
        <v>24637.200000000001</v>
      </c>
      <c r="AD2743" t="str">
        <f>IF(WarehouseData[[#This Row],[order_fulfillment_rate]]&gt;=0.9,"Strong",IF(WarehouseData[[#This Row],[order_fulfillment_rate]]&gt;=0.8,"Moderate","Needs Attention"))</f>
        <v>Needs Attention</v>
      </c>
      <c r="AE2743" t="str">
        <f>IF(WarehouseData[[#This Row],[picking_time_seconds]]&gt;120,"Slow",IF(WarehouseData[[#This Row],[picking_time_seconds]]&gt;=60,"Average","Fast"))</f>
        <v>Slow</v>
      </c>
    </row>
    <row r="2744" spans="1:31" x14ac:dyDescent="0.25">
      <c r="A2744" t="s">
        <v>2882</v>
      </c>
      <c r="B2744" t="s">
        <v>48</v>
      </c>
      <c r="C2744">
        <v>289</v>
      </c>
      <c r="D2744">
        <v>30</v>
      </c>
      <c r="E2744">
        <v>14</v>
      </c>
      <c r="F2744">
        <v>2</v>
      </c>
      <c r="G2744">
        <v>28.44</v>
      </c>
      <c r="H2744">
        <v>2.8</v>
      </c>
      <c r="I2744">
        <v>1</v>
      </c>
      <c r="J2744" t="s">
        <v>221</v>
      </c>
      <c r="K2744" t="s">
        <v>52</v>
      </c>
      <c r="L2744">
        <v>159</v>
      </c>
      <c r="M2744">
        <v>2.76</v>
      </c>
      <c r="N2744">
        <v>85.79</v>
      </c>
      <c r="O2744">
        <v>0.13</v>
      </c>
      <c r="P2744">
        <v>0</v>
      </c>
      <c r="Q2744">
        <v>0.76</v>
      </c>
      <c r="R2744">
        <v>774</v>
      </c>
      <c r="S2744">
        <v>4.13</v>
      </c>
      <c r="T2744">
        <v>0.4</v>
      </c>
      <c r="U2744" s="1">
        <v>45357</v>
      </c>
      <c r="V2744">
        <v>286.52999999999997</v>
      </c>
      <c r="W2744">
        <v>0.67400000000000004</v>
      </c>
      <c r="X2744" t="str">
        <f>IF(WarehouseData[[#This Row],[stock_level]]&lt;=WarehouseData[[#This Row],[reorder_point]],"Low Stock","Sufficient Stock")</f>
        <v>Sufficient Stock</v>
      </c>
      <c r="Y2744">
        <f>WarehouseData[[#This Row],[daily_demand]]*WarehouseData[[#This Row],[lead_time_days]]</f>
        <v>56.88</v>
      </c>
      <c r="Z2744" t="str">
        <f>IF(WarehouseData[[#This Row],[stock_level]]&lt;=WarehouseData[[#This Row],[Demand During Lead Time]],"At Risk","Safe")</f>
        <v>Safe</v>
      </c>
      <c r="AA2744">
        <f>WarehouseData[[#This Row],[stock_level]]/WarehouseData[[#This Row],[daily_demand]]</f>
        <v>10.161744022503516</v>
      </c>
      <c r="AB2744">
        <f>WarehouseData[[#This Row],[stock_level]]*WarehouseData[[#This Row],[unit_price]]</f>
        <v>24793.31</v>
      </c>
      <c r="AC2744">
        <f>WarehouseData[[#This Row],[stock_level]]*WarehouseData[[#This Row],[holding_cost_per_unit_day]]*30</f>
        <v>1127.0999999999999</v>
      </c>
      <c r="AD2744" t="str">
        <f>IF(WarehouseData[[#This Row],[order_fulfillment_rate]]&gt;=0.9,"Strong",IF(WarehouseData[[#This Row],[order_fulfillment_rate]]&gt;=0.8,"Moderate","Needs Attention"))</f>
        <v>Needs Attention</v>
      </c>
      <c r="AE2744" t="str">
        <f>IF(WarehouseData[[#This Row],[picking_time_seconds]]&gt;120,"Slow",IF(WarehouseData[[#This Row],[picking_time_seconds]]&gt;=60,"Average","Fast"))</f>
        <v>Slow</v>
      </c>
    </row>
    <row r="2745" spans="1:31" x14ac:dyDescent="0.25">
      <c r="A2745" t="s">
        <v>2883</v>
      </c>
      <c r="B2745" t="s">
        <v>40</v>
      </c>
      <c r="C2745">
        <v>477</v>
      </c>
      <c r="D2745">
        <v>69</v>
      </c>
      <c r="E2745">
        <v>8</v>
      </c>
      <c r="F2745">
        <v>9</v>
      </c>
      <c r="G2745">
        <v>31.94</v>
      </c>
      <c r="H2745">
        <v>4.9800000000000004</v>
      </c>
      <c r="I2745">
        <v>0.95</v>
      </c>
      <c r="J2745" t="s">
        <v>95</v>
      </c>
      <c r="K2745" t="s">
        <v>38</v>
      </c>
      <c r="L2745">
        <v>81</v>
      </c>
      <c r="M2745">
        <v>3.42</v>
      </c>
      <c r="N2745">
        <v>154.97</v>
      </c>
      <c r="O2745">
        <v>0.72</v>
      </c>
      <c r="P2745">
        <v>9</v>
      </c>
      <c r="Q2745">
        <v>0.95</v>
      </c>
      <c r="R2745">
        <v>842</v>
      </c>
      <c r="S2745">
        <v>14.52</v>
      </c>
      <c r="T2745">
        <v>0.99</v>
      </c>
      <c r="U2745" s="1">
        <v>45585</v>
      </c>
      <c r="V2745">
        <v>125.5</v>
      </c>
      <c r="W2745">
        <v>0.73</v>
      </c>
      <c r="X2745" t="str">
        <f>IF(WarehouseData[[#This Row],[stock_level]]&lt;=WarehouseData[[#This Row],[reorder_point]],"Low Stock","Sufficient Stock")</f>
        <v>Sufficient Stock</v>
      </c>
      <c r="Y2745">
        <f>WarehouseData[[#This Row],[daily_demand]]*WarehouseData[[#This Row],[lead_time_days]]</f>
        <v>287.46000000000004</v>
      </c>
      <c r="Z2745" t="str">
        <f>IF(WarehouseData[[#This Row],[stock_level]]&lt;=WarehouseData[[#This Row],[Demand During Lead Time]],"At Risk","Safe")</f>
        <v>Safe</v>
      </c>
      <c r="AA2745">
        <f>WarehouseData[[#This Row],[stock_level]]/WarehouseData[[#This Row],[daily_demand]]</f>
        <v>14.934251721978709</v>
      </c>
      <c r="AB2745">
        <f>WarehouseData[[#This Row],[stock_level]]*WarehouseData[[#This Row],[unit_price]]</f>
        <v>73920.69</v>
      </c>
      <c r="AC2745">
        <f>WarehouseData[[#This Row],[stock_level]]*WarehouseData[[#This Row],[holding_cost_per_unit_day]]*30</f>
        <v>10303.200000000001</v>
      </c>
      <c r="AD2745" t="str">
        <f>IF(WarehouseData[[#This Row],[order_fulfillment_rate]]&gt;=0.9,"Strong",IF(WarehouseData[[#This Row],[order_fulfillment_rate]]&gt;=0.8,"Moderate","Needs Attention"))</f>
        <v>Strong</v>
      </c>
      <c r="AE2745" t="str">
        <f>IF(WarehouseData[[#This Row],[picking_time_seconds]]&gt;120,"Slow",IF(WarehouseData[[#This Row],[picking_time_seconds]]&gt;=60,"Average","Fast"))</f>
        <v>Average</v>
      </c>
    </row>
    <row r="2746" spans="1:31" x14ac:dyDescent="0.25">
      <c r="A2746" t="s">
        <v>2884</v>
      </c>
      <c r="B2746" t="s">
        <v>32</v>
      </c>
      <c r="C2746">
        <v>90</v>
      </c>
      <c r="D2746">
        <v>59</v>
      </c>
      <c r="E2746">
        <v>11</v>
      </c>
      <c r="F2746">
        <v>6</v>
      </c>
      <c r="G2746">
        <v>12.86</v>
      </c>
      <c r="H2746">
        <v>9.41</v>
      </c>
      <c r="I2746">
        <v>0.64</v>
      </c>
      <c r="J2746" t="s">
        <v>113</v>
      </c>
      <c r="K2746" t="s">
        <v>38</v>
      </c>
      <c r="L2746">
        <v>63</v>
      </c>
      <c r="M2746">
        <v>4.8</v>
      </c>
      <c r="N2746">
        <v>178.83</v>
      </c>
      <c r="O2746">
        <v>0.17</v>
      </c>
      <c r="P2746">
        <v>9</v>
      </c>
      <c r="Q2746">
        <v>0.9</v>
      </c>
      <c r="R2746">
        <v>276</v>
      </c>
      <c r="S2746">
        <v>13.68</v>
      </c>
      <c r="T2746">
        <v>0.91</v>
      </c>
      <c r="U2746" s="1">
        <v>45595</v>
      </c>
      <c r="V2746">
        <v>158.03</v>
      </c>
      <c r="W2746">
        <v>0.747</v>
      </c>
      <c r="X2746" t="str">
        <f>IF(WarehouseData[[#This Row],[stock_level]]&lt;=WarehouseData[[#This Row],[reorder_point]],"Low Stock","Sufficient Stock")</f>
        <v>Sufficient Stock</v>
      </c>
      <c r="Y2746">
        <f>WarehouseData[[#This Row],[daily_demand]]*WarehouseData[[#This Row],[lead_time_days]]</f>
        <v>77.16</v>
      </c>
      <c r="Z2746" t="str">
        <f>IF(WarehouseData[[#This Row],[stock_level]]&lt;=WarehouseData[[#This Row],[Demand During Lead Time]],"At Risk","Safe")</f>
        <v>Safe</v>
      </c>
      <c r="AA2746">
        <f>WarehouseData[[#This Row],[stock_level]]/WarehouseData[[#This Row],[daily_demand]]</f>
        <v>6.9984447900466566</v>
      </c>
      <c r="AB2746">
        <f>WarehouseData[[#This Row],[stock_level]]*WarehouseData[[#This Row],[unit_price]]</f>
        <v>16094.7</v>
      </c>
      <c r="AC2746">
        <f>WarehouseData[[#This Row],[stock_level]]*WarehouseData[[#This Row],[holding_cost_per_unit_day]]*30</f>
        <v>459</v>
      </c>
      <c r="AD2746" t="str">
        <f>IF(WarehouseData[[#This Row],[order_fulfillment_rate]]&gt;=0.9,"Strong",IF(WarehouseData[[#This Row],[order_fulfillment_rate]]&gt;=0.8,"Moderate","Needs Attention"))</f>
        <v>Strong</v>
      </c>
      <c r="AE2746" t="str">
        <f>IF(WarehouseData[[#This Row],[picking_time_seconds]]&gt;120,"Slow",IF(WarehouseData[[#This Row],[picking_time_seconds]]&gt;=60,"Average","Fast"))</f>
        <v>Average</v>
      </c>
    </row>
    <row r="2747" spans="1:31" x14ac:dyDescent="0.25">
      <c r="A2747" t="s">
        <v>2885</v>
      </c>
      <c r="B2747" t="s">
        <v>73</v>
      </c>
      <c r="C2747">
        <v>199</v>
      </c>
      <c r="D2747">
        <v>32</v>
      </c>
      <c r="E2747">
        <v>14</v>
      </c>
      <c r="F2747">
        <v>5</v>
      </c>
      <c r="G2747">
        <v>22.2</v>
      </c>
      <c r="H2747">
        <v>8</v>
      </c>
      <c r="I2747">
        <v>0.22</v>
      </c>
      <c r="J2747" t="s">
        <v>418</v>
      </c>
      <c r="K2747" t="s">
        <v>52</v>
      </c>
      <c r="L2747">
        <v>146</v>
      </c>
      <c r="M2747">
        <v>4.1500000000000004</v>
      </c>
      <c r="N2747">
        <v>73.849999999999994</v>
      </c>
      <c r="O2747">
        <v>1.69</v>
      </c>
      <c r="P2747">
        <v>0</v>
      </c>
      <c r="Q2747">
        <v>0.84</v>
      </c>
      <c r="R2747">
        <v>425</v>
      </c>
      <c r="S2747">
        <v>3.67</v>
      </c>
      <c r="T2747">
        <v>0.64</v>
      </c>
      <c r="U2747" s="1">
        <v>45374</v>
      </c>
      <c r="V2747">
        <v>113.84</v>
      </c>
      <c r="W2747">
        <v>0.57599999999999996</v>
      </c>
      <c r="X2747" t="str">
        <f>IF(WarehouseData[[#This Row],[stock_level]]&lt;=WarehouseData[[#This Row],[reorder_point]],"Low Stock","Sufficient Stock")</f>
        <v>Sufficient Stock</v>
      </c>
      <c r="Y2747">
        <f>WarehouseData[[#This Row],[daily_demand]]*WarehouseData[[#This Row],[lead_time_days]]</f>
        <v>111</v>
      </c>
      <c r="Z2747" t="str">
        <f>IF(WarehouseData[[#This Row],[stock_level]]&lt;=WarehouseData[[#This Row],[Demand During Lead Time]],"At Risk","Safe")</f>
        <v>Safe</v>
      </c>
      <c r="AA2747">
        <f>WarehouseData[[#This Row],[stock_level]]/WarehouseData[[#This Row],[daily_demand]]</f>
        <v>8.9639639639639643</v>
      </c>
      <c r="AB2747">
        <f>WarehouseData[[#This Row],[stock_level]]*WarehouseData[[#This Row],[unit_price]]</f>
        <v>14696.15</v>
      </c>
      <c r="AC2747">
        <f>WarehouseData[[#This Row],[stock_level]]*WarehouseData[[#This Row],[holding_cost_per_unit_day]]*30</f>
        <v>10089.299999999999</v>
      </c>
      <c r="AD2747" t="str">
        <f>IF(WarehouseData[[#This Row],[order_fulfillment_rate]]&gt;=0.9,"Strong",IF(WarehouseData[[#This Row],[order_fulfillment_rate]]&gt;=0.8,"Moderate","Needs Attention"))</f>
        <v>Moderate</v>
      </c>
      <c r="AE2747" t="str">
        <f>IF(WarehouseData[[#This Row],[picking_time_seconds]]&gt;120,"Slow",IF(WarehouseData[[#This Row],[picking_time_seconds]]&gt;=60,"Average","Fast"))</f>
        <v>Slow</v>
      </c>
    </row>
    <row r="2748" spans="1:31" x14ac:dyDescent="0.25">
      <c r="A2748" t="s">
        <v>2886</v>
      </c>
      <c r="B2748" t="s">
        <v>32</v>
      </c>
      <c r="C2748">
        <v>143</v>
      </c>
      <c r="D2748">
        <v>22</v>
      </c>
      <c r="E2748">
        <v>3</v>
      </c>
      <c r="F2748">
        <v>4</v>
      </c>
      <c r="G2748">
        <v>13.51</v>
      </c>
      <c r="H2748">
        <v>9.66</v>
      </c>
      <c r="I2748">
        <v>0.33</v>
      </c>
      <c r="J2748" t="s">
        <v>207</v>
      </c>
      <c r="K2748" t="s">
        <v>52</v>
      </c>
      <c r="L2748">
        <v>152</v>
      </c>
      <c r="M2748">
        <v>4.21</v>
      </c>
      <c r="N2748">
        <v>41.24</v>
      </c>
      <c r="O2748">
        <v>1.21</v>
      </c>
      <c r="P2748">
        <v>0</v>
      </c>
      <c r="Q2748">
        <v>0.95</v>
      </c>
      <c r="R2748">
        <v>311</v>
      </c>
      <c r="S2748">
        <v>9.91</v>
      </c>
      <c r="T2748">
        <v>0.76</v>
      </c>
      <c r="U2748" s="1">
        <v>45360</v>
      </c>
      <c r="V2748">
        <v>75.989999999999995</v>
      </c>
      <c r="W2748">
        <v>0.753</v>
      </c>
      <c r="X2748" t="str">
        <f>IF(WarehouseData[[#This Row],[stock_level]]&lt;=WarehouseData[[#This Row],[reorder_point]],"Low Stock","Sufficient Stock")</f>
        <v>Sufficient Stock</v>
      </c>
      <c r="Y2748">
        <f>WarehouseData[[#This Row],[daily_demand]]*WarehouseData[[#This Row],[lead_time_days]]</f>
        <v>54.04</v>
      </c>
      <c r="Z2748" t="str">
        <f>IF(WarehouseData[[#This Row],[stock_level]]&lt;=WarehouseData[[#This Row],[Demand During Lead Time]],"At Risk","Safe")</f>
        <v>Safe</v>
      </c>
      <c r="AA2748">
        <f>WarehouseData[[#This Row],[stock_level]]/WarehouseData[[#This Row],[daily_demand]]</f>
        <v>10.584752035529238</v>
      </c>
      <c r="AB2748">
        <f>WarehouseData[[#This Row],[stock_level]]*WarehouseData[[#This Row],[unit_price]]</f>
        <v>5897.3200000000006</v>
      </c>
      <c r="AC2748">
        <f>WarehouseData[[#This Row],[stock_level]]*WarehouseData[[#This Row],[holding_cost_per_unit_day]]*30</f>
        <v>5190.8999999999996</v>
      </c>
      <c r="AD2748" t="str">
        <f>IF(WarehouseData[[#This Row],[order_fulfillment_rate]]&gt;=0.9,"Strong",IF(WarehouseData[[#This Row],[order_fulfillment_rate]]&gt;=0.8,"Moderate","Needs Attention"))</f>
        <v>Strong</v>
      </c>
      <c r="AE2748" t="str">
        <f>IF(WarehouseData[[#This Row],[picking_time_seconds]]&gt;120,"Slow",IF(WarehouseData[[#This Row],[picking_time_seconds]]&gt;=60,"Average","Fast"))</f>
        <v>Slow</v>
      </c>
    </row>
    <row r="2749" spans="1:31" x14ac:dyDescent="0.25">
      <c r="A2749" t="s">
        <v>2887</v>
      </c>
      <c r="B2749" t="s">
        <v>32</v>
      </c>
      <c r="C2749">
        <v>400</v>
      </c>
      <c r="D2749">
        <v>78</v>
      </c>
      <c r="E2749">
        <v>9</v>
      </c>
      <c r="F2749">
        <v>6</v>
      </c>
      <c r="G2749">
        <v>44.34</v>
      </c>
      <c r="H2749">
        <v>6.28</v>
      </c>
      <c r="I2749">
        <v>0.43</v>
      </c>
      <c r="J2749" t="s">
        <v>181</v>
      </c>
      <c r="K2749" t="s">
        <v>46</v>
      </c>
      <c r="L2749">
        <v>57</v>
      </c>
      <c r="M2749">
        <v>1.32</v>
      </c>
      <c r="N2749">
        <v>150.03</v>
      </c>
      <c r="O2749">
        <v>0.19</v>
      </c>
      <c r="P2749">
        <v>8</v>
      </c>
      <c r="Q2749">
        <v>0.92</v>
      </c>
      <c r="R2749">
        <v>415</v>
      </c>
      <c r="S2749">
        <v>5.15</v>
      </c>
      <c r="T2749">
        <v>0.55000000000000004</v>
      </c>
      <c r="U2749" s="1">
        <v>45614</v>
      </c>
      <c r="V2749">
        <v>236.2</v>
      </c>
      <c r="W2749">
        <v>0.58399999999999996</v>
      </c>
      <c r="X2749" t="str">
        <f>IF(WarehouseData[[#This Row],[stock_level]]&lt;=WarehouseData[[#This Row],[reorder_point]],"Low Stock","Sufficient Stock")</f>
        <v>Sufficient Stock</v>
      </c>
      <c r="Y2749">
        <f>WarehouseData[[#This Row],[daily_demand]]*WarehouseData[[#This Row],[lead_time_days]]</f>
        <v>266.04000000000002</v>
      </c>
      <c r="Z2749" t="str">
        <f>IF(WarehouseData[[#This Row],[stock_level]]&lt;=WarehouseData[[#This Row],[Demand During Lead Time]],"At Risk","Safe")</f>
        <v>Safe</v>
      </c>
      <c r="AA2749">
        <f>WarehouseData[[#This Row],[stock_level]]/WarehouseData[[#This Row],[daily_demand]]</f>
        <v>9.0211998195760028</v>
      </c>
      <c r="AB2749">
        <f>WarehouseData[[#This Row],[stock_level]]*WarehouseData[[#This Row],[unit_price]]</f>
        <v>60012</v>
      </c>
      <c r="AC2749">
        <f>WarehouseData[[#This Row],[stock_level]]*WarehouseData[[#This Row],[holding_cost_per_unit_day]]*30</f>
        <v>2280</v>
      </c>
      <c r="AD2749" t="str">
        <f>IF(WarehouseData[[#This Row],[order_fulfillment_rate]]&gt;=0.9,"Strong",IF(WarehouseData[[#This Row],[order_fulfillment_rate]]&gt;=0.8,"Moderate","Needs Attention"))</f>
        <v>Strong</v>
      </c>
      <c r="AE2749" t="str">
        <f>IF(WarehouseData[[#This Row],[picking_time_seconds]]&gt;120,"Slow",IF(WarehouseData[[#This Row],[picking_time_seconds]]&gt;=60,"Average","Fast"))</f>
        <v>Fast</v>
      </c>
    </row>
    <row r="2750" spans="1:31" x14ac:dyDescent="0.25">
      <c r="A2750" t="s">
        <v>2888</v>
      </c>
      <c r="B2750" t="s">
        <v>73</v>
      </c>
      <c r="C2750">
        <v>312</v>
      </c>
      <c r="D2750">
        <v>13</v>
      </c>
      <c r="E2750">
        <v>8</v>
      </c>
      <c r="F2750">
        <v>8</v>
      </c>
      <c r="G2750">
        <v>6.52</v>
      </c>
      <c r="H2750">
        <v>3.67</v>
      </c>
      <c r="I2750">
        <v>0.89</v>
      </c>
      <c r="J2750" t="s">
        <v>418</v>
      </c>
      <c r="K2750" t="s">
        <v>38</v>
      </c>
      <c r="L2750">
        <v>157</v>
      </c>
      <c r="M2750">
        <v>2.64</v>
      </c>
      <c r="N2750">
        <v>156.79</v>
      </c>
      <c r="O2750">
        <v>1.27</v>
      </c>
      <c r="P2750">
        <v>3</v>
      </c>
      <c r="Q2750">
        <v>0.97</v>
      </c>
      <c r="R2750">
        <v>816</v>
      </c>
      <c r="S2750">
        <v>2.44</v>
      </c>
      <c r="T2750">
        <v>0.52</v>
      </c>
      <c r="U2750" s="1">
        <v>45554</v>
      </c>
      <c r="V2750">
        <v>198.23</v>
      </c>
      <c r="W2750">
        <v>0.54400000000000004</v>
      </c>
      <c r="X2750" t="str">
        <f>IF(WarehouseData[[#This Row],[stock_level]]&lt;=WarehouseData[[#This Row],[reorder_point]],"Low Stock","Sufficient Stock")</f>
        <v>Sufficient Stock</v>
      </c>
      <c r="Y2750">
        <f>WarehouseData[[#This Row],[daily_demand]]*WarehouseData[[#This Row],[lead_time_days]]</f>
        <v>52.16</v>
      </c>
      <c r="Z2750" t="str">
        <f>IF(WarehouseData[[#This Row],[stock_level]]&lt;=WarehouseData[[#This Row],[Demand During Lead Time]],"At Risk","Safe")</f>
        <v>Safe</v>
      </c>
      <c r="AA2750">
        <f>WarehouseData[[#This Row],[stock_level]]/WarehouseData[[#This Row],[daily_demand]]</f>
        <v>47.852760736196323</v>
      </c>
      <c r="AB2750">
        <f>WarehouseData[[#This Row],[stock_level]]*WarehouseData[[#This Row],[unit_price]]</f>
        <v>48918.479999999996</v>
      </c>
      <c r="AC2750">
        <f>WarehouseData[[#This Row],[stock_level]]*WarehouseData[[#This Row],[holding_cost_per_unit_day]]*30</f>
        <v>11887.2</v>
      </c>
      <c r="AD2750" t="str">
        <f>IF(WarehouseData[[#This Row],[order_fulfillment_rate]]&gt;=0.9,"Strong",IF(WarehouseData[[#This Row],[order_fulfillment_rate]]&gt;=0.8,"Moderate","Needs Attention"))</f>
        <v>Strong</v>
      </c>
      <c r="AE2750" t="str">
        <f>IF(WarehouseData[[#This Row],[picking_time_seconds]]&gt;120,"Slow",IF(WarehouseData[[#This Row],[picking_time_seconds]]&gt;=60,"Average","Fast"))</f>
        <v>Slow</v>
      </c>
    </row>
    <row r="2751" spans="1:31" x14ac:dyDescent="0.25">
      <c r="A2751" t="s">
        <v>2889</v>
      </c>
      <c r="B2751" t="s">
        <v>40</v>
      </c>
      <c r="C2751">
        <v>304</v>
      </c>
      <c r="D2751">
        <v>87</v>
      </c>
      <c r="E2751">
        <v>5</v>
      </c>
      <c r="F2751">
        <v>6</v>
      </c>
      <c r="G2751">
        <v>34.31</v>
      </c>
      <c r="H2751">
        <v>8.35</v>
      </c>
      <c r="I2751">
        <v>0.25</v>
      </c>
      <c r="J2751" t="s">
        <v>79</v>
      </c>
      <c r="K2751" t="s">
        <v>52</v>
      </c>
      <c r="L2751">
        <v>172</v>
      </c>
      <c r="M2751">
        <v>4.7699999999999996</v>
      </c>
      <c r="N2751">
        <v>196.21</v>
      </c>
      <c r="O2751">
        <v>0.33</v>
      </c>
      <c r="P2751">
        <v>8</v>
      </c>
      <c r="Q2751">
        <v>0.72</v>
      </c>
      <c r="R2751">
        <v>477</v>
      </c>
      <c r="S2751">
        <v>13.24</v>
      </c>
      <c r="T2751">
        <v>0.55000000000000004</v>
      </c>
      <c r="U2751" s="1">
        <v>45312</v>
      </c>
      <c r="V2751">
        <v>116.4</v>
      </c>
      <c r="W2751">
        <v>0.63800000000000001</v>
      </c>
      <c r="X2751" t="str">
        <f>IF(WarehouseData[[#This Row],[stock_level]]&lt;=WarehouseData[[#This Row],[reorder_point]],"Low Stock","Sufficient Stock")</f>
        <v>Sufficient Stock</v>
      </c>
      <c r="Y2751">
        <f>WarehouseData[[#This Row],[daily_demand]]*WarehouseData[[#This Row],[lead_time_days]]</f>
        <v>205.86</v>
      </c>
      <c r="Z2751" t="str">
        <f>IF(WarehouseData[[#This Row],[stock_level]]&lt;=WarehouseData[[#This Row],[Demand During Lead Time]],"At Risk","Safe")</f>
        <v>Safe</v>
      </c>
      <c r="AA2751">
        <f>WarehouseData[[#This Row],[stock_level]]/WarehouseData[[#This Row],[daily_demand]]</f>
        <v>8.860390556689012</v>
      </c>
      <c r="AB2751">
        <f>WarehouseData[[#This Row],[stock_level]]*WarehouseData[[#This Row],[unit_price]]</f>
        <v>59647.840000000004</v>
      </c>
      <c r="AC2751">
        <f>WarehouseData[[#This Row],[stock_level]]*WarehouseData[[#This Row],[holding_cost_per_unit_day]]*30</f>
        <v>3009.6000000000004</v>
      </c>
      <c r="AD2751" t="str">
        <f>IF(WarehouseData[[#This Row],[order_fulfillment_rate]]&gt;=0.9,"Strong",IF(WarehouseData[[#This Row],[order_fulfillment_rate]]&gt;=0.8,"Moderate","Needs Attention"))</f>
        <v>Needs Attention</v>
      </c>
      <c r="AE2751" t="str">
        <f>IF(WarehouseData[[#This Row],[picking_time_seconds]]&gt;120,"Slow",IF(WarehouseData[[#This Row],[picking_time_seconds]]&gt;=60,"Average","Fast"))</f>
        <v>Slow</v>
      </c>
    </row>
    <row r="2752" spans="1:31" x14ac:dyDescent="0.25">
      <c r="A2752" t="s">
        <v>2890</v>
      </c>
      <c r="B2752" t="s">
        <v>32</v>
      </c>
      <c r="C2752">
        <v>214</v>
      </c>
      <c r="D2752">
        <v>81</v>
      </c>
      <c r="E2752">
        <v>3</v>
      </c>
      <c r="F2752">
        <v>5</v>
      </c>
      <c r="G2752">
        <v>13.75</v>
      </c>
      <c r="H2752">
        <v>3.27</v>
      </c>
      <c r="I2752">
        <v>0.3</v>
      </c>
      <c r="J2752" t="s">
        <v>215</v>
      </c>
      <c r="K2752" t="s">
        <v>52</v>
      </c>
      <c r="L2752">
        <v>110</v>
      </c>
      <c r="M2752">
        <v>3.12</v>
      </c>
      <c r="N2752">
        <v>36.51</v>
      </c>
      <c r="O2752">
        <v>1.04</v>
      </c>
      <c r="P2752">
        <v>6</v>
      </c>
      <c r="Q2752">
        <v>0.85</v>
      </c>
      <c r="R2752">
        <v>57</v>
      </c>
      <c r="S2752">
        <v>3.53</v>
      </c>
      <c r="T2752">
        <v>0.53</v>
      </c>
      <c r="U2752" s="1">
        <v>45585</v>
      </c>
      <c r="V2752">
        <v>14.17</v>
      </c>
      <c r="W2752">
        <v>0.499</v>
      </c>
      <c r="X2752" t="str">
        <f>IF(WarehouseData[[#This Row],[stock_level]]&lt;=WarehouseData[[#This Row],[reorder_point]],"Low Stock","Sufficient Stock")</f>
        <v>Sufficient Stock</v>
      </c>
      <c r="Y2752">
        <f>WarehouseData[[#This Row],[daily_demand]]*WarehouseData[[#This Row],[lead_time_days]]</f>
        <v>68.75</v>
      </c>
      <c r="Z2752" t="str">
        <f>IF(WarehouseData[[#This Row],[stock_level]]&lt;=WarehouseData[[#This Row],[Demand During Lead Time]],"At Risk","Safe")</f>
        <v>Safe</v>
      </c>
      <c r="AA2752">
        <f>WarehouseData[[#This Row],[stock_level]]/WarehouseData[[#This Row],[daily_demand]]</f>
        <v>15.563636363636364</v>
      </c>
      <c r="AB2752">
        <f>WarehouseData[[#This Row],[stock_level]]*WarehouseData[[#This Row],[unit_price]]</f>
        <v>7813.1399999999994</v>
      </c>
      <c r="AC2752">
        <f>WarehouseData[[#This Row],[stock_level]]*WarehouseData[[#This Row],[holding_cost_per_unit_day]]*30</f>
        <v>6676.8</v>
      </c>
      <c r="AD2752" t="str">
        <f>IF(WarehouseData[[#This Row],[order_fulfillment_rate]]&gt;=0.9,"Strong",IF(WarehouseData[[#This Row],[order_fulfillment_rate]]&gt;=0.8,"Moderate","Needs Attention"))</f>
        <v>Moderate</v>
      </c>
      <c r="AE2752" t="str">
        <f>IF(WarehouseData[[#This Row],[picking_time_seconds]]&gt;120,"Slow",IF(WarehouseData[[#This Row],[picking_time_seconds]]&gt;=60,"Average","Fast"))</f>
        <v>Average</v>
      </c>
    </row>
    <row r="2753" spans="1:31" x14ac:dyDescent="0.25">
      <c r="A2753" t="s">
        <v>2891</v>
      </c>
      <c r="B2753" t="s">
        <v>48</v>
      </c>
      <c r="C2753">
        <v>418</v>
      </c>
      <c r="D2753">
        <v>18</v>
      </c>
      <c r="E2753">
        <v>6</v>
      </c>
      <c r="F2753">
        <v>9</v>
      </c>
      <c r="G2753">
        <v>24.3</v>
      </c>
      <c r="H2753">
        <v>2.0699999999999998</v>
      </c>
      <c r="I2753">
        <v>0.41</v>
      </c>
      <c r="J2753" t="s">
        <v>565</v>
      </c>
      <c r="K2753" t="s">
        <v>38</v>
      </c>
      <c r="L2753">
        <v>69</v>
      </c>
      <c r="M2753">
        <v>0.96</v>
      </c>
      <c r="N2753">
        <v>144.79</v>
      </c>
      <c r="O2753">
        <v>1.37</v>
      </c>
      <c r="P2753">
        <v>6</v>
      </c>
      <c r="Q2753">
        <v>0.91</v>
      </c>
      <c r="R2753">
        <v>979</v>
      </c>
      <c r="S2753">
        <v>6.89</v>
      </c>
      <c r="T2753">
        <v>0.74</v>
      </c>
      <c r="U2753" s="1">
        <v>45367</v>
      </c>
      <c r="V2753">
        <v>231.47</v>
      </c>
      <c r="W2753">
        <v>0.56499999999999995</v>
      </c>
      <c r="X2753" t="str">
        <f>IF(WarehouseData[[#This Row],[stock_level]]&lt;=WarehouseData[[#This Row],[reorder_point]],"Low Stock","Sufficient Stock")</f>
        <v>Sufficient Stock</v>
      </c>
      <c r="Y2753">
        <f>WarehouseData[[#This Row],[daily_demand]]*WarehouseData[[#This Row],[lead_time_days]]</f>
        <v>218.70000000000002</v>
      </c>
      <c r="Z2753" t="str">
        <f>IF(WarehouseData[[#This Row],[stock_level]]&lt;=WarehouseData[[#This Row],[Demand During Lead Time]],"At Risk","Safe")</f>
        <v>Safe</v>
      </c>
      <c r="AA2753">
        <f>WarehouseData[[#This Row],[stock_level]]/WarehouseData[[#This Row],[daily_demand]]</f>
        <v>17.201646090534979</v>
      </c>
      <c r="AB2753">
        <f>WarehouseData[[#This Row],[stock_level]]*WarehouseData[[#This Row],[unit_price]]</f>
        <v>60522.219999999994</v>
      </c>
      <c r="AC2753">
        <f>WarehouseData[[#This Row],[stock_level]]*WarehouseData[[#This Row],[holding_cost_per_unit_day]]*30</f>
        <v>17179.800000000003</v>
      </c>
      <c r="AD2753" t="str">
        <f>IF(WarehouseData[[#This Row],[order_fulfillment_rate]]&gt;=0.9,"Strong",IF(WarehouseData[[#This Row],[order_fulfillment_rate]]&gt;=0.8,"Moderate","Needs Attention"))</f>
        <v>Strong</v>
      </c>
      <c r="AE2753" t="str">
        <f>IF(WarehouseData[[#This Row],[picking_time_seconds]]&gt;120,"Slow",IF(WarehouseData[[#This Row],[picking_time_seconds]]&gt;=60,"Average","Fast"))</f>
        <v>Average</v>
      </c>
    </row>
    <row r="2754" spans="1:31" x14ac:dyDescent="0.25">
      <c r="A2754" t="s">
        <v>2892</v>
      </c>
      <c r="B2754" t="s">
        <v>73</v>
      </c>
      <c r="C2754">
        <v>247</v>
      </c>
      <c r="D2754">
        <v>44</v>
      </c>
      <c r="E2754">
        <v>11</v>
      </c>
      <c r="F2754">
        <v>5</v>
      </c>
      <c r="G2754">
        <v>15.67</v>
      </c>
      <c r="H2754">
        <v>7.21</v>
      </c>
      <c r="I2754">
        <v>0.93</v>
      </c>
      <c r="J2754" t="s">
        <v>357</v>
      </c>
      <c r="K2754" t="s">
        <v>46</v>
      </c>
      <c r="L2754">
        <v>107</v>
      </c>
      <c r="M2754">
        <v>3.79</v>
      </c>
      <c r="N2754">
        <v>89.29</v>
      </c>
      <c r="O2754">
        <v>0.38</v>
      </c>
      <c r="P2754">
        <v>1</v>
      </c>
      <c r="Q2754">
        <v>0.76</v>
      </c>
      <c r="R2754">
        <v>90</v>
      </c>
      <c r="S2754">
        <v>13.94</v>
      </c>
      <c r="T2754">
        <v>0.46</v>
      </c>
      <c r="U2754" s="1">
        <v>45320</v>
      </c>
      <c r="V2754">
        <v>148.44</v>
      </c>
      <c r="W2754">
        <v>0.77200000000000002</v>
      </c>
      <c r="X2754" t="str">
        <f>IF(WarehouseData[[#This Row],[stock_level]]&lt;=WarehouseData[[#This Row],[reorder_point]],"Low Stock","Sufficient Stock")</f>
        <v>Sufficient Stock</v>
      </c>
      <c r="Y2754">
        <f>WarehouseData[[#This Row],[daily_demand]]*WarehouseData[[#This Row],[lead_time_days]]</f>
        <v>78.349999999999994</v>
      </c>
      <c r="Z2754" t="str">
        <f>IF(WarehouseData[[#This Row],[stock_level]]&lt;=WarehouseData[[#This Row],[Demand During Lead Time]],"At Risk","Safe")</f>
        <v>Safe</v>
      </c>
      <c r="AA2754">
        <f>WarehouseData[[#This Row],[stock_level]]/WarehouseData[[#This Row],[daily_demand]]</f>
        <v>15.76260370134014</v>
      </c>
      <c r="AB2754">
        <f>WarehouseData[[#This Row],[stock_level]]*WarehouseData[[#This Row],[unit_price]]</f>
        <v>22054.63</v>
      </c>
      <c r="AC2754">
        <f>WarehouseData[[#This Row],[stock_level]]*WarehouseData[[#This Row],[holding_cost_per_unit_day]]*30</f>
        <v>2815.8</v>
      </c>
      <c r="AD2754" t="str">
        <f>IF(WarehouseData[[#This Row],[order_fulfillment_rate]]&gt;=0.9,"Strong",IF(WarehouseData[[#This Row],[order_fulfillment_rate]]&gt;=0.8,"Moderate","Needs Attention"))</f>
        <v>Needs Attention</v>
      </c>
      <c r="AE2754" t="str">
        <f>IF(WarehouseData[[#This Row],[picking_time_seconds]]&gt;120,"Slow",IF(WarehouseData[[#This Row],[picking_time_seconds]]&gt;=60,"Average","Fast"))</f>
        <v>Average</v>
      </c>
    </row>
    <row r="2755" spans="1:31" x14ac:dyDescent="0.25">
      <c r="A2755" t="s">
        <v>2893</v>
      </c>
      <c r="B2755" t="s">
        <v>36</v>
      </c>
      <c r="C2755">
        <v>450</v>
      </c>
      <c r="D2755">
        <v>30</v>
      </c>
      <c r="E2755">
        <v>4</v>
      </c>
      <c r="F2755">
        <v>3</v>
      </c>
      <c r="G2755">
        <v>16.84</v>
      </c>
      <c r="H2755">
        <v>6.57</v>
      </c>
      <c r="I2755">
        <v>0.55000000000000004</v>
      </c>
      <c r="J2755" t="s">
        <v>43</v>
      </c>
      <c r="K2755" t="s">
        <v>34</v>
      </c>
      <c r="L2755">
        <v>171</v>
      </c>
      <c r="M2755">
        <v>0.69</v>
      </c>
      <c r="N2755">
        <v>183.78</v>
      </c>
      <c r="O2755">
        <v>1.04</v>
      </c>
      <c r="P2755">
        <v>1</v>
      </c>
      <c r="Q2755">
        <v>0.8</v>
      </c>
      <c r="R2755">
        <v>927</v>
      </c>
      <c r="S2755">
        <v>2.0499999999999998</v>
      </c>
      <c r="T2755">
        <v>0.34</v>
      </c>
      <c r="U2755" s="1">
        <v>45377</v>
      </c>
      <c r="V2755">
        <v>31.19</v>
      </c>
      <c r="W2755">
        <v>0.53100000000000003</v>
      </c>
      <c r="X2755" t="str">
        <f>IF(WarehouseData[[#This Row],[stock_level]]&lt;=WarehouseData[[#This Row],[reorder_point]],"Low Stock","Sufficient Stock")</f>
        <v>Sufficient Stock</v>
      </c>
      <c r="Y2755">
        <f>WarehouseData[[#This Row],[daily_demand]]*WarehouseData[[#This Row],[lead_time_days]]</f>
        <v>50.519999999999996</v>
      </c>
      <c r="Z2755" t="str">
        <f>IF(WarehouseData[[#This Row],[stock_level]]&lt;=WarehouseData[[#This Row],[Demand During Lead Time]],"At Risk","Safe")</f>
        <v>Safe</v>
      </c>
      <c r="AA2755">
        <f>WarehouseData[[#This Row],[stock_level]]/WarehouseData[[#This Row],[daily_demand]]</f>
        <v>26.722090261282659</v>
      </c>
      <c r="AB2755">
        <f>WarehouseData[[#This Row],[stock_level]]*WarehouseData[[#This Row],[unit_price]]</f>
        <v>82701</v>
      </c>
      <c r="AC2755">
        <f>WarehouseData[[#This Row],[stock_level]]*WarehouseData[[#This Row],[holding_cost_per_unit_day]]*30</f>
        <v>14040</v>
      </c>
      <c r="AD2755" t="str">
        <f>IF(WarehouseData[[#This Row],[order_fulfillment_rate]]&gt;=0.9,"Strong",IF(WarehouseData[[#This Row],[order_fulfillment_rate]]&gt;=0.8,"Moderate","Needs Attention"))</f>
        <v>Moderate</v>
      </c>
      <c r="AE2755" t="str">
        <f>IF(WarehouseData[[#This Row],[picking_time_seconds]]&gt;120,"Slow",IF(WarehouseData[[#This Row],[picking_time_seconds]]&gt;=60,"Average","Fast"))</f>
        <v>Slow</v>
      </c>
    </row>
    <row r="2756" spans="1:31" x14ac:dyDescent="0.25">
      <c r="A2756" t="s">
        <v>2894</v>
      </c>
      <c r="B2756" t="s">
        <v>40</v>
      </c>
      <c r="C2756">
        <v>449</v>
      </c>
      <c r="D2756">
        <v>67</v>
      </c>
      <c r="E2756">
        <v>5</v>
      </c>
      <c r="F2756">
        <v>3</v>
      </c>
      <c r="G2756">
        <v>13.76</v>
      </c>
      <c r="H2756">
        <v>8.85</v>
      </c>
      <c r="I2756">
        <v>0.68</v>
      </c>
      <c r="J2756" t="s">
        <v>133</v>
      </c>
      <c r="K2756" t="s">
        <v>46</v>
      </c>
      <c r="L2756">
        <v>109</v>
      </c>
      <c r="M2756">
        <v>3.84</v>
      </c>
      <c r="N2756">
        <v>87.49</v>
      </c>
      <c r="O2756">
        <v>0.97</v>
      </c>
      <c r="P2756">
        <v>4</v>
      </c>
      <c r="Q2756">
        <v>0.83</v>
      </c>
      <c r="R2756">
        <v>306</v>
      </c>
      <c r="S2756">
        <v>8.7100000000000009</v>
      </c>
      <c r="T2756">
        <v>0.77</v>
      </c>
      <c r="U2756" s="1">
        <v>45424</v>
      </c>
      <c r="V2756">
        <v>46.11</v>
      </c>
      <c r="W2756">
        <v>0.65900000000000003</v>
      </c>
      <c r="X2756" t="str">
        <f>IF(WarehouseData[[#This Row],[stock_level]]&lt;=WarehouseData[[#This Row],[reorder_point]],"Low Stock","Sufficient Stock")</f>
        <v>Sufficient Stock</v>
      </c>
      <c r="Y2756">
        <f>WarehouseData[[#This Row],[daily_demand]]*WarehouseData[[#This Row],[lead_time_days]]</f>
        <v>41.28</v>
      </c>
      <c r="Z2756" t="str">
        <f>IF(WarehouseData[[#This Row],[stock_level]]&lt;=WarehouseData[[#This Row],[Demand During Lead Time]],"At Risk","Safe")</f>
        <v>Safe</v>
      </c>
      <c r="AA2756">
        <f>WarehouseData[[#This Row],[stock_level]]/WarehouseData[[#This Row],[daily_demand]]</f>
        <v>32.630813953488371</v>
      </c>
      <c r="AB2756">
        <f>WarehouseData[[#This Row],[stock_level]]*WarehouseData[[#This Row],[unit_price]]</f>
        <v>39283.009999999995</v>
      </c>
      <c r="AC2756">
        <f>WarehouseData[[#This Row],[stock_level]]*WarehouseData[[#This Row],[holding_cost_per_unit_day]]*30</f>
        <v>13065.9</v>
      </c>
      <c r="AD2756" t="str">
        <f>IF(WarehouseData[[#This Row],[order_fulfillment_rate]]&gt;=0.9,"Strong",IF(WarehouseData[[#This Row],[order_fulfillment_rate]]&gt;=0.8,"Moderate","Needs Attention"))</f>
        <v>Moderate</v>
      </c>
      <c r="AE2756" t="str">
        <f>IF(WarehouseData[[#This Row],[picking_time_seconds]]&gt;120,"Slow",IF(WarehouseData[[#This Row],[picking_time_seconds]]&gt;=60,"Average","Fast"))</f>
        <v>Average</v>
      </c>
    </row>
    <row r="2757" spans="1:31" x14ac:dyDescent="0.25">
      <c r="A2757" t="s">
        <v>2895</v>
      </c>
      <c r="B2757" t="s">
        <v>73</v>
      </c>
      <c r="C2757">
        <v>455</v>
      </c>
      <c r="D2757">
        <v>27</v>
      </c>
      <c r="E2757">
        <v>4</v>
      </c>
      <c r="F2757">
        <v>6</v>
      </c>
      <c r="G2757">
        <v>37.89</v>
      </c>
      <c r="H2757">
        <v>9.64</v>
      </c>
      <c r="I2757">
        <v>0.45</v>
      </c>
      <c r="J2757" t="s">
        <v>217</v>
      </c>
      <c r="K2757" t="s">
        <v>52</v>
      </c>
      <c r="L2757">
        <v>108</v>
      </c>
      <c r="M2757">
        <v>4.46</v>
      </c>
      <c r="N2757">
        <v>94.73</v>
      </c>
      <c r="O2757">
        <v>1.84</v>
      </c>
      <c r="P2757">
        <v>9</v>
      </c>
      <c r="Q2757">
        <v>0.94</v>
      </c>
      <c r="R2757">
        <v>692</v>
      </c>
      <c r="S2757">
        <v>9.01</v>
      </c>
      <c r="T2757">
        <v>0.23</v>
      </c>
      <c r="U2757" s="1">
        <v>45384</v>
      </c>
      <c r="V2757">
        <v>192.23</v>
      </c>
      <c r="W2757">
        <v>0.39</v>
      </c>
      <c r="X2757" t="str">
        <f>IF(WarehouseData[[#This Row],[stock_level]]&lt;=WarehouseData[[#This Row],[reorder_point]],"Low Stock","Sufficient Stock")</f>
        <v>Sufficient Stock</v>
      </c>
      <c r="Y2757">
        <f>WarehouseData[[#This Row],[daily_demand]]*WarehouseData[[#This Row],[lead_time_days]]</f>
        <v>227.34</v>
      </c>
      <c r="Z2757" t="str">
        <f>IF(WarehouseData[[#This Row],[stock_level]]&lt;=WarehouseData[[#This Row],[Demand During Lead Time]],"At Risk","Safe")</f>
        <v>Safe</v>
      </c>
      <c r="AA2757">
        <f>WarehouseData[[#This Row],[stock_level]]/WarehouseData[[#This Row],[daily_demand]]</f>
        <v>12.008445500131961</v>
      </c>
      <c r="AB2757">
        <f>WarehouseData[[#This Row],[stock_level]]*WarehouseData[[#This Row],[unit_price]]</f>
        <v>43102.15</v>
      </c>
      <c r="AC2757">
        <f>WarehouseData[[#This Row],[stock_level]]*WarehouseData[[#This Row],[holding_cost_per_unit_day]]*30</f>
        <v>25116</v>
      </c>
      <c r="AD2757" t="str">
        <f>IF(WarehouseData[[#This Row],[order_fulfillment_rate]]&gt;=0.9,"Strong",IF(WarehouseData[[#This Row],[order_fulfillment_rate]]&gt;=0.8,"Moderate","Needs Attention"))</f>
        <v>Strong</v>
      </c>
      <c r="AE2757" t="str">
        <f>IF(WarehouseData[[#This Row],[picking_time_seconds]]&gt;120,"Slow",IF(WarehouseData[[#This Row],[picking_time_seconds]]&gt;=60,"Average","Fast"))</f>
        <v>Average</v>
      </c>
    </row>
    <row r="2758" spans="1:31" x14ac:dyDescent="0.25">
      <c r="A2758" t="s">
        <v>2896</v>
      </c>
      <c r="B2758" t="s">
        <v>36</v>
      </c>
      <c r="C2758">
        <v>294</v>
      </c>
      <c r="D2758">
        <v>81</v>
      </c>
      <c r="E2758">
        <v>4</v>
      </c>
      <c r="F2758">
        <v>7</v>
      </c>
      <c r="G2758">
        <v>18.920000000000002</v>
      </c>
      <c r="H2758">
        <v>8.64</v>
      </c>
      <c r="I2758">
        <v>0.27</v>
      </c>
      <c r="J2758" t="s">
        <v>158</v>
      </c>
      <c r="K2758" t="s">
        <v>34</v>
      </c>
      <c r="L2758">
        <v>82</v>
      </c>
      <c r="M2758">
        <v>2.41</v>
      </c>
      <c r="N2758">
        <v>34.090000000000003</v>
      </c>
      <c r="O2758">
        <v>1.99</v>
      </c>
      <c r="P2758">
        <v>0</v>
      </c>
      <c r="Q2758">
        <v>0.85</v>
      </c>
      <c r="R2758">
        <v>613</v>
      </c>
      <c r="S2758">
        <v>11.68</v>
      </c>
      <c r="T2758">
        <v>0.78</v>
      </c>
      <c r="U2758" s="1">
        <v>45556</v>
      </c>
      <c r="V2758">
        <v>168.44</v>
      </c>
      <c r="W2758">
        <v>0.68300000000000005</v>
      </c>
      <c r="X2758" t="str">
        <f>IF(WarehouseData[[#This Row],[stock_level]]&lt;=WarehouseData[[#This Row],[reorder_point]],"Low Stock","Sufficient Stock")</f>
        <v>Sufficient Stock</v>
      </c>
      <c r="Y2758">
        <f>WarehouseData[[#This Row],[daily_demand]]*WarehouseData[[#This Row],[lead_time_days]]</f>
        <v>132.44</v>
      </c>
      <c r="Z2758" t="str">
        <f>IF(WarehouseData[[#This Row],[stock_level]]&lt;=WarehouseData[[#This Row],[Demand During Lead Time]],"At Risk","Safe")</f>
        <v>Safe</v>
      </c>
      <c r="AA2758">
        <f>WarehouseData[[#This Row],[stock_level]]/WarehouseData[[#This Row],[daily_demand]]</f>
        <v>15.539112050739956</v>
      </c>
      <c r="AB2758">
        <f>WarehouseData[[#This Row],[stock_level]]*WarehouseData[[#This Row],[unit_price]]</f>
        <v>10022.460000000001</v>
      </c>
      <c r="AC2758">
        <f>WarehouseData[[#This Row],[stock_level]]*WarehouseData[[#This Row],[holding_cost_per_unit_day]]*30</f>
        <v>17551.8</v>
      </c>
      <c r="AD2758" t="str">
        <f>IF(WarehouseData[[#This Row],[order_fulfillment_rate]]&gt;=0.9,"Strong",IF(WarehouseData[[#This Row],[order_fulfillment_rate]]&gt;=0.8,"Moderate","Needs Attention"))</f>
        <v>Moderate</v>
      </c>
      <c r="AE2758" t="str">
        <f>IF(WarehouseData[[#This Row],[picking_time_seconds]]&gt;120,"Slow",IF(WarehouseData[[#This Row],[picking_time_seconds]]&gt;=60,"Average","Fast"))</f>
        <v>Average</v>
      </c>
    </row>
    <row r="2759" spans="1:31" x14ac:dyDescent="0.25">
      <c r="A2759" t="s">
        <v>2897</v>
      </c>
      <c r="B2759" t="s">
        <v>36</v>
      </c>
      <c r="C2759">
        <v>480</v>
      </c>
      <c r="D2759">
        <v>90</v>
      </c>
      <c r="E2759">
        <v>12</v>
      </c>
      <c r="F2759">
        <v>9</v>
      </c>
      <c r="G2759">
        <v>36.590000000000003</v>
      </c>
      <c r="H2759">
        <v>1.07</v>
      </c>
      <c r="I2759">
        <v>0.3</v>
      </c>
      <c r="J2759" t="s">
        <v>54</v>
      </c>
      <c r="K2759" t="s">
        <v>34</v>
      </c>
      <c r="L2759">
        <v>128</v>
      </c>
      <c r="M2759">
        <v>2.36</v>
      </c>
      <c r="N2759">
        <v>70.98</v>
      </c>
      <c r="O2759">
        <v>1.34</v>
      </c>
      <c r="P2759">
        <v>6</v>
      </c>
      <c r="Q2759">
        <v>0.85</v>
      </c>
      <c r="R2759">
        <v>151</v>
      </c>
      <c r="S2759">
        <v>12.58</v>
      </c>
      <c r="T2759">
        <v>0.41</v>
      </c>
      <c r="U2759" s="1">
        <v>45499</v>
      </c>
      <c r="V2759">
        <v>79.739999999999995</v>
      </c>
      <c r="W2759">
        <v>0.56599999999999995</v>
      </c>
      <c r="X2759" t="str">
        <f>IF(WarehouseData[[#This Row],[stock_level]]&lt;=WarehouseData[[#This Row],[reorder_point]],"Low Stock","Sufficient Stock")</f>
        <v>Sufficient Stock</v>
      </c>
      <c r="Y2759">
        <f>WarehouseData[[#This Row],[daily_demand]]*WarehouseData[[#This Row],[lead_time_days]]</f>
        <v>329.31000000000006</v>
      </c>
      <c r="Z2759" t="str">
        <f>IF(WarehouseData[[#This Row],[stock_level]]&lt;=WarehouseData[[#This Row],[Demand During Lead Time]],"At Risk","Safe")</f>
        <v>Safe</v>
      </c>
      <c r="AA2759">
        <f>WarehouseData[[#This Row],[stock_level]]/WarehouseData[[#This Row],[daily_demand]]</f>
        <v>13.118338343809782</v>
      </c>
      <c r="AB2759">
        <f>WarehouseData[[#This Row],[stock_level]]*WarehouseData[[#This Row],[unit_price]]</f>
        <v>34070.400000000001</v>
      </c>
      <c r="AC2759">
        <f>WarehouseData[[#This Row],[stock_level]]*WarehouseData[[#This Row],[holding_cost_per_unit_day]]*30</f>
        <v>19296</v>
      </c>
      <c r="AD2759" t="str">
        <f>IF(WarehouseData[[#This Row],[order_fulfillment_rate]]&gt;=0.9,"Strong",IF(WarehouseData[[#This Row],[order_fulfillment_rate]]&gt;=0.8,"Moderate","Needs Attention"))</f>
        <v>Moderate</v>
      </c>
      <c r="AE2759" t="str">
        <f>IF(WarehouseData[[#This Row],[picking_time_seconds]]&gt;120,"Slow",IF(WarehouseData[[#This Row],[picking_time_seconds]]&gt;=60,"Average","Fast"))</f>
        <v>Slow</v>
      </c>
    </row>
    <row r="2760" spans="1:31" x14ac:dyDescent="0.25">
      <c r="A2760" t="s">
        <v>2898</v>
      </c>
      <c r="B2760" t="s">
        <v>32</v>
      </c>
      <c r="C2760">
        <v>125</v>
      </c>
      <c r="D2760">
        <v>52</v>
      </c>
      <c r="E2760">
        <v>13</v>
      </c>
      <c r="F2760">
        <v>7</v>
      </c>
      <c r="G2760">
        <v>23.35</v>
      </c>
      <c r="H2760">
        <v>6.81</v>
      </c>
      <c r="I2760">
        <v>0.82</v>
      </c>
      <c r="J2760" t="s">
        <v>379</v>
      </c>
      <c r="K2760" t="s">
        <v>46</v>
      </c>
      <c r="L2760">
        <v>137</v>
      </c>
      <c r="M2760">
        <v>1.87</v>
      </c>
      <c r="N2760">
        <v>86.16</v>
      </c>
      <c r="O2760">
        <v>1.72</v>
      </c>
      <c r="P2760">
        <v>6</v>
      </c>
      <c r="Q2760">
        <v>0.83</v>
      </c>
      <c r="R2760">
        <v>268</v>
      </c>
      <c r="S2760">
        <v>6.94</v>
      </c>
      <c r="T2760">
        <v>0.35</v>
      </c>
      <c r="U2760" s="1">
        <v>45598</v>
      </c>
      <c r="V2760">
        <v>50.56</v>
      </c>
      <c r="W2760">
        <v>0.437</v>
      </c>
      <c r="X2760" t="str">
        <f>IF(WarehouseData[[#This Row],[stock_level]]&lt;=WarehouseData[[#This Row],[reorder_point]],"Low Stock","Sufficient Stock")</f>
        <v>Sufficient Stock</v>
      </c>
      <c r="Y2760">
        <f>WarehouseData[[#This Row],[daily_demand]]*WarehouseData[[#This Row],[lead_time_days]]</f>
        <v>163.45000000000002</v>
      </c>
      <c r="Z2760" t="str">
        <f>IF(WarehouseData[[#This Row],[stock_level]]&lt;=WarehouseData[[#This Row],[Demand During Lead Time]],"At Risk","Safe")</f>
        <v>At Risk</v>
      </c>
      <c r="AA2760">
        <f>WarehouseData[[#This Row],[stock_level]]/WarehouseData[[#This Row],[daily_demand]]</f>
        <v>5.3533190578158454</v>
      </c>
      <c r="AB2760">
        <f>WarehouseData[[#This Row],[stock_level]]*WarehouseData[[#This Row],[unit_price]]</f>
        <v>10770</v>
      </c>
      <c r="AC2760">
        <f>WarehouseData[[#This Row],[stock_level]]*WarehouseData[[#This Row],[holding_cost_per_unit_day]]*30</f>
        <v>6450</v>
      </c>
      <c r="AD2760" t="str">
        <f>IF(WarehouseData[[#This Row],[order_fulfillment_rate]]&gt;=0.9,"Strong",IF(WarehouseData[[#This Row],[order_fulfillment_rate]]&gt;=0.8,"Moderate","Needs Attention"))</f>
        <v>Moderate</v>
      </c>
      <c r="AE2760" t="str">
        <f>IF(WarehouseData[[#This Row],[picking_time_seconds]]&gt;120,"Slow",IF(WarehouseData[[#This Row],[picking_time_seconds]]&gt;=60,"Average","Fast"))</f>
        <v>Slow</v>
      </c>
    </row>
    <row r="2761" spans="1:31" x14ac:dyDescent="0.25">
      <c r="A2761" t="s">
        <v>2899</v>
      </c>
      <c r="B2761" t="s">
        <v>32</v>
      </c>
      <c r="C2761">
        <v>40</v>
      </c>
      <c r="D2761">
        <v>15</v>
      </c>
      <c r="E2761">
        <v>13</v>
      </c>
      <c r="F2761">
        <v>3</v>
      </c>
      <c r="G2761">
        <v>27.82</v>
      </c>
      <c r="H2761">
        <v>7.95</v>
      </c>
      <c r="I2761">
        <v>0.9</v>
      </c>
      <c r="J2761" t="s">
        <v>181</v>
      </c>
      <c r="K2761" t="s">
        <v>34</v>
      </c>
      <c r="L2761">
        <v>149</v>
      </c>
      <c r="M2761">
        <v>4.45</v>
      </c>
      <c r="N2761">
        <v>13.33</v>
      </c>
      <c r="O2761">
        <v>1.33</v>
      </c>
      <c r="P2761">
        <v>7</v>
      </c>
      <c r="Q2761">
        <v>0.77</v>
      </c>
      <c r="R2761">
        <v>293</v>
      </c>
      <c r="S2761">
        <v>11.41</v>
      </c>
      <c r="T2761">
        <v>0.5</v>
      </c>
      <c r="U2761" s="1">
        <v>45580</v>
      </c>
      <c r="V2761">
        <v>266.57</v>
      </c>
      <c r="W2761">
        <v>0.53300000000000003</v>
      </c>
      <c r="X2761" t="str">
        <f>IF(WarehouseData[[#This Row],[stock_level]]&lt;=WarehouseData[[#This Row],[reorder_point]],"Low Stock","Sufficient Stock")</f>
        <v>Sufficient Stock</v>
      </c>
      <c r="Y2761">
        <f>WarehouseData[[#This Row],[daily_demand]]*WarehouseData[[#This Row],[lead_time_days]]</f>
        <v>83.460000000000008</v>
      </c>
      <c r="Z2761" t="str">
        <f>IF(WarehouseData[[#This Row],[stock_level]]&lt;=WarehouseData[[#This Row],[Demand During Lead Time]],"At Risk","Safe")</f>
        <v>At Risk</v>
      </c>
      <c r="AA2761">
        <f>WarehouseData[[#This Row],[stock_level]]/WarehouseData[[#This Row],[daily_demand]]</f>
        <v>1.4378145219266714</v>
      </c>
      <c r="AB2761">
        <f>WarehouseData[[#This Row],[stock_level]]*WarehouseData[[#This Row],[unit_price]]</f>
        <v>533.20000000000005</v>
      </c>
      <c r="AC2761">
        <f>WarehouseData[[#This Row],[stock_level]]*WarehouseData[[#This Row],[holding_cost_per_unit_day]]*30</f>
        <v>1596</v>
      </c>
      <c r="AD2761" t="str">
        <f>IF(WarehouseData[[#This Row],[order_fulfillment_rate]]&gt;=0.9,"Strong",IF(WarehouseData[[#This Row],[order_fulfillment_rate]]&gt;=0.8,"Moderate","Needs Attention"))</f>
        <v>Needs Attention</v>
      </c>
      <c r="AE2761" t="str">
        <f>IF(WarehouseData[[#This Row],[picking_time_seconds]]&gt;120,"Slow",IF(WarehouseData[[#This Row],[picking_time_seconds]]&gt;=60,"Average","Fast"))</f>
        <v>Slow</v>
      </c>
    </row>
    <row r="2762" spans="1:31" x14ac:dyDescent="0.25">
      <c r="A2762" t="s">
        <v>2900</v>
      </c>
      <c r="B2762" t="s">
        <v>32</v>
      </c>
      <c r="C2762">
        <v>83</v>
      </c>
      <c r="D2762">
        <v>95</v>
      </c>
      <c r="E2762">
        <v>10</v>
      </c>
      <c r="F2762">
        <v>4</v>
      </c>
      <c r="G2762">
        <v>27.62</v>
      </c>
      <c r="H2762">
        <v>9.83</v>
      </c>
      <c r="I2762">
        <v>0.54</v>
      </c>
      <c r="J2762" t="s">
        <v>84</v>
      </c>
      <c r="K2762" t="s">
        <v>52</v>
      </c>
      <c r="L2762">
        <v>97</v>
      </c>
      <c r="M2762">
        <v>2.97</v>
      </c>
      <c r="N2762">
        <v>93.14</v>
      </c>
      <c r="O2762">
        <v>1.76</v>
      </c>
      <c r="P2762">
        <v>6</v>
      </c>
      <c r="Q2762">
        <v>0.98</v>
      </c>
      <c r="R2762">
        <v>894</v>
      </c>
      <c r="S2762">
        <v>13.75</v>
      </c>
      <c r="T2762">
        <v>0.28999999999999998</v>
      </c>
      <c r="U2762" s="1">
        <v>45618</v>
      </c>
      <c r="V2762">
        <v>49.11</v>
      </c>
      <c r="W2762">
        <v>0.54100000000000004</v>
      </c>
      <c r="X2762" t="str">
        <f>IF(WarehouseData[[#This Row],[stock_level]]&lt;=WarehouseData[[#This Row],[reorder_point]],"Low Stock","Sufficient Stock")</f>
        <v>Low Stock</v>
      </c>
      <c r="Y2762">
        <f>WarehouseData[[#This Row],[daily_demand]]*WarehouseData[[#This Row],[lead_time_days]]</f>
        <v>110.48</v>
      </c>
      <c r="Z2762" t="str">
        <f>IF(WarehouseData[[#This Row],[stock_level]]&lt;=WarehouseData[[#This Row],[Demand During Lead Time]],"At Risk","Safe")</f>
        <v>At Risk</v>
      </c>
      <c r="AA2762">
        <f>WarehouseData[[#This Row],[stock_level]]/WarehouseData[[#This Row],[daily_demand]]</f>
        <v>3.0050687907313538</v>
      </c>
      <c r="AB2762">
        <f>WarehouseData[[#This Row],[stock_level]]*WarehouseData[[#This Row],[unit_price]]</f>
        <v>7730.62</v>
      </c>
      <c r="AC2762">
        <f>WarehouseData[[#This Row],[stock_level]]*WarehouseData[[#This Row],[holding_cost_per_unit_day]]*30</f>
        <v>4382.4000000000005</v>
      </c>
      <c r="AD2762" t="str">
        <f>IF(WarehouseData[[#This Row],[order_fulfillment_rate]]&gt;=0.9,"Strong",IF(WarehouseData[[#This Row],[order_fulfillment_rate]]&gt;=0.8,"Moderate","Needs Attention"))</f>
        <v>Strong</v>
      </c>
      <c r="AE2762" t="str">
        <f>IF(WarehouseData[[#This Row],[picking_time_seconds]]&gt;120,"Slow",IF(WarehouseData[[#This Row],[picking_time_seconds]]&gt;=60,"Average","Fast"))</f>
        <v>Average</v>
      </c>
    </row>
    <row r="2763" spans="1:31" x14ac:dyDescent="0.25">
      <c r="A2763" t="s">
        <v>2901</v>
      </c>
      <c r="B2763" t="s">
        <v>73</v>
      </c>
      <c r="C2763">
        <v>184</v>
      </c>
      <c r="D2763">
        <v>87</v>
      </c>
      <c r="E2763">
        <v>5</v>
      </c>
      <c r="F2763">
        <v>2</v>
      </c>
      <c r="G2763">
        <v>48.82</v>
      </c>
      <c r="H2763">
        <v>4.0599999999999996</v>
      </c>
      <c r="I2763">
        <v>0.42</v>
      </c>
      <c r="J2763" t="s">
        <v>212</v>
      </c>
      <c r="K2763" t="s">
        <v>38</v>
      </c>
      <c r="L2763">
        <v>114</v>
      </c>
      <c r="M2763">
        <v>3.11</v>
      </c>
      <c r="N2763">
        <v>73.900000000000006</v>
      </c>
      <c r="O2763">
        <v>0.92</v>
      </c>
      <c r="P2763">
        <v>7</v>
      </c>
      <c r="Q2763">
        <v>0.8</v>
      </c>
      <c r="R2763">
        <v>988</v>
      </c>
      <c r="S2763">
        <v>13.41</v>
      </c>
      <c r="T2763">
        <v>0.51</v>
      </c>
      <c r="U2763" s="1">
        <v>45301</v>
      </c>
      <c r="V2763">
        <v>34.85</v>
      </c>
      <c r="W2763">
        <v>0.60899999999999999</v>
      </c>
      <c r="X2763" t="str">
        <f>IF(WarehouseData[[#This Row],[stock_level]]&lt;=WarehouseData[[#This Row],[reorder_point]],"Low Stock","Sufficient Stock")</f>
        <v>Sufficient Stock</v>
      </c>
      <c r="Y2763">
        <f>WarehouseData[[#This Row],[daily_demand]]*WarehouseData[[#This Row],[lead_time_days]]</f>
        <v>97.64</v>
      </c>
      <c r="Z2763" t="str">
        <f>IF(WarehouseData[[#This Row],[stock_level]]&lt;=WarehouseData[[#This Row],[Demand During Lead Time]],"At Risk","Safe")</f>
        <v>Safe</v>
      </c>
      <c r="AA2763">
        <f>WarehouseData[[#This Row],[stock_level]]/WarehouseData[[#This Row],[daily_demand]]</f>
        <v>3.7689471528062271</v>
      </c>
      <c r="AB2763">
        <f>WarehouseData[[#This Row],[stock_level]]*WarehouseData[[#This Row],[unit_price]]</f>
        <v>13597.6</v>
      </c>
      <c r="AC2763">
        <f>WarehouseData[[#This Row],[stock_level]]*WarehouseData[[#This Row],[holding_cost_per_unit_day]]*30</f>
        <v>5078.3999999999996</v>
      </c>
      <c r="AD2763" t="str">
        <f>IF(WarehouseData[[#This Row],[order_fulfillment_rate]]&gt;=0.9,"Strong",IF(WarehouseData[[#This Row],[order_fulfillment_rate]]&gt;=0.8,"Moderate","Needs Attention"))</f>
        <v>Moderate</v>
      </c>
      <c r="AE2763" t="str">
        <f>IF(WarehouseData[[#This Row],[picking_time_seconds]]&gt;120,"Slow",IF(WarehouseData[[#This Row],[picking_time_seconds]]&gt;=60,"Average","Fast"))</f>
        <v>Average</v>
      </c>
    </row>
    <row r="2764" spans="1:31" x14ac:dyDescent="0.25">
      <c r="A2764" t="s">
        <v>2902</v>
      </c>
      <c r="B2764" t="s">
        <v>73</v>
      </c>
      <c r="C2764">
        <v>46</v>
      </c>
      <c r="D2764">
        <v>76</v>
      </c>
      <c r="E2764">
        <v>9</v>
      </c>
      <c r="F2764">
        <v>6</v>
      </c>
      <c r="G2764">
        <v>18.989999999999998</v>
      </c>
      <c r="H2764">
        <v>2.11</v>
      </c>
      <c r="I2764">
        <v>0.83</v>
      </c>
      <c r="J2764" t="s">
        <v>163</v>
      </c>
      <c r="K2764" t="s">
        <v>38</v>
      </c>
      <c r="L2764">
        <v>28</v>
      </c>
      <c r="M2764">
        <v>3.48</v>
      </c>
      <c r="N2764">
        <v>162.72999999999999</v>
      </c>
      <c r="O2764">
        <v>1.26</v>
      </c>
      <c r="P2764">
        <v>2</v>
      </c>
      <c r="Q2764">
        <v>0.87</v>
      </c>
      <c r="R2764">
        <v>352</v>
      </c>
      <c r="S2764">
        <v>8.0299999999999994</v>
      </c>
      <c r="T2764">
        <v>0.28000000000000003</v>
      </c>
      <c r="U2764" s="1">
        <v>45630</v>
      </c>
      <c r="V2764">
        <v>189.78</v>
      </c>
      <c r="W2764">
        <v>0.57099999999999995</v>
      </c>
      <c r="X2764" t="str">
        <f>IF(WarehouseData[[#This Row],[stock_level]]&lt;=WarehouseData[[#This Row],[reorder_point]],"Low Stock","Sufficient Stock")</f>
        <v>Low Stock</v>
      </c>
      <c r="Y2764">
        <f>WarehouseData[[#This Row],[daily_demand]]*WarehouseData[[#This Row],[lead_time_days]]</f>
        <v>113.94</v>
      </c>
      <c r="Z2764" t="str">
        <f>IF(WarehouseData[[#This Row],[stock_level]]&lt;=WarehouseData[[#This Row],[Demand During Lead Time]],"At Risk","Safe")</f>
        <v>At Risk</v>
      </c>
      <c r="AA2764">
        <f>WarehouseData[[#This Row],[stock_level]]/WarehouseData[[#This Row],[daily_demand]]</f>
        <v>2.4223275408109535</v>
      </c>
      <c r="AB2764">
        <f>WarehouseData[[#This Row],[stock_level]]*WarehouseData[[#This Row],[unit_price]]</f>
        <v>7485.58</v>
      </c>
      <c r="AC2764">
        <f>WarehouseData[[#This Row],[stock_level]]*WarehouseData[[#This Row],[holding_cost_per_unit_day]]*30</f>
        <v>1738.8</v>
      </c>
      <c r="AD2764" t="str">
        <f>IF(WarehouseData[[#This Row],[order_fulfillment_rate]]&gt;=0.9,"Strong",IF(WarehouseData[[#This Row],[order_fulfillment_rate]]&gt;=0.8,"Moderate","Needs Attention"))</f>
        <v>Moderate</v>
      </c>
      <c r="AE2764" t="str">
        <f>IF(WarehouseData[[#This Row],[picking_time_seconds]]&gt;120,"Slow",IF(WarehouseData[[#This Row],[picking_time_seconds]]&gt;=60,"Average","Fast"))</f>
        <v>Fast</v>
      </c>
    </row>
    <row r="2765" spans="1:31" x14ac:dyDescent="0.25">
      <c r="A2765" t="s">
        <v>2903</v>
      </c>
      <c r="B2765" t="s">
        <v>40</v>
      </c>
      <c r="C2765">
        <v>330</v>
      </c>
      <c r="D2765">
        <v>21</v>
      </c>
      <c r="E2765">
        <v>10</v>
      </c>
      <c r="F2765">
        <v>2</v>
      </c>
      <c r="G2765">
        <v>11.18</v>
      </c>
      <c r="H2765">
        <v>8.6</v>
      </c>
      <c r="I2765">
        <v>0.71</v>
      </c>
      <c r="J2765" t="s">
        <v>466</v>
      </c>
      <c r="K2765" t="s">
        <v>38</v>
      </c>
      <c r="L2765">
        <v>89</v>
      </c>
      <c r="M2765">
        <v>1.85</v>
      </c>
      <c r="N2765">
        <v>30.35</v>
      </c>
      <c r="O2765">
        <v>1.71</v>
      </c>
      <c r="P2765">
        <v>2</v>
      </c>
      <c r="Q2765">
        <v>0.74</v>
      </c>
      <c r="R2765">
        <v>419</v>
      </c>
      <c r="S2765">
        <v>9.5</v>
      </c>
      <c r="T2765">
        <v>0.59</v>
      </c>
      <c r="U2765" s="1">
        <v>45437</v>
      </c>
      <c r="V2765">
        <v>83.24</v>
      </c>
      <c r="W2765">
        <v>0.58199999999999996</v>
      </c>
      <c r="X2765" t="str">
        <f>IF(WarehouseData[[#This Row],[stock_level]]&lt;=WarehouseData[[#This Row],[reorder_point]],"Low Stock","Sufficient Stock")</f>
        <v>Sufficient Stock</v>
      </c>
      <c r="Y2765">
        <f>WarehouseData[[#This Row],[daily_demand]]*WarehouseData[[#This Row],[lead_time_days]]</f>
        <v>22.36</v>
      </c>
      <c r="Z2765" t="str">
        <f>IF(WarehouseData[[#This Row],[stock_level]]&lt;=WarehouseData[[#This Row],[Demand During Lead Time]],"At Risk","Safe")</f>
        <v>Safe</v>
      </c>
      <c r="AA2765">
        <f>WarehouseData[[#This Row],[stock_level]]/WarehouseData[[#This Row],[daily_demand]]</f>
        <v>29.516994633273704</v>
      </c>
      <c r="AB2765">
        <f>WarehouseData[[#This Row],[stock_level]]*WarehouseData[[#This Row],[unit_price]]</f>
        <v>10015.5</v>
      </c>
      <c r="AC2765">
        <f>WarehouseData[[#This Row],[stock_level]]*WarehouseData[[#This Row],[holding_cost_per_unit_day]]*30</f>
        <v>16929</v>
      </c>
      <c r="AD2765" t="str">
        <f>IF(WarehouseData[[#This Row],[order_fulfillment_rate]]&gt;=0.9,"Strong",IF(WarehouseData[[#This Row],[order_fulfillment_rate]]&gt;=0.8,"Moderate","Needs Attention"))</f>
        <v>Needs Attention</v>
      </c>
      <c r="AE2765" t="str">
        <f>IF(WarehouseData[[#This Row],[picking_time_seconds]]&gt;120,"Slow",IF(WarehouseData[[#This Row],[picking_time_seconds]]&gt;=60,"Average","Fast"))</f>
        <v>Average</v>
      </c>
    </row>
    <row r="2766" spans="1:31" x14ac:dyDescent="0.25">
      <c r="A2766" t="s">
        <v>2904</v>
      </c>
      <c r="B2766" t="s">
        <v>32</v>
      </c>
      <c r="C2766">
        <v>304</v>
      </c>
      <c r="D2766">
        <v>21</v>
      </c>
      <c r="E2766">
        <v>5</v>
      </c>
      <c r="F2766">
        <v>3</v>
      </c>
      <c r="G2766">
        <v>45.68</v>
      </c>
      <c r="H2766">
        <v>3.52</v>
      </c>
      <c r="I2766">
        <v>0.14000000000000001</v>
      </c>
      <c r="J2766" t="s">
        <v>281</v>
      </c>
      <c r="K2766" t="s">
        <v>46</v>
      </c>
      <c r="L2766">
        <v>35</v>
      </c>
      <c r="M2766">
        <v>2.4500000000000002</v>
      </c>
      <c r="N2766">
        <v>154.44</v>
      </c>
      <c r="O2766">
        <v>1.84</v>
      </c>
      <c r="P2766">
        <v>7</v>
      </c>
      <c r="Q2766">
        <v>0.83</v>
      </c>
      <c r="R2766">
        <v>900</v>
      </c>
      <c r="S2766">
        <v>10.42</v>
      </c>
      <c r="T2766">
        <v>0.34</v>
      </c>
      <c r="U2766" s="1">
        <v>45335</v>
      </c>
      <c r="V2766">
        <v>200.41</v>
      </c>
      <c r="W2766">
        <v>0.44900000000000001</v>
      </c>
      <c r="X2766" t="str">
        <f>IF(WarehouseData[[#This Row],[stock_level]]&lt;=WarehouseData[[#This Row],[reorder_point]],"Low Stock","Sufficient Stock")</f>
        <v>Sufficient Stock</v>
      </c>
      <c r="Y2766">
        <f>WarehouseData[[#This Row],[daily_demand]]*WarehouseData[[#This Row],[lead_time_days]]</f>
        <v>137.04</v>
      </c>
      <c r="Z2766" t="str">
        <f>IF(WarehouseData[[#This Row],[stock_level]]&lt;=WarehouseData[[#This Row],[Demand During Lead Time]],"At Risk","Safe")</f>
        <v>Safe</v>
      </c>
      <c r="AA2766">
        <f>WarehouseData[[#This Row],[stock_level]]/WarehouseData[[#This Row],[daily_demand]]</f>
        <v>6.6549912434325744</v>
      </c>
      <c r="AB2766">
        <f>WarehouseData[[#This Row],[stock_level]]*WarehouseData[[#This Row],[unit_price]]</f>
        <v>46949.760000000002</v>
      </c>
      <c r="AC2766">
        <f>WarehouseData[[#This Row],[stock_level]]*WarehouseData[[#This Row],[holding_cost_per_unit_day]]*30</f>
        <v>16780.8</v>
      </c>
      <c r="AD2766" t="str">
        <f>IF(WarehouseData[[#This Row],[order_fulfillment_rate]]&gt;=0.9,"Strong",IF(WarehouseData[[#This Row],[order_fulfillment_rate]]&gt;=0.8,"Moderate","Needs Attention"))</f>
        <v>Moderate</v>
      </c>
      <c r="AE2766" t="str">
        <f>IF(WarehouseData[[#This Row],[picking_time_seconds]]&gt;120,"Slow",IF(WarehouseData[[#This Row],[picking_time_seconds]]&gt;=60,"Average","Fast"))</f>
        <v>Fast</v>
      </c>
    </row>
    <row r="2767" spans="1:31" x14ac:dyDescent="0.25">
      <c r="A2767" t="s">
        <v>2905</v>
      </c>
      <c r="B2767" t="s">
        <v>36</v>
      </c>
      <c r="C2767">
        <v>167</v>
      </c>
      <c r="D2767">
        <v>75</v>
      </c>
      <c r="E2767">
        <v>4</v>
      </c>
      <c r="F2767">
        <v>5</v>
      </c>
      <c r="G2767">
        <v>9.57</v>
      </c>
      <c r="H2767">
        <v>6.18</v>
      </c>
      <c r="I2767">
        <v>0.42</v>
      </c>
      <c r="J2767" t="s">
        <v>120</v>
      </c>
      <c r="K2767" t="s">
        <v>38</v>
      </c>
      <c r="L2767">
        <v>160</v>
      </c>
      <c r="M2767">
        <v>3.84</v>
      </c>
      <c r="N2767">
        <v>145.66</v>
      </c>
      <c r="O2767">
        <v>0.15</v>
      </c>
      <c r="P2767">
        <v>8</v>
      </c>
      <c r="Q2767">
        <v>0.97</v>
      </c>
      <c r="R2767">
        <v>324</v>
      </c>
      <c r="S2767">
        <v>12.47</v>
      </c>
      <c r="T2767">
        <v>0.3</v>
      </c>
      <c r="U2767" s="1">
        <v>45402</v>
      </c>
      <c r="V2767">
        <v>151.84</v>
      </c>
      <c r="W2767">
        <v>0.64500000000000002</v>
      </c>
      <c r="X2767" t="str">
        <f>IF(WarehouseData[[#This Row],[stock_level]]&lt;=WarehouseData[[#This Row],[reorder_point]],"Low Stock","Sufficient Stock")</f>
        <v>Sufficient Stock</v>
      </c>
      <c r="Y2767">
        <f>WarehouseData[[#This Row],[daily_demand]]*WarehouseData[[#This Row],[lead_time_days]]</f>
        <v>47.85</v>
      </c>
      <c r="Z2767" t="str">
        <f>IF(WarehouseData[[#This Row],[stock_level]]&lt;=WarehouseData[[#This Row],[Demand During Lead Time]],"At Risk","Safe")</f>
        <v>Safe</v>
      </c>
      <c r="AA2767">
        <f>WarehouseData[[#This Row],[stock_level]]/WarehouseData[[#This Row],[daily_demand]]</f>
        <v>17.450365726227794</v>
      </c>
      <c r="AB2767">
        <f>WarehouseData[[#This Row],[stock_level]]*WarehouseData[[#This Row],[unit_price]]</f>
        <v>24325.22</v>
      </c>
      <c r="AC2767">
        <f>WarehouseData[[#This Row],[stock_level]]*WarehouseData[[#This Row],[holding_cost_per_unit_day]]*30</f>
        <v>751.5</v>
      </c>
      <c r="AD2767" t="str">
        <f>IF(WarehouseData[[#This Row],[order_fulfillment_rate]]&gt;=0.9,"Strong",IF(WarehouseData[[#This Row],[order_fulfillment_rate]]&gt;=0.8,"Moderate","Needs Attention"))</f>
        <v>Strong</v>
      </c>
      <c r="AE2767" t="str">
        <f>IF(WarehouseData[[#This Row],[picking_time_seconds]]&gt;120,"Slow",IF(WarehouseData[[#This Row],[picking_time_seconds]]&gt;=60,"Average","Fast"))</f>
        <v>Slow</v>
      </c>
    </row>
    <row r="2768" spans="1:31" x14ac:dyDescent="0.25">
      <c r="A2768" t="s">
        <v>2906</v>
      </c>
      <c r="B2768" t="s">
        <v>48</v>
      </c>
      <c r="C2768">
        <v>300</v>
      </c>
      <c r="D2768">
        <v>11</v>
      </c>
      <c r="E2768">
        <v>10</v>
      </c>
      <c r="F2768">
        <v>8</v>
      </c>
      <c r="G2768">
        <v>41.89</v>
      </c>
      <c r="H2768">
        <v>4.2</v>
      </c>
      <c r="I2768">
        <v>0.71</v>
      </c>
      <c r="J2768" t="s">
        <v>221</v>
      </c>
      <c r="K2768" t="s">
        <v>38</v>
      </c>
      <c r="L2768">
        <v>130</v>
      </c>
      <c r="M2768">
        <v>4.93</v>
      </c>
      <c r="N2768">
        <v>55.94</v>
      </c>
      <c r="O2768">
        <v>0.3</v>
      </c>
      <c r="P2768">
        <v>9</v>
      </c>
      <c r="Q2768">
        <v>1</v>
      </c>
      <c r="R2768">
        <v>119</v>
      </c>
      <c r="S2768">
        <v>8.11</v>
      </c>
      <c r="T2768">
        <v>0.66</v>
      </c>
      <c r="U2768" s="1">
        <v>45521</v>
      </c>
      <c r="V2768">
        <v>71.260000000000005</v>
      </c>
      <c r="W2768">
        <v>0.63</v>
      </c>
      <c r="X2768" t="str">
        <f>IF(WarehouseData[[#This Row],[stock_level]]&lt;=WarehouseData[[#This Row],[reorder_point]],"Low Stock","Sufficient Stock")</f>
        <v>Sufficient Stock</v>
      </c>
      <c r="Y2768">
        <f>WarehouseData[[#This Row],[daily_demand]]*WarehouseData[[#This Row],[lead_time_days]]</f>
        <v>335.12</v>
      </c>
      <c r="Z2768" t="str">
        <f>IF(WarehouseData[[#This Row],[stock_level]]&lt;=WarehouseData[[#This Row],[Demand During Lead Time]],"At Risk","Safe")</f>
        <v>At Risk</v>
      </c>
      <c r="AA2768">
        <f>WarehouseData[[#This Row],[stock_level]]/WarehouseData[[#This Row],[daily_demand]]</f>
        <v>7.1616137502984003</v>
      </c>
      <c r="AB2768">
        <f>WarehouseData[[#This Row],[stock_level]]*WarehouseData[[#This Row],[unit_price]]</f>
        <v>16782</v>
      </c>
      <c r="AC2768">
        <f>WarehouseData[[#This Row],[stock_level]]*WarehouseData[[#This Row],[holding_cost_per_unit_day]]*30</f>
        <v>2700</v>
      </c>
      <c r="AD2768" t="str">
        <f>IF(WarehouseData[[#This Row],[order_fulfillment_rate]]&gt;=0.9,"Strong",IF(WarehouseData[[#This Row],[order_fulfillment_rate]]&gt;=0.8,"Moderate","Needs Attention"))</f>
        <v>Strong</v>
      </c>
      <c r="AE2768" t="str">
        <f>IF(WarehouseData[[#This Row],[picking_time_seconds]]&gt;120,"Slow",IF(WarehouseData[[#This Row],[picking_time_seconds]]&gt;=60,"Average","Fast"))</f>
        <v>Slow</v>
      </c>
    </row>
    <row r="2769" spans="1:31" x14ac:dyDescent="0.25">
      <c r="A2769" t="s">
        <v>2907</v>
      </c>
      <c r="B2769" t="s">
        <v>40</v>
      </c>
      <c r="C2769">
        <v>345</v>
      </c>
      <c r="D2769">
        <v>24</v>
      </c>
      <c r="E2769">
        <v>5</v>
      </c>
      <c r="F2769">
        <v>6</v>
      </c>
      <c r="G2769">
        <v>8.36</v>
      </c>
      <c r="H2769">
        <v>4.32</v>
      </c>
      <c r="I2769">
        <v>0.62</v>
      </c>
      <c r="J2769" t="s">
        <v>311</v>
      </c>
      <c r="K2769" t="s">
        <v>38</v>
      </c>
      <c r="L2769">
        <v>42</v>
      </c>
      <c r="M2769">
        <v>0.65</v>
      </c>
      <c r="N2769">
        <v>25.82</v>
      </c>
      <c r="O2769">
        <v>1.87</v>
      </c>
      <c r="P2769">
        <v>3</v>
      </c>
      <c r="Q2769">
        <v>0.81</v>
      </c>
      <c r="R2769">
        <v>96</v>
      </c>
      <c r="S2769">
        <v>2.57</v>
      </c>
      <c r="T2769">
        <v>0.7</v>
      </c>
      <c r="U2769" s="1">
        <v>45602</v>
      </c>
      <c r="V2769">
        <v>30.2</v>
      </c>
      <c r="W2769">
        <v>0.48899999999999999</v>
      </c>
      <c r="X2769" t="str">
        <f>IF(WarehouseData[[#This Row],[stock_level]]&lt;=WarehouseData[[#This Row],[reorder_point]],"Low Stock","Sufficient Stock")</f>
        <v>Sufficient Stock</v>
      </c>
      <c r="Y2769">
        <f>WarehouseData[[#This Row],[daily_demand]]*WarehouseData[[#This Row],[lead_time_days]]</f>
        <v>50.16</v>
      </c>
      <c r="Z2769" t="str">
        <f>IF(WarehouseData[[#This Row],[stock_level]]&lt;=WarehouseData[[#This Row],[Demand During Lead Time]],"At Risk","Safe")</f>
        <v>Safe</v>
      </c>
      <c r="AA2769">
        <f>WarehouseData[[#This Row],[stock_level]]/WarehouseData[[#This Row],[daily_demand]]</f>
        <v>41.267942583732058</v>
      </c>
      <c r="AB2769">
        <f>WarehouseData[[#This Row],[stock_level]]*WarehouseData[[#This Row],[unit_price]]</f>
        <v>8907.9</v>
      </c>
      <c r="AC2769">
        <f>WarehouseData[[#This Row],[stock_level]]*WarehouseData[[#This Row],[holding_cost_per_unit_day]]*30</f>
        <v>19354.500000000004</v>
      </c>
      <c r="AD2769" t="str">
        <f>IF(WarehouseData[[#This Row],[order_fulfillment_rate]]&gt;=0.9,"Strong",IF(WarehouseData[[#This Row],[order_fulfillment_rate]]&gt;=0.8,"Moderate","Needs Attention"))</f>
        <v>Moderate</v>
      </c>
      <c r="AE2769" t="str">
        <f>IF(WarehouseData[[#This Row],[picking_time_seconds]]&gt;120,"Slow",IF(WarehouseData[[#This Row],[picking_time_seconds]]&gt;=60,"Average","Fast"))</f>
        <v>Fast</v>
      </c>
    </row>
    <row r="2770" spans="1:31" x14ac:dyDescent="0.25">
      <c r="A2770" t="s">
        <v>2908</v>
      </c>
      <c r="B2770" t="s">
        <v>73</v>
      </c>
      <c r="C2770">
        <v>338</v>
      </c>
      <c r="D2770">
        <v>32</v>
      </c>
      <c r="E2770">
        <v>9</v>
      </c>
      <c r="F2770">
        <v>3</v>
      </c>
      <c r="G2770">
        <v>33.28</v>
      </c>
      <c r="H2770">
        <v>7.46</v>
      </c>
      <c r="I2770">
        <v>0.98</v>
      </c>
      <c r="J2770" t="s">
        <v>135</v>
      </c>
      <c r="K2770" t="s">
        <v>34</v>
      </c>
      <c r="L2770">
        <v>115</v>
      </c>
      <c r="M2770">
        <v>0.69</v>
      </c>
      <c r="N2770">
        <v>169.95</v>
      </c>
      <c r="O2770">
        <v>1.18</v>
      </c>
      <c r="P2770">
        <v>7</v>
      </c>
      <c r="Q2770">
        <v>0.75</v>
      </c>
      <c r="R2770">
        <v>166</v>
      </c>
      <c r="S2770">
        <v>6.39</v>
      </c>
      <c r="T2770">
        <v>0.2</v>
      </c>
      <c r="U2770" s="1">
        <v>45533</v>
      </c>
      <c r="V2770">
        <v>30.49</v>
      </c>
      <c r="W2770">
        <v>0.41699999999999998</v>
      </c>
      <c r="X2770" t="str">
        <f>IF(WarehouseData[[#This Row],[stock_level]]&lt;=WarehouseData[[#This Row],[reorder_point]],"Low Stock","Sufficient Stock")</f>
        <v>Sufficient Stock</v>
      </c>
      <c r="Y2770">
        <f>WarehouseData[[#This Row],[daily_demand]]*WarehouseData[[#This Row],[lead_time_days]]</f>
        <v>99.84</v>
      </c>
      <c r="Z2770" t="str">
        <f>IF(WarehouseData[[#This Row],[stock_level]]&lt;=WarehouseData[[#This Row],[Demand During Lead Time]],"At Risk","Safe")</f>
        <v>Safe</v>
      </c>
      <c r="AA2770">
        <f>WarehouseData[[#This Row],[stock_level]]/WarehouseData[[#This Row],[daily_demand]]</f>
        <v>10.15625</v>
      </c>
      <c r="AB2770">
        <f>WarehouseData[[#This Row],[stock_level]]*WarehouseData[[#This Row],[unit_price]]</f>
        <v>57443.1</v>
      </c>
      <c r="AC2770">
        <f>WarehouseData[[#This Row],[stock_level]]*WarehouseData[[#This Row],[holding_cost_per_unit_day]]*30</f>
        <v>11965.199999999999</v>
      </c>
      <c r="AD2770" t="str">
        <f>IF(WarehouseData[[#This Row],[order_fulfillment_rate]]&gt;=0.9,"Strong",IF(WarehouseData[[#This Row],[order_fulfillment_rate]]&gt;=0.8,"Moderate","Needs Attention"))</f>
        <v>Needs Attention</v>
      </c>
      <c r="AE2770" t="str">
        <f>IF(WarehouseData[[#This Row],[picking_time_seconds]]&gt;120,"Slow",IF(WarehouseData[[#This Row],[picking_time_seconds]]&gt;=60,"Average","Fast"))</f>
        <v>Average</v>
      </c>
    </row>
    <row r="2771" spans="1:31" x14ac:dyDescent="0.25">
      <c r="A2771" t="s">
        <v>2909</v>
      </c>
      <c r="B2771" t="s">
        <v>40</v>
      </c>
      <c r="C2771">
        <v>183</v>
      </c>
      <c r="D2771">
        <v>38</v>
      </c>
      <c r="E2771">
        <v>14</v>
      </c>
      <c r="F2771">
        <v>9</v>
      </c>
      <c r="G2771">
        <v>8.3800000000000008</v>
      </c>
      <c r="H2771">
        <v>3.93</v>
      </c>
      <c r="I2771">
        <v>0.88</v>
      </c>
      <c r="J2771" t="s">
        <v>137</v>
      </c>
      <c r="K2771" t="s">
        <v>34</v>
      </c>
      <c r="L2771">
        <v>39</v>
      </c>
      <c r="M2771">
        <v>2.4300000000000002</v>
      </c>
      <c r="N2771">
        <v>57.39</v>
      </c>
      <c r="O2771">
        <v>1.98</v>
      </c>
      <c r="P2771">
        <v>0</v>
      </c>
      <c r="Q2771">
        <v>0.79</v>
      </c>
      <c r="R2771">
        <v>639</v>
      </c>
      <c r="S2771">
        <v>11.08</v>
      </c>
      <c r="T2771">
        <v>0.51</v>
      </c>
      <c r="U2771" s="1">
        <v>45538</v>
      </c>
      <c r="V2771">
        <v>179.9</v>
      </c>
      <c r="W2771">
        <v>0.61</v>
      </c>
      <c r="X2771" t="str">
        <f>IF(WarehouseData[[#This Row],[stock_level]]&lt;=WarehouseData[[#This Row],[reorder_point]],"Low Stock","Sufficient Stock")</f>
        <v>Sufficient Stock</v>
      </c>
      <c r="Y2771">
        <f>WarehouseData[[#This Row],[daily_demand]]*WarehouseData[[#This Row],[lead_time_days]]</f>
        <v>75.42</v>
      </c>
      <c r="Z2771" t="str">
        <f>IF(WarehouseData[[#This Row],[stock_level]]&lt;=WarehouseData[[#This Row],[Demand During Lead Time]],"At Risk","Safe")</f>
        <v>Safe</v>
      </c>
      <c r="AA2771">
        <f>WarehouseData[[#This Row],[stock_level]]/WarehouseData[[#This Row],[daily_demand]]</f>
        <v>21.837708830548923</v>
      </c>
      <c r="AB2771">
        <f>WarehouseData[[#This Row],[stock_level]]*WarehouseData[[#This Row],[unit_price]]</f>
        <v>10502.37</v>
      </c>
      <c r="AC2771">
        <f>WarehouseData[[#This Row],[stock_level]]*WarehouseData[[#This Row],[holding_cost_per_unit_day]]*30</f>
        <v>10870.199999999999</v>
      </c>
      <c r="AD2771" t="str">
        <f>IF(WarehouseData[[#This Row],[order_fulfillment_rate]]&gt;=0.9,"Strong",IF(WarehouseData[[#This Row],[order_fulfillment_rate]]&gt;=0.8,"Moderate","Needs Attention"))</f>
        <v>Needs Attention</v>
      </c>
      <c r="AE2771" t="str">
        <f>IF(WarehouseData[[#This Row],[picking_time_seconds]]&gt;120,"Slow",IF(WarehouseData[[#This Row],[picking_time_seconds]]&gt;=60,"Average","Fast"))</f>
        <v>Fast</v>
      </c>
    </row>
    <row r="2772" spans="1:31" x14ac:dyDescent="0.25">
      <c r="A2772" t="s">
        <v>2910</v>
      </c>
      <c r="B2772" t="s">
        <v>40</v>
      </c>
      <c r="C2772">
        <v>405</v>
      </c>
      <c r="D2772">
        <v>90</v>
      </c>
      <c r="E2772">
        <v>3</v>
      </c>
      <c r="F2772">
        <v>4</v>
      </c>
      <c r="G2772">
        <v>46.23</v>
      </c>
      <c r="H2772">
        <v>7.08</v>
      </c>
      <c r="I2772">
        <v>0.15</v>
      </c>
      <c r="J2772" t="s">
        <v>110</v>
      </c>
      <c r="K2772" t="s">
        <v>34</v>
      </c>
      <c r="L2772">
        <v>160</v>
      </c>
      <c r="M2772">
        <v>3.47</v>
      </c>
      <c r="N2772">
        <v>37.659999999999997</v>
      </c>
      <c r="O2772">
        <v>1.61</v>
      </c>
      <c r="P2772">
        <v>1</v>
      </c>
      <c r="Q2772">
        <v>0.8</v>
      </c>
      <c r="R2772">
        <v>566</v>
      </c>
      <c r="S2772">
        <v>9.73</v>
      </c>
      <c r="T2772">
        <v>0.26</v>
      </c>
      <c r="U2772" s="1">
        <v>45379</v>
      </c>
      <c r="V2772">
        <v>229.89</v>
      </c>
      <c r="W2772">
        <v>0.56100000000000005</v>
      </c>
      <c r="X2772" t="str">
        <f>IF(WarehouseData[[#This Row],[stock_level]]&lt;=WarehouseData[[#This Row],[reorder_point]],"Low Stock","Sufficient Stock")</f>
        <v>Sufficient Stock</v>
      </c>
      <c r="Y2772">
        <f>WarehouseData[[#This Row],[daily_demand]]*WarehouseData[[#This Row],[lead_time_days]]</f>
        <v>184.92</v>
      </c>
      <c r="Z2772" t="str">
        <f>IF(WarehouseData[[#This Row],[stock_level]]&lt;=WarehouseData[[#This Row],[Demand During Lead Time]],"At Risk","Safe")</f>
        <v>Safe</v>
      </c>
      <c r="AA2772">
        <f>WarehouseData[[#This Row],[stock_level]]/WarehouseData[[#This Row],[daily_demand]]</f>
        <v>8.7605451005840376</v>
      </c>
      <c r="AB2772">
        <f>WarehouseData[[#This Row],[stock_level]]*WarehouseData[[#This Row],[unit_price]]</f>
        <v>15252.3</v>
      </c>
      <c r="AC2772">
        <f>WarehouseData[[#This Row],[stock_level]]*WarehouseData[[#This Row],[holding_cost_per_unit_day]]*30</f>
        <v>19561.500000000004</v>
      </c>
      <c r="AD2772" t="str">
        <f>IF(WarehouseData[[#This Row],[order_fulfillment_rate]]&gt;=0.9,"Strong",IF(WarehouseData[[#This Row],[order_fulfillment_rate]]&gt;=0.8,"Moderate","Needs Attention"))</f>
        <v>Moderate</v>
      </c>
      <c r="AE2772" t="str">
        <f>IF(WarehouseData[[#This Row],[picking_time_seconds]]&gt;120,"Slow",IF(WarehouseData[[#This Row],[picking_time_seconds]]&gt;=60,"Average","Fast"))</f>
        <v>Slow</v>
      </c>
    </row>
    <row r="2773" spans="1:31" x14ac:dyDescent="0.25">
      <c r="A2773" t="s">
        <v>2911</v>
      </c>
      <c r="B2773" t="s">
        <v>40</v>
      </c>
      <c r="C2773">
        <v>425</v>
      </c>
      <c r="D2773">
        <v>16</v>
      </c>
      <c r="E2773">
        <v>14</v>
      </c>
      <c r="F2773">
        <v>8</v>
      </c>
      <c r="G2773">
        <v>28.69</v>
      </c>
      <c r="H2773">
        <v>0.64</v>
      </c>
      <c r="I2773">
        <v>0.75</v>
      </c>
      <c r="J2773" t="s">
        <v>62</v>
      </c>
      <c r="K2773" t="s">
        <v>52</v>
      </c>
      <c r="L2773">
        <v>135</v>
      </c>
      <c r="M2773">
        <v>2.2400000000000002</v>
      </c>
      <c r="N2773">
        <v>78.22</v>
      </c>
      <c r="O2773">
        <v>1.65</v>
      </c>
      <c r="P2773">
        <v>9</v>
      </c>
      <c r="Q2773">
        <v>0.89</v>
      </c>
      <c r="R2773">
        <v>303</v>
      </c>
      <c r="S2773">
        <v>11.55</v>
      </c>
      <c r="T2773">
        <v>0.79</v>
      </c>
      <c r="U2773" s="1">
        <v>45404</v>
      </c>
      <c r="V2773">
        <v>210</v>
      </c>
      <c r="W2773">
        <v>0.54500000000000004</v>
      </c>
      <c r="X2773" t="str">
        <f>IF(WarehouseData[[#This Row],[stock_level]]&lt;=WarehouseData[[#This Row],[reorder_point]],"Low Stock","Sufficient Stock")</f>
        <v>Sufficient Stock</v>
      </c>
      <c r="Y2773">
        <f>WarehouseData[[#This Row],[daily_demand]]*WarehouseData[[#This Row],[lead_time_days]]</f>
        <v>229.52</v>
      </c>
      <c r="Z2773" t="str">
        <f>IF(WarehouseData[[#This Row],[stock_level]]&lt;=WarehouseData[[#This Row],[Demand During Lead Time]],"At Risk","Safe")</f>
        <v>Safe</v>
      </c>
      <c r="AA2773">
        <f>WarehouseData[[#This Row],[stock_level]]/WarehouseData[[#This Row],[daily_demand]]</f>
        <v>14.813523875914953</v>
      </c>
      <c r="AB2773">
        <f>WarehouseData[[#This Row],[stock_level]]*WarehouseData[[#This Row],[unit_price]]</f>
        <v>33243.5</v>
      </c>
      <c r="AC2773">
        <f>WarehouseData[[#This Row],[stock_level]]*WarehouseData[[#This Row],[holding_cost_per_unit_day]]*30</f>
        <v>21037.5</v>
      </c>
      <c r="AD2773" t="str">
        <f>IF(WarehouseData[[#This Row],[order_fulfillment_rate]]&gt;=0.9,"Strong",IF(WarehouseData[[#This Row],[order_fulfillment_rate]]&gt;=0.8,"Moderate","Needs Attention"))</f>
        <v>Moderate</v>
      </c>
      <c r="AE2773" t="str">
        <f>IF(WarehouseData[[#This Row],[picking_time_seconds]]&gt;120,"Slow",IF(WarehouseData[[#This Row],[picking_time_seconds]]&gt;=60,"Average","Fast"))</f>
        <v>Slow</v>
      </c>
    </row>
    <row r="2774" spans="1:31" x14ac:dyDescent="0.25">
      <c r="A2774" t="s">
        <v>2912</v>
      </c>
      <c r="B2774" t="s">
        <v>40</v>
      </c>
      <c r="C2774">
        <v>243</v>
      </c>
      <c r="D2774">
        <v>37</v>
      </c>
      <c r="E2774">
        <v>8</v>
      </c>
      <c r="F2774">
        <v>6</v>
      </c>
      <c r="G2774">
        <v>17.13</v>
      </c>
      <c r="H2774">
        <v>3.58</v>
      </c>
      <c r="I2774">
        <v>0.4</v>
      </c>
      <c r="J2774" t="s">
        <v>124</v>
      </c>
      <c r="K2774" t="s">
        <v>52</v>
      </c>
      <c r="L2774">
        <v>45</v>
      </c>
      <c r="M2774">
        <v>5</v>
      </c>
      <c r="N2774">
        <v>86.17</v>
      </c>
      <c r="O2774">
        <v>0.83</v>
      </c>
      <c r="P2774">
        <v>9</v>
      </c>
      <c r="Q2774">
        <v>0.85</v>
      </c>
      <c r="R2774">
        <v>881</v>
      </c>
      <c r="S2774">
        <v>8</v>
      </c>
      <c r="T2774">
        <v>0.75</v>
      </c>
      <c r="U2774" s="1">
        <v>45502</v>
      </c>
      <c r="V2774">
        <v>181.93</v>
      </c>
      <c r="W2774">
        <v>0.56399999999999995</v>
      </c>
      <c r="X2774" t="str">
        <f>IF(WarehouseData[[#This Row],[stock_level]]&lt;=WarehouseData[[#This Row],[reorder_point]],"Low Stock","Sufficient Stock")</f>
        <v>Sufficient Stock</v>
      </c>
      <c r="Y2774">
        <f>WarehouseData[[#This Row],[daily_demand]]*WarehouseData[[#This Row],[lead_time_days]]</f>
        <v>102.78</v>
      </c>
      <c r="Z2774" t="str">
        <f>IF(WarehouseData[[#This Row],[stock_level]]&lt;=WarehouseData[[#This Row],[Demand During Lead Time]],"At Risk","Safe")</f>
        <v>Safe</v>
      </c>
      <c r="AA2774">
        <f>WarehouseData[[#This Row],[stock_level]]/WarehouseData[[#This Row],[daily_demand]]</f>
        <v>14.185639229422067</v>
      </c>
      <c r="AB2774">
        <f>WarehouseData[[#This Row],[stock_level]]*WarehouseData[[#This Row],[unit_price]]</f>
        <v>20939.310000000001</v>
      </c>
      <c r="AC2774">
        <f>WarehouseData[[#This Row],[stock_level]]*WarehouseData[[#This Row],[holding_cost_per_unit_day]]*30</f>
        <v>6050.7</v>
      </c>
      <c r="AD2774" t="str">
        <f>IF(WarehouseData[[#This Row],[order_fulfillment_rate]]&gt;=0.9,"Strong",IF(WarehouseData[[#This Row],[order_fulfillment_rate]]&gt;=0.8,"Moderate","Needs Attention"))</f>
        <v>Moderate</v>
      </c>
      <c r="AE2774" t="str">
        <f>IF(WarehouseData[[#This Row],[picking_time_seconds]]&gt;120,"Slow",IF(WarehouseData[[#This Row],[picking_time_seconds]]&gt;=60,"Average","Fast"))</f>
        <v>Fast</v>
      </c>
    </row>
    <row r="2775" spans="1:31" x14ac:dyDescent="0.25">
      <c r="A2775" t="s">
        <v>2913</v>
      </c>
      <c r="B2775" t="s">
        <v>48</v>
      </c>
      <c r="C2775">
        <v>291</v>
      </c>
      <c r="D2775">
        <v>23</v>
      </c>
      <c r="E2775">
        <v>14</v>
      </c>
      <c r="F2775">
        <v>6</v>
      </c>
      <c r="G2775">
        <v>7.88</v>
      </c>
      <c r="H2775">
        <v>3.53</v>
      </c>
      <c r="I2775">
        <v>0.71</v>
      </c>
      <c r="J2775" t="s">
        <v>59</v>
      </c>
      <c r="K2775" t="s">
        <v>52</v>
      </c>
      <c r="L2775">
        <v>134</v>
      </c>
      <c r="M2775">
        <v>1.38</v>
      </c>
      <c r="N2775">
        <v>71.959999999999994</v>
      </c>
      <c r="O2775">
        <v>0.59</v>
      </c>
      <c r="P2775">
        <v>9</v>
      </c>
      <c r="Q2775">
        <v>0.93</v>
      </c>
      <c r="R2775">
        <v>668</v>
      </c>
      <c r="S2775">
        <v>3.44</v>
      </c>
      <c r="T2775">
        <v>0.24</v>
      </c>
      <c r="U2775" s="1">
        <v>45599</v>
      </c>
      <c r="V2775">
        <v>71.17</v>
      </c>
      <c r="W2775">
        <v>0.441</v>
      </c>
      <c r="X2775" t="str">
        <f>IF(WarehouseData[[#This Row],[stock_level]]&lt;=WarehouseData[[#This Row],[reorder_point]],"Low Stock","Sufficient Stock")</f>
        <v>Sufficient Stock</v>
      </c>
      <c r="Y2775">
        <f>WarehouseData[[#This Row],[daily_demand]]*WarehouseData[[#This Row],[lead_time_days]]</f>
        <v>47.28</v>
      </c>
      <c r="Z2775" t="str">
        <f>IF(WarehouseData[[#This Row],[stock_level]]&lt;=WarehouseData[[#This Row],[Demand During Lead Time]],"At Risk","Safe")</f>
        <v>Safe</v>
      </c>
      <c r="AA2775">
        <f>WarehouseData[[#This Row],[stock_level]]/WarehouseData[[#This Row],[daily_demand]]</f>
        <v>36.928934010152282</v>
      </c>
      <c r="AB2775">
        <f>WarehouseData[[#This Row],[stock_level]]*WarehouseData[[#This Row],[unit_price]]</f>
        <v>20940.359999999997</v>
      </c>
      <c r="AC2775">
        <f>WarehouseData[[#This Row],[stock_level]]*WarehouseData[[#This Row],[holding_cost_per_unit_day]]*30</f>
        <v>5150.7</v>
      </c>
      <c r="AD2775" t="str">
        <f>IF(WarehouseData[[#This Row],[order_fulfillment_rate]]&gt;=0.9,"Strong",IF(WarehouseData[[#This Row],[order_fulfillment_rate]]&gt;=0.8,"Moderate","Needs Attention"))</f>
        <v>Strong</v>
      </c>
      <c r="AE2775" t="str">
        <f>IF(WarehouseData[[#This Row],[picking_time_seconds]]&gt;120,"Slow",IF(WarehouseData[[#This Row],[picking_time_seconds]]&gt;=60,"Average","Fast"))</f>
        <v>Slow</v>
      </c>
    </row>
    <row r="2776" spans="1:31" x14ac:dyDescent="0.25">
      <c r="A2776" t="s">
        <v>2914</v>
      </c>
      <c r="B2776" t="s">
        <v>32</v>
      </c>
      <c r="C2776">
        <v>165</v>
      </c>
      <c r="D2776">
        <v>53</v>
      </c>
      <c r="E2776">
        <v>14</v>
      </c>
      <c r="F2776">
        <v>9</v>
      </c>
      <c r="G2776">
        <v>19.190000000000001</v>
      </c>
      <c r="H2776">
        <v>7.61</v>
      </c>
      <c r="I2776">
        <v>0.66</v>
      </c>
      <c r="J2776" t="s">
        <v>166</v>
      </c>
      <c r="K2776" t="s">
        <v>38</v>
      </c>
      <c r="L2776">
        <v>133</v>
      </c>
      <c r="M2776">
        <v>0.54</v>
      </c>
      <c r="N2776">
        <v>195.53</v>
      </c>
      <c r="O2776">
        <v>1.24</v>
      </c>
      <c r="P2776">
        <v>8</v>
      </c>
      <c r="Q2776">
        <v>0.91</v>
      </c>
      <c r="R2776">
        <v>805</v>
      </c>
      <c r="S2776">
        <v>2.61</v>
      </c>
      <c r="T2776">
        <v>0.95</v>
      </c>
      <c r="U2776" s="1">
        <v>45365</v>
      </c>
      <c r="V2776">
        <v>259.92</v>
      </c>
      <c r="W2776">
        <v>0.52300000000000002</v>
      </c>
      <c r="X2776" t="str">
        <f>IF(WarehouseData[[#This Row],[stock_level]]&lt;=WarehouseData[[#This Row],[reorder_point]],"Low Stock","Sufficient Stock")</f>
        <v>Sufficient Stock</v>
      </c>
      <c r="Y2776">
        <f>WarehouseData[[#This Row],[daily_demand]]*WarehouseData[[#This Row],[lead_time_days]]</f>
        <v>172.71</v>
      </c>
      <c r="Z2776" t="str">
        <f>IF(WarehouseData[[#This Row],[stock_level]]&lt;=WarehouseData[[#This Row],[Demand During Lead Time]],"At Risk","Safe")</f>
        <v>At Risk</v>
      </c>
      <c r="AA2776">
        <f>WarehouseData[[#This Row],[stock_level]]/WarehouseData[[#This Row],[daily_demand]]</f>
        <v>8.5982282438770188</v>
      </c>
      <c r="AB2776">
        <f>WarehouseData[[#This Row],[stock_level]]*WarehouseData[[#This Row],[unit_price]]</f>
        <v>32262.45</v>
      </c>
      <c r="AC2776">
        <f>WarehouseData[[#This Row],[stock_level]]*WarehouseData[[#This Row],[holding_cost_per_unit_day]]*30</f>
        <v>6138</v>
      </c>
      <c r="AD2776" t="str">
        <f>IF(WarehouseData[[#This Row],[order_fulfillment_rate]]&gt;=0.9,"Strong",IF(WarehouseData[[#This Row],[order_fulfillment_rate]]&gt;=0.8,"Moderate","Needs Attention"))</f>
        <v>Strong</v>
      </c>
      <c r="AE2776" t="str">
        <f>IF(WarehouseData[[#This Row],[picking_time_seconds]]&gt;120,"Slow",IF(WarehouseData[[#This Row],[picking_time_seconds]]&gt;=60,"Average","Fast"))</f>
        <v>Slow</v>
      </c>
    </row>
    <row r="2777" spans="1:31" x14ac:dyDescent="0.25">
      <c r="A2777" t="s">
        <v>2915</v>
      </c>
      <c r="B2777" t="s">
        <v>36</v>
      </c>
      <c r="C2777">
        <v>472</v>
      </c>
      <c r="D2777">
        <v>39</v>
      </c>
      <c r="E2777">
        <v>11</v>
      </c>
      <c r="F2777">
        <v>7</v>
      </c>
      <c r="G2777">
        <v>35.549999999999997</v>
      </c>
      <c r="H2777">
        <v>3.49</v>
      </c>
      <c r="I2777">
        <v>0.55000000000000004</v>
      </c>
      <c r="J2777" t="s">
        <v>289</v>
      </c>
      <c r="K2777" t="s">
        <v>34</v>
      </c>
      <c r="L2777">
        <v>127</v>
      </c>
      <c r="M2777">
        <v>1.36</v>
      </c>
      <c r="N2777">
        <v>177.36</v>
      </c>
      <c r="O2777">
        <v>1.77</v>
      </c>
      <c r="P2777">
        <v>1</v>
      </c>
      <c r="Q2777">
        <v>0.78</v>
      </c>
      <c r="R2777">
        <v>222</v>
      </c>
      <c r="S2777">
        <v>7.74</v>
      </c>
      <c r="T2777">
        <v>0.97</v>
      </c>
      <c r="U2777" s="1">
        <v>45590</v>
      </c>
      <c r="V2777">
        <v>192.37</v>
      </c>
      <c r="W2777">
        <v>0.65600000000000003</v>
      </c>
      <c r="X2777" t="str">
        <f>IF(WarehouseData[[#This Row],[stock_level]]&lt;=WarehouseData[[#This Row],[reorder_point]],"Low Stock","Sufficient Stock")</f>
        <v>Sufficient Stock</v>
      </c>
      <c r="Y2777">
        <f>WarehouseData[[#This Row],[daily_demand]]*WarehouseData[[#This Row],[lead_time_days]]</f>
        <v>248.84999999999997</v>
      </c>
      <c r="Z2777" t="str">
        <f>IF(WarehouseData[[#This Row],[stock_level]]&lt;=WarehouseData[[#This Row],[Demand During Lead Time]],"At Risk","Safe")</f>
        <v>Safe</v>
      </c>
      <c r="AA2777">
        <f>WarehouseData[[#This Row],[stock_level]]/WarehouseData[[#This Row],[daily_demand]]</f>
        <v>13.27707454289733</v>
      </c>
      <c r="AB2777">
        <f>WarehouseData[[#This Row],[stock_level]]*WarehouseData[[#This Row],[unit_price]]</f>
        <v>83713.920000000013</v>
      </c>
      <c r="AC2777">
        <f>WarehouseData[[#This Row],[stock_level]]*WarehouseData[[#This Row],[holding_cost_per_unit_day]]*30</f>
        <v>25063.200000000001</v>
      </c>
      <c r="AD2777" t="str">
        <f>IF(WarehouseData[[#This Row],[order_fulfillment_rate]]&gt;=0.9,"Strong",IF(WarehouseData[[#This Row],[order_fulfillment_rate]]&gt;=0.8,"Moderate","Needs Attention"))</f>
        <v>Needs Attention</v>
      </c>
      <c r="AE2777" t="str">
        <f>IF(WarehouseData[[#This Row],[picking_time_seconds]]&gt;120,"Slow",IF(WarehouseData[[#This Row],[picking_time_seconds]]&gt;=60,"Average","Fast"))</f>
        <v>Slow</v>
      </c>
    </row>
    <row r="2778" spans="1:31" x14ac:dyDescent="0.25">
      <c r="A2778" t="s">
        <v>2916</v>
      </c>
      <c r="B2778" t="s">
        <v>40</v>
      </c>
      <c r="C2778">
        <v>457</v>
      </c>
      <c r="D2778">
        <v>90</v>
      </c>
      <c r="E2778">
        <v>14</v>
      </c>
      <c r="F2778">
        <v>5</v>
      </c>
      <c r="G2778">
        <v>19.86</v>
      </c>
      <c r="H2778">
        <v>6.52</v>
      </c>
      <c r="I2778">
        <v>0.87</v>
      </c>
      <c r="J2778" t="s">
        <v>188</v>
      </c>
      <c r="K2778" t="s">
        <v>52</v>
      </c>
      <c r="L2778">
        <v>132</v>
      </c>
      <c r="M2778">
        <v>4.49</v>
      </c>
      <c r="N2778">
        <v>175.87</v>
      </c>
      <c r="O2778">
        <v>1.48</v>
      </c>
      <c r="P2778">
        <v>1</v>
      </c>
      <c r="Q2778">
        <v>0.94</v>
      </c>
      <c r="R2778">
        <v>478</v>
      </c>
      <c r="S2778">
        <v>3.88</v>
      </c>
      <c r="T2778">
        <v>0.47</v>
      </c>
      <c r="U2778" s="1">
        <v>45385</v>
      </c>
      <c r="V2778">
        <v>211.32</v>
      </c>
      <c r="W2778">
        <v>0.56599999999999995</v>
      </c>
      <c r="X2778" t="str">
        <f>IF(WarehouseData[[#This Row],[stock_level]]&lt;=WarehouseData[[#This Row],[reorder_point]],"Low Stock","Sufficient Stock")</f>
        <v>Sufficient Stock</v>
      </c>
      <c r="Y2778">
        <f>WarehouseData[[#This Row],[daily_demand]]*WarehouseData[[#This Row],[lead_time_days]]</f>
        <v>99.3</v>
      </c>
      <c r="Z2778" t="str">
        <f>IF(WarehouseData[[#This Row],[stock_level]]&lt;=WarehouseData[[#This Row],[Demand During Lead Time]],"At Risk","Safe")</f>
        <v>Safe</v>
      </c>
      <c r="AA2778">
        <f>WarehouseData[[#This Row],[stock_level]]/WarehouseData[[#This Row],[daily_demand]]</f>
        <v>23.011077542799597</v>
      </c>
      <c r="AB2778">
        <f>WarehouseData[[#This Row],[stock_level]]*WarehouseData[[#This Row],[unit_price]]</f>
        <v>80372.59</v>
      </c>
      <c r="AC2778">
        <f>WarehouseData[[#This Row],[stock_level]]*WarehouseData[[#This Row],[holding_cost_per_unit_day]]*30</f>
        <v>20290.8</v>
      </c>
      <c r="AD2778" t="str">
        <f>IF(WarehouseData[[#This Row],[order_fulfillment_rate]]&gt;=0.9,"Strong",IF(WarehouseData[[#This Row],[order_fulfillment_rate]]&gt;=0.8,"Moderate","Needs Attention"))</f>
        <v>Strong</v>
      </c>
      <c r="AE2778" t="str">
        <f>IF(WarehouseData[[#This Row],[picking_time_seconds]]&gt;120,"Slow",IF(WarehouseData[[#This Row],[picking_time_seconds]]&gt;=60,"Average","Fast"))</f>
        <v>Slow</v>
      </c>
    </row>
    <row r="2779" spans="1:31" x14ac:dyDescent="0.25">
      <c r="A2779" t="s">
        <v>2917</v>
      </c>
      <c r="B2779" t="s">
        <v>40</v>
      </c>
      <c r="C2779">
        <v>375</v>
      </c>
      <c r="D2779">
        <v>41</v>
      </c>
      <c r="E2779">
        <v>5</v>
      </c>
      <c r="F2779">
        <v>6</v>
      </c>
      <c r="G2779">
        <v>13.06</v>
      </c>
      <c r="H2779">
        <v>7.04</v>
      </c>
      <c r="I2779">
        <v>0.74</v>
      </c>
      <c r="J2779" t="s">
        <v>190</v>
      </c>
      <c r="K2779" t="s">
        <v>46</v>
      </c>
      <c r="L2779">
        <v>46</v>
      </c>
      <c r="M2779">
        <v>1.1499999999999999</v>
      </c>
      <c r="N2779">
        <v>85.77</v>
      </c>
      <c r="O2779">
        <v>1</v>
      </c>
      <c r="P2779">
        <v>7</v>
      </c>
      <c r="Q2779">
        <v>0.95</v>
      </c>
      <c r="R2779">
        <v>85</v>
      </c>
      <c r="S2779">
        <v>14.75</v>
      </c>
      <c r="T2779">
        <v>0.3</v>
      </c>
      <c r="U2779" s="1">
        <v>45611</v>
      </c>
      <c r="V2779">
        <v>74.91</v>
      </c>
      <c r="W2779">
        <v>0.60699999999999998</v>
      </c>
      <c r="X2779" t="str">
        <f>IF(WarehouseData[[#This Row],[stock_level]]&lt;=WarehouseData[[#This Row],[reorder_point]],"Low Stock","Sufficient Stock")</f>
        <v>Sufficient Stock</v>
      </c>
      <c r="Y2779">
        <f>WarehouseData[[#This Row],[daily_demand]]*WarehouseData[[#This Row],[lead_time_days]]</f>
        <v>78.36</v>
      </c>
      <c r="Z2779" t="str">
        <f>IF(WarehouseData[[#This Row],[stock_level]]&lt;=WarehouseData[[#This Row],[Demand During Lead Time]],"At Risk","Safe")</f>
        <v>Safe</v>
      </c>
      <c r="AA2779">
        <f>WarehouseData[[#This Row],[stock_level]]/WarehouseData[[#This Row],[daily_demand]]</f>
        <v>28.713629402756506</v>
      </c>
      <c r="AB2779">
        <f>WarehouseData[[#This Row],[stock_level]]*WarehouseData[[#This Row],[unit_price]]</f>
        <v>32163.75</v>
      </c>
      <c r="AC2779">
        <f>WarehouseData[[#This Row],[stock_level]]*WarehouseData[[#This Row],[holding_cost_per_unit_day]]*30</f>
        <v>11250</v>
      </c>
      <c r="AD2779" t="str">
        <f>IF(WarehouseData[[#This Row],[order_fulfillment_rate]]&gt;=0.9,"Strong",IF(WarehouseData[[#This Row],[order_fulfillment_rate]]&gt;=0.8,"Moderate","Needs Attention"))</f>
        <v>Strong</v>
      </c>
      <c r="AE2779" t="str">
        <f>IF(WarehouseData[[#This Row],[picking_time_seconds]]&gt;120,"Slow",IF(WarehouseData[[#This Row],[picking_time_seconds]]&gt;=60,"Average","Fast"))</f>
        <v>Fast</v>
      </c>
    </row>
    <row r="2780" spans="1:31" x14ac:dyDescent="0.25">
      <c r="A2780" t="s">
        <v>2918</v>
      </c>
      <c r="B2780" t="s">
        <v>40</v>
      </c>
      <c r="C2780">
        <v>49</v>
      </c>
      <c r="D2780">
        <v>79</v>
      </c>
      <c r="E2780">
        <v>9</v>
      </c>
      <c r="F2780">
        <v>5</v>
      </c>
      <c r="G2780">
        <v>29.29</v>
      </c>
      <c r="H2780">
        <v>6.76</v>
      </c>
      <c r="I2780">
        <v>0.9</v>
      </c>
      <c r="J2780" t="s">
        <v>207</v>
      </c>
      <c r="K2780" t="s">
        <v>34</v>
      </c>
      <c r="L2780">
        <v>70</v>
      </c>
      <c r="M2780">
        <v>2.66</v>
      </c>
      <c r="N2780">
        <v>192.95</v>
      </c>
      <c r="O2780">
        <v>1.53</v>
      </c>
      <c r="P2780">
        <v>4</v>
      </c>
      <c r="Q2780">
        <v>0.88</v>
      </c>
      <c r="R2780">
        <v>954</v>
      </c>
      <c r="S2780">
        <v>3.78</v>
      </c>
      <c r="T2780">
        <v>0.28999999999999998</v>
      </c>
      <c r="U2780" s="1">
        <v>45629</v>
      </c>
      <c r="V2780">
        <v>85.83</v>
      </c>
      <c r="W2780">
        <v>0.45100000000000001</v>
      </c>
      <c r="X2780" t="str">
        <f>IF(WarehouseData[[#This Row],[stock_level]]&lt;=WarehouseData[[#This Row],[reorder_point]],"Low Stock","Sufficient Stock")</f>
        <v>Low Stock</v>
      </c>
      <c r="Y2780">
        <f>WarehouseData[[#This Row],[daily_demand]]*WarehouseData[[#This Row],[lead_time_days]]</f>
        <v>146.44999999999999</v>
      </c>
      <c r="Z2780" t="str">
        <f>IF(WarehouseData[[#This Row],[stock_level]]&lt;=WarehouseData[[#This Row],[Demand During Lead Time]],"At Risk","Safe")</f>
        <v>At Risk</v>
      </c>
      <c r="AA2780">
        <f>WarehouseData[[#This Row],[stock_level]]/WarehouseData[[#This Row],[daily_demand]]</f>
        <v>1.6729259132809833</v>
      </c>
      <c r="AB2780">
        <f>WarehouseData[[#This Row],[stock_level]]*WarehouseData[[#This Row],[unit_price]]</f>
        <v>9454.5499999999993</v>
      </c>
      <c r="AC2780">
        <f>WarehouseData[[#This Row],[stock_level]]*WarehouseData[[#This Row],[holding_cost_per_unit_day]]*30</f>
        <v>2249.1</v>
      </c>
      <c r="AD2780" t="str">
        <f>IF(WarehouseData[[#This Row],[order_fulfillment_rate]]&gt;=0.9,"Strong",IF(WarehouseData[[#This Row],[order_fulfillment_rate]]&gt;=0.8,"Moderate","Needs Attention"))</f>
        <v>Moderate</v>
      </c>
      <c r="AE2780" t="str">
        <f>IF(WarehouseData[[#This Row],[picking_time_seconds]]&gt;120,"Slow",IF(WarehouseData[[#This Row],[picking_time_seconds]]&gt;=60,"Average","Fast"))</f>
        <v>Average</v>
      </c>
    </row>
    <row r="2781" spans="1:31" x14ac:dyDescent="0.25">
      <c r="A2781" t="s">
        <v>2919</v>
      </c>
      <c r="B2781" t="s">
        <v>32</v>
      </c>
      <c r="C2781">
        <v>64</v>
      </c>
      <c r="D2781">
        <v>97</v>
      </c>
      <c r="E2781">
        <v>8</v>
      </c>
      <c r="F2781">
        <v>3</v>
      </c>
      <c r="G2781">
        <v>21.47</v>
      </c>
      <c r="H2781">
        <v>6.23</v>
      </c>
      <c r="I2781">
        <v>0.35</v>
      </c>
      <c r="J2781" t="s">
        <v>129</v>
      </c>
      <c r="K2781" t="s">
        <v>38</v>
      </c>
      <c r="L2781">
        <v>105</v>
      </c>
      <c r="M2781">
        <v>2.39</v>
      </c>
      <c r="N2781">
        <v>139.96</v>
      </c>
      <c r="O2781">
        <v>1.41</v>
      </c>
      <c r="P2781">
        <v>4</v>
      </c>
      <c r="Q2781">
        <v>0.98</v>
      </c>
      <c r="R2781">
        <v>456</v>
      </c>
      <c r="S2781">
        <v>8.93</v>
      </c>
      <c r="T2781">
        <v>0.87</v>
      </c>
      <c r="U2781" s="1">
        <v>45553</v>
      </c>
      <c r="V2781">
        <v>273.19</v>
      </c>
      <c r="W2781">
        <v>0.66800000000000004</v>
      </c>
      <c r="X2781" t="str">
        <f>IF(WarehouseData[[#This Row],[stock_level]]&lt;=WarehouseData[[#This Row],[reorder_point]],"Low Stock","Sufficient Stock")</f>
        <v>Low Stock</v>
      </c>
      <c r="Y2781">
        <f>WarehouseData[[#This Row],[daily_demand]]*WarehouseData[[#This Row],[lead_time_days]]</f>
        <v>64.41</v>
      </c>
      <c r="Z2781" t="str">
        <f>IF(WarehouseData[[#This Row],[stock_level]]&lt;=WarehouseData[[#This Row],[Demand During Lead Time]],"At Risk","Safe")</f>
        <v>At Risk</v>
      </c>
      <c r="AA2781">
        <f>WarehouseData[[#This Row],[stock_level]]/WarehouseData[[#This Row],[daily_demand]]</f>
        <v>2.9809035863996276</v>
      </c>
      <c r="AB2781">
        <f>WarehouseData[[#This Row],[stock_level]]*WarehouseData[[#This Row],[unit_price]]</f>
        <v>8957.44</v>
      </c>
      <c r="AC2781">
        <f>WarehouseData[[#This Row],[stock_level]]*WarehouseData[[#This Row],[holding_cost_per_unit_day]]*30</f>
        <v>2707.2</v>
      </c>
      <c r="AD2781" t="str">
        <f>IF(WarehouseData[[#This Row],[order_fulfillment_rate]]&gt;=0.9,"Strong",IF(WarehouseData[[#This Row],[order_fulfillment_rate]]&gt;=0.8,"Moderate","Needs Attention"))</f>
        <v>Strong</v>
      </c>
      <c r="AE2781" t="str">
        <f>IF(WarehouseData[[#This Row],[picking_time_seconds]]&gt;120,"Slow",IF(WarehouseData[[#This Row],[picking_time_seconds]]&gt;=60,"Average","Fast"))</f>
        <v>Average</v>
      </c>
    </row>
    <row r="2782" spans="1:31" x14ac:dyDescent="0.25">
      <c r="A2782" t="s">
        <v>2920</v>
      </c>
      <c r="B2782" t="s">
        <v>73</v>
      </c>
      <c r="C2782">
        <v>294</v>
      </c>
      <c r="D2782">
        <v>15</v>
      </c>
      <c r="E2782">
        <v>10</v>
      </c>
      <c r="F2782">
        <v>4</v>
      </c>
      <c r="G2782">
        <v>9.1199999999999992</v>
      </c>
      <c r="H2782">
        <v>4.43</v>
      </c>
      <c r="I2782">
        <v>0.41</v>
      </c>
      <c r="J2782" t="s">
        <v>565</v>
      </c>
      <c r="K2782" t="s">
        <v>34</v>
      </c>
      <c r="L2782">
        <v>129</v>
      </c>
      <c r="M2782">
        <v>3.5</v>
      </c>
      <c r="N2782">
        <v>168.08</v>
      </c>
      <c r="O2782">
        <v>1.83</v>
      </c>
      <c r="P2782">
        <v>5</v>
      </c>
      <c r="Q2782">
        <v>0.93</v>
      </c>
      <c r="R2782">
        <v>465</v>
      </c>
      <c r="S2782">
        <v>1.02</v>
      </c>
      <c r="T2782">
        <v>0.56999999999999995</v>
      </c>
      <c r="U2782" s="1">
        <v>45427</v>
      </c>
      <c r="V2782">
        <v>148.06</v>
      </c>
      <c r="W2782">
        <v>0.43099999999999999</v>
      </c>
      <c r="X2782" t="str">
        <f>IF(WarehouseData[[#This Row],[stock_level]]&lt;=WarehouseData[[#This Row],[reorder_point]],"Low Stock","Sufficient Stock")</f>
        <v>Sufficient Stock</v>
      </c>
      <c r="Y2782">
        <f>WarehouseData[[#This Row],[daily_demand]]*WarehouseData[[#This Row],[lead_time_days]]</f>
        <v>36.479999999999997</v>
      </c>
      <c r="Z2782" t="str">
        <f>IF(WarehouseData[[#This Row],[stock_level]]&lt;=WarehouseData[[#This Row],[Demand During Lead Time]],"At Risk","Safe")</f>
        <v>Safe</v>
      </c>
      <c r="AA2782">
        <f>WarehouseData[[#This Row],[stock_level]]/WarehouseData[[#This Row],[daily_demand]]</f>
        <v>32.236842105263158</v>
      </c>
      <c r="AB2782">
        <f>WarehouseData[[#This Row],[stock_level]]*WarehouseData[[#This Row],[unit_price]]</f>
        <v>49415.520000000004</v>
      </c>
      <c r="AC2782">
        <f>WarehouseData[[#This Row],[stock_level]]*WarehouseData[[#This Row],[holding_cost_per_unit_day]]*30</f>
        <v>16140.599999999999</v>
      </c>
      <c r="AD2782" t="str">
        <f>IF(WarehouseData[[#This Row],[order_fulfillment_rate]]&gt;=0.9,"Strong",IF(WarehouseData[[#This Row],[order_fulfillment_rate]]&gt;=0.8,"Moderate","Needs Attention"))</f>
        <v>Strong</v>
      </c>
      <c r="AE2782" t="str">
        <f>IF(WarehouseData[[#This Row],[picking_time_seconds]]&gt;120,"Slow",IF(WarehouseData[[#This Row],[picking_time_seconds]]&gt;=60,"Average","Fast"))</f>
        <v>Slow</v>
      </c>
    </row>
    <row r="2783" spans="1:31" x14ac:dyDescent="0.25">
      <c r="A2783" t="s">
        <v>2921</v>
      </c>
      <c r="B2783" t="s">
        <v>73</v>
      </c>
      <c r="C2783">
        <v>490</v>
      </c>
      <c r="D2783">
        <v>36</v>
      </c>
      <c r="E2783">
        <v>5</v>
      </c>
      <c r="F2783">
        <v>8</v>
      </c>
      <c r="G2783">
        <v>8.5500000000000007</v>
      </c>
      <c r="H2783">
        <v>4.05</v>
      </c>
      <c r="I2783">
        <v>0.66</v>
      </c>
      <c r="J2783" t="s">
        <v>466</v>
      </c>
      <c r="K2783" t="s">
        <v>38</v>
      </c>
      <c r="L2783">
        <v>21</v>
      </c>
      <c r="M2783">
        <v>0.75</v>
      </c>
      <c r="N2783">
        <v>105.17</v>
      </c>
      <c r="O2783">
        <v>0.6</v>
      </c>
      <c r="P2783">
        <v>7</v>
      </c>
      <c r="Q2783">
        <v>0.88</v>
      </c>
      <c r="R2783">
        <v>734</v>
      </c>
      <c r="S2783">
        <v>4.55</v>
      </c>
      <c r="T2783">
        <v>0.21</v>
      </c>
      <c r="U2783" s="1">
        <v>45377</v>
      </c>
      <c r="V2783">
        <v>170.61</v>
      </c>
      <c r="W2783">
        <v>0.47899999999999998</v>
      </c>
      <c r="X2783" t="str">
        <f>IF(WarehouseData[[#This Row],[stock_level]]&lt;=WarehouseData[[#This Row],[reorder_point]],"Low Stock","Sufficient Stock")</f>
        <v>Sufficient Stock</v>
      </c>
      <c r="Y2783">
        <f>WarehouseData[[#This Row],[daily_demand]]*WarehouseData[[#This Row],[lead_time_days]]</f>
        <v>68.400000000000006</v>
      </c>
      <c r="Z2783" t="str">
        <f>IF(WarehouseData[[#This Row],[stock_level]]&lt;=WarehouseData[[#This Row],[Demand During Lead Time]],"At Risk","Safe")</f>
        <v>Safe</v>
      </c>
      <c r="AA2783">
        <f>WarehouseData[[#This Row],[stock_level]]/WarehouseData[[#This Row],[daily_demand]]</f>
        <v>57.309941520467831</v>
      </c>
      <c r="AB2783">
        <f>WarehouseData[[#This Row],[stock_level]]*WarehouseData[[#This Row],[unit_price]]</f>
        <v>51533.3</v>
      </c>
      <c r="AC2783">
        <f>WarehouseData[[#This Row],[stock_level]]*WarehouseData[[#This Row],[holding_cost_per_unit_day]]*30</f>
        <v>8820</v>
      </c>
      <c r="AD2783" t="str">
        <f>IF(WarehouseData[[#This Row],[order_fulfillment_rate]]&gt;=0.9,"Strong",IF(WarehouseData[[#This Row],[order_fulfillment_rate]]&gt;=0.8,"Moderate","Needs Attention"))</f>
        <v>Moderate</v>
      </c>
      <c r="AE2783" t="str">
        <f>IF(WarehouseData[[#This Row],[picking_time_seconds]]&gt;120,"Slow",IF(WarehouseData[[#This Row],[picking_time_seconds]]&gt;=60,"Average","Fast"))</f>
        <v>Fast</v>
      </c>
    </row>
    <row r="2784" spans="1:31" x14ac:dyDescent="0.25">
      <c r="A2784" t="s">
        <v>2922</v>
      </c>
      <c r="B2784" t="s">
        <v>48</v>
      </c>
      <c r="C2784">
        <v>53</v>
      </c>
      <c r="D2784">
        <v>91</v>
      </c>
      <c r="E2784">
        <v>5</v>
      </c>
      <c r="F2784">
        <v>8</v>
      </c>
      <c r="G2784">
        <v>35.67</v>
      </c>
      <c r="H2784">
        <v>5.86</v>
      </c>
      <c r="I2784">
        <v>0.97</v>
      </c>
      <c r="J2784" t="s">
        <v>156</v>
      </c>
      <c r="K2784" t="s">
        <v>52</v>
      </c>
      <c r="L2784">
        <v>131</v>
      </c>
      <c r="M2784">
        <v>3.46</v>
      </c>
      <c r="N2784">
        <v>40.520000000000003</v>
      </c>
      <c r="O2784">
        <v>0.33</v>
      </c>
      <c r="P2784">
        <v>7</v>
      </c>
      <c r="Q2784">
        <v>0.97</v>
      </c>
      <c r="R2784">
        <v>461</v>
      </c>
      <c r="S2784">
        <v>4.63</v>
      </c>
      <c r="T2784">
        <v>0.94</v>
      </c>
      <c r="U2784" s="1">
        <v>45643</v>
      </c>
      <c r="V2784">
        <v>42.12</v>
      </c>
      <c r="W2784">
        <v>0.67100000000000004</v>
      </c>
      <c r="X2784" t="str">
        <f>IF(WarehouseData[[#This Row],[stock_level]]&lt;=WarehouseData[[#This Row],[reorder_point]],"Low Stock","Sufficient Stock")</f>
        <v>Low Stock</v>
      </c>
      <c r="Y2784">
        <f>WarehouseData[[#This Row],[daily_demand]]*WarehouseData[[#This Row],[lead_time_days]]</f>
        <v>285.36</v>
      </c>
      <c r="Z2784" t="str">
        <f>IF(WarehouseData[[#This Row],[stock_level]]&lt;=WarehouseData[[#This Row],[Demand During Lead Time]],"At Risk","Safe")</f>
        <v>At Risk</v>
      </c>
      <c r="AA2784">
        <f>WarehouseData[[#This Row],[stock_level]]/WarehouseData[[#This Row],[daily_demand]]</f>
        <v>1.4858424446313427</v>
      </c>
      <c r="AB2784">
        <f>WarehouseData[[#This Row],[stock_level]]*WarehouseData[[#This Row],[unit_price]]</f>
        <v>2147.56</v>
      </c>
      <c r="AC2784">
        <f>WarehouseData[[#This Row],[stock_level]]*WarehouseData[[#This Row],[holding_cost_per_unit_day]]*30</f>
        <v>524.70000000000005</v>
      </c>
      <c r="AD2784" t="str">
        <f>IF(WarehouseData[[#This Row],[order_fulfillment_rate]]&gt;=0.9,"Strong",IF(WarehouseData[[#This Row],[order_fulfillment_rate]]&gt;=0.8,"Moderate","Needs Attention"))</f>
        <v>Strong</v>
      </c>
      <c r="AE2784" t="str">
        <f>IF(WarehouseData[[#This Row],[picking_time_seconds]]&gt;120,"Slow",IF(WarehouseData[[#This Row],[picking_time_seconds]]&gt;=60,"Average","Fast"))</f>
        <v>Slow</v>
      </c>
    </row>
    <row r="2785" spans="1:31" x14ac:dyDescent="0.25">
      <c r="A2785" t="s">
        <v>2923</v>
      </c>
      <c r="B2785" t="s">
        <v>73</v>
      </c>
      <c r="C2785">
        <v>160</v>
      </c>
      <c r="D2785">
        <v>97</v>
      </c>
      <c r="E2785">
        <v>6</v>
      </c>
      <c r="F2785">
        <v>4</v>
      </c>
      <c r="G2785">
        <v>48.76</v>
      </c>
      <c r="H2785">
        <v>1.1100000000000001</v>
      </c>
      <c r="I2785">
        <v>0.43</v>
      </c>
      <c r="J2785" t="s">
        <v>49</v>
      </c>
      <c r="K2785" t="s">
        <v>38</v>
      </c>
      <c r="L2785">
        <v>44</v>
      </c>
      <c r="M2785">
        <v>2.1</v>
      </c>
      <c r="N2785">
        <v>178.51</v>
      </c>
      <c r="O2785">
        <v>0.99</v>
      </c>
      <c r="P2785">
        <v>8</v>
      </c>
      <c r="Q2785">
        <v>0.88</v>
      </c>
      <c r="R2785">
        <v>537</v>
      </c>
      <c r="S2785">
        <v>11.33</v>
      </c>
      <c r="T2785">
        <v>0.67</v>
      </c>
      <c r="U2785" s="1">
        <v>45467</v>
      </c>
      <c r="V2785">
        <v>124.43</v>
      </c>
      <c r="W2785">
        <v>0.60199999999999998</v>
      </c>
      <c r="X2785" t="str">
        <f>IF(WarehouseData[[#This Row],[stock_level]]&lt;=WarehouseData[[#This Row],[reorder_point]],"Low Stock","Sufficient Stock")</f>
        <v>Sufficient Stock</v>
      </c>
      <c r="Y2785">
        <f>WarehouseData[[#This Row],[daily_demand]]*WarehouseData[[#This Row],[lead_time_days]]</f>
        <v>195.04</v>
      </c>
      <c r="Z2785" t="str">
        <f>IF(WarehouseData[[#This Row],[stock_level]]&lt;=WarehouseData[[#This Row],[Demand During Lead Time]],"At Risk","Safe")</f>
        <v>At Risk</v>
      </c>
      <c r="AA2785">
        <f>WarehouseData[[#This Row],[stock_level]]/WarehouseData[[#This Row],[daily_demand]]</f>
        <v>3.2813781788351108</v>
      </c>
      <c r="AB2785">
        <f>WarehouseData[[#This Row],[stock_level]]*WarehouseData[[#This Row],[unit_price]]</f>
        <v>28561.599999999999</v>
      </c>
      <c r="AC2785">
        <f>WarehouseData[[#This Row],[stock_level]]*WarehouseData[[#This Row],[holding_cost_per_unit_day]]*30</f>
        <v>4752</v>
      </c>
      <c r="AD2785" t="str">
        <f>IF(WarehouseData[[#This Row],[order_fulfillment_rate]]&gt;=0.9,"Strong",IF(WarehouseData[[#This Row],[order_fulfillment_rate]]&gt;=0.8,"Moderate","Needs Attention"))</f>
        <v>Moderate</v>
      </c>
      <c r="AE2785" t="str">
        <f>IF(WarehouseData[[#This Row],[picking_time_seconds]]&gt;120,"Slow",IF(WarehouseData[[#This Row],[picking_time_seconds]]&gt;=60,"Average","Fast"))</f>
        <v>Fast</v>
      </c>
    </row>
    <row r="2786" spans="1:31" x14ac:dyDescent="0.25">
      <c r="A2786" t="s">
        <v>2924</v>
      </c>
      <c r="B2786" t="s">
        <v>40</v>
      </c>
      <c r="C2786">
        <v>446</v>
      </c>
      <c r="D2786">
        <v>33</v>
      </c>
      <c r="E2786">
        <v>5</v>
      </c>
      <c r="F2786">
        <v>6</v>
      </c>
      <c r="G2786">
        <v>12.42</v>
      </c>
      <c r="H2786">
        <v>8.82</v>
      </c>
      <c r="I2786">
        <v>0.13</v>
      </c>
      <c r="J2786" t="s">
        <v>45</v>
      </c>
      <c r="K2786" t="s">
        <v>38</v>
      </c>
      <c r="L2786">
        <v>76</v>
      </c>
      <c r="M2786">
        <v>4.67</v>
      </c>
      <c r="N2786">
        <v>102.42</v>
      </c>
      <c r="O2786">
        <v>0.79</v>
      </c>
      <c r="P2786">
        <v>9</v>
      </c>
      <c r="Q2786">
        <v>0.86</v>
      </c>
      <c r="R2786">
        <v>741</v>
      </c>
      <c r="S2786">
        <v>7.94</v>
      </c>
      <c r="T2786">
        <v>0.75</v>
      </c>
      <c r="U2786" s="1">
        <v>45524</v>
      </c>
      <c r="V2786">
        <v>267.24</v>
      </c>
      <c r="W2786">
        <v>0.56899999999999995</v>
      </c>
      <c r="X2786" t="str">
        <f>IF(WarehouseData[[#This Row],[stock_level]]&lt;=WarehouseData[[#This Row],[reorder_point]],"Low Stock","Sufficient Stock")</f>
        <v>Sufficient Stock</v>
      </c>
      <c r="Y2786">
        <f>WarehouseData[[#This Row],[daily_demand]]*WarehouseData[[#This Row],[lead_time_days]]</f>
        <v>74.52</v>
      </c>
      <c r="Z2786" t="str">
        <f>IF(WarehouseData[[#This Row],[stock_level]]&lt;=WarehouseData[[#This Row],[Demand During Lead Time]],"At Risk","Safe")</f>
        <v>Safe</v>
      </c>
      <c r="AA2786">
        <f>WarehouseData[[#This Row],[stock_level]]/WarehouseData[[#This Row],[daily_demand]]</f>
        <v>35.909822866344605</v>
      </c>
      <c r="AB2786">
        <f>WarehouseData[[#This Row],[stock_level]]*WarehouseData[[#This Row],[unit_price]]</f>
        <v>45679.32</v>
      </c>
      <c r="AC2786">
        <f>WarehouseData[[#This Row],[stock_level]]*WarehouseData[[#This Row],[holding_cost_per_unit_day]]*30</f>
        <v>10570.2</v>
      </c>
      <c r="AD2786" t="str">
        <f>IF(WarehouseData[[#This Row],[order_fulfillment_rate]]&gt;=0.9,"Strong",IF(WarehouseData[[#This Row],[order_fulfillment_rate]]&gt;=0.8,"Moderate","Needs Attention"))</f>
        <v>Moderate</v>
      </c>
      <c r="AE2786" t="str">
        <f>IF(WarehouseData[[#This Row],[picking_time_seconds]]&gt;120,"Slow",IF(WarehouseData[[#This Row],[picking_time_seconds]]&gt;=60,"Average","Fast"))</f>
        <v>Average</v>
      </c>
    </row>
    <row r="2787" spans="1:31" x14ac:dyDescent="0.25">
      <c r="A2787" t="s">
        <v>2925</v>
      </c>
      <c r="B2787" t="s">
        <v>40</v>
      </c>
      <c r="C2787">
        <v>337</v>
      </c>
      <c r="D2787">
        <v>43</v>
      </c>
      <c r="E2787">
        <v>11</v>
      </c>
      <c r="F2787">
        <v>6</v>
      </c>
      <c r="G2787">
        <v>38.880000000000003</v>
      </c>
      <c r="H2787">
        <v>8.34</v>
      </c>
      <c r="I2787">
        <v>0.5</v>
      </c>
      <c r="J2787" t="s">
        <v>84</v>
      </c>
      <c r="K2787" t="s">
        <v>46</v>
      </c>
      <c r="L2787">
        <v>47</v>
      </c>
      <c r="M2787">
        <v>4.32</v>
      </c>
      <c r="N2787">
        <v>194.03</v>
      </c>
      <c r="O2787">
        <v>1.95</v>
      </c>
      <c r="P2787">
        <v>2</v>
      </c>
      <c r="Q2787">
        <v>0.81</v>
      </c>
      <c r="R2787">
        <v>828</v>
      </c>
      <c r="S2787">
        <v>1.17</v>
      </c>
      <c r="T2787">
        <v>0.86</v>
      </c>
      <c r="U2787" s="1">
        <v>45597</v>
      </c>
      <c r="V2787">
        <v>271.04000000000002</v>
      </c>
      <c r="W2787">
        <v>0.51500000000000001</v>
      </c>
      <c r="X2787" t="str">
        <f>IF(WarehouseData[[#This Row],[stock_level]]&lt;=WarehouseData[[#This Row],[reorder_point]],"Low Stock","Sufficient Stock")</f>
        <v>Sufficient Stock</v>
      </c>
      <c r="Y2787">
        <f>WarehouseData[[#This Row],[daily_demand]]*WarehouseData[[#This Row],[lead_time_days]]</f>
        <v>233.28000000000003</v>
      </c>
      <c r="Z2787" t="str">
        <f>IF(WarehouseData[[#This Row],[stock_level]]&lt;=WarehouseData[[#This Row],[Demand During Lead Time]],"At Risk","Safe")</f>
        <v>Safe</v>
      </c>
      <c r="AA2787">
        <f>WarehouseData[[#This Row],[stock_level]]/WarehouseData[[#This Row],[daily_demand]]</f>
        <v>8.6676954732510278</v>
      </c>
      <c r="AB2787">
        <f>WarehouseData[[#This Row],[stock_level]]*WarehouseData[[#This Row],[unit_price]]</f>
        <v>65388.11</v>
      </c>
      <c r="AC2787">
        <f>WarehouseData[[#This Row],[stock_level]]*WarehouseData[[#This Row],[holding_cost_per_unit_day]]*30</f>
        <v>19714.5</v>
      </c>
      <c r="AD2787" t="str">
        <f>IF(WarehouseData[[#This Row],[order_fulfillment_rate]]&gt;=0.9,"Strong",IF(WarehouseData[[#This Row],[order_fulfillment_rate]]&gt;=0.8,"Moderate","Needs Attention"))</f>
        <v>Moderate</v>
      </c>
      <c r="AE2787" t="str">
        <f>IF(WarehouseData[[#This Row],[picking_time_seconds]]&gt;120,"Slow",IF(WarehouseData[[#This Row],[picking_time_seconds]]&gt;=60,"Average","Fast"))</f>
        <v>Fast</v>
      </c>
    </row>
    <row r="2788" spans="1:31" x14ac:dyDescent="0.25">
      <c r="A2788" t="s">
        <v>2926</v>
      </c>
      <c r="B2788" t="s">
        <v>40</v>
      </c>
      <c r="C2788">
        <v>393</v>
      </c>
      <c r="D2788">
        <v>49</v>
      </c>
      <c r="E2788">
        <v>13</v>
      </c>
      <c r="F2788">
        <v>3</v>
      </c>
      <c r="G2788">
        <v>5.29</v>
      </c>
      <c r="H2788">
        <v>3.79</v>
      </c>
      <c r="I2788">
        <v>0.59</v>
      </c>
      <c r="J2788" t="s">
        <v>316</v>
      </c>
      <c r="K2788" t="s">
        <v>34</v>
      </c>
      <c r="L2788">
        <v>33</v>
      </c>
      <c r="M2788">
        <v>2.2999999999999998</v>
      </c>
      <c r="N2788">
        <v>58.42</v>
      </c>
      <c r="O2788">
        <v>0.11</v>
      </c>
      <c r="P2788">
        <v>8</v>
      </c>
      <c r="Q2788">
        <v>0.96</v>
      </c>
      <c r="R2788">
        <v>816</v>
      </c>
      <c r="S2788">
        <v>6.31</v>
      </c>
      <c r="T2788">
        <v>0.85</v>
      </c>
      <c r="U2788" s="1">
        <v>45594</v>
      </c>
      <c r="V2788">
        <v>221.74</v>
      </c>
      <c r="W2788">
        <v>0.67500000000000004</v>
      </c>
      <c r="X2788" t="str">
        <f>IF(WarehouseData[[#This Row],[stock_level]]&lt;=WarehouseData[[#This Row],[reorder_point]],"Low Stock","Sufficient Stock")</f>
        <v>Sufficient Stock</v>
      </c>
      <c r="Y2788">
        <f>WarehouseData[[#This Row],[daily_demand]]*WarehouseData[[#This Row],[lead_time_days]]</f>
        <v>15.870000000000001</v>
      </c>
      <c r="Z2788" t="str">
        <f>IF(WarehouseData[[#This Row],[stock_level]]&lt;=WarehouseData[[#This Row],[Demand During Lead Time]],"At Risk","Safe")</f>
        <v>Safe</v>
      </c>
      <c r="AA2788">
        <f>WarehouseData[[#This Row],[stock_level]]/WarehouseData[[#This Row],[daily_demand]]</f>
        <v>74.291115311909266</v>
      </c>
      <c r="AB2788">
        <f>WarehouseData[[#This Row],[stock_level]]*WarehouseData[[#This Row],[unit_price]]</f>
        <v>22959.06</v>
      </c>
      <c r="AC2788">
        <f>WarehouseData[[#This Row],[stock_level]]*WarehouseData[[#This Row],[holding_cost_per_unit_day]]*30</f>
        <v>1296.8999999999999</v>
      </c>
      <c r="AD2788" t="str">
        <f>IF(WarehouseData[[#This Row],[order_fulfillment_rate]]&gt;=0.9,"Strong",IF(WarehouseData[[#This Row],[order_fulfillment_rate]]&gt;=0.8,"Moderate","Needs Attention"))</f>
        <v>Strong</v>
      </c>
      <c r="AE2788" t="str">
        <f>IF(WarehouseData[[#This Row],[picking_time_seconds]]&gt;120,"Slow",IF(WarehouseData[[#This Row],[picking_time_seconds]]&gt;=60,"Average","Fast"))</f>
        <v>Fast</v>
      </c>
    </row>
    <row r="2789" spans="1:31" x14ac:dyDescent="0.25">
      <c r="A2789" t="s">
        <v>2927</v>
      </c>
      <c r="B2789" t="s">
        <v>48</v>
      </c>
      <c r="C2789">
        <v>240</v>
      </c>
      <c r="D2789">
        <v>56</v>
      </c>
      <c r="E2789">
        <v>6</v>
      </c>
      <c r="F2789">
        <v>7</v>
      </c>
      <c r="G2789">
        <v>19.7</v>
      </c>
      <c r="H2789">
        <v>5.88</v>
      </c>
      <c r="I2789">
        <v>0.82</v>
      </c>
      <c r="J2789" t="s">
        <v>51</v>
      </c>
      <c r="K2789" t="s">
        <v>38</v>
      </c>
      <c r="L2789">
        <v>90</v>
      </c>
      <c r="M2789">
        <v>4.97</v>
      </c>
      <c r="N2789">
        <v>198.55</v>
      </c>
      <c r="O2789">
        <v>1.87</v>
      </c>
      <c r="P2789">
        <v>2</v>
      </c>
      <c r="Q2789">
        <v>0.74</v>
      </c>
      <c r="R2789">
        <v>964</v>
      </c>
      <c r="S2789">
        <v>10.029999999999999</v>
      </c>
      <c r="T2789">
        <v>0.26</v>
      </c>
      <c r="U2789" s="1">
        <v>45327</v>
      </c>
      <c r="V2789">
        <v>168.23</v>
      </c>
      <c r="W2789">
        <v>0.50700000000000001</v>
      </c>
      <c r="X2789" t="str">
        <f>IF(WarehouseData[[#This Row],[stock_level]]&lt;=WarehouseData[[#This Row],[reorder_point]],"Low Stock","Sufficient Stock")</f>
        <v>Sufficient Stock</v>
      </c>
      <c r="Y2789">
        <f>WarehouseData[[#This Row],[daily_demand]]*WarehouseData[[#This Row],[lead_time_days]]</f>
        <v>137.9</v>
      </c>
      <c r="Z2789" t="str">
        <f>IF(WarehouseData[[#This Row],[stock_level]]&lt;=WarehouseData[[#This Row],[Demand During Lead Time]],"At Risk","Safe")</f>
        <v>Safe</v>
      </c>
      <c r="AA2789">
        <f>WarehouseData[[#This Row],[stock_level]]/WarehouseData[[#This Row],[daily_demand]]</f>
        <v>12.18274111675127</v>
      </c>
      <c r="AB2789">
        <f>WarehouseData[[#This Row],[stock_level]]*WarehouseData[[#This Row],[unit_price]]</f>
        <v>47652</v>
      </c>
      <c r="AC2789">
        <f>WarehouseData[[#This Row],[stock_level]]*WarehouseData[[#This Row],[holding_cost_per_unit_day]]*30</f>
        <v>13464</v>
      </c>
      <c r="AD2789" t="str">
        <f>IF(WarehouseData[[#This Row],[order_fulfillment_rate]]&gt;=0.9,"Strong",IF(WarehouseData[[#This Row],[order_fulfillment_rate]]&gt;=0.8,"Moderate","Needs Attention"))</f>
        <v>Needs Attention</v>
      </c>
      <c r="AE2789" t="str">
        <f>IF(WarehouseData[[#This Row],[picking_time_seconds]]&gt;120,"Slow",IF(WarehouseData[[#This Row],[picking_time_seconds]]&gt;=60,"Average","Fast"))</f>
        <v>Average</v>
      </c>
    </row>
    <row r="2790" spans="1:31" x14ac:dyDescent="0.25">
      <c r="A2790" t="s">
        <v>2928</v>
      </c>
      <c r="B2790" t="s">
        <v>40</v>
      </c>
      <c r="C2790">
        <v>375</v>
      </c>
      <c r="D2790">
        <v>88</v>
      </c>
      <c r="E2790">
        <v>8</v>
      </c>
      <c r="F2790">
        <v>7</v>
      </c>
      <c r="G2790">
        <v>25.83</v>
      </c>
      <c r="H2790">
        <v>9.36</v>
      </c>
      <c r="I2790">
        <v>0.76</v>
      </c>
      <c r="J2790" t="s">
        <v>316</v>
      </c>
      <c r="K2790" t="s">
        <v>46</v>
      </c>
      <c r="L2790">
        <v>177</v>
      </c>
      <c r="M2790">
        <v>0.73</v>
      </c>
      <c r="N2790">
        <v>52.26</v>
      </c>
      <c r="O2790">
        <v>1.91</v>
      </c>
      <c r="P2790">
        <v>0</v>
      </c>
      <c r="Q2790">
        <v>0.84</v>
      </c>
      <c r="R2790">
        <v>881</v>
      </c>
      <c r="S2790">
        <v>9.91</v>
      </c>
      <c r="T2790">
        <v>0.66</v>
      </c>
      <c r="U2790" s="1">
        <v>45409</v>
      </c>
      <c r="V2790">
        <v>279.94</v>
      </c>
      <c r="W2790">
        <v>0.64100000000000001</v>
      </c>
      <c r="X2790" t="str">
        <f>IF(WarehouseData[[#This Row],[stock_level]]&lt;=WarehouseData[[#This Row],[reorder_point]],"Low Stock","Sufficient Stock")</f>
        <v>Sufficient Stock</v>
      </c>
      <c r="Y2790">
        <f>WarehouseData[[#This Row],[daily_demand]]*WarehouseData[[#This Row],[lead_time_days]]</f>
        <v>180.81</v>
      </c>
      <c r="Z2790" t="str">
        <f>IF(WarehouseData[[#This Row],[stock_level]]&lt;=WarehouseData[[#This Row],[Demand During Lead Time]],"At Risk","Safe")</f>
        <v>Safe</v>
      </c>
      <c r="AA2790">
        <f>WarehouseData[[#This Row],[stock_level]]/WarehouseData[[#This Row],[daily_demand]]</f>
        <v>14.518002322880372</v>
      </c>
      <c r="AB2790">
        <f>WarehouseData[[#This Row],[stock_level]]*WarehouseData[[#This Row],[unit_price]]</f>
        <v>19597.5</v>
      </c>
      <c r="AC2790">
        <f>WarehouseData[[#This Row],[stock_level]]*WarehouseData[[#This Row],[holding_cost_per_unit_day]]*30</f>
        <v>21487.5</v>
      </c>
      <c r="AD2790" t="str">
        <f>IF(WarehouseData[[#This Row],[order_fulfillment_rate]]&gt;=0.9,"Strong",IF(WarehouseData[[#This Row],[order_fulfillment_rate]]&gt;=0.8,"Moderate","Needs Attention"))</f>
        <v>Moderate</v>
      </c>
      <c r="AE2790" t="str">
        <f>IF(WarehouseData[[#This Row],[picking_time_seconds]]&gt;120,"Slow",IF(WarehouseData[[#This Row],[picking_time_seconds]]&gt;=60,"Average","Fast"))</f>
        <v>Slow</v>
      </c>
    </row>
    <row r="2791" spans="1:31" x14ac:dyDescent="0.25">
      <c r="A2791" t="s">
        <v>2929</v>
      </c>
      <c r="B2791" t="s">
        <v>73</v>
      </c>
      <c r="C2791">
        <v>41</v>
      </c>
      <c r="D2791">
        <v>84</v>
      </c>
      <c r="E2791">
        <v>10</v>
      </c>
      <c r="F2791">
        <v>7</v>
      </c>
      <c r="G2791">
        <v>14.17</v>
      </c>
      <c r="H2791">
        <v>3.08</v>
      </c>
      <c r="I2791">
        <v>0.97</v>
      </c>
      <c r="J2791" t="s">
        <v>166</v>
      </c>
      <c r="K2791" t="s">
        <v>46</v>
      </c>
      <c r="L2791">
        <v>81</v>
      </c>
      <c r="M2791">
        <v>4.05</v>
      </c>
      <c r="N2791">
        <v>79.95</v>
      </c>
      <c r="O2791">
        <v>0.2</v>
      </c>
      <c r="P2791">
        <v>4</v>
      </c>
      <c r="Q2791">
        <v>0.86</v>
      </c>
      <c r="R2791">
        <v>370</v>
      </c>
      <c r="S2791">
        <v>1.75</v>
      </c>
      <c r="T2791">
        <v>0.76</v>
      </c>
      <c r="U2791" s="1">
        <v>45485</v>
      </c>
      <c r="V2791">
        <v>262.83</v>
      </c>
      <c r="W2791">
        <v>0.64700000000000002</v>
      </c>
      <c r="X2791" t="str">
        <f>IF(WarehouseData[[#This Row],[stock_level]]&lt;=WarehouseData[[#This Row],[reorder_point]],"Low Stock","Sufficient Stock")</f>
        <v>Low Stock</v>
      </c>
      <c r="Y2791">
        <f>WarehouseData[[#This Row],[daily_demand]]*WarehouseData[[#This Row],[lead_time_days]]</f>
        <v>99.19</v>
      </c>
      <c r="Z2791" t="str">
        <f>IF(WarehouseData[[#This Row],[stock_level]]&lt;=WarehouseData[[#This Row],[Demand During Lead Time]],"At Risk","Safe")</f>
        <v>At Risk</v>
      </c>
      <c r="AA2791">
        <f>WarehouseData[[#This Row],[stock_level]]/WarehouseData[[#This Row],[daily_demand]]</f>
        <v>2.8934368383909668</v>
      </c>
      <c r="AB2791">
        <f>WarehouseData[[#This Row],[stock_level]]*WarehouseData[[#This Row],[unit_price]]</f>
        <v>3277.9500000000003</v>
      </c>
      <c r="AC2791">
        <f>WarehouseData[[#This Row],[stock_level]]*WarehouseData[[#This Row],[holding_cost_per_unit_day]]*30</f>
        <v>246.00000000000003</v>
      </c>
      <c r="AD2791" t="str">
        <f>IF(WarehouseData[[#This Row],[order_fulfillment_rate]]&gt;=0.9,"Strong",IF(WarehouseData[[#This Row],[order_fulfillment_rate]]&gt;=0.8,"Moderate","Needs Attention"))</f>
        <v>Moderate</v>
      </c>
      <c r="AE2791" t="str">
        <f>IF(WarehouseData[[#This Row],[picking_time_seconds]]&gt;120,"Slow",IF(WarehouseData[[#This Row],[picking_time_seconds]]&gt;=60,"Average","Fast"))</f>
        <v>Average</v>
      </c>
    </row>
    <row r="2792" spans="1:31" x14ac:dyDescent="0.25">
      <c r="A2792" t="s">
        <v>2930</v>
      </c>
      <c r="B2792" t="s">
        <v>32</v>
      </c>
      <c r="C2792">
        <v>199</v>
      </c>
      <c r="D2792">
        <v>95</v>
      </c>
      <c r="E2792">
        <v>13</v>
      </c>
      <c r="F2792">
        <v>5</v>
      </c>
      <c r="G2792">
        <v>26.95</v>
      </c>
      <c r="H2792">
        <v>7.55</v>
      </c>
      <c r="I2792">
        <v>0.8</v>
      </c>
      <c r="J2792" t="s">
        <v>477</v>
      </c>
      <c r="K2792" t="s">
        <v>46</v>
      </c>
      <c r="L2792">
        <v>88</v>
      </c>
      <c r="M2792">
        <v>2.4500000000000002</v>
      </c>
      <c r="N2792">
        <v>122.86</v>
      </c>
      <c r="O2792">
        <v>1.79</v>
      </c>
      <c r="P2792">
        <v>6</v>
      </c>
      <c r="Q2792">
        <v>0.87</v>
      </c>
      <c r="R2792">
        <v>122</v>
      </c>
      <c r="S2792">
        <v>14</v>
      </c>
      <c r="T2792">
        <v>0.27</v>
      </c>
      <c r="U2792" s="1">
        <v>45489</v>
      </c>
      <c r="V2792">
        <v>255.44</v>
      </c>
      <c r="W2792">
        <v>0.51600000000000001</v>
      </c>
      <c r="X2792" t="str">
        <f>IF(WarehouseData[[#This Row],[stock_level]]&lt;=WarehouseData[[#This Row],[reorder_point]],"Low Stock","Sufficient Stock")</f>
        <v>Sufficient Stock</v>
      </c>
      <c r="Y2792">
        <f>WarehouseData[[#This Row],[daily_demand]]*WarehouseData[[#This Row],[lead_time_days]]</f>
        <v>134.75</v>
      </c>
      <c r="Z2792" t="str">
        <f>IF(WarehouseData[[#This Row],[stock_level]]&lt;=WarehouseData[[#This Row],[Demand During Lead Time]],"At Risk","Safe")</f>
        <v>Safe</v>
      </c>
      <c r="AA2792">
        <f>WarehouseData[[#This Row],[stock_level]]/WarehouseData[[#This Row],[daily_demand]]</f>
        <v>7.3840445269016701</v>
      </c>
      <c r="AB2792">
        <f>WarehouseData[[#This Row],[stock_level]]*WarehouseData[[#This Row],[unit_price]]</f>
        <v>24449.14</v>
      </c>
      <c r="AC2792">
        <f>WarehouseData[[#This Row],[stock_level]]*WarehouseData[[#This Row],[holding_cost_per_unit_day]]*30</f>
        <v>10686.3</v>
      </c>
      <c r="AD2792" t="str">
        <f>IF(WarehouseData[[#This Row],[order_fulfillment_rate]]&gt;=0.9,"Strong",IF(WarehouseData[[#This Row],[order_fulfillment_rate]]&gt;=0.8,"Moderate","Needs Attention"))</f>
        <v>Moderate</v>
      </c>
      <c r="AE2792" t="str">
        <f>IF(WarehouseData[[#This Row],[picking_time_seconds]]&gt;120,"Slow",IF(WarehouseData[[#This Row],[picking_time_seconds]]&gt;=60,"Average","Fast"))</f>
        <v>Average</v>
      </c>
    </row>
    <row r="2793" spans="1:31" x14ac:dyDescent="0.25">
      <c r="A2793" t="s">
        <v>2931</v>
      </c>
      <c r="B2793" t="s">
        <v>32</v>
      </c>
      <c r="C2793">
        <v>455</v>
      </c>
      <c r="D2793">
        <v>33</v>
      </c>
      <c r="E2793">
        <v>10</v>
      </c>
      <c r="F2793">
        <v>7</v>
      </c>
      <c r="G2793">
        <v>44.25</v>
      </c>
      <c r="H2793">
        <v>1.29</v>
      </c>
      <c r="I2793">
        <v>0.37</v>
      </c>
      <c r="J2793" t="s">
        <v>158</v>
      </c>
      <c r="K2793" t="s">
        <v>52</v>
      </c>
      <c r="L2793">
        <v>123</v>
      </c>
      <c r="M2793">
        <v>2.4500000000000002</v>
      </c>
      <c r="N2793">
        <v>141.72999999999999</v>
      </c>
      <c r="O2793">
        <v>0.99</v>
      </c>
      <c r="P2793">
        <v>2</v>
      </c>
      <c r="Q2793">
        <v>0.9</v>
      </c>
      <c r="R2793">
        <v>618</v>
      </c>
      <c r="S2793">
        <v>4.46</v>
      </c>
      <c r="T2793">
        <v>0.38</v>
      </c>
      <c r="U2793" s="1">
        <v>45359</v>
      </c>
      <c r="V2793">
        <v>265.72000000000003</v>
      </c>
      <c r="W2793">
        <v>0.57599999999999996</v>
      </c>
      <c r="X2793" t="str">
        <f>IF(WarehouseData[[#This Row],[stock_level]]&lt;=WarehouseData[[#This Row],[reorder_point]],"Low Stock","Sufficient Stock")</f>
        <v>Sufficient Stock</v>
      </c>
      <c r="Y2793">
        <f>WarehouseData[[#This Row],[daily_demand]]*WarehouseData[[#This Row],[lead_time_days]]</f>
        <v>309.75</v>
      </c>
      <c r="Z2793" t="str">
        <f>IF(WarehouseData[[#This Row],[stock_level]]&lt;=WarehouseData[[#This Row],[Demand During Lead Time]],"At Risk","Safe")</f>
        <v>Safe</v>
      </c>
      <c r="AA2793">
        <f>WarehouseData[[#This Row],[stock_level]]/WarehouseData[[#This Row],[daily_demand]]</f>
        <v>10.282485875706215</v>
      </c>
      <c r="AB2793">
        <f>WarehouseData[[#This Row],[stock_level]]*WarehouseData[[#This Row],[unit_price]]</f>
        <v>64487.149999999994</v>
      </c>
      <c r="AC2793">
        <f>WarehouseData[[#This Row],[stock_level]]*WarehouseData[[#This Row],[holding_cost_per_unit_day]]*30</f>
        <v>13513.5</v>
      </c>
      <c r="AD2793" t="str">
        <f>IF(WarehouseData[[#This Row],[order_fulfillment_rate]]&gt;=0.9,"Strong",IF(WarehouseData[[#This Row],[order_fulfillment_rate]]&gt;=0.8,"Moderate","Needs Attention"))</f>
        <v>Strong</v>
      </c>
      <c r="AE2793" t="str">
        <f>IF(WarehouseData[[#This Row],[picking_time_seconds]]&gt;120,"Slow",IF(WarehouseData[[#This Row],[picking_time_seconds]]&gt;=60,"Average","Fast"))</f>
        <v>Slow</v>
      </c>
    </row>
    <row r="2794" spans="1:31" x14ac:dyDescent="0.25">
      <c r="A2794" t="s">
        <v>2932</v>
      </c>
      <c r="B2794" t="s">
        <v>36</v>
      </c>
      <c r="C2794">
        <v>386</v>
      </c>
      <c r="D2794">
        <v>74</v>
      </c>
      <c r="E2794">
        <v>7</v>
      </c>
      <c r="F2794">
        <v>4</v>
      </c>
      <c r="G2794">
        <v>47.28</v>
      </c>
      <c r="H2794">
        <v>5.47</v>
      </c>
      <c r="I2794">
        <v>0.68</v>
      </c>
      <c r="J2794" t="s">
        <v>181</v>
      </c>
      <c r="K2794" t="s">
        <v>52</v>
      </c>
      <c r="L2794">
        <v>54</v>
      </c>
      <c r="M2794">
        <v>1.27</v>
      </c>
      <c r="N2794">
        <v>146.85</v>
      </c>
      <c r="O2794">
        <v>1.56</v>
      </c>
      <c r="P2794">
        <v>8</v>
      </c>
      <c r="Q2794">
        <v>0.85</v>
      </c>
      <c r="R2794">
        <v>627</v>
      </c>
      <c r="S2794">
        <v>13.48</v>
      </c>
      <c r="T2794">
        <v>0.52</v>
      </c>
      <c r="U2794" s="1">
        <v>45347</v>
      </c>
      <c r="V2794">
        <v>141.44</v>
      </c>
      <c r="W2794">
        <v>0.53800000000000003</v>
      </c>
      <c r="X2794" t="str">
        <f>IF(WarehouseData[[#This Row],[stock_level]]&lt;=WarehouseData[[#This Row],[reorder_point]],"Low Stock","Sufficient Stock")</f>
        <v>Sufficient Stock</v>
      </c>
      <c r="Y2794">
        <f>WarehouseData[[#This Row],[daily_demand]]*WarehouseData[[#This Row],[lead_time_days]]</f>
        <v>189.12</v>
      </c>
      <c r="Z2794" t="str">
        <f>IF(WarehouseData[[#This Row],[stock_level]]&lt;=WarehouseData[[#This Row],[Demand During Lead Time]],"At Risk","Safe")</f>
        <v>Safe</v>
      </c>
      <c r="AA2794">
        <f>WarehouseData[[#This Row],[stock_level]]/WarehouseData[[#This Row],[daily_demand]]</f>
        <v>8.1641285956006762</v>
      </c>
      <c r="AB2794">
        <f>WarehouseData[[#This Row],[stock_level]]*WarehouseData[[#This Row],[unit_price]]</f>
        <v>56684.1</v>
      </c>
      <c r="AC2794">
        <f>WarehouseData[[#This Row],[stock_level]]*WarehouseData[[#This Row],[holding_cost_per_unit_day]]*30</f>
        <v>18064.8</v>
      </c>
      <c r="AD2794" t="str">
        <f>IF(WarehouseData[[#This Row],[order_fulfillment_rate]]&gt;=0.9,"Strong",IF(WarehouseData[[#This Row],[order_fulfillment_rate]]&gt;=0.8,"Moderate","Needs Attention"))</f>
        <v>Moderate</v>
      </c>
      <c r="AE2794" t="str">
        <f>IF(WarehouseData[[#This Row],[picking_time_seconds]]&gt;120,"Slow",IF(WarehouseData[[#This Row],[picking_time_seconds]]&gt;=60,"Average","Fast"))</f>
        <v>Fast</v>
      </c>
    </row>
    <row r="2795" spans="1:31" x14ac:dyDescent="0.25">
      <c r="A2795" t="s">
        <v>2933</v>
      </c>
      <c r="B2795" t="s">
        <v>73</v>
      </c>
      <c r="C2795">
        <v>439</v>
      </c>
      <c r="D2795">
        <v>27</v>
      </c>
      <c r="E2795">
        <v>7</v>
      </c>
      <c r="F2795">
        <v>8</v>
      </c>
      <c r="G2795">
        <v>5.93</v>
      </c>
      <c r="H2795">
        <v>8.9</v>
      </c>
      <c r="I2795">
        <v>0.71</v>
      </c>
      <c r="J2795" t="s">
        <v>207</v>
      </c>
      <c r="K2795" t="s">
        <v>38</v>
      </c>
      <c r="L2795">
        <v>134</v>
      </c>
      <c r="M2795">
        <v>2.82</v>
      </c>
      <c r="N2795">
        <v>100.49</v>
      </c>
      <c r="O2795">
        <v>0.25</v>
      </c>
      <c r="P2795">
        <v>0</v>
      </c>
      <c r="Q2795">
        <v>0.78</v>
      </c>
      <c r="R2795">
        <v>693</v>
      </c>
      <c r="S2795">
        <v>3.99</v>
      </c>
      <c r="T2795">
        <v>0.91</v>
      </c>
      <c r="U2795" s="1">
        <v>45300</v>
      </c>
      <c r="V2795">
        <v>162.38999999999999</v>
      </c>
      <c r="W2795">
        <v>0.76600000000000001</v>
      </c>
      <c r="X2795" t="str">
        <f>IF(WarehouseData[[#This Row],[stock_level]]&lt;=WarehouseData[[#This Row],[reorder_point]],"Low Stock","Sufficient Stock")</f>
        <v>Sufficient Stock</v>
      </c>
      <c r="Y2795">
        <f>WarehouseData[[#This Row],[daily_demand]]*WarehouseData[[#This Row],[lead_time_days]]</f>
        <v>47.44</v>
      </c>
      <c r="Z2795" t="str">
        <f>IF(WarehouseData[[#This Row],[stock_level]]&lt;=WarehouseData[[#This Row],[Demand During Lead Time]],"At Risk","Safe")</f>
        <v>Safe</v>
      </c>
      <c r="AA2795">
        <f>WarehouseData[[#This Row],[stock_level]]/WarehouseData[[#This Row],[daily_demand]]</f>
        <v>74.03035413153458</v>
      </c>
      <c r="AB2795">
        <f>WarehouseData[[#This Row],[stock_level]]*WarehouseData[[#This Row],[unit_price]]</f>
        <v>44115.11</v>
      </c>
      <c r="AC2795">
        <f>WarehouseData[[#This Row],[stock_level]]*WarehouseData[[#This Row],[holding_cost_per_unit_day]]*30</f>
        <v>3292.5</v>
      </c>
      <c r="AD2795" t="str">
        <f>IF(WarehouseData[[#This Row],[order_fulfillment_rate]]&gt;=0.9,"Strong",IF(WarehouseData[[#This Row],[order_fulfillment_rate]]&gt;=0.8,"Moderate","Needs Attention"))</f>
        <v>Needs Attention</v>
      </c>
      <c r="AE2795" t="str">
        <f>IF(WarehouseData[[#This Row],[picking_time_seconds]]&gt;120,"Slow",IF(WarehouseData[[#This Row],[picking_time_seconds]]&gt;=60,"Average","Fast"))</f>
        <v>Slow</v>
      </c>
    </row>
    <row r="2796" spans="1:31" x14ac:dyDescent="0.25">
      <c r="A2796" t="s">
        <v>2934</v>
      </c>
      <c r="B2796" t="s">
        <v>40</v>
      </c>
      <c r="C2796">
        <v>348</v>
      </c>
      <c r="D2796">
        <v>53</v>
      </c>
      <c r="E2796">
        <v>8</v>
      </c>
      <c r="F2796">
        <v>8</v>
      </c>
      <c r="G2796">
        <v>14.32</v>
      </c>
      <c r="H2796">
        <v>5.74</v>
      </c>
      <c r="I2796">
        <v>1</v>
      </c>
      <c r="J2796" t="s">
        <v>158</v>
      </c>
      <c r="K2796" t="s">
        <v>34</v>
      </c>
      <c r="L2796">
        <v>105</v>
      </c>
      <c r="M2796">
        <v>0.88</v>
      </c>
      <c r="N2796">
        <v>24.6</v>
      </c>
      <c r="O2796">
        <v>1.91</v>
      </c>
      <c r="P2796">
        <v>5</v>
      </c>
      <c r="Q2796">
        <v>0.96</v>
      </c>
      <c r="R2796">
        <v>462</v>
      </c>
      <c r="S2796">
        <v>8.9499999999999993</v>
      </c>
      <c r="T2796">
        <v>0.88</v>
      </c>
      <c r="U2796" s="1">
        <v>45395</v>
      </c>
      <c r="V2796">
        <v>132.96</v>
      </c>
      <c r="W2796">
        <v>0.59599999999999997</v>
      </c>
      <c r="X2796" t="str">
        <f>IF(WarehouseData[[#This Row],[stock_level]]&lt;=WarehouseData[[#This Row],[reorder_point]],"Low Stock","Sufficient Stock")</f>
        <v>Sufficient Stock</v>
      </c>
      <c r="Y2796">
        <f>WarehouseData[[#This Row],[daily_demand]]*WarehouseData[[#This Row],[lead_time_days]]</f>
        <v>114.56</v>
      </c>
      <c r="Z2796" t="str">
        <f>IF(WarehouseData[[#This Row],[stock_level]]&lt;=WarehouseData[[#This Row],[Demand During Lead Time]],"At Risk","Safe")</f>
        <v>Safe</v>
      </c>
      <c r="AA2796">
        <f>WarehouseData[[#This Row],[stock_level]]/WarehouseData[[#This Row],[daily_demand]]</f>
        <v>24.30167597765363</v>
      </c>
      <c r="AB2796">
        <f>WarehouseData[[#This Row],[stock_level]]*WarehouseData[[#This Row],[unit_price]]</f>
        <v>8560.8000000000011</v>
      </c>
      <c r="AC2796">
        <f>WarehouseData[[#This Row],[stock_level]]*WarehouseData[[#This Row],[holding_cost_per_unit_day]]*30</f>
        <v>19940.399999999998</v>
      </c>
      <c r="AD2796" t="str">
        <f>IF(WarehouseData[[#This Row],[order_fulfillment_rate]]&gt;=0.9,"Strong",IF(WarehouseData[[#This Row],[order_fulfillment_rate]]&gt;=0.8,"Moderate","Needs Attention"))</f>
        <v>Strong</v>
      </c>
      <c r="AE2796" t="str">
        <f>IF(WarehouseData[[#This Row],[picking_time_seconds]]&gt;120,"Slow",IF(WarehouseData[[#This Row],[picking_time_seconds]]&gt;=60,"Average","Fast"))</f>
        <v>Average</v>
      </c>
    </row>
    <row r="2797" spans="1:31" x14ac:dyDescent="0.25">
      <c r="A2797" t="s">
        <v>2935</v>
      </c>
      <c r="B2797" t="s">
        <v>32</v>
      </c>
      <c r="C2797">
        <v>250</v>
      </c>
      <c r="D2797">
        <v>85</v>
      </c>
      <c r="E2797">
        <v>12</v>
      </c>
      <c r="F2797">
        <v>5</v>
      </c>
      <c r="G2797">
        <v>48.98</v>
      </c>
      <c r="H2797">
        <v>6.35</v>
      </c>
      <c r="I2797">
        <v>0.22</v>
      </c>
      <c r="J2797" t="s">
        <v>332</v>
      </c>
      <c r="K2797" t="s">
        <v>52</v>
      </c>
      <c r="L2797">
        <v>22</v>
      </c>
      <c r="M2797">
        <v>3.27</v>
      </c>
      <c r="N2797">
        <v>104.25</v>
      </c>
      <c r="O2797">
        <v>1.25</v>
      </c>
      <c r="P2797">
        <v>5</v>
      </c>
      <c r="Q2797">
        <v>0.9</v>
      </c>
      <c r="R2797">
        <v>821</v>
      </c>
      <c r="S2797">
        <v>6.69</v>
      </c>
      <c r="T2797">
        <v>0.83</v>
      </c>
      <c r="U2797" s="1">
        <v>45559</v>
      </c>
      <c r="V2797">
        <v>224.62</v>
      </c>
      <c r="W2797">
        <v>0.61</v>
      </c>
      <c r="X2797" t="str">
        <f>IF(WarehouseData[[#This Row],[stock_level]]&lt;=WarehouseData[[#This Row],[reorder_point]],"Low Stock","Sufficient Stock")</f>
        <v>Sufficient Stock</v>
      </c>
      <c r="Y2797">
        <f>WarehouseData[[#This Row],[daily_demand]]*WarehouseData[[#This Row],[lead_time_days]]</f>
        <v>244.89999999999998</v>
      </c>
      <c r="Z2797" t="str">
        <f>IF(WarehouseData[[#This Row],[stock_level]]&lt;=WarehouseData[[#This Row],[Demand During Lead Time]],"At Risk","Safe")</f>
        <v>Safe</v>
      </c>
      <c r="AA2797">
        <f>WarehouseData[[#This Row],[stock_level]]/WarehouseData[[#This Row],[daily_demand]]</f>
        <v>5.1041241322988977</v>
      </c>
      <c r="AB2797">
        <f>WarehouseData[[#This Row],[stock_level]]*WarehouseData[[#This Row],[unit_price]]</f>
        <v>26062.5</v>
      </c>
      <c r="AC2797">
        <f>WarehouseData[[#This Row],[stock_level]]*WarehouseData[[#This Row],[holding_cost_per_unit_day]]*30</f>
        <v>9375</v>
      </c>
      <c r="AD2797" t="str">
        <f>IF(WarehouseData[[#This Row],[order_fulfillment_rate]]&gt;=0.9,"Strong",IF(WarehouseData[[#This Row],[order_fulfillment_rate]]&gt;=0.8,"Moderate","Needs Attention"))</f>
        <v>Strong</v>
      </c>
      <c r="AE2797" t="str">
        <f>IF(WarehouseData[[#This Row],[picking_time_seconds]]&gt;120,"Slow",IF(WarehouseData[[#This Row],[picking_time_seconds]]&gt;=60,"Average","Fast"))</f>
        <v>Fast</v>
      </c>
    </row>
    <row r="2798" spans="1:31" x14ac:dyDescent="0.25">
      <c r="A2798" t="s">
        <v>2936</v>
      </c>
      <c r="B2798" t="s">
        <v>73</v>
      </c>
      <c r="C2798">
        <v>422</v>
      </c>
      <c r="D2798">
        <v>66</v>
      </c>
      <c r="E2798">
        <v>9</v>
      </c>
      <c r="F2798">
        <v>3</v>
      </c>
      <c r="G2798">
        <v>14.25</v>
      </c>
      <c r="H2798">
        <v>9.1199999999999992</v>
      </c>
      <c r="I2798">
        <v>0.27</v>
      </c>
      <c r="J2798" t="s">
        <v>221</v>
      </c>
      <c r="K2798" t="s">
        <v>52</v>
      </c>
      <c r="L2798">
        <v>119</v>
      </c>
      <c r="M2798">
        <v>1.59</v>
      </c>
      <c r="N2798">
        <v>73.59</v>
      </c>
      <c r="O2798">
        <v>1.81</v>
      </c>
      <c r="P2798">
        <v>7</v>
      </c>
      <c r="Q2798">
        <v>0.96</v>
      </c>
      <c r="R2798">
        <v>173</v>
      </c>
      <c r="S2798">
        <v>9.14</v>
      </c>
      <c r="T2798">
        <v>0.99</v>
      </c>
      <c r="U2798" s="1">
        <v>45550</v>
      </c>
      <c r="V2798">
        <v>181.66</v>
      </c>
      <c r="W2798">
        <v>0.59099999999999997</v>
      </c>
      <c r="X2798" t="str">
        <f>IF(WarehouseData[[#This Row],[stock_level]]&lt;=WarehouseData[[#This Row],[reorder_point]],"Low Stock","Sufficient Stock")</f>
        <v>Sufficient Stock</v>
      </c>
      <c r="Y2798">
        <f>WarehouseData[[#This Row],[daily_demand]]*WarehouseData[[#This Row],[lead_time_days]]</f>
        <v>42.75</v>
      </c>
      <c r="Z2798" t="str">
        <f>IF(WarehouseData[[#This Row],[stock_level]]&lt;=WarehouseData[[#This Row],[Demand During Lead Time]],"At Risk","Safe")</f>
        <v>Safe</v>
      </c>
      <c r="AA2798">
        <f>WarehouseData[[#This Row],[stock_level]]/WarehouseData[[#This Row],[daily_demand]]</f>
        <v>29.614035087719298</v>
      </c>
      <c r="AB2798">
        <f>WarehouseData[[#This Row],[stock_level]]*WarehouseData[[#This Row],[unit_price]]</f>
        <v>31054.980000000003</v>
      </c>
      <c r="AC2798">
        <f>WarehouseData[[#This Row],[stock_level]]*WarehouseData[[#This Row],[holding_cost_per_unit_day]]*30</f>
        <v>22914.600000000002</v>
      </c>
      <c r="AD2798" t="str">
        <f>IF(WarehouseData[[#This Row],[order_fulfillment_rate]]&gt;=0.9,"Strong",IF(WarehouseData[[#This Row],[order_fulfillment_rate]]&gt;=0.8,"Moderate","Needs Attention"))</f>
        <v>Strong</v>
      </c>
      <c r="AE2798" t="str">
        <f>IF(WarehouseData[[#This Row],[picking_time_seconds]]&gt;120,"Slow",IF(WarehouseData[[#This Row],[picking_time_seconds]]&gt;=60,"Average","Fast"))</f>
        <v>Average</v>
      </c>
    </row>
    <row r="2799" spans="1:31" x14ac:dyDescent="0.25">
      <c r="A2799" t="s">
        <v>2937</v>
      </c>
      <c r="B2799" t="s">
        <v>32</v>
      </c>
      <c r="C2799">
        <v>57</v>
      </c>
      <c r="D2799">
        <v>37</v>
      </c>
      <c r="E2799">
        <v>12</v>
      </c>
      <c r="F2799">
        <v>4</v>
      </c>
      <c r="G2799">
        <v>34.94</v>
      </c>
      <c r="H2799">
        <v>7.3</v>
      </c>
      <c r="I2799">
        <v>0.24</v>
      </c>
      <c r="J2799" t="s">
        <v>466</v>
      </c>
      <c r="K2799" t="s">
        <v>38</v>
      </c>
      <c r="L2799">
        <v>15</v>
      </c>
      <c r="M2799">
        <v>3.76</v>
      </c>
      <c r="N2799">
        <v>134.94999999999999</v>
      </c>
      <c r="O2799">
        <v>1.38</v>
      </c>
      <c r="P2799">
        <v>2</v>
      </c>
      <c r="Q2799">
        <v>0.78</v>
      </c>
      <c r="R2799">
        <v>434</v>
      </c>
      <c r="S2799">
        <v>7.97</v>
      </c>
      <c r="T2799">
        <v>0.39</v>
      </c>
      <c r="U2799" s="1">
        <v>45642</v>
      </c>
      <c r="V2799">
        <v>30.21</v>
      </c>
      <c r="W2799">
        <v>0.56200000000000006</v>
      </c>
      <c r="X2799" t="str">
        <f>IF(WarehouseData[[#This Row],[stock_level]]&lt;=WarehouseData[[#This Row],[reorder_point]],"Low Stock","Sufficient Stock")</f>
        <v>Sufficient Stock</v>
      </c>
      <c r="Y2799">
        <f>WarehouseData[[#This Row],[daily_demand]]*WarehouseData[[#This Row],[lead_time_days]]</f>
        <v>139.76</v>
      </c>
      <c r="Z2799" t="str">
        <f>IF(WarehouseData[[#This Row],[stock_level]]&lt;=WarehouseData[[#This Row],[Demand During Lead Time]],"At Risk","Safe")</f>
        <v>At Risk</v>
      </c>
      <c r="AA2799">
        <f>WarehouseData[[#This Row],[stock_level]]/WarehouseData[[#This Row],[daily_demand]]</f>
        <v>1.6313680595306241</v>
      </c>
      <c r="AB2799">
        <f>WarehouseData[[#This Row],[stock_level]]*WarehouseData[[#This Row],[unit_price]]</f>
        <v>7692.15</v>
      </c>
      <c r="AC2799">
        <f>WarehouseData[[#This Row],[stock_level]]*WarehouseData[[#This Row],[holding_cost_per_unit_day]]*30</f>
        <v>2359.7999999999997</v>
      </c>
      <c r="AD2799" t="str">
        <f>IF(WarehouseData[[#This Row],[order_fulfillment_rate]]&gt;=0.9,"Strong",IF(WarehouseData[[#This Row],[order_fulfillment_rate]]&gt;=0.8,"Moderate","Needs Attention"))</f>
        <v>Needs Attention</v>
      </c>
      <c r="AE2799" t="str">
        <f>IF(WarehouseData[[#This Row],[picking_time_seconds]]&gt;120,"Slow",IF(WarehouseData[[#This Row],[picking_time_seconds]]&gt;=60,"Average","Fast"))</f>
        <v>Fast</v>
      </c>
    </row>
    <row r="2800" spans="1:31" x14ac:dyDescent="0.25">
      <c r="A2800" t="s">
        <v>2938</v>
      </c>
      <c r="B2800" t="s">
        <v>40</v>
      </c>
      <c r="C2800">
        <v>89</v>
      </c>
      <c r="D2800">
        <v>80</v>
      </c>
      <c r="E2800">
        <v>9</v>
      </c>
      <c r="F2800">
        <v>8</v>
      </c>
      <c r="G2800">
        <v>13.42</v>
      </c>
      <c r="H2800">
        <v>7.11</v>
      </c>
      <c r="I2800">
        <v>0.63</v>
      </c>
      <c r="J2800" t="s">
        <v>126</v>
      </c>
      <c r="K2800" t="s">
        <v>38</v>
      </c>
      <c r="L2800">
        <v>106</v>
      </c>
      <c r="M2800">
        <v>3.23</v>
      </c>
      <c r="N2800">
        <v>44.63</v>
      </c>
      <c r="O2800">
        <v>1.1200000000000001</v>
      </c>
      <c r="P2800">
        <v>4</v>
      </c>
      <c r="Q2800">
        <v>0.89</v>
      </c>
      <c r="R2800">
        <v>653</v>
      </c>
      <c r="S2800">
        <v>1.03</v>
      </c>
      <c r="T2800">
        <v>0.56999999999999995</v>
      </c>
      <c r="U2800" s="1">
        <v>45506</v>
      </c>
      <c r="V2800">
        <v>49.61</v>
      </c>
      <c r="W2800">
        <v>0.51400000000000001</v>
      </c>
      <c r="X2800" t="str">
        <f>IF(WarehouseData[[#This Row],[stock_level]]&lt;=WarehouseData[[#This Row],[reorder_point]],"Low Stock","Sufficient Stock")</f>
        <v>Sufficient Stock</v>
      </c>
      <c r="Y2800">
        <f>WarehouseData[[#This Row],[daily_demand]]*WarehouseData[[#This Row],[lead_time_days]]</f>
        <v>107.36</v>
      </c>
      <c r="Z2800" t="str">
        <f>IF(WarehouseData[[#This Row],[stock_level]]&lt;=WarehouseData[[#This Row],[Demand During Lead Time]],"At Risk","Safe")</f>
        <v>At Risk</v>
      </c>
      <c r="AA2800">
        <f>WarehouseData[[#This Row],[stock_level]]/WarehouseData[[#This Row],[daily_demand]]</f>
        <v>6.6318926974664683</v>
      </c>
      <c r="AB2800">
        <f>WarehouseData[[#This Row],[stock_level]]*WarehouseData[[#This Row],[unit_price]]</f>
        <v>3972.07</v>
      </c>
      <c r="AC2800">
        <f>WarehouseData[[#This Row],[stock_level]]*WarehouseData[[#This Row],[holding_cost_per_unit_day]]*30</f>
        <v>2990.4</v>
      </c>
      <c r="AD2800" t="str">
        <f>IF(WarehouseData[[#This Row],[order_fulfillment_rate]]&gt;=0.9,"Strong",IF(WarehouseData[[#This Row],[order_fulfillment_rate]]&gt;=0.8,"Moderate","Needs Attention"))</f>
        <v>Moderate</v>
      </c>
      <c r="AE2800" t="str">
        <f>IF(WarehouseData[[#This Row],[picking_time_seconds]]&gt;120,"Slow",IF(WarehouseData[[#This Row],[picking_time_seconds]]&gt;=60,"Average","Fast"))</f>
        <v>Average</v>
      </c>
    </row>
    <row r="2801" spans="1:31" x14ac:dyDescent="0.25">
      <c r="A2801" t="s">
        <v>2939</v>
      </c>
      <c r="B2801" t="s">
        <v>32</v>
      </c>
      <c r="C2801">
        <v>135</v>
      </c>
      <c r="D2801">
        <v>32</v>
      </c>
      <c r="E2801">
        <v>6</v>
      </c>
      <c r="F2801">
        <v>4</v>
      </c>
      <c r="G2801">
        <v>18.46</v>
      </c>
      <c r="H2801">
        <v>6.07</v>
      </c>
      <c r="I2801">
        <v>0.22</v>
      </c>
      <c r="J2801" t="s">
        <v>84</v>
      </c>
      <c r="K2801" t="s">
        <v>52</v>
      </c>
      <c r="L2801">
        <v>80</v>
      </c>
      <c r="M2801">
        <v>3.86</v>
      </c>
      <c r="N2801">
        <v>84.84</v>
      </c>
      <c r="O2801">
        <v>0.43</v>
      </c>
      <c r="P2801">
        <v>9</v>
      </c>
      <c r="Q2801">
        <v>0.91</v>
      </c>
      <c r="R2801">
        <v>835</v>
      </c>
      <c r="S2801">
        <v>5.92</v>
      </c>
      <c r="T2801">
        <v>0.56000000000000005</v>
      </c>
      <c r="U2801" s="1">
        <v>45368</v>
      </c>
      <c r="V2801">
        <v>65.77</v>
      </c>
      <c r="W2801">
        <v>0.55000000000000004</v>
      </c>
      <c r="X2801" t="str">
        <f>IF(WarehouseData[[#This Row],[stock_level]]&lt;=WarehouseData[[#This Row],[reorder_point]],"Low Stock","Sufficient Stock")</f>
        <v>Sufficient Stock</v>
      </c>
      <c r="Y2801">
        <f>WarehouseData[[#This Row],[daily_demand]]*WarehouseData[[#This Row],[lead_time_days]]</f>
        <v>73.84</v>
      </c>
      <c r="Z2801" t="str">
        <f>IF(WarehouseData[[#This Row],[stock_level]]&lt;=WarehouseData[[#This Row],[Demand During Lead Time]],"At Risk","Safe")</f>
        <v>Safe</v>
      </c>
      <c r="AA2801">
        <f>WarehouseData[[#This Row],[stock_level]]/WarehouseData[[#This Row],[daily_demand]]</f>
        <v>7.3131094257854814</v>
      </c>
      <c r="AB2801">
        <f>WarehouseData[[#This Row],[stock_level]]*WarehouseData[[#This Row],[unit_price]]</f>
        <v>11453.4</v>
      </c>
      <c r="AC2801">
        <f>WarehouseData[[#This Row],[stock_level]]*WarehouseData[[#This Row],[holding_cost_per_unit_day]]*30</f>
        <v>1741.5</v>
      </c>
      <c r="AD2801" t="str">
        <f>IF(WarehouseData[[#This Row],[order_fulfillment_rate]]&gt;=0.9,"Strong",IF(WarehouseData[[#This Row],[order_fulfillment_rate]]&gt;=0.8,"Moderate","Needs Attention"))</f>
        <v>Strong</v>
      </c>
      <c r="AE2801" t="str">
        <f>IF(WarehouseData[[#This Row],[picking_time_seconds]]&gt;120,"Slow",IF(WarehouseData[[#This Row],[picking_time_seconds]]&gt;=60,"Average","Fast"))</f>
        <v>Average</v>
      </c>
    </row>
    <row r="2802" spans="1:31" x14ac:dyDescent="0.25">
      <c r="A2802" t="s">
        <v>2940</v>
      </c>
      <c r="B2802" t="s">
        <v>36</v>
      </c>
      <c r="C2802">
        <v>258</v>
      </c>
      <c r="D2802">
        <v>94</v>
      </c>
      <c r="E2802">
        <v>8</v>
      </c>
      <c r="F2802">
        <v>8</v>
      </c>
      <c r="G2802">
        <v>10.37</v>
      </c>
      <c r="H2802">
        <v>6.51</v>
      </c>
      <c r="I2802">
        <v>0.69</v>
      </c>
      <c r="J2802" t="s">
        <v>289</v>
      </c>
      <c r="K2802" t="s">
        <v>38</v>
      </c>
      <c r="L2802">
        <v>56</v>
      </c>
      <c r="M2802">
        <v>3.87</v>
      </c>
      <c r="N2802">
        <v>193.56</v>
      </c>
      <c r="O2802">
        <v>0.44</v>
      </c>
      <c r="P2802">
        <v>4</v>
      </c>
      <c r="Q2802">
        <v>0.82</v>
      </c>
      <c r="R2802">
        <v>702</v>
      </c>
      <c r="S2802">
        <v>1.1599999999999999</v>
      </c>
      <c r="T2802">
        <v>0.74</v>
      </c>
      <c r="U2802" s="1">
        <v>45602</v>
      </c>
      <c r="V2802">
        <v>204.46</v>
      </c>
      <c r="W2802">
        <v>0.60299999999999998</v>
      </c>
      <c r="X2802" t="str">
        <f>IF(WarehouseData[[#This Row],[stock_level]]&lt;=WarehouseData[[#This Row],[reorder_point]],"Low Stock","Sufficient Stock")</f>
        <v>Sufficient Stock</v>
      </c>
      <c r="Y2802">
        <f>WarehouseData[[#This Row],[daily_demand]]*WarehouseData[[#This Row],[lead_time_days]]</f>
        <v>82.96</v>
      </c>
      <c r="Z2802" t="str">
        <f>IF(WarehouseData[[#This Row],[stock_level]]&lt;=WarehouseData[[#This Row],[Demand During Lead Time]],"At Risk","Safe")</f>
        <v>Safe</v>
      </c>
      <c r="AA2802">
        <f>WarehouseData[[#This Row],[stock_level]]/WarehouseData[[#This Row],[daily_demand]]</f>
        <v>24.879459980713598</v>
      </c>
      <c r="AB2802">
        <f>WarehouseData[[#This Row],[stock_level]]*WarehouseData[[#This Row],[unit_price]]</f>
        <v>49938.48</v>
      </c>
      <c r="AC2802">
        <f>WarehouseData[[#This Row],[stock_level]]*WarehouseData[[#This Row],[holding_cost_per_unit_day]]*30</f>
        <v>3405.6</v>
      </c>
      <c r="AD2802" t="str">
        <f>IF(WarehouseData[[#This Row],[order_fulfillment_rate]]&gt;=0.9,"Strong",IF(WarehouseData[[#This Row],[order_fulfillment_rate]]&gt;=0.8,"Moderate","Needs Attention"))</f>
        <v>Moderate</v>
      </c>
      <c r="AE2802" t="str">
        <f>IF(WarehouseData[[#This Row],[picking_time_seconds]]&gt;120,"Slow",IF(WarehouseData[[#This Row],[picking_time_seconds]]&gt;=60,"Average","Fast"))</f>
        <v>Fast</v>
      </c>
    </row>
    <row r="2803" spans="1:31" x14ac:dyDescent="0.25">
      <c r="A2803" t="s">
        <v>2941</v>
      </c>
      <c r="B2803" t="s">
        <v>36</v>
      </c>
      <c r="C2803">
        <v>354</v>
      </c>
      <c r="D2803">
        <v>43</v>
      </c>
      <c r="E2803">
        <v>9</v>
      </c>
      <c r="F2803">
        <v>2</v>
      </c>
      <c r="G2803">
        <v>42.96</v>
      </c>
      <c r="H2803">
        <v>8.14</v>
      </c>
      <c r="I2803">
        <v>0.82</v>
      </c>
      <c r="J2803" t="s">
        <v>45</v>
      </c>
      <c r="K2803" t="s">
        <v>46</v>
      </c>
      <c r="L2803">
        <v>102</v>
      </c>
      <c r="M2803">
        <v>1.39</v>
      </c>
      <c r="N2803">
        <v>26.88</v>
      </c>
      <c r="O2803">
        <v>1</v>
      </c>
      <c r="P2803">
        <v>7</v>
      </c>
      <c r="Q2803">
        <v>0.94</v>
      </c>
      <c r="R2803">
        <v>281</v>
      </c>
      <c r="S2803">
        <v>10.57</v>
      </c>
      <c r="T2803">
        <v>0.88</v>
      </c>
      <c r="U2803" s="1">
        <v>45341</v>
      </c>
      <c r="V2803">
        <v>41.84</v>
      </c>
      <c r="W2803">
        <v>0.66500000000000004</v>
      </c>
      <c r="X2803" t="str">
        <f>IF(WarehouseData[[#This Row],[stock_level]]&lt;=WarehouseData[[#This Row],[reorder_point]],"Low Stock","Sufficient Stock")</f>
        <v>Sufficient Stock</v>
      </c>
      <c r="Y2803">
        <f>WarehouseData[[#This Row],[daily_demand]]*WarehouseData[[#This Row],[lead_time_days]]</f>
        <v>85.92</v>
      </c>
      <c r="Z2803" t="str">
        <f>IF(WarehouseData[[#This Row],[stock_level]]&lt;=WarehouseData[[#This Row],[Demand During Lead Time]],"At Risk","Safe")</f>
        <v>Safe</v>
      </c>
      <c r="AA2803">
        <f>WarehouseData[[#This Row],[stock_level]]/WarehouseData[[#This Row],[daily_demand]]</f>
        <v>8.2402234636871512</v>
      </c>
      <c r="AB2803">
        <f>WarehouseData[[#This Row],[stock_level]]*WarehouseData[[#This Row],[unit_price]]</f>
        <v>9515.52</v>
      </c>
      <c r="AC2803">
        <f>WarehouseData[[#This Row],[stock_level]]*WarehouseData[[#This Row],[holding_cost_per_unit_day]]*30</f>
        <v>10620</v>
      </c>
      <c r="AD2803" t="str">
        <f>IF(WarehouseData[[#This Row],[order_fulfillment_rate]]&gt;=0.9,"Strong",IF(WarehouseData[[#This Row],[order_fulfillment_rate]]&gt;=0.8,"Moderate","Needs Attention"))</f>
        <v>Strong</v>
      </c>
      <c r="AE2803" t="str">
        <f>IF(WarehouseData[[#This Row],[picking_time_seconds]]&gt;120,"Slow",IF(WarehouseData[[#This Row],[picking_time_seconds]]&gt;=60,"Average","Fast"))</f>
        <v>Average</v>
      </c>
    </row>
    <row r="2804" spans="1:31" x14ac:dyDescent="0.25">
      <c r="A2804" t="s">
        <v>2942</v>
      </c>
      <c r="B2804" t="s">
        <v>32</v>
      </c>
      <c r="C2804">
        <v>460</v>
      </c>
      <c r="D2804">
        <v>20</v>
      </c>
      <c r="E2804">
        <v>7</v>
      </c>
      <c r="F2804">
        <v>3</v>
      </c>
      <c r="G2804">
        <v>44.25</v>
      </c>
      <c r="H2804">
        <v>9.8000000000000007</v>
      </c>
      <c r="I2804">
        <v>0.49</v>
      </c>
      <c r="J2804" t="s">
        <v>477</v>
      </c>
      <c r="K2804" t="s">
        <v>38</v>
      </c>
      <c r="L2804">
        <v>110</v>
      </c>
      <c r="M2804">
        <v>0.5</v>
      </c>
      <c r="N2804">
        <v>124.44</v>
      </c>
      <c r="O2804">
        <v>1.75</v>
      </c>
      <c r="P2804">
        <v>6</v>
      </c>
      <c r="Q2804">
        <v>0.7</v>
      </c>
      <c r="R2804">
        <v>631</v>
      </c>
      <c r="S2804">
        <v>12.95</v>
      </c>
      <c r="T2804">
        <v>0.59</v>
      </c>
      <c r="U2804" s="1">
        <v>45382</v>
      </c>
      <c r="V2804">
        <v>166.84</v>
      </c>
      <c r="W2804">
        <v>0.53600000000000003</v>
      </c>
      <c r="X2804" t="str">
        <f>IF(WarehouseData[[#This Row],[stock_level]]&lt;=WarehouseData[[#This Row],[reorder_point]],"Low Stock","Sufficient Stock")</f>
        <v>Sufficient Stock</v>
      </c>
      <c r="Y2804">
        <f>WarehouseData[[#This Row],[daily_demand]]*WarehouseData[[#This Row],[lead_time_days]]</f>
        <v>132.75</v>
      </c>
      <c r="Z2804" t="str">
        <f>IF(WarehouseData[[#This Row],[stock_level]]&lt;=WarehouseData[[#This Row],[Demand During Lead Time]],"At Risk","Safe")</f>
        <v>Safe</v>
      </c>
      <c r="AA2804">
        <f>WarehouseData[[#This Row],[stock_level]]/WarehouseData[[#This Row],[daily_demand]]</f>
        <v>10.395480225988701</v>
      </c>
      <c r="AB2804">
        <f>WarehouseData[[#This Row],[stock_level]]*WarehouseData[[#This Row],[unit_price]]</f>
        <v>57242.400000000001</v>
      </c>
      <c r="AC2804">
        <f>WarehouseData[[#This Row],[stock_level]]*WarehouseData[[#This Row],[holding_cost_per_unit_day]]*30</f>
        <v>24150</v>
      </c>
      <c r="AD2804" t="str">
        <f>IF(WarehouseData[[#This Row],[order_fulfillment_rate]]&gt;=0.9,"Strong",IF(WarehouseData[[#This Row],[order_fulfillment_rate]]&gt;=0.8,"Moderate","Needs Attention"))</f>
        <v>Needs Attention</v>
      </c>
      <c r="AE2804" t="str">
        <f>IF(WarehouseData[[#This Row],[picking_time_seconds]]&gt;120,"Slow",IF(WarehouseData[[#This Row],[picking_time_seconds]]&gt;=60,"Average","Fast"))</f>
        <v>Average</v>
      </c>
    </row>
    <row r="2805" spans="1:31" x14ac:dyDescent="0.25">
      <c r="A2805" t="s">
        <v>2943</v>
      </c>
      <c r="B2805" t="s">
        <v>73</v>
      </c>
      <c r="C2805">
        <v>167</v>
      </c>
      <c r="D2805">
        <v>95</v>
      </c>
      <c r="E2805">
        <v>7</v>
      </c>
      <c r="F2805">
        <v>3</v>
      </c>
      <c r="G2805">
        <v>15.55</v>
      </c>
      <c r="H2805">
        <v>8.06</v>
      </c>
      <c r="I2805">
        <v>0.6</v>
      </c>
      <c r="J2805" t="s">
        <v>139</v>
      </c>
      <c r="K2805" t="s">
        <v>46</v>
      </c>
      <c r="L2805">
        <v>53</v>
      </c>
      <c r="M2805">
        <v>2.15</v>
      </c>
      <c r="N2805">
        <v>27.22</v>
      </c>
      <c r="O2805">
        <v>0.32</v>
      </c>
      <c r="P2805">
        <v>2</v>
      </c>
      <c r="Q2805">
        <v>0.88</v>
      </c>
      <c r="R2805">
        <v>482</v>
      </c>
      <c r="S2805">
        <v>6.39</v>
      </c>
      <c r="T2805">
        <v>0.59</v>
      </c>
      <c r="U2805" s="1">
        <v>45535</v>
      </c>
      <c r="V2805">
        <v>253.84</v>
      </c>
      <c r="W2805">
        <v>0.70699999999999996</v>
      </c>
      <c r="X2805" t="str">
        <f>IF(WarehouseData[[#This Row],[stock_level]]&lt;=WarehouseData[[#This Row],[reorder_point]],"Low Stock","Sufficient Stock")</f>
        <v>Sufficient Stock</v>
      </c>
      <c r="Y2805">
        <f>WarehouseData[[#This Row],[daily_demand]]*WarehouseData[[#This Row],[lead_time_days]]</f>
        <v>46.650000000000006</v>
      </c>
      <c r="Z2805" t="str">
        <f>IF(WarehouseData[[#This Row],[stock_level]]&lt;=WarehouseData[[#This Row],[Demand During Lead Time]],"At Risk","Safe")</f>
        <v>Safe</v>
      </c>
      <c r="AA2805">
        <f>WarehouseData[[#This Row],[stock_level]]/WarehouseData[[#This Row],[daily_demand]]</f>
        <v>10.739549839228296</v>
      </c>
      <c r="AB2805">
        <f>WarehouseData[[#This Row],[stock_level]]*WarehouseData[[#This Row],[unit_price]]</f>
        <v>4545.74</v>
      </c>
      <c r="AC2805">
        <f>WarehouseData[[#This Row],[stock_level]]*WarehouseData[[#This Row],[holding_cost_per_unit_day]]*30</f>
        <v>1603.1999999999998</v>
      </c>
      <c r="AD2805" t="str">
        <f>IF(WarehouseData[[#This Row],[order_fulfillment_rate]]&gt;=0.9,"Strong",IF(WarehouseData[[#This Row],[order_fulfillment_rate]]&gt;=0.8,"Moderate","Needs Attention"))</f>
        <v>Moderate</v>
      </c>
      <c r="AE2805" t="str">
        <f>IF(WarehouseData[[#This Row],[picking_time_seconds]]&gt;120,"Slow",IF(WarehouseData[[#This Row],[picking_time_seconds]]&gt;=60,"Average","Fast"))</f>
        <v>Fast</v>
      </c>
    </row>
    <row r="2806" spans="1:31" x14ac:dyDescent="0.25">
      <c r="A2806" t="s">
        <v>2944</v>
      </c>
      <c r="B2806" t="s">
        <v>73</v>
      </c>
      <c r="C2806">
        <v>28</v>
      </c>
      <c r="D2806">
        <v>44</v>
      </c>
      <c r="E2806">
        <v>4</v>
      </c>
      <c r="F2806">
        <v>9</v>
      </c>
      <c r="G2806">
        <v>41.36</v>
      </c>
      <c r="H2806">
        <v>7.22</v>
      </c>
      <c r="I2806">
        <v>0.92</v>
      </c>
      <c r="J2806" t="s">
        <v>154</v>
      </c>
      <c r="K2806" t="s">
        <v>52</v>
      </c>
      <c r="L2806">
        <v>41</v>
      </c>
      <c r="M2806">
        <v>4.6399999999999997</v>
      </c>
      <c r="N2806">
        <v>39.83</v>
      </c>
      <c r="O2806">
        <v>2</v>
      </c>
      <c r="P2806">
        <v>6</v>
      </c>
      <c r="Q2806">
        <v>0.88</v>
      </c>
      <c r="R2806">
        <v>540</v>
      </c>
      <c r="S2806">
        <v>8.35</v>
      </c>
      <c r="T2806">
        <v>0.69</v>
      </c>
      <c r="U2806" s="1">
        <v>45606</v>
      </c>
      <c r="V2806">
        <v>284.77999999999997</v>
      </c>
      <c r="W2806">
        <v>0.505</v>
      </c>
      <c r="X2806" t="str">
        <f>IF(WarehouseData[[#This Row],[stock_level]]&lt;=WarehouseData[[#This Row],[reorder_point]],"Low Stock","Sufficient Stock")</f>
        <v>Low Stock</v>
      </c>
      <c r="Y2806">
        <f>WarehouseData[[#This Row],[daily_demand]]*WarehouseData[[#This Row],[lead_time_days]]</f>
        <v>372.24</v>
      </c>
      <c r="Z2806" t="str">
        <f>IF(WarehouseData[[#This Row],[stock_level]]&lt;=WarehouseData[[#This Row],[Demand During Lead Time]],"At Risk","Safe")</f>
        <v>At Risk</v>
      </c>
      <c r="AA2806">
        <f>WarehouseData[[#This Row],[stock_level]]/WarehouseData[[#This Row],[daily_demand]]</f>
        <v>0.67698259187620891</v>
      </c>
      <c r="AB2806">
        <f>WarehouseData[[#This Row],[stock_level]]*WarehouseData[[#This Row],[unit_price]]</f>
        <v>1115.24</v>
      </c>
      <c r="AC2806">
        <f>WarehouseData[[#This Row],[stock_level]]*WarehouseData[[#This Row],[holding_cost_per_unit_day]]*30</f>
        <v>1680</v>
      </c>
      <c r="AD2806" t="str">
        <f>IF(WarehouseData[[#This Row],[order_fulfillment_rate]]&gt;=0.9,"Strong",IF(WarehouseData[[#This Row],[order_fulfillment_rate]]&gt;=0.8,"Moderate","Needs Attention"))</f>
        <v>Moderate</v>
      </c>
      <c r="AE2806" t="str">
        <f>IF(WarehouseData[[#This Row],[picking_time_seconds]]&gt;120,"Slow",IF(WarehouseData[[#This Row],[picking_time_seconds]]&gt;=60,"Average","Fast"))</f>
        <v>Fast</v>
      </c>
    </row>
    <row r="2807" spans="1:31" x14ac:dyDescent="0.25">
      <c r="A2807" t="s">
        <v>2945</v>
      </c>
      <c r="B2807" t="s">
        <v>73</v>
      </c>
      <c r="C2807">
        <v>307</v>
      </c>
      <c r="D2807">
        <v>51</v>
      </c>
      <c r="E2807">
        <v>9</v>
      </c>
      <c r="F2807">
        <v>2</v>
      </c>
      <c r="G2807">
        <v>18.55</v>
      </c>
      <c r="H2807">
        <v>1.79</v>
      </c>
      <c r="I2807">
        <v>0.61</v>
      </c>
      <c r="J2807" t="s">
        <v>59</v>
      </c>
      <c r="K2807" t="s">
        <v>34</v>
      </c>
      <c r="L2807">
        <v>12</v>
      </c>
      <c r="M2807">
        <v>3.1</v>
      </c>
      <c r="N2807">
        <v>124.94</v>
      </c>
      <c r="O2807">
        <v>1.76</v>
      </c>
      <c r="P2807">
        <v>9</v>
      </c>
      <c r="Q2807">
        <v>0.86</v>
      </c>
      <c r="R2807">
        <v>736</v>
      </c>
      <c r="S2807">
        <v>1.92</v>
      </c>
      <c r="T2807">
        <v>0.79</v>
      </c>
      <c r="U2807" s="1">
        <v>45599</v>
      </c>
      <c r="V2807">
        <v>134.19</v>
      </c>
      <c r="W2807">
        <v>0.4</v>
      </c>
      <c r="X2807" t="str">
        <f>IF(WarehouseData[[#This Row],[stock_level]]&lt;=WarehouseData[[#This Row],[reorder_point]],"Low Stock","Sufficient Stock")</f>
        <v>Sufficient Stock</v>
      </c>
      <c r="Y2807">
        <f>WarehouseData[[#This Row],[daily_demand]]*WarehouseData[[#This Row],[lead_time_days]]</f>
        <v>37.1</v>
      </c>
      <c r="Z2807" t="str">
        <f>IF(WarehouseData[[#This Row],[stock_level]]&lt;=WarehouseData[[#This Row],[Demand During Lead Time]],"At Risk","Safe")</f>
        <v>Safe</v>
      </c>
      <c r="AA2807">
        <f>WarehouseData[[#This Row],[stock_level]]/WarehouseData[[#This Row],[daily_demand]]</f>
        <v>16.549865229110512</v>
      </c>
      <c r="AB2807">
        <f>WarehouseData[[#This Row],[stock_level]]*WarehouseData[[#This Row],[unit_price]]</f>
        <v>38356.58</v>
      </c>
      <c r="AC2807">
        <f>WarehouseData[[#This Row],[stock_level]]*WarehouseData[[#This Row],[holding_cost_per_unit_day]]*30</f>
        <v>16209.600000000002</v>
      </c>
      <c r="AD2807" t="str">
        <f>IF(WarehouseData[[#This Row],[order_fulfillment_rate]]&gt;=0.9,"Strong",IF(WarehouseData[[#This Row],[order_fulfillment_rate]]&gt;=0.8,"Moderate","Needs Attention"))</f>
        <v>Moderate</v>
      </c>
      <c r="AE2807" t="str">
        <f>IF(WarehouseData[[#This Row],[picking_time_seconds]]&gt;120,"Slow",IF(WarehouseData[[#This Row],[picking_time_seconds]]&gt;=60,"Average","Fast"))</f>
        <v>Fast</v>
      </c>
    </row>
    <row r="2808" spans="1:31" x14ac:dyDescent="0.25">
      <c r="A2808" t="s">
        <v>2946</v>
      </c>
      <c r="B2808" t="s">
        <v>32</v>
      </c>
      <c r="C2808">
        <v>407</v>
      </c>
      <c r="D2808">
        <v>37</v>
      </c>
      <c r="E2808">
        <v>14</v>
      </c>
      <c r="F2808">
        <v>5</v>
      </c>
      <c r="G2808">
        <v>5.85</v>
      </c>
      <c r="H2808">
        <v>8.26</v>
      </c>
      <c r="I2808">
        <v>0.28999999999999998</v>
      </c>
      <c r="J2808" t="s">
        <v>62</v>
      </c>
      <c r="K2808" t="s">
        <v>46</v>
      </c>
      <c r="L2808">
        <v>93</v>
      </c>
      <c r="M2808">
        <v>3.77</v>
      </c>
      <c r="N2808">
        <v>94.36</v>
      </c>
      <c r="O2808">
        <v>0.85</v>
      </c>
      <c r="P2808">
        <v>7</v>
      </c>
      <c r="Q2808">
        <v>0.89</v>
      </c>
      <c r="R2808">
        <v>920</v>
      </c>
      <c r="S2808">
        <v>6.39</v>
      </c>
      <c r="T2808">
        <v>0.36</v>
      </c>
      <c r="U2808" s="1">
        <v>45311</v>
      </c>
      <c r="V2808">
        <v>164.69</v>
      </c>
      <c r="W2808">
        <v>0.51</v>
      </c>
      <c r="X2808" t="str">
        <f>IF(WarehouseData[[#This Row],[stock_level]]&lt;=WarehouseData[[#This Row],[reorder_point]],"Low Stock","Sufficient Stock")</f>
        <v>Sufficient Stock</v>
      </c>
      <c r="Y2808">
        <f>WarehouseData[[#This Row],[daily_demand]]*WarehouseData[[#This Row],[lead_time_days]]</f>
        <v>29.25</v>
      </c>
      <c r="Z2808" t="str">
        <f>IF(WarehouseData[[#This Row],[stock_level]]&lt;=WarehouseData[[#This Row],[Demand During Lead Time]],"At Risk","Safe")</f>
        <v>Safe</v>
      </c>
      <c r="AA2808">
        <f>WarehouseData[[#This Row],[stock_level]]/WarehouseData[[#This Row],[daily_demand]]</f>
        <v>69.572649572649581</v>
      </c>
      <c r="AB2808">
        <f>WarehouseData[[#This Row],[stock_level]]*WarehouseData[[#This Row],[unit_price]]</f>
        <v>38404.519999999997</v>
      </c>
      <c r="AC2808">
        <f>WarehouseData[[#This Row],[stock_level]]*WarehouseData[[#This Row],[holding_cost_per_unit_day]]*30</f>
        <v>10378.5</v>
      </c>
      <c r="AD2808" t="str">
        <f>IF(WarehouseData[[#This Row],[order_fulfillment_rate]]&gt;=0.9,"Strong",IF(WarehouseData[[#This Row],[order_fulfillment_rate]]&gt;=0.8,"Moderate","Needs Attention"))</f>
        <v>Moderate</v>
      </c>
      <c r="AE2808" t="str">
        <f>IF(WarehouseData[[#This Row],[picking_time_seconds]]&gt;120,"Slow",IF(WarehouseData[[#This Row],[picking_time_seconds]]&gt;=60,"Average","Fast"))</f>
        <v>Average</v>
      </c>
    </row>
    <row r="2809" spans="1:31" x14ac:dyDescent="0.25">
      <c r="A2809" t="s">
        <v>2947</v>
      </c>
      <c r="B2809" t="s">
        <v>73</v>
      </c>
      <c r="C2809">
        <v>69</v>
      </c>
      <c r="D2809">
        <v>91</v>
      </c>
      <c r="E2809">
        <v>8</v>
      </c>
      <c r="F2809">
        <v>8</v>
      </c>
      <c r="G2809">
        <v>38.15</v>
      </c>
      <c r="H2809">
        <v>7.49</v>
      </c>
      <c r="I2809">
        <v>0.41</v>
      </c>
      <c r="J2809" t="s">
        <v>120</v>
      </c>
      <c r="K2809" t="s">
        <v>34</v>
      </c>
      <c r="L2809">
        <v>175</v>
      </c>
      <c r="M2809">
        <v>4.46</v>
      </c>
      <c r="N2809">
        <v>114.21</v>
      </c>
      <c r="O2809">
        <v>0.57999999999999996</v>
      </c>
      <c r="P2809">
        <v>4</v>
      </c>
      <c r="Q2809">
        <v>0.75</v>
      </c>
      <c r="R2809">
        <v>135</v>
      </c>
      <c r="S2809">
        <v>2.94</v>
      </c>
      <c r="T2809">
        <v>0.97</v>
      </c>
      <c r="U2809" s="1">
        <v>45564</v>
      </c>
      <c r="V2809">
        <v>251.14</v>
      </c>
      <c r="W2809">
        <v>0.64500000000000002</v>
      </c>
      <c r="X2809" t="str">
        <f>IF(WarehouseData[[#This Row],[stock_level]]&lt;=WarehouseData[[#This Row],[reorder_point]],"Low Stock","Sufficient Stock")</f>
        <v>Low Stock</v>
      </c>
      <c r="Y2809">
        <f>WarehouseData[[#This Row],[daily_demand]]*WarehouseData[[#This Row],[lead_time_days]]</f>
        <v>305.2</v>
      </c>
      <c r="Z2809" t="str">
        <f>IF(WarehouseData[[#This Row],[stock_level]]&lt;=WarehouseData[[#This Row],[Demand During Lead Time]],"At Risk","Safe")</f>
        <v>At Risk</v>
      </c>
      <c r="AA2809">
        <f>WarehouseData[[#This Row],[stock_level]]/WarehouseData[[#This Row],[daily_demand]]</f>
        <v>1.8086500655307995</v>
      </c>
      <c r="AB2809">
        <f>WarehouseData[[#This Row],[stock_level]]*WarehouseData[[#This Row],[unit_price]]</f>
        <v>7880.49</v>
      </c>
      <c r="AC2809">
        <f>WarehouseData[[#This Row],[stock_level]]*WarehouseData[[#This Row],[holding_cost_per_unit_day]]*30</f>
        <v>1200.5999999999999</v>
      </c>
      <c r="AD2809" t="str">
        <f>IF(WarehouseData[[#This Row],[order_fulfillment_rate]]&gt;=0.9,"Strong",IF(WarehouseData[[#This Row],[order_fulfillment_rate]]&gt;=0.8,"Moderate","Needs Attention"))</f>
        <v>Needs Attention</v>
      </c>
      <c r="AE2809" t="str">
        <f>IF(WarehouseData[[#This Row],[picking_time_seconds]]&gt;120,"Slow",IF(WarehouseData[[#This Row],[picking_time_seconds]]&gt;=60,"Average","Fast"))</f>
        <v>Slow</v>
      </c>
    </row>
    <row r="2810" spans="1:31" x14ac:dyDescent="0.25">
      <c r="A2810" t="s">
        <v>2948</v>
      </c>
      <c r="B2810" t="s">
        <v>40</v>
      </c>
      <c r="C2810">
        <v>357</v>
      </c>
      <c r="D2810">
        <v>87</v>
      </c>
      <c r="E2810">
        <v>13</v>
      </c>
      <c r="F2810">
        <v>9</v>
      </c>
      <c r="G2810">
        <v>30.23</v>
      </c>
      <c r="H2810">
        <v>7.82</v>
      </c>
      <c r="I2810">
        <v>0.57999999999999996</v>
      </c>
      <c r="J2810" t="s">
        <v>236</v>
      </c>
      <c r="K2810" t="s">
        <v>52</v>
      </c>
      <c r="L2810">
        <v>13</v>
      </c>
      <c r="M2810">
        <v>4.58</v>
      </c>
      <c r="N2810">
        <v>177.18</v>
      </c>
      <c r="O2810">
        <v>1.85</v>
      </c>
      <c r="P2810">
        <v>4</v>
      </c>
      <c r="Q2810">
        <v>0.91</v>
      </c>
      <c r="R2810">
        <v>814</v>
      </c>
      <c r="S2810">
        <v>1.91</v>
      </c>
      <c r="T2810">
        <v>0.27</v>
      </c>
      <c r="U2810" s="1">
        <v>45549</v>
      </c>
      <c r="V2810">
        <v>281.37</v>
      </c>
      <c r="W2810">
        <v>0.39600000000000002</v>
      </c>
      <c r="X2810" t="str">
        <f>IF(WarehouseData[[#This Row],[stock_level]]&lt;=WarehouseData[[#This Row],[reorder_point]],"Low Stock","Sufficient Stock")</f>
        <v>Sufficient Stock</v>
      </c>
      <c r="Y2810">
        <f>WarehouseData[[#This Row],[daily_demand]]*WarehouseData[[#This Row],[lead_time_days]]</f>
        <v>272.07</v>
      </c>
      <c r="Z2810" t="str">
        <f>IF(WarehouseData[[#This Row],[stock_level]]&lt;=WarehouseData[[#This Row],[Demand During Lead Time]],"At Risk","Safe")</f>
        <v>Safe</v>
      </c>
      <c r="AA2810">
        <f>WarehouseData[[#This Row],[stock_level]]/WarehouseData[[#This Row],[daily_demand]]</f>
        <v>11.809460800529276</v>
      </c>
      <c r="AB2810">
        <f>WarehouseData[[#This Row],[stock_level]]*WarehouseData[[#This Row],[unit_price]]</f>
        <v>63253.26</v>
      </c>
      <c r="AC2810">
        <f>WarehouseData[[#This Row],[stock_level]]*WarehouseData[[#This Row],[holding_cost_per_unit_day]]*30</f>
        <v>19813.5</v>
      </c>
      <c r="AD2810" t="str">
        <f>IF(WarehouseData[[#This Row],[order_fulfillment_rate]]&gt;=0.9,"Strong",IF(WarehouseData[[#This Row],[order_fulfillment_rate]]&gt;=0.8,"Moderate","Needs Attention"))</f>
        <v>Strong</v>
      </c>
      <c r="AE2810" t="str">
        <f>IF(WarehouseData[[#This Row],[picking_time_seconds]]&gt;120,"Slow",IF(WarehouseData[[#This Row],[picking_time_seconds]]&gt;=60,"Average","Fast"))</f>
        <v>Fast</v>
      </c>
    </row>
    <row r="2811" spans="1:31" x14ac:dyDescent="0.25">
      <c r="A2811" t="s">
        <v>2949</v>
      </c>
      <c r="B2811" t="s">
        <v>36</v>
      </c>
      <c r="C2811">
        <v>24</v>
      </c>
      <c r="D2811">
        <v>91</v>
      </c>
      <c r="E2811">
        <v>3</v>
      </c>
      <c r="F2811">
        <v>8</v>
      </c>
      <c r="G2811">
        <v>14.44</v>
      </c>
      <c r="H2811">
        <v>2.7</v>
      </c>
      <c r="I2811">
        <v>0.24</v>
      </c>
      <c r="J2811" t="s">
        <v>126</v>
      </c>
      <c r="K2811" t="s">
        <v>38</v>
      </c>
      <c r="L2811">
        <v>154</v>
      </c>
      <c r="M2811">
        <v>2.88</v>
      </c>
      <c r="N2811">
        <v>165.28</v>
      </c>
      <c r="O2811">
        <v>0.33</v>
      </c>
      <c r="P2811">
        <v>0</v>
      </c>
      <c r="Q2811">
        <v>0.8</v>
      </c>
      <c r="R2811">
        <v>79</v>
      </c>
      <c r="S2811">
        <v>3.41</v>
      </c>
      <c r="T2811">
        <v>0.22</v>
      </c>
      <c r="U2811" s="1">
        <v>45352</v>
      </c>
      <c r="V2811">
        <v>123.06</v>
      </c>
      <c r="W2811">
        <v>0.61599999999999999</v>
      </c>
      <c r="X2811" t="str">
        <f>IF(WarehouseData[[#This Row],[stock_level]]&lt;=WarehouseData[[#This Row],[reorder_point]],"Low Stock","Sufficient Stock")</f>
        <v>Low Stock</v>
      </c>
      <c r="Y2811">
        <f>WarehouseData[[#This Row],[daily_demand]]*WarehouseData[[#This Row],[lead_time_days]]</f>
        <v>115.52</v>
      </c>
      <c r="Z2811" t="str">
        <f>IF(WarehouseData[[#This Row],[stock_level]]&lt;=WarehouseData[[#This Row],[Demand During Lead Time]],"At Risk","Safe")</f>
        <v>At Risk</v>
      </c>
      <c r="AA2811">
        <f>WarehouseData[[#This Row],[stock_level]]/WarehouseData[[#This Row],[daily_demand]]</f>
        <v>1.662049861495845</v>
      </c>
      <c r="AB2811">
        <f>WarehouseData[[#This Row],[stock_level]]*WarehouseData[[#This Row],[unit_price]]</f>
        <v>3966.7200000000003</v>
      </c>
      <c r="AC2811">
        <f>WarehouseData[[#This Row],[stock_level]]*WarehouseData[[#This Row],[holding_cost_per_unit_day]]*30</f>
        <v>237.6</v>
      </c>
      <c r="AD2811" t="str">
        <f>IF(WarehouseData[[#This Row],[order_fulfillment_rate]]&gt;=0.9,"Strong",IF(WarehouseData[[#This Row],[order_fulfillment_rate]]&gt;=0.8,"Moderate","Needs Attention"))</f>
        <v>Moderate</v>
      </c>
      <c r="AE2811" t="str">
        <f>IF(WarehouseData[[#This Row],[picking_time_seconds]]&gt;120,"Slow",IF(WarehouseData[[#This Row],[picking_time_seconds]]&gt;=60,"Average","Fast"))</f>
        <v>Slow</v>
      </c>
    </row>
    <row r="2812" spans="1:31" x14ac:dyDescent="0.25">
      <c r="A2812" t="s">
        <v>2950</v>
      </c>
      <c r="B2812" t="s">
        <v>40</v>
      </c>
      <c r="C2812">
        <v>423</v>
      </c>
      <c r="D2812">
        <v>33</v>
      </c>
      <c r="E2812">
        <v>6</v>
      </c>
      <c r="F2812">
        <v>8</v>
      </c>
      <c r="G2812">
        <v>13.4</v>
      </c>
      <c r="H2812">
        <v>9.08</v>
      </c>
      <c r="I2812">
        <v>0.65</v>
      </c>
      <c r="J2812" t="s">
        <v>166</v>
      </c>
      <c r="K2812" t="s">
        <v>46</v>
      </c>
      <c r="L2812">
        <v>174</v>
      </c>
      <c r="M2812">
        <v>2.93</v>
      </c>
      <c r="N2812">
        <v>178.72</v>
      </c>
      <c r="O2812">
        <v>0.76</v>
      </c>
      <c r="P2812">
        <v>7</v>
      </c>
      <c r="Q2812">
        <v>0.84</v>
      </c>
      <c r="R2812">
        <v>716</v>
      </c>
      <c r="S2812">
        <v>13.19</v>
      </c>
      <c r="T2812">
        <v>0.49</v>
      </c>
      <c r="U2812" s="1">
        <v>45339</v>
      </c>
      <c r="V2812">
        <v>112.39</v>
      </c>
      <c r="W2812">
        <v>0.626</v>
      </c>
      <c r="X2812" t="str">
        <f>IF(WarehouseData[[#This Row],[stock_level]]&lt;=WarehouseData[[#This Row],[reorder_point]],"Low Stock","Sufficient Stock")</f>
        <v>Sufficient Stock</v>
      </c>
      <c r="Y2812">
        <f>WarehouseData[[#This Row],[daily_demand]]*WarehouseData[[#This Row],[lead_time_days]]</f>
        <v>107.2</v>
      </c>
      <c r="Z2812" t="str">
        <f>IF(WarehouseData[[#This Row],[stock_level]]&lt;=WarehouseData[[#This Row],[Demand During Lead Time]],"At Risk","Safe")</f>
        <v>Safe</v>
      </c>
      <c r="AA2812">
        <f>WarehouseData[[#This Row],[stock_level]]/WarehouseData[[#This Row],[daily_demand]]</f>
        <v>31.567164179104477</v>
      </c>
      <c r="AB2812">
        <f>WarehouseData[[#This Row],[stock_level]]*WarehouseData[[#This Row],[unit_price]]</f>
        <v>75598.559999999998</v>
      </c>
      <c r="AC2812">
        <f>WarehouseData[[#This Row],[stock_level]]*WarehouseData[[#This Row],[holding_cost_per_unit_day]]*30</f>
        <v>9644.4000000000015</v>
      </c>
      <c r="AD2812" t="str">
        <f>IF(WarehouseData[[#This Row],[order_fulfillment_rate]]&gt;=0.9,"Strong",IF(WarehouseData[[#This Row],[order_fulfillment_rate]]&gt;=0.8,"Moderate","Needs Attention"))</f>
        <v>Moderate</v>
      </c>
      <c r="AE2812" t="str">
        <f>IF(WarehouseData[[#This Row],[picking_time_seconds]]&gt;120,"Slow",IF(WarehouseData[[#This Row],[picking_time_seconds]]&gt;=60,"Average","Fast"))</f>
        <v>Slow</v>
      </c>
    </row>
    <row r="2813" spans="1:31" x14ac:dyDescent="0.25">
      <c r="A2813" t="s">
        <v>2951</v>
      </c>
      <c r="B2813" t="s">
        <v>73</v>
      </c>
      <c r="C2813">
        <v>362</v>
      </c>
      <c r="D2813">
        <v>17</v>
      </c>
      <c r="E2813">
        <v>5</v>
      </c>
      <c r="F2813">
        <v>7</v>
      </c>
      <c r="G2813">
        <v>48.81</v>
      </c>
      <c r="H2813">
        <v>1.42</v>
      </c>
      <c r="I2813">
        <v>1</v>
      </c>
      <c r="J2813" t="s">
        <v>240</v>
      </c>
      <c r="K2813" t="s">
        <v>46</v>
      </c>
      <c r="L2813">
        <v>97</v>
      </c>
      <c r="M2813">
        <v>4.33</v>
      </c>
      <c r="N2813">
        <v>127.09</v>
      </c>
      <c r="O2813">
        <v>0.26</v>
      </c>
      <c r="P2813">
        <v>5</v>
      </c>
      <c r="Q2813">
        <v>0.8</v>
      </c>
      <c r="R2813">
        <v>249</v>
      </c>
      <c r="S2813">
        <v>14.75</v>
      </c>
      <c r="T2813">
        <v>0.76</v>
      </c>
      <c r="U2813" s="1">
        <v>45538</v>
      </c>
      <c r="V2813">
        <v>140.74</v>
      </c>
      <c r="W2813">
        <v>0.78300000000000003</v>
      </c>
      <c r="X2813" t="str">
        <f>IF(WarehouseData[[#This Row],[stock_level]]&lt;=WarehouseData[[#This Row],[reorder_point]],"Low Stock","Sufficient Stock")</f>
        <v>Sufficient Stock</v>
      </c>
      <c r="Y2813">
        <f>WarehouseData[[#This Row],[daily_demand]]*WarehouseData[[#This Row],[lead_time_days]]</f>
        <v>341.67</v>
      </c>
      <c r="Z2813" t="str">
        <f>IF(WarehouseData[[#This Row],[stock_level]]&lt;=WarehouseData[[#This Row],[Demand During Lead Time]],"At Risk","Safe")</f>
        <v>Safe</v>
      </c>
      <c r="AA2813">
        <f>WarehouseData[[#This Row],[stock_level]]/WarehouseData[[#This Row],[daily_demand]]</f>
        <v>7.416513009629174</v>
      </c>
      <c r="AB2813">
        <f>WarehouseData[[#This Row],[stock_level]]*WarehouseData[[#This Row],[unit_price]]</f>
        <v>46006.58</v>
      </c>
      <c r="AC2813">
        <f>WarehouseData[[#This Row],[stock_level]]*WarehouseData[[#This Row],[holding_cost_per_unit_day]]*30</f>
        <v>2823.6000000000004</v>
      </c>
      <c r="AD2813" t="str">
        <f>IF(WarehouseData[[#This Row],[order_fulfillment_rate]]&gt;=0.9,"Strong",IF(WarehouseData[[#This Row],[order_fulfillment_rate]]&gt;=0.8,"Moderate","Needs Attention"))</f>
        <v>Moderate</v>
      </c>
      <c r="AE2813" t="str">
        <f>IF(WarehouseData[[#This Row],[picking_time_seconds]]&gt;120,"Slow",IF(WarehouseData[[#This Row],[picking_time_seconds]]&gt;=60,"Average","Fast"))</f>
        <v>Average</v>
      </c>
    </row>
    <row r="2814" spans="1:31" x14ac:dyDescent="0.25">
      <c r="A2814" t="s">
        <v>2952</v>
      </c>
      <c r="B2814" t="s">
        <v>40</v>
      </c>
      <c r="C2814">
        <v>145</v>
      </c>
      <c r="D2814">
        <v>62</v>
      </c>
      <c r="E2814">
        <v>14</v>
      </c>
      <c r="F2814">
        <v>7</v>
      </c>
      <c r="G2814">
        <v>43.26</v>
      </c>
      <c r="H2814">
        <v>2.91</v>
      </c>
      <c r="I2814">
        <v>0.69</v>
      </c>
      <c r="J2814" t="s">
        <v>146</v>
      </c>
      <c r="K2814" t="s">
        <v>52</v>
      </c>
      <c r="L2814">
        <v>115</v>
      </c>
      <c r="M2814">
        <v>4.13</v>
      </c>
      <c r="N2814">
        <v>103.03</v>
      </c>
      <c r="O2814">
        <v>1.91</v>
      </c>
      <c r="P2814">
        <v>5</v>
      </c>
      <c r="Q2814">
        <v>0.84</v>
      </c>
      <c r="R2814">
        <v>924</v>
      </c>
      <c r="S2814">
        <v>13.31</v>
      </c>
      <c r="T2814">
        <v>0.98</v>
      </c>
      <c r="U2814" s="1">
        <v>45629</v>
      </c>
      <c r="V2814">
        <v>83.6</v>
      </c>
      <c r="W2814">
        <v>0.65</v>
      </c>
      <c r="X2814" t="str">
        <f>IF(WarehouseData[[#This Row],[stock_level]]&lt;=WarehouseData[[#This Row],[reorder_point]],"Low Stock","Sufficient Stock")</f>
        <v>Sufficient Stock</v>
      </c>
      <c r="Y2814">
        <f>WarehouseData[[#This Row],[daily_demand]]*WarehouseData[[#This Row],[lead_time_days]]</f>
        <v>302.82</v>
      </c>
      <c r="Z2814" t="str">
        <f>IF(WarehouseData[[#This Row],[stock_level]]&lt;=WarehouseData[[#This Row],[Demand During Lead Time]],"At Risk","Safe")</f>
        <v>At Risk</v>
      </c>
      <c r="AA2814">
        <f>WarehouseData[[#This Row],[stock_level]]/WarehouseData[[#This Row],[daily_demand]]</f>
        <v>3.3518261673601479</v>
      </c>
      <c r="AB2814">
        <f>WarehouseData[[#This Row],[stock_level]]*WarehouseData[[#This Row],[unit_price]]</f>
        <v>14939.35</v>
      </c>
      <c r="AC2814">
        <f>WarehouseData[[#This Row],[stock_level]]*WarehouseData[[#This Row],[holding_cost_per_unit_day]]*30</f>
        <v>8308.5</v>
      </c>
      <c r="AD2814" t="str">
        <f>IF(WarehouseData[[#This Row],[order_fulfillment_rate]]&gt;=0.9,"Strong",IF(WarehouseData[[#This Row],[order_fulfillment_rate]]&gt;=0.8,"Moderate","Needs Attention"))</f>
        <v>Moderate</v>
      </c>
      <c r="AE2814" t="str">
        <f>IF(WarehouseData[[#This Row],[picking_time_seconds]]&gt;120,"Slow",IF(WarehouseData[[#This Row],[picking_time_seconds]]&gt;=60,"Average","Fast"))</f>
        <v>Average</v>
      </c>
    </row>
    <row r="2815" spans="1:31" x14ac:dyDescent="0.25">
      <c r="A2815" t="s">
        <v>2953</v>
      </c>
      <c r="B2815" t="s">
        <v>73</v>
      </c>
      <c r="C2815">
        <v>94</v>
      </c>
      <c r="D2815">
        <v>81</v>
      </c>
      <c r="E2815">
        <v>5</v>
      </c>
      <c r="F2815">
        <v>7</v>
      </c>
      <c r="G2815">
        <v>40.68</v>
      </c>
      <c r="H2815">
        <v>6.8</v>
      </c>
      <c r="I2815">
        <v>0.44</v>
      </c>
      <c r="J2815" t="s">
        <v>131</v>
      </c>
      <c r="K2815" t="s">
        <v>52</v>
      </c>
      <c r="L2815">
        <v>114</v>
      </c>
      <c r="M2815">
        <v>3.64</v>
      </c>
      <c r="N2815">
        <v>97.25</v>
      </c>
      <c r="O2815">
        <v>1.27</v>
      </c>
      <c r="P2815">
        <v>4</v>
      </c>
      <c r="Q2815">
        <v>0.89</v>
      </c>
      <c r="R2815">
        <v>205</v>
      </c>
      <c r="S2815">
        <v>14.58</v>
      </c>
      <c r="T2815">
        <v>0.95</v>
      </c>
      <c r="U2815" s="1">
        <v>45358</v>
      </c>
      <c r="V2815">
        <v>259.3</v>
      </c>
      <c r="W2815">
        <v>0.755</v>
      </c>
      <c r="X2815" t="str">
        <f>IF(WarehouseData[[#This Row],[stock_level]]&lt;=WarehouseData[[#This Row],[reorder_point]],"Low Stock","Sufficient Stock")</f>
        <v>Sufficient Stock</v>
      </c>
      <c r="Y2815">
        <f>WarehouseData[[#This Row],[daily_demand]]*WarehouseData[[#This Row],[lead_time_days]]</f>
        <v>284.76</v>
      </c>
      <c r="Z2815" t="str">
        <f>IF(WarehouseData[[#This Row],[stock_level]]&lt;=WarehouseData[[#This Row],[Demand During Lead Time]],"At Risk","Safe")</f>
        <v>At Risk</v>
      </c>
      <c r="AA2815">
        <f>WarehouseData[[#This Row],[stock_level]]/WarehouseData[[#This Row],[daily_demand]]</f>
        <v>2.3107177974434614</v>
      </c>
      <c r="AB2815">
        <f>WarehouseData[[#This Row],[stock_level]]*WarehouseData[[#This Row],[unit_price]]</f>
        <v>9141.5</v>
      </c>
      <c r="AC2815">
        <f>WarehouseData[[#This Row],[stock_level]]*WarehouseData[[#This Row],[holding_cost_per_unit_day]]*30</f>
        <v>3581.3999999999996</v>
      </c>
      <c r="AD2815" t="str">
        <f>IF(WarehouseData[[#This Row],[order_fulfillment_rate]]&gt;=0.9,"Strong",IF(WarehouseData[[#This Row],[order_fulfillment_rate]]&gt;=0.8,"Moderate","Needs Attention"))</f>
        <v>Moderate</v>
      </c>
      <c r="AE2815" t="str">
        <f>IF(WarehouseData[[#This Row],[picking_time_seconds]]&gt;120,"Slow",IF(WarehouseData[[#This Row],[picking_time_seconds]]&gt;=60,"Average","Fast"))</f>
        <v>Average</v>
      </c>
    </row>
    <row r="2816" spans="1:31" x14ac:dyDescent="0.25">
      <c r="A2816" t="s">
        <v>2954</v>
      </c>
      <c r="B2816" t="s">
        <v>32</v>
      </c>
      <c r="C2816">
        <v>184</v>
      </c>
      <c r="D2816">
        <v>13</v>
      </c>
      <c r="E2816">
        <v>9</v>
      </c>
      <c r="F2816">
        <v>7</v>
      </c>
      <c r="G2816">
        <v>7.27</v>
      </c>
      <c r="H2816">
        <v>6.9</v>
      </c>
      <c r="I2816">
        <v>0.4</v>
      </c>
      <c r="J2816" t="s">
        <v>477</v>
      </c>
      <c r="K2816" t="s">
        <v>38</v>
      </c>
      <c r="L2816">
        <v>45</v>
      </c>
      <c r="M2816">
        <v>3.22</v>
      </c>
      <c r="N2816">
        <v>150.56</v>
      </c>
      <c r="O2816">
        <v>0.74</v>
      </c>
      <c r="P2816">
        <v>4</v>
      </c>
      <c r="Q2816">
        <v>0.95</v>
      </c>
      <c r="R2816">
        <v>806</v>
      </c>
      <c r="S2816">
        <v>11.23</v>
      </c>
      <c r="T2816">
        <v>0.75</v>
      </c>
      <c r="U2816" s="1">
        <v>45600</v>
      </c>
      <c r="V2816">
        <v>102.28</v>
      </c>
      <c r="W2816">
        <v>0.73599999999999999</v>
      </c>
      <c r="X2816" t="str">
        <f>IF(WarehouseData[[#This Row],[stock_level]]&lt;=WarehouseData[[#This Row],[reorder_point]],"Low Stock","Sufficient Stock")</f>
        <v>Sufficient Stock</v>
      </c>
      <c r="Y2816">
        <f>WarehouseData[[#This Row],[daily_demand]]*WarehouseData[[#This Row],[lead_time_days]]</f>
        <v>50.89</v>
      </c>
      <c r="Z2816" t="str">
        <f>IF(WarehouseData[[#This Row],[stock_level]]&lt;=WarehouseData[[#This Row],[Demand During Lead Time]],"At Risk","Safe")</f>
        <v>Safe</v>
      </c>
      <c r="AA2816">
        <f>WarehouseData[[#This Row],[stock_level]]/WarehouseData[[#This Row],[daily_demand]]</f>
        <v>25.309491059147181</v>
      </c>
      <c r="AB2816">
        <f>WarehouseData[[#This Row],[stock_level]]*WarehouseData[[#This Row],[unit_price]]</f>
        <v>27703.040000000001</v>
      </c>
      <c r="AC2816">
        <f>WarehouseData[[#This Row],[stock_level]]*WarehouseData[[#This Row],[holding_cost_per_unit_day]]*30</f>
        <v>4084.7999999999997</v>
      </c>
      <c r="AD2816" t="str">
        <f>IF(WarehouseData[[#This Row],[order_fulfillment_rate]]&gt;=0.9,"Strong",IF(WarehouseData[[#This Row],[order_fulfillment_rate]]&gt;=0.8,"Moderate","Needs Attention"))</f>
        <v>Strong</v>
      </c>
      <c r="AE2816" t="str">
        <f>IF(WarehouseData[[#This Row],[picking_time_seconds]]&gt;120,"Slow",IF(WarehouseData[[#This Row],[picking_time_seconds]]&gt;=60,"Average","Fast"))</f>
        <v>Fast</v>
      </c>
    </row>
    <row r="2817" spans="1:31" x14ac:dyDescent="0.25">
      <c r="A2817" t="s">
        <v>2955</v>
      </c>
      <c r="B2817" t="s">
        <v>40</v>
      </c>
      <c r="C2817">
        <v>297</v>
      </c>
      <c r="D2817">
        <v>14</v>
      </c>
      <c r="E2817">
        <v>13</v>
      </c>
      <c r="F2817">
        <v>7</v>
      </c>
      <c r="G2817">
        <v>38</v>
      </c>
      <c r="H2817">
        <v>3.48</v>
      </c>
      <c r="I2817">
        <v>0.94</v>
      </c>
      <c r="J2817" t="s">
        <v>88</v>
      </c>
      <c r="K2817" t="s">
        <v>34</v>
      </c>
      <c r="L2817">
        <v>67</v>
      </c>
      <c r="M2817">
        <v>3.28</v>
      </c>
      <c r="N2817">
        <v>109.05</v>
      </c>
      <c r="O2817">
        <v>0.62</v>
      </c>
      <c r="P2817">
        <v>2</v>
      </c>
      <c r="Q2817">
        <v>0.85</v>
      </c>
      <c r="R2817">
        <v>947</v>
      </c>
      <c r="S2817">
        <v>3.24</v>
      </c>
      <c r="T2817">
        <v>0.55000000000000004</v>
      </c>
      <c r="U2817" s="1">
        <v>45568</v>
      </c>
      <c r="V2817">
        <v>140.34</v>
      </c>
      <c r="W2817">
        <v>0.621</v>
      </c>
      <c r="X2817" t="str">
        <f>IF(WarehouseData[[#This Row],[stock_level]]&lt;=WarehouseData[[#This Row],[reorder_point]],"Low Stock","Sufficient Stock")</f>
        <v>Sufficient Stock</v>
      </c>
      <c r="Y2817">
        <f>WarehouseData[[#This Row],[daily_demand]]*WarehouseData[[#This Row],[lead_time_days]]</f>
        <v>266</v>
      </c>
      <c r="Z2817" t="str">
        <f>IF(WarehouseData[[#This Row],[stock_level]]&lt;=WarehouseData[[#This Row],[Demand During Lead Time]],"At Risk","Safe")</f>
        <v>Safe</v>
      </c>
      <c r="AA2817">
        <f>WarehouseData[[#This Row],[stock_level]]/WarehouseData[[#This Row],[daily_demand]]</f>
        <v>7.8157894736842106</v>
      </c>
      <c r="AB2817">
        <f>WarehouseData[[#This Row],[stock_level]]*WarehouseData[[#This Row],[unit_price]]</f>
        <v>32387.85</v>
      </c>
      <c r="AC2817">
        <f>WarehouseData[[#This Row],[stock_level]]*WarehouseData[[#This Row],[holding_cost_per_unit_day]]*30</f>
        <v>5524.2</v>
      </c>
      <c r="AD2817" t="str">
        <f>IF(WarehouseData[[#This Row],[order_fulfillment_rate]]&gt;=0.9,"Strong",IF(WarehouseData[[#This Row],[order_fulfillment_rate]]&gt;=0.8,"Moderate","Needs Attention"))</f>
        <v>Moderate</v>
      </c>
      <c r="AE2817" t="str">
        <f>IF(WarehouseData[[#This Row],[picking_time_seconds]]&gt;120,"Slow",IF(WarehouseData[[#This Row],[picking_time_seconds]]&gt;=60,"Average","Fast"))</f>
        <v>Average</v>
      </c>
    </row>
    <row r="2818" spans="1:31" x14ac:dyDescent="0.25">
      <c r="A2818" t="s">
        <v>2956</v>
      </c>
      <c r="B2818" t="s">
        <v>32</v>
      </c>
      <c r="C2818">
        <v>461</v>
      </c>
      <c r="D2818">
        <v>58</v>
      </c>
      <c r="E2818">
        <v>14</v>
      </c>
      <c r="F2818">
        <v>2</v>
      </c>
      <c r="G2818">
        <v>11.51</v>
      </c>
      <c r="H2818">
        <v>7.16</v>
      </c>
      <c r="I2818">
        <v>0.88</v>
      </c>
      <c r="J2818" t="s">
        <v>142</v>
      </c>
      <c r="K2818" t="s">
        <v>46</v>
      </c>
      <c r="L2818">
        <v>178</v>
      </c>
      <c r="M2818">
        <v>2.13</v>
      </c>
      <c r="N2818">
        <v>30.1</v>
      </c>
      <c r="O2818">
        <v>0.94</v>
      </c>
      <c r="P2818">
        <v>2</v>
      </c>
      <c r="Q2818">
        <v>0.8</v>
      </c>
      <c r="R2818">
        <v>581</v>
      </c>
      <c r="S2818">
        <v>8.8800000000000008</v>
      </c>
      <c r="T2818">
        <v>0.68</v>
      </c>
      <c r="U2818" s="1">
        <v>45292</v>
      </c>
      <c r="V2818">
        <v>102.79</v>
      </c>
      <c r="W2818">
        <v>0.68</v>
      </c>
      <c r="X2818" t="str">
        <f>IF(WarehouseData[[#This Row],[stock_level]]&lt;=WarehouseData[[#This Row],[reorder_point]],"Low Stock","Sufficient Stock")</f>
        <v>Sufficient Stock</v>
      </c>
      <c r="Y2818">
        <f>WarehouseData[[#This Row],[daily_demand]]*WarehouseData[[#This Row],[lead_time_days]]</f>
        <v>23.02</v>
      </c>
      <c r="Z2818" t="str">
        <f>IF(WarehouseData[[#This Row],[stock_level]]&lt;=WarehouseData[[#This Row],[Demand During Lead Time]],"At Risk","Safe")</f>
        <v>Safe</v>
      </c>
      <c r="AA2818">
        <f>WarehouseData[[#This Row],[stock_level]]/WarehouseData[[#This Row],[daily_demand]]</f>
        <v>40.052128583840137</v>
      </c>
      <c r="AB2818">
        <f>WarehouseData[[#This Row],[stock_level]]*WarehouseData[[#This Row],[unit_price]]</f>
        <v>13876.1</v>
      </c>
      <c r="AC2818">
        <f>WarehouseData[[#This Row],[stock_level]]*WarehouseData[[#This Row],[holding_cost_per_unit_day]]*30</f>
        <v>13000.199999999999</v>
      </c>
      <c r="AD2818" t="str">
        <f>IF(WarehouseData[[#This Row],[order_fulfillment_rate]]&gt;=0.9,"Strong",IF(WarehouseData[[#This Row],[order_fulfillment_rate]]&gt;=0.8,"Moderate","Needs Attention"))</f>
        <v>Moderate</v>
      </c>
      <c r="AE2818" t="str">
        <f>IF(WarehouseData[[#This Row],[picking_time_seconds]]&gt;120,"Slow",IF(WarehouseData[[#This Row],[picking_time_seconds]]&gt;=60,"Average","Fast"))</f>
        <v>Slow</v>
      </c>
    </row>
    <row r="2819" spans="1:31" x14ac:dyDescent="0.25">
      <c r="A2819" t="s">
        <v>2957</v>
      </c>
      <c r="B2819" t="s">
        <v>32</v>
      </c>
      <c r="C2819">
        <v>343</v>
      </c>
      <c r="D2819">
        <v>39</v>
      </c>
      <c r="E2819">
        <v>12</v>
      </c>
      <c r="F2819">
        <v>3</v>
      </c>
      <c r="G2819">
        <v>48.89</v>
      </c>
      <c r="H2819">
        <v>4.1900000000000004</v>
      </c>
      <c r="I2819">
        <v>0.53</v>
      </c>
      <c r="J2819" t="s">
        <v>126</v>
      </c>
      <c r="K2819" t="s">
        <v>34</v>
      </c>
      <c r="L2819">
        <v>17</v>
      </c>
      <c r="M2819">
        <v>4.28</v>
      </c>
      <c r="N2819">
        <v>36.97</v>
      </c>
      <c r="O2819">
        <v>0.27</v>
      </c>
      <c r="P2819">
        <v>1</v>
      </c>
      <c r="Q2819">
        <v>0.85</v>
      </c>
      <c r="R2819">
        <v>764</v>
      </c>
      <c r="S2819">
        <v>11.24</v>
      </c>
      <c r="T2819">
        <v>0.97</v>
      </c>
      <c r="U2819" s="1">
        <v>45639</v>
      </c>
      <c r="V2819">
        <v>44.49</v>
      </c>
      <c r="W2819">
        <v>0.86699999999999999</v>
      </c>
      <c r="X2819" t="str">
        <f>IF(WarehouseData[[#This Row],[stock_level]]&lt;=WarehouseData[[#This Row],[reorder_point]],"Low Stock","Sufficient Stock")</f>
        <v>Sufficient Stock</v>
      </c>
      <c r="Y2819">
        <f>WarehouseData[[#This Row],[daily_demand]]*WarehouseData[[#This Row],[lead_time_days]]</f>
        <v>146.67000000000002</v>
      </c>
      <c r="Z2819" t="str">
        <f>IF(WarehouseData[[#This Row],[stock_level]]&lt;=WarehouseData[[#This Row],[Demand During Lead Time]],"At Risk","Safe")</f>
        <v>Safe</v>
      </c>
      <c r="AA2819">
        <f>WarehouseData[[#This Row],[stock_level]]/WarehouseData[[#This Row],[daily_demand]]</f>
        <v>7.0157496420535894</v>
      </c>
      <c r="AB2819">
        <f>WarehouseData[[#This Row],[stock_level]]*WarehouseData[[#This Row],[unit_price]]</f>
        <v>12680.71</v>
      </c>
      <c r="AC2819">
        <f>WarehouseData[[#This Row],[stock_level]]*WarehouseData[[#This Row],[holding_cost_per_unit_day]]*30</f>
        <v>2778.3</v>
      </c>
      <c r="AD2819" t="str">
        <f>IF(WarehouseData[[#This Row],[order_fulfillment_rate]]&gt;=0.9,"Strong",IF(WarehouseData[[#This Row],[order_fulfillment_rate]]&gt;=0.8,"Moderate","Needs Attention"))</f>
        <v>Moderate</v>
      </c>
      <c r="AE2819" t="str">
        <f>IF(WarehouseData[[#This Row],[picking_time_seconds]]&gt;120,"Slow",IF(WarehouseData[[#This Row],[picking_time_seconds]]&gt;=60,"Average","Fast"))</f>
        <v>Fast</v>
      </c>
    </row>
    <row r="2820" spans="1:31" x14ac:dyDescent="0.25">
      <c r="A2820" t="s">
        <v>2958</v>
      </c>
      <c r="B2820" t="s">
        <v>48</v>
      </c>
      <c r="C2820">
        <v>496</v>
      </c>
      <c r="D2820">
        <v>81</v>
      </c>
      <c r="E2820">
        <v>6</v>
      </c>
      <c r="F2820">
        <v>5</v>
      </c>
      <c r="G2820">
        <v>3.55</v>
      </c>
      <c r="H2820">
        <v>0.5</v>
      </c>
      <c r="I2820">
        <v>0.42</v>
      </c>
      <c r="J2820" t="s">
        <v>377</v>
      </c>
      <c r="K2820" t="s">
        <v>46</v>
      </c>
      <c r="L2820">
        <v>167</v>
      </c>
      <c r="M2820">
        <v>3.28</v>
      </c>
      <c r="N2820">
        <v>77.849999999999994</v>
      </c>
      <c r="O2820">
        <v>1.79</v>
      </c>
      <c r="P2820">
        <v>8</v>
      </c>
      <c r="Q2820">
        <v>0.91</v>
      </c>
      <c r="R2820">
        <v>895</v>
      </c>
      <c r="S2820">
        <v>8.19</v>
      </c>
      <c r="T2820">
        <v>0.41</v>
      </c>
      <c r="U2820" s="1">
        <v>45624</v>
      </c>
      <c r="V2820">
        <v>185.93</v>
      </c>
      <c r="W2820">
        <v>0.434</v>
      </c>
      <c r="X2820" t="str">
        <f>IF(WarehouseData[[#This Row],[stock_level]]&lt;=WarehouseData[[#This Row],[reorder_point]],"Low Stock","Sufficient Stock")</f>
        <v>Sufficient Stock</v>
      </c>
      <c r="Y2820">
        <f>WarehouseData[[#This Row],[daily_demand]]*WarehouseData[[#This Row],[lead_time_days]]</f>
        <v>17.75</v>
      </c>
      <c r="Z2820" t="str">
        <f>IF(WarehouseData[[#This Row],[stock_level]]&lt;=WarehouseData[[#This Row],[Demand During Lead Time]],"At Risk","Safe")</f>
        <v>Safe</v>
      </c>
      <c r="AA2820">
        <f>WarehouseData[[#This Row],[stock_level]]/WarehouseData[[#This Row],[daily_demand]]</f>
        <v>139.71830985915494</v>
      </c>
      <c r="AB2820">
        <f>WarehouseData[[#This Row],[stock_level]]*WarehouseData[[#This Row],[unit_price]]</f>
        <v>38613.599999999999</v>
      </c>
      <c r="AC2820">
        <f>WarehouseData[[#This Row],[stock_level]]*WarehouseData[[#This Row],[holding_cost_per_unit_day]]*30</f>
        <v>26635.200000000001</v>
      </c>
      <c r="AD2820" t="str">
        <f>IF(WarehouseData[[#This Row],[order_fulfillment_rate]]&gt;=0.9,"Strong",IF(WarehouseData[[#This Row],[order_fulfillment_rate]]&gt;=0.8,"Moderate","Needs Attention"))</f>
        <v>Strong</v>
      </c>
      <c r="AE2820" t="str">
        <f>IF(WarehouseData[[#This Row],[picking_time_seconds]]&gt;120,"Slow",IF(WarehouseData[[#This Row],[picking_time_seconds]]&gt;=60,"Average","Fast"))</f>
        <v>Slow</v>
      </c>
    </row>
    <row r="2821" spans="1:31" x14ac:dyDescent="0.25">
      <c r="A2821" t="s">
        <v>2959</v>
      </c>
      <c r="B2821" t="s">
        <v>73</v>
      </c>
      <c r="C2821">
        <v>319</v>
      </c>
      <c r="D2821">
        <v>72</v>
      </c>
      <c r="E2821">
        <v>14</v>
      </c>
      <c r="F2821">
        <v>4</v>
      </c>
      <c r="G2821">
        <v>18.25</v>
      </c>
      <c r="H2821">
        <v>2.04</v>
      </c>
      <c r="I2821">
        <v>0.74</v>
      </c>
      <c r="J2821" t="s">
        <v>90</v>
      </c>
      <c r="K2821" t="s">
        <v>46</v>
      </c>
      <c r="L2821">
        <v>95</v>
      </c>
      <c r="M2821">
        <v>1.51</v>
      </c>
      <c r="N2821">
        <v>22.89</v>
      </c>
      <c r="O2821">
        <v>1.07</v>
      </c>
      <c r="P2821">
        <v>7</v>
      </c>
      <c r="Q2821">
        <v>0.8</v>
      </c>
      <c r="R2821">
        <v>201</v>
      </c>
      <c r="S2821">
        <v>8.77</v>
      </c>
      <c r="T2821">
        <v>0.57999999999999996</v>
      </c>
      <c r="U2821" s="1">
        <v>45512</v>
      </c>
      <c r="V2821">
        <v>180.41</v>
      </c>
      <c r="W2821">
        <v>0.54600000000000004</v>
      </c>
      <c r="X2821" t="str">
        <f>IF(WarehouseData[[#This Row],[stock_level]]&lt;=WarehouseData[[#This Row],[reorder_point]],"Low Stock","Sufficient Stock")</f>
        <v>Sufficient Stock</v>
      </c>
      <c r="Y2821">
        <f>WarehouseData[[#This Row],[daily_demand]]*WarehouseData[[#This Row],[lead_time_days]]</f>
        <v>73</v>
      </c>
      <c r="Z2821" t="str">
        <f>IF(WarehouseData[[#This Row],[stock_level]]&lt;=WarehouseData[[#This Row],[Demand During Lead Time]],"At Risk","Safe")</f>
        <v>Safe</v>
      </c>
      <c r="AA2821">
        <f>WarehouseData[[#This Row],[stock_level]]/WarehouseData[[#This Row],[daily_demand]]</f>
        <v>17.479452054794521</v>
      </c>
      <c r="AB2821">
        <f>WarehouseData[[#This Row],[stock_level]]*WarehouseData[[#This Row],[unit_price]]</f>
        <v>7301.91</v>
      </c>
      <c r="AC2821">
        <f>WarehouseData[[#This Row],[stock_level]]*WarehouseData[[#This Row],[holding_cost_per_unit_day]]*30</f>
        <v>10239.900000000001</v>
      </c>
      <c r="AD2821" t="str">
        <f>IF(WarehouseData[[#This Row],[order_fulfillment_rate]]&gt;=0.9,"Strong",IF(WarehouseData[[#This Row],[order_fulfillment_rate]]&gt;=0.8,"Moderate","Needs Attention"))</f>
        <v>Moderate</v>
      </c>
      <c r="AE2821" t="str">
        <f>IF(WarehouseData[[#This Row],[picking_time_seconds]]&gt;120,"Slow",IF(WarehouseData[[#This Row],[picking_time_seconds]]&gt;=60,"Average","Fast"))</f>
        <v>Average</v>
      </c>
    </row>
    <row r="2822" spans="1:31" x14ac:dyDescent="0.25">
      <c r="A2822" t="s">
        <v>2960</v>
      </c>
      <c r="B2822" t="s">
        <v>36</v>
      </c>
      <c r="C2822">
        <v>309</v>
      </c>
      <c r="D2822">
        <v>56</v>
      </c>
      <c r="E2822">
        <v>10</v>
      </c>
      <c r="F2822">
        <v>7</v>
      </c>
      <c r="G2822">
        <v>22</v>
      </c>
      <c r="H2822">
        <v>8.8800000000000008</v>
      </c>
      <c r="I2822">
        <v>0.38</v>
      </c>
      <c r="J2822" t="s">
        <v>283</v>
      </c>
      <c r="K2822" t="s">
        <v>38</v>
      </c>
      <c r="L2822">
        <v>106</v>
      </c>
      <c r="M2822">
        <v>1.58</v>
      </c>
      <c r="N2822">
        <v>55.45</v>
      </c>
      <c r="O2822">
        <v>1.48</v>
      </c>
      <c r="P2822">
        <v>2</v>
      </c>
      <c r="Q2822">
        <v>0.82</v>
      </c>
      <c r="R2822">
        <v>126</v>
      </c>
      <c r="S2822">
        <v>9.2100000000000009</v>
      </c>
      <c r="T2822">
        <v>0.75</v>
      </c>
      <c r="U2822" s="1">
        <v>45559</v>
      </c>
      <c r="V2822">
        <v>95.52</v>
      </c>
      <c r="W2822">
        <v>0.64900000000000002</v>
      </c>
      <c r="X2822" t="str">
        <f>IF(WarehouseData[[#This Row],[stock_level]]&lt;=WarehouseData[[#This Row],[reorder_point]],"Low Stock","Sufficient Stock")</f>
        <v>Sufficient Stock</v>
      </c>
      <c r="Y2822">
        <f>WarehouseData[[#This Row],[daily_demand]]*WarehouseData[[#This Row],[lead_time_days]]</f>
        <v>154</v>
      </c>
      <c r="Z2822" t="str">
        <f>IF(WarehouseData[[#This Row],[stock_level]]&lt;=WarehouseData[[#This Row],[Demand During Lead Time]],"At Risk","Safe")</f>
        <v>Safe</v>
      </c>
      <c r="AA2822">
        <f>WarehouseData[[#This Row],[stock_level]]/WarehouseData[[#This Row],[daily_demand]]</f>
        <v>14.045454545454545</v>
      </c>
      <c r="AB2822">
        <f>WarehouseData[[#This Row],[stock_level]]*WarehouseData[[#This Row],[unit_price]]</f>
        <v>17134.05</v>
      </c>
      <c r="AC2822">
        <f>WarehouseData[[#This Row],[stock_level]]*WarehouseData[[#This Row],[holding_cost_per_unit_day]]*30</f>
        <v>13719.6</v>
      </c>
      <c r="AD2822" t="str">
        <f>IF(WarehouseData[[#This Row],[order_fulfillment_rate]]&gt;=0.9,"Strong",IF(WarehouseData[[#This Row],[order_fulfillment_rate]]&gt;=0.8,"Moderate","Needs Attention"))</f>
        <v>Moderate</v>
      </c>
      <c r="AE2822" t="str">
        <f>IF(WarehouseData[[#This Row],[picking_time_seconds]]&gt;120,"Slow",IF(WarehouseData[[#This Row],[picking_time_seconds]]&gt;=60,"Average","Fast"))</f>
        <v>Average</v>
      </c>
    </row>
    <row r="2823" spans="1:31" x14ac:dyDescent="0.25">
      <c r="A2823" t="s">
        <v>2961</v>
      </c>
      <c r="B2823" t="s">
        <v>73</v>
      </c>
      <c r="C2823">
        <v>96</v>
      </c>
      <c r="D2823">
        <v>35</v>
      </c>
      <c r="E2823">
        <v>13</v>
      </c>
      <c r="F2823">
        <v>2</v>
      </c>
      <c r="G2823">
        <v>41.39</v>
      </c>
      <c r="H2823">
        <v>2.62</v>
      </c>
      <c r="I2823">
        <v>0.21</v>
      </c>
      <c r="J2823" t="s">
        <v>245</v>
      </c>
      <c r="K2823" t="s">
        <v>46</v>
      </c>
      <c r="L2823">
        <v>162</v>
      </c>
      <c r="M2823">
        <v>4.38</v>
      </c>
      <c r="N2823">
        <v>134.72</v>
      </c>
      <c r="O2823">
        <v>0.54</v>
      </c>
      <c r="P2823">
        <v>4</v>
      </c>
      <c r="Q2823">
        <v>0.87</v>
      </c>
      <c r="R2823">
        <v>377</v>
      </c>
      <c r="S2823">
        <v>7.54</v>
      </c>
      <c r="T2823">
        <v>0.21</v>
      </c>
      <c r="U2823" s="1">
        <v>45507</v>
      </c>
      <c r="V2823">
        <v>19.11</v>
      </c>
      <c r="W2823">
        <v>0.58299999999999996</v>
      </c>
      <c r="X2823" t="str">
        <f>IF(WarehouseData[[#This Row],[stock_level]]&lt;=WarehouseData[[#This Row],[reorder_point]],"Low Stock","Sufficient Stock")</f>
        <v>Sufficient Stock</v>
      </c>
      <c r="Y2823">
        <f>WarehouseData[[#This Row],[daily_demand]]*WarehouseData[[#This Row],[lead_time_days]]</f>
        <v>82.78</v>
      </c>
      <c r="Z2823" t="str">
        <f>IF(WarehouseData[[#This Row],[stock_level]]&lt;=WarehouseData[[#This Row],[Demand During Lead Time]],"At Risk","Safe")</f>
        <v>Safe</v>
      </c>
      <c r="AA2823">
        <f>WarehouseData[[#This Row],[stock_level]]/WarehouseData[[#This Row],[daily_demand]]</f>
        <v>2.3194008214544577</v>
      </c>
      <c r="AB2823">
        <f>WarehouseData[[#This Row],[stock_level]]*WarehouseData[[#This Row],[unit_price]]</f>
        <v>12933.119999999999</v>
      </c>
      <c r="AC2823">
        <f>WarehouseData[[#This Row],[stock_level]]*WarehouseData[[#This Row],[holding_cost_per_unit_day]]*30</f>
        <v>1555.2</v>
      </c>
      <c r="AD2823" t="str">
        <f>IF(WarehouseData[[#This Row],[order_fulfillment_rate]]&gt;=0.9,"Strong",IF(WarehouseData[[#This Row],[order_fulfillment_rate]]&gt;=0.8,"Moderate","Needs Attention"))</f>
        <v>Moderate</v>
      </c>
      <c r="AE2823" t="str">
        <f>IF(WarehouseData[[#This Row],[picking_time_seconds]]&gt;120,"Slow",IF(WarehouseData[[#This Row],[picking_time_seconds]]&gt;=60,"Average","Fast"))</f>
        <v>Slow</v>
      </c>
    </row>
    <row r="2824" spans="1:31" x14ac:dyDescent="0.25">
      <c r="A2824" t="s">
        <v>2962</v>
      </c>
      <c r="B2824" t="s">
        <v>36</v>
      </c>
      <c r="C2824">
        <v>317</v>
      </c>
      <c r="D2824">
        <v>66</v>
      </c>
      <c r="E2824">
        <v>11</v>
      </c>
      <c r="F2824">
        <v>9</v>
      </c>
      <c r="G2824">
        <v>38.54</v>
      </c>
      <c r="H2824">
        <v>1.57</v>
      </c>
      <c r="I2824">
        <v>0.38</v>
      </c>
      <c r="J2824" t="s">
        <v>466</v>
      </c>
      <c r="K2824" t="s">
        <v>46</v>
      </c>
      <c r="L2824">
        <v>68</v>
      </c>
      <c r="M2824">
        <v>3.32</v>
      </c>
      <c r="N2824">
        <v>12.36</v>
      </c>
      <c r="O2824">
        <v>1.06</v>
      </c>
      <c r="P2824">
        <v>9</v>
      </c>
      <c r="Q2824">
        <v>0.79</v>
      </c>
      <c r="R2824">
        <v>221</v>
      </c>
      <c r="S2824">
        <v>5.07</v>
      </c>
      <c r="T2824">
        <v>0.51</v>
      </c>
      <c r="U2824" s="1">
        <v>45481</v>
      </c>
      <c r="V2824">
        <v>281.66000000000003</v>
      </c>
      <c r="W2824">
        <v>0.442</v>
      </c>
      <c r="X2824" t="str">
        <f>IF(WarehouseData[[#This Row],[stock_level]]&lt;=WarehouseData[[#This Row],[reorder_point]],"Low Stock","Sufficient Stock")</f>
        <v>Sufficient Stock</v>
      </c>
      <c r="Y2824">
        <f>WarehouseData[[#This Row],[daily_demand]]*WarehouseData[[#This Row],[lead_time_days]]</f>
        <v>346.86</v>
      </c>
      <c r="Z2824" t="str">
        <f>IF(WarehouseData[[#This Row],[stock_level]]&lt;=WarehouseData[[#This Row],[Demand During Lead Time]],"At Risk","Safe")</f>
        <v>At Risk</v>
      </c>
      <c r="AA2824">
        <f>WarehouseData[[#This Row],[stock_level]]/WarehouseData[[#This Row],[daily_demand]]</f>
        <v>8.2252205500778413</v>
      </c>
      <c r="AB2824">
        <f>WarehouseData[[#This Row],[stock_level]]*WarehouseData[[#This Row],[unit_price]]</f>
        <v>3918.12</v>
      </c>
      <c r="AC2824">
        <f>WarehouseData[[#This Row],[stock_level]]*WarehouseData[[#This Row],[holding_cost_per_unit_day]]*30</f>
        <v>10080.6</v>
      </c>
      <c r="AD2824" t="str">
        <f>IF(WarehouseData[[#This Row],[order_fulfillment_rate]]&gt;=0.9,"Strong",IF(WarehouseData[[#This Row],[order_fulfillment_rate]]&gt;=0.8,"Moderate","Needs Attention"))</f>
        <v>Needs Attention</v>
      </c>
      <c r="AE2824" t="str">
        <f>IF(WarehouseData[[#This Row],[picking_time_seconds]]&gt;120,"Slow",IF(WarehouseData[[#This Row],[picking_time_seconds]]&gt;=60,"Average","Fast"))</f>
        <v>Average</v>
      </c>
    </row>
    <row r="2825" spans="1:31" x14ac:dyDescent="0.25">
      <c r="A2825" t="s">
        <v>2963</v>
      </c>
      <c r="B2825" t="s">
        <v>73</v>
      </c>
      <c r="C2825">
        <v>156</v>
      </c>
      <c r="D2825">
        <v>46</v>
      </c>
      <c r="E2825">
        <v>5</v>
      </c>
      <c r="F2825">
        <v>9</v>
      </c>
      <c r="G2825">
        <v>19.37</v>
      </c>
      <c r="H2825">
        <v>6.98</v>
      </c>
      <c r="I2825">
        <v>0.49</v>
      </c>
      <c r="J2825" t="s">
        <v>75</v>
      </c>
      <c r="K2825" t="s">
        <v>52</v>
      </c>
      <c r="L2825">
        <v>39</v>
      </c>
      <c r="M2825">
        <v>2.29</v>
      </c>
      <c r="N2825">
        <v>124.78</v>
      </c>
      <c r="O2825">
        <v>0.5</v>
      </c>
      <c r="P2825">
        <v>4</v>
      </c>
      <c r="Q2825">
        <v>0.76</v>
      </c>
      <c r="R2825">
        <v>454</v>
      </c>
      <c r="S2825">
        <v>9.92</v>
      </c>
      <c r="T2825">
        <v>0.65</v>
      </c>
      <c r="U2825" s="1">
        <v>45314</v>
      </c>
      <c r="V2825">
        <v>113.11</v>
      </c>
      <c r="W2825">
        <v>0.68400000000000005</v>
      </c>
      <c r="X2825" t="str">
        <f>IF(WarehouseData[[#This Row],[stock_level]]&lt;=WarehouseData[[#This Row],[reorder_point]],"Low Stock","Sufficient Stock")</f>
        <v>Sufficient Stock</v>
      </c>
      <c r="Y2825">
        <f>WarehouseData[[#This Row],[daily_demand]]*WarehouseData[[#This Row],[lead_time_days]]</f>
        <v>174.33</v>
      </c>
      <c r="Z2825" t="str">
        <f>IF(WarehouseData[[#This Row],[stock_level]]&lt;=WarehouseData[[#This Row],[Demand During Lead Time]],"At Risk","Safe")</f>
        <v>At Risk</v>
      </c>
      <c r="AA2825">
        <f>WarehouseData[[#This Row],[stock_level]]/WarehouseData[[#This Row],[daily_demand]]</f>
        <v>8.0536912751677843</v>
      </c>
      <c r="AB2825">
        <f>WarehouseData[[#This Row],[stock_level]]*WarehouseData[[#This Row],[unit_price]]</f>
        <v>19465.68</v>
      </c>
      <c r="AC2825">
        <f>WarehouseData[[#This Row],[stock_level]]*WarehouseData[[#This Row],[holding_cost_per_unit_day]]*30</f>
        <v>2340</v>
      </c>
      <c r="AD2825" t="str">
        <f>IF(WarehouseData[[#This Row],[order_fulfillment_rate]]&gt;=0.9,"Strong",IF(WarehouseData[[#This Row],[order_fulfillment_rate]]&gt;=0.8,"Moderate","Needs Attention"))</f>
        <v>Needs Attention</v>
      </c>
      <c r="AE2825" t="str">
        <f>IF(WarehouseData[[#This Row],[picking_time_seconds]]&gt;120,"Slow",IF(WarehouseData[[#This Row],[picking_time_seconds]]&gt;=60,"Average","Fast"))</f>
        <v>Fast</v>
      </c>
    </row>
    <row r="2826" spans="1:31" x14ac:dyDescent="0.25">
      <c r="A2826" t="s">
        <v>2964</v>
      </c>
      <c r="B2826" t="s">
        <v>32</v>
      </c>
      <c r="C2826">
        <v>125</v>
      </c>
      <c r="D2826">
        <v>16</v>
      </c>
      <c r="E2826">
        <v>7</v>
      </c>
      <c r="F2826">
        <v>8</v>
      </c>
      <c r="G2826">
        <v>28.71</v>
      </c>
      <c r="H2826">
        <v>4.6900000000000004</v>
      </c>
      <c r="I2826">
        <v>0.33</v>
      </c>
      <c r="J2826" t="s">
        <v>86</v>
      </c>
      <c r="K2826" t="s">
        <v>38</v>
      </c>
      <c r="L2826">
        <v>110</v>
      </c>
      <c r="M2826">
        <v>1.34</v>
      </c>
      <c r="N2826">
        <v>156.75</v>
      </c>
      <c r="O2826">
        <v>1.65</v>
      </c>
      <c r="P2826">
        <v>7</v>
      </c>
      <c r="Q2826">
        <v>0.74</v>
      </c>
      <c r="R2826">
        <v>455</v>
      </c>
      <c r="S2826">
        <v>1.75</v>
      </c>
      <c r="T2826">
        <v>0.92</v>
      </c>
      <c r="U2826" s="1">
        <v>45649</v>
      </c>
      <c r="V2826">
        <v>166.24</v>
      </c>
      <c r="W2826">
        <v>0.45</v>
      </c>
      <c r="X2826" t="str">
        <f>IF(WarehouseData[[#This Row],[stock_level]]&lt;=WarehouseData[[#This Row],[reorder_point]],"Low Stock","Sufficient Stock")</f>
        <v>Sufficient Stock</v>
      </c>
      <c r="Y2826">
        <f>WarehouseData[[#This Row],[daily_demand]]*WarehouseData[[#This Row],[lead_time_days]]</f>
        <v>229.68</v>
      </c>
      <c r="Z2826" t="str">
        <f>IF(WarehouseData[[#This Row],[stock_level]]&lt;=WarehouseData[[#This Row],[Demand During Lead Time]],"At Risk","Safe")</f>
        <v>At Risk</v>
      </c>
      <c r="AA2826">
        <f>WarehouseData[[#This Row],[stock_level]]/WarehouseData[[#This Row],[daily_demand]]</f>
        <v>4.3538836642284915</v>
      </c>
      <c r="AB2826">
        <f>WarehouseData[[#This Row],[stock_level]]*WarehouseData[[#This Row],[unit_price]]</f>
        <v>19593.75</v>
      </c>
      <c r="AC2826">
        <f>WarehouseData[[#This Row],[stock_level]]*WarehouseData[[#This Row],[holding_cost_per_unit_day]]*30</f>
        <v>6187.5</v>
      </c>
      <c r="AD2826" t="str">
        <f>IF(WarehouseData[[#This Row],[order_fulfillment_rate]]&gt;=0.9,"Strong",IF(WarehouseData[[#This Row],[order_fulfillment_rate]]&gt;=0.8,"Moderate","Needs Attention"))</f>
        <v>Needs Attention</v>
      </c>
      <c r="AE2826" t="str">
        <f>IF(WarehouseData[[#This Row],[picking_time_seconds]]&gt;120,"Slow",IF(WarehouseData[[#This Row],[picking_time_seconds]]&gt;=60,"Average","Fast"))</f>
        <v>Average</v>
      </c>
    </row>
    <row r="2827" spans="1:31" x14ac:dyDescent="0.25">
      <c r="A2827" t="s">
        <v>2965</v>
      </c>
      <c r="B2827" t="s">
        <v>40</v>
      </c>
      <c r="C2827">
        <v>114</v>
      </c>
      <c r="D2827">
        <v>49</v>
      </c>
      <c r="E2827">
        <v>6</v>
      </c>
      <c r="F2827">
        <v>5</v>
      </c>
      <c r="G2827">
        <v>41.94</v>
      </c>
      <c r="H2827">
        <v>8.07</v>
      </c>
      <c r="I2827">
        <v>0.3</v>
      </c>
      <c r="J2827" t="s">
        <v>137</v>
      </c>
      <c r="K2827" t="s">
        <v>52</v>
      </c>
      <c r="L2827">
        <v>76</v>
      </c>
      <c r="M2827">
        <v>3.25</v>
      </c>
      <c r="N2827">
        <v>42.33</v>
      </c>
      <c r="O2827">
        <v>1.57</v>
      </c>
      <c r="P2827">
        <v>5</v>
      </c>
      <c r="Q2827">
        <v>0.81</v>
      </c>
      <c r="R2827">
        <v>890</v>
      </c>
      <c r="S2827">
        <v>3.39</v>
      </c>
      <c r="T2827">
        <v>0.99</v>
      </c>
      <c r="U2827" s="1">
        <v>45563</v>
      </c>
      <c r="V2827">
        <v>51.69</v>
      </c>
      <c r="W2827">
        <v>0.54800000000000004</v>
      </c>
      <c r="X2827" t="str">
        <f>IF(WarehouseData[[#This Row],[stock_level]]&lt;=WarehouseData[[#This Row],[reorder_point]],"Low Stock","Sufficient Stock")</f>
        <v>Sufficient Stock</v>
      </c>
      <c r="Y2827">
        <f>WarehouseData[[#This Row],[daily_demand]]*WarehouseData[[#This Row],[lead_time_days]]</f>
        <v>209.7</v>
      </c>
      <c r="Z2827" t="str">
        <f>IF(WarehouseData[[#This Row],[stock_level]]&lt;=WarehouseData[[#This Row],[Demand During Lead Time]],"At Risk","Safe")</f>
        <v>At Risk</v>
      </c>
      <c r="AA2827">
        <f>WarehouseData[[#This Row],[stock_level]]/WarehouseData[[#This Row],[daily_demand]]</f>
        <v>2.7181688125894135</v>
      </c>
      <c r="AB2827">
        <f>WarehouseData[[#This Row],[stock_level]]*WarehouseData[[#This Row],[unit_price]]</f>
        <v>4825.62</v>
      </c>
      <c r="AC2827">
        <f>WarehouseData[[#This Row],[stock_level]]*WarehouseData[[#This Row],[holding_cost_per_unit_day]]*30</f>
        <v>5369.4000000000005</v>
      </c>
      <c r="AD2827" t="str">
        <f>IF(WarehouseData[[#This Row],[order_fulfillment_rate]]&gt;=0.9,"Strong",IF(WarehouseData[[#This Row],[order_fulfillment_rate]]&gt;=0.8,"Moderate","Needs Attention"))</f>
        <v>Moderate</v>
      </c>
      <c r="AE2827" t="str">
        <f>IF(WarehouseData[[#This Row],[picking_time_seconds]]&gt;120,"Slow",IF(WarehouseData[[#This Row],[picking_time_seconds]]&gt;=60,"Average","Fast"))</f>
        <v>Average</v>
      </c>
    </row>
    <row r="2828" spans="1:31" x14ac:dyDescent="0.25">
      <c r="A2828" t="s">
        <v>2966</v>
      </c>
      <c r="B2828" t="s">
        <v>40</v>
      </c>
      <c r="C2828">
        <v>154</v>
      </c>
      <c r="D2828">
        <v>48</v>
      </c>
      <c r="E2828">
        <v>14</v>
      </c>
      <c r="F2828">
        <v>9</v>
      </c>
      <c r="G2828">
        <v>1.89</v>
      </c>
      <c r="H2828">
        <v>8.68</v>
      </c>
      <c r="I2828">
        <v>0.11</v>
      </c>
      <c r="J2828" t="s">
        <v>185</v>
      </c>
      <c r="K2828" t="s">
        <v>46</v>
      </c>
      <c r="L2828">
        <v>141</v>
      </c>
      <c r="M2828">
        <v>1.33</v>
      </c>
      <c r="N2828">
        <v>44.38</v>
      </c>
      <c r="O2828">
        <v>0.38</v>
      </c>
      <c r="P2828">
        <v>6</v>
      </c>
      <c r="Q2828">
        <v>0.71</v>
      </c>
      <c r="R2828">
        <v>811</v>
      </c>
      <c r="S2828">
        <v>13.95</v>
      </c>
      <c r="T2828">
        <v>0.65</v>
      </c>
      <c r="U2828" s="1">
        <v>45511</v>
      </c>
      <c r="V2828">
        <v>82.84</v>
      </c>
      <c r="W2828">
        <v>0.7</v>
      </c>
      <c r="X2828" t="str">
        <f>IF(WarehouseData[[#This Row],[stock_level]]&lt;=WarehouseData[[#This Row],[reorder_point]],"Low Stock","Sufficient Stock")</f>
        <v>Sufficient Stock</v>
      </c>
      <c r="Y2828">
        <f>WarehouseData[[#This Row],[daily_demand]]*WarehouseData[[#This Row],[lead_time_days]]</f>
        <v>17.009999999999998</v>
      </c>
      <c r="Z2828" t="str">
        <f>IF(WarehouseData[[#This Row],[stock_level]]&lt;=WarehouseData[[#This Row],[Demand During Lead Time]],"At Risk","Safe")</f>
        <v>Safe</v>
      </c>
      <c r="AA2828">
        <f>WarehouseData[[#This Row],[stock_level]]/WarehouseData[[#This Row],[daily_demand]]</f>
        <v>81.481481481481481</v>
      </c>
      <c r="AB2828">
        <f>WarehouseData[[#This Row],[stock_level]]*WarehouseData[[#This Row],[unit_price]]</f>
        <v>6834.52</v>
      </c>
      <c r="AC2828">
        <f>WarehouseData[[#This Row],[stock_level]]*WarehouseData[[#This Row],[holding_cost_per_unit_day]]*30</f>
        <v>1755.6000000000001</v>
      </c>
      <c r="AD2828" t="str">
        <f>IF(WarehouseData[[#This Row],[order_fulfillment_rate]]&gt;=0.9,"Strong",IF(WarehouseData[[#This Row],[order_fulfillment_rate]]&gt;=0.8,"Moderate","Needs Attention"))</f>
        <v>Needs Attention</v>
      </c>
      <c r="AE2828" t="str">
        <f>IF(WarehouseData[[#This Row],[picking_time_seconds]]&gt;120,"Slow",IF(WarehouseData[[#This Row],[picking_time_seconds]]&gt;=60,"Average","Fast"))</f>
        <v>Slow</v>
      </c>
    </row>
    <row r="2829" spans="1:31" x14ac:dyDescent="0.25">
      <c r="A2829" t="s">
        <v>2967</v>
      </c>
      <c r="B2829" t="s">
        <v>48</v>
      </c>
      <c r="C2829">
        <v>87</v>
      </c>
      <c r="D2829">
        <v>71</v>
      </c>
      <c r="E2829">
        <v>12</v>
      </c>
      <c r="F2829">
        <v>5</v>
      </c>
      <c r="G2829">
        <v>40.31</v>
      </c>
      <c r="H2829">
        <v>8.5399999999999991</v>
      </c>
      <c r="I2829">
        <v>0.67</v>
      </c>
      <c r="J2829" t="s">
        <v>84</v>
      </c>
      <c r="K2829" t="s">
        <v>38</v>
      </c>
      <c r="L2829">
        <v>102</v>
      </c>
      <c r="M2829">
        <v>2.62</v>
      </c>
      <c r="N2829">
        <v>15.48</v>
      </c>
      <c r="O2829">
        <v>0.24</v>
      </c>
      <c r="P2829">
        <v>4</v>
      </c>
      <c r="Q2829">
        <v>0.88</v>
      </c>
      <c r="R2829">
        <v>747</v>
      </c>
      <c r="S2829">
        <v>7.84</v>
      </c>
      <c r="T2829">
        <v>0.96</v>
      </c>
      <c r="U2829" s="1">
        <v>45409</v>
      </c>
      <c r="V2829">
        <v>136.22</v>
      </c>
      <c r="W2829">
        <v>0.76900000000000002</v>
      </c>
      <c r="X2829" t="str">
        <f>IF(WarehouseData[[#This Row],[stock_level]]&lt;=WarehouseData[[#This Row],[reorder_point]],"Low Stock","Sufficient Stock")</f>
        <v>Sufficient Stock</v>
      </c>
      <c r="Y2829">
        <f>WarehouseData[[#This Row],[daily_demand]]*WarehouseData[[#This Row],[lead_time_days]]</f>
        <v>201.55</v>
      </c>
      <c r="Z2829" t="str">
        <f>IF(WarehouseData[[#This Row],[stock_level]]&lt;=WarehouseData[[#This Row],[Demand During Lead Time]],"At Risk","Safe")</f>
        <v>At Risk</v>
      </c>
      <c r="AA2829">
        <f>WarehouseData[[#This Row],[stock_level]]/WarehouseData[[#This Row],[daily_demand]]</f>
        <v>2.1582733812949639</v>
      </c>
      <c r="AB2829">
        <f>WarehouseData[[#This Row],[stock_level]]*WarehouseData[[#This Row],[unit_price]]</f>
        <v>1346.76</v>
      </c>
      <c r="AC2829">
        <f>WarehouseData[[#This Row],[stock_level]]*WarehouseData[[#This Row],[holding_cost_per_unit_day]]*30</f>
        <v>626.4</v>
      </c>
      <c r="AD2829" t="str">
        <f>IF(WarehouseData[[#This Row],[order_fulfillment_rate]]&gt;=0.9,"Strong",IF(WarehouseData[[#This Row],[order_fulfillment_rate]]&gt;=0.8,"Moderate","Needs Attention"))</f>
        <v>Moderate</v>
      </c>
      <c r="AE2829" t="str">
        <f>IF(WarehouseData[[#This Row],[picking_time_seconds]]&gt;120,"Slow",IF(WarehouseData[[#This Row],[picking_time_seconds]]&gt;=60,"Average","Fast"))</f>
        <v>Average</v>
      </c>
    </row>
    <row r="2830" spans="1:31" x14ac:dyDescent="0.25">
      <c r="A2830" t="s">
        <v>2968</v>
      </c>
      <c r="B2830" t="s">
        <v>36</v>
      </c>
      <c r="C2830">
        <v>166</v>
      </c>
      <c r="D2830">
        <v>87</v>
      </c>
      <c r="E2830">
        <v>8</v>
      </c>
      <c r="F2830">
        <v>5</v>
      </c>
      <c r="G2830">
        <v>47.4</v>
      </c>
      <c r="H2830">
        <v>3.47</v>
      </c>
      <c r="I2830">
        <v>0.65</v>
      </c>
      <c r="J2830" t="s">
        <v>92</v>
      </c>
      <c r="K2830" t="s">
        <v>46</v>
      </c>
      <c r="L2830">
        <v>72</v>
      </c>
      <c r="M2830">
        <v>3.55</v>
      </c>
      <c r="N2830">
        <v>107.37</v>
      </c>
      <c r="O2830">
        <v>1.67</v>
      </c>
      <c r="P2830">
        <v>0</v>
      </c>
      <c r="Q2830">
        <v>0.75</v>
      </c>
      <c r="R2830">
        <v>411</v>
      </c>
      <c r="S2830">
        <v>12.5</v>
      </c>
      <c r="T2830">
        <v>0.28000000000000003</v>
      </c>
      <c r="U2830" s="1">
        <v>45538</v>
      </c>
      <c r="V2830">
        <v>173.05</v>
      </c>
      <c r="W2830">
        <v>0.60599999999999998</v>
      </c>
      <c r="X2830" t="str">
        <f>IF(WarehouseData[[#This Row],[stock_level]]&lt;=WarehouseData[[#This Row],[reorder_point]],"Low Stock","Sufficient Stock")</f>
        <v>Sufficient Stock</v>
      </c>
      <c r="Y2830">
        <f>WarehouseData[[#This Row],[daily_demand]]*WarehouseData[[#This Row],[lead_time_days]]</f>
        <v>237</v>
      </c>
      <c r="Z2830" t="str">
        <f>IF(WarehouseData[[#This Row],[stock_level]]&lt;=WarehouseData[[#This Row],[Demand During Lead Time]],"At Risk","Safe")</f>
        <v>At Risk</v>
      </c>
      <c r="AA2830">
        <f>WarehouseData[[#This Row],[stock_level]]/WarehouseData[[#This Row],[daily_demand]]</f>
        <v>3.5021097046413505</v>
      </c>
      <c r="AB2830">
        <f>WarehouseData[[#This Row],[stock_level]]*WarehouseData[[#This Row],[unit_price]]</f>
        <v>17823.420000000002</v>
      </c>
      <c r="AC2830">
        <f>WarehouseData[[#This Row],[stock_level]]*WarehouseData[[#This Row],[holding_cost_per_unit_day]]*30</f>
        <v>8316.5999999999985</v>
      </c>
      <c r="AD2830" t="str">
        <f>IF(WarehouseData[[#This Row],[order_fulfillment_rate]]&gt;=0.9,"Strong",IF(WarehouseData[[#This Row],[order_fulfillment_rate]]&gt;=0.8,"Moderate","Needs Attention"))</f>
        <v>Needs Attention</v>
      </c>
      <c r="AE2830" t="str">
        <f>IF(WarehouseData[[#This Row],[picking_time_seconds]]&gt;120,"Slow",IF(WarehouseData[[#This Row],[picking_time_seconds]]&gt;=60,"Average","Fast"))</f>
        <v>Average</v>
      </c>
    </row>
    <row r="2831" spans="1:31" x14ac:dyDescent="0.25">
      <c r="A2831" t="s">
        <v>2969</v>
      </c>
      <c r="B2831" t="s">
        <v>36</v>
      </c>
      <c r="C2831">
        <v>497</v>
      </c>
      <c r="D2831">
        <v>62</v>
      </c>
      <c r="E2831">
        <v>13</v>
      </c>
      <c r="F2831">
        <v>2</v>
      </c>
      <c r="G2831">
        <v>2.57</v>
      </c>
      <c r="H2831">
        <v>5.3</v>
      </c>
      <c r="I2831">
        <v>0.27</v>
      </c>
      <c r="J2831" t="s">
        <v>185</v>
      </c>
      <c r="K2831" t="s">
        <v>38</v>
      </c>
      <c r="L2831">
        <v>41</v>
      </c>
      <c r="M2831">
        <v>3.04</v>
      </c>
      <c r="N2831">
        <v>134.37</v>
      </c>
      <c r="O2831">
        <v>0.31</v>
      </c>
      <c r="P2831">
        <v>7</v>
      </c>
      <c r="Q2831">
        <v>0.81</v>
      </c>
      <c r="R2831">
        <v>177</v>
      </c>
      <c r="S2831">
        <v>11.17</v>
      </c>
      <c r="T2831">
        <v>0.76</v>
      </c>
      <c r="U2831" s="1">
        <v>45487</v>
      </c>
      <c r="V2831">
        <v>257.66000000000003</v>
      </c>
      <c r="W2831">
        <v>0.69199999999999995</v>
      </c>
      <c r="X2831" t="str">
        <f>IF(WarehouseData[[#This Row],[stock_level]]&lt;=WarehouseData[[#This Row],[reorder_point]],"Low Stock","Sufficient Stock")</f>
        <v>Sufficient Stock</v>
      </c>
      <c r="Y2831">
        <f>WarehouseData[[#This Row],[daily_demand]]*WarehouseData[[#This Row],[lead_time_days]]</f>
        <v>5.14</v>
      </c>
      <c r="Z2831" t="str">
        <f>IF(WarehouseData[[#This Row],[stock_level]]&lt;=WarehouseData[[#This Row],[Demand During Lead Time]],"At Risk","Safe")</f>
        <v>Safe</v>
      </c>
      <c r="AA2831">
        <f>WarehouseData[[#This Row],[stock_level]]/WarehouseData[[#This Row],[daily_demand]]</f>
        <v>193.38521400778211</v>
      </c>
      <c r="AB2831">
        <f>WarehouseData[[#This Row],[stock_level]]*WarehouseData[[#This Row],[unit_price]]</f>
        <v>66781.89</v>
      </c>
      <c r="AC2831">
        <f>WarehouseData[[#This Row],[stock_level]]*WarehouseData[[#This Row],[holding_cost_per_unit_day]]*30</f>
        <v>4622.0999999999995</v>
      </c>
      <c r="AD2831" t="str">
        <f>IF(WarehouseData[[#This Row],[order_fulfillment_rate]]&gt;=0.9,"Strong",IF(WarehouseData[[#This Row],[order_fulfillment_rate]]&gt;=0.8,"Moderate","Needs Attention"))</f>
        <v>Moderate</v>
      </c>
      <c r="AE2831" t="str">
        <f>IF(WarehouseData[[#This Row],[picking_time_seconds]]&gt;120,"Slow",IF(WarehouseData[[#This Row],[picking_time_seconds]]&gt;=60,"Average","Fast"))</f>
        <v>Fast</v>
      </c>
    </row>
    <row r="2832" spans="1:31" x14ac:dyDescent="0.25">
      <c r="A2832" t="s">
        <v>2970</v>
      </c>
      <c r="B2832" t="s">
        <v>36</v>
      </c>
      <c r="C2832">
        <v>178</v>
      </c>
      <c r="D2832">
        <v>13</v>
      </c>
      <c r="E2832">
        <v>12</v>
      </c>
      <c r="F2832">
        <v>4</v>
      </c>
      <c r="G2832">
        <v>3.23</v>
      </c>
      <c r="H2832">
        <v>6.68</v>
      </c>
      <c r="I2832">
        <v>0.95</v>
      </c>
      <c r="J2832" t="s">
        <v>54</v>
      </c>
      <c r="K2832" t="s">
        <v>34</v>
      </c>
      <c r="L2832">
        <v>96</v>
      </c>
      <c r="M2832">
        <v>4.6500000000000004</v>
      </c>
      <c r="N2832">
        <v>96.81</v>
      </c>
      <c r="O2832">
        <v>1.1399999999999999</v>
      </c>
      <c r="P2832">
        <v>3</v>
      </c>
      <c r="Q2832">
        <v>0.78</v>
      </c>
      <c r="R2832">
        <v>924</v>
      </c>
      <c r="S2832">
        <v>5.49</v>
      </c>
      <c r="T2832">
        <v>0.52</v>
      </c>
      <c r="U2832" s="1">
        <v>45471</v>
      </c>
      <c r="V2832">
        <v>94.22</v>
      </c>
      <c r="W2832">
        <v>0.55900000000000005</v>
      </c>
      <c r="X2832" t="str">
        <f>IF(WarehouseData[[#This Row],[stock_level]]&lt;=WarehouseData[[#This Row],[reorder_point]],"Low Stock","Sufficient Stock")</f>
        <v>Sufficient Stock</v>
      </c>
      <c r="Y2832">
        <f>WarehouseData[[#This Row],[daily_demand]]*WarehouseData[[#This Row],[lead_time_days]]</f>
        <v>12.92</v>
      </c>
      <c r="Z2832" t="str">
        <f>IF(WarehouseData[[#This Row],[stock_level]]&lt;=WarehouseData[[#This Row],[Demand During Lead Time]],"At Risk","Safe")</f>
        <v>Safe</v>
      </c>
      <c r="AA2832">
        <f>WarehouseData[[#This Row],[stock_level]]/WarehouseData[[#This Row],[daily_demand]]</f>
        <v>55.108359133126932</v>
      </c>
      <c r="AB2832">
        <f>WarehouseData[[#This Row],[stock_level]]*WarehouseData[[#This Row],[unit_price]]</f>
        <v>17232.18</v>
      </c>
      <c r="AC2832">
        <f>WarehouseData[[#This Row],[stock_level]]*WarehouseData[[#This Row],[holding_cost_per_unit_day]]*30</f>
        <v>6087.5999999999995</v>
      </c>
      <c r="AD2832" t="str">
        <f>IF(WarehouseData[[#This Row],[order_fulfillment_rate]]&gt;=0.9,"Strong",IF(WarehouseData[[#This Row],[order_fulfillment_rate]]&gt;=0.8,"Moderate","Needs Attention"))</f>
        <v>Needs Attention</v>
      </c>
      <c r="AE2832" t="str">
        <f>IF(WarehouseData[[#This Row],[picking_time_seconds]]&gt;120,"Slow",IF(WarehouseData[[#This Row],[picking_time_seconds]]&gt;=60,"Average","Fast"))</f>
        <v>Average</v>
      </c>
    </row>
    <row r="2833" spans="1:31" x14ac:dyDescent="0.25">
      <c r="A2833" t="s">
        <v>2971</v>
      </c>
      <c r="B2833" t="s">
        <v>32</v>
      </c>
      <c r="C2833">
        <v>403</v>
      </c>
      <c r="D2833">
        <v>91</v>
      </c>
      <c r="E2833">
        <v>6</v>
      </c>
      <c r="F2833">
        <v>7</v>
      </c>
      <c r="G2833">
        <v>17.88</v>
      </c>
      <c r="H2833">
        <v>3.56</v>
      </c>
      <c r="I2833">
        <v>0.47</v>
      </c>
      <c r="J2833" t="s">
        <v>57</v>
      </c>
      <c r="K2833" t="s">
        <v>34</v>
      </c>
      <c r="L2833">
        <v>60</v>
      </c>
      <c r="M2833">
        <v>0.68</v>
      </c>
      <c r="N2833">
        <v>84</v>
      </c>
      <c r="O2833">
        <v>1.1200000000000001</v>
      </c>
      <c r="P2833">
        <v>4</v>
      </c>
      <c r="Q2833">
        <v>0.89</v>
      </c>
      <c r="R2833">
        <v>572</v>
      </c>
      <c r="S2833">
        <v>12.25</v>
      </c>
      <c r="T2833">
        <v>0.8</v>
      </c>
      <c r="U2833" s="1">
        <v>45593</v>
      </c>
      <c r="V2833">
        <v>262.82</v>
      </c>
      <c r="W2833">
        <v>0.70899999999999996</v>
      </c>
      <c r="X2833" t="str">
        <f>IF(WarehouseData[[#This Row],[stock_level]]&lt;=WarehouseData[[#This Row],[reorder_point]],"Low Stock","Sufficient Stock")</f>
        <v>Sufficient Stock</v>
      </c>
      <c r="Y2833">
        <f>WarehouseData[[#This Row],[daily_demand]]*WarehouseData[[#This Row],[lead_time_days]]</f>
        <v>125.16</v>
      </c>
      <c r="Z2833" t="str">
        <f>IF(WarehouseData[[#This Row],[stock_level]]&lt;=WarehouseData[[#This Row],[Demand During Lead Time]],"At Risk","Safe")</f>
        <v>Safe</v>
      </c>
      <c r="AA2833">
        <f>WarehouseData[[#This Row],[stock_level]]/WarehouseData[[#This Row],[daily_demand]]</f>
        <v>22.539149888143179</v>
      </c>
      <c r="AB2833">
        <f>WarehouseData[[#This Row],[stock_level]]*WarehouseData[[#This Row],[unit_price]]</f>
        <v>33852</v>
      </c>
      <c r="AC2833">
        <f>WarehouseData[[#This Row],[stock_level]]*WarehouseData[[#This Row],[holding_cost_per_unit_day]]*30</f>
        <v>13540.800000000003</v>
      </c>
      <c r="AD2833" t="str">
        <f>IF(WarehouseData[[#This Row],[order_fulfillment_rate]]&gt;=0.9,"Strong",IF(WarehouseData[[#This Row],[order_fulfillment_rate]]&gt;=0.8,"Moderate","Needs Attention"))</f>
        <v>Moderate</v>
      </c>
      <c r="AE2833" t="str">
        <f>IF(WarehouseData[[#This Row],[picking_time_seconds]]&gt;120,"Slow",IF(WarehouseData[[#This Row],[picking_time_seconds]]&gt;=60,"Average","Fast"))</f>
        <v>Average</v>
      </c>
    </row>
    <row r="2834" spans="1:31" x14ac:dyDescent="0.25">
      <c r="A2834" t="s">
        <v>2972</v>
      </c>
      <c r="B2834" t="s">
        <v>36</v>
      </c>
      <c r="C2834">
        <v>182</v>
      </c>
      <c r="D2834">
        <v>34</v>
      </c>
      <c r="E2834">
        <v>10</v>
      </c>
      <c r="F2834">
        <v>5</v>
      </c>
      <c r="G2834">
        <v>5.3</v>
      </c>
      <c r="H2834">
        <v>0.89</v>
      </c>
      <c r="I2834">
        <v>0.12</v>
      </c>
      <c r="J2834" t="s">
        <v>565</v>
      </c>
      <c r="K2834" t="s">
        <v>38</v>
      </c>
      <c r="L2834">
        <v>72</v>
      </c>
      <c r="M2834">
        <v>1.76</v>
      </c>
      <c r="N2834">
        <v>96.34</v>
      </c>
      <c r="O2834">
        <v>0.49</v>
      </c>
      <c r="P2834">
        <v>0</v>
      </c>
      <c r="Q2834">
        <v>0.96</v>
      </c>
      <c r="R2834">
        <v>385</v>
      </c>
      <c r="S2834">
        <v>2.2799999999999998</v>
      </c>
      <c r="T2834">
        <v>0.89</v>
      </c>
      <c r="U2834" s="1">
        <v>45648</v>
      </c>
      <c r="V2834">
        <v>142.94999999999999</v>
      </c>
      <c r="W2834">
        <v>0.751</v>
      </c>
      <c r="X2834" t="str">
        <f>IF(WarehouseData[[#This Row],[stock_level]]&lt;=WarehouseData[[#This Row],[reorder_point]],"Low Stock","Sufficient Stock")</f>
        <v>Sufficient Stock</v>
      </c>
      <c r="Y2834">
        <f>WarehouseData[[#This Row],[daily_demand]]*WarehouseData[[#This Row],[lead_time_days]]</f>
        <v>26.5</v>
      </c>
      <c r="Z2834" t="str">
        <f>IF(WarehouseData[[#This Row],[stock_level]]&lt;=WarehouseData[[#This Row],[Demand During Lead Time]],"At Risk","Safe")</f>
        <v>Safe</v>
      </c>
      <c r="AA2834">
        <f>WarehouseData[[#This Row],[stock_level]]/WarehouseData[[#This Row],[daily_demand]]</f>
        <v>34.339622641509436</v>
      </c>
      <c r="AB2834">
        <f>WarehouseData[[#This Row],[stock_level]]*WarehouseData[[#This Row],[unit_price]]</f>
        <v>17533.88</v>
      </c>
      <c r="AC2834">
        <f>WarehouseData[[#This Row],[stock_level]]*WarehouseData[[#This Row],[holding_cost_per_unit_day]]*30</f>
        <v>2675.3999999999996</v>
      </c>
      <c r="AD2834" t="str">
        <f>IF(WarehouseData[[#This Row],[order_fulfillment_rate]]&gt;=0.9,"Strong",IF(WarehouseData[[#This Row],[order_fulfillment_rate]]&gt;=0.8,"Moderate","Needs Attention"))</f>
        <v>Strong</v>
      </c>
      <c r="AE2834" t="str">
        <f>IF(WarehouseData[[#This Row],[picking_time_seconds]]&gt;120,"Slow",IF(WarehouseData[[#This Row],[picking_time_seconds]]&gt;=60,"Average","Fast"))</f>
        <v>Average</v>
      </c>
    </row>
    <row r="2835" spans="1:31" x14ac:dyDescent="0.25">
      <c r="A2835" t="s">
        <v>2973</v>
      </c>
      <c r="B2835" t="s">
        <v>40</v>
      </c>
      <c r="C2835">
        <v>460</v>
      </c>
      <c r="D2835">
        <v>16</v>
      </c>
      <c r="E2835">
        <v>5</v>
      </c>
      <c r="F2835">
        <v>2</v>
      </c>
      <c r="G2835">
        <v>24.48</v>
      </c>
      <c r="H2835">
        <v>5.21</v>
      </c>
      <c r="I2835">
        <v>0.3</v>
      </c>
      <c r="J2835" t="s">
        <v>43</v>
      </c>
      <c r="K2835" t="s">
        <v>46</v>
      </c>
      <c r="L2835">
        <v>89</v>
      </c>
      <c r="M2835">
        <v>0.76</v>
      </c>
      <c r="N2835">
        <v>158.49</v>
      </c>
      <c r="O2835">
        <v>1.22</v>
      </c>
      <c r="P2835">
        <v>2</v>
      </c>
      <c r="Q2835">
        <v>0.89</v>
      </c>
      <c r="R2835">
        <v>803</v>
      </c>
      <c r="S2835">
        <v>13.25</v>
      </c>
      <c r="T2835">
        <v>0.24</v>
      </c>
      <c r="U2835" s="1">
        <v>45586</v>
      </c>
      <c r="V2835">
        <v>135.47999999999999</v>
      </c>
      <c r="W2835">
        <v>0.64100000000000001</v>
      </c>
      <c r="X2835" t="str">
        <f>IF(WarehouseData[[#This Row],[stock_level]]&lt;=WarehouseData[[#This Row],[reorder_point]],"Low Stock","Sufficient Stock")</f>
        <v>Sufficient Stock</v>
      </c>
      <c r="Y2835">
        <f>WarehouseData[[#This Row],[daily_demand]]*WarehouseData[[#This Row],[lead_time_days]]</f>
        <v>48.96</v>
      </c>
      <c r="Z2835" t="str">
        <f>IF(WarehouseData[[#This Row],[stock_level]]&lt;=WarehouseData[[#This Row],[Demand During Lead Time]],"At Risk","Safe")</f>
        <v>Safe</v>
      </c>
      <c r="AA2835">
        <f>WarehouseData[[#This Row],[stock_level]]/WarehouseData[[#This Row],[daily_demand]]</f>
        <v>18.790849673202615</v>
      </c>
      <c r="AB2835">
        <f>WarehouseData[[#This Row],[stock_level]]*WarehouseData[[#This Row],[unit_price]]</f>
        <v>72905.400000000009</v>
      </c>
      <c r="AC2835">
        <f>WarehouseData[[#This Row],[stock_level]]*WarehouseData[[#This Row],[holding_cost_per_unit_day]]*30</f>
        <v>16835.999999999996</v>
      </c>
      <c r="AD2835" t="str">
        <f>IF(WarehouseData[[#This Row],[order_fulfillment_rate]]&gt;=0.9,"Strong",IF(WarehouseData[[#This Row],[order_fulfillment_rate]]&gt;=0.8,"Moderate","Needs Attention"))</f>
        <v>Moderate</v>
      </c>
      <c r="AE2835" t="str">
        <f>IF(WarehouseData[[#This Row],[picking_time_seconds]]&gt;120,"Slow",IF(WarehouseData[[#This Row],[picking_time_seconds]]&gt;=60,"Average","Fast"))</f>
        <v>Average</v>
      </c>
    </row>
    <row r="2836" spans="1:31" x14ac:dyDescent="0.25">
      <c r="A2836" t="s">
        <v>2974</v>
      </c>
      <c r="B2836" t="s">
        <v>32</v>
      </c>
      <c r="C2836">
        <v>360</v>
      </c>
      <c r="D2836">
        <v>37</v>
      </c>
      <c r="E2836">
        <v>13</v>
      </c>
      <c r="F2836">
        <v>8</v>
      </c>
      <c r="G2836">
        <v>36.71</v>
      </c>
      <c r="H2836">
        <v>0.62</v>
      </c>
      <c r="I2836">
        <v>0.72</v>
      </c>
      <c r="J2836" t="s">
        <v>66</v>
      </c>
      <c r="K2836" t="s">
        <v>38</v>
      </c>
      <c r="L2836">
        <v>96</v>
      </c>
      <c r="M2836">
        <v>1.38</v>
      </c>
      <c r="N2836">
        <v>16.37</v>
      </c>
      <c r="O2836">
        <v>1.06</v>
      </c>
      <c r="P2836">
        <v>1</v>
      </c>
      <c r="Q2836">
        <v>0.86</v>
      </c>
      <c r="R2836">
        <v>742</v>
      </c>
      <c r="S2836">
        <v>10.53</v>
      </c>
      <c r="T2836">
        <v>0.95</v>
      </c>
      <c r="U2836" s="1">
        <v>45342</v>
      </c>
      <c r="V2836">
        <v>124.96</v>
      </c>
      <c r="W2836">
        <v>0.77600000000000002</v>
      </c>
      <c r="X2836" t="str">
        <f>IF(WarehouseData[[#This Row],[stock_level]]&lt;=WarehouseData[[#This Row],[reorder_point]],"Low Stock","Sufficient Stock")</f>
        <v>Sufficient Stock</v>
      </c>
      <c r="Y2836">
        <f>WarehouseData[[#This Row],[daily_demand]]*WarehouseData[[#This Row],[lead_time_days]]</f>
        <v>293.68</v>
      </c>
      <c r="Z2836" t="str">
        <f>IF(WarehouseData[[#This Row],[stock_level]]&lt;=WarehouseData[[#This Row],[Demand During Lead Time]],"At Risk","Safe")</f>
        <v>Safe</v>
      </c>
      <c r="AA2836">
        <f>WarehouseData[[#This Row],[stock_level]]/WarehouseData[[#This Row],[daily_demand]]</f>
        <v>9.8065922092073006</v>
      </c>
      <c r="AB2836">
        <f>WarehouseData[[#This Row],[stock_level]]*WarehouseData[[#This Row],[unit_price]]</f>
        <v>5893.2000000000007</v>
      </c>
      <c r="AC2836">
        <f>WarehouseData[[#This Row],[stock_level]]*WarehouseData[[#This Row],[holding_cost_per_unit_day]]*30</f>
        <v>11448</v>
      </c>
      <c r="AD2836" t="str">
        <f>IF(WarehouseData[[#This Row],[order_fulfillment_rate]]&gt;=0.9,"Strong",IF(WarehouseData[[#This Row],[order_fulfillment_rate]]&gt;=0.8,"Moderate","Needs Attention"))</f>
        <v>Moderate</v>
      </c>
      <c r="AE2836" t="str">
        <f>IF(WarehouseData[[#This Row],[picking_time_seconds]]&gt;120,"Slow",IF(WarehouseData[[#This Row],[picking_time_seconds]]&gt;=60,"Average","Fast"))</f>
        <v>Average</v>
      </c>
    </row>
    <row r="2837" spans="1:31" x14ac:dyDescent="0.25">
      <c r="A2837" t="s">
        <v>2975</v>
      </c>
      <c r="B2837" t="s">
        <v>73</v>
      </c>
      <c r="C2837">
        <v>208</v>
      </c>
      <c r="D2837">
        <v>78</v>
      </c>
      <c r="E2837">
        <v>7</v>
      </c>
      <c r="F2837">
        <v>3</v>
      </c>
      <c r="G2837">
        <v>28.78</v>
      </c>
      <c r="H2837">
        <v>9.5299999999999994</v>
      </c>
      <c r="I2837">
        <v>0.28000000000000003</v>
      </c>
      <c r="J2837" t="s">
        <v>340</v>
      </c>
      <c r="K2837" t="s">
        <v>46</v>
      </c>
      <c r="L2837">
        <v>119</v>
      </c>
      <c r="M2837">
        <v>1.06</v>
      </c>
      <c r="N2837">
        <v>158.93</v>
      </c>
      <c r="O2837">
        <v>1.07</v>
      </c>
      <c r="P2837">
        <v>1</v>
      </c>
      <c r="Q2837">
        <v>0.9</v>
      </c>
      <c r="R2837">
        <v>314</v>
      </c>
      <c r="S2837">
        <v>13.98</v>
      </c>
      <c r="T2837">
        <v>0.25</v>
      </c>
      <c r="U2837" s="1">
        <v>45509</v>
      </c>
      <c r="V2837">
        <v>266.99</v>
      </c>
      <c r="W2837">
        <v>0.68899999999999995</v>
      </c>
      <c r="X2837" t="str">
        <f>IF(WarehouseData[[#This Row],[stock_level]]&lt;=WarehouseData[[#This Row],[reorder_point]],"Low Stock","Sufficient Stock")</f>
        <v>Sufficient Stock</v>
      </c>
      <c r="Y2837">
        <f>WarehouseData[[#This Row],[daily_demand]]*WarehouseData[[#This Row],[lead_time_days]]</f>
        <v>86.34</v>
      </c>
      <c r="Z2837" t="str">
        <f>IF(WarehouseData[[#This Row],[stock_level]]&lt;=WarehouseData[[#This Row],[Demand During Lead Time]],"At Risk","Safe")</f>
        <v>Safe</v>
      </c>
      <c r="AA2837">
        <f>WarehouseData[[#This Row],[stock_level]]/WarehouseData[[#This Row],[daily_demand]]</f>
        <v>7.2272411396803333</v>
      </c>
      <c r="AB2837">
        <f>WarehouseData[[#This Row],[stock_level]]*WarehouseData[[#This Row],[unit_price]]</f>
        <v>33057.440000000002</v>
      </c>
      <c r="AC2837">
        <f>WarehouseData[[#This Row],[stock_level]]*WarehouseData[[#This Row],[holding_cost_per_unit_day]]*30</f>
        <v>6676.8</v>
      </c>
      <c r="AD2837" t="str">
        <f>IF(WarehouseData[[#This Row],[order_fulfillment_rate]]&gt;=0.9,"Strong",IF(WarehouseData[[#This Row],[order_fulfillment_rate]]&gt;=0.8,"Moderate","Needs Attention"))</f>
        <v>Strong</v>
      </c>
      <c r="AE2837" t="str">
        <f>IF(WarehouseData[[#This Row],[picking_time_seconds]]&gt;120,"Slow",IF(WarehouseData[[#This Row],[picking_time_seconds]]&gt;=60,"Average","Fast"))</f>
        <v>Average</v>
      </c>
    </row>
    <row r="2838" spans="1:31" x14ac:dyDescent="0.25">
      <c r="A2838" t="s">
        <v>2976</v>
      </c>
      <c r="B2838" t="s">
        <v>36</v>
      </c>
      <c r="C2838">
        <v>434</v>
      </c>
      <c r="D2838">
        <v>76</v>
      </c>
      <c r="E2838">
        <v>3</v>
      </c>
      <c r="F2838">
        <v>8</v>
      </c>
      <c r="G2838">
        <v>10.63</v>
      </c>
      <c r="H2838">
        <v>8.07</v>
      </c>
      <c r="I2838">
        <v>0.15</v>
      </c>
      <c r="J2838" t="s">
        <v>49</v>
      </c>
      <c r="K2838" t="s">
        <v>34</v>
      </c>
      <c r="L2838">
        <v>110</v>
      </c>
      <c r="M2838">
        <v>3.8</v>
      </c>
      <c r="N2838">
        <v>136.61000000000001</v>
      </c>
      <c r="O2838">
        <v>0.78</v>
      </c>
      <c r="P2838">
        <v>0</v>
      </c>
      <c r="Q2838">
        <v>0.71</v>
      </c>
      <c r="R2838">
        <v>244</v>
      </c>
      <c r="S2838">
        <v>13.54</v>
      </c>
      <c r="T2838">
        <v>0.8</v>
      </c>
      <c r="U2838" s="1">
        <v>45360</v>
      </c>
      <c r="V2838">
        <v>82.79</v>
      </c>
      <c r="W2838">
        <v>0.80500000000000005</v>
      </c>
      <c r="X2838" t="str">
        <f>IF(WarehouseData[[#This Row],[stock_level]]&lt;=WarehouseData[[#This Row],[reorder_point]],"Low Stock","Sufficient Stock")</f>
        <v>Sufficient Stock</v>
      </c>
      <c r="Y2838">
        <f>WarehouseData[[#This Row],[daily_demand]]*WarehouseData[[#This Row],[lead_time_days]]</f>
        <v>85.04</v>
      </c>
      <c r="Z2838" t="str">
        <f>IF(WarehouseData[[#This Row],[stock_level]]&lt;=WarehouseData[[#This Row],[Demand During Lead Time]],"At Risk","Safe")</f>
        <v>Safe</v>
      </c>
      <c r="AA2838">
        <f>WarehouseData[[#This Row],[stock_level]]/WarehouseData[[#This Row],[daily_demand]]</f>
        <v>40.827845719661333</v>
      </c>
      <c r="AB2838">
        <f>WarehouseData[[#This Row],[stock_level]]*WarehouseData[[#This Row],[unit_price]]</f>
        <v>59288.740000000005</v>
      </c>
      <c r="AC2838">
        <f>WarehouseData[[#This Row],[stock_level]]*WarehouseData[[#This Row],[holding_cost_per_unit_day]]*30</f>
        <v>10155.6</v>
      </c>
      <c r="AD2838" t="str">
        <f>IF(WarehouseData[[#This Row],[order_fulfillment_rate]]&gt;=0.9,"Strong",IF(WarehouseData[[#This Row],[order_fulfillment_rate]]&gt;=0.8,"Moderate","Needs Attention"))</f>
        <v>Needs Attention</v>
      </c>
      <c r="AE2838" t="str">
        <f>IF(WarehouseData[[#This Row],[picking_time_seconds]]&gt;120,"Slow",IF(WarehouseData[[#This Row],[picking_time_seconds]]&gt;=60,"Average","Fast"))</f>
        <v>Average</v>
      </c>
    </row>
    <row r="2839" spans="1:31" x14ac:dyDescent="0.25">
      <c r="A2839" t="s">
        <v>2977</v>
      </c>
      <c r="B2839" t="s">
        <v>36</v>
      </c>
      <c r="C2839">
        <v>358</v>
      </c>
      <c r="D2839">
        <v>29</v>
      </c>
      <c r="E2839">
        <v>8</v>
      </c>
      <c r="F2839">
        <v>2</v>
      </c>
      <c r="G2839">
        <v>33.090000000000003</v>
      </c>
      <c r="H2839">
        <v>2.3199999999999998</v>
      </c>
      <c r="I2839">
        <v>0.66</v>
      </c>
      <c r="J2839" t="s">
        <v>265</v>
      </c>
      <c r="K2839" t="s">
        <v>46</v>
      </c>
      <c r="L2839">
        <v>138</v>
      </c>
      <c r="M2839">
        <v>2.16</v>
      </c>
      <c r="N2839">
        <v>55.87</v>
      </c>
      <c r="O2839">
        <v>1.69</v>
      </c>
      <c r="P2839">
        <v>5</v>
      </c>
      <c r="Q2839">
        <v>0.74</v>
      </c>
      <c r="R2839">
        <v>807</v>
      </c>
      <c r="S2839">
        <v>6.32</v>
      </c>
      <c r="T2839">
        <v>0.26</v>
      </c>
      <c r="U2839" s="1">
        <v>45422</v>
      </c>
      <c r="V2839">
        <v>258.64</v>
      </c>
      <c r="W2839">
        <v>0.41499999999999998</v>
      </c>
      <c r="X2839" t="str">
        <f>IF(WarehouseData[[#This Row],[stock_level]]&lt;=WarehouseData[[#This Row],[reorder_point]],"Low Stock","Sufficient Stock")</f>
        <v>Sufficient Stock</v>
      </c>
      <c r="Y2839">
        <f>WarehouseData[[#This Row],[daily_demand]]*WarehouseData[[#This Row],[lead_time_days]]</f>
        <v>66.180000000000007</v>
      </c>
      <c r="Z2839" t="str">
        <f>IF(WarehouseData[[#This Row],[stock_level]]&lt;=WarehouseData[[#This Row],[Demand During Lead Time]],"At Risk","Safe")</f>
        <v>Safe</v>
      </c>
      <c r="AA2839">
        <f>WarehouseData[[#This Row],[stock_level]]/WarehouseData[[#This Row],[daily_demand]]</f>
        <v>10.818978543366574</v>
      </c>
      <c r="AB2839">
        <f>WarehouseData[[#This Row],[stock_level]]*WarehouseData[[#This Row],[unit_price]]</f>
        <v>20001.46</v>
      </c>
      <c r="AC2839">
        <f>WarehouseData[[#This Row],[stock_level]]*WarehouseData[[#This Row],[holding_cost_per_unit_day]]*30</f>
        <v>18150.599999999999</v>
      </c>
      <c r="AD2839" t="str">
        <f>IF(WarehouseData[[#This Row],[order_fulfillment_rate]]&gt;=0.9,"Strong",IF(WarehouseData[[#This Row],[order_fulfillment_rate]]&gt;=0.8,"Moderate","Needs Attention"))</f>
        <v>Needs Attention</v>
      </c>
      <c r="AE2839" t="str">
        <f>IF(WarehouseData[[#This Row],[picking_time_seconds]]&gt;120,"Slow",IF(WarehouseData[[#This Row],[picking_time_seconds]]&gt;=60,"Average","Fast"))</f>
        <v>Slow</v>
      </c>
    </row>
    <row r="2840" spans="1:31" x14ac:dyDescent="0.25">
      <c r="A2840" t="s">
        <v>2978</v>
      </c>
      <c r="B2840" t="s">
        <v>73</v>
      </c>
      <c r="C2840">
        <v>114</v>
      </c>
      <c r="D2840">
        <v>92</v>
      </c>
      <c r="E2840">
        <v>13</v>
      </c>
      <c r="F2840">
        <v>2</v>
      </c>
      <c r="G2840">
        <v>34.56</v>
      </c>
      <c r="H2840">
        <v>3.23</v>
      </c>
      <c r="I2840">
        <v>0.56999999999999995</v>
      </c>
      <c r="J2840" t="s">
        <v>183</v>
      </c>
      <c r="K2840" t="s">
        <v>52</v>
      </c>
      <c r="L2840">
        <v>28</v>
      </c>
      <c r="M2840">
        <v>4.66</v>
      </c>
      <c r="N2840">
        <v>109.7</v>
      </c>
      <c r="O2840">
        <v>0.26</v>
      </c>
      <c r="P2840">
        <v>7</v>
      </c>
      <c r="Q2840">
        <v>0.73</v>
      </c>
      <c r="R2840">
        <v>149</v>
      </c>
      <c r="S2840">
        <v>13</v>
      </c>
      <c r="T2840">
        <v>0.89</v>
      </c>
      <c r="U2840" s="1">
        <v>45536</v>
      </c>
      <c r="V2840">
        <v>35.840000000000003</v>
      </c>
      <c r="W2840">
        <v>0.73099999999999998</v>
      </c>
      <c r="X2840" t="str">
        <f>IF(WarehouseData[[#This Row],[stock_level]]&lt;=WarehouseData[[#This Row],[reorder_point]],"Low Stock","Sufficient Stock")</f>
        <v>Sufficient Stock</v>
      </c>
      <c r="Y2840">
        <f>WarehouseData[[#This Row],[daily_demand]]*WarehouseData[[#This Row],[lead_time_days]]</f>
        <v>69.12</v>
      </c>
      <c r="Z2840" t="str">
        <f>IF(WarehouseData[[#This Row],[stock_level]]&lt;=WarehouseData[[#This Row],[Demand During Lead Time]],"At Risk","Safe")</f>
        <v>Safe</v>
      </c>
      <c r="AA2840">
        <f>WarehouseData[[#This Row],[stock_level]]/WarehouseData[[#This Row],[daily_demand]]</f>
        <v>3.2986111111111107</v>
      </c>
      <c r="AB2840">
        <f>WarehouseData[[#This Row],[stock_level]]*WarehouseData[[#This Row],[unit_price]]</f>
        <v>12505.800000000001</v>
      </c>
      <c r="AC2840">
        <f>WarehouseData[[#This Row],[stock_level]]*WarehouseData[[#This Row],[holding_cost_per_unit_day]]*30</f>
        <v>889.2</v>
      </c>
      <c r="AD2840" t="str">
        <f>IF(WarehouseData[[#This Row],[order_fulfillment_rate]]&gt;=0.9,"Strong",IF(WarehouseData[[#This Row],[order_fulfillment_rate]]&gt;=0.8,"Moderate","Needs Attention"))</f>
        <v>Needs Attention</v>
      </c>
      <c r="AE2840" t="str">
        <f>IF(WarehouseData[[#This Row],[picking_time_seconds]]&gt;120,"Slow",IF(WarehouseData[[#This Row],[picking_time_seconds]]&gt;=60,"Average","Fast"))</f>
        <v>Fast</v>
      </c>
    </row>
    <row r="2841" spans="1:31" x14ac:dyDescent="0.25">
      <c r="A2841" t="s">
        <v>2979</v>
      </c>
      <c r="B2841" t="s">
        <v>36</v>
      </c>
      <c r="C2841">
        <v>200</v>
      </c>
      <c r="D2841">
        <v>20</v>
      </c>
      <c r="E2841">
        <v>7</v>
      </c>
      <c r="F2841">
        <v>2</v>
      </c>
      <c r="G2841">
        <v>46.69</v>
      </c>
      <c r="H2841">
        <v>9.84</v>
      </c>
      <c r="I2841">
        <v>0.79</v>
      </c>
      <c r="J2841" t="s">
        <v>281</v>
      </c>
      <c r="K2841" t="s">
        <v>34</v>
      </c>
      <c r="L2841">
        <v>110</v>
      </c>
      <c r="M2841">
        <v>0.61</v>
      </c>
      <c r="N2841">
        <v>19.37</v>
      </c>
      <c r="O2841">
        <v>0.93</v>
      </c>
      <c r="P2841">
        <v>2</v>
      </c>
      <c r="Q2841">
        <v>0.73</v>
      </c>
      <c r="R2841">
        <v>613</v>
      </c>
      <c r="S2841">
        <v>8.8800000000000008</v>
      </c>
      <c r="T2841">
        <v>0.36</v>
      </c>
      <c r="U2841" s="1">
        <v>45411</v>
      </c>
      <c r="V2841">
        <v>287.05</v>
      </c>
      <c r="W2841">
        <v>0.60299999999999998</v>
      </c>
      <c r="X2841" t="str">
        <f>IF(WarehouseData[[#This Row],[stock_level]]&lt;=WarehouseData[[#This Row],[reorder_point]],"Low Stock","Sufficient Stock")</f>
        <v>Sufficient Stock</v>
      </c>
      <c r="Y2841">
        <f>WarehouseData[[#This Row],[daily_demand]]*WarehouseData[[#This Row],[lead_time_days]]</f>
        <v>93.38</v>
      </c>
      <c r="Z2841" t="str">
        <f>IF(WarehouseData[[#This Row],[stock_level]]&lt;=WarehouseData[[#This Row],[Demand During Lead Time]],"At Risk","Safe")</f>
        <v>Safe</v>
      </c>
      <c r="AA2841">
        <f>WarehouseData[[#This Row],[stock_level]]/WarehouseData[[#This Row],[daily_demand]]</f>
        <v>4.2835724994645537</v>
      </c>
      <c r="AB2841">
        <f>WarehouseData[[#This Row],[stock_level]]*WarehouseData[[#This Row],[unit_price]]</f>
        <v>3874</v>
      </c>
      <c r="AC2841">
        <f>WarehouseData[[#This Row],[stock_level]]*WarehouseData[[#This Row],[holding_cost_per_unit_day]]*30</f>
        <v>5580</v>
      </c>
      <c r="AD2841" t="str">
        <f>IF(WarehouseData[[#This Row],[order_fulfillment_rate]]&gt;=0.9,"Strong",IF(WarehouseData[[#This Row],[order_fulfillment_rate]]&gt;=0.8,"Moderate","Needs Attention"))</f>
        <v>Needs Attention</v>
      </c>
      <c r="AE2841" t="str">
        <f>IF(WarehouseData[[#This Row],[picking_time_seconds]]&gt;120,"Slow",IF(WarehouseData[[#This Row],[picking_time_seconds]]&gt;=60,"Average","Fast"))</f>
        <v>Average</v>
      </c>
    </row>
    <row r="2842" spans="1:31" x14ac:dyDescent="0.25">
      <c r="A2842" t="s">
        <v>2980</v>
      </c>
      <c r="B2842" t="s">
        <v>73</v>
      </c>
      <c r="C2842">
        <v>307</v>
      </c>
      <c r="D2842">
        <v>76</v>
      </c>
      <c r="E2842">
        <v>10</v>
      </c>
      <c r="F2842">
        <v>5</v>
      </c>
      <c r="G2842">
        <v>8.19</v>
      </c>
      <c r="H2842">
        <v>4.05</v>
      </c>
      <c r="I2842">
        <v>0.8</v>
      </c>
      <c r="J2842" t="s">
        <v>51</v>
      </c>
      <c r="K2842" t="s">
        <v>52</v>
      </c>
      <c r="L2842">
        <v>172</v>
      </c>
      <c r="M2842">
        <v>3.44</v>
      </c>
      <c r="N2842">
        <v>82.12</v>
      </c>
      <c r="O2842">
        <v>0.59</v>
      </c>
      <c r="P2842">
        <v>0</v>
      </c>
      <c r="Q2842">
        <v>0.78</v>
      </c>
      <c r="R2842">
        <v>420</v>
      </c>
      <c r="S2842">
        <v>3.2</v>
      </c>
      <c r="T2842">
        <v>0.55000000000000004</v>
      </c>
      <c r="U2842" s="1">
        <v>45334</v>
      </c>
      <c r="V2842">
        <v>155.87</v>
      </c>
      <c r="W2842">
        <v>0.65</v>
      </c>
      <c r="X2842" t="str">
        <f>IF(WarehouseData[[#This Row],[stock_level]]&lt;=WarehouseData[[#This Row],[reorder_point]],"Low Stock","Sufficient Stock")</f>
        <v>Sufficient Stock</v>
      </c>
      <c r="Y2842">
        <f>WarehouseData[[#This Row],[daily_demand]]*WarehouseData[[#This Row],[lead_time_days]]</f>
        <v>40.949999999999996</v>
      </c>
      <c r="Z2842" t="str">
        <f>IF(WarehouseData[[#This Row],[stock_level]]&lt;=WarehouseData[[#This Row],[Demand During Lead Time]],"At Risk","Safe")</f>
        <v>Safe</v>
      </c>
      <c r="AA2842">
        <f>WarehouseData[[#This Row],[stock_level]]/WarehouseData[[#This Row],[daily_demand]]</f>
        <v>37.484737484737487</v>
      </c>
      <c r="AB2842">
        <f>WarehouseData[[#This Row],[stock_level]]*WarehouseData[[#This Row],[unit_price]]</f>
        <v>25210.84</v>
      </c>
      <c r="AC2842">
        <f>WarehouseData[[#This Row],[stock_level]]*WarehouseData[[#This Row],[holding_cost_per_unit_day]]*30</f>
        <v>5433.9</v>
      </c>
      <c r="AD2842" t="str">
        <f>IF(WarehouseData[[#This Row],[order_fulfillment_rate]]&gt;=0.9,"Strong",IF(WarehouseData[[#This Row],[order_fulfillment_rate]]&gt;=0.8,"Moderate","Needs Attention"))</f>
        <v>Needs Attention</v>
      </c>
      <c r="AE2842" t="str">
        <f>IF(WarehouseData[[#This Row],[picking_time_seconds]]&gt;120,"Slow",IF(WarehouseData[[#This Row],[picking_time_seconds]]&gt;=60,"Average","Fast"))</f>
        <v>Slow</v>
      </c>
    </row>
    <row r="2843" spans="1:31" x14ac:dyDescent="0.25">
      <c r="A2843" t="s">
        <v>2981</v>
      </c>
      <c r="B2843" t="s">
        <v>32</v>
      </c>
      <c r="C2843">
        <v>341</v>
      </c>
      <c r="D2843">
        <v>96</v>
      </c>
      <c r="E2843">
        <v>11</v>
      </c>
      <c r="F2843">
        <v>2</v>
      </c>
      <c r="G2843">
        <v>34.92</v>
      </c>
      <c r="H2843">
        <v>7.95</v>
      </c>
      <c r="I2843">
        <v>0.96</v>
      </c>
      <c r="J2843" t="s">
        <v>33</v>
      </c>
      <c r="K2843" t="s">
        <v>34</v>
      </c>
      <c r="L2843">
        <v>103</v>
      </c>
      <c r="M2843">
        <v>4.87</v>
      </c>
      <c r="N2843">
        <v>43.07</v>
      </c>
      <c r="O2843">
        <v>1.71</v>
      </c>
      <c r="P2843">
        <v>9</v>
      </c>
      <c r="Q2843">
        <v>0.86</v>
      </c>
      <c r="R2843">
        <v>958</v>
      </c>
      <c r="S2843">
        <v>12.61</v>
      </c>
      <c r="T2843">
        <v>0.95</v>
      </c>
      <c r="U2843" s="1">
        <v>45437</v>
      </c>
      <c r="V2843">
        <v>299.68</v>
      </c>
      <c r="W2843">
        <v>0.57899999999999996</v>
      </c>
      <c r="X2843" t="str">
        <f>IF(WarehouseData[[#This Row],[stock_level]]&lt;=WarehouseData[[#This Row],[reorder_point]],"Low Stock","Sufficient Stock")</f>
        <v>Sufficient Stock</v>
      </c>
      <c r="Y2843">
        <f>WarehouseData[[#This Row],[daily_demand]]*WarehouseData[[#This Row],[lead_time_days]]</f>
        <v>69.84</v>
      </c>
      <c r="Z2843" t="str">
        <f>IF(WarehouseData[[#This Row],[stock_level]]&lt;=WarehouseData[[#This Row],[Demand During Lead Time]],"At Risk","Safe")</f>
        <v>Safe</v>
      </c>
      <c r="AA2843">
        <f>WarehouseData[[#This Row],[stock_level]]/WarehouseData[[#This Row],[daily_demand]]</f>
        <v>9.7651775486827024</v>
      </c>
      <c r="AB2843">
        <f>WarehouseData[[#This Row],[stock_level]]*WarehouseData[[#This Row],[unit_price]]</f>
        <v>14686.87</v>
      </c>
      <c r="AC2843">
        <f>WarehouseData[[#This Row],[stock_level]]*WarehouseData[[#This Row],[holding_cost_per_unit_day]]*30</f>
        <v>17493.3</v>
      </c>
      <c r="AD2843" t="str">
        <f>IF(WarehouseData[[#This Row],[order_fulfillment_rate]]&gt;=0.9,"Strong",IF(WarehouseData[[#This Row],[order_fulfillment_rate]]&gt;=0.8,"Moderate","Needs Attention"))</f>
        <v>Moderate</v>
      </c>
      <c r="AE2843" t="str">
        <f>IF(WarehouseData[[#This Row],[picking_time_seconds]]&gt;120,"Slow",IF(WarehouseData[[#This Row],[picking_time_seconds]]&gt;=60,"Average","Fast"))</f>
        <v>Average</v>
      </c>
    </row>
    <row r="2844" spans="1:31" x14ac:dyDescent="0.25">
      <c r="A2844" t="s">
        <v>2982</v>
      </c>
      <c r="B2844" t="s">
        <v>40</v>
      </c>
      <c r="C2844">
        <v>206</v>
      </c>
      <c r="D2844">
        <v>16</v>
      </c>
      <c r="E2844">
        <v>10</v>
      </c>
      <c r="F2844">
        <v>3</v>
      </c>
      <c r="G2844">
        <v>45.66</v>
      </c>
      <c r="H2844">
        <v>4.74</v>
      </c>
      <c r="I2844">
        <v>0.15</v>
      </c>
      <c r="J2844" t="s">
        <v>77</v>
      </c>
      <c r="K2844" t="s">
        <v>34</v>
      </c>
      <c r="L2844">
        <v>90</v>
      </c>
      <c r="M2844">
        <v>1.29</v>
      </c>
      <c r="N2844">
        <v>14.24</v>
      </c>
      <c r="O2844">
        <v>0.53</v>
      </c>
      <c r="P2844">
        <v>1</v>
      </c>
      <c r="Q2844">
        <v>0.73</v>
      </c>
      <c r="R2844">
        <v>946</v>
      </c>
      <c r="S2844">
        <v>13.71</v>
      </c>
      <c r="T2844">
        <v>0.83</v>
      </c>
      <c r="U2844" s="1">
        <v>45598</v>
      </c>
      <c r="V2844">
        <v>186.3</v>
      </c>
      <c r="W2844">
        <v>0.82199999999999995</v>
      </c>
      <c r="X2844" t="str">
        <f>IF(WarehouseData[[#This Row],[stock_level]]&lt;=WarehouseData[[#This Row],[reorder_point]],"Low Stock","Sufficient Stock")</f>
        <v>Sufficient Stock</v>
      </c>
      <c r="Y2844">
        <f>WarehouseData[[#This Row],[daily_demand]]*WarehouseData[[#This Row],[lead_time_days]]</f>
        <v>136.97999999999999</v>
      </c>
      <c r="Z2844" t="str">
        <f>IF(WarehouseData[[#This Row],[stock_level]]&lt;=WarehouseData[[#This Row],[Demand During Lead Time]],"At Risk","Safe")</f>
        <v>Safe</v>
      </c>
      <c r="AA2844">
        <f>WarehouseData[[#This Row],[stock_level]]/WarehouseData[[#This Row],[daily_demand]]</f>
        <v>4.5116075339465622</v>
      </c>
      <c r="AB2844">
        <f>WarehouseData[[#This Row],[stock_level]]*WarehouseData[[#This Row],[unit_price]]</f>
        <v>2933.44</v>
      </c>
      <c r="AC2844">
        <f>WarehouseData[[#This Row],[stock_level]]*WarehouseData[[#This Row],[holding_cost_per_unit_day]]*30</f>
        <v>3275.4</v>
      </c>
      <c r="AD2844" t="str">
        <f>IF(WarehouseData[[#This Row],[order_fulfillment_rate]]&gt;=0.9,"Strong",IF(WarehouseData[[#This Row],[order_fulfillment_rate]]&gt;=0.8,"Moderate","Needs Attention"))</f>
        <v>Needs Attention</v>
      </c>
      <c r="AE2844" t="str">
        <f>IF(WarehouseData[[#This Row],[picking_time_seconds]]&gt;120,"Slow",IF(WarehouseData[[#This Row],[picking_time_seconds]]&gt;=60,"Average","Fast"))</f>
        <v>Average</v>
      </c>
    </row>
    <row r="2845" spans="1:31" x14ac:dyDescent="0.25">
      <c r="A2845" t="s">
        <v>2983</v>
      </c>
      <c r="B2845" t="s">
        <v>73</v>
      </c>
      <c r="C2845">
        <v>391</v>
      </c>
      <c r="D2845">
        <v>32</v>
      </c>
      <c r="E2845">
        <v>10</v>
      </c>
      <c r="F2845">
        <v>5</v>
      </c>
      <c r="G2845">
        <v>25.58</v>
      </c>
      <c r="H2845">
        <v>8.7100000000000009</v>
      </c>
      <c r="I2845">
        <v>0.14000000000000001</v>
      </c>
      <c r="J2845" t="s">
        <v>265</v>
      </c>
      <c r="K2845" t="s">
        <v>52</v>
      </c>
      <c r="L2845">
        <v>112</v>
      </c>
      <c r="M2845">
        <v>2.4900000000000002</v>
      </c>
      <c r="N2845">
        <v>77.849999999999994</v>
      </c>
      <c r="O2845">
        <v>1.56</v>
      </c>
      <c r="P2845">
        <v>2</v>
      </c>
      <c r="Q2845">
        <v>0.98</v>
      </c>
      <c r="R2845">
        <v>477</v>
      </c>
      <c r="S2845">
        <v>2.1800000000000002</v>
      </c>
      <c r="T2845">
        <v>0.83</v>
      </c>
      <c r="U2845" s="1">
        <v>45570</v>
      </c>
      <c r="V2845">
        <v>44.1</v>
      </c>
      <c r="W2845">
        <v>0.59499999999999997</v>
      </c>
      <c r="X2845" t="str">
        <f>IF(WarehouseData[[#This Row],[stock_level]]&lt;=WarehouseData[[#This Row],[reorder_point]],"Low Stock","Sufficient Stock")</f>
        <v>Sufficient Stock</v>
      </c>
      <c r="Y2845">
        <f>WarehouseData[[#This Row],[daily_demand]]*WarehouseData[[#This Row],[lead_time_days]]</f>
        <v>127.89999999999999</v>
      </c>
      <c r="Z2845" t="str">
        <f>IF(WarehouseData[[#This Row],[stock_level]]&lt;=WarehouseData[[#This Row],[Demand During Lead Time]],"At Risk","Safe")</f>
        <v>Safe</v>
      </c>
      <c r="AA2845">
        <f>WarehouseData[[#This Row],[stock_level]]/WarehouseData[[#This Row],[daily_demand]]</f>
        <v>15.285379202501955</v>
      </c>
      <c r="AB2845">
        <f>WarehouseData[[#This Row],[stock_level]]*WarehouseData[[#This Row],[unit_price]]</f>
        <v>30439.35</v>
      </c>
      <c r="AC2845">
        <f>WarehouseData[[#This Row],[stock_level]]*WarehouseData[[#This Row],[holding_cost_per_unit_day]]*30</f>
        <v>18298.800000000003</v>
      </c>
      <c r="AD2845" t="str">
        <f>IF(WarehouseData[[#This Row],[order_fulfillment_rate]]&gt;=0.9,"Strong",IF(WarehouseData[[#This Row],[order_fulfillment_rate]]&gt;=0.8,"Moderate","Needs Attention"))</f>
        <v>Strong</v>
      </c>
      <c r="AE2845" t="str">
        <f>IF(WarehouseData[[#This Row],[picking_time_seconds]]&gt;120,"Slow",IF(WarehouseData[[#This Row],[picking_time_seconds]]&gt;=60,"Average","Fast"))</f>
        <v>Average</v>
      </c>
    </row>
    <row r="2846" spans="1:31" x14ac:dyDescent="0.25">
      <c r="A2846" t="s">
        <v>2984</v>
      </c>
      <c r="B2846" t="s">
        <v>48</v>
      </c>
      <c r="C2846">
        <v>157</v>
      </c>
      <c r="D2846">
        <v>70</v>
      </c>
      <c r="E2846">
        <v>14</v>
      </c>
      <c r="F2846">
        <v>8</v>
      </c>
      <c r="G2846">
        <v>18.73</v>
      </c>
      <c r="H2846">
        <v>7.19</v>
      </c>
      <c r="I2846">
        <v>0.99</v>
      </c>
      <c r="J2846" t="s">
        <v>122</v>
      </c>
      <c r="K2846" t="s">
        <v>38</v>
      </c>
      <c r="L2846">
        <v>122</v>
      </c>
      <c r="M2846">
        <v>3.66</v>
      </c>
      <c r="N2846">
        <v>147.96</v>
      </c>
      <c r="O2846">
        <v>1.26</v>
      </c>
      <c r="P2846">
        <v>5</v>
      </c>
      <c r="Q2846">
        <v>0.96</v>
      </c>
      <c r="R2846">
        <v>636</v>
      </c>
      <c r="S2846">
        <v>14.03</v>
      </c>
      <c r="T2846">
        <v>0.81</v>
      </c>
      <c r="U2846" s="1">
        <v>45501</v>
      </c>
      <c r="V2846">
        <v>27.66</v>
      </c>
      <c r="W2846">
        <v>0.71499999999999997</v>
      </c>
      <c r="X2846" t="str">
        <f>IF(WarehouseData[[#This Row],[stock_level]]&lt;=WarehouseData[[#This Row],[reorder_point]],"Low Stock","Sufficient Stock")</f>
        <v>Sufficient Stock</v>
      </c>
      <c r="Y2846">
        <f>WarehouseData[[#This Row],[daily_demand]]*WarehouseData[[#This Row],[lead_time_days]]</f>
        <v>149.84</v>
      </c>
      <c r="Z2846" t="str">
        <f>IF(WarehouseData[[#This Row],[stock_level]]&lt;=WarehouseData[[#This Row],[Demand During Lead Time]],"At Risk","Safe")</f>
        <v>Safe</v>
      </c>
      <c r="AA2846">
        <f>WarehouseData[[#This Row],[stock_level]]/WarehouseData[[#This Row],[daily_demand]]</f>
        <v>8.3822744260544582</v>
      </c>
      <c r="AB2846">
        <f>WarehouseData[[#This Row],[stock_level]]*WarehouseData[[#This Row],[unit_price]]</f>
        <v>23229.72</v>
      </c>
      <c r="AC2846">
        <f>WarehouseData[[#This Row],[stock_level]]*WarehouseData[[#This Row],[holding_cost_per_unit_day]]*30</f>
        <v>5934.5999999999995</v>
      </c>
      <c r="AD2846" t="str">
        <f>IF(WarehouseData[[#This Row],[order_fulfillment_rate]]&gt;=0.9,"Strong",IF(WarehouseData[[#This Row],[order_fulfillment_rate]]&gt;=0.8,"Moderate","Needs Attention"))</f>
        <v>Strong</v>
      </c>
      <c r="AE2846" t="str">
        <f>IF(WarehouseData[[#This Row],[picking_time_seconds]]&gt;120,"Slow",IF(WarehouseData[[#This Row],[picking_time_seconds]]&gt;=60,"Average","Fast"))</f>
        <v>Slow</v>
      </c>
    </row>
    <row r="2847" spans="1:31" x14ac:dyDescent="0.25">
      <c r="A2847" t="s">
        <v>2985</v>
      </c>
      <c r="B2847" t="s">
        <v>73</v>
      </c>
      <c r="C2847">
        <v>149</v>
      </c>
      <c r="D2847">
        <v>80</v>
      </c>
      <c r="E2847">
        <v>5</v>
      </c>
      <c r="F2847">
        <v>3</v>
      </c>
      <c r="G2847">
        <v>9.3699999999999992</v>
      </c>
      <c r="H2847">
        <v>0.72</v>
      </c>
      <c r="I2847">
        <v>0.68</v>
      </c>
      <c r="J2847" t="s">
        <v>418</v>
      </c>
      <c r="K2847" t="s">
        <v>46</v>
      </c>
      <c r="L2847">
        <v>163</v>
      </c>
      <c r="M2847">
        <v>3.35</v>
      </c>
      <c r="N2847">
        <v>184.99</v>
      </c>
      <c r="O2847">
        <v>1.76</v>
      </c>
      <c r="P2847">
        <v>2</v>
      </c>
      <c r="Q2847">
        <v>0.99</v>
      </c>
      <c r="R2847">
        <v>969</v>
      </c>
      <c r="S2847">
        <v>9.42</v>
      </c>
      <c r="T2847">
        <v>0.66</v>
      </c>
      <c r="U2847" s="1">
        <v>45423</v>
      </c>
      <c r="V2847">
        <v>66.09</v>
      </c>
      <c r="W2847">
        <v>0.64</v>
      </c>
      <c r="X2847" t="str">
        <f>IF(WarehouseData[[#This Row],[stock_level]]&lt;=WarehouseData[[#This Row],[reorder_point]],"Low Stock","Sufficient Stock")</f>
        <v>Sufficient Stock</v>
      </c>
      <c r="Y2847">
        <f>WarehouseData[[#This Row],[daily_demand]]*WarehouseData[[#This Row],[lead_time_days]]</f>
        <v>28.11</v>
      </c>
      <c r="Z2847" t="str">
        <f>IF(WarehouseData[[#This Row],[stock_level]]&lt;=WarehouseData[[#This Row],[Demand During Lead Time]],"At Risk","Safe")</f>
        <v>Safe</v>
      </c>
      <c r="AA2847">
        <f>WarehouseData[[#This Row],[stock_level]]/WarehouseData[[#This Row],[daily_demand]]</f>
        <v>15.901814300960513</v>
      </c>
      <c r="AB2847">
        <f>WarehouseData[[#This Row],[stock_level]]*WarehouseData[[#This Row],[unit_price]]</f>
        <v>27563.510000000002</v>
      </c>
      <c r="AC2847">
        <f>WarehouseData[[#This Row],[stock_level]]*WarehouseData[[#This Row],[holding_cost_per_unit_day]]*30</f>
        <v>7867.2000000000007</v>
      </c>
      <c r="AD2847" t="str">
        <f>IF(WarehouseData[[#This Row],[order_fulfillment_rate]]&gt;=0.9,"Strong",IF(WarehouseData[[#This Row],[order_fulfillment_rate]]&gt;=0.8,"Moderate","Needs Attention"))</f>
        <v>Strong</v>
      </c>
      <c r="AE2847" t="str">
        <f>IF(WarehouseData[[#This Row],[picking_time_seconds]]&gt;120,"Slow",IF(WarehouseData[[#This Row],[picking_time_seconds]]&gt;=60,"Average","Fast"))</f>
        <v>Slow</v>
      </c>
    </row>
    <row r="2848" spans="1:31" x14ac:dyDescent="0.25">
      <c r="A2848" t="s">
        <v>2986</v>
      </c>
      <c r="B2848" t="s">
        <v>36</v>
      </c>
      <c r="C2848">
        <v>213</v>
      </c>
      <c r="D2848">
        <v>43</v>
      </c>
      <c r="E2848">
        <v>6</v>
      </c>
      <c r="F2848">
        <v>9</v>
      </c>
      <c r="G2848">
        <v>43.47</v>
      </c>
      <c r="H2848">
        <v>3.3</v>
      </c>
      <c r="I2848">
        <v>0.74</v>
      </c>
      <c r="J2848" t="s">
        <v>401</v>
      </c>
      <c r="K2848" t="s">
        <v>34</v>
      </c>
      <c r="L2848">
        <v>22</v>
      </c>
      <c r="M2848">
        <v>3.05</v>
      </c>
      <c r="N2848">
        <v>135.83000000000001</v>
      </c>
      <c r="O2848">
        <v>1.23</v>
      </c>
      <c r="P2848">
        <v>8</v>
      </c>
      <c r="Q2848">
        <v>0.71</v>
      </c>
      <c r="R2848">
        <v>182</v>
      </c>
      <c r="S2848">
        <v>1.36</v>
      </c>
      <c r="T2848">
        <v>0.96</v>
      </c>
      <c r="U2848" s="1">
        <v>45388</v>
      </c>
      <c r="V2848">
        <v>132.13</v>
      </c>
      <c r="W2848">
        <v>0.46899999999999997</v>
      </c>
      <c r="X2848" t="str">
        <f>IF(WarehouseData[[#This Row],[stock_level]]&lt;=WarehouseData[[#This Row],[reorder_point]],"Low Stock","Sufficient Stock")</f>
        <v>Sufficient Stock</v>
      </c>
      <c r="Y2848">
        <f>WarehouseData[[#This Row],[daily_demand]]*WarehouseData[[#This Row],[lead_time_days]]</f>
        <v>391.23</v>
      </c>
      <c r="Z2848" t="str">
        <f>IF(WarehouseData[[#This Row],[stock_level]]&lt;=WarehouseData[[#This Row],[Demand During Lead Time]],"At Risk","Safe")</f>
        <v>At Risk</v>
      </c>
      <c r="AA2848">
        <f>WarehouseData[[#This Row],[stock_level]]/WarehouseData[[#This Row],[daily_demand]]</f>
        <v>4.8999309868875089</v>
      </c>
      <c r="AB2848">
        <f>WarehouseData[[#This Row],[stock_level]]*WarehouseData[[#This Row],[unit_price]]</f>
        <v>28931.79</v>
      </c>
      <c r="AC2848">
        <f>WarehouseData[[#This Row],[stock_level]]*WarehouseData[[#This Row],[holding_cost_per_unit_day]]*30</f>
        <v>7859.7000000000007</v>
      </c>
      <c r="AD2848" t="str">
        <f>IF(WarehouseData[[#This Row],[order_fulfillment_rate]]&gt;=0.9,"Strong",IF(WarehouseData[[#This Row],[order_fulfillment_rate]]&gt;=0.8,"Moderate","Needs Attention"))</f>
        <v>Needs Attention</v>
      </c>
      <c r="AE2848" t="str">
        <f>IF(WarehouseData[[#This Row],[picking_time_seconds]]&gt;120,"Slow",IF(WarehouseData[[#This Row],[picking_time_seconds]]&gt;=60,"Average","Fast"))</f>
        <v>Fast</v>
      </c>
    </row>
    <row r="2849" spans="1:31" x14ac:dyDescent="0.25">
      <c r="A2849" t="s">
        <v>2987</v>
      </c>
      <c r="B2849" t="s">
        <v>32</v>
      </c>
      <c r="C2849">
        <v>335</v>
      </c>
      <c r="D2849">
        <v>28</v>
      </c>
      <c r="E2849">
        <v>13</v>
      </c>
      <c r="F2849">
        <v>6</v>
      </c>
      <c r="G2849">
        <v>20.32</v>
      </c>
      <c r="H2849">
        <v>5.8</v>
      </c>
      <c r="I2849">
        <v>0.19</v>
      </c>
      <c r="J2849" t="s">
        <v>88</v>
      </c>
      <c r="K2849" t="s">
        <v>46</v>
      </c>
      <c r="L2849">
        <v>127</v>
      </c>
      <c r="M2849">
        <v>1.97</v>
      </c>
      <c r="N2849">
        <v>86.37</v>
      </c>
      <c r="O2849">
        <v>1.1599999999999999</v>
      </c>
      <c r="P2849">
        <v>0</v>
      </c>
      <c r="Q2849">
        <v>0.96</v>
      </c>
      <c r="R2849">
        <v>305</v>
      </c>
      <c r="S2849">
        <v>8.59</v>
      </c>
      <c r="T2849">
        <v>0.87</v>
      </c>
      <c r="U2849" s="1">
        <v>45294</v>
      </c>
      <c r="V2849">
        <v>226.68</v>
      </c>
      <c r="W2849">
        <v>0.76500000000000001</v>
      </c>
      <c r="X2849" t="str">
        <f>IF(WarehouseData[[#This Row],[stock_level]]&lt;=WarehouseData[[#This Row],[reorder_point]],"Low Stock","Sufficient Stock")</f>
        <v>Sufficient Stock</v>
      </c>
      <c r="Y2849">
        <f>WarehouseData[[#This Row],[daily_demand]]*WarehouseData[[#This Row],[lead_time_days]]</f>
        <v>121.92</v>
      </c>
      <c r="Z2849" t="str">
        <f>IF(WarehouseData[[#This Row],[stock_level]]&lt;=WarehouseData[[#This Row],[Demand During Lead Time]],"At Risk","Safe")</f>
        <v>Safe</v>
      </c>
      <c r="AA2849">
        <f>WarehouseData[[#This Row],[stock_level]]/WarehouseData[[#This Row],[daily_demand]]</f>
        <v>16.486220472440944</v>
      </c>
      <c r="AB2849">
        <f>WarehouseData[[#This Row],[stock_level]]*WarehouseData[[#This Row],[unit_price]]</f>
        <v>28933.95</v>
      </c>
      <c r="AC2849">
        <f>WarehouseData[[#This Row],[stock_level]]*WarehouseData[[#This Row],[holding_cost_per_unit_day]]*30</f>
        <v>11657.999999999998</v>
      </c>
      <c r="AD2849" t="str">
        <f>IF(WarehouseData[[#This Row],[order_fulfillment_rate]]&gt;=0.9,"Strong",IF(WarehouseData[[#This Row],[order_fulfillment_rate]]&gt;=0.8,"Moderate","Needs Attention"))</f>
        <v>Strong</v>
      </c>
      <c r="AE2849" t="str">
        <f>IF(WarehouseData[[#This Row],[picking_time_seconds]]&gt;120,"Slow",IF(WarehouseData[[#This Row],[picking_time_seconds]]&gt;=60,"Average","Fast"))</f>
        <v>Slow</v>
      </c>
    </row>
    <row r="2850" spans="1:31" x14ac:dyDescent="0.25">
      <c r="A2850" t="s">
        <v>2988</v>
      </c>
      <c r="B2850" t="s">
        <v>32</v>
      </c>
      <c r="C2850">
        <v>491</v>
      </c>
      <c r="D2850">
        <v>67</v>
      </c>
      <c r="E2850">
        <v>6</v>
      </c>
      <c r="F2850">
        <v>8</v>
      </c>
      <c r="G2850">
        <v>46.32</v>
      </c>
      <c r="H2850">
        <v>9.3000000000000007</v>
      </c>
      <c r="I2850">
        <v>0.16</v>
      </c>
      <c r="J2850" t="s">
        <v>357</v>
      </c>
      <c r="K2850" t="s">
        <v>34</v>
      </c>
      <c r="L2850">
        <v>95</v>
      </c>
      <c r="M2850">
        <v>3.78</v>
      </c>
      <c r="N2850">
        <v>199.9</v>
      </c>
      <c r="O2850">
        <v>1.62</v>
      </c>
      <c r="P2850">
        <v>6</v>
      </c>
      <c r="Q2850">
        <v>0.94</v>
      </c>
      <c r="R2850">
        <v>499</v>
      </c>
      <c r="S2850">
        <v>12.15</v>
      </c>
      <c r="T2850">
        <v>0.55000000000000004</v>
      </c>
      <c r="U2850" s="1">
        <v>45655</v>
      </c>
      <c r="V2850">
        <v>10.210000000000001</v>
      </c>
      <c r="W2850">
        <v>0.57799999999999996</v>
      </c>
      <c r="X2850" t="str">
        <f>IF(WarehouseData[[#This Row],[stock_level]]&lt;=WarehouseData[[#This Row],[reorder_point]],"Low Stock","Sufficient Stock")</f>
        <v>Sufficient Stock</v>
      </c>
      <c r="Y2850">
        <f>WarehouseData[[#This Row],[daily_demand]]*WarehouseData[[#This Row],[lead_time_days]]</f>
        <v>370.56</v>
      </c>
      <c r="Z2850" t="str">
        <f>IF(WarehouseData[[#This Row],[stock_level]]&lt;=WarehouseData[[#This Row],[Demand During Lead Time]],"At Risk","Safe")</f>
        <v>Safe</v>
      </c>
      <c r="AA2850">
        <f>WarehouseData[[#This Row],[stock_level]]/WarehouseData[[#This Row],[daily_demand]]</f>
        <v>10.600172711571675</v>
      </c>
      <c r="AB2850">
        <f>WarehouseData[[#This Row],[stock_level]]*WarehouseData[[#This Row],[unit_price]]</f>
        <v>98150.900000000009</v>
      </c>
      <c r="AC2850">
        <f>WarehouseData[[#This Row],[stock_level]]*WarehouseData[[#This Row],[holding_cost_per_unit_day]]*30</f>
        <v>23862.600000000002</v>
      </c>
      <c r="AD2850" t="str">
        <f>IF(WarehouseData[[#This Row],[order_fulfillment_rate]]&gt;=0.9,"Strong",IF(WarehouseData[[#This Row],[order_fulfillment_rate]]&gt;=0.8,"Moderate","Needs Attention"))</f>
        <v>Strong</v>
      </c>
      <c r="AE2850" t="str">
        <f>IF(WarehouseData[[#This Row],[picking_time_seconds]]&gt;120,"Slow",IF(WarehouseData[[#This Row],[picking_time_seconds]]&gt;=60,"Average","Fast"))</f>
        <v>Average</v>
      </c>
    </row>
    <row r="2851" spans="1:31" x14ac:dyDescent="0.25">
      <c r="A2851" t="s">
        <v>2989</v>
      </c>
      <c r="B2851" t="s">
        <v>73</v>
      </c>
      <c r="C2851">
        <v>292</v>
      </c>
      <c r="D2851">
        <v>18</v>
      </c>
      <c r="E2851">
        <v>13</v>
      </c>
      <c r="F2851">
        <v>2</v>
      </c>
      <c r="G2851">
        <v>42.54</v>
      </c>
      <c r="H2851">
        <v>1.47</v>
      </c>
      <c r="I2851">
        <v>0.24</v>
      </c>
      <c r="J2851" t="s">
        <v>122</v>
      </c>
      <c r="K2851" t="s">
        <v>46</v>
      </c>
      <c r="L2851">
        <v>32</v>
      </c>
      <c r="M2851">
        <v>3.44</v>
      </c>
      <c r="N2851">
        <v>63.76</v>
      </c>
      <c r="O2851">
        <v>1.17</v>
      </c>
      <c r="P2851">
        <v>9</v>
      </c>
      <c r="Q2851">
        <v>0.97</v>
      </c>
      <c r="R2851">
        <v>770</v>
      </c>
      <c r="S2851">
        <v>8.4600000000000009</v>
      </c>
      <c r="T2851">
        <v>0.79</v>
      </c>
      <c r="U2851" s="1">
        <v>45295</v>
      </c>
      <c r="V2851">
        <v>84.63</v>
      </c>
      <c r="W2851">
        <v>0.56799999999999995</v>
      </c>
      <c r="X2851" t="str">
        <f>IF(WarehouseData[[#This Row],[stock_level]]&lt;=WarehouseData[[#This Row],[reorder_point]],"Low Stock","Sufficient Stock")</f>
        <v>Sufficient Stock</v>
      </c>
      <c r="Y2851">
        <f>WarehouseData[[#This Row],[daily_demand]]*WarehouseData[[#This Row],[lead_time_days]]</f>
        <v>85.08</v>
      </c>
      <c r="Z2851" t="str">
        <f>IF(WarehouseData[[#This Row],[stock_level]]&lt;=WarehouseData[[#This Row],[Demand During Lead Time]],"At Risk","Safe")</f>
        <v>Safe</v>
      </c>
      <c r="AA2851">
        <f>WarehouseData[[#This Row],[stock_level]]/WarehouseData[[#This Row],[daily_demand]]</f>
        <v>6.8641278796426892</v>
      </c>
      <c r="AB2851">
        <f>WarehouseData[[#This Row],[stock_level]]*WarehouseData[[#This Row],[unit_price]]</f>
        <v>18617.919999999998</v>
      </c>
      <c r="AC2851">
        <f>WarehouseData[[#This Row],[stock_level]]*WarehouseData[[#This Row],[holding_cost_per_unit_day]]*30</f>
        <v>10249.199999999999</v>
      </c>
      <c r="AD2851" t="str">
        <f>IF(WarehouseData[[#This Row],[order_fulfillment_rate]]&gt;=0.9,"Strong",IF(WarehouseData[[#This Row],[order_fulfillment_rate]]&gt;=0.8,"Moderate","Needs Attention"))</f>
        <v>Strong</v>
      </c>
      <c r="AE2851" t="str">
        <f>IF(WarehouseData[[#This Row],[picking_time_seconds]]&gt;120,"Slow",IF(WarehouseData[[#This Row],[picking_time_seconds]]&gt;=60,"Average","Fast"))</f>
        <v>Fast</v>
      </c>
    </row>
    <row r="2852" spans="1:31" x14ac:dyDescent="0.25">
      <c r="A2852" t="s">
        <v>2990</v>
      </c>
      <c r="B2852" t="s">
        <v>40</v>
      </c>
      <c r="C2852">
        <v>371</v>
      </c>
      <c r="D2852">
        <v>57</v>
      </c>
      <c r="E2852">
        <v>7</v>
      </c>
      <c r="F2852">
        <v>7</v>
      </c>
      <c r="G2852">
        <v>19.46</v>
      </c>
      <c r="H2852">
        <v>6.21</v>
      </c>
      <c r="I2852">
        <v>0.48</v>
      </c>
      <c r="J2852" t="s">
        <v>188</v>
      </c>
      <c r="K2852" t="s">
        <v>34</v>
      </c>
      <c r="L2852">
        <v>116</v>
      </c>
      <c r="M2852">
        <v>1.23</v>
      </c>
      <c r="N2852">
        <v>45.55</v>
      </c>
      <c r="O2852">
        <v>1.7</v>
      </c>
      <c r="P2852">
        <v>7</v>
      </c>
      <c r="Q2852">
        <v>0.86</v>
      </c>
      <c r="R2852">
        <v>453</v>
      </c>
      <c r="S2852">
        <v>10.9</v>
      </c>
      <c r="T2852">
        <v>1</v>
      </c>
      <c r="U2852" s="1">
        <v>45587</v>
      </c>
      <c r="V2852">
        <v>180.4</v>
      </c>
      <c r="W2852">
        <v>0.60699999999999998</v>
      </c>
      <c r="X2852" t="str">
        <f>IF(WarehouseData[[#This Row],[stock_level]]&lt;=WarehouseData[[#This Row],[reorder_point]],"Low Stock","Sufficient Stock")</f>
        <v>Sufficient Stock</v>
      </c>
      <c r="Y2852">
        <f>WarehouseData[[#This Row],[daily_demand]]*WarehouseData[[#This Row],[lead_time_days]]</f>
        <v>136.22</v>
      </c>
      <c r="Z2852" t="str">
        <f>IF(WarehouseData[[#This Row],[stock_level]]&lt;=WarehouseData[[#This Row],[Demand During Lead Time]],"At Risk","Safe")</f>
        <v>Safe</v>
      </c>
      <c r="AA2852">
        <f>WarehouseData[[#This Row],[stock_level]]/WarehouseData[[#This Row],[daily_demand]]</f>
        <v>19.064748201438849</v>
      </c>
      <c r="AB2852">
        <f>WarehouseData[[#This Row],[stock_level]]*WarehouseData[[#This Row],[unit_price]]</f>
        <v>16899.05</v>
      </c>
      <c r="AC2852">
        <f>WarehouseData[[#This Row],[stock_level]]*WarehouseData[[#This Row],[holding_cost_per_unit_day]]*30</f>
        <v>18920.999999999996</v>
      </c>
      <c r="AD2852" t="str">
        <f>IF(WarehouseData[[#This Row],[order_fulfillment_rate]]&gt;=0.9,"Strong",IF(WarehouseData[[#This Row],[order_fulfillment_rate]]&gt;=0.8,"Moderate","Needs Attention"))</f>
        <v>Moderate</v>
      </c>
      <c r="AE2852" t="str">
        <f>IF(WarehouseData[[#This Row],[picking_time_seconds]]&gt;120,"Slow",IF(WarehouseData[[#This Row],[picking_time_seconds]]&gt;=60,"Average","Fast"))</f>
        <v>Average</v>
      </c>
    </row>
    <row r="2853" spans="1:31" x14ac:dyDescent="0.25">
      <c r="A2853" t="s">
        <v>2991</v>
      </c>
      <c r="B2853" t="s">
        <v>48</v>
      </c>
      <c r="C2853">
        <v>163</v>
      </c>
      <c r="D2853">
        <v>91</v>
      </c>
      <c r="E2853">
        <v>11</v>
      </c>
      <c r="F2853">
        <v>7</v>
      </c>
      <c r="G2853">
        <v>29.12</v>
      </c>
      <c r="H2853">
        <v>3.37</v>
      </c>
      <c r="I2853">
        <v>0.2</v>
      </c>
      <c r="J2853" t="s">
        <v>166</v>
      </c>
      <c r="K2853" t="s">
        <v>38</v>
      </c>
      <c r="L2853">
        <v>172</v>
      </c>
      <c r="M2853">
        <v>4.84</v>
      </c>
      <c r="N2853">
        <v>98.1</v>
      </c>
      <c r="O2853">
        <v>0.19</v>
      </c>
      <c r="P2853">
        <v>8</v>
      </c>
      <c r="Q2853">
        <v>0.94</v>
      </c>
      <c r="R2853">
        <v>704</v>
      </c>
      <c r="S2853">
        <v>13.31</v>
      </c>
      <c r="T2853">
        <v>0.9</v>
      </c>
      <c r="U2853" s="1">
        <v>45559</v>
      </c>
      <c r="V2853">
        <v>96.39</v>
      </c>
      <c r="W2853">
        <v>0.76600000000000001</v>
      </c>
      <c r="X2853" t="str">
        <f>IF(WarehouseData[[#This Row],[stock_level]]&lt;=WarehouseData[[#This Row],[reorder_point]],"Low Stock","Sufficient Stock")</f>
        <v>Sufficient Stock</v>
      </c>
      <c r="Y2853">
        <f>WarehouseData[[#This Row],[daily_demand]]*WarehouseData[[#This Row],[lead_time_days]]</f>
        <v>203.84</v>
      </c>
      <c r="Z2853" t="str">
        <f>IF(WarehouseData[[#This Row],[stock_level]]&lt;=WarehouseData[[#This Row],[Demand During Lead Time]],"At Risk","Safe")</f>
        <v>At Risk</v>
      </c>
      <c r="AA2853">
        <f>WarehouseData[[#This Row],[stock_level]]/WarehouseData[[#This Row],[daily_demand]]</f>
        <v>5.5975274725274726</v>
      </c>
      <c r="AB2853">
        <f>WarehouseData[[#This Row],[stock_level]]*WarehouseData[[#This Row],[unit_price]]</f>
        <v>15990.3</v>
      </c>
      <c r="AC2853">
        <f>WarehouseData[[#This Row],[stock_level]]*WarehouseData[[#This Row],[holding_cost_per_unit_day]]*30</f>
        <v>929.09999999999991</v>
      </c>
      <c r="AD2853" t="str">
        <f>IF(WarehouseData[[#This Row],[order_fulfillment_rate]]&gt;=0.9,"Strong",IF(WarehouseData[[#This Row],[order_fulfillment_rate]]&gt;=0.8,"Moderate","Needs Attention"))</f>
        <v>Strong</v>
      </c>
      <c r="AE2853" t="str">
        <f>IF(WarehouseData[[#This Row],[picking_time_seconds]]&gt;120,"Slow",IF(WarehouseData[[#This Row],[picking_time_seconds]]&gt;=60,"Average","Fast"))</f>
        <v>Slow</v>
      </c>
    </row>
    <row r="2854" spans="1:31" x14ac:dyDescent="0.25">
      <c r="A2854" t="s">
        <v>2992</v>
      </c>
      <c r="B2854" t="s">
        <v>32</v>
      </c>
      <c r="C2854">
        <v>35</v>
      </c>
      <c r="D2854">
        <v>50</v>
      </c>
      <c r="E2854">
        <v>14</v>
      </c>
      <c r="F2854">
        <v>5</v>
      </c>
      <c r="G2854">
        <v>2.33</v>
      </c>
      <c r="H2854">
        <v>8.9499999999999993</v>
      </c>
      <c r="I2854">
        <v>0.5</v>
      </c>
      <c r="J2854" t="s">
        <v>54</v>
      </c>
      <c r="K2854" t="s">
        <v>34</v>
      </c>
      <c r="L2854">
        <v>21</v>
      </c>
      <c r="M2854">
        <v>3</v>
      </c>
      <c r="N2854">
        <v>105.93</v>
      </c>
      <c r="O2854">
        <v>1.04</v>
      </c>
      <c r="P2854">
        <v>7</v>
      </c>
      <c r="Q2854">
        <v>0.72</v>
      </c>
      <c r="R2854">
        <v>629</v>
      </c>
      <c r="S2854">
        <v>13.18</v>
      </c>
      <c r="T2854">
        <v>0.2</v>
      </c>
      <c r="U2854" s="1">
        <v>45352</v>
      </c>
      <c r="V2854">
        <v>113.51</v>
      </c>
      <c r="W2854">
        <v>0.51600000000000001</v>
      </c>
      <c r="X2854" t="str">
        <f>IF(WarehouseData[[#This Row],[stock_level]]&lt;=WarehouseData[[#This Row],[reorder_point]],"Low Stock","Sufficient Stock")</f>
        <v>Low Stock</v>
      </c>
      <c r="Y2854">
        <f>WarehouseData[[#This Row],[daily_demand]]*WarehouseData[[#This Row],[lead_time_days]]</f>
        <v>11.65</v>
      </c>
      <c r="Z2854" t="str">
        <f>IF(WarehouseData[[#This Row],[stock_level]]&lt;=WarehouseData[[#This Row],[Demand During Lead Time]],"At Risk","Safe")</f>
        <v>Safe</v>
      </c>
      <c r="AA2854">
        <f>WarehouseData[[#This Row],[stock_level]]/WarehouseData[[#This Row],[daily_demand]]</f>
        <v>15.02145922746781</v>
      </c>
      <c r="AB2854">
        <f>WarehouseData[[#This Row],[stock_level]]*WarehouseData[[#This Row],[unit_price]]</f>
        <v>3707.55</v>
      </c>
      <c r="AC2854">
        <f>WarehouseData[[#This Row],[stock_level]]*WarehouseData[[#This Row],[holding_cost_per_unit_day]]*30</f>
        <v>1092</v>
      </c>
      <c r="AD2854" t="str">
        <f>IF(WarehouseData[[#This Row],[order_fulfillment_rate]]&gt;=0.9,"Strong",IF(WarehouseData[[#This Row],[order_fulfillment_rate]]&gt;=0.8,"Moderate","Needs Attention"))</f>
        <v>Needs Attention</v>
      </c>
      <c r="AE2854" t="str">
        <f>IF(WarehouseData[[#This Row],[picking_time_seconds]]&gt;120,"Slow",IF(WarehouseData[[#This Row],[picking_time_seconds]]&gt;=60,"Average","Fast"))</f>
        <v>Fast</v>
      </c>
    </row>
    <row r="2855" spans="1:31" x14ac:dyDescent="0.25">
      <c r="A2855" t="s">
        <v>2993</v>
      </c>
      <c r="B2855" t="s">
        <v>36</v>
      </c>
      <c r="C2855">
        <v>321</v>
      </c>
      <c r="D2855">
        <v>57</v>
      </c>
      <c r="E2855">
        <v>11</v>
      </c>
      <c r="F2855">
        <v>7</v>
      </c>
      <c r="G2855">
        <v>13.9</v>
      </c>
      <c r="H2855">
        <v>7.77</v>
      </c>
      <c r="I2855">
        <v>0.61</v>
      </c>
      <c r="J2855" t="s">
        <v>102</v>
      </c>
      <c r="K2855" t="s">
        <v>38</v>
      </c>
      <c r="L2855">
        <v>146</v>
      </c>
      <c r="M2855">
        <v>2.86</v>
      </c>
      <c r="N2855">
        <v>77.42</v>
      </c>
      <c r="O2855">
        <v>1.64</v>
      </c>
      <c r="P2855">
        <v>4</v>
      </c>
      <c r="Q2855">
        <v>0.72</v>
      </c>
      <c r="R2855">
        <v>103</v>
      </c>
      <c r="S2855">
        <v>3.5</v>
      </c>
      <c r="T2855">
        <v>0.79</v>
      </c>
      <c r="U2855" s="1">
        <v>45558</v>
      </c>
      <c r="V2855">
        <v>97.22</v>
      </c>
      <c r="W2855">
        <v>0.505</v>
      </c>
      <c r="X2855" t="str">
        <f>IF(WarehouseData[[#This Row],[stock_level]]&lt;=WarehouseData[[#This Row],[reorder_point]],"Low Stock","Sufficient Stock")</f>
        <v>Sufficient Stock</v>
      </c>
      <c r="Y2855">
        <f>WarehouseData[[#This Row],[daily_demand]]*WarehouseData[[#This Row],[lead_time_days]]</f>
        <v>97.3</v>
      </c>
      <c r="Z2855" t="str">
        <f>IF(WarehouseData[[#This Row],[stock_level]]&lt;=WarehouseData[[#This Row],[Demand During Lead Time]],"At Risk","Safe")</f>
        <v>Safe</v>
      </c>
      <c r="AA2855">
        <f>WarehouseData[[#This Row],[stock_level]]/WarehouseData[[#This Row],[daily_demand]]</f>
        <v>23.093525179856115</v>
      </c>
      <c r="AB2855">
        <f>WarehouseData[[#This Row],[stock_level]]*WarehouseData[[#This Row],[unit_price]]</f>
        <v>24851.82</v>
      </c>
      <c r="AC2855">
        <f>WarehouseData[[#This Row],[stock_level]]*WarehouseData[[#This Row],[holding_cost_per_unit_day]]*30</f>
        <v>15793.199999999999</v>
      </c>
      <c r="AD2855" t="str">
        <f>IF(WarehouseData[[#This Row],[order_fulfillment_rate]]&gt;=0.9,"Strong",IF(WarehouseData[[#This Row],[order_fulfillment_rate]]&gt;=0.8,"Moderate","Needs Attention"))</f>
        <v>Needs Attention</v>
      </c>
      <c r="AE2855" t="str">
        <f>IF(WarehouseData[[#This Row],[picking_time_seconds]]&gt;120,"Slow",IF(WarehouseData[[#This Row],[picking_time_seconds]]&gt;=60,"Average","Fast"))</f>
        <v>Slow</v>
      </c>
    </row>
    <row r="2856" spans="1:31" x14ac:dyDescent="0.25">
      <c r="A2856" t="s">
        <v>2994</v>
      </c>
      <c r="B2856" t="s">
        <v>36</v>
      </c>
      <c r="C2856">
        <v>442</v>
      </c>
      <c r="D2856">
        <v>54</v>
      </c>
      <c r="E2856">
        <v>12</v>
      </c>
      <c r="F2856">
        <v>8</v>
      </c>
      <c r="G2856">
        <v>35.799999999999997</v>
      </c>
      <c r="H2856">
        <v>4.01</v>
      </c>
      <c r="I2856">
        <v>0.1</v>
      </c>
      <c r="J2856" t="s">
        <v>144</v>
      </c>
      <c r="K2856" t="s">
        <v>34</v>
      </c>
      <c r="L2856">
        <v>87</v>
      </c>
      <c r="M2856">
        <v>4.32</v>
      </c>
      <c r="N2856">
        <v>142.13999999999999</v>
      </c>
      <c r="O2856">
        <v>1.71</v>
      </c>
      <c r="P2856">
        <v>0</v>
      </c>
      <c r="Q2856">
        <v>0.74</v>
      </c>
      <c r="R2856">
        <v>828</v>
      </c>
      <c r="S2856">
        <v>6.98</v>
      </c>
      <c r="T2856">
        <v>0.92</v>
      </c>
      <c r="U2856" s="1">
        <v>45295</v>
      </c>
      <c r="V2856">
        <v>286.42</v>
      </c>
      <c r="W2856">
        <v>0.65400000000000003</v>
      </c>
      <c r="X2856" t="str">
        <f>IF(WarehouseData[[#This Row],[stock_level]]&lt;=WarehouseData[[#This Row],[reorder_point]],"Low Stock","Sufficient Stock")</f>
        <v>Sufficient Stock</v>
      </c>
      <c r="Y2856">
        <f>WarehouseData[[#This Row],[daily_demand]]*WarehouseData[[#This Row],[lead_time_days]]</f>
        <v>286.39999999999998</v>
      </c>
      <c r="Z2856" t="str">
        <f>IF(WarehouseData[[#This Row],[stock_level]]&lt;=WarehouseData[[#This Row],[Demand During Lead Time]],"At Risk","Safe")</f>
        <v>Safe</v>
      </c>
      <c r="AA2856">
        <f>WarehouseData[[#This Row],[stock_level]]/WarehouseData[[#This Row],[daily_demand]]</f>
        <v>12.3463687150838</v>
      </c>
      <c r="AB2856">
        <f>WarehouseData[[#This Row],[stock_level]]*WarehouseData[[#This Row],[unit_price]]</f>
        <v>62825.88</v>
      </c>
      <c r="AC2856">
        <f>WarehouseData[[#This Row],[stock_level]]*WarehouseData[[#This Row],[holding_cost_per_unit_day]]*30</f>
        <v>22674.6</v>
      </c>
      <c r="AD2856" t="str">
        <f>IF(WarehouseData[[#This Row],[order_fulfillment_rate]]&gt;=0.9,"Strong",IF(WarehouseData[[#This Row],[order_fulfillment_rate]]&gt;=0.8,"Moderate","Needs Attention"))</f>
        <v>Needs Attention</v>
      </c>
      <c r="AE2856" t="str">
        <f>IF(WarehouseData[[#This Row],[picking_time_seconds]]&gt;120,"Slow",IF(WarehouseData[[#This Row],[picking_time_seconds]]&gt;=60,"Average","Fast"))</f>
        <v>Average</v>
      </c>
    </row>
    <row r="2857" spans="1:31" x14ac:dyDescent="0.25">
      <c r="A2857" t="s">
        <v>2995</v>
      </c>
      <c r="B2857" t="s">
        <v>40</v>
      </c>
      <c r="C2857">
        <v>264</v>
      </c>
      <c r="D2857">
        <v>34</v>
      </c>
      <c r="E2857">
        <v>14</v>
      </c>
      <c r="F2857">
        <v>5</v>
      </c>
      <c r="G2857">
        <v>34.22</v>
      </c>
      <c r="H2857">
        <v>2.09</v>
      </c>
      <c r="I2857">
        <v>0.2</v>
      </c>
      <c r="J2857" t="s">
        <v>106</v>
      </c>
      <c r="K2857" t="s">
        <v>46</v>
      </c>
      <c r="L2857">
        <v>76</v>
      </c>
      <c r="M2857">
        <v>3.38</v>
      </c>
      <c r="N2857">
        <v>44.93</v>
      </c>
      <c r="O2857">
        <v>1.68</v>
      </c>
      <c r="P2857">
        <v>0</v>
      </c>
      <c r="Q2857">
        <v>0.97</v>
      </c>
      <c r="R2857">
        <v>456</v>
      </c>
      <c r="S2857">
        <v>2.56</v>
      </c>
      <c r="T2857">
        <v>0.46</v>
      </c>
      <c r="U2857" s="1">
        <v>45484</v>
      </c>
      <c r="V2857">
        <v>29.09</v>
      </c>
      <c r="W2857">
        <v>0.55200000000000005</v>
      </c>
      <c r="X2857" t="str">
        <f>IF(WarehouseData[[#This Row],[stock_level]]&lt;=WarehouseData[[#This Row],[reorder_point]],"Low Stock","Sufficient Stock")</f>
        <v>Sufficient Stock</v>
      </c>
      <c r="Y2857">
        <f>WarehouseData[[#This Row],[daily_demand]]*WarehouseData[[#This Row],[lead_time_days]]</f>
        <v>171.1</v>
      </c>
      <c r="Z2857" t="str">
        <f>IF(WarehouseData[[#This Row],[stock_level]]&lt;=WarehouseData[[#This Row],[Demand During Lead Time]],"At Risk","Safe")</f>
        <v>Safe</v>
      </c>
      <c r="AA2857">
        <f>WarehouseData[[#This Row],[stock_level]]/WarehouseData[[#This Row],[daily_demand]]</f>
        <v>7.7147866744593809</v>
      </c>
      <c r="AB2857">
        <f>WarehouseData[[#This Row],[stock_level]]*WarehouseData[[#This Row],[unit_price]]</f>
        <v>11861.52</v>
      </c>
      <c r="AC2857">
        <f>WarehouseData[[#This Row],[stock_level]]*WarehouseData[[#This Row],[holding_cost_per_unit_day]]*30</f>
        <v>13305.599999999999</v>
      </c>
      <c r="AD2857" t="str">
        <f>IF(WarehouseData[[#This Row],[order_fulfillment_rate]]&gt;=0.9,"Strong",IF(WarehouseData[[#This Row],[order_fulfillment_rate]]&gt;=0.8,"Moderate","Needs Attention"))</f>
        <v>Strong</v>
      </c>
      <c r="AE2857" t="str">
        <f>IF(WarehouseData[[#This Row],[picking_time_seconds]]&gt;120,"Slow",IF(WarehouseData[[#This Row],[picking_time_seconds]]&gt;=60,"Average","Fast"))</f>
        <v>Average</v>
      </c>
    </row>
    <row r="2858" spans="1:31" x14ac:dyDescent="0.25">
      <c r="A2858" t="s">
        <v>2996</v>
      </c>
      <c r="B2858" t="s">
        <v>32</v>
      </c>
      <c r="C2858">
        <v>434</v>
      </c>
      <c r="D2858">
        <v>87</v>
      </c>
      <c r="E2858">
        <v>3</v>
      </c>
      <c r="F2858">
        <v>8</v>
      </c>
      <c r="G2858">
        <v>18.32</v>
      </c>
      <c r="H2858">
        <v>0.61</v>
      </c>
      <c r="I2858">
        <v>0.44</v>
      </c>
      <c r="J2858" t="s">
        <v>418</v>
      </c>
      <c r="K2858" t="s">
        <v>52</v>
      </c>
      <c r="L2858">
        <v>117</v>
      </c>
      <c r="M2858">
        <v>0.84</v>
      </c>
      <c r="N2858">
        <v>106.96</v>
      </c>
      <c r="O2858">
        <v>1.25</v>
      </c>
      <c r="P2858">
        <v>7</v>
      </c>
      <c r="Q2858">
        <v>0.72</v>
      </c>
      <c r="R2858">
        <v>434</v>
      </c>
      <c r="S2858">
        <v>9.33</v>
      </c>
      <c r="T2858">
        <v>0.98</v>
      </c>
      <c r="U2858" s="1">
        <v>45627</v>
      </c>
      <c r="V2858">
        <v>273.18</v>
      </c>
      <c r="W2858">
        <v>0.59899999999999998</v>
      </c>
      <c r="X2858" t="str">
        <f>IF(WarehouseData[[#This Row],[stock_level]]&lt;=WarehouseData[[#This Row],[reorder_point]],"Low Stock","Sufficient Stock")</f>
        <v>Sufficient Stock</v>
      </c>
      <c r="Y2858">
        <f>WarehouseData[[#This Row],[daily_demand]]*WarehouseData[[#This Row],[lead_time_days]]</f>
        <v>146.56</v>
      </c>
      <c r="Z2858" t="str">
        <f>IF(WarehouseData[[#This Row],[stock_level]]&lt;=WarehouseData[[#This Row],[Demand During Lead Time]],"At Risk","Safe")</f>
        <v>Safe</v>
      </c>
      <c r="AA2858">
        <f>WarehouseData[[#This Row],[stock_level]]/WarehouseData[[#This Row],[daily_demand]]</f>
        <v>23.689956331877728</v>
      </c>
      <c r="AB2858">
        <f>WarehouseData[[#This Row],[stock_level]]*WarehouseData[[#This Row],[unit_price]]</f>
        <v>46420.639999999999</v>
      </c>
      <c r="AC2858">
        <f>WarehouseData[[#This Row],[stock_level]]*WarehouseData[[#This Row],[holding_cost_per_unit_day]]*30</f>
        <v>16275</v>
      </c>
      <c r="AD2858" t="str">
        <f>IF(WarehouseData[[#This Row],[order_fulfillment_rate]]&gt;=0.9,"Strong",IF(WarehouseData[[#This Row],[order_fulfillment_rate]]&gt;=0.8,"Moderate","Needs Attention"))</f>
        <v>Needs Attention</v>
      </c>
      <c r="AE2858" t="str">
        <f>IF(WarehouseData[[#This Row],[picking_time_seconds]]&gt;120,"Slow",IF(WarehouseData[[#This Row],[picking_time_seconds]]&gt;=60,"Average","Fast"))</f>
        <v>Average</v>
      </c>
    </row>
    <row r="2859" spans="1:31" x14ac:dyDescent="0.25">
      <c r="A2859" t="s">
        <v>2997</v>
      </c>
      <c r="B2859" t="s">
        <v>73</v>
      </c>
      <c r="C2859">
        <v>126</v>
      </c>
      <c r="D2859">
        <v>34</v>
      </c>
      <c r="E2859">
        <v>10</v>
      </c>
      <c r="F2859">
        <v>2</v>
      </c>
      <c r="G2859">
        <v>40.619999999999997</v>
      </c>
      <c r="H2859">
        <v>6.4</v>
      </c>
      <c r="I2859">
        <v>0.15</v>
      </c>
      <c r="J2859" t="s">
        <v>90</v>
      </c>
      <c r="K2859" t="s">
        <v>34</v>
      </c>
      <c r="L2859">
        <v>53</v>
      </c>
      <c r="M2859">
        <v>2.78</v>
      </c>
      <c r="N2859">
        <v>105.02</v>
      </c>
      <c r="O2859">
        <v>1.99</v>
      </c>
      <c r="P2859">
        <v>6</v>
      </c>
      <c r="Q2859">
        <v>0.73</v>
      </c>
      <c r="R2859">
        <v>987</v>
      </c>
      <c r="S2859">
        <v>14.37</v>
      </c>
      <c r="T2859">
        <v>0.52</v>
      </c>
      <c r="U2859" s="1">
        <v>45397</v>
      </c>
      <c r="V2859">
        <v>103.74</v>
      </c>
      <c r="W2859">
        <v>0.52300000000000002</v>
      </c>
      <c r="X2859" t="str">
        <f>IF(WarehouseData[[#This Row],[stock_level]]&lt;=WarehouseData[[#This Row],[reorder_point]],"Low Stock","Sufficient Stock")</f>
        <v>Sufficient Stock</v>
      </c>
      <c r="Y2859">
        <f>WarehouseData[[#This Row],[daily_demand]]*WarehouseData[[#This Row],[lead_time_days]]</f>
        <v>81.239999999999995</v>
      </c>
      <c r="Z2859" t="str">
        <f>IF(WarehouseData[[#This Row],[stock_level]]&lt;=WarehouseData[[#This Row],[Demand During Lead Time]],"At Risk","Safe")</f>
        <v>Safe</v>
      </c>
      <c r="AA2859">
        <f>WarehouseData[[#This Row],[stock_level]]/WarehouseData[[#This Row],[daily_demand]]</f>
        <v>3.1019202363367802</v>
      </c>
      <c r="AB2859">
        <f>WarehouseData[[#This Row],[stock_level]]*WarehouseData[[#This Row],[unit_price]]</f>
        <v>13232.519999999999</v>
      </c>
      <c r="AC2859">
        <f>WarehouseData[[#This Row],[stock_level]]*WarehouseData[[#This Row],[holding_cost_per_unit_day]]*30</f>
        <v>7522.2000000000007</v>
      </c>
      <c r="AD2859" t="str">
        <f>IF(WarehouseData[[#This Row],[order_fulfillment_rate]]&gt;=0.9,"Strong",IF(WarehouseData[[#This Row],[order_fulfillment_rate]]&gt;=0.8,"Moderate","Needs Attention"))</f>
        <v>Needs Attention</v>
      </c>
      <c r="AE2859" t="str">
        <f>IF(WarehouseData[[#This Row],[picking_time_seconds]]&gt;120,"Slow",IF(WarehouseData[[#This Row],[picking_time_seconds]]&gt;=60,"Average","Fast"))</f>
        <v>Fast</v>
      </c>
    </row>
    <row r="2860" spans="1:31" x14ac:dyDescent="0.25">
      <c r="A2860" t="s">
        <v>2998</v>
      </c>
      <c r="B2860" t="s">
        <v>36</v>
      </c>
      <c r="C2860">
        <v>107</v>
      </c>
      <c r="D2860">
        <v>28</v>
      </c>
      <c r="E2860">
        <v>3</v>
      </c>
      <c r="F2860">
        <v>4</v>
      </c>
      <c r="G2860">
        <v>12.56</v>
      </c>
      <c r="H2860">
        <v>4.3600000000000003</v>
      </c>
      <c r="I2860">
        <v>0.22</v>
      </c>
      <c r="J2860" t="s">
        <v>357</v>
      </c>
      <c r="K2860" t="s">
        <v>34</v>
      </c>
      <c r="L2860">
        <v>158</v>
      </c>
      <c r="M2860">
        <v>4.01</v>
      </c>
      <c r="N2860">
        <v>166.52</v>
      </c>
      <c r="O2860">
        <v>0.44</v>
      </c>
      <c r="P2860">
        <v>4</v>
      </c>
      <c r="Q2860">
        <v>0.98</v>
      </c>
      <c r="R2860">
        <v>291</v>
      </c>
      <c r="S2860">
        <v>3.55</v>
      </c>
      <c r="T2860">
        <v>0.54</v>
      </c>
      <c r="U2860" s="1">
        <v>45644</v>
      </c>
      <c r="V2860">
        <v>81.5</v>
      </c>
      <c r="W2860">
        <v>0.627</v>
      </c>
      <c r="X2860" t="str">
        <f>IF(WarehouseData[[#This Row],[stock_level]]&lt;=WarehouseData[[#This Row],[reorder_point]],"Low Stock","Sufficient Stock")</f>
        <v>Sufficient Stock</v>
      </c>
      <c r="Y2860">
        <f>WarehouseData[[#This Row],[daily_demand]]*WarehouseData[[#This Row],[lead_time_days]]</f>
        <v>50.24</v>
      </c>
      <c r="Z2860" t="str">
        <f>IF(WarehouseData[[#This Row],[stock_level]]&lt;=WarehouseData[[#This Row],[Demand During Lead Time]],"At Risk","Safe")</f>
        <v>Safe</v>
      </c>
      <c r="AA2860">
        <f>WarehouseData[[#This Row],[stock_level]]/WarehouseData[[#This Row],[daily_demand]]</f>
        <v>8.5191082802547768</v>
      </c>
      <c r="AB2860">
        <f>WarehouseData[[#This Row],[stock_level]]*WarehouseData[[#This Row],[unit_price]]</f>
        <v>17817.64</v>
      </c>
      <c r="AC2860">
        <f>WarehouseData[[#This Row],[stock_level]]*WarehouseData[[#This Row],[holding_cost_per_unit_day]]*30</f>
        <v>1412.3999999999999</v>
      </c>
      <c r="AD2860" t="str">
        <f>IF(WarehouseData[[#This Row],[order_fulfillment_rate]]&gt;=0.9,"Strong",IF(WarehouseData[[#This Row],[order_fulfillment_rate]]&gt;=0.8,"Moderate","Needs Attention"))</f>
        <v>Strong</v>
      </c>
      <c r="AE2860" t="str">
        <f>IF(WarehouseData[[#This Row],[picking_time_seconds]]&gt;120,"Slow",IF(WarehouseData[[#This Row],[picking_time_seconds]]&gt;=60,"Average","Fast"))</f>
        <v>Slow</v>
      </c>
    </row>
    <row r="2861" spans="1:31" x14ac:dyDescent="0.25">
      <c r="A2861" t="s">
        <v>2999</v>
      </c>
      <c r="B2861" t="s">
        <v>40</v>
      </c>
      <c r="C2861">
        <v>148</v>
      </c>
      <c r="D2861">
        <v>48</v>
      </c>
      <c r="E2861">
        <v>4</v>
      </c>
      <c r="F2861">
        <v>4</v>
      </c>
      <c r="G2861">
        <v>23.6</v>
      </c>
      <c r="H2861">
        <v>3.49</v>
      </c>
      <c r="I2861">
        <v>0.31</v>
      </c>
      <c r="J2861" t="s">
        <v>466</v>
      </c>
      <c r="K2861" t="s">
        <v>38</v>
      </c>
      <c r="L2861">
        <v>16</v>
      </c>
      <c r="M2861">
        <v>3.65</v>
      </c>
      <c r="N2861">
        <v>186.12</v>
      </c>
      <c r="O2861">
        <v>0.43</v>
      </c>
      <c r="P2861">
        <v>9</v>
      </c>
      <c r="Q2861">
        <v>0.73</v>
      </c>
      <c r="R2861">
        <v>96</v>
      </c>
      <c r="S2861">
        <v>6.65</v>
      </c>
      <c r="T2861">
        <v>0.33</v>
      </c>
      <c r="U2861" s="1">
        <v>45453</v>
      </c>
      <c r="V2861">
        <v>266.14999999999998</v>
      </c>
      <c r="W2861">
        <v>0.47799999999999998</v>
      </c>
      <c r="X2861" t="str">
        <f>IF(WarehouseData[[#This Row],[stock_level]]&lt;=WarehouseData[[#This Row],[reorder_point]],"Low Stock","Sufficient Stock")</f>
        <v>Sufficient Stock</v>
      </c>
      <c r="Y2861">
        <f>WarehouseData[[#This Row],[daily_demand]]*WarehouseData[[#This Row],[lead_time_days]]</f>
        <v>94.4</v>
      </c>
      <c r="Z2861" t="str">
        <f>IF(WarehouseData[[#This Row],[stock_level]]&lt;=WarehouseData[[#This Row],[Demand During Lead Time]],"At Risk","Safe")</f>
        <v>Safe</v>
      </c>
      <c r="AA2861">
        <f>WarehouseData[[#This Row],[stock_level]]/WarehouseData[[#This Row],[daily_demand]]</f>
        <v>6.2711864406779654</v>
      </c>
      <c r="AB2861">
        <f>WarehouseData[[#This Row],[stock_level]]*WarehouseData[[#This Row],[unit_price]]</f>
        <v>27545.760000000002</v>
      </c>
      <c r="AC2861">
        <f>WarehouseData[[#This Row],[stock_level]]*WarehouseData[[#This Row],[holding_cost_per_unit_day]]*30</f>
        <v>1909.2</v>
      </c>
      <c r="AD2861" t="str">
        <f>IF(WarehouseData[[#This Row],[order_fulfillment_rate]]&gt;=0.9,"Strong",IF(WarehouseData[[#This Row],[order_fulfillment_rate]]&gt;=0.8,"Moderate","Needs Attention"))</f>
        <v>Needs Attention</v>
      </c>
      <c r="AE2861" t="str">
        <f>IF(WarehouseData[[#This Row],[picking_time_seconds]]&gt;120,"Slow",IF(WarehouseData[[#This Row],[picking_time_seconds]]&gt;=60,"Average","Fast"))</f>
        <v>Fast</v>
      </c>
    </row>
    <row r="2862" spans="1:31" x14ac:dyDescent="0.25">
      <c r="A2862" t="s">
        <v>3000</v>
      </c>
      <c r="B2862" t="s">
        <v>32</v>
      </c>
      <c r="C2862">
        <v>414</v>
      </c>
      <c r="D2862">
        <v>88</v>
      </c>
      <c r="E2862">
        <v>9</v>
      </c>
      <c r="F2862">
        <v>3</v>
      </c>
      <c r="G2862">
        <v>24.15</v>
      </c>
      <c r="H2862">
        <v>9.86</v>
      </c>
      <c r="I2862">
        <v>0.49</v>
      </c>
      <c r="J2862" t="s">
        <v>90</v>
      </c>
      <c r="K2862" t="s">
        <v>46</v>
      </c>
      <c r="L2862">
        <v>137</v>
      </c>
      <c r="M2862">
        <v>4.87</v>
      </c>
      <c r="N2862">
        <v>136.02000000000001</v>
      </c>
      <c r="O2862">
        <v>0.16</v>
      </c>
      <c r="P2862">
        <v>2</v>
      </c>
      <c r="Q2862">
        <v>0.96</v>
      </c>
      <c r="R2862">
        <v>164</v>
      </c>
      <c r="S2862">
        <v>14.36</v>
      </c>
      <c r="T2862">
        <v>0.28000000000000003</v>
      </c>
      <c r="U2862" s="1">
        <v>45501</v>
      </c>
      <c r="V2862">
        <v>93.25</v>
      </c>
      <c r="W2862">
        <v>0.78300000000000003</v>
      </c>
      <c r="X2862" t="str">
        <f>IF(WarehouseData[[#This Row],[stock_level]]&lt;=WarehouseData[[#This Row],[reorder_point]],"Low Stock","Sufficient Stock")</f>
        <v>Sufficient Stock</v>
      </c>
      <c r="Y2862">
        <f>WarehouseData[[#This Row],[daily_demand]]*WarehouseData[[#This Row],[lead_time_days]]</f>
        <v>72.449999999999989</v>
      </c>
      <c r="Z2862" t="str">
        <f>IF(WarehouseData[[#This Row],[stock_level]]&lt;=WarehouseData[[#This Row],[Demand During Lead Time]],"At Risk","Safe")</f>
        <v>Safe</v>
      </c>
      <c r="AA2862">
        <f>WarehouseData[[#This Row],[stock_level]]/WarehouseData[[#This Row],[daily_demand]]</f>
        <v>17.142857142857142</v>
      </c>
      <c r="AB2862">
        <f>WarehouseData[[#This Row],[stock_level]]*WarehouseData[[#This Row],[unit_price]]</f>
        <v>56312.280000000006</v>
      </c>
      <c r="AC2862">
        <f>WarehouseData[[#This Row],[stock_level]]*WarehouseData[[#This Row],[holding_cost_per_unit_day]]*30</f>
        <v>1987.1999999999998</v>
      </c>
      <c r="AD2862" t="str">
        <f>IF(WarehouseData[[#This Row],[order_fulfillment_rate]]&gt;=0.9,"Strong",IF(WarehouseData[[#This Row],[order_fulfillment_rate]]&gt;=0.8,"Moderate","Needs Attention"))</f>
        <v>Strong</v>
      </c>
      <c r="AE2862" t="str">
        <f>IF(WarehouseData[[#This Row],[picking_time_seconds]]&gt;120,"Slow",IF(WarehouseData[[#This Row],[picking_time_seconds]]&gt;=60,"Average","Fast"))</f>
        <v>Slow</v>
      </c>
    </row>
    <row r="2863" spans="1:31" x14ac:dyDescent="0.25">
      <c r="A2863" t="s">
        <v>3001</v>
      </c>
      <c r="B2863" t="s">
        <v>32</v>
      </c>
      <c r="C2863">
        <v>394</v>
      </c>
      <c r="D2863">
        <v>89</v>
      </c>
      <c r="E2863">
        <v>10</v>
      </c>
      <c r="F2863">
        <v>2</v>
      </c>
      <c r="G2863">
        <v>17.7</v>
      </c>
      <c r="H2863">
        <v>4.93</v>
      </c>
      <c r="I2863">
        <v>0.74</v>
      </c>
      <c r="J2863" t="s">
        <v>86</v>
      </c>
      <c r="K2863" t="s">
        <v>38</v>
      </c>
      <c r="L2863">
        <v>106</v>
      </c>
      <c r="M2863">
        <v>0.61</v>
      </c>
      <c r="N2863">
        <v>68.02</v>
      </c>
      <c r="O2863">
        <v>1.98</v>
      </c>
      <c r="P2863">
        <v>8</v>
      </c>
      <c r="Q2863">
        <v>0.94</v>
      </c>
      <c r="R2863">
        <v>757</v>
      </c>
      <c r="S2863">
        <v>11.5</v>
      </c>
      <c r="T2863">
        <v>0.63</v>
      </c>
      <c r="U2863" s="1">
        <v>45477</v>
      </c>
      <c r="V2863">
        <v>296.37</v>
      </c>
      <c r="W2863">
        <v>0.50900000000000001</v>
      </c>
      <c r="X2863" t="str">
        <f>IF(WarehouseData[[#This Row],[stock_level]]&lt;=WarehouseData[[#This Row],[reorder_point]],"Low Stock","Sufficient Stock")</f>
        <v>Sufficient Stock</v>
      </c>
      <c r="Y2863">
        <f>WarehouseData[[#This Row],[daily_demand]]*WarehouseData[[#This Row],[lead_time_days]]</f>
        <v>35.4</v>
      </c>
      <c r="Z2863" t="str">
        <f>IF(WarehouseData[[#This Row],[stock_level]]&lt;=WarehouseData[[#This Row],[Demand During Lead Time]],"At Risk","Safe")</f>
        <v>Safe</v>
      </c>
      <c r="AA2863">
        <f>WarehouseData[[#This Row],[stock_level]]/WarehouseData[[#This Row],[daily_demand]]</f>
        <v>22.25988700564972</v>
      </c>
      <c r="AB2863">
        <f>WarehouseData[[#This Row],[stock_level]]*WarehouseData[[#This Row],[unit_price]]</f>
        <v>26799.879999999997</v>
      </c>
      <c r="AC2863">
        <f>WarehouseData[[#This Row],[stock_level]]*WarehouseData[[#This Row],[holding_cost_per_unit_day]]*30</f>
        <v>23403.599999999999</v>
      </c>
      <c r="AD2863" t="str">
        <f>IF(WarehouseData[[#This Row],[order_fulfillment_rate]]&gt;=0.9,"Strong",IF(WarehouseData[[#This Row],[order_fulfillment_rate]]&gt;=0.8,"Moderate","Needs Attention"))</f>
        <v>Strong</v>
      </c>
      <c r="AE2863" t="str">
        <f>IF(WarehouseData[[#This Row],[picking_time_seconds]]&gt;120,"Slow",IF(WarehouseData[[#This Row],[picking_time_seconds]]&gt;=60,"Average","Fast"))</f>
        <v>Average</v>
      </c>
    </row>
    <row r="2864" spans="1:31" x14ac:dyDescent="0.25">
      <c r="A2864" t="s">
        <v>3002</v>
      </c>
      <c r="B2864" t="s">
        <v>32</v>
      </c>
      <c r="C2864">
        <v>360</v>
      </c>
      <c r="D2864">
        <v>36</v>
      </c>
      <c r="E2864">
        <v>3</v>
      </c>
      <c r="F2864">
        <v>7</v>
      </c>
      <c r="G2864">
        <v>47.78</v>
      </c>
      <c r="H2864">
        <v>7.62</v>
      </c>
      <c r="I2864">
        <v>0.22</v>
      </c>
      <c r="J2864" t="s">
        <v>263</v>
      </c>
      <c r="K2864" t="s">
        <v>46</v>
      </c>
      <c r="L2864">
        <v>20</v>
      </c>
      <c r="M2864">
        <v>1.68</v>
      </c>
      <c r="N2864">
        <v>141.03</v>
      </c>
      <c r="O2864">
        <v>0.76</v>
      </c>
      <c r="P2864">
        <v>3</v>
      </c>
      <c r="Q2864">
        <v>0.71</v>
      </c>
      <c r="R2864">
        <v>855</v>
      </c>
      <c r="S2864">
        <v>2</v>
      </c>
      <c r="T2864">
        <v>0.68</v>
      </c>
      <c r="U2864" s="1">
        <v>45346</v>
      </c>
      <c r="V2864">
        <v>168.95</v>
      </c>
      <c r="W2864">
        <v>0.56899999999999995</v>
      </c>
      <c r="X2864" t="str">
        <f>IF(WarehouseData[[#This Row],[stock_level]]&lt;=WarehouseData[[#This Row],[reorder_point]],"Low Stock","Sufficient Stock")</f>
        <v>Sufficient Stock</v>
      </c>
      <c r="Y2864">
        <f>WarehouseData[[#This Row],[daily_demand]]*WarehouseData[[#This Row],[lead_time_days]]</f>
        <v>334.46000000000004</v>
      </c>
      <c r="Z2864" t="str">
        <f>IF(WarehouseData[[#This Row],[stock_level]]&lt;=WarehouseData[[#This Row],[Demand During Lead Time]],"At Risk","Safe")</f>
        <v>Safe</v>
      </c>
      <c r="AA2864">
        <f>WarehouseData[[#This Row],[stock_level]]/WarehouseData[[#This Row],[daily_demand]]</f>
        <v>7.5345332775219758</v>
      </c>
      <c r="AB2864">
        <f>WarehouseData[[#This Row],[stock_level]]*WarehouseData[[#This Row],[unit_price]]</f>
        <v>50770.8</v>
      </c>
      <c r="AC2864">
        <f>WarehouseData[[#This Row],[stock_level]]*WarehouseData[[#This Row],[holding_cost_per_unit_day]]*30</f>
        <v>8208</v>
      </c>
      <c r="AD2864" t="str">
        <f>IF(WarehouseData[[#This Row],[order_fulfillment_rate]]&gt;=0.9,"Strong",IF(WarehouseData[[#This Row],[order_fulfillment_rate]]&gt;=0.8,"Moderate","Needs Attention"))</f>
        <v>Needs Attention</v>
      </c>
      <c r="AE2864" t="str">
        <f>IF(WarehouseData[[#This Row],[picking_time_seconds]]&gt;120,"Slow",IF(WarehouseData[[#This Row],[picking_time_seconds]]&gt;=60,"Average","Fast"))</f>
        <v>Fast</v>
      </c>
    </row>
    <row r="2865" spans="1:31" x14ac:dyDescent="0.25">
      <c r="A2865" t="s">
        <v>3003</v>
      </c>
      <c r="B2865" t="s">
        <v>32</v>
      </c>
      <c r="C2865">
        <v>23</v>
      </c>
      <c r="D2865">
        <v>83</v>
      </c>
      <c r="E2865">
        <v>5</v>
      </c>
      <c r="F2865">
        <v>2</v>
      </c>
      <c r="G2865">
        <v>35.14</v>
      </c>
      <c r="H2865">
        <v>2.19</v>
      </c>
      <c r="I2865">
        <v>0.76</v>
      </c>
      <c r="J2865" t="s">
        <v>477</v>
      </c>
      <c r="K2865" t="s">
        <v>46</v>
      </c>
      <c r="L2865">
        <v>169</v>
      </c>
      <c r="M2865">
        <v>2.97</v>
      </c>
      <c r="N2865">
        <v>57.76</v>
      </c>
      <c r="O2865">
        <v>1.55</v>
      </c>
      <c r="P2865">
        <v>5</v>
      </c>
      <c r="Q2865">
        <v>0.71</v>
      </c>
      <c r="R2865">
        <v>179</v>
      </c>
      <c r="S2865">
        <v>7</v>
      </c>
      <c r="T2865">
        <v>0.49</v>
      </c>
      <c r="U2865" s="1">
        <v>45371</v>
      </c>
      <c r="V2865">
        <v>148.15</v>
      </c>
      <c r="W2865">
        <v>0.47799999999999998</v>
      </c>
      <c r="X2865" t="str">
        <f>IF(WarehouseData[[#This Row],[stock_level]]&lt;=WarehouseData[[#This Row],[reorder_point]],"Low Stock","Sufficient Stock")</f>
        <v>Low Stock</v>
      </c>
      <c r="Y2865">
        <f>WarehouseData[[#This Row],[daily_demand]]*WarehouseData[[#This Row],[lead_time_days]]</f>
        <v>70.28</v>
      </c>
      <c r="Z2865" t="str">
        <f>IF(WarehouseData[[#This Row],[stock_level]]&lt;=WarehouseData[[#This Row],[Demand During Lead Time]],"At Risk","Safe")</f>
        <v>At Risk</v>
      </c>
      <c r="AA2865">
        <f>WarehouseData[[#This Row],[stock_level]]/WarehouseData[[#This Row],[daily_demand]]</f>
        <v>0.65452475811041544</v>
      </c>
      <c r="AB2865">
        <f>WarehouseData[[#This Row],[stock_level]]*WarehouseData[[#This Row],[unit_price]]</f>
        <v>1328.48</v>
      </c>
      <c r="AC2865">
        <f>WarehouseData[[#This Row],[stock_level]]*WarehouseData[[#This Row],[holding_cost_per_unit_day]]*30</f>
        <v>1069.5</v>
      </c>
      <c r="AD2865" t="str">
        <f>IF(WarehouseData[[#This Row],[order_fulfillment_rate]]&gt;=0.9,"Strong",IF(WarehouseData[[#This Row],[order_fulfillment_rate]]&gt;=0.8,"Moderate","Needs Attention"))</f>
        <v>Needs Attention</v>
      </c>
      <c r="AE2865" t="str">
        <f>IF(WarehouseData[[#This Row],[picking_time_seconds]]&gt;120,"Slow",IF(WarehouseData[[#This Row],[picking_time_seconds]]&gt;=60,"Average","Fast"))</f>
        <v>Slow</v>
      </c>
    </row>
    <row r="2866" spans="1:31" x14ac:dyDescent="0.25">
      <c r="A2866" t="s">
        <v>3004</v>
      </c>
      <c r="B2866" t="s">
        <v>32</v>
      </c>
      <c r="C2866">
        <v>346</v>
      </c>
      <c r="D2866">
        <v>72</v>
      </c>
      <c r="E2866">
        <v>9</v>
      </c>
      <c r="F2866">
        <v>6</v>
      </c>
      <c r="G2866">
        <v>27.42</v>
      </c>
      <c r="H2866">
        <v>0.63</v>
      </c>
      <c r="I2866">
        <v>0.87</v>
      </c>
      <c r="J2866" t="s">
        <v>212</v>
      </c>
      <c r="K2866" t="s">
        <v>38</v>
      </c>
      <c r="L2866">
        <v>115</v>
      </c>
      <c r="M2866">
        <v>3.29</v>
      </c>
      <c r="N2866">
        <v>193.64</v>
      </c>
      <c r="O2866">
        <v>0.21</v>
      </c>
      <c r="P2866">
        <v>3</v>
      </c>
      <c r="Q2866">
        <v>0.86</v>
      </c>
      <c r="R2866">
        <v>606</v>
      </c>
      <c r="S2866">
        <v>14.83</v>
      </c>
      <c r="T2866">
        <v>0.69</v>
      </c>
      <c r="U2866" s="1">
        <v>45510</v>
      </c>
      <c r="V2866">
        <v>293.18</v>
      </c>
      <c r="W2866">
        <v>0.82699999999999996</v>
      </c>
      <c r="X2866" t="str">
        <f>IF(WarehouseData[[#This Row],[stock_level]]&lt;=WarehouseData[[#This Row],[reorder_point]],"Low Stock","Sufficient Stock")</f>
        <v>Sufficient Stock</v>
      </c>
      <c r="Y2866">
        <f>WarehouseData[[#This Row],[daily_demand]]*WarehouseData[[#This Row],[lead_time_days]]</f>
        <v>164.52</v>
      </c>
      <c r="Z2866" t="str">
        <f>IF(WarehouseData[[#This Row],[stock_level]]&lt;=WarehouseData[[#This Row],[Demand During Lead Time]],"At Risk","Safe")</f>
        <v>Safe</v>
      </c>
      <c r="AA2866">
        <f>WarehouseData[[#This Row],[stock_level]]/WarehouseData[[#This Row],[daily_demand]]</f>
        <v>12.618526622902989</v>
      </c>
      <c r="AB2866">
        <f>WarehouseData[[#This Row],[stock_level]]*WarehouseData[[#This Row],[unit_price]]</f>
        <v>66999.44</v>
      </c>
      <c r="AC2866">
        <f>WarehouseData[[#This Row],[stock_level]]*WarehouseData[[#This Row],[holding_cost_per_unit_day]]*30</f>
        <v>2179.7999999999997</v>
      </c>
      <c r="AD2866" t="str">
        <f>IF(WarehouseData[[#This Row],[order_fulfillment_rate]]&gt;=0.9,"Strong",IF(WarehouseData[[#This Row],[order_fulfillment_rate]]&gt;=0.8,"Moderate","Needs Attention"))</f>
        <v>Moderate</v>
      </c>
      <c r="AE2866" t="str">
        <f>IF(WarehouseData[[#This Row],[picking_time_seconds]]&gt;120,"Slow",IF(WarehouseData[[#This Row],[picking_time_seconds]]&gt;=60,"Average","Fast"))</f>
        <v>Average</v>
      </c>
    </row>
    <row r="2867" spans="1:31" x14ac:dyDescent="0.25">
      <c r="A2867" t="s">
        <v>3005</v>
      </c>
      <c r="B2867" t="s">
        <v>36</v>
      </c>
      <c r="C2867">
        <v>429</v>
      </c>
      <c r="D2867">
        <v>77</v>
      </c>
      <c r="E2867">
        <v>11</v>
      </c>
      <c r="F2867">
        <v>4</v>
      </c>
      <c r="G2867">
        <v>26.02</v>
      </c>
      <c r="H2867">
        <v>4.47</v>
      </c>
      <c r="I2867">
        <v>0.69</v>
      </c>
      <c r="J2867" t="s">
        <v>477</v>
      </c>
      <c r="K2867" t="s">
        <v>52</v>
      </c>
      <c r="L2867">
        <v>92</v>
      </c>
      <c r="M2867">
        <v>1.73</v>
      </c>
      <c r="N2867">
        <v>166.25</v>
      </c>
      <c r="O2867">
        <v>0.67</v>
      </c>
      <c r="P2867">
        <v>8</v>
      </c>
      <c r="Q2867">
        <v>1</v>
      </c>
      <c r="R2867">
        <v>204</v>
      </c>
      <c r="S2867">
        <v>7.35</v>
      </c>
      <c r="T2867">
        <v>0.52</v>
      </c>
      <c r="U2867" s="1">
        <v>45625</v>
      </c>
      <c r="V2867">
        <v>75.760000000000005</v>
      </c>
      <c r="W2867">
        <v>0.57499999999999996</v>
      </c>
      <c r="X2867" t="str">
        <f>IF(WarehouseData[[#This Row],[stock_level]]&lt;=WarehouseData[[#This Row],[reorder_point]],"Low Stock","Sufficient Stock")</f>
        <v>Sufficient Stock</v>
      </c>
      <c r="Y2867">
        <f>WarehouseData[[#This Row],[daily_demand]]*WarehouseData[[#This Row],[lead_time_days]]</f>
        <v>104.08</v>
      </c>
      <c r="Z2867" t="str">
        <f>IF(WarehouseData[[#This Row],[stock_level]]&lt;=WarehouseData[[#This Row],[Demand During Lead Time]],"At Risk","Safe")</f>
        <v>Safe</v>
      </c>
      <c r="AA2867">
        <f>WarehouseData[[#This Row],[stock_level]]/WarehouseData[[#This Row],[daily_demand]]</f>
        <v>16.487317448116833</v>
      </c>
      <c r="AB2867">
        <f>WarehouseData[[#This Row],[stock_level]]*WarehouseData[[#This Row],[unit_price]]</f>
        <v>71321.25</v>
      </c>
      <c r="AC2867">
        <f>WarehouseData[[#This Row],[stock_level]]*WarehouseData[[#This Row],[holding_cost_per_unit_day]]*30</f>
        <v>8622.9</v>
      </c>
      <c r="AD2867" t="str">
        <f>IF(WarehouseData[[#This Row],[order_fulfillment_rate]]&gt;=0.9,"Strong",IF(WarehouseData[[#This Row],[order_fulfillment_rate]]&gt;=0.8,"Moderate","Needs Attention"))</f>
        <v>Strong</v>
      </c>
      <c r="AE2867" t="str">
        <f>IF(WarehouseData[[#This Row],[picking_time_seconds]]&gt;120,"Slow",IF(WarehouseData[[#This Row],[picking_time_seconds]]&gt;=60,"Average","Fast"))</f>
        <v>Average</v>
      </c>
    </row>
    <row r="2868" spans="1:31" x14ac:dyDescent="0.25">
      <c r="A2868" t="s">
        <v>3006</v>
      </c>
      <c r="B2868" t="s">
        <v>40</v>
      </c>
      <c r="C2868">
        <v>386</v>
      </c>
      <c r="D2868">
        <v>28</v>
      </c>
      <c r="E2868">
        <v>10</v>
      </c>
      <c r="F2868">
        <v>7</v>
      </c>
      <c r="G2868">
        <v>8.81</v>
      </c>
      <c r="H2868">
        <v>6.82</v>
      </c>
      <c r="I2868">
        <v>0.14000000000000001</v>
      </c>
      <c r="J2868" t="s">
        <v>190</v>
      </c>
      <c r="K2868" t="s">
        <v>46</v>
      </c>
      <c r="L2868">
        <v>45</v>
      </c>
      <c r="M2868">
        <v>4.22</v>
      </c>
      <c r="N2868">
        <v>91.93</v>
      </c>
      <c r="O2868">
        <v>1.29</v>
      </c>
      <c r="P2868">
        <v>3</v>
      </c>
      <c r="Q2868">
        <v>0.96</v>
      </c>
      <c r="R2868">
        <v>544</v>
      </c>
      <c r="S2868">
        <v>9.81</v>
      </c>
      <c r="T2868">
        <v>0.89</v>
      </c>
      <c r="U2868" s="1">
        <v>45591</v>
      </c>
      <c r="V2868">
        <v>273.60000000000002</v>
      </c>
      <c r="W2868">
        <v>0.71199999999999997</v>
      </c>
      <c r="X2868" t="str">
        <f>IF(WarehouseData[[#This Row],[stock_level]]&lt;=WarehouseData[[#This Row],[reorder_point]],"Low Stock","Sufficient Stock")</f>
        <v>Sufficient Stock</v>
      </c>
      <c r="Y2868">
        <f>WarehouseData[[#This Row],[daily_demand]]*WarehouseData[[#This Row],[lead_time_days]]</f>
        <v>61.67</v>
      </c>
      <c r="Z2868" t="str">
        <f>IF(WarehouseData[[#This Row],[stock_level]]&lt;=WarehouseData[[#This Row],[Demand During Lead Time]],"At Risk","Safe")</f>
        <v>Safe</v>
      </c>
      <c r="AA2868">
        <f>WarehouseData[[#This Row],[stock_level]]/WarehouseData[[#This Row],[daily_demand]]</f>
        <v>43.813847900113508</v>
      </c>
      <c r="AB2868">
        <f>WarehouseData[[#This Row],[stock_level]]*WarehouseData[[#This Row],[unit_price]]</f>
        <v>35484.980000000003</v>
      </c>
      <c r="AC2868">
        <f>WarehouseData[[#This Row],[stock_level]]*WarehouseData[[#This Row],[holding_cost_per_unit_day]]*30</f>
        <v>14938.2</v>
      </c>
      <c r="AD2868" t="str">
        <f>IF(WarehouseData[[#This Row],[order_fulfillment_rate]]&gt;=0.9,"Strong",IF(WarehouseData[[#This Row],[order_fulfillment_rate]]&gt;=0.8,"Moderate","Needs Attention"))</f>
        <v>Strong</v>
      </c>
      <c r="AE2868" t="str">
        <f>IF(WarehouseData[[#This Row],[picking_time_seconds]]&gt;120,"Slow",IF(WarehouseData[[#This Row],[picking_time_seconds]]&gt;=60,"Average","Fast"))</f>
        <v>Fast</v>
      </c>
    </row>
    <row r="2869" spans="1:31" x14ac:dyDescent="0.25">
      <c r="A2869" t="s">
        <v>3007</v>
      </c>
      <c r="B2869" t="s">
        <v>32</v>
      </c>
      <c r="C2869">
        <v>325</v>
      </c>
      <c r="D2869">
        <v>37</v>
      </c>
      <c r="E2869">
        <v>10</v>
      </c>
      <c r="F2869">
        <v>8</v>
      </c>
      <c r="G2869">
        <v>19.239999999999998</v>
      </c>
      <c r="H2869">
        <v>5.31</v>
      </c>
      <c r="I2869">
        <v>0.5</v>
      </c>
      <c r="J2869" t="s">
        <v>217</v>
      </c>
      <c r="K2869" t="s">
        <v>52</v>
      </c>
      <c r="L2869">
        <v>127</v>
      </c>
      <c r="M2869">
        <v>1.24</v>
      </c>
      <c r="N2869">
        <v>159.03</v>
      </c>
      <c r="O2869">
        <v>1.1000000000000001</v>
      </c>
      <c r="P2869">
        <v>7</v>
      </c>
      <c r="Q2869">
        <v>0.79</v>
      </c>
      <c r="R2869">
        <v>878</v>
      </c>
      <c r="S2869">
        <v>10.81</v>
      </c>
      <c r="T2869">
        <v>0.96</v>
      </c>
      <c r="U2869" s="1">
        <v>45421</v>
      </c>
      <c r="V2869">
        <v>181.54</v>
      </c>
      <c r="W2869">
        <v>0.64400000000000002</v>
      </c>
      <c r="X2869" t="str">
        <f>IF(WarehouseData[[#This Row],[stock_level]]&lt;=WarehouseData[[#This Row],[reorder_point]],"Low Stock","Sufficient Stock")</f>
        <v>Sufficient Stock</v>
      </c>
      <c r="Y2869">
        <f>WarehouseData[[#This Row],[daily_demand]]*WarehouseData[[#This Row],[lead_time_days]]</f>
        <v>153.91999999999999</v>
      </c>
      <c r="Z2869" t="str">
        <f>IF(WarehouseData[[#This Row],[stock_level]]&lt;=WarehouseData[[#This Row],[Demand During Lead Time]],"At Risk","Safe")</f>
        <v>Safe</v>
      </c>
      <c r="AA2869">
        <f>WarehouseData[[#This Row],[stock_level]]/WarehouseData[[#This Row],[daily_demand]]</f>
        <v>16.891891891891895</v>
      </c>
      <c r="AB2869">
        <f>WarehouseData[[#This Row],[stock_level]]*WarehouseData[[#This Row],[unit_price]]</f>
        <v>51684.75</v>
      </c>
      <c r="AC2869">
        <f>WarehouseData[[#This Row],[stock_level]]*WarehouseData[[#This Row],[holding_cost_per_unit_day]]*30</f>
        <v>10725.000000000002</v>
      </c>
      <c r="AD2869" t="str">
        <f>IF(WarehouseData[[#This Row],[order_fulfillment_rate]]&gt;=0.9,"Strong",IF(WarehouseData[[#This Row],[order_fulfillment_rate]]&gt;=0.8,"Moderate","Needs Attention"))</f>
        <v>Needs Attention</v>
      </c>
      <c r="AE2869" t="str">
        <f>IF(WarehouseData[[#This Row],[picking_time_seconds]]&gt;120,"Slow",IF(WarehouseData[[#This Row],[picking_time_seconds]]&gt;=60,"Average","Fast"))</f>
        <v>Slow</v>
      </c>
    </row>
    <row r="2870" spans="1:31" x14ac:dyDescent="0.25">
      <c r="A2870" t="s">
        <v>3008</v>
      </c>
      <c r="B2870" t="s">
        <v>48</v>
      </c>
      <c r="C2870">
        <v>415</v>
      </c>
      <c r="D2870">
        <v>94</v>
      </c>
      <c r="E2870">
        <v>11</v>
      </c>
      <c r="F2870">
        <v>8</v>
      </c>
      <c r="G2870">
        <v>33.97</v>
      </c>
      <c r="H2870">
        <v>8.9600000000000009</v>
      </c>
      <c r="I2870">
        <v>0.69</v>
      </c>
      <c r="J2870" t="s">
        <v>166</v>
      </c>
      <c r="K2870" t="s">
        <v>38</v>
      </c>
      <c r="L2870">
        <v>174</v>
      </c>
      <c r="M2870">
        <v>0.5</v>
      </c>
      <c r="N2870">
        <v>87.64</v>
      </c>
      <c r="O2870">
        <v>0.49</v>
      </c>
      <c r="P2870">
        <v>2</v>
      </c>
      <c r="Q2870">
        <v>0.82</v>
      </c>
      <c r="R2870">
        <v>131</v>
      </c>
      <c r="S2870">
        <v>10.3</v>
      </c>
      <c r="T2870">
        <v>0.67</v>
      </c>
      <c r="U2870" s="1">
        <v>45425</v>
      </c>
      <c r="V2870">
        <v>228.94</v>
      </c>
      <c r="W2870">
        <v>0.746</v>
      </c>
      <c r="X2870" t="str">
        <f>IF(WarehouseData[[#This Row],[stock_level]]&lt;=WarehouseData[[#This Row],[reorder_point]],"Low Stock","Sufficient Stock")</f>
        <v>Sufficient Stock</v>
      </c>
      <c r="Y2870">
        <f>WarehouseData[[#This Row],[daily_demand]]*WarehouseData[[#This Row],[lead_time_days]]</f>
        <v>271.76</v>
      </c>
      <c r="Z2870" t="str">
        <f>IF(WarehouseData[[#This Row],[stock_level]]&lt;=WarehouseData[[#This Row],[Demand During Lead Time]],"At Risk","Safe")</f>
        <v>Safe</v>
      </c>
      <c r="AA2870">
        <f>WarehouseData[[#This Row],[stock_level]]/WarehouseData[[#This Row],[daily_demand]]</f>
        <v>12.216661760376804</v>
      </c>
      <c r="AB2870">
        <f>WarehouseData[[#This Row],[stock_level]]*WarehouseData[[#This Row],[unit_price]]</f>
        <v>36370.6</v>
      </c>
      <c r="AC2870">
        <f>WarehouseData[[#This Row],[stock_level]]*WarehouseData[[#This Row],[holding_cost_per_unit_day]]*30</f>
        <v>6100.5</v>
      </c>
      <c r="AD2870" t="str">
        <f>IF(WarehouseData[[#This Row],[order_fulfillment_rate]]&gt;=0.9,"Strong",IF(WarehouseData[[#This Row],[order_fulfillment_rate]]&gt;=0.8,"Moderate","Needs Attention"))</f>
        <v>Moderate</v>
      </c>
      <c r="AE2870" t="str">
        <f>IF(WarehouseData[[#This Row],[picking_time_seconds]]&gt;120,"Slow",IF(WarehouseData[[#This Row],[picking_time_seconds]]&gt;=60,"Average","Fast"))</f>
        <v>Slow</v>
      </c>
    </row>
    <row r="2871" spans="1:31" x14ac:dyDescent="0.25">
      <c r="A2871" t="s">
        <v>3009</v>
      </c>
      <c r="B2871" t="s">
        <v>48</v>
      </c>
      <c r="C2871">
        <v>114</v>
      </c>
      <c r="D2871">
        <v>87</v>
      </c>
      <c r="E2871">
        <v>12</v>
      </c>
      <c r="F2871">
        <v>4</v>
      </c>
      <c r="G2871">
        <v>46.3</v>
      </c>
      <c r="H2871">
        <v>4.62</v>
      </c>
      <c r="I2871">
        <v>0.98</v>
      </c>
      <c r="J2871" t="s">
        <v>64</v>
      </c>
      <c r="K2871" t="s">
        <v>52</v>
      </c>
      <c r="L2871">
        <v>50</v>
      </c>
      <c r="M2871">
        <v>4.79</v>
      </c>
      <c r="N2871">
        <v>24.18</v>
      </c>
      <c r="O2871">
        <v>0.98</v>
      </c>
      <c r="P2871">
        <v>7</v>
      </c>
      <c r="Q2871">
        <v>0.82</v>
      </c>
      <c r="R2871">
        <v>828</v>
      </c>
      <c r="S2871">
        <v>8.26</v>
      </c>
      <c r="T2871">
        <v>0.87</v>
      </c>
      <c r="U2871" s="1">
        <v>45566</v>
      </c>
      <c r="V2871">
        <v>178.79</v>
      </c>
      <c r="W2871">
        <v>0.61</v>
      </c>
      <c r="X2871" t="str">
        <f>IF(WarehouseData[[#This Row],[stock_level]]&lt;=WarehouseData[[#This Row],[reorder_point]],"Low Stock","Sufficient Stock")</f>
        <v>Sufficient Stock</v>
      </c>
      <c r="Y2871">
        <f>WarehouseData[[#This Row],[daily_demand]]*WarehouseData[[#This Row],[lead_time_days]]</f>
        <v>185.2</v>
      </c>
      <c r="Z2871" t="str">
        <f>IF(WarehouseData[[#This Row],[stock_level]]&lt;=WarehouseData[[#This Row],[Demand During Lead Time]],"At Risk","Safe")</f>
        <v>At Risk</v>
      </c>
      <c r="AA2871">
        <f>WarehouseData[[#This Row],[stock_level]]/WarehouseData[[#This Row],[daily_demand]]</f>
        <v>2.4622030237580996</v>
      </c>
      <c r="AB2871">
        <f>WarehouseData[[#This Row],[stock_level]]*WarehouseData[[#This Row],[unit_price]]</f>
        <v>2756.52</v>
      </c>
      <c r="AC2871">
        <f>WarehouseData[[#This Row],[stock_level]]*WarehouseData[[#This Row],[holding_cost_per_unit_day]]*30</f>
        <v>3351.6</v>
      </c>
      <c r="AD2871" t="str">
        <f>IF(WarehouseData[[#This Row],[order_fulfillment_rate]]&gt;=0.9,"Strong",IF(WarehouseData[[#This Row],[order_fulfillment_rate]]&gt;=0.8,"Moderate","Needs Attention"))</f>
        <v>Moderate</v>
      </c>
      <c r="AE2871" t="str">
        <f>IF(WarehouseData[[#This Row],[picking_time_seconds]]&gt;120,"Slow",IF(WarehouseData[[#This Row],[picking_time_seconds]]&gt;=60,"Average","Fast"))</f>
        <v>Fast</v>
      </c>
    </row>
    <row r="2872" spans="1:31" x14ac:dyDescent="0.25">
      <c r="A2872" t="s">
        <v>3010</v>
      </c>
      <c r="B2872" t="s">
        <v>40</v>
      </c>
      <c r="C2872">
        <v>228</v>
      </c>
      <c r="D2872">
        <v>42</v>
      </c>
      <c r="E2872">
        <v>5</v>
      </c>
      <c r="F2872">
        <v>2</v>
      </c>
      <c r="G2872">
        <v>41.01</v>
      </c>
      <c r="H2872">
        <v>3.45</v>
      </c>
      <c r="I2872">
        <v>0.96</v>
      </c>
      <c r="J2872" t="s">
        <v>90</v>
      </c>
      <c r="K2872" t="s">
        <v>46</v>
      </c>
      <c r="L2872">
        <v>101</v>
      </c>
      <c r="M2872">
        <v>2.2599999999999998</v>
      </c>
      <c r="N2872">
        <v>144.29</v>
      </c>
      <c r="O2872">
        <v>0.31</v>
      </c>
      <c r="P2872">
        <v>2</v>
      </c>
      <c r="Q2872">
        <v>0.92</v>
      </c>
      <c r="R2872">
        <v>718</v>
      </c>
      <c r="S2872">
        <v>2.86</v>
      </c>
      <c r="T2872">
        <v>0.88</v>
      </c>
      <c r="U2872" s="1">
        <v>45508</v>
      </c>
      <c r="V2872">
        <v>189.41</v>
      </c>
      <c r="W2872">
        <v>0.72699999999999998</v>
      </c>
      <c r="X2872" t="str">
        <f>IF(WarehouseData[[#This Row],[stock_level]]&lt;=WarehouseData[[#This Row],[reorder_point]],"Low Stock","Sufficient Stock")</f>
        <v>Sufficient Stock</v>
      </c>
      <c r="Y2872">
        <f>WarehouseData[[#This Row],[daily_demand]]*WarehouseData[[#This Row],[lead_time_days]]</f>
        <v>82.02</v>
      </c>
      <c r="Z2872" t="str">
        <f>IF(WarehouseData[[#This Row],[stock_level]]&lt;=WarehouseData[[#This Row],[Demand During Lead Time]],"At Risk","Safe")</f>
        <v>Safe</v>
      </c>
      <c r="AA2872">
        <f>WarehouseData[[#This Row],[stock_level]]/WarehouseData[[#This Row],[daily_demand]]</f>
        <v>5.5596196049743964</v>
      </c>
      <c r="AB2872">
        <f>WarehouseData[[#This Row],[stock_level]]*WarehouseData[[#This Row],[unit_price]]</f>
        <v>32898.119999999995</v>
      </c>
      <c r="AC2872">
        <f>WarehouseData[[#This Row],[stock_level]]*WarehouseData[[#This Row],[holding_cost_per_unit_day]]*30</f>
        <v>2120.3999999999996</v>
      </c>
      <c r="AD2872" t="str">
        <f>IF(WarehouseData[[#This Row],[order_fulfillment_rate]]&gt;=0.9,"Strong",IF(WarehouseData[[#This Row],[order_fulfillment_rate]]&gt;=0.8,"Moderate","Needs Attention"))</f>
        <v>Strong</v>
      </c>
      <c r="AE2872" t="str">
        <f>IF(WarehouseData[[#This Row],[picking_time_seconds]]&gt;120,"Slow",IF(WarehouseData[[#This Row],[picking_time_seconds]]&gt;=60,"Average","Fast"))</f>
        <v>Average</v>
      </c>
    </row>
    <row r="2873" spans="1:31" x14ac:dyDescent="0.25">
      <c r="A2873" t="s">
        <v>3011</v>
      </c>
      <c r="B2873" t="s">
        <v>73</v>
      </c>
      <c r="C2873">
        <v>244</v>
      </c>
      <c r="D2873">
        <v>19</v>
      </c>
      <c r="E2873">
        <v>10</v>
      </c>
      <c r="F2873">
        <v>7</v>
      </c>
      <c r="G2873">
        <v>15.72</v>
      </c>
      <c r="H2873">
        <v>9.1999999999999993</v>
      </c>
      <c r="I2873">
        <v>0.46</v>
      </c>
      <c r="J2873" t="s">
        <v>154</v>
      </c>
      <c r="K2873" t="s">
        <v>38</v>
      </c>
      <c r="L2873">
        <v>58</v>
      </c>
      <c r="M2873">
        <v>4.8099999999999996</v>
      </c>
      <c r="N2873">
        <v>86.88</v>
      </c>
      <c r="O2873">
        <v>1.1299999999999999</v>
      </c>
      <c r="P2873">
        <v>4</v>
      </c>
      <c r="Q2873">
        <v>0.8</v>
      </c>
      <c r="R2873">
        <v>74</v>
      </c>
      <c r="S2873">
        <v>10.92</v>
      </c>
      <c r="T2873">
        <v>0.77</v>
      </c>
      <c r="U2873" s="1">
        <v>45581</v>
      </c>
      <c r="V2873">
        <v>54.93</v>
      </c>
      <c r="W2873">
        <v>0.66700000000000004</v>
      </c>
      <c r="X2873" t="str">
        <f>IF(WarehouseData[[#This Row],[stock_level]]&lt;=WarehouseData[[#This Row],[reorder_point]],"Low Stock","Sufficient Stock")</f>
        <v>Sufficient Stock</v>
      </c>
      <c r="Y2873">
        <f>WarehouseData[[#This Row],[daily_demand]]*WarehouseData[[#This Row],[lead_time_days]]</f>
        <v>110.04</v>
      </c>
      <c r="Z2873" t="str">
        <f>IF(WarehouseData[[#This Row],[stock_level]]&lt;=WarehouseData[[#This Row],[Demand During Lead Time]],"At Risk","Safe")</f>
        <v>Safe</v>
      </c>
      <c r="AA2873">
        <f>WarehouseData[[#This Row],[stock_level]]/WarehouseData[[#This Row],[daily_demand]]</f>
        <v>15.521628498727734</v>
      </c>
      <c r="AB2873">
        <f>WarehouseData[[#This Row],[stock_level]]*WarehouseData[[#This Row],[unit_price]]</f>
        <v>21198.719999999998</v>
      </c>
      <c r="AC2873">
        <f>WarehouseData[[#This Row],[stock_level]]*WarehouseData[[#This Row],[holding_cost_per_unit_day]]*30</f>
        <v>8271.5999999999985</v>
      </c>
      <c r="AD2873" t="str">
        <f>IF(WarehouseData[[#This Row],[order_fulfillment_rate]]&gt;=0.9,"Strong",IF(WarehouseData[[#This Row],[order_fulfillment_rate]]&gt;=0.8,"Moderate","Needs Attention"))</f>
        <v>Moderate</v>
      </c>
      <c r="AE2873" t="str">
        <f>IF(WarehouseData[[#This Row],[picking_time_seconds]]&gt;120,"Slow",IF(WarehouseData[[#This Row],[picking_time_seconds]]&gt;=60,"Average","Fast"))</f>
        <v>Fast</v>
      </c>
    </row>
    <row r="2874" spans="1:31" x14ac:dyDescent="0.25">
      <c r="A2874" t="s">
        <v>3012</v>
      </c>
      <c r="B2874" t="s">
        <v>73</v>
      </c>
      <c r="C2874">
        <v>478</v>
      </c>
      <c r="D2874">
        <v>92</v>
      </c>
      <c r="E2874">
        <v>3</v>
      </c>
      <c r="F2874">
        <v>3</v>
      </c>
      <c r="G2874">
        <v>22.26</v>
      </c>
      <c r="H2874">
        <v>4.3600000000000003</v>
      </c>
      <c r="I2874">
        <v>0.65</v>
      </c>
      <c r="J2874" t="s">
        <v>77</v>
      </c>
      <c r="K2874" t="s">
        <v>52</v>
      </c>
      <c r="L2874">
        <v>152</v>
      </c>
      <c r="M2874">
        <v>1.75</v>
      </c>
      <c r="N2874">
        <v>186.76</v>
      </c>
      <c r="O2874">
        <v>0.28000000000000003</v>
      </c>
      <c r="P2874">
        <v>0</v>
      </c>
      <c r="Q2874">
        <v>0.74</v>
      </c>
      <c r="R2874">
        <v>383</v>
      </c>
      <c r="S2874">
        <v>14.07</v>
      </c>
      <c r="T2874">
        <v>0.35</v>
      </c>
      <c r="U2874" s="1">
        <v>45479</v>
      </c>
      <c r="V2874">
        <v>53.98</v>
      </c>
      <c r="W2874">
        <v>0.77800000000000002</v>
      </c>
      <c r="X2874" t="str">
        <f>IF(WarehouseData[[#This Row],[stock_level]]&lt;=WarehouseData[[#This Row],[reorder_point]],"Low Stock","Sufficient Stock")</f>
        <v>Sufficient Stock</v>
      </c>
      <c r="Y2874">
        <f>WarehouseData[[#This Row],[daily_demand]]*WarehouseData[[#This Row],[lead_time_days]]</f>
        <v>66.78</v>
      </c>
      <c r="Z2874" t="str">
        <f>IF(WarehouseData[[#This Row],[stock_level]]&lt;=WarehouseData[[#This Row],[Demand During Lead Time]],"At Risk","Safe")</f>
        <v>Safe</v>
      </c>
      <c r="AA2874">
        <f>WarehouseData[[#This Row],[stock_level]]/WarehouseData[[#This Row],[daily_demand]]</f>
        <v>21.473495058400719</v>
      </c>
      <c r="AB2874">
        <f>WarehouseData[[#This Row],[stock_level]]*WarehouseData[[#This Row],[unit_price]]</f>
        <v>89271.28</v>
      </c>
      <c r="AC2874">
        <f>WarehouseData[[#This Row],[stock_level]]*WarehouseData[[#This Row],[holding_cost_per_unit_day]]*30</f>
        <v>4015.2000000000003</v>
      </c>
      <c r="AD2874" t="str">
        <f>IF(WarehouseData[[#This Row],[order_fulfillment_rate]]&gt;=0.9,"Strong",IF(WarehouseData[[#This Row],[order_fulfillment_rate]]&gt;=0.8,"Moderate","Needs Attention"))</f>
        <v>Needs Attention</v>
      </c>
      <c r="AE2874" t="str">
        <f>IF(WarehouseData[[#This Row],[picking_time_seconds]]&gt;120,"Slow",IF(WarehouseData[[#This Row],[picking_time_seconds]]&gt;=60,"Average","Fast"))</f>
        <v>Slow</v>
      </c>
    </row>
    <row r="2875" spans="1:31" x14ac:dyDescent="0.25">
      <c r="A2875" t="s">
        <v>3013</v>
      </c>
      <c r="B2875" t="s">
        <v>73</v>
      </c>
      <c r="C2875">
        <v>367</v>
      </c>
      <c r="D2875">
        <v>39</v>
      </c>
      <c r="E2875">
        <v>10</v>
      </c>
      <c r="F2875">
        <v>8</v>
      </c>
      <c r="G2875">
        <v>5.0599999999999996</v>
      </c>
      <c r="H2875">
        <v>3.06</v>
      </c>
      <c r="I2875">
        <v>0.9</v>
      </c>
      <c r="J2875" t="s">
        <v>137</v>
      </c>
      <c r="K2875" t="s">
        <v>38</v>
      </c>
      <c r="L2875">
        <v>150</v>
      </c>
      <c r="M2875">
        <v>0.79</v>
      </c>
      <c r="N2875">
        <v>68.25</v>
      </c>
      <c r="O2875">
        <v>1.31</v>
      </c>
      <c r="P2875">
        <v>5</v>
      </c>
      <c r="Q2875">
        <v>0.92</v>
      </c>
      <c r="R2875">
        <v>231</v>
      </c>
      <c r="S2875">
        <v>14.18</v>
      </c>
      <c r="T2875">
        <v>0.32</v>
      </c>
      <c r="U2875" s="1">
        <v>45605</v>
      </c>
      <c r="V2875">
        <v>125.18</v>
      </c>
      <c r="W2875">
        <v>0.60599999999999998</v>
      </c>
      <c r="X2875" t="str">
        <f>IF(WarehouseData[[#This Row],[stock_level]]&lt;=WarehouseData[[#This Row],[reorder_point]],"Low Stock","Sufficient Stock")</f>
        <v>Sufficient Stock</v>
      </c>
      <c r="Y2875">
        <f>WarehouseData[[#This Row],[daily_demand]]*WarehouseData[[#This Row],[lead_time_days]]</f>
        <v>40.479999999999997</v>
      </c>
      <c r="Z2875" t="str">
        <f>IF(WarehouseData[[#This Row],[stock_level]]&lt;=WarehouseData[[#This Row],[Demand During Lead Time]],"At Risk","Safe")</f>
        <v>Safe</v>
      </c>
      <c r="AA2875">
        <f>WarehouseData[[#This Row],[stock_level]]/WarehouseData[[#This Row],[daily_demand]]</f>
        <v>72.529644268774703</v>
      </c>
      <c r="AB2875">
        <f>WarehouseData[[#This Row],[stock_level]]*WarehouseData[[#This Row],[unit_price]]</f>
        <v>25047.75</v>
      </c>
      <c r="AC2875">
        <f>WarehouseData[[#This Row],[stock_level]]*WarehouseData[[#This Row],[holding_cost_per_unit_day]]*30</f>
        <v>14423.1</v>
      </c>
      <c r="AD2875" t="str">
        <f>IF(WarehouseData[[#This Row],[order_fulfillment_rate]]&gt;=0.9,"Strong",IF(WarehouseData[[#This Row],[order_fulfillment_rate]]&gt;=0.8,"Moderate","Needs Attention"))</f>
        <v>Strong</v>
      </c>
      <c r="AE2875" t="str">
        <f>IF(WarehouseData[[#This Row],[picking_time_seconds]]&gt;120,"Slow",IF(WarehouseData[[#This Row],[picking_time_seconds]]&gt;=60,"Average","Fast"))</f>
        <v>Slow</v>
      </c>
    </row>
    <row r="2876" spans="1:31" x14ac:dyDescent="0.25">
      <c r="A2876" t="s">
        <v>3014</v>
      </c>
      <c r="B2876" t="s">
        <v>48</v>
      </c>
      <c r="C2876">
        <v>499</v>
      </c>
      <c r="D2876">
        <v>31</v>
      </c>
      <c r="E2876">
        <v>9</v>
      </c>
      <c r="F2876">
        <v>2</v>
      </c>
      <c r="G2876">
        <v>6.01</v>
      </c>
      <c r="H2876">
        <v>1.43</v>
      </c>
      <c r="I2876">
        <v>0.85</v>
      </c>
      <c r="J2876" t="s">
        <v>43</v>
      </c>
      <c r="K2876" t="s">
        <v>38</v>
      </c>
      <c r="L2876">
        <v>62</v>
      </c>
      <c r="M2876">
        <v>3.98</v>
      </c>
      <c r="N2876">
        <v>170.23</v>
      </c>
      <c r="O2876">
        <v>0.4</v>
      </c>
      <c r="P2876">
        <v>1</v>
      </c>
      <c r="Q2876">
        <v>0.84</v>
      </c>
      <c r="R2876">
        <v>481</v>
      </c>
      <c r="S2876">
        <v>9.31</v>
      </c>
      <c r="T2876">
        <v>0.94</v>
      </c>
      <c r="U2876" s="1">
        <v>45433</v>
      </c>
      <c r="V2876">
        <v>110.45</v>
      </c>
      <c r="W2876">
        <v>0.82</v>
      </c>
      <c r="X2876" t="str">
        <f>IF(WarehouseData[[#This Row],[stock_level]]&lt;=WarehouseData[[#This Row],[reorder_point]],"Low Stock","Sufficient Stock")</f>
        <v>Sufficient Stock</v>
      </c>
      <c r="Y2876">
        <f>WarehouseData[[#This Row],[daily_demand]]*WarehouseData[[#This Row],[lead_time_days]]</f>
        <v>12.02</v>
      </c>
      <c r="Z2876" t="str">
        <f>IF(WarehouseData[[#This Row],[stock_level]]&lt;=WarehouseData[[#This Row],[Demand During Lead Time]],"At Risk","Safe")</f>
        <v>Safe</v>
      </c>
      <c r="AA2876">
        <f>WarehouseData[[#This Row],[stock_level]]/WarehouseData[[#This Row],[daily_demand]]</f>
        <v>83.028286189683868</v>
      </c>
      <c r="AB2876">
        <f>WarehouseData[[#This Row],[stock_level]]*WarehouseData[[#This Row],[unit_price]]</f>
        <v>84944.76999999999</v>
      </c>
      <c r="AC2876">
        <f>WarehouseData[[#This Row],[stock_level]]*WarehouseData[[#This Row],[holding_cost_per_unit_day]]*30</f>
        <v>5988.0000000000009</v>
      </c>
      <c r="AD2876" t="str">
        <f>IF(WarehouseData[[#This Row],[order_fulfillment_rate]]&gt;=0.9,"Strong",IF(WarehouseData[[#This Row],[order_fulfillment_rate]]&gt;=0.8,"Moderate","Needs Attention"))</f>
        <v>Moderate</v>
      </c>
      <c r="AE2876" t="str">
        <f>IF(WarehouseData[[#This Row],[picking_time_seconds]]&gt;120,"Slow",IF(WarehouseData[[#This Row],[picking_time_seconds]]&gt;=60,"Average","Fast"))</f>
        <v>Average</v>
      </c>
    </row>
    <row r="2877" spans="1:31" x14ac:dyDescent="0.25">
      <c r="A2877" t="s">
        <v>3015</v>
      </c>
      <c r="B2877" t="s">
        <v>73</v>
      </c>
      <c r="C2877">
        <v>340</v>
      </c>
      <c r="D2877">
        <v>12</v>
      </c>
      <c r="E2877">
        <v>10</v>
      </c>
      <c r="F2877">
        <v>3</v>
      </c>
      <c r="G2877">
        <v>24.04</v>
      </c>
      <c r="H2877">
        <v>8.0399999999999991</v>
      </c>
      <c r="I2877">
        <v>0.53</v>
      </c>
      <c r="J2877" t="s">
        <v>289</v>
      </c>
      <c r="K2877" t="s">
        <v>52</v>
      </c>
      <c r="L2877">
        <v>116</v>
      </c>
      <c r="M2877">
        <v>4.26</v>
      </c>
      <c r="N2877">
        <v>139.28</v>
      </c>
      <c r="O2877">
        <v>1.1399999999999999</v>
      </c>
      <c r="P2877">
        <v>2</v>
      </c>
      <c r="Q2877">
        <v>0.72</v>
      </c>
      <c r="R2877">
        <v>223</v>
      </c>
      <c r="S2877">
        <v>7.89</v>
      </c>
      <c r="T2877">
        <v>0.41</v>
      </c>
      <c r="U2877" s="1">
        <v>45640</v>
      </c>
      <c r="V2877">
        <v>216.5</v>
      </c>
      <c r="W2877">
        <v>0.57699999999999996</v>
      </c>
      <c r="X2877" t="str">
        <f>IF(WarehouseData[[#This Row],[stock_level]]&lt;=WarehouseData[[#This Row],[reorder_point]],"Low Stock","Sufficient Stock")</f>
        <v>Sufficient Stock</v>
      </c>
      <c r="Y2877">
        <f>WarehouseData[[#This Row],[daily_demand]]*WarehouseData[[#This Row],[lead_time_days]]</f>
        <v>72.12</v>
      </c>
      <c r="Z2877" t="str">
        <f>IF(WarehouseData[[#This Row],[stock_level]]&lt;=WarehouseData[[#This Row],[Demand During Lead Time]],"At Risk","Safe")</f>
        <v>Safe</v>
      </c>
      <c r="AA2877">
        <f>WarehouseData[[#This Row],[stock_level]]/WarehouseData[[#This Row],[daily_demand]]</f>
        <v>14.143094841930116</v>
      </c>
      <c r="AB2877">
        <f>WarehouseData[[#This Row],[stock_level]]*WarehouseData[[#This Row],[unit_price]]</f>
        <v>47355.199999999997</v>
      </c>
      <c r="AC2877">
        <f>WarehouseData[[#This Row],[stock_level]]*WarehouseData[[#This Row],[holding_cost_per_unit_day]]*30</f>
        <v>11627.999999999998</v>
      </c>
      <c r="AD2877" t="str">
        <f>IF(WarehouseData[[#This Row],[order_fulfillment_rate]]&gt;=0.9,"Strong",IF(WarehouseData[[#This Row],[order_fulfillment_rate]]&gt;=0.8,"Moderate","Needs Attention"))</f>
        <v>Needs Attention</v>
      </c>
      <c r="AE2877" t="str">
        <f>IF(WarehouseData[[#This Row],[picking_time_seconds]]&gt;120,"Slow",IF(WarehouseData[[#This Row],[picking_time_seconds]]&gt;=60,"Average","Fast"))</f>
        <v>Average</v>
      </c>
    </row>
    <row r="2878" spans="1:31" x14ac:dyDescent="0.25">
      <c r="A2878" t="s">
        <v>3016</v>
      </c>
      <c r="B2878" t="s">
        <v>36</v>
      </c>
      <c r="C2878">
        <v>66</v>
      </c>
      <c r="D2878">
        <v>91</v>
      </c>
      <c r="E2878">
        <v>3</v>
      </c>
      <c r="F2878">
        <v>9</v>
      </c>
      <c r="G2878">
        <v>26.98</v>
      </c>
      <c r="H2878">
        <v>8.34</v>
      </c>
      <c r="I2878">
        <v>0.34</v>
      </c>
      <c r="J2878" t="s">
        <v>70</v>
      </c>
      <c r="K2878" t="s">
        <v>46</v>
      </c>
      <c r="L2878">
        <v>42</v>
      </c>
      <c r="M2878">
        <v>2.71</v>
      </c>
      <c r="N2878">
        <v>172.13</v>
      </c>
      <c r="O2878">
        <v>0.35</v>
      </c>
      <c r="P2878">
        <v>0</v>
      </c>
      <c r="Q2878">
        <v>0.94</v>
      </c>
      <c r="R2878">
        <v>858</v>
      </c>
      <c r="S2878">
        <v>5.68</v>
      </c>
      <c r="T2878">
        <v>0.4</v>
      </c>
      <c r="U2878" s="1">
        <v>45495</v>
      </c>
      <c r="V2878">
        <v>219.6</v>
      </c>
      <c r="W2878">
        <v>0.70899999999999996</v>
      </c>
      <c r="X2878" t="str">
        <f>IF(WarehouseData[[#This Row],[stock_level]]&lt;=WarehouseData[[#This Row],[reorder_point]],"Low Stock","Sufficient Stock")</f>
        <v>Low Stock</v>
      </c>
      <c r="Y2878">
        <f>WarehouseData[[#This Row],[daily_demand]]*WarehouseData[[#This Row],[lead_time_days]]</f>
        <v>242.82</v>
      </c>
      <c r="Z2878" t="str">
        <f>IF(WarehouseData[[#This Row],[stock_level]]&lt;=WarehouseData[[#This Row],[Demand During Lead Time]],"At Risk","Safe")</f>
        <v>At Risk</v>
      </c>
      <c r="AA2878">
        <f>WarehouseData[[#This Row],[stock_level]]/WarehouseData[[#This Row],[daily_demand]]</f>
        <v>2.446256486286138</v>
      </c>
      <c r="AB2878">
        <f>WarehouseData[[#This Row],[stock_level]]*WarehouseData[[#This Row],[unit_price]]</f>
        <v>11360.58</v>
      </c>
      <c r="AC2878">
        <f>WarehouseData[[#This Row],[stock_level]]*WarehouseData[[#This Row],[holding_cost_per_unit_day]]*30</f>
        <v>692.99999999999989</v>
      </c>
      <c r="AD2878" t="str">
        <f>IF(WarehouseData[[#This Row],[order_fulfillment_rate]]&gt;=0.9,"Strong",IF(WarehouseData[[#This Row],[order_fulfillment_rate]]&gt;=0.8,"Moderate","Needs Attention"))</f>
        <v>Strong</v>
      </c>
      <c r="AE2878" t="str">
        <f>IF(WarehouseData[[#This Row],[picking_time_seconds]]&gt;120,"Slow",IF(WarehouseData[[#This Row],[picking_time_seconds]]&gt;=60,"Average","Fast"))</f>
        <v>Fast</v>
      </c>
    </row>
    <row r="2879" spans="1:31" x14ac:dyDescent="0.25">
      <c r="A2879" t="s">
        <v>3017</v>
      </c>
      <c r="B2879" t="s">
        <v>32</v>
      </c>
      <c r="C2879">
        <v>495</v>
      </c>
      <c r="D2879">
        <v>84</v>
      </c>
      <c r="E2879">
        <v>8</v>
      </c>
      <c r="F2879">
        <v>7</v>
      </c>
      <c r="G2879">
        <v>13.94</v>
      </c>
      <c r="H2879">
        <v>0.82</v>
      </c>
      <c r="I2879">
        <v>0.22</v>
      </c>
      <c r="J2879" t="s">
        <v>311</v>
      </c>
      <c r="K2879" t="s">
        <v>46</v>
      </c>
      <c r="L2879">
        <v>128</v>
      </c>
      <c r="M2879">
        <v>0.83</v>
      </c>
      <c r="N2879">
        <v>65.459999999999994</v>
      </c>
      <c r="O2879">
        <v>0.86</v>
      </c>
      <c r="P2879">
        <v>5</v>
      </c>
      <c r="Q2879">
        <v>0.88</v>
      </c>
      <c r="R2879">
        <v>90</v>
      </c>
      <c r="S2879">
        <v>2.4500000000000002</v>
      </c>
      <c r="T2879">
        <v>0.33</v>
      </c>
      <c r="U2879" s="1">
        <v>45396</v>
      </c>
      <c r="V2879">
        <v>173.5</v>
      </c>
      <c r="W2879">
        <v>0.48899999999999999</v>
      </c>
      <c r="X2879" t="str">
        <f>IF(WarehouseData[[#This Row],[stock_level]]&lt;=WarehouseData[[#This Row],[reorder_point]],"Low Stock","Sufficient Stock")</f>
        <v>Sufficient Stock</v>
      </c>
      <c r="Y2879">
        <f>WarehouseData[[#This Row],[daily_demand]]*WarehouseData[[#This Row],[lead_time_days]]</f>
        <v>97.58</v>
      </c>
      <c r="Z2879" t="str">
        <f>IF(WarehouseData[[#This Row],[stock_level]]&lt;=WarehouseData[[#This Row],[Demand During Lead Time]],"At Risk","Safe")</f>
        <v>Safe</v>
      </c>
      <c r="AA2879">
        <f>WarehouseData[[#This Row],[stock_level]]/WarehouseData[[#This Row],[daily_demand]]</f>
        <v>35.509325681492108</v>
      </c>
      <c r="AB2879">
        <f>WarehouseData[[#This Row],[stock_level]]*WarehouseData[[#This Row],[unit_price]]</f>
        <v>32402.699999999997</v>
      </c>
      <c r="AC2879">
        <f>WarehouseData[[#This Row],[stock_level]]*WarehouseData[[#This Row],[holding_cost_per_unit_day]]*30</f>
        <v>12771</v>
      </c>
      <c r="AD2879" t="str">
        <f>IF(WarehouseData[[#This Row],[order_fulfillment_rate]]&gt;=0.9,"Strong",IF(WarehouseData[[#This Row],[order_fulfillment_rate]]&gt;=0.8,"Moderate","Needs Attention"))</f>
        <v>Moderate</v>
      </c>
      <c r="AE2879" t="str">
        <f>IF(WarehouseData[[#This Row],[picking_time_seconds]]&gt;120,"Slow",IF(WarehouseData[[#This Row],[picking_time_seconds]]&gt;=60,"Average","Fast"))</f>
        <v>Slow</v>
      </c>
    </row>
    <row r="2880" spans="1:31" x14ac:dyDescent="0.25">
      <c r="A2880" t="s">
        <v>3018</v>
      </c>
      <c r="B2880" t="s">
        <v>48</v>
      </c>
      <c r="C2880">
        <v>200</v>
      </c>
      <c r="D2880">
        <v>57</v>
      </c>
      <c r="E2880">
        <v>9</v>
      </c>
      <c r="F2880">
        <v>4</v>
      </c>
      <c r="G2880">
        <v>32.5</v>
      </c>
      <c r="H2880">
        <v>3.91</v>
      </c>
      <c r="I2880">
        <v>0.54</v>
      </c>
      <c r="J2880" t="s">
        <v>95</v>
      </c>
      <c r="K2880" t="s">
        <v>46</v>
      </c>
      <c r="L2880">
        <v>41</v>
      </c>
      <c r="M2880">
        <v>3.44</v>
      </c>
      <c r="N2880">
        <v>97.66</v>
      </c>
      <c r="O2880">
        <v>0.77</v>
      </c>
      <c r="P2880">
        <v>4</v>
      </c>
      <c r="Q2880">
        <v>0.85</v>
      </c>
      <c r="R2880">
        <v>494</v>
      </c>
      <c r="S2880">
        <v>13.36</v>
      </c>
      <c r="T2880">
        <v>0.62</v>
      </c>
      <c r="U2880" s="1">
        <v>45503</v>
      </c>
      <c r="V2880">
        <v>126.58</v>
      </c>
      <c r="W2880">
        <v>0.71499999999999997</v>
      </c>
      <c r="X2880" t="str">
        <f>IF(WarehouseData[[#This Row],[stock_level]]&lt;=WarehouseData[[#This Row],[reorder_point]],"Low Stock","Sufficient Stock")</f>
        <v>Sufficient Stock</v>
      </c>
      <c r="Y2880">
        <f>WarehouseData[[#This Row],[daily_demand]]*WarehouseData[[#This Row],[lead_time_days]]</f>
        <v>130</v>
      </c>
      <c r="Z2880" t="str">
        <f>IF(WarehouseData[[#This Row],[stock_level]]&lt;=WarehouseData[[#This Row],[Demand During Lead Time]],"At Risk","Safe")</f>
        <v>Safe</v>
      </c>
      <c r="AA2880">
        <f>WarehouseData[[#This Row],[stock_level]]/WarehouseData[[#This Row],[daily_demand]]</f>
        <v>6.1538461538461542</v>
      </c>
      <c r="AB2880">
        <f>WarehouseData[[#This Row],[stock_level]]*WarehouseData[[#This Row],[unit_price]]</f>
        <v>19532</v>
      </c>
      <c r="AC2880">
        <f>WarehouseData[[#This Row],[stock_level]]*WarehouseData[[#This Row],[holding_cost_per_unit_day]]*30</f>
        <v>4620</v>
      </c>
      <c r="AD2880" t="str">
        <f>IF(WarehouseData[[#This Row],[order_fulfillment_rate]]&gt;=0.9,"Strong",IF(WarehouseData[[#This Row],[order_fulfillment_rate]]&gt;=0.8,"Moderate","Needs Attention"))</f>
        <v>Moderate</v>
      </c>
      <c r="AE2880" t="str">
        <f>IF(WarehouseData[[#This Row],[picking_time_seconds]]&gt;120,"Slow",IF(WarehouseData[[#This Row],[picking_time_seconds]]&gt;=60,"Average","Fast"))</f>
        <v>Fast</v>
      </c>
    </row>
    <row r="2881" spans="1:31" x14ac:dyDescent="0.25">
      <c r="A2881" t="s">
        <v>3019</v>
      </c>
      <c r="B2881" t="s">
        <v>40</v>
      </c>
      <c r="C2881">
        <v>125</v>
      </c>
      <c r="D2881">
        <v>11</v>
      </c>
      <c r="E2881">
        <v>13</v>
      </c>
      <c r="F2881">
        <v>9</v>
      </c>
      <c r="G2881">
        <v>35.47</v>
      </c>
      <c r="H2881">
        <v>7.62</v>
      </c>
      <c r="I2881">
        <v>0.75</v>
      </c>
      <c r="J2881" t="s">
        <v>311</v>
      </c>
      <c r="K2881" t="s">
        <v>46</v>
      </c>
      <c r="L2881">
        <v>127</v>
      </c>
      <c r="M2881">
        <v>1.32</v>
      </c>
      <c r="N2881">
        <v>166.39</v>
      </c>
      <c r="O2881">
        <v>1.54</v>
      </c>
      <c r="P2881">
        <v>9</v>
      </c>
      <c r="Q2881">
        <v>0.9</v>
      </c>
      <c r="R2881">
        <v>918</v>
      </c>
      <c r="S2881">
        <v>2.92</v>
      </c>
      <c r="T2881">
        <v>0.74</v>
      </c>
      <c r="U2881" s="1">
        <v>45574</v>
      </c>
      <c r="V2881">
        <v>206.27</v>
      </c>
      <c r="W2881">
        <v>0.433</v>
      </c>
      <c r="X2881" t="str">
        <f>IF(WarehouseData[[#This Row],[stock_level]]&lt;=WarehouseData[[#This Row],[reorder_point]],"Low Stock","Sufficient Stock")</f>
        <v>Sufficient Stock</v>
      </c>
      <c r="Y2881">
        <f>WarehouseData[[#This Row],[daily_demand]]*WarehouseData[[#This Row],[lead_time_days]]</f>
        <v>319.23</v>
      </c>
      <c r="Z2881" t="str">
        <f>IF(WarehouseData[[#This Row],[stock_level]]&lt;=WarehouseData[[#This Row],[Demand During Lead Time]],"At Risk","Safe")</f>
        <v>At Risk</v>
      </c>
      <c r="AA2881">
        <f>WarehouseData[[#This Row],[stock_level]]/WarehouseData[[#This Row],[daily_demand]]</f>
        <v>3.5241048773611503</v>
      </c>
      <c r="AB2881">
        <f>WarehouseData[[#This Row],[stock_level]]*WarehouseData[[#This Row],[unit_price]]</f>
        <v>20798.75</v>
      </c>
      <c r="AC2881">
        <f>WarehouseData[[#This Row],[stock_level]]*WarehouseData[[#This Row],[holding_cost_per_unit_day]]*30</f>
        <v>5775</v>
      </c>
      <c r="AD2881" t="str">
        <f>IF(WarehouseData[[#This Row],[order_fulfillment_rate]]&gt;=0.9,"Strong",IF(WarehouseData[[#This Row],[order_fulfillment_rate]]&gt;=0.8,"Moderate","Needs Attention"))</f>
        <v>Strong</v>
      </c>
      <c r="AE2881" t="str">
        <f>IF(WarehouseData[[#This Row],[picking_time_seconds]]&gt;120,"Slow",IF(WarehouseData[[#This Row],[picking_time_seconds]]&gt;=60,"Average","Fast"))</f>
        <v>Slow</v>
      </c>
    </row>
    <row r="2882" spans="1:31" x14ac:dyDescent="0.25">
      <c r="A2882" t="s">
        <v>3020</v>
      </c>
      <c r="B2882" t="s">
        <v>40</v>
      </c>
      <c r="C2882">
        <v>218</v>
      </c>
      <c r="D2882">
        <v>85</v>
      </c>
      <c r="E2882">
        <v>7</v>
      </c>
      <c r="F2882">
        <v>6</v>
      </c>
      <c r="G2882">
        <v>15.66</v>
      </c>
      <c r="H2882">
        <v>9.49</v>
      </c>
      <c r="I2882">
        <v>0.97</v>
      </c>
      <c r="J2882" t="s">
        <v>70</v>
      </c>
      <c r="K2882" t="s">
        <v>34</v>
      </c>
      <c r="L2882">
        <v>71</v>
      </c>
      <c r="M2882">
        <v>4.32</v>
      </c>
      <c r="N2882">
        <v>132.33000000000001</v>
      </c>
      <c r="O2882">
        <v>1.32</v>
      </c>
      <c r="P2882">
        <v>1</v>
      </c>
      <c r="Q2882">
        <v>0.85</v>
      </c>
      <c r="R2882">
        <v>444</v>
      </c>
      <c r="S2882">
        <v>5.03</v>
      </c>
      <c r="T2882">
        <v>0.74</v>
      </c>
      <c r="U2882" s="1">
        <v>45577</v>
      </c>
      <c r="V2882">
        <v>209.33</v>
      </c>
      <c r="W2882">
        <v>0.63300000000000001</v>
      </c>
      <c r="X2882" t="str">
        <f>IF(WarehouseData[[#This Row],[stock_level]]&lt;=WarehouseData[[#This Row],[reorder_point]],"Low Stock","Sufficient Stock")</f>
        <v>Sufficient Stock</v>
      </c>
      <c r="Y2882">
        <f>WarehouseData[[#This Row],[daily_demand]]*WarehouseData[[#This Row],[lead_time_days]]</f>
        <v>93.960000000000008</v>
      </c>
      <c r="Z2882" t="str">
        <f>IF(WarehouseData[[#This Row],[stock_level]]&lt;=WarehouseData[[#This Row],[Demand During Lead Time]],"At Risk","Safe")</f>
        <v>Safe</v>
      </c>
      <c r="AA2882">
        <f>WarehouseData[[#This Row],[stock_level]]/WarehouseData[[#This Row],[daily_demand]]</f>
        <v>13.92081736909323</v>
      </c>
      <c r="AB2882">
        <f>WarehouseData[[#This Row],[stock_level]]*WarehouseData[[#This Row],[unit_price]]</f>
        <v>28847.940000000002</v>
      </c>
      <c r="AC2882">
        <f>WarehouseData[[#This Row],[stock_level]]*WarehouseData[[#This Row],[holding_cost_per_unit_day]]*30</f>
        <v>8632.7999999999993</v>
      </c>
      <c r="AD2882" t="str">
        <f>IF(WarehouseData[[#This Row],[order_fulfillment_rate]]&gt;=0.9,"Strong",IF(WarehouseData[[#This Row],[order_fulfillment_rate]]&gt;=0.8,"Moderate","Needs Attention"))</f>
        <v>Moderate</v>
      </c>
      <c r="AE2882" t="str">
        <f>IF(WarehouseData[[#This Row],[picking_time_seconds]]&gt;120,"Slow",IF(WarehouseData[[#This Row],[picking_time_seconds]]&gt;=60,"Average","Fast"))</f>
        <v>Average</v>
      </c>
    </row>
    <row r="2883" spans="1:31" x14ac:dyDescent="0.25">
      <c r="A2883" t="s">
        <v>3021</v>
      </c>
      <c r="B2883" t="s">
        <v>32</v>
      </c>
      <c r="C2883">
        <v>405</v>
      </c>
      <c r="D2883">
        <v>63</v>
      </c>
      <c r="E2883">
        <v>7</v>
      </c>
      <c r="F2883">
        <v>9</v>
      </c>
      <c r="G2883">
        <v>38.159999999999997</v>
      </c>
      <c r="H2883">
        <v>4.09</v>
      </c>
      <c r="I2883">
        <v>0.88</v>
      </c>
      <c r="J2883" t="s">
        <v>236</v>
      </c>
      <c r="K2883" t="s">
        <v>38</v>
      </c>
      <c r="L2883">
        <v>91</v>
      </c>
      <c r="M2883">
        <v>1.73</v>
      </c>
      <c r="N2883">
        <v>78.39</v>
      </c>
      <c r="O2883">
        <v>1.88</v>
      </c>
      <c r="P2883">
        <v>7</v>
      </c>
      <c r="Q2883">
        <v>0.89</v>
      </c>
      <c r="R2883">
        <v>989</v>
      </c>
      <c r="S2883">
        <v>11.37</v>
      </c>
      <c r="T2883">
        <v>0.41</v>
      </c>
      <c r="U2883" s="1">
        <v>45539</v>
      </c>
      <c r="V2883">
        <v>244.64</v>
      </c>
      <c r="W2883">
        <v>0.48399999999999999</v>
      </c>
      <c r="X2883" t="str">
        <f>IF(WarehouseData[[#This Row],[stock_level]]&lt;=WarehouseData[[#This Row],[reorder_point]],"Low Stock","Sufficient Stock")</f>
        <v>Sufficient Stock</v>
      </c>
      <c r="Y2883">
        <f>WarehouseData[[#This Row],[daily_demand]]*WarehouseData[[#This Row],[lead_time_days]]</f>
        <v>343.43999999999994</v>
      </c>
      <c r="Z2883" t="str">
        <f>IF(WarehouseData[[#This Row],[stock_level]]&lt;=WarehouseData[[#This Row],[Demand During Lead Time]],"At Risk","Safe")</f>
        <v>Safe</v>
      </c>
      <c r="AA2883">
        <f>WarehouseData[[#This Row],[stock_level]]/WarehouseData[[#This Row],[daily_demand]]</f>
        <v>10.613207547169813</v>
      </c>
      <c r="AB2883">
        <f>WarehouseData[[#This Row],[stock_level]]*WarehouseData[[#This Row],[unit_price]]</f>
        <v>31747.95</v>
      </c>
      <c r="AC2883">
        <f>WarehouseData[[#This Row],[stock_level]]*WarehouseData[[#This Row],[holding_cost_per_unit_day]]*30</f>
        <v>22842</v>
      </c>
      <c r="AD2883" t="str">
        <f>IF(WarehouseData[[#This Row],[order_fulfillment_rate]]&gt;=0.9,"Strong",IF(WarehouseData[[#This Row],[order_fulfillment_rate]]&gt;=0.8,"Moderate","Needs Attention"))</f>
        <v>Moderate</v>
      </c>
      <c r="AE2883" t="str">
        <f>IF(WarehouseData[[#This Row],[picking_time_seconds]]&gt;120,"Slow",IF(WarehouseData[[#This Row],[picking_time_seconds]]&gt;=60,"Average","Fast"))</f>
        <v>Average</v>
      </c>
    </row>
    <row r="2884" spans="1:31" x14ac:dyDescent="0.25">
      <c r="A2884" t="s">
        <v>3022</v>
      </c>
      <c r="B2884" t="s">
        <v>48</v>
      </c>
      <c r="C2884">
        <v>125</v>
      </c>
      <c r="D2884">
        <v>15</v>
      </c>
      <c r="E2884">
        <v>9</v>
      </c>
      <c r="F2884">
        <v>5</v>
      </c>
      <c r="G2884">
        <v>11.07</v>
      </c>
      <c r="H2884">
        <v>8.7799999999999994</v>
      </c>
      <c r="I2884">
        <v>0.28000000000000003</v>
      </c>
      <c r="J2884" t="s">
        <v>234</v>
      </c>
      <c r="K2884" t="s">
        <v>38</v>
      </c>
      <c r="L2884">
        <v>139</v>
      </c>
      <c r="M2884">
        <v>4.3099999999999996</v>
      </c>
      <c r="N2884">
        <v>107.28</v>
      </c>
      <c r="O2884">
        <v>1.85</v>
      </c>
      <c r="P2884">
        <v>8</v>
      </c>
      <c r="Q2884">
        <v>0.96</v>
      </c>
      <c r="R2884">
        <v>337</v>
      </c>
      <c r="S2884">
        <v>10.87</v>
      </c>
      <c r="T2884">
        <v>0.28000000000000003</v>
      </c>
      <c r="U2884" s="1">
        <v>45383</v>
      </c>
      <c r="V2884">
        <v>245.4</v>
      </c>
      <c r="W2884">
        <v>0.44800000000000001</v>
      </c>
      <c r="X2884" t="str">
        <f>IF(WarehouseData[[#This Row],[stock_level]]&lt;=WarehouseData[[#This Row],[reorder_point]],"Low Stock","Sufficient Stock")</f>
        <v>Sufficient Stock</v>
      </c>
      <c r="Y2884">
        <f>WarehouseData[[#This Row],[daily_demand]]*WarehouseData[[#This Row],[lead_time_days]]</f>
        <v>55.35</v>
      </c>
      <c r="Z2884" t="str">
        <f>IF(WarehouseData[[#This Row],[stock_level]]&lt;=WarehouseData[[#This Row],[Demand During Lead Time]],"At Risk","Safe")</f>
        <v>Safe</v>
      </c>
      <c r="AA2884">
        <f>WarehouseData[[#This Row],[stock_level]]/WarehouseData[[#This Row],[daily_demand]]</f>
        <v>11.29177958446251</v>
      </c>
      <c r="AB2884">
        <f>WarehouseData[[#This Row],[stock_level]]*WarehouseData[[#This Row],[unit_price]]</f>
        <v>13410</v>
      </c>
      <c r="AC2884">
        <f>WarehouseData[[#This Row],[stock_level]]*WarehouseData[[#This Row],[holding_cost_per_unit_day]]*30</f>
        <v>6937.5</v>
      </c>
      <c r="AD2884" t="str">
        <f>IF(WarehouseData[[#This Row],[order_fulfillment_rate]]&gt;=0.9,"Strong",IF(WarehouseData[[#This Row],[order_fulfillment_rate]]&gt;=0.8,"Moderate","Needs Attention"))</f>
        <v>Strong</v>
      </c>
      <c r="AE2884" t="str">
        <f>IF(WarehouseData[[#This Row],[picking_time_seconds]]&gt;120,"Slow",IF(WarehouseData[[#This Row],[picking_time_seconds]]&gt;=60,"Average","Fast"))</f>
        <v>Slow</v>
      </c>
    </row>
    <row r="2885" spans="1:31" x14ac:dyDescent="0.25">
      <c r="A2885" t="s">
        <v>3023</v>
      </c>
      <c r="B2885" t="s">
        <v>73</v>
      </c>
      <c r="C2885">
        <v>299</v>
      </c>
      <c r="D2885">
        <v>49</v>
      </c>
      <c r="E2885">
        <v>13</v>
      </c>
      <c r="F2885">
        <v>4</v>
      </c>
      <c r="G2885">
        <v>27.67</v>
      </c>
      <c r="H2885">
        <v>4.24</v>
      </c>
      <c r="I2885">
        <v>0.75</v>
      </c>
      <c r="J2885" t="s">
        <v>447</v>
      </c>
      <c r="K2885" t="s">
        <v>34</v>
      </c>
      <c r="L2885">
        <v>86</v>
      </c>
      <c r="M2885">
        <v>2.42</v>
      </c>
      <c r="N2885">
        <v>199.26</v>
      </c>
      <c r="O2885">
        <v>1.48</v>
      </c>
      <c r="P2885">
        <v>2</v>
      </c>
      <c r="Q2885">
        <v>0.88</v>
      </c>
      <c r="R2885">
        <v>610</v>
      </c>
      <c r="S2885">
        <v>10.53</v>
      </c>
      <c r="T2885">
        <v>0.45</v>
      </c>
      <c r="U2885" s="1">
        <v>45481</v>
      </c>
      <c r="V2885">
        <v>30.17</v>
      </c>
      <c r="W2885">
        <v>0.61799999999999999</v>
      </c>
      <c r="X2885" t="str">
        <f>IF(WarehouseData[[#This Row],[stock_level]]&lt;=WarehouseData[[#This Row],[reorder_point]],"Low Stock","Sufficient Stock")</f>
        <v>Sufficient Stock</v>
      </c>
      <c r="Y2885">
        <f>WarehouseData[[#This Row],[daily_demand]]*WarehouseData[[#This Row],[lead_time_days]]</f>
        <v>110.68</v>
      </c>
      <c r="Z2885" t="str">
        <f>IF(WarehouseData[[#This Row],[stock_level]]&lt;=WarehouseData[[#This Row],[Demand During Lead Time]],"At Risk","Safe")</f>
        <v>Safe</v>
      </c>
      <c r="AA2885">
        <f>WarehouseData[[#This Row],[stock_level]]/WarehouseData[[#This Row],[daily_demand]]</f>
        <v>10.805926996747379</v>
      </c>
      <c r="AB2885">
        <f>WarehouseData[[#This Row],[stock_level]]*WarehouseData[[#This Row],[unit_price]]</f>
        <v>59578.74</v>
      </c>
      <c r="AC2885">
        <f>WarehouseData[[#This Row],[stock_level]]*WarehouseData[[#This Row],[holding_cost_per_unit_day]]*30</f>
        <v>13275.599999999999</v>
      </c>
      <c r="AD2885" t="str">
        <f>IF(WarehouseData[[#This Row],[order_fulfillment_rate]]&gt;=0.9,"Strong",IF(WarehouseData[[#This Row],[order_fulfillment_rate]]&gt;=0.8,"Moderate","Needs Attention"))</f>
        <v>Moderate</v>
      </c>
      <c r="AE2885" t="str">
        <f>IF(WarehouseData[[#This Row],[picking_time_seconds]]&gt;120,"Slow",IF(WarehouseData[[#This Row],[picking_time_seconds]]&gt;=60,"Average","Fast"))</f>
        <v>Average</v>
      </c>
    </row>
    <row r="2886" spans="1:31" x14ac:dyDescent="0.25">
      <c r="A2886" t="s">
        <v>3024</v>
      </c>
      <c r="B2886" t="s">
        <v>73</v>
      </c>
      <c r="C2886">
        <v>279</v>
      </c>
      <c r="D2886">
        <v>11</v>
      </c>
      <c r="E2886">
        <v>5</v>
      </c>
      <c r="F2886">
        <v>3</v>
      </c>
      <c r="G2886">
        <v>40.409999999999997</v>
      </c>
      <c r="H2886">
        <v>2.21</v>
      </c>
      <c r="I2886">
        <v>0.36</v>
      </c>
      <c r="J2886" t="s">
        <v>245</v>
      </c>
      <c r="K2886" t="s">
        <v>38</v>
      </c>
      <c r="L2886">
        <v>25</v>
      </c>
      <c r="M2886">
        <v>3.18</v>
      </c>
      <c r="N2886">
        <v>150.94999999999999</v>
      </c>
      <c r="O2886">
        <v>1.56</v>
      </c>
      <c r="P2886">
        <v>5</v>
      </c>
      <c r="Q2886">
        <v>0.9</v>
      </c>
      <c r="R2886">
        <v>311</v>
      </c>
      <c r="S2886">
        <v>11.38</v>
      </c>
      <c r="T2886">
        <v>0.6</v>
      </c>
      <c r="U2886" s="1">
        <v>45578</v>
      </c>
      <c r="V2886">
        <v>118.47</v>
      </c>
      <c r="W2886">
        <v>0.59599999999999997</v>
      </c>
      <c r="X2886" t="str">
        <f>IF(WarehouseData[[#This Row],[stock_level]]&lt;=WarehouseData[[#This Row],[reorder_point]],"Low Stock","Sufficient Stock")</f>
        <v>Sufficient Stock</v>
      </c>
      <c r="Y2886">
        <f>WarehouseData[[#This Row],[daily_demand]]*WarehouseData[[#This Row],[lead_time_days]]</f>
        <v>121.22999999999999</v>
      </c>
      <c r="Z2886" t="str">
        <f>IF(WarehouseData[[#This Row],[stock_level]]&lt;=WarehouseData[[#This Row],[Demand During Lead Time]],"At Risk","Safe")</f>
        <v>Safe</v>
      </c>
      <c r="AA2886">
        <f>WarehouseData[[#This Row],[stock_level]]/WarehouseData[[#This Row],[daily_demand]]</f>
        <v>6.9042316258351901</v>
      </c>
      <c r="AB2886">
        <f>WarehouseData[[#This Row],[stock_level]]*WarehouseData[[#This Row],[unit_price]]</f>
        <v>42115.049999999996</v>
      </c>
      <c r="AC2886">
        <f>WarehouseData[[#This Row],[stock_level]]*WarehouseData[[#This Row],[holding_cost_per_unit_day]]*30</f>
        <v>13057.2</v>
      </c>
      <c r="AD2886" t="str">
        <f>IF(WarehouseData[[#This Row],[order_fulfillment_rate]]&gt;=0.9,"Strong",IF(WarehouseData[[#This Row],[order_fulfillment_rate]]&gt;=0.8,"Moderate","Needs Attention"))</f>
        <v>Strong</v>
      </c>
      <c r="AE2886" t="str">
        <f>IF(WarehouseData[[#This Row],[picking_time_seconds]]&gt;120,"Slow",IF(WarehouseData[[#This Row],[picking_time_seconds]]&gt;=60,"Average","Fast"))</f>
        <v>Fast</v>
      </c>
    </row>
    <row r="2887" spans="1:31" x14ac:dyDescent="0.25">
      <c r="A2887" t="s">
        <v>3025</v>
      </c>
      <c r="B2887" t="s">
        <v>36</v>
      </c>
      <c r="C2887">
        <v>127</v>
      </c>
      <c r="D2887">
        <v>82</v>
      </c>
      <c r="E2887">
        <v>8</v>
      </c>
      <c r="F2887">
        <v>2</v>
      </c>
      <c r="G2887">
        <v>27.31</v>
      </c>
      <c r="H2887">
        <v>0.53</v>
      </c>
      <c r="I2887">
        <v>0.72</v>
      </c>
      <c r="J2887" t="s">
        <v>146</v>
      </c>
      <c r="K2887" t="s">
        <v>38</v>
      </c>
      <c r="L2887">
        <v>132</v>
      </c>
      <c r="M2887">
        <v>4.05</v>
      </c>
      <c r="N2887">
        <v>126.76</v>
      </c>
      <c r="O2887">
        <v>1.29</v>
      </c>
      <c r="P2887">
        <v>5</v>
      </c>
      <c r="Q2887">
        <v>0.88</v>
      </c>
      <c r="R2887">
        <v>805</v>
      </c>
      <c r="S2887">
        <v>8.59</v>
      </c>
      <c r="T2887">
        <v>0.69</v>
      </c>
      <c r="U2887" s="1">
        <v>45576</v>
      </c>
      <c r="V2887">
        <v>131.78</v>
      </c>
      <c r="W2887">
        <v>0.6</v>
      </c>
      <c r="X2887" t="str">
        <f>IF(WarehouseData[[#This Row],[stock_level]]&lt;=WarehouseData[[#This Row],[reorder_point]],"Low Stock","Sufficient Stock")</f>
        <v>Sufficient Stock</v>
      </c>
      <c r="Y2887">
        <f>WarehouseData[[#This Row],[daily_demand]]*WarehouseData[[#This Row],[lead_time_days]]</f>
        <v>54.62</v>
      </c>
      <c r="Z2887" t="str">
        <f>IF(WarehouseData[[#This Row],[stock_level]]&lt;=WarehouseData[[#This Row],[Demand During Lead Time]],"At Risk","Safe")</f>
        <v>Safe</v>
      </c>
      <c r="AA2887">
        <f>WarehouseData[[#This Row],[stock_level]]/WarehouseData[[#This Row],[daily_demand]]</f>
        <v>4.6503112413035517</v>
      </c>
      <c r="AB2887">
        <f>WarehouseData[[#This Row],[stock_level]]*WarehouseData[[#This Row],[unit_price]]</f>
        <v>16098.52</v>
      </c>
      <c r="AC2887">
        <f>WarehouseData[[#This Row],[stock_level]]*WarehouseData[[#This Row],[holding_cost_per_unit_day]]*30</f>
        <v>4914.9000000000005</v>
      </c>
      <c r="AD2887" t="str">
        <f>IF(WarehouseData[[#This Row],[order_fulfillment_rate]]&gt;=0.9,"Strong",IF(WarehouseData[[#This Row],[order_fulfillment_rate]]&gt;=0.8,"Moderate","Needs Attention"))</f>
        <v>Moderate</v>
      </c>
      <c r="AE2887" t="str">
        <f>IF(WarehouseData[[#This Row],[picking_time_seconds]]&gt;120,"Slow",IF(WarehouseData[[#This Row],[picking_time_seconds]]&gt;=60,"Average","Fast"))</f>
        <v>Slow</v>
      </c>
    </row>
    <row r="2888" spans="1:31" x14ac:dyDescent="0.25">
      <c r="A2888" t="s">
        <v>3026</v>
      </c>
      <c r="B2888" t="s">
        <v>36</v>
      </c>
      <c r="C2888">
        <v>38</v>
      </c>
      <c r="D2888">
        <v>11</v>
      </c>
      <c r="E2888">
        <v>9</v>
      </c>
      <c r="F2888">
        <v>9</v>
      </c>
      <c r="G2888">
        <v>45.49</v>
      </c>
      <c r="H2888">
        <v>3.64</v>
      </c>
      <c r="I2888">
        <v>0.7</v>
      </c>
      <c r="J2888" t="s">
        <v>70</v>
      </c>
      <c r="K2888" t="s">
        <v>52</v>
      </c>
      <c r="L2888">
        <v>17</v>
      </c>
      <c r="M2888">
        <v>0.68</v>
      </c>
      <c r="N2888">
        <v>167.3</v>
      </c>
      <c r="O2888">
        <v>1.41</v>
      </c>
      <c r="P2888">
        <v>9</v>
      </c>
      <c r="Q2888">
        <v>0.86</v>
      </c>
      <c r="R2888">
        <v>106</v>
      </c>
      <c r="S2888">
        <v>3.17</v>
      </c>
      <c r="T2888">
        <v>0.42</v>
      </c>
      <c r="U2888" s="1">
        <v>45539</v>
      </c>
      <c r="V2888">
        <v>255.61</v>
      </c>
      <c r="W2888">
        <v>0.377</v>
      </c>
      <c r="X2888" t="str">
        <f>IF(WarehouseData[[#This Row],[stock_level]]&lt;=WarehouseData[[#This Row],[reorder_point]],"Low Stock","Sufficient Stock")</f>
        <v>Sufficient Stock</v>
      </c>
      <c r="Y2888">
        <f>WarehouseData[[#This Row],[daily_demand]]*WarehouseData[[#This Row],[lead_time_days]]</f>
        <v>409.41</v>
      </c>
      <c r="Z2888" t="str">
        <f>IF(WarehouseData[[#This Row],[stock_level]]&lt;=WarehouseData[[#This Row],[Demand During Lead Time]],"At Risk","Safe")</f>
        <v>At Risk</v>
      </c>
      <c r="AA2888">
        <f>WarehouseData[[#This Row],[stock_level]]/WarehouseData[[#This Row],[daily_demand]]</f>
        <v>0.83534842822598365</v>
      </c>
      <c r="AB2888">
        <f>WarehouseData[[#This Row],[stock_level]]*WarehouseData[[#This Row],[unit_price]]</f>
        <v>6357.4000000000005</v>
      </c>
      <c r="AC2888">
        <f>WarehouseData[[#This Row],[stock_level]]*WarehouseData[[#This Row],[holding_cost_per_unit_day]]*30</f>
        <v>1607.3999999999999</v>
      </c>
      <c r="AD2888" t="str">
        <f>IF(WarehouseData[[#This Row],[order_fulfillment_rate]]&gt;=0.9,"Strong",IF(WarehouseData[[#This Row],[order_fulfillment_rate]]&gt;=0.8,"Moderate","Needs Attention"))</f>
        <v>Moderate</v>
      </c>
      <c r="AE2888" t="str">
        <f>IF(WarehouseData[[#This Row],[picking_time_seconds]]&gt;120,"Slow",IF(WarehouseData[[#This Row],[picking_time_seconds]]&gt;=60,"Average","Fast"))</f>
        <v>Fast</v>
      </c>
    </row>
    <row r="2889" spans="1:31" x14ac:dyDescent="0.25">
      <c r="A2889" t="s">
        <v>3027</v>
      </c>
      <c r="B2889" t="s">
        <v>73</v>
      </c>
      <c r="C2889">
        <v>429</v>
      </c>
      <c r="D2889">
        <v>83</v>
      </c>
      <c r="E2889">
        <v>3</v>
      </c>
      <c r="F2889">
        <v>8</v>
      </c>
      <c r="G2889">
        <v>3.87</v>
      </c>
      <c r="H2889">
        <v>4.0999999999999996</v>
      </c>
      <c r="I2889">
        <v>0.35</v>
      </c>
      <c r="J2889" t="s">
        <v>286</v>
      </c>
      <c r="K2889" t="s">
        <v>34</v>
      </c>
      <c r="L2889">
        <v>156</v>
      </c>
      <c r="M2889">
        <v>4.2</v>
      </c>
      <c r="N2889">
        <v>93.99</v>
      </c>
      <c r="O2889">
        <v>1.27</v>
      </c>
      <c r="P2889">
        <v>5</v>
      </c>
      <c r="Q2889">
        <v>0.75</v>
      </c>
      <c r="R2889">
        <v>55</v>
      </c>
      <c r="S2889">
        <v>14.98</v>
      </c>
      <c r="T2889">
        <v>0.35</v>
      </c>
      <c r="U2889" s="1">
        <v>45421</v>
      </c>
      <c r="V2889">
        <v>155.52000000000001</v>
      </c>
      <c r="W2889">
        <v>0.59299999999999997</v>
      </c>
      <c r="X2889" t="str">
        <f>IF(WarehouseData[[#This Row],[stock_level]]&lt;=WarehouseData[[#This Row],[reorder_point]],"Low Stock","Sufficient Stock")</f>
        <v>Sufficient Stock</v>
      </c>
      <c r="Y2889">
        <f>WarehouseData[[#This Row],[daily_demand]]*WarehouseData[[#This Row],[lead_time_days]]</f>
        <v>30.96</v>
      </c>
      <c r="Z2889" t="str">
        <f>IF(WarehouseData[[#This Row],[stock_level]]&lt;=WarehouseData[[#This Row],[Demand During Lead Time]],"At Risk","Safe")</f>
        <v>Safe</v>
      </c>
      <c r="AA2889">
        <f>WarehouseData[[#This Row],[stock_level]]/WarehouseData[[#This Row],[daily_demand]]</f>
        <v>110.85271317829456</v>
      </c>
      <c r="AB2889">
        <f>WarehouseData[[#This Row],[stock_level]]*WarehouseData[[#This Row],[unit_price]]</f>
        <v>40321.71</v>
      </c>
      <c r="AC2889">
        <f>WarehouseData[[#This Row],[stock_level]]*WarehouseData[[#This Row],[holding_cost_per_unit_day]]*30</f>
        <v>16344.900000000001</v>
      </c>
      <c r="AD2889" t="str">
        <f>IF(WarehouseData[[#This Row],[order_fulfillment_rate]]&gt;=0.9,"Strong",IF(WarehouseData[[#This Row],[order_fulfillment_rate]]&gt;=0.8,"Moderate","Needs Attention"))</f>
        <v>Needs Attention</v>
      </c>
      <c r="AE2889" t="str">
        <f>IF(WarehouseData[[#This Row],[picking_time_seconds]]&gt;120,"Slow",IF(WarehouseData[[#This Row],[picking_time_seconds]]&gt;=60,"Average","Fast"))</f>
        <v>Slow</v>
      </c>
    </row>
    <row r="2890" spans="1:31" x14ac:dyDescent="0.25">
      <c r="A2890" t="s">
        <v>3028</v>
      </c>
      <c r="B2890" t="s">
        <v>40</v>
      </c>
      <c r="C2890">
        <v>478</v>
      </c>
      <c r="D2890">
        <v>64</v>
      </c>
      <c r="E2890">
        <v>14</v>
      </c>
      <c r="F2890">
        <v>7</v>
      </c>
      <c r="G2890">
        <v>29.83</v>
      </c>
      <c r="H2890">
        <v>9.48</v>
      </c>
      <c r="I2890">
        <v>0.31</v>
      </c>
      <c r="J2890" t="s">
        <v>316</v>
      </c>
      <c r="K2890" t="s">
        <v>38</v>
      </c>
      <c r="L2890">
        <v>169</v>
      </c>
      <c r="M2890">
        <v>1.1200000000000001</v>
      </c>
      <c r="N2890">
        <v>190.51</v>
      </c>
      <c r="O2890">
        <v>0.69</v>
      </c>
      <c r="P2890">
        <v>7</v>
      </c>
      <c r="Q2890">
        <v>0.8</v>
      </c>
      <c r="R2890">
        <v>608</v>
      </c>
      <c r="S2890">
        <v>13.49</v>
      </c>
      <c r="T2890">
        <v>0.87</v>
      </c>
      <c r="U2890" s="1">
        <v>45449</v>
      </c>
      <c r="V2890">
        <v>151.75</v>
      </c>
      <c r="W2890">
        <v>0.70499999999999996</v>
      </c>
      <c r="X2890" t="str">
        <f>IF(WarehouseData[[#This Row],[stock_level]]&lt;=WarehouseData[[#This Row],[reorder_point]],"Low Stock","Sufficient Stock")</f>
        <v>Sufficient Stock</v>
      </c>
      <c r="Y2890">
        <f>WarehouseData[[#This Row],[daily_demand]]*WarehouseData[[#This Row],[lead_time_days]]</f>
        <v>208.81</v>
      </c>
      <c r="Z2890" t="str">
        <f>IF(WarehouseData[[#This Row],[stock_level]]&lt;=WarehouseData[[#This Row],[Demand During Lead Time]],"At Risk","Safe")</f>
        <v>Safe</v>
      </c>
      <c r="AA2890">
        <f>WarehouseData[[#This Row],[stock_level]]/WarehouseData[[#This Row],[daily_demand]]</f>
        <v>16.024136775058668</v>
      </c>
      <c r="AB2890">
        <f>WarehouseData[[#This Row],[stock_level]]*WarehouseData[[#This Row],[unit_price]]</f>
        <v>91063.78</v>
      </c>
      <c r="AC2890">
        <f>WarehouseData[[#This Row],[stock_level]]*WarehouseData[[#This Row],[holding_cost_per_unit_day]]*30</f>
        <v>9894.6</v>
      </c>
      <c r="AD2890" t="str">
        <f>IF(WarehouseData[[#This Row],[order_fulfillment_rate]]&gt;=0.9,"Strong",IF(WarehouseData[[#This Row],[order_fulfillment_rate]]&gt;=0.8,"Moderate","Needs Attention"))</f>
        <v>Moderate</v>
      </c>
      <c r="AE2890" t="str">
        <f>IF(WarehouseData[[#This Row],[picking_time_seconds]]&gt;120,"Slow",IF(WarehouseData[[#This Row],[picking_time_seconds]]&gt;=60,"Average","Fast"))</f>
        <v>Slow</v>
      </c>
    </row>
    <row r="2891" spans="1:31" x14ac:dyDescent="0.25">
      <c r="A2891" t="s">
        <v>3029</v>
      </c>
      <c r="B2891" t="s">
        <v>40</v>
      </c>
      <c r="C2891">
        <v>315</v>
      </c>
      <c r="D2891">
        <v>81</v>
      </c>
      <c r="E2891">
        <v>4</v>
      </c>
      <c r="F2891">
        <v>9</v>
      </c>
      <c r="G2891">
        <v>28.53</v>
      </c>
      <c r="H2891">
        <v>2.46</v>
      </c>
      <c r="I2891">
        <v>0.19</v>
      </c>
      <c r="J2891" t="s">
        <v>228</v>
      </c>
      <c r="K2891" t="s">
        <v>38</v>
      </c>
      <c r="L2891">
        <v>76</v>
      </c>
      <c r="M2891">
        <v>2.11</v>
      </c>
      <c r="N2891">
        <v>114.88</v>
      </c>
      <c r="O2891">
        <v>0.77</v>
      </c>
      <c r="P2891">
        <v>4</v>
      </c>
      <c r="Q2891">
        <v>0.91</v>
      </c>
      <c r="R2891">
        <v>624</v>
      </c>
      <c r="S2891">
        <v>7.04</v>
      </c>
      <c r="T2891">
        <v>0.89</v>
      </c>
      <c r="U2891" s="1">
        <v>45587</v>
      </c>
      <c r="V2891">
        <v>170.59</v>
      </c>
      <c r="W2891">
        <v>0.69699999999999995</v>
      </c>
      <c r="X2891" t="str">
        <f>IF(WarehouseData[[#This Row],[stock_level]]&lt;=WarehouseData[[#This Row],[reorder_point]],"Low Stock","Sufficient Stock")</f>
        <v>Sufficient Stock</v>
      </c>
      <c r="Y2891">
        <f>WarehouseData[[#This Row],[daily_demand]]*WarehouseData[[#This Row],[lead_time_days]]</f>
        <v>256.77</v>
      </c>
      <c r="Z2891" t="str">
        <f>IF(WarehouseData[[#This Row],[stock_level]]&lt;=WarehouseData[[#This Row],[Demand During Lead Time]],"At Risk","Safe")</f>
        <v>Safe</v>
      </c>
      <c r="AA2891">
        <f>WarehouseData[[#This Row],[stock_level]]/WarehouseData[[#This Row],[daily_demand]]</f>
        <v>11.041009463722396</v>
      </c>
      <c r="AB2891">
        <f>WarehouseData[[#This Row],[stock_level]]*WarehouseData[[#This Row],[unit_price]]</f>
        <v>36187.199999999997</v>
      </c>
      <c r="AC2891">
        <f>WarehouseData[[#This Row],[stock_level]]*WarehouseData[[#This Row],[holding_cost_per_unit_day]]*30</f>
        <v>7276.5</v>
      </c>
      <c r="AD2891" t="str">
        <f>IF(WarehouseData[[#This Row],[order_fulfillment_rate]]&gt;=0.9,"Strong",IF(WarehouseData[[#This Row],[order_fulfillment_rate]]&gt;=0.8,"Moderate","Needs Attention"))</f>
        <v>Strong</v>
      </c>
      <c r="AE2891" t="str">
        <f>IF(WarehouseData[[#This Row],[picking_time_seconds]]&gt;120,"Slow",IF(WarehouseData[[#This Row],[picking_time_seconds]]&gt;=60,"Average","Fast"))</f>
        <v>Average</v>
      </c>
    </row>
    <row r="2892" spans="1:31" x14ac:dyDescent="0.25">
      <c r="A2892" t="s">
        <v>3030</v>
      </c>
      <c r="B2892" t="s">
        <v>36</v>
      </c>
      <c r="C2892">
        <v>325</v>
      </c>
      <c r="D2892">
        <v>69</v>
      </c>
      <c r="E2892">
        <v>14</v>
      </c>
      <c r="F2892">
        <v>4</v>
      </c>
      <c r="G2892">
        <v>33.36</v>
      </c>
      <c r="H2892">
        <v>4.13</v>
      </c>
      <c r="I2892">
        <v>0.15</v>
      </c>
      <c r="J2892" t="s">
        <v>81</v>
      </c>
      <c r="K2892" t="s">
        <v>34</v>
      </c>
      <c r="L2892">
        <v>124</v>
      </c>
      <c r="M2892">
        <v>2.63</v>
      </c>
      <c r="N2892">
        <v>72.11</v>
      </c>
      <c r="O2892">
        <v>1.19</v>
      </c>
      <c r="P2892">
        <v>9</v>
      </c>
      <c r="Q2892">
        <v>0.83</v>
      </c>
      <c r="R2892">
        <v>994</v>
      </c>
      <c r="S2892">
        <v>8.42</v>
      </c>
      <c r="T2892">
        <v>0.42</v>
      </c>
      <c r="U2892" s="1">
        <v>45468</v>
      </c>
      <c r="V2892">
        <v>46.89</v>
      </c>
      <c r="W2892">
        <v>0.46300000000000002</v>
      </c>
      <c r="X2892" t="str">
        <f>IF(WarehouseData[[#This Row],[stock_level]]&lt;=WarehouseData[[#This Row],[reorder_point]],"Low Stock","Sufficient Stock")</f>
        <v>Sufficient Stock</v>
      </c>
      <c r="Y2892">
        <f>WarehouseData[[#This Row],[daily_demand]]*WarehouseData[[#This Row],[lead_time_days]]</f>
        <v>133.44</v>
      </c>
      <c r="Z2892" t="str">
        <f>IF(WarehouseData[[#This Row],[stock_level]]&lt;=WarehouseData[[#This Row],[Demand During Lead Time]],"At Risk","Safe")</f>
        <v>Safe</v>
      </c>
      <c r="AA2892">
        <f>WarehouseData[[#This Row],[stock_level]]/WarehouseData[[#This Row],[daily_demand]]</f>
        <v>9.7422062350119898</v>
      </c>
      <c r="AB2892">
        <f>WarehouseData[[#This Row],[stock_level]]*WarehouseData[[#This Row],[unit_price]]</f>
        <v>23435.75</v>
      </c>
      <c r="AC2892">
        <f>WarehouseData[[#This Row],[stock_level]]*WarehouseData[[#This Row],[holding_cost_per_unit_day]]*30</f>
        <v>11602.5</v>
      </c>
      <c r="AD2892" t="str">
        <f>IF(WarehouseData[[#This Row],[order_fulfillment_rate]]&gt;=0.9,"Strong",IF(WarehouseData[[#This Row],[order_fulfillment_rate]]&gt;=0.8,"Moderate","Needs Attention"))</f>
        <v>Moderate</v>
      </c>
      <c r="AE2892" t="str">
        <f>IF(WarehouseData[[#This Row],[picking_time_seconds]]&gt;120,"Slow",IF(WarehouseData[[#This Row],[picking_time_seconds]]&gt;=60,"Average","Fast"))</f>
        <v>Slow</v>
      </c>
    </row>
    <row r="2893" spans="1:31" x14ac:dyDescent="0.25">
      <c r="A2893" t="s">
        <v>3031</v>
      </c>
      <c r="B2893" t="s">
        <v>32</v>
      </c>
      <c r="C2893">
        <v>190</v>
      </c>
      <c r="D2893">
        <v>15</v>
      </c>
      <c r="E2893">
        <v>6</v>
      </c>
      <c r="F2893">
        <v>8</v>
      </c>
      <c r="G2893">
        <v>41.84</v>
      </c>
      <c r="H2893">
        <v>0.74</v>
      </c>
      <c r="I2893">
        <v>0.87</v>
      </c>
      <c r="J2893" t="s">
        <v>57</v>
      </c>
      <c r="K2893" t="s">
        <v>34</v>
      </c>
      <c r="L2893">
        <v>122</v>
      </c>
      <c r="M2893">
        <v>4.53</v>
      </c>
      <c r="N2893">
        <v>26.34</v>
      </c>
      <c r="O2893">
        <v>1.47</v>
      </c>
      <c r="P2893">
        <v>9</v>
      </c>
      <c r="Q2893">
        <v>0.82</v>
      </c>
      <c r="R2893">
        <v>967</v>
      </c>
      <c r="S2893">
        <v>6.51</v>
      </c>
      <c r="T2893">
        <v>0.65</v>
      </c>
      <c r="U2893" s="1">
        <v>45653</v>
      </c>
      <c r="V2893">
        <v>173.94</v>
      </c>
      <c r="W2893">
        <v>0.45400000000000001</v>
      </c>
      <c r="X2893" t="str">
        <f>IF(WarehouseData[[#This Row],[stock_level]]&lt;=WarehouseData[[#This Row],[reorder_point]],"Low Stock","Sufficient Stock")</f>
        <v>Sufficient Stock</v>
      </c>
      <c r="Y2893">
        <f>WarehouseData[[#This Row],[daily_demand]]*WarehouseData[[#This Row],[lead_time_days]]</f>
        <v>334.72</v>
      </c>
      <c r="Z2893" t="str">
        <f>IF(WarehouseData[[#This Row],[stock_level]]&lt;=WarehouseData[[#This Row],[Demand During Lead Time]],"At Risk","Safe")</f>
        <v>At Risk</v>
      </c>
      <c r="AA2893">
        <f>WarehouseData[[#This Row],[stock_level]]/WarehouseData[[#This Row],[daily_demand]]</f>
        <v>4.5411089866156784</v>
      </c>
      <c r="AB2893">
        <f>WarehouseData[[#This Row],[stock_level]]*WarehouseData[[#This Row],[unit_price]]</f>
        <v>5004.6000000000004</v>
      </c>
      <c r="AC2893">
        <f>WarehouseData[[#This Row],[stock_level]]*WarehouseData[[#This Row],[holding_cost_per_unit_day]]*30</f>
        <v>8379</v>
      </c>
      <c r="AD2893" t="str">
        <f>IF(WarehouseData[[#This Row],[order_fulfillment_rate]]&gt;=0.9,"Strong",IF(WarehouseData[[#This Row],[order_fulfillment_rate]]&gt;=0.8,"Moderate","Needs Attention"))</f>
        <v>Moderate</v>
      </c>
      <c r="AE2893" t="str">
        <f>IF(WarehouseData[[#This Row],[picking_time_seconds]]&gt;120,"Slow",IF(WarehouseData[[#This Row],[picking_time_seconds]]&gt;=60,"Average","Fast"))</f>
        <v>Slow</v>
      </c>
    </row>
    <row r="2894" spans="1:31" x14ac:dyDescent="0.25">
      <c r="A2894" t="s">
        <v>3032</v>
      </c>
      <c r="B2894" t="s">
        <v>73</v>
      </c>
      <c r="C2894">
        <v>350</v>
      </c>
      <c r="D2894">
        <v>28</v>
      </c>
      <c r="E2894">
        <v>10</v>
      </c>
      <c r="F2894">
        <v>8</v>
      </c>
      <c r="G2894">
        <v>36.57</v>
      </c>
      <c r="H2894">
        <v>7.75</v>
      </c>
      <c r="I2894">
        <v>0.14000000000000001</v>
      </c>
      <c r="J2894" t="s">
        <v>401</v>
      </c>
      <c r="K2894" t="s">
        <v>52</v>
      </c>
      <c r="L2894">
        <v>41</v>
      </c>
      <c r="M2894">
        <v>0.6</v>
      </c>
      <c r="N2894">
        <v>81.38</v>
      </c>
      <c r="O2894">
        <v>0.87</v>
      </c>
      <c r="P2894">
        <v>7</v>
      </c>
      <c r="Q2894">
        <v>0.93</v>
      </c>
      <c r="R2894">
        <v>628</v>
      </c>
      <c r="S2894">
        <v>9.93</v>
      </c>
      <c r="T2894">
        <v>0.55000000000000004</v>
      </c>
      <c r="U2894" s="1">
        <v>45495</v>
      </c>
      <c r="V2894">
        <v>169.95</v>
      </c>
      <c r="W2894">
        <v>0.60099999999999998</v>
      </c>
      <c r="X2894" t="str">
        <f>IF(WarehouseData[[#This Row],[stock_level]]&lt;=WarehouseData[[#This Row],[reorder_point]],"Low Stock","Sufficient Stock")</f>
        <v>Sufficient Stock</v>
      </c>
      <c r="Y2894">
        <f>WarehouseData[[#This Row],[daily_demand]]*WarehouseData[[#This Row],[lead_time_days]]</f>
        <v>292.56</v>
      </c>
      <c r="Z2894" t="str">
        <f>IF(WarehouseData[[#This Row],[stock_level]]&lt;=WarehouseData[[#This Row],[Demand During Lead Time]],"At Risk","Safe")</f>
        <v>Safe</v>
      </c>
      <c r="AA2894">
        <f>WarehouseData[[#This Row],[stock_level]]/WarehouseData[[#This Row],[daily_demand]]</f>
        <v>9.5706863549357397</v>
      </c>
      <c r="AB2894">
        <f>WarehouseData[[#This Row],[stock_level]]*WarehouseData[[#This Row],[unit_price]]</f>
        <v>28483</v>
      </c>
      <c r="AC2894">
        <f>WarehouseData[[#This Row],[stock_level]]*WarehouseData[[#This Row],[holding_cost_per_unit_day]]*30</f>
        <v>9135</v>
      </c>
      <c r="AD2894" t="str">
        <f>IF(WarehouseData[[#This Row],[order_fulfillment_rate]]&gt;=0.9,"Strong",IF(WarehouseData[[#This Row],[order_fulfillment_rate]]&gt;=0.8,"Moderate","Needs Attention"))</f>
        <v>Strong</v>
      </c>
      <c r="AE2894" t="str">
        <f>IF(WarehouseData[[#This Row],[picking_time_seconds]]&gt;120,"Slow",IF(WarehouseData[[#This Row],[picking_time_seconds]]&gt;=60,"Average","Fast"))</f>
        <v>Fast</v>
      </c>
    </row>
    <row r="2895" spans="1:31" x14ac:dyDescent="0.25">
      <c r="A2895" t="s">
        <v>3033</v>
      </c>
      <c r="B2895" t="s">
        <v>36</v>
      </c>
      <c r="C2895">
        <v>214</v>
      </c>
      <c r="D2895">
        <v>36</v>
      </c>
      <c r="E2895">
        <v>13</v>
      </c>
      <c r="F2895">
        <v>6</v>
      </c>
      <c r="G2895">
        <v>39.72</v>
      </c>
      <c r="H2895">
        <v>9.19</v>
      </c>
      <c r="I2895">
        <v>0.18</v>
      </c>
      <c r="J2895" t="s">
        <v>477</v>
      </c>
      <c r="K2895" t="s">
        <v>52</v>
      </c>
      <c r="L2895">
        <v>114</v>
      </c>
      <c r="M2895">
        <v>3.02</v>
      </c>
      <c r="N2895">
        <v>118.04</v>
      </c>
      <c r="O2895">
        <v>0.37</v>
      </c>
      <c r="P2895">
        <v>2</v>
      </c>
      <c r="Q2895">
        <v>0.7</v>
      </c>
      <c r="R2895">
        <v>964</v>
      </c>
      <c r="S2895">
        <v>11.24</v>
      </c>
      <c r="T2895">
        <v>0.31</v>
      </c>
      <c r="U2895" s="1">
        <v>45362</v>
      </c>
      <c r="V2895">
        <v>228.78</v>
      </c>
      <c r="W2895">
        <v>0.67500000000000004</v>
      </c>
      <c r="X2895" t="str">
        <f>IF(WarehouseData[[#This Row],[stock_level]]&lt;=WarehouseData[[#This Row],[reorder_point]],"Low Stock","Sufficient Stock")</f>
        <v>Sufficient Stock</v>
      </c>
      <c r="Y2895">
        <f>WarehouseData[[#This Row],[daily_demand]]*WarehouseData[[#This Row],[lead_time_days]]</f>
        <v>238.32</v>
      </c>
      <c r="Z2895" t="str">
        <f>IF(WarehouseData[[#This Row],[stock_level]]&lt;=WarehouseData[[#This Row],[Demand During Lead Time]],"At Risk","Safe")</f>
        <v>At Risk</v>
      </c>
      <c r="AA2895">
        <f>WarehouseData[[#This Row],[stock_level]]/WarehouseData[[#This Row],[daily_demand]]</f>
        <v>5.3877139979859017</v>
      </c>
      <c r="AB2895">
        <f>WarehouseData[[#This Row],[stock_level]]*WarehouseData[[#This Row],[unit_price]]</f>
        <v>25260.560000000001</v>
      </c>
      <c r="AC2895">
        <f>WarehouseData[[#This Row],[stock_level]]*WarehouseData[[#This Row],[holding_cost_per_unit_day]]*30</f>
        <v>2375.3999999999996</v>
      </c>
      <c r="AD2895" t="str">
        <f>IF(WarehouseData[[#This Row],[order_fulfillment_rate]]&gt;=0.9,"Strong",IF(WarehouseData[[#This Row],[order_fulfillment_rate]]&gt;=0.8,"Moderate","Needs Attention"))</f>
        <v>Needs Attention</v>
      </c>
      <c r="AE2895" t="str">
        <f>IF(WarehouseData[[#This Row],[picking_time_seconds]]&gt;120,"Slow",IF(WarehouseData[[#This Row],[picking_time_seconds]]&gt;=60,"Average","Fast"))</f>
        <v>Average</v>
      </c>
    </row>
    <row r="2896" spans="1:31" x14ac:dyDescent="0.25">
      <c r="A2896" t="s">
        <v>3034</v>
      </c>
      <c r="B2896" t="s">
        <v>36</v>
      </c>
      <c r="C2896">
        <v>31</v>
      </c>
      <c r="D2896">
        <v>10</v>
      </c>
      <c r="E2896">
        <v>12</v>
      </c>
      <c r="F2896">
        <v>7</v>
      </c>
      <c r="G2896">
        <v>15.15</v>
      </c>
      <c r="H2896">
        <v>2.76</v>
      </c>
      <c r="I2896">
        <v>0.31</v>
      </c>
      <c r="J2896" t="s">
        <v>135</v>
      </c>
      <c r="K2896" t="s">
        <v>46</v>
      </c>
      <c r="L2896">
        <v>34</v>
      </c>
      <c r="M2896">
        <v>3.39</v>
      </c>
      <c r="N2896">
        <v>143.62</v>
      </c>
      <c r="O2896">
        <v>0.97</v>
      </c>
      <c r="P2896">
        <v>6</v>
      </c>
      <c r="Q2896">
        <v>0.9</v>
      </c>
      <c r="R2896">
        <v>744</v>
      </c>
      <c r="S2896">
        <v>4.24</v>
      </c>
      <c r="T2896">
        <v>0.95</v>
      </c>
      <c r="U2896" s="1">
        <v>45629</v>
      </c>
      <c r="V2896">
        <v>193.9</v>
      </c>
      <c r="W2896">
        <v>0.61</v>
      </c>
      <c r="X2896" t="str">
        <f>IF(WarehouseData[[#This Row],[stock_level]]&lt;=WarehouseData[[#This Row],[reorder_point]],"Low Stock","Sufficient Stock")</f>
        <v>Sufficient Stock</v>
      </c>
      <c r="Y2896">
        <f>WarehouseData[[#This Row],[daily_demand]]*WarehouseData[[#This Row],[lead_time_days]]</f>
        <v>106.05</v>
      </c>
      <c r="Z2896" t="str">
        <f>IF(WarehouseData[[#This Row],[stock_level]]&lt;=WarehouseData[[#This Row],[Demand During Lead Time]],"At Risk","Safe")</f>
        <v>At Risk</v>
      </c>
      <c r="AA2896">
        <f>WarehouseData[[#This Row],[stock_level]]/WarehouseData[[#This Row],[daily_demand]]</f>
        <v>2.0462046204620461</v>
      </c>
      <c r="AB2896">
        <f>WarehouseData[[#This Row],[stock_level]]*WarehouseData[[#This Row],[unit_price]]</f>
        <v>4452.22</v>
      </c>
      <c r="AC2896">
        <f>WarehouseData[[#This Row],[stock_level]]*WarehouseData[[#This Row],[holding_cost_per_unit_day]]*30</f>
        <v>902.1</v>
      </c>
      <c r="AD2896" t="str">
        <f>IF(WarehouseData[[#This Row],[order_fulfillment_rate]]&gt;=0.9,"Strong",IF(WarehouseData[[#This Row],[order_fulfillment_rate]]&gt;=0.8,"Moderate","Needs Attention"))</f>
        <v>Strong</v>
      </c>
      <c r="AE2896" t="str">
        <f>IF(WarehouseData[[#This Row],[picking_time_seconds]]&gt;120,"Slow",IF(WarehouseData[[#This Row],[picking_time_seconds]]&gt;=60,"Average","Fast"))</f>
        <v>Fast</v>
      </c>
    </row>
    <row r="2897" spans="1:31" x14ac:dyDescent="0.25">
      <c r="A2897" t="s">
        <v>3035</v>
      </c>
      <c r="B2897" t="s">
        <v>73</v>
      </c>
      <c r="C2897">
        <v>214</v>
      </c>
      <c r="D2897">
        <v>42</v>
      </c>
      <c r="E2897">
        <v>8</v>
      </c>
      <c r="F2897">
        <v>9</v>
      </c>
      <c r="G2897">
        <v>19.989999999999998</v>
      </c>
      <c r="H2897">
        <v>4.58</v>
      </c>
      <c r="I2897">
        <v>0.9</v>
      </c>
      <c r="J2897" t="s">
        <v>190</v>
      </c>
      <c r="K2897" t="s">
        <v>46</v>
      </c>
      <c r="L2897">
        <v>62</v>
      </c>
      <c r="M2897">
        <v>1.92</v>
      </c>
      <c r="N2897">
        <v>176.27</v>
      </c>
      <c r="O2897">
        <v>1.93</v>
      </c>
      <c r="P2897">
        <v>0</v>
      </c>
      <c r="Q2897">
        <v>0.85</v>
      </c>
      <c r="R2897">
        <v>211</v>
      </c>
      <c r="S2897">
        <v>7.06</v>
      </c>
      <c r="T2897">
        <v>0.21</v>
      </c>
      <c r="U2897" s="1">
        <v>45352</v>
      </c>
      <c r="V2897">
        <v>286.95999999999998</v>
      </c>
      <c r="W2897">
        <v>0.51300000000000001</v>
      </c>
      <c r="X2897" t="str">
        <f>IF(WarehouseData[[#This Row],[stock_level]]&lt;=WarehouseData[[#This Row],[reorder_point]],"Low Stock","Sufficient Stock")</f>
        <v>Sufficient Stock</v>
      </c>
      <c r="Y2897">
        <f>WarehouseData[[#This Row],[daily_demand]]*WarehouseData[[#This Row],[lead_time_days]]</f>
        <v>179.91</v>
      </c>
      <c r="Z2897" t="str">
        <f>IF(WarehouseData[[#This Row],[stock_level]]&lt;=WarehouseData[[#This Row],[Demand During Lead Time]],"At Risk","Safe")</f>
        <v>Safe</v>
      </c>
      <c r="AA2897">
        <f>WarehouseData[[#This Row],[stock_level]]/WarehouseData[[#This Row],[daily_demand]]</f>
        <v>10.705352676338171</v>
      </c>
      <c r="AB2897">
        <f>WarehouseData[[#This Row],[stock_level]]*WarehouseData[[#This Row],[unit_price]]</f>
        <v>37721.78</v>
      </c>
      <c r="AC2897">
        <f>WarehouseData[[#This Row],[stock_level]]*WarehouseData[[#This Row],[holding_cost_per_unit_day]]*30</f>
        <v>12390.599999999999</v>
      </c>
      <c r="AD2897" t="str">
        <f>IF(WarehouseData[[#This Row],[order_fulfillment_rate]]&gt;=0.9,"Strong",IF(WarehouseData[[#This Row],[order_fulfillment_rate]]&gt;=0.8,"Moderate","Needs Attention"))</f>
        <v>Moderate</v>
      </c>
      <c r="AE2897" t="str">
        <f>IF(WarehouseData[[#This Row],[picking_time_seconds]]&gt;120,"Slow",IF(WarehouseData[[#This Row],[picking_time_seconds]]&gt;=60,"Average","Fast"))</f>
        <v>Average</v>
      </c>
    </row>
    <row r="2898" spans="1:31" x14ac:dyDescent="0.25">
      <c r="A2898" t="s">
        <v>3036</v>
      </c>
      <c r="B2898" t="s">
        <v>73</v>
      </c>
      <c r="C2898">
        <v>302</v>
      </c>
      <c r="D2898">
        <v>49</v>
      </c>
      <c r="E2898">
        <v>3</v>
      </c>
      <c r="F2898">
        <v>3</v>
      </c>
      <c r="G2898">
        <v>31.71</v>
      </c>
      <c r="H2898">
        <v>1.66</v>
      </c>
      <c r="I2898">
        <v>0.4</v>
      </c>
      <c r="J2898" t="s">
        <v>62</v>
      </c>
      <c r="K2898" t="s">
        <v>52</v>
      </c>
      <c r="L2898">
        <v>90</v>
      </c>
      <c r="M2898">
        <v>1.81</v>
      </c>
      <c r="N2898">
        <v>189.35</v>
      </c>
      <c r="O2898">
        <v>0.51</v>
      </c>
      <c r="P2898">
        <v>3</v>
      </c>
      <c r="Q2898">
        <v>0.81</v>
      </c>
      <c r="R2898">
        <v>346</v>
      </c>
      <c r="S2898">
        <v>9.9600000000000009</v>
      </c>
      <c r="T2898">
        <v>0.35</v>
      </c>
      <c r="U2898" s="1">
        <v>45409</v>
      </c>
      <c r="V2898">
        <v>33.229999999999997</v>
      </c>
      <c r="W2898">
        <v>0.65400000000000003</v>
      </c>
      <c r="X2898" t="str">
        <f>IF(WarehouseData[[#This Row],[stock_level]]&lt;=WarehouseData[[#This Row],[reorder_point]],"Low Stock","Sufficient Stock")</f>
        <v>Sufficient Stock</v>
      </c>
      <c r="Y2898">
        <f>WarehouseData[[#This Row],[daily_demand]]*WarehouseData[[#This Row],[lead_time_days]]</f>
        <v>95.13</v>
      </c>
      <c r="Z2898" t="str">
        <f>IF(WarehouseData[[#This Row],[stock_level]]&lt;=WarehouseData[[#This Row],[Demand During Lead Time]],"At Risk","Safe")</f>
        <v>Safe</v>
      </c>
      <c r="AA2898">
        <f>WarehouseData[[#This Row],[stock_level]]/WarehouseData[[#This Row],[daily_demand]]</f>
        <v>9.5238095238095237</v>
      </c>
      <c r="AB2898">
        <f>WarehouseData[[#This Row],[stock_level]]*WarehouseData[[#This Row],[unit_price]]</f>
        <v>57183.7</v>
      </c>
      <c r="AC2898">
        <f>WarehouseData[[#This Row],[stock_level]]*WarehouseData[[#This Row],[holding_cost_per_unit_day]]*30</f>
        <v>4620.6000000000004</v>
      </c>
      <c r="AD2898" t="str">
        <f>IF(WarehouseData[[#This Row],[order_fulfillment_rate]]&gt;=0.9,"Strong",IF(WarehouseData[[#This Row],[order_fulfillment_rate]]&gt;=0.8,"Moderate","Needs Attention"))</f>
        <v>Moderate</v>
      </c>
      <c r="AE2898" t="str">
        <f>IF(WarehouseData[[#This Row],[picking_time_seconds]]&gt;120,"Slow",IF(WarehouseData[[#This Row],[picking_time_seconds]]&gt;=60,"Average","Fast"))</f>
        <v>Average</v>
      </c>
    </row>
    <row r="2899" spans="1:31" x14ac:dyDescent="0.25">
      <c r="A2899" t="s">
        <v>3037</v>
      </c>
      <c r="B2899" t="s">
        <v>40</v>
      </c>
      <c r="C2899">
        <v>388</v>
      </c>
      <c r="D2899">
        <v>41</v>
      </c>
      <c r="E2899">
        <v>12</v>
      </c>
      <c r="F2899">
        <v>7</v>
      </c>
      <c r="G2899">
        <v>28.12</v>
      </c>
      <c r="H2899">
        <v>4.84</v>
      </c>
      <c r="I2899">
        <v>0.27</v>
      </c>
      <c r="J2899" t="s">
        <v>281</v>
      </c>
      <c r="K2899" t="s">
        <v>38</v>
      </c>
      <c r="L2899">
        <v>34</v>
      </c>
      <c r="M2899">
        <v>2.71</v>
      </c>
      <c r="N2899">
        <v>29.47</v>
      </c>
      <c r="O2899">
        <v>1.33</v>
      </c>
      <c r="P2899">
        <v>4</v>
      </c>
      <c r="Q2899">
        <v>0.8</v>
      </c>
      <c r="R2899">
        <v>666</v>
      </c>
      <c r="S2899">
        <v>14.83</v>
      </c>
      <c r="T2899">
        <v>0.48</v>
      </c>
      <c r="U2899" s="1">
        <v>45520</v>
      </c>
      <c r="V2899">
        <v>233.78</v>
      </c>
      <c r="W2899">
        <v>0.64100000000000001</v>
      </c>
      <c r="X2899" t="str">
        <f>IF(WarehouseData[[#This Row],[stock_level]]&lt;=WarehouseData[[#This Row],[reorder_point]],"Low Stock","Sufficient Stock")</f>
        <v>Sufficient Stock</v>
      </c>
      <c r="Y2899">
        <f>WarehouseData[[#This Row],[daily_demand]]*WarehouseData[[#This Row],[lead_time_days]]</f>
        <v>196.84</v>
      </c>
      <c r="Z2899" t="str">
        <f>IF(WarehouseData[[#This Row],[stock_level]]&lt;=WarehouseData[[#This Row],[Demand During Lead Time]],"At Risk","Safe")</f>
        <v>Safe</v>
      </c>
      <c r="AA2899">
        <f>WarehouseData[[#This Row],[stock_level]]/WarehouseData[[#This Row],[daily_demand]]</f>
        <v>13.79800853485064</v>
      </c>
      <c r="AB2899">
        <f>WarehouseData[[#This Row],[stock_level]]*WarehouseData[[#This Row],[unit_price]]</f>
        <v>11434.359999999999</v>
      </c>
      <c r="AC2899">
        <f>WarehouseData[[#This Row],[stock_level]]*WarehouseData[[#This Row],[holding_cost_per_unit_day]]*30</f>
        <v>15481.200000000003</v>
      </c>
      <c r="AD2899" t="str">
        <f>IF(WarehouseData[[#This Row],[order_fulfillment_rate]]&gt;=0.9,"Strong",IF(WarehouseData[[#This Row],[order_fulfillment_rate]]&gt;=0.8,"Moderate","Needs Attention"))</f>
        <v>Moderate</v>
      </c>
      <c r="AE2899" t="str">
        <f>IF(WarehouseData[[#This Row],[picking_time_seconds]]&gt;120,"Slow",IF(WarehouseData[[#This Row],[picking_time_seconds]]&gt;=60,"Average","Fast"))</f>
        <v>Fast</v>
      </c>
    </row>
    <row r="2900" spans="1:31" x14ac:dyDescent="0.25">
      <c r="A2900" t="s">
        <v>3038</v>
      </c>
      <c r="B2900" t="s">
        <v>32</v>
      </c>
      <c r="C2900">
        <v>201</v>
      </c>
      <c r="D2900">
        <v>78</v>
      </c>
      <c r="E2900">
        <v>7</v>
      </c>
      <c r="F2900">
        <v>9</v>
      </c>
      <c r="G2900">
        <v>48.09</v>
      </c>
      <c r="H2900">
        <v>1.77</v>
      </c>
      <c r="I2900">
        <v>0.74</v>
      </c>
      <c r="J2900" t="s">
        <v>234</v>
      </c>
      <c r="K2900" t="s">
        <v>34</v>
      </c>
      <c r="L2900">
        <v>42</v>
      </c>
      <c r="M2900">
        <v>1.34</v>
      </c>
      <c r="N2900">
        <v>124.17</v>
      </c>
      <c r="O2900">
        <v>1.97</v>
      </c>
      <c r="P2900">
        <v>6</v>
      </c>
      <c r="Q2900">
        <v>0.75</v>
      </c>
      <c r="R2900">
        <v>824</v>
      </c>
      <c r="S2900">
        <v>5.55</v>
      </c>
      <c r="T2900">
        <v>0.89</v>
      </c>
      <c r="U2900" s="1">
        <v>45650</v>
      </c>
      <c r="V2900">
        <v>227.94</v>
      </c>
      <c r="W2900">
        <v>0.48499999999999999</v>
      </c>
      <c r="X2900" t="str">
        <f>IF(WarehouseData[[#This Row],[stock_level]]&lt;=WarehouseData[[#This Row],[reorder_point]],"Low Stock","Sufficient Stock")</f>
        <v>Sufficient Stock</v>
      </c>
      <c r="Y2900">
        <f>WarehouseData[[#This Row],[daily_demand]]*WarehouseData[[#This Row],[lead_time_days]]</f>
        <v>432.81000000000006</v>
      </c>
      <c r="Z2900" t="str">
        <f>IF(WarehouseData[[#This Row],[stock_level]]&lt;=WarehouseData[[#This Row],[Demand During Lead Time]],"At Risk","Safe")</f>
        <v>At Risk</v>
      </c>
      <c r="AA2900">
        <f>WarehouseData[[#This Row],[stock_level]]/WarehouseData[[#This Row],[daily_demand]]</f>
        <v>4.1796631316281969</v>
      </c>
      <c r="AB2900">
        <f>WarehouseData[[#This Row],[stock_level]]*WarehouseData[[#This Row],[unit_price]]</f>
        <v>24958.170000000002</v>
      </c>
      <c r="AC2900">
        <f>WarehouseData[[#This Row],[stock_level]]*WarehouseData[[#This Row],[holding_cost_per_unit_day]]*30</f>
        <v>11879.099999999999</v>
      </c>
      <c r="AD2900" t="str">
        <f>IF(WarehouseData[[#This Row],[order_fulfillment_rate]]&gt;=0.9,"Strong",IF(WarehouseData[[#This Row],[order_fulfillment_rate]]&gt;=0.8,"Moderate","Needs Attention"))</f>
        <v>Needs Attention</v>
      </c>
      <c r="AE2900" t="str">
        <f>IF(WarehouseData[[#This Row],[picking_time_seconds]]&gt;120,"Slow",IF(WarehouseData[[#This Row],[picking_time_seconds]]&gt;=60,"Average","Fast"))</f>
        <v>Fast</v>
      </c>
    </row>
    <row r="2901" spans="1:31" x14ac:dyDescent="0.25">
      <c r="A2901" t="s">
        <v>3039</v>
      </c>
      <c r="B2901" t="s">
        <v>32</v>
      </c>
      <c r="C2901">
        <v>469</v>
      </c>
      <c r="D2901">
        <v>26</v>
      </c>
      <c r="E2901">
        <v>9</v>
      </c>
      <c r="F2901">
        <v>7</v>
      </c>
      <c r="G2901">
        <v>10.15</v>
      </c>
      <c r="H2901">
        <v>5.47</v>
      </c>
      <c r="I2901">
        <v>0.39</v>
      </c>
      <c r="J2901" t="s">
        <v>54</v>
      </c>
      <c r="K2901" t="s">
        <v>52</v>
      </c>
      <c r="L2901">
        <v>40</v>
      </c>
      <c r="M2901">
        <v>2.61</v>
      </c>
      <c r="N2901">
        <v>136.65</v>
      </c>
      <c r="O2901">
        <v>0.81</v>
      </c>
      <c r="P2901">
        <v>5</v>
      </c>
      <c r="Q2901">
        <v>0.8</v>
      </c>
      <c r="R2901">
        <v>106</v>
      </c>
      <c r="S2901">
        <v>11.43</v>
      </c>
      <c r="T2901">
        <v>0.83</v>
      </c>
      <c r="U2901" s="1">
        <v>45374</v>
      </c>
      <c r="V2901">
        <v>88.11</v>
      </c>
      <c r="W2901">
        <v>0.69699999999999995</v>
      </c>
      <c r="X2901" t="str">
        <f>IF(WarehouseData[[#This Row],[stock_level]]&lt;=WarehouseData[[#This Row],[reorder_point]],"Low Stock","Sufficient Stock")</f>
        <v>Sufficient Stock</v>
      </c>
      <c r="Y2901">
        <f>WarehouseData[[#This Row],[daily_demand]]*WarehouseData[[#This Row],[lead_time_days]]</f>
        <v>71.05</v>
      </c>
      <c r="Z2901" t="str">
        <f>IF(WarehouseData[[#This Row],[stock_level]]&lt;=WarehouseData[[#This Row],[Demand During Lead Time]],"At Risk","Safe")</f>
        <v>Safe</v>
      </c>
      <c r="AA2901">
        <f>WarehouseData[[#This Row],[stock_level]]/WarehouseData[[#This Row],[daily_demand]]</f>
        <v>46.206896551724135</v>
      </c>
      <c r="AB2901">
        <f>WarehouseData[[#This Row],[stock_level]]*WarehouseData[[#This Row],[unit_price]]</f>
        <v>64088.850000000006</v>
      </c>
      <c r="AC2901">
        <f>WarehouseData[[#This Row],[stock_level]]*WarehouseData[[#This Row],[holding_cost_per_unit_day]]*30</f>
        <v>11396.7</v>
      </c>
      <c r="AD2901" t="str">
        <f>IF(WarehouseData[[#This Row],[order_fulfillment_rate]]&gt;=0.9,"Strong",IF(WarehouseData[[#This Row],[order_fulfillment_rate]]&gt;=0.8,"Moderate","Needs Attention"))</f>
        <v>Moderate</v>
      </c>
      <c r="AE2901" t="str">
        <f>IF(WarehouseData[[#This Row],[picking_time_seconds]]&gt;120,"Slow",IF(WarehouseData[[#This Row],[picking_time_seconds]]&gt;=60,"Average","Fast"))</f>
        <v>Fast</v>
      </c>
    </row>
    <row r="2902" spans="1:31" x14ac:dyDescent="0.25">
      <c r="A2902" t="s">
        <v>3040</v>
      </c>
      <c r="B2902" t="s">
        <v>73</v>
      </c>
      <c r="C2902">
        <v>324</v>
      </c>
      <c r="D2902">
        <v>17</v>
      </c>
      <c r="E2902">
        <v>8</v>
      </c>
      <c r="F2902">
        <v>2</v>
      </c>
      <c r="G2902">
        <v>18.21</v>
      </c>
      <c r="H2902">
        <v>7.48</v>
      </c>
      <c r="I2902">
        <v>0.4</v>
      </c>
      <c r="J2902" t="s">
        <v>79</v>
      </c>
      <c r="K2902" t="s">
        <v>46</v>
      </c>
      <c r="L2902">
        <v>45</v>
      </c>
      <c r="M2902">
        <v>3.94</v>
      </c>
      <c r="N2902">
        <v>42.69</v>
      </c>
      <c r="O2902">
        <v>1.79</v>
      </c>
      <c r="P2902">
        <v>5</v>
      </c>
      <c r="Q2902">
        <v>0.82</v>
      </c>
      <c r="R2902">
        <v>577</v>
      </c>
      <c r="S2902">
        <v>5.85</v>
      </c>
      <c r="T2902">
        <v>0.66</v>
      </c>
      <c r="U2902" s="1">
        <v>45343</v>
      </c>
      <c r="V2902">
        <v>212.58</v>
      </c>
      <c r="W2902">
        <v>0.495</v>
      </c>
      <c r="X2902" t="str">
        <f>IF(WarehouseData[[#This Row],[stock_level]]&lt;=WarehouseData[[#This Row],[reorder_point]],"Low Stock","Sufficient Stock")</f>
        <v>Sufficient Stock</v>
      </c>
      <c r="Y2902">
        <f>WarehouseData[[#This Row],[daily_demand]]*WarehouseData[[#This Row],[lead_time_days]]</f>
        <v>36.42</v>
      </c>
      <c r="Z2902" t="str">
        <f>IF(WarehouseData[[#This Row],[stock_level]]&lt;=WarehouseData[[#This Row],[Demand During Lead Time]],"At Risk","Safe")</f>
        <v>Safe</v>
      </c>
      <c r="AA2902">
        <f>WarehouseData[[#This Row],[stock_level]]/WarehouseData[[#This Row],[daily_demand]]</f>
        <v>17.792421746293243</v>
      </c>
      <c r="AB2902">
        <f>WarehouseData[[#This Row],[stock_level]]*WarehouseData[[#This Row],[unit_price]]</f>
        <v>13831.56</v>
      </c>
      <c r="AC2902">
        <f>WarehouseData[[#This Row],[stock_level]]*WarehouseData[[#This Row],[holding_cost_per_unit_day]]*30</f>
        <v>17398.800000000003</v>
      </c>
      <c r="AD2902" t="str">
        <f>IF(WarehouseData[[#This Row],[order_fulfillment_rate]]&gt;=0.9,"Strong",IF(WarehouseData[[#This Row],[order_fulfillment_rate]]&gt;=0.8,"Moderate","Needs Attention"))</f>
        <v>Moderate</v>
      </c>
      <c r="AE2902" t="str">
        <f>IF(WarehouseData[[#This Row],[picking_time_seconds]]&gt;120,"Slow",IF(WarehouseData[[#This Row],[picking_time_seconds]]&gt;=60,"Average","Fast"))</f>
        <v>Fast</v>
      </c>
    </row>
    <row r="2903" spans="1:31" x14ac:dyDescent="0.25">
      <c r="A2903" t="s">
        <v>3041</v>
      </c>
      <c r="B2903" t="s">
        <v>48</v>
      </c>
      <c r="C2903">
        <v>163</v>
      </c>
      <c r="D2903">
        <v>66</v>
      </c>
      <c r="E2903">
        <v>14</v>
      </c>
      <c r="F2903">
        <v>5</v>
      </c>
      <c r="G2903">
        <v>29.07</v>
      </c>
      <c r="H2903">
        <v>5.76</v>
      </c>
      <c r="I2903">
        <v>0.77</v>
      </c>
      <c r="J2903" t="s">
        <v>202</v>
      </c>
      <c r="K2903" t="s">
        <v>34</v>
      </c>
      <c r="L2903">
        <v>96</v>
      </c>
      <c r="M2903">
        <v>4.3</v>
      </c>
      <c r="N2903">
        <v>113.66</v>
      </c>
      <c r="O2903">
        <v>1.74</v>
      </c>
      <c r="P2903">
        <v>1</v>
      </c>
      <c r="Q2903">
        <v>0.83</v>
      </c>
      <c r="R2903">
        <v>108</v>
      </c>
      <c r="S2903">
        <v>2.29</v>
      </c>
      <c r="T2903">
        <v>0.76</v>
      </c>
      <c r="U2903" s="1">
        <v>45401</v>
      </c>
      <c r="V2903">
        <v>201.2</v>
      </c>
      <c r="W2903">
        <v>0.55500000000000005</v>
      </c>
      <c r="X2903" t="str">
        <f>IF(WarehouseData[[#This Row],[stock_level]]&lt;=WarehouseData[[#This Row],[reorder_point]],"Low Stock","Sufficient Stock")</f>
        <v>Sufficient Stock</v>
      </c>
      <c r="Y2903">
        <f>WarehouseData[[#This Row],[daily_demand]]*WarehouseData[[#This Row],[lead_time_days]]</f>
        <v>145.35</v>
      </c>
      <c r="Z2903" t="str">
        <f>IF(WarehouseData[[#This Row],[stock_level]]&lt;=WarehouseData[[#This Row],[Demand During Lead Time]],"At Risk","Safe")</f>
        <v>Safe</v>
      </c>
      <c r="AA2903">
        <f>WarehouseData[[#This Row],[stock_level]]/WarehouseData[[#This Row],[daily_demand]]</f>
        <v>5.6071551427588577</v>
      </c>
      <c r="AB2903">
        <f>WarehouseData[[#This Row],[stock_level]]*WarehouseData[[#This Row],[unit_price]]</f>
        <v>18526.579999999998</v>
      </c>
      <c r="AC2903">
        <f>WarehouseData[[#This Row],[stock_level]]*WarehouseData[[#This Row],[holding_cost_per_unit_day]]*30</f>
        <v>8508.6</v>
      </c>
      <c r="AD2903" t="str">
        <f>IF(WarehouseData[[#This Row],[order_fulfillment_rate]]&gt;=0.9,"Strong",IF(WarehouseData[[#This Row],[order_fulfillment_rate]]&gt;=0.8,"Moderate","Needs Attention"))</f>
        <v>Moderate</v>
      </c>
      <c r="AE2903" t="str">
        <f>IF(WarehouseData[[#This Row],[picking_time_seconds]]&gt;120,"Slow",IF(WarehouseData[[#This Row],[picking_time_seconds]]&gt;=60,"Average","Fast"))</f>
        <v>Average</v>
      </c>
    </row>
    <row r="2904" spans="1:31" x14ac:dyDescent="0.25">
      <c r="A2904" t="s">
        <v>3042</v>
      </c>
      <c r="B2904" t="s">
        <v>36</v>
      </c>
      <c r="C2904">
        <v>405</v>
      </c>
      <c r="D2904">
        <v>51</v>
      </c>
      <c r="E2904">
        <v>11</v>
      </c>
      <c r="F2904">
        <v>9</v>
      </c>
      <c r="G2904">
        <v>43.53</v>
      </c>
      <c r="H2904">
        <v>2.83</v>
      </c>
      <c r="I2904">
        <v>0.33</v>
      </c>
      <c r="J2904" t="s">
        <v>185</v>
      </c>
      <c r="K2904" t="s">
        <v>46</v>
      </c>
      <c r="L2904">
        <v>132</v>
      </c>
      <c r="M2904">
        <v>2.23</v>
      </c>
      <c r="N2904">
        <v>73.62</v>
      </c>
      <c r="O2904">
        <v>0.74</v>
      </c>
      <c r="P2904">
        <v>1</v>
      </c>
      <c r="Q2904">
        <v>0.9</v>
      </c>
      <c r="R2904">
        <v>215</v>
      </c>
      <c r="S2904">
        <v>11.78</v>
      </c>
      <c r="T2904">
        <v>0.47</v>
      </c>
      <c r="U2904" s="1">
        <v>45552</v>
      </c>
      <c r="V2904">
        <v>96.62</v>
      </c>
      <c r="W2904">
        <v>0.73699999999999999</v>
      </c>
      <c r="X2904" t="str">
        <f>IF(WarehouseData[[#This Row],[stock_level]]&lt;=WarehouseData[[#This Row],[reorder_point]],"Low Stock","Sufficient Stock")</f>
        <v>Sufficient Stock</v>
      </c>
      <c r="Y2904">
        <f>WarehouseData[[#This Row],[daily_demand]]*WarehouseData[[#This Row],[lead_time_days]]</f>
        <v>391.77</v>
      </c>
      <c r="Z2904" t="str">
        <f>IF(WarehouseData[[#This Row],[stock_level]]&lt;=WarehouseData[[#This Row],[Demand During Lead Time]],"At Risk","Safe")</f>
        <v>Safe</v>
      </c>
      <c r="AA2904">
        <f>WarehouseData[[#This Row],[stock_level]]/WarehouseData[[#This Row],[daily_demand]]</f>
        <v>9.303928325292901</v>
      </c>
      <c r="AB2904">
        <f>WarehouseData[[#This Row],[stock_level]]*WarehouseData[[#This Row],[unit_price]]</f>
        <v>29816.100000000002</v>
      </c>
      <c r="AC2904">
        <f>WarehouseData[[#This Row],[stock_level]]*WarehouseData[[#This Row],[holding_cost_per_unit_day]]*30</f>
        <v>8991</v>
      </c>
      <c r="AD2904" t="str">
        <f>IF(WarehouseData[[#This Row],[order_fulfillment_rate]]&gt;=0.9,"Strong",IF(WarehouseData[[#This Row],[order_fulfillment_rate]]&gt;=0.8,"Moderate","Needs Attention"))</f>
        <v>Strong</v>
      </c>
      <c r="AE2904" t="str">
        <f>IF(WarehouseData[[#This Row],[picking_time_seconds]]&gt;120,"Slow",IF(WarehouseData[[#This Row],[picking_time_seconds]]&gt;=60,"Average","Fast"))</f>
        <v>Slow</v>
      </c>
    </row>
    <row r="2905" spans="1:31" x14ac:dyDescent="0.25">
      <c r="A2905" t="s">
        <v>3043</v>
      </c>
      <c r="B2905" t="s">
        <v>36</v>
      </c>
      <c r="C2905">
        <v>335</v>
      </c>
      <c r="D2905">
        <v>18</v>
      </c>
      <c r="E2905">
        <v>10</v>
      </c>
      <c r="F2905">
        <v>8</v>
      </c>
      <c r="G2905">
        <v>46.54</v>
      </c>
      <c r="H2905">
        <v>3.86</v>
      </c>
      <c r="I2905">
        <v>0.91</v>
      </c>
      <c r="J2905" t="s">
        <v>156</v>
      </c>
      <c r="K2905" t="s">
        <v>38</v>
      </c>
      <c r="L2905">
        <v>53</v>
      </c>
      <c r="M2905">
        <v>3.28</v>
      </c>
      <c r="N2905">
        <v>24.71</v>
      </c>
      <c r="O2905">
        <v>0.28999999999999998</v>
      </c>
      <c r="P2905">
        <v>1</v>
      </c>
      <c r="Q2905">
        <v>0.84</v>
      </c>
      <c r="R2905">
        <v>954</v>
      </c>
      <c r="S2905">
        <v>10.09</v>
      </c>
      <c r="T2905">
        <v>0.95</v>
      </c>
      <c r="U2905" s="1">
        <v>45497</v>
      </c>
      <c r="V2905">
        <v>219.9</v>
      </c>
      <c r="W2905">
        <v>0.84399999999999997</v>
      </c>
      <c r="X2905" t="str">
        <f>IF(WarehouseData[[#This Row],[stock_level]]&lt;=WarehouseData[[#This Row],[reorder_point]],"Low Stock","Sufficient Stock")</f>
        <v>Sufficient Stock</v>
      </c>
      <c r="Y2905">
        <f>WarehouseData[[#This Row],[daily_demand]]*WarehouseData[[#This Row],[lead_time_days]]</f>
        <v>372.32</v>
      </c>
      <c r="Z2905" t="str">
        <f>IF(WarehouseData[[#This Row],[stock_level]]&lt;=WarehouseData[[#This Row],[Demand During Lead Time]],"At Risk","Safe")</f>
        <v>At Risk</v>
      </c>
      <c r="AA2905">
        <f>WarehouseData[[#This Row],[stock_level]]/WarehouseData[[#This Row],[daily_demand]]</f>
        <v>7.1981091534164161</v>
      </c>
      <c r="AB2905">
        <f>WarehouseData[[#This Row],[stock_level]]*WarehouseData[[#This Row],[unit_price]]</f>
        <v>8277.85</v>
      </c>
      <c r="AC2905">
        <f>WarehouseData[[#This Row],[stock_level]]*WarehouseData[[#This Row],[holding_cost_per_unit_day]]*30</f>
        <v>2914.4999999999995</v>
      </c>
      <c r="AD2905" t="str">
        <f>IF(WarehouseData[[#This Row],[order_fulfillment_rate]]&gt;=0.9,"Strong",IF(WarehouseData[[#This Row],[order_fulfillment_rate]]&gt;=0.8,"Moderate","Needs Attention"))</f>
        <v>Moderate</v>
      </c>
      <c r="AE2905" t="str">
        <f>IF(WarehouseData[[#This Row],[picking_time_seconds]]&gt;120,"Slow",IF(WarehouseData[[#This Row],[picking_time_seconds]]&gt;=60,"Average","Fast"))</f>
        <v>Fast</v>
      </c>
    </row>
    <row r="2906" spans="1:31" x14ac:dyDescent="0.25">
      <c r="A2906" t="s">
        <v>3044</v>
      </c>
      <c r="B2906" t="s">
        <v>73</v>
      </c>
      <c r="C2906">
        <v>201</v>
      </c>
      <c r="D2906">
        <v>96</v>
      </c>
      <c r="E2906">
        <v>6</v>
      </c>
      <c r="F2906">
        <v>3</v>
      </c>
      <c r="G2906">
        <v>17.47</v>
      </c>
      <c r="H2906">
        <v>6.57</v>
      </c>
      <c r="I2906">
        <v>0.61</v>
      </c>
      <c r="J2906" t="s">
        <v>37</v>
      </c>
      <c r="K2906" t="s">
        <v>38</v>
      </c>
      <c r="L2906">
        <v>57</v>
      </c>
      <c r="M2906">
        <v>0.5</v>
      </c>
      <c r="N2906">
        <v>22.51</v>
      </c>
      <c r="O2906">
        <v>0.44</v>
      </c>
      <c r="P2906">
        <v>9</v>
      </c>
      <c r="Q2906">
        <v>0.94</v>
      </c>
      <c r="R2906">
        <v>811</v>
      </c>
      <c r="S2906">
        <v>8.1999999999999993</v>
      </c>
      <c r="T2906">
        <v>0.22</v>
      </c>
      <c r="U2906" s="1">
        <v>45465</v>
      </c>
      <c r="V2906">
        <v>279.89</v>
      </c>
      <c r="W2906">
        <v>0.51700000000000002</v>
      </c>
      <c r="X2906" t="str">
        <f>IF(WarehouseData[[#This Row],[stock_level]]&lt;=WarehouseData[[#This Row],[reorder_point]],"Low Stock","Sufficient Stock")</f>
        <v>Sufficient Stock</v>
      </c>
      <c r="Y2906">
        <f>WarehouseData[[#This Row],[daily_demand]]*WarehouseData[[#This Row],[lead_time_days]]</f>
        <v>52.41</v>
      </c>
      <c r="Z2906" t="str">
        <f>IF(WarehouseData[[#This Row],[stock_level]]&lt;=WarehouseData[[#This Row],[Demand During Lead Time]],"At Risk","Safe")</f>
        <v>Safe</v>
      </c>
      <c r="AA2906">
        <f>WarehouseData[[#This Row],[stock_level]]/WarehouseData[[#This Row],[daily_demand]]</f>
        <v>11.50543789353177</v>
      </c>
      <c r="AB2906">
        <f>WarehouseData[[#This Row],[stock_level]]*WarehouseData[[#This Row],[unit_price]]</f>
        <v>4524.51</v>
      </c>
      <c r="AC2906">
        <f>WarehouseData[[#This Row],[stock_level]]*WarehouseData[[#This Row],[holding_cost_per_unit_day]]*30</f>
        <v>2653.2</v>
      </c>
      <c r="AD2906" t="str">
        <f>IF(WarehouseData[[#This Row],[order_fulfillment_rate]]&gt;=0.9,"Strong",IF(WarehouseData[[#This Row],[order_fulfillment_rate]]&gt;=0.8,"Moderate","Needs Attention"))</f>
        <v>Strong</v>
      </c>
      <c r="AE2906" t="str">
        <f>IF(WarehouseData[[#This Row],[picking_time_seconds]]&gt;120,"Slow",IF(WarehouseData[[#This Row],[picking_time_seconds]]&gt;=60,"Average","Fast"))</f>
        <v>Fast</v>
      </c>
    </row>
    <row r="2907" spans="1:31" x14ac:dyDescent="0.25">
      <c r="A2907" t="s">
        <v>3045</v>
      </c>
      <c r="B2907" t="s">
        <v>48</v>
      </c>
      <c r="C2907">
        <v>49</v>
      </c>
      <c r="D2907">
        <v>44</v>
      </c>
      <c r="E2907">
        <v>13</v>
      </c>
      <c r="F2907">
        <v>9</v>
      </c>
      <c r="G2907">
        <v>4.29</v>
      </c>
      <c r="H2907">
        <v>6.1</v>
      </c>
      <c r="I2907">
        <v>0.57999999999999996</v>
      </c>
      <c r="J2907" t="s">
        <v>401</v>
      </c>
      <c r="K2907" t="s">
        <v>46</v>
      </c>
      <c r="L2907">
        <v>167</v>
      </c>
      <c r="M2907">
        <v>2.98</v>
      </c>
      <c r="N2907">
        <v>154.25</v>
      </c>
      <c r="O2907">
        <v>0.79</v>
      </c>
      <c r="P2907">
        <v>7</v>
      </c>
      <c r="Q2907">
        <v>0.89</v>
      </c>
      <c r="R2907">
        <v>595</v>
      </c>
      <c r="S2907">
        <v>10.45</v>
      </c>
      <c r="T2907">
        <v>0.28000000000000003</v>
      </c>
      <c r="U2907" s="1">
        <v>45573</v>
      </c>
      <c r="V2907">
        <v>98.51</v>
      </c>
      <c r="W2907">
        <v>0.55400000000000005</v>
      </c>
      <c r="X2907" t="str">
        <f>IF(WarehouseData[[#This Row],[stock_level]]&lt;=WarehouseData[[#This Row],[reorder_point]],"Low Stock","Sufficient Stock")</f>
        <v>Sufficient Stock</v>
      </c>
      <c r="Y2907">
        <f>WarehouseData[[#This Row],[daily_demand]]*WarehouseData[[#This Row],[lead_time_days]]</f>
        <v>38.61</v>
      </c>
      <c r="Z2907" t="str">
        <f>IF(WarehouseData[[#This Row],[stock_level]]&lt;=WarehouseData[[#This Row],[Demand During Lead Time]],"At Risk","Safe")</f>
        <v>Safe</v>
      </c>
      <c r="AA2907">
        <f>WarehouseData[[#This Row],[stock_level]]/WarehouseData[[#This Row],[daily_demand]]</f>
        <v>11.421911421911421</v>
      </c>
      <c r="AB2907">
        <f>WarehouseData[[#This Row],[stock_level]]*WarehouseData[[#This Row],[unit_price]]</f>
        <v>7558.25</v>
      </c>
      <c r="AC2907">
        <f>WarehouseData[[#This Row],[stock_level]]*WarehouseData[[#This Row],[holding_cost_per_unit_day]]*30</f>
        <v>1161.3</v>
      </c>
      <c r="AD2907" t="str">
        <f>IF(WarehouseData[[#This Row],[order_fulfillment_rate]]&gt;=0.9,"Strong",IF(WarehouseData[[#This Row],[order_fulfillment_rate]]&gt;=0.8,"Moderate","Needs Attention"))</f>
        <v>Moderate</v>
      </c>
      <c r="AE2907" t="str">
        <f>IF(WarehouseData[[#This Row],[picking_time_seconds]]&gt;120,"Slow",IF(WarehouseData[[#This Row],[picking_time_seconds]]&gt;=60,"Average","Fast"))</f>
        <v>Slow</v>
      </c>
    </row>
    <row r="2908" spans="1:31" x14ac:dyDescent="0.25">
      <c r="A2908" t="s">
        <v>3046</v>
      </c>
      <c r="B2908" t="s">
        <v>40</v>
      </c>
      <c r="C2908">
        <v>103</v>
      </c>
      <c r="D2908">
        <v>80</v>
      </c>
      <c r="E2908">
        <v>14</v>
      </c>
      <c r="F2908">
        <v>9</v>
      </c>
      <c r="G2908">
        <v>21.66</v>
      </c>
      <c r="H2908">
        <v>1.8</v>
      </c>
      <c r="I2908">
        <v>0.34</v>
      </c>
      <c r="J2908" t="s">
        <v>106</v>
      </c>
      <c r="K2908" t="s">
        <v>34</v>
      </c>
      <c r="L2908">
        <v>22</v>
      </c>
      <c r="M2908">
        <v>4.8899999999999997</v>
      </c>
      <c r="N2908">
        <v>126.94</v>
      </c>
      <c r="O2908">
        <v>1.92</v>
      </c>
      <c r="P2908">
        <v>6</v>
      </c>
      <c r="Q2908">
        <v>0.76</v>
      </c>
      <c r="R2908">
        <v>95</v>
      </c>
      <c r="S2908">
        <v>13.31</v>
      </c>
      <c r="T2908">
        <v>0.94</v>
      </c>
      <c r="U2908" s="1">
        <v>45606</v>
      </c>
      <c r="V2908">
        <v>294.22000000000003</v>
      </c>
      <c r="W2908">
        <v>0.60499999999999998</v>
      </c>
      <c r="X2908" t="str">
        <f>IF(WarehouseData[[#This Row],[stock_level]]&lt;=WarehouseData[[#This Row],[reorder_point]],"Low Stock","Sufficient Stock")</f>
        <v>Sufficient Stock</v>
      </c>
      <c r="Y2908">
        <f>WarehouseData[[#This Row],[daily_demand]]*WarehouseData[[#This Row],[lead_time_days]]</f>
        <v>194.94</v>
      </c>
      <c r="Z2908" t="str">
        <f>IF(WarehouseData[[#This Row],[stock_level]]&lt;=WarehouseData[[#This Row],[Demand During Lead Time]],"At Risk","Safe")</f>
        <v>At Risk</v>
      </c>
      <c r="AA2908">
        <f>WarehouseData[[#This Row],[stock_level]]/WarehouseData[[#This Row],[daily_demand]]</f>
        <v>4.7553093259464454</v>
      </c>
      <c r="AB2908">
        <f>WarehouseData[[#This Row],[stock_level]]*WarehouseData[[#This Row],[unit_price]]</f>
        <v>13074.82</v>
      </c>
      <c r="AC2908">
        <f>WarehouseData[[#This Row],[stock_level]]*WarehouseData[[#This Row],[holding_cost_per_unit_day]]*30</f>
        <v>5932.7999999999993</v>
      </c>
      <c r="AD2908" t="str">
        <f>IF(WarehouseData[[#This Row],[order_fulfillment_rate]]&gt;=0.9,"Strong",IF(WarehouseData[[#This Row],[order_fulfillment_rate]]&gt;=0.8,"Moderate","Needs Attention"))</f>
        <v>Needs Attention</v>
      </c>
      <c r="AE2908" t="str">
        <f>IF(WarehouseData[[#This Row],[picking_time_seconds]]&gt;120,"Slow",IF(WarehouseData[[#This Row],[picking_time_seconds]]&gt;=60,"Average","Fast"))</f>
        <v>Fast</v>
      </c>
    </row>
    <row r="2909" spans="1:31" x14ac:dyDescent="0.25">
      <c r="A2909" t="s">
        <v>3047</v>
      </c>
      <c r="B2909" t="s">
        <v>73</v>
      </c>
      <c r="C2909">
        <v>185</v>
      </c>
      <c r="D2909">
        <v>88</v>
      </c>
      <c r="E2909">
        <v>7</v>
      </c>
      <c r="F2909">
        <v>2</v>
      </c>
      <c r="G2909">
        <v>20.32</v>
      </c>
      <c r="H2909">
        <v>8.5299999999999994</v>
      </c>
      <c r="I2909">
        <v>0.85</v>
      </c>
      <c r="J2909" t="s">
        <v>133</v>
      </c>
      <c r="K2909" t="s">
        <v>46</v>
      </c>
      <c r="L2909">
        <v>153</v>
      </c>
      <c r="M2909">
        <v>1.91</v>
      </c>
      <c r="N2909">
        <v>145.87</v>
      </c>
      <c r="O2909">
        <v>0.62</v>
      </c>
      <c r="P2909">
        <v>0</v>
      </c>
      <c r="Q2909">
        <v>0.78</v>
      </c>
      <c r="R2909">
        <v>982</v>
      </c>
      <c r="S2909">
        <v>11.59</v>
      </c>
      <c r="T2909">
        <v>0.96</v>
      </c>
      <c r="U2909" s="1">
        <v>45648</v>
      </c>
      <c r="V2909">
        <v>75.040000000000006</v>
      </c>
      <c r="W2909">
        <v>0.84099999999999997</v>
      </c>
      <c r="X2909" t="str">
        <f>IF(WarehouseData[[#This Row],[stock_level]]&lt;=WarehouseData[[#This Row],[reorder_point]],"Low Stock","Sufficient Stock")</f>
        <v>Sufficient Stock</v>
      </c>
      <c r="Y2909">
        <f>WarehouseData[[#This Row],[daily_demand]]*WarehouseData[[#This Row],[lead_time_days]]</f>
        <v>40.64</v>
      </c>
      <c r="Z2909" t="str">
        <f>IF(WarehouseData[[#This Row],[stock_level]]&lt;=WarehouseData[[#This Row],[Demand During Lead Time]],"At Risk","Safe")</f>
        <v>Safe</v>
      </c>
      <c r="AA2909">
        <f>WarehouseData[[#This Row],[stock_level]]/WarehouseData[[#This Row],[daily_demand]]</f>
        <v>9.1043307086614167</v>
      </c>
      <c r="AB2909">
        <f>WarehouseData[[#This Row],[stock_level]]*WarehouseData[[#This Row],[unit_price]]</f>
        <v>26985.95</v>
      </c>
      <c r="AC2909">
        <f>WarehouseData[[#This Row],[stock_level]]*WarehouseData[[#This Row],[holding_cost_per_unit_day]]*30</f>
        <v>3441</v>
      </c>
      <c r="AD2909" t="str">
        <f>IF(WarehouseData[[#This Row],[order_fulfillment_rate]]&gt;=0.9,"Strong",IF(WarehouseData[[#This Row],[order_fulfillment_rate]]&gt;=0.8,"Moderate","Needs Attention"))</f>
        <v>Needs Attention</v>
      </c>
      <c r="AE2909" t="str">
        <f>IF(WarehouseData[[#This Row],[picking_time_seconds]]&gt;120,"Slow",IF(WarehouseData[[#This Row],[picking_time_seconds]]&gt;=60,"Average","Fast"))</f>
        <v>Slow</v>
      </c>
    </row>
    <row r="2910" spans="1:31" x14ac:dyDescent="0.25">
      <c r="A2910" t="s">
        <v>3048</v>
      </c>
      <c r="B2910" t="s">
        <v>73</v>
      </c>
      <c r="C2910">
        <v>303</v>
      </c>
      <c r="D2910">
        <v>62</v>
      </c>
      <c r="E2910">
        <v>9</v>
      </c>
      <c r="F2910">
        <v>8</v>
      </c>
      <c r="G2910">
        <v>49.34</v>
      </c>
      <c r="H2910">
        <v>5.01</v>
      </c>
      <c r="I2910">
        <v>0.62</v>
      </c>
      <c r="J2910" t="s">
        <v>135</v>
      </c>
      <c r="K2910" t="s">
        <v>34</v>
      </c>
      <c r="L2910">
        <v>100</v>
      </c>
      <c r="M2910">
        <v>3.18</v>
      </c>
      <c r="N2910">
        <v>140.19999999999999</v>
      </c>
      <c r="O2910">
        <v>1.86</v>
      </c>
      <c r="P2910">
        <v>8</v>
      </c>
      <c r="Q2910">
        <v>0.72</v>
      </c>
      <c r="R2910">
        <v>860</v>
      </c>
      <c r="S2910">
        <v>13.01</v>
      </c>
      <c r="T2910">
        <v>0.59</v>
      </c>
      <c r="U2910" s="1">
        <v>45642</v>
      </c>
      <c r="V2910">
        <v>49.05</v>
      </c>
      <c r="W2910">
        <v>0.48899999999999999</v>
      </c>
      <c r="X2910" t="str">
        <f>IF(WarehouseData[[#This Row],[stock_level]]&lt;=WarehouseData[[#This Row],[reorder_point]],"Low Stock","Sufficient Stock")</f>
        <v>Sufficient Stock</v>
      </c>
      <c r="Y2910">
        <f>WarehouseData[[#This Row],[daily_demand]]*WarehouseData[[#This Row],[lead_time_days]]</f>
        <v>394.72</v>
      </c>
      <c r="Z2910" t="str">
        <f>IF(WarehouseData[[#This Row],[stock_level]]&lt;=WarehouseData[[#This Row],[Demand During Lead Time]],"At Risk","Safe")</f>
        <v>At Risk</v>
      </c>
      <c r="AA2910">
        <f>WarehouseData[[#This Row],[stock_level]]/WarehouseData[[#This Row],[daily_demand]]</f>
        <v>6.1410620186461289</v>
      </c>
      <c r="AB2910">
        <f>WarehouseData[[#This Row],[stock_level]]*WarehouseData[[#This Row],[unit_price]]</f>
        <v>42480.6</v>
      </c>
      <c r="AC2910">
        <f>WarehouseData[[#This Row],[stock_level]]*WarehouseData[[#This Row],[holding_cost_per_unit_day]]*30</f>
        <v>16907.400000000001</v>
      </c>
      <c r="AD2910" t="str">
        <f>IF(WarehouseData[[#This Row],[order_fulfillment_rate]]&gt;=0.9,"Strong",IF(WarehouseData[[#This Row],[order_fulfillment_rate]]&gt;=0.8,"Moderate","Needs Attention"))</f>
        <v>Needs Attention</v>
      </c>
      <c r="AE2910" t="str">
        <f>IF(WarehouseData[[#This Row],[picking_time_seconds]]&gt;120,"Slow",IF(WarehouseData[[#This Row],[picking_time_seconds]]&gt;=60,"Average","Fast"))</f>
        <v>Average</v>
      </c>
    </row>
    <row r="2911" spans="1:31" x14ac:dyDescent="0.25">
      <c r="A2911" t="s">
        <v>3049</v>
      </c>
      <c r="B2911" t="s">
        <v>36</v>
      </c>
      <c r="C2911">
        <v>300</v>
      </c>
      <c r="D2911">
        <v>63</v>
      </c>
      <c r="E2911">
        <v>10</v>
      </c>
      <c r="F2911">
        <v>5</v>
      </c>
      <c r="G2911">
        <v>22.12</v>
      </c>
      <c r="H2911">
        <v>2.04</v>
      </c>
      <c r="I2911">
        <v>0.24</v>
      </c>
      <c r="J2911" t="s">
        <v>190</v>
      </c>
      <c r="K2911" t="s">
        <v>52</v>
      </c>
      <c r="L2911">
        <v>163</v>
      </c>
      <c r="M2911">
        <v>3.93</v>
      </c>
      <c r="N2911">
        <v>35.520000000000003</v>
      </c>
      <c r="O2911">
        <v>0.44</v>
      </c>
      <c r="P2911">
        <v>7</v>
      </c>
      <c r="Q2911">
        <v>0.98</v>
      </c>
      <c r="R2911">
        <v>96</v>
      </c>
      <c r="S2911">
        <v>5.0599999999999996</v>
      </c>
      <c r="T2911">
        <v>0.66</v>
      </c>
      <c r="U2911" s="1">
        <v>45653</v>
      </c>
      <c r="V2911">
        <v>32.340000000000003</v>
      </c>
      <c r="W2911">
        <v>0.61099999999999999</v>
      </c>
      <c r="X2911" t="str">
        <f>IF(WarehouseData[[#This Row],[stock_level]]&lt;=WarehouseData[[#This Row],[reorder_point]],"Low Stock","Sufficient Stock")</f>
        <v>Sufficient Stock</v>
      </c>
      <c r="Y2911">
        <f>WarehouseData[[#This Row],[daily_demand]]*WarehouseData[[#This Row],[lead_time_days]]</f>
        <v>110.60000000000001</v>
      </c>
      <c r="Z2911" t="str">
        <f>IF(WarehouseData[[#This Row],[stock_level]]&lt;=WarehouseData[[#This Row],[Demand During Lead Time]],"At Risk","Safe")</f>
        <v>Safe</v>
      </c>
      <c r="AA2911">
        <f>WarehouseData[[#This Row],[stock_level]]/WarehouseData[[#This Row],[daily_demand]]</f>
        <v>13.562386980108499</v>
      </c>
      <c r="AB2911">
        <f>WarehouseData[[#This Row],[stock_level]]*WarehouseData[[#This Row],[unit_price]]</f>
        <v>10656.000000000002</v>
      </c>
      <c r="AC2911">
        <f>WarehouseData[[#This Row],[stock_level]]*WarehouseData[[#This Row],[holding_cost_per_unit_day]]*30</f>
        <v>3960</v>
      </c>
      <c r="AD2911" t="str">
        <f>IF(WarehouseData[[#This Row],[order_fulfillment_rate]]&gt;=0.9,"Strong",IF(WarehouseData[[#This Row],[order_fulfillment_rate]]&gt;=0.8,"Moderate","Needs Attention"))</f>
        <v>Strong</v>
      </c>
      <c r="AE2911" t="str">
        <f>IF(WarehouseData[[#This Row],[picking_time_seconds]]&gt;120,"Slow",IF(WarehouseData[[#This Row],[picking_time_seconds]]&gt;=60,"Average","Fast"))</f>
        <v>Slow</v>
      </c>
    </row>
    <row r="2912" spans="1:31" x14ac:dyDescent="0.25">
      <c r="A2912" t="s">
        <v>3050</v>
      </c>
      <c r="B2912" t="s">
        <v>73</v>
      </c>
      <c r="C2912">
        <v>115</v>
      </c>
      <c r="D2912">
        <v>93</v>
      </c>
      <c r="E2912">
        <v>7</v>
      </c>
      <c r="F2912">
        <v>2</v>
      </c>
      <c r="G2912">
        <v>15.98</v>
      </c>
      <c r="H2912">
        <v>1.67</v>
      </c>
      <c r="I2912">
        <v>0.28999999999999998</v>
      </c>
      <c r="J2912" t="s">
        <v>283</v>
      </c>
      <c r="K2912" t="s">
        <v>46</v>
      </c>
      <c r="L2912">
        <v>174</v>
      </c>
      <c r="M2912">
        <v>3.24</v>
      </c>
      <c r="N2912">
        <v>38.799999999999997</v>
      </c>
      <c r="O2912">
        <v>1.94</v>
      </c>
      <c r="P2912">
        <v>8</v>
      </c>
      <c r="Q2912">
        <v>0.97</v>
      </c>
      <c r="R2912">
        <v>439</v>
      </c>
      <c r="S2912">
        <v>12.21</v>
      </c>
      <c r="T2912">
        <v>0.92</v>
      </c>
      <c r="U2912" s="1">
        <v>45318</v>
      </c>
      <c r="V2912">
        <v>71.97</v>
      </c>
      <c r="W2912">
        <v>0.58699999999999997</v>
      </c>
      <c r="X2912" t="str">
        <f>IF(WarehouseData[[#This Row],[stock_level]]&lt;=WarehouseData[[#This Row],[reorder_point]],"Low Stock","Sufficient Stock")</f>
        <v>Sufficient Stock</v>
      </c>
      <c r="Y2912">
        <f>WarehouseData[[#This Row],[daily_demand]]*WarehouseData[[#This Row],[lead_time_days]]</f>
        <v>31.96</v>
      </c>
      <c r="Z2912" t="str">
        <f>IF(WarehouseData[[#This Row],[stock_level]]&lt;=WarehouseData[[#This Row],[Demand During Lead Time]],"At Risk","Safe")</f>
        <v>Safe</v>
      </c>
      <c r="AA2912">
        <f>WarehouseData[[#This Row],[stock_level]]/WarehouseData[[#This Row],[daily_demand]]</f>
        <v>7.1964956195244056</v>
      </c>
      <c r="AB2912">
        <f>WarehouseData[[#This Row],[stock_level]]*WarehouseData[[#This Row],[unit_price]]</f>
        <v>4462</v>
      </c>
      <c r="AC2912">
        <f>WarehouseData[[#This Row],[stock_level]]*WarehouseData[[#This Row],[holding_cost_per_unit_day]]*30</f>
        <v>6693</v>
      </c>
      <c r="AD2912" t="str">
        <f>IF(WarehouseData[[#This Row],[order_fulfillment_rate]]&gt;=0.9,"Strong",IF(WarehouseData[[#This Row],[order_fulfillment_rate]]&gt;=0.8,"Moderate","Needs Attention"))</f>
        <v>Strong</v>
      </c>
      <c r="AE2912" t="str">
        <f>IF(WarehouseData[[#This Row],[picking_time_seconds]]&gt;120,"Slow",IF(WarehouseData[[#This Row],[picking_time_seconds]]&gt;=60,"Average","Fast"))</f>
        <v>Slow</v>
      </c>
    </row>
    <row r="2913" spans="1:31" x14ac:dyDescent="0.25">
      <c r="A2913" t="s">
        <v>3051</v>
      </c>
      <c r="B2913" t="s">
        <v>73</v>
      </c>
      <c r="C2913">
        <v>400</v>
      </c>
      <c r="D2913">
        <v>34</v>
      </c>
      <c r="E2913">
        <v>11</v>
      </c>
      <c r="F2913">
        <v>5</v>
      </c>
      <c r="G2913">
        <v>18.899999999999999</v>
      </c>
      <c r="H2913">
        <v>9.67</v>
      </c>
      <c r="I2913">
        <v>0.52</v>
      </c>
      <c r="J2913" t="s">
        <v>88</v>
      </c>
      <c r="K2913" t="s">
        <v>46</v>
      </c>
      <c r="L2913">
        <v>140</v>
      </c>
      <c r="M2913">
        <v>2.38</v>
      </c>
      <c r="N2913">
        <v>57.97</v>
      </c>
      <c r="O2913">
        <v>0.66</v>
      </c>
      <c r="P2913">
        <v>3</v>
      </c>
      <c r="Q2913">
        <v>0.73</v>
      </c>
      <c r="R2913">
        <v>301</v>
      </c>
      <c r="S2913">
        <v>6.04</v>
      </c>
      <c r="T2913">
        <v>0.88</v>
      </c>
      <c r="U2913" s="1">
        <v>45374</v>
      </c>
      <c r="V2913">
        <v>109.33</v>
      </c>
      <c r="W2913">
        <v>0.67700000000000005</v>
      </c>
      <c r="X2913" t="str">
        <f>IF(WarehouseData[[#This Row],[stock_level]]&lt;=WarehouseData[[#This Row],[reorder_point]],"Low Stock","Sufficient Stock")</f>
        <v>Sufficient Stock</v>
      </c>
      <c r="Y2913">
        <f>WarehouseData[[#This Row],[daily_demand]]*WarehouseData[[#This Row],[lead_time_days]]</f>
        <v>94.5</v>
      </c>
      <c r="Z2913" t="str">
        <f>IF(WarehouseData[[#This Row],[stock_level]]&lt;=WarehouseData[[#This Row],[Demand During Lead Time]],"At Risk","Safe")</f>
        <v>Safe</v>
      </c>
      <c r="AA2913">
        <f>WarehouseData[[#This Row],[stock_level]]/WarehouseData[[#This Row],[daily_demand]]</f>
        <v>21.164021164021165</v>
      </c>
      <c r="AB2913">
        <f>WarehouseData[[#This Row],[stock_level]]*WarehouseData[[#This Row],[unit_price]]</f>
        <v>23188</v>
      </c>
      <c r="AC2913">
        <f>WarehouseData[[#This Row],[stock_level]]*WarehouseData[[#This Row],[holding_cost_per_unit_day]]*30</f>
        <v>7920</v>
      </c>
      <c r="AD2913" t="str">
        <f>IF(WarehouseData[[#This Row],[order_fulfillment_rate]]&gt;=0.9,"Strong",IF(WarehouseData[[#This Row],[order_fulfillment_rate]]&gt;=0.8,"Moderate","Needs Attention"))</f>
        <v>Needs Attention</v>
      </c>
      <c r="AE2913" t="str">
        <f>IF(WarehouseData[[#This Row],[picking_time_seconds]]&gt;120,"Slow",IF(WarehouseData[[#This Row],[picking_time_seconds]]&gt;=60,"Average","Fast"))</f>
        <v>Slow</v>
      </c>
    </row>
    <row r="2914" spans="1:31" x14ac:dyDescent="0.25">
      <c r="A2914" t="s">
        <v>3052</v>
      </c>
      <c r="B2914" t="s">
        <v>73</v>
      </c>
      <c r="C2914">
        <v>285</v>
      </c>
      <c r="D2914">
        <v>76</v>
      </c>
      <c r="E2914">
        <v>12</v>
      </c>
      <c r="F2914">
        <v>5</v>
      </c>
      <c r="G2914">
        <v>20.45</v>
      </c>
      <c r="H2914">
        <v>3.17</v>
      </c>
      <c r="I2914">
        <v>0.8</v>
      </c>
      <c r="J2914" t="s">
        <v>447</v>
      </c>
      <c r="K2914" t="s">
        <v>34</v>
      </c>
      <c r="L2914">
        <v>163</v>
      </c>
      <c r="M2914">
        <v>1.19</v>
      </c>
      <c r="N2914">
        <v>85.83</v>
      </c>
      <c r="O2914">
        <v>1.3</v>
      </c>
      <c r="P2914">
        <v>4</v>
      </c>
      <c r="Q2914">
        <v>0.87</v>
      </c>
      <c r="R2914">
        <v>215</v>
      </c>
      <c r="S2914">
        <v>1.29</v>
      </c>
      <c r="T2914">
        <v>0.89</v>
      </c>
      <c r="U2914" s="1">
        <v>45491</v>
      </c>
      <c r="V2914">
        <v>222.62</v>
      </c>
      <c r="W2914">
        <v>0.55900000000000005</v>
      </c>
      <c r="X2914" t="str">
        <f>IF(WarehouseData[[#This Row],[stock_level]]&lt;=WarehouseData[[#This Row],[reorder_point]],"Low Stock","Sufficient Stock")</f>
        <v>Sufficient Stock</v>
      </c>
      <c r="Y2914">
        <f>WarehouseData[[#This Row],[daily_demand]]*WarehouseData[[#This Row],[lead_time_days]]</f>
        <v>102.25</v>
      </c>
      <c r="Z2914" t="str">
        <f>IF(WarehouseData[[#This Row],[stock_level]]&lt;=WarehouseData[[#This Row],[Demand During Lead Time]],"At Risk","Safe")</f>
        <v>Safe</v>
      </c>
      <c r="AA2914">
        <f>WarehouseData[[#This Row],[stock_level]]/WarehouseData[[#This Row],[daily_demand]]</f>
        <v>13.936430317848412</v>
      </c>
      <c r="AB2914">
        <f>WarehouseData[[#This Row],[stock_level]]*WarehouseData[[#This Row],[unit_price]]</f>
        <v>24461.55</v>
      </c>
      <c r="AC2914">
        <f>WarehouseData[[#This Row],[stock_level]]*WarehouseData[[#This Row],[holding_cost_per_unit_day]]*30</f>
        <v>11115</v>
      </c>
      <c r="AD2914" t="str">
        <f>IF(WarehouseData[[#This Row],[order_fulfillment_rate]]&gt;=0.9,"Strong",IF(WarehouseData[[#This Row],[order_fulfillment_rate]]&gt;=0.8,"Moderate","Needs Attention"))</f>
        <v>Moderate</v>
      </c>
      <c r="AE2914" t="str">
        <f>IF(WarehouseData[[#This Row],[picking_time_seconds]]&gt;120,"Slow",IF(WarehouseData[[#This Row],[picking_time_seconds]]&gt;=60,"Average","Fast"))</f>
        <v>Slow</v>
      </c>
    </row>
    <row r="2915" spans="1:31" x14ac:dyDescent="0.25">
      <c r="A2915" t="s">
        <v>3053</v>
      </c>
      <c r="B2915" t="s">
        <v>36</v>
      </c>
      <c r="C2915">
        <v>463</v>
      </c>
      <c r="D2915">
        <v>71</v>
      </c>
      <c r="E2915">
        <v>14</v>
      </c>
      <c r="F2915">
        <v>5</v>
      </c>
      <c r="G2915">
        <v>41.26</v>
      </c>
      <c r="H2915">
        <v>9.1300000000000008</v>
      </c>
      <c r="I2915">
        <v>0.95</v>
      </c>
      <c r="J2915" t="s">
        <v>286</v>
      </c>
      <c r="K2915" t="s">
        <v>52</v>
      </c>
      <c r="L2915">
        <v>152</v>
      </c>
      <c r="M2915">
        <v>2.59</v>
      </c>
      <c r="N2915">
        <v>188.44</v>
      </c>
      <c r="O2915">
        <v>0.23</v>
      </c>
      <c r="P2915">
        <v>4</v>
      </c>
      <c r="Q2915">
        <v>0.99</v>
      </c>
      <c r="R2915">
        <v>417</v>
      </c>
      <c r="S2915">
        <v>1.6</v>
      </c>
      <c r="T2915">
        <v>0.5</v>
      </c>
      <c r="U2915" s="1">
        <v>45617</v>
      </c>
      <c r="V2915">
        <v>30.88</v>
      </c>
      <c r="W2915">
        <v>0.61599999999999999</v>
      </c>
      <c r="X2915" t="str">
        <f>IF(WarehouseData[[#This Row],[stock_level]]&lt;=WarehouseData[[#This Row],[reorder_point]],"Low Stock","Sufficient Stock")</f>
        <v>Sufficient Stock</v>
      </c>
      <c r="Y2915">
        <f>WarehouseData[[#This Row],[daily_demand]]*WarehouseData[[#This Row],[lead_time_days]]</f>
        <v>206.29999999999998</v>
      </c>
      <c r="Z2915" t="str">
        <f>IF(WarehouseData[[#This Row],[stock_level]]&lt;=WarehouseData[[#This Row],[Demand During Lead Time]],"At Risk","Safe")</f>
        <v>Safe</v>
      </c>
      <c r="AA2915">
        <f>WarehouseData[[#This Row],[stock_level]]/WarehouseData[[#This Row],[daily_demand]]</f>
        <v>11.221522055259332</v>
      </c>
      <c r="AB2915">
        <f>WarehouseData[[#This Row],[stock_level]]*WarehouseData[[#This Row],[unit_price]]</f>
        <v>87247.72</v>
      </c>
      <c r="AC2915">
        <f>WarehouseData[[#This Row],[stock_level]]*WarehouseData[[#This Row],[holding_cost_per_unit_day]]*30</f>
        <v>3194.7000000000003</v>
      </c>
      <c r="AD2915" t="str">
        <f>IF(WarehouseData[[#This Row],[order_fulfillment_rate]]&gt;=0.9,"Strong",IF(WarehouseData[[#This Row],[order_fulfillment_rate]]&gt;=0.8,"Moderate","Needs Attention"))</f>
        <v>Strong</v>
      </c>
      <c r="AE2915" t="str">
        <f>IF(WarehouseData[[#This Row],[picking_time_seconds]]&gt;120,"Slow",IF(WarehouseData[[#This Row],[picking_time_seconds]]&gt;=60,"Average","Fast"))</f>
        <v>Slow</v>
      </c>
    </row>
    <row r="2916" spans="1:31" x14ac:dyDescent="0.25">
      <c r="A2916" t="s">
        <v>3054</v>
      </c>
      <c r="B2916" t="s">
        <v>40</v>
      </c>
      <c r="C2916">
        <v>317</v>
      </c>
      <c r="D2916">
        <v>64</v>
      </c>
      <c r="E2916">
        <v>6</v>
      </c>
      <c r="F2916">
        <v>2</v>
      </c>
      <c r="G2916">
        <v>4.97</v>
      </c>
      <c r="H2916">
        <v>4.4000000000000004</v>
      </c>
      <c r="I2916">
        <v>0.7</v>
      </c>
      <c r="J2916" t="s">
        <v>43</v>
      </c>
      <c r="K2916" t="s">
        <v>34</v>
      </c>
      <c r="L2916">
        <v>75</v>
      </c>
      <c r="M2916">
        <v>1.83</v>
      </c>
      <c r="N2916">
        <v>138.04</v>
      </c>
      <c r="O2916">
        <v>0.67</v>
      </c>
      <c r="P2916">
        <v>8</v>
      </c>
      <c r="Q2916">
        <v>0.92</v>
      </c>
      <c r="R2916">
        <v>428</v>
      </c>
      <c r="S2916">
        <v>11.22</v>
      </c>
      <c r="T2916">
        <v>0.86</v>
      </c>
      <c r="U2916" s="1">
        <v>45294</v>
      </c>
      <c r="V2916">
        <v>157.11000000000001</v>
      </c>
      <c r="W2916">
        <v>0.67900000000000005</v>
      </c>
      <c r="X2916" t="str">
        <f>IF(WarehouseData[[#This Row],[stock_level]]&lt;=WarehouseData[[#This Row],[reorder_point]],"Low Stock","Sufficient Stock")</f>
        <v>Sufficient Stock</v>
      </c>
      <c r="Y2916">
        <f>WarehouseData[[#This Row],[daily_demand]]*WarehouseData[[#This Row],[lead_time_days]]</f>
        <v>9.94</v>
      </c>
      <c r="Z2916" t="str">
        <f>IF(WarehouseData[[#This Row],[stock_level]]&lt;=WarehouseData[[#This Row],[Demand During Lead Time]],"At Risk","Safe")</f>
        <v>Safe</v>
      </c>
      <c r="AA2916">
        <f>WarehouseData[[#This Row],[stock_level]]/WarehouseData[[#This Row],[daily_demand]]</f>
        <v>63.782696177062377</v>
      </c>
      <c r="AB2916">
        <f>WarehouseData[[#This Row],[stock_level]]*WarehouseData[[#This Row],[unit_price]]</f>
        <v>43758.68</v>
      </c>
      <c r="AC2916">
        <f>WarehouseData[[#This Row],[stock_level]]*WarehouseData[[#This Row],[holding_cost_per_unit_day]]*30</f>
        <v>6371.7000000000007</v>
      </c>
      <c r="AD2916" t="str">
        <f>IF(WarehouseData[[#This Row],[order_fulfillment_rate]]&gt;=0.9,"Strong",IF(WarehouseData[[#This Row],[order_fulfillment_rate]]&gt;=0.8,"Moderate","Needs Attention"))</f>
        <v>Strong</v>
      </c>
      <c r="AE2916" t="str">
        <f>IF(WarehouseData[[#This Row],[picking_time_seconds]]&gt;120,"Slow",IF(WarehouseData[[#This Row],[picking_time_seconds]]&gt;=60,"Average","Fast"))</f>
        <v>Average</v>
      </c>
    </row>
    <row r="2917" spans="1:31" x14ac:dyDescent="0.25">
      <c r="A2917" t="s">
        <v>3055</v>
      </c>
      <c r="B2917" t="s">
        <v>40</v>
      </c>
      <c r="C2917">
        <v>315</v>
      </c>
      <c r="D2917">
        <v>55</v>
      </c>
      <c r="E2917">
        <v>6</v>
      </c>
      <c r="F2917">
        <v>7</v>
      </c>
      <c r="G2917">
        <v>16.510000000000002</v>
      </c>
      <c r="H2917">
        <v>4.17</v>
      </c>
      <c r="I2917">
        <v>0.56000000000000005</v>
      </c>
      <c r="J2917" t="s">
        <v>110</v>
      </c>
      <c r="K2917" t="s">
        <v>34</v>
      </c>
      <c r="L2917">
        <v>37</v>
      </c>
      <c r="M2917">
        <v>3.63</v>
      </c>
      <c r="N2917">
        <v>58.48</v>
      </c>
      <c r="O2917">
        <v>0.5</v>
      </c>
      <c r="P2917">
        <v>7</v>
      </c>
      <c r="Q2917">
        <v>0.85</v>
      </c>
      <c r="R2917">
        <v>366</v>
      </c>
      <c r="S2917">
        <v>4.8099999999999996</v>
      </c>
      <c r="T2917">
        <v>0.26</v>
      </c>
      <c r="U2917" s="1">
        <v>45338</v>
      </c>
      <c r="V2917">
        <v>160.44</v>
      </c>
      <c r="W2917">
        <v>0.496</v>
      </c>
      <c r="X2917" t="str">
        <f>IF(WarehouseData[[#This Row],[stock_level]]&lt;=WarehouseData[[#This Row],[reorder_point]],"Low Stock","Sufficient Stock")</f>
        <v>Sufficient Stock</v>
      </c>
      <c r="Y2917">
        <f>WarehouseData[[#This Row],[daily_demand]]*WarehouseData[[#This Row],[lead_time_days]]</f>
        <v>115.57000000000001</v>
      </c>
      <c r="Z2917" t="str">
        <f>IF(WarehouseData[[#This Row],[stock_level]]&lt;=WarehouseData[[#This Row],[Demand During Lead Time]],"At Risk","Safe")</f>
        <v>Safe</v>
      </c>
      <c r="AA2917">
        <f>WarehouseData[[#This Row],[stock_level]]/WarehouseData[[#This Row],[daily_demand]]</f>
        <v>19.079345850999392</v>
      </c>
      <c r="AB2917">
        <f>WarehouseData[[#This Row],[stock_level]]*WarehouseData[[#This Row],[unit_price]]</f>
        <v>18421.2</v>
      </c>
      <c r="AC2917">
        <f>WarehouseData[[#This Row],[stock_level]]*WarehouseData[[#This Row],[holding_cost_per_unit_day]]*30</f>
        <v>4725</v>
      </c>
      <c r="AD2917" t="str">
        <f>IF(WarehouseData[[#This Row],[order_fulfillment_rate]]&gt;=0.9,"Strong",IF(WarehouseData[[#This Row],[order_fulfillment_rate]]&gt;=0.8,"Moderate","Needs Attention"))</f>
        <v>Moderate</v>
      </c>
      <c r="AE2917" t="str">
        <f>IF(WarehouseData[[#This Row],[picking_time_seconds]]&gt;120,"Slow",IF(WarehouseData[[#This Row],[picking_time_seconds]]&gt;=60,"Average","Fast"))</f>
        <v>Fast</v>
      </c>
    </row>
    <row r="2918" spans="1:31" x14ac:dyDescent="0.25">
      <c r="A2918" t="s">
        <v>3056</v>
      </c>
      <c r="B2918" t="s">
        <v>73</v>
      </c>
      <c r="C2918">
        <v>244</v>
      </c>
      <c r="D2918">
        <v>33</v>
      </c>
      <c r="E2918">
        <v>10</v>
      </c>
      <c r="F2918">
        <v>9</v>
      </c>
      <c r="G2918">
        <v>48.35</v>
      </c>
      <c r="H2918">
        <v>7.16</v>
      </c>
      <c r="I2918">
        <v>0.33</v>
      </c>
      <c r="J2918" t="s">
        <v>146</v>
      </c>
      <c r="K2918" t="s">
        <v>46</v>
      </c>
      <c r="L2918">
        <v>134</v>
      </c>
      <c r="M2918">
        <v>2.4900000000000002</v>
      </c>
      <c r="N2918">
        <v>20.64</v>
      </c>
      <c r="O2918">
        <v>0.11</v>
      </c>
      <c r="P2918">
        <v>9</v>
      </c>
      <c r="Q2918">
        <v>0.77</v>
      </c>
      <c r="R2918">
        <v>181</v>
      </c>
      <c r="S2918">
        <v>5.31</v>
      </c>
      <c r="T2918">
        <v>0.59</v>
      </c>
      <c r="U2918" s="1">
        <v>45366</v>
      </c>
      <c r="V2918">
        <v>76.099999999999994</v>
      </c>
      <c r="W2918">
        <v>0.55200000000000005</v>
      </c>
      <c r="X2918" t="str">
        <f>IF(WarehouseData[[#This Row],[stock_level]]&lt;=WarehouseData[[#This Row],[reorder_point]],"Low Stock","Sufficient Stock")</f>
        <v>Sufficient Stock</v>
      </c>
      <c r="Y2918">
        <f>WarehouseData[[#This Row],[daily_demand]]*WarehouseData[[#This Row],[lead_time_days]]</f>
        <v>435.15000000000003</v>
      </c>
      <c r="Z2918" t="str">
        <f>IF(WarehouseData[[#This Row],[stock_level]]&lt;=WarehouseData[[#This Row],[Demand During Lead Time]],"At Risk","Safe")</f>
        <v>At Risk</v>
      </c>
      <c r="AA2918">
        <f>WarehouseData[[#This Row],[stock_level]]/WarehouseData[[#This Row],[daily_demand]]</f>
        <v>5.0465356773526366</v>
      </c>
      <c r="AB2918">
        <f>WarehouseData[[#This Row],[stock_level]]*WarehouseData[[#This Row],[unit_price]]</f>
        <v>5036.16</v>
      </c>
      <c r="AC2918">
        <f>WarehouseData[[#This Row],[stock_level]]*WarehouseData[[#This Row],[holding_cost_per_unit_day]]*30</f>
        <v>805.2</v>
      </c>
      <c r="AD2918" t="str">
        <f>IF(WarehouseData[[#This Row],[order_fulfillment_rate]]&gt;=0.9,"Strong",IF(WarehouseData[[#This Row],[order_fulfillment_rate]]&gt;=0.8,"Moderate","Needs Attention"))</f>
        <v>Needs Attention</v>
      </c>
      <c r="AE2918" t="str">
        <f>IF(WarehouseData[[#This Row],[picking_time_seconds]]&gt;120,"Slow",IF(WarehouseData[[#This Row],[picking_time_seconds]]&gt;=60,"Average","Fast"))</f>
        <v>Slow</v>
      </c>
    </row>
    <row r="2919" spans="1:31" x14ac:dyDescent="0.25">
      <c r="A2919" t="s">
        <v>3057</v>
      </c>
      <c r="B2919" t="s">
        <v>36</v>
      </c>
      <c r="C2919">
        <v>352</v>
      </c>
      <c r="D2919">
        <v>55</v>
      </c>
      <c r="E2919">
        <v>3</v>
      </c>
      <c r="F2919">
        <v>5</v>
      </c>
      <c r="G2919">
        <v>8.5</v>
      </c>
      <c r="H2919">
        <v>0.59</v>
      </c>
      <c r="I2919">
        <v>0.71</v>
      </c>
      <c r="J2919" t="s">
        <v>228</v>
      </c>
      <c r="K2919" t="s">
        <v>46</v>
      </c>
      <c r="L2919">
        <v>175</v>
      </c>
      <c r="M2919">
        <v>4.32</v>
      </c>
      <c r="N2919">
        <v>140</v>
      </c>
      <c r="O2919">
        <v>0.4</v>
      </c>
      <c r="P2919">
        <v>5</v>
      </c>
      <c r="Q2919">
        <v>0.78</v>
      </c>
      <c r="R2919">
        <v>438</v>
      </c>
      <c r="S2919">
        <v>9.7200000000000006</v>
      </c>
      <c r="T2919">
        <v>0.39</v>
      </c>
      <c r="U2919" s="1">
        <v>45533</v>
      </c>
      <c r="V2919">
        <v>23.18</v>
      </c>
      <c r="W2919">
        <v>0.624</v>
      </c>
      <c r="X2919" t="str">
        <f>IF(WarehouseData[[#This Row],[stock_level]]&lt;=WarehouseData[[#This Row],[reorder_point]],"Low Stock","Sufficient Stock")</f>
        <v>Sufficient Stock</v>
      </c>
      <c r="Y2919">
        <f>WarehouseData[[#This Row],[daily_demand]]*WarehouseData[[#This Row],[lead_time_days]]</f>
        <v>42.5</v>
      </c>
      <c r="Z2919" t="str">
        <f>IF(WarehouseData[[#This Row],[stock_level]]&lt;=WarehouseData[[#This Row],[Demand During Lead Time]],"At Risk","Safe")</f>
        <v>Safe</v>
      </c>
      <c r="AA2919">
        <f>WarehouseData[[#This Row],[stock_level]]/WarehouseData[[#This Row],[daily_demand]]</f>
        <v>41.411764705882355</v>
      </c>
      <c r="AB2919">
        <f>WarehouseData[[#This Row],[stock_level]]*WarehouseData[[#This Row],[unit_price]]</f>
        <v>49280</v>
      </c>
      <c r="AC2919">
        <f>WarehouseData[[#This Row],[stock_level]]*WarehouseData[[#This Row],[holding_cost_per_unit_day]]*30</f>
        <v>4224</v>
      </c>
      <c r="AD2919" t="str">
        <f>IF(WarehouseData[[#This Row],[order_fulfillment_rate]]&gt;=0.9,"Strong",IF(WarehouseData[[#This Row],[order_fulfillment_rate]]&gt;=0.8,"Moderate","Needs Attention"))</f>
        <v>Needs Attention</v>
      </c>
      <c r="AE2919" t="str">
        <f>IF(WarehouseData[[#This Row],[picking_time_seconds]]&gt;120,"Slow",IF(WarehouseData[[#This Row],[picking_time_seconds]]&gt;=60,"Average","Fast"))</f>
        <v>Slow</v>
      </c>
    </row>
    <row r="2920" spans="1:31" x14ac:dyDescent="0.25">
      <c r="A2920" t="s">
        <v>3058</v>
      </c>
      <c r="B2920" t="s">
        <v>40</v>
      </c>
      <c r="C2920">
        <v>380</v>
      </c>
      <c r="D2920">
        <v>31</v>
      </c>
      <c r="E2920">
        <v>10</v>
      </c>
      <c r="F2920">
        <v>7</v>
      </c>
      <c r="G2920">
        <v>37.39</v>
      </c>
      <c r="H2920">
        <v>3.71</v>
      </c>
      <c r="I2920">
        <v>0.98</v>
      </c>
      <c r="J2920" t="s">
        <v>59</v>
      </c>
      <c r="K2920" t="s">
        <v>34</v>
      </c>
      <c r="L2920">
        <v>89</v>
      </c>
      <c r="M2920">
        <v>1.37</v>
      </c>
      <c r="N2920">
        <v>128.81</v>
      </c>
      <c r="O2920">
        <v>1.23</v>
      </c>
      <c r="P2920">
        <v>9</v>
      </c>
      <c r="Q2920">
        <v>0.92</v>
      </c>
      <c r="R2920">
        <v>631</v>
      </c>
      <c r="S2920">
        <v>11.38</v>
      </c>
      <c r="T2920">
        <v>0.23</v>
      </c>
      <c r="U2920" s="1">
        <v>45599</v>
      </c>
      <c r="V2920">
        <v>75.28</v>
      </c>
      <c r="W2920">
        <v>0.47899999999999998</v>
      </c>
      <c r="X2920" t="str">
        <f>IF(WarehouseData[[#This Row],[stock_level]]&lt;=WarehouseData[[#This Row],[reorder_point]],"Low Stock","Sufficient Stock")</f>
        <v>Sufficient Stock</v>
      </c>
      <c r="Y2920">
        <f>WarehouseData[[#This Row],[daily_demand]]*WarehouseData[[#This Row],[lead_time_days]]</f>
        <v>261.73</v>
      </c>
      <c r="Z2920" t="str">
        <f>IF(WarehouseData[[#This Row],[stock_level]]&lt;=WarehouseData[[#This Row],[Demand During Lead Time]],"At Risk","Safe")</f>
        <v>Safe</v>
      </c>
      <c r="AA2920">
        <f>WarehouseData[[#This Row],[stock_level]]/WarehouseData[[#This Row],[daily_demand]]</f>
        <v>10.163145225996255</v>
      </c>
      <c r="AB2920">
        <f>WarehouseData[[#This Row],[stock_level]]*WarehouseData[[#This Row],[unit_price]]</f>
        <v>48947.8</v>
      </c>
      <c r="AC2920">
        <f>WarehouseData[[#This Row],[stock_level]]*WarehouseData[[#This Row],[holding_cost_per_unit_day]]*30</f>
        <v>14022</v>
      </c>
      <c r="AD2920" t="str">
        <f>IF(WarehouseData[[#This Row],[order_fulfillment_rate]]&gt;=0.9,"Strong",IF(WarehouseData[[#This Row],[order_fulfillment_rate]]&gt;=0.8,"Moderate","Needs Attention"))</f>
        <v>Strong</v>
      </c>
      <c r="AE2920" t="str">
        <f>IF(WarehouseData[[#This Row],[picking_time_seconds]]&gt;120,"Slow",IF(WarehouseData[[#This Row],[picking_time_seconds]]&gt;=60,"Average","Fast"))</f>
        <v>Average</v>
      </c>
    </row>
    <row r="2921" spans="1:31" x14ac:dyDescent="0.25">
      <c r="A2921" t="s">
        <v>3059</v>
      </c>
      <c r="B2921" t="s">
        <v>40</v>
      </c>
      <c r="C2921">
        <v>393</v>
      </c>
      <c r="D2921">
        <v>20</v>
      </c>
      <c r="E2921">
        <v>7</v>
      </c>
      <c r="F2921">
        <v>9</v>
      </c>
      <c r="G2921">
        <v>18.46</v>
      </c>
      <c r="H2921">
        <v>3.38</v>
      </c>
      <c r="I2921">
        <v>0.53</v>
      </c>
      <c r="J2921" t="s">
        <v>263</v>
      </c>
      <c r="K2921" t="s">
        <v>38</v>
      </c>
      <c r="L2921">
        <v>141</v>
      </c>
      <c r="M2921">
        <v>2.38</v>
      </c>
      <c r="N2921">
        <v>138.4</v>
      </c>
      <c r="O2921">
        <v>0.84</v>
      </c>
      <c r="P2921">
        <v>9</v>
      </c>
      <c r="Q2921">
        <v>0.93</v>
      </c>
      <c r="R2921">
        <v>621</v>
      </c>
      <c r="S2921">
        <v>8.82</v>
      </c>
      <c r="T2921">
        <v>0.69</v>
      </c>
      <c r="U2921" s="1">
        <v>45514</v>
      </c>
      <c r="V2921">
        <v>76.81</v>
      </c>
      <c r="W2921">
        <v>0.57799999999999996</v>
      </c>
      <c r="X2921" t="str">
        <f>IF(WarehouseData[[#This Row],[stock_level]]&lt;=WarehouseData[[#This Row],[reorder_point]],"Low Stock","Sufficient Stock")</f>
        <v>Sufficient Stock</v>
      </c>
      <c r="Y2921">
        <f>WarehouseData[[#This Row],[daily_demand]]*WarehouseData[[#This Row],[lead_time_days]]</f>
        <v>166.14000000000001</v>
      </c>
      <c r="Z2921" t="str">
        <f>IF(WarehouseData[[#This Row],[stock_level]]&lt;=WarehouseData[[#This Row],[Demand During Lead Time]],"At Risk","Safe")</f>
        <v>Safe</v>
      </c>
      <c r="AA2921">
        <f>WarehouseData[[#This Row],[stock_level]]/WarehouseData[[#This Row],[daily_demand]]</f>
        <v>21.289274106175515</v>
      </c>
      <c r="AB2921">
        <f>WarehouseData[[#This Row],[stock_level]]*WarehouseData[[#This Row],[unit_price]]</f>
        <v>54391.200000000004</v>
      </c>
      <c r="AC2921">
        <f>WarehouseData[[#This Row],[stock_level]]*WarehouseData[[#This Row],[holding_cost_per_unit_day]]*30</f>
        <v>9903.6</v>
      </c>
      <c r="AD2921" t="str">
        <f>IF(WarehouseData[[#This Row],[order_fulfillment_rate]]&gt;=0.9,"Strong",IF(WarehouseData[[#This Row],[order_fulfillment_rate]]&gt;=0.8,"Moderate","Needs Attention"))</f>
        <v>Strong</v>
      </c>
      <c r="AE2921" t="str">
        <f>IF(WarehouseData[[#This Row],[picking_time_seconds]]&gt;120,"Slow",IF(WarehouseData[[#This Row],[picking_time_seconds]]&gt;=60,"Average","Fast"))</f>
        <v>Slow</v>
      </c>
    </row>
    <row r="2922" spans="1:31" x14ac:dyDescent="0.25">
      <c r="A2922" t="s">
        <v>3060</v>
      </c>
      <c r="B2922" t="s">
        <v>40</v>
      </c>
      <c r="C2922">
        <v>61</v>
      </c>
      <c r="D2922">
        <v>57</v>
      </c>
      <c r="E2922">
        <v>13</v>
      </c>
      <c r="F2922">
        <v>8</v>
      </c>
      <c r="G2922">
        <v>29.51</v>
      </c>
      <c r="H2922">
        <v>8.75</v>
      </c>
      <c r="I2922">
        <v>0.25</v>
      </c>
      <c r="J2922" t="s">
        <v>156</v>
      </c>
      <c r="K2922" t="s">
        <v>38</v>
      </c>
      <c r="L2922">
        <v>81</v>
      </c>
      <c r="M2922">
        <v>3.01</v>
      </c>
      <c r="N2922">
        <v>59.62</v>
      </c>
      <c r="O2922">
        <v>1.47</v>
      </c>
      <c r="P2922">
        <v>0</v>
      </c>
      <c r="Q2922">
        <v>0.86</v>
      </c>
      <c r="R2922">
        <v>766</v>
      </c>
      <c r="S2922">
        <v>10.89</v>
      </c>
      <c r="T2922">
        <v>0.26</v>
      </c>
      <c r="U2922" s="1">
        <v>45337</v>
      </c>
      <c r="V2922">
        <v>209.53</v>
      </c>
      <c r="W2922">
        <v>0.622</v>
      </c>
      <c r="X2922" t="str">
        <f>IF(WarehouseData[[#This Row],[stock_level]]&lt;=WarehouseData[[#This Row],[reorder_point]],"Low Stock","Sufficient Stock")</f>
        <v>Sufficient Stock</v>
      </c>
      <c r="Y2922">
        <f>WarehouseData[[#This Row],[daily_demand]]*WarehouseData[[#This Row],[lead_time_days]]</f>
        <v>236.08</v>
      </c>
      <c r="Z2922" t="str">
        <f>IF(WarehouseData[[#This Row],[stock_level]]&lt;=WarehouseData[[#This Row],[Demand During Lead Time]],"At Risk","Safe")</f>
        <v>At Risk</v>
      </c>
      <c r="AA2922">
        <f>WarehouseData[[#This Row],[stock_level]]/WarehouseData[[#This Row],[daily_demand]]</f>
        <v>2.0670958996950186</v>
      </c>
      <c r="AB2922">
        <f>WarehouseData[[#This Row],[stock_level]]*WarehouseData[[#This Row],[unit_price]]</f>
        <v>3636.8199999999997</v>
      </c>
      <c r="AC2922">
        <f>WarehouseData[[#This Row],[stock_level]]*WarehouseData[[#This Row],[holding_cost_per_unit_day]]*30</f>
        <v>2690.1</v>
      </c>
      <c r="AD2922" t="str">
        <f>IF(WarehouseData[[#This Row],[order_fulfillment_rate]]&gt;=0.9,"Strong",IF(WarehouseData[[#This Row],[order_fulfillment_rate]]&gt;=0.8,"Moderate","Needs Attention"))</f>
        <v>Moderate</v>
      </c>
      <c r="AE2922" t="str">
        <f>IF(WarehouseData[[#This Row],[picking_time_seconds]]&gt;120,"Slow",IF(WarehouseData[[#This Row],[picking_time_seconds]]&gt;=60,"Average","Fast"))</f>
        <v>Average</v>
      </c>
    </row>
    <row r="2923" spans="1:31" x14ac:dyDescent="0.25">
      <c r="A2923" t="s">
        <v>3061</v>
      </c>
      <c r="B2923" t="s">
        <v>36</v>
      </c>
      <c r="C2923">
        <v>322</v>
      </c>
      <c r="D2923">
        <v>17</v>
      </c>
      <c r="E2923">
        <v>3</v>
      </c>
      <c r="F2923">
        <v>9</v>
      </c>
      <c r="G2923">
        <v>5.88</v>
      </c>
      <c r="H2923">
        <v>5.53</v>
      </c>
      <c r="I2923">
        <v>0.19</v>
      </c>
      <c r="J2923" t="s">
        <v>311</v>
      </c>
      <c r="K2923" t="s">
        <v>38</v>
      </c>
      <c r="L2923">
        <v>53</v>
      </c>
      <c r="M2923">
        <v>1.07</v>
      </c>
      <c r="N2923">
        <v>108.22</v>
      </c>
      <c r="O2923">
        <v>1.38</v>
      </c>
      <c r="P2923">
        <v>6</v>
      </c>
      <c r="Q2923">
        <v>0.74</v>
      </c>
      <c r="R2923">
        <v>799</v>
      </c>
      <c r="S2923">
        <v>14.17</v>
      </c>
      <c r="T2923">
        <v>0.3</v>
      </c>
      <c r="U2923" s="1">
        <v>45324</v>
      </c>
      <c r="V2923">
        <v>77.8</v>
      </c>
      <c r="W2923">
        <v>0.53900000000000003</v>
      </c>
      <c r="X2923" t="str">
        <f>IF(WarehouseData[[#This Row],[stock_level]]&lt;=WarehouseData[[#This Row],[reorder_point]],"Low Stock","Sufficient Stock")</f>
        <v>Sufficient Stock</v>
      </c>
      <c r="Y2923">
        <f>WarehouseData[[#This Row],[daily_demand]]*WarehouseData[[#This Row],[lead_time_days]]</f>
        <v>52.92</v>
      </c>
      <c r="Z2923" t="str">
        <f>IF(WarehouseData[[#This Row],[stock_level]]&lt;=WarehouseData[[#This Row],[Demand During Lead Time]],"At Risk","Safe")</f>
        <v>Safe</v>
      </c>
      <c r="AA2923">
        <f>WarehouseData[[#This Row],[stock_level]]/WarehouseData[[#This Row],[daily_demand]]</f>
        <v>54.761904761904766</v>
      </c>
      <c r="AB2923">
        <f>WarehouseData[[#This Row],[stock_level]]*WarehouseData[[#This Row],[unit_price]]</f>
        <v>34846.839999999997</v>
      </c>
      <c r="AC2923">
        <f>WarehouseData[[#This Row],[stock_level]]*WarehouseData[[#This Row],[holding_cost_per_unit_day]]*30</f>
        <v>13330.8</v>
      </c>
      <c r="AD2923" t="str">
        <f>IF(WarehouseData[[#This Row],[order_fulfillment_rate]]&gt;=0.9,"Strong",IF(WarehouseData[[#This Row],[order_fulfillment_rate]]&gt;=0.8,"Moderate","Needs Attention"))</f>
        <v>Needs Attention</v>
      </c>
      <c r="AE2923" t="str">
        <f>IF(WarehouseData[[#This Row],[picking_time_seconds]]&gt;120,"Slow",IF(WarehouseData[[#This Row],[picking_time_seconds]]&gt;=60,"Average","Fast"))</f>
        <v>Fast</v>
      </c>
    </row>
    <row r="2924" spans="1:31" x14ac:dyDescent="0.25">
      <c r="A2924" t="s">
        <v>3062</v>
      </c>
      <c r="B2924" t="s">
        <v>36</v>
      </c>
      <c r="C2924">
        <v>440</v>
      </c>
      <c r="D2924">
        <v>48</v>
      </c>
      <c r="E2924">
        <v>6</v>
      </c>
      <c r="F2924">
        <v>8</v>
      </c>
      <c r="G2924">
        <v>16.010000000000002</v>
      </c>
      <c r="H2924">
        <v>3.96</v>
      </c>
      <c r="I2924">
        <v>0.34</v>
      </c>
      <c r="J2924" t="s">
        <v>565</v>
      </c>
      <c r="K2924" t="s">
        <v>46</v>
      </c>
      <c r="L2924">
        <v>128</v>
      </c>
      <c r="M2924">
        <v>3.15</v>
      </c>
      <c r="N2924">
        <v>78.72</v>
      </c>
      <c r="O2924">
        <v>1.62</v>
      </c>
      <c r="P2924">
        <v>8</v>
      </c>
      <c r="Q2924">
        <v>0.98</v>
      </c>
      <c r="R2924">
        <v>905</v>
      </c>
      <c r="S2924">
        <v>12.96</v>
      </c>
      <c r="T2924">
        <v>0.27</v>
      </c>
      <c r="U2924" s="1">
        <v>45426</v>
      </c>
      <c r="V2924">
        <v>108.68</v>
      </c>
      <c r="W2924">
        <v>0.501</v>
      </c>
      <c r="X2924" t="str">
        <f>IF(WarehouseData[[#This Row],[stock_level]]&lt;=WarehouseData[[#This Row],[reorder_point]],"Low Stock","Sufficient Stock")</f>
        <v>Sufficient Stock</v>
      </c>
      <c r="Y2924">
        <f>WarehouseData[[#This Row],[daily_demand]]*WarehouseData[[#This Row],[lead_time_days]]</f>
        <v>128.08000000000001</v>
      </c>
      <c r="Z2924" t="str">
        <f>IF(WarehouseData[[#This Row],[stock_level]]&lt;=WarehouseData[[#This Row],[Demand During Lead Time]],"At Risk","Safe")</f>
        <v>Safe</v>
      </c>
      <c r="AA2924">
        <f>WarehouseData[[#This Row],[stock_level]]/WarehouseData[[#This Row],[daily_demand]]</f>
        <v>27.482823235477824</v>
      </c>
      <c r="AB2924">
        <f>WarehouseData[[#This Row],[stock_level]]*WarehouseData[[#This Row],[unit_price]]</f>
        <v>34636.800000000003</v>
      </c>
      <c r="AC2924">
        <f>WarehouseData[[#This Row],[stock_level]]*WarehouseData[[#This Row],[holding_cost_per_unit_day]]*30</f>
        <v>21384.000000000004</v>
      </c>
      <c r="AD2924" t="str">
        <f>IF(WarehouseData[[#This Row],[order_fulfillment_rate]]&gt;=0.9,"Strong",IF(WarehouseData[[#This Row],[order_fulfillment_rate]]&gt;=0.8,"Moderate","Needs Attention"))</f>
        <v>Strong</v>
      </c>
      <c r="AE2924" t="str">
        <f>IF(WarehouseData[[#This Row],[picking_time_seconds]]&gt;120,"Slow",IF(WarehouseData[[#This Row],[picking_time_seconds]]&gt;=60,"Average","Fast"))</f>
        <v>Slow</v>
      </c>
    </row>
    <row r="2925" spans="1:31" x14ac:dyDescent="0.25">
      <c r="A2925" t="s">
        <v>3063</v>
      </c>
      <c r="B2925" t="s">
        <v>73</v>
      </c>
      <c r="C2925">
        <v>265</v>
      </c>
      <c r="D2925">
        <v>44</v>
      </c>
      <c r="E2925">
        <v>4</v>
      </c>
      <c r="F2925">
        <v>3</v>
      </c>
      <c r="G2925">
        <v>25.54</v>
      </c>
      <c r="H2925">
        <v>3.03</v>
      </c>
      <c r="I2925">
        <v>0.61</v>
      </c>
      <c r="J2925" t="s">
        <v>33</v>
      </c>
      <c r="K2925" t="s">
        <v>46</v>
      </c>
      <c r="L2925">
        <v>55</v>
      </c>
      <c r="M2925">
        <v>1.81</v>
      </c>
      <c r="N2925">
        <v>165.36</v>
      </c>
      <c r="O2925">
        <v>1.75</v>
      </c>
      <c r="P2925">
        <v>3</v>
      </c>
      <c r="Q2925">
        <v>0.95</v>
      </c>
      <c r="R2925">
        <v>397</v>
      </c>
      <c r="S2925">
        <v>4.37</v>
      </c>
      <c r="T2925">
        <v>0.98</v>
      </c>
      <c r="U2925" s="1">
        <v>45405</v>
      </c>
      <c r="V2925">
        <v>23.75</v>
      </c>
      <c r="W2925">
        <v>0.60899999999999999</v>
      </c>
      <c r="X2925" t="str">
        <f>IF(WarehouseData[[#This Row],[stock_level]]&lt;=WarehouseData[[#This Row],[reorder_point]],"Low Stock","Sufficient Stock")</f>
        <v>Sufficient Stock</v>
      </c>
      <c r="Y2925">
        <f>WarehouseData[[#This Row],[daily_demand]]*WarehouseData[[#This Row],[lead_time_days]]</f>
        <v>76.62</v>
      </c>
      <c r="Z2925" t="str">
        <f>IF(WarehouseData[[#This Row],[stock_level]]&lt;=WarehouseData[[#This Row],[Demand During Lead Time]],"At Risk","Safe")</f>
        <v>Safe</v>
      </c>
      <c r="AA2925">
        <f>WarehouseData[[#This Row],[stock_level]]/WarehouseData[[#This Row],[daily_demand]]</f>
        <v>10.375880971025842</v>
      </c>
      <c r="AB2925">
        <f>WarehouseData[[#This Row],[stock_level]]*WarehouseData[[#This Row],[unit_price]]</f>
        <v>43820.4</v>
      </c>
      <c r="AC2925">
        <f>WarehouseData[[#This Row],[stock_level]]*WarehouseData[[#This Row],[holding_cost_per_unit_day]]*30</f>
        <v>13912.5</v>
      </c>
      <c r="AD2925" t="str">
        <f>IF(WarehouseData[[#This Row],[order_fulfillment_rate]]&gt;=0.9,"Strong",IF(WarehouseData[[#This Row],[order_fulfillment_rate]]&gt;=0.8,"Moderate","Needs Attention"))</f>
        <v>Strong</v>
      </c>
      <c r="AE2925" t="str">
        <f>IF(WarehouseData[[#This Row],[picking_time_seconds]]&gt;120,"Slow",IF(WarehouseData[[#This Row],[picking_time_seconds]]&gt;=60,"Average","Fast"))</f>
        <v>Fast</v>
      </c>
    </row>
    <row r="2926" spans="1:31" x14ac:dyDescent="0.25">
      <c r="A2926" t="s">
        <v>3064</v>
      </c>
      <c r="B2926" t="s">
        <v>32</v>
      </c>
      <c r="C2926">
        <v>227</v>
      </c>
      <c r="D2926">
        <v>58</v>
      </c>
      <c r="E2926">
        <v>6</v>
      </c>
      <c r="F2926">
        <v>6</v>
      </c>
      <c r="G2926">
        <v>12.35</v>
      </c>
      <c r="H2926">
        <v>6.11</v>
      </c>
      <c r="I2926">
        <v>0.95</v>
      </c>
      <c r="J2926" t="s">
        <v>223</v>
      </c>
      <c r="K2926" t="s">
        <v>52</v>
      </c>
      <c r="L2926">
        <v>93</v>
      </c>
      <c r="M2926">
        <v>1.53</v>
      </c>
      <c r="N2926">
        <v>23.19</v>
      </c>
      <c r="O2926">
        <v>1.66</v>
      </c>
      <c r="P2926">
        <v>3</v>
      </c>
      <c r="Q2926">
        <v>0.74</v>
      </c>
      <c r="R2926">
        <v>894</v>
      </c>
      <c r="S2926">
        <v>13.7</v>
      </c>
      <c r="T2926">
        <v>0.23</v>
      </c>
      <c r="U2926" s="1">
        <v>45481</v>
      </c>
      <c r="V2926">
        <v>190.94</v>
      </c>
      <c r="W2926">
        <v>0.55100000000000005</v>
      </c>
      <c r="X2926" t="str">
        <f>IF(WarehouseData[[#This Row],[stock_level]]&lt;=WarehouseData[[#This Row],[reorder_point]],"Low Stock","Sufficient Stock")</f>
        <v>Sufficient Stock</v>
      </c>
      <c r="Y2926">
        <f>WarehouseData[[#This Row],[daily_demand]]*WarehouseData[[#This Row],[lead_time_days]]</f>
        <v>74.099999999999994</v>
      </c>
      <c r="Z2926" t="str">
        <f>IF(WarehouseData[[#This Row],[stock_level]]&lt;=WarehouseData[[#This Row],[Demand During Lead Time]],"At Risk","Safe")</f>
        <v>Safe</v>
      </c>
      <c r="AA2926">
        <f>WarehouseData[[#This Row],[stock_level]]/WarehouseData[[#This Row],[daily_demand]]</f>
        <v>18.380566801619434</v>
      </c>
      <c r="AB2926">
        <f>WarehouseData[[#This Row],[stock_level]]*WarehouseData[[#This Row],[unit_price]]</f>
        <v>5264.13</v>
      </c>
      <c r="AC2926">
        <f>WarehouseData[[#This Row],[stock_level]]*WarehouseData[[#This Row],[holding_cost_per_unit_day]]*30</f>
        <v>11304.6</v>
      </c>
      <c r="AD2926" t="str">
        <f>IF(WarehouseData[[#This Row],[order_fulfillment_rate]]&gt;=0.9,"Strong",IF(WarehouseData[[#This Row],[order_fulfillment_rate]]&gt;=0.8,"Moderate","Needs Attention"))</f>
        <v>Needs Attention</v>
      </c>
      <c r="AE2926" t="str">
        <f>IF(WarehouseData[[#This Row],[picking_time_seconds]]&gt;120,"Slow",IF(WarehouseData[[#This Row],[picking_time_seconds]]&gt;=60,"Average","Fast"))</f>
        <v>Average</v>
      </c>
    </row>
    <row r="2927" spans="1:31" x14ac:dyDescent="0.25">
      <c r="A2927" t="s">
        <v>3065</v>
      </c>
      <c r="B2927" t="s">
        <v>40</v>
      </c>
      <c r="C2927">
        <v>256</v>
      </c>
      <c r="D2927">
        <v>55</v>
      </c>
      <c r="E2927">
        <v>10</v>
      </c>
      <c r="F2927">
        <v>7</v>
      </c>
      <c r="G2927">
        <v>27.55</v>
      </c>
      <c r="H2927">
        <v>1.94</v>
      </c>
      <c r="I2927">
        <v>0.37</v>
      </c>
      <c r="J2927" t="s">
        <v>68</v>
      </c>
      <c r="K2927" t="s">
        <v>46</v>
      </c>
      <c r="L2927">
        <v>35</v>
      </c>
      <c r="M2927">
        <v>1.1399999999999999</v>
      </c>
      <c r="N2927">
        <v>62.33</v>
      </c>
      <c r="O2927">
        <v>0.95</v>
      </c>
      <c r="P2927">
        <v>4</v>
      </c>
      <c r="Q2927">
        <v>0.72</v>
      </c>
      <c r="R2927">
        <v>667</v>
      </c>
      <c r="S2927">
        <v>5.16</v>
      </c>
      <c r="T2927">
        <v>0.42</v>
      </c>
      <c r="U2927" s="1">
        <v>45332</v>
      </c>
      <c r="V2927">
        <v>147.5</v>
      </c>
      <c r="W2927">
        <v>0.52200000000000002</v>
      </c>
      <c r="X2927" t="str">
        <f>IF(WarehouseData[[#This Row],[stock_level]]&lt;=WarehouseData[[#This Row],[reorder_point]],"Low Stock","Sufficient Stock")</f>
        <v>Sufficient Stock</v>
      </c>
      <c r="Y2927">
        <f>WarehouseData[[#This Row],[daily_demand]]*WarehouseData[[#This Row],[lead_time_days]]</f>
        <v>192.85</v>
      </c>
      <c r="Z2927" t="str">
        <f>IF(WarehouseData[[#This Row],[stock_level]]&lt;=WarehouseData[[#This Row],[Demand During Lead Time]],"At Risk","Safe")</f>
        <v>Safe</v>
      </c>
      <c r="AA2927">
        <f>WarehouseData[[#This Row],[stock_level]]/WarehouseData[[#This Row],[daily_demand]]</f>
        <v>9.2921960072595287</v>
      </c>
      <c r="AB2927">
        <f>WarehouseData[[#This Row],[stock_level]]*WarehouseData[[#This Row],[unit_price]]</f>
        <v>15956.48</v>
      </c>
      <c r="AC2927">
        <f>WarehouseData[[#This Row],[stock_level]]*WarehouseData[[#This Row],[holding_cost_per_unit_day]]*30</f>
        <v>7296</v>
      </c>
      <c r="AD2927" t="str">
        <f>IF(WarehouseData[[#This Row],[order_fulfillment_rate]]&gt;=0.9,"Strong",IF(WarehouseData[[#This Row],[order_fulfillment_rate]]&gt;=0.8,"Moderate","Needs Attention"))</f>
        <v>Needs Attention</v>
      </c>
      <c r="AE2927" t="str">
        <f>IF(WarehouseData[[#This Row],[picking_time_seconds]]&gt;120,"Slow",IF(WarehouseData[[#This Row],[picking_time_seconds]]&gt;=60,"Average","Fast"))</f>
        <v>Fast</v>
      </c>
    </row>
    <row r="2928" spans="1:31" x14ac:dyDescent="0.25">
      <c r="A2928" t="s">
        <v>3066</v>
      </c>
      <c r="B2928" t="s">
        <v>32</v>
      </c>
      <c r="C2928">
        <v>41</v>
      </c>
      <c r="D2928">
        <v>47</v>
      </c>
      <c r="E2928">
        <v>7</v>
      </c>
      <c r="F2928">
        <v>9</v>
      </c>
      <c r="G2928">
        <v>11.77</v>
      </c>
      <c r="H2928">
        <v>2.84</v>
      </c>
      <c r="I2928">
        <v>0.37</v>
      </c>
      <c r="J2928" t="s">
        <v>259</v>
      </c>
      <c r="K2928" t="s">
        <v>52</v>
      </c>
      <c r="L2928">
        <v>105</v>
      </c>
      <c r="M2928">
        <v>2.0699999999999998</v>
      </c>
      <c r="N2928">
        <v>124.56</v>
      </c>
      <c r="O2928">
        <v>0.69</v>
      </c>
      <c r="P2928">
        <v>7</v>
      </c>
      <c r="Q2928">
        <v>0.86</v>
      </c>
      <c r="R2928">
        <v>546</v>
      </c>
      <c r="S2928">
        <v>10.25</v>
      </c>
      <c r="T2928">
        <v>0.72</v>
      </c>
      <c r="U2928" s="1">
        <v>45603</v>
      </c>
      <c r="V2928">
        <v>110.04</v>
      </c>
      <c r="W2928">
        <v>0.64400000000000002</v>
      </c>
      <c r="X2928" t="str">
        <f>IF(WarehouseData[[#This Row],[stock_level]]&lt;=WarehouseData[[#This Row],[reorder_point]],"Low Stock","Sufficient Stock")</f>
        <v>Low Stock</v>
      </c>
      <c r="Y2928">
        <f>WarehouseData[[#This Row],[daily_demand]]*WarehouseData[[#This Row],[lead_time_days]]</f>
        <v>105.92999999999999</v>
      </c>
      <c r="Z2928" t="str">
        <f>IF(WarehouseData[[#This Row],[stock_level]]&lt;=WarehouseData[[#This Row],[Demand During Lead Time]],"At Risk","Safe")</f>
        <v>At Risk</v>
      </c>
      <c r="AA2928">
        <f>WarehouseData[[#This Row],[stock_level]]/WarehouseData[[#This Row],[daily_demand]]</f>
        <v>3.4834324553950724</v>
      </c>
      <c r="AB2928">
        <f>WarehouseData[[#This Row],[stock_level]]*WarehouseData[[#This Row],[unit_price]]</f>
        <v>5106.96</v>
      </c>
      <c r="AC2928">
        <f>WarehouseData[[#This Row],[stock_level]]*WarehouseData[[#This Row],[holding_cost_per_unit_day]]*30</f>
        <v>848.69999999999993</v>
      </c>
      <c r="AD2928" t="str">
        <f>IF(WarehouseData[[#This Row],[order_fulfillment_rate]]&gt;=0.9,"Strong",IF(WarehouseData[[#This Row],[order_fulfillment_rate]]&gt;=0.8,"Moderate","Needs Attention"))</f>
        <v>Moderate</v>
      </c>
      <c r="AE2928" t="str">
        <f>IF(WarehouseData[[#This Row],[picking_time_seconds]]&gt;120,"Slow",IF(WarehouseData[[#This Row],[picking_time_seconds]]&gt;=60,"Average","Fast"))</f>
        <v>Average</v>
      </c>
    </row>
    <row r="2929" spans="1:31" x14ac:dyDescent="0.25">
      <c r="A2929" t="s">
        <v>3067</v>
      </c>
      <c r="B2929" t="s">
        <v>36</v>
      </c>
      <c r="C2929">
        <v>204</v>
      </c>
      <c r="D2929">
        <v>17</v>
      </c>
      <c r="E2929">
        <v>3</v>
      </c>
      <c r="F2929">
        <v>8</v>
      </c>
      <c r="G2929">
        <v>32.85</v>
      </c>
      <c r="H2929">
        <v>3.29</v>
      </c>
      <c r="I2929">
        <v>0.53</v>
      </c>
      <c r="J2929" t="s">
        <v>212</v>
      </c>
      <c r="K2929" t="s">
        <v>46</v>
      </c>
      <c r="L2929">
        <v>22</v>
      </c>
      <c r="M2929">
        <v>4.68</v>
      </c>
      <c r="N2929">
        <v>48.99</v>
      </c>
      <c r="O2929">
        <v>1.05</v>
      </c>
      <c r="P2929">
        <v>4</v>
      </c>
      <c r="Q2929">
        <v>0.79</v>
      </c>
      <c r="R2929">
        <v>745</v>
      </c>
      <c r="S2929">
        <v>13.25</v>
      </c>
      <c r="T2929">
        <v>0.86</v>
      </c>
      <c r="U2929" s="1">
        <v>45311</v>
      </c>
      <c r="V2929">
        <v>213.84</v>
      </c>
      <c r="W2929">
        <v>0.72199999999999998</v>
      </c>
      <c r="X2929" t="str">
        <f>IF(WarehouseData[[#This Row],[stock_level]]&lt;=WarehouseData[[#This Row],[reorder_point]],"Low Stock","Sufficient Stock")</f>
        <v>Sufficient Stock</v>
      </c>
      <c r="Y2929">
        <f>WarehouseData[[#This Row],[daily_demand]]*WarehouseData[[#This Row],[lead_time_days]]</f>
        <v>262.8</v>
      </c>
      <c r="Z2929" t="str">
        <f>IF(WarehouseData[[#This Row],[stock_level]]&lt;=WarehouseData[[#This Row],[Demand During Lead Time]],"At Risk","Safe")</f>
        <v>At Risk</v>
      </c>
      <c r="AA2929">
        <f>WarehouseData[[#This Row],[stock_level]]/WarehouseData[[#This Row],[daily_demand]]</f>
        <v>6.2100456621004563</v>
      </c>
      <c r="AB2929">
        <f>WarehouseData[[#This Row],[stock_level]]*WarehouseData[[#This Row],[unit_price]]</f>
        <v>9993.9600000000009</v>
      </c>
      <c r="AC2929">
        <f>WarehouseData[[#This Row],[stock_level]]*WarehouseData[[#This Row],[holding_cost_per_unit_day]]*30</f>
        <v>6426.0000000000009</v>
      </c>
      <c r="AD2929" t="str">
        <f>IF(WarehouseData[[#This Row],[order_fulfillment_rate]]&gt;=0.9,"Strong",IF(WarehouseData[[#This Row],[order_fulfillment_rate]]&gt;=0.8,"Moderate","Needs Attention"))</f>
        <v>Needs Attention</v>
      </c>
      <c r="AE2929" t="str">
        <f>IF(WarehouseData[[#This Row],[picking_time_seconds]]&gt;120,"Slow",IF(WarehouseData[[#This Row],[picking_time_seconds]]&gt;=60,"Average","Fast"))</f>
        <v>Fast</v>
      </c>
    </row>
    <row r="2930" spans="1:31" x14ac:dyDescent="0.25">
      <c r="A2930" t="s">
        <v>3068</v>
      </c>
      <c r="B2930" t="s">
        <v>36</v>
      </c>
      <c r="C2930">
        <v>487</v>
      </c>
      <c r="D2930">
        <v>63</v>
      </c>
      <c r="E2930">
        <v>9</v>
      </c>
      <c r="F2930">
        <v>6</v>
      </c>
      <c r="G2930">
        <v>45.31</v>
      </c>
      <c r="H2930">
        <v>6.28</v>
      </c>
      <c r="I2930">
        <v>0.93</v>
      </c>
      <c r="J2930" t="s">
        <v>64</v>
      </c>
      <c r="K2930" t="s">
        <v>38</v>
      </c>
      <c r="L2930">
        <v>134</v>
      </c>
      <c r="M2930">
        <v>0.64</v>
      </c>
      <c r="N2930">
        <v>137.82</v>
      </c>
      <c r="O2930">
        <v>1.1200000000000001</v>
      </c>
      <c r="P2930">
        <v>3</v>
      </c>
      <c r="Q2930">
        <v>0.78</v>
      </c>
      <c r="R2930">
        <v>899</v>
      </c>
      <c r="S2930">
        <v>9.73</v>
      </c>
      <c r="T2930">
        <v>0.69</v>
      </c>
      <c r="U2930" s="1">
        <v>45488</v>
      </c>
      <c r="V2930">
        <v>207.82</v>
      </c>
      <c r="W2930">
        <v>0.65200000000000002</v>
      </c>
      <c r="X2930" t="str">
        <f>IF(WarehouseData[[#This Row],[stock_level]]&lt;=WarehouseData[[#This Row],[reorder_point]],"Low Stock","Sufficient Stock")</f>
        <v>Sufficient Stock</v>
      </c>
      <c r="Y2930">
        <f>WarehouseData[[#This Row],[daily_demand]]*WarehouseData[[#This Row],[lead_time_days]]</f>
        <v>271.86</v>
      </c>
      <c r="Z2930" t="str">
        <f>IF(WarehouseData[[#This Row],[stock_level]]&lt;=WarehouseData[[#This Row],[Demand During Lead Time]],"At Risk","Safe")</f>
        <v>Safe</v>
      </c>
      <c r="AA2930">
        <f>WarehouseData[[#This Row],[stock_level]]/WarehouseData[[#This Row],[daily_demand]]</f>
        <v>10.748179209887441</v>
      </c>
      <c r="AB2930">
        <f>WarehouseData[[#This Row],[stock_level]]*WarehouseData[[#This Row],[unit_price]]</f>
        <v>67118.34</v>
      </c>
      <c r="AC2930">
        <f>WarehouseData[[#This Row],[stock_level]]*WarehouseData[[#This Row],[holding_cost_per_unit_day]]*30</f>
        <v>16363.2</v>
      </c>
      <c r="AD2930" t="str">
        <f>IF(WarehouseData[[#This Row],[order_fulfillment_rate]]&gt;=0.9,"Strong",IF(WarehouseData[[#This Row],[order_fulfillment_rate]]&gt;=0.8,"Moderate","Needs Attention"))</f>
        <v>Needs Attention</v>
      </c>
      <c r="AE2930" t="str">
        <f>IF(WarehouseData[[#This Row],[picking_time_seconds]]&gt;120,"Slow",IF(WarehouseData[[#This Row],[picking_time_seconds]]&gt;=60,"Average","Fast"))</f>
        <v>Slow</v>
      </c>
    </row>
    <row r="2931" spans="1:31" x14ac:dyDescent="0.25">
      <c r="A2931" t="s">
        <v>3069</v>
      </c>
      <c r="B2931" t="s">
        <v>36</v>
      </c>
      <c r="C2931">
        <v>261</v>
      </c>
      <c r="D2931">
        <v>46</v>
      </c>
      <c r="E2931">
        <v>3</v>
      </c>
      <c r="F2931">
        <v>5</v>
      </c>
      <c r="G2931">
        <v>5.19</v>
      </c>
      <c r="H2931">
        <v>4.05</v>
      </c>
      <c r="I2931">
        <v>0.48</v>
      </c>
      <c r="J2931" t="s">
        <v>223</v>
      </c>
      <c r="K2931" t="s">
        <v>38</v>
      </c>
      <c r="L2931">
        <v>78</v>
      </c>
      <c r="M2931">
        <v>4.33</v>
      </c>
      <c r="N2931">
        <v>35.99</v>
      </c>
      <c r="O2931">
        <v>0.7</v>
      </c>
      <c r="P2931">
        <v>7</v>
      </c>
      <c r="Q2931">
        <v>0.73</v>
      </c>
      <c r="R2931">
        <v>560</v>
      </c>
      <c r="S2931">
        <v>12.29</v>
      </c>
      <c r="T2931">
        <v>0.98</v>
      </c>
      <c r="U2931" s="1">
        <v>45497</v>
      </c>
      <c r="V2931">
        <v>105.09</v>
      </c>
      <c r="W2931">
        <v>0.69599999999999995</v>
      </c>
      <c r="X2931" t="str">
        <f>IF(WarehouseData[[#This Row],[stock_level]]&lt;=WarehouseData[[#This Row],[reorder_point]],"Low Stock","Sufficient Stock")</f>
        <v>Sufficient Stock</v>
      </c>
      <c r="Y2931">
        <f>WarehouseData[[#This Row],[daily_demand]]*WarehouseData[[#This Row],[lead_time_days]]</f>
        <v>25.950000000000003</v>
      </c>
      <c r="Z2931" t="str">
        <f>IF(WarehouseData[[#This Row],[stock_level]]&lt;=WarehouseData[[#This Row],[Demand During Lead Time]],"At Risk","Safe")</f>
        <v>Safe</v>
      </c>
      <c r="AA2931">
        <f>WarehouseData[[#This Row],[stock_level]]/WarehouseData[[#This Row],[daily_demand]]</f>
        <v>50.289017341040456</v>
      </c>
      <c r="AB2931">
        <f>WarehouseData[[#This Row],[stock_level]]*WarehouseData[[#This Row],[unit_price]]</f>
        <v>9393.3900000000012</v>
      </c>
      <c r="AC2931">
        <f>WarehouseData[[#This Row],[stock_level]]*WarehouseData[[#This Row],[holding_cost_per_unit_day]]*30</f>
        <v>5481</v>
      </c>
      <c r="AD2931" t="str">
        <f>IF(WarehouseData[[#This Row],[order_fulfillment_rate]]&gt;=0.9,"Strong",IF(WarehouseData[[#This Row],[order_fulfillment_rate]]&gt;=0.8,"Moderate","Needs Attention"))</f>
        <v>Needs Attention</v>
      </c>
      <c r="AE2931" t="str">
        <f>IF(WarehouseData[[#This Row],[picking_time_seconds]]&gt;120,"Slow",IF(WarehouseData[[#This Row],[picking_time_seconds]]&gt;=60,"Average","Fast"))</f>
        <v>Average</v>
      </c>
    </row>
    <row r="2932" spans="1:31" x14ac:dyDescent="0.25">
      <c r="A2932" t="s">
        <v>3070</v>
      </c>
      <c r="B2932" t="s">
        <v>32</v>
      </c>
      <c r="C2932">
        <v>382</v>
      </c>
      <c r="D2932">
        <v>49</v>
      </c>
      <c r="E2932">
        <v>11</v>
      </c>
      <c r="F2932">
        <v>6</v>
      </c>
      <c r="G2932">
        <v>11.61</v>
      </c>
      <c r="H2932">
        <v>5.3</v>
      </c>
      <c r="I2932">
        <v>0.3</v>
      </c>
      <c r="J2932" t="s">
        <v>183</v>
      </c>
      <c r="K2932" t="s">
        <v>34</v>
      </c>
      <c r="L2932">
        <v>60</v>
      </c>
      <c r="M2932">
        <v>2.29</v>
      </c>
      <c r="N2932">
        <v>14.33</v>
      </c>
      <c r="O2932">
        <v>1.1299999999999999</v>
      </c>
      <c r="P2932">
        <v>4</v>
      </c>
      <c r="Q2932">
        <v>0.99</v>
      </c>
      <c r="R2932">
        <v>568</v>
      </c>
      <c r="S2932">
        <v>13.98</v>
      </c>
      <c r="T2932">
        <v>0.47</v>
      </c>
      <c r="U2932" s="1">
        <v>45606</v>
      </c>
      <c r="V2932">
        <v>215.73</v>
      </c>
      <c r="W2932">
        <v>0.68500000000000005</v>
      </c>
      <c r="X2932" t="str">
        <f>IF(WarehouseData[[#This Row],[stock_level]]&lt;=WarehouseData[[#This Row],[reorder_point]],"Low Stock","Sufficient Stock")</f>
        <v>Sufficient Stock</v>
      </c>
      <c r="Y2932">
        <f>WarehouseData[[#This Row],[daily_demand]]*WarehouseData[[#This Row],[lead_time_days]]</f>
        <v>69.66</v>
      </c>
      <c r="Z2932" t="str">
        <f>IF(WarehouseData[[#This Row],[stock_level]]&lt;=WarehouseData[[#This Row],[Demand During Lead Time]],"At Risk","Safe")</f>
        <v>Safe</v>
      </c>
      <c r="AA2932">
        <f>WarehouseData[[#This Row],[stock_level]]/WarehouseData[[#This Row],[daily_demand]]</f>
        <v>32.902670111972441</v>
      </c>
      <c r="AB2932">
        <f>WarehouseData[[#This Row],[stock_level]]*WarehouseData[[#This Row],[unit_price]]</f>
        <v>5474.06</v>
      </c>
      <c r="AC2932">
        <f>WarehouseData[[#This Row],[stock_level]]*WarehouseData[[#This Row],[holding_cost_per_unit_day]]*30</f>
        <v>12949.8</v>
      </c>
      <c r="AD2932" t="str">
        <f>IF(WarehouseData[[#This Row],[order_fulfillment_rate]]&gt;=0.9,"Strong",IF(WarehouseData[[#This Row],[order_fulfillment_rate]]&gt;=0.8,"Moderate","Needs Attention"))</f>
        <v>Strong</v>
      </c>
      <c r="AE2932" t="str">
        <f>IF(WarehouseData[[#This Row],[picking_time_seconds]]&gt;120,"Slow",IF(WarehouseData[[#This Row],[picking_time_seconds]]&gt;=60,"Average","Fast"))</f>
        <v>Average</v>
      </c>
    </row>
    <row r="2933" spans="1:31" x14ac:dyDescent="0.25">
      <c r="A2933" t="s">
        <v>3071</v>
      </c>
      <c r="B2933" t="s">
        <v>36</v>
      </c>
      <c r="C2933">
        <v>302</v>
      </c>
      <c r="D2933">
        <v>43</v>
      </c>
      <c r="E2933">
        <v>5</v>
      </c>
      <c r="F2933">
        <v>6</v>
      </c>
      <c r="G2933">
        <v>42.38</v>
      </c>
      <c r="H2933">
        <v>6.68</v>
      </c>
      <c r="I2933">
        <v>0.25</v>
      </c>
      <c r="J2933" t="s">
        <v>122</v>
      </c>
      <c r="K2933" t="s">
        <v>34</v>
      </c>
      <c r="L2933">
        <v>22</v>
      </c>
      <c r="M2933">
        <v>3.03</v>
      </c>
      <c r="N2933">
        <v>174.06</v>
      </c>
      <c r="O2933">
        <v>0.3</v>
      </c>
      <c r="P2933">
        <v>7</v>
      </c>
      <c r="Q2933">
        <v>0.95</v>
      </c>
      <c r="R2933">
        <v>501</v>
      </c>
      <c r="S2933">
        <v>14.54</v>
      </c>
      <c r="T2933">
        <v>0.57999999999999996</v>
      </c>
      <c r="U2933" s="1">
        <v>45627</v>
      </c>
      <c r="V2933">
        <v>110.98</v>
      </c>
      <c r="W2933">
        <v>0.73</v>
      </c>
      <c r="X2933" t="str">
        <f>IF(WarehouseData[[#This Row],[stock_level]]&lt;=WarehouseData[[#This Row],[reorder_point]],"Low Stock","Sufficient Stock")</f>
        <v>Sufficient Stock</v>
      </c>
      <c r="Y2933">
        <f>WarehouseData[[#This Row],[daily_demand]]*WarehouseData[[#This Row],[lead_time_days]]</f>
        <v>254.28000000000003</v>
      </c>
      <c r="Z2933" t="str">
        <f>IF(WarehouseData[[#This Row],[stock_level]]&lt;=WarehouseData[[#This Row],[Demand During Lead Time]],"At Risk","Safe")</f>
        <v>Safe</v>
      </c>
      <c r="AA2933">
        <f>WarehouseData[[#This Row],[stock_level]]/WarehouseData[[#This Row],[daily_demand]]</f>
        <v>7.1260028315243034</v>
      </c>
      <c r="AB2933">
        <f>WarehouseData[[#This Row],[stock_level]]*WarehouseData[[#This Row],[unit_price]]</f>
        <v>52566.12</v>
      </c>
      <c r="AC2933">
        <f>WarehouseData[[#This Row],[stock_level]]*WarehouseData[[#This Row],[holding_cost_per_unit_day]]*30</f>
        <v>2718</v>
      </c>
      <c r="AD2933" t="str">
        <f>IF(WarehouseData[[#This Row],[order_fulfillment_rate]]&gt;=0.9,"Strong",IF(WarehouseData[[#This Row],[order_fulfillment_rate]]&gt;=0.8,"Moderate","Needs Attention"))</f>
        <v>Strong</v>
      </c>
      <c r="AE2933" t="str">
        <f>IF(WarehouseData[[#This Row],[picking_time_seconds]]&gt;120,"Slow",IF(WarehouseData[[#This Row],[picking_time_seconds]]&gt;=60,"Average","Fast"))</f>
        <v>Fast</v>
      </c>
    </row>
    <row r="2934" spans="1:31" x14ac:dyDescent="0.25">
      <c r="A2934" t="s">
        <v>3072</v>
      </c>
      <c r="B2934" t="s">
        <v>73</v>
      </c>
      <c r="C2934">
        <v>60</v>
      </c>
      <c r="D2934">
        <v>88</v>
      </c>
      <c r="E2934">
        <v>14</v>
      </c>
      <c r="F2934">
        <v>5</v>
      </c>
      <c r="G2934">
        <v>31.95</v>
      </c>
      <c r="H2934">
        <v>9.58</v>
      </c>
      <c r="I2934">
        <v>0.51</v>
      </c>
      <c r="J2934" t="s">
        <v>447</v>
      </c>
      <c r="K2934" t="s">
        <v>52</v>
      </c>
      <c r="L2934">
        <v>178</v>
      </c>
      <c r="M2934">
        <v>2.81</v>
      </c>
      <c r="N2934">
        <v>73.349999999999994</v>
      </c>
      <c r="O2934">
        <v>0.54</v>
      </c>
      <c r="P2934">
        <v>0</v>
      </c>
      <c r="Q2934">
        <v>0.73</v>
      </c>
      <c r="R2934">
        <v>592</v>
      </c>
      <c r="S2934">
        <v>6.75</v>
      </c>
      <c r="T2934">
        <v>0.86</v>
      </c>
      <c r="U2934" s="1">
        <v>45558</v>
      </c>
      <c r="V2934">
        <v>74.38</v>
      </c>
      <c r="W2934">
        <v>0.754</v>
      </c>
      <c r="X2934" t="str">
        <f>IF(WarehouseData[[#This Row],[stock_level]]&lt;=WarehouseData[[#This Row],[reorder_point]],"Low Stock","Sufficient Stock")</f>
        <v>Low Stock</v>
      </c>
      <c r="Y2934">
        <f>WarehouseData[[#This Row],[daily_demand]]*WarehouseData[[#This Row],[lead_time_days]]</f>
        <v>159.75</v>
      </c>
      <c r="Z2934" t="str">
        <f>IF(WarehouseData[[#This Row],[stock_level]]&lt;=WarehouseData[[#This Row],[Demand During Lead Time]],"At Risk","Safe")</f>
        <v>At Risk</v>
      </c>
      <c r="AA2934">
        <f>WarehouseData[[#This Row],[stock_level]]/WarehouseData[[#This Row],[daily_demand]]</f>
        <v>1.8779342723004695</v>
      </c>
      <c r="AB2934">
        <f>WarehouseData[[#This Row],[stock_level]]*WarehouseData[[#This Row],[unit_price]]</f>
        <v>4401</v>
      </c>
      <c r="AC2934">
        <f>WarehouseData[[#This Row],[stock_level]]*WarehouseData[[#This Row],[holding_cost_per_unit_day]]*30</f>
        <v>972.00000000000023</v>
      </c>
      <c r="AD2934" t="str">
        <f>IF(WarehouseData[[#This Row],[order_fulfillment_rate]]&gt;=0.9,"Strong",IF(WarehouseData[[#This Row],[order_fulfillment_rate]]&gt;=0.8,"Moderate","Needs Attention"))</f>
        <v>Needs Attention</v>
      </c>
      <c r="AE2934" t="str">
        <f>IF(WarehouseData[[#This Row],[picking_time_seconds]]&gt;120,"Slow",IF(WarehouseData[[#This Row],[picking_time_seconds]]&gt;=60,"Average","Fast"))</f>
        <v>Slow</v>
      </c>
    </row>
    <row r="2935" spans="1:31" x14ac:dyDescent="0.25">
      <c r="A2935" t="s">
        <v>3073</v>
      </c>
      <c r="B2935" t="s">
        <v>36</v>
      </c>
      <c r="C2935">
        <v>355</v>
      </c>
      <c r="D2935">
        <v>26</v>
      </c>
      <c r="E2935">
        <v>5</v>
      </c>
      <c r="F2935">
        <v>7</v>
      </c>
      <c r="G2935">
        <v>4.8600000000000003</v>
      </c>
      <c r="H2935">
        <v>7.77</v>
      </c>
      <c r="I2935">
        <v>0.82</v>
      </c>
      <c r="J2935" t="s">
        <v>54</v>
      </c>
      <c r="K2935" t="s">
        <v>52</v>
      </c>
      <c r="L2935">
        <v>148</v>
      </c>
      <c r="M2935">
        <v>4.67</v>
      </c>
      <c r="N2935">
        <v>39.799999999999997</v>
      </c>
      <c r="O2935">
        <v>1.52</v>
      </c>
      <c r="P2935">
        <v>2</v>
      </c>
      <c r="Q2935">
        <v>0.96</v>
      </c>
      <c r="R2935">
        <v>265</v>
      </c>
      <c r="S2935">
        <v>14.9</v>
      </c>
      <c r="T2935">
        <v>0.75</v>
      </c>
      <c r="U2935" s="1">
        <v>45438</v>
      </c>
      <c r="V2935">
        <v>218.75</v>
      </c>
      <c r="W2935">
        <v>0.749</v>
      </c>
      <c r="X2935" t="str">
        <f>IF(WarehouseData[[#This Row],[stock_level]]&lt;=WarehouseData[[#This Row],[reorder_point]],"Low Stock","Sufficient Stock")</f>
        <v>Sufficient Stock</v>
      </c>
      <c r="Y2935">
        <f>WarehouseData[[#This Row],[daily_demand]]*WarehouseData[[#This Row],[lead_time_days]]</f>
        <v>34.020000000000003</v>
      </c>
      <c r="Z2935" t="str">
        <f>IF(WarehouseData[[#This Row],[stock_level]]&lt;=WarehouseData[[#This Row],[Demand During Lead Time]],"At Risk","Safe")</f>
        <v>Safe</v>
      </c>
      <c r="AA2935">
        <f>WarehouseData[[#This Row],[stock_level]]/WarehouseData[[#This Row],[daily_demand]]</f>
        <v>73.045267489711932</v>
      </c>
      <c r="AB2935">
        <f>WarehouseData[[#This Row],[stock_level]]*WarehouseData[[#This Row],[unit_price]]</f>
        <v>14128.999999999998</v>
      </c>
      <c r="AC2935">
        <f>WarehouseData[[#This Row],[stock_level]]*WarehouseData[[#This Row],[holding_cost_per_unit_day]]*30</f>
        <v>16188</v>
      </c>
      <c r="AD2935" t="str">
        <f>IF(WarehouseData[[#This Row],[order_fulfillment_rate]]&gt;=0.9,"Strong",IF(WarehouseData[[#This Row],[order_fulfillment_rate]]&gt;=0.8,"Moderate","Needs Attention"))</f>
        <v>Strong</v>
      </c>
      <c r="AE2935" t="str">
        <f>IF(WarehouseData[[#This Row],[picking_time_seconds]]&gt;120,"Slow",IF(WarehouseData[[#This Row],[picking_time_seconds]]&gt;=60,"Average","Fast"))</f>
        <v>Slow</v>
      </c>
    </row>
    <row r="2936" spans="1:31" x14ac:dyDescent="0.25">
      <c r="A2936" t="s">
        <v>3074</v>
      </c>
      <c r="B2936" t="s">
        <v>48</v>
      </c>
      <c r="C2936">
        <v>181</v>
      </c>
      <c r="D2936">
        <v>42</v>
      </c>
      <c r="E2936">
        <v>8</v>
      </c>
      <c r="F2936">
        <v>9</v>
      </c>
      <c r="G2936">
        <v>24.83</v>
      </c>
      <c r="H2936">
        <v>4.3499999999999996</v>
      </c>
      <c r="I2936">
        <v>0.36</v>
      </c>
      <c r="J2936" t="s">
        <v>466</v>
      </c>
      <c r="K2936" t="s">
        <v>34</v>
      </c>
      <c r="L2936">
        <v>174</v>
      </c>
      <c r="M2936">
        <v>3.97</v>
      </c>
      <c r="N2936">
        <v>42.81</v>
      </c>
      <c r="O2936">
        <v>0.45</v>
      </c>
      <c r="P2936">
        <v>6</v>
      </c>
      <c r="Q2936">
        <v>0.9</v>
      </c>
      <c r="R2936">
        <v>519</v>
      </c>
      <c r="S2936">
        <v>4.8</v>
      </c>
      <c r="T2936">
        <v>0.37</v>
      </c>
      <c r="U2936" s="1">
        <v>45656</v>
      </c>
      <c r="V2936">
        <v>221.13</v>
      </c>
      <c r="W2936">
        <v>0.55300000000000005</v>
      </c>
      <c r="X2936" t="str">
        <f>IF(WarehouseData[[#This Row],[stock_level]]&lt;=WarehouseData[[#This Row],[reorder_point]],"Low Stock","Sufficient Stock")</f>
        <v>Sufficient Stock</v>
      </c>
      <c r="Y2936">
        <f>WarehouseData[[#This Row],[daily_demand]]*WarehouseData[[#This Row],[lead_time_days]]</f>
        <v>223.46999999999997</v>
      </c>
      <c r="Z2936" t="str">
        <f>IF(WarehouseData[[#This Row],[stock_level]]&lt;=WarehouseData[[#This Row],[Demand During Lead Time]],"At Risk","Safe")</f>
        <v>At Risk</v>
      </c>
      <c r="AA2936">
        <f>WarehouseData[[#This Row],[stock_level]]/WarehouseData[[#This Row],[daily_demand]]</f>
        <v>7.2895690696737825</v>
      </c>
      <c r="AB2936">
        <f>WarehouseData[[#This Row],[stock_level]]*WarehouseData[[#This Row],[unit_price]]</f>
        <v>7748.6100000000006</v>
      </c>
      <c r="AC2936">
        <f>WarehouseData[[#This Row],[stock_level]]*WarehouseData[[#This Row],[holding_cost_per_unit_day]]*30</f>
        <v>2443.5</v>
      </c>
      <c r="AD2936" t="str">
        <f>IF(WarehouseData[[#This Row],[order_fulfillment_rate]]&gt;=0.9,"Strong",IF(WarehouseData[[#This Row],[order_fulfillment_rate]]&gt;=0.8,"Moderate","Needs Attention"))</f>
        <v>Strong</v>
      </c>
      <c r="AE2936" t="str">
        <f>IF(WarehouseData[[#This Row],[picking_time_seconds]]&gt;120,"Slow",IF(WarehouseData[[#This Row],[picking_time_seconds]]&gt;=60,"Average","Fast"))</f>
        <v>Slow</v>
      </c>
    </row>
    <row r="2937" spans="1:31" x14ac:dyDescent="0.25">
      <c r="A2937" t="s">
        <v>3075</v>
      </c>
      <c r="B2937" t="s">
        <v>32</v>
      </c>
      <c r="C2937">
        <v>179</v>
      </c>
      <c r="D2937">
        <v>56</v>
      </c>
      <c r="E2937">
        <v>12</v>
      </c>
      <c r="F2937">
        <v>5</v>
      </c>
      <c r="G2937">
        <v>11.28</v>
      </c>
      <c r="H2937">
        <v>7.61</v>
      </c>
      <c r="I2937">
        <v>0.56000000000000005</v>
      </c>
      <c r="J2937" t="s">
        <v>212</v>
      </c>
      <c r="K2937" t="s">
        <v>52</v>
      </c>
      <c r="L2937">
        <v>69</v>
      </c>
      <c r="M2937">
        <v>4.93</v>
      </c>
      <c r="N2937">
        <v>178.32</v>
      </c>
      <c r="O2937">
        <v>0.36</v>
      </c>
      <c r="P2937">
        <v>0</v>
      </c>
      <c r="Q2937">
        <v>0.8</v>
      </c>
      <c r="R2937">
        <v>902</v>
      </c>
      <c r="S2937">
        <v>7.47</v>
      </c>
      <c r="T2937">
        <v>0.6</v>
      </c>
      <c r="U2937" s="1">
        <v>45597</v>
      </c>
      <c r="V2937">
        <v>261.07</v>
      </c>
      <c r="W2937">
        <v>0.74399999999999999</v>
      </c>
      <c r="X2937" t="str">
        <f>IF(WarehouseData[[#This Row],[stock_level]]&lt;=WarehouseData[[#This Row],[reorder_point]],"Low Stock","Sufficient Stock")</f>
        <v>Sufficient Stock</v>
      </c>
      <c r="Y2937">
        <f>WarehouseData[[#This Row],[daily_demand]]*WarehouseData[[#This Row],[lead_time_days]]</f>
        <v>56.4</v>
      </c>
      <c r="Z2937" t="str">
        <f>IF(WarehouseData[[#This Row],[stock_level]]&lt;=WarehouseData[[#This Row],[Demand During Lead Time]],"At Risk","Safe")</f>
        <v>Safe</v>
      </c>
      <c r="AA2937">
        <f>WarehouseData[[#This Row],[stock_level]]/WarehouseData[[#This Row],[daily_demand]]</f>
        <v>15.868794326241135</v>
      </c>
      <c r="AB2937">
        <f>WarehouseData[[#This Row],[stock_level]]*WarehouseData[[#This Row],[unit_price]]</f>
        <v>31919.279999999999</v>
      </c>
      <c r="AC2937">
        <f>WarehouseData[[#This Row],[stock_level]]*WarehouseData[[#This Row],[holding_cost_per_unit_day]]*30</f>
        <v>1933.1999999999998</v>
      </c>
      <c r="AD2937" t="str">
        <f>IF(WarehouseData[[#This Row],[order_fulfillment_rate]]&gt;=0.9,"Strong",IF(WarehouseData[[#This Row],[order_fulfillment_rate]]&gt;=0.8,"Moderate","Needs Attention"))</f>
        <v>Moderate</v>
      </c>
      <c r="AE2937" t="str">
        <f>IF(WarehouseData[[#This Row],[picking_time_seconds]]&gt;120,"Slow",IF(WarehouseData[[#This Row],[picking_time_seconds]]&gt;=60,"Average","Fast"))</f>
        <v>Average</v>
      </c>
    </row>
    <row r="2938" spans="1:31" x14ac:dyDescent="0.25">
      <c r="A2938" t="s">
        <v>3076</v>
      </c>
      <c r="B2938" t="s">
        <v>48</v>
      </c>
      <c r="C2938">
        <v>493</v>
      </c>
      <c r="D2938">
        <v>61</v>
      </c>
      <c r="E2938">
        <v>8</v>
      </c>
      <c r="F2938">
        <v>3</v>
      </c>
      <c r="G2938">
        <v>10.76</v>
      </c>
      <c r="H2938">
        <v>9.52</v>
      </c>
      <c r="I2938">
        <v>0.64</v>
      </c>
      <c r="J2938" t="s">
        <v>49</v>
      </c>
      <c r="K2938" t="s">
        <v>46</v>
      </c>
      <c r="L2938">
        <v>41</v>
      </c>
      <c r="M2938">
        <v>4.07</v>
      </c>
      <c r="N2938">
        <v>134.34</v>
      </c>
      <c r="O2938">
        <v>0.65</v>
      </c>
      <c r="P2938">
        <v>4</v>
      </c>
      <c r="Q2938">
        <v>0.96</v>
      </c>
      <c r="R2938">
        <v>353</v>
      </c>
      <c r="S2938">
        <v>11.65</v>
      </c>
      <c r="T2938">
        <v>0.98</v>
      </c>
      <c r="U2938" s="1">
        <v>45321</v>
      </c>
      <c r="V2938">
        <v>155.27000000000001</v>
      </c>
      <c r="W2938">
        <v>0.79800000000000004</v>
      </c>
      <c r="X2938" t="str">
        <f>IF(WarehouseData[[#This Row],[stock_level]]&lt;=WarehouseData[[#This Row],[reorder_point]],"Low Stock","Sufficient Stock")</f>
        <v>Sufficient Stock</v>
      </c>
      <c r="Y2938">
        <f>WarehouseData[[#This Row],[daily_demand]]*WarehouseData[[#This Row],[lead_time_days]]</f>
        <v>32.28</v>
      </c>
      <c r="Z2938" t="str">
        <f>IF(WarehouseData[[#This Row],[stock_level]]&lt;=WarehouseData[[#This Row],[Demand During Lead Time]],"At Risk","Safe")</f>
        <v>Safe</v>
      </c>
      <c r="AA2938">
        <f>WarehouseData[[#This Row],[stock_level]]/WarehouseData[[#This Row],[daily_demand]]</f>
        <v>45.817843866171003</v>
      </c>
      <c r="AB2938">
        <f>WarehouseData[[#This Row],[stock_level]]*WarehouseData[[#This Row],[unit_price]]</f>
        <v>66229.62</v>
      </c>
      <c r="AC2938">
        <f>WarehouseData[[#This Row],[stock_level]]*WarehouseData[[#This Row],[holding_cost_per_unit_day]]*30</f>
        <v>9613.5</v>
      </c>
      <c r="AD2938" t="str">
        <f>IF(WarehouseData[[#This Row],[order_fulfillment_rate]]&gt;=0.9,"Strong",IF(WarehouseData[[#This Row],[order_fulfillment_rate]]&gt;=0.8,"Moderate","Needs Attention"))</f>
        <v>Strong</v>
      </c>
      <c r="AE2938" t="str">
        <f>IF(WarehouseData[[#This Row],[picking_time_seconds]]&gt;120,"Slow",IF(WarehouseData[[#This Row],[picking_time_seconds]]&gt;=60,"Average","Fast"))</f>
        <v>Fast</v>
      </c>
    </row>
    <row r="2939" spans="1:31" x14ac:dyDescent="0.25">
      <c r="A2939" t="s">
        <v>3077</v>
      </c>
      <c r="B2939" t="s">
        <v>36</v>
      </c>
      <c r="C2939">
        <v>108</v>
      </c>
      <c r="D2939">
        <v>89</v>
      </c>
      <c r="E2939">
        <v>13</v>
      </c>
      <c r="F2939">
        <v>4</v>
      </c>
      <c r="G2939">
        <v>47.09</v>
      </c>
      <c r="H2939">
        <v>5.24</v>
      </c>
      <c r="I2939">
        <v>0.51</v>
      </c>
      <c r="J2939" t="s">
        <v>102</v>
      </c>
      <c r="K2939" t="s">
        <v>38</v>
      </c>
      <c r="L2939">
        <v>27</v>
      </c>
      <c r="M2939">
        <v>1.83</v>
      </c>
      <c r="N2939">
        <v>191.71</v>
      </c>
      <c r="O2939">
        <v>0.8</v>
      </c>
      <c r="P2939">
        <v>5</v>
      </c>
      <c r="Q2939">
        <v>0.88</v>
      </c>
      <c r="R2939">
        <v>347</v>
      </c>
      <c r="S2939">
        <v>14.58</v>
      </c>
      <c r="T2939">
        <v>0.89</v>
      </c>
      <c r="U2939" s="1">
        <v>45381</v>
      </c>
      <c r="V2939">
        <v>77.39</v>
      </c>
      <c r="W2939">
        <v>0.76800000000000002</v>
      </c>
      <c r="X2939" t="str">
        <f>IF(WarehouseData[[#This Row],[stock_level]]&lt;=WarehouseData[[#This Row],[reorder_point]],"Low Stock","Sufficient Stock")</f>
        <v>Sufficient Stock</v>
      </c>
      <c r="Y2939">
        <f>WarehouseData[[#This Row],[daily_demand]]*WarehouseData[[#This Row],[lead_time_days]]</f>
        <v>188.36</v>
      </c>
      <c r="Z2939" t="str">
        <f>IF(WarehouseData[[#This Row],[stock_level]]&lt;=WarehouseData[[#This Row],[Demand During Lead Time]],"At Risk","Safe")</f>
        <v>At Risk</v>
      </c>
      <c r="AA2939">
        <f>WarehouseData[[#This Row],[stock_level]]/WarehouseData[[#This Row],[daily_demand]]</f>
        <v>2.2934805691229561</v>
      </c>
      <c r="AB2939">
        <f>WarehouseData[[#This Row],[stock_level]]*WarehouseData[[#This Row],[unit_price]]</f>
        <v>20704.68</v>
      </c>
      <c r="AC2939">
        <f>WarehouseData[[#This Row],[stock_level]]*WarehouseData[[#This Row],[holding_cost_per_unit_day]]*30</f>
        <v>2592</v>
      </c>
      <c r="AD2939" t="str">
        <f>IF(WarehouseData[[#This Row],[order_fulfillment_rate]]&gt;=0.9,"Strong",IF(WarehouseData[[#This Row],[order_fulfillment_rate]]&gt;=0.8,"Moderate","Needs Attention"))</f>
        <v>Moderate</v>
      </c>
      <c r="AE2939" t="str">
        <f>IF(WarehouseData[[#This Row],[picking_time_seconds]]&gt;120,"Slow",IF(WarehouseData[[#This Row],[picking_time_seconds]]&gt;=60,"Average","Fast"))</f>
        <v>Fast</v>
      </c>
    </row>
    <row r="2940" spans="1:31" x14ac:dyDescent="0.25">
      <c r="A2940" t="s">
        <v>3078</v>
      </c>
      <c r="B2940" t="s">
        <v>73</v>
      </c>
      <c r="C2940">
        <v>341</v>
      </c>
      <c r="D2940">
        <v>18</v>
      </c>
      <c r="E2940">
        <v>13</v>
      </c>
      <c r="F2940">
        <v>9</v>
      </c>
      <c r="G2940">
        <v>38.32</v>
      </c>
      <c r="H2940">
        <v>4.4000000000000004</v>
      </c>
      <c r="I2940">
        <v>0.27</v>
      </c>
      <c r="J2940" t="s">
        <v>129</v>
      </c>
      <c r="K2940" t="s">
        <v>34</v>
      </c>
      <c r="L2940">
        <v>102</v>
      </c>
      <c r="M2940">
        <v>4.83</v>
      </c>
      <c r="N2940">
        <v>162.01</v>
      </c>
      <c r="O2940">
        <v>0.72</v>
      </c>
      <c r="P2940">
        <v>0</v>
      </c>
      <c r="Q2940">
        <v>0.95</v>
      </c>
      <c r="R2940">
        <v>395</v>
      </c>
      <c r="S2940">
        <v>1.74</v>
      </c>
      <c r="T2940">
        <v>0.35</v>
      </c>
      <c r="U2940" s="1">
        <v>45619</v>
      </c>
      <c r="V2940">
        <v>252.7</v>
      </c>
      <c r="W2940">
        <v>0.61099999999999999</v>
      </c>
      <c r="X2940" t="str">
        <f>IF(WarehouseData[[#This Row],[stock_level]]&lt;=WarehouseData[[#This Row],[reorder_point]],"Low Stock","Sufficient Stock")</f>
        <v>Sufficient Stock</v>
      </c>
      <c r="Y2940">
        <f>WarehouseData[[#This Row],[daily_demand]]*WarehouseData[[#This Row],[lead_time_days]]</f>
        <v>344.88</v>
      </c>
      <c r="Z2940" t="str">
        <f>IF(WarehouseData[[#This Row],[stock_level]]&lt;=WarehouseData[[#This Row],[Demand During Lead Time]],"At Risk","Safe")</f>
        <v>At Risk</v>
      </c>
      <c r="AA2940">
        <f>WarehouseData[[#This Row],[stock_level]]/WarehouseData[[#This Row],[daily_demand]]</f>
        <v>8.8987473903966592</v>
      </c>
      <c r="AB2940">
        <f>WarehouseData[[#This Row],[stock_level]]*WarehouseData[[#This Row],[unit_price]]</f>
        <v>55245.409999999996</v>
      </c>
      <c r="AC2940">
        <f>WarehouseData[[#This Row],[stock_level]]*WarehouseData[[#This Row],[holding_cost_per_unit_day]]*30</f>
        <v>7365.5999999999995</v>
      </c>
      <c r="AD2940" t="str">
        <f>IF(WarehouseData[[#This Row],[order_fulfillment_rate]]&gt;=0.9,"Strong",IF(WarehouseData[[#This Row],[order_fulfillment_rate]]&gt;=0.8,"Moderate","Needs Attention"))</f>
        <v>Strong</v>
      </c>
      <c r="AE2940" t="str">
        <f>IF(WarehouseData[[#This Row],[picking_time_seconds]]&gt;120,"Slow",IF(WarehouseData[[#This Row],[picking_time_seconds]]&gt;=60,"Average","Fast"))</f>
        <v>Average</v>
      </c>
    </row>
    <row r="2941" spans="1:31" x14ac:dyDescent="0.25">
      <c r="A2941" t="s">
        <v>3079</v>
      </c>
      <c r="B2941" t="s">
        <v>40</v>
      </c>
      <c r="C2941">
        <v>31</v>
      </c>
      <c r="D2941">
        <v>42</v>
      </c>
      <c r="E2941">
        <v>8</v>
      </c>
      <c r="F2941">
        <v>2</v>
      </c>
      <c r="G2941">
        <v>35.119999999999997</v>
      </c>
      <c r="H2941">
        <v>1.24</v>
      </c>
      <c r="I2941">
        <v>0.93</v>
      </c>
      <c r="J2941" t="s">
        <v>276</v>
      </c>
      <c r="K2941" t="s">
        <v>34</v>
      </c>
      <c r="L2941">
        <v>157</v>
      </c>
      <c r="M2941">
        <v>4.93</v>
      </c>
      <c r="N2941">
        <v>155.83000000000001</v>
      </c>
      <c r="O2941">
        <v>0.81</v>
      </c>
      <c r="P2941">
        <v>6</v>
      </c>
      <c r="Q2941">
        <v>0.84</v>
      </c>
      <c r="R2941">
        <v>335</v>
      </c>
      <c r="S2941">
        <v>14.24</v>
      </c>
      <c r="T2941">
        <v>0.34</v>
      </c>
      <c r="U2941" s="1">
        <v>45545</v>
      </c>
      <c r="V2941">
        <v>60.65</v>
      </c>
      <c r="W2941">
        <v>0.625</v>
      </c>
      <c r="X2941" t="str">
        <f>IF(WarehouseData[[#This Row],[stock_level]]&lt;=WarehouseData[[#This Row],[reorder_point]],"Low Stock","Sufficient Stock")</f>
        <v>Low Stock</v>
      </c>
      <c r="Y2941">
        <f>WarehouseData[[#This Row],[daily_demand]]*WarehouseData[[#This Row],[lead_time_days]]</f>
        <v>70.239999999999995</v>
      </c>
      <c r="Z2941" t="str">
        <f>IF(WarehouseData[[#This Row],[stock_level]]&lt;=WarehouseData[[#This Row],[Demand During Lead Time]],"At Risk","Safe")</f>
        <v>At Risk</v>
      </c>
      <c r="AA2941">
        <f>WarehouseData[[#This Row],[stock_level]]/WarehouseData[[#This Row],[daily_demand]]</f>
        <v>0.88268792710706157</v>
      </c>
      <c r="AB2941">
        <f>WarehouseData[[#This Row],[stock_level]]*WarehouseData[[#This Row],[unit_price]]</f>
        <v>4830.7300000000005</v>
      </c>
      <c r="AC2941">
        <f>WarehouseData[[#This Row],[stock_level]]*WarehouseData[[#This Row],[holding_cost_per_unit_day]]*30</f>
        <v>753.30000000000007</v>
      </c>
      <c r="AD2941" t="str">
        <f>IF(WarehouseData[[#This Row],[order_fulfillment_rate]]&gt;=0.9,"Strong",IF(WarehouseData[[#This Row],[order_fulfillment_rate]]&gt;=0.8,"Moderate","Needs Attention"))</f>
        <v>Moderate</v>
      </c>
      <c r="AE2941" t="str">
        <f>IF(WarehouseData[[#This Row],[picking_time_seconds]]&gt;120,"Slow",IF(WarehouseData[[#This Row],[picking_time_seconds]]&gt;=60,"Average","Fast"))</f>
        <v>Slow</v>
      </c>
    </row>
    <row r="2942" spans="1:31" x14ac:dyDescent="0.25">
      <c r="A2942" t="s">
        <v>3080</v>
      </c>
      <c r="B2942" t="s">
        <v>36</v>
      </c>
      <c r="C2942">
        <v>443</v>
      </c>
      <c r="D2942">
        <v>69</v>
      </c>
      <c r="E2942">
        <v>3</v>
      </c>
      <c r="F2942">
        <v>5</v>
      </c>
      <c r="G2942">
        <v>12.71</v>
      </c>
      <c r="H2942">
        <v>8.98</v>
      </c>
      <c r="I2942">
        <v>0.61</v>
      </c>
      <c r="J2942" t="s">
        <v>340</v>
      </c>
      <c r="K2942" t="s">
        <v>46</v>
      </c>
      <c r="L2942">
        <v>53</v>
      </c>
      <c r="M2942">
        <v>1.05</v>
      </c>
      <c r="N2942">
        <v>104.97</v>
      </c>
      <c r="O2942">
        <v>0.37</v>
      </c>
      <c r="P2942">
        <v>8</v>
      </c>
      <c r="Q2942">
        <v>0.85</v>
      </c>
      <c r="R2942">
        <v>934</v>
      </c>
      <c r="S2942">
        <v>14.98</v>
      </c>
      <c r="T2942">
        <v>0.86</v>
      </c>
      <c r="U2942" s="1">
        <v>45516</v>
      </c>
      <c r="V2942">
        <v>282.2</v>
      </c>
      <c r="W2942">
        <v>0.745</v>
      </c>
      <c r="X2942" t="str">
        <f>IF(WarehouseData[[#This Row],[stock_level]]&lt;=WarehouseData[[#This Row],[reorder_point]],"Low Stock","Sufficient Stock")</f>
        <v>Sufficient Stock</v>
      </c>
      <c r="Y2942">
        <f>WarehouseData[[#This Row],[daily_demand]]*WarehouseData[[#This Row],[lead_time_days]]</f>
        <v>63.550000000000004</v>
      </c>
      <c r="Z2942" t="str">
        <f>IF(WarehouseData[[#This Row],[stock_level]]&lt;=WarehouseData[[#This Row],[Demand During Lead Time]],"At Risk","Safe")</f>
        <v>Safe</v>
      </c>
      <c r="AA2942">
        <f>WarehouseData[[#This Row],[stock_level]]/WarehouseData[[#This Row],[daily_demand]]</f>
        <v>34.854445318646732</v>
      </c>
      <c r="AB2942">
        <f>WarehouseData[[#This Row],[stock_level]]*WarehouseData[[#This Row],[unit_price]]</f>
        <v>46501.71</v>
      </c>
      <c r="AC2942">
        <f>WarehouseData[[#This Row],[stock_level]]*WarehouseData[[#This Row],[holding_cost_per_unit_day]]*30</f>
        <v>4917.3</v>
      </c>
      <c r="AD2942" t="str">
        <f>IF(WarehouseData[[#This Row],[order_fulfillment_rate]]&gt;=0.9,"Strong",IF(WarehouseData[[#This Row],[order_fulfillment_rate]]&gt;=0.8,"Moderate","Needs Attention"))</f>
        <v>Moderate</v>
      </c>
      <c r="AE2942" t="str">
        <f>IF(WarehouseData[[#This Row],[picking_time_seconds]]&gt;120,"Slow",IF(WarehouseData[[#This Row],[picking_time_seconds]]&gt;=60,"Average","Fast"))</f>
        <v>Fast</v>
      </c>
    </row>
    <row r="2943" spans="1:31" x14ac:dyDescent="0.25">
      <c r="A2943" t="s">
        <v>3081</v>
      </c>
      <c r="B2943" t="s">
        <v>73</v>
      </c>
      <c r="C2943">
        <v>92</v>
      </c>
      <c r="D2943">
        <v>86</v>
      </c>
      <c r="E2943">
        <v>7</v>
      </c>
      <c r="F2943">
        <v>5</v>
      </c>
      <c r="G2943">
        <v>6.81</v>
      </c>
      <c r="H2943">
        <v>2.84</v>
      </c>
      <c r="I2943">
        <v>0.76</v>
      </c>
      <c r="J2943" t="s">
        <v>98</v>
      </c>
      <c r="K2943" t="s">
        <v>52</v>
      </c>
      <c r="L2943">
        <v>173</v>
      </c>
      <c r="M2943">
        <v>4.55</v>
      </c>
      <c r="N2943">
        <v>165.95</v>
      </c>
      <c r="O2943">
        <v>0.41</v>
      </c>
      <c r="P2943">
        <v>8</v>
      </c>
      <c r="Q2943">
        <v>0.79</v>
      </c>
      <c r="R2943">
        <v>175</v>
      </c>
      <c r="S2943">
        <v>13.73</v>
      </c>
      <c r="T2943">
        <v>0.36</v>
      </c>
      <c r="U2943" s="1">
        <v>45297</v>
      </c>
      <c r="V2943">
        <v>98.93</v>
      </c>
      <c r="W2943">
        <v>0.61199999999999999</v>
      </c>
      <c r="X2943" t="str">
        <f>IF(WarehouseData[[#This Row],[stock_level]]&lt;=WarehouseData[[#This Row],[reorder_point]],"Low Stock","Sufficient Stock")</f>
        <v>Sufficient Stock</v>
      </c>
      <c r="Y2943">
        <f>WarehouseData[[#This Row],[daily_demand]]*WarehouseData[[#This Row],[lead_time_days]]</f>
        <v>34.049999999999997</v>
      </c>
      <c r="Z2943" t="str">
        <f>IF(WarehouseData[[#This Row],[stock_level]]&lt;=WarehouseData[[#This Row],[Demand During Lead Time]],"At Risk","Safe")</f>
        <v>Safe</v>
      </c>
      <c r="AA2943">
        <f>WarehouseData[[#This Row],[stock_level]]/WarehouseData[[#This Row],[daily_demand]]</f>
        <v>13.509544787077827</v>
      </c>
      <c r="AB2943">
        <f>WarehouseData[[#This Row],[stock_level]]*WarehouseData[[#This Row],[unit_price]]</f>
        <v>15267.4</v>
      </c>
      <c r="AC2943">
        <f>WarehouseData[[#This Row],[stock_level]]*WarehouseData[[#This Row],[holding_cost_per_unit_day]]*30</f>
        <v>1131.5999999999999</v>
      </c>
      <c r="AD2943" t="str">
        <f>IF(WarehouseData[[#This Row],[order_fulfillment_rate]]&gt;=0.9,"Strong",IF(WarehouseData[[#This Row],[order_fulfillment_rate]]&gt;=0.8,"Moderate","Needs Attention"))</f>
        <v>Needs Attention</v>
      </c>
      <c r="AE2943" t="str">
        <f>IF(WarehouseData[[#This Row],[picking_time_seconds]]&gt;120,"Slow",IF(WarehouseData[[#This Row],[picking_time_seconds]]&gt;=60,"Average","Fast"))</f>
        <v>Slow</v>
      </c>
    </row>
    <row r="2944" spans="1:31" x14ac:dyDescent="0.25">
      <c r="A2944" t="s">
        <v>3082</v>
      </c>
      <c r="B2944" t="s">
        <v>32</v>
      </c>
      <c r="C2944">
        <v>95</v>
      </c>
      <c r="D2944">
        <v>30</v>
      </c>
      <c r="E2944">
        <v>14</v>
      </c>
      <c r="F2944">
        <v>6</v>
      </c>
      <c r="G2944">
        <v>43.67</v>
      </c>
      <c r="H2944">
        <v>1.1100000000000001</v>
      </c>
      <c r="I2944">
        <v>0.67</v>
      </c>
      <c r="J2944" t="s">
        <v>263</v>
      </c>
      <c r="K2944" t="s">
        <v>34</v>
      </c>
      <c r="L2944">
        <v>46</v>
      </c>
      <c r="M2944">
        <v>3.49</v>
      </c>
      <c r="N2944">
        <v>88.4</v>
      </c>
      <c r="O2944">
        <v>0.55000000000000004</v>
      </c>
      <c r="P2944">
        <v>2</v>
      </c>
      <c r="Q2944">
        <v>0.82</v>
      </c>
      <c r="R2944">
        <v>100</v>
      </c>
      <c r="S2944">
        <v>2.52</v>
      </c>
      <c r="T2944">
        <v>0.56000000000000005</v>
      </c>
      <c r="U2944" s="1">
        <v>45395</v>
      </c>
      <c r="V2944">
        <v>15.44</v>
      </c>
      <c r="W2944">
        <v>0.61499999999999999</v>
      </c>
      <c r="X2944" t="str">
        <f>IF(WarehouseData[[#This Row],[stock_level]]&lt;=WarehouseData[[#This Row],[reorder_point]],"Low Stock","Sufficient Stock")</f>
        <v>Sufficient Stock</v>
      </c>
      <c r="Y2944">
        <f>WarehouseData[[#This Row],[daily_demand]]*WarehouseData[[#This Row],[lead_time_days]]</f>
        <v>262.02</v>
      </c>
      <c r="Z2944" t="str">
        <f>IF(WarehouseData[[#This Row],[stock_level]]&lt;=WarehouseData[[#This Row],[Demand During Lead Time]],"At Risk","Safe")</f>
        <v>At Risk</v>
      </c>
      <c r="AA2944">
        <f>WarehouseData[[#This Row],[stock_level]]/WarehouseData[[#This Row],[daily_demand]]</f>
        <v>2.1754064575223264</v>
      </c>
      <c r="AB2944">
        <f>WarehouseData[[#This Row],[stock_level]]*WarehouseData[[#This Row],[unit_price]]</f>
        <v>8398</v>
      </c>
      <c r="AC2944">
        <f>WarehouseData[[#This Row],[stock_level]]*WarehouseData[[#This Row],[holding_cost_per_unit_day]]*30</f>
        <v>1567.5000000000002</v>
      </c>
      <c r="AD2944" t="str">
        <f>IF(WarehouseData[[#This Row],[order_fulfillment_rate]]&gt;=0.9,"Strong",IF(WarehouseData[[#This Row],[order_fulfillment_rate]]&gt;=0.8,"Moderate","Needs Attention"))</f>
        <v>Moderate</v>
      </c>
      <c r="AE2944" t="str">
        <f>IF(WarehouseData[[#This Row],[picking_time_seconds]]&gt;120,"Slow",IF(WarehouseData[[#This Row],[picking_time_seconds]]&gt;=60,"Average","Fast"))</f>
        <v>Fast</v>
      </c>
    </row>
    <row r="2945" spans="1:31" x14ac:dyDescent="0.25">
      <c r="A2945" t="s">
        <v>3083</v>
      </c>
      <c r="B2945" t="s">
        <v>48</v>
      </c>
      <c r="C2945">
        <v>365</v>
      </c>
      <c r="D2945">
        <v>67</v>
      </c>
      <c r="E2945">
        <v>8</v>
      </c>
      <c r="F2945">
        <v>3</v>
      </c>
      <c r="G2945">
        <v>1.29</v>
      </c>
      <c r="H2945">
        <v>5.6</v>
      </c>
      <c r="I2945">
        <v>1</v>
      </c>
      <c r="J2945" t="s">
        <v>185</v>
      </c>
      <c r="K2945" t="s">
        <v>34</v>
      </c>
      <c r="L2945">
        <v>170</v>
      </c>
      <c r="M2945">
        <v>4.6500000000000004</v>
      </c>
      <c r="N2945">
        <v>167.13</v>
      </c>
      <c r="O2945">
        <v>0.86</v>
      </c>
      <c r="P2945">
        <v>3</v>
      </c>
      <c r="Q2945">
        <v>0.87</v>
      </c>
      <c r="R2945">
        <v>468</v>
      </c>
      <c r="S2945">
        <v>12.77</v>
      </c>
      <c r="T2945">
        <v>0.34</v>
      </c>
      <c r="U2945" s="1">
        <v>45628</v>
      </c>
      <c r="V2945">
        <v>64.16</v>
      </c>
      <c r="W2945">
        <v>0.66600000000000004</v>
      </c>
      <c r="X2945" t="str">
        <f>IF(WarehouseData[[#This Row],[stock_level]]&lt;=WarehouseData[[#This Row],[reorder_point]],"Low Stock","Sufficient Stock")</f>
        <v>Sufficient Stock</v>
      </c>
      <c r="Y2945">
        <f>WarehouseData[[#This Row],[daily_demand]]*WarehouseData[[#This Row],[lead_time_days]]</f>
        <v>3.87</v>
      </c>
      <c r="Z2945" t="str">
        <f>IF(WarehouseData[[#This Row],[stock_level]]&lt;=WarehouseData[[#This Row],[Demand During Lead Time]],"At Risk","Safe")</f>
        <v>Safe</v>
      </c>
      <c r="AA2945">
        <f>WarehouseData[[#This Row],[stock_level]]/WarehouseData[[#This Row],[daily_demand]]</f>
        <v>282.94573643410854</v>
      </c>
      <c r="AB2945">
        <f>WarehouseData[[#This Row],[stock_level]]*WarehouseData[[#This Row],[unit_price]]</f>
        <v>61002.45</v>
      </c>
      <c r="AC2945">
        <f>WarehouseData[[#This Row],[stock_level]]*WarehouseData[[#This Row],[holding_cost_per_unit_day]]*30</f>
        <v>9417</v>
      </c>
      <c r="AD2945" t="str">
        <f>IF(WarehouseData[[#This Row],[order_fulfillment_rate]]&gt;=0.9,"Strong",IF(WarehouseData[[#This Row],[order_fulfillment_rate]]&gt;=0.8,"Moderate","Needs Attention"))</f>
        <v>Moderate</v>
      </c>
      <c r="AE2945" t="str">
        <f>IF(WarehouseData[[#This Row],[picking_time_seconds]]&gt;120,"Slow",IF(WarehouseData[[#This Row],[picking_time_seconds]]&gt;=60,"Average","Fast"))</f>
        <v>Slow</v>
      </c>
    </row>
    <row r="2946" spans="1:31" x14ac:dyDescent="0.25">
      <c r="A2946" t="s">
        <v>3084</v>
      </c>
      <c r="B2946" t="s">
        <v>48</v>
      </c>
      <c r="C2946">
        <v>220</v>
      </c>
      <c r="D2946">
        <v>94</v>
      </c>
      <c r="E2946">
        <v>10</v>
      </c>
      <c r="F2946">
        <v>8</v>
      </c>
      <c r="G2946">
        <v>20.02</v>
      </c>
      <c r="H2946">
        <v>8.5399999999999991</v>
      </c>
      <c r="I2946">
        <v>0.51</v>
      </c>
      <c r="J2946" t="s">
        <v>401</v>
      </c>
      <c r="K2946" t="s">
        <v>46</v>
      </c>
      <c r="L2946">
        <v>136</v>
      </c>
      <c r="M2946">
        <v>4.62</v>
      </c>
      <c r="N2946">
        <v>153.97</v>
      </c>
      <c r="O2946">
        <v>0.74</v>
      </c>
      <c r="P2946">
        <v>0</v>
      </c>
      <c r="Q2946">
        <v>0.98</v>
      </c>
      <c r="R2946">
        <v>751</v>
      </c>
      <c r="S2946">
        <v>9.9600000000000009</v>
      </c>
      <c r="T2946">
        <v>0.21</v>
      </c>
      <c r="U2946" s="1">
        <v>45557</v>
      </c>
      <c r="V2946">
        <v>130.29</v>
      </c>
      <c r="W2946">
        <v>0.69699999999999995</v>
      </c>
      <c r="X2946" t="str">
        <f>IF(WarehouseData[[#This Row],[stock_level]]&lt;=WarehouseData[[#This Row],[reorder_point]],"Low Stock","Sufficient Stock")</f>
        <v>Sufficient Stock</v>
      </c>
      <c r="Y2946">
        <f>WarehouseData[[#This Row],[daily_demand]]*WarehouseData[[#This Row],[lead_time_days]]</f>
        <v>160.16</v>
      </c>
      <c r="Z2946" t="str">
        <f>IF(WarehouseData[[#This Row],[stock_level]]&lt;=WarehouseData[[#This Row],[Demand During Lead Time]],"At Risk","Safe")</f>
        <v>Safe</v>
      </c>
      <c r="AA2946">
        <f>WarehouseData[[#This Row],[stock_level]]/WarehouseData[[#This Row],[daily_demand]]</f>
        <v>10.989010989010989</v>
      </c>
      <c r="AB2946">
        <f>WarehouseData[[#This Row],[stock_level]]*WarehouseData[[#This Row],[unit_price]]</f>
        <v>33873.4</v>
      </c>
      <c r="AC2946">
        <f>WarehouseData[[#This Row],[stock_level]]*WarehouseData[[#This Row],[holding_cost_per_unit_day]]*30</f>
        <v>4884</v>
      </c>
      <c r="AD2946" t="str">
        <f>IF(WarehouseData[[#This Row],[order_fulfillment_rate]]&gt;=0.9,"Strong",IF(WarehouseData[[#This Row],[order_fulfillment_rate]]&gt;=0.8,"Moderate","Needs Attention"))</f>
        <v>Strong</v>
      </c>
      <c r="AE2946" t="str">
        <f>IF(WarehouseData[[#This Row],[picking_time_seconds]]&gt;120,"Slow",IF(WarehouseData[[#This Row],[picking_time_seconds]]&gt;=60,"Average","Fast"))</f>
        <v>Slow</v>
      </c>
    </row>
    <row r="2947" spans="1:31" x14ac:dyDescent="0.25">
      <c r="A2947" t="s">
        <v>3085</v>
      </c>
      <c r="B2947" t="s">
        <v>48</v>
      </c>
      <c r="C2947">
        <v>29</v>
      </c>
      <c r="D2947">
        <v>78</v>
      </c>
      <c r="E2947">
        <v>3</v>
      </c>
      <c r="F2947">
        <v>8</v>
      </c>
      <c r="G2947">
        <v>14.6</v>
      </c>
      <c r="H2947">
        <v>4.3600000000000003</v>
      </c>
      <c r="I2947">
        <v>0.48</v>
      </c>
      <c r="J2947" t="s">
        <v>316</v>
      </c>
      <c r="K2947" t="s">
        <v>38</v>
      </c>
      <c r="L2947">
        <v>28</v>
      </c>
      <c r="M2947">
        <v>4.51</v>
      </c>
      <c r="N2947">
        <v>138.9</v>
      </c>
      <c r="O2947">
        <v>1.6</v>
      </c>
      <c r="P2947">
        <v>3</v>
      </c>
      <c r="Q2947">
        <v>0.88</v>
      </c>
      <c r="R2947">
        <v>100</v>
      </c>
      <c r="S2947">
        <v>1.1299999999999999</v>
      </c>
      <c r="T2947">
        <v>0.9</v>
      </c>
      <c r="U2947" s="1">
        <v>45438</v>
      </c>
      <c r="V2947">
        <v>26</v>
      </c>
      <c r="W2947">
        <v>0.55100000000000005</v>
      </c>
      <c r="X2947" t="str">
        <f>IF(WarehouseData[[#This Row],[stock_level]]&lt;=WarehouseData[[#This Row],[reorder_point]],"Low Stock","Sufficient Stock")</f>
        <v>Low Stock</v>
      </c>
      <c r="Y2947">
        <f>WarehouseData[[#This Row],[daily_demand]]*WarehouseData[[#This Row],[lead_time_days]]</f>
        <v>116.8</v>
      </c>
      <c r="Z2947" t="str">
        <f>IF(WarehouseData[[#This Row],[stock_level]]&lt;=WarehouseData[[#This Row],[Demand During Lead Time]],"At Risk","Safe")</f>
        <v>At Risk</v>
      </c>
      <c r="AA2947">
        <f>WarehouseData[[#This Row],[stock_level]]/WarehouseData[[#This Row],[daily_demand]]</f>
        <v>1.9863013698630136</v>
      </c>
      <c r="AB2947">
        <f>WarehouseData[[#This Row],[stock_level]]*WarehouseData[[#This Row],[unit_price]]</f>
        <v>4028.1000000000004</v>
      </c>
      <c r="AC2947">
        <f>WarehouseData[[#This Row],[stock_level]]*WarehouseData[[#This Row],[holding_cost_per_unit_day]]*30</f>
        <v>1392.0000000000002</v>
      </c>
      <c r="AD2947" t="str">
        <f>IF(WarehouseData[[#This Row],[order_fulfillment_rate]]&gt;=0.9,"Strong",IF(WarehouseData[[#This Row],[order_fulfillment_rate]]&gt;=0.8,"Moderate","Needs Attention"))</f>
        <v>Moderate</v>
      </c>
      <c r="AE2947" t="str">
        <f>IF(WarehouseData[[#This Row],[picking_time_seconds]]&gt;120,"Slow",IF(WarehouseData[[#This Row],[picking_time_seconds]]&gt;=60,"Average","Fast"))</f>
        <v>Fast</v>
      </c>
    </row>
    <row r="2948" spans="1:31" x14ac:dyDescent="0.25">
      <c r="A2948" t="s">
        <v>3086</v>
      </c>
      <c r="B2948" t="s">
        <v>32</v>
      </c>
      <c r="C2948">
        <v>371</v>
      </c>
      <c r="D2948">
        <v>19</v>
      </c>
      <c r="E2948">
        <v>7</v>
      </c>
      <c r="F2948">
        <v>6</v>
      </c>
      <c r="G2948">
        <v>28.95</v>
      </c>
      <c r="H2948">
        <v>7.94</v>
      </c>
      <c r="I2948">
        <v>0.42</v>
      </c>
      <c r="J2948" t="s">
        <v>251</v>
      </c>
      <c r="K2948" t="s">
        <v>34</v>
      </c>
      <c r="L2948">
        <v>41</v>
      </c>
      <c r="M2948">
        <v>4.4800000000000004</v>
      </c>
      <c r="N2948">
        <v>72.650000000000006</v>
      </c>
      <c r="O2948">
        <v>1.1000000000000001</v>
      </c>
      <c r="P2948">
        <v>4</v>
      </c>
      <c r="Q2948">
        <v>0.74</v>
      </c>
      <c r="R2948">
        <v>520</v>
      </c>
      <c r="S2948">
        <v>14.78</v>
      </c>
      <c r="T2948">
        <v>0.82</v>
      </c>
      <c r="U2948" s="1">
        <v>45391</v>
      </c>
      <c r="V2948">
        <v>128.76</v>
      </c>
      <c r="W2948">
        <v>0.71899999999999997</v>
      </c>
      <c r="X2948" t="str">
        <f>IF(WarehouseData[[#This Row],[stock_level]]&lt;=WarehouseData[[#This Row],[reorder_point]],"Low Stock","Sufficient Stock")</f>
        <v>Sufficient Stock</v>
      </c>
      <c r="Y2948">
        <f>WarehouseData[[#This Row],[daily_demand]]*WarehouseData[[#This Row],[lead_time_days]]</f>
        <v>173.7</v>
      </c>
      <c r="Z2948" t="str">
        <f>IF(WarehouseData[[#This Row],[stock_level]]&lt;=WarehouseData[[#This Row],[Demand During Lead Time]],"At Risk","Safe")</f>
        <v>Safe</v>
      </c>
      <c r="AA2948">
        <f>WarehouseData[[#This Row],[stock_level]]/WarehouseData[[#This Row],[daily_demand]]</f>
        <v>12.815198618307427</v>
      </c>
      <c r="AB2948">
        <f>WarehouseData[[#This Row],[stock_level]]*WarehouseData[[#This Row],[unit_price]]</f>
        <v>26953.15</v>
      </c>
      <c r="AC2948">
        <f>WarehouseData[[#This Row],[stock_level]]*WarehouseData[[#This Row],[holding_cost_per_unit_day]]*30</f>
        <v>12243</v>
      </c>
      <c r="AD2948" t="str">
        <f>IF(WarehouseData[[#This Row],[order_fulfillment_rate]]&gt;=0.9,"Strong",IF(WarehouseData[[#This Row],[order_fulfillment_rate]]&gt;=0.8,"Moderate","Needs Attention"))</f>
        <v>Needs Attention</v>
      </c>
      <c r="AE2948" t="str">
        <f>IF(WarehouseData[[#This Row],[picking_time_seconds]]&gt;120,"Slow",IF(WarehouseData[[#This Row],[picking_time_seconds]]&gt;=60,"Average","Fast"))</f>
        <v>Fast</v>
      </c>
    </row>
    <row r="2949" spans="1:31" x14ac:dyDescent="0.25">
      <c r="A2949" t="s">
        <v>3087</v>
      </c>
      <c r="B2949" t="s">
        <v>73</v>
      </c>
      <c r="C2949">
        <v>245</v>
      </c>
      <c r="D2949">
        <v>15</v>
      </c>
      <c r="E2949">
        <v>5</v>
      </c>
      <c r="F2949">
        <v>7</v>
      </c>
      <c r="G2949">
        <v>13.27</v>
      </c>
      <c r="H2949">
        <v>8.4499999999999993</v>
      </c>
      <c r="I2949">
        <v>0.43</v>
      </c>
      <c r="J2949" t="s">
        <v>289</v>
      </c>
      <c r="K2949" t="s">
        <v>34</v>
      </c>
      <c r="L2949">
        <v>115</v>
      </c>
      <c r="M2949">
        <v>1.03</v>
      </c>
      <c r="N2949">
        <v>129.84</v>
      </c>
      <c r="O2949">
        <v>1.19</v>
      </c>
      <c r="P2949">
        <v>6</v>
      </c>
      <c r="Q2949">
        <v>0.7</v>
      </c>
      <c r="R2949">
        <v>425</v>
      </c>
      <c r="S2949">
        <v>3.11</v>
      </c>
      <c r="T2949">
        <v>0.57999999999999996</v>
      </c>
      <c r="U2949" s="1">
        <v>45309</v>
      </c>
      <c r="V2949">
        <v>68.84</v>
      </c>
      <c r="W2949">
        <v>0.45800000000000002</v>
      </c>
      <c r="X2949" t="str">
        <f>IF(WarehouseData[[#This Row],[stock_level]]&lt;=WarehouseData[[#This Row],[reorder_point]],"Low Stock","Sufficient Stock")</f>
        <v>Sufficient Stock</v>
      </c>
      <c r="Y2949">
        <f>WarehouseData[[#This Row],[daily_demand]]*WarehouseData[[#This Row],[lead_time_days]]</f>
        <v>92.89</v>
      </c>
      <c r="Z2949" t="str">
        <f>IF(WarehouseData[[#This Row],[stock_level]]&lt;=WarehouseData[[#This Row],[Demand During Lead Time]],"At Risk","Safe")</f>
        <v>Safe</v>
      </c>
      <c r="AA2949">
        <f>WarehouseData[[#This Row],[stock_level]]/WarehouseData[[#This Row],[daily_demand]]</f>
        <v>18.462697814619442</v>
      </c>
      <c r="AB2949">
        <f>WarehouseData[[#This Row],[stock_level]]*WarehouseData[[#This Row],[unit_price]]</f>
        <v>31810.799999999999</v>
      </c>
      <c r="AC2949">
        <f>WarehouseData[[#This Row],[stock_level]]*WarehouseData[[#This Row],[holding_cost_per_unit_day]]*30</f>
        <v>8746.5</v>
      </c>
      <c r="AD2949" t="str">
        <f>IF(WarehouseData[[#This Row],[order_fulfillment_rate]]&gt;=0.9,"Strong",IF(WarehouseData[[#This Row],[order_fulfillment_rate]]&gt;=0.8,"Moderate","Needs Attention"))</f>
        <v>Needs Attention</v>
      </c>
      <c r="AE2949" t="str">
        <f>IF(WarehouseData[[#This Row],[picking_time_seconds]]&gt;120,"Slow",IF(WarehouseData[[#This Row],[picking_time_seconds]]&gt;=60,"Average","Fast"))</f>
        <v>Average</v>
      </c>
    </row>
    <row r="2950" spans="1:31" x14ac:dyDescent="0.25">
      <c r="A2950" t="s">
        <v>3088</v>
      </c>
      <c r="B2950" t="s">
        <v>32</v>
      </c>
      <c r="C2950">
        <v>195</v>
      </c>
      <c r="D2950">
        <v>22</v>
      </c>
      <c r="E2950">
        <v>4</v>
      </c>
      <c r="F2950">
        <v>9</v>
      </c>
      <c r="G2950">
        <v>16.25</v>
      </c>
      <c r="H2950">
        <v>4.82</v>
      </c>
      <c r="I2950">
        <v>0.35</v>
      </c>
      <c r="J2950" t="s">
        <v>154</v>
      </c>
      <c r="K2950" t="s">
        <v>46</v>
      </c>
      <c r="L2950">
        <v>31</v>
      </c>
      <c r="M2950">
        <v>1.1499999999999999</v>
      </c>
      <c r="N2950">
        <v>106.29</v>
      </c>
      <c r="O2950">
        <v>1.17</v>
      </c>
      <c r="P2950">
        <v>4</v>
      </c>
      <c r="Q2950">
        <v>0.96</v>
      </c>
      <c r="R2950">
        <v>414</v>
      </c>
      <c r="S2950">
        <v>6.56</v>
      </c>
      <c r="T2950">
        <v>0.33</v>
      </c>
      <c r="U2950" s="1">
        <v>45598</v>
      </c>
      <c r="V2950">
        <v>15.5</v>
      </c>
      <c r="W2950">
        <v>0.54800000000000004</v>
      </c>
      <c r="X2950" t="str">
        <f>IF(WarehouseData[[#This Row],[stock_level]]&lt;=WarehouseData[[#This Row],[reorder_point]],"Low Stock","Sufficient Stock")</f>
        <v>Sufficient Stock</v>
      </c>
      <c r="Y2950">
        <f>WarehouseData[[#This Row],[daily_demand]]*WarehouseData[[#This Row],[lead_time_days]]</f>
        <v>146.25</v>
      </c>
      <c r="Z2950" t="str">
        <f>IF(WarehouseData[[#This Row],[stock_level]]&lt;=WarehouseData[[#This Row],[Demand During Lead Time]],"At Risk","Safe")</f>
        <v>Safe</v>
      </c>
      <c r="AA2950">
        <f>WarehouseData[[#This Row],[stock_level]]/WarehouseData[[#This Row],[daily_demand]]</f>
        <v>12</v>
      </c>
      <c r="AB2950">
        <f>WarehouseData[[#This Row],[stock_level]]*WarehouseData[[#This Row],[unit_price]]</f>
        <v>20726.550000000003</v>
      </c>
      <c r="AC2950">
        <f>WarehouseData[[#This Row],[stock_level]]*WarehouseData[[#This Row],[holding_cost_per_unit_day]]*30</f>
        <v>6844.4999999999991</v>
      </c>
      <c r="AD2950" t="str">
        <f>IF(WarehouseData[[#This Row],[order_fulfillment_rate]]&gt;=0.9,"Strong",IF(WarehouseData[[#This Row],[order_fulfillment_rate]]&gt;=0.8,"Moderate","Needs Attention"))</f>
        <v>Strong</v>
      </c>
      <c r="AE2950" t="str">
        <f>IF(WarehouseData[[#This Row],[picking_time_seconds]]&gt;120,"Slow",IF(WarehouseData[[#This Row],[picking_time_seconds]]&gt;=60,"Average","Fast"))</f>
        <v>Fast</v>
      </c>
    </row>
    <row r="2951" spans="1:31" x14ac:dyDescent="0.25">
      <c r="A2951" t="s">
        <v>3089</v>
      </c>
      <c r="B2951" t="s">
        <v>48</v>
      </c>
      <c r="C2951">
        <v>295</v>
      </c>
      <c r="D2951">
        <v>74</v>
      </c>
      <c r="E2951">
        <v>13</v>
      </c>
      <c r="F2951">
        <v>5</v>
      </c>
      <c r="G2951">
        <v>42.65</v>
      </c>
      <c r="H2951">
        <v>6.11</v>
      </c>
      <c r="I2951">
        <v>0.98</v>
      </c>
      <c r="J2951" t="s">
        <v>286</v>
      </c>
      <c r="K2951" t="s">
        <v>34</v>
      </c>
      <c r="L2951">
        <v>131</v>
      </c>
      <c r="M2951">
        <v>1.03</v>
      </c>
      <c r="N2951">
        <v>97.69</v>
      </c>
      <c r="O2951">
        <v>0.86</v>
      </c>
      <c r="P2951">
        <v>7</v>
      </c>
      <c r="Q2951">
        <v>0.81</v>
      </c>
      <c r="R2951">
        <v>281</v>
      </c>
      <c r="S2951">
        <v>1.42</v>
      </c>
      <c r="T2951">
        <v>0.85</v>
      </c>
      <c r="U2951" s="1">
        <v>45553</v>
      </c>
      <c r="V2951">
        <v>96.71</v>
      </c>
      <c r="W2951">
        <v>0.52500000000000002</v>
      </c>
      <c r="X2951" t="str">
        <f>IF(WarehouseData[[#This Row],[stock_level]]&lt;=WarehouseData[[#This Row],[reorder_point]],"Low Stock","Sufficient Stock")</f>
        <v>Sufficient Stock</v>
      </c>
      <c r="Y2951">
        <f>WarehouseData[[#This Row],[daily_demand]]*WarehouseData[[#This Row],[lead_time_days]]</f>
        <v>213.25</v>
      </c>
      <c r="Z2951" t="str">
        <f>IF(WarehouseData[[#This Row],[stock_level]]&lt;=WarehouseData[[#This Row],[Demand During Lead Time]],"At Risk","Safe")</f>
        <v>Safe</v>
      </c>
      <c r="AA2951">
        <f>WarehouseData[[#This Row],[stock_level]]/WarehouseData[[#This Row],[daily_demand]]</f>
        <v>6.9167643610785463</v>
      </c>
      <c r="AB2951">
        <f>WarehouseData[[#This Row],[stock_level]]*WarehouseData[[#This Row],[unit_price]]</f>
        <v>28818.55</v>
      </c>
      <c r="AC2951">
        <f>WarehouseData[[#This Row],[stock_level]]*WarehouseData[[#This Row],[holding_cost_per_unit_day]]*30</f>
        <v>7611</v>
      </c>
      <c r="AD2951" t="str">
        <f>IF(WarehouseData[[#This Row],[order_fulfillment_rate]]&gt;=0.9,"Strong",IF(WarehouseData[[#This Row],[order_fulfillment_rate]]&gt;=0.8,"Moderate","Needs Attention"))</f>
        <v>Moderate</v>
      </c>
      <c r="AE2951" t="str">
        <f>IF(WarehouseData[[#This Row],[picking_time_seconds]]&gt;120,"Slow",IF(WarehouseData[[#This Row],[picking_time_seconds]]&gt;=60,"Average","Fast"))</f>
        <v>Slow</v>
      </c>
    </row>
    <row r="2952" spans="1:31" x14ac:dyDescent="0.25">
      <c r="A2952" t="s">
        <v>3090</v>
      </c>
      <c r="B2952" t="s">
        <v>36</v>
      </c>
      <c r="C2952">
        <v>58</v>
      </c>
      <c r="D2952">
        <v>29</v>
      </c>
      <c r="E2952">
        <v>10</v>
      </c>
      <c r="F2952">
        <v>9</v>
      </c>
      <c r="G2952">
        <v>30.56</v>
      </c>
      <c r="H2952">
        <v>5.57</v>
      </c>
      <c r="I2952">
        <v>0.88</v>
      </c>
      <c r="J2952" t="s">
        <v>129</v>
      </c>
      <c r="K2952" t="s">
        <v>34</v>
      </c>
      <c r="L2952">
        <v>138</v>
      </c>
      <c r="M2952">
        <v>0.91</v>
      </c>
      <c r="N2952">
        <v>198.15</v>
      </c>
      <c r="O2952">
        <v>1.96</v>
      </c>
      <c r="P2952">
        <v>6</v>
      </c>
      <c r="Q2952">
        <v>0.79</v>
      </c>
      <c r="R2952">
        <v>739</v>
      </c>
      <c r="S2952">
        <v>5.33</v>
      </c>
      <c r="T2952">
        <v>0.49</v>
      </c>
      <c r="U2952" s="1">
        <v>45556</v>
      </c>
      <c r="V2952">
        <v>75.63</v>
      </c>
      <c r="W2952">
        <v>0.41099999999999998</v>
      </c>
      <c r="X2952" t="str">
        <f>IF(WarehouseData[[#This Row],[stock_level]]&lt;=WarehouseData[[#This Row],[reorder_point]],"Low Stock","Sufficient Stock")</f>
        <v>Sufficient Stock</v>
      </c>
      <c r="Y2952">
        <f>WarehouseData[[#This Row],[daily_demand]]*WarehouseData[[#This Row],[lead_time_days]]</f>
        <v>275.03999999999996</v>
      </c>
      <c r="Z2952" t="str">
        <f>IF(WarehouseData[[#This Row],[stock_level]]&lt;=WarehouseData[[#This Row],[Demand During Lead Time]],"At Risk","Safe")</f>
        <v>At Risk</v>
      </c>
      <c r="AA2952">
        <f>WarehouseData[[#This Row],[stock_level]]/WarehouseData[[#This Row],[daily_demand]]</f>
        <v>1.8979057591623036</v>
      </c>
      <c r="AB2952">
        <f>WarehouseData[[#This Row],[stock_level]]*WarehouseData[[#This Row],[unit_price]]</f>
        <v>11492.7</v>
      </c>
      <c r="AC2952">
        <f>WarehouseData[[#This Row],[stock_level]]*WarehouseData[[#This Row],[holding_cost_per_unit_day]]*30</f>
        <v>3410.3999999999996</v>
      </c>
      <c r="AD2952" t="str">
        <f>IF(WarehouseData[[#This Row],[order_fulfillment_rate]]&gt;=0.9,"Strong",IF(WarehouseData[[#This Row],[order_fulfillment_rate]]&gt;=0.8,"Moderate","Needs Attention"))</f>
        <v>Needs Attention</v>
      </c>
      <c r="AE2952" t="str">
        <f>IF(WarehouseData[[#This Row],[picking_time_seconds]]&gt;120,"Slow",IF(WarehouseData[[#This Row],[picking_time_seconds]]&gt;=60,"Average","Fast"))</f>
        <v>Slow</v>
      </c>
    </row>
    <row r="2953" spans="1:31" x14ac:dyDescent="0.25">
      <c r="A2953" t="s">
        <v>3091</v>
      </c>
      <c r="B2953" t="s">
        <v>40</v>
      </c>
      <c r="C2953">
        <v>79</v>
      </c>
      <c r="D2953">
        <v>66</v>
      </c>
      <c r="E2953">
        <v>9</v>
      </c>
      <c r="F2953">
        <v>9</v>
      </c>
      <c r="G2953">
        <v>8.14</v>
      </c>
      <c r="H2953">
        <v>9.42</v>
      </c>
      <c r="I2953">
        <v>0.39</v>
      </c>
      <c r="J2953" t="s">
        <v>90</v>
      </c>
      <c r="K2953" t="s">
        <v>38</v>
      </c>
      <c r="L2953">
        <v>63</v>
      </c>
      <c r="M2953">
        <v>2.09</v>
      </c>
      <c r="N2953">
        <v>105.84</v>
      </c>
      <c r="O2953">
        <v>0.17</v>
      </c>
      <c r="P2953">
        <v>0</v>
      </c>
      <c r="Q2953">
        <v>0.94</v>
      </c>
      <c r="R2953">
        <v>719</v>
      </c>
      <c r="S2953">
        <v>8.9600000000000009</v>
      </c>
      <c r="T2953">
        <v>0.73</v>
      </c>
      <c r="U2953" s="1">
        <v>45649</v>
      </c>
      <c r="V2953">
        <v>131.72999999999999</v>
      </c>
      <c r="W2953">
        <v>0.83599999999999997</v>
      </c>
      <c r="X2953" t="str">
        <f>IF(WarehouseData[[#This Row],[stock_level]]&lt;=WarehouseData[[#This Row],[reorder_point]],"Low Stock","Sufficient Stock")</f>
        <v>Sufficient Stock</v>
      </c>
      <c r="Y2953">
        <f>WarehouseData[[#This Row],[daily_demand]]*WarehouseData[[#This Row],[lead_time_days]]</f>
        <v>73.260000000000005</v>
      </c>
      <c r="Z2953" t="str">
        <f>IF(WarehouseData[[#This Row],[stock_level]]&lt;=WarehouseData[[#This Row],[Demand During Lead Time]],"At Risk","Safe")</f>
        <v>Safe</v>
      </c>
      <c r="AA2953">
        <f>WarehouseData[[#This Row],[stock_level]]/WarehouseData[[#This Row],[daily_demand]]</f>
        <v>9.7051597051597049</v>
      </c>
      <c r="AB2953">
        <f>WarehouseData[[#This Row],[stock_level]]*WarehouseData[[#This Row],[unit_price]]</f>
        <v>8361.36</v>
      </c>
      <c r="AC2953">
        <f>WarehouseData[[#This Row],[stock_level]]*WarehouseData[[#This Row],[holding_cost_per_unit_day]]*30</f>
        <v>402.90000000000003</v>
      </c>
      <c r="AD2953" t="str">
        <f>IF(WarehouseData[[#This Row],[order_fulfillment_rate]]&gt;=0.9,"Strong",IF(WarehouseData[[#This Row],[order_fulfillment_rate]]&gt;=0.8,"Moderate","Needs Attention"))</f>
        <v>Strong</v>
      </c>
      <c r="AE2953" t="str">
        <f>IF(WarehouseData[[#This Row],[picking_time_seconds]]&gt;120,"Slow",IF(WarehouseData[[#This Row],[picking_time_seconds]]&gt;=60,"Average","Fast"))</f>
        <v>Average</v>
      </c>
    </row>
    <row r="2954" spans="1:31" x14ac:dyDescent="0.25">
      <c r="A2954" t="s">
        <v>3092</v>
      </c>
      <c r="B2954" t="s">
        <v>32</v>
      </c>
      <c r="C2954">
        <v>85</v>
      </c>
      <c r="D2954">
        <v>55</v>
      </c>
      <c r="E2954">
        <v>12</v>
      </c>
      <c r="F2954">
        <v>5</v>
      </c>
      <c r="G2954">
        <v>36.6</v>
      </c>
      <c r="H2954">
        <v>7.39</v>
      </c>
      <c r="I2954">
        <v>0.37</v>
      </c>
      <c r="J2954" t="s">
        <v>152</v>
      </c>
      <c r="K2954" t="s">
        <v>34</v>
      </c>
      <c r="L2954">
        <v>157</v>
      </c>
      <c r="M2954">
        <v>3.58</v>
      </c>
      <c r="N2954">
        <v>16.079999999999998</v>
      </c>
      <c r="O2954">
        <v>0.51</v>
      </c>
      <c r="P2954">
        <v>1</v>
      </c>
      <c r="Q2954">
        <v>0.98</v>
      </c>
      <c r="R2954">
        <v>708</v>
      </c>
      <c r="S2954">
        <v>14.03</v>
      </c>
      <c r="T2954">
        <v>0.45</v>
      </c>
      <c r="U2954" s="1">
        <v>45410</v>
      </c>
      <c r="V2954">
        <v>230.11</v>
      </c>
      <c r="W2954">
        <v>0.80200000000000005</v>
      </c>
      <c r="X2954" t="str">
        <f>IF(WarehouseData[[#This Row],[stock_level]]&lt;=WarehouseData[[#This Row],[reorder_point]],"Low Stock","Sufficient Stock")</f>
        <v>Sufficient Stock</v>
      </c>
      <c r="Y2954">
        <f>WarehouseData[[#This Row],[daily_demand]]*WarehouseData[[#This Row],[lead_time_days]]</f>
        <v>183</v>
      </c>
      <c r="Z2954" t="str">
        <f>IF(WarehouseData[[#This Row],[stock_level]]&lt;=WarehouseData[[#This Row],[Demand During Lead Time]],"At Risk","Safe")</f>
        <v>At Risk</v>
      </c>
      <c r="AA2954">
        <f>WarehouseData[[#This Row],[stock_level]]/WarehouseData[[#This Row],[daily_demand]]</f>
        <v>2.3224043715846991</v>
      </c>
      <c r="AB2954">
        <f>WarehouseData[[#This Row],[stock_level]]*WarehouseData[[#This Row],[unit_price]]</f>
        <v>1366.8</v>
      </c>
      <c r="AC2954">
        <f>WarehouseData[[#This Row],[stock_level]]*WarehouseData[[#This Row],[holding_cost_per_unit_day]]*30</f>
        <v>1300.5</v>
      </c>
      <c r="AD2954" t="str">
        <f>IF(WarehouseData[[#This Row],[order_fulfillment_rate]]&gt;=0.9,"Strong",IF(WarehouseData[[#This Row],[order_fulfillment_rate]]&gt;=0.8,"Moderate","Needs Attention"))</f>
        <v>Strong</v>
      </c>
      <c r="AE2954" t="str">
        <f>IF(WarehouseData[[#This Row],[picking_time_seconds]]&gt;120,"Slow",IF(WarehouseData[[#This Row],[picking_time_seconds]]&gt;=60,"Average","Fast"))</f>
        <v>Slow</v>
      </c>
    </row>
    <row r="2955" spans="1:31" x14ac:dyDescent="0.25">
      <c r="A2955" t="s">
        <v>3093</v>
      </c>
      <c r="B2955" t="s">
        <v>32</v>
      </c>
      <c r="C2955">
        <v>340</v>
      </c>
      <c r="D2955">
        <v>17</v>
      </c>
      <c r="E2955">
        <v>9</v>
      </c>
      <c r="F2955">
        <v>6</v>
      </c>
      <c r="G2955">
        <v>11.17</v>
      </c>
      <c r="H2955">
        <v>9.2899999999999991</v>
      </c>
      <c r="I2955">
        <v>0.19</v>
      </c>
      <c r="J2955" t="s">
        <v>207</v>
      </c>
      <c r="K2955" t="s">
        <v>46</v>
      </c>
      <c r="L2955">
        <v>67</v>
      </c>
      <c r="M2955">
        <v>2.1</v>
      </c>
      <c r="N2955">
        <v>129.03</v>
      </c>
      <c r="O2955">
        <v>0.64</v>
      </c>
      <c r="P2955">
        <v>6</v>
      </c>
      <c r="Q2955">
        <v>0.92</v>
      </c>
      <c r="R2955">
        <v>529</v>
      </c>
      <c r="S2955">
        <v>14.87</v>
      </c>
      <c r="T2955">
        <v>0.55000000000000004</v>
      </c>
      <c r="U2955" s="1">
        <v>45606</v>
      </c>
      <c r="V2955">
        <v>157.83000000000001</v>
      </c>
      <c r="W2955">
        <v>0.70799999999999996</v>
      </c>
      <c r="X2955" t="str">
        <f>IF(WarehouseData[[#This Row],[stock_level]]&lt;=WarehouseData[[#This Row],[reorder_point]],"Low Stock","Sufficient Stock")</f>
        <v>Sufficient Stock</v>
      </c>
      <c r="Y2955">
        <f>WarehouseData[[#This Row],[daily_demand]]*WarehouseData[[#This Row],[lead_time_days]]</f>
        <v>67.02</v>
      </c>
      <c r="Z2955" t="str">
        <f>IF(WarehouseData[[#This Row],[stock_level]]&lt;=WarehouseData[[#This Row],[Demand During Lead Time]],"At Risk","Safe")</f>
        <v>Safe</v>
      </c>
      <c r="AA2955">
        <f>WarehouseData[[#This Row],[stock_level]]/WarehouseData[[#This Row],[daily_demand]]</f>
        <v>30.438675022381378</v>
      </c>
      <c r="AB2955">
        <f>WarehouseData[[#This Row],[stock_level]]*WarehouseData[[#This Row],[unit_price]]</f>
        <v>43870.2</v>
      </c>
      <c r="AC2955">
        <f>WarehouseData[[#This Row],[stock_level]]*WarehouseData[[#This Row],[holding_cost_per_unit_day]]*30</f>
        <v>6528</v>
      </c>
      <c r="AD2955" t="str">
        <f>IF(WarehouseData[[#This Row],[order_fulfillment_rate]]&gt;=0.9,"Strong",IF(WarehouseData[[#This Row],[order_fulfillment_rate]]&gt;=0.8,"Moderate","Needs Attention"))</f>
        <v>Strong</v>
      </c>
      <c r="AE2955" t="str">
        <f>IF(WarehouseData[[#This Row],[picking_time_seconds]]&gt;120,"Slow",IF(WarehouseData[[#This Row],[picking_time_seconds]]&gt;=60,"Average","Fast"))</f>
        <v>Average</v>
      </c>
    </row>
    <row r="2956" spans="1:31" x14ac:dyDescent="0.25">
      <c r="A2956" t="s">
        <v>3094</v>
      </c>
      <c r="B2956" t="s">
        <v>73</v>
      </c>
      <c r="C2956">
        <v>454</v>
      </c>
      <c r="D2956">
        <v>19</v>
      </c>
      <c r="E2956">
        <v>7</v>
      </c>
      <c r="F2956">
        <v>9</v>
      </c>
      <c r="G2956">
        <v>22.22</v>
      </c>
      <c r="H2956">
        <v>2.59</v>
      </c>
      <c r="I2956">
        <v>0.89</v>
      </c>
      <c r="J2956" t="s">
        <v>340</v>
      </c>
      <c r="K2956" t="s">
        <v>38</v>
      </c>
      <c r="L2956">
        <v>172</v>
      </c>
      <c r="M2956">
        <v>3.74</v>
      </c>
      <c r="N2956">
        <v>148.32</v>
      </c>
      <c r="O2956">
        <v>1.77</v>
      </c>
      <c r="P2956">
        <v>2</v>
      </c>
      <c r="Q2956">
        <v>0.75</v>
      </c>
      <c r="R2956">
        <v>355</v>
      </c>
      <c r="S2956">
        <v>6.93</v>
      </c>
      <c r="T2956">
        <v>0.63</v>
      </c>
      <c r="U2956" s="1">
        <v>45378</v>
      </c>
      <c r="V2956">
        <v>232.74</v>
      </c>
      <c r="W2956">
        <v>0.55100000000000005</v>
      </c>
      <c r="X2956" t="str">
        <f>IF(WarehouseData[[#This Row],[stock_level]]&lt;=WarehouseData[[#This Row],[reorder_point]],"Low Stock","Sufficient Stock")</f>
        <v>Sufficient Stock</v>
      </c>
      <c r="Y2956">
        <f>WarehouseData[[#This Row],[daily_demand]]*WarehouseData[[#This Row],[lead_time_days]]</f>
        <v>199.98</v>
      </c>
      <c r="Z2956" t="str">
        <f>IF(WarehouseData[[#This Row],[stock_level]]&lt;=WarehouseData[[#This Row],[Demand During Lead Time]],"At Risk","Safe")</f>
        <v>Safe</v>
      </c>
      <c r="AA2956">
        <f>WarehouseData[[#This Row],[stock_level]]/WarehouseData[[#This Row],[daily_demand]]</f>
        <v>20.432043204320433</v>
      </c>
      <c r="AB2956">
        <f>WarehouseData[[#This Row],[stock_level]]*WarehouseData[[#This Row],[unit_price]]</f>
        <v>67337.279999999999</v>
      </c>
      <c r="AC2956">
        <f>WarehouseData[[#This Row],[stock_level]]*WarehouseData[[#This Row],[holding_cost_per_unit_day]]*30</f>
        <v>24107.4</v>
      </c>
      <c r="AD2956" t="str">
        <f>IF(WarehouseData[[#This Row],[order_fulfillment_rate]]&gt;=0.9,"Strong",IF(WarehouseData[[#This Row],[order_fulfillment_rate]]&gt;=0.8,"Moderate","Needs Attention"))</f>
        <v>Needs Attention</v>
      </c>
      <c r="AE2956" t="str">
        <f>IF(WarehouseData[[#This Row],[picking_time_seconds]]&gt;120,"Slow",IF(WarehouseData[[#This Row],[picking_time_seconds]]&gt;=60,"Average","Fast"))</f>
        <v>Slow</v>
      </c>
    </row>
    <row r="2957" spans="1:31" x14ac:dyDescent="0.25">
      <c r="A2957" t="s">
        <v>3095</v>
      </c>
      <c r="B2957" t="s">
        <v>73</v>
      </c>
      <c r="C2957">
        <v>143</v>
      </c>
      <c r="D2957">
        <v>82</v>
      </c>
      <c r="E2957">
        <v>14</v>
      </c>
      <c r="F2957">
        <v>5</v>
      </c>
      <c r="G2957">
        <v>32.68</v>
      </c>
      <c r="H2957">
        <v>3.45</v>
      </c>
      <c r="I2957">
        <v>0.43</v>
      </c>
      <c r="J2957" t="s">
        <v>217</v>
      </c>
      <c r="K2957" t="s">
        <v>38</v>
      </c>
      <c r="L2957">
        <v>79</v>
      </c>
      <c r="M2957">
        <v>4.1900000000000004</v>
      </c>
      <c r="N2957">
        <v>178.18</v>
      </c>
      <c r="O2957">
        <v>1.85</v>
      </c>
      <c r="P2957">
        <v>1</v>
      </c>
      <c r="Q2957">
        <v>0.82</v>
      </c>
      <c r="R2957">
        <v>487</v>
      </c>
      <c r="S2957">
        <v>6.99</v>
      </c>
      <c r="T2957">
        <v>0.81</v>
      </c>
      <c r="U2957" s="1">
        <v>45637</v>
      </c>
      <c r="V2957">
        <v>107.64</v>
      </c>
      <c r="W2957">
        <v>0.61399999999999999</v>
      </c>
      <c r="X2957" t="str">
        <f>IF(WarehouseData[[#This Row],[stock_level]]&lt;=WarehouseData[[#This Row],[reorder_point]],"Low Stock","Sufficient Stock")</f>
        <v>Sufficient Stock</v>
      </c>
      <c r="Y2957">
        <f>WarehouseData[[#This Row],[daily_demand]]*WarehouseData[[#This Row],[lead_time_days]]</f>
        <v>163.4</v>
      </c>
      <c r="Z2957" t="str">
        <f>IF(WarehouseData[[#This Row],[stock_level]]&lt;=WarehouseData[[#This Row],[Demand During Lead Time]],"At Risk","Safe")</f>
        <v>At Risk</v>
      </c>
      <c r="AA2957">
        <f>WarehouseData[[#This Row],[stock_level]]/WarehouseData[[#This Row],[daily_demand]]</f>
        <v>4.3757649938800487</v>
      </c>
      <c r="AB2957">
        <f>WarehouseData[[#This Row],[stock_level]]*WarehouseData[[#This Row],[unit_price]]</f>
        <v>25479.74</v>
      </c>
      <c r="AC2957">
        <f>WarehouseData[[#This Row],[stock_level]]*WarehouseData[[#This Row],[holding_cost_per_unit_day]]*30</f>
        <v>7936.5</v>
      </c>
      <c r="AD2957" t="str">
        <f>IF(WarehouseData[[#This Row],[order_fulfillment_rate]]&gt;=0.9,"Strong",IF(WarehouseData[[#This Row],[order_fulfillment_rate]]&gt;=0.8,"Moderate","Needs Attention"))</f>
        <v>Moderate</v>
      </c>
      <c r="AE2957" t="str">
        <f>IF(WarehouseData[[#This Row],[picking_time_seconds]]&gt;120,"Slow",IF(WarehouseData[[#This Row],[picking_time_seconds]]&gt;=60,"Average","Fast"))</f>
        <v>Average</v>
      </c>
    </row>
    <row r="2958" spans="1:31" x14ac:dyDescent="0.25">
      <c r="A2958" t="s">
        <v>3096</v>
      </c>
      <c r="B2958" t="s">
        <v>32</v>
      </c>
      <c r="C2958">
        <v>183</v>
      </c>
      <c r="D2958">
        <v>76</v>
      </c>
      <c r="E2958">
        <v>11</v>
      </c>
      <c r="F2958">
        <v>7</v>
      </c>
      <c r="G2958">
        <v>14.32</v>
      </c>
      <c r="H2958">
        <v>1.17</v>
      </c>
      <c r="I2958">
        <v>0.62</v>
      </c>
      <c r="J2958" t="s">
        <v>183</v>
      </c>
      <c r="K2958" t="s">
        <v>38</v>
      </c>
      <c r="L2958">
        <v>72</v>
      </c>
      <c r="M2958">
        <v>3.5</v>
      </c>
      <c r="N2958">
        <v>130.21</v>
      </c>
      <c r="O2958">
        <v>1.71</v>
      </c>
      <c r="P2958">
        <v>8</v>
      </c>
      <c r="Q2958">
        <v>0.93</v>
      </c>
      <c r="R2958">
        <v>300</v>
      </c>
      <c r="S2958">
        <v>3.24</v>
      </c>
      <c r="T2958">
        <v>0.87</v>
      </c>
      <c r="U2958" s="1">
        <v>45310</v>
      </c>
      <c r="V2958">
        <v>13.82</v>
      </c>
      <c r="W2958">
        <v>0.47199999999999998</v>
      </c>
      <c r="X2958" t="str">
        <f>IF(WarehouseData[[#This Row],[stock_level]]&lt;=WarehouseData[[#This Row],[reorder_point]],"Low Stock","Sufficient Stock")</f>
        <v>Sufficient Stock</v>
      </c>
      <c r="Y2958">
        <f>WarehouseData[[#This Row],[daily_demand]]*WarehouseData[[#This Row],[lead_time_days]]</f>
        <v>100.24000000000001</v>
      </c>
      <c r="Z2958" t="str">
        <f>IF(WarehouseData[[#This Row],[stock_level]]&lt;=WarehouseData[[#This Row],[Demand During Lead Time]],"At Risk","Safe")</f>
        <v>Safe</v>
      </c>
      <c r="AA2958">
        <f>WarehouseData[[#This Row],[stock_level]]/WarehouseData[[#This Row],[daily_demand]]</f>
        <v>12.779329608938546</v>
      </c>
      <c r="AB2958">
        <f>WarehouseData[[#This Row],[stock_level]]*WarehouseData[[#This Row],[unit_price]]</f>
        <v>23828.43</v>
      </c>
      <c r="AC2958">
        <f>WarehouseData[[#This Row],[stock_level]]*WarehouseData[[#This Row],[holding_cost_per_unit_day]]*30</f>
        <v>9387.9</v>
      </c>
      <c r="AD2958" t="str">
        <f>IF(WarehouseData[[#This Row],[order_fulfillment_rate]]&gt;=0.9,"Strong",IF(WarehouseData[[#This Row],[order_fulfillment_rate]]&gt;=0.8,"Moderate","Needs Attention"))</f>
        <v>Strong</v>
      </c>
      <c r="AE2958" t="str">
        <f>IF(WarehouseData[[#This Row],[picking_time_seconds]]&gt;120,"Slow",IF(WarehouseData[[#This Row],[picking_time_seconds]]&gt;=60,"Average","Fast"))</f>
        <v>Average</v>
      </c>
    </row>
    <row r="2959" spans="1:31" x14ac:dyDescent="0.25">
      <c r="A2959" t="s">
        <v>3097</v>
      </c>
      <c r="B2959" t="s">
        <v>48</v>
      </c>
      <c r="C2959">
        <v>427</v>
      </c>
      <c r="D2959">
        <v>20</v>
      </c>
      <c r="E2959">
        <v>7</v>
      </c>
      <c r="F2959">
        <v>9</v>
      </c>
      <c r="G2959">
        <v>19.82</v>
      </c>
      <c r="H2959">
        <v>5.25</v>
      </c>
      <c r="I2959">
        <v>0.91</v>
      </c>
      <c r="J2959" t="s">
        <v>139</v>
      </c>
      <c r="K2959" t="s">
        <v>52</v>
      </c>
      <c r="L2959">
        <v>12</v>
      </c>
      <c r="M2959">
        <v>2.59</v>
      </c>
      <c r="N2959">
        <v>13.7</v>
      </c>
      <c r="O2959">
        <v>0.89</v>
      </c>
      <c r="P2959">
        <v>9</v>
      </c>
      <c r="Q2959">
        <v>0.97</v>
      </c>
      <c r="R2959">
        <v>900</v>
      </c>
      <c r="S2959">
        <v>7.98</v>
      </c>
      <c r="T2959">
        <v>0.55000000000000004</v>
      </c>
      <c r="U2959" s="1">
        <v>45476</v>
      </c>
      <c r="V2959">
        <v>277.43</v>
      </c>
      <c r="W2959">
        <v>0.54100000000000004</v>
      </c>
      <c r="X2959" t="str">
        <f>IF(WarehouseData[[#This Row],[stock_level]]&lt;=WarehouseData[[#This Row],[reorder_point]],"Low Stock","Sufficient Stock")</f>
        <v>Sufficient Stock</v>
      </c>
      <c r="Y2959">
        <f>WarehouseData[[#This Row],[daily_demand]]*WarehouseData[[#This Row],[lead_time_days]]</f>
        <v>178.38</v>
      </c>
      <c r="Z2959" t="str">
        <f>IF(WarehouseData[[#This Row],[stock_level]]&lt;=WarehouseData[[#This Row],[Demand During Lead Time]],"At Risk","Safe")</f>
        <v>Safe</v>
      </c>
      <c r="AA2959">
        <f>WarehouseData[[#This Row],[stock_level]]/WarehouseData[[#This Row],[daily_demand]]</f>
        <v>21.543895055499494</v>
      </c>
      <c r="AB2959">
        <f>WarehouseData[[#This Row],[stock_level]]*WarehouseData[[#This Row],[unit_price]]</f>
        <v>5849.9</v>
      </c>
      <c r="AC2959">
        <f>WarehouseData[[#This Row],[stock_level]]*WarehouseData[[#This Row],[holding_cost_per_unit_day]]*30</f>
        <v>11400.900000000001</v>
      </c>
      <c r="AD2959" t="str">
        <f>IF(WarehouseData[[#This Row],[order_fulfillment_rate]]&gt;=0.9,"Strong",IF(WarehouseData[[#This Row],[order_fulfillment_rate]]&gt;=0.8,"Moderate","Needs Attention"))</f>
        <v>Strong</v>
      </c>
      <c r="AE2959" t="str">
        <f>IF(WarehouseData[[#This Row],[picking_time_seconds]]&gt;120,"Slow",IF(WarehouseData[[#This Row],[picking_time_seconds]]&gt;=60,"Average","Fast"))</f>
        <v>Fast</v>
      </c>
    </row>
    <row r="2960" spans="1:31" x14ac:dyDescent="0.25">
      <c r="A2960" t="s">
        <v>3098</v>
      </c>
      <c r="B2960" t="s">
        <v>40</v>
      </c>
      <c r="C2960">
        <v>430</v>
      </c>
      <c r="D2960">
        <v>21</v>
      </c>
      <c r="E2960">
        <v>4</v>
      </c>
      <c r="F2960">
        <v>4</v>
      </c>
      <c r="G2960">
        <v>36.97</v>
      </c>
      <c r="H2960">
        <v>8.8000000000000007</v>
      </c>
      <c r="I2960">
        <v>0.47</v>
      </c>
      <c r="J2960" t="s">
        <v>202</v>
      </c>
      <c r="K2960" t="s">
        <v>46</v>
      </c>
      <c r="L2960">
        <v>108</v>
      </c>
      <c r="M2960">
        <v>1.83</v>
      </c>
      <c r="N2960">
        <v>32.75</v>
      </c>
      <c r="O2960">
        <v>1.84</v>
      </c>
      <c r="P2960">
        <v>7</v>
      </c>
      <c r="Q2960">
        <v>1</v>
      </c>
      <c r="R2960">
        <v>391</v>
      </c>
      <c r="S2960">
        <v>14.16</v>
      </c>
      <c r="T2960">
        <v>0.39</v>
      </c>
      <c r="U2960" s="1">
        <v>45414</v>
      </c>
      <c r="V2960">
        <v>101.27</v>
      </c>
      <c r="W2960">
        <v>0.54300000000000004</v>
      </c>
      <c r="X2960" t="str">
        <f>IF(WarehouseData[[#This Row],[stock_level]]&lt;=WarehouseData[[#This Row],[reorder_point]],"Low Stock","Sufficient Stock")</f>
        <v>Sufficient Stock</v>
      </c>
      <c r="Y2960">
        <f>WarehouseData[[#This Row],[daily_demand]]*WarehouseData[[#This Row],[lead_time_days]]</f>
        <v>147.88</v>
      </c>
      <c r="Z2960" t="str">
        <f>IF(WarehouseData[[#This Row],[stock_level]]&lt;=WarehouseData[[#This Row],[Demand During Lead Time]],"At Risk","Safe")</f>
        <v>Safe</v>
      </c>
      <c r="AA2960">
        <f>WarehouseData[[#This Row],[stock_level]]/WarehouseData[[#This Row],[daily_demand]]</f>
        <v>11.631052204490128</v>
      </c>
      <c r="AB2960">
        <f>WarehouseData[[#This Row],[stock_level]]*WarehouseData[[#This Row],[unit_price]]</f>
        <v>14082.5</v>
      </c>
      <c r="AC2960">
        <f>WarehouseData[[#This Row],[stock_level]]*WarehouseData[[#This Row],[holding_cost_per_unit_day]]*30</f>
        <v>23736</v>
      </c>
      <c r="AD2960" t="str">
        <f>IF(WarehouseData[[#This Row],[order_fulfillment_rate]]&gt;=0.9,"Strong",IF(WarehouseData[[#This Row],[order_fulfillment_rate]]&gt;=0.8,"Moderate","Needs Attention"))</f>
        <v>Strong</v>
      </c>
      <c r="AE2960" t="str">
        <f>IF(WarehouseData[[#This Row],[picking_time_seconds]]&gt;120,"Slow",IF(WarehouseData[[#This Row],[picking_time_seconds]]&gt;=60,"Average","Fast"))</f>
        <v>Average</v>
      </c>
    </row>
    <row r="2961" spans="1:31" x14ac:dyDescent="0.25">
      <c r="A2961" t="s">
        <v>3099</v>
      </c>
      <c r="B2961" t="s">
        <v>73</v>
      </c>
      <c r="C2961">
        <v>405</v>
      </c>
      <c r="D2961">
        <v>19</v>
      </c>
      <c r="E2961">
        <v>5</v>
      </c>
      <c r="F2961">
        <v>2</v>
      </c>
      <c r="G2961">
        <v>46.96</v>
      </c>
      <c r="H2961">
        <v>3.61</v>
      </c>
      <c r="I2961">
        <v>0.83</v>
      </c>
      <c r="J2961" t="s">
        <v>338</v>
      </c>
      <c r="K2961" t="s">
        <v>52</v>
      </c>
      <c r="L2961">
        <v>54</v>
      </c>
      <c r="M2961">
        <v>1.06</v>
      </c>
      <c r="N2961">
        <v>40.64</v>
      </c>
      <c r="O2961">
        <v>0.28999999999999998</v>
      </c>
      <c r="P2961">
        <v>7</v>
      </c>
      <c r="Q2961">
        <v>0.85</v>
      </c>
      <c r="R2961">
        <v>181</v>
      </c>
      <c r="S2961">
        <v>3.32</v>
      </c>
      <c r="T2961">
        <v>0.32</v>
      </c>
      <c r="U2961" s="1">
        <v>45627</v>
      </c>
      <c r="V2961">
        <v>162.79</v>
      </c>
      <c r="W2961">
        <v>0.50900000000000001</v>
      </c>
      <c r="X2961" t="str">
        <f>IF(WarehouseData[[#This Row],[stock_level]]&lt;=WarehouseData[[#This Row],[reorder_point]],"Low Stock","Sufficient Stock")</f>
        <v>Sufficient Stock</v>
      </c>
      <c r="Y2961">
        <f>WarehouseData[[#This Row],[daily_demand]]*WarehouseData[[#This Row],[lead_time_days]]</f>
        <v>93.92</v>
      </c>
      <c r="Z2961" t="str">
        <f>IF(WarehouseData[[#This Row],[stock_level]]&lt;=WarehouseData[[#This Row],[Demand During Lead Time]],"At Risk","Safe")</f>
        <v>Safe</v>
      </c>
      <c r="AA2961">
        <f>WarehouseData[[#This Row],[stock_level]]/WarehouseData[[#This Row],[daily_demand]]</f>
        <v>8.6243611584327091</v>
      </c>
      <c r="AB2961">
        <f>WarehouseData[[#This Row],[stock_level]]*WarehouseData[[#This Row],[unit_price]]</f>
        <v>16459.2</v>
      </c>
      <c r="AC2961">
        <f>WarehouseData[[#This Row],[stock_level]]*WarehouseData[[#This Row],[holding_cost_per_unit_day]]*30</f>
        <v>3523.4999999999995</v>
      </c>
      <c r="AD2961" t="str">
        <f>IF(WarehouseData[[#This Row],[order_fulfillment_rate]]&gt;=0.9,"Strong",IF(WarehouseData[[#This Row],[order_fulfillment_rate]]&gt;=0.8,"Moderate","Needs Attention"))</f>
        <v>Moderate</v>
      </c>
      <c r="AE2961" t="str">
        <f>IF(WarehouseData[[#This Row],[picking_time_seconds]]&gt;120,"Slow",IF(WarehouseData[[#This Row],[picking_time_seconds]]&gt;=60,"Average","Fast"))</f>
        <v>Fast</v>
      </c>
    </row>
    <row r="2962" spans="1:31" x14ac:dyDescent="0.25">
      <c r="A2962" t="s">
        <v>3100</v>
      </c>
      <c r="B2962" t="s">
        <v>48</v>
      </c>
      <c r="C2962">
        <v>178</v>
      </c>
      <c r="D2962">
        <v>34</v>
      </c>
      <c r="E2962">
        <v>6</v>
      </c>
      <c r="F2962">
        <v>2</v>
      </c>
      <c r="G2962">
        <v>26.93</v>
      </c>
      <c r="H2962">
        <v>1.72</v>
      </c>
      <c r="I2962">
        <v>0.49</v>
      </c>
      <c r="J2962" t="s">
        <v>106</v>
      </c>
      <c r="K2962" t="s">
        <v>34</v>
      </c>
      <c r="L2962">
        <v>152</v>
      </c>
      <c r="M2962">
        <v>2.72</v>
      </c>
      <c r="N2962">
        <v>50.14</v>
      </c>
      <c r="O2962">
        <v>1.34</v>
      </c>
      <c r="P2962">
        <v>2</v>
      </c>
      <c r="Q2962">
        <v>0.95</v>
      </c>
      <c r="R2962">
        <v>798</v>
      </c>
      <c r="S2962">
        <v>4.7300000000000004</v>
      </c>
      <c r="T2962">
        <v>0.47</v>
      </c>
      <c r="U2962" s="1">
        <v>45292</v>
      </c>
      <c r="V2962">
        <v>146.07</v>
      </c>
      <c r="W2962">
        <v>0.57299999999999995</v>
      </c>
      <c r="X2962" t="str">
        <f>IF(WarehouseData[[#This Row],[stock_level]]&lt;=WarehouseData[[#This Row],[reorder_point]],"Low Stock","Sufficient Stock")</f>
        <v>Sufficient Stock</v>
      </c>
      <c r="Y2962">
        <f>WarehouseData[[#This Row],[daily_demand]]*WarehouseData[[#This Row],[lead_time_days]]</f>
        <v>53.86</v>
      </c>
      <c r="Z2962" t="str">
        <f>IF(WarehouseData[[#This Row],[stock_level]]&lt;=WarehouseData[[#This Row],[Demand During Lead Time]],"At Risk","Safe")</f>
        <v>Safe</v>
      </c>
      <c r="AA2962">
        <f>WarehouseData[[#This Row],[stock_level]]/WarehouseData[[#This Row],[daily_demand]]</f>
        <v>6.6097289268473824</v>
      </c>
      <c r="AB2962">
        <f>WarehouseData[[#This Row],[stock_level]]*WarehouseData[[#This Row],[unit_price]]</f>
        <v>8924.92</v>
      </c>
      <c r="AC2962">
        <f>WarehouseData[[#This Row],[stock_level]]*WarehouseData[[#This Row],[holding_cost_per_unit_day]]*30</f>
        <v>7155.6</v>
      </c>
      <c r="AD2962" t="str">
        <f>IF(WarehouseData[[#This Row],[order_fulfillment_rate]]&gt;=0.9,"Strong",IF(WarehouseData[[#This Row],[order_fulfillment_rate]]&gt;=0.8,"Moderate","Needs Attention"))</f>
        <v>Strong</v>
      </c>
      <c r="AE2962" t="str">
        <f>IF(WarehouseData[[#This Row],[picking_time_seconds]]&gt;120,"Slow",IF(WarehouseData[[#This Row],[picking_time_seconds]]&gt;=60,"Average","Fast"))</f>
        <v>Slow</v>
      </c>
    </row>
    <row r="2963" spans="1:31" x14ac:dyDescent="0.25">
      <c r="A2963" t="s">
        <v>3101</v>
      </c>
      <c r="B2963" t="s">
        <v>36</v>
      </c>
      <c r="C2963">
        <v>76</v>
      </c>
      <c r="D2963">
        <v>58</v>
      </c>
      <c r="E2963">
        <v>7</v>
      </c>
      <c r="F2963">
        <v>2</v>
      </c>
      <c r="G2963">
        <v>1.49</v>
      </c>
      <c r="H2963">
        <v>1.1499999999999999</v>
      </c>
      <c r="I2963">
        <v>0.73</v>
      </c>
      <c r="J2963" t="s">
        <v>223</v>
      </c>
      <c r="K2963" t="s">
        <v>38</v>
      </c>
      <c r="L2963">
        <v>26</v>
      </c>
      <c r="M2963">
        <v>3.74</v>
      </c>
      <c r="N2963">
        <v>161.96</v>
      </c>
      <c r="O2963">
        <v>1.88</v>
      </c>
      <c r="P2963">
        <v>9</v>
      </c>
      <c r="Q2963">
        <v>0.71</v>
      </c>
      <c r="R2963">
        <v>573</v>
      </c>
      <c r="S2963">
        <v>13.48</v>
      </c>
      <c r="T2963">
        <v>0.84</v>
      </c>
      <c r="U2963" s="1">
        <v>45372</v>
      </c>
      <c r="V2963">
        <v>179.09</v>
      </c>
      <c r="W2963">
        <v>0.52200000000000002</v>
      </c>
      <c r="X2963" t="str">
        <f>IF(WarehouseData[[#This Row],[stock_level]]&lt;=WarehouseData[[#This Row],[reorder_point]],"Low Stock","Sufficient Stock")</f>
        <v>Sufficient Stock</v>
      </c>
      <c r="Y2963">
        <f>WarehouseData[[#This Row],[daily_demand]]*WarehouseData[[#This Row],[lead_time_days]]</f>
        <v>2.98</v>
      </c>
      <c r="Z2963" t="str">
        <f>IF(WarehouseData[[#This Row],[stock_level]]&lt;=WarehouseData[[#This Row],[Demand During Lead Time]],"At Risk","Safe")</f>
        <v>Safe</v>
      </c>
      <c r="AA2963">
        <f>WarehouseData[[#This Row],[stock_level]]/WarehouseData[[#This Row],[daily_demand]]</f>
        <v>51.006711409395976</v>
      </c>
      <c r="AB2963">
        <f>WarehouseData[[#This Row],[stock_level]]*WarehouseData[[#This Row],[unit_price]]</f>
        <v>12308.960000000001</v>
      </c>
      <c r="AC2963">
        <f>WarehouseData[[#This Row],[stock_level]]*WarehouseData[[#This Row],[holding_cost_per_unit_day]]*30</f>
        <v>4286.3999999999996</v>
      </c>
      <c r="AD2963" t="str">
        <f>IF(WarehouseData[[#This Row],[order_fulfillment_rate]]&gt;=0.9,"Strong",IF(WarehouseData[[#This Row],[order_fulfillment_rate]]&gt;=0.8,"Moderate","Needs Attention"))</f>
        <v>Needs Attention</v>
      </c>
      <c r="AE2963" t="str">
        <f>IF(WarehouseData[[#This Row],[picking_time_seconds]]&gt;120,"Slow",IF(WarehouseData[[#This Row],[picking_time_seconds]]&gt;=60,"Average","Fast"))</f>
        <v>Fast</v>
      </c>
    </row>
    <row r="2964" spans="1:31" x14ac:dyDescent="0.25">
      <c r="A2964" t="s">
        <v>3102</v>
      </c>
      <c r="B2964" t="s">
        <v>73</v>
      </c>
      <c r="C2964">
        <v>97</v>
      </c>
      <c r="D2964">
        <v>58</v>
      </c>
      <c r="E2964">
        <v>5</v>
      </c>
      <c r="F2964">
        <v>4</v>
      </c>
      <c r="G2964">
        <v>17.579999999999998</v>
      </c>
      <c r="H2964">
        <v>4.75</v>
      </c>
      <c r="I2964">
        <v>0.49</v>
      </c>
      <c r="J2964" t="s">
        <v>188</v>
      </c>
      <c r="K2964" t="s">
        <v>52</v>
      </c>
      <c r="L2964">
        <v>152</v>
      </c>
      <c r="M2964">
        <v>2.97</v>
      </c>
      <c r="N2964">
        <v>68.849999999999994</v>
      </c>
      <c r="O2964">
        <v>1.53</v>
      </c>
      <c r="P2964">
        <v>8</v>
      </c>
      <c r="Q2964">
        <v>0.79</v>
      </c>
      <c r="R2964">
        <v>704</v>
      </c>
      <c r="S2964">
        <v>9.77</v>
      </c>
      <c r="T2964">
        <v>0.42</v>
      </c>
      <c r="U2964" s="1">
        <v>45336</v>
      </c>
      <c r="V2964">
        <v>266.64</v>
      </c>
      <c r="W2964">
        <v>0.45900000000000002</v>
      </c>
      <c r="X2964" t="str">
        <f>IF(WarehouseData[[#This Row],[stock_level]]&lt;=WarehouseData[[#This Row],[reorder_point]],"Low Stock","Sufficient Stock")</f>
        <v>Sufficient Stock</v>
      </c>
      <c r="Y2964">
        <f>WarehouseData[[#This Row],[daily_demand]]*WarehouseData[[#This Row],[lead_time_days]]</f>
        <v>70.319999999999993</v>
      </c>
      <c r="Z2964" t="str">
        <f>IF(WarehouseData[[#This Row],[stock_level]]&lt;=WarehouseData[[#This Row],[Demand During Lead Time]],"At Risk","Safe")</f>
        <v>Safe</v>
      </c>
      <c r="AA2964">
        <f>WarehouseData[[#This Row],[stock_level]]/WarehouseData[[#This Row],[daily_demand]]</f>
        <v>5.5176336746302619</v>
      </c>
      <c r="AB2964">
        <f>WarehouseData[[#This Row],[stock_level]]*WarehouseData[[#This Row],[unit_price]]</f>
        <v>6678.45</v>
      </c>
      <c r="AC2964">
        <f>WarehouseData[[#This Row],[stock_level]]*WarehouseData[[#This Row],[holding_cost_per_unit_day]]*30</f>
        <v>4452.3</v>
      </c>
      <c r="AD2964" t="str">
        <f>IF(WarehouseData[[#This Row],[order_fulfillment_rate]]&gt;=0.9,"Strong",IF(WarehouseData[[#This Row],[order_fulfillment_rate]]&gt;=0.8,"Moderate","Needs Attention"))</f>
        <v>Needs Attention</v>
      </c>
      <c r="AE2964" t="str">
        <f>IF(WarehouseData[[#This Row],[picking_time_seconds]]&gt;120,"Slow",IF(WarehouseData[[#This Row],[picking_time_seconds]]&gt;=60,"Average","Fast"))</f>
        <v>Slow</v>
      </c>
    </row>
    <row r="2965" spans="1:31" x14ac:dyDescent="0.25">
      <c r="A2965" t="s">
        <v>3103</v>
      </c>
      <c r="B2965" t="s">
        <v>48</v>
      </c>
      <c r="C2965">
        <v>213</v>
      </c>
      <c r="D2965">
        <v>98</v>
      </c>
      <c r="E2965">
        <v>14</v>
      </c>
      <c r="F2965">
        <v>5</v>
      </c>
      <c r="G2965">
        <v>20.53</v>
      </c>
      <c r="H2965">
        <v>2.06</v>
      </c>
      <c r="I2965">
        <v>0.45</v>
      </c>
      <c r="J2965" t="s">
        <v>79</v>
      </c>
      <c r="K2965" t="s">
        <v>34</v>
      </c>
      <c r="L2965">
        <v>14</v>
      </c>
      <c r="M2965">
        <v>3.75</v>
      </c>
      <c r="N2965">
        <v>69.349999999999994</v>
      </c>
      <c r="O2965">
        <v>0.63</v>
      </c>
      <c r="P2965">
        <v>7</v>
      </c>
      <c r="Q2965">
        <v>0.81</v>
      </c>
      <c r="R2965">
        <v>555</v>
      </c>
      <c r="S2965">
        <v>5.63</v>
      </c>
      <c r="T2965">
        <v>0.24</v>
      </c>
      <c r="U2965" s="1">
        <v>45433</v>
      </c>
      <c r="V2965">
        <v>261.5</v>
      </c>
      <c r="W2965">
        <v>0.48199999999999998</v>
      </c>
      <c r="X2965" t="str">
        <f>IF(WarehouseData[[#This Row],[stock_level]]&lt;=WarehouseData[[#This Row],[reorder_point]],"Low Stock","Sufficient Stock")</f>
        <v>Sufficient Stock</v>
      </c>
      <c r="Y2965">
        <f>WarehouseData[[#This Row],[daily_demand]]*WarehouseData[[#This Row],[lead_time_days]]</f>
        <v>102.65</v>
      </c>
      <c r="Z2965" t="str">
        <f>IF(WarehouseData[[#This Row],[stock_level]]&lt;=WarehouseData[[#This Row],[Demand During Lead Time]],"At Risk","Safe")</f>
        <v>Safe</v>
      </c>
      <c r="AA2965">
        <f>WarehouseData[[#This Row],[stock_level]]/WarehouseData[[#This Row],[daily_demand]]</f>
        <v>10.37506088650755</v>
      </c>
      <c r="AB2965">
        <f>WarehouseData[[#This Row],[stock_level]]*WarehouseData[[#This Row],[unit_price]]</f>
        <v>14771.55</v>
      </c>
      <c r="AC2965">
        <f>WarehouseData[[#This Row],[stock_level]]*WarehouseData[[#This Row],[holding_cost_per_unit_day]]*30</f>
        <v>4025.7</v>
      </c>
      <c r="AD2965" t="str">
        <f>IF(WarehouseData[[#This Row],[order_fulfillment_rate]]&gt;=0.9,"Strong",IF(WarehouseData[[#This Row],[order_fulfillment_rate]]&gt;=0.8,"Moderate","Needs Attention"))</f>
        <v>Moderate</v>
      </c>
      <c r="AE2965" t="str">
        <f>IF(WarehouseData[[#This Row],[picking_time_seconds]]&gt;120,"Slow",IF(WarehouseData[[#This Row],[picking_time_seconds]]&gt;=60,"Average","Fast"))</f>
        <v>Fast</v>
      </c>
    </row>
    <row r="2966" spans="1:31" x14ac:dyDescent="0.25">
      <c r="A2966" t="s">
        <v>3104</v>
      </c>
      <c r="B2966" t="s">
        <v>48</v>
      </c>
      <c r="C2966">
        <v>304</v>
      </c>
      <c r="D2966">
        <v>20</v>
      </c>
      <c r="E2966">
        <v>9</v>
      </c>
      <c r="F2966">
        <v>6</v>
      </c>
      <c r="G2966">
        <v>17.62</v>
      </c>
      <c r="H2966">
        <v>3.79</v>
      </c>
      <c r="I2966">
        <v>0.99</v>
      </c>
      <c r="J2966" t="s">
        <v>158</v>
      </c>
      <c r="K2966" t="s">
        <v>52</v>
      </c>
      <c r="L2966">
        <v>20</v>
      </c>
      <c r="M2966">
        <v>2.0099999999999998</v>
      </c>
      <c r="N2966">
        <v>153.56</v>
      </c>
      <c r="O2966">
        <v>1.46</v>
      </c>
      <c r="P2966">
        <v>1</v>
      </c>
      <c r="Q2966">
        <v>0.99</v>
      </c>
      <c r="R2966">
        <v>448</v>
      </c>
      <c r="S2966">
        <v>12.38</v>
      </c>
      <c r="T2966">
        <v>0.65</v>
      </c>
      <c r="U2966" s="1">
        <v>45496</v>
      </c>
      <c r="V2966">
        <v>294.5</v>
      </c>
      <c r="W2966">
        <v>0.72699999999999998</v>
      </c>
      <c r="X2966" t="str">
        <f>IF(WarehouseData[[#This Row],[stock_level]]&lt;=WarehouseData[[#This Row],[reorder_point]],"Low Stock","Sufficient Stock")</f>
        <v>Sufficient Stock</v>
      </c>
      <c r="Y2966">
        <f>WarehouseData[[#This Row],[daily_demand]]*WarehouseData[[#This Row],[lead_time_days]]</f>
        <v>105.72</v>
      </c>
      <c r="Z2966" t="str">
        <f>IF(WarehouseData[[#This Row],[stock_level]]&lt;=WarehouseData[[#This Row],[Demand During Lead Time]],"At Risk","Safe")</f>
        <v>Safe</v>
      </c>
      <c r="AA2966">
        <f>WarehouseData[[#This Row],[stock_level]]/WarehouseData[[#This Row],[daily_demand]]</f>
        <v>17.253121452894437</v>
      </c>
      <c r="AB2966">
        <f>WarehouseData[[#This Row],[stock_level]]*WarehouseData[[#This Row],[unit_price]]</f>
        <v>46682.239999999998</v>
      </c>
      <c r="AC2966">
        <f>WarehouseData[[#This Row],[stock_level]]*WarehouseData[[#This Row],[holding_cost_per_unit_day]]*30</f>
        <v>13315.199999999999</v>
      </c>
      <c r="AD2966" t="str">
        <f>IF(WarehouseData[[#This Row],[order_fulfillment_rate]]&gt;=0.9,"Strong",IF(WarehouseData[[#This Row],[order_fulfillment_rate]]&gt;=0.8,"Moderate","Needs Attention"))</f>
        <v>Strong</v>
      </c>
      <c r="AE2966" t="str">
        <f>IF(WarehouseData[[#This Row],[picking_time_seconds]]&gt;120,"Slow",IF(WarehouseData[[#This Row],[picking_time_seconds]]&gt;=60,"Average","Fast"))</f>
        <v>Fast</v>
      </c>
    </row>
    <row r="2967" spans="1:31" x14ac:dyDescent="0.25">
      <c r="A2967" t="s">
        <v>3105</v>
      </c>
      <c r="B2967" t="s">
        <v>40</v>
      </c>
      <c r="C2967">
        <v>34</v>
      </c>
      <c r="D2967">
        <v>71</v>
      </c>
      <c r="E2967">
        <v>7</v>
      </c>
      <c r="F2967">
        <v>8</v>
      </c>
      <c r="G2967">
        <v>22.38</v>
      </c>
      <c r="H2967">
        <v>8.2899999999999991</v>
      </c>
      <c r="I2967">
        <v>0.65</v>
      </c>
      <c r="J2967" t="s">
        <v>166</v>
      </c>
      <c r="K2967" t="s">
        <v>38</v>
      </c>
      <c r="L2967">
        <v>101</v>
      </c>
      <c r="M2967">
        <v>0.8</v>
      </c>
      <c r="N2967">
        <v>88.36</v>
      </c>
      <c r="O2967">
        <v>0.66</v>
      </c>
      <c r="P2967">
        <v>6</v>
      </c>
      <c r="Q2967">
        <v>0.7</v>
      </c>
      <c r="R2967">
        <v>955</v>
      </c>
      <c r="S2967">
        <v>2.5299999999999998</v>
      </c>
      <c r="T2967">
        <v>0.23</v>
      </c>
      <c r="U2967" s="1">
        <v>45472</v>
      </c>
      <c r="V2967">
        <v>163.22999999999999</v>
      </c>
      <c r="W2967">
        <v>0.434</v>
      </c>
      <c r="X2967" t="str">
        <f>IF(WarehouseData[[#This Row],[stock_level]]&lt;=WarehouseData[[#This Row],[reorder_point]],"Low Stock","Sufficient Stock")</f>
        <v>Low Stock</v>
      </c>
      <c r="Y2967">
        <f>WarehouseData[[#This Row],[daily_demand]]*WarehouseData[[#This Row],[lead_time_days]]</f>
        <v>179.04</v>
      </c>
      <c r="Z2967" t="str">
        <f>IF(WarehouseData[[#This Row],[stock_level]]&lt;=WarehouseData[[#This Row],[Demand During Lead Time]],"At Risk","Safe")</f>
        <v>At Risk</v>
      </c>
      <c r="AA2967">
        <f>WarehouseData[[#This Row],[stock_level]]/WarehouseData[[#This Row],[daily_demand]]</f>
        <v>1.5192135835567471</v>
      </c>
      <c r="AB2967">
        <f>WarehouseData[[#This Row],[stock_level]]*WarehouseData[[#This Row],[unit_price]]</f>
        <v>3004.24</v>
      </c>
      <c r="AC2967">
        <f>WarehouseData[[#This Row],[stock_level]]*WarehouseData[[#This Row],[holding_cost_per_unit_day]]*30</f>
        <v>673.2</v>
      </c>
      <c r="AD2967" t="str">
        <f>IF(WarehouseData[[#This Row],[order_fulfillment_rate]]&gt;=0.9,"Strong",IF(WarehouseData[[#This Row],[order_fulfillment_rate]]&gt;=0.8,"Moderate","Needs Attention"))</f>
        <v>Needs Attention</v>
      </c>
      <c r="AE2967" t="str">
        <f>IF(WarehouseData[[#This Row],[picking_time_seconds]]&gt;120,"Slow",IF(WarehouseData[[#This Row],[picking_time_seconds]]&gt;=60,"Average","Fast"))</f>
        <v>Average</v>
      </c>
    </row>
    <row r="2968" spans="1:31" x14ac:dyDescent="0.25">
      <c r="A2968" t="s">
        <v>3106</v>
      </c>
      <c r="B2968" t="s">
        <v>40</v>
      </c>
      <c r="C2968">
        <v>31</v>
      </c>
      <c r="D2968">
        <v>45</v>
      </c>
      <c r="E2968">
        <v>7</v>
      </c>
      <c r="F2968">
        <v>3</v>
      </c>
      <c r="G2968">
        <v>32</v>
      </c>
      <c r="H2968">
        <v>4.1500000000000004</v>
      </c>
      <c r="I2968">
        <v>0.43</v>
      </c>
      <c r="J2968" t="s">
        <v>338</v>
      </c>
      <c r="K2968" t="s">
        <v>34</v>
      </c>
      <c r="L2968">
        <v>151</v>
      </c>
      <c r="M2968">
        <v>3.97</v>
      </c>
      <c r="N2968">
        <v>22.28</v>
      </c>
      <c r="O2968">
        <v>0.31</v>
      </c>
      <c r="P2968">
        <v>7</v>
      </c>
      <c r="Q2968">
        <v>0.79</v>
      </c>
      <c r="R2968">
        <v>167</v>
      </c>
      <c r="S2968">
        <v>13.02</v>
      </c>
      <c r="T2968">
        <v>0.91</v>
      </c>
      <c r="U2968" s="1">
        <v>45634</v>
      </c>
      <c r="V2968">
        <v>277.51</v>
      </c>
      <c r="W2968">
        <v>0.74299999999999999</v>
      </c>
      <c r="X2968" t="str">
        <f>IF(WarehouseData[[#This Row],[stock_level]]&lt;=WarehouseData[[#This Row],[reorder_point]],"Low Stock","Sufficient Stock")</f>
        <v>Low Stock</v>
      </c>
      <c r="Y2968">
        <f>WarehouseData[[#This Row],[daily_demand]]*WarehouseData[[#This Row],[lead_time_days]]</f>
        <v>96</v>
      </c>
      <c r="Z2968" t="str">
        <f>IF(WarehouseData[[#This Row],[stock_level]]&lt;=WarehouseData[[#This Row],[Demand During Lead Time]],"At Risk","Safe")</f>
        <v>At Risk</v>
      </c>
      <c r="AA2968">
        <f>WarehouseData[[#This Row],[stock_level]]/WarehouseData[[#This Row],[daily_demand]]</f>
        <v>0.96875</v>
      </c>
      <c r="AB2968">
        <f>WarehouseData[[#This Row],[stock_level]]*WarehouseData[[#This Row],[unit_price]]</f>
        <v>690.68000000000006</v>
      </c>
      <c r="AC2968">
        <f>WarehouseData[[#This Row],[stock_level]]*WarehouseData[[#This Row],[holding_cost_per_unit_day]]*30</f>
        <v>288.29999999999995</v>
      </c>
      <c r="AD2968" t="str">
        <f>IF(WarehouseData[[#This Row],[order_fulfillment_rate]]&gt;=0.9,"Strong",IF(WarehouseData[[#This Row],[order_fulfillment_rate]]&gt;=0.8,"Moderate","Needs Attention"))</f>
        <v>Needs Attention</v>
      </c>
      <c r="AE2968" t="str">
        <f>IF(WarehouseData[[#This Row],[picking_time_seconds]]&gt;120,"Slow",IF(WarehouseData[[#This Row],[picking_time_seconds]]&gt;=60,"Average","Fast"))</f>
        <v>Slow</v>
      </c>
    </row>
    <row r="2969" spans="1:31" x14ac:dyDescent="0.25">
      <c r="A2969" t="s">
        <v>3107</v>
      </c>
      <c r="B2969" t="s">
        <v>36</v>
      </c>
      <c r="C2969">
        <v>120</v>
      </c>
      <c r="D2969">
        <v>48</v>
      </c>
      <c r="E2969">
        <v>8</v>
      </c>
      <c r="F2969">
        <v>5</v>
      </c>
      <c r="G2969">
        <v>6.94</v>
      </c>
      <c r="H2969">
        <v>6.29</v>
      </c>
      <c r="I2969">
        <v>0.33</v>
      </c>
      <c r="J2969" t="s">
        <v>207</v>
      </c>
      <c r="K2969" t="s">
        <v>38</v>
      </c>
      <c r="L2969">
        <v>48</v>
      </c>
      <c r="M2969">
        <v>1.49</v>
      </c>
      <c r="N2969">
        <v>121.17</v>
      </c>
      <c r="O2969">
        <v>1.46</v>
      </c>
      <c r="P2969">
        <v>6</v>
      </c>
      <c r="Q2969">
        <v>0.98</v>
      </c>
      <c r="R2969">
        <v>110</v>
      </c>
      <c r="S2969">
        <v>8.25</v>
      </c>
      <c r="T2969">
        <v>0.74</v>
      </c>
      <c r="U2969" s="1">
        <v>45494</v>
      </c>
      <c r="V2969">
        <v>149.91</v>
      </c>
      <c r="W2969">
        <v>0.58799999999999997</v>
      </c>
      <c r="X2969" t="str">
        <f>IF(WarehouseData[[#This Row],[stock_level]]&lt;=WarehouseData[[#This Row],[reorder_point]],"Low Stock","Sufficient Stock")</f>
        <v>Sufficient Stock</v>
      </c>
      <c r="Y2969">
        <f>WarehouseData[[#This Row],[daily_demand]]*WarehouseData[[#This Row],[lead_time_days]]</f>
        <v>34.700000000000003</v>
      </c>
      <c r="Z2969" t="str">
        <f>IF(WarehouseData[[#This Row],[stock_level]]&lt;=WarehouseData[[#This Row],[Demand During Lead Time]],"At Risk","Safe")</f>
        <v>Safe</v>
      </c>
      <c r="AA2969">
        <f>WarehouseData[[#This Row],[stock_level]]/WarehouseData[[#This Row],[daily_demand]]</f>
        <v>17.291066282420747</v>
      </c>
      <c r="AB2969">
        <f>WarehouseData[[#This Row],[stock_level]]*WarehouseData[[#This Row],[unit_price]]</f>
        <v>14540.4</v>
      </c>
      <c r="AC2969">
        <f>WarehouseData[[#This Row],[stock_level]]*WarehouseData[[#This Row],[holding_cost_per_unit_day]]*30</f>
        <v>5256</v>
      </c>
      <c r="AD2969" t="str">
        <f>IF(WarehouseData[[#This Row],[order_fulfillment_rate]]&gt;=0.9,"Strong",IF(WarehouseData[[#This Row],[order_fulfillment_rate]]&gt;=0.8,"Moderate","Needs Attention"))</f>
        <v>Strong</v>
      </c>
      <c r="AE2969" t="str">
        <f>IF(WarehouseData[[#This Row],[picking_time_seconds]]&gt;120,"Slow",IF(WarehouseData[[#This Row],[picking_time_seconds]]&gt;=60,"Average","Fast"))</f>
        <v>Fast</v>
      </c>
    </row>
    <row r="2970" spans="1:31" x14ac:dyDescent="0.25">
      <c r="A2970" t="s">
        <v>3108</v>
      </c>
      <c r="B2970" t="s">
        <v>48</v>
      </c>
      <c r="C2970">
        <v>175</v>
      </c>
      <c r="D2970">
        <v>62</v>
      </c>
      <c r="E2970">
        <v>9</v>
      </c>
      <c r="F2970">
        <v>4</v>
      </c>
      <c r="G2970">
        <v>14.36</v>
      </c>
      <c r="H2970">
        <v>5.27</v>
      </c>
      <c r="I2970">
        <v>0.14000000000000001</v>
      </c>
      <c r="J2970" t="s">
        <v>139</v>
      </c>
      <c r="K2970" t="s">
        <v>38</v>
      </c>
      <c r="L2970">
        <v>51</v>
      </c>
      <c r="M2970">
        <v>3.27</v>
      </c>
      <c r="N2970">
        <v>34.71</v>
      </c>
      <c r="O2970">
        <v>0.44</v>
      </c>
      <c r="P2970">
        <v>8</v>
      </c>
      <c r="Q2970">
        <v>0.79</v>
      </c>
      <c r="R2970">
        <v>964</v>
      </c>
      <c r="S2970">
        <v>11.6</v>
      </c>
      <c r="T2970">
        <v>0.41</v>
      </c>
      <c r="U2970" s="1">
        <v>45499</v>
      </c>
      <c r="V2970">
        <v>22.88</v>
      </c>
      <c r="W2970">
        <v>0.59099999999999997</v>
      </c>
      <c r="X2970" t="str">
        <f>IF(WarehouseData[[#This Row],[stock_level]]&lt;=WarehouseData[[#This Row],[reorder_point]],"Low Stock","Sufficient Stock")</f>
        <v>Sufficient Stock</v>
      </c>
      <c r="Y2970">
        <f>WarehouseData[[#This Row],[daily_demand]]*WarehouseData[[#This Row],[lead_time_days]]</f>
        <v>57.44</v>
      </c>
      <c r="Z2970" t="str">
        <f>IF(WarehouseData[[#This Row],[stock_level]]&lt;=WarehouseData[[#This Row],[Demand During Lead Time]],"At Risk","Safe")</f>
        <v>Safe</v>
      </c>
      <c r="AA2970">
        <f>WarehouseData[[#This Row],[stock_level]]/WarehouseData[[#This Row],[daily_demand]]</f>
        <v>12.186629526462395</v>
      </c>
      <c r="AB2970">
        <f>WarehouseData[[#This Row],[stock_level]]*WarehouseData[[#This Row],[unit_price]]</f>
        <v>6074.25</v>
      </c>
      <c r="AC2970">
        <f>WarehouseData[[#This Row],[stock_level]]*WarehouseData[[#This Row],[holding_cost_per_unit_day]]*30</f>
        <v>2310</v>
      </c>
      <c r="AD2970" t="str">
        <f>IF(WarehouseData[[#This Row],[order_fulfillment_rate]]&gt;=0.9,"Strong",IF(WarehouseData[[#This Row],[order_fulfillment_rate]]&gt;=0.8,"Moderate","Needs Attention"))</f>
        <v>Needs Attention</v>
      </c>
      <c r="AE2970" t="str">
        <f>IF(WarehouseData[[#This Row],[picking_time_seconds]]&gt;120,"Slow",IF(WarehouseData[[#This Row],[picking_time_seconds]]&gt;=60,"Average","Fast"))</f>
        <v>Fast</v>
      </c>
    </row>
    <row r="2971" spans="1:31" x14ac:dyDescent="0.25">
      <c r="A2971" t="s">
        <v>3109</v>
      </c>
      <c r="B2971" t="s">
        <v>48</v>
      </c>
      <c r="C2971">
        <v>359</v>
      </c>
      <c r="D2971">
        <v>99</v>
      </c>
      <c r="E2971">
        <v>12</v>
      </c>
      <c r="F2971">
        <v>9</v>
      </c>
      <c r="G2971">
        <v>25.87</v>
      </c>
      <c r="H2971">
        <v>7.33</v>
      </c>
      <c r="I2971">
        <v>0.74</v>
      </c>
      <c r="J2971" t="s">
        <v>33</v>
      </c>
      <c r="K2971" t="s">
        <v>52</v>
      </c>
      <c r="L2971">
        <v>103</v>
      </c>
      <c r="M2971">
        <v>4.12</v>
      </c>
      <c r="N2971">
        <v>118.62</v>
      </c>
      <c r="O2971">
        <v>0.31</v>
      </c>
      <c r="P2971">
        <v>6</v>
      </c>
      <c r="Q2971">
        <v>0.77</v>
      </c>
      <c r="R2971">
        <v>230</v>
      </c>
      <c r="S2971">
        <v>8.26</v>
      </c>
      <c r="T2971">
        <v>0.57999999999999996</v>
      </c>
      <c r="U2971" s="1">
        <v>45592</v>
      </c>
      <c r="V2971">
        <v>52.4</v>
      </c>
      <c r="W2971">
        <v>0.629</v>
      </c>
      <c r="X2971" t="str">
        <f>IF(WarehouseData[[#This Row],[stock_level]]&lt;=WarehouseData[[#This Row],[reorder_point]],"Low Stock","Sufficient Stock")</f>
        <v>Sufficient Stock</v>
      </c>
      <c r="Y2971">
        <f>WarehouseData[[#This Row],[daily_demand]]*WarehouseData[[#This Row],[lead_time_days]]</f>
        <v>232.83</v>
      </c>
      <c r="Z2971" t="str">
        <f>IF(WarehouseData[[#This Row],[stock_level]]&lt;=WarehouseData[[#This Row],[Demand During Lead Time]],"At Risk","Safe")</f>
        <v>Safe</v>
      </c>
      <c r="AA2971">
        <f>WarehouseData[[#This Row],[stock_level]]/WarehouseData[[#This Row],[daily_demand]]</f>
        <v>13.877077696173172</v>
      </c>
      <c r="AB2971">
        <f>WarehouseData[[#This Row],[stock_level]]*WarehouseData[[#This Row],[unit_price]]</f>
        <v>42584.58</v>
      </c>
      <c r="AC2971">
        <f>WarehouseData[[#This Row],[stock_level]]*WarehouseData[[#This Row],[holding_cost_per_unit_day]]*30</f>
        <v>3338.7000000000003</v>
      </c>
      <c r="AD2971" t="str">
        <f>IF(WarehouseData[[#This Row],[order_fulfillment_rate]]&gt;=0.9,"Strong",IF(WarehouseData[[#This Row],[order_fulfillment_rate]]&gt;=0.8,"Moderate","Needs Attention"))</f>
        <v>Needs Attention</v>
      </c>
      <c r="AE2971" t="str">
        <f>IF(WarehouseData[[#This Row],[picking_time_seconds]]&gt;120,"Slow",IF(WarehouseData[[#This Row],[picking_time_seconds]]&gt;=60,"Average","Fast"))</f>
        <v>Average</v>
      </c>
    </row>
    <row r="2972" spans="1:31" x14ac:dyDescent="0.25">
      <c r="A2972" t="s">
        <v>3110</v>
      </c>
      <c r="B2972" t="s">
        <v>40</v>
      </c>
      <c r="C2972">
        <v>144</v>
      </c>
      <c r="D2972">
        <v>87</v>
      </c>
      <c r="E2972">
        <v>12</v>
      </c>
      <c r="F2972">
        <v>7</v>
      </c>
      <c r="G2972">
        <v>16.46</v>
      </c>
      <c r="H2972">
        <v>1.98</v>
      </c>
      <c r="I2972">
        <v>0.43</v>
      </c>
      <c r="J2972" t="s">
        <v>146</v>
      </c>
      <c r="K2972" t="s">
        <v>46</v>
      </c>
      <c r="L2972">
        <v>14</v>
      </c>
      <c r="M2972">
        <v>1.1299999999999999</v>
      </c>
      <c r="N2972">
        <v>158.13</v>
      </c>
      <c r="O2972">
        <v>1.1499999999999999</v>
      </c>
      <c r="P2972">
        <v>6</v>
      </c>
      <c r="Q2972">
        <v>0.92</v>
      </c>
      <c r="R2972">
        <v>362</v>
      </c>
      <c r="S2972">
        <v>4.45</v>
      </c>
      <c r="T2972">
        <v>0.79</v>
      </c>
      <c r="U2972" s="1">
        <v>45394</v>
      </c>
      <c r="V2972">
        <v>106.86</v>
      </c>
      <c r="W2972">
        <v>0.56599999999999995</v>
      </c>
      <c r="X2972" t="str">
        <f>IF(WarehouseData[[#This Row],[stock_level]]&lt;=WarehouseData[[#This Row],[reorder_point]],"Low Stock","Sufficient Stock")</f>
        <v>Sufficient Stock</v>
      </c>
      <c r="Y2972">
        <f>WarehouseData[[#This Row],[daily_demand]]*WarehouseData[[#This Row],[lead_time_days]]</f>
        <v>115.22</v>
      </c>
      <c r="Z2972" t="str">
        <f>IF(WarehouseData[[#This Row],[stock_level]]&lt;=WarehouseData[[#This Row],[Demand During Lead Time]],"At Risk","Safe")</f>
        <v>Safe</v>
      </c>
      <c r="AA2972">
        <f>WarehouseData[[#This Row],[stock_level]]/WarehouseData[[#This Row],[daily_demand]]</f>
        <v>8.7484811664641544</v>
      </c>
      <c r="AB2972">
        <f>WarehouseData[[#This Row],[stock_level]]*WarehouseData[[#This Row],[unit_price]]</f>
        <v>22770.720000000001</v>
      </c>
      <c r="AC2972">
        <f>WarehouseData[[#This Row],[stock_level]]*WarehouseData[[#This Row],[holding_cost_per_unit_day]]*30</f>
        <v>4968</v>
      </c>
      <c r="AD2972" t="str">
        <f>IF(WarehouseData[[#This Row],[order_fulfillment_rate]]&gt;=0.9,"Strong",IF(WarehouseData[[#This Row],[order_fulfillment_rate]]&gt;=0.8,"Moderate","Needs Attention"))</f>
        <v>Strong</v>
      </c>
      <c r="AE2972" t="str">
        <f>IF(WarehouseData[[#This Row],[picking_time_seconds]]&gt;120,"Slow",IF(WarehouseData[[#This Row],[picking_time_seconds]]&gt;=60,"Average","Fast"))</f>
        <v>Fast</v>
      </c>
    </row>
    <row r="2973" spans="1:31" x14ac:dyDescent="0.25">
      <c r="A2973" t="s">
        <v>3111</v>
      </c>
      <c r="B2973" t="s">
        <v>73</v>
      </c>
      <c r="C2973">
        <v>378</v>
      </c>
      <c r="D2973">
        <v>65</v>
      </c>
      <c r="E2973">
        <v>10</v>
      </c>
      <c r="F2973">
        <v>4</v>
      </c>
      <c r="G2973">
        <v>49.56</v>
      </c>
      <c r="H2973">
        <v>9.24</v>
      </c>
      <c r="I2973">
        <v>0.84</v>
      </c>
      <c r="J2973" t="s">
        <v>178</v>
      </c>
      <c r="K2973" t="s">
        <v>34</v>
      </c>
      <c r="L2973">
        <v>61</v>
      </c>
      <c r="M2973">
        <v>3.19</v>
      </c>
      <c r="N2973">
        <v>186.6</v>
      </c>
      <c r="O2973">
        <v>1.28</v>
      </c>
      <c r="P2973">
        <v>0</v>
      </c>
      <c r="Q2973">
        <v>0.92</v>
      </c>
      <c r="R2973">
        <v>314</v>
      </c>
      <c r="S2973">
        <v>9.9700000000000006</v>
      </c>
      <c r="T2973">
        <v>0.93</v>
      </c>
      <c r="U2973" s="1">
        <v>45557</v>
      </c>
      <c r="V2973">
        <v>220.38</v>
      </c>
      <c r="W2973">
        <v>0.77500000000000002</v>
      </c>
      <c r="X2973" t="str">
        <f>IF(WarehouseData[[#This Row],[stock_level]]&lt;=WarehouseData[[#This Row],[reorder_point]],"Low Stock","Sufficient Stock")</f>
        <v>Sufficient Stock</v>
      </c>
      <c r="Y2973">
        <f>WarehouseData[[#This Row],[daily_demand]]*WarehouseData[[#This Row],[lead_time_days]]</f>
        <v>198.24</v>
      </c>
      <c r="Z2973" t="str">
        <f>IF(WarehouseData[[#This Row],[stock_level]]&lt;=WarehouseData[[#This Row],[Demand During Lead Time]],"At Risk","Safe")</f>
        <v>Safe</v>
      </c>
      <c r="AA2973">
        <f>WarehouseData[[#This Row],[stock_level]]/WarehouseData[[#This Row],[daily_demand]]</f>
        <v>7.6271186440677958</v>
      </c>
      <c r="AB2973">
        <f>WarehouseData[[#This Row],[stock_level]]*WarehouseData[[#This Row],[unit_price]]</f>
        <v>70534.8</v>
      </c>
      <c r="AC2973">
        <f>WarehouseData[[#This Row],[stock_level]]*WarehouseData[[#This Row],[holding_cost_per_unit_day]]*30</f>
        <v>14515.2</v>
      </c>
      <c r="AD2973" t="str">
        <f>IF(WarehouseData[[#This Row],[order_fulfillment_rate]]&gt;=0.9,"Strong",IF(WarehouseData[[#This Row],[order_fulfillment_rate]]&gt;=0.8,"Moderate","Needs Attention"))</f>
        <v>Strong</v>
      </c>
      <c r="AE2973" t="str">
        <f>IF(WarehouseData[[#This Row],[picking_time_seconds]]&gt;120,"Slow",IF(WarehouseData[[#This Row],[picking_time_seconds]]&gt;=60,"Average","Fast"))</f>
        <v>Average</v>
      </c>
    </row>
    <row r="2974" spans="1:31" x14ac:dyDescent="0.25">
      <c r="A2974" t="s">
        <v>3112</v>
      </c>
      <c r="B2974" t="s">
        <v>73</v>
      </c>
      <c r="C2974">
        <v>299</v>
      </c>
      <c r="D2974">
        <v>10</v>
      </c>
      <c r="E2974">
        <v>11</v>
      </c>
      <c r="F2974">
        <v>9</v>
      </c>
      <c r="G2974">
        <v>22.14</v>
      </c>
      <c r="H2974">
        <v>6.61</v>
      </c>
      <c r="I2974">
        <v>0.43</v>
      </c>
      <c r="J2974" t="s">
        <v>565</v>
      </c>
      <c r="K2974" t="s">
        <v>34</v>
      </c>
      <c r="L2974">
        <v>159</v>
      </c>
      <c r="M2974">
        <v>3.6</v>
      </c>
      <c r="N2974">
        <v>22.74</v>
      </c>
      <c r="O2974">
        <v>0.2</v>
      </c>
      <c r="P2974">
        <v>1</v>
      </c>
      <c r="Q2974">
        <v>0.84</v>
      </c>
      <c r="R2974">
        <v>78</v>
      </c>
      <c r="S2974">
        <v>3.17</v>
      </c>
      <c r="T2974">
        <v>0.9</v>
      </c>
      <c r="U2974" s="1">
        <v>45299</v>
      </c>
      <c r="V2974">
        <v>33.6</v>
      </c>
      <c r="W2974">
        <v>0.75</v>
      </c>
      <c r="X2974" t="str">
        <f>IF(WarehouseData[[#This Row],[stock_level]]&lt;=WarehouseData[[#This Row],[reorder_point]],"Low Stock","Sufficient Stock")</f>
        <v>Sufficient Stock</v>
      </c>
      <c r="Y2974">
        <f>WarehouseData[[#This Row],[daily_demand]]*WarehouseData[[#This Row],[lead_time_days]]</f>
        <v>199.26</v>
      </c>
      <c r="Z2974" t="str">
        <f>IF(WarehouseData[[#This Row],[stock_level]]&lt;=WarehouseData[[#This Row],[Demand During Lead Time]],"At Risk","Safe")</f>
        <v>Safe</v>
      </c>
      <c r="AA2974">
        <f>WarehouseData[[#This Row],[stock_level]]/WarehouseData[[#This Row],[daily_demand]]</f>
        <v>13.504968383017163</v>
      </c>
      <c r="AB2974">
        <f>WarehouseData[[#This Row],[stock_level]]*WarehouseData[[#This Row],[unit_price]]</f>
        <v>6799.2599999999993</v>
      </c>
      <c r="AC2974">
        <f>WarehouseData[[#This Row],[stock_level]]*WarehouseData[[#This Row],[holding_cost_per_unit_day]]*30</f>
        <v>1794.0000000000002</v>
      </c>
      <c r="AD2974" t="str">
        <f>IF(WarehouseData[[#This Row],[order_fulfillment_rate]]&gt;=0.9,"Strong",IF(WarehouseData[[#This Row],[order_fulfillment_rate]]&gt;=0.8,"Moderate","Needs Attention"))</f>
        <v>Moderate</v>
      </c>
      <c r="AE2974" t="str">
        <f>IF(WarehouseData[[#This Row],[picking_time_seconds]]&gt;120,"Slow",IF(WarehouseData[[#This Row],[picking_time_seconds]]&gt;=60,"Average","Fast"))</f>
        <v>Slow</v>
      </c>
    </row>
    <row r="2975" spans="1:31" x14ac:dyDescent="0.25">
      <c r="A2975" t="s">
        <v>3113</v>
      </c>
      <c r="B2975" t="s">
        <v>32</v>
      </c>
      <c r="C2975">
        <v>424</v>
      </c>
      <c r="D2975">
        <v>65</v>
      </c>
      <c r="E2975">
        <v>13</v>
      </c>
      <c r="F2975">
        <v>8</v>
      </c>
      <c r="G2975">
        <v>43.62</v>
      </c>
      <c r="H2975">
        <v>3.07</v>
      </c>
      <c r="I2975">
        <v>0.44</v>
      </c>
      <c r="J2975" t="s">
        <v>51</v>
      </c>
      <c r="K2975" t="s">
        <v>46</v>
      </c>
      <c r="L2975">
        <v>53</v>
      </c>
      <c r="M2975">
        <v>3.86</v>
      </c>
      <c r="N2975">
        <v>67.75</v>
      </c>
      <c r="O2975">
        <v>0.11</v>
      </c>
      <c r="P2975">
        <v>4</v>
      </c>
      <c r="Q2975">
        <v>0.98</v>
      </c>
      <c r="R2975">
        <v>312</v>
      </c>
      <c r="S2975">
        <v>4.22</v>
      </c>
      <c r="T2975">
        <v>0.26</v>
      </c>
      <c r="U2975" s="1">
        <v>45652</v>
      </c>
      <c r="V2975">
        <v>114.85</v>
      </c>
      <c r="W2975">
        <v>0.61299999999999999</v>
      </c>
      <c r="X2975" t="str">
        <f>IF(WarehouseData[[#This Row],[stock_level]]&lt;=WarehouseData[[#This Row],[reorder_point]],"Low Stock","Sufficient Stock")</f>
        <v>Sufficient Stock</v>
      </c>
      <c r="Y2975">
        <f>WarehouseData[[#This Row],[daily_demand]]*WarehouseData[[#This Row],[lead_time_days]]</f>
        <v>348.96</v>
      </c>
      <c r="Z2975" t="str">
        <f>IF(WarehouseData[[#This Row],[stock_level]]&lt;=WarehouseData[[#This Row],[Demand During Lead Time]],"At Risk","Safe")</f>
        <v>Safe</v>
      </c>
      <c r="AA2975">
        <f>WarehouseData[[#This Row],[stock_level]]/WarehouseData[[#This Row],[daily_demand]]</f>
        <v>9.7203117835855117</v>
      </c>
      <c r="AB2975">
        <f>WarehouseData[[#This Row],[stock_level]]*WarehouseData[[#This Row],[unit_price]]</f>
        <v>28726</v>
      </c>
      <c r="AC2975">
        <f>WarehouseData[[#This Row],[stock_level]]*WarehouseData[[#This Row],[holding_cost_per_unit_day]]*30</f>
        <v>1399.2</v>
      </c>
      <c r="AD2975" t="str">
        <f>IF(WarehouseData[[#This Row],[order_fulfillment_rate]]&gt;=0.9,"Strong",IF(WarehouseData[[#This Row],[order_fulfillment_rate]]&gt;=0.8,"Moderate","Needs Attention"))</f>
        <v>Strong</v>
      </c>
      <c r="AE2975" t="str">
        <f>IF(WarehouseData[[#This Row],[picking_time_seconds]]&gt;120,"Slow",IF(WarehouseData[[#This Row],[picking_time_seconds]]&gt;=60,"Average","Fast"))</f>
        <v>Fast</v>
      </c>
    </row>
    <row r="2976" spans="1:31" x14ac:dyDescent="0.25">
      <c r="A2976" t="s">
        <v>3114</v>
      </c>
      <c r="B2976" t="s">
        <v>40</v>
      </c>
      <c r="C2976">
        <v>413</v>
      </c>
      <c r="D2976">
        <v>13</v>
      </c>
      <c r="E2976">
        <v>6</v>
      </c>
      <c r="F2976">
        <v>2</v>
      </c>
      <c r="G2976">
        <v>44.93</v>
      </c>
      <c r="H2976">
        <v>1.67</v>
      </c>
      <c r="I2976">
        <v>0.8</v>
      </c>
      <c r="J2976" t="s">
        <v>51</v>
      </c>
      <c r="K2976" t="s">
        <v>34</v>
      </c>
      <c r="L2976">
        <v>124</v>
      </c>
      <c r="M2976">
        <v>1.1599999999999999</v>
      </c>
      <c r="N2976">
        <v>133.97</v>
      </c>
      <c r="O2976">
        <v>1.78</v>
      </c>
      <c r="P2976">
        <v>0</v>
      </c>
      <c r="Q2976">
        <v>0.76</v>
      </c>
      <c r="R2976">
        <v>761</v>
      </c>
      <c r="S2976">
        <v>8.69</v>
      </c>
      <c r="T2976">
        <v>0.26</v>
      </c>
      <c r="U2976" s="1">
        <v>45327</v>
      </c>
      <c r="V2976">
        <v>294.88</v>
      </c>
      <c r="W2976">
        <v>0.54200000000000004</v>
      </c>
      <c r="X2976" t="str">
        <f>IF(WarehouseData[[#This Row],[stock_level]]&lt;=WarehouseData[[#This Row],[reorder_point]],"Low Stock","Sufficient Stock")</f>
        <v>Sufficient Stock</v>
      </c>
      <c r="Y2976">
        <f>WarehouseData[[#This Row],[daily_demand]]*WarehouseData[[#This Row],[lead_time_days]]</f>
        <v>89.86</v>
      </c>
      <c r="Z2976" t="str">
        <f>IF(WarehouseData[[#This Row],[stock_level]]&lt;=WarehouseData[[#This Row],[Demand During Lead Time]],"At Risk","Safe")</f>
        <v>Safe</v>
      </c>
      <c r="AA2976">
        <f>WarehouseData[[#This Row],[stock_level]]/WarehouseData[[#This Row],[daily_demand]]</f>
        <v>9.1920765635432904</v>
      </c>
      <c r="AB2976">
        <f>WarehouseData[[#This Row],[stock_level]]*WarehouseData[[#This Row],[unit_price]]</f>
        <v>55329.61</v>
      </c>
      <c r="AC2976">
        <f>WarehouseData[[#This Row],[stock_level]]*WarehouseData[[#This Row],[holding_cost_per_unit_day]]*30</f>
        <v>22054.2</v>
      </c>
      <c r="AD2976" t="str">
        <f>IF(WarehouseData[[#This Row],[order_fulfillment_rate]]&gt;=0.9,"Strong",IF(WarehouseData[[#This Row],[order_fulfillment_rate]]&gt;=0.8,"Moderate","Needs Attention"))</f>
        <v>Needs Attention</v>
      </c>
      <c r="AE2976" t="str">
        <f>IF(WarehouseData[[#This Row],[picking_time_seconds]]&gt;120,"Slow",IF(WarehouseData[[#This Row],[picking_time_seconds]]&gt;=60,"Average","Fast"))</f>
        <v>Slow</v>
      </c>
    </row>
    <row r="2977" spans="1:31" x14ac:dyDescent="0.25">
      <c r="A2977" t="s">
        <v>3115</v>
      </c>
      <c r="B2977" t="s">
        <v>32</v>
      </c>
      <c r="C2977">
        <v>129</v>
      </c>
      <c r="D2977">
        <v>39</v>
      </c>
      <c r="E2977">
        <v>7</v>
      </c>
      <c r="F2977">
        <v>5</v>
      </c>
      <c r="G2977">
        <v>41.96</v>
      </c>
      <c r="H2977">
        <v>1.92</v>
      </c>
      <c r="I2977">
        <v>0.54</v>
      </c>
      <c r="J2977" t="s">
        <v>54</v>
      </c>
      <c r="K2977" t="s">
        <v>52</v>
      </c>
      <c r="L2977">
        <v>162</v>
      </c>
      <c r="M2977">
        <v>4.21</v>
      </c>
      <c r="N2977">
        <v>69.94</v>
      </c>
      <c r="O2977">
        <v>0.32</v>
      </c>
      <c r="P2977">
        <v>9</v>
      </c>
      <c r="Q2977">
        <v>0.97</v>
      </c>
      <c r="R2977">
        <v>666</v>
      </c>
      <c r="S2977">
        <v>6.46</v>
      </c>
      <c r="T2977">
        <v>0.68</v>
      </c>
      <c r="U2977" s="1">
        <v>45338</v>
      </c>
      <c r="V2977">
        <v>237.85</v>
      </c>
      <c r="W2977">
        <v>0.60399999999999998</v>
      </c>
      <c r="X2977" t="str">
        <f>IF(WarehouseData[[#This Row],[stock_level]]&lt;=WarehouseData[[#This Row],[reorder_point]],"Low Stock","Sufficient Stock")</f>
        <v>Sufficient Stock</v>
      </c>
      <c r="Y2977">
        <f>WarehouseData[[#This Row],[daily_demand]]*WarehouseData[[#This Row],[lead_time_days]]</f>
        <v>209.8</v>
      </c>
      <c r="Z2977" t="str">
        <f>IF(WarehouseData[[#This Row],[stock_level]]&lt;=WarehouseData[[#This Row],[Demand During Lead Time]],"At Risk","Safe")</f>
        <v>At Risk</v>
      </c>
      <c r="AA2977">
        <f>WarehouseData[[#This Row],[stock_level]]/WarehouseData[[#This Row],[daily_demand]]</f>
        <v>3.0743565300285987</v>
      </c>
      <c r="AB2977">
        <f>WarehouseData[[#This Row],[stock_level]]*WarehouseData[[#This Row],[unit_price]]</f>
        <v>9022.26</v>
      </c>
      <c r="AC2977">
        <f>WarehouseData[[#This Row],[stock_level]]*WarehouseData[[#This Row],[holding_cost_per_unit_day]]*30</f>
        <v>1238.4000000000001</v>
      </c>
      <c r="AD2977" t="str">
        <f>IF(WarehouseData[[#This Row],[order_fulfillment_rate]]&gt;=0.9,"Strong",IF(WarehouseData[[#This Row],[order_fulfillment_rate]]&gt;=0.8,"Moderate","Needs Attention"))</f>
        <v>Strong</v>
      </c>
      <c r="AE2977" t="str">
        <f>IF(WarehouseData[[#This Row],[picking_time_seconds]]&gt;120,"Slow",IF(WarehouseData[[#This Row],[picking_time_seconds]]&gt;=60,"Average","Fast"))</f>
        <v>Slow</v>
      </c>
    </row>
    <row r="2978" spans="1:31" x14ac:dyDescent="0.25">
      <c r="A2978" t="s">
        <v>3116</v>
      </c>
      <c r="B2978" t="s">
        <v>40</v>
      </c>
      <c r="C2978">
        <v>353</v>
      </c>
      <c r="D2978">
        <v>21</v>
      </c>
      <c r="E2978">
        <v>7</v>
      </c>
      <c r="F2978">
        <v>8</v>
      </c>
      <c r="G2978">
        <v>3.3</v>
      </c>
      <c r="H2978">
        <v>7.94</v>
      </c>
      <c r="I2978">
        <v>0.9</v>
      </c>
      <c r="J2978" t="s">
        <v>466</v>
      </c>
      <c r="K2978" t="s">
        <v>34</v>
      </c>
      <c r="L2978">
        <v>136</v>
      </c>
      <c r="M2978">
        <v>0.92</v>
      </c>
      <c r="N2978">
        <v>95.69</v>
      </c>
      <c r="O2978">
        <v>1.21</v>
      </c>
      <c r="P2978">
        <v>6</v>
      </c>
      <c r="Q2978">
        <v>0.93</v>
      </c>
      <c r="R2978">
        <v>962</v>
      </c>
      <c r="S2978">
        <v>11.43</v>
      </c>
      <c r="T2978">
        <v>0.6</v>
      </c>
      <c r="U2978" s="1">
        <v>45573</v>
      </c>
      <c r="V2978">
        <v>175.88</v>
      </c>
      <c r="W2978">
        <v>0.61699999999999999</v>
      </c>
      <c r="X2978" t="str">
        <f>IF(WarehouseData[[#This Row],[stock_level]]&lt;=WarehouseData[[#This Row],[reorder_point]],"Low Stock","Sufficient Stock")</f>
        <v>Sufficient Stock</v>
      </c>
      <c r="Y2978">
        <f>WarehouseData[[#This Row],[daily_demand]]*WarehouseData[[#This Row],[lead_time_days]]</f>
        <v>26.4</v>
      </c>
      <c r="Z2978" t="str">
        <f>IF(WarehouseData[[#This Row],[stock_level]]&lt;=WarehouseData[[#This Row],[Demand During Lead Time]],"At Risk","Safe")</f>
        <v>Safe</v>
      </c>
      <c r="AA2978">
        <f>WarehouseData[[#This Row],[stock_level]]/WarehouseData[[#This Row],[daily_demand]]</f>
        <v>106.96969696969697</v>
      </c>
      <c r="AB2978">
        <f>WarehouseData[[#This Row],[stock_level]]*WarehouseData[[#This Row],[unit_price]]</f>
        <v>33778.57</v>
      </c>
      <c r="AC2978">
        <f>WarehouseData[[#This Row],[stock_level]]*WarehouseData[[#This Row],[holding_cost_per_unit_day]]*30</f>
        <v>12813.9</v>
      </c>
      <c r="AD2978" t="str">
        <f>IF(WarehouseData[[#This Row],[order_fulfillment_rate]]&gt;=0.9,"Strong",IF(WarehouseData[[#This Row],[order_fulfillment_rate]]&gt;=0.8,"Moderate","Needs Attention"))</f>
        <v>Strong</v>
      </c>
      <c r="AE2978" t="str">
        <f>IF(WarehouseData[[#This Row],[picking_time_seconds]]&gt;120,"Slow",IF(WarehouseData[[#This Row],[picking_time_seconds]]&gt;=60,"Average","Fast"))</f>
        <v>Slow</v>
      </c>
    </row>
    <row r="2979" spans="1:31" x14ac:dyDescent="0.25">
      <c r="A2979" t="s">
        <v>3117</v>
      </c>
      <c r="B2979" t="s">
        <v>36</v>
      </c>
      <c r="C2979">
        <v>376</v>
      </c>
      <c r="D2979">
        <v>44</v>
      </c>
      <c r="E2979">
        <v>10</v>
      </c>
      <c r="F2979">
        <v>2</v>
      </c>
      <c r="G2979">
        <v>47.44</v>
      </c>
      <c r="H2979">
        <v>6.09</v>
      </c>
      <c r="I2979">
        <v>0.63</v>
      </c>
      <c r="J2979" t="s">
        <v>113</v>
      </c>
      <c r="K2979" t="s">
        <v>52</v>
      </c>
      <c r="L2979">
        <v>125</v>
      </c>
      <c r="M2979">
        <v>2.84</v>
      </c>
      <c r="N2979">
        <v>13.82</v>
      </c>
      <c r="O2979">
        <v>1.91</v>
      </c>
      <c r="P2979">
        <v>4</v>
      </c>
      <c r="Q2979">
        <v>0.81</v>
      </c>
      <c r="R2979">
        <v>640</v>
      </c>
      <c r="S2979">
        <v>9.17</v>
      </c>
      <c r="T2979">
        <v>0.43</v>
      </c>
      <c r="U2979" s="1">
        <v>45437</v>
      </c>
      <c r="V2979">
        <v>27.91</v>
      </c>
      <c r="W2979">
        <v>0.499</v>
      </c>
      <c r="X2979" t="str">
        <f>IF(WarehouseData[[#This Row],[stock_level]]&lt;=WarehouseData[[#This Row],[reorder_point]],"Low Stock","Sufficient Stock")</f>
        <v>Sufficient Stock</v>
      </c>
      <c r="Y2979">
        <f>WarehouseData[[#This Row],[daily_demand]]*WarehouseData[[#This Row],[lead_time_days]]</f>
        <v>94.88</v>
      </c>
      <c r="Z2979" t="str">
        <f>IF(WarehouseData[[#This Row],[stock_level]]&lt;=WarehouseData[[#This Row],[Demand During Lead Time]],"At Risk","Safe")</f>
        <v>Safe</v>
      </c>
      <c r="AA2979">
        <f>WarehouseData[[#This Row],[stock_level]]/WarehouseData[[#This Row],[daily_demand]]</f>
        <v>7.9258010118043849</v>
      </c>
      <c r="AB2979">
        <f>WarehouseData[[#This Row],[stock_level]]*WarehouseData[[#This Row],[unit_price]]</f>
        <v>5196.32</v>
      </c>
      <c r="AC2979">
        <f>WarehouseData[[#This Row],[stock_level]]*WarehouseData[[#This Row],[holding_cost_per_unit_day]]*30</f>
        <v>21544.799999999999</v>
      </c>
      <c r="AD2979" t="str">
        <f>IF(WarehouseData[[#This Row],[order_fulfillment_rate]]&gt;=0.9,"Strong",IF(WarehouseData[[#This Row],[order_fulfillment_rate]]&gt;=0.8,"Moderate","Needs Attention"))</f>
        <v>Moderate</v>
      </c>
      <c r="AE2979" t="str">
        <f>IF(WarehouseData[[#This Row],[picking_time_seconds]]&gt;120,"Slow",IF(WarehouseData[[#This Row],[picking_time_seconds]]&gt;=60,"Average","Fast"))</f>
        <v>Slow</v>
      </c>
    </row>
    <row r="2980" spans="1:31" x14ac:dyDescent="0.25">
      <c r="A2980" t="s">
        <v>3118</v>
      </c>
      <c r="B2980" t="s">
        <v>48</v>
      </c>
      <c r="C2980">
        <v>165</v>
      </c>
      <c r="D2980">
        <v>86</v>
      </c>
      <c r="E2980">
        <v>11</v>
      </c>
      <c r="F2980">
        <v>3</v>
      </c>
      <c r="G2980">
        <v>7.31</v>
      </c>
      <c r="H2980">
        <v>4.12</v>
      </c>
      <c r="I2980">
        <v>0.32</v>
      </c>
      <c r="J2980" t="s">
        <v>135</v>
      </c>
      <c r="K2980" t="s">
        <v>34</v>
      </c>
      <c r="L2980">
        <v>158</v>
      </c>
      <c r="M2980">
        <v>2.5</v>
      </c>
      <c r="N2980">
        <v>141.76</v>
      </c>
      <c r="O2980">
        <v>1.07</v>
      </c>
      <c r="P2980">
        <v>4</v>
      </c>
      <c r="Q2980">
        <v>0.94</v>
      </c>
      <c r="R2980">
        <v>705</v>
      </c>
      <c r="S2980">
        <v>6.34</v>
      </c>
      <c r="T2980">
        <v>0.98</v>
      </c>
      <c r="U2980" s="1">
        <v>45578</v>
      </c>
      <c r="V2980">
        <v>14.24</v>
      </c>
      <c r="W2980">
        <v>0.68200000000000005</v>
      </c>
      <c r="X2980" t="str">
        <f>IF(WarehouseData[[#This Row],[stock_level]]&lt;=WarehouseData[[#This Row],[reorder_point]],"Low Stock","Sufficient Stock")</f>
        <v>Sufficient Stock</v>
      </c>
      <c r="Y2980">
        <f>WarehouseData[[#This Row],[daily_demand]]*WarehouseData[[#This Row],[lead_time_days]]</f>
        <v>21.93</v>
      </c>
      <c r="Z2980" t="str">
        <f>IF(WarehouseData[[#This Row],[stock_level]]&lt;=WarehouseData[[#This Row],[Demand During Lead Time]],"At Risk","Safe")</f>
        <v>Safe</v>
      </c>
      <c r="AA2980">
        <f>WarehouseData[[#This Row],[stock_level]]/WarehouseData[[#This Row],[daily_demand]]</f>
        <v>22.571819425444598</v>
      </c>
      <c r="AB2980">
        <f>WarehouseData[[#This Row],[stock_level]]*WarehouseData[[#This Row],[unit_price]]</f>
        <v>23390.399999999998</v>
      </c>
      <c r="AC2980">
        <f>WarehouseData[[#This Row],[stock_level]]*WarehouseData[[#This Row],[holding_cost_per_unit_day]]*30</f>
        <v>5296.5</v>
      </c>
      <c r="AD2980" t="str">
        <f>IF(WarehouseData[[#This Row],[order_fulfillment_rate]]&gt;=0.9,"Strong",IF(WarehouseData[[#This Row],[order_fulfillment_rate]]&gt;=0.8,"Moderate","Needs Attention"))</f>
        <v>Strong</v>
      </c>
      <c r="AE2980" t="str">
        <f>IF(WarehouseData[[#This Row],[picking_time_seconds]]&gt;120,"Slow",IF(WarehouseData[[#This Row],[picking_time_seconds]]&gt;=60,"Average","Fast"))</f>
        <v>Slow</v>
      </c>
    </row>
    <row r="2981" spans="1:31" x14ac:dyDescent="0.25">
      <c r="A2981" t="s">
        <v>3119</v>
      </c>
      <c r="B2981" t="s">
        <v>36</v>
      </c>
      <c r="C2981">
        <v>235</v>
      </c>
      <c r="D2981">
        <v>61</v>
      </c>
      <c r="E2981">
        <v>9</v>
      </c>
      <c r="F2981">
        <v>9</v>
      </c>
      <c r="G2981">
        <v>2.69</v>
      </c>
      <c r="H2981">
        <v>3.66</v>
      </c>
      <c r="I2981">
        <v>0.61</v>
      </c>
      <c r="J2981" t="s">
        <v>245</v>
      </c>
      <c r="K2981" t="s">
        <v>52</v>
      </c>
      <c r="L2981">
        <v>77</v>
      </c>
      <c r="M2981">
        <v>1.5</v>
      </c>
      <c r="N2981">
        <v>177.82</v>
      </c>
      <c r="O2981">
        <v>0.37</v>
      </c>
      <c r="P2981">
        <v>7</v>
      </c>
      <c r="Q2981">
        <v>0.74</v>
      </c>
      <c r="R2981">
        <v>760</v>
      </c>
      <c r="S2981">
        <v>5.57</v>
      </c>
      <c r="T2981">
        <v>0.8</v>
      </c>
      <c r="U2981" s="1">
        <v>45590</v>
      </c>
      <c r="V2981">
        <v>40.520000000000003</v>
      </c>
      <c r="W2981">
        <v>0.60499999999999998</v>
      </c>
      <c r="X2981" t="str">
        <f>IF(WarehouseData[[#This Row],[stock_level]]&lt;=WarehouseData[[#This Row],[reorder_point]],"Low Stock","Sufficient Stock")</f>
        <v>Sufficient Stock</v>
      </c>
      <c r="Y2981">
        <f>WarehouseData[[#This Row],[daily_demand]]*WarehouseData[[#This Row],[lead_time_days]]</f>
        <v>24.21</v>
      </c>
      <c r="Z2981" t="str">
        <f>IF(WarehouseData[[#This Row],[stock_level]]&lt;=WarehouseData[[#This Row],[Demand During Lead Time]],"At Risk","Safe")</f>
        <v>Safe</v>
      </c>
      <c r="AA2981">
        <f>WarehouseData[[#This Row],[stock_level]]/WarehouseData[[#This Row],[daily_demand]]</f>
        <v>87.360594795539029</v>
      </c>
      <c r="AB2981">
        <f>WarehouseData[[#This Row],[stock_level]]*WarehouseData[[#This Row],[unit_price]]</f>
        <v>41787.699999999997</v>
      </c>
      <c r="AC2981">
        <f>WarehouseData[[#This Row],[stock_level]]*WarehouseData[[#This Row],[holding_cost_per_unit_day]]*30</f>
        <v>2608.5</v>
      </c>
      <c r="AD2981" t="str">
        <f>IF(WarehouseData[[#This Row],[order_fulfillment_rate]]&gt;=0.9,"Strong",IF(WarehouseData[[#This Row],[order_fulfillment_rate]]&gt;=0.8,"Moderate","Needs Attention"))</f>
        <v>Needs Attention</v>
      </c>
      <c r="AE2981" t="str">
        <f>IF(WarehouseData[[#This Row],[picking_time_seconds]]&gt;120,"Slow",IF(WarehouseData[[#This Row],[picking_time_seconds]]&gt;=60,"Average","Fast"))</f>
        <v>Average</v>
      </c>
    </row>
    <row r="2982" spans="1:31" x14ac:dyDescent="0.25">
      <c r="A2982" t="s">
        <v>3120</v>
      </c>
      <c r="B2982" t="s">
        <v>40</v>
      </c>
      <c r="C2982">
        <v>417</v>
      </c>
      <c r="D2982">
        <v>40</v>
      </c>
      <c r="E2982">
        <v>7</v>
      </c>
      <c r="F2982">
        <v>9</v>
      </c>
      <c r="G2982">
        <v>21.3</v>
      </c>
      <c r="H2982">
        <v>8.6300000000000008</v>
      </c>
      <c r="I2982">
        <v>0.1</v>
      </c>
      <c r="J2982" t="s">
        <v>81</v>
      </c>
      <c r="K2982" t="s">
        <v>46</v>
      </c>
      <c r="L2982">
        <v>56</v>
      </c>
      <c r="M2982">
        <v>1.86</v>
      </c>
      <c r="N2982">
        <v>195.6</v>
      </c>
      <c r="O2982">
        <v>0.85</v>
      </c>
      <c r="P2982">
        <v>8</v>
      </c>
      <c r="Q2982">
        <v>0.74</v>
      </c>
      <c r="R2982">
        <v>667</v>
      </c>
      <c r="S2982">
        <v>13.79</v>
      </c>
      <c r="T2982">
        <v>0.75</v>
      </c>
      <c r="U2982" s="1">
        <v>45470</v>
      </c>
      <c r="V2982">
        <v>104.87</v>
      </c>
      <c r="W2982">
        <v>0.63700000000000001</v>
      </c>
      <c r="X2982" t="str">
        <f>IF(WarehouseData[[#This Row],[stock_level]]&lt;=WarehouseData[[#This Row],[reorder_point]],"Low Stock","Sufficient Stock")</f>
        <v>Sufficient Stock</v>
      </c>
      <c r="Y2982">
        <f>WarehouseData[[#This Row],[daily_demand]]*WarehouseData[[#This Row],[lead_time_days]]</f>
        <v>191.70000000000002</v>
      </c>
      <c r="Z2982" t="str">
        <f>IF(WarehouseData[[#This Row],[stock_level]]&lt;=WarehouseData[[#This Row],[Demand During Lead Time]],"At Risk","Safe")</f>
        <v>Safe</v>
      </c>
      <c r="AA2982">
        <f>WarehouseData[[#This Row],[stock_level]]/WarehouseData[[#This Row],[daily_demand]]</f>
        <v>19.577464788732392</v>
      </c>
      <c r="AB2982">
        <f>WarehouseData[[#This Row],[stock_level]]*WarehouseData[[#This Row],[unit_price]]</f>
        <v>81565.2</v>
      </c>
      <c r="AC2982">
        <f>WarehouseData[[#This Row],[stock_level]]*WarehouseData[[#This Row],[holding_cost_per_unit_day]]*30</f>
        <v>10633.5</v>
      </c>
      <c r="AD2982" t="str">
        <f>IF(WarehouseData[[#This Row],[order_fulfillment_rate]]&gt;=0.9,"Strong",IF(WarehouseData[[#This Row],[order_fulfillment_rate]]&gt;=0.8,"Moderate","Needs Attention"))</f>
        <v>Needs Attention</v>
      </c>
      <c r="AE2982" t="str">
        <f>IF(WarehouseData[[#This Row],[picking_time_seconds]]&gt;120,"Slow",IF(WarehouseData[[#This Row],[picking_time_seconds]]&gt;=60,"Average","Fast"))</f>
        <v>Fast</v>
      </c>
    </row>
    <row r="2983" spans="1:31" x14ac:dyDescent="0.25">
      <c r="A2983" t="s">
        <v>3121</v>
      </c>
      <c r="B2983" t="s">
        <v>48</v>
      </c>
      <c r="C2983">
        <v>181</v>
      </c>
      <c r="D2983">
        <v>96</v>
      </c>
      <c r="E2983">
        <v>5</v>
      </c>
      <c r="F2983">
        <v>7</v>
      </c>
      <c r="G2983">
        <v>10.54</v>
      </c>
      <c r="H2983">
        <v>8.81</v>
      </c>
      <c r="I2983">
        <v>0.38</v>
      </c>
      <c r="J2983" t="s">
        <v>178</v>
      </c>
      <c r="K2983" t="s">
        <v>34</v>
      </c>
      <c r="L2983">
        <v>136</v>
      </c>
      <c r="M2983">
        <v>1.24</v>
      </c>
      <c r="N2983">
        <v>167.8</v>
      </c>
      <c r="O2983">
        <v>1.29</v>
      </c>
      <c r="P2983">
        <v>9</v>
      </c>
      <c r="Q2983">
        <v>0.98</v>
      </c>
      <c r="R2983">
        <v>388</v>
      </c>
      <c r="S2983">
        <v>1.56</v>
      </c>
      <c r="T2983">
        <v>0.35</v>
      </c>
      <c r="U2983" s="1">
        <v>45469</v>
      </c>
      <c r="V2983">
        <v>185.85</v>
      </c>
      <c r="W2983">
        <v>0.378</v>
      </c>
      <c r="X2983" t="str">
        <f>IF(WarehouseData[[#This Row],[stock_level]]&lt;=WarehouseData[[#This Row],[reorder_point]],"Low Stock","Sufficient Stock")</f>
        <v>Sufficient Stock</v>
      </c>
      <c r="Y2983">
        <f>WarehouseData[[#This Row],[daily_demand]]*WarehouseData[[#This Row],[lead_time_days]]</f>
        <v>73.78</v>
      </c>
      <c r="Z2983" t="str">
        <f>IF(WarehouseData[[#This Row],[stock_level]]&lt;=WarehouseData[[#This Row],[Demand During Lead Time]],"At Risk","Safe")</f>
        <v>Safe</v>
      </c>
      <c r="AA2983">
        <f>WarehouseData[[#This Row],[stock_level]]/WarehouseData[[#This Row],[daily_demand]]</f>
        <v>17.172675521821635</v>
      </c>
      <c r="AB2983">
        <f>WarehouseData[[#This Row],[stock_level]]*WarehouseData[[#This Row],[unit_price]]</f>
        <v>30371.800000000003</v>
      </c>
      <c r="AC2983">
        <f>WarehouseData[[#This Row],[stock_level]]*WarehouseData[[#This Row],[holding_cost_per_unit_day]]*30</f>
        <v>7004.7000000000007</v>
      </c>
      <c r="AD2983" t="str">
        <f>IF(WarehouseData[[#This Row],[order_fulfillment_rate]]&gt;=0.9,"Strong",IF(WarehouseData[[#This Row],[order_fulfillment_rate]]&gt;=0.8,"Moderate","Needs Attention"))</f>
        <v>Strong</v>
      </c>
      <c r="AE2983" t="str">
        <f>IF(WarehouseData[[#This Row],[picking_time_seconds]]&gt;120,"Slow",IF(WarehouseData[[#This Row],[picking_time_seconds]]&gt;=60,"Average","Fast"))</f>
        <v>Slow</v>
      </c>
    </row>
    <row r="2984" spans="1:31" x14ac:dyDescent="0.25">
      <c r="A2984" t="s">
        <v>3122</v>
      </c>
      <c r="B2984" t="s">
        <v>73</v>
      </c>
      <c r="C2984">
        <v>147</v>
      </c>
      <c r="D2984">
        <v>77</v>
      </c>
      <c r="E2984">
        <v>3</v>
      </c>
      <c r="F2984">
        <v>2</v>
      </c>
      <c r="G2984">
        <v>10.029999999999999</v>
      </c>
      <c r="H2984">
        <v>6.02</v>
      </c>
      <c r="I2984">
        <v>0.28999999999999998</v>
      </c>
      <c r="J2984" t="s">
        <v>95</v>
      </c>
      <c r="K2984" t="s">
        <v>52</v>
      </c>
      <c r="L2984">
        <v>44</v>
      </c>
      <c r="M2984">
        <v>2.42</v>
      </c>
      <c r="N2984">
        <v>16.04</v>
      </c>
      <c r="O2984">
        <v>1.55</v>
      </c>
      <c r="P2984">
        <v>0</v>
      </c>
      <c r="Q2984">
        <v>0.73</v>
      </c>
      <c r="R2984">
        <v>471</v>
      </c>
      <c r="S2984">
        <v>10.67</v>
      </c>
      <c r="T2984">
        <v>0.43</v>
      </c>
      <c r="U2984" s="1">
        <v>45433</v>
      </c>
      <c r="V2984">
        <v>67.27</v>
      </c>
      <c r="W2984">
        <v>0.61899999999999999</v>
      </c>
      <c r="X2984" t="str">
        <f>IF(WarehouseData[[#This Row],[stock_level]]&lt;=WarehouseData[[#This Row],[reorder_point]],"Low Stock","Sufficient Stock")</f>
        <v>Sufficient Stock</v>
      </c>
      <c r="Y2984">
        <f>WarehouseData[[#This Row],[daily_demand]]*WarehouseData[[#This Row],[lead_time_days]]</f>
        <v>20.059999999999999</v>
      </c>
      <c r="Z2984" t="str">
        <f>IF(WarehouseData[[#This Row],[stock_level]]&lt;=WarehouseData[[#This Row],[Demand During Lead Time]],"At Risk","Safe")</f>
        <v>Safe</v>
      </c>
      <c r="AA2984">
        <f>WarehouseData[[#This Row],[stock_level]]/WarehouseData[[#This Row],[daily_demand]]</f>
        <v>14.65603190428714</v>
      </c>
      <c r="AB2984">
        <f>WarehouseData[[#This Row],[stock_level]]*WarehouseData[[#This Row],[unit_price]]</f>
        <v>2357.8799999999997</v>
      </c>
      <c r="AC2984">
        <f>WarehouseData[[#This Row],[stock_level]]*WarehouseData[[#This Row],[holding_cost_per_unit_day]]*30</f>
        <v>6835.5</v>
      </c>
      <c r="AD2984" t="str">
        <f>IF(WarehouseData[[#This Row],[order_fulfillment_rate]]&gt;=0.9,"Strong",IF(WarehouseData[[#This Row],[order_fulfillment_rate]]&gt;=0.8,"Moderate","Needs Attention"))</f>
        <v>Needs Attention</v>
      </c>
      <c r="AE2984" t="str">
        <f>IF(WarehouseData[[#This Row],[picking_time_seconds]]&gt;120,"Slow",IF(WarehouseData[[#This Row],[picking_time_seconds]]&gt;=60,"Average","Fast"))</f>
        <v>Fast</v>
      </c>
    </row>
    <row r="2985" spans="1:31" x14ac:dyDescent="0.25">
      <c r="A2985" t="s">
        <v>3123</v>
      </c>
      <c r="B2985" t="s">
        <v>73</v>
      </c>
      <c r="C2985">
        <v>333</v>
      </c>
      <c r="D2985">
        <v>61</v>
      </c>
      <c r="E2985">
        <v>13</v>
      </c>
      <c r="F2985">
        <v>3</v>
      </c>
      <c r="G2985">
        <v>15.1</v>
      </c>
      <c r="H2985">
        <v>5.48</v>
      </c>
      <c r="I2985">
        <v>0.69</v>
      </c>
      <c r="J2985" t="s">
        <v>92</v>
      </c>
      <c r="K2985" t="s">
        <v>38</v>
      </c>
      <c r="L2985">
        <v>16</v>
      </c>
      <c r="M2985">
        <v>0.66</v>
      </c>
      <c r="N2985">
        <v>133.85</v>
      </c>
      <c r="O2985">
        <v>1.25</v>
      </c>
      <c r="P2985">
        <v>9</v>
      </c>
      <c r="Q2985">
        <v>0.7</v>
      </c>
      <c r="R2985">
        <v>138</v>
      </c>
      <c r="S2985">
        <v>6.49</v>
      </c>
      <c r="T2985">
        <v>0.68</v>
      </c>
      <c r="U2985" s="1">
        <v>45407</v>
      </c>
      <c r="V2985">
        <v>24.83</v>
      </c>
      <c r="W2985">
        <v>0.45800000000000002</v>
      </c>
      <c r="X2985" t="str">
        <f>IF(WarehouseData[[#This Row],[stock_level]]&lt;=WarehouseData[[#This Row],[reorder_point]],"Low Stock","Sufficient Stock")</f>
        <v>Sufficient Stock</v>
      </c>
      <c r="Y2985">
        <f>WarehouseData[[#This Row],[daily_demand]]*WarehouseData[[#This Row],[lead_time_days]]</f>
        <v>45.3</v>
      </c>
      <c r="Z2985" t="str">
        <f>IF(WarehouseData[[#This Row],[stock_level]]&lt;=WarehouseData[[#This Row],[Demand During Lead Time]],"At Risk","Safe")</f>
        <v>Safe</v>
      </c>
      <c r="AA2985">
        <f>WarehouseData[[#This Row],[stock_level]]/WarehouseData[[#This Row],[daily_demand]]</f>
        <v>22.052980132450333</v>
      </c>
      <c r="AB2985">
        <f>WarehouseData[[#This Row],[stock_level]]*WarehouseData[[#This Row],[unit_price]]</f>
        <v>44572.049999999996</v>
      </c>
      <c r="AC2985">
        <f>WarehouseData[[#This Row],[stock_level]]*WarehouseData[[#This Row],[holding_cost_per_unit_day]]*30</f>
        <v>12487.5</v>
      </c>
      <c r="AD2985" t="str">
        <f>IF(WarehouseData[[#This Row],[order_fulfillment_rate]]&gt;=0.9,"Strong",IF(WarehouseData[[#This Row],[order_fulfillment_rate]]&gt;=0.8,"Moderate","Needs Attention"))</f>
        <v>Needs Attention</v>
      </c>
      <c r="AE2985" t="str">
        <f>IF(WarehouseData[[#This Row],[picking_time_seconds]]&gt;120,"Slow",IF(WarehouseData[[#This Row],[picking_time_seconds]]&gt;=60,"Average","Fast"))</f>
        <v>Fast</v>
      </c>
    </row>
    <row r="2986" spans="1:31" x14ac:dyDescent="0.25">
      <c r="A2986" t="s">
        <v>3124</v>
      </c>
      <c r="B2986" t="s">
        <v>32</v>
      </c>
      <c r="C2986">
        <v>351</v>
      </c>
      <c r="D2986">
        <v>89</v>
      </c>
      <c r="E2986">
        <v>11</v>
      </c>
      <c r="F2986">
        <v>9</v>
      </c>
      <c r="G2986">
        <v>13.17</v>
      </c>
      <c r="H2986">
        <v>8.26</v>
      </c>
      <c r="I2986">
        <v>0.22</v>
      </c>
      <c r="J2986" t="s">
        <v>144</v>
      </c>
      <c r="K2986" t="s">
        <v>38</v>
      </c>
      <c r="L2986">
        <v>125</v>
      </c>
      <c r="M2986">
        <v>4.5</v>
      </c>
      <c r="N2986">
        <v>104.18</v>
      </c>
      <c r="O2986">
        <v>0.17</v>
      </c>
      <c r="P2986">
        <v>3</v>
      </c>
      <c r="Q2986">
        <v>0.82</v>
      </c>
      <c r="R2986">
        <v>381</v>
      </c>
      <c r="S2986">
        <v>6.28</v>
      </c>
      <c r="T2986">
        <v>0.84</v>
      </c>
      <c r="U2986" s="1">
        <v>45602</v>
      </c>
      <c r="V2986">
        <v>36.35</v>
      </c>
      <c r="W2986">
        <v>0.73899999999999999</v>
      </c>
      <c r="X2986" t="str">
        <f>IF(WarehouseData[[#This Row],[stock_level]]&lt;=WarehouseData[[#This Row],[reorder_point]],"Low Stock","Sufficient Stock")</f>
        <v>Sufficient Stock</v>
      </c>
      <c r="Y2986">
        <f>WarehouseData[[#This Row],[daily_demand]]*WarehouseData[[#This Row],[lead_time_days]]</f>
        <v>118.53</v>
      </c>
      <c r="Z2986" t="str">
        <f>IF(WarehouseData[[#This Row],[stock_level]]&lt;=WarehouseData[[#This Row],[Demand During Lead Time]],"At Risk","Safe")</f>
        <v>Safe</v>
      </c>
      <c r="AA2986">
        <f>WarehouseData[[#This Row],[stock_level]]/WarehouseData[[#This Row],[daily_demand]]</f>
        <v>26.651480637813211</v>
      </c>
      <c r="AB2986">
        <f>WarehouseData[[#This Row],[stock_level]]*WarehouseData[[#This Row],[unit_price]]</f>
        <v>36567.18</v>
      </c>
      <c r="AC2986">
        <f>WarehouseData[[#This Row],[stock_level]]*WarehouseData[[#This Row],[holding_cost_per_unit_day]]*30</f>
        <v>1790.1000000000001</v>
      </c>
      <c r="AD2986" t="str">
        <f>IF(WarehouseData[[#This Row],[order_fulfillment_rate]]&gt;=0.9,"Strong",IF(WarehouseData[[#This Row],[order_fulfillment_rate]]&gt;=0.8,"Moderate","Needs Attention"))</f>
        <v>Moderate</v>
      </c>
      <c r="AE2986" t="str">
        <f>IF(WarehouseData[[#This Row],[picking_time_seconds]]&gt;120,"Slow",IF(WarehouseData[[#This Row],[picking_time_seconds]]&gt;=60,"Average","Fast"))</f>
        <v>Slow</v>
      </c>
    </row>
    <row r="2987" spans="1:31" x14ac:dyDescent="0.25">
      <c r="A2987" t="s">
        <v>3125</v>
      </c>
      <c r="B2987" t="s">
        <v>40</v>
      </c>
      <c r="C2987">
        <v>169</v>
      </c>
      <c r="D2987">
        <v>16</v>
      </c>
      <c r="E2987">
        <v>7</v>
      </c>
      <c r="F2987">
        <v>4</v>
      </c>
      <c r="G2987">
        <v>34.549999999999997</v>
      </c>
      <c r="H2987">
        <v>7.62</v>
      </c>
      <c r="I2987">
        <v>0.36</v>
      </c>
      <c r="J2987" t="s">
        <v>357</v>
      </c>
      <c r="K2987" t="s">
        <v>38</v>
      </c>
      <c r="L2987">
        <v>61</v>
      </c>
      <c r="M2987">
        <v>1.24</v>
      </c>
      <c r="N2987">
        <v>188.2</v>
      </c>
      <c r="O2987">
        <v>0.37</v>
      </c>
      <c r="P2987">
        <v>1</v>
      </c>
      <c r="Q2987">
        <v>0.73</v>
      </c>
      <c r="R2987">
        <v>480</v>
      </c>
      <c r="S2987">
        <v>10.130000000000001</v>
      </c>
      <c r="T2987">
        <v>0.94</v>
      </c>
      <c r="U2987" s="1">
        <v>45391</v>
      </c>
      <c r="V2987">
        <v>133.77000000000001</v>
      </c>
      <c r="W2987">
        <v>0.81200000000000006</v>
      </c>
      <c r="X2987" t="str">
        <f>IF(WarehouseData[[#This Row],[stock_level]]&lt;=WarehouseData[[#This Row],[reorder_point]],"Low Stock","Sufficient Stock")</f>
        <v>Sufficient Stock</v>
      </c>
      <c r="Y2987">
        <f>WarehouseData[[#This Row],[daily_demand]]*WarehouseData[[#This Row],[lead_time_days]]</f>
        <v>138.19999999999999</v>
      </c>
      <c r="Z2987" t="str">
        <f>IF(WarehouseData[[#This Row],[stock_level]]&lt;=WarehouseData[[#This Row],[Demand During Lead Time]],"At Risk","Safe")</f>
        <v>Safe</v>
      </c>
      <c r="AA2987">
        <f>WarehouseData[[#This Row],[stock_level]]/WarehouseData[[#This Row],[daily_demand]]</f>
        <v>4.891461649782924</v>
      </c>
      <c r="AB2987">
        <f>WarehouseData[[#This Row],[stock_level]]*WarehouseData[[#This Row],[unit_price]]</f>
        <v>31805.8</v>
      </c>
      <c r="AC2987">
        <f>WarehouseData[[#This Row],[stock_level]]*WarehouseData[[#This Row],[holding_cost_per_unit_day]]*30</f>
        <v>1875.9</v>
      </c>
      <c r="AD2987" t="str">
        <f>IF(WarehouseData[[#This Row],[order_fulfillment_rate]]&gt;=0.9,"Strong",IF(WarehouseData[[#This Row],[order_fulfillment_rate]]&gt;=0.8,"Moderate","Needs Attention"))</f>
        <v>Needs Attention</v>
      </c>
      <c r="AE2987" t="str">
        <f>IF(WarehouseData[[#This Row],[picking_time_seconds]]&gt;120,"Slow",IF(WarehouseData[[#This Row],[picking_time_seconds]]&gt;=60,"Average","Fast"))</f>
        <v>Average</v>
      </c>
    </row>
    <row r="2988" spans="1:31" x14ac:dyDescent="0.25">
      <c r="A2988" t="s">
        <v>3126</v>
      </c>
      <c r="B2988" t="s">
        <v>40</v>
      </c>
      <c r="C2988">
        <v>473</v>
      </c>
      <c r="D2988">
        <v>31</v>
      </c>
      <c r="E2988">
        <v>11</v>
      </c>
      <c r="F2988">
        <v>2</v>
      </c>
      <c r="G2988">
        <v>10.15</v>
      </c>
      <c r="H2988">
        <v>4.3</v>
      </c>
      <c r="I2988">
        <v>0.4</v>
      </c>
      <c r="J2988" t="s">
        <v>263</v>
      </c>
      <c r="K2988" t="s">
        <v>34</v>
      </c>
      <c r="L2988">
        <v>119</v>
      </c>
      <c r="M2988">
        <v>4.49</v>
      </c>
      <c r="N2988">
        <v>181.41</v>
      </c>
      <c r="O2988">
        <v>0.81</v>
      </c>
      <c r="P2988">
        <v>8</v>
      </c>
      <c r="Q2988">
        <v>0.96</v>
      </c>
      <c r="R2988">
        <v>827</v>
      </c>
      <c r="S2988">
        <v>12.91</v>
      </c>
      <c r="T2988">
        <v>0.76</v>
      </c>
      <c r="U2988" s="1">
        <v>45524</v>
      </c>
      <c r="V2988">
        <v>234.21</v>
      </c>
      <c r="W2988">
        <v>0.67500000000000004</v>
      </c>
      <c r="X2988" t="str">
        <f>IF(WarehouseData[[#This Row],[stock_level]]&lt;=WarehouseData[[#This Row],[reorder_point]],"Low Stock","Sufficient Stock")</f>
        <v>Sufficient Stock</v>
      </c>
      <c r="Y2988">
        <f>WarehouseData[[#This Row],[daily_demand]]*WarehouseData[[#This Row],[lead_time_days]]</f>
        <v>20.3</v>
      </c>
      <c r="Z2988" t="str">
        <f>IF(WarehouseData[[#This Row],[stock_level]]&lt;=WarehouseData[[#This Row],[Demand During Lead Time]],"At Risk","Safe")</f>
        <v>Safe</v>
      </c>
      <c r="AA2988">
        <f>WarehouseData[[#This Row],[stock_level]]/WarehouseData[[#This Row],[daily_demand]]</f>
        <v>46.600985221674875</v>
      </c>
      <c r="AB2988">
        <f>WarehouseData[[#This Row],[stock_level]]*WarehouseData[[#This Row],[unit_price]]</f>
        <v>85806.93</v>
      </c>
      <c r="AC2988">
        <f>WarehouseData[[#This Row],[stock_level]]*WarehouseData[[#This Row],[holding_cost_per_unit_day]]*30</f>
        <v>11493.900000000001</v>
      </c>
      <c r="AD2988" t="str">
        <f>IF(WarehouseData[[#This Row],[order_fulfillment_rate]]&gt;=0.9,"Strong",IF(WarehouseData[[#This Row],[order_fulfillment_rate]]&gt;=0.8,"Moderate","Needs Attention"))</f>
        <v>Strong</v>
      </c>
      <c r="AE2988" t="str">
        <f>IF(WarehouseData[[#This Row],[picking_time_seconds]]&gt;120,"Slow",IF(WarehouseData[[#This Row],[picking_time_seconds]]&gt;=60,"Average","Fast"))</f>
        <v>Average</v>
      </c>
    </row>
    <row r="2989" spans="1:31" x14ac:dyDescent="0.25">
      <c r="A2989" t="s">
        <v>3127</v>
      </c>
      <c r="B2989" t="s">
        <v>73</v>
      </c>
      <c r="C2989">
        <v>55</v>
      </c>
      <c r="D2989">
        <v>84</v>
      </c>
      <c r="E2989">
        <v>12</v>
      </c>
      <c r="F2989">
        <v>2</v>
      </c>
      <c r="G2989">
        <v>27.61</v>
      </c>
      <c r="H2989">
        <v>1.29</v>
      </c>
      <c r="I2989">
        <v>0.1</v>
      </c>
      <c r="J2989" t="s">
        <v>137</v>
      </c>
      <c r="K2989" t="s">
        <v>52</v>
      </c>
      <c r="L2989">
        <v>55</v>
      </c>
      <c r="M2989">
        <v>4.3899999999999997</v>
      </c>
      <c r="N2989">
        <v>197.73</v>
      </c>
      <c r="O2989">
        <v>1.44</v>
      </c>
      <c r="P2989">
        <v>8</v>
      </c>
      <c r="Q2989">
        <v>0.98</v>
      </c>
      <c r="R2989">
        <v>812</v>
      </c>
      <c r="S2989">
        <v>11.14</v>
      </c>
      <c r="T2989">
        <v>0.53</v>
      </c>
      <c r="U2989" s="1">
        <v>45498</v>
      </c>
      <c r="V2989">
        <v>248.12</v>
      </c>
      <c r="W2989">
        <v>0.54700000000000004</v>
      </c>
      <c r="X2989" t="str">
        <f>IF(WarehouseData[[#This Row],[stock_level]]&lt;=WarehouseData[[#This Row],[reorder_point]],"Low Stock","Sufficient Stock")</f>
        <v>Low Stock</v>
      </c>
      <c r="Y2989">
        <f>WarehouseData[[#This Row],[daily_demand]]*WarehouseData[[#This Row],[lead_time_days]]</f>
        <v>55.22</v>
      </c>
      <c r="Z2989" t="str">
        <f>IF(WarehouseData[[#This Row],[stock_level]]&lt;=WarehouseData[[#This Row],[Demand During Lead Time]],"At Risk","Safe")</f>
        <v>At Risk</v>
      </c>
      <c r="AA2989">
        <f>WarehouseData[[#This Row],[stock_level]]/WarehouseData[[#This Row],[daily_demand]]</f>
        <v>1.9920318725099602</v>
      </c>
      <c r="AB2989">
        <f>WarehouseData[[#This Row],[stock_level]]*WarehouseData[[#This Row],[unit_price]]</f>
        <v>10875.15</v>
      </c>
      <c r="AC2989">
        <f>WarehouseData[[#This Row],[stock_level]]*WarehouseData[[#This Row],[holding_cost_per_unit_day]]*30</f>
        <v>2376</v>
      </c>
      <c r="AD2989" t="str">
        <f>IF(WarehouseData[[#This Row],[order_fulfillment_rate]]&gt;=0.9,"Strong",IF(WarehouseData[[#This Row],[order_fulfillment_rate]]&gt;=0.8,"Moderate","Needs Attention"))</f>
        <v>Strong</v>
      </c>
      <c r="AE2989" t="str">
        <f>IF(WarehouseData[[#This Row],[picking_time_seconds]]&gt;120,"Slow",IF(WarehouseData[[#This Row],[picking_time_seconds]]&gt;=60,"Average","Fast"))</f>
        <v>Fast</v>
      </c>
    </row>
    <row r="2990" spans="1:31" x14ac:dyDescent="0.25">
      <c r="A2990" t="s">
        <v>3128</v>
      </c>
      <c r="B2990" t="s">
        <v>36</v>
      </c>
      <c r="C2990">
        <v>192</v>
      </c>
      <c r="D2990">
        <v>65</v>
      </c>
      <c r="E2990">
        <v>14</v>
      </c>
      <c r="F2990">
        <v>6</v>
      </c>
      <c r="G2990">
        <v>49.33</v>
      </c>
      <c r="H2990">
        <v>7.8</v>
      </c>
      <c r="I2990">
        <v>0.14000000000000001</v>
      </c>
      <c r="J2990" t="s">
        <v>183</v>
      </c>
      <c r="K2990" t="s">
        <v>38</v>
      </c>
      <c r="L2990">
        <v>146</v>
      </c>
      <c r="M2990">
        <v>2.5299999999999998</v>
      </c>
      <c r="N2990">
        <v>173.77</v>
      </c>
      <c r="O2990">
        <v>1.21</v>
      </c>
      <c r="P2990">
        <v>0</v>
      </c>
      <c r="Q2990">
        <v>0.84</v>
      </c>
      <c r="R2990">
        <v>201</v>
      </c>
      <c r="S2990">
        <v>10.38</v>
      </c>
      <c r="T2990">
        <v>0.75</v>
      </c>
      <c r="U2990" s="1">
        <v>45586</v>
      </c>
      <c r="V2990">
        <v>94.41</v>
      </c>
      <c r="W2990">
        <v>0.73499999999999999</v>
      </c>
      <c r="X2990" t="str">
        <f>IF(WarehouseData[[#This Row],[stock_level]]&lt;=WarehouseData[[#This Row],[reorder_point]],"Low Stock","Sufficient Stock")</f>
        <v>Sufficient Stock</v>
      </c>
      <c r="Y2990">
        <f>WarehouseData[[#This Row],[daily_demand]]*WarehouseData[[#This Row],[lead_time_days]]</f>
        <v>295.98</v>
      </c>
      <c r="Z2990" t="str">
        <f>IF(WarehouseData[[#This Row],[stock_level]]&lt;=WarehouseData[[#This Row],[Demand During Lead Time]],"At Risk","Safe")</f>
        <v>At Risk</v>
      </c>
      <c r="AA2990">
        <f>WarehouseData[[#This Row],[stock_level]]/WarehouseData[[#This Row],[daily_demand]]</f>
        <v>3.8921548753294144</v>
      </c>
      <c r="AB2990">
        <f>WarehouseData[[#This Row],[stock_level]]*WarehouseData[[#This Row],[unit_price]]</f>
        <v>33363.840000000004</v>
      </c>
      <c r="AC2990">
        <f>WarehouseData[[#This Row],[stock_level]]*WarehouseData[[#This Row],[holding_cost_per_unit_day]]*30</f>
        <v>6969.5999999999995</v>
      </c>
      <c r="AD2990" t="str">
        <f>IF(WarehouseData[[#This Row],[order_fulfillment_rate]]&gt;=0.9,"Strong",IF(WarehouseData[[#This Row],[order_fulfillment_rate]]&gt;=0.8,"Moderate","Needs Attention"))</f>
        <v>Moderate</v>
      </c>
      <c r="AE2990" t="str">
        <f>IF(WarehouseData[[#This Row],[picking_time_seconds]]&gt;120,"Slow",IF(WarehouseData[[#This Row],[picking_time_seconds]]&gt;=60,"Average","Fast"))</f>
        <v>Slow</v>
      </c>
    </row>
    <row r="2991" spans="1:31" x14ac:dyDescent="0.25">
      <c r="A2991" t="s">
        <v>3129</v>
      </c>
      <c r="B2991" t="s">
        <v>48</v>
      </c>
      <c r="C2991">
        <v>439</v>
      </c>
      <c r="D2991">
        <v>67</v>
      </c>
      <c r="E2991">
        <v>6</v>
      </c>
      <c r="F2991">
        <v>7</v>
      </c>
      <c r="G2991">
        <v>22.19</v>
      </c>
      <c r="H2991">
        <v>2.1</v>
      </c>
      <c r="I2991">
        <v>0.38</v>
      </c>
      <c r="J2991" t="s">
        <v>75</v>
      </c>
      <c r="K2991" t="s">
        <v>34</v>
      </c>
      <c r="L2991">
        <v>32</v>
      </c>
      <c r="M2991">
        <v>2.74</v>
      </c>
      <c r="N2991">
        <v>113.91</v>
      </c>
      <c r="O2991">
        <v>0.18</v>
      </c>
      <c r="P2991">
        <v>2</v>
      </c>
      <c r="Q2991">
        <v>0.83</v>
      </c>
      <c r="R2991">
        <v>867</v>
      </c>
      <c r="S2991">
        <v>7.95</v>
      </c>
      <c r="T2991">
        <v>0.26</v>
      </c>
      <c r="U2991" s="1">
        <v>45294</v>
      </c>
      <c r="V2991">
        <v>202.4</v>
      </c>
      <c r="W2991">
        <v>0.66600000000000004</v>
      </c>
      <c r="X2991" t="str">
        <f>IF(WarehouseData[[#This Row],[stock_level]]&lt;=WarehouseData[[#This Row],[reorder_point]],"Low Stock","Sufficient Stock")</f>
        <v>Sufficient Stock</v>
      </c>
      <c r="Y2991">
        <f>WarehouseData[[#This Row],[daily_demand]]*WarehouseData[[#This Row],[lead_time_days]]</f>
        <v>155.33000000000001</v>
      </c>
      <c r="Z2991" t="str">
        <f>IF(WarehouseData[[#This Row],[stock_level]]&lt;=WarehouseData[[#This Row],[Demand During Lead Time]],"At Risk","Safe")</f>
        <v>Safe</v>
      </c>
      <c r="AA2991">
        <f>WarehouseData[[#This Row],[stock_level]]/WarehouseData[[#This Row],[daily_demand]]</f>
        <v>19.78368634520054</v>
      </c>
      <c r="AB2991">
        <f>WarehouseData[[#This Row],[stock_level]]*WarehouseData[[#This Row],[unit_price]]</f>
        <v>50006.49</v>
      </c>
      <c r="AC2991">
        <f>WarehouseData[[#This Row],[stock_level]]*WarehouseData[[#This Row],[holding_cost_per_unit_day]]*30</f>
        <v>2370.6</v>
      </c>
      <c r="AD2991" t="str">
        <f>IF(WarehouseData[[#This Row],[order_fulfillment_rate]]&gt;=0.9,"Strong",IF(WarehouseData[[#This Row],[order_fulfillment_rate]]&gt;=0.8,"Moderate","Needs Attention"))</f>
        <v>Moderate</v>
      </c>
      <c r="AE2991" t="str">
        <f>IF(WarehouseData[[#This Row],[picking_time_seconds]]&gt;120,"Slow",IF(WarehouseData[[#This Row],[picking_time_seconds]]&gt;=60,"Average","Fast"))</f>
        <v>Fast</v>
      </c>
    </row>
    <row r="2992" spans="1:31" x14ac:dyDescent="0.25">
      <c r="A2992" t="s">
        <v>3130</v>
      </c>
      <c r="B2992" t="s">
        <v>36</v>
      </c>
      <c r="C2992">
        <v>41</v>
      </c>
      <c r="D2992">
        <v>73</v>
      </c>
      <c r="E2992">
        <v>7</v>
      </c>
      <c r="F2992">
        <v>7</v>
      </c>
      <c r="G2992">
        <v>32.450000000000003</v>
      </c>
      <c r="H2992">
        <v>0.66</v>
      </c>
      <c r="I2992">
        <v>0.3</v>
      </c>
      <c r="J2992" t="s">
        <v>104</v>
      </c>
      <c r="K2992" t="s">
        <v>52</v>
      </c>
      <c r="L2992">
        <v>140</v>
      </c>
      <c r="M2992">
        <v>1.86</v>
      </c>
      <c r="N2992">
        <v>145.83000000000001</v>
      </c>
      <c r="O2992">
        <v>1.61</v>
      </c>
      <c r="P2992">
        <v>9</v>
      </c>
      <c r="Q2992">
        <v>0.86</v>
      </c>
      <c r="R2992">
        <v>757</v>
      </c>
      <c r="S2992">
        <v>7.57</v>
      </c>
      <c r="T2992">
        <v>0.68</v>
      </c>
      <c r="U2992" s="1">
        <v>45425</v>
      </c>
      <c r="V2992">
        <v>123.89</v>
      </c>
      <c r="W2992">
        <v>0.46800000000000003</v>
      </c>
      <c r="X2992" t="str">
        <f>IF(WarehouseData[[#This Row],[stock_level]]&lt;=WarehouseData[[#This Row],[reorder_point]],"Low Stock","Sufficient Stock")</f>
        <v>Low Stock</v>
      </c>
      <c r="Y2992">
        <f>WarehouseData[[#This Row],[daily_demand]]*WarehouseData[[#This Row],[lead_time_days]]</f>
        <v>227.15000000000003</v>
      </c>
      <c r="Z2992" t="str">
        <f>IF(WarehouseData[[#This Row],[stock_level]]&lt;=WarehouseData[[#This Row],[Demand During Lead Time]],"At Risk","Safe")</f>
        <v>At Risk</v>
      </c>
      <c r="AA2992">
        <f>WarehouseData[[#This Row],[stock_level]]/WarehouseData[[#This Row],[daily_demand]]</f>
        <v>1.263482280431433</v>
      </c>
      <c r="AB2992">
        <f>WarehouseData[[#This Row],[stock_level]]*WarehouseData[[#This Row],[unit_price]]</f>
        <v>5979.0300000000007</v>
      </c>
      <c r="AC2992">
        <f>WarehouseData[[#This Row],[stock_level]]*WarehouseData[[#This Row],[holding_cost_per_unit_day]]*30</f>
        <v>1980.3000000000002</v>
      </c>
      <c r="AD2992" t="str">
        <f>IF(WarehouseData[[#This Row],[order_fulfillment_rate]]&gt;=0.9,"Strong",IF(WarehouseData[[#This Row],[order_fulfillment_rate]]&gt;=0.8,"Moderate","Needs Attention"))</f>
        <v>Moderate</v>
      </c>
      <c r="AE2992" t="str">
        <f>IF(WarehouseData[[#This Row],[picking_time_seconds]]&gt;120,"Slow",IF(WarehouseData[[#This Row],[picking_time_seconds]]&gt;=60,"Average","Fast"))</f>
        <v>Slow</v>
      </c>
    </row>
    <row r="2993" spans="1:31" x14ac:dyDescent="0.25">
      <c r="A2993" t="s">
        <v>3131</v>
      </c>
      <c r="B2993" t="s">
        <v>36</v>
      </c>
      <c r="C2993">
        <v>225</v>
      </c>
      <c r="D2993">
        <v>21</v>
      </c>
      <c r="E2993">
        <v>6</v>
      </c>
      <c r="F2993">
        <v>8</v>
      </c>
      <c r="G2993">
        <v>48.5</v>
      </c>
      <c r="H2993">
        <v>8.51</v>
      </c>
      <c r="I2993">
        <v>0.21</v>
      </c>
      <c r="J2993" t="s">
        <v>49</v>
      </c>
      <c r="K2993" t="s">
        <v>38</v>
      </c>
      <c r="L2993">
        <v>136</v>
      </c>
      <c r="M2993">
        <v>4.99</v>
      </c>
      <c r="N2993">
        <v>193.29</v>
      </c>
      <c r="O2993">
        <v>1.25</v>
      </c>
      <c r="P2993">
        <v>7</v>
      </c>
      <c r="Q2993">
        <v>0.77</v>
      </c>
      <c r="R2993">
        <v>175</v>
      </c>
      <c r="S2993">
        <v>7.45</v>
      </c>
      <c r="T2993">
        <v>0.92</v>
      </c>
      <c r="U2993" s="1">
        <v>45381</v>
      </c>
      <c r="V2993">
        <v>292.02999999999997</v>
      </c>
      <c r="W2993">
        <v>0.57199999999999995</v>
      </c>
      <c r="X2993" t="str">
        <f>IF(WarehouseData[[#This Row],[stock_level]]&lt;=WarehouseData[[#This Row],[reorder_point]],"Low Stock","Sufficient Stock")</f>
        <v>Sufficient Stock</v>
      </c>
      <c r="Y2993">
        <f>WarehouseData[[#This Row],[daily_demand]]*WarehouseData[[#This Row],[lead_time_days]]</f>
        <v>388</v>
      </c>
      <c r="Z2993" t="str">
        <f>IF(WarehouseData[[#This Row],[stock_level]]&lt;=WarehouseData[[#This Row],[Demand During Lead Time]],"At Risk","Safe")</f>
        <v>At Risk</v>
      </c>
      <c r="AA2993">
        <f>WarehouseData[[#This Row],[stock_level]]/WarehouseData[[#This Row],[daily_demand]]</f>
        <v>4.6391752577319592</v>
      </c>
      <c r="AB2993">
        <f>WarehouseData[[#This Row],[stock_level]]*WarehouseData[[#This Row],[unit_price]]</f>
        <v>43490.25</v>
      </c>
      <c r="AC2993">
        <f>WarehouseData[[#This Row],[stock_level]]*WarehouseData[[#This Row],[holding_cost_per_unit_day]]*30</f>
        <v>8437.5</v>
      </c>
      <c r="AD2993" t="str">
        <f>IF(WarehouseData[[#This Row],[order_fulfillment_rate]]&gt;=0.9,"Strong",IF(WarehouseData[[#This Row],[order_fulfillment_rate]]&gt;=0.8,"Moderate","Needs Attention"))</f>
        <v>Needs Attention</v>
      </c>
      <c r="AE2993" t="str">
        <f>IF(WarehouseData[[#This Row],[picking_time_seconds]]&gt;120,"Slow",IF(WarehouseData[[#This Row],[picking_time_seconds]]&gt;=60,"Average","Fast"))</f>
        <v>Slow</v>
      </c>
    </row>
    <row r="2994" spans="1:31" x14ac:dyDescent="0.25">
      <c r="A2994" t="s">
        <v>3132</v>
      </c>
      <c r="B2994" t="s">
        <v>73</v>
      </c>
      <c r="C2994">
        <v>146</v>
      </c>
      <c r="D2994">
        <v>16</v>
      </c>
      <c r="E2994">
        <v>4</v>
      </c>
      <c r="F2994">
        <v>4</v>
      </c>
      <c r="G2994">
        <v>7.74</v>
      </c>
      <c r="H2994">
        <v>5.99</v>
      </c>
      <c r="I2994">
        <v>0.24</v>
      </c>
      <c r="J2994" t="s">
        <v>188</v>
      </c>
      <c r="K2994" t="s">
        <v>38</v>
      </c>
      <c r="L2994">
        <v>18</v>
      </c>
      <c r="M2994">
        <v>3.52</v>
      </c>
      <c r="N2994">
        <v>119.84</v>
      </c>
      <c r="O2994">
        <v>1.79</v>
      </c>
      <c r="P2994">
        <v>1</v>
      </c>
      <c r="Q2994">
        <v>0.79</v>
      </c>
      <c r="R2994">
        <v>92</v>
      </c>
      <c r="S2994">
        <v>3.04</v>
      </c>
      <c r="T2994">
        <v>0.71</v>
      </c>
      <c r="U2994" s="1">
        <v>45500</v>
      </c>
      <c r="V2994">
        <v>127.44</v>
      </c>
      <c r="W2994">
        <v>0.54200000000000004</v>
      </c>
      <c r="X2994" t="str">
        <f>IF(WarehouseData[[#This Row],[stock_level]]&lt;=WarehouseData[[#This Row],[reorder_point]],"Low Stock","Sufficient Stock")</f>
        <v>Sufficient Stock</v>
      </c>
      <c r="Y2994">
        <f>WarehouseData[[#This Row],[daily_demand]]*WarehouseData[[#This Row],[lead_time_days]]</f>
        <v>30.96</v>
      </c>
      <c r="Z2994" t="str">
        <f>IF(WarehouseData[[#This Row],[stock_level]]&lt;=WarehouseData[[#This Row],[Demand During Lead Time]],"At Risk","Safe")</f>
        <v>Safe</v>
      </c>
      <c r="AA2994">
        <f>WarehouseData[[#This Row],[stock_level]]/WarehouseData[[#This Row],[daily_demand]]</f>
        <v>18.863049095607234</v>
      </c>
      <c r="AB2994">
        <f>WarehouseData[[#This Row],[stock_level]]*WarehouseData[[#This Row],[unit_price]]</f>
        <v>17496.64</v>
      </c>
      <c r="AC2994">
        <f>WarehouseData[[#This Row],[stock_level]]*WarehouseData[[#This Row],[holding_cost_per_unit_day]]*30</f>
        <v>7840.2000000000007</v>
      </c>
      <c r="AD2994" t="str">
        <f>IF(WarehouseData[[#This Row],[order_fulfillment_rate]]&gt;=0.9,"Strong",IF(WarehouseData[[#This Row],[order_fulfillment_rate]]&gt;=0.8,"Moderate","Needs Attention"))</f>
        <v>Needs Attention</v>
      </c>
      <c r="AE2994" t="str">
        <f>IF(WarehouseData[[#This Row],[picking_time_seconds]]&gt;120,"Slow",IF(WarehouseData[[#This Row],[picking_time_seconds]]&gt;=60,"Average","Fast"))</f>
        <v>Fast</v>
      </c>
    </row>
    <row r="2995" spans="1:31" x14ac:dyDescent="0.25">
      <c r="A2995" t="s">
        <v>3133</v>
      </c>
      <c r="B2995" t="s">
        <v>73</v>
      </c>
      <c r="C2995">
        <v>355</v>
      </c>
      <c r="D2995">
        <v>64</v>
      </c>
      <c r="E2995">
        <v>14</v>
      </c>
      <c r="F2995">
        <v>6</v>
      </c>
      <c r="G2995">
        <v>21.51</v>
      </c>
      <c r="H2995">
        <v>8.9700000000000006</v>
      </c>
      <c r="I2995">
        <v>0.85</v>
      </c>
      <c r="J2995" t="s">
        <v>263</v>
      </c>
      <c r="K2995" t="s">
        <v>34</v>
      </c>
      <c r="L2995">
        <v>62</v>
      </c>
      <c r="M2995">
        <v>4.78</v>
      </c>
      <c r="N2995">
        <v>169.6</v>
      </c>
      <c r="O2995">
        <v>0.89</v>
      </c>
      <c r="P2995">
        <v>1</v>
      </c>
      <c r="Q2995">
        <v>0.73</v>
      </c>
      <c r="R2995">
        <v>470</v>
      </c>
      <c r="S2995">
        <v>8.83</v>
      </c>
      <c r="T2995">
        <v>0.21</v>
      </c>
      <c r="U2995" s="1">
        <v>45551</v>
      </c>
      <c r="V2995">
        <v>124.81</v>
      </c>
      <c r="W2995">
        <v>0.59699999999999998</v>
      </c>
      <c r="X2995" t="str">
        <f>IF(WarehouseData[[#This Row],[stock_level]]&lt;=WarehouseData[[#This Row],[reorder_point]],"Low Stock","Sufficient Stock")</f>
        <v>Sufficient Stock</v>
      </c>
      <c r="Y2995">
        <f>WarehouseData[[#This Row],[daily_demand]]*WarehouseData[[#This Row],[lead_time_days]]</f>
        <v>129.06</v>
      </c>
      <c r="Z2995" t="str">
        <f>IF(WarehouseData[[#This Row],[stock_level]]&lt;=WarehouseData[[#This Row],[Demand During Lead Time]],"At Risk","Safe")</f>
        <v>Safe</v>
      </c>
      <c r="AA2995">
        <f>WarehouseData[[#This Row],[stock_level]]/WarehouseData[[#This Row],[daily_demand]]</f>
        <v>16.503951650395162</v>
      </c>
      <c r="AB2995">
        <f>WarehouseData[[#This Row],[stock_level]]*WarehouseData[[#This Row],[unit_price]]</f>
        <v>60208</v>
      </c>
      <c r="AC2995">
        <f>WarehouseData[[#This Row],[stock_level]]*WarehouseData[[#This Row],[holding_cost_per_unit_day]]*30</f>
        <v>9478.5</v>
      </c>
      <c r="AD2995" t="str">
        <f>IF(WarehouseData[[#This Row],[order_fulfillment_rate]]&gt;=0.9,"Strong",IF(WarehouseData[[#This Row],[order_fulfillment_rate]]&gt;=0.8,"Moderate","Needs Attention"))</f>
        <v>Needs Attention</v>
      </c>
      <c r="AE2995" t="str">
        <f>IF(WarehouseData[[#This Row],[picking_time_seconds]]&gt;120,"Slow",IF(WarehouseData[[#This Row],[picking_time_seconds]]&gt;=60,"Average","Fast"))</f>
        <v>Average</v>
      </c>
    </row>
    <row r="2996" spans="1:31" x14ac:dyDescent="0.25">
      <c r="A2996" t="s">
        <v>3134</v>
      </c>
      <c r="B2996" t="s">
        <v>73</v>
      </c>
      <c r="C2996">
        <v>464</v>
      </c>
      <c r="D2996">
        <v>71</v>
      </c>
      <c r="E2996">
        <v>3</v>
      </c>
      <c r="F2996">
        <v>8</v>
      </c>
      <c r="G2996">
        <v>42.66</v>
      </c>
      <c r="H2996">
        <v>5.0999999999999996</v>
      </c>
      <c r="I2996">
        <v>0.71</v>
      </c>
      <c r="J2996" t="s">
        <v>273</v>
      </c>
      <c r="K2996" t="s">
        <v>52</v>
      </c>
      <c r="L2996">
        <v>57</v>
      </c>
      <c r="M2996">
        <v>2.37</v>
      </c>
      <c r="N2996">
        <v>189.02</v>
      </c>
      <c r="O2996">
        <v>1.03</v>
      </c>
      <c r="P2996">
        <v>1</v>
      </c>
      <c r="Q2996">
        <v>0.83</v>
      </c>
      <c r="R2996">
        <v>734</v>
      </c>
      <c r="S2996">
        <v>5.42</v>
      </c>
      <c r="T2996">
        <v>0.76</v>
      </c>
      <c r="U2996" s="1">
        <v>45346</v>
      </c>
      <c r="V2996">
        <v>155.44999999999999</v>
      </c>
      <c r="W2996">
        <v>0.66700000000000004</v>
      </c>
      <c r="X2996" t="str">
        <f>IF(WarehouseData[[#This Row],[stock_level]]&lt;=WarehouseData[[#This Row],[reorder_point]],"Low Stock","Sufficient Stock")</f>
        <v>Sufficient Stock</v>
      </c>
      <c r="Y2996">
        <f>WarehouseData[[#This Row],[daily_demand]]*WarehouseData[[#This Row],[lead_time_days]]</f>
        <v>341.28</v>
      </c>
      <c r="Z2996" t="str">
        <f>IF(WarehouseData[[#This Row],[stock_level]]&lt;=WarehouseData[[#This Row],[Demand During Lead Time]],"At Risk","Safe")</f>
        <v>Safe</v>
      </c>
      <c r="AA2996">
        <f>WarehouseData[[#This Row],[stock_level]]/WarehouseData[[#This Row],[daily_demand]]</f>
        <v>10.876699484294422</v>
      </c>
      <c r="AB2996">
        <f>WarehouseData[[#This Row],[stock_level]]*WarehouseData[[#This Row],[unit_price]]</f>
        <v>87705.279999999999</v>
      </c>
      <c r="AC2996">
        <f>WarehouseData[[#This Row],[stock_level]]*WarehouseData[[#This Row],[holding_cost_per_unit_day]]*30</f>
        <v>14337.6</v>
      </c>
      <c r="AD2996" t="str">
        <f>IF(WarehouseData[[#This Row],[order_fulfillment_rate]]&gt;=0.9,"Strong",IF(WarehouseData[[#This Row],[order_fulfillment_rate]]&gt;=0.8,"Moderate","Needs Attention"))</f>
        <v>Moderate</v>
      </c>
      <c r="AE2996" t="str">
        <f>IF(WarehouseData[[#This Row],[picking_time_seconds]]&gt;120,"Slow",IF(WarehouseData[[#This Row],[picking_time_seconds]]&gt;=60,"Average","Fast"))</f>
        <v>Fast</v>
      </c>
    </row>
    <row r="2997" spans="1:31" x14ac:dyDescent="0.25">
      <c r="A2997" t="s">
        <v>3135</v>
      </c>
      <c r="B2997" t="s">
        <v>32</v>
      </c>
      <c r="C2997">
        <v>375</v>
      </c>
      <c r="D2997">
        <v>99</v>
      </c>
      <c r="E2997">
        <v>10</v>
      </c>
      <c r="F2997">
        <v>3</v>
      </c>
      <c r="G2997">
        <v>46.68</v>
      </c>
      <c r="H2997">
        <v>9.3000000000000007</v>
      </c>
      <c r="I2997">
        <v>0.54</v>
      </c>
      <c r="J2997" t="s">
        <v>142</v>
      </c>
      <c r="K2997" t="s">
        <v>34</v>
      </c>
      <c r="L2997">
        <v>132</v>
      </c>
      <c r="M2997">
        <v>4.47</v>
      </c>
      <c r="N2997">
        <v>118.4</v>
      </c>
      <c r="O2997">
        <v>0.87</v>
      </c>
      <c r="P2997">
        <v>4</v>
      </c>
      <c r="Q2997">
        <v>0.88</v>
      </c>
      <c r="R2997">
        <v>539</v>
      </c>
      <c r="S2997">
        <v>9.66</v>
      </c>
      <c r="T2997">
        <v>0.78</v>
      </c>
      <c r="U2997" s="1">
        <v>45578</v>
      </c>
      <c r="V2997">
        <v>17.399999999999999</v>
      </c>
      <c r="W2997">
        <v>0.69399999999999995</v>
      </c>
      <c r="X2997" t="str">
        <f>IF(WarehouseData[[#This Row],[stock_level]]&lt;=WarehouseData[[#This Row],[reorder_point]],"Low Stock","Sufficient Stock")</f>
        <v>Sufficient Stock</v>
      </c>
      <c r="Y2997">
        <f>WarehouseData[[#This Row],[daily_demand]]*WarehouseData[[#This Row],[lead_time_days]]</f>
        <v>140.04</v>
      </c>
      <c r="Z2997" t="str">
        <f>IF(WarehouseData[[#This Row],[stock_level]]&lt;=WarehouseData[[#This Row],[Demand During Lead Time]],"At Risk","Safe")</f>
        <v>Safe</v>
      </c>
      <c r="AA2997">
        <f>WarehouseData[[#This Row],[stock_level]]/WarehouseData[[#This Row],[daily_demand]]</f>
        <v>8.033419023136247</v>
      </c>
      <c r="AB2997">
        <f>WarehouseData[[#This Row],[stock_level]]*WarehouseData[[#This Row],[unit_price]]</f>
        <v>44400</v>
      </c>
      <c r="AC2997">
        <f>WarehouseData[[#This Row],[stock_level]]*WarehouseData[[#This Row],[holding_cost_per_unit_day]]*30</f>
        <v>9787.5</v>
      </c>
      <c r="AD2997" t="str">
        <f>IF(WarehouseData[[#This Row],[order_fulfillment_rate]]&gt;=0.9,"Strong",IF(WarehouseData[[#This Row],[order_fulfillment_rate]]&gt;=0.8,"Moderate","Needs Attention"))</f>
        <v>Moderate</v>
      </c>
      <c r="AE2997" t="str">
        <f>IF(WarehouseData[[#This Row],[picking_time_seconds]]&gt;120,"Slow",IF(WarehouseData[[#This Row],[picking_time_seconds]]&gt;=60,"Average","Fast"))</f>
        <v>Slow</v>
      </c>
    </row>
    <row r="2998" spans="1:31" x14ac:dyDescent="0.25">
      <c r="A2998" t="s">
        <v>3136</v>
      </c>
      <c r="B2998" t="s">
        <v>36</v>
      </c>
      <c r="C2998">
        <v>459</v>
      </c>
      <c r="D2998">
        <v>82</v>
      </c>
      <c r="E2998">
        <v>6</v>
      </c>
      <c r="F2998">
        <v>8</v>
      </c>
      <c r="G2998">
        <v>30.46</v>
      </c>
      <c r="H2998">
        <v>3.86</v>
      </c>
      <c r="I2998">
        <v>0.92</v>
      </c>
      <c r="J2998" t="s">
        <v>281</v>
      </c>
      <c r="K2998" t="s">
        <v>38</v>
      </c>
      <c r="L2998">
        <v>91</v>
      </c>
      <c r="M2998">
        <v>2.52</v>
      </c>
      <c r="N2998">
        <v>40.24</v>
      </c>
      <c r="O2998">
        <v>1.47</v>
      </c>
      <c r="P2998">
        <v>8</v>
      </c>
      <c r="Q2998">
        <v>0.98</v>
      </c>
      <c r="R2998">
        <v>615</v>
      </c>
      <c r="S2998">
        <v>8.48</v>
      </c>
      <c r="T2998">
        <v>0.63</v>
      </c>
      <c r="U2998" s="1">
        <v>45329</v>
      </c>
      <c r="V2998">
        <v>131.19999999999999</v>
      </c>
      <c r="W2998">
        <v>0.52800000000000002</v>
      </c>
      <c r="X2998" t="str">
        <f>IF(WarehouseData[[#This Row],[stock_level]]&lt;=WarehouseData[[#This Row],[reorder_point]],"Low Stock","Sufficient Stock")</f>
        <v>Sufficient Stock</v>
      </c>
      <c r="Y2998">
        <f>WarehouseData[[#This Row],[daily_demand]]*WarehouseData[[#This Row],[lead_time_days]]</f>
        <v>243.68</v>
      </c>
      <c r="Z2998" t="str">
        <f>IF(WarehouseData[[#This Row],[stock_level]]&lt;=WarehouseData[[#This Row],[Demand During Lead Time]],"At Risk","Safe")</f>
        <v>Safe</v>
      </c>
      <c r="AA2998">
        <f>WarehouseData[[#This Row],[stock_level]]/WarehouseData[[#This Row],[daily_demand]]</f>
        <v>15.068942875902822</v>
      </c>
      <c r="AB2998">
        <f>WarehouseData[[#This Row],[stock_level]]*WarehouseData[[#This Row],[unit_price]]</f>
        <v>18470.16</v>
      </c>
      <c r="AC2998">
        <f>WarehouseData[[#This Row],[stock_level]]*WarehouseData[[#This Row],[holding_cost_per_unit_day]]*30</f>
        <v>20241.900000000001</v>
      </c>
      <c r="AD2998" t="str">
        <f>IF(WarehouseData[[#This Row],[order_fulfillment_rate]]&gt;=0.9,"Strong",IF(WarehouseData[[#This Row],[order_fulfillment_rate]]&gt;=0.8,"Moderate","Needs Attention"))</f>
        <v>Strong</v>
      </c>
      <c r="AE2998" t="str">
        <f>IF(WarehouseData[[#This Row],[picking_time_seconds]]&gt;120,"Slow",IF(WarehouseData[[#This Row],[picking_time_seconds]]&gt;=60,"Average","Fast"))</f>
        <v>Average</v>
      </c>
    </row>
    <row r="2999" spans="1:31" x14ac:dyDescent="0.25">
      <c r="A2999" t="s">
        <v>3137</v>
      </c>
      <c r="B2999" t="s">
        <v>40</v>
      </c>
      <c r="C2999">
        <v>236</v>
      </c>
      <c r="D2999">
        <v>86</v>
      </c>
      <c r="E2999">
        <v>7</v>
      </c>
      <c r="F2999">
        <v>3</v>
      </c>
      <c r="G2999">
        <v>8.0299999999999994</v>
      </c>
      <c r="H2999">
        <v>7.38</v>
      </c>
      <c r="I2999">
        <v>0.13</v>
      </c>
      <c r="J2999" t="s">
        <v>98</v>
      </c>
      <c r="K2999" t="s">
        <v>34</v>
      </c>
      <c r="L2999">
        <v>118</v>
      </c>
      <c r="M2999">
        <v>4.4000000000000004</v>
      </c>
      <c r="N2999">
        <v>39.56</v>
      </c>
      <c r="O2999">
        <v>1.53</v>
      </c>
      <c r="P2999">
        <v>6</v>
      </c>
      <c r="Q2999">
        <v>0.92</v>
      </c>
      <c r="R2999">
        <v>302</v>
      </c>
      <c r="S2999">
        <v>14.16</v>
      </c>
      <c r="T2999">
        <v>0.85</v>
      </c>
      <c r="U2999" s="1">
        <v>45549</v>
      </c>
      <c r="V2999">
        <v>250.33</v>
      </c>
      <c r="W2999">
        <v>0.67</v>
      </c>
      <c r="X2999" t="str">
        <f>IF(WarehouseData[[#This Row],[stock_level]]&lt;=WarehouseData[[#This Row],[reorder_point]],"Low Stock","Sufficient Stock")</f>
        <v>Sufficient Stock</v>
      </c>
      <c r="Y2999">
        <f>WarehouseData[[#This Row],[daily_demand]]*WarehouseData[[#This Row],[lead_time_days]]</f>
        <v>24.089999999999996</v>
      </c>
      <c r="Z2999" t="str">
        <f>IF(WarehouseData[[#This Row],[stock_level]]&lt;=WarehouseData[[#This Row],[Demand During Lead Time]],"At Risk","Safe")</f>
        <v>Safe</v>
      </c>
      <c r="AA2999">
        <f>WarehouseData[[#This Row],[stock_level]]/WarehouseData[[#This Row],[daily_demand]]</f>
        <v>29.389788293897887</v>
      </c>
      <c r="AB2999">
        <f>WarehouseData[[#This Row],[stock_level]]*WarehouseData[[#This Row],[unit_price]]</f>
        <v>9336.16</v>
      </c>
      <c r="AC2999">
        <f>WarehouseData[[#This Row],[stock_level]]*WarehouseData[[#This Row],[holding_cost_per_unit_day]]*30</f>
        <v>10832.4</v>
      </c>
      <c r="AD2999" t="str">
        <f>IF(WarehouseData[[#This Row],[order_fulfillment_rate]]&gt;=0.9,"Strong",IF(WarehouseData[[#This Row],[order_fulfillment_rate]]&gt;=0.8,"Moderate","Needs Attention"))</f>
        <v>Strong</v>
      </c>
      <c r="AE2999" t="str">
        <f>IF(WarehouseData[[#This Row],[picking_time_seconds]]&gt;120,"Slow",IF(WarehouseData[[#This Row],[picking_time_seconds]]&gt;=60,"Average","Fast"))</f>
        <v>Average</v>
      </c>
    </row>
    <row r="3000" spans="1:31" x14ac:dyDescent="0.25">
      <c r="A3000" t="s">
        <v>3138</v>
      </c>
      <c r="B3000" t="s">
        <v>48</v>
      </c>
      <c r="C3000">
        <v>115</v>
      </c>
      <c r="D3000">
        <v>64</v>
      </c>
      <c r="E3000">
        <v>8</v>
      </c>
      <c r="F3000">
        <v>4</v>
      </c>
      <c r="G3000">
        <v>45.17</v>
      </c>
      <c r="H3000">
        <v>3.36</v>
      </c>
      <c r="I3000">
        <v>0.41</v>
      </c>
      <c r="J3000" t="s">
        <v>281</v>
      </c>
      <c r="K3000" t="s">
        <v>34</v>
      </c>
      <c r="L3000">
        <v>16</v>
      </c>
      <c r="M3000">
        <v>1.0900000000000001</v>
      </c>
      <c r="N3000">
        <v>31.91</v>
      </c>
      <c r="O3000">
        <v>1.47</v>
      </c>
      <c r="P3000">
        <v>6</v>
      </c>
      <c r="Q3000">
        <v>0.92</v>
      </c>
      <c r="R3000">
        <v>860</v>
      </c>
      <c r="S3000">
        <v>7.09</v>
      </c>
      <c r="T3000">
        <v>0.36</v>
      </c>
      <c r="U3000" s="1">
        <v>45442</v>
      </c>
      <c r="V3000">
        <v>187.5</v>
      </c>
      <c r="W3000">
        <v>0.48399999999999999</v>
      </c>
      <c r="X3000" t="str">
        <f>IF(WarehouseData[[#This Row],[stock_level]]&lt;=WarehouseData[[#This Row],[reorder_point]],"Low Stock","Sufficient Stock")</f>
        <v>Sufficient Stock</v>
      </c>
      <c r="Y3000">
        <f>WarehouseData[[#This Row],[daily_demand]]*WarehouseData[[#This Row],[lead_time_days]]</f>
        <v>180.68</v>
      </c>
      <c r="Z3000" t="str">
        <f>IF(WarehouseData[[#This Row],[stock_level]]&lt;=WarehouseData[[#This Row],[Demand During Lead Time]],"At Risk","Safe")</f>
        <v>At Risk</v>
      </c>
      <c r="AA3000">
        <f>WarehouseData[[#This Row],[stock_level]]/WarehouseData[[#This Row],[daily_demand]]</f>
        <v>2.5459375691830859</v>
      </c>
      <c r="AB3000">
        <f>WarehouseData[[#This Row],[stock_level]]*WarehouseData[[#This Row],[unit_price]]</f>
        <v>3669.65</v>
      </c>
      <c r="AC3000">
        <f>WarehouseData[[#This Row],[stock_level]]*WarehouseData[[#This Row],[holding_cost_per_unit_day]]*30</f>
        <v>5071.4999999999991</v>
      </c>
      <c r="AD3000" t="str">
        <f>IF(WarehouseData[[#This Row],[order_fulfillment_rate]]&gt;=0.9,"Strong",IF(WarehouseData[[#This Row],[order_fulfillment_rate]]&gt;=0.8,"Moderate","Needs Attention"))</f>
        <v>Strong</v>
      </c>
      <c r="AE3000" t="str">
        <f>IF(WarehouseData[[#This Row],[picking_time_seconds]]&gt;120,"Slow",IF(WarehouseData[[#This Row],[picking_time_seconds]]&gt;=60,"Average","Fast"))</f>
        <v>Fast</v>
      </c>
    </row>
    <row r="3001" spans="1:31" x14ac:dyDescent="0.25">
      <c r="A3001" t="s">
        <v>3139</v>
      </c>
      <c r="B3001" t="s">
        <v>32</v>
      </c>
      <c r="C3001">
        <v>436</v>
      </c>
      <c r="D3001">
        <v>45</v>
      </c>
      <c r="E3001">
        <v>10</v>
      </c>
      <c r="F3001">
        <v>9</v>
      </c>
      <c r="G3001">
        <v>9.5500000000000007</v>
      </c>
      <c r="H3001">
        <v>0.51</v>
      </c>
      <c r="I3001">
        <v>0.84</v>
      </c>
      <c r="J3001" t="s">
        <v>158</v>
      </c>
      <c r="K3001" t="s">
        <v>38</v>
      </c>
      <c r="L3001">
        <v>108</v>
      </c>
      <c r="M3001">
        <v>3.37</v>
      </c>
      <c r="N3001">
        <v>100.5</v>
      </c>
      <c r="O3001">
        <v>0.65</v>
      </c>
      <c r="P3001">
        <v>1</v>
      </c>
      <c r="Q3001">
        <v>0.79</v>
      </c>
      <c r="R3001">
        <v>757</v>
      </c>
      <c r="S3001">
        <v>10.3</v>
      </c>
      <c r="T3001">
        <v>0.53</v>
      </c>
      <c r="U3001" s="1">
        <v>45466</v>
      </c>
      <c r="V3001">
        <v>291.13</v>
      </c>
      <c r="W3001">
        <v>0.71599999999999997</v>
      </c>
      <c r="X3001" t="str">
        <f>IF(WarehouseData[[#This Row],[stock_level]]&lt;=WarehouseData[[#This Row],[reorder_point]],"Low Stock","Sufficient Stock")</f>
        <v>Sufficient Stock</v>
      </c>
      <c r="Y3001">
        <f>WarehouseData[[#This Row],[daily_demand]]*WarehouseData[[#This Row],[lead_time_days]]</f>
        <v>85.95</v>
      </c>
      <c r="Z3001" t="str">
        <f>IF(WarehouseData[[#This Row],[stock_level]]&lt;=WarehouseData[[#This Row],[Demand During Lead Time]],"At Risk","Safe")</f>
        <v>Safe</v>
      </c>
      <c r="AA3001">
        <f>WarehouseData[[#This Row],[stock_level]]/WarehouseData[[#This Row],[daily_demand]]</f>
        <v>45.654450261780099</v>
      </c>
      <c r="AB3001">
        <f>WarehouseData[[#This Row],[stock_level]]*WarehouseData[[#This Row],[unit_price]]</f>
        <v>43818</v>
      </c>
      <c r="AC3001">
        <f>WarehouseData[[#This Row],[stock_level]]*WarehouseData[[#This Row],[holding_cost_per_unit_day]]*30</f>
        <v>8502.0000000000018</v>
      </c>
      <c r="AD3001" t="str">
        <f>IF(WarehouseData[[#This Row],[order_fulfillment_rate]]&gt;=0.9,"Strong",IF(WarehouseData[[#This Row],[order_fulfillment_rate]]&gt;=0.8,"Moderate","Needs Attention"))</f>
        <v>Needs Attention</v>
      </c>
      <c r="AE3001" t="str">
        <f>IF(WarehouseData[[#This Row],[picking_time_seconds]]&gt;120,"Slow",IF(WarehouseData[[#This Row],[picking_time_seconds]]&gt;=60,"Average","Fast"))</f>
        <v>Average</v>
      </c>
    </row>
    <row r="3002" spans="1:31" x14ac:dyDescent="0.25">
      <c r="A3002" t="s">
        <v>3140</v>
      </c>
      <c r="B3002" t="s">
        <v>40</v>
      </c>
      <c r="C3002">
        <v>448</v>
      </c>
      <c r="D3002">
        <v>98</v>
      </c>
      <c r="E3002">
        <v>13</v>
      </c>
      <c r="F3002">
        <v>7</v>
      </c>
      <c r="G3002">
        <v>18.29</v>
      </c>
      <c r="H3002">
        <v>4.1100000000000003</v>
      </c>
      <c r="I3002">
        <v>0.67</v>
      </c>
      <c r="J3002" t="s">
        <v>152</v>
      </c>
      <c r="K3002" t="s">
        <v>38</v>
      </c>
      <c r="L3002">
        <v>40</v>
      </c>
      <c r="M3002">
        <v>3.55</v>
      </c>
      <c r="N3002">
        <v>101.23</v>
      </c>
      <c r="O3002">
        <v>1.31</v>
      </c>
      <c r="P3002">
        <v>1</v>
      </c>
      <c r="Q3002">
        <v>0.97</v>
      </c>
      <c r="R3002">
        <v>533</v>
      </c>
      <c r="S3002">
        <v>9.3000000000000007</v>
      </c>
      <c r="T3002">
        <v>0.85</v>
      </c>
      <c r="U3002" s="1">
        <v>45351</v>
      </c>
      <c r="V3002">
        <v>104.43</v>
      </c>
      <c r="W3002">
        <v>0.73699999999999999</v>
      </c>
      <c r="X3002" t="str">
        <f>IF(WarehouseData[[#This Row],[stock_level]]&lt;=WarehouseData[[#This Row],[reorder_point]],"Low Stock","Sufficient Stock")</f>
        <v>Sufficient Stock</v>
      </c>
      <c r="Y3002">
        <f>WarehouseData[[#This Row],[daily_demand]]*WarehouseData[[#This Row],[lead_time_days]]</f>
        <v>128.03</v>
      </c>
      <c r="Z3002" t="str">
        <f>IF(WarehouseData[[#This Row],[stock_level]]&lt;=WarehouseData[[#This Row],[Demand During Lead Time]],"At Risk","Safe")</f>
        <v>Safe</v>
      </c>
      <c r="AA3002">
        <f>WarehouseData[[#This Row],[stock_level]]/WarehouseData[[#This Row],[daily_demand]]</f>
        <v>24.494259158009843</v>
      </c>
      <c r="AB3002">
        <f>WarehouseData[[#This Row],[stock_level]]*WarehouseData[[#This Row],[unit_price]]</f>
        <v>45351.040000000001</v>
      </c>
      <c r="AC3002">
        <f>WarehouseData[[#This Row],[stock_level]]*WarehouseData[[#This Row],[holding_cost_per_unit_day]]*30</f>
        <v>17606.400000000001</v>
      </c>
      <c r="AD3002" t="str">
        <f>IF(WarehouseData[[#This Row],[order_fulfillment_rate]]&gt;=0.9,"Strong",IF(WarehouseData[[#This Row],[order_fulfillment_rate]]&gt;=0.8,"Moderate","Needs Attention"))</f>
        <v>Strong</v>
      </c>
      <c r="AE3002" t="str">
        <f>IF(WarehouseData[[#This Row],[picking_time_seconds]]&gt;120,"Slow",IF(WarehouseData[[#This Row],[picking_time_seconds]]&gt;=60,"Average","Fast"))</f>
        <v>Fast</v>
      </c>
    </row>
    <row r="3003" spans="1:31" x14ac:dyDescent="0.25">
      <c r="A3003" t="s">
        <v>3141</v>
      </c>
      <c r="B3003" t="s">
        <v>36</v>
      </c>
      <c r="C3003">
        <v>183</v>
      </c>
      <c r="D3003">
        <v>33</v>
      </c>
      <c r="E3003">
        <v>10</v>
      </c>
      <c r="F3003">
        <v>9</v>
      </c>
      <c r="G3003">
        <v>19.399999999999999</v>
      </c>
      <c r="H3003">
        <v>7.51</v>
      </c>
      <c r="I3003">
        <v>0.98</v>
      </c>
      <c r="J3003" t="s">
        <v>192</v>
      </c>
      <c r="K3003" t="s">
        <v>52</v>
      </c>
      <c r="L3003">
        <v>111</v>
      </c>
      <c r="M3003">
        <v>3.45</v>
      </c>
      <c r="N3003">
        <v>127.3</v>
      </c>
      <c r="O3003">
        <v>0.74</v>
      </c>
      <c r="P3003">
        <v>4</v>
      </c>
      <c r="Q3003">
        <v>0.98</v>
      </c>
      <c r="R3003">
        <v>342</v>
      </c>
      <c r="S3003">
        <v>10.58</v>
      </c>
      <c r="T3003">
        <v>0.68</v>
      </c>
      <c r="U3003" s="1">
        <v>45554</v>
      </c>
      <c r="V3003">
        <v>56.84</v>
      </c>
      <c r="W3003">
        <v>0.71899999999999997</v>
      </c>
      <c r="X3003" t="str">
        <f>IF(WarehouseData[[#This Row],[stock_level]]&lt;=WarehouseData[[#This Row],[reorder_point]],"Low Stock","Sufficient Stock")</f>
        <v>Sufficient Stock</v>
      </c>
      <c r="Y3003">
        <f>WarehouseData[[#This Row],[daily_demand]]*WarehouseData[[#This Row],[lead_time_days]]</f>
        <v>174.6</v>
      </c>
      <c r="Z3003" t="str">
        <f>IF(WarehouseData[[#This Row],[stock_level]]&lt;=WarehouseData[[#This Row],[Demand During Lead Time]],"At Risk","Safe")</f>
        <v>Safe</v>
      </c>
      <c r="AA3003">
        <f>WarehouseData[[#This Row],[stock_level]]/WarehouseData[[#This Row],[daily_demand]]</f>
        <v>9.4329896907216497</v>
      </c>
      <c r="AB3003">
        <f>WarehouseData[[#This Row],[stock_level]]*WarehouseData[[#This Row],[unit_price]]</f>
        <v>23295.899999999998</v>
      </c>
      <c r="AC3003">
        <f>WarehouseData[[#This Row],[stock_level]]*WarehouseData[[#This Row],[holding_cost_per_unit_day]]*30</f>
        <v>4062.5999999999995</v>
      </c>
      <c r="AD3003" t="str">
        <f>IF(WarehouseData[[#This Row],[order_fulfillment_rate]]&gt;=0.9,"Strong",IF(WarehouseData[[#This Row],[order_fulfillment_rate]]&gt;=0.8,"Moderate","Needs Attention"))</f>
        <v>Strong</v>
      </c>
      <c r="AE3003" t="str">
        <f>IF(WarehouseData[[#This Row],[picking_time_seconds]]&gt;120,"Slow",IF(WarehouseData[[#This Row],[picking_time_seconds]]&gt;=60,"Average","Fast"))</f>
        <v>Average</v>
      </c>
    </row>
    <row r="3004" spans="1:31" x14ac:dyDescent="0.25">
      <c r="A3004" t="s">
        <v>3142</v>
      </c>
      <c r="B3004" t="s">
        <v>73</v>
      </c>
      <c r="C3004">
        <v>167</v>
      </c>
      <c r="D3004">
        <v>53</v>
      </c>
      <c r="E3004">
        <v>9</v>
      </c>
      <c r="F3004">
        <v>3</v>
      </c>
      <c r="G3004">
        <v>22.92</v>
      </c>
      <c r="H3004">
        <v>1.93</v>
      </c>
      <c r="I3004">
        <v>0.95</v>
      </c>
      <c r="J3004" t="s">
        <v>228</v>
      </c>
      <c r="K3004" t="s">
        <v>52</v>
      </c>
      <c r="L3004">
        <v>65</v>
      </c>
      <c r="M3004">
        <v>2.5099999999999998</v>
      </c>
      <c r="N3004">
        <v>101.75</v>
      </c>
      <c r="O3004">
        <v>1.68</v>
      </c>
      <c r="P3004">
        <v>6</v>
      </c>
      <c r="Q3004">
        <v>0.98</v>
      </c>
      <c r="R3004">
        <v>266</v>
      </c>
      <c r="S3004">
        <v>4.74</v>
      </c>
      <c r="T3004">
        <v>1</v>
      </c>
      <c r="U3004" s="1">
        <v>45423</v>
      </c>
      <c r="V3004">
        <v>227.67</v>
      </c>
      <c r="W3004">
        <v>0.57099999999999995</v>
      </c>
      <c r="X3004" t="str">
        <f>IF(WarehouseData[[#This Row],[stock_level]]&lt;=WarehouseData[[#This Row],[reorder_point]],"Low Stock","Sufficient Stock")</f>
        <v>Sufficient Stock</v>
      </c>
      <c r="Y3004">
        <f>WarehouseData[[#This Row],[daily_demand]]*WarehouseData[[#This Row],[lead_time_days]]</f>
        <v>68.760000000000005</v>
      </c>
      <c r="Z3004" t="str">
        <f>IF(WarehouseData[[#This Row],[stock_level]]&lt;=WarehouseData[[#This Row],[Demand During Lead Time]],"At Risk","Safe")</f>
        <v>Safe</v>
      </c>
      <c r="AA3004">
        <f>WarehouseData[[#This Row],[stock_level]]/WarehouseData[[#This Row],[daily_demand]]</f>
        <v>7.2862129144851648</v>
      </c>
      <c r="AB3004">
        <f>WarehouseData[[#This Row],[stock_level]]*WarehouseData[[#This Row],[unit_price]]</f>
        <v>16992.25</v>
      </c>
      <c r="AC3004">
        <f>WarehouseData[[#This Row],[stock_level]]*WarehouseData[[#This Row],[holding_cost_per_unit_day]]*30</f>
        <v>8416.7999999999993</v>
      </c>
      <c r="AD3004" t="str">
        <f>IF(WarehouseData[[#This Row],[order_fulfillment_rate]]&gt;=0.9,"Strong",IF(WarehouseData[[#This Row],[order_fulfillment_rate]]&gt;=0.8,"Moderate","Needs Attention"))</f>
        <v>Strong</v>
      </c>
      <c r="AE3004" t="str">
        <f>IF(WarehouseData[[#This Row],[picking_time_seconds]]&gt;120,"Slow",IF(WarehouseData[[#This Row],[picking_time_seconds]]&gt;=60,"Average","Fast"))</f>
        <v>Average</v>
      </c>
    </row>
    <row r="3005" spans="1:31" x14ac:dyDescent="0.25">
      <c r="A3005" t="s">
        <v>3143</v>
      </c>
      <c r="B3005" t="s">
        <v>36</v>
      </c>
      <c r="C3005">
        <v>37</v>
      </c>
      <c r="D3005">
        <v>26</v>
      </c>
      <c r="E3005">
        <v>6</v>
      </c>
      <c r="F3005">
        <v>4</v>
      </c>
      <c r="G3005">
        <v>39.72</v>
      </c>
      <c r="H3005">
        <v>5.3</v>
      </c>
      <c r="I3005">
        <v>0.25</v>
      </c>
      <c r="J3005" t="s">
        <v>37</v>
      </c>
      <c r="K3005" t="s">
        <v>38</v>
      </c>
      <c r="L3005">
        <v>108</v>
      </c>
      <c r="M3005">
        <v>3.58</v>
      </c>
      <c r="N3005">
        <v>194.88</v>
      </c>
      <c r="O3005">
        <v>0.2</v>
      </c>
      <c r="P3005">
        <v>6</v>
      </c>
      <c r="Q3005">
        <v>0.71</v>
      </c>
      <c r="R3005">
        <v>218</v>
      </c>
      <c r="S3005">
        <v>4.5999999999999996</v>
      </c>
      <c r="T3005">
        <v>0.26</v>
      </c>
      <c r="U3005" s="1">
        <v>45567</v>
      </c>
      <c r="V3005">
        <v>22.66</v>
      </c>
      <c r="W3005">
        <v>0.51500000000000001</v>
      </c>
      <c r="X3005" t="str">
        <f>IF(WarehouseData[[#This Row],[stock_level]]&lt;=WarehouseData[[#This Row],[reorder_point]],"Low Stock","Sufficient Stock")</f>
        <v>Sufficient Stock</v>
      </c>
      <c r="Y3005">
        <f>WarehouseData[[#This Row],[daily_demand]]*WarehouseData[[#This Row],[lead_time_days]]</f>
        <v>158.88</v>
      </c>
      <c r="Z3005" t="str">
        <f>IF(WarehouseData[[#This Row],[stock_level]]&lt;=WarehouseData[[#This Row],[Demand During Lead Time]],"At Risk","Safe")</f>
        <v>At Risk</v>
      </c>
      <c r="AA3005">
        <f>WarehouseData[[#This Row],[stock_level]]/WarehouseData[[#This Row],[daily_demand]]</f>
        <v>0.93152064451158112</v>
      </c>
      <c r="AB3005">
        <f>WarehouseData[[#This Row],[stock_level]]*WarehouseData[[#This Row],[unit_price]]</f>
        <v>7210.5599999999995</v>
      </c>
      <c r="AC3005">
        <f>WarehouseData[[#This Row],[stock_level]]*WarehouseData[[#This Row],[holding_cost_per_unit_day]]*30</f>
        <v>222</v>
      </c>
      <c r="AD3005" t="str">
        <f>IF(WarehouseData[[#This Row],[order_fulfillment_rate]]&gt;=0.9,"Strong",IF(WarehouseData[[#This Row],[order_fulfillment_rate]]&gt;=0.8,"Moderate","Needs Attention"))</f>
        <v>Needs Attention</v>
      </c>
      <c r="AE3005" t="str">
        <f>IF(WarehouseData[[#This Row],[picking_time_seconds]]&gt;120,"Slow",IF(WarehouseData[[#This Row],[picking_time_seconds]]&gt;=60,"Average","Fast"))</f>
        <v>Average</v>
      </c>
    </row>
    <row r="3006" spans="1:31" x14ac:dyDescent="0.25">
      <c r="A3006" t="s">
        <v>3144</v>
      </c>
      <c r="B3006" t="s">
        <v>48</v>
      </c>
      <c r="C3006">
        <v>313</v>
      </c>
      <c r="D3006">
        <v>11</v>
      </c>
      <c r="E3006">
        <v>8</v>
      </c>
      <c r="F3006">
        <v>9</v>
      </c>
      <c r="G3006">
        <v>40.31</v>
      </c>
      <c r="H3006">
        <v>2.52</v>
      </c>
      <c r="I3006">
        <v>0.97</v>
      </c>
      <c r="J3006" t="s">
        <v>217</v>
      </c>
      <c r="K3006" t="s">
        <v>38</v>
      </c>
      <c r="L3006">
        <v>14</v>
      </c>
      <c r="M3006">
        <v>1.58</v>
      </c>
      <c r="N3006">
        <v>65.349999999999994</v>
      </c>
      <c r="O3006">
        <v>0.17</v>
      </c>
      <c r="P3006">
        <v>8</v>
      </c>
      <c r="Q3006">
        <v>0.88</v>
      </c>
      <c r="R3006">
        <v>783</v>
      </c>
      <c r="S3006">
        <v>8.84</v>
      </c>
      <c r="T3006">
        <v>0.4</v>
      </c>
      <c r="U3006" s="1">
        <v>45586</v>
      </c>
      <c r="V3006">
        <v>56.27</v>
      </c>
      <c r="W3006">
        <v>0.59699999999999998</v>
      </c>
      <c r="X3006" t="str">
        <f>IF(WarehouseData[[#This Row],[stock_level]]&lt;=WarehouseData[[#This Row],[reorder_point]],"Low Stock","Sufficient Stock")</f>
        <v>Sufficient Stock</v>
      </c>
      <c r="Y3006">
        <f>WarehouseData[[#This Row],[daily_demand]]*WarehouseData[[#This Row],[lead_time_days]]</f>
        <v>362.79</v>
      </c>
      <c r="Z3006" t="str">
        <f>IF(WarehouseData[[#This Row],[stock_level]]&lt;=WarehouseData[[#This Row],[Demand During Lead Time]],"At Risk","Safe")</f>
        <v>At Risk</v>
      </c>
      <c r="AA3006">
        <f>WarehouseData[[#This Row],[stock_level]]/WarehouseData[[#This Row],[daily_demand]]</f>
        <v>7.7648226246588932</v>
      </c>
      <c r="AB3006">
        <f>WarehouseData[[#This Row],[stock_level]]*WarehouseData[[#This Row],[unit_price]]</f>
        <v>20454.55</v>
      </c>
      <c r="AC3006">
        <f>WarehouseData[[#This Row],[stock_level]]*WarehouseData[[#This Row],[holding_cost_per_unit_day]]*30</f>
        <v>1596.3</v>
      </c>
      <c r="AD3006" t="str">
        <f>IF(WarehouseData[[#This Row],[order_fulfillment_rate]]&gt;=0.9,"Strong",IF(WarehouseData[[#This Row],[order_fulfillment_rate]]&gt;=0.8,"Moderate","Needs Attention"))</f>
        <v>Moderate</v>
      </c>
      <c r="AE3006" t="str">
        <f>IF(WarehouseData[[#This Row],[picking_time_seconds]]&gt;120,"Slow",IF(WarehouseData[[#This Row],[picking_time_seconds]]&gt;=60,"Average","Fast"))</f>
        <v>Fast</v>
      </c>
    </row>
    <row r="3007" spans="1:31" x14ac:dyDescent="0.25">
      <c r="A3007" t="s">
        <v>3145</v>
      </c>
      <c r="B3007" t="s">
        <v>32</v>
      </c>
      <c r="C3007">
        <v>214</v>
      </c>
      <c r="D3007">
        <v>22</v>
      </c>
      <c r="E3007">
        <v>6</v>
      </c>
      <c r="F3007">
        <v>8</v>
      </c>
      <c r="G3007">
        <v>36.26</v>
      </c>
      <c r="H3007">
        <v>1.21</v>
      </c>
      <c r="I3007">
        <v>0.95</v>
      </c>
      <c r="J3007" t="s">
        <v>144</v>
      </c>
      <c r="K3007" t="s">
        <v>46</v>
      </c>
      <c r="L3007">
        <v>39</v>
      </c>
      <c r="M3007">
        <v>3.18</v>
      </c>
      <c r="N3007">
        <v>176.03</v>
      </c>
      <c r="O3007">
        <v>0.28999999999999998</v>
      </c>
      <c r="P3007">
        <v>2</v>
      </c>
      <c r="Q3007">
        <v>0.89</v>
      </c>
      <c r="R3007">
        <v>689</v>
      </c>
      <c r="S3007">
        <v>12.89</v>
      </c>
      <c r="T3007">
        <v>0.36</v>
      </c>
      <c r="U3007" s="1">
        <v>45420</v>
      </c>
      <c r="V3007">
        <v>157.02000000000001</v>
      </c>
      <c r="W3007">
        <v>0.753</v>
      </c>
      <c r="X3007" t="str">
        <f>IF(WarehouseData[[#This Row],[stock_level]]&lt;=WarehouseData[[#This Row],[reorder_point]],"Low Stock","Sufficient Stock")</f>
        <v>Sufficient Stock</v>
      </c>
      <c r="Y3007">
        <f>WarehouseData[[#This Row],[daily_demand]]*WarehouseData[[#This Row],[lead_time_days]]</f>
        <v>290.08</v>
      </c>
      <c r="Z3007" t="str">
        <f>IF(WarehouseData[[#This Row],[stock_level]]&lt;=WarehouseData[[#This Row],[Demand During Lead Time]],"At Risk","Safe")</f>
        <v>At Risk</v>
      </c>
      <c r="AA3007">
        <f>WarehouseData[[#This Row],[stock_level]]/WarehouseData[[#This Row],[daily_demand]]</f>
        <v>5.901820187534474</v>
      </c>
      <c r="AB3007">
        <f>WarehouseData[[#This Row],[stock_level]]*WarehouseData[[#This Row],[unit_price]]</f>
        <v>37670.42</v>
      </c>
      <c r="AC3007">
        <f>WarehouseData[[#This Row],[stock_level]]*WarehouseData[[#This Row],[holding_cost_per_unit_day]]*30</f>
        <v>1861.8</v>
      </c>
      <c r="AD3007" t="str">
        <f>IF(WarehouseData[[#This Row],[order_fulfillment_rate]]&gt;=0.9,"Strong",IF(WarehouseData[[#This Row],[order_fulfillment_rate]]&gt;=0.8,"Moderate","Needs Attention"))</f>
        <v>Moderate</v>
      </c>
      <c r="AE3007" t="str">
        <f>IF(WarehouseData[[#This Row],[picking_time_seconds]]&gt;120,"Slow",IF(WarehouseData[[#This Row],[picking_time_seconds]]&gt;=60,"Average","Fast"))</f>
        <v>Fast</v>
      </c>
    </row>
    <row r="3008" spans="1:31" x14ac:dyDescent="0.25">
      <c r="A3008" t="s">
        <v>3146</v>
      </c>
      <c r="B3008" t="s">
        <v>32</v>
      </c>
      <c r="C3008">
        <v>170</v>
      </c>
      <c r="D3008">
        <v>40</v>
      </c>
      <c r="E3008">
        <v>9</v>
      </c>
      <c r="F3008">
        <v>3</v>
      </c>
      <c r="G3008">
        <v>2.08</v>
      </c>
      <c r="H3008">
        <v>6.37</v>
      </c>
      <c r="I3008">
        <v>0.44</v>
      </c>
      <c r="J3008" t="s">
        <v>79</v>
      </c>
      <c r="K3008" t="s">
        <v>46</v>
      </c>
      <c r="L3008">
        <v>31</v>
      </c>
      <c r="M3008">
        <v>2.99</v>
      </c>
      <c r="N3008">
        <v>29.06</v>
      </c>
      <c r="O3008">
        <v>0.48</v>
      </c>
      <c r="P3008">
        <v>0</v>
      </c>
      <c r="Q3008">
        <v>0.79</v>
      </c>
      <c r="R3008">
        <v>434</v>
      </c>
      <c r="S3008">
        <v>11.08</v>
      </c>
      <c r="T3008">
        <v>0.98</v>
      </c>
      <c r="U3008" s="1">
        <v>45647</v>
      </c>
      <c r="V3008">
        <v>228.53</v>
      </c>
      <c r="W3008">
        <v>0.85399999999999998</v>
      </c>
      <c r="X3008" t="str">
        <f>IF(WarehouseData[[#This Row],[stock_level]]&lt;=WarehouseData[[#This Row],[reorder_point]],"Low Stock","Sufficient Stock")</f>
        <v>Sufficient Stock</v>
      </c>
      <c r="Y3008">
        <f>WarehouseData[[#This Row],[daily_demand]]*WarehouseData[[#This Row],[lead_time_days]]</f>
        <v>6.24</v>
      </c>
      <c r="Z3008" t="str">
        <f>IF(WarehouseData[[#This Row],[stock_level]]&lt;=WarehouseData[[#This Row],[Demand During Lead Time]],"At Risk","Safe")</f>
        <v>Safe</v>
      </c>
      <c r="AA3008">
        <f>WarehouseData[[#This Row],[stock_level]]/WarehouseData[[#This Row],[daily_demand]]</f>
        <v>81.730769230769226</v>
      </c>
      <c r="AB3008">
        <f>WarehouseData[[#This Row],[stock_level]]*WarehouseData[[#This Row],[unit_price]]</f>
        <v>4940.2</v>
      </c>
      <c r="AC3008">
        <f>WarehouseData[[#This Row],[stock_level]]*WarehouseData[[#This Row],[holding_cost_per_unit_day]]*30</f>
        <v>2448</v>
      </c>
      <c r="AD3008" t="str">
        <f>IF(WarehouseData[[#This Row],[order_fulfillment_rate]]&gt;=0.9,"Strong",IF(WarehouseData[[#This Row],[order_fulfillment_rate]]&gt;=0.8,"Moderate","Needs Attention"))</f>
        <v>Needs Attention</v>
      </c>
      <c r="AE3008" t="str">
        <f>IF(WarehouseData[[#This Row],[picking_time_seconds]]&gt;120,"Slow",IF(WarehouseData[[#This Row],[picking_time_seconds]]&gt;=60,"Average","Fast"))</f>
        <v>Fast</v>
      </c>
    </row>
    <row r="3009" spans="1:31" x14ac:dyDescent="0.25">
      <c r="A3009" t="s">
        <v>3147</v>
      </c>
      <c r="B3009" t="s">
        <v>48</v>
      </c>
      <c r="C3009">
        <v>499</v>
      </c>
      <c r="D3009">
        <v>37</v>
      </c>
      <c r="E3009">
        <v>14</v>
      </c>
      <c r="F3009">
        <v>5</v>
      </c>
      <c r="G3009">
        <v>28.68</v>
      </c>
      <c r="H3009">
        <v>9.5399999999999991</v>
      </c>
      <c r="I3009">
        <v>0.98</v>
      </c>
      <c r="J3009" t="s">
        <v>86</v>
      </c>
      <c r="K3009" t="s">
        <v>52</v>
      </c>
      <c r="L3009">
        <v>154</v>
      </c>
      <c r="M3009">
        <v>1.93</v>
      </c>
      <c r="N3009">
        <v>124.36</v>
      </c>
      <c r="O3009">
        <v>0.17</v>
      </c>
      <c r="P3009">
        <v>8</v>
      </c>
      <c r="Q3009">
        <v>1</v>
      </c>
      <c r="R3009">
        <v>910</v>
      </c>
      <c r="S3009">
        <v>7.85</v>
      </c>
      <c r="T3009">
        <v>0.9</v>
      </c>
      <c r="U3009" s="1">
        <v>45518</v>
      </c>
      <c r="V3009">
        <v>184.28</v>
      </c>
      <c r="W3009">
        <v>0.70799999999999996</v>
      </c>
      <c r="X3009" t="str">
        <f>IF(WarehouseData[[#This Row],[stock_level]]&lt;=WarehouseData[[#This Row],[reorder_point]],"Low Stock","Sufficient Stock")</f>
        <v>Sufficient Stock</v>
      </c>
      <c r="Y3009">
        <f>WarehouseData[[#This Row],[daily_demand]]*WarehouseData[[#This Row],[lead_time_days]]</f>
        <v>143.4</v>
      </c>
      <c r="Z3009" t="str">
        <f>IF(WarehouseData[[#This Row],[stock_level]]&lt;=WarehouseData[[#This Row],[Demand During Lead Time]],"At Risk","Safe")</f>
        <v>Safe</v>
      </c>
      <c r="AA3009">
        <f>WarehouseData[[#This Row],[stock_level]]/WarehouseData[[#This Row],[daily_demand]]</f>
        <v>17.398884239888424</v>
      </c>
      <c r="AB3009">
        <f>WarehouseData[[#This Row],[stock_level]]*WarehouseData[[#This Row],[unit_price]]</f>
        <v>62055.64</v>
      </c>
      <c r="AC3009">
        <f>WarehouseData[[#This Row],[stock_level]]*WarehouseData[[#This Row],[holding_cost_per_unit_day]]*30</f>
        <v>2544.9000000000005</v>
      </c>
      <c r="AD3009" t="str">
        <f>IF(WarehouseData[[#This Row],[order_fulfillment_rate]]&gt;=0.9,"Strong",IF(WarehouseData[[#This Row],[order_fulfillment_rate]]&gt;=0.8,"Moderate","Needs Attention"))</f>
        <v>Strong</v>
      </c>
      <c r="AE3009" t="str">
        <f>IF(WarehouseData[[#This Row],[picking_time_seconds]]&gt;120,"Slow",IF(WarehouseData[[#This Row],[picking_time_seconds]]&gt;=60,"Average","Fast"))</f>
        <v>Slow</v>
      </c>
    </row>
    <row r="3010" spans="1:31" x14ac:dyDescent="0.25">
      <c r="A3010" t="s">
        <v>3148</v>
      </c>
      <c r="B3010" t="s">
        <v>40</v>
      </c>
      <c r="C3010">
        <v>384</v>
      </c>
      <c r="D3010">
        <v>69</v>
      </c>
      <c r="E3010">
        <v>14</v>
      </c>
      <c r="F3010">
        <v>2</v>
      </c>
      <c r="G3010">
        <v>37.630000000000003</v>
      </c>
      <c r="H3010">
        <v>3.45</v>
      </c>
      <c r="I3010">
        <v>0.13</v>
      </c>
      <c r="J3010" t="s">
        <v>154</v>
      </c>
      <c r="K3010" t="s">
        <v>34</v>
      </c>
      <c r="L3010">
        <v>147</v>
      </c>
      <c r="M3010">
        <v>4</v>
      </c>
      <c r="N3010">
        <v>133.18</v>
      </c>
      <c r="O3010">
        <v>0.24</v>
      </c>
      <c r="P3010">
        <v>0</v>
      </c>
      <c r="Q3010">
        <v>0.79</v>
      </c>
      <c r="R3010">
        <v>65</v>
      </c>
      <c r="S3010">
        <v>4.57</v>
      </c>
      <c r="T3010">
        <v>0.31</v>
      </c>
      <c r="U3010" s="1">
        <v>45485</v>
      </c>
      <c r="V3010">
        <v>298.52</v>
      </c>
      <c r="W3010">
        <v>0.65700000000000003</v>
      </c>
      <c r="X3010" t="str">
        <f>IF(WarehouseData[[#This Row],[stock_level]]&lt;=WarehouseData[[#This Row],[reorder_point]],"Low Stock","Sufficient Stock")</f>
        <v>Sufficient Stock</v>
      </c>
      <c r="Y3010">
        <f>WarehouseData[[#This Row],[daily_demand]]*WarehouseData[[#This Row],[lead_time_days]]</f>
        <v>75.260000000000005</v>
      </c>
      <c r="Z3010" t="str">
        <f>IF(WarehouseData[[#This Row],[stock_level]]&lt;=WarehouseData[[#This Row],[Demand During Lead Time]],"At Risk","Safe")</f>
        <v>Safe</v>
      </c>
      <c r="AA3010">
        <f>WarehouseData[[#This Row],[stock_level]]/WarehouseData[[#This Row],[daily_demand]]</f>
        <v>10.204623970236513</v>
      </c>
      <c r="AB3010">
        <f>WarehouseData[[#This Row],[stock_level]]*WarehouseData[[#This Row],[unit_price]]</f>
        <v>51141.120000000003</v>
      </c>
      <c r="AC3010">
        <f>WarehouseData[[#This Row],[stock_level]]*WarehouseData[[#This Row],[holding_cost_per_unit_day]]*30</f>
        <v>2764.7999999999997</v>
      </c>
      <c r="AD3010" t="str">
        <f>IF(WarehouseData[[#This Row],[order_fulfillment_rate]]&gt;=0.9,"Strong",IF(WarehouseData[[#This Row],[order_fulfillment_rate]]&gt;=0.8,"Moderate","Needs Attention"))</f>
        <v>Needs Attention</v>
      </c>
      <c r="AE3010" t="str">
        <f>IF(WarehouseData[[#This Row],[picking_time_seconds]]&gt;120,"Slow",IF(WarehouseData[[#This Row],[picking_time_seconds]]&gt;=60,"Average","Fast"))</f>
        <v>Slow</v>
      </c>
    </row>
    <row r="3011" spans="1:31" x14ac:dyDescent="0.25">
      <c r="A3011" t="s">
        <v>3149</v>
      </c>
      <c r="B3011" t="s">
        <v>40</v>
      </c>
      <c r="C3011">
        <v>142</v>
      </c>
      <c r="D3011">
        <v>36</v>
      </c>
      <c r="E3011">
        <v>13</v>
      </c>
      <c r="F3011">
        <v>8</v>
      </c>
      <c r="G3011">
        <v>22.79</v>
      </c>
      <c r="H3011">
        <v>6.02</v>
      </c>
      <c r="I3011">
        <v>0.69</v>
      </c>
      <c r="J3011" t="s">
        <v>137</v>
      </c>
      <c r="K3011" t="s">
        <v>38</v>
      </c>
      <c r="L3011">
        <v>179</v>
      </c>
      <c r="M3011">
        <v>0.86</v>
      </c>
      <c r="N3011">
        <v>156.72</v>
      </c>
      <c r="O3011">
        <v>0.68</v>
      </c>
      <c r="P3011">
        <v>7</v>
      </c>
      <c r="Q3011">
        <v>0.76</v>
      </c>
      <c r="R3011">
        <v>86</v>
      </c>
      <c r="S3011">
        <v>11.63</v>
      </c>
      <c r="T3011">
        <v>0.48</v>
      </c>
      <c r="U3011" s="1">
        <v>45580</v>
      </c>
      <c r="V3011">
        <v>199.93</v>
      </c>
      <c r="W3011">
        <v>0.59499999999999997</v>
      </c>
      <c r="X3011" t="str">
        <f>IF(WarehouseData[[#This Row],[stock_level]]&lt;=WarehouseData[[#This Row],[reorder_point]],"Low Stock","Sufficient Stock")</f>
        <v>Sufficient Stock</v>
      </c>
      <c r="Y3011">
        <f>WarehouseData[[#This Row],[daily_demand]]*WarehouseData[[#This Row],[lead_time_days]]</f>
        <v>182.32</v>
      </c>
      <c r="Z3011" t="str">
        <f>IF(WarehouseData[[#This Row],[stock_level]]&lt;=WarehouseData[[#This Row],[Demand During Lead Time]],"At Risk","Safe")</f>
        <v>At Risk</v>
      </c>
      <c r="AA3011">
        <f>WarehouseData[[#This Row],[stock_level]]/WarehouseData[[#This Row],[daily_demand]]</f>
        <v>6.2308029837648098</v>
      </c>
      <c r="AB3011">
        <f>WarehouseData[[#This Row],[stock_level]]*WarehouseData[[#This Row],[unit_price]]</f>
        <v>22254.240000000002</v>
      </c>
      <c r="AC3011">
        <f>WarehouseData[[#This Row],[stock_level]]*WarehouseData[[#This Row],[holding_cost_per_unit_day]]*30</f>
        <v>2896.8</v>
      </c>
      <c r="AD3011" t="str">
        <f>IF(WarehouseData[[#This Row],[order_fulfillment_rate]]&gt;=0.9,"Strong",IF(WarehouseData[[#This Row],[order_fulfillment_rate]]&gt;=0.8,"Moderate","Needs Attention"))</f>
        <v>Needs Attention</v>
      </c>
      <c r="AE3011" t="str">
        <f>IF(WarehouseData[[#This Row],[picking_time_seconds]]&gt;120,"Slow",IF(WarehouseData[[#This Row],[picking_time_seconds]]&gt;=60,"Average","Fast"))</f>
        <v>Slow</v>
      </c>
    </row>
    <row r="3012" spans="1:31" x14ac:dyDescent="0.25">
      <c r="A3012" t="s">
        <v>3150</v>
      </c>
      <c r="B3012" t="s">
        <v>32</v>
      </c>
      <c r="C3012">
        <v>419</v>
      </c>
      <c r="D3012">
        <v>24</v>
      </c>
      <c r="E3012">
        <v>3</v>
      </c>
      <c r="F3012">
        <v>7</v>
      </c>
      <c r="G3012">
        <v>47.3</v>
      </c>
      <c r="H3012">
        <v>9.56</v>
      </c>
      <c r="I3012">
        <v>0.34</v>
      </c>
      <c r="J3012" t="s">
        <v>113</v>
      </c>
      <c r="K3012" t="s">
        <v>38</v>
      </c>
      <c r="L3012">
        <v>36</v>
      </c>
      <c r="M3012">
        <v>1.27</v>
      </c>
      <c r="N3012">
        <v>105.57</v>
      </c>
      <c r="O3012">
        <v>0.28999999999999998</v>
      </c>
      <c r="P3012">
        <v>4</v>
      </c>
      <c r="Q3012">
        <v>0.85</v>
      </c>
      <c r="R3012">
        <v>470</v>
      </c>
      <c r="S3012">
        <v>13.97</v>
      </c>
      <c r="T3012">
        <v>0.24</v>
      </c>
      <c r="U3012" s="1">
        <v>45539</v>
      </c>
      <c r="V3012">
        <v>220.24</v>
      </c>
      <c r="W3012">
        <v>0.69499999999999995</v>
      </c>
      <c r="X3012" t="str">
        <f>IF(WarehouseData[[#This Row],[stock_level]]&lt;=WarehouseData[[#This Row],[reorder_point]],"Low Stock","Sufficient Stock")</f>
        <v>Sufficient Stock</v>
      </c>
      <c r="Y3012">
        <f>WarehouseData[[#This Row],[daily_demand]]*WarehouseData[[#This Row],[lead_time_days]]</f>
        <v>331.09999999999997</v>
      </c>
      <c r="Z3012" t="str">
        <f>IF(WarehouseData[[#This Row],[stock_level]]&lt;=WarehouseData[[#This Row],[Demand During Lead Time]],"At Risk","Safe")</f>
        <v>Safe</v>
      </c>
      <c r="AA3012">
        <f>WarehouseData[[#This Row],[stock_level]]/WarehouseData[[#This Row],[daily_demand]]</f>
        <v>8.8583509513742076</v>
      </c>
      <c r="AB3012">
        <f>WarehouseData[[#This Row],[stock_level]]*WarehouseData[[#This Row],[unit_price]]</f>
        <v>44233.829999999994</v>
      </c>
      <c r="AC3012">
        <f>WarehouseData[[#This Row],[stock_level]]*WarehouseData[[#This Row],[holding_cost_per_unit_day]]*30</f>
        <v>3645.2999999999997</v>
      </c>
      <c r="AD3012" t="str">
        <f>IF(WarehouseData[[#This Row],[order_fulfillment_rate]]&gt;=0.9,"Strong",IF(WarehouseData[[#This Row],[order_fulfillment_rate]]&gt;=0.8,"Moderate","Needs Attention"))</f>
        <v>Moderate</v>
      </c>
      <c r="AE3012" t="str">
        <f>IF(WarehouseData[[#This Row],[picking_time_seconds]]&gt;120,"Slow",IF(WarehouseData[[#This Row],[picking_time_seconds]]&gt;=60,"Average","Fast"))</f>
        <v>Fast</v>
      </c>
    </row>
    <row r="3013" spans="1:31" x14ac:dyDescent="0.25">
      <c r="A3013" t="s">
        <v>3151</v>
      </c>
      <c r="B3013" t="s">
        <v>32</v>
      </c>
      <c r="C3013">
        <v>206</v>
      </c>
      <c r="D3013">
        <v>88</v>
      </c>
      <c r="E3013">
        <v>7</v>
      </c>
      <c r="F3013">
        <v>9</v>
      </c>
      <c r="G3013">
        <v>41.37</v>
      </c>
      <c r="H3013">
        <v>6.68</v>
      </c>
      <c r="I3013">
        <v>0.22</v>
      </c>
      <c r="J3013" t="s">
        <v>196</v>
      </c>
      <c r="K3013" t="s">
        <v>34</v>
      </c>
      <c r="L3013">
        <v>136</v>
      </c>
      <c r="M3013">
        <v>2.62</v>
      </c>
      <c r="N3013">
        <v>47.47</v>
      </c>
      <c r="O3013">
        <v>1.62</v>
      </c>
      <c r="P3013">
        <v>7</v>
      </c>
      <c r="Q3013">
        <v>0.8</v>
      </c>
      <c r="R3013">
        <v>952</v>
      </c>
      <c r="S3013">
        <v>3.98</v>
      </c>
      <c r="T3013">
        <v>0.71</v>
      </c>
      <c r="U3013" s="1">
        <v>45416</v>
      </c>
      <c r="V3013">
        <v>298.24</v>
      </c>
      <c r="W3013">
        <v>0.45300000000000001</v>
      </c>
      <c r="X3013" t="str">
        <f>IF(WarehouseData[[#This Row],[stock_level]]&lt;=WarehouseData[[#This Row],[reorder_point]],"Low Stock","Sufficient Stock")</f>
        <v>Sufficient Stock</v>
      </c>
      <c r="Y3013">
        <f>WarehouseData[[#This Row],[daily_demand]]*WarehouseData[[#This Row],[lead_time_days]]</f>
        <v>372.33</v>
      </c>
      <c r="Z3013" t="str">
        <f>IF(WarehouseData[[#This Row],[stock_level]]&lt;=WarehouseData[[#This Row],[Demand During Lead Time]],"At Risk","Safe")</f>
        <v>At Risk</v>
      </c>
      <c r="AA3013">
        <f>WarehouseData[[#This Row],[stock_level]]/WarehouseData[[#This Row],[daily_demand]]</f>
        <v>4.979453710418178</v>
      </c>
      <c r="AB3013">
        <f>WarehouseData[[#This Row],[stock_level]]*WarehouseData[[#This Row],[unit_price]]</f>
        <v>9778.82</v>
      </c>
      <c r="AC3013">
        <f>WarehouseData[[#This Row],[stock_level]]*WarehouseData[[#This Row],[holding_cost_per_unit_day]]*30</f>
        <v>10011.6</v>
      </c>
      <c r="AD3013" t="str">
        <f>IF(WarehouseData[[#This Row],[order_fulfillment_rate]]&gt;=0.9,"Strong",IF(WarehouseData[[#This Row],[order_fulfillment_rate]]&gt;=0.8,"Moderate","Needs Attention"))</f>
        <v>Moderate</v>
      </c>
      <c r="AE3013" t="str">
        <f>IF(WarehouseData[[#This Row],[picking_time_seconds]]&gt;120,"Slow",IF(WarehouseData[[#This Row],[picking_time_seconds]]&gt;=60,"Average","Fast"))</f>
        <v>Slow</v>
      </c>
    </row>
    <row r="3014" spans="1:31" x14ac:dyDescent="0.25">
      <c r="A3014" t="s">
        <v>3152</v>
      </c>
      <c r="B3014" t="s">
        <v>73</v>
      </c>
      <c r="C3014">
        <v>472</v>
      </c>
      <c r="D3014">
        <v>42</v>
      </c>
      <c r="E3014">
        <v>12</v>
      </c>
      <c r="F3014">
        <v>8</v>
      </c>
      <c r="G3014">
        <v>32.270000000000003</v>
      </c>
      <c r="H3014">
        <v>6.89</v>
      </c>
      <c r="I3014">
        <v>0.62</v>
      </c>
      <c r="J3014" t="s">
        <v>212</v>
      </c>
      <c r="K3014" t="s">
        <v>52</v>
      </c>
      <c r="L3014">
        <v>144</v>
      </c>
      <c r="M3014">
        <v>4.51</v>
      </c>
      <c r="N3014">
        <v>80.11</v>
      </c>
      <c r="O3014">
        <v>0.2</v>
      </c>
      <c r="P3014">
        <v>6</v>
      </c>
      <c r="Q3014">
        <v>0.98</v>
      </c>
      <c r="R3014">
        <v>345</v>
      </c>
      <c r="S3014">
        <v>12.19</v>
      </c>
      <c r="T3014">
        <v>0.46</v>
      </c>
      <c r="U3014" s="1">
        <v>45465</v>
      </c>
      <c r="V3014">
        <v>181.81</v>
      </c>
      <c r="W3014">
        <v>0.71099999999999997</v>
      </c>
      <c r="X3014" t="str">
        <f>IF(WarehouseData[[#This Row],[stock_level]]&lt;=WarehouseData[[#This Row],[reorder_point]],"Low Stock","Sufficient Stock")</f>
        <v>Sufficient Stock</v>
      </c>
      <c r="Y3014">
        <f>WarehouseData[[#This Row],[daily_demand]]*WarehouseData[[#This Row],[lead_time_days]]</f>
        <v>258.16000000000003</v>
      </c>
      <c r="Z3014" t="str">
        <f>IF(WarehouseData[[#This Row],[stock_level]]&lt;=WarehouseData[[#This Row],[Demand During Lead Time]],"At Risk","Safe")</f>
        <v>Safe</v>
      </c>
      <c r="AA3014">
        <f>WarehouseData[[#This Row],[stock_level]]/WarehouseData[[#This Row],[daily_demand]]</f>
        <v>14.626588162379917</v>
      </c>
      <c r="AB3014">
        <f>WarehouseData[[#This Row],[stock_level]]*WarehouseData[[#This Row],[unit_price]]</f>
        <v>37811.919999999998</v>
      </c>
      <c r="AC3014">
        <f>WarehouseData[[#This Row],[stock_level]]*WarehouseData[[#This Row],[holding_cost_per_unit_day]]*30</f>
        <v>2832</v>
      </c>
      <c r="AD3014" t="str">
        <f>IF(WarehouseData[[#This Row],[order_fulfillment_rate]]&gt;=0.9,"Strong",IF(WarehouseData[[#This Row],[order_fulfillment_rate]]&gt;=0.8,"Moderate","Needs Attention"))</f>
        <v>Strong</v>
      </c>
      <c r="AE3014" t="str">
        <f>IF(WarehouseData[[#This Row],[picking_time_seconds]]&gt;120,"Slow",IF(WarehouseData[[#This Row],[picking_time_seconds]]&gt;=60,"Average","Fast"))</f>
        <v>Slow</v>
      </c>
    </row>
    <row r="3015" spans="1:31" x14ac:dyDescent="0.25">
      <c r="A3015" t="s">
        <v>3153</v>
      </c>
      <c r="B3015" t="s">
        <v>40</v>
      </c>
      <c r="C3015">
        <v>471</v>
      </c>
      <c r="D3015">
        <v>29</v>
      </c>
      <c r="E3015">
        <v>14</v>
      </c>
      <c r="F3015">
        <v>5</v>
      </c>
      <c r="G3015">
        <v>4.0599999999999996</v>
      </c>
      <c r="H3015">
        <v>2.2000000000000002</v>
      </c>
      <c r="I3015">
        <v>0.38</v>
      </c>
      <c r="J3015" t="s">
        <v>379</v>
      </c>
      <c r="K3015" t="s">
        <v>46</v>
      </c>
      <c r="L3015">
        <v>32</v>
      </c>
      <c r="M3015">
        <v>3.09</v>
      </c>
      <c r="N3015">
        <v>61.71</v>
      </c>
      <c r="O3015">
        <v>1.83</v>
      </c>
      <c r="P3015">
        <v>8</v>
      </c>
      <c r="Q3015">
        <v>0.83</v>
      </c>
      <c r="R3015">
        <v>484</v>
      </c>
      <c r="S3015">
        <v>3.41</v>
      </c>
      <c r="T3015">
        <v>0.41</v>
      </c>
      <c r="U3015" s="1">
        <v>45526</v>
      </c>
      <c r="V3015">
        <v>217.24</v>
      </c>
      <c r="W3015">
        <v>0.35</v>
      </c>
      <c r="X3015" t="str">
        <f>IF(WarehouseData[[#This Row],[stock_level]]&lt;=WarehouseData[[#This Row],[reorder_point]],"Low Stock","Sufficient Stock")</f>
        <v>Sufficient Stock</v>
      </c>
      <c r="Y3015">
        <f>WarehouseData[[#This Row],[daily_demand]]*WarehouseData[[#This Row],[lead_time_days]]</f>
        <v>20.299999999999997</v>
      </c>
      <c r="Z3015" t="str">
        <f>IF(WarehouseData[[#This Row],[stock_level]]&lt;=WarehouseData[[#This Row],[Demand During Lead Time]],"At Risk","Safe")</f>
        <v>Safe</v>
      </c>
      <c r="AA3015">
        <f>WarehouseData[[#This Row],[stock_level]]/WarehouseData[[#This Row],[daily_demand]]</f>
        <v>116.00985221674878</v>
      </c>
      <c r="AB3015">
        <f>WarehouseData[[#This Row],[stock_level]]*WarehouseData[[#This Row],[unit_price]]</f>
        <v>29065.41</v>
      </c>
      <c r="AC3015">
        <f>WarehouseData[[#This Row],[stock_level]]*WarehouseData[[#This Row],[holding_cost_per_unit_day]]*30</f>
        <v>25857.9</v>
      </c>
      <c r="AD3015" t="str">
        <f>IF(WarehouseData[[#This Row],[order_fulfillment_rate]]&gt;=0.9,"Strong",IF(WarehouseData[[#This Row],[order_fulfillment_rate]]&gt;=0.8,"Moderate","Needs Attention"))</f>
        <v>Moderate</v>
      </c>
      <c r="AE3015" t="str">
        <f>IF(WarehouseData[[#This Row],[picking_time_seconds]]&gt;120,"Slow",IF(WarehouseData[[#This Row],[picking_time_seconds]]&gt;=60,"Average","Fast"))</f>
        <v>Fast</v>
      </c>
    </row>
    <row r="3016" spans="1:31" x14ac:dyDescent="0.25">
      <c r="A3016" t="s">
        <v>3154</v>
      </c>
      <c r="B3016" t="s">
        <v>48</v>
      </c>
      <c r="C3016">
        <v>168</v>
      </c>
      <c r="D3016">
        <v>51</v>
      </c>
      <c r="E3016">
        <v>12</v>
      </c>
      <c r="F3016">
        <v>4</v>
      </c>
      <c r="G3016">
        <v>32.96</v>
      </c>
      <c r="H3016">
        <v>5.18</v>
      </c>
      <c r="I3016">
        <v>0.7</v>
      </c>
      <c r="J3016" t="s">
        <v>377</v>
      </c>
      <c r="K3016" t="s">
        <v>52</v>
      </c>
      <c r="L3016">
        <v>84</v>
      </c>
      <c r="M3016">
        <v>4.29</v>
      </c>
      <c r="N3016">
        <v>89.63</v>
      </c>
      <c r="O3016">
        <v>1.75</v>
      </c>
      <c r="P3016">
        <v>1</v>
      </c>
      <c r="Q3016">
        <v>0.82</v>
      </c>
      <c r="R3016">
        <v>369</v>
      </c>
      <c r="S3016">
        <v>13.61</v>
      </c>
      <c r="T3016">
        <v>0.62</v>
      </c>
      <c r="U3016" s="1">
        <v>45640</v>
      </c>
      <c r="V3016">
        <v>96.52</v>
      </c>
      <c r="W3016">
        <v>0.67400000000000004</v>
      </c>
      <c r="X3016" t="str">
        <f>IF(WarehouseData[[#This Row],[stock_level]]&lt;=WarehouseData[[#This Row],[reorder_point]],"Low Stock","Sufficient Stock")</f>
        <v>Sufficient Stock</v>
      </c>
      <c r="Y3016">
        <f>WarehouseData[[#This Row],[daily_demand]]*WarehouseData[[#This Row],[lead_time_days]]</f>
        <v>131.84</v>
      </c>
      <c r="Z3016" t="str">
        <f>IF(WarehouseData[[#This Row],[stock_level]]&lt;=WarehouseData[[#This Row],[Demand During Lead Time]],"At Risk","Safe")</f>
        <v>Safe</v>
      </c>
      <c r="AA3016">
        <f>WarehouseData[[#This Row],[stock_level]]/WarehouseData[[#This Row],[daily_demand]]</f>
        <v>5.0970873786407767</v>
      </c>
      <c r="AB3016">
        <f>WarehouseData[[#This Row],[stock_level]]*WarehouseData[[#This Row],[unit_price]]</f>
        <v>15057.84</v>
      </c>
      <c r="AC3016">
        <f>WarehouseData[[#This Row],[stock_level]]*WarehouseData[[#This Row],[holding_cost_per_unit_day]]*30</f>
        <v>8820</v>
      </c>
      <c r="AD3016" t="str">
        <f>IF(WarehouseData[[#This Row],[order_fulfillment_rate]]&gt;=0.9,"Strong",IF(WarehouseData[[#This Row],[order_fulfillment_rate]]&gt;=0.8,"Moderate","Needs Attention"))</f>
        <v>Moderate</v>
      </c>
      <c r="AE3016" t="str">
        <f>IF(WarehouseData[[#This Row],[picking_time_seconds]]&gt;120,"Slow",IF(WarehouseData[[#This Row],[picking_time_seconds]]&gt;=60,"Average","Fast"))</f>
        <v>Average</v>
      </c>
    </row>
    <row r="3017" spans="1:31" x14ac:dyDescent="0.25">
      <c r="A3017" t="s">
        <v>3155</v>
      </c>
      <c r="B3017" t="s">
        <v>40</v>
      </c>
      <c r="C3017">
        <v>123</v>
      </c>
      <c r="D3017">
        <v>21</v>
      </c>
      <c r="E3017">
        <v>6</v>
      </c>
      <c r="F3017">
        <v>4</v>
      </c>
      <c r="G3017">
        <v>45.67</v>
      </c>
      <c r="H3017">
        <v>3.99</v>
      </c>
      <c r="I3017">
        <v>0.59</v>
      </c>
      <c r="J3017" t="s">
        <v>37</v>
      </c>
      <c r="K3017" t="s">
        <v>34</v>
      </c>
      <c r="L3017">
        <v>126</v>
      </c>
      <c r="M3017">
        <v>2.83</v>
      </c>
      <c r="N3017">
        <v>110.69</v>
      </c>
      <c r="O3017">
        <v>0.5</v>
      </c>
      <c r="P3017">
        <v>8</v>
      </c>
      <c r="Q3017">
        <v>0.89</v>
      </c>
      <c r="R3017">
        <v>786</v>
      </c>
      <c r="S3017">
        <v>9.99</v>
      </c>
      <c r="T3017">
        <v>0.84</v>
      </c>
      <c r="U3017" s="1">
        <v>45527</v>
      </c>
      <c r="V3017">
        <v>165.66</v>
      </c>
      <c r="W3017">
        <v>0.66900000000000004</v>
      </c>
      <c r="X3017" t="str">
        <f>IF(WarehouseData[[#This Row],[stock_level]]&lt;=WarehouseData[[#This Row],[reorder_point]],"Low Stock","Sufficient Stock")</f>
        <v>Sufficient Stock</v>
      </c>
      <c r="Y3017">
        <f>WarehouseData[[#This Row],[daily_demand]]*WarehouseData[[#This Row],[lead_time_days]]</f>
        <v>182.68</v>
      </c>
      <c r="Z3017" t="str">
        <f>IF(WarehouseData[[#This Row],[stock_level]]&lt;=WarehouseData[[#This Row],[Demand During Lead Time]],"At Risk","Safe")</f>
        <v>At Risk</v>
      </c>
      <c r="AA3017">
        <f>WarehouseData[[#This Row],[stock_level]]/WarehouseData[[#This Row],[daily_demand]]</f>
        <v>2.6932340705058024</v>
      </c>
      <c r="AB3017">
        <f>WarehouseData[[#This Row],[stock_level]]*WarehouseData[[#This Row],[unit_price]]</f>
        <v>13614.869999999999</v>
      </c>
      <c r="AC3017">
        <f>WarehouseData[[#This Row],[stock_level]]*WarehouseData[[#This Row],[holding_cost_per_unit_day]]*30</f>
        <v>1845</v>
      </c>
      <c r="AD3017" t="str">
        <f>IF(WarehouseData[[#This Row],[order_fulfillment_rate]]&gt;=0.9,"Strong",IF(WarehouseData[[#This Row],[order_fulfillment_rate]]&gt;=0.8,"Moderate","Needs Attention"))</f>
        <v>Moderate</v>
      </c>
      <c r="AE3017" t="str">
        <f>IF(WarehouseData[[#This Row],[picking_time_seconds]]&gt;120,"Slow",IF(WarehouseData[[#This Row],[picking_time_seconds]]&gt;=60,"Average","Fast"))</f>
        <v>Slow</v>
      </c>
    </row>
    <row r="3018" spans="1:31" x14ac:dyDescent="0.25">
      <c r="A3018" t="s">
        <v>3156</v>
      </c>
      <c r="B3018" t="s">
        <v>73</v>
      </c>
      <c r="C3018">
        <v>262</v>
      </c>
      <c r="D3018">
        <v>82</v>
      </c>
      <c r="E3018">
        <v>13</v>
      </c>
      <c r="F3018">
        <v>8</v>
      </c>
      <c r="G3018">
        <v>19.59</v>
      </c>
      <c r="H3018">
        <v>4.97</v>
      </c>
      <c r="I3018">
        <v>0.45</v>
      </c>
      <c r="J3018" t="s">
        <v>188</v>
      </c>
      <c r="K3018" t="s">
        <v>38</v>
      </c>
      <c r="L3018">
        <v>145</v>
      </c>
      <c r="M3018">
        <v>4.03</v>
      </c>
      <c r="N3018">
        <v>128.76</v>
      </c>
      <c r="O3018">
        <v>0.24</v>
      </c>
      <c r="P3018">
        <v>9</v>
      </c>
      <c r="Q3018">
        <v>0.72</v>
      </c>
      <c r="R3018">
        <v>675</v>
      </c>
      <c r="S3018">
        <v>3.53</v>
      </c>
      <c r="T3018">
        <v>0.52</v>
      </c>
      <c r="U3018" s="1">
        <v>45592</v>
      </c>
      <c r="V3018">
        <v>274.47000000000003</v>
      </c>
      <c r="W3018">
        <v>0.49099999999999999</v>
      </c>
      <c r="X3018" t="str">
        <f>IF(WarehouseData[[#This Row],[stock_level]]&lt;=WarehouseData[[#This Row],[reorder_point]],"Low Stock","Sufficient Stock")</f>
        <v>Sufficient Stock</v>
      </c>
      <c r="Y3018">
        <f>WarehouseData[[#This Row],[daily_demand]]*WarehouseData[[#This Row],[lead_time_days]]</f>
        <v>156.72</v>
      </c>
      <c r="Z3018" t="str">
        <f>IF(WarehouseData[[#This Row],[stock_level]]&lt;=WarehouseData[[#This Row],[Demand During Lead Time]],"At Risk","Safe")</f>
        <v>Safe</v>
      </c>
      <c r="AA3018">
        <f>WarehouseData[[#This Row],[stock_level]]/WarehouseData[[#This Row],[daily_demand]]</f>
        <v>13.374170495150587</v>
      </c>
      <c r="AB3018">
        <f>WarehouseData[[#This Row],[stock_level]]*WarehouseData[[#This Row],[unit_price]]</f>
        <v>33735.119999999995</v>
      </c>
      <c r="AC3018">
        <f>WarehouseData[[#This Row],[stock_level]]*WarehouseData[[#This Row],[holding_cost_per_unit_day]]*30</f>
        <v>1886.3999999999999</v>
      </c>
      <c r="AD3018" t="str">
        <f>IF(WarehouseData[[#This Row],[order_fulfillment_rate]]&gt;=0.9,"Strong",IF(WarehouseData[[#This Row],[order_fulfillment_rate]]&gt;=0.8,"Moderate","Needs Attention"))</f>
        <v>Needs Attention</v>
      </c>
      <c r="AE3018" t="str">
        <f>IF(WarehouseData[[#This Row],[picking_time_seconds]]&gt;120,"Slow",IF(WarehouseData[[#This Row],[picking_time_seconds]]&gt;=60,"Average","Fast"))</f>
        <v>Slow</v>
      </c>
    </row>
    <row r="3019" spans="1:31" x14ac:dyDescent="0.25">
      <c r="A3019" t="s">
        <v>3157</v>
      </c>
      <c r="B3019" t="s">
        <v>32</v>
      </c>
      <c r="C3019">
        <v>481</v>
      </c>
      <c r="D3019">
        <v>32</v>
      </c>
      <c r="E3019">
        <v>9</v>
      </c>
      <c r="F3019">
        <v>5</v>
      </c>
      <c r="G3019">
        <v>42.07</v>
      </c>
      <c r="H3019">
        <v>8.11</v>
      </c>
      <c r="I3019">
        <v>0.26</v>
      </c>
      <c r="J3019" t="s">
        <v>181</v>
      </c>
      <c r="K3019" t="s">
        <v>46</v>
      </c>
      <c r="L3019">
        <v>17</v>
      </c>
      <c r="M3019">
        <v>1.97</v>
      </c>
      <c r="N3019">
        <v>170.57</v>
      </c>
      <c r="O3019">
        <v>0.3</v>
      </c>
      <c r="P3019">
        <v>4</v>
      </c>
      <c r="Q3019">
        <v>0.93</v>
      </c>
      <c r="R3019">
        <v>583</v>
      </c>
      <c r="S3019">
        <v>1.51</v>
      </c>
      <c r="T3019">
        <v>0.81</v>
      </c>
      <c r="U3019" s="1">
        <v>45306</v>
      </c>
      <c r="V3019">
        <v>257.45999999999998</v>
      </c>
      <c r="W3019">
        <v>0.65800000000000003</v>
      </c>
      <c r="X3019" t="str">
        <f>IF(WarehouseData[[#This Row],[stock_level]]&lt;=WarehouseData[[#This Row],[reorder_point]],"Low Stock","Sufficient Stock")</f>
        <v>Sufficient Stock</v>
      </c>
      <c r="Y3019">
        <f>WarehouseData[[#This Row],[daily_demand]]*WarehouseData[[#This Row],[lead_time_days]]</f>
        <v>210.35</v>
      </c>
      <c r="Z3019" t="str">
        <f>IF(WarehouseData[[#This Row],[stock_level]]&lt;=WarehouseData[[#This Row],[Demand During Lead Time]],"At Risk","Safe")</f>
        <v>Safe</v>
      </c>
      <c r="AA3019">
        <f>WarehouseData[[#This Row],[stock_level]]/WarehouseData[[#This Row],[daily_demand]]</f>
        <v>11.433325410030902</v>
      </c>
      <c r="AB3019">
        <f>WarehouseData[[#This Row],[stock_level]]*WarehouseData[[#This Row],[unit_price]]</f>
        <v>82044.17</v>
      </c>
      <c r="AC3019">
        <f>WarehouseData[[#This Row],[stock_level]]*WarehouseData[[#This Row],[holding_cost_per_unit_day]]*30</f>
        <v>4328.9999999999991</v>
      </c>
      <c r="AD3019" t="str">
        <f>IF(WarehouseData[[#This Row],[order_fulfillment_rate]]&gt;=0.9,"Strong",IF(WarehouseData[[#This Row],[order_fulfillment_rate]]&gt;=0.8,"Moderate","Needs Attention"))</f>
        <v>Strong</v>
      </c>
      <c r="AE3019" t="str">
        <f>IF(WarehouseData[[#This Row],[picking_time_seconds]]&gt;120,"Slow",IF(WarehouseData[[#This Row],[picking_time_seconds]]&gt;=60,"Average","Fast"))</f>
        <v>Fast</v>
      </c>
    </row>
    <row r="3020" spans="1:31" x14ac:dyDescent="0.25">
      <c r="A3020" t="s">
        <v>3158</v>
      </c>
      <c r="B3020" t="s">
        <v>32</v>
      </c>
      <c r="C3020">
        <v>250</v>
      </c>
      <c r="D3020">
        <v>81</v>
      </c>
      <c r="E3020">
        <v>11</v>
      </c>
      <c r="F3020">
        <v>9</v>
      </c>
      <c r="G3020">
        <v>16.34</v>
      </c>
      <c r="H3020">
        <v>4.88</v>
      </c>
      <c r="I3020">
        <v>0.64</v>
      </c>
      <c r="J3020" t="s">
        <v>88</v>
      </c>
      <c r="K3020" t="s">
        <v>34</v>
      </c>
      <c r="L3020">
        <v>110</v>
      </c>
      <c r="M3020">
        <v>4.17</v>
      </c>
      <c r="N3020">
        <v>182.9</v>
      </c>
      <c r="O3020">
        <v>1.1599999999999999</v>
      </c>
      <c r="P3020">
        <v>4</v>
      </c>
      <c r="Q3020">
        <v>0.93</v>
      </c>
      <c r="R3020">
        <v>348</v>
      </c>
      <c r="S3020">
        <v>10.72</v>
      </c>
      <c r="T3020">
        <v>0.56000000000000005</v>
      </c>
      <c r="U3020" s="1">
        <v>45538</v>
      </c>
      <c r="V3020">
        <v>98.82</v>
      </c>
      <c r="W3020">
        <v>0.64500000000000002</v>
      </c>
      <c r="X3020" t="str">
        <f>IF(WarehouseData[[#This Row],[stock_level]]&lt;=WarehouseData[[#This Row],[reorder_point]],"Low Stock","Sufficient Stock")</f>
        <v>Sufficient Stock</v>
      </c>
      <c r="Y3020">
        <f>WarehouseData[[#This Row],[daily_demand]]*WarehouseData[[#This Row],[lead_time_days]]</f>
        <v>147.06</v>
      </c>
      <c r="Z3020" t="str">
        <f>IF(WarehouseData[[#This Row],[stock_level]]&lt;=WarehouseData[[#This Row],[Demand During Lead Time]],"At Risk","Safe")</f>
        <v>Safe</v>
      </c>
      <c r="AA3020">
        <f>WarehouseData[[#This Row],[stock_level]]/WarehouseData[[#This Row],[daily_demand]]</f>
        <v>15.299877600979192</v>
      </c>
      <c r="AB3020">
        <f>WarehouseData[[#This Row],[stock_level]]*WarehouseData[[#This Row],[unit_price]]</f>
        <v>45725</v>
      </c>
      <c r="AC3020">
        <f>WarehouseData[[#This Row],[stock_level]]*WarehouseData[[#This Row],[holding_cost_per_unit_day]]*30</f>
        <v>8700</v>
      </c>
      <c r="AD3020" t="str">
        <f>IF(WarehouseData[[#This Row],[order_fulfillment_rate]]&gt;=0.9,"Strong",IF(WarehouseData[[#This Row],[order_fulfillment_rate]]&gt;=0.8,"Moderate","Needs Attention"))</f>
        <v>Strong</v>
      </c>
      <c r="AE3020" t="str">
        <f>IF(WarehouseData[[#This Row],[picking_time_seconds]]&gt;120,"Slow",IF(WarehouseData[[#This Row],[picking_time_seconds]]&gt;=60,"Average","Fast"))</f>
        <v>Average</v>
      </c>
    </row>
    <row r="3021" spans="1:31" x14ac:dyDescent="0.25">
      <c r="A3021" t="s">
        <v>3159</v>
      </c>
      <c r="B3021" t="s">
        <v>73</v>
      </c>
      <c r="C3021">
        <v>498</v>
      </c>
      <c r="D3021">
        <v>23</v>
      </c>
      <c r="E3021">
        <v>7</v>
      </c>
      <c r="F3021">
        <v>8</v>
      </c>
      <c r="G3021">
        <v>28.94</v>
      </c>
      <c r="H3021">
        <v>1.1000000000000001</v>
      </c>
      <c r="I3021">
        <v>0.85</v>
      </c>
      <c r="J3021" t="s">
        <v>251</v>
      </c>
      <c r="K3021" t="s">
        <v>38</v>
      </c>
      <c r="L3021">
        <v>14</v>
      </c>
      <c r="M3021">
        <v>2.31</v>
      </c>
      <c r="N3021">
        <v>97.89</v>
      </c>
      <c r="O3021">
        <v>1.24</v>
      </c>
      <c r="P3021">
        <v>0</v>
      </c>
      <c r="Q3021">
        <v>0.84</v>
      </c>
      <c r="R3021">
        <v>623</v>
      </c>
      <c r="S3021">
        <v>9.49</v>
      </c>
      <c r="T3021">
        <v>0.37</v>
      </c>
      <c r="U3021" s="1">
        <v>45351</v>
      </c>
      <c r="V3021">
        <v>113.59</v>
      </c>
      <c r="W3021">
        <v>0.64500000000000002</v>
      </c>
      <c r="X3021" t="str">
        <f>IF(WarehouseData[[#This Row],[stock_level]]&lt;=WarehouseData[[#This Row],[reorder_point]],"Low Stock","Sufficient Stock")</f>
        <v>Sufficient Stock</v>
      </c>
      <c r="Y3021">
        <f>WarehouseData[[#This Row],[daily_demand]]*WarehouseData[[#This Row],[lead_time_days]]</f>
        <v>231.52</v>
      </c>
      <c r="Z3021" t="str">
        <f>IF(WarehouseData[[#This Row],[stock_level]]&lt;=WarehouseData[[#This Row],[Demand During Lead Time]],"At Risk","Safe")</f>
        <v>Safe</v>
      </c>
      <c r="AA3021">
        <f>WarehouseData[[#This Row],[stock_level]]/WarehouseData[[#This Row],[daily_demand]]</f>
        <v>17.208016586040081</v>
      </c>
      <c r="AB3021">
        <f>WarehouseData[[#This Row],[stock_level]]*WarehouseData[[#This Row],[unit_price]]</f>
        <v>48749.22</v>
      </c>
      <c r="AC3021">
        <f>WarehouseData[[#This Row],[stock_level]]*WarehouseData[[#This Row],[holding_cost_per_unit_day]]*30</f>
        <v>18525.599999999999</v>
      </c>
      <c r="AD3021" t="str">
        <f>IF(WarehouseData[[#This Row],[order_fulfillment_rate]]&gt;=0.9,"Strong",IF(WarehouseData[[#This Row],[order_fulfillment_rate]]&gt;=0.8,"Moderate","Needs Attention"))</f>
        <v>Moderate</v>
      </c>
      <c r="AE3021" t="str">
        <f>IF(WarehouseData[[#This Row],[picking_time_seconds]]&gt;120,"Slow",IF(WarehouseData[[#This Row],[picking_time_seconds]]&gt;=60,"Average","Fast"))</f>
        <v>Fast</v>
      </c>
    </row>
    <row r="3022" spans="1:31" x14ac:dyDescent="0.25">
      <c r="A3022" t="s">
        <v>3160</v>
      </c>
      <c r="B3022" t="s">
        <v>48</v>
      </c>
      <c r="C3022">
        <v>225</v>
      </c>
      <c r="D3022">
        <v>34</v>
      </c>
      <c r="E3022">
        <v>6</v>
      </c>
      <c r="F3022">
        <v>2</v>
      </c>
      <c r="G3022">
        <v>32.770000000000003</v>
      </c>
      <c r="H3022">
        <v>9.1</v>
      </c>
      <c r="I3022">
        <v>0.64</v>
      </c>
      <c r="J3022" t="s">
        <v>332</v>
      </c>
      <c r="K3022" t="s">
        <v>52</v>
      </c>
      <c r="L3022">
        <v>95</v>
      </c>
      <c r="M3022">
        <v>3.01</v>
      </c>
      <c r="N3022">
        <v>26.85</v>
      </c>
      <c r="O3022">
        <v>0.7</v>
      </c>
      <c r="P3022">
        <v>5</v>
      </c>
      <c r="Q3022">
        <v>0.99</v>
      </c>
      <c r="R3022">
        <v>743</v>
      </c>
      <c r="S3022">
        <v>9.56</v>
      </c>
      <c r="T3022">
        <v>0.56000000000000005</v>
      </c>
      <c r="U3022" s="1">
        <v>45424</v>
      </c>
      <c r="V3022">
        <v>255.45</v>
      </c>
      <c r="W3022">
        <v>0.66700000000000004</v>
      </c>
      <c r="X3022" t="str">
        <f>IF(WarehouseData[[#This Row],[stock_level]]&lt;=WarehouseData[[#This Row],[reorder_point]],"Low Stock","Sufficient Stock")</f>
        <v>Sufficient Stock</v>
      </c>
      <c r="Y3022">
        <f>WarehouseData[[#This Row],[daily_demand]]*WarehouseData[[#This Row],[lead_time_days]]</f>
        <v>65.540000000000006</v>
      </c>
      <c r="Z3022" t="str">
        <f>IF(WarehouseData[[#This Row],[stock_level]]&lt;=WarehouseData[[#This Row],[Demand During Lead Time]],"At Risk","Safe")</f>
        <v>Safe</v>
      </c>
      <c r="AA3022">
        <f>WarehouseData[[#This Row],[stock_level]]/WarehouseData[[#This Row],[daily_demand]]</f>
        <v>6.8660360085444001</v>
      </c>
      <c r="AB3022">
        <f>WarehouseData[[#This Row],[stock_level]]*WarehouseData[[#This Row],[unit_price]]</f>
        <v>6041.25</v>
      </c>
      <c r="AC3022">
        <f>WarehouseData[[#This Row],[stock_level]]*WarehouseData[[#This Row],[holding_cost_per_unit_day]]*30</f>
        <v>4725</v>
      </c>
      <c r="AD3022" t="str">
        <f>IF(WarehouseData[[#This Row],[order_fulfillment_rate]]&gt;=0.9,"Strong",IF(WarehouseData[[#This Row],[order_fulfillment_rate]]&gt;=0.8,"Moderate","Needs Attention"))</f>
        <v>Strong</v>
      </c>
      <c r="AE3022" t="str">
        <f>IF(WarehouseData[[#This Row],[picking_time_seconds]]&gt;120,"Slow",IF(WarehouseData[[#This Row],[picking_time_seconds]]&gt;=60,"Average","Fast"))</f>
        <v>Average</v>
      </c>
    </row>
    <row r="3023" spans="1:31" x14ac:dyDescent="0.25">
      <c r="A3023" t="s">
        <v>3161</v>
      </c>
      <c r="B3023" t="s">
        <v>32</v>
      </c>
      <c r="C3023">
        <v>217</v>
      </c>
      <c r="D3023">
        <v>86</v>
      </c>
      <c r="E3023">
        <v>11</v>
      </c>
      <c r="F3023">
        <v>2</v>
      </c>
      <c r="G3023">
        <v>34.22</v>
      </c>
      <c r="H3023">
        <v>5.68</v>
      </c>
      <c r="I3023">
        <v>0.65</v>
      </c>
      <c r="J3023" t="s">
        <v>64</v>
      </c>
      <c r="K3023" t="s">
        <v>46</v>
      </c>
      <c r="L3023">
        <v>139</v>
      </c>
      <c r="M3023">
        <v>1.29</v>
      </c>
      <c r="N3023">
        <v>161.44</v>
      </c>
      <c r="O3023">
        <v>0.66</v>
      </c>
      <c r="P3023">
        <v>9</v>
      </c>
      <c r="Q3023">
        <v>0.87</v>
      </c>
      <c r="R3023">
        <v>972</v>
      </c>
      <c r="S3023">
        <v>7.75</v>
      </c>
      <c r="T3023">
        <v>0.63</v>
      </c>
      <c r="U3023" s="1">
        <v>45326</v>
      </c>
      <c r="V3023">
        <v>92.56</v>
      </c>
      <c r="W3023">
        <v>0.55700000000000005</v>
      </c>
      <c r="X3023" t="str">
        <f>IF(WarehouseData[[#This Row],[stock_level]]&lt;=WarehouseData[[#This Row],[reorder_point]],"Low Stock","Sufficient Stock")</f>
        <v>Sufficient Stock</v>
      </c>
      <c r="Y3023">
        <f>WarehouseData[[#This Row],[daily_demand]]*WarehouseData[[#This Row],[lead_time_days]]</f>
        <v>68.44</v>
      </c>
      <c r="Z3023" t="str">
        <f>IF(WarehouseData[[#This Row],[stock_level]]&lt;=WarehouseData[[#This Row],[Demand During Lead Time]],"At Risk","Safe")</f>
        <v>Safe</v>
      </c>
      <c r="AA3023">
        <f>WarehouseData[[#This Row],[stock_level]]/WarehouseData[[#This Row],[daily_demand]]</f>
        <v>6.3413208649912338</v>
      </c>
      <c r="AB3023">
        <f>WarehouseData[[#This Row],[stock_level]]*WarehouseData[[#This Row],[unit_price]]</f>
        <v>35032.479999999996</v>
      </c>
      <c r="AC3023">
        <f>WarehouseData[[#This Row],[stock_level]]*WarehouseData[[#This Row],[holding_cost_per_unit_day]]*30</f>
        <v>4296.6000000000004</v>
      </c>
      <c r="AD3023" t="str">
        <f>IF(WarehouseData[[#This Row],[order_fulfillment_rate]]&gt;=0.9,"Strong",IF(WarehouseData[[#This Row],[order_fulfillment_rate]]&gt;=0.8,"Moderate","Needs Attention"))</f>
        <v>Moderate</v>
      </c>
      <c r="AE3023" t="str">
        <f>IF(WarehouseData[[#This Row],[picking_time_seconds]]&gt;120,"Slow",IF(WarehouseData[[#This Row],[picking_time_seconds]]&gt;=60,"Average","Fast"))</f>
        <v>Slow</v>
      </c>
    </row>
    <row r="3024" spans="1:31" x14ac:dyDescent="0.25">
      <c r="A3024" t="s">
        <v>3162</v>
      </c>
      <c r="B3024" t="s">
        <v>36</v>
      </c>
      <c r="C3024">
        <v>415</v>
      </c>
      <c r="D3024">
        <v>94</v>
      </c>
      <c r="E3024">
        <v>7</v>
      </c>
      <c r="F3024">
        <v>6</v>
      </c>
      <c r="G3024">
        <v>44.24</v>
      </c>
      <c r="H3024">
        <v>9.2799999999999994</v>
      </c>
      <c r="I3024">
        <v>0.56000000000000005</v>
      </c>
      <c r="J3024" t="s">
        <v>259</v>
      </c>
      <c r="K3024" t="s">
        <v>38</v>
      </c>
      <c r="L3024">
        <v>21</v>
      </c>
      <c r="M3024">
        <v>4.6399999999999997</v>
      </c>
      <c r="N3024">
        <v>100.66</v>
      </c>
      <c r="O3024">
        <v>1.1100000000000001</v>
      </c>
      <c r="P3024">
        <v>9</v>
      </c>
      <c r="Q3024">
        <v>0.91</v>
      </c>
      <c r="R3024">
        <v>846</v>
      </c>
      <c r="S3024">
        <v>9.6</v>
      </c>
      <c r="T3024">
        <v>0.56999999999999995</v>
      </c>
      <c r="U3024" s="1">
        <v>45487</v>
      </c>
      <c r="V3024">
        <v>267.41000000000003</v>
      </c>
      <c r="W3024">
        <v>0.53300000000000003</v>
      </c>
      <c r="X3024" t="str">
        <f>IF(WarehouseData[[#This Row],[stock_level]]&lt;=WarehouseData[[#This Row],[reorder_point]],"Low Stock","Sufficient Stock")</f>
        <v>Sufficient Stock</v>
      </c>
      <c r="Y3024">
        <f>WarehouseData[[#This Row],[daily_demand]]*WarehouseData[[#This Row],[lead_time_days]]</f>
        <v>265.44</v>
      </c>
      <c r="Z3024" t="str">
        <f>IF(WarehouseData[[#This Row],[stock_level]]&lt;=WarehouseData[[#This Row],[Demand During Lead Time]],"At Risk","Safe")</f>
        <v>Safe</v>
      </c>
      <c r="AA3024">
        <f>WarehouseData[[#This Row],[stock_level]]/WarehouseData[[#This Row],[daily_demand]]</f>
        <v>9.3806509945750456</v>
      </c>
      <c r="AB3024">
        <f>WarehouseData[[#This Row],[stock_level]]*WarehouseData[[#This Row],[unit_price]]</f>
        <v>41773.9</v>
      </c>
      <c r="AC3024">
        <f>WarehouseData[[#This Row],[stock_level]]*WarehouseData[[#This Row],[holding_cost_per_unit_day]]*30</f>
        <v>13819.500000000002</v>
      </c>
      <c r="AD3024" t="str">
        <f>IF(WarehouseData[[#This Row],[order_fulfillment_rate]]&gt;=0.9,"Strong",IF(WarehouseData[[#This Row],[order_fulfillment_rate]]&gt;=0.8,"Moderate","Needs Attention"))</f>
        <v>Strong</v>
      </c>
      <c r="AE3024" t="str">
        <f>IF(WarehouseData[[#This Row],[picking_time_seconds]]&gt;120,"Slow",IF(WarehouseData[[#This Row],[picking_time_seconds]]&gt;=60,"Average","Fast"))</f>
        <v>Fast</v>
      </c>
    </row>
    <row r="3025" spans="1:31" x14ac:dyDescent="0.25">
      <c r="A3025" t="s">
        <v>3163</v>
      </c>
      <c r="B3025" t="s">
        <v>32</v>
      </c>
      <c r="C3025">
        <v>419</v>
      </c>
      <c r="D3025">
        <v>40</v>
      </c>
      <c r="E3025">
        <v>11</v>
      </c>
      <c r="F3025">
        <v>3</v>
      </c>
      <c r="G3025">
        <v>12.5</v>
      </c>
      <c r="H3025">
        <v>5.94</v>
      </c>
      <c r="I3025">
        <v>0.45</v>
      </c>
      <c r="J3025" t="s">
        <v>98</v>
      </c>
      <c r="K3025" t="s">
        <v>38</v>
      </c>
      <c r="L3025">
        <v>56</v>
      </c>
      <c r="M3025">
        <v>3.66</v>
      </c>
      <c r="N3025">
        <v>113.82</v>
      </c>
      <c r="O3025">
        <v>0.68</v>
      </c>
      <c r="P3025">
        <v>9</v>
      </c>
      <c r="Q3025">
        <v>0.98</v>
      </c>
      <c r="R3025">
        <v>65</v>
      </c>
      <c r="S3025">
        <v>13.23</v>
      </c>
      <c r="T3025">
        <v>0.42</v>
      </c>
      <c r="U3025" s="1">
        <v>45616</v>
      </c>
      <c r="V3025">
        <v>234.39</v>
      </c>
      <c r="W3025">
        <v>0.60799999999999998</v>
      </c>
      <c r="X3025" t="str">
        <f>IF(WarehouseData[[#This Row],[stock_level]]&lt;=WarehouseData[[#This Row],[reorder_point]],"Low Stock","Sufficient Stock")</f>
        <v>Sufficient Stock</v>
      </c>
      <c r="Y3025">
        <f>WarehouseData[[#This Row],[daily_demand]]*WarehouseData[[#This Row],[lead_time_days]]</f>
        <v>37.5</v>
      </c>
      <c r="Z3025" t="str">
        <f>IF(WarehouseData[[#This Row],[stock_level]]&lt;=WarehouseData[[#This Row],[Demand During Lead Time]],"At Risk","Safe")</f>
        <v>Safe</v>
      </c>
      <c r="AA3025">
        <f>WarehouseData[[#This Row],[stock_level]]/WarehouseData[[#This Row],[daily_demand]]</f>
        <v>33.520000000000003</v>
      </c>
      <c r="AB3025">
        <f>WarehouseData[[#This Row],[stock_level]]*WarehouseData[[#This Row],[unit_price]]</f>
        <v>47690.579999999994</v>
      </c>
      <c r="AC3025">
        <f>WarehouseData[[#This Row],[stock_level]]*WarehouseData[[#This Row],[holding_cost_per_unit_day]]*30</f>
        <v>8547.6</v>
      </c>
      <c r="AD3025" t="str">
        <f>IF(WarehouseData[[#This Row],[order_fulfillment_rate]]&gt;=0.9,"Strong",IF(WarehouseData[[#This Row],[order_fulfillment_rate]]&gt;=0.8,"Moderate","Needs Attention"))</f>
        <v>Strong</v>
      </c>
      <c r="AE3025" t="str">
        <f>IF(WarehouseData[[#This Row],[picking_time_seconds]]&gt;120,"Slow",IF(WarehouseData[[#This Row],[picking_time_seconds]]&gt;=60,"Average","Fast"))</f>
        <v>Fast</v>
      </c>
    </row>
    <row r="3026" spans="1:31" x14ac:dyDescent="0.25">
      <c r="A3026" t="s">
        <v>3164</v>
      </c>
      <c r="B3026" t="s">
        <v>36</v>
      </c>
      <c r="C3026">
        <v>356</v>
      </c>
      <c r="D3026">
        <v>63</v>
      </c>
      <c r="E3026">
        <v>10</v>
      </c>
      <c r="F3026">
        <v>6</v>
      </c>
      <c r="G3026">
        <v>13.86</v>
      </c>
      <c r="H3026">
        <v>1.1599999999999999</v>
      </c>
      <c r="I3026">
        <v>0.51</v>
      </c>
      <c r="J3026" t="s">
        <v>217</v>
      </c>
      <c r="K3026" t="s">
        <v>38</v>
      </c>
      <c r="L3026">
        <v>35</v>
      </c>
      <c r="M3026">
        <v>4.3600000000000003</v>
      </c>
      <c r="N3026">
        <v>123.2</v>
      </c>
      <c r="O3026">
        <v>1.88</v>
      </c>
      <c r="P3026">
        <v>9</v>
      </c>
      <c r="Q3026">
        <v>0.9</v>
      </c>
      <c r="R3026">
        <v>444</v>
      </c>
      <c r="S3026">
        <v>14.33</v>
      </c>
      <c r="T3026">
        <v>0.35</v>
      </c>
      <c r="U3026" s="1">
        <v>45404</v>
      </c>
      <c r="V3026">
        <v>54.18</v>
      </c>
      <c r="W3026">
        <v>0.47299999999999998</v>
      </c>
      <c r="X3026" t="str">
        <f>IF(WarehouseData[[#This Row],[stock_level]]&lt;=WarehouseData[[#This Row],[reorder_point]],"Low Stock","Sufficient Stock")</f>
        <v>Sufficient Stock</v>
      </c>
      <c r="Y3026">
        <f>WarehouseData[[#This Row],[daily_demand]]*WarehouseData[[#This Row],[lead_time_days]]</f>
        <v>83.16</v>
      </c>
      <c r="Z3026" t="str">
        <f>IF(WarehouseData[[#This Row],[stock_level]]&lt;=WarehouseData[[#This Row],[Demand During Lead Time]],"At Risk","Safe")</f>
        <v>Safe</v>
      </c>
      <c r="AA3026">
        <f>WarehouseData[[#This Row],[stock_level]]/WarehouseData[[#This Row],[daily_demand]]</f>
        <v>25.685425685425688</v>
      </c>
      <c r="AB3026">
        <f>WarehouseData[[#This Row],[stock_level]]*WarehouseData[[#This Row],[unit_price]]</f>
        <v>43859.200000000004</v>
      </c>
      <c r="AC3026">
        <f>WarehouseData[[#This Row],[stock_level]]*WarehouseData[[#This Row],[holding_cost_per_unit_day]]*30</f>
        <v>20078.399999999998</v>
      </c>
      <c r="AD3026" t="str">
        <f>IF(WarehouseData[[#This Row],[order_fulfillment_rate]]&gt;=0.9,"Strong",IF(WarehouseData[[#This Row],[order_fulfillment_rate]]&gt;=0.8,"Moderate","Needs Attention"))</f>
        <v>Strong</v>
      </c>
      <c r="AE3026" t="str">
        <f>IF(WarehouseData[[#This Row],[picking_time_seconds]]&gt;120,"Slow",IF(WarehouseData[[#This Row],[picking_time_seconds]]&gt;=60,"Average","Fast"))</f>
        <v>Fast</v>
      </c>
    </row>
    <row r="3027" spans="1:31" x14ac:dyDescent="0.25">
      <c r="A3027" t="s">
        <v>3165</v>
      </c>
      <c r="B3027" t="s">
        <v>73</v>
      </c>
      <c r="C3027">
        <v>106</v>
      </c>
      <c r="D3027">
        <v>14</v>
      </c>
      <c r="E3027">
        <v>6</v>
      </c>
      <c r="F3027">
        <v>9</v>
      </c>
      <c r="G3027">
        <v>35.5</v>
      </c>
      <c r="H3027">
        <v>5.75</v>
      </c>
      <c r="I3027">
        <v>0.99</v>
      </c>
      <c r="J3027" t="s">
        <v>135</v>
      </c>
      <c r="K3027" t="s">
        <v>38</v>
      </c>
      <c r="L3027">
        <v>111</v>
      </c>
      <c r="M3027">
        <v>1.44</v>
      </c>
      <c r="N3027">
        <v>136.88999999999999</v>
      </c>
      <c r="O3027">
        <v>0.83</v>
      </c>
      <c r="P3027">
        <v>2</v>
      </c>
      <c r="Q3027">
        <v>0.83</v>
      </c>
      <c r="R3027">
        <v>326</v>
      </c>
      <c r="S3027">
        <v>5.82</v>
      </c>
      <c r="T3027">
        <v>0.96</v>
      </c>
      <c r="U3027" s="1">
        <v>45638</v>
      </c>
      <c r="V3027">
        <v>218.73</v>
      </c>
      <c r="W3027">
        <v>0.71299999999999997</v>
      </c>
      <c r="X3027" t="str">
        <f>IF(WarehouseData[[#This Row],[stock_level]]&lt;=WarehouseData[[#This Row],[reorder_point]],"Low Stock","Sufficient Stock")</f>
        <v>Sufficient Stock</v>
      </c>
      <c r="Y3027">
        <f>WarehouseData[[#This Row],[daily_demand]]*WarehouseData[[#This Row],[lead_time_days]]</f>
        <v>319.5</v>
      </c>
      <c r="Z3027" t="str">
        <f>IF(WarehouseData[[#This Row],[stock_level]]&lt;=WarehouseData[[#This Row],[Demand During Lead Time]],"At Risk","Safe")</f>
        <v>At Risk</v>
      </c>
      <c r="AA3027">
        <f>WarehouseData[[#This Row],[stock_level]]/WarehouseData[[#This Row],[daily_demand]]</f>
        <v>2.9859154929577465</v>
      </c>
      <c r="AB3027">
        <f>WarehouseData[[#This Row],[stock_level]]*WarehouseData[[#This Row],[unit_price]]</f>
        <v>14510.339999999998</v>
      </c>
      <c r="AC3027">
        <f>WarehouseData[[#This Row],[stock_level]]*WarehouseData[[#This Row],[holding_cost_per_unit_day]]*30</f>
        <v>2639.3999999999996</v>
      </c>
      <c r="AD3027" t="str">
        <f>IF(WarehouseData[[#This Row],[order_fulfillment_rate]]&gt;=0.9,"Strong",IF(WarehouseData[[#This Row],[order_fulfillment_rate]]&gt;=0.8,"Moderate","Needs Attention"))</f>
        <v>Moderate</v>
      </c>
      <c r="AE3027" t="str">
        <f>IF(WarehouseData[[#This Row],[picking_time_seconds]]&gt;120,"Slow",IF(WarehouseData[[#This Row],[picking_time_seconds]]&gt;=60,"Average","Fast"))</f>
        <v>Average</v>
      </c>
    </row>
    <row r="3028" spans="1:31" x14ac:dyDescent="0.25">
      <c r="A3028" t="s">
        <v>3166</v>
      </c>
      <c r="B3028" t="s">
        <v>73</v>
      </c>
      <c r="C3028">
        <v>161</v>
      </c>
      <c r="D3028">
        <v>22</v>
      </c>
      <c r="E3028">
        <v>13</v>
      </c>
      <c r="F3028">
        <v>2</v>
      </c>
      <c r="G3028">
        <v>9.68</v>
      </c>
      <c r="H3028">
        <v>5.97</v>
      </c>
      <c r="I3028">
        <v>0.77</v>
      </c>
      <c r="J3028" t="s">
        <v>353</v>
      </c>
      <c r="K3028" t="s">
        <v>38</v>
      </c>
      <c r="L3028">
        <v>129</v>
      </c>
      <c r="M3028">
        <v>0.8</v>
      </c>
      <c r="N3028">
        <v>179.12</v>
      </c>
      <c r="O3028">
        <v>0.52</v>
      </c>
      <c r="P3028">
        <v>9</v>
      </c>
      <c r="Q3028">
        <v>0.71</v>
      </c>
      <c r="R3028">
        <v>698</v>
      </c>
      <c r="S3028">
        <v>7.83</v>
      </c>
      <c r="T3028">
        <v>0.44</v>
      </c>
      <c r="U3028" s="1">
        <v>45651</v>
      </c>
      <c r="V3028">
        <v>251.95</v>
      </c>
      <c r="W3028">
        <v>0.502</v>
      </c>
      <c r="X3028" t="str">
        <f>IF(WarehouseData[[#This Row],[stock_level]]&lt;=WarehouseData[[#This Row],[reorder_point]],"Low Stock","Sufficient Stock")</f>
        <v>Sufficient Stock</v>
      </c>
      <c r="Y3028">
        <f>WarehouseData[[#This Row],[daily_demand]]*WarehouseData[[#This Row],[lead_time_days]]</f>
        <v>19.36</v>
      </c>
      <c r="Z3028" t="str">
        <f>IF(WarehouseData[[#This Row],[stock_level]]&lt;=WarehouseData[[#This Row],[Demand During Lead Time]],"At Risk","Safe")</f>
        <v>Safe</v>
      </c>
      <c r="AA3028">
        <f>WarehouseData[[#This Row],[stock_level]]/WarehouseData[[#This Row],[daily_demand]]</f>
        <v>16.632231404958677</v>
      </c>
      <c r="AB3028">
        <f>WarehouseData[[#This Row],[stock_level]]*WarehouseData[[#This Row],[unit_price]]</f>
        <v>28838.32</v>
      </c>
      <c r="AC3028">
        <f>WarehouseData[[#This Row],[stock_level]]*WarehouseData[[#This Row],[holding_cost_per_unit_day]]*30</f>
        <v>2511.6</v>
      </c>
      <c r="AD3028" t="str">
        <f>IF(WarehouseData[[#This Row],[order_fulfillment_rate]]&gt;=0.9,"Strong",IF(WarehouseData[[#This Row],[order_fulfillment_rate]]&gt;=0.8,"Moderate","Needs Attention"))</f>
        <v>Needs Attention</v>
      </c>
      <c r="AE3028" t="str">
        <f>IF(WarehouseData[[#This Row],[picking_time_seconds]]&gt;120,"Slow",IF(WarehouseData[[#This Row],[picking_time_seconds]]&gt;=60,"Average","Fast"))</f>
        <v>Slow</v>
      </c>
    </row>
    <row r="3029" spans="1:31" x14ac:dyDescent="0.25">
      <c r="A3029" t="s">
        <v>3167</v>
      </c>
      <c r="B3029" t="s">
        <v>32</v>
      </c>
      <c r="C3029">
        <v>336</v>
      </c>
      <c r="D3029">
        <v>37</v>
      </c>
      <c r="E3029">
        <v>13</v>
      </c>
      <c r="F3029">
        <v>5</v>
      </c>
      <c r="G3029">
        <v>23.75</v>
      </c>
      <c r="H3029">
        <v>2.54</v>
      </c>
      <c r="I3029">
        <v>0.49</v>
      </c>
      <c r="J3029" t="s">
        <v>259</v>
      </c>
      <c r="K3029" t="s">
        <v>52</v>
      </c>
      <c r="L3029">
        <v>79</v>
      </c>
      <c r="M3029">
        <v>2.02</v>
      </c>
      <c r="N3029">
        <v>190.91</v>
      </c>
      <c r="O3029">
        <v>0.38</v>
      </c>
      <c r="P3029">
        <v>2</v>
      </c>
      <c r="Q3029">
        <v>0.92</v>
      </c>
      <c r="R3029">
        <v>332</v>
      </c>
      <c r="S3029">
        <v>4.82</v>
      </c>
      <c r="T3029">
        <v>0.76</v>
      </c>
      <c r="U3029" s="1">
        <v>45409</v>
      </c>
      <c r="V3029">
        <v>51.86</v>
      </c>
      <c r="W3029">
        <v>0.72199999999999998</v>
      </c>
      <c r="X3029" t="str">
        <f>IF(WarehouseData[[#This Row],[stock_level]]&lt;=WarehouseData[[#This Row],[reorder_point]],"Low Stock","Sufficient Stock")</f>
        <v>Sufficient Stock</v>
      </c>
      <c r="Y3029">
        <f>WarehouseData[[#This Row],[daily_demand]]*WarehouseData[[#This Row],[lead_time_days]]</f>
        <v>118.75</v>
      </c>
      <c r="Z3029" t="str">
        <f>IF(WarehouseData[[#This Row],[stock_level]]&lt;=WarehouseData[[#This Row],[Demand During Lead Time]],"At Risk","Safe")</f>
        <v>Safe</v>
      </c>
      <c r="AA3029">
        <f>WarehouseData[[#This Row],[stock_level]]/WarehouseData[[#This Row],[daily_demand]]</f>
        <v>14.147368421052631</v>
      </c>
      <c r="AB3029">
        <f>WarehouseData[[#This Row],[stock_level]]*WarehouseData[[#This Row],[unit_price]]</f>
        <v>64145.760000000002</v>
      </c>
      <c r="AC3029">
        <f>WarehouseData[[#This Row],[stock_level]]*WarehouseData[[#This Row],[holding_cost_per_unit_day]]*30</f>
        <v>3830.4</v>
      </c>
      <c r="AD3029" t="str">
        <f>IF(WarehouseData[[#This Row],[order_fulfillment_rate]]&gt;=0.9,"Strong",IF(WarehouseData[[#This Row],[order_fulfillment_rate]]&gt;=0.8,"Moderate","Needs Attention"))</f>
        <v>Strong</v>
      </c>
      <c r="AE3029" t="str">
        <f>IF(WarehouseData[[#This Row],[picking_time_seconds]]&gt;120,"Slow",IF(WarehouseData[[#This Row],[picking_time_seconds]]&gt;=60,"Average","Fast"))</f>
        <v>Average</v>
      </c>
    </row>
    <row r="3030" spans="1:31" x14ac:dyDescent="0.25">
      <c r="A3030" t="s">
        <v>3168</v>
      </c>
      <c r="B3030" t="s">
        <v>40</v>
      </c>
      <c r="C3030">
        <v>218</v>
      </c>
      <c r="D3030">
        <v>52</v>
      </c>
      <c r="E3030">
        <v>9</v>
      </c>
      <c r="F3030">
        <v>3</v>
      </c>
      <c r="G3030">
        <v>1.98</v>
      </c>
      <c r="H3030">
        <v>4.97</v>
      </c>
      <c r="I3030">
        <v>0.51</v>
      </c>
      <c r="J3030" t="s">
        <v>95</v>
      </c>
      <c r="K3030" t="s">
        <v>34</v>
      </c>
      <c r="L3030">
        <v>11</v>
      </c>
      <c r="M3030">
        <v>2.83</v>
      </c>
      <c r="N3030">
        <v>188.63</v>
      </c>
      <c r="O3030">
        <v>1.3</v>
      </c>
      <c r="P3030">
        <v>2</v>
      </c>
      <c r="Q3030">
        <v>0.99</v>
      </c>
      <c r="R3030">
        <v>688</v>
      </c>
      <c r="S3030">
        <v>6.76</v>
      </c>
      <c r="T3030">
        <v>0.47</v>
      </c>
      <c r="U3030" s="1">
        <v>45453</v>
      </c>
      <c r="V3030">
        <v>142.63</v>
      </c>
      <c r="W3030">
        <v>0.61199999999999999</v>
      </c>
      <c r="X3030" t="str">
        <f>IF(WarehouseData[[#This Row],[stock_level]]&lt;=WarehouseData[[#This Row],[reorder_point]],"Low Stock","Sufficient Stock")</f>
        <v>Sufficient Stock</v>
      </c>
      <c r="Y3030">
        <f>WarehouseData[[#This Row],[daily_demand]]*WarehouseData[[#This Row],[lead_time_days]]</f>
        <v>5.9399999999999995</v>
      </c>
      <c r="Z3030" t="str">
        <f>IF(WarehouseData[[#This Row],[stock_level]]&lt;=WarehouseData[[#This Row],[Demand During Lead Time]],"At Risk","Safe")</f>
        <v>Safe</v>
      </c>
      <c r="AA3030">
        <f>WarehouseData[[#This Row],[stock_level]]/WarehouseData[[#This Row],[daily_demand]]</f>
        <v>110.1010101010101</v>
      </c>
      <c r="AB3030">
        <f>WarehouseData[[#This Row],[stock_level]]*WarehouseData[[#This Row],[unit_price]]</f>
        <v>41121.339999999997</v>
      </c>
      <c r="AC3030">
        <f>WarehouseData[[#This Row],[stock_level]]*WarehouseData[[#This Row],[holding_cost_per_unit_day]]*30</f>
        <v>8502.0000000000018</v>
      </c>
      <c r="AD3030" t="str">
        <f>IF(WarehouseData[[#This Row],[order_fulfillment_rate]]&gt;=0.9,"Strong",IF(WarehouseData[[#This Row],[order_fulfillment_rate]]&gt;=0.8,"Moderate","Needs Attention"))</f>
        <v>Strong</v>
      </c>
      <c r="AE3030" t="str">
        <f>IF(WarehouseData[[#This Row],[picking_time_seconds]]&gt;120,"Slow",IF(WarehouseData[[#This Row],[picking_time_seconds]]&gt;=60,"Average","Fast"))</f>
        <v>Fast</v>
      </c>
    </row>
    <row r="3031" spans="1:31" x14ac:dyDescent="0.25">
      <c r="A3031" t="s">
        <v>3169</v>
      </c>
      <c r="B3031" t="s">
        <v>36</v>
      </c>
      <c r="C3031">
        <v>65</v>
      </c>
      <c r="D3031">
        <v>98</v>
      </c>
      <c r="E3031">
        <v>7</v>
      </c>
      <c r="F3031">
        <v>9</v>
      </c>
      <c r="G3031">
        <v>7.91</v>
      </c>
      <c r="H3031">
        <v>4.8600000000000003</v>
      </c>
      <c r="I3031">
        <v>0.55000000000000004</v>
      </c>
      <c r="J3031" t="s">
        <v>135</v>
      </c>
      <c r="K3031" t="s">
        <v>46</v>
      </c>
      <c r="L3031">
        <v>35</v>
      </c>
      <c r="M3031">
        <v>4.1100000000000003</v>
      </c>
      <c r="N3031">
        <v>163.80000000000001</v>
      </c>
      <c r="O3031">
        <v>0.72</v>
      </c>
      <c r="P3031">
        <v>3</v>
      </c>
      <c r="Q3031">
        <v>0.84</v>
      </c>
      <c r="R3031">
        <v>135</v>
      </c>
      <c r="S3031">
        <v>12.14</v>
      </c>
      <c r="T3031">
        <v>0.98</v>
      </c>
      <c r="U3031" s="1">
        <v>45503</v>
      </c>
      <c r="V3031">
        <v>260.16000000000003</v>
      </c>
      <c r="W3031">
        <v>0.79400000000000004</v>
      </c>
      <c r="X3031" t="str">
        <f>IF(WarehouseData[[#This Row],[stock_level]]&lt;=WarehouseData[[#This Row],[reorder_point]],"Low Stock","Sufficient Stock")</f>
        <v>Low Stock</v>
      </c>
      <c r="Y3031">
        <f>WarehouseData[[#This Row],[daily_demand]]*WarehouseData[[#This Row],[lead_time_days]]</f>
        <v>71.19</v>
      </c>
      <c r="Z3031" t="str">
        <f>IF(WarehouseData[[#This Row],[stock_level]]&lt;=WarehouseData[[#This Row],[Demand During Lead Time]],"At Risk","Safe")</f>
        <v>At Risk</v>
      </c>
      <c r="AA3031">
        <f>WarehouseData[[#This Row],[stock_level]]/WarehouseData[[#This Row],[daily_demand]]</f>
        <v>8.2174462705436149</v>
      </c>
      <c r="AB3031">
        <f>WarehouseData[[#This Row],[stock_level]]*WarehouseData[[#This Row],[unit_price]]</f>
        <v>10647</v>
      </c>
      <c r="AC3031">
        <f>WarehouseData[[#This Row],[stock_level]]*WarehouseData[[#This Row],[holding_cost_per_unit_day]]*30</f>
        <v>1404</v>
      </c>
      <c r="AD3031" t="str">
        <f>IF(WarehouseData[[#This Row],[order_fulfillment_rate]]&gt;=0.9,"Strong",IF(WarehouseData[[#This Row],[order_fulfillment_rate]]&gt;=0.8,"Moderate","Needs Attention"))</f>
        <v>Moderate</v>
      </c>
      <c r="AE3031" t="str">
        <f>IF(WarehouseData[[#This Row],[picking_time_seconds]]&gt;120,"Slow",IF(WarehouseData[[#This Row],[picking_time_seconds]]&gt;=60,"Average","Fast"))</f>
        <v>Fast</v>
      </c>
    </row>
    <row r="3032" spans="1:31" x14ac:dyDescent="0.25">
      <c r="A3032" t="s">
        <v>3170</v>
      </c>
      <c r="B3032" t="s">
        <v>48</v>
      </c>
      <c r="C3032">
        <v>307</v>
      </c>
      <c r="D3032">
        <v>56</v>
      </c>
      <c r="E3032">
        <v>12</v>
      </c>
      <c r="F3032">
        <v>5</v>
      </c>
      <c r="G3032">
        <v>34.26</v>
      </c>
      <c r="H3032">
        <v>6.42</v>
      </c>
      <c r="I3032">
        <v>0.69</v>
      </c>
      <c r="J3032" t="s">
        <v>228</v>
      </c>
      <c r="K3032" t="s">
        <v>52</v>
      </c>
      <c r="L3032">
        <v>23</v>
      </c>
      <c r="M3032">
        <v>2.29</v>
      </c>
      <c r="N3032">
        <v>178.96</v>
      </c>
      <c r="O3032">
        <v>0.46</v>
      </c>
      <c r="P3032">
        <v>8</v>
      </c>
      <c r="Q3032">
        <v>0.8</v>
      </c>
      <c r="R3032">
        <v>256</v>
      </c>
      <c r="S3032">
        <v>6.95</v>
      </c>
      <c r="T3032">
        <v>0.99</v>
      </c>
      <c r="U3032" s="1">
        <v>45472</v>
      </c>
      <c r="V3032">
        <v>67.61</v>
      </c>
      <c r="W3032">
        <v>0.64500000000000002</v>
      </c>
      <c r="X3032" t="str">
        <f>IF(WarehouseData[[#This Row],[stock_level]]&lt;=WarehouseData[[#This Row],[reorder_point]],"Low Stock","Sufficient Stock")</f>
        <v>Sufficient Stock</v>
      </c>
      <c r="Y3032">
        <f>WarehouseData[[#This Row],[daily_demand]]*WarehouseData[[#This Row],[lead_time_days]]</f>
        <v>171.29999999999998</v>
      </c>
      <c r="Z3032" t="str">
        <f>IF(WarehouseData[[#This Row],[stock_level]]&lt;=WarehouseData[[#This Row],[Demand During Lead Time]],"At Risk","Safe")</f>
        <v>Safe</v>
      </c>
      <c r="AA3032">
        <f>WarehouseData[[#This Row],[stock_level]]/WarehouseData[[#This Row],[daily_demand]]</f>
        <v>8.9608873321657914</v>
      </c>
      <c r="AB3032">
        <f>WarehouseData[[#This Row],[stock_level]]*WarehouseData[[#This Row],[unit_price]]</f>
        <v>54940.72</v>
      </c>
      <c r="AC3032">
        <f>WarehouseData[[#This Row],[stock_level]]*WarehouseData[[#This Row],[holding_cost_per_unit_day]]*30</f>
        <v>4236.6000000000004</v>
      </c>
      <c r="AD3032" t="str">
        <f>IF(WarehouseData[[#This Row],[order_fulfillment_rate]]&gt;=0.9,"Strong",IF(WarehouseData[[#This Row],[order_fulfillment_rate]]&gt;=0.8,"Moderate","Needs Attention"))</f>
        <v>Moderate</v>
      </c>
      <c r="AE3032" t="str">
        <f>IF(WarehouseData[[#This Row],[picking_time_seconds]]&gt;120,"Slow",IF(WarehouseData[[#This Row],[picking_time_seconds]]&gt;=60,"Average","Fast"))</f>
        <v>Fast</v>
      </c>
    </row>
    <row r="3033" spans="1:31" x14ac:dyDescent="0.25">
      <c r="A3033" t="s">
        <v>3171</v>
      </c>
      <c r="B3033" t="s">
        <v>32</v>
      </c>
      <c r="C3033">
        <v>34</v>
      </c>
      <c r="D3033">
        <v>80</v>
      </c>
      <c r="E3033">
        <v>6</v>
      </c>
      <c r="F3033">
        <v>9</v>
      </c>
      <c r="G3033">
        <v>37.630000000000003</v>
      </c>
      <c r="H3033">
        <v>2.97</v>
      </c>
      <c r="I3033">
        <v>0.52</v>
      </c>
      <c r="J3033" t="s">
        <v>217</v>
      </c>
      <c r="K3033" t="s">
        <v>46</v>
      </c>
      <c r="L3033">
        <v>91</v>
      </c>
      <c r="M3033">
        <v>1.71</v>
      </c>
      <c r="N3033">
        <v>19.43</v>
      </c>
      <c r="O3033">
        <v>0.62</v>
      </c>
      <c r="P3033">
        <v>7</v>
      </c>
      <c r="Q3033">
        <v>0.86</v>
      </c>
      <c r="R3033">
        <v>924</v>
      </c>
      <c r="S3033">
        <v>6.48</v>
      </c>
      <c r="T3033">
        <v>0.86</v>
      </c>
      <c r="U3033" s="1">
        <v>45556</v>
      </c>
      <c r="V3033">
        <v>140.24</v>
      </c>
      <c r="W3033">
        <v>0.628</v>
      </c>
      <c r="X3033" t="str">
        <f>IF(WarehouseData[[#This Row],[stock_level]]&lt;=WarehouseData[[#This Row],[reorder_point]],"Low Stock","Sufficient Stock")</f>
        <v>Low Stock</v>
      </c>
      <c r="Y3033">
        <f>WarehouseData[[#This Row],[daily_demand]]*WarehouseData[[#This Row],[lead_time_days]]</f>
        <v>338.67</v>
      </c>
      <c r="Z3033" t="str">
        <f>IF(WarehouseData[[#This Row],[stock_level]]&lt;=WarehouseData[[#This Row],[Demand During Lead Time]],"At Risk","Safe")</f>
        <v>At Risk</v>
      </c>
      <c r="AA3033">
        <f>WarehouseData[[#This Row],[stock_level]]/WarehouseData[[#This Row],[daily_demand]]</f>
        <v>0.90353441403135792</v>
      </c>
      <c r="AB3033">
        <f>WarehouseData[[#This Row],[stock_level]]*WarehouseData[[#This Row],[unit_price]]</f>
        <v>660.62</v>
      </c>
      <c r="AC3033">
        <f>WarehouseData[[#This Row],[stock_level]]*WarehouseData[[#This Row],[holding_cost_per_unit_day]]*30</f>
        <v>632.4</v>
      </c>
      <c r="AD3033" t="str">
        <f>IF(WarehouseData[[#This Row],[order_fulfillment_rate]]&gt;=0.9,"Strong",IF(WarehouseData[[#This Row],[order_fulfillment_rate]]&gt;=0.8,"Moderate","Needs Attention"))</f>
        <v>Moderate</v>
      </c>
      <c r="AE3033" t="str">
        <f>IF(WarehouseData[[#This Row],[picking_time_seconds]]&gt;120,"Slow",IF(WarehouseData[[#This Row],[picking_time_seconds]]&gt;=60,"Average","Fast"))</f>
        <v>Average</v>
      </c>
    </row>
    <row r="3034" spans="1:31" x14ac:dyDescent="0.25">
      <c r="A3034" t="s">
        <v>3172</v>
      </c>
      <c r="B3034" t="s">
        <v>48</v>
      </c>
      <c r="C3034">
        <v>63</v>
      </c>
      <c r="D3034">
        <v>47</v>
      </c>
      <c r="E3034">
        <v>7</v>
      </c>
      <c r="F3034">
        <v>6</v>
      </c>
      <c r="G3034">
        <v>6.65</v>
      </c>
      <c r="H3034">
        <v>6.03</v>
      </c>
      <c r="I3034">
        <v>0.72</v>
      </c>
      <c r="J3034" t="s">
        <v>84</v>
      </c>
      <c r="K3034" t="s">
        <v>38</v>
      </c>
      <c r="L3034">
        <v>111</v>
      </c>
      <c r="M3034">
        <v>2.1800000000000002</v>
      </c>
      <c r="N3034">
        <v>171.33</v>
      </c>
      <c r="O3034">
        <v>0.68</v>
      </c>
      <c r="P3034">
        <v>5</v>
      </c>
      <c r="Q3034">
        <v>0.92</v>
      </c>
      <c r="R3034">
        <v>712</v>
      </c>
      <c r="S3034">
        <v>12.9</v>
      </c>
      <c r="T3034">
        <v>0.67</v>
      </c>
      <c r="U3034" s="1">
        <v>45566</v>
      </c>
      <c r="V3034">
        <v>187.7</v>
      </c>
      <c r="W3034">
        <v>0.72199999999999998</v>
      </c>
      <c r="X3034" t="str">
        <f>IF(WarehouseData[[#This Row],[stock_level]]&lt;=WarehouseData[[#This Row],[reorder_point]],"Low Stock","Sufficient Stock")</f>
        <v>Sufficient Stock</v>
      </c>
      <c r="Y3034">
        <f>WarehouseData[[#This Row],[daily_demand]]*WarehouseData[[#This Row],[lead_time_days]]</f>
        <v>39.900000000000006</v>
      </c>
      <c r="Z3034" t="str">
        <f>IF(WarehouseData[[#This Row],[stock_level]]&lt;=WarehouseData[[#This Row],[Demand During Lead Time]],"At Risk","Safe")</f>
        <v>Safe</v>
      </c>
      <c r="AA3034">
        <f>WarehouseData[[#This Row],[stock_level]]/WarehouseData[[#This Row],[daily_demand]]</f>
        <v>9.473684210526315</v>
      </c>
      <c r="AB3034">
        <f>WarehouseData[[#This Row],[stock_level]]*WarehouseData[[#This Row],[unit_price]]</f>
        <v>10793.79</v>
      </c>
      <c r="AC3034">
        <f>WarehouseData[[#This Row],[stock_level]]*WarehouseData[[#This Row],[holding_cost_per_unit_day]]*30</f>
        <v>1285.2</v>
      </c>
      <c r="AD3034" t="str">
        <f>IF(WarehouseData[[#This Row],[order_fulfillment_rate]]&gt;=0.9,"Strong",IF(WarehouseData[[#This Row],[order_fulfillment_rate]]&gt;=0.8,"Moderate","Needs Attention"))</f>
        <v>Strong</v>
      </c>
      <c r="AE3034" t="str">
        <f>IF(WarehouseData[[#This Row],[picking_time_seconds]]&gt;120,"Slow",IF(WarehouseData[[#This Row],[picking_time_seconds]]&gt;=60,"Average","Fast"))</f>
        <v>Average</v>
      </c>
    </row>
    <row r="3035" spans="1:31" x14ac:dyDescent="0.25">
      <c r="A3035" t="s">
        <v>3173</v>
      </c>
      <c r="B3035" t="s">
        <v>32</v>
      </c>
      <c r="C3035">
        <v>420</v>
      </c>
      <c r="D3035">
        <v>76</v>
      </c>
      <c r="E3035">
        <v>7</v>
      </c>
      <c r="F3035">
        <v>4</v>
      </c>
      <c r="G3035">
        <v>12.16</v>
      </c>
      <c r="H3035">
        <v>2.79</v>
      </c>
      <c r="I3035">
        <v>0.4</v>
      </c>
      <c r="J3035" t="s">
        <v>202</v>
      </c>
      <c r="K3035" t="s">
        <v>34</v>
      </c>
      <c r="L3035">
        <v>41</v>
      </c>
      <c r="M3035">
        <v>3.67</v>
      </c>
      <c r="N3035">
        <v>23.73</v>
      </c>
      <c r="O3035">
        <v>1.29</v>
      </c>
      <c r="P3035">
        <v>7</v>
      </c>
      <c r="Q3035">
        <v>0.7</v>
      </c>
      <c r="R3035">
        <v>612</v>
      </c>
      <c r="S3035">
        <v>1.02</v>
      </c>
      <c r="T3035">
        <v>0.63</v>
      </c>
      <c r="U3035" s="1">
        <v>45296</v>
      </c>
      <c r="V3035">
        <v>38.200000000000003</v>
      </c>
      <c r="W3035">
        <v>0.41099999999999998</v>
      </c>
      <c r="X3035" t="str">
        <f>IF(WarehouseData[[#This Row],[stock_level]]&lt;=WarehouseData[[#This Row],[reorder_point]],"Low Stock","Sufficient Stock")</f>
        <v>Sufficient Stock</v>
      </c>
      <c r="Y3035">
        <f>WarehouseData[[#This Row],[daily_demand]]*WarehouseData[[#This Row],[lead_time_days]]</f>
        <v>48.64</v>
      </c>
      <c r="Z3035" t="str">
        <f>IF(WarehouseData[[#This Row],[stock_level]]&lt;=WarehouseData[[#This Row],[Demand During Lead Time]],"At Risk","Safe")</f>
        <v>Safe</v>
      </c>
      <c r="AA3035">
        <f>WarehouseData[[#This Row],[stock_level]]/WarehouseData[[#This Row],[daily_demand]]</f>
        <v>34.539473684210527</v>
      </c>
      <c r="AB3035">
        <f>WarehouseData[[#This Row],[stock_level]]*WarehouseData[[#This Row],[unit_price]]</f>
        <v>9966.6</v>
      </c>
      <c r="AC3035">
        <f>WarehouseData[[#This Row],[stock_level]]*WarehouseData[[#This Row],[holding_cost_per_unit_day]]*30</f>
        <v>16254.000000000002</v>
      </c>
      <c r="AD3035" t="str">
        <f>IF(WarehouseData[[#This Row],[order_fulfillment_rate]]&gt;=0.9,"Strong",IF(WarehouseData[[#This Row],[order_fulfillment_rate]]&gt;=0.8,"Moderate","Needs Attention"))</f>
        <v>Needs Attention</v>
      </c>
      <c r="AE3035" t="str">
        <f>IF(WarehouseData[[#This Row],[picking_time_seconds]]&gt;120,"Slow",IF(WarehouseData[[#This Row],[picking_time_seconds]]&gt;=60,"Average","Fast"))</f>
        <v>Fast</v>
      </c>
    </row>
    <row r="3036" spans="1:31" x14ac:dyDescent="0.25">
      <c r="A3036" t="s">
        <v>3174</v>
      </c>
      <c r="B3036" t="s">
        <v>40</v>
      </c>
      <c r="C3036">
        <v>188</v>
      </c>
      <c r="D3036">
        <v>71</v>
      </c>
      <c r="E3036">
        <v>13</v>
      </c>
      <c r="F3036">
        <v>5</v>
      </c>
      <c r="G3036">
        <v>5.85</v>
      </c>
      <c r="H3036">
        <v>4.74</v>
      </c>
      <c r="I3036">
        <v>0.47</v>
      </c>
      <c r="J3036" t="s">
        <v>59</v>
      </c>
      <c r="K3036" t="s">
        <v>38</v>
      </c>
      <c r="L3036">
        <v>71</v>
      </c>
      <c r="M3036">
        <v>2.0099999999999998</v>
      </c>
      <c r="N3036">
        <v>151.78</v>
      </c>
      <c r="O3036">
        <v>0.43</v>
      </c>
      <c r="P3036">
        <v>7</v>
      </c>
      <c r="Q3036">
        <v>0.97</v>
      </c>
      <c r="R3036">
        <v>526</v>
      </c>
      <c r="S3036">
        <v>12.93</v>
      </c>
      <c r="T3036">
        <v>0.46</v>
      </c>
      <c r="U3036" s="1">
        <v>45650</v>
      </c>
      <c r="V3036">
        <v>71.5</v>
      </c>
      <c r="W3036">
        <v>0.67500000000000004</v>
      </c>
      <c r="X3036" t="str">
        <f>IF(WarehouseData[[#This Row],[stock_level]]&lt;=WarehouseData[[#This Row],[reorder_point]],"Low Stock","Sufficient Stock")</f>
        <v>Sufficient Stock</v>
      </c>
      <c r="Y3036">
        <f>WarehouseData[[#This Row],[daily_demand]]*WarehouseData[[#This Row],[lead_time_days]]</f>
        <v>29.25</v>
      </c>
      <c r="Z3036" t="str">
        <f>IF(WarehouseData[[#This Row],[stock_level]]&lt;=WarehouseData[[#This Row],[Demand During Lead Time]],"At Risk","Safe")</f>
        <v>Safe</v>
      </c>
      <c r="AA3036">
        <f>WarehouseData[[#This Row],[stock_level]]/WarehouseData[[#This Row],[daily_demand]]</f>
        <v>32.136752136752136</v>
      </c>
      <c r="AB3036">
        <f>WarehouseData[[#This Row],[stock_level]]*WarehouseData[[#This Row],[unit_price]]</f>
        <v>28534.639999999999</v>
      </c>
      <c r="AC3036">
        <f>WarehouseData[[#This Row],[stock_level]]*WarehouseData[[#This Row],[holding_cost_per_unit_day]]*30</f>
        <v>2425.2000000000003</v>
      </c>
      <c r="AD3036" t="str">
        <f>IF(WarehouseData[[#This Row],[order_fulfillment_rate]]&gt;=0.9,"Strong",IF(WarehouseData[[#This Row],[order_fulfillment_rate]]&gt;=0.8,"Moderate","Needs Attention"))</f>
        <v>Strong</v>
      </c>
      <c r="AE3036" t="str">
        <f>IF(WarehouseData[[#This Row],[picking_time_seconds]]&gt;120,"Slow",IF(WarehouseData[[#This Row],[picking_time_seconds]]&gt;=60,"Average","Fast"))</f>
        <v>Average</v>
      </c>
    </row>
    <row r="3037" spans="1:31" x14ac:dyDescent="0.25">
      <c r="A3037" t="s">
        <v>3175</v>
      </c>
      <c r="B3037" t="s">
        <v>40</v>
      </c>
      <c r="C3037">
        <v>329</v>
      </c>
      <c r="D3037">
        <v>48</v>
      </c>
      <c r="E3037">
        <v>11</v>
      </c>
      <c r="F3037">
        <v>6</v>
      </c>
      <c r="G3037">
        <v>22.24</v>
      </c>
      <c r="H3037">
        <v>1.67</v>
      </c>
      <c r="I3037">
        <v>0.88</v>
      </c>
      <c r="J3037" t="s">
        <v>338</v>
      </c>
      <c r="K3037" t="s">
        <v>52</v>
      </c>
      <c r="L3037">
        <v>124</v>
      </c>
      <c r="M3037">
        <v>4.91</v>
      </c>
      <c r="N3037">
        <v>42.18</v>
      </c>
      <c r="O3037">
        <v>1.49</v>
      </c>
      <c r="P3037">
        <v>0</v>
      </c>
      <c r="Q3037">
        <v>0.97</v>
      </c>
      <c r="R3037">
        <v>792</v>
      </c>
      <c r="S3037">
        <v>3.54</v>
      </c>
      <c r="T3037">
        <v>0.3</v>
      </c>
      <c r="U3037" s="1">
        <v>45426</v>
      </c>
      <c r="V3037">
        <v>145.35</v>
      </c>
      <c r="W3037">
        <v>0.55200000000000005</v>
      </c>
      <c r="X3037" t="str">
        <f>IF(WarehouseData[[#This Row],[stock_level]]&lt;=WarehouseData[[#This Row],[reorder_point]],"Low Stock","Sufficient Stock")</f>
        <v>Sufficient Stock</v>
      </c>
      <c r="Y3037">
        <f>WarehouseData[[#This Row],[daily_demand]]*WarehouseData[[#This Row],[lead_time_days]]</f>
        <v>133.44</v>
      </c>
      <c r="Z3037" t="str">
        <f>IF(WarehouseData[[#This Row],[stock_level]]&lt;=WarehouseData[[#This Row],[Demand During Lead Time]],"At Risk","Safe")</f>
        <v>Safe</v>
      </c>
      <c r="AA3037">
        <f>WarehouseData[[#This Row],[stock_level]]/WarehouseData[[#This Row],[daily_demand]]</f>
        <v>14.793165467625901</v>
      </c>
      <c r="AB3037">
        <f>WarehouseData[[#This Row],[stock_level]]*WarehouseData[[#This Row],[unit_price]]</f>
        <v>13877.22</v>
      </c>
      <c r="AC3037">
        <f>WarehouseData[[#This Row],[stock_level]]*WarehouseData[[#This Row],[holding_cost_per_unit_day]]*30</f>
        <v>14706.3</v>
      </c>
      <c r="AD3037" t="str">
        <f>IF(WarehouseData[[#This Row],[order_fulfillment_rate]]&gt;=0.9,"Strong",IF(WarehouseData[[#This Row],[order_fulfillment_rate]]&gt;=0.8,"Moderate","Needs Attention"))</f>
        <v>Strong</v>
      </c>
      <c r="AE3037" t="str">
        <f>IF(WarehouseData[[#This Row],[picking_time_seconds]]&gt;120,"Slow",IF(WarehouseData[[#This Row],[picking_time_seconds]]&gt;=60,"Average","Fast"))</f>
        <v>Slow</v>
      </c>
    </row>
    <row r="3038" spans="1:31" x14ac:dyDescent="0.25">
      <c r="A3038" t="s">
        <v>3176</v>
      </c>
      <c r="B3038" t="s">
        <v>40</v>
      </c>
      <c r="C3038">
        <v>63</v>
      </c>
      <c r="D3038">
        <v>46</v>
      </c>
      <c r="E3038">
        <v>14</v>
      </c>
      <c r="F3038">
        <v>6</v>
      </c>
      <c r="G3038">
        <v>7.18</v>
      </c>
      <c r="H3038">
        <v>0.85</v>
      </c>
      <c r="I3038">
        <v>0.4</v>
      </c>
      <c r="J3038" t="s">
        <v>289</v>
      </c>
      <c r="K3038" t="s">
        <v>52</v>
      </c>
      <c r="L3038">
        <v>39</v>
      </c>
      <c r="M3038">
        <v>1.29</v>
      </c>
      <c r="N3038">
        <v>78.42</v>
      </c>
      <c r="O3038">
        <v>0.68</v>
      </c>
      <c r="P3038">
        <v>8</v>
      </c>
      <c r="Q3038">
        <v>0.86</v>
      </c>
      <c r="R3038">
        <v>641</v>
      </c>
      <c r="S3038">
        <v>4.84</v>
      </c>
      <c r="T3038">
        <v>0.26</v>
      </c>
      <c r="U3038" s="1">
        <v>45419</v>
      </c>
      <c r="V3038">
        <v>118.37</v>
      </c>
      <c r="W3038">
        <v>0.46100000000000002</v>
      </c>
      <c r="X3038" t="str">
        <f>IF(WarehouseData[[#This Row],[stock_level]]&lt;=WarehouseData[[#This Row],[reorder_point]],"Low Stock","Sufficient Stock")</f>
        <v>Sufficient Stock</v>
      </c>
      <c r="Y3038">
        <f>WarehouseData[[#This Row],[daily_demand]]*WarehouseData[[#This Row],[lead_time_days]]</f>
        <v>43.08</v>
      </c>
      <c r="Z3038" t="str">
        <f>IF(WarehouseData[[#This Row],[stock_level]]&lt;=WarehouseData[[#This Row],[Demand During Lead Time]],"At Risk","Safe")</f>
        <v>Safe</v>
      </c>
      <c r="AA3038">
        <f>WarehouseData[[#This Row],[stock_level]]/WarehouseData[[#This Row],[daily_demand]]</f>
        <v>8.7743732590529255</v>
      </c>
      <c r="AB3038">
        <f>WarehouseData[[#This Row],[stock_level]]*WarehouseData[[#This Row],[unit_price]]</f>
        <v>4940.46</v>
      </c>
      <c r="AC3038">
        <f>WarehouseData[[#This Row],[stock_level]]*WarehouseData[[#This Row],[holding_cost_per_unit_day]]*30</f>
        <v>1285.2</v>
      </c>
      <c r="AD3038" t="str">
        <f>IF(WarehouseData[[#This Row],[order_fulfillment_rate]]&gt;=0.9,"Strong",IF(WarehouseData[[#This Row],[order_fulfillment_rate]]&gt;=0.8,"Moderate","Needs Attention"))</f>
        <v>Moderate</v>
      </c>
      <c r="AE3038" t="str">
        <f>IF(WarehouseData[[#This Row],[picking_time_seconds]]&gt;120,"Slow",IF(WarehouseData[[#This Row],[picking_time_seconds]]&gt;=60,"Average","Fast"))</f>
        <v>Fast</v>
      </c>
    </row>
    <row r="3039" spans="1:31" x14ac:dyDescent="0.25">
      <c r="A3039" t="s">
        <v>3177</v>
      </c>
      <c r="B3039" t="s">
        <v>40</v>
      </c>
      <c r="C3039">
        <v>117</v>
      </c>
      <c r="D3039">
        <v>95</v>
      </c>
      <c r="E3039">
        <v>11</v>
      </c>
      <c r="F3039">
        <v>6</v>
      </c>
      <c r="G3039">
        <v>22.43</v>
      </c>
      <c r="H3039">
        <v>3.55</v>
      </c>
      <c r="I3039">
        <v>0.97</v>
      </c>
      <c r="J3039" t="s">
        <v>334</v>
      </c>
      <c r="K3039" t="s">
        <v>46</v>
      </c>
      <c r="L3039">
        <v>150</v>
      </c>
      <c r="M3039">
        <v>3.89</v>
      </c>
      <c r="N3039">
        <v>44.99</v>
      </c>
      <c r="O3039">
        <v>1.03</v>
      </c>
      <c r="P3039">
        <v>0</v>
      </c>
      <c r="Q3039">
        <v>0.74</v>
      </c>
      <c r="R3039">
        <v>180</v>
      </c>
      <c r="S3039">
        <v>6.06</v>
      </c>
      <c r="T3039">
        <v>0.56999999999999995</v>
      </c>
      <c r="U3039" s="1">
        <v>45439</v>
      </c>
      <c r="V3039">
        <v>104.19</v>
      </c>
      <c r="W3039">
        <v>0.64</v>
      </c>
      <c r="X3039" t="str">
        <f>IF(WarehouseData[[#This Row],[stock_level]]&lt;=WarehouseData[[#This Row],[reorder_point]],"Low Stock","Sufficient Stock")</f>
        <v>Sufficient Stock</v>
      </c>
      <c r="Y3039">
        <f>WarehouseData[[#This Row],[daily_demand]]*WarehouseData[[#This Row],[lead_time_days]]</f>
        <v>134.57999999999998</v>
      </c>
      <c r="Z3039" t="str">
        <f>IF(WarehouseData[[#This Row],[stock_level]]&lt;=WarehouseData[[#This Row],[Demand During Lead Time]],"At Risk","Safe")</f>
        <v>At Risk</v>
      </c>
      <c r="AA3039">
        <f>WarehouseData[[#This Row],[stock_level]]/WarehouseData[[#This Row],[daily_demand]]</f>
        <v>5.2162282657155599</v>
      </c>
      <c r="AB3039">
        <f>WarehouseData[[#This Row],[stock_level]]*WarehouseData[[#This Row],[unit_price]]</f>
        <v>5263.83</v>
      </c>
      <c r="AC3039">
        <f>WarehouseData[[#This Row],[stock_level]]*WarehouseData[[#This Row],[holding_cost_per_unit_day]]*30</f>
        <v>3615.3</v>
      </c>
      <c r="AD3039" t="str">
        <f>IF(WarehouseData[[#This Row],[order_fulfillment_rate]]&gt;=0.9,"Strong",IF(WarehouseData[[#This Row],[order_fulfillment_rate]]&gt;=0.8,"Moderate","Needs Attention"))</f>
        <v>Needs Attention</v>
      </c>
      <c r="AE3039" t="str">
        <f>IF(WarehouseData[[#This Row],[picking_time_seconds]]&gt;120,"Slow",IF(WarehouseData[[#This Row],[picking_time_seconds]]&gt;=60,"Average","Fast"))</f>
        <v>Slow</v>
      </c>
    </row>
    <row r="3040" spans="1:31" x14ac:dyDescent="0.25">
      <c r="A3040" t="s">
        <v>3178</v>
      </c>
      <c r="B3040" t="s">
        <v>73</v>
      </c>
      <c r="C3040">
        <v>280</v>
      </c>
      <c r="D3040">
        <v>17</v>
      </c>
      <c r="E3040">
        <v>8</v>
      </c>
      <c r="F3040">
        <v>4</v>
      </c>
      <c r="G3040">
        <v>36.869999999999997</v>
      </c>
      <c r="H3040">
        <v>3.11</v>
      </c>
      <c r="I3040">
        <v>0.26</v>
      </c>
      <c r="J3040" t="s">
        <v>236</v>
      </c>
      <c r="K3040" t="s">
        <v>38</v>
      </c>
      <c r="L3040">
        <v>177</v>
      </c>
      <c r="M3040">
        <v>3.15</v>
      </c>
      <c r="N3040">
        <v>94.26</v>
      </c>
      <c r="O3040">
        <v>1.34</v>
      </c>
      <c r="P3040">
        <v>1</v>
      </c>
      <c r="Q3040">
        <v>0.9</v>
      </c>
      <c r="R3040">
        <v>449</v>
      </c>
      <c r="S3040">
        <v>13.33</v>
      </c>
      <c r="T3040">
        <v>0.98</v>
      </c>
      <c r="U3040" s="1">
        <v>45339</v>
      </c>
      <c r="V3040">
        <v>17.649999999999999</v>
      </c>
      <c r="W3040">
        <v>0.8</v>
      </c>
      <c r="X3040" t="str">
        <f>IF(WarehouseData[[#This Row],[stock_level]]&lt;=WarehouseData[[#This Row],[reorder_point]],"Low Stock","Sufficient Stock")</f>
        <v>Sufficient Stock</v>
      </c>
      <c r="Y3040">
        <f>WarehouseData[[#This Row],[daily_demand]]*WarehouseData[[#This Row],[lead_time_days]]</f>
        <v>147.47999999999999</v>
      </c>
      <c r="Z3040" t="str">
        <f>IF(WarehouseData[[#This Row],[stock_level]]&lt;=WarehouseData[[#This Row],[Demand During Lead Time]],"At Risk","Safe")</f>
        <v>Safe</v>
      </c>
      <c r="AA3040">
        <f>WarehouseData[[#This Row],[stock_level]]/WarehouseData[[#This Row],[daily_demand]]</f>
        <v>7.5942500678058051</v>
      </c>
      <c r="AB3040">
        <f>WarehouseData[[#This Row],[stock_level]]*WarehouseData[[#This Row],[unit_price]]</f>
        <v>26392.800000000003</v>
      </c>
      <c r="AC3040">
        <f>WarehouseData[[#This Row],[stock_level]]*WarehouseData[[#This Row],[holding_cost_per_unit_day]]*30</f>
        <v>11256.000000000002</v>
      </c>
      <c r="AD3040" t="str">
        <f>IF(WarehouseData[[#This Row],[order_fulfillment_rate]]&gt;=0.9,"Strong",IF(WarehouseData[[#This Row],[order_fulfillment_rate]]&gt;=0.8,"Moderate","Needs Attention"))</f>
        <v>Strong</v>
      </c>
      <c r="AE3040" t="str">
        <f>IF(WarehouseData[[#This Row],[picking_time_seconds]]&gt;120,"Slow",IF(WarehouseData[[#This Row],[picking_time_seconds]]&gt;=60,"Average","Fast"))</f>
        <v>Slow</v>
      </c>
    </row>
    <row r="3041" spans="1:31" x14ac:dyDescent="0.25">
      <c r="A3041" t="s">
        <v>3179</v>
      </c>
      <c r="B3041" t="s">
        <v>73</v>
      </c>
      <c r="C3041">
        <v>128</v>
      </c>
      <c r="D3041">
        <v>90</v>
      </c>
      <c r="E3041">
        <v>6</v>
      </c>
      <c r="F3041">
        <v>4</v>
      </c>
      <c r="G3041">
        <v>34.49</v>
      </c>
      <c r="H3041">
        <v>4.37</v>
      </c>
      <c r="I3041">
        <v>0.32</v>
      </c>
      <c r="J3041" t="s">
        <v>283</v>
      </c>
      <c r="K3041" t="s">
        <v>38</v>
      </c>
      <c r="L3041">
        <v>40</v>
      </c>
      <c r="M3041">
        <v>1.55</v>
      </c>
      <c r="N3041">
        <v>88.23</v>
      </c>
      <c r="O3041">
        <v>1.1299999999999999</v>
      </c>
      <c r="P3041">
        <v>8</v>
      </c>
      <c r="Q3041">
        <v>0.74</v>
      </c>
      <c r="R3041">
        <v>185</v>
      </c>
      <c r="S3041">
        <v>13.72</v>
      </c>
      <c r="T3041">
        <v>0.4</v>
      </c>
      <c r="U3041" s="1">
        <v>45496</v>
      </c>
      <c r="V3041">
        <v>279.10000000000002</v>
      </c>
      <c r="W3041">
        <v>0.53800000000000003</v>
      </c>
      <c r="X3041" t="str">
        <f>IF(WarehouseData[[#This Row],[stock_level]]&lt;=WarehouseData[[#This Row],[reorder_point]],"Low Stock","Sufficient Stock")</f>
        <v>Sufficient Stock</v>
      </c>
      <c r="Y3041">
        <f>WarehouseData[[#This Row],[daily_demand]]*WarehouseData[[#This Row],[lead_time_days]]</f>
        <v>137.96</v>
      </c>
      <c r="Z3041" t="str">
        <f>IF(WarehouseData[[#This Row],[stock_level]]&lt;=WarehouseData[[#This Row],[Demand During Lead Time]],"At Risk","Safe")</f>
        <v>At Risk</v>
      </c>
      <c r="AA3041">
        <f>WarehouseData[[#This Row],[stock_level]]/WarehouseData[[#This Row],[daily_demand]]</f>
        <v>3.7112206436648303</v>
      </c>
      <c r="AB3041">
        <f>WarehouseData[[#This Row],[stock_level]]*WarehouseData[[#This Row],[unit_price]]</f>
        <v>11293.44</v>
      </c>
      <c r="AC3041">
        <f>WarehouseData[[#This Row],[stock_level]]*WarehouseData[[#This Row],[holding_cost_per_unit_day]]*30</f>
        <v>4339.2</v>
      </c>
      <c r="AD3041" t="str">
        <f>IF(WarehouseData[[#This Row],[order_fulfillment_rate]]&gt;=0.9,"Strong",IF(WarehouseData[[#This Row],[order_fulfillment_rate]]&gt;=0.8,"Moderate","Needs Attention"))</f>
        <v>Needs Attention</v>
      </c>
      <c r="AE3041" t="str">
        <f>IF(WarehouseData[[#This Row],[picking_time_seconds]]&gt;120,"Slow",IF(WarehouseData[[#This Row],[picking_time_seconds]]&gt;=60,"Average","Fast"))</f>
        <v>Fast</v>
      </c>
    </row>
    <row r="3042" spans="1:31" x14ac:dyDescent="0.25">
      <c r="A3042" t="s">
        <v>3180</v>
      </c>
      <c r="B3042" t="s">
        <v>36</v>
      </c>
      <c r="C3042">
        <v>302</v>
      </c>
      <c r="D3042">
        <v>61</v>
      </c>
      <c r="E3042">
        <v>4</v>
      </c>
      <c r="F3042">
        <v>8</v>
      </c>
      <c r="G3042">
        <v>14.74</v>
      </c>
      <c r="H3042">
        <v>9.64</v>
      </c>
      <c r="I3042">
        <v>0.52</v>
      </c>
      <c r="J3042" t="s">
        <v>102</v>
      </c>
      <c r="K3042" t="s">
        <v>34</v>
      </c>
      <c r="L3042">
        <v>46</v>
      </c>
      <c r="M3042">
        <v>3.89</v>
      </c>
      <c r="N3042">
        <v>19.13</v>
      </c>
      <c r="O3042">
        <v>1.36</v>
      </c>
      <c r="P3042">
        <v>6</v>
      </c>
      <c r="Q3042">
        <v>0.85</v>
      </c>
      <c r="R3042">
        <v>395</v>
      </c>
      <c r="S3042">
        <v>10.26</v>
      </c>
      <c r="T3042">
        <v>0.53</v>
      </c>
      <c r="U3042" s="1">
        <v>45636</v>
      </c>
      <c r="V3042">
        <v>262.70999999999998</v>
      </c>
      <c r="W3042">
        <v>0.55700000000000005</v>
      </c>
      <c r="X3042" t="str">
        <f>IF(WarehouseData[[#This Row],[stock_level]]&lt;=WarehouseData[[#This Row],[reorder_point]],"Low Stock","Sufficient Stock")</f>
        <v>Sufficient Stock</v>
      </c>
      <c r="Y3042">
        <f>WarehouseData[[#This Row],[daily_demand]]*WarehouseData[[#This Row],[lead_time_days]]</f>
        <v>117.92</v>
      </c>
      <c r="Z3042" t="str">
        <f>IF(WarehouseData[[#This Row],[stock_level]]&lt;=WarehouseData[[#This Row],[Demand During Lead Time]],"At Risk","Safe")</f>
        <v>Safe</v>
      </c>
      <c r="AA3042">
        <f>WarehouseData[[#This Row],[stock_level]]/WarehouseData[[#This Row],[daily_demand]]</f>
        <v>20.488466757123472</v>
      </c>
      <c r="AB3042">
        <f>WarehouseData[[#This Row],[stock_level]]*WarehouseData[[#This Row],[unit_price]]</f>
        <v>5777.2599999999993</v>
      </c>
      <c r="AC3042">
        <f>WarehouseData[[#This Row],[stock_level]]*WarehouseData[[#This Row],[holding_cost_per_unit_day]]*30</f>
        <v>12321.6</v>
      </c>
      <c r="AD3042" t="str">
        <f>IF(WarehouseData[[#This Row],[order_fulfillment_rate]]&gt;=0.9,"Strong",IF(WarehouseData[[#This Row],[order_fulfillment_rate]]&gt;=0.8,"Moderate","Needs Attention"))</f>
        <v>Moderate</v>
      </c>
      <c r="AE3042" t="str">
        <f>IF(WarehouseData[[#This Row],[picking_time_seconds]]&gt;120,"Slow",IF(WarehouseData[[#This Row],[picking_time_seconds]]&gt;=60,"Average","Fast"))</f>
        <v>Fast</v>
      </c>
    </row>
    <row r="3043" spans="1:31" x14ac:dyDescent="0.25">
      <c r="A3043" t="s">
        <v>3181</v>
      </c>
      <c r="B3043" t="s">
        <v>48</v>
      </c>
      <c r="C3043">
        <v>391</v>
      </c>
      <c r="D3043">
        <v>42</v>
      </c>
      <c r="E3043">
        <v>5</v>
      </c>
      <c r="F3043">
        <v>4</v>
      </c>
      <c r="G3043">
        <v>34.01</v>
      </c>
      <c r="H3043">
        <v>5.46</v>
      </c>
      <c r="I3043">
        <v>0.82</v>
      </c>
      <c r="J3043" t="s">
        <v>245</v>
      </c>
      <c r="K3043" t="s">
        <v>34</v>
      </c>
      <c r="L3043">
        <v>111</v>
      </c>
      <c r="M3043">
        <v>2.5099999999999998</v>
      </c>
      <c r="N3043">
        <v>167.79</v>
      </c>
      <c r="O3043">
        <v>0.71</v>
      </c>
      <c r="P3043">
        <v>9</v>
      </c>
      <c r="Q3043">
        <v>0.73</v>
      </c>
      <c r="R3043">
        <v>219</v>
      </c>
      <c r="S3043">
        <v>7.15</v>
      </c>
      <c r="T3043">
        <v>0.71</v>
      </c>
      <c r="U3043" s="1">
        <v>45467</v>
      </c>
      <c r="V3043">
        <v>123.86</v>
      </c>
      <c r="W3043">
        <v>0.53200000000000003</v>
      </c>
      <c r="X3043" t="str">
        <f>IF(WarehouseData[[#This Row],[stock_level]]&lt;=WarehouseData[[#This Row],[reorder_point]],"Low Stock","Sufficient Stock")</f>
        <v>Sufficient Stock</v>
      </c>
      <c r="Y3043">
        <f>WarehouseData[[#This Row],[daily_demand]]*WarehouseData[[#This Row],[lead_time_days]]</f>
        <v>136.04</v>
      </c>
      <c r="Z3043" t="str">
        <f>IF(WarehouseData[[#This Row],[stock_level]]&lt;=WarehouseData[[#This Row],[Demand During Lead Time]],"At Risk","Safe")</f>
        <v>Safe</v>
      </c>
      <c r="AA3043">
        <f>WarehouseData[[#This Row],[stock_level]]/WarehouseData[[#This Row],[daily_demand]]</f>
        <v>11.496618641576008</v>
      </c>
      <c r="AB3043">
        <f>WarehouseData[[#This Row],[stock_level]]*WarehouseData[[#This Row],[unit_price]]</f>
        <v>65605.89</v>
      </c>
      <c r="AC3043">
        <f>WarehouseData[[#This Row],[stock_level]]*WarehouseData[[#This Row],[holding_cost_per_unit_day]]*30</f>
        <v>8328.3000000000011</v>
      </c>
      <c r="AD3043" t="str">
        <f>IF(WarehouseData[[#This Row],[order_fulfillment_rate]]&gt;=0.9,"Strong",IF(WarehouseData[[#This Row],[order_fulfillment_rate]]&gt;=0.8,"Moderate","Needs Attention"))</f>
        <v>Needs Attention</v>
      </c>
      <c r="AE3043" t="str">
        <f>IF(WarehouseData[[#This Row],[picking_time_seconds]]&gt;120,"Slow",IF(WarehouseData[[#This Row],[picking_time_seconds]]&gt;=60,"Average","Fast"))</f>
        <v>Average</v>
      </c>
    </row>
    <row r="3044" spans="1:31" x14ac:dyDescent="0.25">
      <c r="A3044" t="s">
        <v>3182</v>
      </c>
      <c r="B3044" t="s">
        <v>32</v>
      </c>
      <c r="C3044">
        <v>362</v>
      </c>
      <c r="D3044">
        <v>90</v>
      </c>
      <c r="E3044">
        <v>4</v>
      </c>
      <c r="F3044">
        <v>3</v>
      </c>
      <c r="G3044">
        <v>46.46</v>
      </c>
      <c r="H3044">
        <v>5.76</v>
      </c>
      <c r="I3044">
        <v>0.76</v>
      </c>
      <c r="J3044" t="s">
        <v>75</v>
      </c>
      <c r="K3044" t="s">
        <v>38</v>
      </c>
      <c r="L3044">
        <v>137</v>
      </c>
      <c r="M3044">
        <v>3.57</v>
      </c>
      <c r="N3044">
        <v>172.3</v>
      </c>
      <c r="O3044">
        <v>1.93</v>
      </c>
      <c r="P3044">
        <v>0</v>
      </c>
      <c r="Q3044">
        <v>0.88</v>
      </c>
      <c r="R3044">
        <v>212</v>
      </c>
      <c r="S3044">
        <v>8.23</v>
      </c>
      <c r="T3044">
        <v>0.48</v>
      </c>
      <c r="U3044" s="1">
        <v>45330</v>
      </c>
      <c r="V3044">
        <v>62.6</v>
      </c>
      <c r="W3044">
        <v>0.58899999999999997</v>
      </c>
      <c r="X3044" t="str">
        <f>IF(WarehouseData[[#This Row],[stock_level]]&lt;=WarehouseData[[#This Row],[reorder_point]],"Low Stock","Sufficient Stock")</f>
        <v>Sufficient Stock</v>
      </c>
      <c r="Y3044">
        <f>WarehouseData[[#This Row],[daily_demand]]*WarehouseData[[#This Row],[lead_time_days]]</f>
        <v>139.38</v>
      </c>
      <c r="Z3044" t="str">
        <f>IF(WarehouseData[[#This Row],[stock_level]]&lt;=WarehouseData[[#This Row],[Demand During Lead Time]],"At Risk","Safe")</f>
        <v>Safe</v>
      </c>
      <c r="AA3044">
        <f>WarehouseData[[#This Row],[stock_level]]/WarehouseData[[#This Row],[daily_demand]]</f>
        <v>7.7916487300904</v>
      </c>
      <c r="AB3044">
        <f>WarehouseData[[#This Row],[stock_level]]*WarehouseData[[#This Row],[unit_price]]</f>
        <v>62372.600000000006</v>
      </c>
      <c r="AC3044">
        <f>WarehouseData[[#This Row],[stock_level]]*WarehouseData[[#This Row],[holding_cost_per_unit_day]]*30</f>
        <v>20959.8</v>
      </c>
      <c r="AD3044" t="str">
        <f>IF(WarehouseData[[#This Row],[order_fulfillment_rate]]&gt;=0.9,"Strong",IF(WarehouseData[[#This Row],[order_fulfillment_rate]]&gt;=0.8,"Moderate","Needs Attention"))</f>
        <v>Moderate</v>
      </c>
      <c r="AE3044" t="str">
        <f>IF(WarehouseData[[#This Row],[picking_time_seconds]]&gt;120,"Slow",IF(WarehouseData[[#This Row],[picking_time_seconds]]&gt;=60,"Average","Fast"))</f>
        <v>Slow</v>
      </c>
    </row>
    <row r="3045" spans="1:31" x14ac:dyDescent="0.25">
      <c r="A3045" t="s">
        <v>3183</v>
      </c>
      <c r="B3045" t="s">
        <v>32</v>
      </c>
      <c r="C3045">
        <v>123</v>
      </c>
      <c r="D3045">
        <v>51</v>
      </c>
      <c r="E3045">
        <v>7</v>
      </c>
      <c r="F3045">
        <v>4</v>
      </c>
      <c r="G3045">
        <v>18.03</v>
      </c>
      <c r="H3045">
        <v>9.4499999999999993</v>
      </c>
      <c r="I3045">
        <v>0.26</v>
      </c>
      <c r="J3045" t="s">
        <v>251</v>
      </c>
      <c r="K3045" t="s">
        <v>46</v>
      </c>
      <c r="L3045">
        <v>95</v>
      </c>
      <c r="M3045">
        <v>3.48</v>
      </c>
      <c r="N3045">
        <v>159.63</v>
      </c>
      <c r="O3045">
        <v>0.97</v>
      </c>
      <c r="P3045">
        <v>2</v>
      </c>
      <c r="Q3045">
        <v>0.8</v>
      </c>
      <c r="R3045">
        <v>248</v>
      </c>
      <c r="S3045">
        <v>9.1300000000000008</v>
      </c>
      <c r="T3045">
        <v>0.2</v>
      </c>
      <c r="U3045" s="1">
        <v>45575</v>
      </c>
      <c r="V3045">
        <v>30.02</v>
      </c>
      <c r="W3045">
        <v>0.58499999999999996</v>
      </c>
      <c r="X3045" t="str">
        <f>IF(WarehouseData[[#This Row],[stock_level]]&lt;=WarehouseData[[#This Row],[reorder_point]],"Low Stock","Sufficient Stock")</f>
        <v>Sufficient Stock</v>
      </c>
      <c r="Y3045">
        <f>WarehouseData[[#This Row],[daily_demand]]*WarehouseData[[#This Row],[lead_time_days]]</f>
        <v>72.12</v>
      </c>
      <c r="Z3045" t="str">
        <f>IF(WarehouseData[[#This Row],[stock_level]]&lt;=WarehouseData[[#This Row],[Demand During Lead Time]],"At Risk","Safe")</f>
        <v>Safe</v>
      </c>
      <c r="AA3045">
        <f>WarehouseData[[#This Row],[stock_level]]/WarehouseData[[#This Row],[daily_demand]]</f>
        <v>6.8219633943427613</v>
      </c>
      <c r="AB3045">
        <f>WarehouseData[[#This Row],[stock_level]]*WarehouseData[[#This Row],[unit_price]]</f>
        <v>19634.489999999998</v>
      </c>
      <c r="AC3045">
        <f>WarehouseData[[#This Row],[stock_level]]*WarehouseData[[#This Row],[holding_cost_per_unit_day]]*30</f>
        <v>3579.3</v>
      </c>
      <c r="AD3045" t="str">
        <f>IF(WarehouseData[[#This Row],[order_fulfillment_rate]]&gt;=0.9,"Strong",IF(WarehouseData[[#This Row],[order_fulfillment_rate]]&gt;=0.8,"Moderate","Needs Attention"))</f>
        <v>Moderate</v>
      </c>
      <c r="AE3045" t="str">
        <f>IF(WarehouseData[[#This Row],[picking_time_seconds]]&gt;120,"Slow",IF(WarehouseData[[#This Row],[picking_time_seconds]]&gt;=60,"Average","Fast"))</f>
        <v>Average</v>
      </c>
    </row>
    <row r="3046" spans="1:31" x14ac:dyDescent="0.25">
      <c r="A3046" t="s">
        <v>3184</v>
      </c>
      <c r="B3046" t="s">
        <v>73</v>
      </c>
      <c r="C3046">
        <v>275</v>
      </c>
      <c r="D3046">
        <v>85</v>
      </c>
      <c r="E3046">
        <v>8</v>
      </c>
      <c r="F3046">
        <v>4</v>
      </c>
      <c r="G3046">
        <v>17.13</v>
      </c>
      <c r="H3046">
        <v>9.25</v>
      </c>
      <c r="I3046">
        <v>0.31</v>
      </c>
      <c r="J3046" t="s">
        <v>192</v>
      </c>
      <c r="K3046" t="s">
        <v>34</v>
      </c>
      <c r="L3046">
        <v>68</v>
      </c>
      <c r="M3046">
        <v>1</v>
      </c>
      <c r="N3046">
        <v>171.05</v>
      </c>
      <c r="O3046">
        <v>0.71</v>
      </c>
      <c r="P3046">
        <v>0</v>
      </c>
      <c r="Q3046">
        <v>0.95</v>
      </c>
      <c r="R3046">
        <v>788</v>
      </c>
      <c r="S3046">
        <v>14.36</v>
      </c>
      <c r="T3046">
        <v>0.52</v>
      </c>
      <c r="U3046" s="1">
        <v>45383</v>
      </c>
      <c r="V3046">
        <v>45.72</v>
      </c>
      <c r="W3046">
        <v>0.81399999999999995</v>
      </c>
      <c r="X3046" t="str">
        <f>IF(WarehouseData[[#This Row],[stock_level]]&lt;=WarehouseData[[#This Row],[reorder_point]],"Low Stock","Sufficient Stock")</f>
        <v>Sufficient Stock</v>
      </c>
      <c r="Y3046">
        <f>WarehouseData[[#This Row],[daily_demand]]*WarehouseData[[#This Row],[lead_time_days]]</f>
        <v>68.52</v>
      </c>
      <c r="Z3046" t="str">
        <f>IF(WarehouseData[[#This Row],[stock_level]]&lt;=WarehouseData[[#This Row],[Demand During Lead Time]],"At Risk","Safe")</f>
        <v>Safe</v>
      </c>
      <c r="AA3046">
        <f>WarehouseData[[#This Row],[stock_level]]/WarehouseData[[#This Row],[daily_demand]]</f>
        <v>16.053706946876826</v>
      </c>
      <c r="AB3046">
        <f>WarehouseData[[#This Row],[stock_level]]*WarehouseData[[#This Row],[unit_price]]</f>
        <v>47038.75</v>
      </c>
      <c r="AC3046">
        <f>WarehouseData[[#This Row],[stock_level]]*WarehouseData[[#This Row],[holding_cost_per_unit_day]]*30</f>
        <v>5857.5</v>
      </c>
      <c r="AD3046" t="str">
        <f>IF(WarehouseData[[#This Row],[order_fulfillment_rate]]&gt;=0.9,"Strong",IF(WarehouseData[[#This Row],[order_fulfillment_rate]]&gt;=0.8,"Moderate","Needs Attention"))</f>
        <v>Strong</v>
      </c>
      <c r="AE3046" t="str">
        <f>IF(WarehouseData[[#This Row],[picking_time_seconds]]&gt;120,"Slow",IF(WarehouseData[[#This Row],[picking_time_seconds]]&gt;=60,"Average","Fast"))</f>
        <v>Average</v>
      </c>
    </row>
    <row r="3047" spans="1:31" x14ac:dyDescent="0.25">
      <c r="A3047" t="s">
        <v>3185</v>
      </c>
      <c r="B3047" t="s">
        <v>32</v>
      </c>
      <c r="C3047">
        <v>398</v>
      </c>
      <c r="D3047">
        <v>36</v>
      </c>
      <c r="E3047">
        <v>13</v>
      </c>
      <c r="F3047">
        <v>4</v>
      </c>
      <c r="G3047">
        <v>29</v>
      </c>
      <c r="H3047">
        <v>8.9</v>
      </c>
      <c r="I3047">
        <v>0.62</v>
      </c>
      <c r="J3047" t="s">
        <v>131</v>
      </c>
      <c r="K3047" t="s">
        <v>38</v>
      </c>
      <c r="L3047">
        <v>37</v>
      </c>
      <c r="M3047">
        <v>4.28</v>
      </c>
      <c r="N3047">
        <v>152.66999999999999</v>
      </c>
      <c r="O3047">
        <v>0.66</v>
      </c>
      <c r="P3047">
        <v>4</v>
      </c>
      <c r="Q3047">
        <v>0.94</v>
      </c>
      <c r="R3047">
        <v>97</v>
      </c>
      <c r="S3047">
        <v>14.57</v>
      </c>
      <c r="T3047">
        <v>0.84</v>
      </c>
      <c r="U3047" s="1">
        <v>45535</v>
      </c>
      <c r="V3047">
        <v>184.59</v>
      </c>
      <c r="W3047">
        <v>0.80400000000000005</v>
      </c>
      <c r="X3047" t="str">
        <f>IF(WarehouseData[[#This Row],[stock_level]]&lt;=WarehouseData[[#This Row],[reorder_point]],"Low Stock","Sufficient Stock")</f>
        <v>Sufficient Stock</v>
      </c>
      <c r="Y3047">
        <f>WarehouseData[[#This Row],[daily_demand]]*WarehouseData[[#This Row],[lead_time_days]]</f>
        <v>116</v>
      </c>
      <c r="Z3047" t="str">
        <f>IF(WarehouseData[[#This Row],[stock_level]]&lt;=WarehouseData[[#This Row],[Demand During Lead Time]],"At Risk","Safe")</f>
        <v>Safe</v>
      </c>
      <c r="AA3047">
        <f>WarehouseData[[#This Row],[stock_level]]/WarehouseData[[#This Row],[daily_demand]]</f>
        <v>13.724137931034482</v>
      </c>
      <c r="AB3047">
        <f>WarehouseData[[#This Row],[stock_level]]*WarehouseData[[#This Row],[unit_price]]</f>
        <v>60762.659999999996</v>
      </c>
      <c r="AC3047">
        <f>WarehouseData[[#This Row],[stock_level]]*WarehouseData[[#This Row],[holding_cost_per_unit_day]]*30</f>
        <v>7880.4000000000005</v>
      </c>
      <c r="AD3047" t="str">
        <f>IF(WarehouseData[[#This Row],[order_fulfillment_rate]]&gt;=0.9,"Strong",IF(WarehouseData[[#This Row],[order_fulfillment_rate]]&gt;=0.8,"Moderate","Needs Attention"))</f>
        <v>Strong</v>
      </c>
      <c r="AE3047" t="str">
        <f>IF(WarehouseData[[#This Row],[picking_time_seconds]]&gt;120,"Slow",IF(WarehouseData[[#This Row],[picking_time_seconds]]&gt;=60,"Average","Fast"))</f>
        <v>Fast</v>
      </c>
    </row>
    <row r="3048" spans="1:31" x14ac:dyDescent="0.25">
      <c r="A3048" t="s">
        <v>3186</v>
      </c>
      <c r="B3048" t="s">
        <v>73</v>
      </c>
      <c r="C3048">
        <v>225</v>
      </c>
      <c r="D3048">
        <v>17</v>
      </c>
      <c r="E3048">
        <v>7</v>
      </c>
      <c r="F3048">
        <v>9</v>
      </c>
      <c r="G3048">
        <v>13.03</v>
      </c>
      <c r="H3048">
        <v>1.43</v>
      </c>
      <c r="I3048">
        <v>0.37</v>
      </c>
      <c r="J3048" t="s">
        <v>68</v>
      </c>
      <c r="K3048" t="s">
        <v>38</v>
      </c>
      <c r="L3048">
        <v>131</v>
      </c>
      <c r="M3048">
        <v>3.57</v>
      </c>
      <c r="N3048">
        <v>188.12</v>
      </c>
      <c r="O3048">
        <v>0.18</v>
      </c>
      <c r="P3048">
        <v>3</v>
      </c>
      <c r="Q3048">
        <v>1</v>
      </c>
      <c r="R3048">
        <v>871</v>
      </c>
      <c r="S3048">
        <v>12.86</v>
      </c>
      <c r="T3048">
        <v>0.96</v>
      </c>
      <c r="U3048" s="1">
        <v>45452</v>
      </c>
      <c r="V3048">
        <v>222.84</v>
      </c>
      <c r="W3048">
        <v>0.88500000000000001</v>
      </c>
      <c r="X3048" t="str">
        <f>IF(WarehouseData[[#This Row],[stock_level]]&lt;=WarehouseData[[#This Row],[reorder_point]],"Low Stock","Sufficient Stock")</f>
        <v>Sufficient Stock</v>
      </c>
      <c r="Y3048">
        <f>WarehouseData[[#This Row],[daily_demand]]*WarehouseData[[#This Row],[lead_time_days]]</f>
        <v>117.27</v>
      </c>
      <c r="Z3048" t="str">
        <f>IF(WarehouseData[[#This Row],[stock_level]]&lt;=WarehouseData[[#This Row],[Demand During Lead Time]],"At Risk","Safe")</f>
        <v>Safe</v>
      </c>
      <c r="AA3048">
        <f>WarehouseData[[#This Row],[stock_level]]/WarehouseData[[#This Row],[daily_demand]]</f>
        <v>17.267843438219494</v>
      </c>
      <c r="AB3048">
        <f>WarehouseData[[#This Row],[stock_level]]*WarehouseData[[#This Row],[unit_price]]</f>
        <v>42327</v>
      </c>
      <c r="AC3048">
        <f>WarehouseData[[#This Row],[stock_level]]*WarehouseData[[#This Row],[holding_cost_per_unit_day]]*30</f>
        <v>1215</v>
      </c>
      <c r="AD3048" t="str">
        <f>IF(WarehouseData[[#This Row],[order_fulfillment_rate]]&gt;=0.9,"Strong",IF(WarehouseData[[#This Row],[order_fulfillment_rate]]&gt;=0.8,"Moderate","Needs Attention"))</f>
        <v>Strong</v>
      </c>
      <c r="AE3048" t="str">
        <f>IF(WarehouseData[[#This Row],[picking_time_seconds]]&gt;120,"Slow",IF(WarehouseData[[#This Row],[picking_time_seconds]]&gt;=60,"Average","Fast"))</f>
        <v>Slow</v>
      </c>
    </row>
    <row r="3049" spans="1:31" x14ac:dyDescent="0.25">
      <c r="A3049" t="s">
        <v>3187</v>
      </c>
      <c r="B3049" t="s">
        <v>36</v>
      </c>
      <c r="C3049">
        <v>354</v>
      </c>
      <c r="D3049">
        <v>32</v>
      </c>
      <c r="E3049">
        <v>4</v>
      </c>
      <c r="F3049">
        <v>5</v>
      </c>
      <c r="G3049">
        <v>32.93</v>
      </c>
      <c r="H3049">
        <v>6.53</v>
      </c>
      <c r="I3049">
        <v>0.48</v>
      </c>
      <c r="J3049" t="s">
        <v>126</v>
      </c>
      <c r="K3049" t="s">
        <v>38</v>
      </c>
      <c r="L3049">
        <v>70</v>
      </c>
      <c r="M3049">
        <v>4.01</v>
      </c>
      <c r="N3049">
        <v>119.51</v>
      </c>
      <c r="O3049">
        <v>1.4</v>
      </c>
      <c r="P3049">
        <v>7</v>
      </c>
      <c r="Q3049">
        <v>0.78</v>
      </c>
      <c r="R3049">
        <v>814</v>
      </c>
      <c r="S3049">
        <v>9.17</v>
      </c>
      <c r="T3049">
        <v>0.42</v>
      </c>
      <c r="U3049" s="1">
        <v>45473</v>
      </c>
      <c r="V3049">
        <v>55.36</v>
      </c>
      <c r="W3049">
        <v>0.48199999999999998</v>
      </c>
      <c r="X3049" t="str">
        <f>IF(WarehouseData[[#This Row],[stock_level]]&lt;=WarehouseData[[#This Row],[reorder_point]],"Low Stock","Sufficient Stock")</f>
        <v>Sufficient Stock</v>
      </c>
      <c r="Y3049">
        <f>WarehouseData[[#This Row],[daily_demand]]*WarehouseData[[#This Row],[lead_time_days]]</f>
        <v>164.65</v>
      </c>
      <c r="Z3049" t="str">
        <f>IF(WarehouseData[[#This Row],[stock_level]]&lt;=WarehouseData[[#This Row],[Demand During Lead Time]],"At Risk","Safe")</f>
        <v>Safe</v>
      </c>
      <c r="AA3049">
        <f>WarehouseData[[#This Row],[stock_level]]/WarehouseData[[#This Row],[daily_demand]]</f>
        <v>10.750075918615245</v>
      </c>
      <c r="AB3049">
        <f>WarehouseData[[#This Row],[stock_level]]*WarehouseData[[#This Row],[unit_price]]</f>
        <v>42306.54</v>
      </c>
      <c r="AC3049">
        <f>WarehouseData[[#This Row],[stock_level]]*WarehouseData[[#This Row],[holding_cost_per_unit_day]]*30</f>
        <v>14867.999999999998</v>
      </c>
      <c r="AD3049" t="str">
        <f>IF(WarehouseData[[#This Row],[order_fulfillment_rate]]&gt;=0.9,"Strong",IF(WarehouseData[[#This Row],[order_fulfillment_rate]]&gt;=0.8,"Moderate","Needs Attention"))</f>
        <v>Needs Attention</v>
      </c>
      <c r="AE3049" t="str">
        <f>IF(WarehouseData[[#This Row],[picking_time_seconds]]&gt;120,"Slow",IF(WarehouseData[[#This Row],[picking_time_seconds]]&gt;=60,"Average","Fast"))</f>
        <v>Average</v>
      </c>
    </row>
    <row r="3050" spans="1:31" x14ac:dyDescent="0.25">
      <c r="A3050" t="s">
        <v>3188</v>
      </c>
      <c r="B3050" t="s">
        <v>48</v>
      </c>
      <c r="C3050">
        <v>62</v>
      </c>
      <c r="D3050">
        <v>73</v>
      </c>
      <c r="E3050">
        <v>14</v>
      </c>
      <c r="F3050">
        <v>4</v>
      </c>
      <c r="G3050">
        <v>41.78</v>
      </c>
      <c r="H3050">
        <v>8.18</v>
      </c>
      <c r="I3050">
        <v>0.54</v>
      </c>
      <c r="J3050" t="s">
        <v>92</v>
      </c>
      <c r="K3050" t="s">
        <v>52</v>
      </c>
      <c r="L3050">
        <v>156</v>
      </c>
      <c r="M3050">
        <v>2.5099999999999998</v>
      </c>
      <c r="N3050">
        <v>120.7</v>
      </c>
      <c r="O3050">
        <v>0.6</v>
      </c>
      <c r="P3050">
        <v>8</v>
      </c>
      <c r="Q3050">
        <v>0.72</v>
      </c>
      <c r="R3050">
        <v>543</v>
      </c>
      <c r="S3050">
        <v>6.47</v>
      </c>
      <c r="T3050">
        <v>0.94</v>
      </c>
      <c r="U3050" s="1">
        <v>45403</v>
      </c>
      <c r="V3050">
        <v>42.71</v>
      </c>
      <c r="W3050">
        <v>0.59799999999999998</v>
      </c>
      <c r="X3050" t="str">
        <f>IF(WarehouseData[[#This Row],[stock_level]]&lt;=WarehouseData[[#This Row],[reorder_point]],"Low Stock","Sufficient Stock")</f>
        <v>Low Stock</v>
      </c>
      <c r="Y3050">
        <f>WarehouseData[[#This Row],[daily_demand]]*WarehouseData[[#This Row],[lead_time_days]]</f>
        <v>167.12</v>
      </c>
      <c r="Z3050" t="str">
        <f>IF(WarehouseData[[#This Row],[stock_level]]&lt;=WarehouseData[[#This Row],[Demand During Lead Time]],"At Risk","Safe")</f>
        <v>At Risk</v>
      </c>
      <c r="AA3050">
        <f>WarehouseData[[#This Row],[stock_level]]/WarehouseData[[#This Row],[daily_demand]]</f>
        <v>1.4839636189564385</v>
      </c>
      <c r="AB3050">
        <f>WarehouseData[[#This Row],[stock_level]]*WarehouseData[[#This Row],[unit_price]]</f>
        <v>7483.4000000000005</v>
      </c>
      <c r="AC3050">
        <f>WarehouseData[[#This Row],[stock_level]]*WarehouseData[[#This Row],[holding_cost_per_unit_day]]*30</f>
        <v>1115.9999999999998</v>
      </c>
      <c r="AD3050" t="str">
        <f>IF(WarehouseData[[#This Row],[order_fulfillment_rate]]&gt;=0.9,"Strong",IF(WarehouseData[[#This Row],[order_fulfillment_rate]]&gt;=0.8,"Moderate","Needs Attention"))</f>
        <v>Needs Attention</v>
      </c>
      <c r="AE3050" t="str">
        <f>IF(WarehouseData[[#This Row],[picking_time_seconds]]&gt;120,"Slow",IF(WarehouseData[[#This Row],[picking_time_seconds]]&gt;=60,"Average","Fast"))</f>
        <v>Slow</v>
      </c>
    </row>
    <row r="3051" spans="1:31" x14ac:dyDescent="0.25">
      <c r="A3051" t="s">
        <v>3189</v>
      </c>
      <c r="B3051" t="s">
        <v>36</v>
      </c>
      <c r="C3051">
        <v>372</v>
      </c>
      <c r="D3051">
        <v>29</v>
      </c>
      <c r="E3051">
        <v>7</v>
      </c>
      <c r="F3051">
        <v>3</v>
      </c>
      <c r="G3051">
        <v>23.51</v>
      </c>
      <c r="H3051">
        <v>8.44</v>
      </c>
      <c r="I3051">
        <v>0.63</v>
      </c>
      <c r="J3051" t="s">
        <v>160</v>
      </c>
      <c r="K3051" t="s">
        <v>46</v>
      </c>
      <c r="L3051">
        <v>25</v>
      </c>
      <c r="M3051">
        <v>1.38</v>
      </c>
      <c r="N3051">
        <v>173.38</v>
      </c>
      <c r="O3051">
        <v>1.92</v>
      </c>
      <c r="P3051">
        <v>3</v>
      </c>
      <c r="Q3051">
        <v>0.83</v>
      </c>
      <c r="R3051">
        <v>152</v>
      </c>
      <c r="S3051">
        <v>4.22</v>
      </c>
      <c r="T3051">
        <v>0.89</v>
      </c>
      <c r="U3051" s="1">
        <v>45585</v>
      </c>
      <c r="V3051">
        <v>210.41</v>
      </c>
      <c r="W3051">
        <v>0.54800000000000004</v>
      </c>
      <c r="X3051" t="str">
        <f>IF(WarehouseData[[#This Row],[stock_level]]&lt;=WarehouseData[[#This Row],[reorder_point]],"Low Stock","Sufficient Stock")</f>
        <v>Sufficient Stock</v>
      </c>
      <c r="Y3051">
        <f>WarehouseData[[#This Row],[daily_demand]]*WarehouseData[[#This Row],[lead_time_days]]</f>
        <v>70.53</v>
      </c>
      <c r="Z3051" t="str">
        <f>IF(WarehouseData[[#This Row],[stock_level]]&lt;=WarehouseData[[#This Row],[Demand During Lead Time]],"At Risk","Safe")</f>
        <v>Safe</v>
      </c>
      <c r="AA3051">
        <f>WarehouseData[[#This Row],[stock_level]]/WarehouseData[[#This Row],[daily_demand]]</f>
        <v>15.823054019566142</v>
      </c>
      <c r="AB3051">
        <f>WarehouseData[[#This Row],[stock_level]]*WarehouseData[[#This Row],[unit_price]]</f>
        <v>64497.36</v>
      </c>
      <c r="AC3051">
        <f>WarehouseData[[#This Row],[stock_level]]*WarehouseData[[#This Row],[holding_cost_per_unit_day]]*30</f>
        <v>21427.200000000001</v>
      </c>
      <c r="AD3051" t="str">
        <f>IF(WarehouseData[[#This Row],[order_fulfillment_rate]]&gt;=0.9,"Strong",IF(WarehouseData[[#This Row],[order_fulfillment_rate]]&gt;=0.8,"Moderate","Needs Attention"))</f>
        <v>Moderate</v>
      </c>
      <c r="AE3051" t="str">
        <f>IF(WarehouseData[[#This Row],[picking_time_seconds]]&gt;120,"Slow",IF(WarehouseData[[#This Row],[picking_time_seconds]]&gt;=60,"Average","Fast"))</f>
        <v>Fast</v>
      </c>
    </row>
    <row r="3052" spans="1:31" x14ac:dyDescent="0.25">
      <c r="A3052" t="s">
        <v>3190</v>
      </c>
      <c r="B3052" t="s">
        <v>40</v>
      </c>
      <c r="C3052">
        <v>264</v>
      </c>
      <c r="D3052">
        <v>25</v>
      </c>
      <c r="E3052">
        <v>11</v>
      </c>
      <c r="F3052">
        <v>9</v>
      </c>
      <c r="G3052">
        <v>34.299999999999997</v>
      </c>
      <c r="H3052">
        <v>5.99</v>
      </c>
      <c r="I3052">
        <v>0.33</v>
      </c>
      <c r="J3052" t="s">
        <v>62</v>
      </c>
      <c r="K3052" t="s">
        <v>38</v>
      </c>
      <c r="L3052">
        <v>78</v>
      </c>
      <c r="M3052">
        <v>1.97</v>
      </c>
      <c r="N3052">
        <v>76.39</v>
      </c>
      <c r="O3052">
        <v>0.5</v>
      </c>
      <c r="P3052">
        <v>2</v>
      </c>
      <c r="Q3052">
        <v>0.73</v>
      </c>
      <c r="R3052">
        <v>597</v>
      </c>
      <c r="S3052">
        <v>8.48</v>
      </c>
      <c r="T3052">
        <v>0.53</v>
      </c>
      <c r="U3052" s="1">
        <v>45429</v>
      </c>
      <c r="V3052">
        <v>159.94</v>
      </c>
      <c r="W3052">
        <v>0.67500000000000004</v>
      </c>
      <c r="X3052" t="str">
        <f>IF(WarehouseData[[#This Row],[stock_level]]&lt;=WarehouseData[[#This Row],[reorder_point]],"Low Stock","Sufficient Stock")</f>
        <v>Sufficient Stock</v>
      </c>
      <c r="Y3052">
        <f>WarehouseData[[#This Row],[daily_demand]]*WarehouseData[[#This Row],[lead_time_days]]</f>
        <v>308.7</v>
      </c>
      <c r="Z3052" t="str">
        <f>IF(WarehouseData[[#This Row],[stock_level]]&lt;=WarehouseData[[#This Row],[Demand During Lead Time]],"At Risk","Safe")</f>
        <v>At Risk</v>
      </c>
      <c r="AA3052">
        <f>WarehouseData[[#This Row],[stock_level]]/WarehouseData[[#This Row],[daily_demand]]</f>
        <v>7.6967930029154523</v>
      </c>
      <c r="AB3052">
        <f>WarehouseData[[#This Row],[stock_level]]*WarehouseData[[#This Row],[unit_price]]</f>
        <v>20166.96</v>
      </c>
      <c r="AC3052">
        <f>WarehouseData[[#This Row],[stock_level]]*WarehouseData[[#This Row],[holding_cost_per_unit_day]]*30</f>
        <v>3960</v>
      </c>
      <c r="AD3052" t="str">
        <f>IF(WarehouseData[[#This Row],[order_fulfillment_rate]]&gt;=0.9,"Strong",IF(WarehouseData[[#This Row],[order_fulfillment_rate]]&gt;=0.8,"Moderate","Needs Attention"))</f>
        <v>Needs Attention</v>
      </c>
      <c r="AE3052" t="str">
        <f>IF(WarehouseData[[#This Row],[picking_time_seconds]]&gt;120,"Slow",IF(WarehouseData[[#This Row],[picking_time_seconds]]&gt;=60,"Average","Fast"))</f>
        <v>Average</v>
      </c>
    </row>
    <row r="3053" spans="1:31" x14ac:dyDescent="0.25">
      <c r="A3053" t="s">
        <v>3191</v>
      </c>
      <c r="B3053" t="s">
        <v>40</v>
      </c>
      <c r="C3053">
        <v>306</v>
      </c>
      <c r="D3053">
        <v>26</v>
      </c>
      <c r="E3053">
        <v>6</v>
      </c>
      <c r="F3053">
        <v>6</v>
      </c>
      <c r="G3053">
        <v>32.94</v>
      </c>
      <c r="H3053">
        <v>0.67</v>
      </c>
      <c r="I3053">
        <v>0.25</v>
      </c>
      <c r="J3053" t="s">
        <v>217</v>
      </c>
      <c r="K3053" t="s">
        <v>38</v>
      </c>
      <c r="L3053">
        <v>53</v>
      </c>
      <c r="M3053">
        <v>4.5599999999999996</v>
      </c>
      <c r="N3053">
        <v>19.52</v>
      </c>
      <c r="O3053">
        <v>1.1100000000000001</v>
      </c>
      <c r="P3053">
        <v>3</v>
      </c>
      <c r="Q3053">
        <v>0.75</v>
      </c>
      <c r="R3053">
        <v>55</v>
      </c>
      <c r="S3053">
        <v>5.84</v>
      </c>
      <c r="T3053">
        <v>0.2</v>
      </c>
      <c r="U3053" s="1">
        <v>45385</v>
      </c>
      <c r="V3053">
        <v>117.83</v>
      </c>
      <c r="W3053">
        <v>0.497</v>
      </c>
      <c r="X3053" t="str">
        <f>IF(WarehouseData[[#This Row],[stock_level]]&lt;=WarehouseData[[#This Row],[reorder_point]],"Low Stock","Sufficient Stock")</f>
        <v>Sufficient Stock</v>
      </c>
      <c r="Y3053">
        <f>WarehouseData[[#This Row],[daily_demand]]*WarehouseData[[#This Row],[lead_time_days]]</f>
        <v>197.64</v>
      </c>
      <c r="Z3053" t="str">
        <f>IF(WarehouseData[[#This Row],[stock_level]]&lt;=WarehouseData[[#This Row],[Demand During Lead Time]],"At Risk","Safe")</f>
        <v>Safe</v>
      </c>
      <c r="AA3053">
        <f>WarehouseData[[#This Row],[stock_level]]/WarehouseData[[#This Row],[daily_demand]]</f>
        <v>9.2896174863387984</v>
      </c>
      <c r="AB3053">
        <f>WarehouseData[[#This Row],[stock_level]]*WarehouseData[[#This Row],[unit_price]]</f>
        <v>5973.12</v>
      </c>
      <c r="AC3053">
        <f>WarehouseData[[#This Row],[stock_level]]*WarehouseData[[#This Row],[holding_cost_per_unit_day]]*30</f>
        <v>10189.800000000001</v>
      </c>
      <c r="AD3053" t="str">
        <f>IF(WarehouseData[[#This Row],[order_fulfillment_rate]]&gt;=0.9,"Strong",IF(WarehouseData[[#This Row],[order_fulfillment_rate]]&gt;=0.8,"Moderate","Needs Attention"))</f>
        <v>Needs Attention</v>
      </c>
      <c r="AE3053" t="str">
        <f>IF(WarehouseData[[#This Row],[picking_time_seconds]]&gt;120,"Slow",IF(WarehouseData[[#This Row],[picking_time_seconds]]&gt;=60,"Average","Fast"))</f>
        <v>Fast</v>
      </c>
    </row>
    <row r="3054" spans="1:31" x14ac:dyDescent="0.25">
      <c r="A3054" t="s">
        <v>3192</v>
      </c>
      <c r="B3054" t="s">
        <v>40</v>
      </c>
      <c r="C3054">
        <v>374</v>
      </c>
      <c r="D3054">
        <v>89</v>
      </c>
      <c r="E3054">
        <v>14</v>
      </c>
      <c r="F3054">
        <v>5</v>
      </c>
      <c r="G3054">
        <v>2.89</v>
      </c>
      <c r="H3054">
        <v>9.75</v>
      </c>
      <c r="I3054">
        <v>0.46</v>
      </c>
      <c r="J3054" t="s">
        <v>160</v>
      </c>
      <c r="K3054" t="s">
        <v>38</v>
      </c>
      <c r="L3054">
        <v>122</v>
      </c>
      <c r="M3054">
        <v>4.72</v>
      </c>
      <c r="N3054">
        <v>152.47</v>
      </c>
      <c r="O3054">
        <v>1.5</v>
      </c>
      <c r="P3054">
        <v>2</v>
      </c>
      <c r="Q3054">
        <v>0.88</v>
      </c>
      <c r="R3054">
        <v>760</v>
      </c>
      <c r="S3054">
        <v>2.02</v>
      </c>
      <c r="T3054">
        <v>0.88</v>
      </c>
      <c r="U3054" s="1">
        <v>45641</v>
      </c>
      <c r="V3054">
        <v>220.24</v>
      </c>
      <c r="W3054">
        <v>0.58899999999999997</v>
      </c>
      <c r="X3054" t="str">
        <f>IF(WarehouseData[[#This Row],[stock_level]]&lt;=WarehouseData[[#This Row],[reorder_point]],"Low Stock","Sufficient Stock")</f>
        <v>Sufficient Stock</v>
      </c>
      <c r="Y3054">
        <f>WarehouseData[[#This Row],[daily_demand]]*WarehouseData[[#This Row],[lead_time_days]]</f>
        <v>14.450000000000001</v>
      </c>
      <c r="Z3054" t="str">
        <f>IF(WarehouseData[[#This Row],[stock_level]]&lt;=WarehouseData[[#This Row],[Demand During Lead Time]],"At Risk","Safe")</f>
        <v>Safe</v>
      </c>
      <c r="AA3054">
        <f>WarehouseData[[#This Row],[stock_level]]/WarehouseData[[#This Row],[daily_demand]]</f>
        <v>129.41176470588235</v>
      </c>
      <c r="AB3054">
        <f>WarehouseData[[#This Row],[stock_level]]*WarehouseData[[#This Row],[unit_price]]</f>
        <v>57023.78</v>
      </c>
      <c r="AC3054">
        <f>WarehouseData[[#This Row],[stock_level]]*WarehouseData[[#This Row],[holding_cost_per_unit_day]]*30</f>
        <v>16830</v>
      </c>
      <c r="AD3054" t="str">
        <f>IF(WarehouseData[[#This Row],[order_fulfillment_rate]]&gt;=0.9,"Strong",IF(WarehouseData[[#This Row],[order_fulfillment_rate]]&gt;=0.8,"Moderate","Needs Attention"))</f>
        <v>Moderate</v>
      </c>
      <c r="AE3054" t="str">
        <f>IF(WarehouseData[[#This Row],[picking_time_seconds]]&gt;120,"Slow",IF(WarehouseData[[#This Row],[picking_time_seconds]]&gt;=60,"Average","Fast"))</f>
        <v>Slow</v>
      </c>
    </row>
    <row r="3055" spans="1:31" x14ac:dyDescent="0.25">
      <c r="A3055" t="s">
        <v>3193</v>
      </c>
      <c r="B3055" t="s">
        <v>36</v>
      </c>
      <c r="C3055">
        <v>292</v>
      </c>
      <c r="D3055">
        <v>28</v>
      </c>
      <c r="E3055">
        <v>12</v>
      </c>
      <c r="F3055">
        <v>2</v>
      </c>
      <c r="G3055">
        <v>9.99</v>
      </c>
      <c r="H3055">
        <v>4.99</v>
      </c>
      <c r="I3055">
        <v>0.17</v>
      </c>
      <c r="J3055" t="s">
        <v>357</v>
      </c>
      <c r="K3055" t="s">
        <v>34</v>
      </c>
      <c r="L3055">
        <v>147</v>
      </c>
      <c r="M3055">
        <v>2.67</v>
      </c>
      <c r="N3055">
        <v>58.37</v>
      </c>
      <c r="O3055">
        <v>1.75</v>
      </c>
      <c r="P3055">
        <v>5</v>
      </c>
      <c r="Q3055">
        <v>0.88</v>
      </c>
      <c r="R3055">
        <v>61</v>
      </c>
      <c r="S3055">
        <v>7.67</v>
      </c>
      <c r="T3055">
        <v>0.43</v>
      </c>
      <c r="U3055" s="1">
        <v>45389</v>
      </c>
      <c r="V3055">
        <v>142.15</v>
      </c>
      <c r="W3055">
        <v>0.48899999999999999</v>
      </c>
      <c r="X3055" t="str">
        <f>IF(WarehouseData[[#This Row],[stock_level]]&lt;=WarehouseData[[#This Row],[reorder_point]],"Low Stock","Sufficient Stock")</f>
        <v>Sufficient Stock</v>
      </c>
      <c r="Y3055">
        <f>WarehouseData[[#This Row],[daily_demand]]*WarehouseData[[#This Row],[lead_time_days]]</f>
        <v>19.98</v>
      </c>
      <c r="Z3055" t="str">
        <f>IF(WarehouseData[[#This Row],[stock_level]]&lt;=WarehouseData[[#This Row],[Demand During Lead Time]],"At Risk","Safe")</f>
        <v>Safe</v>
      </c>
      <c r="AA3055">
        <f>WarehouseData[[#This Row],[stock_level]]/WarehouseData[[#This Row],[daily_demand]]</f>
        <v>29.22922922922923</v>
      </c>
      <c r="AB3055">
        <f>WarehouseData[[#This Row],[stock_level]]*WarehouseData[[#This Row],[unit_price]]</f>
        <v>17044.04</v>
      </c>
      <c r="AC3055">
        <f>WarehouseData[[#This Row],[stock_level]]*WarehouseData[[#This Row],[holding_cost_per_unit_day]]*30</f>
        <v>15330</v>
      </c>
      <c r="AD3055" t="str">
        <f>IF(WarehouseData[[#This Row],[order_fulfillment_rate]]&gt;=0.9,"Strong",IF(WarehouseData[[#This Row],[order_fulfillment_rate]]&gt;=0.8,"Moderate","Needs Attention"))</f>
        <v>Moderate</v>
      </c>
      <c r="AE3055" t="str">
        <f>IF(WarehouseData[[#This Row],[picking_time_seconds]]&gt;120,"Slow",IF(WarehouseData[[#This Row],[picking_time_seconds]]&gt;=60,"Average","Fast"))</f>
        <v>Slow</v>
      </c>
    </row>
    <row r="3056" spans="1:31" x14ac:dyDescent="0.25">
      <c r="A3056" t="s">
        <v>3194</v>
      </c>
      <c r="B3056" t="s">
        <v>32</v>
      </c>
      <c r="C3056">
        <v>495</v>
      </c>
      <c r="D3056">
        <v>17</v>
      </c>
      <c r="E3056">
        <v>4</v>
      </c>
      <c r="F3056">
        <v>9</v>
      </c>
      <c r="G3056">
        <v>44.78</v>
      </c>
      <c r="H3056">
        <v>4.24</v>
      </c>
      <c r="I3056">
        <v>0.56999999999999995</v>
      </c>
      <c r="J3056" t="s">
        <v>70</v>
      </c>
      <c r="K3056" t="s">
        <v>38</v>
      </c>
      <c r="L3056">
        <v>28</v>
      </c>
      <c r="M3056">
        <v>1.84</v>
      </c>
      <c r="N3056">
        <v>100.1</v>
      </c>
      <c r="O3056">
        <v>0.4</v>
      </c>
      <c r="P3056">
        <v>0</v>
      </c>
      <c r="Q3056">
        <v>0.71</v>
      </c>
      <c r="R3056">
        <v>152</v>
      </c>
      <c r="S3056">
        <v>9</v>
      </c>
      <c r="T3056">
        <v>0.8</v>
      </c>
      <c r="U3056" s="1">
        <v>45547</v>
      </c>
      <c r="V3056">
        <v>144.88999999999999</v>
      </c>
      <c r="W3056">
        <v>0.78200000000000003</v>
      </c>
      <c r="X3056" t="str">
        <f>IF(WarehouseData[[#This Row],[stock_level]]&lt;=WarehouseData[[#This Row],[reorder_point]],"Low Stock","Sufficient Stock")</f>
        <v>Sufficient Stock</v>
      </c>
      <c r="Y3056">
        <f>WarehouseData[[#This Row],[daily_demand]]*WarehouseData[[#This Row],[lead_time_days]]</f>
        <v>403.02</v>
      </c>
      <c r="Z3056" t="str">
        <f>IF(WarehouseData[[#This Row],[stock_level]]&lt;=WarehouseData[[#This Row],[Demand During Lead Time]],"At Risk","Safe")</f>
        <v>Safe</v>
      </c>
      <c r="AA3056">
        <f>WarehouseData[[#This Row],[stock_level]]/WarehouseData[[#This Row],[daily_demand]]</f>
        <v>11.054041983028137</v>
      </c>
      <c r="AB3056">
        <f>WarehouseData[[#This Row],[stock_level]]*WarehouseData[[#This Row],[unit_price]]</f>
        <v>49549.5</v>
      </c>
      <c r="AC3056">
        <f>WarehouseData[[#This Row],[stock_level]]*WarehouseData[[#This Row],[holding_cost_per_unit_day]]*30</f>
        <v>5940</v>
      </c>
      <c r="AD3056" t="str">
        <f>IF(WarehouseData[[#This Row],[order_fulfillment_rate]]&gt;=0.9,"Strong",IF(WarehouseData[[#This Row],[order_fulfillment_rate]]&gt;=0.8,"Moderate","Needs Attention"))</f>
        <v>Needs Attention</v>
      </c>
      <c r="AE3056" t="str">
        <f>IF(WarehouseData[[#This Row],[picking_time_seconds]]&gt;120,"Slow",IF(WarehouseData[[#This Row],[picking_time_seconds]]&gt;=60,"Average","Fast"))</f>
        <v>Fast</v>
      </c>
    </row>
    <row r="3057" spans="1:31" x14ac:dyDescent="0.25">
      <c r="A3057" t="s">
        <v>3195</v>
      </c>
      <c r="B3057" t="s">
        <v>48</v>
      </c>
      <c r="C3057">
        <v>102</v>
      </c>
      <c r="D3057">
        <v>47</v>
      </c>
      <c r="E3057">
        <v>5</v>
      </c>
      <c r="F3057">
        <v>4</v>
      </c>
      <c r="G3057">
        <v>47.01</v>
      </c>
      <c r="H3057">
        <v>4.25</v>
      </c>
      <c r="I3057">
        <v>0.86</v>
      </c>
      <c r="J3057" t="s">
        <v>477</v>
      </c>
      <c r="K3057" t="s">
        <v>52</v>
      </c>
      <c r="L3057">
        <v>93</v>
      </c>
      <c r="M3057">
        <v>3.79</v>
      </c>
      <c r="N3057">
        <v>55.68</v>
      </c>
      <c r="O3057">
        <v>1.97</v>
      </c>
      <c r="P3057">
        <v>1</v>
      </c>
      <c r="Q3057">
        <v>0.83</v>
      </c>
      <c r="R3057">
        <v>748</v>
      </c>
      <c r="S3057">
        <v>9.56</v>
      </c>
      <c r="T3057">
        <v>0.66</v>
      </c>
      <c r="U3057" s="1">
        <v>45394</v>
      </c>
      <c r="V3057">
        <v>14.56</v>
      </c>
      <c r="W3057">
        <v>0.60799999999999998</v>
      </c>
      <c r="X3057" t="str">
        <f>IF(WarehouseData[[#This Row],[stock_level]]&lt;=WarehouseData[[#This Row],[reorder_point]],"Low Stock","Sufficient Stock")</f>
        <v>Sufficient Stock</v>
      </c>
      <c r="Y3057">
        <f>WarehouseData[[#This Row],[daily_demand]]*WarehouseData[[#This Row],[lead_time_days]]</f>
        <v>188.04</v>
      </c>
      <c r="Z3057" t="str">
        <f>IF(WarehouseData[[#This Row],[stock_level]]&lt;=WarehouseData[[#This Row],[Demand During Lead Time]],"At Risk","Safe")</f>
        <v>At Risk</v>
      </c>
      <c r="AA3057">
        <f>WarehouseData[[#This Row],[stock_level]]/WarehouseData[[#This Row],[daily_demand]]</f>
        <v>2.1697511167836629</v>
      </c>
      <c r="AB3057">
        <f>WarehouseData[[#This Row],[stock_level]]*WarehouseData[[#This Row],[unit_price]]</f>
        <v>5679.36</v>
      </c>
      <c r="AC3057">
        <f>WarehouseData[[#This Row],[stock_level]]*WarehouseData[[#This Row],[holding_cost_per_unit_day]]*30</f>
        <v>6028.2</v>
      </c>
      <c r="AD3057" t="str">
        <f>IF(WarehouseData[[#This Row],[order_fulfillment_rate]]&gt;=0.9,"Strong",IF(WarehouseData[[#This Row],[order_fulfillment_rate]]&gt;=0.8,"Moderate","Needs Attention"))</f>
        <v>Moderate</v>
      </c>
      <c r="AE3057" t="str">
        <f>IF(WarehouseData[[#This Row],[picking_time_seconds]]&gt;120,"Slow",IF(WarehouseData[[#This Row],[picking_time_seconds]]&gt;=60,"Average","Fast"))</f>
        <v>Average</v>
      </c>
    </row>
    <row r="3058" spans="1:31" x14ac:dyDescent="0.25">
      <c r="A3058" t="s">
        <v>3196</v>
      </c>
      <c r="B3058" t="s">
        <v>40</v>
      </c>
      <c r="C3058">
        <v>129</v>
      </c>
      <c r="D3058">
        <v>47</v>
      </c>
      <c r="E3058">
        <v>5</v>
      </c>
      <c r="F3058">
        <v>9</v>
      </c>
      <c r="G3058">
        <v>39.24</v>
      </c>
      <c r="H3058">
        <v>4.53</v>
      </c>
      <c r="I3058">
        <v>0.21</v>
      </c>
      <c r="J3058" t="s">
        <v>418</v>
      </c>
      <c r="K3058" t="s">
        <v>52</v>
      </c>
      <c r="L3058">
        <v>102</v>
      </c>
      <c r="M3058">
        <v>3.95</v>
      </c>
      <c r="N3058">
        <v>167.15</v>
      </c>
      <c r="O3058">
        <v>1.82</v>
      </c>
      <c r="P3058">
        <v>7</v>
      </c>
      <c r="Q3058">
        <v>0.86</v>
      </c>
      <c r="R3058">
        <v>882</v>
      </c>
      <c r="S3058">
        <v>2.0299999999999998</v>
      </c>
      <c r="T3058">
        <v>0.38</v>
      </c>
      <c r="U3058" s="1">
        <v>45412</v>
      </c>
      <c r="V3058">
        <v>101.64</v>
      </c>
      <c r="W3058">
        <v>0.35299999999999998</v>
      </c>
      <c r="X3058" t="str">
        <f>IF(WarehouseData[[#This Row],[stock_level]]&lt;=WarehouseData[[#This Row],[reorder_point]],"Low Stock","Sufficient Stock")</f>
        <v>Sufficient Stock</v>
      </c>
      <c r="Y3058">
        <f>WarehouseData[[#This Row],[daily_demand]]*WarehouseData[[#This Row],[lead_time_days]]</f>
        <v>353.16</v>
      </c>
      <c r="Z3058" t="str">
        <f>IF(WarehouseData[[#This Row],[stock_level]]&lt;=WarehouseData[[#This Row],[Demand During Lead Time]],"At Risk","Safe")</f>
        <v>At Risk</v>
      </c>
      <c r="AA3058">
        <f>WarehouseData[[#This Row],[stock_level]]/WarehouseData[[#This Row],[daily_demand]]</f>
        <v>3.2874617737003056</v>
      </c>
      <c r="AB3058">
        <f>WarehouseData[[#This Row],[stock_level]]*WarehouseData[[#This Row],[unit_price]]</f>
        <v>21562.350000000002</v>
      </c>
      <c r="AC3058">
        <f>WarehouseData[[#This Row],[stock_level]]*WarehouseData[[#This Row],[holding_cost_per_unit_day]]*30</f>
        <v>7043.4</v>
      </c>
      <c r="AD3058" t="str">
        <f>IF(WarehouseData[[#This Row],[order_fulfillment_rate]]&gt;=0.9,"Strong",IF(WarehouseData[[#This Row],[order_fulfillment_rate]]&gt;=0.8,"Moderate","Needs Attention"))</f>
        <v>Moderate</v>
      </c>
      <c r="AE3058" t="str">
        <f>IF(WarehouseData[[#This Row],[picking_time_seconds]]&gt;120,"Slow",IF(WarehouseData[[#This Row],[picking_time_seconds]]&gt;=60,"Average","Fast"))</f>
        <v>Average</v>
      </c>
    </row>
    <row r="3059" spans="1:31" x14ac:dyDescent="0.25">
      <c r="A3059" t="s">
        <v>3197</v>
      </c>
      <c r="B3059" t="s">
        <v>40</v>
      </c>
      <c r="C3059">
        <v>457</v>
      </c>
      <c r="D3059">
        <v>62</v>
      </c>
      <c r="E3059">
        <v>11</v>
      </c>
      <c r="F3059">
        <v>8</v>
      </c>
      <c r="G3059">
        <v>46.14</v>
      </c>
      <c r="H3059">
        <v>2.8</v>
      </c>
      <c r="I3059">
        <v>0.2</v>
      </c>
      <c r="J3059" t="s">
        <v>447</v>
      </c>
      <c r="K3059" t="s">
        <v>46</v>
      </c>
      <c r="L3059">
        <v>150</v>
      </c>
      <c r="M3059">
        <v>4.17</v>
      </c>
      <c r="N3059">
        <v>192.08</v>
      </c>
      <c r="O3059">
        <v>1.93</v>
      </c>
      <c r="P3059">
        <v>2</v>
      </c>
      <c r="Q3059">
        <v>0.78</v>
      </c>
      <c r="R3059">
        <v>739</v>
      </c>
      <c r="S3059">
        <v>7.76</v>
      </c>
      <c r="T3059">
        <v>0.72</v>
      </c>
      <c r="U3059" s="1">
        <v>45415</v>
      </c>
      <c r="V3059">
        <v>11.46</v>
      </c>
      <c r="W3059">
        <v>0.56999999999999995</v>
      </c>
      <c r="X3059" t="str">
        <f>IF(WarehouseData[[#This Row],[stock_level]]&lt;=WarehouseData[[#This Row],[reorder_point]],"Low Stock","Sufficient Stock")</f>
        <v>Sufficient Stock</v>
      </c>
      <c r="Y3059">
        <f>WarehouseData[[#This Row],[daily_demand]]*WarehouseData[[#This Row],[lead_time_days]]</f>
        <v>369.12</v>
      </c>
      <c r="Z3059" t="str">
        <f>IF(WarehouseData[[#This Row],[stock_level]]&lt;=WarehouseData[[#This Row],[Demand During Lead Time]],"At Risk","Safe")</f>
        <v>Safe</v>
      </c>
      <c r="AA3059">
        <f>WarehouseData[[#This Row],[stock_level]]/WarehouseData[[#This Row],[daily_demand]]</f>
        <v>9.9046380580840925</v>
      </c>
      <c r="AB3059">
        <f>WarehouseData[[#This Row],[stock_level]]*WarehouseData[[#This Row],[unit_price]]</f>
        <v>87780.560000000012</v>
      </c>
      <c r="AC3059">
        <f>WarehouseData[[#This Row],[stock_level]]*WarehouseData[[#This Row],[holding_cost_per_unit_day]]*30</f>
        <v>26460.3</v>
      </c>
      <c r="AD3059" t="str">
        <f>IF(WarehouseData[[#This Row],[order_fulfillment_rate]]&gt;=0.9,"Strong",IF(WarehouseData[[#This Row],[order_fulfillment_rate]]&gt;=0.8,"Moderate","Needs Attention"))</f>
        <v>Needs Attention</v>
      </c>
      <c r="AE3059" t="str">
        <f>IF(WarehouseData[[#This Row],[picking_time_seconds]]&gt;120,"Slow",IF(WarehouseData[[#This Row],[picking_time_seconds]]&gt;=60,"Average","Fast"))</f>
        <v>Slow</v>
      </c>
    </row>
    <row r="3060" spans="1:31" x14ac:dyDescent="0.25">
      <c r="A3060" t="s">
        <v>3198</v>
      </c>
      <c r="B3060" t="s">
        <v>40</v>
      </c>
      <c r="C3060">
        <v>209</v>
      </c>
      <c r="D3060">
        <v>99</v>
      </c>
      <c r="E3060">
        <v>6</v>
      </c>
      <c r="F3060">
        <v>8</v>
      </c>
      <c r="G3060">
        <v>16</v>
      </c>
      <c r="H3060">
        <v>3.61</v>
      </c>
      <c r="I3060">
        <v>0.17</v>
      </c>
      <c r="J3060" t="s">
        <v>166</v>
      </c>
      <c r="K3060" t="s">
        <v>38</v>
      </c>
      <c r="L3060">
        <v>153</v>
      </c>
      <c r="M3060">
        <v>0.64</v>
      </c>
      <c r="N3060">
        <v>20.45</v>
      </c>
      <c r="O3060">
        <v>1.72</v>
      </c>
      <c r="P3060">
        <v>3</v>
      </c>
      <c r="Q3060">
        <v>0.96</v>
      </c>
      <c r="R3060">
        <v>476</v>
      </c>
      <c r="S3060">
        <v>10.18</v>
      </c>
      <c r="T3060">
        <v>0.81</v>
      </c>
      <c r="U3060" s="1">
        <v>45427</v>
      </c>
      <c r="V3060">
        <v>277.92</v>
      </c>
      <c r="W3060">
        <v>0.65800000000000003</v>
      </c>
      <c r="X3060" t="str">
        <f>IF(WarehouseData[[#This Row],[stock_level]]&lt;=WarehouseData[[#This Row],[reorder_point]],"Low Stock","Sufficient Stock")</f>
        <v>Sufficient Stock</v>
      </c>
      <c r="Y3060">
        <f>WarehouseData[[#This Row],[daily_demand]]*WarehouseData[[#This Row],[lead_time_days]]</f>
        <v>128</v>
      </c>
      <c r="Z3060" t="str">
        <f>IF(WarehouseData[[#This Row],[stock_level]]&lt;=WarehouseData[[#This Row],[Demand During Lead Time]],"At Risk","Safe")</f>
        <v>Safe</v>
      </c>
      <c r="AA3060">
        <f>WarehouseData[[#This Row],[stock_level]]/WarehouseData[[#This Row],[daily_demand]]</f>
        <v>13.0625</v>
      </c>
      <c r="AB3060">
        <f>WarehouseData[[#This Row],[stock_level]]*WarehouseData[[#This Row],[unit_price]]</f>
        <v>4274.05</v>
      </c>
      <c r="AC3060">
        <f>WarehouseData[[#This Row],[stock_level]]*WarehouseData[[#This Row],[holding_cost_per_unit_day]]*30</f>
        <v>10784.400000000001</v>
      </c>
      <c r="AD3060" t="str">
        <f>IF(WarehouseData[[#This Row],[order_fulfillment_rate]]&gt;=0.9,"Strong",IF(WarehouseData[[#This Row],[order_fulfillment_rate]]&gt;=0.8,"Moderate","Needs Attention"))</f>
        <v>Strong</v>
      </c>
      <c r="AE3060" t="str">
        <f>IF(WarehouseData[[#This Row],[picking_time_seconds]]&gt;120,"Slow",IF(WarehouseData[[#This Row],[picking_time_seconds]]&gt;=60,"Average","Fast"))</f>
        <v>Slow</v>
      </c>
    </row>
    <row r="3061" spans="1:31" x14ac:dyDescent="0.25">
      <c r="A3061" t="s">
        <v>3199</v>
      </c>
      <c r="B3061" t="s">
        <v>48</v>
      </c>
      <c r="C3061">
        <v>490</v>
      </c>
      <c r="D3061">
        <v>40</v>
      </c>
      <c r="E3061">
        <v>3</v>
      </c>
      <c r="F3061">
        <v>9</v>
      </c>
      <c r="G3061">
        <v>13.14</v>
      </c>
      <c r="H3061">
        <v>9.86</v>
      </c>
      <c r="I3061">
        <v>0.86</v>
      </c>
      <c r="J3061" t="s">
        <v>54</v>
      </c>
      <c r="K3061" t="s">
        <v>38</v>
      </c>
      <c r="L3061">
        <v>172</v>
      </c>
      <c r="M3061">
        <v>0.54</v>
      </c>
      <c r="N3061">
        <v>54.34</v>
      </c>
      <c r="O3061">
        <v>1.77</v>
      </c>
      <c r="P3061">
        <v>0</v>
      </c>
      <c r="Q3061">
        <v>0.75</v>
      </c>
      <c r="R3061">
        <v>220</v>
      </c>
      <c r="S3061">
        <v>14.45</v>
      </c>
      <c r="T3061">
        <v>0.57999999999999996</v>
      </c>
      <c r="U3061" s="1">
        <v>45397</v>
      </c>
      <c r="V3061">
        <v>95.24</v>
      </c>
      <c r="W3061">
        <v>0.68200000000000005</v>
      </c>
      <c r="X3061" t="str">
        <f>IF(WarehouseData[[#This Row],[stock_level]]&lt;=WarehouseData[[#This Row],[reorder_point]],"Low Stock","Sufficient Stock")</f>
        <v>Sufficient Stock</v>
      </c>
      <c r="Y3061">
        <f>WarehouseData[[#This Row],[daily_demand]]*WarehouseData[[#This Row],[lead_time_days]]</f>
        <v>118.26</v>
      </c>
      <c r="Z3061" t="str">
        <f>IF(WarehouseData[[#This Row],[stock_level]]&lt;=WarehouseData[[#This Row],[Demand During Lead Time]],"At Risk","Safe")</f>
        <v>Safe</v>
      </c>
      <c r="AA3061">
        <f>WarehouseData[[#This Row],[stock_level]]/WarehouseData[[#This Row],[daily_demand]]</f>
        <v>37.290715372907151</v>
      </c>
      <c r="AB3061">
        <f>WarehouseData[[#This Row],[stock_level]]*WarehouseData[[#This Row],[unit_price]]</f>
        <v>26626.600000000002</v>
      </c>
      <c r="AC3061">
        <f>WarehouseData[[#This Row],[stock_level]]*WarehouseData[[#This Row],[holding_cost_per_unit_day]]*30</f>
        <v>26019</v>
      </c>
      <c r="AD3061" t="str">
        <f>IF(WarehouseData[[#This Row],[order_fulfillment_rate]]&gt;=0.9,"Strong",IF(WarehouseData[[#This Row],[order_fulfillment_rate]]&gt;=0.8,"Moderate","Needs Attention"))</f>
        <v>Needs Attention</v>
      </c>
      <c r="AE3061" t="str">
        <f>IF(WarehouseData[[#This Row],[picking_time_seconds]]&gt;120,"Slow",IF(WarehouseData[[#This Row],[picking_time_seconds]]&gt;=60,"Average","Fast"))</f>
        <v>Slow</v>
      </c>
    </row>
    <row r="3062" spans="1:31" x14ac:dyDescent="0.25">
      <c r="A3062" t="s">
        <v>3200</v>
      </c>
      <c r="B3062" t="s">
        <v>40</v>
      </c>
      <c r="C3062">
        <v>307</v>
      </c>
      <c r="D3062">
        <v>53</v>
      </c>
      <c r="E3062">
        <v>3</v>
      </c>
      <c r="F3062">
        <v>6</v>
      </c>
      <c r="G3062">
        <v>19.829999999999998</v>
      </c>
      <c r="H3062">
        <v>4</v>
      </c>
      <c r="I3062">
        <v>0.17</v>
      </c>
      <c r="J3062" t="s">
        <v>166</v>
      </c>
      <c r="K3062" t="s">
        <v>38</v>
      </c>
      <c r="L3062">
        <v>109</v>
      </c>
      <c r="M3062">
        <v>2.11</v>
      </c>
      <c r="N3062">
        <v>46.02</v>
      </c>
      <c r="O3062">
        <v>1.24</v>
      </c>
      <c r="P3062">
        <v>2</v>
      </c>
      <c r="Q3062">
        <v>0.78</v>
      </c>
      <c r="R3062">
        <v>738</v>
      </c>
      <c r="S3062">
        <v>1.35</v>
      </c>
      <c r="T3062">
        <v>0.8</v>
      </c>
      <c r="U3062" s="1">
        <v>45409</v>
      </c>
      <c r="V3062">
        <v>62.35</v>
      </c>
      <c r="W3062">
        <v>0.56999999999999995</v>
      </c>
      <c r="X3062" t="str">
        <f>IF(WarehouseData[[#This Row],[stock_level]]&lt;=WarehouseData[[#This Row],[reorder_point]],"Low Stock","Sufficient Stock")</f>
        <v>Sufficient Stock</v>
      </c>
      <c r="Y3062">
        <f>WarehouseData[[#This Row],[daily_demand]]*WarehouseData[[#This Row],[lead_time_days]]</f>
        <v>118.97999999999999</v>
      </c>
      <c r="Z3062" t="str">
        <f>IF(WarehouseData[[#This Row],[stock_level]]&lt;=WarehouseData[[#This Row],[Demand During Lead Time]],"At Risk","Safe")</f>
        <v>Safe</v>
      </c>
      <c r="AA3062">
        <f>WarehouseData[[#This Row],[stock_level]]/WarehouseData[[#This Row],[daily_demand]]</f>
        <v>15.481593545133638</v>
      </c>
      <c r="AB3062">
        <f>WarehouseData[[#This Row],[stock_level]]*WarehouseData[[#This Row],[unit_price]]</f>
        <v>14128.140000000001</v>
      </c>
      <c r="AC3062">
        <f>WarehouseData[[#This Row],[stock_level]]*WarehouseData[[#This Row],[holding_cost_per_unit_day]]*30</f>
        <v>11420.4</v>
      </c>
      <c r="AD3062" t="str">
        <f>IF(WarehouseData[[#This Row],[order_fulfillment_rate]]&gt;=0.9,"Strong",IF(WarehouseData[[#This Row],[order_fulfillment_rate]]&gt;=0.8,"Moderate","Needs Attention"))</f>
        <v>Needs Attention</v>
      </c>
      <c r="AE3062" t="str">
        <f>IF(WarehouseData[[#This Row],[picking_time_seconds]]&gt;120,"Slow",IF(WarehouseData[[#This Row],[picking_time_seconds]]&gt;=60,"Average","Fast"))</f>
        <v>Average</v>
      </c>
    </row>
    <row r="3063" spans="1:31" x14ac:dyDescent="0.25">
      <c r="A3063" t="s">
        <v>3201</v>
      </c>
      <c r="B3063" t="s">
        <v>48</v>
      </c>
      <c r="C3063">
        <v>443</v>
      </c>
      <c r="D3063">
        <v>69</v>
      </c>
      <c r="E3063">
        <v>9</v>
      </c>
      <c r="F3063">
        <v>6</v>
      </c>
      <c r="G3063">
        <v>3.71</v>
      </c>
      <c r="H3063">
        <v>5.5</v>
      </c>
      <c r="I3063">
        <v>0.99</v>
      </c>
      <c r="J3063" t="s">
        <v>190</v>
      </c>
      <c r="K3063" t="s">
        <v>52</v>
      </c>
      <c r="L3063">
        <v>48</v>
      </c>
      <c r="M3063">
        <v>1.19</v>
      </c>
      <c r="N3063">
        <v>137.91</v>
      </c>
      <c r="O3063">
        <v>1.71</v>
      </c>
      <c r="P3063">
        <v>0</v>
      </c>
      <c r="Q3063">
        <v>0.75</v>
      </c>
      <c r="R3063">
        <v>138</v>
      </c>
      <c r="S3063">
        <v>10.47</v>
      </c>
      <c r="T3063">
        <v>0.52</v>
      </c>
      <c r="U3063" s="1">
        <v>45395</v>
      </c>
      <c r="V3063">
        <v>36.36</v>
      </c>
      <c r="W3063">
        <v>0.623</v>
      </c>
      <c r="X3063" t="str">
        <f>IF(WarehouseData[[#This Row],[stock_level]]&lt;=WarehouseData[[#This Row],[reorder_point]],"Low Stock","Sufficient Stock")</f>
        <v>Sufficient Stock</v>
      </c>
      <c r="Y3063">
        <f>WarehouseData[[#This Row],[daily_demand]]*WarehouseData[[#This Row],[lead_time_days]]</f>
        <v>22.259999999999998</v>
      </c>
      <c r="Z3063" t="str">
        <f>IF(WarehouseData[[#This Row],[stock_level]]&lt;=WarehouseData[[#This Row],[Demand During Lead Time]],"At Risk","Safe")</f>
        <v>Safe</v>
      </c>
      <c r="AA3063">
        <f>WarehouseData[[#This Row],[stock_level]]/WarehouseData[[#This Row],[daily_demand]]</f>
        <v>119.40700808625337</v>
      </c>
      <c r="AB3063">
        <f>WarehouseData[[#This Row],[stock_level]]*WarehouseData[[#This Row],[unit_price]]</f>
        <v>61094.13</v>
      </c>
      <c r="AC3063">
        <f>WarehouseData[[#This Row],[stock_level]]*WarehouseData[[#This Row],[holding_cost_per_unit_day]]*30</f>
        <v>22725.899999999998</v>
      </c>
      <c r="AD3063" t="str">
        <f>IF(WarehouseData[[#This Row],[order_fulfillment_rate]]&gt;=0.9,"Strong",IF(WarehouseData[[#This Row],[order_fulfillment_rate]]&gt;=0.8,"Moderate","Needs Attention"))</f>
        <v>Needs Attention</v>
      </c>
      <c r="AE3063" t="str">
        <f>IF(WarehouseData[[#This Row],[picking_time_seconds]]&gt;120,"Slow",IF(WarehouseData[[#This Row],[picking_time_seconds]]&gt;=60,"Average","Fast"))</f>
        <v>Fast</v>
      </c>
    </row>
    <row r="3064" spans="1:31" x14ac:dyDescent="0.25">
      <c r="A3064" t="s">
        <v>3202</v>
      </c>
      <c r="B3064" t="s">
        <v>40</v>
      </c>
      <c r="C3064">
        <v>416</v>
      </c>
      <c r="D3064">
        <v>85</v>
      </c>
      <c r="E3064">
        <v>9</v>
      </c>
      <c r="F3064">
        <v>5</v>
      </c>
      <c r="G3064">
        <v>40.68</v>
      </c>
      <c r="H3064">
        <v>8.56</v>
      </c>
      <c r="I3064">
        <v>0.42</v>
      </c>
      <c r="J3064" t="s">
        <v>133</v>
      </c>
      <c r="K3064" t="s">
        <v>34</v>
      </c>
      <c r="L3064">
        <v>76</v>
      </c>
      <c r="M3064">
        <v>4.12</v>
      </c>
      <c r="N3064">
        <v>91.45</v>
      </c>
      <c r="O3064">
        <v>1.1100000000000001</v>
      </c>
      <c r="P3064">
        <v>9</v>
      </c>
      <c r="Q3064">
        <v>0.73</v>
      </c>
      <c r="R3064">
        <v>765</v>
      </c>
      <c r="S3064">
        <v>1.87</v>
      </c>
      <c r="T3064">
        <v>0.98</v>
      </c>
      <c r="U3064" s="1">
        <v>45419</v>
      </c>
      <c r="V3064">
        <v>23.52</v>
      </c>
      <c r="W3064">
        <v>0.47599999999999998</v>
      </c>
      <c r="X3064" t="str">
        <f>IF(WarehouseData[[#This Row],[stock_level]]&lt;=WarehouseData[[#This Row],[reorder_point]],"Low Stock","Sufficient Stock")</f>
        <v>Sufficient Stock</v>
      </c>
      <c r="Y3064">
        <f>WarehouseData[[#This Row],[daily_demand]]*WarehouseData[[#This Row],[lead_time_days]]</f>
        <v>203.4</v>
      </c>
      <c r="Z3064" t="str">
        <f>IF(WarehouseData[[#This Row],[stock_level]]&lt;=WarehouseData[[#This Row],[Demand During Lead Time]],"At Risk","Safe")</f>
        <v>Safe</v>
      </c>
      <c r="AA3064">
        <f>WarehouseData[[#This Row],[stock_level]]/WarehouseData[[#This Row],[daily_demand]]</f>
        <v>10.226155358898723</v>
      </c>
      <c r="AB3064">
        <f>WarehouseData[[#This Row],[stock_level]]*WarehouseData[[#This Row],[unit_price]]</f>
        <v>38043.200000000004</v>
      </c>
      <c r="AC3064">
        <f>WarehouseData[[#This Row],[stock_level]]*WarehouseData[[#This Row],[holding_cost_per_unit_day]]*30</f>
        <v>13852.800000000001</v>
      </c>
      <c r="AD3064" t="str">
        <f>IF(WarehouseData[[#This Row],[order_fulfillment_rate]]&gt;=0.9,"Strong",IF(WarehouseData[[#This Row],[order_fulfillment_rate]]&gt;=0.8,"Moderate","Needs Attention"))</f>
        <v>Needs Attention</v>
      </c>
      <c r="AE3064" t="str">
        <f>IF(WarehouseData[[#This Row],[picking_time_seconds]]&gt;120,"Slow",IF(WarehouseData[[#This Row],[picking_time_seconds]]&gt;=60,"Average","Fast"))</f>
        <v>Average</v>
      </c>
    </row>
    <row r="3065" spans="1:31" x14ac:dyDescent="0.25">
      <c r="A3065" t="s">
        <v>3203</v>
      </c>
      <c r="B3065" t="s">
        <v>36</v>
      </c>
      <c r="C3065">
        <v>270</v>
      </c>
      <c r="D3065">
        <v>26</v>
      </c>
      <c r="E3065">
        <v>4</v>
      </c>
      <c r="F3065">
        <v>8</v>
      </c>
      <c r="G3065">
        <v>49.22</v>
      </c>
      <c r="H3065">
        <v>5.51</v>
      </c>
      <c r="I3065">
        <v>0.4</v>
      </c>
      <c r="J3065" t="s">
        <v>190</v>
      </c>
      <c r="K3065" t="s">
        <v>34</v>
      </c>
      <c r="L3065">
        <v>82</v>
      </c>
      <c r="M3065">
        <v>2.9</v>
      </c>
      <c r="N3065">
        <v>96.69</v>
      </c>
      <c r="O3065">
        <v>1.1200000000000001</v>
      </c>
      <c r="P3065">
        <v>4</v>
      </c>
      <c r="Q3065">
        <v>0.96</v>
      </c>
      <c r="R3065">
        <v>488</v>
      </c>
      <c r="S3065">
        <v>3.22</v>
      </c>
      <c r="T3065">
        <v>0.39</v>
      </c>
      <c r="U3065" s="1">
        <v>45608</v>
      </c>
      <c r="V3065">
        <v>266.94</v>
      </c>
      <c r="W3065">
        <v>0.52100000000000002</v>
      </c>
      <c r="X3065" t="str">
        <f>IF(WarehouseData[[#This Row],[stock_level]]&lt;=WarehouseData[[#This Row],[reorder_point]],"Low Stock","Sufficient Stock")</f>
        <v>Sufficient Stock</v>
      </c>
      <c r="Y3065">
        <f>WarehouseData[[#This Row],[daily_demand]]*WarehouseData[[#This Row],[lead_time_days]]</f>
        <v>393.76</v>
      </c>
      <c r="Z3065" t="str">
        <f>IF(WarehouseData[[#This Row],[stock_level]]&lt;=WarehouseData[[#This Row],[Demand During Lead Time]],"At Risk","Safe")</f>
        <v>At Risk</v>
      </c>
      <c r="AA3065">
        <f>WarehouseData[[#This Row],[stock_level]]/WarehouseData[[#This Row],[daily_demand]]</f>
        <v>5.4855749695245839</v>
      </c>
      <c r="AB3065">
        <f>WarehouseData[[#This Row],[stock_level]]*WarehouseData[[#This Row],[unit_price]]</f>
        <v>26106.3</v>
      </c>
      <c r="AC3065">
        <f>WarehouseData[[#This Row],[stock_level]]*WarehouseData[[#This Row],[holding_cost_per_unit_day]]*30</f>
        <v>9072.0000000000018</v>
      </c>
      <c r="AD3065" t="str">
        <f>IF(WarehouseData[[#This Row],[order_fulfillment_rate]]&gt;=0.9,"Strong",IF(WarehouseData[[#This Row],[order_fulfillment_rate]]&gt;=0.8,"Moderate","Needs Attention"))</f>
        <v>Strong</v>
      </c>
      <c r="AE3065" t="str">
        <f>IF(WarehouseData[[#This Row],[picking_time_seconds]]&gt;120,"Slow",IF(WarehouseData[[#This Row],[picking_time_seconds]]&gt;=60,"Average","Fast"))</f>
        <v>Average</v>
      </c>
    </row>
    <row r="3066" spans="1:31" x14ac:dyDescent="0.25">
      <c r="A3066" t="s">
        <v>3204</v>
      </c>
      <c r="B3066" t="s">
        <v>36</v>
      </c>
      <c r="C3066">
        <v>231</v>
      </c>
      <c r="D3066">
        <v>88</v>
      </c>
      <c r="E3066">
        <v>11</v>
      </c>
      <c r="F3066">
        <v>2</v>
      </c>
      <c r="G3066">
        <v>41.38</v>
      </c>
      <c r="H3066">
        <v>3.58</v>
      </c>
      <c r="I3066">
        <v>0.18</v>
      </c>
      <c r="J3066" t="s">
        <v>95</v>
      </c>
      <c r="K3066" t="s">
        <v>38</v>
      </c>
      <c r="L3066">
        <v>59</v>
      </c>
      <c r="M3066">
        <v>4.21</v>
      </c>
      <c r="N3066">
        <v>39.85</v>
      </c>
      <c r="O3066">
        <v>1.17</v>
      </c>
      <c r="P3066">
        <v>0</v>
      </c>
      <c r="Q3066">
        <v>0.78</v>
      </c>
      <c r="R3066">
        <v>396</v>
      </c>
      <c r="S3066">
        <v>3.43</v>
      </c>
      <c r="T3066">
        <v>0.82</v>
      </c>
      <c r="U3066" s="1">
        <v>45474</v>
      </c>
      <c r="V3066">
        <v>58.87</v>
      </c>
      <c r="W3066">
        <v>0.64900000000000002</v>
      </c>
      <c r="X3066" t="str">
        <f>IF(WarehouseData[[#This Row],[stock_level]]&lt;=WarehouseData[[#This Row],[reorder_point]],"Low Stock","Sufficient Stock")</f>
        <v>Sufficient Stock</v>
      </c>
      <c r="Y3066">
        <f>WarehouseData[[#This Row],[daily_demand]]*WarehouseData[[#This Row],[lead_time_days]]</f>
        <v>82.76</v>
      </c>
      <c r="Z3066" t="str">
        <f>IF(WarehouseData[[#This Row],[stock_level]]&lt;=WarehouseData[[#This Row],[Demand During Lead Time]],"At Risk","Safe")</f>
        <v>Safe</v>
      </c>
      <c r="AA3066">
        <f>WarehouseData[[#This Row],[stock_level]]/WarehouseData[[#This Row],[daily_demand]]</f>
        <v>5.5824069598840014</v>
      </c>
      <c r="AB3066">
        <f>WarehouseData[[#This Row],[stock_level]]*WarehouseData[[#This Row],[unit_price]]</f>
        <v>9205.35</v>
      </c>
      <c r="AC3066">
        <f>WarehouseData[[#This Row],[stock_level]]*WarehouseData[[#This Row],[holding_cost_per_unit_day]]*30</f>
        <v>8108.0999999999995</v>
      </c>
      <c r="AD3066" t="str">
        <f>IF(WarehouseData[[#This Row],[order_fulfillment_rate]]&gt;=0.9,"Strong",IF(WarehouseData[[#This Row],[order_fulfillment_rate]]&gt;=0.8,"Moderate","Needs Attention"))</f>
        <v>Needs Attention</v>
      </c>
      <c r="AE3066" t="str">
        <f>IF(WarehouseData[[#This Row],[picking_time_seconds]]&gt;120,"Slow",IF(WarehouseData[[#This Row],[picking_time_seconds]]&gt;=60,"Average","Fast"))</f>
        <v>Fast</v>
      </c>
    </row>
    <row r="3067" spans="1:31" x14ac:dyDescent="0.25">
      <c r="A3067" t="s">
        <v>3205</v>
      </c>
      <c r="B3067" t="s">
        <v>48</v>
      </c>
      <c r="C3067">
        <v>310</v>
      </c>
      <c r="D3067">
        <v>82</v>
      </c>
      <c r="E3067">
        <v>11</v>
      </c>
      <c r="F3067">
        <v>7</v>
      </c>
      <c r="G3067">
        <v>28.19</v>
      </c>
      <c r="H3067">
        <v>5.48</v>
      </c>
      <c r="I3067">
        <v>0.63</v>
      </c>
      <c r="J3067" t="s">
        <v>178</v>
      </c>
      <c r="K3067" t="s">
        <v>34</v>
      </c>
      <c r="L3067">
        <v>62</v>
      </c>
      <c r="M3067">
        <v>1.3</v>
      </c>
      <c r="N3067">
        <v>88.8</v>
      </c>
      <c r="O3067">
        <v>1.99</v>
      </c>
      <c r="P3067">
        <v>8</v>
      </c>
      <c r="Q3067">
        <v>0.92</v>
      </c>
      <c r="R3067">
        <v>904</v>
      </c>
      <c r="S3067">
        <v>5.6</v>
      </c>
      <c r="T3067">
        <v>0.8</v>
      </c>
      <c r="U3067" s="1">
        <v>45371</v>
      </c>
      <c r="V3067">
        <v>189.07</v>
      </c>
      <c r="W3067">
        <v>0.46</v>
      </c>
      <c r="X3067" t="str">
        <f>IF(WarehouseData[[#This Row],[stock_level]]&lt;=WarehouseData[[#This Row],[reorder_point]],"Low Stock","Sufficient Stock")</f>
        <v>Sufficient Stock</v>
      </c>
      <c r="Y3067">
        <f>WarehouseData[[#This Row],[daily_demand]]*WarehouseData[[#This Row],[lead_time_days]]</f>
        <v>197.33</v>
      </c>
      <c r="Z3067" t="str">
        <f>IF(WarehouseData[[#This Row],[stock_level]]&lt;=WarehouseData[[#This Row],[Demand During Lead Time]],"At Risk","Safe")</f>
        <v>Safe</v>
      </c>
      <c r="AA3067">
        <f>WarehouseData[[#This Row],[stock_level]]/WarehouseData[[#This Row],[daily_demand]]</f>
        <v>10.996807378503014</v>
      </c>
      <c r="AB3067">
        <f>WarehouseData[[#This Row],[stock_level]]*WarehouseData[[#This Row],[unit_price]]</f>
        <v>27528</v>
      </c>
      <c r="AC3067">
        <f>WarehouseData[[#This Row],[stock_level]]*WarehouseData[[#This Row],[holding_cost_per_unit_day]]*30</f>
        <v>18507</v>
      </c>
      <c r="AD3067" t="str">
        <f>IF(WarehouseData[[#This Row],[order_fulfillment_rate]]&gt;=0.9,"Strong",IF(WarehouseData[[#This Row],[order_fulfillment_rate]]&gt;=0.8,"Moderate","Needs Attention"))</f>
        <v>Strong</v>
      </c>
      <c r="AE3067" t="str">
        <f>IF(WarehouseData[[#This Row],[picking_time_seconds]]&gt;120,"Slow",IF(WarehouseData[[#This Row],[picking_time_seconds]]&gt;=60,"Average","Fast"))</f>
        <v>Average</v>
      </c>
    </row>
    <row r="3068" spans="1:31" x14ac:dyDescent="0.25">
      <c r="A3068" t="s">
        <v>3206</v>
      </c>
      <c r="B3068" t="s">
        <v>36</v>
      </c>
      <c r="C3068">
        <v>152</v>
      </c>
      <c r="D3068">
        <v>48</v>
      </c>
      <c r="E3068">
        <v>7</v>
      </c>
      <c r="F3068">
        <v>8</v>
      </c>
      <c r="G3068">
        <v>15.47</v>
      </c>
      <c r="H3068">
        <v>1.58</v>
      </c>
      <c r="I3068">
        <v>0.63</v>
      </c>
      <c r="J3068" t="s">
        <v>120</v>
      </c>
      <c r="K3068" t="s">
        <v>46</v>
      </c>
      <c r="L3068">
        <v>55</v>
      </c>
      <c r="M3068">
        <v>3.32</v>
      </c>
      <c r="N3068">
        <v>67.61</v>
      </c>
      <c r="O3068">
        <v>0.3</v>
      </c>
      <c r="P3068">
        <v>6</v>
      </c>
      <c r="Q3068">
        <v>0.83</v>
      </c>
      <c r="R3068">
        <v>260</v>
      </c>
      <c r="S3068">
        <v>12.64</v>
      </c>
      <c r="T3068">
        <v>0.62</v>
      </c>
      <c r="U3068" s="1">
        <v>45346</v>
      </c>
      <c r="V3068">
        <v>198.85</v>
      </c>
      <c r="W3068">
        <v>0.70899999999999996</v>
      </c>
      <c r="X3068" t="str">
        <f>IF(WarehouseData[[#This Row],[stock_level]]&lt;=WarehouseData[[#This Row],[reorder_point]],"Low Stock","Sufficient Stock")</f>
        <v>Sufficient Stock</v>
      </c>
      <c r="Y3068">
        <f>WarehouseData[[#This Row],[daily_demand]]*WarehouseData[[#This Row],[lead_time_days]]</f>
        <v>123.76</v>
      </c>
      <c r="Z3068" t="str">
        <f>IF(WarehouseData[[#This Row],[stock_level]]&lt;=WarehouseData[[#This Row],[Demand During Lead Time]],"At Risk","Safe")</f>
        <v>Safe</v>
      </c>
      <c r="AA3068">
        <f>WarehouseData[[#This Row],[stock_level]]/WarehouseData[[#This Row],[daily_demand]]</f>
        <v>9.8254686489980596</v>
      </c>
      <c r="AB3068">
        <f>WarehouseData[[#This Row],[stock_level]]*WarehouseData[[#This Row],[unit_price]]</f>
        <v>10276.719999999999</v>
      </c>
      <c r="AC3068">
        <f>WarehouseData[[#This Row],[stock_level]]*WarehouseData[[#This Row],[holding_cost_per_unit_day]]*30</f>
        <v>1368</v>
      </c>
      <c r="AD3068" t="str">
        <f>IF(WarehouseData[[#This Row],[order_fulfillment_rate]]&gt;=0.9,"Strong",IF(WarehouseData[[#This Row],[order_fulfillment_rate]]&gt;=0.8,"Moderate","Needs Attention"))</f>
        <v>Moderate</v>
      </c>
      <c r="AE3068" t="str">
        <f>IF(WarehouseData[[#This Row],[picking_time_seconds]]&gt;120,"Slow",IF(WarehouseData[[#This Row],[picking_time_seconds]]&gt;=60,"Average","Fast"))</f>
        <v>Fast</v>
      </c>
    </row>
    <row r="3069" spans="1:31" x14ac:dyDescent="0.25">
      <c r="A3069" t="s">
        <v>3207</v>
      </c>
      <c r="B3069" t="s">
        <v>48</v>
      </c>
      <c r="C3069">
        <v>220</v>
      </c>
      <c r="D3069">
        <v>51</v>
      </c>
      <c r="E3069">
        <v>5</v>
      </c>
      <c r="F3069">
        <v>9</v>
      </c>
      <c r="G3069">
        <v>10.69</v>
      </c>
      <c r="H3069">
        <v>1.74</v>
      </c>
      <c r="I3069">
        <v>0.54</v>
      </c>
      <c r="J3069" t="s">
        <v>98</v>
      </c>
      <c r="K3069" t="s">
        <v>52</v>
      </c>
      <c r="L3069">
        <v>61</v>
      </c>
      <c r="M3069">
        <v>3.11</v>
      </c>
      <c r="N3069">
        <v>126.13</v>
      </c>
      <c r="O3069">
        <v>1.63</v>
      </c>
      <c r="P3069">
        <v>7</v>
      </c>
      <c r="Q3069">
        <v>0.89</v>
      </c>
      <c r="R3069">
        <v>774</v>
      </c>
      <c r="S3069">
        <v>12.99</v>
      </c>
      <c r="T3069">
        <v>0.48</v>
      </c>
      <c r="U3069" s="1">
        <v>45353</v>
      </c>
      <c r="V3069">
        <v>102.09</v>
      </c>
      <c r="W3069">
        <v>0.54400000000000004</v>
      </c>
      <c r="X3069" t="str">
        <f>IF(WarehouseData[[#This Row],[stock_level]]&lt;=WarehouseData[[#This Row],[reorder_point]],"Low Stock","Sufficient Stock")</f>
        <v>Sufficient Stock</v>
      </c>
      <c r="Y3069">
        <f>WarehouseData[[#This Row],[daily_demand]]*WarehouseData[[#This Row],[lead_time_days]]</f>
        <v>96.21</v>
      </c>
      <c r="Z3069" t="str">
        <f>IF(WarehouseData[[#This Row],[stock_level]]&lt;=WarehouseData[[#This Row],[Demand During Lead Time]],"At Risk","Safe")</f>
        <v>Safe</v>
      </c>
      <c r="AA3069">
        <f>WarehouseData[[#This Row],[stock_level]]/WarehouseData[[#This Row],[daily_demand]]</f>
        <v>20.579981290926099</v>
      </c>
      <c r="AB3069">
        <f>WarehouseData[[#This Row],[stock_level]]*WarehouseData[[#This Row],[unit_price]]</f>
        <v>27748.6</v>
      </c>
      <c r="AC3069">
        <f>WarehouseData[[#This Row],[stock_level]]*WarehouseData[[#This Row],[holding_cost_per_unit_day]]*30</f>
        <v>10757.999999999998</v>
      </c>
      <c r="AD3069" t="str">
        <f>IF(WarehouseData[[#This Row],[order_fulfillment_rate]]&gt;=0.9,"Strong",IF(WarehouseData[[#This Row],[order_fulfillment_rate]]&gt;=0.8,"Moderate","Needs Attention"))</f>
        <v>Moderate</v>
      </c>
      <c r="AE3069" t="str">
        <f>IF(WarehouseData[[#This Row],[picking_time_seconds]]&gt;120,"Slow",IF(WarehouseData[[#This Row],[picking_time_seconds]]&gt;=60,"Average","Fast"))</f>
        <v>Average</v>
      </c>
    </row>
    <row r="3070" spans="1:31" x14ac:dyDescent="0.25">
      <c r="A3070" t="s">
        <v>3208</v>
      </c>
      <c r="B3070" t="s">
        <v>36</v>
      </c>
      <c r="C3070">
        <v>304</v>
      </c>
      <c r="D3070">
        <v>57</v>
      </c>
      <c r="E3070">
        <v>5</v>
      </c>
      <c r="F3070">
        <v>8</v>
      </c>
      <c r="G3070">
        <v>18.84</v>
      </c>
      <c r="H3070">
        <v>7.09</v>
      </c>
      <c r="I3070">
        <v>0.38</v>
      </c>
      <c r="J3070" t="s">
        <v>120</v>
      </c>
      <c r="K3070" t="s">
        <v>38</v>
      </c>
      <c r="L3070">
        <v>133</v>
      </c>
      <c r="M3070">
        <v>2.0299999999999998</v>
      </c>
      <c r="N3070">
        <v>51.28</v>
      </c>
      <c r="O3070">
        <v>0.62</v>
      </c>
      <c r="P3070">
        <v>8</v>
      </c>
      <c r="Q3070">
        <v>0.98</v>
      </c>
      <c r="R3070">
        <v>483</v>
      </c>
      <c r="S3070">
        <v>6.25</v>
      </c>
      <c r="T3070">
        <v>0.56000000000000005</v>
      </c>
      <c r="U3070" s="1">
        <v>45332</v>
      </c>
      <c r="V3070">
        <v>251.64</v>
      </c>
      <c r="W3070">
        <v>0.56899999999999995</v>
      </c>
      <c r="X3070" t="str">
        <f>IF(WarehouseData[[#This Row],[stock_level]]&lt;=WarehouseData[[#This Row],[reorder_point]],"Low Stock","Sufficient Stock")</f>
        <v>Sufficient Stock</v>
      </c>
      <c r="Y3070">
        <f>WarehouseData[[#This Row],[daily_demand]]*WarehouseData[[#This Row],[lead_time_days]]</f>
        <v>150.72</v>
      </c>
      <c r="Z3070" t="str">
        <f>IF(WarehouseData[[#This Row],[stock_level]]&lt;=WarehouseData[[#This Row],[Demand During Lead Time]],"At Risk","Safe")</f>
        <v>Safe</v>
      </c>
      <c r="AA3070">
        <f>WarehouseData[[#This Row],[stock_level]]/WarehouseData[[#This Row],[daily_demand]]</f>
        <v>16.13588110403397</v>
      </c>
      <c r="AB3070">
        <f>WarehouseData[[#This Row],[stock_level]]*WarehouseData[[#This Row],[unit_price]]</f>
        <v>15589.12</v>
      </c>
      <c r="AC3070">
        <f>WarehouseData[[#This Row],[stock_level]]*WarehouseData[[#This Row],[holding_cost_per_unit_day]]*30</f>
        <v>5654.4</v>
      </c>
      <c r="AD3070" t="str">
        <f>IF(WarehouseData[[#This Row],[order_fulfillment_rate]]&gt;=0.9,"Strong",IF(WarehouseData[[#This Row],[order_fulfillment_rate]]&gt;=0.8,"Moderate","Needs Attention"))</f>
        <v>Strong</v>
      </c>
      <c r="AE3070" t="str">
        <f>IF(WarehouseData[[#This Row],[picking_time_seconds]]&gt;120,"Slow",IF(WarehouseData[[#This Row],[picking_time_seconds]]&gt;=60,"Average","Fast"))</f>
        <v>Slow</v>
      </c>
    </row>
    <row r="3071" spans="1:31" x14ac:dyDescent="0.25">
      <c r="A3071" t="s">
        <v>3209</v>
      </c>
      <c r="B3071" t="s">
        <v>36</v>
      </c>
      <c r="C3071">
        <v>345</v>
      </c>
      <c r="D3071">
        <v>21</v>
      </c>
      <c r="E3071">
        <v>14</v>
      </c>
      <c r="F3071">
        <v>3</v>
      </c>
      <c r="G3071">
        <v>33.68</v>
      </c>
      <c r="H3071">
        <v>9.2200000000000006</v>
      </c>
      <c r="I3071">
        <v>0.43</v>
      </c>
      <c r="J3071" t="s">
        <v>120</v>
      </c>
      <c r="K3071" t="s">
        <v>34</v>
      </c>
      <c r="L3071">
        <v>166</v>
      </c>
      <c r="M3071">
        <v>2.83</v>
      </c>
      <c r="N3071">
        <v>126.81</v>
      </c>
      <c r="O3071">
        <v>0.79</v>
      </c>
      <c r="P3071">
        <v>9</v>
      </c>
      <c r="Q3071">
        <v>0.95</v>
      </c>
      <c r="R3071">
        <v>582</v>
      </c>
      <c r="S3071">
        <v>7.04</v>
      </c>
      <c r="T3071">
        <v>0.7</v>
      </c>
      <c r="U3071" s="1">
        <v>45638</v>
      </c>
      <c r="V3071">
        <v>72.069999999999993</v>
      </c>
      <c r="W3071">
        <v>0.56499999999999995</v>
      </c>
      <c r="X3071" t="str">
        <f>IF(WarehouseData[[#This Row],[stock_level]]&lt;=WarehouseData[[#This Row],[reorder_point]],"Low Stock","Sufficient Stock")</f>
        <v>Sufficient Stock</v>
      </c>
      <c r="Y3071">
        <f>WarehouseData[[#This Row],[daily_demand]]*WarehouseData[[#This Row],[lead_time_days]]</f>
        <v>101.03999999999999</v>
      </c>
      <c r="Z3071" t="str">
        <f>IF(WarehouseData[[#This Row],[stock_level]]&lt;=WarehouseData[[#This Row],[Demand During Lead Time]],"At Risk","Safe")</f>
        <v>Safe</v>
      </c>
      <c r="AA3071">
        <f>WarehouseData[[#This Row],[stock_level]]/WarehouseData[[#This Row],[daily_demand]]</f>
        <v>10.243467933491686</v>
      </c>
      <c r="AB3071">
        <f>WarehouseData[[#This Row],[stock_level]]*WarehouseData[[#This Row],[unit_price]]</f>
        <v>43749.450000000004</v>
      </c>
      <c r="AC3071">
        <f>WarehouseData[[#This Row],[stock_level]]*WarehouseData[[#This Row],[holding_cost_per_unit_day]]*30</f>
        <v>8176.5</v>
      </c>
      <c r="AD3071" t="str">
        <f>IF(WarehouseData[[#This Row],[order_fulfillment_rate]]&gt;=0.9,"Strong",IF(WarehouseData[[#This Row],[order_fulfillment_rate]]&gt;=0.8,"Moderate","Needs Attention"))</f>
        <v>Strong</v>
      </c>
      <c r="AE3071" t="str">
        <f>IF(WarehouseData[[#This Row],[picking_time_seconds]]&gt;120,"Slow",IF(WarehouseData[[#This Row],[picking_time_seconds]]&gt;=60,"Average","Fast"))</f>
        <v>Slow</v>
      </c>
    </row>
    <row r="3072" spans="1:31" x14ac:dyDescent="0.25">
      <c r="A3072" t="s">
        <v>3210</v>
      </c>
      <c r="B3072" t="s">
        <v>48</v>
      </c>
      <c r="C3072">
        <v>428</v>
      </c>
      <c r="D3072">
        <v>98</v>
      </c>
      <c r="E3072">
        <v>5</v>
      </c>
      <c r="F3072">
        <v>7</v>
      </c>
      <c r="G3072">
        <v>22.91</v>
      </c>
      <c r="H3072">
        <v>7.39</v>
      </c>
      <c r="I3072">
        <v>0.39</v>
      </c>
      <c r="J3072" t="s">
        <v>142</v>
      </c>
      <c r="K3072" t="s">
        <v>38</v>
      </c>
      <c r="L3072">
        <v>14</v>
      </c>
      <c r="M3072">
        <v>3.15</v>
      </c>
      <c r="N3072">
        <v>81.77</v>
      </c>
      <c r="O3072">
        <v>0.25</v>
      </c>
      <c r="P3072">
        <v>7</v>
      </c>
      <c r="Q3072">
        <v>0.72</v>
      </c>
      <c r="R3072">
        <v>649</v>
      </c>
      <c r="S3072">
        <v>4.04</v>
      </c>
      <c r="T3072">
        <v>0.62</v>
      </c>
      <c r="U3072" s="1">
        <v>45631</v>
      </c>
      <c r="V3072">
        <v>30.72</v>
      </c>
      <c r="W3072">
        <v>0.55700000000000005</v>
      </c>
      <c r="X3072" t="str">
        <f>IF(WarehouseData[[#This Row],[stock_level]]&lt;=WarehouseData[[#This Row],[reorder_point]],"Low Stock","Sufficient Stock")</f>
        <v>Sufficient Stock</v>
      </c>
      <c r="Y3072">
        <f>WarehouseData[[#This Row],[daily_demand]]*WarehouseData[[#This Row],[lead_time_days]]</f>
        <v>160.37</v>
      </c>
      <c r="Z3072" t="str">
        <f>IF(WarehouseData[[#This Row],[stock_level]]&lt;=WarehouseData[[#This Row],[Demand During Lead Time]],"At Risk","Safe")</f>
        <v>Safe</v>
      </c>
      <c r="AA3072">
        <f>WarehouseData[[#This Row],[stock_level]]/WarehouseData[[#This Row],[daily_demand]]</f>
        <v>18.681798341335661</v>
      </c>
      <c r="AB3072">
        <f>WarehouseData[[#This Row],[stock_level]]*WarehouseData[[#This Row],[unit_price]]</f>
        <v>34997.56</v>
      </c>
      <c r="AC3072">
        <f>WarehouseData[[#This Row],[stock_level]]*WarehouseData[[#This Row],[holding_cost_per_unit_day]]*30</f>
        <v>3210</v>
      </c>
      <c r="AD3072" t="str">
        <f>IF(WarehouseData[[#This Row],[order_fulfillment_rate]]&gt;=0.9,"Strong",IF(WarehouseData[[#This Row],[order_fulfillment_rate]]&gt;=0.8,"Moderate","Needs Attention"))</f>
        <v>Needs Attention</v>
      </c>
      <c r="AE3072" t="str">
        <f>IF(WarehouseData[[#This Row],[picking_time_seconds]]&gt;120,"Slow",IF(WarehouseData[[#This Row],[picking_time_seconds]]&gt;=60,"Average","Fast"))</f>
        <v>Fast</v>
      </c>
    </row>
    <row r="3073" spans="1:31" x14ac:dyDescent="0.25">
      <c r="A3073" t="s">
        <v>3211</v>
      </c>
      <c r="B3073" t="s">
        <v>32</v>
      </c>
      <c r="C3073">
        <v>114</v>
      </c>
      <c r="D3073">
        <v>27</v>
      </c>
      <c r="E3073">
        <v>8</v>
      </c>
      <c r="F3073">
        <v>6</v>
      </c>
      <c r="G3073">
        <v>46.77</v>
      </c>
      <c r="H3073">
        <v>1.21</v>
      </c>
      <c r="I3073">
        <v>0.48</v>
      </c>
      <c r="J3073" t="s">
        <v>188</v>
      </c>
      <c r="K3073" t="s">
        <v>38</v>
      </c>
      <c r="L3073">
        <v>83</v>
      </c>
      <c r="M3073">
        <v>4.5</v>
      </c>
      <c r="N3073">
        <v>75.8</v>
      </c>
      <c r="O3073">
        <v>0.77</v>
      </c>
      <c r="P3073">
        <v>2</v>
      </c>
      <c r="Q3073">
        <v>0.95</v>
      </c>
      <c r="R3073">
        <v>574</v>
      </c>
      <c r="S3073">
        <v>7.06</v>
      </c>
      <c r="T3073">
        <v>0.81</v>
      </c>
      <c r="U3073" s="1">
        <v>45544</v>
      </c>
      <c r="V3073">
        <v>29.88</v>
      </c>
      <c r="W3073">
        <v>0.72899999999999998</v>
      </c>
      <c r="X3073" t="str">
        <f>IF(WarehouseData[[#This Row],[stock_level]]&lt;=WarehouseData[[#This Row],[reorder_point]],"Low Stock","Sufficient Stock")</f>
        <v>Sufficient Stock</v>
      </c>
      <c r="Y3073">
        <f>WarehouseData[[#This Row],[daily_demand]]*WarehouseData[[#This Row],[lead_time_days]]</f>
        <v>280.62</v>
      </c>
      <c r="Z3073" t="str">
        <f>IF(WarehouseData[[#This Row],[stock_level]]&lt;=WarehouseData[[#This Row],[Demand During Lead Time]],"At Risk","Safe")</f>
        <v>At Risk</v>
      </c>
      <c r="AA3073">
        <f>WarehouseData[[#This Row],[stock_level]]/WarehouseData[[#This Row],[daily_demand]]</f>
        <v>2.4374599101988452</v>
      </c>
      <c r="AB3073">
        <f>WarehouseData[[#This Row],[stock_level]]*WarehouseData[[#This Row],[unit_price]]</f>
        <v>8641.1999999999989</v>
      </c>
      <c r="AC3073">
        <f>WarehouseData[[#This Row],[stock_level]]*WarehouseData[[#This Row],[holding_cost_per_unit_day]]*30</f>
        <v>2633.4</v>
      </c>
      <c r="AD3073" t="str">
        <f>IF(WarehouseData[[#This Row],[order_fulfillment_rate]]&gt;=0.9,"Strong",IF(WarehouseData[[#This Row],[order_fulfillment_rate]]&gt;=0.8,"Moderate","Needs Attention"))</f>
        <v>Strong</v>
      </c>
      <c r="AE3073" t="str">
        <f>IF(WarehouseData[[#This Row],[picking_time_seconds]]&gt;120,"Slow",IF(WarehouseData[[#This Row],[picking_time_seconds]]&gt;=60,"Average","Fast"))</f>
        <v>Average</v>
      </c>
    </row>
    <row r="3074" spans="1:31" x14ac:dyDescent="0.25">
      <c r="A3074" t="s">
        <v>3212</v>
      </c>
      <c r="B3074" t="s">
        <v>36</v>
      </c>
      <c r="C3074">
        <v>297</v>
      </c>
      <c r="D3074">
        <v>88</v>
      </c>
      <c r="E3074">
        <v>6</v>
      </c>
      <c r="F3074">
        <v>7</v>
      </c>
      <c r="G3074">
        <v>42.86</v>
      </c>
      <c r="H3074">
        <v>4.33</v>
      </c>
      <c r="I3074">
        <v>0.41</v>
      </c>
      <c r="J3074" t="s">
        <v>163</v>
      </c>
      <c r="K3074" t="s">
        <v>52</v>
      </c>
      <c r="L3074">
        <v>104</v>
      </c>
      <c r="M3074">
        <v>0.75</v>
      </c>
      <c r="N3074">
        <v>68.06</v>
      </c>
      <c r="O3074">
        <v>1.98</v>
      </c>
      <c r="P3074">
        <v>6</v>
      </c>
      <c r="Q3074">
        <v>0.84</v>
      </c>
      <c r="R3074">
        <v>475</v>
      </c>
      <c r="S3074">
        <v>4.8499999999999996</v>
      </c>
      <c r="T3074">
        <v>0.49</v>
      </c>
      <c r="U3074" s="1">
        <v>45606</v>
      </c>
      <c r="V3074">
        <v>97.12</v>
      </c>
      <c r="W3074">
        <v>0.41299999999999998</v>
      </c>
      <c r="X3074" t="str">
        <f>IF(WarehouseData[[#This Row],[stock_level]]&lt;=WarehouseData[[#This Row],[reorder_point]],"Low Stock","Sufficient Stock")</f>
        <v>Sufficient Stock</v>
      </c>
      <c r="Y3074">
        <f>WarehouseData[[#This Row],[daily_demand]]*WarehouseData[[#This Row],[lead_time_days]]</f>
        <v>300.02</v>
      </c>
      <c r="Z3074" t="str">
        <f>IF(WarehouseData[[#This Row],[stock_level]]&lt;=WarehouseData[[#This Row],[Demand During Lead Time]],"At Risk","Safe")</f>
        <v>At Risk</v>
      </c>
      <c r="AA3074">
        <f>WarehouseData[[#This Row],[stock_level]]/WarehouseData[[#This Row],[daily_demand]]</f>
        <v>6.9295380307979473</v>
      </c>
      <c r="AB3074">
        <f>WarehouseData[[#This Row],[stock_level]]*WarehouseData[[#This Row],[unit_price]]</f>
        <v>20213.82</v>
      </c>
      <c r="AC3074">
        <f>WarehouseData[[#This Row],[stock_level]]*WarehouseData[[#This Row],[holding_cost_per_unit_day]]*30</f>
        <v>17641.8</v>
      </c>
      <c r="AD3074" t="str">
        <f>IF(WarehouseData[[#This Row],[order_fulfillment_rate]]&gt;=0.9,"Strong",IF(WarehouseData[[#This Row],[order_fulfillment_rate]]&gt;=0.8,"Moderate","Needs Attention"))</f>
        <v>Moderate</v>
      </c>
      <c r="AE3074" t="str">
        <f>IF(WarehouseData[[#This Row],[picking_time_seconds]]&gt;120,"Slow",IF(WarehouseData[[#This Row],[picking_time_seconds]]&gt;=60,"Average","Fast"))</f>
        <v>Average</v>
      </c>
    </row>
    <row r="3075" spans="1:31" x14ac:dyDescent="0.25">
      <c r="A3075" t="s">
        <v>3213</v>
      </c>
      <c r="B3075" t="s">
        <v>40</v>
      </c>
      <c r="C3075">
        <v>469</v>
      </c>
      <c r="D3075">
        <v>15</v>
      </c>
      <c r="E3075">
        <v>10</v>
      </c>
      <c r="F3075">
        <v>8</v>
      </c>
      <c r="G3075">
        <v>6.02</v>
      </c>
      <c r="H3075">
        <v>0.52</v>
      </c>
      <c r="I3075">
        <v>0.71</v>
      </c>
      <c r="J3075" t="s">
        <v>62</v>
      </c>
      <c r="K3075" t="s">
        <v>52</v>
      </c>
      <c r="L3075">
        <v>84</v>
      </c>
      <c r="M3075">
        <v>4.21</v>
      </c>
      <c r="N3075">
        <v>138.03</v>
      </c>
      <c r="O3075">
        <v>0.85</v>
      </c>
      <c r="P3075">
        <v>6</v>
      </c>
      <c r="Q3075">
        <v>0.81</v>
      </c>
      <c r="R3075">
        <v>169</v>
      </c>
      <c r="S3075">
        <v>3.45</v>
      </c>
      <c r="T3075">
        <v>0.28999999999999998</v>
      </c>
      <c r="U3075" s="1">
        <v>45295</v>
      </c>
      <c r="V3075">
        <v>144.34</v>
      </c>
      <c r="W3075">
        <v>0.46100000000000002</v>
      </c>
      <c r="X3075" t="str">
        <f>IF(WarehouseData[[#This Row],[stock_level]]&lt;=WarehouseData[[#This Row],[reorder_point]],"Low Stock","Sufficient Stock")</f>
        <v>Sufficient Stock</v>
      </c>
      <c r="Y3075">
        <f>WarehouseData[[#This Row],[daily_demand]]*WarehouseData[[#This Row],[lead_time_days]]</f>
        <v>48.16</v>
      </c>
      <c r="Z3075" t="str">
        <f>IF(WarehouseData[[#This Row],[stock_level]]&lt;=WarehouseData[[#This Row],[Demand During Lead Time]],"At Risk","Safe")</f>
        <v>Safe</v>
      </c>
      <c r="AA3075">
        <f>WarehouseData[[#This Row],[stock_level]]/WarehouseData[[#This Row],[daily_demand]]</f>
        <v>77.906976744186053</v>
      </c>
      <c r="AB3075">
        <f>WarehouseData[[#This Row],[stock_level]]*WarehouseData[[#This Row],[unit_price]]</f>
        <v>64736.07</v>
      </c>
      <c r="AC3075">
        <f>WarehouseData[[#This Row],[stock_level]]*WarehouseData[[#This Row],[holding_cost_per_unit_day]]*30</f>
        <v>11959.5</v>
      </c>
      <c r="AD3075" t="str">
        <f>IF(WarehouseData[[#This Row],[order_fulfillment_rate]]&gt;=0.9,"Strong",IF(WarehouseData[[#This Row],[order_fulfillment_rate]]&gt;=0.8,"Moderate","Needs Attention"))</f>
        <v>Moderate</v>
      </c>
      <c r="AE3075" t="str">
        <f>IF(WarehouseData[[#This Row],[picking_time_seconds]]&gt;120,"Slow",IF(WarehouseData[[#This Row],[picking_time_seconds]]&gt;=60,"Average","Fast"))</f>
        <v>Average</v>
      </c>
    </row>
    <row r="3076" spans="1:31" x14ac:dyDescent="0.25">
      <c r="A3076" t="s">
        <v>3214</v>
      </c>
      <c r="B3076" t="s">
        <v>32</v>
      </c>
      <c r="C3076">
        <v>448</v>
      </c>
      <c r="D3076">
        <v>52</v>
      </c>
      <c r="E3076">
        <v>13</v>
      </c>
      <c r="F3076">
        <v>6</v>
      </c>
      <c r="G3076">
        <v>7.44</v>
      </c>
      <c r="H3076">
        <v>5.36</v>
      </c>
      <c r="I3076">
        <v>0.37</v>
      </c>
      <c r="J3076" t="s">
        <v>54</v>
      </c>
      <c r="K3076" t="s">
        <v>34</v>
      </c>
      <c r="L3076">
        <v>177</v>
      </c>
      <c r="M3076">
        <v>4.91</v>
      </c>
      <c r="N3076">
        <v>116.86</v>
      </c>
      <c r="O3076">
        <v>1.37</v>
      </c>
      <c r="P3076">
        <v>6</v>
      </c>
      <c r="Q3076">
        <v>0.9</v>
      </c>
      <c r="R3076">
        <v>960</v>
      </c>
      <c r="S3076">
        <v>3.22</v>
      </c>
      <c r="T3076">
        <v>0.6</v>
      </c>
      <c r="U3076" s="1">
        <v>45569</v>
      </c>
      <c r="V3076">
        <v>192.52</v>
      </c>
      <c r="W3076">
        <v>0.48599999999999999</v>
      </c>
      <c r="X3076" t="str">
        <f>IF(WarehouseData[[#This Row],[stock_level]]&lt;=WarehouseData[[#This Row],[reorder_point]],"Low Stock","Sufficient Stock")</f>
        <v>Sufficient Stock</v>
      </c>
      <c r="Y3076">
        <f>WarehouseData[[#This Row],[daily_demand]]*WarehouseData[[#This Row],[lead_time_days]]</f>
        <v>44.64</v>
      </c>
      <c r="Z3076" t="str">
        <f>IF(WarehouseData[[#This Row],[stock_level]]&lt;=WarehouseData[[#This Row],[Demand During Lead Time]],"At Risk","Safe")</f>
        <v>Safe</v>
      </c>
      <c r="AA3076">
        <f>WarehouseData[[#This Row],[stock_level]]/WarehouseData[[#This Row],[daily_demand]]</f>
        <v>60.215053763440856</v>
      </c>
      <c r="AB3076">
        <f>WarehouseData[[#This Row],[stock_level]]*WarehouseData[[#This Row],[unit_price]]</f>
        <v>52353.279999999999</v>
      </c>
      <c r="AC3076">
        <f>WarehouseData[[#This Row],[stock_level]]*WarehouseData[[#This Row],[holding_cost_per_unit_day]]*30</f>
        <v>18412.8</v>
      </c>
      <c r="AD3076" t="str">
        <f>IF(WarehouseData[[#This Row],[order_fulfillment_rate]]&gt;=0.9,"Strong",IF(WarehouseData[[#This Row],[order_fulfillment_rate]]&gt;=0.8,"Moderate","Needs Attention"))</f>
        <v>Strong</v>
      </c>
      <c r="AE3076" t="str">
        <f>IF(WarehouseData[[#This Row],[picking_time_seconds]]&gt;120,"Slow",IF(WarehouseData[[#This Row],[picking_time_seconds]]&gt;=60,"Average","Fast"))</f>
        <v>Slow</v>
      </c>
    </row>
    <row r="3077" spans="1:31" x14ac:dyDescent="0.25">
      <c r="A3077" t="s">
        <v>3215</v>
      </c>
      <c r="B3077" t="s">
        <v>48</v>
      </c>
      <c r="C3077">
        <v>344</v>
      </c>
      <c r="D3077">
        <v>44</v>
      </c>
      <c r="E3077">
        <v>13</v>
      </c>
      <c r="F3077">
        <v>7</v>
      </c>
      <c r="G3077">
        <v>34.14</v>
      </c>
      <c r="H3077">
        <v>2.34</v>
      </c>
      <c r="I3077">
        <v>0.42</v>
      </c>
      <c r="J3077" t="s">
        <v>90</v>
      </c>
      <c r="K3077" t="s">
        <v>52</v>
      </c>
      <c r="L3077">
        <v>125</v>
      </c>
      <c r="M3077">
        <v>3.79</v>
      </c>
      <c r="N3077">
        <v>171.83</v>
      </c>
      <c r="O3077">
        <v>0.33</v>
      </c>
      <c r="P3077">
        <v>7</v>
      </c>
      <c r="Q3077">
        <v>0.99</v>
      </c>
      <c r="R3077">
        <v>227</v>
      </c>
      <c r="S3077">
        <v>11.86</v>
      </c>
      <c r="T3077">
        <v>0.41</v>
      </c>
      <c r="U3077" s="1">
        <v>45313</v>
      </c>
      <c r="V3077">
        <v>221.33</v>
      </c>
      <c r="W3077">
        <v>0.66500000000000004</v>
      </c>
      <c r="X3077" t="str">
        <f>IF(WarehouseData[[#This Row],[stock_level]]&lt;=WarehouseData[[#This Row],[reorder_point]],"Low Stock","Sufficient Stock")</f>
        <v>Sufficient Stock</v>
      </c>
      <c r="Y3077">
        <f>WarehouseData[[#This Row],[daily_demand]]*WarehouseData[[#This Row],[lead_time_days]]</f>
        <v>238.98000000000002</v>
      </c>
      <c r="Z3077" t="str">
        <f>IF(WarehouseData[[#This Row],[stock_level]]&lt;=WarehouseData[[#This Row],[Demand During Lead Time]],"At Risk","Safe")</f>
        <v>Safe</v>
      </c>
      <c r="AA3077">
        <f>WarehouseData[[#This Row],[stock_level]]/WarehouseData[[#This Row],[daily_demand]]</f>
        <v>10.076157000585823</v>
      </c>
      <c r="AB3077">
        <f>WarehouseData[[#This Row],[stock_level]]*WarehouseData[[#This Row],[unit_price]]</f>
        <v>59109.520000000004</v>
      </c>
      <c r="AC3077">
        <f>WarehouseData[[#This Row],[stock_level]]*WarehouseData[[#This Row],[holding_cost_per_unit_day]]*30</f>
        <v>3405.6000000000004</v>
      </c>
      <c r="AD3077" t="str">
        <f>IF(WarehouseData[[#This Row],[order_fulfillment_rate]]&gt;=0.9,"Strong",IF(WarehouseData[[#This Row],[order_fulfillment_rate]]&gt;=0.8,"Moderate","Needs Attention"))</f>
        <v>Strong</v>
      </c>
      <c r="AE3077" t="str">
        <f>IF(WarehouseData[[#This Row],[picking_time_seconds]]&gt;120,"Slow",IF(WarehouseData[[#This Row],[picking_time_seconds]]&gt;=60,"Average","Fast"))</f>
        <v>Slow</v>
      </c>
    </row>
    <row r="3078" spans="1:31" x14ac:dyDescent="0.25">
      <c r="A3078" t="s">
        <v>3216</v>
      </c>
      <c r="B3078" t="s">
        <v>32</v>
      </c>
      <c r="C3078">
        <v>238</v>
      </c>
      <c r="D3078">
        <v>63</v>
      </c>
      <c r="E3078">
        <v>13</v>
      </c>
      <c r="F3078">
        <v>6</v>
      </c>
      <c r="G3078">
        <v>12.31</v>
      </c>
      <c r="H3078">
        <v>8.75</v>
      </c>
      <c r="I3078">
        <v>0.49</v>
      </c>
      <c r="J3078" t="s">
        <v>126</v>
      </c>
      <c r="K3078" t="s">
        <v>46</v>
      </c>
      <c r="L3078">
        <v>139</v>
      </c>
      <c r="M3078">
        <v>3.82</v>
      </c>
      <c r="N3078">
        <v>55.91</v>
      </c>
      <c r="O3078">
        <v>1.85</v>
      </c>
      <c r="P3078">
        <v>3</v>
      </c>
      <c r="Q3078">
        <v>0.73</v>
      </c>
      <c r="R3078">
        <v>178</v>
      </c>
      <c r="S3078">
        <v>2.64</v>
      </c>
      <c r="T3078">
        <v>0.69</v>
      </c>
      <c r="U3078" s="1">
        <v>45538</v>
      </c>
      <c r="V3078">
        <v>61.82</v>
      </c>
      <c r="W3078">
        <v>0.47399999999999998</v>
      </c>
      <c r="X3078" t="str">
        <f>IF(WarehouseData[[#This Row],[stock_level]]&lt;=WarehouseData[[#This Row],[reorder_point]],"Low Stock","Sufficient Stock")</f>
        <v>Sufficient Stock</v>
      </c>
      <c r="Y3078">
        <f>WarehouseData[[#This Row],[daily_demand]]*WarehouseData[[#This Row],[lead_time_days]]</f>
        <v>73.86</v>
      </c>
      <c r="Z3078" t="str">
        <f>IF(WarehouseData[[#This Row],[stock_level]]&lt;=WarehouseData[[#This Row],[Demand During Lead Time]],"At Risk","Safe")</f>
        <v>Safe</v>
      </c>
      <c r="AA3078">
        <f>WarehouseData[[#This Row],[stock_level]]/WarehouseData[[#This Row],[daily_demand]]</f>
        <v>19.333874898456539</v>
      </c>
      <c r="AB3078">
        <f>WarehouseData[[#This Row],[stock_level]]*WarehouseData[[#This Row],[unit_price]]</f>
        <v>13306.58</v>
      </c>
      <c r="AC3078">
        <f>WarehouseData[[#This Row],[stock_level]]*WarehouseData[[#This Row],[holding_cost_per_unit_day]]*30</f>
        <v>13209</v>
      </c>
      <c r="AD3078" t="str">
        <f>IF(WarehouseData[[#This Row],[order_fulfillment_rate]]&gt;=0.9,"Strong",IF(WarehouseData[[#This Row],[order_fulfillment_rate]]&gt;=0.8,"Moderate","Needs Attention"))</f>
        <v>Needs Attention</v>
      </c>
      <c r="AE3078" t="str">
        <f>IF(WarehouseData[[#This Row],[picking_time_seconds]]&gt;120,"Slow",IF(WarehouseData[[#This Row],[picking_time_seconds]]&gt;=60,"Average","Fast"))</f>
        <v>Slow</v>
      </c>
    </row>
    <row r="3079" spans="1:31" x14ac:dyDescent="0.25">
      <c r="A3079" t="s">
        <v>3217</v>
      </c>
      <c r="B3079" t="s">
        <v>73</v>
      </c>
      <c r="C3079">
        <v>108</v>
      </c>
      <c r="D3079">
        <v>71</v>
      </c>
      <c r="E3079">
        <v>7</v>
      </c>
      <c r="F3079">
        <v>6</v>
      </c>
      <c r="G3079">
        <v>39.76</v>
      </c>
      <c r="H3079">
        <v>1.49</v>
      </c>
      <c r="I3079">
        <v>0.1</v>
      </c>
      <c r="J3079" t="s">
        <v>139</v>
      </c>
      <c r="K3079" t="s">
        <v>38</v>
      </c>
      <c r="L3079">
        <v>77</v>
      </c>
      <c r="M3079">
        <v>1.48</v>
      </c>
      <c r="N3079">
        <v>17.62</v>
      </c>
      <c r="O3079">
        <v>1.67</v>
      </c>
      <c r="P3079">
        <v>5</v>
      </c>
      <c r="Q3079">
        <v>0.93</v>
      </c>
      <c r="R3079">
        <v>612</v>
      </c>
      <c r="S3079">
        <v>9.6199999999999992</v>
      </c>
      <c r="T3079">
        <v>0.62</v>
      </c>
      <c r="U3079" s="1">
        <v>45482</v>
      </c>
      <c r="V3079">
        <v>208.34</v>
      </c>
      <c r="W3079">
        <v>0.57099999999999995</v>
      </c>
      <c r="X3079" t="str">
        <f>IF(WarehouseData[[#This Row],[stock_level]]&lt;=WarehouseData[[#This Row],[reorder_point]],"Low Stock","Sufficient Stock")</f>
        <v>Sufficient Stock</v>
      </c>
      <c r="Y3079">
        <f>WarehouseData[[#This Row],[daily_demand]]*WarehouseData[[#This Row],[lead_time_days]]</f>
        <v>238.56</v>
      </c>
      <c r="Z3079" t="str">
        <f>IF(WarehouseData[[#This Row],[stock_level]]&lt;=WarehouseData[[#This Row],[Demand During Lead Time]],"At Risk","Safe")</f>
        <v>At Risk</v>
      </c>
      <c r="AA3079">
        <f>WarehouseData[[#This Row],[stock_level]]/WarehouseData[[#This Row],[daily_demand]]</f>
        <v>2.7162977867203222</v>
      </c>
      <c r="AB3079">
        <f>WarehouseData[[#This Row],[stock_level]]*WarehouseData[[#This Row],[unit_price]]</f>
        <v>1902.96</v>
      </c>
      <c r="AC3079">
        <f>WarehouseData[[#This Row],[stock_level]]*WarehouseData[[#This Row],[holding_cost_per_unit_day]]*30</f>
        <v>5410.7999999999993</v>
      </c>
      <c r="AD3079" t="str">
        <f>IF(WarehouseData[[#This Row],[order_fulfillment_rate]]&gt;=0.9,"Strong",IF(WarehouseData[[#This Row],[order_fulfillment_rate]]&gt;=0.8,"Moderate","Needs Attention"))</f>
        <v>Strong</v>
      </c>
      <c r="AE3079" t="str">
        <f>IF(WarehouseData[[#This Row],[picking_time_seconds]]&gt;120,"Slow",IF(WarehouseData[[#This Row],[picking_time_seconds]]&gt;=60,"Average","Fast"))</f>
        <v>Average</v>
      </c>
    </row>
    <row r="3080" spans="1:31" x14ac:dyDescent="0.25">
      <c r="A3080" t="s">
        <v>3218</v>
      </c>
      <c r="B3080" t="s">
        <v>73</v>
      </c>
      <c r="C3080">
        <v>91</v>
      </c>
      <c r="D3080">
        <v>78</v>
      </c>
      <c r="E3080">
        <v>3</v>
      </c>
      <c r="F3080">
        <v>5</v>
      </c>
      <c r="G3080">
        <v>29.98</v>
      </c>
      <c r="H3080">
        <v>0.51</v>
      </c>
      <c r="I3080">
        <v>0.54</v>
      </c>
      <c r="J3080" t="s">
        <v>311</v>
      </c>
      <c r="K3080" t="s">
        <v>52</v>
      </c>
      <c r="L3080">
        <v>89</v>
      </c>
      <c r="M3080">
        <v>2.85</v>
      </c>
      <c r="N3080">
        <v>44.58</v>
      </c>
      <c r="O3080">
        <v>0.83</v>
      </c>
      <c r="P3080">
        <v>1</v>
      </c>
      <c r="Q3080">
        <v>0.76</v>
      </c>
      <c r="R3080">
        <v>467</v>
      </c>
      <c r="S3080">
        <v>3.34</v>
      </c>
      <c r="T3080">
        <v>0.82</v>
      </c>
      <c r="U3080" s="1">
        <v>45609</v>
      </c>
      <c r="V3080">
        <v>62.94</v>
      </c>
      <c r="W3080">
        <v>0.65800000000000003</v>
      </c>
      <c r="X3080" t="str">
        <f>IF(WarehouseData[[#This Row],[stock_level]]&lt;=WarehouseData[[#This Row],[reorder_point]],"Low Stock","Sufficient Stock")</f>
        <v>Sufficient Stock</v>
      </c>
      <c r="Y3080">
        <f>WarehouseData[[#This Row],[daily_demand]]*WarehouseData[[#This Row],[lead_time_days]]</f>
        <v>149.9</v>
      </c>
      <c r="Z3080" t="str">
        <f>IF(WarehouseData[[#This Row],[stock_level]]&lt;=WarehouseData[[#This Row],[Demand During Lead Time]],"At Risk","Safe")</f>
        <v>At Risk</v>
      </c>
      <c r="AA3080">
        <f>WarehouseData[[#This Row],[stock_level]]/WarehouseData[[#This Row],[daily_demand]]</f>
        <v>3.0353569046030686</v>
      </c>
      <c r="AB3080">
        <f>WarehouseData[[#This Row],[stock_level]]*WarehouseData[[#This Row],[unit_price]]</f>
        <v>4056.7799999999997</v>
      </c>
      <c r="AC3080">
        <f>WarehouseData[[#This Row],[stock_level]]*WarehouseData[[#This Row],[holding_cost_per_unit_day]]*30</f>
        <v>2265.9</v>
      </c>
      <c r="AD3080" t="str">
        <f>IF(WarehouseData[[#This Row],[order_fulfillment_rate]]&gt;=0.9,"Strong",IF(WarehouseData[[#This Row],[order_fulfillment_rate]]&gt;=0.8,"Moderate","Needs Attention"))</f>
        <v>Needs Attention</v>
      </c>
      <c r="AE3080" t="str">
        <f>IF(WarehouseData[[#This Row],[picking_time_seconds]]&gt;120,"Slow",IF(WarehouseData[[#This Row],[picking_time_seconds]]&gt;=60,"Average","Fast"))</f>
        <v>Average</v>
      </c>
    </row>
    <row r="3081" spans="1:31" x14ac:dyDescent="0.25">
      <c r="A3081" t="s">
        <v>3219</v>
      </c>
      <c r="B3081" t="s">
        <v>36</v>
      </c>
      <c r="C3081">
        <v>266</v>
      </c>
      <c r="D3081">
        <v>91</v>
      </c>
      <c r="E3081">
        <v>11</v>
      </c>
      <c r="F3081">
        <v>2</v>
      </c>
      <c r="G3081">
        <v>12.26</v>
      </c>
      <c r="H3081">
        <v>4.79</v>
      </c>
      <c r="I3081">
        <v>0.33</v>
      </c>
      <c r="J3081" t="s">
        <v>137</v>
      </c>
      <c r="K3081" t="s">
        <v>34</v>
      </c>
      <c r="L3081">
        <v>114</v>
      </c>
      <c r="M3081">
        <v>3.68</v>
      </c>
      <c r="N3081">
        <v>75.239999999999995</v>
      </c>
      <c r="O3081">
        <v>0.76</v>
      </c>
      <c r="P3081">
        <v>6</v>
      </c>
      <c r="Q3081">
        <v>0.81</v>
      </c>
      <c r="R3081">
        <v>603</v>
      </c>
      <c r="S3081">
        <v>12.73</v>
      </c>
      <c r="T3081">
        <v>0.66</v>
      </c>
      <c r="U3081" s="1">
        <v>45453</v>
      </c>
      <c r="V3081">
        <v>299.19</v>
      </c>
      <c r="W3081">
        <v>0.66800000000000004</v>
      </c>
      <c r="X3081" t="str">
        <f>IF(WarehouseData[[#This Row],[stock_level]]&lt;=WarehouseData[[#This Row],[reorder_point]],"Low Stock","Sufficient Stock")</f>
        <v>Sufficient Stock</v>
      </c>
      <c r="Y3081">
        <f>WarehouseData[[#This Row],[daily_demand]]*WarehouseData[[#This Row],[lead_time_days]]</f>
        <v>24.52</v>
      </c>
      <c r="Z3081" t="str">
        <f>IF(WarehouseData[[#This Row],[stock_level]]&lt;=WarehouseData[[#This Row],[Demand During Lead Time]],"At Risk","Safe")</f>
        <v>Safe</v>
      </c>
      <c r="AA3081">
        <f>WarehouseData[[#This Row],[stock_level]]/WarehouseData[[#This Row],[daily_demand]]</f>
        <v>21.696574225122351</v>
      </c>
      <c r="AB3081">
        <f>WarehouseData[[#This Row],[stock_level]]*WarehouseData[[#This Row],[unit_price]]</f>
        <v>20013.84</v>
      </c>
      <c r="AC3081">
        <f>WarehouseData[[#This Row],[stock_level]]*WarehouseData[[#This Row],[holding_cost_per_unit_day]]*30</f>
        <v>6064.8</v>
      </c>
      <c r="AD3081" t="str">
        <f>IF(WarehouseData[[#This Row],[order_fulfillment_rate]]&gt;=0.9,"Strong",IF(WarehouseData[[#This Row],[order_fulfillment_rate]]&gt;=0.8,"Moderate","Needs Attention"))</f>
        <v>Moderate</v>
      </c>
      <c r="AE3081" t="str">
        <f>IF(WarehouseData[[#This Row],[picking_time_seconds]]&gt;120,"Slow",IF(WarehouseData[[#This Row],[picking_time_seconds]]&gt;=60,"Average","Fast"))</f>
        <v>Average</v>
      </c>
    </row>
    <row r="3082" spans="1:31" x14ac:dyDescent="0.25">
      <c r="A3082" t="s">
        <v>3220</v>
      </c>
      <c r="B3082" t="s">
        <v>36</v>
      </c>
      <c r="C3082">
        <v>148</v>
      </c>
      <c r="D3082">
        <v>25</v>
      </c>
      <c r="E3082">
        <v>3</v>
      </c>
      <c r="F3082">
        <v>6</v>
      </c>
      <c r="G3082">
        <v>24.46</v>
      </c>
      <c r="H3082">
        <v>1.98</v>
      </c>
      <c r="I3082">
        <v>0.15</v>
      </c>
      <c r="J3082" t="s">
        <v>236</v>
      </c>
      <c r="K3082" t="s">
        <v>34</v>
      </c>
      <c r="L3082">
        <v>78</v>
      </c>
      <c r="M3082">
        <v>3.21</v>
      </c>
      <c r="N3082">
        <v>44.13</v>
      </c>
      <c r="O3082">
        <v>0.92</v>
      </c>
      <c r="P3082">
        <v>8</v>
      </c>
      <c r="Q3082">
        <v>0.96</v>
      </c>
      <c r="R3082">
        <v>367</v>
      </c>
      <c r="S3082">
        <v>4.84</v>
      </c>
      <c r="T3082">
        <v>0.54</v>
      </c>
      <c r="U3082" s="1">
        <v>45544</v>
      </c>
      <c r="V3082">
        <v>288.13</v>
      </c>
      <c r="W3082">
        <v>0.51300000000000001</v>
      </c>
      <c r="X3082" t="str">
        <f>IF(WarehouseData[[#This Row],[stock_level]]&lt;=WarehouseData[[#This Row],[reorder_point]],"Low Stock","Sufficient Stock")</f>
        <v>Sufficient Stock</v>
      </c>
      <c r="Y3082">
        <f>WarehouseData[[#This Row],[daily_demand]]*WarehouseData[[#This Row],[lead_time_days]]</f>
        <v>146.76</v>
      </c>
      <c r="Z3082" t="str">
        <f>IF(WarehouseData[[#This Row],[stock_level]]&lt;=WarehouseData[[#This Row],[Demand During Lead Time]],"At Risk","Safe")</f>
        <v>Safe</v>
      </c>
      <c r="AA3082">
        <f>WarehouseData[[#This Row],[stock_level]]/WarehouseData[[#This Row],[daily_demand]]</f>
        <v>6.0506950122649217</v>
      </c>
      <c r="AB3082">
        <f>WarehouseData[[#This Row],[stock_level]]*WarehouseData[[#This Row],[unit_price]]</f>
        <v>6531.2400000000007</v>
      </c>
      <c r="AC3082">
        <f>WarehouseData[[#This Row],[stock_level]]*WarehouseData[[#This Row],[holding_cost_per_unit_day]]*30</f>
        <v>4084.7999999999997</v>
      </c>
      <c r="AD3082" t="str">
        <f>IF(WarehouseData[[#This Row],[order_fulfillment_rate]]&gt;=0.9,"Strong",IF(WarehouseData[[#This Row],[order_fulfillment_rate]]&gt;=0.8,"Moderate","Needs Attention"))</f>
        <v>Strong</v>
      </c>
      <c r="AE3082" t="str">
        <f>IF(WarehouseData[[#This Row],[picking_time_seconds]]&gt;120,"Slow",IF(WarehouseData[[#This Row],[picking_time_seconds]]&gt;=60,"Average","Fast"))</f>
        <v>Average</v>
      </c>
    </row>
    <row r="3083" spans="1:31" x14ac:dyDescent="0.25">
      <c r="A3083" t="s">
        <v>3221</v>
      </c>
      <c r="B3083" t="s">
        <v>40</v>
      </c>
      <c r="C3083">
        <v>231</v>
      </c>
      <c r="D3083">
        <v>17</v>
      </c>
      <c r="E3083">
        <v>8</v>
      </c>
      <c r="F3083">
        <v>3</v>
      </c>
      <c r="G3083">
        <v>20.9</v>
      </c>
      <c r="H3083">
        <v>7.51</v>
      </c>
      <c r="I3083">
        <v>0.92</v>
      </c>
      <c r="J3083" t="s">
        <v>281</v>
      </c>
      <c r="K3083" t="s">
        <v>34</v>
      </c>
      <c r="L3083">
        <v>172</v>
      </c>
      <c r="M3083">
        <v>2.23</v>
      </c>
      <c r="N3083">
        <v>25.87</v>
      </c>
      <c r="O3083">
        <v>0.86</v>
      </c>
      <c r="P3083">
        <v>4</v>
      </c>
      <c r="Q3083">
        <v>0.86</v>
      </c>
      <c r="R3083">
        <v>656</v>
      </c>
      <c r="S3083">
        <v>1.63</v>
      </c>
      <c r="T3083">
        <v>0.3</v>
      </c>
      <c r="U3083" s="1">
        <v>45586</v>
      </c>
      <c r="V3083">
        <v>39.700000000000003</v>
      </c>
      <c r="W3083">
        <v>0.48799999999999999</v>
      </c>
      <c r="X3083" t="str">
        <f>IF(WarehouseData[[#This Row],[stock_level]]&lt;=WarehouseData[[#This Row],[reorder_point]],"Low Stock","Sufficient Stock")</f>
        <v>Sufficient Stock</v>
      </c>
      <c r="Y3083">
        <f>WarehouseData[[#This Row],[daily_demand]]*WarehouseData[[#This Row],[lead_time_days]]</f>
        <v>62.699999999999996</v>
      </c>
      <c r="Z3083" t="str">
        <f>IF(WarehouseData[[#This Row],[stock_level]]&lt;=WarehouseData[[#This Row],[Demand During Lead Time]],"At Risk","Safe")</f>
        <v>Safe</v>
      </c>
      <c r="AA3083">
        <f>WarehouseData[[#This Row],[stock_level]]/WarehouseData[[#This Row],[daily_demand]]</f>
        <v>11.05263157894737</v>
      </c>
      <c r="AB3083">
        <f>WarehouseData[[#This Row],[stock_level]]*WarehouseData[[#This Row],[unit_price]]</f>
        <v>5975.97</v>
      </c>
      <c r="AC3083">
        <f>WarehouseData[[#This Row],[stock_level]]*WarehouseData[[#This Row],[holding_cost_per_unit_day]]*30</f>
        <v>5959.8</v>
      </c>
      <c r="AD3083" t="str">
        <f>IF(WarehouseData[[#This Row],[order_fulfillment_rate]]&gt;=0.9,"Strong",IF(WarehouseData[[#This Row],[order_fulfillment_rate]]&gt;=0.8,"Moderate","Needs Attention"))</f>
        <v>Moderate</v>
      </c>
      <c r="AE3083" t="str">
        <f>IF(WarehouseData[[#This Row],[picking_time_seconds]]&gt;120,"Slow",IF(WarehouseData[[#This Row],[picking_time_seconds]]&gt;=60,"Average","Fast"))</f>
        <v>Slow</v>
      </c>
    </row>
    <row r="3084" spans="1:31" x14ac:dyDescent="0.25">
      <c r="A3084" t="s">
        <v>3222</v>
      </c>
      <c r="B3084" t="s">
        <v>32</v>
      </c>
      <c r="C3084">
        <v>447</v>
      </c>
      <c r="D3084">
        <v>98</v>
      </c>
      <c r="E3084">
        <v>3</v>
      </c>
      <c r="F3084">
        <v>8</v>
      </c>
      <c r="G3084">
        <v>43.78</v>
      </c>
      <c r="H3084">
        <v>9.24</v>
      </c>
      <c r="I3084">
        <v>0.39</v>
      </c>
      <c r="J3084" t="s">
        <v>353</v>
      </c>
      <c r="K3084" t="s">
        <v>46</v>
      </c>
      <c r="L3084">
        <v>151</v>
      </c>
      <c r="M3084">
        <v>4.7300000000000004</v>
      </c>
      <c r="N3084">
        <v>94.61</v>
      </c>
      <c r="O3084">
        <v>0.59</v>
      </c>
      <c r="P3084">
        <v>3</v>
      </c>
      <c r="Q3084">
        <v>0.72</v>
      </c>
      <c r="R3084">
        <v>291</v>
      </c>
      <c r="S3084">
        <v>7.33</v>
      </c>
      <c r="T3084">
        <v>0.3</v>
      </c>
      <c r="U3084" s="1">
        <v>45432</v>
      </c>
      <c r="V3084">
        <v>199.98</v>
      </c>
      <c r="W3084">
        <v>0.58299999999999996</v>
      </c>
      <c r="X3084" t="str">
        <f>IF(WarehouseData[[#This Row],[stock_level]]&lt;=WarehouseData[[#This Row],[reorder_point]],"Low Stock","Sufficient Stock")</f>
        <v>Sufficient Stock</v>
      </c>
      <c r="Y3084">
        <f>WarehouseData[[#This Row],[daily_demand]]*WarehouseData[[#This Row],[lead_time_days]]</f>
        <v>350.24</v>
      </c>
      <c r="Z3084" t="str">
        <f>IF(WarehouseData[[#This Row],[stock_level]]&lt;=WarehouseData[[#This Row],[Demand During Lead Time]],"At Risk","Safe")</f>
        <v>Safe</v>
      </c>
      <c r="AA3084">
        <f>WarehouseData[[#This Row],[stock_level]]/WarehouseData[[#This Row],[daily_demand]]</f>
        <v>10.210141617176793</v>
      </c>
      <c r="AB3084">
        <f>WarehouseData[[#This Row],[stock_level]]*WarehouseData[[#This Row],[unit_price]]</f>
        <v>42290.67</v>
      </c>
      <c r="AC3084">
        <f>WarehouseData[[#This Row],[stock_level]]*WarehouseData[[#This Row],[holding_cost_per_unit_day]]*30</f>
        <v>7911.8999999999987</v>
      </c>
      <c r="AD3084" t="str">
        <f>IF(WarehouseData[[#This Row],[order_fulfillment_rate]]&gt;=0.9,"Strong",IF(WarehouseData[[#This Row],[order_fulfillment_rate]]&gt;=0.8,"Moderate","Needs Attention"))</f>
        <v>Needs Attention</v>
      </c>
      <c r="AE3084" t="str">
        <f>IF(WarehouseData[[#This Row],[picking_time_seconds]]&gt;120,"Slow",IF(WarehouseData[[#This Row],[picking_time_seconds]]&gt;=60,"Average","Fast"))</f>
        <v>Slow</v>
      </c>
    </row>
    <row r="3085" spans="1:31" x14ac:dyDescent="0.25">
      <c r="A3085" t="s">
        <v>3223</v>
      </c>
      <c r="B3085" t="s">
        <v>73</v>
      </c>
      <c r="C3085">
        <v>362</v>
      </c>
      <c r="D3085">
        <v>99</v>
      </c>
      <c r="E3085">
        <v>5</v>
      </c>
      <c r="F3085">
        <v>8</v>
      </c>
      <c r="G3085">
        <v>2.58</v>
      </c>
      <c r="H3085">
        <v>0.9</v>
      </c>
      <c r="I3085">
        <v>0.48</v>
      </c>
      <c r="J3085" t="s">
        <v>133</v>
      </c>
      <c r="K3085" t="s">
        <v>52</v>
      </c>
      <c r="L3085">
        <v>152</v>
      </c>
      <c r="M3085">
        <v>2.81</v>
      </c>
      <c r="N3085">
        <v>138.62</v>
      </c>
      <c r="O3085">
        <v>1.98</v>
      </c>
      <c r="P3085">
        <v>1</v>
      </c>
      <c r="Q3085">
        <v>0.85</v>
      </c>
      <c r="R3085">
        <v>977</v>
      </c>
      <c r="S3085">
        <v>15</v>
      </c>
      <c r="T3085">
        <v>0.71</v>
      </c>
      <c r="U3085" s="1">
        <v>45543</v>
      </c>
      <c r="V3085">
        <v>271.95</v>
      </c>
      <c r="W3085">
        <v>0.69399999999999995</v>
      </c>
      <c r="X3085" t="str">
        <f>IF(WarehouseData[[#This Row],[stock_level]]&lt;=WarehouseData[[#This Row],[reorder_point]],"Low Stock","Sufficient Stock")</f>
        <v>Sufficient Stock</v>
      </c>
      <c r="Y3085">
        <f>WarehouseData[[#This Row],[daily_demand]]*WarehouseData[[#This Row],[lead_time_days]]</f>
        <v>20.64</v>
      </c>
      <c r="Z3085" t="str">
        <f>IF(WarehouseData[[#This Row],[stock_level]]&lt;=WarehouseData[[#This Row],[Demand During Lead Time]],"At Risk","Safe")</f>
        <v>Safe</v>
      </c>
      <c r="AA3085">
        <f>WarehouseData[[#This Row],[stock_level]]/WarehouseData[[#This Row],[daily_demand]]</f>
        <v>140.31007751937983</v>
      </c>
      <c r="AB3085">
        <f>WarehouseData[[#This Row],[stock_level]]*WarehouseData[[#This Row],[unit_price]]</f>
        <v>50180.44</v>
      </c>
      <c r="AC3085">
        <f>WarehouseData[[#This Row],[stock_level]]*WarehouseData[[#This Row],[holding_cost_per_unit_day]]*30</f>
        <v>21502.799999999999</v>
      </c>
      <c r="AD3085" t="str">
        <f>IF(WarehouseData[[#This Row],[order_fulfillment_rate]]&gt;=0.9,"Strong",IF(WarehouseData[[#This Row],[order_fulfillment_rate]]&gt;=0.8,"Moderate","Needs Attention"))</f>
        <v>Moderate</v>
      </c>
      <c r="AE3085" t="str">
        <f>IF(WarehouseData[[#This Row],[picking_time_seconds]]&gt;120,"Slow",IF(WarehouseData[[#This Row],[picking_time_seconds]]&gt;=60,"Average","Fast"))</f>
        <v>Slow</v>
      </c>
    </row>
    <row r="3086" spans="1:31" x14ac:dyDescent="0.25">
      <c r="A3086" t="s">
        <v>3224</v>
      </c>
      <c r="B3086" t="s">
        <v>36</v>
      </c>
      <c r="C3086">
        <v>115</v>
      </c>
      <c r="D3086">
        <v>95</v>
      </c>
      <c r="E3086">
        <v>12</v>
      </c>
      <c r="F3086">
        <v>3</v>
      </c>
      <c r="G3086">
        <v>44.9</v>
      </c>
      <c r="H3086">
        <v>4.26</v>
      </c>
      <c r="I3086">
        <v>0.84</v>
      </c>
      <c r="J3086" t="s">
        <v>51</v>
      </c>
      <c r="K3086" t="s">
        <v>52</v>
      </c>
      <c r="L3086">
        <v>143</v>
      </c>
      <c r="M3086">
        <v>4.8600000000000003</v>
      </c>
      <c r="N3086">
        <v>152.80000000000001</v>
      </c>
      <c r="O3086">
        <v>1.64</v>
      </c>
      <c r="P3086">
        <v>6</v>
      </c>
      <c r="Q3086">
        <v>0.94</v>
      </c>
      <c r="R3086">
        <v>405</v>
      </c>
      <c r="S3086">
        <v>12.38</v>
      </c>
      <c r="T3086">
        <v>0.9</v>
      </c>
      <c r="U3086" s="1">
        <v>45385</v>
      </c>
      <c r="V3086">
        <v>33.4</v>
      </c>
      <c r="W3086">
        <v>0.64900000000000002</v>
      </c>
      <c r="X3086" t="str">
        <f>IF(WarehouseData[[#This Row],[stock_level]]&lt;=WarehouseData[[#This Row],[reorder_point]],"Low Stock","Sufficient Stock")</f>
        <v>Sufficient Stock</v>
      </c>
      <c r="Y3086">
        <f>WarehouseData[[#This Row],[daily_demand]]*WarehouseData[[#This Row],[lead_time_days]]</f>
        <v>134.69999999999999</v>
      </c>
      <c r="Z3086" t="str">
        <f>IF(WarehouseData[[#This Row],[stock_level]]&lt;=WarehouseData[[#This Row],[Demand During Lead Time]],"At Risk","Safe")</f>
        <v>At Risk</v>
      </c>
      <c r="AA3086">
        <f>WarehouseData[[#This Row],[stock_level]]/WarehouseData[[#This Row],[daily_demand]]</f>
        <v>2.561247216035635</v>
      </c>
      <c r="AB3086">
        <f>WarehouseData[[#This Row],[stock_level]]*WarehouseData[[#This Row],[unit_price]]</f>
        <v>17572</v>
      </c>
      <c r="AC3086">
        <f>WarehouseData[[#This Row],[stock_level]]*WarehouseData[[#This Row],[holding_cost_per_unit_day]]*30</f>
        <v>5658</v>
      </c>
      <c r="AD3086" t="str">
        <f>IF(WarehouseData[[#This Row],[order_fulfillment_rate]]&gt;=0.9,"Strong",IF(WarehouseData[[#This Row],[order_fulfillment_rate]]&gt;=0.8,"Moderate","Needs Attention"))</f>
        <v>Strong</v>
      </c>
      <c r="AE3086" t="str">
        <f>IF(WarehouseData[[#This Row],[picking_time_seconds]]&gt;120,"Slow",IF(WarehouseData[[#This Row],[picking_time_seconds]]&gt;=60,"Average","Fast"))</f>
        <v>Slow</v>
      </c>
    </row>
    <row r="3087" spans="1:31" x14ac:dyDescent="0.25">
      <c r="A3087" t="s">
        <v>3225</v>
      </c>
      <c r="B3087" t="s">
        <v>32</v>
      </c>
      <c r="C3087">
        <v>94</v>
      </c>
      <c r="D3087">
        <v>40</v>
      </c>
      <c r="E3087">
        <v>7</v>
      </c>
      <c r="F3087">
        <v>4</v>
      </c>
      <c r="G3087">
        <v>32.950000000000003</v>
      </c>
      <c r="H3087">
        <v>9.9700000000000006</v>
      </c>
      <c r="I3087">
        <v>0.25</v>
      </c>
      <c r="J3087" t="s">
        <v>102</v>
      </c>
      <c r="K3087" t="s">
        <v>46</v>
      </c>
      <c r="L3087">
        <v>25</v>
      </c>
      <c r="M3087">
        <v>3.04</v>
      </c>
      <c r="N3087">
        <v>85.76</v>
      </c>
      <c r="O3087">
        <v>0.61</v>
      </c>
      <c r="P3087">
        <v>1</v>
      </c>
      <c r="Q3087">
        <v>0.86</v>
      </c>
      <c r="R3087">
        <v>622</v>
      </c>
      <c r="S3087">
        <v>8.98</v>
      </c>
      <c r="T3087">
        <v>0.53</v>
      </c>
      <c r="U3087" s="1">
        <v>45553</v>
      </c>
      <c r="V3087">
        <v>45.95</v>
      </c>
      <c r="W3087">
        <v>0.71699999999999997</v>
      </c>
      <c r="X3087" t="str">
        <f>IF(WarehouseData[[#This Row],[stock_level]]&lt;=WarehouseData[[#This Row],[reorder_point]],"Low Stock","Sufficient Stock")</f>
        <v>Sufficient Stock</v>
      </c>
      <c r="Y3087">
        <f>WarehouseData[[#This Row],[daily_demand]]*WarehouseData[[#This Row],[lead_time_days]]</f>
        <v>131.80000000000001</v>
      </c>
      <c r="Z3087" t="str">
        <f>IF(WarehouseData[[#This Row],[stock_level]]&lt;=WarehouseData[[#This Row],[Demand During Lead Time]],"At Risk","Safe")</f>
        <v>At Risk</v>
      </c>
      <c r="AA3087">
        <f>WarehouseData[[#This Row],[stock_level]]/WarehouseData[[#This Row],[daily_demand]]</f>
        <v>2.8528072837632776</v>
      </c>
      <c r="AB3087">
        <f>WarehouseData[[#This Row],[stock_level]]*WarehouseData[[#This Row],[unit_price]]</f>
        <v>8061.4400000000005</v>
      </c>
      <c r="AC3087">
        <f>WarehouseData[[#This Row],[stock_level]]*WarehouseData[[#This Row],[holding_cost_per_unit_day]]*30</f>
        <v>1720.1999999999998</v>
      </c>
      <c r="AD3087" t="str">
        <f>IF(WarehouseData[[#This Row],[order_fulfillment_rate]]&gt;=0.9,"Strong",IF(WarehouseData[[#This Row],[order_fulfillment_rate]]&gt;=0.8,"Moderate","Needs Attention"))</f>
        <v>Moderate</v>
      </c>
      <c r="AE3087" t="str">
        <f>IF(WarehouseData[[#This Row],[picking_time_seconds]]&gt;120,"Slow",IF(WarehouseData[[#This Row],[picking_time_seconds]]&gt;=60,"Average","Fast"))</f>
        <v>Fast</v>
      </c>
    </row>
    <row r="3088" spans="1:31" x14ac:dyDescent="0.25">
      <c r="A3088" t="s">
        <v>3226</v>
      </c>
      <c r="B3088" t="s">
        <v>36</v>
      </c>
      <c r="C3088">
        <v>442</v>
      </c>
      <c r="D3088">
        <v>19</v>
      </c>
      <c r="E3088">
        <v>12</v>
      </c>
      <c r="F3088">
        <v>6</v>
      </c>
      <c r="G3088">
        <v>37.14</v>
      </c>
      <c r="H3088">
        <v>7.46</v>
      </c>
      <c r="I3088">
        <v>0.87</v>
      </c>
      <c r="J3088" t="s">
        <v>263</v>
      </c>
      <c r="K3088" t="s">
        <v>52</v>
      </c>
      <c r="L3088">
        <v>96</v>
      </c>
      <c r="M3088">
        <v>4.07</v>
      </c>
      <c r="N3088">
        <v>100.83</v>
      </c>
      <c r="O3088">
        <v>1.97</v>
      </c>
      <c r="P3088">
        <v>1</v>
      </c>
      <c r="Q3088">
        <v>0.75</v>
      </c>
      <c r="R3088">
        <v>910</v>
      </c>
      <c r="S3088">
        <v>3.65</v>
      </c>
      <c r="T3088">
        <v>0.62</v>
      </c>
      <c r="U3088" s="1">
        <v>45435</v>
      </c>
      <c r="V3088">
        <v>110.63</v>
      </c>
      <c r="W3088">
        <v>0.50600000000000001</v>
      </c>
      <c r="X3088" t="str">
        <f>IF(WarehouseData[[#This Row],[stock_level]]&lt;=WarehouseData[[#This Row],[reorder_point]],"Low Stock","Sufficient Stock")</f>
        <v>Sufficient Stock</v>
      </c>
      <c r="Y3088">
        <f>WarehouseData[[#This Row],[daily_demand]]*WarehouseData[[#This Row],[lead_time_days]]</f>
        <v>222.84</v>
      </c>
      <c r="Z3088" t="str">
        <f>IF(WarehouseData[[#This Row],[stock_level]]&lt;=WarehouseData[[#This Row],[Demand During Lead Time]],"At Risk","Safe")</f>
        <v>Safe</v>
      </c>
      <c r="AA3088">
        <f>WarehouseData[[#This Row],[stock_level]]/WarehouseData[[#This Row],[daily_demand]]</f>
        <v>11.900915455035003</v>
      </c>
      <c r="AB3088">
        <f>WarehouseData[[#This Row],[stock_level]]*WarehouseData[[#This Row],[unit_price]]</f>
        <v>44566.86</v>
      </c>
      <c r="AC3088">
        <f>WarehouseData[[#This Row],[stock_level]]*WarehouseData[[#This Row],[holding_cost_per_unit_day]]*30</f>
        <v>26122.2</v>
      </c>
      <c r="AD3088" t="str">
        <f>IF(WarehouseData[[#This Row],[order_fulfillment_rate]]&gt;=0.9,"Strong",IF(WarehouseData[[#This Row],[order_fulfillment_rate]]&gt;=0.8,"Moderate","Needs Attention"))</f>
        <v>Needs Attention</v>
      </c>
      <c r="AE3088" t="str">
        <f>IF(WarehouseData[[#This Row],[picking_time_seconds]]&gt;120,"Slow",IF(WarehouseData[[#This Row],[picking_time_seconds]]&gt;=60,"Average","Fast"))</f>
        <v>Average</v>
      </c>
    </row>
    <row r="3089" spans="1:31" x14ac:dyDescent="0.25">
      <c r="A3089" t="s">
        <v>3227</v>
      </c>
      <c r="B3089" t="s">
        <v>36</v>
      </c>
      <c r="C3089">
        <v>73</v>
      </c>
      <c r="D3089">
        <v>65</v>
      </c>
      <c r="E3089">
        <v>9</v>
      </c>
      <c r="F3089">
        <v>9</v>
      </c>
      <c r="G3089">
        <v>1.1299999999999999</v>
      </c>
      <c r="H3089">
        <v>9.56</v>
      </c>
      <c r="I3089">
        <v>0.32</v>
      </c>
      <c r="J3089" t="s">
        <v>334</v>
      </c>
      <c r="K3089" t="s">
        <v>52</v>
      </c>
      <c r="L3089">
        <v>133</v>
      </c>
      <c r="M3089">
        <v>3.84</v>
      </c>
      <c r="N3089">
        <v>153.54</v>
      </c>
      <c r="O3089">
        <v>0.13</v>
      </c>
      <c r="P3089">
        <v>8</v>
      </c>
      <c r="Q3089">
        <v>0.83</v>
      </c>
      <c r="R3089">
        <v>487</v>
      </c>
      <c r="S3089">
        <v>2.65</v>
      </c>
      <c r="T3089">
        <v>0.67</v>
      </c>
      <c r="U3089" s="1">
        <v>45495</v>
      </c>
      <c r="V3089">
        <v>37.76</v>
      </c>
      <c r="W3089">
        <v>0.56200000000000006</v>
      </c>
      <c r="X3089" t="str">
        <f>IF(WarehouseData[[#This Row],[stock_level]]&lt;=WarehouseData[[#This Row],[reorder_point]],"Low Stock","Sufficient Stock")</f>
        <v>Sufficient Stock</v>
      </c>
      <c r="Y3089">
        <f>WarehouseData[[#This Row],[daily_demand]]*WarehouseData[[#This Row],[lead_time_days]]</f>
        <v>10.169999999999998</v>
      </c>
      <c r="Z3089" t="str">
        <f>IF(WarehouseData[[#This Row],[stock_level]]&lt;=WarehouseData[[#This Row],[Demand During Lead Time]],"At Risk","Safe")</f>
        <v>Safe</v>
      </c>
      <c r="AA3089">
        <f>WarehouseData[[#This Row],[stock_level]]/WarehouseData[[#This Row],[daily_demand]]</f>
        <v>64.601769911504434</v>
      </c>
      <c r="AB3089">
        <f>WarehouseData[[#This Row],[stock_level]]*WarehouseData[[#This Row],[unit_price]]</f>
        <v>11208.42</v>
      </c>
      <c r="AC3089">
        <f>WarehouseData[[#This Row],[stock_level]]*WarehouseData[[#This Row],[holding_cost_per_unit_day]]*30</f>
        <v>284.7</v>
      </c>
      <c r="AD3089" t="str">
        <f>IF(WarehouseData[[#This Row],[order_fulfillment_rate]]&gt;=0.9,"Strong",IF(WarehouseData[[#This Row],[order_fulfillment_rate]]&gt;=0.8,"Moderate","Needs Attention"))</f>
        <v>Moderate</v>
      </c>
      <c r="AE3089" t="str">
        <f>IF(WarehouseData[[#This Row],[picking_time_seconds]]&gt;120,"Slow",IF(WarehouseData[[#This Row],[picking_time_seconds]]&gt;=60,"Average","Fast"))</f>
        <v>Slow</v>
      </c>
    </row>
    <row r="3090" spans="1:31" x14ac:dyDescent="0.25">
      <c r="A3090" t="s">
        <v>3228</v>
      </c>
      <c r="B3090" t="s">
        <v>73</v>
      </c>
      <c r="C3090">
        <v>363</v>
      </c>
      <c r="D3090">
        <v>85</v>
      </c>
      <c r="E3090">
        <v>12</v>
      </c>
      <c r="F3090">
        <v>6</v>
      </c>
      <c r="G3090">
        <v>31.78</v>
      </c>
      <c r="H3090">
        <v>2.06</v>
      </c>
      <c r="I3090">
        <v>0.63</v>
      </c>
      <c r="J3090" t="s">
        <v>316</v>
      </c>
      <c r="K3090" t="s">
        <v>52</v>
      </c>
      <c r="L3090">
        <v>149</v>
      </c>
      <c r="M3090">
        <v>3.47</v>
      </c>
      <c r="N3090">
        <v>77.010000000000005</v>
      </c>
      <c r="O3090">
        <v>0.93</v>
      </c>
      <c r="P3090">
        <v>1</v>
      </c>
      <c r="Q3090">
        <v>0.98</v>
      </c>
      <c r="R3090">
        <v>507</v>
      </c>
      <c r="S3090">
        <v>12.74</v>
      </c>
      <c r="T3090">
        <v>0.57999999999999996</v>
      </c>
      <c r="U3090" s="1">
        <v>45405</v>
      </c>
      <c r="V3090">
        <v>266.82</v>
      </c>
      <c r="W3090">
        <v>0.76900000000000002</v>
      </c>
      <c r="X3090" t="str">
        <f>IF(WarehouseData[[#This Row],[stock_level]]&lt;=WarehouseData[[#This Row],[reorder_point]],"Low Stock","Sufficient Stock")</f>
        <v>Sufficient Stock</v>
      </c>
      <c r="Y3090">
        <f>WarehouseData[[#This Row],[daily_demand]]*WarehouseData[[#This Row],[lead_time_days]]</f>
        <v>190.68</v>
      </c>
      <c r="Z3090" t="str">
        <f>IF(WarehouseData[[#This Row],[stock_level]]&lt;=WarehouseData[[#This Row],[Demand During Lead Time]],"At Risk","Safe")</f>
        <v>Safe</v>
      </c>
      <c r="AA3090">
        <f>WarehouseData[[#This Row],[stock_level]]/WarehouseData[[#This Row],[daily_demand]]</f>
        <v>11.422278162366268</v>
      </c>
      <c r="AB3090">
        <f>WarehouseData[[#This Row],[stock_level]]*WarehouseData[[#This Row],[unit_price]]</f>
        <v>27954.63</v>
      </c>
      <c r="AC3090">
        <f>WarehouseData[[#This Row],[stock_level]]*WarehouseData[[#This Row],[holding_cost_per_unit_day]]*30</f>
        <v>10127.700000000001</v>
      </c>
      <c r="AD3090" t="str">
        <f>IF(WarehouseData[[#This Row],[order_fulfillment_rate]]&gt;=0.9,"Strong",IF(WarehouseData[[#This Row],[order_fulfillment_rate]]&gt;=0.8,"Moderate","Needs Attention"))</f>
        <v>Strong</v>
      </c>
      <c r="AE3090" t="str">
        <f>IF(WarehouseData[[#This Row],[picking_time_seconds]]&gt;120,"Slow",IF(WarehouseData[[#This Row],[picking_time_seconds]]&gt;=60,"Average","Fast"))</f>
        <v>Slow</v>
      </c>
    </row>
    <row r="3091" spans="1:31" x14ac:dyDescent="0.25">
      <c r="A3091" t="s">
        <v>3229</v>
      </c>
      <c r="B3091" t="s">
        <v>73</v>
      </c>
      <c r="C3091">
        <v>478</v>
      </c>
      <c r="D3091">
        <v>79</v>
      </c>
      <c r="E3091">
        <v>10</v>
      </c>
      <c r="F3091">
        <v>6</v>
      </c>
      <c r="G3091">
        <v>29.84</v>
      </c>
      <c r="H3091">
        <v>2.6</v>
      </c>
      <c r="I3091">
        <v>0.72</v>
      </c>
      <c r="J3091" t="s">
        <v>202</v>
      </c>
      <c r="K3091" t="s">
        <v>46</v>
      </c>
      <c r="L3091">
        <v>50</v>
      </c>
      <c r="M3091">
        <v>0.56999999999999995</v>
      </c>
      <c r="N3091">
        <v>159.11000000000001</v>
      </c>
      <c r="O3091">
        <v>1.18</v>
      </c>
      <c r="P3091">
        <v>9</v>
      </c>
      <c r="Q3091">
        <v>0.9</v>
      </c>
      <c r="R3091">
        <v>491</v>
      </c>
      <c r="S3091">
        <v>12.03</v>
      </c>
      <c r="T3091">
        <v>0.25</v>
      </c>
      <c r="U3091" s="1">
        <v>45587</v>
      </c>
      <c r="V3091">
        <v>263.91000000000003</v>
      </c>
      <c r="W3091">
        <v>0.49199999999999999</v>
      </c>
      <c r="X3091" t="str">
        <f>IF(WarehouseData[[#This Row],[stock_level]]&lt;=WarehouseData[[#This Row],[reorder_point]],"Low Stock","Sufficient Stock")</f>
        <v>Sufficient Stock</v>
      </c>
      <c r="Y3091">
        <f>WarehouseData[[#This Row],[daily_demand]]*WarehouseData[[#This Row],[lead_time_days]]</f>
        <v>179.04</v>
      </c>
      <c r="Z3091" t="str">
        <f>IF(WarehouseData[[#This Row],[stock_level]]&lt;=WarehouseData[[#This Row],[Demand During Lead Time]],"At Risk","Safe")</f>
        <v>Safe</v>
      </c>
      <c r="AA3091">
        <f>WarehouseData[[#This Row],[stock_level]]/WarehouseData[[#This Row],[daily_demand]]</f>
        <v>16.018766756032171</v>
      </c>
      <c r="AB3091">
        <f>WarehouseData[[#This Row],[stock_level]]*WarehouseData[[#This Row],[unit_price]]</f>
        <v>76054.58</v>
      </c>
      <c r="AC3091">
        <f>WarehouseData[[#This Row],[stock_level]]*WarehouseData[[#This Row],[holding_cost_per_unit_day]]*30</f>
        <v>16921.199999999997</v>
      </c>
      <c r="AD3091" t="str">
        <f>IF(WarehouseData[[#This Row],[order_fulfillment_rate]]&gt;=0.9,"Strong",IF(WarehouseData[[#This Row],[order_fulfillment_rate]]&gt;=0.8,"Moderate","Needs Attention"))</f>
        <v>Strong</v>
      </c>
      <c r="AE3091" t="str">
        <f>IF(WarehouseData[[#This Row],[picking_time_seconds]]&gt;120,"Slow",IF(WarehouseData[[#This Row],[picking_time_seconds]]&gt;=60,"Average","Fast"))</f>
        <v>Fast</v>
      </c>
    </row>
    <row r="3092" spans="1:31" x14ac:dyDescent="0.25">
      <c r="A3092" t="s">
        <v>3230</v>
      </c>
      <c r="B3092" t="s">
        <v>36</v>
      </c>
      <c r="C3092">
        <v>432</v>
      </c>
      <c r="D3092">
        <v>29</v>
      </c>
      <c r="E3092">
        <v>14</v>
      </c>
      <c r="F3092">
        <v>9</v>
      </c>
      <c r="G3092">
        <v>27.32</v>
      </c>
      <c r="H3092">
        <v>1.97</v>
      </c>
      <c r="I3092">
        <v>0.91</v>
      </c>
      <c r="J3092" t="s">
        <v>59</v>
      </c>
      <c r="K3092" t="s">
        <v>46</v>
      </c>
      <c r="L3092">
        <v>128</v>
      </c>
      <c r="M3092">
        <v>0.85</v>
      </c>
      <c r="N3092">
        <v>193.8</v>
      </c>
      <c r="O3092">
        <v>0.17</v>
      </c>
      <c r="P3092">
        <v>2</v>
      </c>
      <c r="Q3092">
        <v>0.92</v>
      </c>
      <c r="R3092">
        <v>277</v>
      </c>
      <c r="S3092">
        <v>7.47</v>
      </c>
      <c r="T3092">
        <v>0.67</v>
      </c>
      <c r="U3092" s="1">
        <v>45357</v>
      </c>
      <c r="V3092">
        <v>285.13</v>
      </c>
      <c r="W3092">
        <v>0.76100000000000001</v>
      </c>
      <c r="X3092" t="str">
        <f>IF(WarehouseData[[#This Row],[stock_level]]&lt;=WarehouseData[[#This Row],[reorder_point]],"Low Stock","Sufficient Stock")</f>
        <v>Sufficient Stock</v>
      </c>
      <c r="Y3092">
        <f>WarehouseData[[#This Row],[daily_demand]]*WarehouseData[[#This Row],[lead_time_days]]</f>
        <v>245.88</v>
      </c>
      <c r="Z3092" t="str">
        <f>IF(WarehouseData[[#This Row],[stock_level]]&lt;=WarehouseData[[#This Row],[Demand During Lead Time]],"At Risk","Safe")</f>
        <v>Safe</v>
      </c>
      <c r="AA3092">
        <f>WarehouseData[[#This Row],[stock_level]]/WarehouseData[[#This Row],[daily_demand]]</f>
        <v>15.812591508052709</v>
      </c>
      <c r="AB3092">
        <f>WarehouseData[[#This Row],[stock_level]]*WarehouseData[[#This Row],[unit_price]]</f>
        <v>83721.600000000006</v>
      </c>
      <c r="AC3092">
        <f>WarehouseData[[#This Row],[stock_level]]*WarehouseData[[#This Row],[holding_cost_per_unit_day]]*30</f>
        <v>2203.2000000000003</v>
      </c>
      <c r="AD3092" t="str">
        <f>IF(WarehouseData[[#This Row],[order_fulfillment_rate]]&gt;=0.9,"Strong",IF(WarehouseData[[#This Row],[order_fulfillment_rate]]&gt;=0.8,"Moderate","Needs Attention"))</f>
        <v>Strong</v>
      </c>
      <c r="AE3092" t="str">
        <f>IF(WarehouseData[[#This Row],[picking_time_seconds]]&gt;120,"Slow",IF(WarehouseData[[#This Row],[picking_time_seconds]]&gt;=60,"Average","Fast"))</f>
        <v>Slow</v>
      </c>
    </row>
    <row r="3093" spans="1:31" x14ac:dyDescent="0.25">
      <c r="A3093" t="s">
        <v>3231</v>
      </c>
      <c r="B3093" t="s">
        <v>48</v>
      </c>
      <c r="C3093">
        <v>73</v>
      </c>
      <c r="D3093">
        <v>14</v>
      </c>
      <c r="E3093">
        <v>11</v>
      </c>
      <c r="F3093">
        <v>7</v>
      </c>
      <c r="G3093">
        <v>39.51</v>
      </c>
      <c r="H3093">
        <v>3.37</v>
      </c>
      <c r="I3093">
        <v>0.65</v>
      </c>
      <c r="J3093" t="s">
        <v>289</v>
      </c>
      <c r="K3093" t="s">
        <v>34</v>
      </c>
      <c r="L3093">
        <v>28</v>
      </c>
      <c r="M3093">
        <v>3.12</v>
      </c>
      <c r="N3093">
        <v>177.29</v>
      </c>
      <c r="O3093">
        <v>0.41</v>
      </c>
      <c r="P3093">
        <v>2</v>
      </c>
      <c r="Q3093">
        <v>0.94</v>
      </c>
      <c r="R3093">
        <v>457</v>
      </c>
      <c r="S3093">
        <v>6.9</v>
      </c>
      <c r="T3093">
        <v>0.31</v>
      </c>
      <c r="U3093" s="1">
        <v>45319</v>
      </c>
      <c r="V3093">
        <v>69.45</v>
      </c>
      <c r="W3093">
        <v>0.66100000000000003</v>
      </c>
      <c r="X3093" t="str">
        <f>IF(WarehouseData[[#This Row],[stock_level]]&lt;=WarehouseData[[#This Row],[reorder_point]],"Low Stock","Sufficient Stock")</f>
        <v>Sufficient Stock</v>
      </c>
      <c r="Y3093">
        <f>WarehouseData[[#This Row],[daily_demand]]*WarehouseData[[#This Row],[lead_time_days]]</f>
        <v>276.57</v>
      </c>
      <c r="Z3093" t="str">
        <f>IF(WarehouseData[[#This Row],[stock_level]]&lt;=WarehouseData[[#This Row],[Demand During Lead Time]],"At Risk","Safe")</f>
        <v>At Risk</v>
      </c>
      <c r="AA3093">
        <f>WarehouseData[[#This Row],[stock_level]]/WarehouseData[[#This Row],[daily_demand]]</f>
        <v>1.8476335105036701</v>
      </c>
      <c r="AB3093">
        <f>WarehouseData[[#This Row],[stock_level]]*WarehouseData[[#This Row],[unit_price]]</f>
        <v>12942.17</v>
      </c>
      <c r="AC3093">
        <f>WarehouseData[[#This Row],[stock_level]]*WarehouseData[[#This Row],[holding_cost_per_unit_day]]*30</f>
        <v>897.9</v>
      </c>
      <c r="AD3093" t="str">
        <f>IF(WarehouseData[[#This Row],[order_fulfillment_rate]]&gt;=0.9,"Strong",IF(WarehouseData[[#This Row],[order_fulfillment_rate]]&gt;=0.8,"Moderate","Needs Attention"))</f>
        <v>Strong</v>
      </c>
      <c r="AE3093" t="str">
        <f>IF(WarehouseData[[#This Row],[picking_time_seconds]]&gt;120,"Slow",IF(WarehouseData[[#This Row],[picking_time_seconds]]&gt;=60,"Average","Fast"))</f>
        <v>Fast</v>
      </c>
    </row>
    <row r="3094" spans="1:31" x14ac:dyDescent="0.25">
      <c r="A3094" t="s">
        <v>3232</v>
      </c>
      <c r="B3094" t="s">
        <v>36</v>
      </c>
      <c r="C3094">
        <v>237</v>
      </c>
      <c r="D3094">
        <v>32</v>
      </c>
      <c r="E3094">
        <v>8</v>
      </c>
      <c r="F3094">
        <v>6</v>
      </c>
      <c r="G3094">
        <v>28.24</v>
      </c>
      <c r="H3094">
        <v>7.38</v>
      </c>
      <c r="I3094">
        <v>0.51</v>
      </c>
      <c r="J3094" t="s">
        <v>62</v>
      </c>
      <c r="K3094" t="s">
        <v>46</v>
      </c>
      <c r="L3094">
        <v>85</v>
      </c>
      <c r="M3094">
        <v>4.5999999999999996</v>
      </c>
      <c r="N3094">
        <v>96.18</v>
      </c>
      <c r="O3094">
        <v>0.59</v>
      </c>
      <c r="P3094">
        <v>1</v>
      </c>
      <c r="Q3094">
        <v>0.73</v>
      </c>
      <c r="R3094">
        <v>972</v>
      </c>
      <c r="S3094">
        <v>11.48</v>
      </c>
      <c r="T3094">
        <v>0.64</v>
      </c>
      <c r="U3094" s="1">
        <v>45561</v>
      </c>
      <c r="V3094">
        <v>23.15</v>
      </c>
      <c r="W3094">
        <v>0.748</v>
      </c>
      <c r="X3094" t="str">
        <f>IF(WarehouseData[[#This Row],[stock_level]]&lt;=WarehouseData[[#This Row],[reorder_point]],"Low Stock","Sufficient Stock")</f>
        <v>Sufficient Stock</v>
      </c>
      <c r="Y3094">
        <f>WarehouseData[[#This Row],[daily_demand]]*WarehouseData[[#This Row],[lead_time_days]]</f>
        <v>169.44</v>
      </c>
      <c r="Z3094" t="str">
        <f>IF(WarehouseData[[#This Row],[stock_level]]&lt;=WarehouseData[[#This Row],[Demand During Lead Time]],"At Risk","Safe")</f>
        <v>Safe</v>
      </c>
      <c r="AA3094">
        <f>WarehouseData[[#This Row],[stock_level]]/WarehouseData[[#This Row],[daily_demand]]</f>
        <v>8.3923512747875364</v>
      </c>
      <c r="AB3094">
        <f>WarehouseData[[#This Row],[stock_level]]*WarehouseData[[#This Row],[unit_price]]</f>
        <v>22794.66</v>
      </c>
      <c r="AC3094">
        <f>WarehouseData[[#This Row],[stock_level]]*WarehouseData[[#This Row],[holding_cost_per_unit_day]]*30</f>
        <v>4194.8999999999996</v>
      </c>
      <c r="AD3094" t="str">
        <f>IF(WarehouseData[[#This Row],[order_fulfillment_rate]]&gt;=0.9,"Strong",IF(WarehouseData[[#This Row],[order_fulfillment_rate]]&gt;=0.8,"Moderate","Needs Attention"))</f>
        <v>Needs Attention</v>
      </c>
      <c r="AE3094" t="str">
        <f>IF(WarehouseData[[#This Row],[picking_time_seconds]]&gt;120,"Slow",IF(WarehouseData[[#This Row],[picking_time_seconds]]&gt;=60,"Average","Fast"))</f>
        <v>Average</v>
      </c>
    </row>
    <row r="3095" spans="1:31" x14ac:dyDescent="0.25">
      <c r="A3095" t="s">
        <v>3233</v>
      </c>
      <c r="B3095" t="s">
        <v>36</v>
      </c>
      <c r="C3095">
        <v>35</v>
      </c>
      <c r="D3095">
        <v>18</v>
      </c>
      <c r="E3095">
        <v>13</v>
      </c>
      <c r="F3095">
        <v>6</v>
      </c>
      <c r="G3095">
        <v>43</v>
      </c>
      <c r="H3095">
        <v>2.0699999999999998</v>
      </c>
      <c r="I3095">
        <v>0.62</v>
      </c>
      <c r="J3095" t="s">
        <v>68</v>
      </c>
      <c r="K3095" t="s">
        <v>46</v>
      </c>
      <c r="L3095">
        <v>118</v>
      </c>
      <c r="M3095">
        <v>3.21</v>
      </c>
      <c r="N3095">
        <v>120.11</v>
      </c>
      <c r="O3095">
        <v>1.47</v>
      </c>
      <c r="P3095">
        <v>9</v>
      </c>
      <c r="Q3095">
        <v>0.87</v>
      </c>
      <c r="R3095">
        <v>326</v>
      </c>
      <c r="S3095">
        <v>8.5</v>
      </c>
      <c r="T3095">
        <v>0.82</v>
      </c>
      <c r="U3095" s="1">
        <v>45508</v>
      </c>
      <c r="V3095">
        <v>138.94</v>
      </c>
      <c r="W3095">
        <v>0.52400000000000002</v>
      </c>
      <c r="X3095" t="str">
        <f>IF(WarehouseData[[#This Row],[stock_level]]&lt;=WarehouseData[[#This Row],[reorder_point]],"Low Stock","Sufficient Stock")</f>
        <v>Sufficient Stock</v>
      </c>
      <c r="Y3095">
        <f>WarehouseData[[#This Row],[daily_demand]]*WarehouseData[[#This Row],[lead_time_days]]</f>
        <v>258</v>
      </c>
      <c r="Z3095" t="str">
        <f>IF(WarehouseData[[#This Row],[stock_level]]&lt;=WarehouseData[[#This Row],[Demand During Lead Time]],"At Risk","Safe")</f>
        <v>At Risk</v>
      </c>
      <c r="AA3095">
        <f>WarehouseData[[#This Row],[stock_level]]/WarehouseData[[#This Row],[daily_demand]]</f>
        <v>0.81395348837209303</v>
      </c>
      <c r="AB3095">
        <f>WarehouseData[[#This Row],[stock_level]]*WarehouseData[[#This Row],[unit_price]]</f>
        <v>4203.8500000000004</v>
      </c>
      <c r="AC3095">
        <f>WarehouseData[[#This Row],[stock_level]]*WarehouseData[[#This Row],[holding_cost_per_unit_day]]*30</f>
        <v>1543.4999999999998</v>
      </c>
      <c r="AD3095" t="str">
        <f>IF(WarehouseData[[#This Row],[order_fulfillment_rate]]&gt;=0.9,"Strong",IF(WarehouseData[[#This Row],[order_fulfillment_rate]]&gt;=0.8,"Moderate","Needs Attention"))</f>
        <v>Moderate</v>
      </c>
      <c r="AE3095" t="str">
        <f>IF(WarehouseData[[#This Row],[picking_time_seconds]]&gt;120,"Slow",IF(WarehouseData[[#This Row],[picking_time_seconds]]&gt;=60,"Average","Fast"))</f>
        <v>Average</v>
      </c>
    </row>
    <row r="3096" spans="1:31" x14ac:dyDescent="0.25">
      <c r="A3096" t="s">
        <v>3234</v>
      </c>
      <c r="B3096" t="s">
        <v>40</v>
      </c>
      <c r="C3096">
        <v>118</v>
      </c>
      <c r="D3096">
        <v>67</v>
      </c>
      <c r="E3096">
        <v>11</v>
      </c>
      <c r="F3096">
        <v>3</v>
      </c>
      <c r="G3096">
        <v>12.4</v>
      </c>
      <c r="H3096">
        <v>5.48</v>
      </c>
      <c r="I3096">
        <v>0.28000000000000003</v>
      </c>
      <c r="J3096" t="s">
        <v>137</v>
      </c>
      <c r="K3096" t="s">
        <v>34</v>
      </c>
      <c r="L3096">
        <v>128</v>
      </c>
      <c r="M3096">
        <v>1.56</v>
      </c>
      <c r="N3096">
        <v>146.12</v>
      </c>
      <c r="O3096">
        <v>1.89</v>
      </c>
      <c r="P3096">
        <v>2</v>
      </c>
      <c r="Q3096">
        <v>0.81</v>
      </c>
      <c r="R3096">
        <v>67</v>
      </c>
      <c r="S3096">
        <v>6.66</v>
      </c>
      <c r="T3096">
        <v>0.2</v>
      </c>
      <c r="U3096" s="1">
        <v>45536</v>
      </c>
      <c r="V3096">
        <v>265.36</v>
      </c>
      <c r="W3096">
        <v>0.46200000000000002</v>
      </c>
      <c r="X3096" t="str">
        <f>IF(WarehouseData[[#This Row],[stock_level]]&lt;=WarehouseData[[#This Row],[reorder_point]],"Low Stock","Sufficient Stock")</f>
        <v>Sufficient Stock</v>
      </c>
      <c r="Y3096">
        <f>WarehouseData[[#This Row],[daily_demand]]*WarehouseData[[#This Row],[lead_time_days]]</f>
        <v>37.200000000000003</v>
      </c>
      <c r="Z3096" t="str">
        <f>IF(WarehouseData[[#This Row],[stock_level]]&lt;=WarehouseData[[#This Row],[Demand During Lead Time]],"At Risk","Safe")</f>
        <v>Safe</v>
      </c>
      <c r="AA3096">
        <f>WarehouseData[[#This Row],[stock_level]]/WarehouseData[[#This Row],[daily_demand]]</f>
        <v>9.5161290322580641</v>
      </c>
      <c r="AB3096">
        <f>WarehouseData[[#This Row],[stock_level]]*WarehouseData[[#This Row],[unit_price]]</f>
        <v>17242.16</v>
      </c>
      <c r="AC3096">
        <f>WarehouseData[[#This Row],[stock_level]]*WarehouseData[[#This Row],[holding_cost_per_unit_day]]*30</f>
        <v>6690.5999999999995</v>
      </c>
      <c r="AD3096" t="str">
        <f>IF(WarehouseData[[#This Row],[order_fulfillment_rate]]&gt;=0.9,"Strong",IF(WarehouseData[[#This Row],[order_fulfillment_rate]]&gt;=0.8,"Moderate","Needs Attention"))</f>
        <v>Moderate</v>
      </c>
      <c r="AE3096" t="str">
        <f>IF(WarehouseData[[#This Row],[picking_time_seconds]]&gt;120,"Slow",IF(WarehouseData[[#This Row],[picking_time_seconds]]&gt;=60,"Average","Fast"))</f>
        <v>Slow</v>
      </c>
    </row>
    <row r="3097" spans="1:31" x14ac:dyDescent="0.25">
      <c r="A3097" t="s">
        <v>3235</v>
      </c>
      <c r="B3097" t="s">
        <v>40</v>
      </c>
      <c r="C3097">
        <v>39</v>
      </c>
      <c r="D3097">
        <v>68</v>
      </c>
      <c r="E3097">
        <v>10</v>
      </c>
      <c r="F3097">
        <v>2</v>
      </c>
      <c r="G3097">
        <v>40.49</v>
      </c>
      <c r="H3097">
        <v>3.06</v>
      </c>
      <c r="I3097">
        <v>0.72</v>
      </c>
      <c r="J3097" t="s">
        <v>120</v>
      </c>
      <c r="K3097" t="s">
        <v>46</v>
      </c>
      <c r="L3097">
        <v>122</v>
      </c>
      <c r="M3097">
        <v>1.94</v>
      </c>
      <c r="N3097">
        <v>76.37</v>
      </c>
      <c r="O3097">
        <v>1.29</v>
      </c>
      <c r="P3097">
        <v>8</v>
      </c>
      <c r="Q3097">
        <v>0.74</v>
      </c>
      <c r="R3097">
        <v>805</v>
      </c>
      <c r="S3097">
        <v>4.5199999999999996</v>
      </c>
      <c r="T3097">
        <v>0.54</v>
      </c>
      <c r="U3097" s="1">
        <v>45568</v>
      </c>
      <c r="V3097">
        <v>195.15</v>
      </c>
      <c r="W3097">
        <v>0.42699999999999999</v>
      </c>
      <c r="X3097" t="str">
        <f>IF(WarehouseData[[#This Row],[stock_level]]&lt;=WarehouseData[[#This Row],[reorder_point]],"Low Stock","Sufficient Stock")</f>
        <v>Low Stock</v>
      </c>
      <c r="Y3097">
        <f>WarehouseData[[#This Row],[daily_demand]]*WarehouseData[[#This Row],[lead_time_days]]</f>
        <v>80.98</v>
      </c>
      <c r="Z3097" t="str">
        <f>IF(WarehouseData[[#This Row],[stock_level]]&lt;=WarehouseData[[#This Row],[Demand During Lead Time]],"At Risk","Safe")</f>
        <v>At Risk</v>
      </c>
      <c r="AA3097">
        <f>WarehouseData[[#This Row],[stock_level]]/WarehouseData[[#This Row],[daily_demand]]</f>
        <v>0.96320079031859718</v>
      </c>
      <c r="AB3097">
        <f>WarehouseData[[#This Row],[stock_level]]*WarehouseData[[#This Row],[unit_price]]</f>
        <v>2978.4300000000003</v>
      </c>
      <c r="AC3097">
        <f>WarehouseData[[#This Row],[stock_level]]*WarehouseData[[#This Row],[holding_cost_per_unit_day]]*30</f>
        <v>1509.3000000000002</v>
      </c>
      <c r="AD3097" t="str">
        <f>IF(WarehouseData[[#This Row],[order_fulfillment_rate]]&gt;=0.9,"Strong",IF(WarehouseData[[#This Row],[order_fulfillment_rate]]&gt;=0.8,"Moderate","Needs Attention"))</f>
        <v>Needs Attention</v>
      </c>
      <c r="AE3097" t="str">
        <f>IF(WarehouseData[[#This Row],[picking_time_seconds]]&gt;120,"Slow",IF(WarehouseData[[#This Row],[picking_time_seconds]]&gt;=60,"Average","Fast"))</f>
        <v>Slow</v>
      </c>
    </row>
    <row r="3098" spans="1:31" x14ac:dyDescent="0.25">
      <c r="A3098" t="s">
        <v>3236</v>
      </c>
      <c r="B3098" t="s">
        <v>40</v>
      </c>
      <c r="C3098">
        <v>65</v>
      </c>
      <c r="D3098">
        <v>89</v>
      </c>
      <c r="E3098">
        <v>11</v>
      </c>
      <c r="F3098">
        <v>2</v>
      </c>
      <c r="G3098">
        <v>9.7899999999999991</v>
      </c>
      <c r="H3098">
        <v>8.3800000000000008</v>
      </c>
      <c r="I3098">
        <v>0.27</v>
      </c>
      <c r="J3098" t="s">
        <v>77</v>
      </c>
      <c r="K3098" t="s">
        <v>52</v>
      </c>
      <c r="L3098">
        <v>11</v>
      </c>
      <c r="M3098">
        <v>3.3</v>
      </c>
      <c r="N3098">
        <v>161.86000000000001</v>
      </c>
      <c r="O3098">
        <v>1.17</v>
      </c>
      <c r="P3098">
        <v>2</v>
      </c>
      <c r="Q3098">
        <v>0.76</v>
      </c>
      <c r="R3098">
        <v>360</v>
      </c>
      <c r="S3098">
        <v>2.72</v>
      </c>
      <c r="T3098">
        <v>0.8</v>
      </c>
      <c r="U3098" s="1">
        <v>45308</v>
      </c>
      <c r="V3098">
        <v>299.51</v>
      </c>
      <c r="W3098">
        <v>0.59099999999999997</v>
      </c>
      <c r="X3098" t="str">
        <f>IF(WarehouseData[[#This Row],[stock_level]]&lt;=WarehouseData[[#This Row],[reorder_point]],"Low Stock","Sufficient Stock")</f>
        <v>Low Stock</v>
      </c>
      <c r="Y3098">
        <f>WarehouseData[[#This Row],[daily_demand]]*WarehouseData[[#This Row],[lead_time_days]]</f>
        <v>19.579999999999998</v>
      </c>
      <c r="Z3098" t="str">
        <f>IF(WarehouseData[[#This Row],[stock_level]]&lt;=WarehouseData[[#This Row],[Demand During Lead Time]],"At Risk","Safe")</f>
        <v>Safe</v>
      </c>
      <c r="AA3098">
        <f>WarehouseData[[#This Row],[stock_level]]/WarehouseData[[#This Row],[daily_demand]]</f>
        <v>6.6394279877425948</v>
      </c>
      <c r="AB3098">
        <f>WarehouseData[[#This Row],[stock_level]]*WarehouseData[[#This Row],[unit_price]]</f>
        <v>10520.900000000001</v>
      </c>
      <c r="AC3098">
        <f>WarehouseData[[#This Row],[stock_level]]*WarehouseData[[#This Row],[holding_cost_per_unit_day]]*30</f>
        <v>2281.5</v>
      </c>
      <c r="AD3098" t="str">
        <f>IF(WarehouseData[[#This Row],[order_fulfillment_rate]]&gt;=0.9,"Strong",IF(WarehouseData[[#This Row],[order_fulfillment_rate]]&gt;=0.8,"Moderate","Needs Attention"))</f>
        <v>Needs Attention</v>
      </c>
      <c r="AE3098" t="str">
        <f>IF(WarehouseData[[#This Row],[picking_time_seconds]]&gt;120,"Slow",IF(WarehouseData[[#This Row],[picking_time_seconds]]&gt;=60,"Average","Fast"))</f>
        <v>Fast</v>
      </c>
    </row>
    <row r="3099" spans="1:31" x14ac:dyDescent="0.25">
      <c r="A3099" t="s">
        <v>3237</v>
      </c>
      <c r="B3099" t="s">
        <v>48</v>
      </c>
      <c r="C3099">
        <v>470</v>
      </c>
      <c r="D3099">
        <v>63</v>
      </c>
      <c r="E3099">
        <v>12</v>
      </c>
      <c r="F3099">
        <v>4</v>
      </c>
      <c r="G3099">
        <v>40.840000000000003</v>
      </c>
      <c r="H3099">
        <v>0.56000000000000005</v>
      </c>
      <c r="I3099">
        <v>0.6</v>
      </c>
      <c r="J3099" t="s">
        <v>49</v>
      </c>
      <c r="K3099" t="s">
        <v>38</v>
      </c>
      <c r="L3099">
        <v>29</v>
      </c>
      <c r="M3099">
        <v>3.19</v>
      </c>
      <c r="N3099">
        <v>93.01</v>
      </c>
      <c r="O3099">
        <v>1.1200000000000001</v>
      </c>
      <c r="P3099">
        <v>4</v>
      </c>
      <c r="Q3099">
        <v>0.93</v>
      </c>
      <c r="R3099">
        <v>373</v>
      </c>
      <c r="S3099">
        <v>9.33</v>
      </c>
      <c r="T3099">
        <v>0.62</v>
      </c>
      <c r="U3099" s="1">
        <v>45549</v>
      </c>
      <c r="V3099">
        <v>272.64999999999998</v>
      </c>
      <c r="W3099">
        <v>0.64200000000000002</v>
      </c>
      <c r="X3099" t="str">
        <f>IF(WarehouseData[[#This Row],[stock_level]]&lt;=WarehouseData[[#This Row],[reorder_point]],"Low Stock","Sufficient Stock")</f>
        <v>Sufficient Stock</v>
      </c>
      <c r="Y3099">
        <f>WarehouseData[[#This Row],[daily_demand]]*WarehouseData[[#This Row],[lead_time_days]]</f>
        <v>163.36000000000001</v>
      </c>
      <c r="Z3099" t="str">
        <f>IF(WarehouseData[[#This Row],[stock_level]]&lt;=WarehouseData[[#This Row],[Demand During Lead Time]],"At Risk","Safe")</f>
        <v>Safe</v>
      </c>
      <c r="AA3099">
        <f>WarehouseData[[#This Row],[stock_level]]/WarehouseData[[#This Row],[daily_demand]]</f>
        <v>11.508325171400587</v>
      </c>
      <c r="AB3099">
        <f>WarehouseData[[#This Row],[stock_level]]*WarehouseData[[#This Row],[unit_price]]</f>
        <v>43714.700000000004</v>
      </c>
      <c r="AC3099">
        <f>WarehouseData[[#This Row],[stock_level]]*WarehouseData[[#This Row],[holding_cost_per_unit_day]]*30</f>
        <v>15792.000000000004</v>
      </c>
      <c r="AD3099" t="str">
        <f>IF(WarehouseData[[#This Row],[order_fulfillment_rate]]&gt;=0.9,"Strong",IF(WarehouseData[[#This Row],[order_fulfillment_rate]]&gt;=0.8,"Moderate","Needs Attention"))</f>
        <v>Strong</v>
      </c>
      <c r="AE3099" t="str">
        <f>IF(WarehouseData[[#This Row],[picking_time_seconds]]&gt;120,"Slow",IF(WarehouseData[[#This Row],[picking_time_seconds]]&gt;=60,"Average","Fast"))</f>
        <v>Fast</v>
      </c>
    </row>
    <row r="3100" spans="1:31" x14ac:dyDescent="0.25">
      <c r="A3100" t="s">
        <v>3238</v>
      </c>
      <c r="B3100" t="s">
        <v>48</v>
      </c>
      <c r="C3100">
        <v>212</v>
      </c>
      <c r="D3100">
        <v>55</v>
      </c>
      <c r="E3100">
        <v>6</v>
      </c>
      <c r="F3100">
        <v>3</v>
      </c>
      <c r="G3100">
        <v>47.08</v>
      </c>
      <c r="H3100">
        <v>2.62</v>
      </c>
      <c r="I3100">
        <v>0.68</v>
      </c>
      <c r="J3100" t="s">
        <v>135</v>
      </c>
      <c r="K3100" t="s">
        <v>34</v>
      </c>
      <c r="L3100">
        <v>128</v>
      </c>
      <c r="M3100">
        <v>4.8</v>
      </c>
      <c r="N3100">
        <v>170.9</v>
      </c>
      <c r="O3100">
        <v>0.77</v>
      </c>
      <c r="P3100">
        <v>6</v>
      </c>
      <c r="Q3100">
        <v>0.75</v>
      </c>
      <c r="R3100">
        <v>96</v>
      </c>
      <c r="S3100">
        <v>12.56</v>
      </c>
      <c r="T3100">
        <v>0.39</v>
      </c>
      <c r="U3100" s="1">
        <v>45469</v>
      </c>
      <c r="V3100">
        <v>123.9</v>
      </c>
      <c r="W3100">
        <v>0.59799999999999998</v>
      </c>
      <c r="X3100" t="str">
        <f>IF(WarehouseData[[#This Row],[stock_level]]&lt;=WarehouseData[[#This Row],[reorder_point]],"Low Stock","Sufficient Stock")</f>
        <v>Sufficient Stock</v>
      </c>
      <c r="Y3100">
        <f>WarehouseData[[#This Row],[daily_demand]]*WarehouseData[[#This Row],[lead_time_days]]</f>
        <v>141.24</v>
      </c>
      <c r="Z3100" t="str">
        <f>IF(WarehouseData[[#This Row],[stock_level]]&lt;=WarehouseData[[#This Row],[Demand During Lead Time]],"At Risk","Safe")</f>
        <v>Safe</v>
      </c>
      <c r="AA3100">
        <f>WarehouseData[[#This Row],[stock_level]]/WarehouseData[[#This Row],[daily_demand]]</f>
        <v>4.5029736618521667</v>
      </c>
      <c r="AB3100">
        <f>WarehouseData[[#This Row],[stock_level]]*WarehouseData[[#This Row],[unit_price]]</f>
        <v>36230.800000000003</v>
      </c>
      <c r="AC3100">
        <f>WarehouseData[[#This Row],[stock_level]]*WarehouseData[[#This Row],[holding_cost_per_unit_day]]*30</f>
        <v>4897.2000000000007</v>
      </c>
      <c r="AD3100" t="str">
        <f>IF(WarehouseData[[#This Row],[order_fulfillment_rate]]&gt;=0.9,"Strong",IF(WarehouseData[[#This Row],[order_fulfillment_rate]]&gt;=0.8,"Moderate","Needs Attention"))</f>
        <v>Needs Attention</v>
      </c>
      <c r="AE3100" t="str">
        <f>IF(WarehouseData[[#This Row],[picking_time_seconds]]&gt;120,"Slow",IF(WarehouseData[[#This Row],[picking_time_seconds]]&gt;=60,"Average","Fast"))</f>
        <v>Slow</v>
      </c>
    </row>
    <row r="3101" spans="1:31" x14ac:dyDescent="0.25">
      <c r="A3101" t="s">
        <v>3239</v>
      </c>
      <c r="B3101" t="s">
        <v>36</v>
      </c>
      <c r="C3101">
        <v>402</v>
      </c>
      <c r="D3101">
        <v>31</v>
      </c>
      <c r="E3101">
        <v>11</v>
      </c>
      <c r="F3101">
        <v>6</v>
      </c>
      <c r="G3101">
        <v>17.45</v>
      </c>
      <c r="H3101">
        <v>6.25</v>
      </c>
      <c r="I3101">
        <v>0.91</v>
      </c>
      <c r="J3101" t="s">
        <v>126</v>
      </c>
      <c r="K3101" t="s">
        <v>38</v>
      </c>
      <c r="L3101">
        <v>104</v>
      </c>
      <c r="M3101">
        <v>2.88</v>
      </c>
      <c r="N3101">
        <v>58.4</v>
      </c>
      <c r="O3101">
        <v>1.67</v>
      </c>
      <c r="P3101">
        <v>0</v>
      </c>
      <c r="Q3101">
        <v>0.79</v>
      </c>
      <c r="R3101">
        <v>871</v>
      </c>
      <c r="S3101">
        <v>11.45</v>
      </c>
      <c r="T3101">
        <v>0.76</v>
      </c>
      <c r="U3101" s="1">
        <v>45493</v>
      </c>
      <c r="V3101">
        <v>21.46</v>
      </c>
      <c r="W3101">
        <v>0.69599999999999995</v>
      </c>
      <c r="X3101" t="str">
        <f>IF(WarehouseData[[#This Row],[stock_level]]&lt;=WarehouseData[[#This Row],[reorder_point]],"Low Stock","Sufficient Stock")</f>
        <v>Sufficient Stock</v>
      </c>
      <c r="Y3101">
        <f>WarehouseData[[#This Row],[daily_demand]]*WarehouseData[[#This Row],[lead_time_days]]</f>
        <v>104.69999999999999</v>
      </c>
      <c r="Z3101" t="str">
        <f>IF(WarehouseData[[#This Row],[stock_level]]&lt;=WarehouseData[[#This Row],[Demand During Lead Time]],"At Risk","Safe")</f>
        <v>Safe</v>
      </c>
      <c r="AA3101">
        <f>WarehouseData[[#This Row],[stock_level]]/WarehouseData[[#This Row],[daily_demand]]</f>
        <v>23.037249283667624</v>
      </c>
      <c r="AB3101">
        <f>WarehouseData[[#This Row],[stock_level]]*WarehouseData[[#This Row],[unit_price]]</f>
        <v>23476.799999999999</v>
      </c>
      <c r="AC3101">
        <f>WarehouseData[[#This Row],[stock_level]]*WarehouseData[[#This Row],[holding_cost_per_unit_day]]*30</f>
        <v>20140.199999999997</v>
      </c>
      <c r="AD3101" t="str">
        <f>IF(WarehouseData[[#This Row],[order_fulfillment_rate]]&gt;=0.9,"Strong",IF(WarehouseData[[#This Row],[order_fulfillment_rate]]&gt;=0.8,"Moderate","Needs Attention"))</f>
        <v>Needs Attention</v>
      </c>
      <c r="AE3101" t="str">
        <f>IF(WarehouseData[[#This Row],[picking_time_seconds]]&gt;120,"Slow",IF(WarehouseData[[#This Row],[picking_time_seconds]]&gt;=60,"Average","Fast"))</f>
        <v>Average</v>
      </c>
    </row>
    <row r="3102" spans="1:31" x14ac:dyDescent="0.25">
      <c r="A3102" t="s">
        <v>3240</v>
      </c>
      <c r="B3102" t="s">
        <v>40</v>
      </c>
      <c r="C3102">
        <v>77</v>
      </c>
      <c r="D3102">
        <v>73</v>
      </c>
      <c r="E3102">
        <v>9</v>
      </c>
      <c r="F3102">
        <v>2</v>
      </c>
      <c r="G3102">
        <v>26.96</v>
      </c>
      <c r="H3102">
        <v>1.42</v>
      </c>
      <c r="I3102">
        <v>0.51</v>
      </c>
      <c r="J3102" t="s">
        <v>113</v>
      </c>
      <c r="K3102" t="s">
        <v>38</v>
      </c>
      <c r="L3102">
        <v>146</v>
      </c>
      <c r="M3102">
        <v>2.1</v>
      </c>
      <c r="N3102">
        <v>12.16</v>
      </c>
      <c r="O3102">
        <v>1.1299999999999999</v>
      </c>
      <c r="P3102">
        <v>0</v>
      </c>
      <c r="Q3102">
        <v>0.79</v>
      </c>
      <c r="R3102">
        <v>579</v>
      </c>
      <c r="S3102">
        <v>10.75</v>
      </c>
      <c r="T3102">
        <v>0.83</v>
      </c>
      <c r="U3102" s="1">
        <v>45643</v>
      </c>
      <c r="V3102">
        <v>11.5</v>
      </c>
      <c r="W3102">
        <v>0.754</v>
      </c>
      <c r="X3102" t="str">
        <f>IF(WarehouseData[[#This Row],[stock_level]]&lt;=WarehouseData[[#This Row],[reorder_point]],"Low Stock","Sufficient Stock")</f>
        <v>Sufficient Stock</v>
      </c>
      <c r="Y3102">
        <f>WarehouseData[[#This Row],[daily_demand]]*WarehouseData[[#This Row],[lead_time_days]]</f>
        <v>53.92</v>
      </c>
      <c r="Z3102" t="str">
        <f>IF(WarehouseData[[#This Row],[stock_level]]&lt;=WarehouseData[[#This Row],[Demand During Lead Time]],"At Risk","Safe")</f>
        <v>Safe</v>
      </c>
      <c r="AA3102">
        <f>WarehouseData[[#This Row],[stock_level]]/WarehouseData[[#This Row],[daily_demand]]</f>
        <v>2.8560830860534123</v>
      </c>
      <c r="AB3102">
        <f>WarehouseData[[#This Row],[stock_level]]*WarehouseData[[#This Row],[unit_price]]</f>
        <v>936.32</v>
      </c>
      <c r="AC3102">
        <f>WarehouseData[[#This Row],[stock_level]]*WarehouseData[[#This Row],[holding_cost_per_unit_day]]*30</f>
        <v>2610.2999999999997</v>
      </c>
      <c r="AD3102" t="str">
        <f>IF(WarehouseData[[#This Row],[order_fulfillment_rate]]&gt;=0.9,"Strong",IF(WarehouseData[[#This Row],[order_fulfillment_rate]]&gt;=0.8,"Moderate","Needs Attention"))</f>
        <v>Needs Attention</v>
      </c>
      <c r="AE3102" t="str">
        <f>IF(WarehouseData[[#This Row],[picking_time_seconds]]&gt;120,"Slow",IF(WarehouseData[[#This Row],[picking_time_seconds]]&gt;=60,"Average","Fast"))</f>
        <v>Slow</v>
      </c>
    </row>
    <row r="3103" spans="1:31" x14ac:dyDescent="0.25">
      <c r="A3103" t="s">
        <v>3241</v>
      </c>
      <c r="B3103" t="s">
        <v>48</v>
      </c>
      <c r="C3103">
        <v>456</v>
      </c>
      <c r="D3103">
        <v>17</v>
      </c>
      <c r="E3103">
        <v>7</v>
      </c>
      <c r="F3103">
        <v>5</v>
      </c>
      <c r="G3103">
        <v>33.26</v>
      </c>
      <c r="H3103">
        <v>4.93</v>
      </c>
      <c r="I3103">
        <v>0.8</v>
      </c>
      <c r="J3103" t="s">
        <v>45</v>
      </c>
      <c r="K3103" t="s">
        <v>34</v>
      </c>
      <c r="L3103">
        <v>30</v>
      </c>
      <c r="M3103">
        <v>2.86</v>
      </c>
      <c r="N3103">
        <v>130.21</v>
      </c>
      <c r="O3103">
        <v>0.54</v>
      </c>
      <c r="P3103">
        <v>9</v>
      </c>
      <c r="Q3103">
        <v>0.71</v>
      </c>
      <c r="R3103">
        <v>945</v>
      </c>
      <c r="S3103">
        <v>14</v>
      </c>
      <c r="T3103">
        <v>0.49</v>
      </c>
      <c r="U3103" s="1">
        <v>45381</v>
      </c>
      <c r="V3103">
        <v>196.82</v>
      </c>
      <c r="W3103">
        <v>0.59299999999999997</v>
      </c>
      <c r="X3103" t="str">
        <f>IF(WarehouseData[[#This Row],[stock_level]]&lt;=WarehouseData[[#This Row],[reorder_point]],"Low Stock","Sufficient Stock")</f>
        <v>Sufficient Stock</v>
      </c>
      <c r="Y3103">
        <f>WarehouseData[[#This Row],[daily_demand]]*WarehouseData[[#This Row],[lead_time_days]]</f>
        <v>166.29999999999998</v>
      </c>
      <c r="Z3103" t="str">
        <f>IF(WarehouseData[[#This Row],[stock_level]]&lt;=WarehouseData[[#This Row],[Demand During Lead Time]],"At Risk","Safe")</f>
        <v>Safe</v>
      </c>
      <c r="AA3103">
        <f>WarehouseData[[#This Row],[stock_level]]/WarehouseData[[#This Row],[daily_demand]]</f>
        <v>13.71016235718581</v>
      </c>
      <c r="AB3103">
        <f>WarehouseData[[#This Row],[stock_level]]*WarehouseData[[#This Row],[unit_price]]</f>
        <v>59375.76</v>
      </c>
      <c r="AC3103">
        <f>WarehouseData[[#This Row],[stock_level]]*WarehouseData[[#This Row],[holding_cost_per_unit_day]]*30</f>
        <v>7387.2000000000007</v>
      </c>
      <c r="AD3103" t="str">
        <f>IF(WarehouseData[[#This Row],[order_fulfillment_rate]]&gt;=0.9,"Strong",IF(WarehouseData[[#This Row],[order_fulfillment_rate]]&gt;=0.8,"Moderate","Needs Attention"))</f>
        <v>Needs Attention</v>
      </c>
      <c r="AE3103" t="str">
        <f>IF(WarehouseData[[#This Row],[picking_time_seconds]]&gt;120,"Slow",IF(WarehouseData[[#This Row],[picking_time_seconds]]&gt;=60,"Average","Fast"))</f>
        <v>Fast</v>
      </c>
    </row>
    <row r="3104" spans="1:31" x14ac:dyDescent="0.25">
      <c r="A3104" t="s">
        <v>3242</v>
      </c>
      <c r="B3104" t="s">
        <v>73</v>
      </c>
      <c r="C3104">
        <v>130</v>
      </c>
      <c r="D3104">
        <v>29</v>
      </c>
      <c r="E3104">
        <v>7</v>
      </c>
      <c r="F3104">
        <v>5</v>
      </c>
      <c r="G3104">
        <v>4.8899999999999997</v>
      </c>
      <c r="H3104">
        <v>4.6399999999999997</v>
      </c>
      <c r="I3104">
        <v>0.25</v>
      </c>
      <c r="J3104" t="s">
        <v>156</v>
      </c>
      <c r="K3104" t="s">
        <v>38</v>
      </c>
      <c r="L3104">
        <v>17</v>
      </c>
      <c r="M3104">
        <v>4.04</v>
      </c>
      <c r="N3104">
        <v>95.86</v>
      </c>
      <c r="O3104">
        <v>0.36</v>
      </c>
      <c r="P3104">
        <v>1</v>
      </c>
      <c r="Q3104">
        <v>0.84</v>
      </c>
      <c r="R3104">
        <v>762</v>
      </c>
      <c r="S3104">
        <v>6.52</v>
      </c>
      <c r="T3104">
        <v>0.44</v>
      </c>
      <c r="U3104" s="1">
        <v>45526</v>
      </c>
      <c r="V3104">
        <v>275.57</v>
      </c>
      <c r="W3104">
        <v>0.68700000000000006</v>
      </c>
      <c r="X3104" t="str">
        <f>IF(WarehouseData[[#This Row],[stock_level]]&lt;=WarehouseData[[#This Row],[reorder_point]],"Low Stock","Sufficient Stock")</f>
        <v>Sufficient Stock</v>
      </c>
      <c r="Y3104">
        <f>WarehouseData[[#This Row],[daily_demand]]*WarehouseData[[#This Row],[lead_time_days]]</f>
        <v>24.45</v>
      </c>
      <c r="Z3104" t="str">
        <f>IF(WarehouseData[[#This Row],[stock_level]]&lt;=WarehouseData[[#This Row],[Demand During Lead Time]],"At Risk","Safe")</f>
        <v>Safe</v>
      </c>
      <c r="AA3104">
        <f>WarehouseData[[#This Row],[stock_level]]/WarehouseData[[#This Row],[daily_demand]]</f>
        <v>26.584867075664622</v>
      </c>
      <c r="AB3104">
        <f>WarehouseData[[#This Row],[stock_level]]*WarehouseData[[#This Row],[unit_price]]</f>
        <v>12461.8</v>
      </c>
      <c r="AC3104">
        <f>WarehouseData[[#This Row],[stock_level]]*WarehouseData[[#This Row],[holding_cost_per_unit_day]]*30</f>
        <v>1404</v>
      </c>
      <c r="AD3104" t="str">
        <f>IF(WarehouseData[[#This Row],[order_fulfillment_rate]]&gt;=0.9,"Strong",IF(WarehouseData[[#This Row],[order_fulfillment_rate]]&gt;=0.8,"Moderate","Needs Attention"))</f>
        <v>Moderate</v>
      </c>
      <c r="AE3104" t="str">
        <f>IF(WarehouseData[[#This Row],[picking_time_seconds]]&gt;120,"Slow",IF(WarehouseData[[#This Row],[picking_time_seconds]]&gt;=60,"Average","Fast"))</f>
        <v>Fast</v>
      </c>
    </row>
    <row r="3105" spans="1:31" x14ac:dyDescent="0.25">
      <c r="A3105" t="s">
        <v>3243</v>
      </c>
      <c r="B3105" t="s">
        <v>36</v>
      </c>
      <c r="C3105">
        <v>148</v>
      </c>
      <c r="D3105">
        <v>60</v>
      </c>
      <c r="E3105">
        <v>3</v>
      </c>
      <c r="F3105">
        <v>5</v>
      </c>
      <c r="G3105">
        <v>25.21</v>
      </c>
      <c r="H3105">
        <v>8.6</v>
      </c>
      <c r="I3105">
        <v>0.24</v>
      </c>
      <c r="J3105" t="s">
        <v>289</v>
      </c>
      <c r="K3105" t="s">
        <v>38</v>
      </c>
      <c r="L3105">
        <v>176</v>
      </c>
      <c r="M3105">
        <v>2.93</v>
      </c>
      <c r="N3105">
        <v>21.37</v>
      </c>
      <c r="O3105">
        <v>1.97</v>
      </c>
      <c r="P3105">
        <v>0</v>
      </c>
      <c r="Q3105">
        <v>0.93</v>
      </c>
      <c r="R3105">
        <v>549</v>
      </c>
      <c r="S3105">
        <v>2.92</v>
      </c>
      <c r="T3105">
        <v>0.64</v>
      </c>
      <c r="U3105" s="1">
        <v>45353</v>
      </c>
      <c r="V3105">
        <v>138.83000000000001</v>
      </c>
      <c r="W3105">
        <v>0.55600000000000005</v>
      </c>
      <c r="X3105" t="str">
        <f>IF(WarehouseData[[#This Row],[stock_level]]&lt;=WarehouseData[[#This Row],[reorder_point]],"Low Stock","Sufficient Stock")</f>
        <v>Sufficient Stock</v>
      </c>
      <c r="Y3105">
        <f>WarehouseData[[#This Row],[daily_demand]]*WarehouseData[[#This Row],[lead_time_days]]</f>
        <v>126.05000000000001</v>
      </c>
      <c r="Z3105" t="str">
        <f>IF(WarehouseData[[#This Row],[stock_level]]&lt;=WarehouseData[[#This Row],[Demand During Lead Time]],"At Risk","Safe")</f>
        <v>Safe</v>
      </c>
      <c r="AA3105">
        <f>WarehouseData[[#This Row],[stock_level]]/WarehouseData[[#This Row],[daily_demand]]</f>
        <v>5.8706862356207852</v>
      </c>
      <c r="AB3105">
        <f>WarehouseData[[#This Row],[stock_level]]*WarehouseData[[#This Row],[unit_price]]</f>
        <v>3162.76</v>
      </c>
      <c r="AC3105">
        <f>WarehouseData[[#This Row],[stock_level]]*WarehouseData[[#This Row],[holding_cost_per_unit_day]]*30</f>
        <v>8746.7999999999993</v>
      </c>
      <c r="AD3105" t="str">
        <f>IF(WarehouseData[[#This Row],[order_fulfillment_rate]]&gt;=0.9,"Strong",IF(WarehouseData[[#This Row],[order_fulfillment_rate]]&gt;=0.8,"Moderate","Needs Attention"))</f>
        <v>Strong</v>
      </c>
      <c r="AE3105" t="str">
        <f>IF(WarehouseData[[#This Row],[picking_time_seconds]]&gt;120,"Slow",IF(WarehouseData[[#This Row],[picking_time_seconds]]&gt;=60,"Average","Fast"))</f>
        <v>Slow</v>
      </c>
    </row>
    <row r="3106" spans="1:31" x14ac:dyDescent="0.25">
      <c r="A3106" t="s">
        <v>3244</v>
      </c>
      <c r="B3106" t="s">
        <v>32</v>
      </c>
      <c r="C3106">
        <v>356</v>
      </c>
      <c r="D3106">
        <v>87</v>
      </c>
      <c r="E3106">
        <v>4</v>
      </c>
      <c r="F3106">
        <v>6</v>
      </c>
      <c r="G3106">
        <v>18.670000000000002</v>
      </c>
      <c r="H3106">
        <v>6.44</v>
      </c>
      <c r="I3106">
        <v>0.56999999999999995</v>
      </c>
      <c r="J3106" t="s">
        <v>104</v>
      </c>
      <c r="K3106" t="s">
        <v>34</v>
      </c>
      <c r="L3106">
        <v>174</v>
      </c>
      <c r="M3106">
        <v>1.97</v>
      </c>
      <c r="N3106">
        <v>102.65</v>
      </c>
      <c r="O3106">
        <v>0.13</v>
      </c>
      <c r="P3106">
        <v>0</v>
      </c>
      <c r="Q3106">
        <v>0.71</v>
      </c>
      <c r="R3106">
        <v>814</v>
      </c>
      <c r="S3106">
        <v>2.4300000000000002</v>
      </c>
      <c r="T3106">
        <v>0.49</v>
      </c>
      <c r="U3106" s="1">
        <v>45649</v>
      </c>
      <c r="V3106">
        <v>263.54000000000002</v>
      </c>
      <c r="W3106">
        <v>0.65900000000000003</v>
      </c>
      <c r="X3106" t="str">
        <f>IF(WarehouseData[[#This Row],[stock_level]]&lt;=WarehouseData[[#This Row],[reorder_point]],"Low Stock","Sufficient Stock")</f>
        <v>Sufficient Stock</v>
      </c>
      <c r="Y3106">
        <f>WarehouseData[[#This Row],[daily_demand]]*WarehouseData[[#This Row],[lead_time_days]]</f>
        <v>112.02000000000001</v>
      </c>
      <c r="Z3106" t="str">
        <f>IF(WarehouseData[[#This Row],[stock_level]]&lt;=WarehouseData[[#This Row],[Demand During Lead Time]],"At Risk","Safe")</f>
        <v>Safe</v>
      </c>
      <c r="AA3106">
        <f>WarehouseData[[#This Row],[stock_level]]/WarehouseData[[#This Row],[daily_demand]]</f>
        <v>19.068023567220138</v>
      </c>
      <c r="AB3106">
        <f>WarehouseData[[#This Row],[stock_level]]*WarehouseData[[#This Row],[unit_price]]</f>
        <v>36543.4</v>
      </c>
      <c r="AC3106">
        <f>WarehouseData[[#This Row],[stock_level]]*WarehouseData[[#This Row],[holding_cost_per_unit_day]]*30</f>
        <v>1388.4</v>
      </c>
      <c r="AD3106" t="str">
        <f>IF(WarehouseData[[#This Row],[order_fulfillment_rate]]&gt;=0.9,"Strong",IF(WarehouseData[[#This Row],[order_fulfillment_rate]]&gt;=0.8,"Moderate","Needs Attention"))</f>
        <v>Needs Attention</v>
      </c>
      <c r="AE3106" t="str">
        <f>IF(WarehouseData[[#This Row],[picking_time_seconds]]&gt;120,"Slow",IF(WarehouseData[[#This Row],[picking_time_seconds]]&gt;=60,"Average","Fast"))</f>
        <v>Slow</v>
      </c>
    </row>
    <row r="3107" spans="1:31" x14ac:dyDescent="0.25">
      <c r="A3107" t="s">
        <v>3245</v>
      </c>
      <c r="B3107" t="s">
        <v>36</v>
      </c>
      <c r="C3107">
        <v>213</v>
      </c>
      <c r="D3107">
        <v>48</v>
      </c>
      <c r="E3107">
        <v>12</v>
      </c>
      <c r="F3107">
        <v>6</v>
      </c>
      <c r="G3107">
        <v>43.75</v>
      </c>
      <c r="H3107">
        <v>6.58</v>
      </c>
      <c r="I3107">
        <v>0.64</v>
      </c>
      <c r="J3107" t="s">
        <v>37</v>
      </c>
      <c r="K3107" t="s">
        <v>34</v>
      </c>
      <c r="L3107">
        <v>38</v>
      </c>
      <c r="M3107">
        <v>2.02</v>
      </c>
      <c r="N3107">
        <v>42.03</v>
      </c>
      <c r="O3107">
        <v>1.87</v>
      </c>
      <c r="P3107">
        <v>9</v>
      </c>
      <c r="Q3107">
        <v>0.73</v>
      </c>
      <c r="R3107">
        <v>241</v>
      </c>
      <c r="S3107">
        <v>14.37</v>
      </c>
      <c r="T3107">
        <v>0.87</v>
      </c>
      <c r="U3107" s="1">
        <v>45557</v>
      </c>
      <c r="V3107">
        <v>174.35</v>
      </c>
      <c r="W3107">
        <v>0.54500000000000004</v>
      </c>
      <c r="X3107" t="str">
        <f>IF(WarehouseData[[#This Row],[stock_level]]&lt;=WarehouseData[[#This Row],[reorder_point]],"Low Stock","Sufficient Stock")</f>
        <v>Sufficient Stock</v>
      </c>
      <c r="Y3107">
        <f>WarehouseData[[#This Row],[daily_demand]]*WarehouseData[[#This Row],[lead_time_days]]</f>
        <v>262.5</v>
      </c>
      <c r="Z3107" t="str">
        <f>IF(WarehouseData[[#This Row],[stock_level]]&lt;=WarehouseData[[#This Row],[Demand During Lead Time]],"At Risk","Safe")</f>
        <v>At Risk</v>
      </c>
      <c r="AA3107">
        <f>WarehouseData[[#This Row],[stock_level]]/WarehouseData[[#This Row],[daily_demand]]</f>
        <v>4.8685714285714283</v>
      </c>
      <c r="AB3107">
        <f>WarehouseData[[#This Row],[stock_level]]*WarehouseData[[#This Row],[unit_price]]</f>
        <v>8952.39</v>
      </c>
      <c r="AC3107">
        <f>WarehouseData[[#This Row],[stock_level]]*WarehouseData[[#This Row],[holding_cost_per_unit_day]]*30</f>
        <v>11949.3</v>
      </c>
      <c r="AD3107" t="str">
        <f>IF(WarehouseData[[#This Row],[order_fulfillment_rate]]&gt;=0.9,"Strong",IF(WarehouseData[[#This Row],[order_fulfillment_rate]]&gt;=0.8,"Moderate","Needs Attention"))</f>
        <v>Needs Attention</v>
      </c>
      <c r="AE3107" t="str">
        <f>IF(WarehouseData[[#This Row],[picking_time_seconds]]&gt;120,"Slow",IF(WarehouseData[[#This Row],[picking_time_seconds]]&gt;=60,"Average","Fast"))</f>
        <v>Fast</v>
      </c>
    </row>
    <row r="3108" spans="1:31" x14ac:dyDescent="0.25">
      <c r="A3108" t="s">
        <v>3246</v>
      </c>
      <c r="B3108" t="s">
        <v>32</v>
      </c>
      <c r="C3108">
        <v>432</v>
      </c>
      <c r="D3108">
        <v>46</v>
      </c>
      <c r="E3108">
        <v>5</v>
      </c>
      <c r="F3108">
        <v>9</v>
      </c>
      <c r="G3108">
        <v>43.96</v>
      </c>
      <c r="H3108">
        <v>9.5399999999999991</v>
      </c>
      <c r="I3108">
        <v>0.67</v>
      </c>
      <c r="J3108" t="s">
        <v>70</v>
      </c>
      <c r="K3108" t="s">
        <v>52</v>
      </c>
      <c r="L3108">
        <v>44</v>
      </c>
      <c r="M3108">
        <v>3.91</v>
      </c>
      <c r="N3108">
        <v>129.65</v>
      </c>
      <c r="O3108">
        <v>0.51</v>
      </c>
      <c r="P3108">
        <v>3</v>
      </c>
      <c r="Q3108">
        <v>0.92</v>
      </c>
      <c r="R3108">
        <v>98</v>
      </c>
      <c r="S3108">
        <v>9.25</v>
      </c>
      <c r="T3108">
        <v>0.82</v>
      </c>
      <c r="U3108" s="1">
        <v>45527</v>
      </c>
      <c r="V3108">
        <v>38.43</v>
      </c>
      <c r="W3108">
        <v>0.76</v>
      </c>
      <c r="X3108" t="str">
        <f>IF(WarehouseData[[#This Row],[stock_level]]&lt;=WarehouseData[[#This Row],[reorder_point]],"Low Stock","Sufficient Stock")</f>
        <v>Sufficient Stock</v>
      </c>
      <c r="Y3108">
        <f>WarehouseData[[#This Row],[daily_demand]]*WarehouseData[[#This Row],[lead_time_days]]</f>
        <v>395.64</v>
      </c>
      <c r="Z3108" t="str">
        <f>IF(WarehouseData[[#This Row],[stock_level]]&lt;=WarehouseData[[#This Row],[Demand During Lead Time]],"At Risk","Safe")</f>
        <v>Safe</v>
      </c>
      <c r="AA3108">
        <f>WarehouseData[[#This Row],[stock_level]]/WarehouseData[[#This Row],[daily_demand]]</f>
        <v>9.8271155595996351</v>
      </c>
      <c r="AB3108">
        <f>WarehouseData[[#This Row],[stock_level]]*WarehouseData[[#This Row],[unit_price]]</f>
        <v>56008.800000000003</v>
      </c>
      <c r="AC3108">
        <f>WarehouseData[[#This Row],[stock_level]]*WarehouseData[[#This Row],[holding_cost_per_unit_day]]*30</f>
        <v>6609.5999999999995</v>
      </c>
      <c r="AD3108" t="str">
        <f>IF(WarehouseData[[#This Row],[order_fulfillment_rate]]&gt;=0.9,"Strong",IF(WarehouseData[[#This Row],[order_fulfillment_rate]]&gt;=0.8,"Moderate","Needs Attention"))</f>
        <v>Strong</v>
      </c>
      <c r="AE3108" t="str">
        <f>IF(WarehouseData[[#This Row],[picking_time_seconds]]&gt;120,"Slow",IF(WarehouseData[[#This Row],[picking_time_seconds]]&gt;=60,"Average","Fast"))</f>
        <v>Fast</v>
      </c>
    </row>
    <row r="3109" spans="1:31" x14ac:dyDescent="0.25">
      <c r="A3109" t="s">
        <v>3247</v>
      </c>
      <c r="B3109" t="s">
        <v>40</v>
      </c>
      <c r="C3109">
        <v>359</v>
      </c>
      <c r="D3109">
        <v>59</v>
      </c>
      <c r="E3109">
        <v>10</v>
      </c>
      <c r="F3109">
        <v>4</v>
      </c>
      <c r="G3109">
        <v>35.340000000000003</v>
      </c>
      <c r="H3109">
        <v>9.83</v>
      </c>
      <c r="I3109">
        <v>0.77</v>
      </c>
      <c r="J3109" t="s">
        <v>163</v>
      </c>
      <c r="K3109" t="s">
        <v>34</v>
      </c>
      <c r="L3109">
        <v>47</v>
      </c>
      <c r="M3109">
        <v>0.8</v>
      </c>
      <c r="N3109">
        <v>94.56</v>
      </c>
      <c r="O3109">
        <v>1.35</v>
      </c>
      <c r="P3109">
        <v>9</v>
      </c>
      <c r="Q3109">
        <v>0.88</v>
      </c>
      <c r="R3109">
        <v>143</v>
      </c>
      <c r="S3109">
        <v>12.35</v>
      </c>
      <c r="T3109">
        <v>0.45</v>
      </c>
      <c r="U3109" s="1">
        <v>45453</v>
      </c>
      <c r="V3109">
        <v>241.51</v>
      </c>
      <c r="W3109">
        <v>0.51600000000000001</v>
      </c>
      <c r="X3109" t="str">
        <f>IF(WarehouseData[[#This Row],[stock_level]]&lt;=WarehouseData[[#This Row],[reorder_point]],"Low Stock","Sufficient Stock")</f>
        <v>Sufficient Stock</v>
      </c>
      <c r="Y3109">
        <f>WarehouseData[[#This Row],[daily_demand]]*WarehouseData[[#This Row],[lead_time_days]]</f>
        <v>141.36000000000001</v>
      </c>
      <c r="Z3109" t="str">
        <f>IF(WarehouseData[[#This Row],[stock_level]]&lt;=WarehouseData[[#This Row],[Demand During Lead Time]],"At Risk","Safe")</f>
        <v>Safe</v>
      </c>
      <c r="AA3109">
        <f>WarehouseData[[#This Row],[stock_level]]/WarehouseData[[#This Row],[daily_demand]]</f>
        <v>10.158460667798527</v>
      </c>
      <c r="AB3109">
        <f>WarehouseData[[#This Row],[stock_level]]*WarehouseData[[#This Row],[unit_price]]</f>
        <v>33947.040000000001</v>
      </c>
      <c r="AC3109">
        <f>WarehouseData[[#This Row],[stock_level]]*WarehouseData[[#This Row],[holding_cost_per_unit_day]]*30</f>
        <v>14539.500000000002</v>
      </c>
      <c r="AD3109" t="str">
        <f>IF(WarehouseData[[#This Row],[order_fulfillment_rate]]&gt;=0.9,"Strong",IF(WarehouseData[[#This Row],[order_fulfillment_rate]]&gt;=0.8,"Moderate","Needs Attention"))</f>
        <v>Moderate</v>
      </c>
      <c r="AE3109" t="str">
        <f>IF(WarehouseData[[#This Row],[picking_time_seconds]]&gt;120,"Slow",IF(WarehouseData[[#This Row],[picking_time_seconds]]&gt;=60,"Average","Fast"))</f>
        <v>Fast</v>
      </c>
    </row>
    <row r="3110" spans="1:31" x14ac:dyDescent="0.25">
      <c r="A3110" t="s">
        <v>3248</v>
      </c>
      <c r="B3110" t="s">
        <v>32</v>
      </c>
      <c r="C3110">
        <v>345</v>
      </c>
      <c r="D3110">
        <v>43</v>
      </c>
      <c r="E3110">
        <v>8</v>
      </c>
      <c r="F3110">
        <v>8</v>
      </c>
      <c r="G3110">
        <v>33.130000000000003</v>
      </c>
      <c r="H3110">
        <v>6.71</v>
      </c>
      <c r="I3110">
        <v>0.37</v>
      </c>
      <c r="J3110" t="s">
        <v>95</v>
      </c>
      <c r="K3110" t="s">
        <v>46</v>
      </c>
      <c r="L3110">
        <v>99</v>
      </c>
      <c r="M3110">
        <v>1.74</v>
      </c>
      <c r="N3110">
        <v>42.51</v>
      </c>
      <c r="O3110">
        <v>0.67</v>
      </c>
      <c r="P3110">
        <v>2</v>
      </c>
      <c r="Q3110">
        <v>0.91</v>
      </c>
      <c r="R3110">
        <v>980</v>
      </c>
      <c r="S3110">
        <v>8.5</v>
      </c>
      <c r="T3110">
        <v>0.56999999999999995</v>
      </c>
      <c r="U3110" s="1">
        <v>45644</v>
      </c>
      <c r="V3110">
        <v>152.85</v>
      </c>
      <c r="W3110">
        <v>0.70199999999999996</v>
      </c>
      <c r="X3110" t="str">
        <f>IF(WarehouseData[[#This Row],[stock_level]]&lt;=WarehouseData[[#This Row],[reorder_point]],"Low Stock","Sufficient Stock")</f>
        <v>Sufficient Stock</v>
      </c>
      <c r="Y3110">
        <f>WarehouseData[[#This Row],[daily_demand]]*WarehouseData[[#This Row],[lead_time_days]]</f>
        <v>265.04000000000002</v>
      </c>
      <c r="Z3110" t="str">
        <f>IF(WarehouseData[[#This Row],[stock_level]]&lt;=WarehouseData[[#This Row],[Demand During Lead Time]],"At Risk","Safe")</f>
        <v>Safe</v>
      </c>
      <c r="AA3110">
        <f>WarehouseData[[#This Row],[stock_level]]/WarehouseData[[#This Row],[daily_demand]]</f>
        <v>10.413522487171747</v>
      </c>
      <c r="AB3110">
        <f>WarehouseData[[#This Row],[stock_level]]*WarehouseData[[#This Row],[unit_price]]</f>
        <v>14665.949999999999</v>
      </c>
      <c r="AC3110">
        <f>WarehouseData[[#This Row],[stock_level]]*WarehouseData[[#This Row],[holding_cost_per_unit_day]]*30</f>
        <v>6934.5</v>
      </c>
      <c r="AD3110" t="str">
        <f>IF(WarehouseData[[#This Row],[order_fulfillment_rate]]&gt;=0.9,"Strong",IF(WarehouseData[[#This Row],[order_fulfillment_rate]]&gt;=0.8,"Moderate","Needs Attention"))</f>
        <v>Strong</v>
      </c>
      <c r="AE3110" t="str">
        <f>IF(WarehouseData[[#This Row],[picking_time_seconds]]&gt;120,"Slow",IF(WarehouseData[[#This Row],[picking_time_seconds]]&gt;=60,"Average","Fast"))</f>
        <v>Average</v>
      </c>
    </row>
    <row r="3111" spans="1:31" x14ac:dyDescent="0.25">
      <c r="A3111" t="s">
        <v>3249</v>
      </c>
      <c r="B3111" t="s">
        <v>40</v>
      </c>
      <c r="C3111">
        <v>27</v>
      </c>
      <c r="D3111">
        <v>84</v>
      </c>
      <c r="E3111">
        <v>14</v>
      </c>
      <c r="F3111">
        <v>4</v>
      </c>
      <c r="G3111">
        <v>36.950000000000003</v>
      </c>
      <c r="H3111">
        <v>5.46</v>
      </c>
      <c r="I3111">
        <v>0.66</v>
      </c>
      <c r="J3111" t="s">
        <v>565</v>
      </c>
      <c r="K3111" t="s">
        <v>38</v>
      </c>
      <c r="L3111">
        <v>172</v>
      </c>
      <c r="M3111">
        <v>1.19</v>
      </c>
      <c r="N3111">
        <v>88.27</v>
      </c>
      <c r="O3111">
        <v>1.73</v>
      </c>
      <c r="P3111">
        <v>0</v>
      </c>
      <c r="Q3111">
        <v>0.77</v>
      </c>
      <c r="R3111">
        <v>798</v>
      </c>
      <c r="S3111">
        <v>6.58</v>
      </c>
      <c r="T3111">
        <v>0.91</v>
      </c>
      <c r="U3111" s="1">
        <v>45296</v>
      </c>
      <c r="V3111">
        <v>24.81</v>
      </c>
      <c r="W3111">
        <v>0.65100000000000002</v>
      </c>
      <c r="X3111" t="str">
        <f>IF(WarehouseData[[#This Row],[stock_level]]&lt;=WarehouseData[[#This Row],[reorder_point]],"Low Stock","Sufficient Stock")</f>
        <v>Low Stock</v>
      </c>
      <c r="Y3111">
        <f>WarehouseData[[#This Row],[daily_demand]]*WarehouseData[[#This Row],[lead_time_days]]</f>
        <v>147.80000000000001</v>
      </c>
      <c r="Z3111" t="str">
        <f>IF(WarehouseData[[#This Row],[stock_level]]&lt;=WarehouseData[[#This Row],[Demand During Lead Time]],"At Risk","Safe")</f>
        <v>At Risk</v>
      </c>
      <c r="AA3111">
        <f>WarehouseData[[#This Row],[stock_level]]/WarehouseData[[#This Row],[daily_demand]]</f>
        <v>0.73071718538565622</v>
      </c>
      <c r="AB3111">
        <f>WarehouseData[[#This Row],[stock_level]]*WarehouseData[[#This Row],[unit_price]]</f>
        <v>2383.29</v>
      </c>
      <c r="AC3111">
        <f>WarehouseData[[#This Row],[stock_level]]*WarehouseData[[#This Row],[holding_cost_per_unit_day]]*30</f>
        <v>1401.3</v>
      </c>
      <c r="AD3111" t="str">
        <f>IF(WarehouseData[[#This Row],[order_fulfillment_rate]]&gt;=0.9,"Strong",IF(WarehouseData[[#This Row],[order_fulfillment_rate]]&gt;=0.8,"Moderate","Needs Attention"))</f>
        <v>Needs Attention</v>
      </c>
      <c r="AE3111" t="str">
        <f>IF(WarehouseData[[#This Row],[picking_time_seconds]]&gt;120,"Slow",IF(WarehouseData[[#This Row],[picking_time_seconds]]&gt;=60,"Average","Fast"))</f>
        <v>Slow</v>
      </c>
    </row>
    <row r="3112" spans="1:31" x14ac:dyDescent="0.25">
      <c r="A3112" t="s">
        <v>3250</v>
      </c>
      <c r="B3112" t="s">
        <v>73</v>
      </c>
      <c r="C3112">
        <v>48</v>
      </c>
      <c r="D3112">
        <v>42</v>
      </c>
      <c r="E3112">
        <v>12</v>
      </c>
      <c r="F3112">
        <v>4</v>
      </c>
      <c r="G3112">
        <v>18.93</v>
      </c>
      <c r="H3112">
        <v>6.28</v>
      </c>
      <c r="I3112">
        <v>0.27</v>
      </c>
      <c r="J3112" t="s">
        <v>166</v>
      </c>
      <c r="K3112" t="s">
        <v>34</v>
      </c>
      <c r="L3112">
        <v>77</v>
      </c>
      <c r="M3112">
        <v>4.75</v>
      </c>
      <c r="N3112">
        <v>54.21</v>
      </c>
      <c r="O3112">
        <v>1.1299999999999999</v>
      </c>
      <c r="P3112">
        <v>2</v>
      </c>
      <c r="Q3112">
        <v>0.94</v>
      </c>
      <c r="R3112">
        <v>783</v>
      </c>
      <c r="S3112">
        <v>3.8</v>
      </c>
      <c r="T3112">
        <v>0.32</v>
      </c>
      <c r="U3112" s="1">
        <v>45298</v>
      </c>
      <c r="V3112">
        <v>246.24</v>
      </c>
      <c r="W3112">
        <v>0.55000000000000004</v>
      </c>
      <c r="X3112" t="str">
        <f>IF(WarehouseData[[#This Row],[stock_level]]&lt;=WarehouseData[[#This Row],[reorder_point]],"Low Stock","Sufficient Stock")</f>
        <v>Sufficient Stock</v>
      </c>
      <c r="Y3112">
        <f>WarehouseData[[#This Row],[daily_demand]]*WarehouseData[[#This Row],[lead_time_days]]</f>
        <v>75.72</v>
      </c>
      <c r="Z3112" t="str">
        <f>IF(WarehouseData[[#This Row],[stock_level]]&lt;=WarehouseData[[#This Row],[Demand During Lead Time]],"At Risk","Safe")</f>
        <v>At Risk</v>
      </c>
      <c r="AA3112">
        <f>WarehouseData[[#This Row],[stock_level]]/WarehouseData[[#This Row],[daily_demand]]</f>
        <v>2.5356576862123612</v>
      </c>
      <c r="AB3112">
        <f>WarehouseData[[#This Row],[stock_level]]*WarehouseData[[#This Row],[unit_price]]</f>
        <v>2602.08</v>
      </c>
      <c r="AC3112">
        <f>WarehouseData[[#This Row],[stock_level]]*WarehouseData[[#This Row],[holding_cost_per_unit_day]]*30</f>
        <v>1627.1999999999998</v>
      </c>
      <c r="AD3112" t="str">
        <f>IF(WarehouseData[[#This Row],[order_fulfillment_rate]]&gt;=0.9,"Strong",IF(WarehouseData[[#This Row],[order_fulfillment_rate]]&gt;=0.8,"Moderate","Needs Attention"))</f>
        <v>Strong</v>
      </c>
      <c r="AE3112" t="str">
        <f>IF(WarehouseData[[#This Row],[picking_time_seconds]]&gt;120,"Slow",IF(WarehouseData[[#This Row],[picking_time_seconds]]&gt;=60,"Average","Fast"))</f>
        <v>Average</v>
      </c>
    </row>
    <row r="3113" spans="1:31" x14ac:dyDescent="0.25">
      <c r="A3113" t="s">
        <v>3251</v>
      </c>
      <c r="B3113" t="s">
        <v>32</v>
      </c>
      <c r="C3113">
        <v>131</v>
      </c>
      <c r="D3113">
        <v>40</v>
      </c>
      <c r="E3113">
        <v>13</v>
      </c>
      <c r="F3113">
        <v>7</v>
      </c>
      <c r="G3113">
        <v>20.82</v>
      </c>
      <c r="H3113">
        <v>4.13</v>
      </c>
      <c r="I3113">
        <v>0.3</v>
      </c>
      <c r="J3113" t="s">
        <v>334</v>
      </c>
      <c r="K3113" t="s">
        <v>52</v>
      </c>
      <c r="L3113">
        <v>140</v>
      </c>
      <c r="M3113">
        <v>0.91</v>
      </c>
      <c r="N3113">
        <v>134.09</v>
      </c>
      <c r="O3113">
        <v>0.37</v>
      </c>
      <c r="P3113">
        <v>0</v>
      </c>
      <c r="Q3113">
        <v>0.84</v>
      </c>
      <c r="R3113">
        <v>216</v>
      </c>
      <c r="S3113">
        <v>12.99</v>
      </c>
      <c r="T3113">
        <v>0.8</v>
      </c>
      <c r="U3113" s="1">
        <v>45637</v>
      </c>
      <c r="V3113">
        <v>229.72</v>
      </c>
      <c r="W3113">
        <v>0.86399999999999999</v>
      </c>
      <c r="X3113" t="str">
        <f>IF(WarehouseData[[#This Row],[stock_level]]&lt;=WarehouseData[[#This Row],[reorder_point]],"Low Stock","Sufficient Stock")</f>
        <v>Sufficient Stock</v>
      </c>
      <c r="Y3113">
        <f>WarehouseData[[#This Row],[daily_demand]]*WarehouseData[[#This Row],[lead_time_days]]</f>
        <v>145.74</v>
      </c>
      <c r="Z3113" t="str">
        <f>IF(WarehouseData[[#This Row],[stock_level]]&lt;=WarehouseData[[#This Row],[Demand During Lead Time]],"At Risk","Safe")</f>
        <v>At Risk</v>
      </c>
      <c r="AA3113">
        <f>WarehouseData[[#This Row],[stock_level]]/WarehouseData[[#This Row],[daily_demand]]</f>
        <v>6.2920268972142166</v>
      </c>
      <c r="AB3113">
        <f>WarehouseData[[#This Row],[stock_level]]*WarehouseData[[#This Row],[unit_price]]</f>
        <v>17565.79</v>
      </c>
      <c r="AC3113">
        <f>WarehouseData[[#This Row],[stock_level]]*WarehouseData[[#This Row],[holding_cost_per_unit_day]]*30</f>
        <v>1454.1</v>
      </c>
      <c r="AD3113" t="str">
        <f>IF(WarehouseData[[#This Row],[order_fulfillment_rate]]&gt;=0.9,"Strong",IF(WarehouseData[[#This Row],[order_fulfillment_rate]]&gt;=0.8,"Moderate","Needs Attention"))</f>
        <v>Moderate</v>
      </c>
      <c r="AE3113" t="str">
        <f>IF(WarehouseData[[#This Row],[picking_time_seconds]]&gt;120,"Slow",IF(WarehouseData[[#This Row],[picking_time_seconds]]&gt;=60,"Average","Fast"))</f>
        <v>Slow</v>
      </c>
    </row>
    <row r="3114" spans="1:31" x14ac:dyDescent="0.25">
      <c r="A3114" t="s">
        <v>3252</v>
      </c>
      <c r="B3114" t="s">
        <v>36</v>
      </c>
      <c r="C3114">
        <v>454</v>
      </c>
      <c r="D3114">
        <v>63</v>
      </c>
      <c r="E3114">
        <v>7</v>
      </c>
      <c r="F3114">
        <v>5</v>
      </c>
      <c r="G3114">
        <v>28.13</v>
      </c>
      <c r="H3114">
        <v>9.8800000000000008</v>
      </c>
      <c r="I3114">
        <v>0.16</v>
      </c>
      <c r="J3114" t="s">
        <v>340</v>
      </c>
      <c r="K3114" t="s">
        <v>34</v>
      </c>
      <c r="L3114">
        <v>118</v>
      </c>
      <c r="M3114">
        <v>3.91</v>
      </c>
      <c r="N3114">
        <v>66.08</v>
      </c>
      <c r="O3114">
        <v>0.61</v>
      </c>
      <c r="P3114">
        <v>2</v>
      </c>
      <c r="Q3114">
        <v>0.88</v>
      </c>
      <c r="R3114">
        <v>543</v>
      </c>
      <c r="S3114">
        <v>1.89</v>
      </c>
      <c r="T3114">
        <v>0.45</v>
      </c>
      <c r="U3114" s="1">
        <v>45399</v>
      </c>
      <c r="V3114">
        <v>142.61000000000001</v>
      </c>
      <c r="W3114">
        <v>0.59</v>
      </c>
      <c r="X3114" t="str">
        <f>IF(WarehouseData[[#This Row],[stock_level]]&lt;=WarehouseData[[#This Row],[reorder_point]],"Low Stock","Sufficient Stock")</f>
        <v>Sufficient Stock</v>
      </c>
      <c r="Y3114">
        <f>WarehouseData[[#This Row],[daily_demand]]*WarehouseData[[#This Row],[lead_time_days]]</f>
        <v>140.65</v>
      </c>
      <c r="Z3114" t="str">
        <f>IF(WarehouseData[[#This Row],[stock_level]]&lt;=WarehouseData[[#This Row],[Demand During Lead Time]],"At Risk","Safe")</f>
        <v>Safe</v>
      </c>
      <c r="AA3114">
        <f>WarehouseData[[#This Row],[stock_level]]/WarehouseData[[#This Row],[daily_demand]]</f>
        <v>16.139353003910415</v>
      </c>
      <c r="AB3114">
        <f>WarehouseData[[#This Row],[stock_level]]*WarehouseData[[#This Row],[unit_price]]</f>
        <v>30000.32</v>
      </c>
      <c r="AC3114">
        <f>WarehouseData[[#This Row],[stock_level]]*WarehouseData[[#This Row],[holding_cost_per_unit_day]]*30</f>
        <v>8308.2000000000007</v>
      </c>
      <c r="AD3114" t="str">
        <f>IF(WarehouseData[[#This Row],[order_fulfillment_rate]]&gt;=0.9,"Strong",IF(WarehouseData[[#This Row],[order_fulfillment_rate]]&gt;=0.8,"Moderate","Needs Attention"))</f>
        <v>Moderate</v>
      </c>
      <c r="AE3114" t="str">
        <f>IF(WarehouseData[[#This Row],[picking_time_seconds]]&gt;120,"Slow",IF(WarehouseData[[#This Row],[picking_time_seconds]]&gt;=60,"Average","Fast"))</f>
        <v>Average</v>
      </c>
    </row>
    <row r="3115" spans="1:31" x14ac:dyDescent="0.25">
      <c r="A3115" t="s">
        <v>3253</v>
      </c>
      <c r="B3115" t="s">
        <v>40</v>
      </c>
      <c r="C3115">
        <v>180</v>
      </c>
      <c r="D3115">
        <v>53</v>
      </c>
      <c r="E3115">
        <v>3</v>
      </c>
      <c r="F3115">
        <v>6</v>
      </c>
      <c r="G3115">
        <v>46.96</v>
      </c>
      <c r="H3115">
        <v>7.2</v>
      </c>
      <c r="I3115">
        <v>0.77</v>
      </c>
      <c r="J3115" t="s">
        <v>181</v>
      </c>
      <c r="K3115" t="s">
        <v>38</v>
      </c>
      <c r="L3115">
        <v>120</v>
      </c>
      <c r="M3115">
        <v>3.34</v>
      </c>
      <c r="N3115">
        <v>166.18</v>
      </c>
      <c r="O3115">
        <v>0.71</v>
      </c>
      <c r="P3115">
        <v>3</v>
      </c>
      <c r="Q3115">
        <v>0.73</v>
      </c>
      <c r="R3115">
        <v>303</v>
      </c>
      <c r="S3115">
        <v>13.6</v>
      </c>
      <c r="T3115">
        <v>0.3</v>
      </c>
      <c r="U3115" s="1">
        <v>45486</v>
      </c>
      <c r="V3115">
        <v>15.64</v>
      </c>
      <c r="W3115">
        <v>0.65600000000000003</v>
      </c>
      <c r="X3115" t="str">
        <f>IF(WarehouseData[[#This Row],[stock_level]]&lt;=WarehouseData[[#This Row],[reorder_point]],"Low Stock","Sufficient Stock")</f>
        <v>Sufficient Stock</v>
      </c>
      <c r="Y3115">
        <f>WarehouseData[[#This Row],[daily_demand]]*WarehouseData[[#This Row],[lead_time_days]]</f>
        <v>281.76</v>
      </c>
      <c r="Z3115" t="str">
        <f>IF(WarehouseData[[#This Row],[stock_level]]&lt;=WarehouseData[[#This Row],[Demand During Lead Time]],"At Risk","Safe")</f>
        <v>At Risk</v>
      </c>
      <c r="AA3115">
        <f>WarehouseData[[#This Row],[stock_level]]/WarehouseData[[#This Row],[daily_demand]]</f>
        <v>3.8330494037478706</v>
      </c>
      <c r="AB3115">
        <f>WarehouseData[[#This Row],[stock_level]]*WarehouseData[[#This Row],[unit_price]]</f>
        <v>29912.400000000001</v>
      </c>
      <c r="AC3115">
        <f>WarehouseData[[#This Row],[stock_level]]*WarehouseData[[#This Row],[holding_cost_per_unit_day]]*30</f>
        <v>3834</v>
      </c>
      <c r="AD3115" t="str">
        <f>IF(WarehouseData[[#This Row],[order_fulfillment_rate]]&gt;=0.9,"Strong",IF(WarehouseData[[#This Row],[order_fulfillment_rate]]&gt;=0.8,"Moderate","Needs Attention"))</f>
        <v>Needs Attention</v>
      </c>
      <c r="AE3115" t="str">
        <f>IF(WarehouseData[[#This Row],[picking_time_seconds]]&gt;120,"Slow",IF(WarehouseData[[#This Row],[picking_time_seconds]]&gt;=60,"Average","Fast"))</f>
        <v>Average</v>
      </c>
    </row>
    <row r="3116" spans="1:31" x14ac:dyDescent="0.25">
      <c r="A3116" t="s">
        <v>3254</v>
      </c>
      <c r="B3116" t="s">
        <v>36</v>
      </c>
      <c r="C3116">
        <v>150</v>
      </c>
      <c r="D3116">
        <v>43</v>
      </c>
      <c r="E3116">
        <v>14</v>
      </c>
      <c r="F3116">
        <v>5</v>
      </c>
      <c r="G3116">
        <v>36.479999999999997</v>
      </c>
      <c r="H3116">
        <v>3.26</v>
      </c>
      <c r="I3116">
        <v>0.56000000000000005</v>
      </c>
      <c r="J3116" t="s">
        <v>160</v>
      </c>
      <c r="K3116" t="s">
        <v>34</v>
      </c>
      <c r="L3116">
        <v>21</v>
      </c>
      <c r="M3116">
        <v>3.35</v>
      </c>
      <c r="N3116">
        <v>12.69</v>
      </c>
      <c r="O3116">
        <v>1.78</v>
      </c>
      <c r="P3116">
        <v>7</v>
      </c>
      <c r="Q3116">
        <v>0.76</v>
      </c>
      <c r="R3116">
        <v>106</v>
      </c>
      <c r="S3116">
        <v>3.87</v>
      </c>
      <c r="T3116">
        <v>0.28999999999999998</v>
      </c>
      <c r="U3116" s="1">
        <v>45589</v>
      </c>
      <c r="V3116">
        <v>110.61</v>
      </c>
      <c r="W3116">
        <v>0.34399999999999997</v>
      </c>
      <c r="X3116" t="str">
        <f>IF(WarehouseData[[#This Row],[stock_level]]&lt;=WarehouseData[[#This Row],[reorder_point]],"Low Stock","Sufficient Stock")</f>
        <v>Sufficient Stock</v>
      </c>
      <c r="Y3116">
        <f>WarehouseData[[#This Row],[daily_demand]]*WarehouseData[[#This Row],[lead_time_days]]</f>
        <v>182.39999999999998</v>
      </c>
      <c r="Z3116" t="str">
        <f>IF(WarehouseData[[#This Row],[stock_level]]&lt;=WarehouseData[[#This Row],[Demand During Lead Time]],"At Risk","Safe")</f>
        <v>At Risk</v>
      </c>
      <c r="AA3116">
        <f>WarehouseData[[#This Row],[stock_level]]/WarehouseData[[#This Row],[daily_demand]]</f>
        <v>4.1118421052631584</v>
      </c>
      <c r="AB3116">
        <f>WarehouseData[[#This Row],[stock_level]]*WarehouseData[[#This Row],[unit_price]]</f>
        <v>1903.5</v>
      </c>
      <c r="AC3116">
        <f>WarehouseData[[#This Row],[stock_level]]*WarehouseData[[#This Row],[holding_cost_per_unit_day]]*30</f>
        <v>8010</v>
      </c>
      <c r="AD3116" t="str">
        <f>IF(WarehouseData[[#This Row],[order_fulfillment_rate]]&gt;=0.9,"Strong",IF(WarehouseData[[#This Row],[order_fulfillment_rate]]&gt;=0.8,"Moderate","Needs Attention"))</f>
        <v>Needs Attention</v>
      </c>
      <c r="AE3116" t="str">
        <f>IF(WarehouseData[[#This Row],[picking_time_seconds]]&gt;120,"Slow",IF(WarehouseData[[#This Row],[picking_time_seconds]]&gt;=60,"Average","Fast"))</f>
        <v>Fast</v>
      </c>
    </row>
    <row r="3117" spans="1:31" x14ac:dyDescent="0.25">
      <c r="A3117" t="s">
        <v>3255</v>
      </c>
      <c r="B3117" t="s">
        <v>48</v>
      </c>
      <c r="C3117">
        <v>207</v>
      </c>
      <c r="D3117">
        <v>80</v>
      </c>
      <c r="E3117">
        <v>13</v>
      </c>
      <c r="F3117">
        <v>4</v>
      </c>
      <c r="G3117">
        <v>28</v>
      </c>
      <c r="H3117">
        <v>1.05</v>
      </c>
      <c r="I3117">
        <v>0.31</v>
      </c>
      <c r="J3117" t="s">
        <v>122</v>
      </c>
      <c r="K3117" t="s">
        <v>38</v>
      </c>
      <c r="L3117">
        <v>41</v>
      </c>
      <c r="M3117">
        <v>3.94</v>
      </c>
      <c r="N3117">
        <v>86.65</v>
      </c>
      <c r="O3117">
        <v>1.56</v>
      </c>
      <c r="P3117">
        <v>2</v>
      </c>
      <c r="Q3117">
        <v>0.93</v>
      </c>
      <c r="R3117">
        <v>55</v>
      </c>
      <c r="S3117">
        <v>1.1299999999999999</v>
      </c>
      <c r="T3117">
        <v>0.42</v>
      </c>
      <c r="U3117" s="1">
        <v>45343</v>
      </c>
      <c r="V3117">
        <v>136.13999999999999</v>
      </c>
      <c r="W3117">
        <v>0.48899999999999999</v>
      </c>
      <c r="X3117" t="str">
        <f>IF(WarehouseData[[#This Row],[stock_level]]&lt;=WarehouseData[[#This Row],[reorder_point]],"Low Stock","Sufficient Stock")</f>
        <v>Sufficient Stock</v>
      </c>
      <c r="Y3117">
        <f>WarehouseData[[#This Row],[daily_demand]]*WarehouseData[[#This Row],[lead_time_days]]</f>
        <v>112</v>
      </c>
      <c r="Z3117" t="str">
        <f>IF(WarehouseData[[#This Row],[stock_level]]&lt;=WarehouseData[[#This Row],[Demand During Lead Time]],"At Risk","Safe")</f>
        <v>Safe</v>
      </c>
      <c r="AA3117">
        <f>WarehouseData[[#This Row],[stock_level]]/WarehouseData[[#This Row],[daily_demand]]</f>
        <v>7.3928571428571432</v>
      </c>
      <c r="AB3117">
        <f>WarehouseData[[#This Row],[stock_level]]*WarehouseData[[#This Row],[unit_price]]</f>
        <v>17936.550000000003</v>
      </c>
      <c r="AC3117">
        <f>WarehouseData[[#This Row],[stock_level]]*WarehouseData[[#This Row],[holding_cost_per_unit_day]]*30</f>
        <v>9687.6</v>
      </c>
      <c r="AD3117" t="str">
        <f>IF(WarehouseData[[#This Row],[order_fulfillment_rate]]&gt;=0.9,"Strong",IF(WarehouseData[[#This Row],[order_fulfillment_rate]]&gt;=0.8,"Moderate","Needs Attention"))</f>
        <v>Strong</v>
      </c>
      <c r="AE3117" t="str">
        <f>IF(WarehouseData[[#This Row],[picking_time_seconds]]&gt;120,"Slow",IF(WarehouseData[[#This Row],[picking_time_seconds]]&gt;=60,"Average","Fast"))</f>
        <v>Fast</v>
      </c>
    </row>
    <row r="3118" spans="1:31" x14ac:dyDescent="0.25">
      <c r="A3118" t="s">
        <v>3256</v>
      </c>
      <c r="B3118" t="s">
        <v>40</v>
      </c>
      <c r="C3118">
        <v>182</v>
      </c>
      <c r="D3118">
        <v>71</v>
      </c>
      <c r="E3118">
        <v>14</v>
      </c>
      <c r="F3118">
        <v>6</v>
      </c>
      <c r="G3118">
        <v>38.75</v>
      </c>
      <c r="H3118">
        <v>0.92</v>
      </c>
      <c r="I3118">
        <v>0.6</v>
      </c>
      <c r="J3118" t="s">
        <v>273</v>
      </c>
      <c r="K3118" t="s">
        <v>34</v>
      </c>
      <c r="L3118">
        <v>72</v>
      </c>
      <c r="M3118">
        <v>2.2999999999999998</v>
      </c>
      <c r="N3118">
        <v>127.25</v>
      </c>
      <c r="O3118">
        <v>1.68</v>
      </c>
      <c r="P3118">
        <v>2</v>
      </c>
      <c r="Q3118">
        <v>0.77</v>
      </c>
      <c r="R3118">
        <v>287</v>
      </c>
      <c r="S3118">
        <v>2.4500000000000002</v>
      </c>
      <c r="T3118">
        <v>0.64</v>
      </c>
      <c r="U3118" s="1">
        <v>45458</v>
      </c>
      <c r="V3118">
        <v>57.94</v>
      </c>
      <c r="W3118">
        <v>0.50700000000000001</v>
      </c>
      <c r="X3118" t="str">
        <f>IF(WarehouseData[[#This Row],[stock_level]]&lt;=WarehouseData[[#This Row],[reorder_point]],"Low Stock","Sufficient Stock")</f>
        <v>Sufficient Stock</v>
      </c>
      <c r="Y3118">
        <f>WarehouseData[[#This Row],[daily_demand]]*WarehouseData[[#This Row],[lead_time_days]]</f>
        <v>232.5</v>
      </c>
      <c r="Z3118" t="str">
        <f>IF(WarehouseData[[#This Row],[stock_level]]&lt;=WarehouseData[[#This Row],[Demand During Lead Time]],"At Risk","Safe")</f>
        <v>At Risk</v>
      </c>
      <c r="AA3118">
        <f>WarehouseData[[#This Row],[stock_level]]/WarehouseData[[#This Row],[daily_demand]]</f>
        <v>4.6967741935483867</v>
      </c>
      <c r="AB3118">
        <f>WarehouseData[[#This Row],[stock_level]]*WarehouseData[[#This Row],[unit_price]]</f>
        <v>23159.5</v>
      </c>
      <c r="AC3118">
        <f>WarehouseData[[#This Row],[stock_level]]*WarehouseData[[#This Row],[holding_cost_per_unit_day]]*30</f>
        <v>9172.7999999999993</v>
      </c>
      <c r="AD3118" t="str">
        <f>IF(WarehouseData[[#This Row],[order_fulfillment_rate]]&gt;=0.9,"Strong",IF(WarehouseData[[#This Row],[order_fulfillment_rate]]&gt;=0.8,"Moderate","Needs Attention"))</f>
        <v>Needs Attention</v>
      </c>
      <c r="AE3118" t="str">
        <f>IF(WarehouseData[[#This Row],[picking_time_seconds]]&gt;120,"Slow",IF(WarehouseData[[#This Row],[picking_time_seconds]]&gt;=60,"Average","Fast"))</f>
        <v>Average</v>
      </c>
    </row>
    <row r="3119" spans="1:31" x14ac:dyDescent="0.25">
      <c r="A3119" t="s">
        <v>3257</v>
      </c>
      <c r="B3119" t="s">
        <v>32</v>
      </c>
      <c r="C3119">
        <v>216</v>
      </c>
      <c r="D3119">
        <v>32</v>
      </c>
      <c r="E3119">
        <v>11</v>
      </c>
      <c r="F3119">
        <v>3</v>
      </c>
      <c r="G3119">
        <v>19.170000000000002</v>
      </c>
      <c r="H3119">
        <v>2.4500000000000002</v>
      </c>
      <c r="I3119">
        <v>0.42</v>
      </c>
      <c r="J3119" t="s">
        <v>70</v>
      </c>
      <c r="K3119" t="s">
        <v>52</v>
      </c>
      <c r="L3119">
        <v>163</v>
      </c>
      <c r="M3119">
        <v>2.2999999999999998</v>
      </c>
      <c r="N3119">
        <v>14.3</v>
      </c>
      <c r="O3119">
        <v>0.2</v>
      </c>
      <c r="P3119">
        <v>8</v>
      </c>
      <c r="Q3119">
        <v>0.73</v>
      </c>
      <c r="R3119">
        <v>782</v>
      </c>
      <c r="S3119">
        <v>13.37</v>
      </c>
      <c r="T3119">
        <v>0.93</v>
      </c>
      <c r="U3119" s="1">
        <v>45477</v>
      </c>
      <c r="V3119">
        <v>56.66</v>
      </c>
      <c r="W3119">
        <v>0.73</v>
      </c>
      <c r="X3119" t="str">
        <f>IF(WarehouseData[[#This Row],[stock_level]]&lt;=WarehouseData[[#This Row],[reorder_point]],"Low Stock","Sufficient Stock")</f>
        <v>Sufficient Stock</v>
      </c>
      <c r="Y3119">
        <f>WarehouseData[[#This Row],[daily_demand]]*WarehouseData[[#This Row],[lead_time_days]]</f>
        <v>57.510000000000005</v>
      </c>
      <c r="Z3119" t="str">
        <f>IF(WarehouseData[[#This Row],[stock_level]]&lt;=WarehouseData[[#This Row],[Demand During Lead Time]],"At Risk","Safe")</f>
        <v>Safe</v>
      </c>
      <c r="AA3119">
        <f>WarehouseData[[#This Row],[stock_level]]/WarehouseData[[#This Row],[daily_demand]]</f>
        <v>11.267605633802816</v>
      </c>
      <c r="AB3119">
        <f>WarehouseData[[#This Row],[stock_level]]*WarehouseData[[#This Row],[unit_price]]</f>
        <v>3088.8</v>
      </c>
      <c r="AC3119">
        <f>WarehouseData[[#This Row],[stock_level]]*WarehouseData[[#This Row],[holding_cost_per_unit_day]]*30</f>
        <v>1296</v>
      </c>
      <c r="AD3119" t="str">
        <f>IF(WarehouseData[[#This Row],[order_fulfillment_rate]]&gt;=0.9,"Strong",IF(WarehouseData[[#This Row],[order_fulfillment_rate]]&gt;=0.8,"Moderate","Needs Attention"))</f>
        <v>Needs Attention</v>
      </c>
      <c r="AE3119" t="str">
        <f>IF(WarehouseData[[#This Row],[picking_time_seconds]]&gt;120,"Slow",IF(WarehouseData[[#This Row],[picking_time_seconds]]&gt;=60,"Average","Fast"))</f>
        <v>Slow</v>
      </c>
    </row>
    <row r="3120" spans="1:31" x14ac:dyDescent="0.25">
      <c r="A3120" t="s">
        <v>3258</v>
      </c>
      <c r="B3120" t="s">
        <v>40</v>
      </c>
      <c r="C3120">
        <v>494</v>
      </c>
      <c r="D3120">
        <v>55</v>
      </c>
      <c r="E3120">
        <v>5</v>
      </c>
      <c r="F3120">
        <v>9</v>
      </c>
      <c r="G3120">
        <v>36.79</v>
      </c>
      <c r="H3120">
        <v>2.71</v>
      </c>
      <c r="I3120">
        <v>0.85</v>
      </c>
      <c r="J3120" t="s">
        <v>98</v>
      </c>
      <c r="K3120" t="s">
        <v>46</v>
      </c>
      <c r="L3120">
        <v>52</v>
      </c>
      <c r="M3120">
        <v>1.8</v>
      </c>
      <c r="N3120">
        <v>51.01</v>
      </c>
      <c r="O3120">
        <v>1.2</v>
      </c>
      <c r="P3120">
        <v>8</v>
      </c>
      <c r="Q3120">
        <v>0.88</v>
      </c>
      <c r="R3120">
        <v>273</v>
      </c>
      <c r="S3120">
        <v>2.0299999999999998</v>
      </c>
      <c r="T3120">
        <v>0.44</v>
      </c>
      <c r="U3120" s="1">
        <v>45605</v>
      </c>
      <c r="V3120">
        <v>58.42</v>
      </c>
      <c r="W3120">
        <v>0.41099999999999998</v>
      </c>
      <c r="X3120" t="str">
        <f>IF(WarehouseData[[#This Row],[stock_level]]&lt;=WarehouseData[[#This Row],[reorder_point]],"Low Stock","Sufficient Stock")</f>
        <v>Sufficient Stock</v>
      </c>
      <c r="Y3120">
        <f>WarehouseData[[#This Row],[daily_demand]]*WarehouseData[[#This Row],[lead_time_days]]</f>
        <v>331.11</v>
      </c>
      <c r="Z3120" t="str">
        <f>IF(WarehouseData[[#This Row],[stock_level]]&lt;=WarehouseData[[#This Row],[Demand During Lead Time]],"At Risk","Safe")</f>
        <v>Safe</v>
      </c>
      <c r="AA3120">
        <f>WarehouseData[[#This Row],[stock_level]]/WarehouseData[[#This Row],[daily_demand]]</f>
        <v>13.42756183745583</v>
      </c>
      <c r="AB3120">
        <f>WarehouseData[[#This Row],[stock_level]]*WarehouseData[[#This Row],[unit_price]]</f>
        <v>25198.94</v>
      </c>
      <c r="AC3120">
        <f>WarehouseData[[#This Row],[stock_level]]*WarehouseData[[#This Row],[holding_cost_per_unit_day]]*30</f>
        <v>17784</v>
      </c>
      <c r="AD3120" t="str">
        <f>IF(WarehouseData[[#This Row],[order_fulfillment_rate]]&gt;=0.9,"Strong",IF(WarehouseData[[#This Row],[order_fulfillment_rate]]&gt;=0.8,"Moderate","Needs Attention"))</f>
        <v>Moderate</v>
      </c>
      <c r="AE3120" t="str">
        <f>IF(WarehouseData[[#This Row],[picking_time_seconds]]&gt;120,"Slow",IF(WarehouseData[[#This Row],[picking_time_seconds]]&gt;=60,"Average","Fast"))</f>
        <v>Fast</v>
      </c>
    </row>
    <row r="3121" spans="1:31" x14ac:dyDescent="0.25">
      <c r="A3121" t="s">
        <v>3259</v>
      </c>
      <c r="B3121" t="s">
        <v>36</v>
      </c>
      <c r="C3121">
        <v>383</v>
      </c>
      <c r="D3121">
        <v>65</v>
      </c>
      <c r="E3121">
        <v>5</v>
      </c>
      <c r="F3121">
        <v>2</v>
      </c>
      <c r="G3121">
        <v>21.12</v>
      </c>
      <c r="H3121">
        <v>4.4400000000000004</v>
      </c>
      <c r="I3121">
        <v>0.57999999999999996</v>
      </c>
      <c r="J3121" t="s">
        <v>273</v>
      </c>
      <c r="K3121" t="s">
        <v>52</v>
      </c>
      <c r="L3121">
        <v>116</v>
      </c>
      <c r="M3121">
        <v>3.19</v>
      </c>
      <c r="N3121">
        <v>72.209999999999994</v>
      </c>
      <c r="O3121">
        <v>2</v>
      </c>
      <c r="P3121">
        <v>5</v>
      </c>
      <c r="Q3121">
        <v>0.86</v>
      </c>
      <c r="R3121">
        <v>639</v>
      </c>
      <c r="S3121">
        <v>5.97</v>
      </c>
      <c r="T3121">
        <v>0.36</v>
      </c>
      <c r="U3121" s="1">
        <v>45424</v>
      </c>
      <c r="V3121">
        <v>117.47</v>
      </c>
      <c r="W3121">
        <v>0.42399999999999999</v>
      </c>
      <c r="X3121" t="str">
        <f>IF(WarehouseData[[#This Row],[stock_level]]&lt;=WarehouseData[[#This Row],[reorder_point]],"Low Stock","Sufficient Stock")</f>
        <v>Sufficient Stock</v>
      </c>
      <c r="Y3121">
        <f>WarehouseData[[#This Row],[daily_demand]]*WarehouseData[[#This Row],[lead_time_days]]</f>
        <v>42.24</v>
      </c>
      <c r="Z3121" t="str">
        <f>IF(WarehouseData[[#This Row],[stock_level]]&lt;=WarehouseData[[#This Row],[Demand During Lead Time]],"At Risk","Safe")</f>
        <v>Safe</v>
      </c>
      <c r="AA3121">
        <f>WarehouseData[[#This Row],[stock_level]]/WarehouseData[[#This Row],[daily_demand]]</f>
        <v>18.134469696969695</v>
      </c>
      <c r="AB3121">
        <f>WarehouseData[[#This Row],[stock_level]]*WarehouseData[[#This Row],[unit_price]]</f>
        <v>27656.429999999997</v>
      </c>
      <c r="AC3121">
        <f>WarehouseData[[#This Row],[stock_level]]*WarehouseData[[#This Row],[holding_cost_per_unit_day]]*30</f>
        <v>22980</v>
      </c>
      <c r="AD3121" t="str">
        <f>IF(WarehouseData[[#This Row],[order_fulfillment_rate]]&gt;=0.9,"Strong",IF(WarehouseData[[#This Row],[order_fulfillment_rate]]&gt;=0.8,"Moderate","Needs Attention"))</f>
        <v>Moderate</v>
      </c>
      <c r="AE3121" t="str">
        <f>IF(WarehouseData[[#This Row],[picking_time_seconds]]&gt;120,"Slow",IF(WarehouseData[[#This Row],[picking_time_seconds]]&gt;=60,"Average","Fast"))</f>
        <v>Average</v>
      </c>
    </row>
    <row r="3122" spans="1:31" x14ac:dyDescent="0.25">
      <c r="A3122" t="s">
        <v>3260</v>
      </c>
      <c r="B3122" t="s">
        <v>73</v>
      </c>
      <c r="C3122">
        <v>223</v>
      </c>
      <c r="D3122">
        <v>16</v>
      </c>
      <c r="E3122">
        <v>4</v>
      </c>
      <c r="F3122">
        <v>2</v>
      </c>
      <c r="G3122">
        <v>14.7</v>
      </c>
      <c r="H3122">
        <v>2.54</v>
      </c>
      <c r="I3122">
        <v>0.13</v>
      </c>
      <c r="J3122" t="s">
        <v>59</v>
      </c>
      <c r="K3122" t="s">
        <v>34</v>
      </c>
      <c r="L3122">
        <v>47</v>
      </c>
      <c r="M3122">
        <v>4.68</v>
      </c>
      <c r="N3122">
        <v>14.15</v>
      </c>
      <c r="O3122">
        <v>1.59</v>
      </c>
      <c r="P3122">
        <v>9</v>
      </c>
      <c r="Q3122">
        <v>0.88</v>
      </c>
      <c r="R3122">
        <v>69</v>
      </c>
      <c r="S3122">
        <v>4.5</v>
      </c>
      <c r="T3122">
        <v>0.57999999999999996</v>
      </c>
      <c r="U3122" s="1">
        <v>45387</v>
      </c>
      <c r="V3122">
        <v>247.09</v>
      </c>
      <c r="W3122">
        <v>0.41299999999999998</v>
      </c>
      <c r="X3122" t="str">
        <f>IF(WarehouseData[[#This Row],[stock_level]]&lt;=WarehouseData[[#This Row],[reorder_point]],"Low Stock","Sufficient Stock")</f>
        <v>Sufficient Stock</v>
      </c>
      <c r="Y3122">
        <f>WarehouseData[[#This Row],[daily_demand]]*WarehouseData[[#This Row],[lead_time_days]]</f>
        <v>29.4</v>
      </c>
      <c r="Z3122" t="str">
        <f>IF(WarehouseData[[#This Row],[stock_level]]&lt;=WarehouseData[[#This Row],[Demand During Lead Time]],"At Risk","Safe")</f>
        <v>Safe</v>
      </c>
      <c r="AA3122">
        <f>WarehouseData[[#This Row],[stock_level]]/WarehouseData[[#This Row],[daily_demand]]</f>
        <v>15.170068027210885</v>
      </c>
      <c r="AB3122">
        <f>WarehouseData[[#This Row],[stock_level]]*WarehouseData[[#This Row],[unit_price]]</f>
        <v>3155.4500000000003</v>
      </c>
      <c r="AC3122">
        <f>WarehouseData[[#This Row],[stock_level]]*WarehouseData[[#This Row],[holding_cost_per_unit_day]]*30</f>
        <v>10637.1</v>
      </c>
      <c r="AD3122" t="str">
        <f>IF(WarehouseData[[#This Row],[order_fulfillment_rate]]&gt;=0.9,"Strong",IF(WarehouseData[[#This Row],[order_fulfillment_rate]]&gt;=0.8,"Moderate","Needs Attention"))</f>
        <v>Moderate</v>
      </c>
      <c r="AE3122" t="str">
        <f>IF(WarehouseData[[#This Row],[picking_time_seconds]]&gt;120,"Slow",IF(WarehouseData[[#This Row],[picking_time_seconds]]&gt;=60,"Average","Fast"))</f>
        <v>Fast</v>
      </c>
    </row>
    <row r="3123" spans="1:31" x14ac:dyDescent="0.25">
      <c r="A3123" t="s">
        <v>3261</v>
      </c>
      <c r="B3123" t="s">
        <v>40</v>
      </c>
      <c r="C3123">
        <v>231</v>
      </c>
      <c r="D3123">
        <v>98</v>
      </c>
      <c r="E3123">
        <v>6</v>
      </c>
      <c r="F3123">
        <v>4</v>
      </c>
      <c r="G3123">
        <v>30.88</v>
      </c>
      <c r="H3123">
        <v>6.49</v>
      </c>
      <c r="I3123">
        <v>0.99</v>
      </c>
      <c r="J3123" t="s">
        <v>158</v>
      </c>
      <c r="K3123" t="s">
        <v>38</v>
      </c>
      <c r="L3123">
        <v>38</v>
      </c>
      <c r="M3123">
        <v>4.66</v>
      </c>
      <c r="N3123">
        <v>113.87</v>
      </c>
      <c r="O3123">
        <v>0.33</v>
      </c>
      <c r="P3123">
        <v>3</v>
      </c>
      <c r="Q3123">
        <v>0.89</v>
      </c>
      <c r="R3123">
        <v>867</v>
      </c>
      <c r="S3123">
        <v>1.52</v>
      </c>
      <c r="T3123">
        <v>0.33</v>
      </c>
      <c r="U3123" s="1">
        <v>45572</v>
      </c>
      <c r="V3123">
        <v>230.21</v>
      </c>
      <c r="W3123">
        <v>0.57099999999999995</v>
      </c>
      <c r="X3123" t="str">
        <f>IF(WarehouseData[[#This Row],[stock_level]]&lt;=WarehouseData[[#This Row],[reorder_point]],"Low Stock","Sufficient Stock")</f>
        <v>Sufficient Stock</v>
      </c>
      <c r="Y3123">
        <f>WarehouseData[[#This Row],[daily_demand]]*WarehouseData[[#This Row],[lead_time_days]]</f>
        <v>123.52</v>
      </c>
      <c r="Z3123" t="str">
        <f>IF(WarehouseData[[#This Row],[stock_level]]&lt;=WarehouseData[[#This Row],[Demand During Lead Time]],"At Risk","Safe")</f>
        <v>Safe</v>
      </c>
      <c r="AA3123">
        <f>WarehouseData[[#This Row],[stock_level]]/WarehouseData[[#This Row],[daily_demand]]</f>
        <v>7.4805699481865284</v>
      </c>
      <c r="AB3123">
        <f>WarehouseData[[#This Row],[stock_level]]*WarehouseData[[#This Row],[unit_price]]</f>
        <v>26303.97</v>
      </c>
      <c r="AC3123">
        <f>WarehouseData[[#This Row],[stock_level]]*WarehouseData[[#This Row],[holding_cost_per_unit_day]]*30</f>
        <v>2286.9</v>
      </c>
      <c r="AD3123" t="str">
        <f>IF(WarehouseData[[#This Row],[order_fulfillment_rate]]&gt;=0.9,"Strong",IF(WarehouseData[[#This Row],[order_fulfillment_rate]]&gt;=0.8,"Moderate","Needs Attention"))</f>
        <v>Moderate</v>
      </c>
      <c r="AE3123" t="str">
        <f>IF(WarehouseData[[#This Row],[picking_time_seconds]]&gt;120,"Slow",IF(WarehouseData[[#This Row],[picking_time_seconds]]&gt;=60,"Average","Fast"))</f>
        <v>Fast</v>
      </c>
    </row>
    <row r="3124" spans="1:31" x14ac:dyDescent="0.25">
      <c r="A3124" t="s">
        <v>3262</v>
      </c>
      <c r="B3124" t="s">
        <v>32</v>
      </c>
      <c r="C3124">
        <v>128</v>
      </c>
      <c r="D3124">
        <v>70</v>
      </c>
      <c r="E3124">
        <v>14</v>
      </c>
      <c r="F3124">
        <v>8</v>
      </c>
      <c r="G3124">
        <v>34.659999999999997</v>
      </c>
      <c r="H3124">
        <v>2.5099999999999998</v>
      </c>
      <c r="I3124">
        <v>0.17</v>
      </c>
      <c r="J3124" t="s">
        <v>265</v>
      </c>
      <c r="K3124" t="s">
        <v>52</v>
      </c>
      <c r="L3124">
        <v>64</v>
      </c>
      <c r="M3124">
        <v>3.66</v>
      </c>
      <c r="N3124">
        <v>129.86000000000001</v>
      </c>
      <c r="O3124">
        <v>1.39</v>
      </c>
      <c r="P3124">
        <v>9</v>
      </c>
      <c r="Q3124">
        <v>0.85</v>
      </c>
      <c r="R3124">
        <v>826</v>
      </c>
      <c r="S3124">
        <v>8.44</v>
      </c>
      <c r="T3124">
        <v>0.42</v>
      </c>
      <c r="U3124" s="1">
        <v>45426</v>
      </c>
      <c r="V3124">
        <v>12.93</v>
      </c>
      <c r="W3124">
        <v>0.44800000000000001</v>
      </c>
      <c r="X3124" t="str">
        <f>IF(WarehouseData[[#This Row],[stock_level]]&lt;=WarehouseData[[#This Row],[reorder_point]],"Low Stock","Sufficient Stock")</f>
        <v>Sufficient Stock</v>
      </c>
      <c r="Y3124">
        <f>WarehouseData[[#This Row],[daily_demand]]*WarehouseData[[#This Row],[lead_time_days]]</f>
        <v>277.27999999999997</v>
      </c>
      <c r="Z3124" t="str">
        <f>IF(WarehouseData[[#This Row],[stock_level]]&lt;=WarehouseData[[#This Row],[Demand During Lead Time]],"At Risk","Safe")</f>
        <v>At Risk</v>
      </c>
      <c r="AA3124">
        <f>WarehouseData[[#This Row],[stock_level]]/WarehouseData[[#This Row],[daily_demand]]</f>
        <v>3.6930178880553957</v>
      </c>
      <c r="AB3124">
        <f>WarehouseData[[#This Row],[stock_level]]*WarehouseData[[#This Row],[unit_price]]</f>
        <v>16622.080000000002</v>
      </c>
      <c r="AC3124">
        <f>WarehouseData[[#This Row],[stock_level]]*WarehouseData[[#This Row],[holding_cost_per_unit_day]]*30</f>
        <v>5337.5999999999995</v>
      </c>
      <c r="AD3124" t="str">
        <f>IF(WarehouseData[[#This Row],[order_fulfillment_rate]]&gt;=0.9,"Strong",IF(WarehouseData[[#This Row],[order_fulfillment_rate]]&gt;=0.8,"Moderate","Needs Attention"))</f>
        <v>Moderate</v>
      </c>
      <c r="AE3124" t="str">
        <f>IF(WarehouseData[[#This Row],[picking_time_seconds]]&gt;120,"Slow",IF(WarehouseData[[#This Row],[picking_time_seconds]]&gt;=60,"Average","Fast"))</f>
        <v>Average</v>
      </c>
    </row>
    <row r="3125" spans="1:31" x14ac:dyDescent="0.25">
      <c r="A3125" t="s">
        <v>3263</v>
      </c>
      <c r="B3125" t="s">
        <v>48</v>
      </c>
      <c r="C3125">
        <v>295</v>
      </c>
      <c r="D3125">
        <v>12</v>
      </c>
      <c r="E3125">
        <v>4</v>
      </c>
      <c r="F3125">
        <v>5</v>
      </c>
      <c r="G3125">
        <v>23.51</v>
      </c>
      <c r="H3125">
        <v>2.2799999999999998</v>
      </c>
      <c r="I3125">
        <v>0.73</v>
      </c>
      <c r="J3125" t="s">
        <v>49</v>
      </c>
      <c r="K3125" t="s">
        <v>46</v>
      </c>
      <c r="L3125">
        <v>61</v>
      </c>
      <c r="M3125">
        <v>4.58</v>
      </c>
      <c r="N3125">
        <v>53.23</v>
      </c>
      <c r="O3125">
        <v>1.52</v>
      </c>
      <c r="P3125">
        <v>4</v>
      </c>
      <c r="Q3125">
        <v>0.85</v>
      </c>
      <c r="R3125">
        <v>253</v>
      </c>
      <c r="S3125">
        <v>14.98</v>
      </c>
      <c r="T3125">
        <v>0.99</v>
      </c>
      <c r="U3125" s="1">
        <v>45413</v>
      </c>
      <c r="V3125">
        <v>12.8</v>
      </c>
      <c r="W3125">
        <v>0.73599999999999999</v>
      </c>
      <c r="X3125" t="str">
        <f>IF(WarehouseData[[#This Row],[stock_level]]&lt;=WarehouseData[[#This Row],[reorder_point]],"Low Stock","Sufficient Stock")</f>
        <v>Sufficient Stock</v>
      </c>
      <c r="Y3125">
        <f>WarehouseData[[#This Row],[daily_demand]]*WarehouseData[[#This Row],[lead_time_days]]</f>
        <v>117.55000000000001</v>
      </c>
      <c r="Z3125" t="str">
        <f>IF(WarehouseData[[#This Row],[stock_level]]&lt;=WarehouseData[[#This Row],[Demand During Lead Time]],"At Risk","Safe")</f>
        <v>Safe</v>
      </c>
      <c r="AA3125">
        <f>WarehouseData[[#This Row],[stock_level]]/WarehouseData[[#This Row],[daily_demand]]</f>
        <v>12.547851977881752</v>
      </c>
      <c r="AB3125">
        <f>WarehouseData[[#This Row],[stock_level]]*WarehouseData[[#This Row],[unit_price]]</f>
        <v>15702.849999999999</v>
      </c>
      <c r="AC3125">
        <f>WarehouseData[[#This Row],[stock_level]]*WarehouseData[[#This Row],[holding_cost_per_unit_day]]*30</f>
        <v>13452</v>
      </c>
      <c r="AD3125" t="str">
        <f>IF(WarehouseData[[#This Row],[order_fulfillment_rate]]&gt;=0.9,"Strong",IF(WarehouseData[[#This Row],[order_fulfillment_rate]]&gt;=0.8,"Moderate","Needs Attention"))</f>
        <v>Moderate</v>
      </c>
      <c r="AE3125" t="str">
        <f>IF(WarehouseData[[#This Row],[picking_time_seconds]]&gt;120,"Slow",IF(WarehouseData[[#This Row],[picking_time_seconds]]&gt;=60,"Average","Fast"))</f>
        <v>Average</v>
      </c>
    </row>
    <row r="3126" spans="1:31" x14ac:dyDescent="0.25">
      <c r="A3126" t="s">
        <v>3264</v>
      </c>
      <c r="B3126" t="s">
        <v>73</v>
      </c>
      <c r="C3126">
        <v>92</v>
      </c>
      <c r="D3126">
        <v>47</v>
      </c>
      <c r="E3126">
        <v>11</v>
      </c>
      <c r="F3126">
        <v>3</v>
      </c>
      <c r="G3126">
        <v>28.71</v>
      </c>
      <c r="H3126">
        <v>4.9800000000000004</v>
      </c>
      <c r="I3126">
        <v>0.49</v>
      </c>
      <c r="J3126" t="s">
        <v>43</v>
      </c>
      <c r="K3126" t="s">
        <v>46</v>
      </c>
      <c r="L3126">
        <v>124</v>
      </c>
      <c r="M3126">
        <v>4.84</v>
      </c>
      <c r="N3126">
        <v>113.26</v>
      </c>
      <c r="O3126">
        <v>1.08</v>
      </c>
      <c r="P3126">
        <v>8</v>
      </c>
      <c r="Q3126">
        <v>0.98</v>
      </c>
      <c r="R3126">
        <v>191</v>
      </c>
      <c r="S3126">
        <v>12.94</v>
      </c>
      <c r="T3126">
        <v>0.65</v>
      </c>
      <c r="U3126" s="1">
        <v>45429</v>
      </c>
      <c r="V3126">
        <v>32.53</v>
      </c>
      <c r="W3126">
        <v>0.63100000000000001</v>
      </c>
      <c r="X3126" t="str">
        <f>IF(WarehouseData[[#This Row],[stock_level]]&lt;=WarehouseData[[#This Row],[reorder_point]],"Low Stock","Sufficient Stock")</f>
        <v>Sufficient Stock</v>
      </c>
      <c r="Y3126">
        <f>WarehouseData[[#This Row],[daily_demand]]*WarehouseData[[#This Row],[lead_time_days]]</f>
        <v>86.13</v>
      </c>
      <c r="Z3126" t="str">
        <f>IF(WarehouseData[[#This Row],[stock_level]]&lt;=WarehouseData[[#This Row],[Demand During Lead Time]],"At Risk","Safe")</f>
        <v>Safe</v>
      </c>
      <c r="AA3126">
        <f>WarehouseData[[#This Row],[stock_level]]/WarehouseData[[#This Row],[daily_demand]]</f>
        <v>3.2044583768721697</v>
      </c>
      <c r="AB3126">
        <f>WarehouseData[[#This Row],[stock_level]]*WarehouseData[[#This Row],[unit_price]]</f>
        <v>10419.92</v>
      </c>
      <c r="AC3126">
        <f>WarehouseData[[#This Row],[stock_level]]*WarehouseData[[#This Row],[holding_cost_per_unit_day]]*30</f>
        <v>2980.8</v>
      </c>
      <c r="AD3126" t="str">
        <f>IF(WarehouseData[[#This Row],[order_fulfillment_rate]]&gt;=0.9,"Strong",IF(WarehouseData[[#This Row],[order_fulfillment_rate]]&gt;=0.8,"Moderate","Needs Attention"))</f>
        <v>Strong</v>
      </c>
      <c r="AE3126" t="str">
        <f>IF(WarehouseData[[#This Row],[picking_time_seconds]]&gt;120,"Slow",IF(WarehouseData[[#This Row],[picking_time_seconds]]&gt;=60,"Average","Fast"))</f>
        <v>Slow</v>
      </c>
    </row>
    <row r="3127" spans="1:31" x14ac:dyDescent="0.25">
      <c r="A3127" t="s">
        <v>3265</v>
      </c>
      <c r="B3127" t="s">
        <v>48</v>
      </c>
      <c r="C3127">
        <v>186</v>
      </c>
      <c r="D3127">
        <v>93</v>
      </c>
      <c r="E3127">
        <v>14</v>
      </c>
      <c r="F3127">
        <v>6</v>
      </c>
      <c r="G3127">
        <v>35.01</v>
      </c>
      <c r="H3127">
        <v>8.94</v>
      </c>
      <c r="I3127">
        <v>0.32</v>
      </c>
      <c r="J3127" t="s">
        <v>131</v>
      </c>
      <c r="K3127" t="s">
        <v>38</v>
      </c>
      <c r="L3127">
        <v>28</v>
      </c>
      <c r="M3127">
        <v>4.08</v>
      </c>
      <c r="N3127">
        <v>199.83</v>
      </c>
      <c r="O3127">
        <v>0.25</v>
      </c>
      <c r="P3127">
        <v>0</v>
      </c>
      <c r="Q3127">
        <v>0.86</v>
      </c>
      <c r="R3127">
        <v>425</v>
      </c>
      <c r="S3127">
        <v>3.36</v>
      </c>
      <c r="T3127">
        <v>0.83</v>
      </c>
      <c r="U3127" s="1">
        <v>45533</v>
      </c>
      <c r="V3127">
        <v>145.31</v>
      </c>
      <c r="W3127">
        <v>0.75800000000000001</v>
      </c>
      <c r="X3127" t="str">
        <f>IF(WarehouseData[[#This Row],[stock_level]]&lt;=WarehouseData[[#This Row],[reorder_point]],"Low Stock","Sufficient Stock")</f>
        <v>Sufficient Stock</v>
      </c>
      <c r="Y3127">
        <f>WarehouseData[[#This Row],[daily_demand]]*WarehouseData[[#This Row],[lead_time_days]]</f>
        <v>210.06</v>
      </c>
      <c r="Z3127" t="str">
        <f>IF(WarehouseData[[#This Row],[stock_level]]&lt;=WarehouseData[[#This Row],[Demand During Lead Time]],"At Risk","Safe")</f>
        <v>At Risk</v>
      </c>
      <c r="AA3127">
        <f>WarehouseData[[#This Row],[stock_level]]/WarehouseData[[#This Row],[daily_demand]]</f>
        <v>5.3127677806341049</v>
      </c>
      <c r="AB3127">
        <f>WarehouseData[[#This Row],[stock_level]]*WarehouseData[[#This Row],[unit_price]]</f>
        <v>37168.380000000005</v>
      </c>
      <c r="AC3127">
        <f>WarehouseData[[#This Row],[stock_level]]*WarehouseData[[#This Row],[holding_cost_per_unit_day]]*30</f>
        <v>1395</v>
      </c>
      <c r="AD3127" t="str">
        <f>IF(WarehouseData[[#This Row],[order_fulfillment_rate]]&gt;=0.9,"Strong",IF(WarehouseData[[#This Row],[order_fulfillment_rate]]&gt;=0.8,"Moderate","Needs Attention"))</f>
        <v>Moderate</v>
      </c>
      <c r="AE3127" t="str">
        <f>IF(WarehouseData[[#This Row],[picking_time_seconds]]&gt;120,"Slow",IF(WarehouseData[[#This Row],[picking_time_seconds]]&gt;=60,"Average","Fast"))</f>
        <v>Fast</v>
      </c>
    </row>
    <row r="3128" spans="1:31" x14ac:dyDescent="0.25">
      <c r="A3128" t="s">
        <v>3266</v>
      </c>
      <c r="B3128" t="s">
        <v>40</v>
      </c>
      <c r="C3128">
        <v>279</v>
      </c>
      <c r="D3128">
        <v>43</v>
      </c>
      <c r="E3128">
        <v>12</v>
      </c>
      <c r="F3128">
        <v>8</v>
      </c>
      <c r="G3128">
        <v>38.619999999999997</v>
      </c>
      <c r="H3128">
        <v>4.95</v>
      </c>
      <c r="I3128">
        <v>0.71</v>
      </c>
      <c r="J3128" t="s">
        <v>223</v>
      </c>
      <c r="K3128" t="s">
        <v>34</v>
      </c>
      <c r="L3128">
        <v>44</v>
      </c>
      <c r="M3128">
        <v>2.34</v>
      </c>
      <c r="N3128">
        <v>178.51</v>
      </c>
      <c r="O3128">
        <v>0.17</v>
      </c>
      <c r="P3128">
        <v>6</v>
      </c>
      <c r="Q3128">
        <v>0.89</v>
      </c>
      <c r="R3128">
        <v>456</v>
      </c>
      <c r="S3128">
        <v>13.38</v>
      </c>
      <c r="T3128">
        <v>0.37</v>
      </c>
      <c r="U3128" s="1">
        <v>45605</v>
      </c>
      <c r="V3128">
        <v>267.77999999999997</v>
      </c>
      <c r="W3128">
        <v>0.69299999999999995</v>
      </c>
      <c r="X3128" t="str">
        <f>IF(WarehouseData[[#This Row],[stock_level]]&lt;=WarehouseData[[#This Row],[reorder_point]],"Low Stock","Sufficient Stock")</f>
        <v>Sufficient Stock</v>
      </c>
      <c r="Y3128">
        <f>WarehouseData[[#This Row],[daily_demand]]*WarehouseData[[#This Row],[lead_time_days]]</f>
        <v>308.95999999999998</v>
      </c>
      <c r="Z3128" t="str">
        <f>IF(WarehouseData[[#This Row],[stock_level]]&lt;=WarehouseData[[#This Row],[Demand During Lead Time]],"At Risk","Safe")</f>
        <v>At Risk</v>
      </c>
      <c r="AA3128">
        <f>WarehouseData[[#This Row],[stock_level]]/WarehouseData[[#This Row],[daily_demand]]</f>
        <v>7.2242361470740555</v>
      </c>
      <c r="AB3128">
        <f>WarehouseData[[#This Row],[stock_level]]*WarehouseData[[#This Row],[unit_price]]</f>
        <v>49804.29</v>
      </c>
      <c r="AC3128">
        <f>WarehouseData[[#This Row],[stock_level]]*WarehouseData[[#This Row],[holding_cost_per_unit_day]]*30</f>
        <v>1422.9</v>
      </c>
      <c r="AD3128" t="str">
        <f>IF(WarehouseData[[#This Row],[order_fulfillment_rate]]&gt;=0.9,"Strong",IF(WarehouseData[[#This Row],[order_fulfillment_rate]]&gt;=0.8,"Moderate","Needs Attention"))</f>
        <v>Moderate</v>
      </c>
      <c r="AE3128" t="str">
        <f>IF(WarehouseData[[#This Row],[picking_time_seconds]]&gt;120,"Slow",IF(WarehouseData[[#This Row],[picking_time_seconds]]&gt;=60,"Average","Fast"))</f>
        <v>Fast</v>
      </c>
    </row>
    <row r="3129" spans="1:31" x14ac:dyDescent="0.25">
      <c r="A3129" t="s">
        <v>3267</v>
      </c>
      <c r="B3129" t="s">
        <v>36</v>
      </c>
      <c r="C3129">
        <v>262</v>
      </c>
      <c r="D3129">
        <v>53</v>
      </c>
      <c r="E3129">
        <v>9</v>
      </c>
      <c r="F3129">
        <v>5</v>
      </c>
      <c r="G3129">
        <v>44.88</v>
      </c>
      <c r="H3129">
        <v>4.43</v>
      </c>
      <c r="I3129">
        <v>0.21</v>
      </c>
      <c r="J3129" t="s">
        <v>377</v>
      </c>
      <c r="K3129" t="s">
        <v>52</v>
      </c>
      <c r="L3129">
        <v>57</v>
      </c>
      <c r="M3129">
        <v>2.67</v>
      </c>
      <c r="N3129">
        <v>21.15</v>
      </c>
      <c r="O3129">
        <v>1.88</v>
      </c>
      <c r="P3129">
        <v>6</v>
      </c>
      <c r="Q3129">
        <v>0.78</v>
      </c>
      <c r="R3129">
        <v>865</v>
      </c>
      <c r="S3129">
        <v>7.33</v>
      </c>
      <c r="T3129">
        <v>0.62</v>
      </c>
      <c r="U3129" s="1">
        <v>45467</v>
      </c>
      <c r="V3129">
        <v>62.85</v>
      </c>
      <c r="W3129">
        <v>0.47</v>
      </c>
      <c r="X3129" t="str">
        <f>IF(WarehouseData[[#This Row],[stock_level]]&lt;=WarehouseData[[#This Row],[reorder_point]],"Low Stock","Sufficient Stock")</f>
        <v>Sufficient Stock</v>
      </c>
      <c r="Y3129">
        <f>WarehouseData[[#This Row],[daily_demand]]*WarehouseData[[#This Row],[lead_time_days]]</f>
        <v>224.4</v>
      </c>
      <c r="Z3129" t="str">
        <f>IF(WarehouseData[[#This Row],[stock_level]]&lt;=WarehouseData[[#This Row],[Demand During Lead Time]],"At Risk","Safe")</f>
        <v>Safe</v>
      </c>
      <c r="AA3129">
        <f>WarehouseData[[#This Row],[stock_level]]/WarehouseData[[#This Row],[daily_demand]]</f>
        <v>5.8377896613190732</v>
      </c>
      <c r="AB3129">
        <f>WarehouseData[[#This Row],[stock_level]]*WarehouseData[[#This Row],[unit_price]]</f>
        <v>5541.2999999999993</v>
      </c>
      <c r="AC3129">
        <f>WarehouseData[[#This Row],[stock_level]]*WarehouseData[[#This Row],[holding_cost_per_unit_day]]*30</f>
        <v>14776.8</v>
      </c>
      <c r="AD3129" t="str">
        <f>IF(WarehouseData[[#This Row],[order_fulfillment_rate]]&gt;=0.9,"Strong",IF(WarehouseData[[#This Row],[order_fulfillment_rate]]&gt;=0.8,"Moderate","Needs Attention"))</f>
        <v>Needs Attention</v>
      </c>
      <c r="AE3129" t="str">
        <f>IF(WarehouseData[[#This Row],[picking_time_seconds]]&gt;120,"Slow",IF(WarehouseData[[#This Row],[picking_time_seconds]]&gt;=60,"Average","Fast"))</f>
        <v>Fast</v>
      </c>
    </row>
    <row r="3130" spans="1:31" x14ac:dyDescent="0.25">
      <c r="A3130" t="s">
        <v>3268</v>
      </c>
      <c r="B3130" t="s">
        <v>36</v>
      </c>
      <c r="C3130">
        <v>294</v>
      </c>
      <c r="D3130">
        <v>39</v>
      </c>
      <c r="E3130">
        <v>10</v>
      </c>
      <c r="F3130">
        <v>4</v>
      </c>
      <c r="G3130">
        <v>18.37</v>
      </c>
      <c r="H3130">
        <v>5.99</v>
      </c>
      <c r="I3130">
        <v>0.87</v>
      </c>
      <c r="J3130" t="s">
        <v>77</v>
      </c>
      <c r="K3130" t="s">
        <v>52</v>
      </c>
      <c r="L3130">
        <v>119</v>
      </c>
      <c r="M3130">
        <v>4.6900000000000004</v>
      </c>
      <c r="N3130">
        <v>34.299999999999997</v>
      </c>
      <c r="O3130">
        <v>0.59</v>
      </c>
      <c r="P3130">
        <v>9</v>
      </c>
      <c r="Q3130">
        <v>0.96</v>
      </c>
      <c r="R3130">
        <v>129</v>
      </c>
      <c r="S3130">
        <v>4.83</v>
      </c>
      <c r="T3130">
        <v>0.61</v>
      </c>
      <c r="U3130" s="1">
        <v>45479</v>
      </c>
      <c r="V3130">
        <v>148.27000000000001</v>
      </c>
      <c r="W3130">
        <v>0.53900000000000003</v>
      </c>
      <c r="X3130" t="str">
        <f>IF(WarehouseData[[#This Row],[stock_level]]&lt;=WarehouseData[[#This Row],[reorder_point]],"Low Stock","Sufficient Stock")</f>
        <v>Sufficient Stock</v>
      </c>
      <c r="Y3130">
        <f>WarehouseData[[#This Row],[daily_demand]]*WarehouseData[[#This Row],[lead_time_days]]</f>
        <v>73.48</v>
      </c>
      <c r="Z3130" t="str">
        <f>IF(WarehouseData[[#This Row],[stock_level]]&lt;=WarehouseData[[#This Row],[Demand During Lead Time]],"At Risk","Safe")</f>
        <v>Safe</v>
      </c>
      <c r="AA3130">
        <f>WarehouseData[[#This Row],[stock_level]]/WarehouseData[[#This Row],[daily_demand]]</f>
        <v>16.004354926510615</v>
      </c>
      <c r="AB3130">
        <f>WarehouseData[[#This Row],[stock_level]]*WarehouseData[[#This Row],[unit_price]]</f>
        <v>10084.199999999999</v>
      </c>
      <c r="AC3130">
        <f>WarehouseData[[#This Row],[stock_level]]*WarehouseData[[#This Row],[holding_cost_per_unit_day]]*30</f>
        <v>5203.7999999999993</v>
      </c>
      <c r="AD3130" t="str">
        <f>IF(WarehouseData[[#This Row],[order_fulfillment_rate]]&gt;=0.9,"Strong",IF(WarehouseData[[#This Row],[order_fulfillment_rate]]&gt;=0.8,"Moderate","Needs Attention"))</f>
        <v>Strong</v>
      </c>
      <c r="AE3130" t="str">
        <f>IF(WarehouseData[[#This Row],[picking_time_seconds]]&gt;120,"Slow",IF(WarehouseData[[#This Row],[picking_time_seconds]]&gt;=60,"Average","Fast"))</f>
        <v>Average</v>
      </c>
    </row>
    <row r="3131" spans="1:31" x14ac:dyDescent="0.25">
      <c r="A3131" t="s">
        <v>3269</v>
      </c>
      <c r="B3131" t="s">
        <v>32</v>
      </c>
      <c r="C3131">
        <v>121</v>
      </c>
      <c r="D3131">
        <v>26</v>
      </c>
      <c r="E3131">
        <v>5</v>
      </c>
      <c r="F3131">
        <v>5</v>
      </c>
      <c r="G3131">
        <v>47.62</v>
      </c>
      <c r="H3131">
        <v>2.94</v>
      </c>
      <c r="I3131">
        <v>0.33</v>
      </c>
      <c r="J3131" t="s">
        <v>62</v>
      </c>
      <c r="K3131" t="s">
        <v>38</v>
      </c>
      <c r="L3131">
        <v>40</v>
      </c>
      <c r="M3131">
        <v>3.52</v>
      </c>
      <c r="N3131">
        <v>103.94</v>
      </c>
      <c r="O3131">
        <v>0.82</v>
      </c>
      <c r="P3131">
        <v>0</v>
      </c>
      <c r="Q3131">
        <v>0.71</v>
      </c>
      <c r="R3131">
        <v>259</v>
      </c>
      <c r="S3131">
        <v>9.9600000000000009</v>
      </c>
      <c r="T3131">
        <v>0.85</v>
      </c>
      <c r="U3131" s="1">
        <v>45386</v>
      </c>
      <c r="V3131">
        <v>21.82</v>
      </c>
      <c r="W3131">
        <v>0.76300000000000001</v>
      </c>
      <c r="X3131" t="str">
        <f>IF(WarehouseData[[#This Row],[stock_level]]&lt;=WarehouseData[[#This Row],[reorder_point]],"Low Stock","Sufficient Stock")</f>
        <v>Sufficient Stock</v>
      </c>
      <c r="Y3131">
        <f>WarehouseData[[#This Row],[daily_demand]]*WarehouseData[[#This Row],[lead_time_days]]</f>
        <v>238.1</v>
      </c>
      <c r="Z3131" t="str">
        <f>IF(WarehouseData[[#This Row],[stock_level]]&lt;=WarehouseData[[#This Row],[Demand During Lead Time]],"At Risk","Safe")</f>
        <v>At Risk</v>
      </c>
      <c r="AA3131">
        <f>WarehouseData[[#This Row],[stock_level]]/WarehouseData[[#This Row],[daily_demand]]</f>
        <v>2.54094918101638</v>
      </c>
      <c r="AB3131">
        <f>WarehouseData[[#This Row],[stock_level]]*WarehouseData[[#This Row],[unit_price]]</f>
        <v>12576.74</v>
      </c>
      <c r="AC3131">
        <f>WarehouseData[[#This Row],[stock_level]]*WarehouseData[[#This Row],[holding_cost_per_unit_day]]*30</f>
        <v>2976.6</v>
      </c>
      <c r="AD3131" t="str">
        <f>IF(WarehouseData[[#This Row],[order_fulfillment_rate]]&gt;=0.9,"Strong",IF(WarehouseData[[#This Row],[order_fulfillment_rate]]&gt;=0.8,"Moderate","Needs Attention"))</f>
        <v>Needs Attention</v>
      </c>
      <c r="AE3131" t="str">
        <f>IF(WarehouseData[[#This Row],[picking_time_seconds]]&gt;120,"Slow",IF(WarehouseData[[#This Row],[picking_time_seconds]]&gt;=60,"Average","Fast"))</f>
        <v>Fast</v>
      </c>
    </row>
    <row r="3132" spans="1:31" x14ac:dyDescent="0.25">
      <c r="A3132" t="s">
        <v>3270</v>
      </c>
      <c r="B3132" t="s">
        <v>36</v>
      </c>
      <c r="C3132">
        <v>494</v>
      </c>
      <c r="D3132">
        <v>68</v>
      </c>
      <c r="E3132">
        <v>8</v>
      </c>
      <c r="F3132">
        <v>4</v>
      </c>
      <c r="G3132">
        <v>32.229999999999997</v>
      </c>
      <c r="H3132">
        <v>3.86</v>
      </c>
      <c r="I3132">
        <v>0.43</v>
      </c>
      <c r="J3132" t="s">
        <v>75</v>
      </c>
      <c r="K3132" t="s">
        <v>52</v>
      </c>
      <c r="L3132">
        <v>12</v>
      </c>
      <c r="M3132">
        <v>4.1900000000000004</v>
      </c>
      <c r="N3132">
        <v>56.59</v>
      </c>
      <c r="O3132">
        <v>1.61</v>
      </c>
      <c r="P3132">
        <v>0</v>
      </c>
      <c r="Q3132">
        <v>0.87</v>
      </c>
      <c r="R3132">
        <v>817</v>
      </c>
      <c r="S3132">
        <v>4.03</v>
      </c>
      <c r="T3132">
        <v>0.22</v>
      </c>
      <c r="U3132" s="1">
        <v>45547</v>
      </c>
      <c r="V3132">
        <v>15.89</v>
      </c>
      <c r="W3132">
        <v>0.51100000000000001</v>
      </c>
      <c r="X3132" t="str">
        <f>IF(WarehouseData[[#This Row],[stock_level]]&lt;=WarehouseData[[#This Row],[reorder_point]],"Low Stock","Sufficient Stock")</f>
        <v>Sufficient Stock</v>
      </c>
      <c r="Y3132">
        <f>WarehouseData[[#This Row],[daily_demand]]*WarehouseData[[#This Row],[lead_time_days]]</f>
        <v>128.91999999999999</v>
      </c>
      <c r="Z3132" t="str">
        <f>IF(WarehouseData[[#This Row],[stock_level]]&lt;=WarehouseData[[#This Row],[Demand During Lead Time]],"At Risk","Safe")</f>
        <v>Safe</v>
      </c>
      <c r="AA3132">
        <f>WarehouseData[[#This Row],[stock_level]]/WarehouseData[[#This Row],[daily_demand]]</f>
        <v>15.327334781259697</v>
      </c>
      <c r="AB3132">
        <f>WarehouseData[[#This Row],[stock_level]]*WarehouseData[[#This Row],[unit_price]]</f>
        <v>27955.460000000003</v>
      </c>
      <c r="AC3132">
        <f>WarehouseData[[#This Row],[stock_level]]*WarehouseData[[#This Row],[holding_cost_per_unit_day]]*30</f>
        <v>23860.2</v>
      </c>
      <c r="AD3132" t="str">
        <f>IF(WarehouseData[[#This Row],[order_fulfillment_rate]]&gt;=0.9,"Strong",IF(WarehouseData[[#This Row],[order_fulfillment_rate]]&gt;=0.8,"Moderate","Needs Attention"))</f>
        <v>Moderate</v>
      </c>
      <c r="AE3132" t="str">
        <f>IF(WarehouseData[[#This Row],[picking_time_seconds]]&gt;120,"Slow",IF(WarehouseData[[#This Row],[picking_time_seconds]]&gt;=60,"Average","Fast"))</f>
        <v>Fast</v>
      </c>
    </row>
    <row r="3133" spans="1:31" x14ac:dyDescent="0.25">
      <c r="A3133" t="s">
        <v>3271</v>
      </c>
      <c r="B3133" t="s">
        <v>73</v>
      </c>
      <c r="C3133">
        <v>192</v>
      </c>
      <c r="D3133">
        <v>19</v>
      </c>
      <c r="E3133">
        <v>12</v>
      </c>
      <c r="F3133">
        <v>7</v>
      </c>
      <c r="G3133">
        <v>39.6</v>
      </c>
      <c r="H3133">
        <v>2.5299999999999998</v>
      </c>
      <c r="I3133">
        <v>0.67</v>
      </c>
      <c r="J3133" t="s">
        <v>263</v>
      </c>
      <c r="K3133" t="s">
        <v>38</v>
      </c>
      <c r="L3133">
        <v>172</v>
      </c>
      <c r="M3133">
        <v>1.02</v>
      </c>
      <c r="N3133">
        <v>25.38</v>
      </c>
      <c r="O3133">
        <v>1.41</v>
      </c>
      <c r="P3133">
        <v>8</v>
      </c>
      <c r="Q3133">
        <v>0.82</v>
      </c>
      <c r="R3133">
        <v>361</v>
      </c>
      <c r="S3133">
        <v>13.32</v>
      </c>
      <c r="T3133">
        <v>0.89</v>
      </c>
      <c r="U3133" s="1">
        <v>45509</v>
      </c>
      <c r="V3133">
        <v>12.17</v>
      </c>
      <c r="W3133">
        <v>0.61899999999999999</v>
      </c>
      <c r="X3133" t="str">
        <f>IF(WarehouseData[[#This Row],[stock_level]]&lt;=WarehouseData[[#This Row],[reorder_point]],"Low Stock","Sufficient Stock")</f>
        <v>Sufficient Stock</v>
      </c>
      <c r="Y3133">
        <f>WarehouseData[[#This Row],[daily_demand]]*WarehouseData[[#This Row],[lead_time_days]]</f>
        <v>277.2</v>
      </c>
      <c r="Z3133" t="str">
        <f>IF(WarehouseData[[#This Row],[stock_level]]&lt;=WarehouseData[[#This Row],[Demand During Lead Time]],"At Risk","Safe")</f>
        <v>At Risk</v>
      </c>
      <c r="AA3133">
        <f>WarehouseData[[#This Row],[stock_level]]/WarehouseData[[#This Row],[daily_demand]]</f>
        <v>4.8484848484848486</v>
      </c>
      <c r="AB3133">
        <f>WarehouseData[[#This Row],[stock_level]]*WarehouseData[[#This Row],[unit_price]]</f>
        <v>4872.96</v>
      </c>
      <c r="AC3133">
        <f>WarehouseData[[#This Row],[stock_level]]*WarehouseData[[#This Row],[holding_cost_per_unit_day]]*30</f>
        <v>8121.5999999999995</v>
      </c>
      <c r="AD3133" t="str">
        <f>IF(WarehouseData[[#This Row],[order_fulfillment_rate]]&gt;=0.9,"Strong",IF(WarehouseData[[#This Row],[order_fulfillment_rate]]&gt;=0.8,"Moderate","Needs Attention"))</f>
        <v>Moderate</v>
      </c>
      <c r="AE3133" t="str">
        <f>IF(WarehouseData[[#This Row],[picking_time_seconds]]&gt;120,"Slow",IF(WarehouseData[[#This Row],[picking_time_seconds]]&gt;=60,"Average","Fast"))</f>
        <v>Slow</v>
      </c>
    </row>
    <row r="3134" spans="1:31" x14ac:dyDescent="0.25">
      <c r="A3134" t="s">
        <v>3272</v>
      </c>
      <c r="B3134" t="s">
        <v>36</v>
      </c>
      <c r="C3134">
        <v>190</v>
      </c>
      <c r="D3134">
        <v>93</v>
      </c>
      <c r="E3134">
        <v>8</v>
      </c>
      <c r="F3134">
        <v>2</v>
      </c>
      <c r="G3134">
        <v>35.29</v>
      </c>
      <c r="H3134">
        <v>5.93</v>
      </c>
      <c r="I3134">
        <v>0.1</v>
      </c>
      <c r="J3134" t="s">
        <v>215</v>
      </c>
      <c r="K3134" t="s">
        <v>38</v>
      </c>
      <c r="L3134">
        <v>97</v>
      </c>
      <c r="M3134">
        <v>1.37</v>
      </c>
      <c r="N3134">
        <v>58.37</v>
      </c>
      <c r="O3134">
        <v>1.94</v>
      </c>
      <c r="P3134">
        <v>6</v>
      </c>
      <c r="Q3134">
        <v>0.88</v>
      </c>
      <c r="R3134">
        <v>426</v>
      </c>
      <c r="S3134">
        <v>9.74</v>
      </c>
      <c r="T3134">
        <v>0.26</v>
      </c>
      <c r="U3134" s="1">
        <v>45399</v>
      </c>
      <c r="V3134">
        <v>223.64</v>
      </c>
      <c r="W3134">
        <v>0.44400000000000001</v>
      </c>
      <c r="X3134" t="str">
        <f>IF(WarehouseData[[#This Row],[stock_level]]&lt;=WarehouseData[[#This Row],[reorder_point]],"Low Stock","Sufficient Stock")</f>
        <v>Sufficient Stock</v>
      </c>
      <c r="Y3134">
        <f>WarehouseData[[#This Row],[daily_demand]]*WarehouseData[[#This Row],[lead_time_days]]</f>
        <v>70.58</v>
      </c>
      <c r="Z3134" t="str">
        <f>IF(WarehouseData[[#This Row],[stock_level]]&lt;=WarehouseData[[#This Row],[Demand During Lead Time]],"At Risk","Safe")</f>
        <v>Safe</v>
      </c>
      <c r="AA3134">
        <f>WarehouseData[[#This Row],[stock_level]]/WarehouseData[[#This Row],[daily_demand]]</f>
        <v>5.3839614621705865</v>
      </c>
      <c r="AB3134">
        <f>WarehouseData[[#This Row],[stock_level]]*WarehouseData[[#This Row],[unit_price]]</f>
        <v>11090.3</v>
      </c>
      <c r="AC3134">
        <f>WarehouseData[[#This Row],[stock_level]]*WarehouseData[[#This Row],[holding_cost_per_unit_day]]*30</f>
        <v>11057.999999999998</v>
      </c>
      <c r="AD3134" t="str">
        <f>IF(WarehouseData[[#This Row],[order_fulfillment_rate]]&gt;=0.9,"Strong",IF(WarehouseData[[#This Row],[order_fulfillment_rate]]&gt;=0.8,"Moderate","Needs Attention"))</f>
        <v>Moderate</v>
      </c>
      <c r="AE3134" t="str">
        <f>IF(WarehouseData[[#This Row],[picking_time_seconds]]&gt;120,"Slow",IF(WarehouseData[[#This Row],[picking_time_seconds]]&gt;=60,"Average","Fast"))</f>
        <v>Average</v>
      </c>
    </row>
    <row r="3135" spans="1:31" x14ac:dyDescent="0.25">
      <c r="A3135" t="s">
        <v>3273</v>
      </c>
      <c r="B3135" t="s">
        <v>32</v>
      </c>
      <c r="C3135">
        <v>160</v>
      </c>
      <c r="D3135">
        <v>27</v>
      </c>
      <c r="E3135">
        <v>3</v>
      </c>
      <c r="F3135">
        <v>8</v>
      </c>
      <c r="G3135">
        <v>11.07</v>
      </c>
      <c r="H3135">
        <v>7.13</v>
      </c>
      <c r="I3135">
        <v>0.53</v>
      </c>
      <c r="J3135" t="s">
        <v>217</v>
      </c>
      <c r="K3135" t="s">
        <v>34</v>
      </c>
      <c r="L3135">
        <v>61</v>
      </c>
      <c r="M3135">
        <v>2.0499999999999998</v>
      </c>
      <c r="N3135">
        <v>21.62</v>
      </c>
      <c r="O3135">
        <v>0.28000000000000003</v>
      </c>
      <c r="P3135">
        <v>3</v>
      </c>
      <c r="Q3135">
        <v>0.81</v>
      </c>
      <c r="R3135">
        <v>89</v>
      </c>
      <c r="S3135">
        <v>2.9</v>
      </c>
      <c r="T3135">
        <v>0.93</v>
      </c>
      <c r="U3135" s="1">
        <v>45506</v>
      </c>
      <c r="V3135">
        <v>16.91</v>
      </c>
      <c r="W3135">
        <v>0.69899999999999995</v>
      </c>
      <c r="X3135" t="str">
        <f>IF(WarehouseData[[#This Row],[stock_level]]&lt;=WarehouseData[[#This Row],[reorder_point]],"Low Stock","Sufficient Stock")</f>
        <v>Sufficient Stock</v>
      </c>
      <c r="Y3135">
        <f>WarehouseData[[#This Row],[daily_demand]]*WarehouseData[[#This Row],[lead_time_days]]</f>
        <v>88.56</v>
      </c>
      <c r="Z3135" t="str">
        <f>IF(WarehouseData[[#This Row],[stock_level]]&lt;=WarehouseData[[#This Row],[Demand During Lead Time]],"At Risk","Safe")</f>
        <v>Safe</v>
      </c>
      <c r="AA3135">
        <f>WarehouseData[[#This Row],[stock_level]]/WarehouseData[[#This Row],[daily_demand]]</f>
        <v>14.453477868112014</v>
      </c>
      <c r="AB3135">
        <f>WarehouseData[[#This Row],[stock_level]]*WarehouseData[[#This Row],[unit_price]]</f>
        <v>3459.2000000000003</v>
      </c>
      <c r="AC3135">
        <f>WarehouseData[[#This Row],[stock_level]]*WarehouseData[[#This Row],[holding_cost_per_unit_day]]*30</f>
        <v>1344.0000000000002</v>
      </c>
      <c r="AD3135" t="str">
        <f>IF(WarehouseData[[#This Row],[order_fulfillment_rate]]&gt;=0.9,"Strong",IF(WarehouseData[[#This Row],[order_fulfillment_rate]]&gt;=0.8,"Moderate","Needs Attention"))</f>
        <v>Moderate</v>
      </c>
      <c r="AE3135" t="str">
        <f>IF(WarehouseData[[#This Row],[picking_time_seconds]]&gt;120,"Slow",IF(WarehouseData[[#This Row],[picking_time_seconds]]&gt;=60,"Average","Fast"))</f>
        <v>Average</v>
      </c>
    </row>
    <row r="3136" spans="1:31" x14ac:dyDescent="0.25">
      <c r="A3136" t="s">
        <v>3274</v>
      </c>
      <c r="B3136" t="s">
        <v>40</v>
      </c>
      <c r="C3136">
        <v>416</v>
      </c>
      <c r="D3136">
        <v>54</v>
      </c>
      <c r="E3136">
        <v>8</v>
      </c>
      <c r="F3136">
        <v>2</v>
      </c>
      <c r="G3136">
        <v>4.5</v>
      </c>
      <c r="H3136">
        <v>6.9</v>
      </c>
      <c r="I3136">
        <v>0.9</v>
      </c>
      <c r="J3136" t="s">
        <v>54</v>
      </c>
      <c r="K3136" t="s">
        <v>38</v>
      </c>
      <c r="L3136">
        <v>80</v>
      </c>
      <c r="M3136">
        <v>1.35</v>
      </c>
      <c r="N3136">
        <v>110.68</v>
      </c>
      <c r="O3136">
        <v>1.44</v>
      </c>
      <c r="P3136">
        <v>8</v>
      </c>
      <c r="Q3136">
        <v>0.92</v>
      </c>
      <c r="R3136">
        <v>402</v>
      </c>
      <c r="S3136">
        <v>8.99</v>
      </c>
      <c r="T3136">
        <v>0.31</v>
      </c>
      <c r="U3136" s="1">
        <v>45650</v>
      </c>
      <c r="V3136">
        <v>89.41</v>
      </c>
      <c r="W3136">
        <v>0.46200000000000002</v>
      </c>
      <c r="X3136" t="str">
        <f>IF(WarehouseData[[#This Row],[stock_level]]&lt;=WarehouseData[[#This Row],[reorder_point]],"Low Stock","Sufficient Stock")</f>
        <v>Sufficient Stock</v>
      </c>
      <c r="Y3136">
        <f>WarehouseData[[#This Row],[daily_demand]]*WarehouseData[[#This Row],[lead_time_days]]</f>
        <v>9</v>
      </c>
      <c r="Z3136" t="str">
        <f>IF(WarehouseData[[#This Row],[stock_level]]&lt;=WarehouseData[[#This Row],[Demand During Lead Time]],"At Risk","Safe")</f>
        <v>Safe</v>
      </c>
      <c r="AA3136">
        <f>WarehouseData[[#This Row],[stock_level]]/WarehouseData[[#This Row],[daily_demand]]</f>
        <v>92.444444444444443</v>
      </c>
      <c r="AB3136">
        <f>WarehouseData[[#This Row],[stock_level]]*WarehouseData[[#This Row],[unit_price]]</f>
        <v>46042.880000000005</v>
      </c>
      <c r="AC3136">
        <f>WarehouseData[[#This Row],[stock_level]]*WarehouseData[[#This Row],[holding_cost_per_unit_day]]*30</f>
        <v>17971.199999999997</v>
      </c>
      <c r="AD3136" t="str">
        <f>IF(WarehouseData[[#This Row],[order_fulfillment_rate]]&gt;=0.9,"Strong",IF(WarehouseData[[#This Row],[order_fulfillment_rate]]&gt;=0.8,"Moderate","Needs Attention"))</f>
        <v>Strong</v>
      </c>
      <c r="AE3136" t="str">
        <f>IF(WarehouseData[[#This Row],[picking_time_seconds]]&gt;120,"Slow",IF(WarehouseData[[#This Row],[picking_time_seconds]]&gt;=60,"Average","Fast"))</f>
        <v>Average</v>
      </c>
    </row>
    <row r="3137" spans="1:31" x14ac:dyDescent="0.25">
      <c r="A3137" t="s">
        <v>3275</v>
      </c>
      <c r="B3137" t="s">
        <v>40</v>
      </c>
      <c r="C3137">
        <v>207</v>
      </c>
      <c r="D3137">
        <v>68</v>
      </c>
      <c r="E3137">
        <v>5</v>
      </c>
      <c r="F3137">
        <v>5</v>
      </c>
      <c r="G3137">
        <v>36.590000000000003</v>
      </c>
      <c r="H3137">
        <v>2.92</v>
      </c>
      <c r="I3137">
        <v>0.71</v>
      </c>
      <c r="J3137" t="s">
        <v>79</v>
      </c>
      <c r="K3137" t="s">
        <v>52</v>
      </c>
      <c r="L3137">
        <v>60</v>
      </c>
      <c r="M3137">
        <v>4.58</v>
      </c>
      <c r="N3137">
        <v>103.15</v>
      </c>
      <c r="O3137">
        <v>0.26</v>
      </c>
      <c r="P3137">
        <v>4</v>
      </c>
      <c r="Q3137">
        <v>0.71</v>
      </c>
      <c r="R3137">
        <v>502</v>
      </c>
      <c r="S3137">
        <v>8.15</v>
      </c>
      <c r="T3137">
        <v>0.63</v>
      </c>
      <c r="U3137" s="1">
        <v>45482</v>
      </c>
      <c r="V3137">
        <v>197.06</v>
      </c>
      <c r="W3137">
        <v>0.67100000000000004</v>
      </c>
      <c r="X3137" t="str">
        <f>IF(WarehouseData[[#This Row],[stock_level]]&lt;=WarehouseData[[#This Row],[reorder_point]],"Low Stock","Sufficient Stock")</f>
        <v>Sufficient Stock</v>
      </c>
      <c r="Y3137">
        <f>WarehouseData[[#This Row],[daily_demand]]*WarehouseData[[#This Row],[lead_time_days]]</f>
        <v>182.95000000000002</v>
      </c>
      <c r="Z3137" t="str">
        <f>IF(WarehouseData[[#This Row],[stock_level]]&lt;=WarehouseData[[#This Row],[Demand During Lead Time]],"At Risk","Safe")</f>
        <v>Safe</v>
      </c>
      <c r="AA3137">
        <f>WarehouseData[[#This Row],[stock_level]]/WarehouseData[[#This Row],[daily_demand]]</f>
        <v>5.6572834107679686</v>
      </c>
      <c r="AB3137">
        <f>WarehouseData[[#This Row],[stock_level]]*WarehouseData[[#This Row],[unit_price]]</f>
        <v>21352.050000000003</v>
      </c>
      <c r="AC3137">
        <f>WarehouseData[[#This Row],[stock_level]]*WarehouseData[[#This Row],[holding_cost_per_unit_day]]*30</f>
        <v>1614.6</v>
      </c>
      <c r="AD3137" t="str">
        <f>IF(WarehouseData[[#This Row],[order_fulfillment_rate]]&gt;=0.9,"Strong",IF(WarehouseData[[#This Row],[order_fulfillment_rate]]&gt;=0.8,"Moderate","Needs Attention"))</f>
        <v>Needs Attention</v>
      </c>
      <c r="AE3137" t="str">
        <f>IF(WarehouseData[[#This Row],[picking_time_seconds]]&gt;120,"Slow",IF(WarehouseData[[#This Row],[picking_time_seconds]]&gt;=60,"Average","Fast"))</f>
        <v>Average</v>
      </c>
    </row>
    <row r="3138" spans="1:31" x14ac:dyDescent="0.25">
      <c r="A3138" t="s">
        <v>3276</v>
      </c>
      <c r="B3138" t="s">
        <v>36</v>
      </c>
      <c r="C3138">
        <v>460</v>
      </c>
      <c r="D3138">
        <v>71</v>
      </c>
      <c r="E3138">
        <v>13</v>
      </c>
      <c r="F3138">
        <v>3</v>
      </c>
      <c r="G3138">
        <v>26.04</v>
      </c>
      <c r="H3138">
        <v>7.91</v>
      </c>
      <c r="I3138">
        <v>0.45</v>
      </c>
      <c r="J3138" t="s">
        <v>146</v>
      </c>
      <c r="K3138" t="s">
        <v>38</v>
      </c>
      <c r="L3138">
        <v>65</v>
      </c>
      <c r="M3138">
        <v>1.48</v>
      </c>
      <c r="N3138">
        <v>11.2</v>
      </c>
      <c r="O3138">
        <v>0.1</v>
      </c>
      <c r="P3138">
        <v>2</v>
      </c>
      <c r="Q3138">
        <v>0.82</v>
      </c>
      <c r="R3138">
        <v>472</v>
      </c>
      <c r="S3138">
        <v>7.6</v>
      </c>
      <c r="T3138">
        <v>0.28000000000000003</v>
      </c>
      <c r="U3138" s="1">
        <v>45478</v>
      </c>
      <c r="V3138">
        <v>189.41</v>
      </c>
      <c r="W3138">
        <v>0.67100000000000004</v>
      </c>
      <c r="X3138" t="str">
        <f>IF(WarehouseData[[#This Row],[stock_level]]&lt;=WarehouseData[[#This Row],[reorder_point]],"Low Stock","Sufficient Stock")</f>
        <v>Sufficient Stock</v>
      </c>
      <c r="Y3138">
        <f>WarehouseData[[#This Row],[daily_demand]]*WarehouseData[[#This Row],[lead_time_days]]</f>
        <v>78.12</v>
      </c>
      <c r="Z3138" t="str">
        <f>IF(WarehouseData[[#This Row],[stock_level]]&lt;=WarehouseData[[#This Row],[Demand During Lead Time]],"At Risk","Safe")</f>
        <v>Safe</v>
      </c>
      <c r="AA3138">
        <f>WarehouseData[[#This Row],[stock_level]]/WarehouseData[[#This Row],[daily_demand]]</f>
        <v>17.665130568356375</v>
      </c>
      <c r="AB3138">
        <f>WarehouseData[[#This Row],[stock_level]]*WarehouseData[[#This Row],[unit_price]]</f>
        <v>5152</v>
      </c>
      <c r="AC3138">
        <f>WarehouseData[[#This Row],[stock_level]]*WarehouseData[[#This Row],[holding_cost_per_unit_day]]*30</f>
        <v>1380</v>
      </c>
      <c r="AD3138" t="str">
        <f>IF(WarehouseData[[#This Row],[order_fulfillment_rate]]&gt;=0.9,"Strong",IF(WarehouseData[[#This Row],[order_fulfillment_rate]]&gt;=0.8,"Moderate","Needs Attention"))</f>
        <v>Moderate</v>
      </c>
      <c r="AE3138" t="str">
        <f>IF(WarehouseData[[#This Row],[picking_time_seconds]]&gt;120,"Slow",IF(WarehouseData[[#This Row],[picking_time_seconds]]&gt;=60,"Average","Fast"))</f>
        <v>Average</v>
      </c>
    </row>
    <row r="3139" spans="1:31" x14ac:dyDescent="0.25">
      <c r="A3139" t="s">
        <v>3277</v>
      </c>
      <c r="B3139" t="s">
        <v>48</v>
      </c>
      <c r="C3139">
        <v>105</v>
      </c>
      <c r="D3139">
        <v>68</v>
      </c>
      <c r="E3139">
        <v>5</v>
      </c>
      <c r="F3139">
        <v>6</v>
      </c>
      <c r="G3139">
        <v>35.409999999999997</v>
      </c>
      <c r="H3139">
        <v>2.93</v>
      </c>
      <c r="I3139">
        <v>0.69</v>
      </c>
      <c r="J3139" t="s">
        <v>77</v>
      </c>
      <c r="K3139" t="s">
        <v>52</v>
      </c>
      <c r="L3139">
        <v>108</v>
      </c>
      <c r="M3139">
        <v>3.01</v>
      </c>
      <c r="N3139">
        <v>101.68</v>
      </c>
      <c r="O3139">
        <v>0.33</v>
      </c>
      <c r="P3139">
        <v>1</v>
      </c>
      <c r="Q3139">
        <v>0.95</v>
      </c>
      <c r="R3139">
        <v>763</v>
      </c>
      <c r="S3139">
        <v>6.11</v>
      </c>
      <c r="T3139">
        <v>0.56000000000000005</v>
      </c>
      <c r="U3139" s="1">
        <v>45497</v>
      </c>
      <c r="V3139">
        <v>25.99</v>
      </c>
      <c r="W3139">
        <v>0.73</v>
      </c>
      <c r="X3139" t="str">
        <f>IF(WarehouseData[[#This Row],[stock_level]]&lt;=WarehouseData[[#This Row],[reorder_point]],"Low Stock","Sufficient Stock")</f>
        <v>Sufficient Stock</v>
      </c>
      <c r="Y3139">
        <f>WarehouseData[[#This Row],[daily_demand]]*WarehouseData[[#This Row],[lead_time_days]]</f>
        <v>212.45999999999998</v>
      </c>
      <c r="Z3139" t="str">
        <f>IF(WarehouseData[[#This Row],[stock_level]]&lt;=WarehouseData[[#This Row],[Demand During Lead Time]],"At Risk","Safe")</f>
        <v>At Risk</v>
      </c>
      <c r="AA3139">
        <f>WarehouseData[[#This Row],[stock_level]]/WarehouseData[[#This Row],[daily_demand]]</f>
        <v>2.9652640497034737</v>
      </c>
      <c r="AB3139">
        <f>WarehouseData[[#This Row],[stock_level]]*WarehouseData[[#This Row],[unit_price]]</f>
        <v>10676.400000000001</v>
      </c>
      <c r="AC3139">
        <f>WarehouseData[[#This Row],[stock_level]]*WarehouseData[[#This Row],[holding_cost_per_unit_day]]*30</f>
        <v>1039.5</v>
      </c>
      <c r="AD3139" t="str">
        <f>IF(WarehouseData[[#This Row],[order_fulfillment_rate]]&gt;=0.9,"Strong",IF(WarehouseData[[#This Row],[order_fulfillment_rate]]&gt;=0.8,"Moderate","Needs Attention"))</f>
        <v>Strong</v>
      </c>
      <c r="AE3139" t="str">
        <f>IF(WarehouseData[[#This Row],[picking_time_seconds]]&gt;120,"Slow",IF(WarehouseData[[#This Row],[picking_time_seconds]]&gt;=60,"Average","Fast"))</f>
        <v>Average</v>
      </c>
    </row>
    <row r="3140" spans="1:31" x14ac:dyDescent="0.25">
      <c r="A3140" t="s">
        <v>3278</v>
      </c>
      <c r="B3140" t="s">
        <v>40</v>
      </c>
      <c r="C3140">
        <v>495</v>
      </c>
      <c r="D3140">
        <v>58</v>
      </c>
      <c r="E3140">
        <v>5</v>
      </c>
      <c r="F3140">
        <v>4</v>
      </c>
      <c r="G3140">
        <v>24.37</v>
      </c>
      <c r="H3140">
        <v>1.93</v>
      </c>
      <c r="I3140">
        <v>0.94</v>
      </c>
      <c r="J3140" t="s">
        <v>133</v>
      </c>
      <c r="K3140" t="s">
        <v>38</v>
      </c>
      <c r="L3140">
        <v>30</v>
      </c>
      <c r="M3140">
        <v>0.88</v>
      </c>
      <c r="N3140">
        <v>108.76</v>
      </c>
      <c r="O3140">
        <v>1.27</v>
      </c>
      <c r="P3140">
        <v>8</v>
      </c>
      <c r="Q3140">
        <v>0.78</v>
      </c>
      <c r="R3140">
        <v>135</v>
      </c>
      <c r="S3140">
        <v>7.64</v>
      </c>
      <c r="T3140">
        <v>0.44</v>
      </c>
      <c r="U3140" s="1">
        <v>45435</v>
      </c>
      <c r="V3140">
        <v>84.43</v>
      </c>
      <c r="W3140">
        <v>0.45900000000000002</v>
      </c>
      <c r="X3140" t="str">
        <f>IF(WarehouseData[[#This Row],[stock_level]]&lt;=WarehouseData[[#This Row],[reorder_point]],"Low Stock","Sufficient Stock")</f>
        <v>Sufficient Stock</v>
      </c>
      <c r="Y3140">
        <f>WarehouseData[[#This Row],[daily_demand]]*WarehouseData[[#This Row],[lead_time_days]]</f>
        <v>97.48</v>
      </c>
      <c r="Z3140" t="str">
        <f>IF(WarehouseData[[#This Row],[stock_level]]&lt;=WarehouseData[[#This Row],[Demand During Lead Time]],"At Risk","Safe")</f>
        <v>Safe</v>
      </c>
      <c r="AA3140">
        <f>WarehouseData[[#This Row],[stock_level]]/WarehouseData[[#This Row],[daily_demand]]</f>
        <v>20.311858842839555</v>
      </c>
      <c r="AB3140">
        <f>WarehouseData[[#This Row],[stock_level]]*WarehouseData[[#This Row],[unit_price]]</f>
        <v>53836.200000000004</v>
      </c>
      <c r="AC3140">
        <f>WarehouseData[[#This Row],[stock_level]]*WarehouseData[[#This Row],[holding_cost_per_unit_day]]*30</f>
        <v>18859.5</v>
      </c>
      <c r="AD3140" t="str">
        <f>IF(WarehouseData[[#This Row],[order_fulfillment_rate]]&gt;=0.9,"Strong",IF(WarehouseData[[#This Row],[order_fulfillment_rate]]&gt;=0.8,"Moderate","Needs Attention"))</f>
        <v>Needs Attention</v>
      </c>
      <c r="AE3140" t="str">
        <f>IF(WarehouseData[[#This Row],[picking_time_seconds]]&gt;120,"Slow",IF(WarehouseData[[#This Row],[picking_time_seconds]]&gt;=60,"Average","Fast"))</f>
        <v>Fast</v>
      </c>
    </row>
    <row r="3141" spans="1:31" x14ac:dyDescent="0.25">
      <c r="A3141" t="s">
        <v>3279</v>
      </c>
      <c r="B3141" t="s">
        <v>36</v>
      </c>
      <c r="C3141">
        <v>71</v>
      </c>
      <c r="D3141">
        <v>72</v>
      </c>
      <c r="E3141">
        <v>12</v>
      </c>
      <c r="F3141">
        <v>6</v>
      </c>
      <c r="G3141">
        <v>16.3</v>
      </c>
      <c r="H3141">
        <v>3.82</v>
      </c>
      <c r="I3141">
        <v>0.27</v>
      </c>
      <c r="J3141" t="s">
        <v>154</v>
      </c>
      <c r="K3141" t="s">
        <v>34</v>
      </c>
      <c r="L3141">
        <v>138</v>
      </c>
      <c r="M3141">
        <v>1.2</v>
      </c>
      <c r="N3141">
        <v>125.08</v>
      </c>
      <c r="O3141">
        <v>1.38</v>
      </c>
      <c r="P3141">
        <v>3</v>
      </c>
      <c r="Q3141">
        <v>0.72</v>
      </c>
      <c r="R3141">
        <v>604</v>
      </c>
      <c r="S3141">
        <v>9.1999999999999993</v>
      </c>
      <c r="T3141">
        <v>0.54</v>
      </c>
      <c r="U3141" s="1">
        <v>45522</v>
      </c>
      <c r="V3141">
        <v>195.4</v>
      </c>
      <c r="W3141">
        <v>0.57699999999999996</v>
      </c>
      <c r="X3141" t="str">
        <f>IF(WarehouseData[[#This Row],[stock_level]]&lt;=WarehouseData[[#This Row],[reorder_point]],"Low Stock","Sufficient Stock")</f>
        <v>Low Stock</v>
      </c>
      <c r="Y3141">
        <f>WarehouseData[[#This Row],[daily_demand]]*WarehouseData[[#This Row],[lead_time_days]]</f>
        <v>97.800000000000011</v>
      </c>
      <c r="Z3141" t="str">
        <f>IF(WarehouseData[[#This Row],[stock_level]]&lt;=WarehouseData[[#This Row],[Demand During Lead Time]],"At Risk","Safe")</f>
        <v>At Risk</v>
      </c>
      <c r="AA3141">
        <f>WarehouseData[[#This Row],[stock_level]]/WarehouseData[[#This Row],[daily_demand]]</f>
        <v>4.3558282208588954</v>
      </c>
      <c r="AB3141">
        <f>WarehouseData[[#This Row],[stock_level]]*WarehouseData[[#This Row],[unit_price]]</f>
        <v>8880.68</v>
      </c>
      <c r="AC3141">
        <f>WarehouseData[[#This Row],[stock_level]]*WarehouseData[[#This Row],[holding_cost_per_unit_day]]*30</f>
        <v>2939.3999999999996</v>
      </c>
      <c r="AD3141" t="str">
        <f>IF(WarehouseData[[#This Row],[order_fulfillment_rate]]&gt;=0.9,"Strong",IF(WarehouseData[[#This Row],[order_fulfillment_rate]]&gt;=0.8,"Moderate","Needs Attention"))</f>
        <v>Needs Attention</v>
      </c>
      <c r="AE3141" t="str">
        <f>IF(WarehouseData[[#This Row],[picking_time_seconds]]&gt;120,"Slow",IF(WarehouseData[[#This Row],[picking_time_seconds]]&gt;=60,"Average","Fast"))</f>
        <v>Slow</v>
      </c>
    </row>
    <row r="3142" spans="1:31" x14ac:dyDescent="0.25">
      <c r="A3142" t="s">
        <v>3280</v>
      </c>
      <c r="B3142" t="s">
        <v>32</v>
      </c>
      <c r="C3142">
        <v>130</v>
      </c>
      <c r="D3142">
        <v>96</v>
      </c>
      <c r="E3142">
        <v>13</v>
      </c>
      <c r="F3142">
        <v>2</v>
      </c>
      <c r="G3142">
        <v>14.97</v>
      </c>
      <c r="H3142">
        <v>6.18</v>
      </c>
      <c r="I3142">
        <v>0.57999999999999996</v>
      </c>
      <c r="J3142" t="s">
        <v>221</v>
      </c>
      <c r="K3142" t="s">
        <v>34</v>
      </c>
      <c r="L3142">
        <v>117</v>
      </c>
      <c r="M3142">
        <v>1.61</v>
      </c>
      <c r="N3142">
        <v>194.32</v>
      </c>
      <c r="O3142">
        <v>0.93</v>
      </c>
      <c r="P3142">
        <v>6</v>
      </c>
      <c r="Q3142">
        <v>0.85</v>
      </c>
      <c r="R3142">
        <v>285</v>
      </c>
      <c r="S3142">
        <v>11.27</v>
      </c>
      <c r="T3142">
        <v>0.64</v>
      </c>
      <c r="U3142" s="1">
        <v>45384</v>
      </c>
      <c r="V3142">
        <v>123.75</v>
      </c>
      <c r="W3142">
        <v>0.63500000000000001</v>
      </c>
      <c r="X3142" t="str">
        <f>IF(WarehouseData[[#This Row],[stock_level]]&lt;=WarehouseData[[#This Row],[reorder_point]],"Low Stock","Sufficient Stock")</f>
        <v>Sufficient Stock</v>
      </c>
      <c r="Y3142">
        <f>WarehouseData[[#This Row],[daily_demand]]*WarehouseData[[#This Row],[lead_time_days]]</f>
        <v>29.94</v>
      </c>
      <c r="Z3142" t="str">
        <f>IF(WarehouseData[[#This Row],[stock_level]]&lt;=WarehouseData[[#This Row],[Demand During Lead Time]],"At Risk","Safe")</f>
        <v>Safe</v>
      </c>
      <c r="AA3142">
        <f>WarehouseData[[#This Row],[stock_level]]/WarehouseData[[#This Row],[daily_demand]]</f>
        <v>8.6840347361389441</v>
      </c>
      <c r="AB3142">
        <f>WarehouseData[[#This Row],[stock_level]]*WarehouseData[[#This Row],[unit_price]]</f>
        <v>25261.599999999999</v>
      </c>
      <c r="AC3142">
        <f>WarehouseData[[#This Row],[stock_level]]*WarehouseData[[#This Row],[holding_cost_per_unit_day]]*30</f>
        <v>3627</v>
      </c>
      <c r="AD3142" t="str">
        <f>IF(WarehouseData[[#This Row],[order_fulfillment_rate]]&gt;=0.9,"Strong",IF(WarehouseData[[#This Row],[order_fulfillment_rate]]&gt;=0.8,"Moderate","Needs Attention"))</f>
        <v>Moderate</v>
      </c>
      <c r="AE3142" t="str">
        <f>IF(WarehouseData[[#This Row],[picking_time_seconds]]&gt;120,"Slow",IF(WarehouseData[[#This Row],[picking_time_seconds]]&gt;=60,"Average","Fast"))</f>
        <v>Average</v>
      </c>
    </row>
    <row r="3143" spans="1:31" x14ac:dyDescent="0.25">
      <c r="A3143" t="s">
        <v>3281</v>
      </c>
      <c r="B3143" t="s">
        <v>36</v>
      </c>
      <c r="C3143">
        <v>456</v>
      </c>
      <c r="D3143">
        <v>41</v>
      </c>
      <c r="E3143">
        <v>13</v>
      </c>
      <c r="F3143">
        <v>9</v>
      </c>
      <c r="G3143">
        <v>36.799999999999997</v>
      </c>
      <c r="H3143">
        <v>1.85</v>
      </c>
      <c r="I3143">
        <v>0.31</v>
      </c>
      <c r="J3143" t="s">
        <v>154</v>
      </c>
      <c r="K3143" t="s">
        <v>38</v>
      </c>
      <c r="L3143">
        <v>62</v>
      </c>
      <c r="M3143">
        <v>4.92</v>
      </c>
      <c r="N3143">
        <v>196.71</v>
      </c>
      <c r="O3143">
        <v>0.19</v>
      </c>
      <c r="P3143">
        <v>0</v>
      </c>
      <c r="Q3143">
        <v>0.99</v>
      </c>
      <c r="R3143">
        <v>939</v>
      </c>
      <c r="S3143">
        <v>13.85</v>
      </c>
      <c r="T3143">
        <v>0.56999999999999995</v>
      </c>
      <c r="U3143" s="1">
        <v>45584</v>
      </c>
      <c r="V3143">
        <v>145.09</v>
      </c>
      <c r="W3143">
        <v>0.878</v>
      </c>
      <c r="X3143" t="str">
        <f>IF(WarehouseData[[#This Row],[stock_level]]&lt;=WarehouseData[[#This Row],[reorder_point]],"Low Stock","Sufficient Stock")</f>
        <v>Sufficient Stock</v>
      </c>
      <c r="Y3143">
        <f>WarehouseData[[#This Row],[daily_demand]]*WarehouseData[[#This Row],[lead_time_days]]</f>
        <v>331.2</v>
      </c>
      <c r="Z3143" t="str">
        <f>IF(WarehouseData[[#This Row],[stock_level]]&lt;=WarehouseData[[#This Row],[Demand During Lead Time]],"At Risk","Safe")</f>
        <v>Safe</v>
      </c>
      <c r="AA3143">
        <f>WarehouseData[[#This Row],[stock_level]]/WarehouseData[[#This Row],[daily_demand]]</f>
        <v>12.391304347826088</v>
      </c>
      <c r="AB3143">
        <f>WarehouseData[[#This Row],[stock_level]]*WarehouseData[[#This Row],[unit_price]]</f>
        <v>89699.760000000009</v>
      </c>
      <c r="AC3143">
        <f>WarehouseData[[#This Row],[stock_level]]*WarehouseData[[#This Row],[holding_cost_per_unit_day]]*30</f>
        <v>2599.1999999999998</v>
      </c>
      <c r="AD3143" t="str">
        <f>IF(WarehouseData[[#This Row],[order_fulfillment_rate]]&gt;=0.9,"Strong",IF(WarehouseData[[#This Row],[order_fulfillment_rate]]&gt;=0.8,"Moderate","Needs Attention"))</f>
        <v>Strong</v>
      </c>
      <c r="AE3143" t="str">
        <f>IF(WarehouseData[[#This Row],[picking_time_seconds]]&gt;120,"Slow",IF(WarehouseData[[#This Row],[picking_time_seconds]]&gt;=60,"Average","Fast"))</f>
        <v>Average</v>
      </c>
    </row>
    <row r="3144" spans="1:31" x14ac:dyDescent="0.25">
      <c r="A3144" t="s">
        <v>3282</v>
      </c>
      <c r="B3144" t="s">
        <v>40</v>
      </c>
      <c r="C3144">
        <v>384</v>
      </c>
      <c r="D3144">
        <v>19</v>
      </c>
      <c r="E3144">
        <v>12</v>
      </c>
      <c r="F3144">
        <v>3</v>
      </c>
      <c r="G3144">
        <v>14.56</v>
      </c>
      <c r="H3144">
        <v>6.66</v>
      </c>
      <c r="I3144">
        <v>0.87</v>
      </c>
      <c r="J3144" t="s">
        <v>273</v>
      </c>
      <c r="K3144" t="s">
        <v>38</v>
      </c>
      <c r="L3144">
        <v>15</v>
      </c>
      <c r="M3144">
        <v>4.09</v>
      </c>
      <c r="N3144">
        <v>110.12</v>
      </c>
      <c r="O3144">
        <v>1.3</v>
      </c>
      <c r="P3144">
        <v>8</v>
      </c>
      <c r="Q3144">
        <v>0.72</v>
      </c>
      <c r="R3144">
        <v>464</v>
      </c>
      <c r="S3144">
        <v>1.62</v>
      </c>
      <c r="T3144">
        <v>0.22</v>
      </c>
      <c r="U3144" s="1">
        <v>45359</v>
      </c>
      <c r="V3144">
        <v>70.05</v>
      </c>
      <c r="W3144">
        <v>0.32</v>
      </c>
      <c r="X3144" t="str">
        <f>IF(WarehouseData[[#This Row],[stock_level]]&lt;=WarehouseData[[#This Row],[reorder_point]],"Low Stock","Sufficient Stock")</f>
        <v>Sufficient Stock</v>
      </c>
      <c r="Y3144">
        <f>WarehouseData[[#This Row],[daily_demand]]*WarehouseData[[#This Row],[lead_time_days]]</f>
        <v>43.68</v>
      </c>
      <c r="Z3144" t="str">
        <f>IF(WarehouseData[[#This Row],[stock_level]]&lt;=WarehouseData[[#This Row],[Demand During Lead Time]],"At Risk","Safe")</f>
        <v>Safe</v>
      </c>
      <c r="AA3144">
        <f>WarehouseData[[#This Row],[stock_level]]/WarehouseData[[#This Row],[daily_demand]]</f>
        <v>26.373626373626372</v>
      </c>
      <c r="AB3144">
        <f>WarehouseData[[#This Row],[stock_level]]*WarehouseData[[#This Row],[unit_price]]</f>
        <v>42286.080000000002</v>
      </c>
      <c r="AC3144">
        <f>WarehouseData[[#This Row],[stock_level]]*WarehouseData[[#This Row],[holding_cost_per_unit_day]]*30</f>
        <v>14976.000000000002</v>
      </c>
      <c r="AD3144" t="str">
        <f>IF(WarehouseData[[#This Row],[order_fulfillment_rate]]&gt;=0.9,"Strong",IF(WarehouseData[[#This Row],[order_fulfillment_rate]]&gt;=0.8,"Moderate","Needs Attention"))</f>
        <v>Needs Attention</v>
      </c>
      <c r="AE3144" t="str">
        <f>IF(WarehouseData[[#This Row],[picking_time_seconds]]&gt;120,"Slow",IF(WarehouseData[[#This Row],[picking_time_seconds]]&gt;=60,"Average","Fast"))</f>
        <v>Fast</v>
      </c>
    </row>
    <row r="3145" spans="1:31" x14ac:dyDescent="0.25">
      <c r="A3145" t="s">
        <v>3283</v>
      </c>
      <c r="B3145" t="s">
        <v>32</v>
      </c>
      <c r="C3145">
        <v>361</v>
      </c>
      <c r="D3145">
        <v>20</v>
      </c>
      <c r="E3145">
        <v>13</v>
      </c>
      <c r="F3145">
        <v>3</v>
      </c>
      <c r="G3145">
        <v>36.020000000000003</v>
      </c>
      <c r="H3145">
        <v>8.6999999999999993</v>
      </c>
      <c r="I3145">
        <v>0.75</v>
      </c>
      <c r="J3145" t="s">
        <v>166</v>
      </c>
      <c r="K3145" t="s">
        <v>38</v>
      </c>
      <c r="L3145">
        <v>91</v>
      </c>
      <c r="M3145">
        <v>3.53</v>
      </c>
      <c r="N3145">
        <v>170.59</v>
      </c>
      <c r="O3145">
        <v>0.26</v>
      </c>
      <c r="P3145">
        <v>8</v>
      </c>
      <c r="Q3145">
        <v>0.72</v>
      </c>
      <c r="R3145">
        <v>631</v>
      </c>
      <c r="S3145">
        <v>8.9700000000000006</v>
      </c>
      <c r="T3145">
        <v>0.89</v>
      </c>
      <c r="U3145" s="1">
        <v>45586</v>
      </c>
      <c r="V3145">
        <v>20.95</v>
      </c>
      <c r="W3145">
        <v>0.65600000000000003</v>
      </c>
      <c r="X3145" t="str">
        <f>IF(WarehouseData[[#This Row],[stock_level]]&lt;=WarehouseData[[#This Row],[reorder_point]],"Low Stock","Sufficient Stock")</f>
        <v>Sufficient Stock</v>
      </c>
      <c r="Y3145">
        <f>WarehouseData[[#This Row],[daily_demand]]*WarehouseData[[#This Row],[lead_time_days]]</f>
        <v>108.06</v>
      </c>
      <c r="Z3145" t="str">
        <f>IF(WarehouseData[[#This Row],[stock_level]]&lt;=WarehouseData[[#This Row],[Demand During Lead Time]],"At Risk","Safe")</f>
        <v>Safe</v>
      </c>
      <c r="AA3145">
        <f>WarehouseData[[#This Row],[stock_level]]/WarehouseData[[#This Row],[daily_demand]]</f>
        <v>10.022209883398112</v>
      </c>
      <c r="AB3145">
        <f>WarehouseData[[#This Row],[stock_level]]*WarehouseData[[#This Row],[unit_price]]</f>
        <v>61582.99</v>
      </c>
      <c r="AC3145">
        <f>WarehouseData[[#This Row],[stock_level]]*WarehouseData[[#This Row],[holding_cost_per_unit_day]]*30</f>
        <v>2815.8</v>
      </c>
      <c r="AD3145" t="str">
        <f>IF(WarehouseData[[#This Row],[order_fulfillment_rate]]&gt;=0.9,"Strong",IF(WarehouseData[[#This Row],[order_fulfillment_rate]]&gt;=0.8,"Moderate","Needs Attention"))</f>
        <v>Needs Attention</v>
      </c>
      <c r="AE3145" t="str">
        <f>IF(WarehouseData[[#This Row],[picking_time_seconds]]&gt;120,"Slow",IF(WarehouseData[[#This Row],[picking_time_seconds]]&gt;=60,"Average","Fast"))</f>
        <v>Average</v>
      </c>
    </row>
    <row r="3146" spans="1:31" x14ac:dyDescent="0.25">
      <c r="A3146" t="s">
        <v>3284</v>
      </c>
      <c r="B3146" t="s">
        <v>36</v>
      </c>
      <c r="C3146">
        <v>62</v>
      </c>
      <c r="D3146">
        <v>79</v>
      </c>
      <c r="E3146">
        <v>10</v>
      </c>
      <c r="F3146">
        <v>6</v>
      </c>
      <c r="G3146">
        <v>19.809999999999999</v>
      </c>
      <c r="H3146">
        <v>3.28</v>
      </c>
      <c r="I3146">
        <v>0.82</v>
      </c>
      <c r="J3146" t="s">
        <v>59</v>
      </c>
      <c r="K3146" t="s">
        <v>34</v>
      </c>
      <c r="L3146">
        <v>88</v>
      </c>
      <c r="M3146">
        <v>4.62</v>
      </c>
      <c r="N3146">
        <v>26.18</v>
      </c>
      <c r="O3146">
        <v>0.37</v>
      </c>
      <c r="P3146">
        <v>9</v>
      </c>
      <c r="Q3146">
        <v>0.88</v>
      </c>
      <c r="R3146">
        <v>405</v>
      </c>
      <c r="S3146">
        <v>11.53</v>
      </c>
      <c r="T3146">
        <v>0.28000000000000003</v>
      </c>
      <c r="U3146" s="1">
        <v>45643</v>
      </c>
      <c r="V3146">
        <v>110.11</v>
      </c>
      <c r="W3146">
        <v>0.56899999999999995</v>
      </c>
      <c r="X3146" t="str">
        <f>IF(WarehouseData[[#This Row],[stock_level]]&lt;=WarehouseData[[#This Row],[reorder_point]],"Low Stock","Sufficient Stock")</f>
        <v>Low Stock</v>
      </c>
      <c r="Y3146">
        <f>WarehouseData[[#This Row],[daily_demand]]*WarehouseData[[#This Row],[lead_time_days]]</f>
        <v>118.85999999999999</v>
      </c>
      <c r="Z3146" t="str">
        <f>IF(WarehouseData[[#This Row],[stock_level]]&lt;=WarehouseData[[#This Row],[Demand During Lead Time]],"At Risk","Safe")</f>
        <v>At Risk</v>
      </c>
      <c r="AA3146">
        <f>WarehouseData[[#This Row],[stock_level]]/WarehouseData[[#This Row],[daily_demand]]</f>
        <v>3.1297324583543666</v>
      </c>
      <c r="AB3146">
        <f>WarehouseData[[#This Row],[stock_level]]*WarehouseData[[#This Row],[unit_price]]</f>
        <v>1623.16</v>
      </c>
      <c r="AC3146">
        <f>WarehouseData[[#This Row],[stock_level]]*WarehouseData[[#This Row],[holding_cost_per_unit_day]]*30</f>
        <v>688.2</v>
      </c>
      <c r="AD3146" t="str">
        <f>IF(WarehouseData[[#This Row],[order_fulfillment_rate]]&gt;=0.9,"Strong",IF(WarehouseData[[#This Row],[order_fulfillment_rate]]&gt;=0.8,"Moderate","Needs Attention"))</f>
        <v>Moderate</v>
      </c>
      <c r="AE3146" t="str">
        <f>IF(WarehouseData[[#This Row],[picking_time_seconds]]&gt;120,"Slow",IF(WarehouseData[[#This Row],[picking_time_seconds]]&gt;=60,"Average","Fast"))</f>
        <v>Average</v>
      </c>
    </row>
    <row r="3147" spans="1:31" x14ac:dyDescent="0.25">
      <c r="A3147" t="s">
        <v>3285</v>
      </c>
      <c r="B3147" t="s">
        <v>73</v>
      </c>
      <c r="C3147">
        <v>230</v>
      </c>
      <c r="D3147">
        <v>71</v>
      </c>
      <c r="E3147">
        <v>7</v>
      </c>
      <c r="F3147">
        <v>2</v>
      </c>
      <c r="G3147">
        <v>38.770000000000003</v>
      </c>
      <c r="H3147">
        <v>4.78</v>
      </c>
      <c r="I3147">
        <v>0.95</v>
      </c>
      <c r="J3147" t="s">
        <v>212</v>
      </c>
      <c r="K3147" t="s">
        <v>46</v>
      </c>
      <c r="L3147">
        <v>56</v>
      </c>
      <c r="M3147">
        <v>4.8</v>
      </c>
      <c r="N3147">
        <v>110.92</v>
      </c>
      <c r="O3147">
        <v>1.07</v>
      </c>
      <c r="P3147">
        <v>5</v>
      </c>
      <c r="Q3147">
        <v>0.78</v>
      </c>
      <c r="R3147">
        <v>692</v>
      </c>
      <c r="S3147">
        <v>2.62</v>
      </c>
      <c r="T3147">
        <v>0.98</v>
      </c>
      <c r="U3147" s="1">
        <v>45409</v>
      </c>
      <c r="V3147">
        <v>208.07</v>
      </c>
      <c r="W3147">
        <v>0.57999999999999996</v>
      </c>
      <c r="X3147" t="str">
        <f>IF(WarehouseData[[#This Row],[stock_level]]&lt;=WarehouseData[[#This Row],[reorder_point]],"Low Stock","Sufficient Stock")</f>
        <v>Sufficient Stock</v>
      </c>
      <c r="Y3147">
        <f>WarehouseData[[#This Row],[daily_demand]]*WarehouseData[[#This Row],[lead_time_days]]</f>
        <v>77.540000000000006</v>
      </c>
      <c r="Z3147" t="str">
        <f>IF(WarehouseData[[#This Row],[stock_level]]&lt;=WarehouseData[[#This Row],[Demand During Lead Time]],"At Risk","Safe")</f>
        <v>Safe</v>
      </c>
      <c r="AA3147">
        <f>WarehouseData[[#This Row],[stock_level]]/WarehouseData[[#This Row],[daily_demand]]</f>
        <v>5.9324219757544485</v>
      </c>
      <c r="AB3147">
        <f>WarehouseData[[#This Row],[stock_level]]*WarehouseData[[#This Row],[unit_price]]</f>
        <v>25511.600000000002</v>
      </c>
      <c r="AC3147">
        <f>WarehouseData[[#This Row],[stock_level]]*WarehouseData[[#This Row],[holding_cost_per_unit_day]]*30</f>
        <v>7383.0000000000009</v>
      </c>
      <c r="AD3147" t="str">
        <f>IF(WarehouseData[[#This Row],[order_fulfillment_rate]]&gt;=0.9,"Strong",IF(WarehouseData[[#This Row],[order_fulfillment_rate]]&gt;=0.8,"Moderate","Needs Attention"))</f>
        <v>Needs Attention</v>
      </c>
      <c r="AE3147" t="str">
        <f>IF(WarehouseData[[#This Row],[picking_time_seconds]]&gt;120,"Slow",IF(WarehouseData[[#This Row],[picking_time_seconds]]&gt;=60,"Average","Fast"))</f>
        <v>Fast</v>
      </c>
    </row>
    <row r="3148" spans="1:31" x14ac:dyDescent="0.25">
      <c r="A3148" t="s">
        <v>3286</v>
      </c>
      <c r="B3148" t="s">
        <v>32</v>
      </c>
      <c r="C3148">
        <v>475</v>
      </c>
      <c r="D3148">
        <v>56</v>
      </c>
      <c r="E3148">
        <v>6</v>
      </c>
      <c r="F3148">
        <v>9</v>
      </c>
      <c r="G3148">
        <v>8</v>
      </c>
      <c r="H3148">
        <v>2.67</v>
      </c>
      <c r="I3148">
        <v>0.31</v>
      </c>
      <c r="J3148" t="s">
        <v>340</v>
      </c>
      <c r="K3148" t="s">
        <v>38</v>
      </c>
      <c r="L3148">
        <v>105</v>
      </c>
      <c r="M3148">
        <v>2.54</v>
      </c>
      <c r="N3148">
        <v>138.99</v>
      </c>
      <c r="O3148">
        <v>0.75</v>
      </c>
      <c r="P3148">
        <v>5</v>
      </c>
      <c r="Q3148">
        <v>0.82</v>
      </c>
      <c r="R3148">
        <v>693</v>
      </c>
      <c r="S3148">
        <v>13.76</v>
      </c>
      <c r="T3148">
        <v>0.88</v>
      </c>
      <c r="U3148" s="1">
        <v>45343</v>
      </c>
      <c r="V3148">
        <v>232.29</v>
      </c>
      <c r="W3148">
        <v>0.748</v>
      </c>
      <c r="X3148" t="str">
        <f>IF(WarehouseData[[#This Row],[stock_level]]&lt;=WarehouseData[[#This Row],[reorder_point]],"Low Stock","Sufficient Stock")</f>
        <v>Sufficient Stock</v>
      </c>
      <c r="Y3148">
        <f>WarehouseData[[#This Row],[daily_demand]]*WarehouseData[[#This Row],[lead_time_days]]</f>
        <v>72</v>
      </c>
      <c r="Z3148" t="str">
        <f>IF(WarehouseData[[#This Row],[stock_level]]&lt;=WarehouseData[[#This Row],[Demand During Lead Time]],"At Risk","Safe")</f>
        <v>Safe</v>
      </c>
      <c r="AA3148">
        <f>WarehouseData[[#This Row],[stock_level]]/WarehouseData[[#This Row],[daily_demand]]</f>
        <v>59.375</v>
      </c>
      <c r="AB3148">
        <f>WarehouseData[[#This Row],[stock_level]]*WarehouseData[[#This Row],[unit_price]]</f>
        <v>66020.25</v>
      </c>
      <c r="AC3148">
        <f>WarehouseData[[#This Row],[stock_level]]*WarehouseData[[#This Row],[holding_cost_per_unit_day]]*30</f>
        <v>10687.5</v>
      </c>
      <c r="AD3148" t="str">
        <f>IF(WarehouseData[[#This Row],[order_fulfillment_rate]]&gt;=0.9,"Strong",IF(WarehouseData[[#This Row],[order_fulfillment_rate]]&gt;=0.8,"Moderate","Needs Attention"))</f>
        <v>Moderate</v>
      </c>
      <c r="AE3148" t="str">
        <f>IF(WarehouseData[[#This Row],[picking_time_seconds]]&gt;120,"Slow",IF(WarehouseData[[#This Row],[picking_time_seconds]]&gt;=60,"Average","Fast"))</f>
        <v>Average</v>
      </c>
    </row>
    <row r="3149" spans="1:31" x14ac:dyDescent="0.25">
      <c r="A3149" t="s">
        <v>3287</v>
      </c>
      <c r="B3149" t="s">
        <v>73</v>
      </c>
      <c r="C3149">
        <v>219</v>
      </c>
      <c r="D3149">
        <v>43</v>
      </c>
      <c r="E3149">
        <v>11</v>
      </c>
      <c r="F3149">
        <v>6</v>
      </c>
      <c r="G3149">
        <v>11.04</v>
      </c>
      <c r="H3149">
        <v>3.93</v>
      </c>
      <c r="I3149">
        <v>0.14000000000000001</v>
      </c>
      <c r="J3149" t="s">
        <v>316</v>
      </c>
      <c r="K3149" t="s">
        <v>46</v>
      </c>
      <c r="L3149">
        <v>115</v>
      </c>
      <c r="M3149">
        <v>1.97</v>
      </c>
      <c r="N3149">
        <v>117.3</v>
      </c>
      <c r="O3149">
        <v>0.98</v>
      </c>
      <c r="P3149">
        <v>5</v>
      </c>
      <c r="Q3149">
        <v>0.95</v>
      </c>
      <c r="R3149">
        <v>297</v>
      </c>
      <c r="S3149">
        <v>4.43</v>
      </c>
      <c r="T3149">
        <v>0.65</v>
      </c>
      <c r="U3149" s="1">
        <v>45430</v>
      </c>
      <c r="V3149">
        <v>181.83</v>
      </c>
      <c r="W3149">
        <v>0.58099999999999996</v>
      </c>
      <c r="X3149" t="str">
        <f>IF(WarehouseData[[#This Row],[stock_level]]&lt;=WarehouseData[[#This Row],[reorder_point]],"Low Stock","Sufficient Stock")</f>
        <v>Sufficient Stock</v>
      </c>
      <c r="Y3149">
        <f>WarehouseData[[#This Row],[daily_demand]]*WarehouseData[[#This Row],[lead_time_days]]</f>
        <v>66.239999999999995</v>
      </c>
      <c r="Z3149" t="str">
        <f>IF(WarehouseData[[#This Row],[stock_level]]&lt;=WarehouseData[[#This Row],[Demand During Lead Time]],"At Risk","Safe")</f>
        <v>Safe</v>
      </c>
      <c r="AA3149">
        <f>WarehouseData[[#This Row],[stock_level]]/WarehouseData[[#This Row],[daily_demand]]</f>
        <v>19.836956521739133</v>
      </c>
      <c r="AB3149">
        <f>WarehouseData[[#This Row],[stock_level]]*WarehouseData[[#This Row],[unit_price]]</f>
        <v>25688.7</v>
      </c>
      <c r="AC3149">
        <f>WarehouseData[[#This Row],[stock_level]]*WarehouseData[[#This Row],[holding_cost_per_unit_day]]*30</f>
        <v>6438.6</v>
      </c>
      <c r="AD3149" t="str">
        <f>IF(WarehouseData[[#This Row],[order_fulfillment_rate]]&gt;=0.9,"Strong",IF(WarehouseData[[#This Row],[order_fulfillment_rate]]&gt;=0.8,"Moderate","Needs Attention"))</f>
        <v>Strong</v>
      </c>
      <c r="AE3149" t="str">
        <f>IF(WarehouseData[[#This Row],[picking_time_seconds]]&gt;120,"Slow",IF(WarehouseData[[#This Row],[picking_time_seconds]]&gt;=60,"Average","Fast"))</f>
        <v>Average</v>
      </c>
    </row>
    <row r="3150" spans="1:31" x14ac:dyDescent="0.25">
      <c r="A3150" t="s">
        <v>3288</v>
      </c>
      <c r="B3150" t="s">
        <v>48</v>
      </c>
      <c r="C3150">
        <v>317</v>
      </c>
      <c r="D3150">
        <v>26</v>
      </c>
      <c r="E3150">
        <v>11</v>
      </c>
      <c r="F3150">
        <v>5</v>
      </c>
      <c r="G3150">
        <v>34.61</v>
      </c>
      <c r="H3150">
        <v>0.71</v>
      </c>
      <c r="I3150">
        <v>0.36</v>
      </c>
      <c r="J3150" t="s">
        <v>240</v>
      </c>
      <c r="K3150" t="s">
        <v>38</v>
      </c>
      <c r="L3150">
        <v>91</v>
      </c>
      <c r="M3150">
        <v>1.92</v>
      </c>
      <c r="N3150">
        <v>53.84</v>
      </c>
      <c r="O3150">
        <v>1.31</v>
      </c>
      <c r="P3150">
        <v>4</v>
      </c>
      <c r="Q3150">
        <v>0.76</v>
      </c>
      <c r="R3150">
        <v>716</v>
      </c>
      <c r="S3150">
        <v>12.67</v>
      </c>
      <c r="T3150">
        <v>0.4</v>
      </c>
      <c r="U3150" s="1">
        <v>45412</v>
      </c>
      <c r="V3150">
        <v>124.03</v>
      </c>
      <c r="W3150">
        <v>0.59</v>
      </c>
      <c r="X3150" t="str">
        <f>IF(WarehouseData[[#This Row],[stock_level]]&lt;=WarehouseData[[#This Row],[reorder_point]],"Low Stock","Sufficient Stock")</f>
        <v>Sufficient Stock</v>
      </c>
      <c r="Y3150">
        <f>WarehouseData[[#This Row],[daily_demand]]*WarehouseData[[#This Row],[lead_time_days]]</f>
        <v>173.05</v>
      </c>
      <c r="Z3150" t="str">
        <f>IF(WarehouseData[[#This Row],[stock_level]]&lt;=WarehouseData[[#This Row],[Demand During Lead Time]],"At Risk","Safe")</f>
        <v>Safe</v>
      </c>
      <c r="AA3150">
        <f>WarehouseData[[#This Row],[stock_level]]/WarehouseData[[#This Row],[daily_demand]]</f>
        <v>9.1592025426177415</v>
      </c>
      <c r="AB3150">
        <f>WarehouseData[[#This Row],[stock_level]]*WarehouseData[[#This Row],[unit_price]]</f>
        <v>17067.280000000002</v>
      </c>
      <c r="AC3150">
        <f>WarehouseData[[#This Row],[stock_level]]*WarehouseData[[#This Row],[holding_cost_per_unit_day]]*30</f>
        <v>12458.1</v>
      </c>
      <c r="AD3150" t="str">
        <f>IF(WarehouseData[[#This Row],[order_fulfillment_rate]]&gt;=0.9,"Strong",IF(WarehouseData[[#This Row],[order_fulfillment_rate]]&gt;=0.8,"Moderate","Needs Attention"))</f>
        <v>Needs Attention</v>
      </c>
      <c r="AE3150" t="str">
        <f>IF(WarehouseData[[#This Row],[picking_time_seconds]]&gt;120,"Slow",IF(WarehouseData[[#This Row],[picking_time_seconds]]&gt;=60,"Average","Fast"))</f>
        <v>Average</v>
      </c>
    </row>
    <row r="3151" spans="1:31" x14ac:dyDescent="0.25">
      <c r="A3151" t="s">
        <v>3289</v>
      </c>
      <c r="B3151" t="s">
        <v>32</v>
      </c>
      <c r="C3151">
        <v>365</v>
      </c>
      <c r="D3151">
        <v>63</v>
      </c>
      <c r="E3151">
        <v>3</v>
      </c>
      <c r="F3151">
        <v>3</v>
      </c>
      <c r="G3151">
        <v>28.45</v>
      </c>
      <c r="H3151">
        <v>9.56</v>
      </c>
      <c r="I3151">
        <v>0.46</v>
      </c>
      <c r="J3151" t="s">
        <v>163</v>
      </c>
      <c r="K3151" t="s">
        <v>52</v>
      </c>
      <c r="L3151">
        <v>40</v>
      </c>
      <c r="M3151">
        <v>0.66</v>
      </c>
      <c r="N3151">
        <v>21.91</v>
      </c>
      <c r="O3151">
        <v>0.4</v>
      </c>
      <c r="P3151">
        <v>0</v>
      </c>
      <c r="Q3151">
        <v>0.92</v>
      </c>
      <c r="R3151">
        <v>791</v>
      </c>
      <c r="S3151">
        <v>10.27</v>
      </c>
      <c r="T3151">
        <v>0.27</v>
      </c>
      <c r="U3151" s="1">
        <v>45576</v>
      </c>
      <c r="V3151">
        <v>179.11</v>
      </c>
      <c r="W3151">
        <v>0.73499999999999999</v>
      </c>
      <c r="X3151" t="str">
        <f>IF(WarehouseData[[#This Row],[stock_level]]&lt;=WarehouseData[[#This Row],[reorder_point]],"Low Stock","Sufficient Stock")</f>
        <v>Sufficient Stock</v>
      </c>
      <c r="Y3151">
        <f>WarehouseData[[#This Row],[daily_demand]]*WarehouseData[[#This Row],[lead_time_days]]</f>
        <v>85.35</v>
      </c>
      <c r="Z3151" t="str">
        <f>IF(WarehouseData[[#This Row],[stock_level]]&lt;=WarehouseData[[#This Row],[Demand During Lead Time]],"At Risk","Safe")</f>
        <v>Safe</v>
      </c>
      <c r="AA3151">
        <f>WarehouseData[[#This Row],[stock_level]]/WarehouseData[[#This Row],[daily_demand]]</f>
        <v>12.829525483304042</v>
      </c>
      <c r="AB3151">
        <f>WarehouseData[[#This Row],[stock_level]]*WarehouseData[[#This Row],[unit_price]]</f>
        <v>7997.15</v>
      </c>
      <c r="AC3151">
        <f>WarehouseData[[#This Row],[stock_level]]*WarehouseData[[#This Row],[holding_cost_per_unit_day]]*30</f>
        <v>4380</v>
      </c>
      <c r="AD3151" t="str">
        <f>IF(WarehouseData[[#This Row],[order_fulfillment_rate]]&gt;=0.9,"Strong",IF(WarehouseData[[#This Row],[order_fulfillment_rate]]&gt;=0.8,"Moderate","Needs Attention"))</f>
        <v>Strong</v>
      </c>
      <c r="AE3151" t="str">
        <f>IF(WarehouseData[[#This Row],[picking_time_seconds]]&gt;120,"Slow",IF(WarehouseData[[#This Row],[picking_time_seconds]]&gt;=60,"Average","Fast"))</f>
        <v>Fast</v>
      </c>
    </row>
    <row r="3152" spans="1:31" x14ac:dyDescent="0.25">
      <c r="A3152" t="s">
        <v>3290</v>
      </c>
      <c r="B3152" t="s">
        <v>73</v>
      </c>
      <c r="C3152">
        <v>259</v>
      </c>
      <c r="D3152">
        <v>85</v>
      </c>
      <c r="E3152">
        <v>4</v>
      </c>
      <c r="F3152">
        <v>3</v>
      </c>
      <c r="G3152">
        <v>10.99</v>
      </c>
      <c r="H3152">
        <v>4.45</v>
      </c>
      <c r="I3152">
        <v>0.66</v>
      </c>
      <c r="J3152" t="s">
        <v>379</v>
      </c>
      <c r="K3152" t="s">
        <v>34</v>
      </c>
      <c r="L3152">
        <v>166</v>
      </c>
      <c r="M3152">
        <v>1.76</v>
      </c>
      <c r="N3152">
        <v>83.47</v>
      </c>
      <c r="O3152">
        <v>1.8</v>
      </c>
      <c r="P3152">
        <v>3</v>
      </c>
      <c r="Q3152">
        <v>0.85</v>
      </c>
      <c r="R3152">
        <v>650</v>
      </c>
      <c r="S3152">
        <v>8.83</v>
      </c>
      <c r="T3152">
        <v>0.74</v>
      </c>
      <c r="U3152" s="1">
        <v>45513</v>
      </c>
      <c r="V3152">
        <v>214.45</v>
      </c>
      <c r="W3152">
        <v>0.59599999999999997</v>
      </c>
      <c r="X3152" t="str">
        <f>IF(WarehouseData[[#This Row],[stock_level]]&lt;=WarehouseData[[#This Row],[reorder_point]],"Low Stock","Sufficient Stock")</f>
        <v>Sufficient Stock</v>
      </c>
      <c r="Y3152">
        <f>WarehouseData[[#This Row],[daily_demand]]*WarehouseData[[#This Row],[lead_time_days]]</f>
        <v>32.97</v>
      </c>
      <c r="Z3152" t="str">
        <f>IF(WarehouseData[[#This Row],[stock_level]]&lt;=WarehouseData[[#This Row],[Demand During Lead Time]],"At Risk","Safe")</f>
        <v>Safe</v>
      </c>
      <c r="AA3152">
        <f>WarehouseData[[#This Row],[stock_level]]/WarehouseData[[#This Row],[daily_demand]]</f>
        <v>23.566878980891719</v>
      </c>
      <c r="AB3152">
        <f>WarehouseData[[#This Row],[stock_level]]*WarehouseData[[#This Row],[unit_price]]</f>
        <v>21618.73</v>
      </c>
      <c r="AC3152">
        <f>WarehouseData[[#This Row],[stock_level]]*WarehouseData[[#This Row],[holding_cost_per_unit_day]]*30</f>
        <v>13986</v>
      </c>
      <c r="AD3152" t="str">
        <f>IF(WarehouseData[[#This Row],[order_fulfillment_rate]]&gt;=0.9,"Strong",IF(WarehouseData[[#This Row],[order_fulfillment_rate]]&gt;=0.8,"Moderate","Needs Attention"))</f>
        <v>Moderate</v>
      </c>
      <c r="AE3152" t="str">
        <f>IF(WarehouseData[[#This Row],[picking_time_seconds]]&gt;120,"Slow",IF(WarehouseData[[#This Row],[picking_time_seconds]]&gt;=60,"Average","Fast"))</f>
        <v>Slow</v>
      </c>
    </row>
    <row r="3153" spans="1:31" x14ac:dyDescent="0.25">
      <c r="A3153" t="s">
        <v>3291</v>
      </c>
      <c r="B3153" t="s">
        <v>40</v>
      </c>
      <c r="C3153">
        <v>134</v>
      </c>
      <c r="D3153">
        <v>94</v>
      </c>
      <c r="E3153">
        <v>10</v>
      </c>
      <c r="F3153">
        <v>5</v>
      </c>
      <c r="G3153">
        <v>45.24</v>
      </c>
      <c r="H3153">
        <v>7.99</v>
      </c>
      <c r="I3153">
        <v>0.82</v>
      </c>
      <c r="J3153" t="s">
        <v>51</v>
      </c>
      <c r="K3153" t="s">
        <v>46</v>
      </c>
      <c r="L3153">
        <v>152</v>
      </c>
      <c r="M3153">
        <v>2.1</v>
      </c>
      <c r="N3153">
        <v>133.05000000000001</v>
      </c>
      <c r="O3153">
        <v>1.1599999999999999</v>
      </c>
      <c r="P3153">
        <v>9</v>
      </c>
      <c r="Q3153">
        <v>0.97</v>
      </c>
      <c r="R3153">
        <v>278</v>
      </c>
      <c r="S3153">
        <v>13.17</v>
      </c>
      <c r="T3153">
        <v>0.36</v>
      </c>
      <c r="U3153" s="1">
        <v>45487</v>
      </c>
      <c r="V3153">
        <v>229.03</v>
      </c>
      <c r="W3153">
        <v>0.54600000000000004</v>
      </c>
      <c r="X3153" t="str">
        <f>IF(WarehouseData[[#This Row],[stock_level]]&lt;=WarehouseData[[#This Row],[reorder_point]],"Low Stock","Sufficient Stock")</f>
        <v>Sufficient Stock</v>
      </c>
      <c r="Y3153">
        <f>WarehouseData[[#This Row],[daily_demand]]*WarehouseData[[#This Row],[lead_time_days]]</f>
        <v>226.20000000000002</v>
      </c>
      <c r="Z3153" t="str">
        <f>IF(WarehouseData[[#This Row],[stock_level]]&lt;=WarehouseData[[#This Row],[Demand During Lead Time]],"At Risk","Safe")</f>
        <v>At Risk</v>
      </c>
      <c r="AA3153">
        <f>WarehouseData[[#This Row],[stock_level]]/WarehouseData[[#This Row],[daily_demand]]</f>
        <v>2.9619805481874448</v>
      </c>
      <c r="AB3153">
        <f>WarehouseData[[#This Row],[stock_level]]*WarehouseData[[#This Row],[unit_price]]</f>
        <v>17828.7</v>
      </c>
      <c r="AC3153">
        <f>WarehouseData[[#This Row],[stock_level]]*WarehouseData[[#This Row],[holding_cost_per_unit_day]]*30</f>
        <v>4663.2</v>
      </c>
      <c r="AD3153" t="str">
        <f>IF(WarehouseData[[#This Row],[order_fulfillment_rate]]&gt;=0.9,"Strong",IF(WarehouseData[[#This Row],[order_fulfillment_rate]]&gt;=0.8,"Moderate","Needs Attention"))</f>
        <v>Strong</v>
      </c>
      <c r="AE3153" t="str">
        <f>IF(WarehouseData[[#This Row],[picking_time_seconds]]&gt;120,"Slow",IF(WarehouseData[[#This Row],[picking_time_seconds]]&gt;=60,"Average","Fast"))</f>
        <v>Slow</v>
      </c>
    </row>
    <row r="3154" spans="1:31" x14ac:dyDescent="0.25">
      <c r="A3154" t="s">
        <v>3292</v>
      </c>
      <c r="B3154" t="s">
        <v>40</v>
      </c>
      <c r="C3154">
        <v>45</v>
      </c>
      <c r="D3154">
        <v>49</v>
      </c>
      <c r="E3154">
        <v>7</v>
      </c>
      <c r="F3154">
        <v>2</v>
      </c>
      <c r="G3154">
        <v>14.52</v>
      </c>
      <c r="H3154">
        <v>1.86</v>
      </c>
      <c r="I3154">
        <v>0.41</v>
      </c>
      <c r="J3154" t="s">
        <v>418</v>
      </c>
      <c r="K3154" t="s">
        <v>46</v>
      </c>
      <c r="L3154">
        <v>67</v>
      </c>
      <c r="M3154">
        <v>0.67</v>
      </c>
      <c r="N3154">
        <v>198.43</v>
      </c>
      <c r="O3154">
        <v>0.14000000000000001</v>
      </c>
      <c r="P3154">
        <v>0</v>
      </c>
      <c r="Q3154">
        <v>0.99</v>
      </c>
      <c r="R3154">
        <v>588</v>
      </c>
      <c r="S3154">
        <v>14.57</v>
      </c>
      <c r="T3154">
        <v>0.79</v>
      </c>
      <c r="U3154" s="1">
        <v>45392</v>
      </c>
      <c r="V3154">
        <v>37.4</v>
      </c>
      <c r="W3154">
        <v>0.93600000000000005</v>
      </c>
      <c r="X3154" t="str">
        <f>IF(WarehouseData[[#This Row],[stock_level]]&lt;=WarehouseData[[#This Row],[reorder_point]],"Low Stock","Sufficient Stock")</f>
        <v>Low Stock</v>
      </c>
      <c r="Y3154">
        <f>WarehouseData[[#This Row],[daily_demand]]*WarehouseData[[#This Row],[lead_time_days]]</f>
        <v>29.04</v>
      </c>
      <c r="Z3154" t="str">
        <f>IF(WarehouseData[[#This Row],[stock_level]]&lt;=WarehouseData[[#This Row],[Demand During Lead Time]],"At Risk","Safe")</f>
        <v>Safe</v>
      </c>
      <c r="AA3154">
        <f>WarehouseData[[#This Row],[stock_level]]/WarehouseData[[#This Row],[daily_demand]]</f>
        <v>3.0991735537190084</v>
      </c>
      <c r="AB3154">
        <f>WarehouseData[[#This Row],[stock_level]]*WarehouseData[[#This Row],[unit_price]]</f>
        <v>8929.35</v>
      </c>
      <c r="AC3154">
        <f>WarehouseData[[#This Row],[stock_level]]*WarehouseData[[#This Row],[holding_cost_per_unit_day]]*30</f>
        <v>189.00000000000003</v>
      </c>
      <c r="AD3154" t="str">
        <f>IF(WarehouseData[[#This Row],[order_fulfillment_rate]]&gt;=0.9,"Strong",IF(WarehouseData[[#This Row],[order_fulfillment_rate]]&gt;=0.8,"Moderate","Needs Attention"))</f>
        <v>Strong</v>
      </c>
      <c r="AE3154" t="str">
        <f>IF(WarehouseData[[#This Row],[picking_time_seconds]]&gt;120,"Slow",IF(WarehouseData[[#This Row],[picking_time_seconds]]&gt;=60,"Average","Fast"))</f>
        <v>Average</v>
      </c>
    </row>
    <row r="3155" spans="1:31" x14ac:dyDescent="0.25">
      <c r="A3155" t="s">
        <v>3293</v>
      </c>
      <c r="B3155" t="s">
        <v>48</v>
      </c>
      <c r="C3155">
        <v>426</v>
      </c>
      <c r="D3155">
        <v>28</v>
      </c>
      <c r="E3155">
        <v>9</v>
      </c>
      <c r="F3155">
        <v>3</v>
      </c>
      <c r="G3155">
        <v>21.63</v>
      </c>
      <c r="H3155">
        <v>8.2200000000000006</v>
      </c>
      <c r="I3155">
        <v>0.53</v>
      </c>
      <c r="J3155" t="s">
        <v>316</v>
      </c>
      <c r="K3155" t="s">
        <v>34</v>
      </c>
      <c r="L3155">
        <v>32</v>
      </c>
      <c r="M3155">
        <v>4.47</v>
      </c>
      <c r="N3155">
        <v>54.94</v>
      </c>
      <c r="O3155">
        <v>1.29</v>
      </c>
      <c r="P3155">
        <v>4</v>
      </c>
      <c r="Q3155">
        <v>0.85</v>
      </c>
      <c r="R3155">
        <v>410</v>
      </c>
      <c r="S3155">
        <v>14.96</v>
      </c>
      <c r="T3155">
        <v>0.87</v>
      </c>
      <c r="U3155" s="1">
        <v>45366</v>
      </c>
      <c r="V3155">
        <v>242.87</v>
      </c>
      <c r="W3155">
        <v>0.73399999999999999</v>
      </c>
      <c r="X3155" t="str">
        <f>IF(WarehouseData[[#This Row],[stock_level]]&lt;=WarehouseData[[#This Row],[reorder_point]],"Low Stock","Sufficient Stock")</f>
        <v>Sufficient Stock</v>
      </c>
      <c r="Y3155">
        <f>WarehouseData[[#This Row],[daily_demand]]*WarehouseData[[#This Row],[lead_time_days]]</f>
        <v>64.89</v>
      </c>
      <c r="Z3155" t="str">
        <f>IF(WarehouseData[[#This Row],[stock_level]]&lt;=WarehouseData[[#This Row],[Demand During Lead Time]],"At Risk","Safe")</f>
        <v>Safe</v>
      </c>
      <c r="AA3155">
        <f>WarehouseData[[#This Row],[stock_level]]/WarehouseData[[#This Row],[daily_demand]]</f>
        <v>19.694868238557561</v>
      </c>
      <c r="AB3155">
        <f>WarehouseData[[#This Row],[stock_level]]*WarehouseData[[#This Row],[unit_price]]</f>
        <v>23404.44</v>
      </c>
      <c r="AC3155">
        <f>WarehouseData[[#This Row],[stock_level]]*WarehouseData[[#This Row],[holding_cost_per_unit_day]]*30</f>
        <v>16486.199999999997</v>
      </c>
      <c r="AD3155" t="str">
        <f>IF(WarehouseData[[#This Row],[order_fulfillment_rate]]&gt;=0.9,"Strong",IF(WarehouseData[[#This Row],[order_fulfillment_rate]]&gt;=0.8,"Moderate","Needs Attention"))</f>
        <v>Moderate</v>
      </c>
      <c r="AE3155" t="str">
        <f>IF(WarehouseData[[#This Row],[picking_time_seconds]]&gt;120,"Slow",IF(WarehouseData[[#This Row],[picking_time_seconds]]&gt;=60,"Average","Fast"))</f>
        <v>Fast</v>
      </c>
    </row>
    <row r="3156" spans="1:31" x14ac:dyDescent="0.25">
      <c r="A3156" t="s">
        <v>3294</v>
      </c>
      <c r="B3156" t="s">
        <v>32</v>
      </c>
      <c r="C3156">
        <v>318</v>
      </c>
      <c r="D3156">
        <v>76</v>
      </c>
      <c r="E3156">
        <v>3</v>
      </c>
      <c r="F3156">
        <v>8</v>
      </c>
      <c r="G3156">
        <v>10.91</v>
      </c>
      <c r="H3156">
        <v>8.67</v>
      </c>
      <c r="I3156">
        <v>0.81</v>
      </c>
      <c r="J3156" t="s">
        <v>45</v>
      </c>
      <c r="K3156" t="s">
        <v>46</v>
      </c>
      <c r="L3156">
        <v>175</v>
      </c>
      <c r="M3156">
        <v>4.32</v>
      </c>
      <c r="N3156">
        <v>184.38</v>
      </c>
      <c r="O3156">
        <v>0.98</v>
      </c>
      <c r="P3156">
        <v>3</v>
      </c>
      <c r="Q3156">
        <v>0.88</v>
      </c>
      <c r="R3156">
        <v>917</v>
      </c>
      <c r="S3156">
        <v>10.57</v>
      </c>
      <c r="T3156">
        <v>0.99</v>
      </c>
      <c r="U3156" s="1">
        <v>45368</v>
      </c>
      <c r="V3156">
        <v>28.41</v>
      </c>
      <c r="W3156">
        <v>0.75700000000000001</v>
      </c>
      <c r="X3156" t="str">
        <f>IF(WarehouseData[[#This Row],[stock_level]]&lt;=WarehouseData[[#This Row],[reorder_point]],"Low Stock","Sufficient Stock")</f>
        <v>Sufficient Stock</v>
      </c>
      <c r="Y3156">
        <f>WarehouseData[[#This Row],[daily_demand]]*WarehouseData[[#This Row],[lead_time_days]]</f>
        <v>87.28</v>
      </c>
      <c r="Z3156" t="str">
        <f>IF(WarehouseData[[#This Row],[stock_level]]&lt;=WarehouseData[[#This Row],[Demand During Lead Time]],"At Risk","Safe")</f>
        <v>Safe</v>
      </c>
      <c r="AA3156">
        <f>WarehouseData[[#This Row],[stock_level]]/WarehouseData[[#This Row],[daily_demand]]</f>
        <v>29.147571035747021</v>
      </c>
      <c r="AB3156">
        <f>WarehouseData[[#This Row],[stock_level]]*WarehouseData[[#This Row],[unit_price]]</f>
        <v>58632.84</v>
      </c>
      <c r="AC3156">
        <f>WarehouseData[[#This Row],[stock_level]]*WarehouseData[[#This Row],[holding_cost_per_unit_day]]*30</f>
        <v>9349.1999999999989</v>
      </c>
      <c r="AD3156" t="str">
        <f>IF(WarehouseData[[#This Row],[order_fulfillment_rate]]&gt;=0.9,"Strong",IF(WarehouseData[[#This Row],[order_fulfillment_rate]]&gt;=0.8,"Moderate","Needs Attention"))</f>
        <v>Moderate</v>
      </c>
      <c r="AE3156" t="str">
        <f>IF(WarehouseData[[#This Row],[picking_time_seconds]]&gt;120,"Slow",IF(WarehouseData[[#This Row],[picking_time_seconds]]&gt;=60,"Average","Fast"))</f>
        <v>Slow</v>
      </c>
    </row>
    <row r="3157" spans="1:31" x14ac:dyDescent="0.25">
      <c r="A3157" t="s">
        <v>3295</v>
      </c>
      <c r="B3157" t="s">
        <v>32</v>
      </c>
      <c r="C3157">
        <v>96</v>
      </c>
      <c r="D3157">
        <v>91</v>
      </c>
      <c r="E3157">
        <v>14</v>
      </c>
      <c r="F3157">
        <v>9</v>
      </c>
      <c r="G3157">
        <v>20.010000000000002</v>
      </c>
      <c r="H3157">
        <v>7.3</v>
      </c>
      <c r="I3157">
        <v>0.3</v>
      </c>
      <c r="J3157" t="s">
        <v>217</v>
      </c>
      <c r="K3157" t="s">
        <v>38</v>
      </c>
      <c r="L3157">
        <v>50</v>
      </c>
      <c r="M3157">
        <v>1.63</v>
      </c>
      <c r="N3157">
        <v>22.97</v>
      </c>
      <c r="O3157">
        <v>1.43</v>
      </c>
      <c r="P3157">
        <v>7</v>
      </c>
      <c r="Q3157">
        <v>0.92</v>
      </c>
      <c r="R3157">
        <v>799</v>
      </c>
      <c r="S3157">
        <v>5.75</v>
      </c>
      <c r="T3157">
        <v>0.6</v>
      </c>
      <c r="U3157" s="1">
        <v>45534</v>
      </c>
      <c r="V3157">
        <v>262.43</v>
      </c>
      <c r="W3157">
        <v>0.498</v>
      </c>
      <c r="X3157" t="str">
        <f>IF(WarehouseData[[#This Row],[stock_level]]&lt;=WarehouseData[[#This Row],[reorder_point]],"Low Stock","Sufficient Stock")</f>
        <v>Sufficient Stock</v>
      </c>
      <c r="Y3157">
        <f>WarehouseData[[#This Row],[daily_demand]]*WarehouseData[[#This Row],[lead_time_days]]</f>
        <v>180.09</v>
      </c>
      <c r="Z3157" t="str">
        <f>IF(WarehouseData[[#This Row],[stock_level]]&lt;=WarehouseData[[#This Row],[Demand During Lead Time]],"At Risk","Safe")</f>
        <v>At Risk</v>
      </c>
      <c r="AA3157">
        <f>WarehouseData[[#This Row],[stock_level]]/WarehouseData[[#This Row],[daily_demand]]</f>
        <v>4.7976011994002992</v>
      </c>
      <c r="AB3157">
        <f>WarehouseData[[#This Row],[stock_level]]*WarehouseData[[#This Row],[unit_price]]</f>
        <v>2205.12</v>
      </c>
      <c r="AC3157">
        <f>WarehouseData[[#This Row],[stock_level]]*WarehouseData[[#This Row],[holding_cost_per_unit_day]]*30</f>
        <v>4118.3999999999996</v>
      </c>
      <c r="AD3157" t="str">
        <f>IF(WarehouseData[[#This Row],[order_fulfillment_rate]]&gt;=0.9,"Strong",IF(WarehouseData[[#This Row],[order_fulfillment_rate]]&gt;=0.8,"Moderate","Needs Attention"))</f>
        <v>Strong</v>
      </c>
      <c r="AE3157" t="str">
        <f>IF(WarehouseData[[#This Row],[picking_time_seconds]]&gt;120,"Slow",IF(WarehouseData[[#This Row],[picking_time_seconds]]&gt;=60,"Average","Fast"))</f>
        <v>Fast</v>
      </c>
    </row>
    <row r="3158" spans="1:31" x14ac:dyDescent="0.25">
      <c r="A3158" t="s">
        <v>3296</v>
      </c>
      <c r="B3158" t="s">
        <v>32</v>
      </c>
      <c r="C3158">
        <v>431</v>
      </c>
      <c r="D3158">
        <v>62</v>
      </c>
      <c r="E3158">
        <v>12</v>
      </c>
      <c r="F3158">
        <v>7</v>
      </c>
      <c r="G3158">
        <v>25.09</v>
      </c>
      <c r="H3158">
        <v>9.08</v>
      </c>
      <c r="I3158">
        <v>0.3</v>
      </c>
      <c r="J3158" t="s">
        <v>84</v>
      </c>
      <c r="K3158" t="s">
        <v>46</v>
      </c>
      <c r="L3158">
        <v>24</v>
      </c>
      <c r="M3158">
        <v>4.1100000000000003</v>
      </c>
      <c r="N3158">
        <v>186.89</v>
      </c>
      <c r="O3158">
        <v>1.59</v>
      </c>
      <c r="P3158">
        <v>0</v>
      </c>
      <c r="Q3158">
        <v>0.8</v>
      </c>
      <c r="R3158">
        <v>224</v>
      </c>
      <c r="S3158">
        <v>13.25</v>
      </c>
      <c r="T3158">
        <v>0.98</v>
      </c>
      <c r="U3158" s="1">
        <v>45296</v>
      </c>
      <c r="V3158">
        <v>123.75</v>
      </c>
      <c r="W3158">
        <v>0.77400000000000002</v>
      </c>
      <c r="X3158" t="str">
        <f>IF(WarehouseData[[#This Row],[stock_level]]&lt;=WarehouseData[[#This Row],[reorder_point]],"Low Stock","Sufficient Stock")</f>
        <v>Sufficient Stock</v>
      </c>
      <c r="Y3158">
        <f>WarehouseData[[#This Row],[daily_demand]]*WarehouseData[[#This Row],[lead_time_days]]</f>
        <v>175.63</v>
      </c>
      <c r="Z3158" t="str">
        <f>IF(WarehouseData[[#This Row],[stock_level]]&lt;=WarehouseData[[#This Row],[Demand During Lead Time]],"At Risk","Safe")</f>
        <v>Safe</v>
      </c>
      <c r="AA3158">
        <f>WarehouseData[[#This Row],[stock_level]]/WarehouseData[[#This Row],[daily_demand]]</f>
        <v>17.178158628935829</v>
      </c>
      <c r="AB3158">
        <f>WarehouseData[[#This Row],[stock_level]]*WarehouseData[[#This Row],[unit_price]]</f>
        <v>80549.59</v>
      </c>
      <c r="AC3158">
        <f>WarehouseData[[#This Row],[stock_level]]*WarehouseData[[#This Row],[holding_cost_per_unit_day]]*30</f>
        <v>20558.7</v>
      </c>
      <c r="AD3158" t="str">
        <f>IF(WarehouseData[[#This Row],[order_fulfillment_rate]]&gt;=0.9,"Strong",IF(WarehouseData[[#This Row],[order_fulfillment_rate]]&gt;=0.8,"Moderate","Needs Attention"))</f>
        <v>Moderate</v>
      </c>
      <c r="AE3158" t="str">
        <f>IF(WarehouseData[[#This Row],[picking_time_seconds]]&gt;120,"Slow",IF(WarehouseData[[#This Row],[picking_time_seconds]]&gt;=60,"Average","Fast"))</f>
        <v>Fast</v>
      </c>
    </row>
    <row r="3159" spans="1:31" x14ac:dyDescent="0.25">
      <c r="A3159" t="s">
        <v>3297</v>
      </c>
      <c r="B3159" t="s">
        <v>48</v>
      </c>
      <c r="C3159">
        <v>156</v>
      </c>
      <c r="D3159">
        <v>73</v>
      </c>
      <c r="E3159">
        <v>14</v>
      </c>
      <c r="F3159">
        <v>7</v>
      </c>
      <c r="G3159">
        <v>15.47</v>
      </c>
      <c r="H3159">
        <v>2.09</v>
      </c>
      <c r="I3159">
        <v>0.63</v>
      </c>
      <c r="J3159" t="s">
        <v>66</v>
      </c>
      <c r="K3159" t="s">
        <v>38</v>
      </c>
      <c r="L3159">
        <v>96</v>
      </c>
      <c r="M3159">
        <v>4.08</v>
      </c>
      <c r="N3159">
        <v>168.15</v>
      </c>
      <c r="O3159">
        <v>1.88</v>
      </c>
      <c r="P3159">
        <v>7</v>
      </c>
      <c r="Q3159">
        <v>0.77</v>
      </c>
      <c r="R3159">
        <v>877</v>
      </c>
      <c r="S3159">
        <v>10.16</v>
      </c>
      <c r="T3159">
        <v>0.32</v>
      </c>
      <c r="U3159" s="1">
        <v>45382</v>
      </c>
      <c r="V3159">
        <v>168.61</v>
      </c>
      <c r="W3159">
        <v>0.42499999999999999</v>
      </c>
      <c r="X3159" t="str">
        <f>IF(WarehouseData[[#This Row],[stock_level]]&lt;=WarehouseData[[#This Row],[reorder_point]],"Low Stock","Sufficient Stock")</f>
        <v>Sufficient Stock</v>
      </c>
      <c r="Y3159">
        <f>WarehouseData[[#This Row],[daily_demand]]*WarehouseData[[#This Row],[lead_time_days]]</f>
        <v>108.29</v>
      </c>
      <c r="Z3159" t="str">
        <f>IF(WarehouseData[[#This Row],[stock_level]]&lt;=WarehouseData[[#This Row],[Demand During Lead Time]],"At Risk","Safe")</f>
        <v>Safe</v>
      </c>
      <c r="AA3159">
        <f>WarehouseData[[#This Row],[stock_level]]/WarehouseData[[#This Row],[daily_demand]]</f>
        <v>10.084033613445378</v>
      </c>
      <c r="AB3159">
        <f>WarehouseData[[#This Row],[stock_level]]*WarehouseData[[#This Row],[unit_price]]</f>
        <v>26231.4</v>
      </c>
      <c r="AC3159">
        <f>WarehouseData[[#This Row],[stock_level]]*WarehouseData[[#This Row],[holding_cost_per_unit_day]]*30</f>
        <v>8798.4</v>
      </c>
      <c r="AD3159" t="str">
        <f>IF(WarehouseData[[#This Row],[order_fulfillment_rate]]&gt;=0.9,"Strong",IF(WarehouseData[[#This Row],[order_fulfillment_rate]]&gt;=0.8,"Moderate","Needs Attention"))</f>
        <v>Needs Attention</v>
      </c>
      <c r="AE3159" t="str">
        <f>IF(WarehouseData[[#This Row],[picking_time_seconds]]&gt;120,"Slow",IF(WarehouseData[[#This Row],[picking_time_seconds]]&gt;=60,"Average","Fast"))</f>
        <v>Average</v>
      </c>
    </row>
    <row r="3160" spans="1:31" x14ac:dyDescent="0.25">
      <c r="A3160" t="s">
        <v>3298</v>
      </c>
      <c r="B3160" t="s">
        <v>32</v>
      </c>
      <c r="C3160">
        <v>39</v>
      </c>
      <c r="D3160">
        <v>92</v>
      </c>
      <c r="E3160">
        <v>7</v>
      </c>
      <c r="F3160">
        <v>7</v>
      </c>
      <c r="G3160">
        <v>38.69</v>
      </c>
      <c r="H3160">
        <v>5.03</v>
      </c>
      <c r="I3160">
        <v>0.49</v>
      </c>
      <c r="J3160" t="s">
        <v>43</v>
      </c>
      <c r="K3160" t="s">
        <v>46</v>
      </c>
      <c r="L3160">
        <v>12</v>
      </c>
      <c r="M3160">
        <v>2.0099999999999998</v>
      </c>
      <c r="N3160">
        <v>13.98</v>
      </c>
      <c r="O3160">
        <v>2</v>
      </c>
      <c r="P3160">
        <v>7</v>
      </c>
      <c r="Q3160">
        <v>0.99</v>
      </c>
      <c r="R3160">
        <v>853</v>
      </c>
      <c r="S3160">
        <v>5.53</v>
      </c>
      <c r="T3160">
        <v>0.87</v>
      </c>
      <c r="U3160" s="1">
        <v>45507</v>
      </c>
      <c r="V3160">
        <v>94.09</v>
      </c>
      <c r="W3160">
        <v>0.50600000000000001</v>
      </c>
      <c r="X3160" t="str">
        <f>IF(WarehouseData[[#This Row],[stock_level]]&lt;=WarehouseData[[#This Row],[reorder_point]],"Low Stock","Sufficient Stock")</f>
        <v>Low Stock</v>
      </c>
      <c r="Y3160">
        <f>WarehouseData[[#This Row],[daily_demand]]*WarehouseData[[#This Row],[lead_time_days]]</f>
        <v>270.83</v>
      </c>
      <c r="Z3160" t="str">
        <f>IF(WarehouseData[[#This Row],[stock_level]]&lt;=WarehouseData[[#This Row],[Demand During Lead Time]],"At Risk","Safe")</f>
        <v>At Risk</v>
      </c>
      <c r="AA3160">
        <f>WarehouseData[[#This Row],[stock_level]]/WarehouseData[[#This Row],[daily_demand]]</f>
        <v>1.0080124063065392</v>
      </c>
      <c r="AB3160">
        <f>WarehouseData[[#This Row],[stock_level]]*WarehouseData[[#This Row],[unit_price]]</f>
        <v>545.22</v>
      </c>
      <c r="AC3160">
        <f>WarehouseData[[#This Row],[stock_level]]*WarehouseData[[#This Row],[holding_cost_per_unit_day]]*30</f>
        <v>2340</v>
      </c>
      <c r="AD3160" t="str">
        <f>IF(WarehouseData[[#This Row],[order_fulfillment_rate]]&gt;=0.9,"Strong",IF(WarehouseData[[#This Row],[order_fulfillment_rate]]&gt;=0.8,"Moderate","Needs Attention"))</f>
        <v>Strong</v>
      </c>
      <c r="AE3160" t="str">
        <f>IF(WarehouseData[[#This Row],[picking_time_seconds]]&gt;120,"Slow",IF(WarehouseData[[#This Row],[picking_time_seconds]]&gt;=60,"Average","Fast"))</f>
        <v>Fast</v>
      </c>
    </row>
    <row r="3161" spans="1:31" x14ac:dyDescent="0.25">
      <c r="A3161" t="s">
        <v>3299</v>
      </c>
      <c r="B3161" t="s">
        <v>40</v>
      </c>
      <c r="C3161">
        <v>459</v>
      </c>
      <c r="D3161">
        <v>56</v>
      </c>
      <c r="E3161">
        <v>13</v>
      </c>
      <c r="F3161">
        <v>4</v>
      </c>
      <c r="G3161">
        <v>20.3</v>
      </c>
      <c r="H3161">
        <v>6.39</v>
      </c>
      <c r="I3161">
        <v>0.95</v>
      </c>
      <c r="J3161" t="s">
        <v>311</v>
      </c>
      <c r="K3161" t="s">
        <v>52</v>
      </c>
      <c r="L3161">
        <v>10</v>
      </c>
      <c r="M3161">
        <v>3.64</v>
      </c>
      <c r="N3161">
        <v>66.66</v>
      </c>
      <c r="O3161">
        <v>1.1399999999999999</v>
      </c>
      <c r="P3161">
        <v>0</v>
      </c>
      <c r="Q3161">
        <v>0.83</v>
      </c>
      <c r="R3161">
        <v>423</v>
      </c>
      <c r="S3161">
        <v>14.05</v>
      </c>
      <c r="T3161">
        <v>0.49</v>
      </c>
      <c r="U3161" s="1">
        <v>45547</v>
      </c>
      <c r="V3161">
        <v>133.72999999999999</v>
      </c>
      <c r="W3161">
        <v>0.73699999999999999</v>
      </c>
      <c r="X3161" t="str">
        <f>IF(WarehouseData[[#This Row],[stock_level]]&lt;=WarehouseData[[#This Row],[reorder_point]],"Low Stock","Sufficient Stock")</f>
        <v>Sufficient Stock</v>
      </c>
      <c r="Y3161">
        <f>WarehouseData[[#This Row],[daily_demand]]*WarehouseData[[#This Row],[lead_time_days]]</f>
        <v>81.2</v>
      </c>
      <c r="Z3161" t="str">
        <f>IF(WarehouseData[[#This Row],[stock_level]]&lt;=WarehouseData[[#This Row],[Demand During Lead Time]],"At Risk","Safe")</f>
        <v>Safe</v>
      </c>
      <c r="AA3161">
        <f>WarehouseData[[#This Row],[stock_level]]/WarehouseData[[#This Row],[daily_demand]]</f>
        <v>22.610837438423644</v>
      </c>
      <c r="AB3161">
        <f>WarehouseData[[#This Row],[stock_level]]*WarehouseData[[#This Row],[unit_price]]</f>
        <v>30596.94</v>
      </c>
      <c r="AC3161">
        <f>WarehouseData[[#This Row],[stock_level]]*WarehouseData[[#This Row],[holding_cost_per_unit_day]]*30</f>
        <v>15697.8</v>
      </c>
      <c r="AD3161" t="str">
        <f>IF(WarehouseData[[#This Row],[order_fulfillment_rate]]&gt;=0.9,"Strong",IF(WarehouseData[[#This Row],[order_fulfillment_rate]]&gt;=0.8,"Moderate","Needs Attention"))</f>
        <v>Moderate</v>
      </c>
      <c r="AE3161" t="str">
        <f>IF(WarehouseData[[#This Row],[picking_time_seconds]]&gt;120,"Slow",IF(WarehouseData[[#This Row],[picking_time_seconds]]&gt;=60,"Average","Fast"))</f>
        <v>Fast</v>
      </c>
    </row>
    <row r="3162" spans="1:31" x14ac:dyDescent="0.25">
      <c r="A3162" t="s">
        <v>3300</v>
      </c>
      <c r="B3162" t="s">
        <v>73</v>
      </c>
      <c r="C3162">
        <v>230</v>
      </c>
      <c r="D3162">
        <v>15</v>
      </c>
      <c r="E3162">
        <v>14</v>
      </c>
      <c r="F3162">
        <v>8</v>
      </c>
      <c r="G3162">
        <v>36.75</v>
      </c>
      <c r="H3162">
        <v>6.16</v>
      </c>
      <c r="I3162">
        <v>0.42</v>
      </c>
      <c r="J3162" t="s">
        <v>148</v>
      </c>
      <c r="K3162" t="s">
        <v>46</v>
      </c>
      <c r="L3162">
        <v>84</v>
      </c>
      <c r="M3162">
        <v>1.8</v>
      </c>
      <c r="N3162">
        <v>19.68</v>
      </c>
      <c r="O3162">
        <v>1.17</v>
      </c>
      <c r="P3162">
        <v>8</v>
      </c>
      <c r="Q3162">
        <v>0.7</v>
      </c>
      <c r="R3162">
        <v>991</v>
      </c>
      <c r="S3162">
        <v>11.47</v>
      </c>
      <c r="T3162">
        <v>0.49</v>
      </c>
      <c r="U3162" s="1">
        <v>45360</v>
      </c>
      <c r="V3162">
        <v>255.11</v>
      </c>
      <c r="W3162">
        <v>0.51400000000000001</v>
      </c>
      <c r="X3162" t="str">
        <f>IF(WarehouseData[[#This Row],[stock_level]]&lt;=WarehouseData[[#This Row],[reorder_point]],"Low Stock","Sufficient Stock")</f>
        <v>Sufficient Stock</v>
      </c>
      <c r="Y3162">
        <f>WarehouseData[[#This Row],[daily_demand]]*WarehouseData[[#This Row],[lead_time_days]]</f>
        <v>294</v>
      </c>
      <c r="Z3162" t="str">
        <f>IF(WarehouseData[[#This Row],[stock_level]]&lt;=WarehouseData[[#This Row],[Demand During Lead Time]],"At Risk","Safe")</f>
        <v>At Risk</v>
      </c>
      <c r="AA3162">
        <f>WarehouseData[[#This Row],[stock_level]]/WarehouseData[[#This Row],[daily_demand]]</f>
        <v>6.2585034013605441</v>
      </c>
      <c r="AB3162">
        <f>WarehouseData[[#This Row],[stock_level]]*WarehouseData[[#This Row],[unit_price]]</f>
        <v>4526.3999999999996</v>
      </c>
      <c r="AC3162">
        <f>WarehouseData[[#This Row],[stock_level]]*WarehouseData[[#This Row],[holding_cost_per_unit_day]]*30</f>
        <v>8072.9999999999991</v>
      </c>
      <c r="AD3162" t="str">
        <f>IF(WarehouseData[[#This Row],[order_fulfillment_rate]]&gt;=0.9,"Strong",IF(WarehouseData[[#This Row],[order_fulfillment_rate]]&gt;=0.8,"Moderate","Needs Attention"))</f>
        <v>Needs Attention</v>
      </c>
      <c r="AE3162" t="str">
        <f>IF(WarehouseData[[#This Row],[picking_time_seconds]]&gt;120,"Slow",IF(WarehouseData[[#This Row],[picking_time_seconds]]&gt;=60,"Average","Fast"))</f>
        <v>Average</v>
      </c>
    </row>
    <row r="3163" spans="1:31" x14ac:dyDescent="0.25">
      <c r="A3163" t="s">
        <v>3301</v>
      </c>
      <c r="B3163" t="s">
        <v>40</v>
      </c>
      <c r="C3163">
        <v>259</v>
      </c>
      <c r="D3163">
        <v>25</v>
      </c>
      <c r="E3163">
        <v>5</v>
      </c>
      <c r="F3163">
        <v>4</v>
      </c>
      <c r="G3163">
        <v>11.15</v>
      </c>
      <c r="H3163">
        <v>8.68</v>
      </c>
      <c r="I3163">
        <v>0.78</v>
      </c>
      <c r="J3163" t="s">
        <v>59</v>
      </c>
      <c r="K3163" t="s">
        <v>46</v>
      </c>
      <c r="L3163">
        <v>148</v>
      </c>
      <c r="M3163">
        <v>0.82</v>
      </c>
      <c r="N3163">
        <v>199.15</v>
      </c>
      <c r="O3163">
        <v>0.14000000000000001</v>
      </c>
      <c r="P3163">
        <v>8</v>
      </c>
      <c r="Q3163">
        <v>0.95</v>
      </c>
      <c r="R3163">
        <v>110</v>
      </c>
      <c r="S3163">
        <v>7.34</v>
      </c>
      <c r="T3163">
        <v>0.41</v>
      </c>
      <c r="U3163" s="1">
        <v>45614</v>
      </c>
      <c r="V3163">
        <v>95.75</v>
      </c>
      <c r="W3163">
        <v>0.59599999999999997</v>
      </c>
      <c r="X3163" t="str">
        <f>IF(WarehouseData[[#This Row],[stock_level]]&lt;=WarehouseData[[#This Row],[reorder_point]],"Low Stock","Sufficient Stock")</f>
        <v>Sufficient Stock</v>
      </c>
      <c r="Y3163">
        <f>WarehouseData[[#This Row],[daily_demand]]*WarehouseData[[#This Row],[lead_time_days]]</f>
        <v>44.6</v>
      </c>
      <c r="Z3163" t="str">
        <f>IF(WarehouseData[[#This Row],[stock_level]]&lt;=WarehouseData[[#This Row],[Demand During Lead Time]],"At Risk","Safe")</f>
        <v>Safe</v>
      </c>
      <c r="AA3163">
        <f>WarehouseData[[#This Row],[stock_level]]/WarehouseData[[#This Row],[daily_demand]]</f>
        <v>23.228699551569505</v>
      </c>
      <c r="AB3163">
        <f>WarehouseData[[#This Row],[stock_level]]*WarehouseData[[#This Row],[unit_price]]</f>
        <v>51579.85</v>
      </c>
      <c r="AC3163">
        <f>WarehouseData[[#This Row],[stock_level]]*WarehouseData[[#This Row],[holding_cost_per_unit_day]]*30</f>
        <v>1087.8000000000002</v>
      </c>
      <c r="AD3163" t="str">
        <f>IF(WarehouseData[[#This Row],[order_fulfillment_rate]]&gt;=0.9,"Strong",IF(WarehouseData[[#This Row],[order_fulfillment_rate]]&gt;=0.8,"Moderate","Needs Attention"))</f>
        <v>Strong</v>
      </c>
      <c r="AE3163" t="str">
        <f>IF(WarehouseData[[#This Row],[picking_time_seconds]]&gt;120,"Slow",IF(WarehouseData[[#This Row],[picking_time_seconds]]&gt;=60,"Average","Fast"))</f>
        <v>Slow</v>
      </c>
    </row>
    <row r="3164" spans="1:31" x14ac:dyDescent="0.25">
      <c r="A3164" t="s">
        <v>3302</v>
      </c>
      <c r="B3164" t="s">
        <v>40</v>
      </c>
      <c r="C3164">
        <v>58</v>
      </c>
      <c r="D3164">
        <v>81</v>
      </c>
      <c r="E3164">
        <v>12</v>
      </c>
      <c r="F3164">
        <v>2</v>
      </c>
      <c r="G3164">
        <v>19.47</v>
      </c>
      <c r="H3164">
        <v>2.5499999999999998</v>
      </c>
      <c r="I3164">
        <v>0.62</v>
      </c>
      <c r="J3164" t="s">
        <v>68</v>
      </c>
      <c r="K3164" t="s">
        <v>38</v>
      </c>
      <c r="L3164">
        <v>85</v>
      </c>
      <c r="M3164">
        <v>2.77</v>
      </c>
      <c r="N3164">
        <v>91.29</v>
      </c>
      <c r="O3164">
        <v>1.74</v>
      </c>
      <c r="P3164">
        <v>5</v>
      </c>
      <c r="Q3164">
        <v>0.88</v>
      </c>
      <c r="R3164">
        <v>219</v>
      </c>
      <c r="S3164">
        <v>7.36</v>
      </c>
      <c r="T3164">
        <v>0.34</v>
      </c>
      <c r="U3164" s="1">
        <v>45556</v>
      </c>
      <c r="V3164">
        <v>173.61</v>
      </c>
      <c r="W3164">
        <v>0.46800000000000003</v>
      </c>
      <c r="X3164" t="str">
        <f>IF(WarehouseData[[#This Row],[stock_level]]&lt;=WarehouseData[[#This Row],[reorder_point]],"Low Stock","Sufficient Stock")</f>
        <v>Low Stock</v>
      </c>
      <c r="Y3164">
        <f>WarehouseData[[#This Row],[daily_demand]]*WarehouseData[[#This Row],[lead_time_days]]</f>
        <v>38.94</v>
      </c>
      <c r="Z3164" t="str">
        <f>IF(WarehouseData[[#This Row],[stock_level]]&lt;=WarehouseData[[#This Row],[Demand During Lead Time]],"At Risk","Safe")</f>
        <v>Safe</v>
      </c>
      <c r="AA3164">
        <f>WarehouseData[[#This Row],[stock_level]]/WarehouseData[[#This Row],[daily_demand]]</f>
        <v>2.9789419619928097</v>
      </c>
      <c r="AB3164">
        <f>WarehouseData[[#This Row],[stock_level]]*WarehouseData[[#This Row],[unit_price]]</f>
        <v>5294.8200000000006</v>
      </c>
      <c r="AC3164">
        <f>WarehouseData[[#This Row],[stock_level]]*WarehouseData[[#This Row],[holding_cost_per_unit_day]]*30</f>
        <v>3027.6</v>
      </c>
      <c r="AD3164" t="str">
        <f>IF(WarehouseData[[#This Row],[order_fulfillment_rate]]&gt;=0.9,"Strong",IF(WarehouseData[[#This Row],[order_fulfillment_rate]]&gt;=0.8,"Moderate","Needs Attention"))</f>
        <v>Moderate</v>
      </c>
      <c r="AE3164" t="str">
        <f>IF(WarehouseData[[#This Row],[picking_time_seconds]]&gt;120,"Slow",IF(WarehouseData[[#This Row],[picking_time_seconds]]&gt;=60,"Average","Fast"))</f>
        <v>Average</v>
      </c>
    </row>
    <row r="3165" spans="1:31" x14ac:dyDescent="0.25">
      <c r="A3165" t="s">
        <v>3303</v>
      </c>
      <c r="B3165" t="s">
        <v>73</v>
      </c>
      <c r="C3165">
        <v>454</v>
      </c>
      <c r="D3165">
        <v>27</v>
      </c>
      <c r="E3165">
        <v>14</v>
      </c>
      <c r="F3165">
        <v>5</v>
      </c>
      <c r="G3165">
        <v>1.39</v>
      </c>
      <c r="H3165">
        <v>2.17</v>
      </c>
      <c r="I3165">
        <v>0.15</v>
      </c>
      <c r="J3165" t="s">
        <v>84</v>
      </c>
      <c r="K3165" t="s">
        <v>34</v>
      </c>
      <c r="L3165">
        <v>13</v>
      </c>
      <c r="M3165">
        <v>2.4700000000000002</v>
      </c>
      <c r="N3165">
        <v>135.81</v>
      </c>
      <c r="O3165">
        <v>0.15</v>
      </c>
      <c r="P3165">
        <v>0</v>
      </c>
      <c r="Q3165">
        <v>0.75</v>
      </c>
      <c r="R3165">
        <v>556</v>
      </c>
      <c r="S3165">
        <v>14.94</v>
      </c>
      <c r="T3165">
        <v>0.55000000000000004</v>
      </c>
      <c r="U3165" s="1">
        <v>45565</v>
      </c>
      <c r="V3165">
        <v>197.65</v>
      </c>
      <c r="W3165">
        <v>0.84399999999999997</v>
      </c>
      <c r="X3165" t="str">
        <f>IF(WarehouseData[[#This Row],[stock_level]]&lt;=WarehouseData[[#This Row],[reorder_point]],"Low Stock","Sufficient Stock")</f>
        <v>Sufficient Stock</v>
      </c>
      <c r="Y3165">
        <f>WarehouseData[[#This Row],[daily_demand]]*WarehouseData[[#This Row],[lead_time_days]]</f>
        <v>6.9499999999999993</v>
      </c>
      <c r="Z3165" t="str">
        <f>IF(WarehouseData[[#This Row],[stock_level]]&lt;=WarehouseData[[#This Row],[Demand During Lead Time]],"At Risk","Safe")</f>
        <v>Safe</v>
      </c>
      <c r="AA3165">
        <f>WarehouseData[[#This Row],[stock_level]]/WarehouseData[[#This Row],[daily_demand]]</f>
        <v>326.61870503597123</v>
      </c>
      <c r="AB3165">
        <f>WarehouseData[[#This Row],[stock_level]]*WarehouseData[[#This Row],[unit_price]]</f>
        <v>61657.74</v>
      </c>
      <c r="AC3165">
        <f>WarehouseData[[#This Row],[stock_level]]*WarehouseData[[#This Row],[holding_cost_per_unit_day]]*30</f>
        <v>2042.9999999999998</v>
      </c>
      <c r="AD3165" t="str">
        <f>IF(WarehouseData[[#This Row],[order_fulfillment_rate]]&gt;=0.9,"Strong",IF(WarehouseData[[#This Row],[order_fulfillment_rate]]&gt;=0.8,"Moderate","Needs Attention"))</f>
        <v>Needs Attention</v>
      </c>
      <c r="AE3165" t="str">
        <f>IF(WarehouseData[[#This Row],[picking_time_seconds]]&gt;120,"Slow",IF(WarehouseData[[#This Row],[picking_time_seconds]]&gt;=60,"Average","Fast"))</f>
        <v>Fast</v>
      </c>
    </row>
    <row r="3166" spans="1:31" x14ac:dyDescent="0.25">
      <c r="A3166" t="s">
        <v>3304</v>
      </c>
      <c r="B3166" t="s">
        <v>40</v>
      </c>
      <c r="C3166">
        <v>287</v>
      </c>
      <c r="D3166">
        <v>61</v>
      </c>
      <c r="E3166">
        <v>14</v>
      </c>
      <c r="F3166">
        <v>6</v>
      </c>
      <c r="G3166">
        <v>38.17</v>
      </c>
      <c r="H3166">
        <v>2.91</v>
      </c>
      <c r="I3166">
        <v>0.18</v>
      </c>
      <c r="J3166" t="s">
        <v>234</v>
      </c>
      <c r="K3166" t="s">
        <v>52</v>
      </c>
      <c r="L3166">
        <v>34</v>
      </c>
      <c r="M3166">
        <v>1.1200000000000001</v>
      </c>
      <c r="N3166">
        <v>54.5</v>
      </c>
      <c r="O3166">
        <v>1.3</v>
      </c>
      <c r="P3166">
        <v>6</v>
      </c>
      <c r="Q3166">
        <v>0.71</v>
      </c>
      <c r="R3166">
        <v>824</v>
      </c>
      <c r="S3166">
        <v>6.23</v>
      </c>
      <c r="T3166">
        <v>0.99</v>
      </c>
      <c r="U3166" s="1">
        <v>45453</v>
      </c>
      <c r="V3166">
        <v>52.46</v>
      </c>
      <c r="W3166">
        <v>0.57299999999999995</v>
      </c>
      <c r="X3166" t="str">
        <f>IF(WarehouseData[[#This Row],[stock_level]]&lt;=WarehouseData[[#This Row],[reorder_point]],"Low Stock","Sufficient Stock")</f>
        <v>Sufficient Stock</v>
      </c>
      <c r="Y3166">
        <f>WarehouseData[[#This Row],[daily_demand]]*WarehouseData[[#This Row],[lead_time_days]]</f>
        <v>229.02</v>
      </c>
      <c r="Z3166" t="str">
        <f>IF(WarehouseData[[#This Row],[stock_level]]&lt;=WarehouseData[[#This Row],[Demand During Lead Time]],"At Risk","Safe")</f>
        <v>Safe</v>
      </c>
      <c r="AA3166">
        <f>WarehouseData[[#This Row],[stock_level]]/WarehouseData[[#This Row],[daily_demand]]</f>
        <v>7.5189939743253857</v>
      </c>
      <c r="AB3166">
        <f>WarehouseData[[#This Row],[stock_level]]*WarehouseData[[#This Row],[unit_price]]</f>
        <v>15641.5</v>
      </c>
      <c r="AC3166">
        <f>WarehouseData[[#This Row],[stock_level]]*WarehouseData[[#This Row],[holding_cost_per_unit_day]]*30</f>
        <v>11193</v>
      </c>
      <c r="AD3166" t="str">
        <f>IF(WarehouseData[[#This Row],[order_fulfillment_rate]]&gt;=0.9,"Strong",IF(WarehouseData[[#This Row],[order_fulfillment_rate]]&gt;=0.8,"Moderate","Needs Attention"))</f>
        <v>Needs Attention</v>
      </c>
      <c r="AE3166" t="str">
        <f>IF(WarehouseData[[#This Row],[picking_time_seconds]]&gt;120,"Slow",IF(WarehouseData[[#This Row],[picking_time_seconds]]&gt;=60,"Average","Fast"))</f>
        <v>Fast</v>
      </c>
    </row>
    <row r="3167" spans="1:31" x14ac:dyDescent="0.25">
      <c r="A3167" t="s">
        <v>3305</v>
      </c>
      <c r="B3167" t="s">
        <v>48</v>
      </c>
      <c r="C3167">
        <v>226</v>
      </c>
      <c r="D3167">
        <v>57</v>
      </c>
      <c r="E3167">
        <v>4</v>
      </c>
      <c r="F3167">
        <v>8</v>
      </c>
      <c r="G3167">
        <v>31.67</v>
      </c>
      <c r="H3167">
        <v>8.9700000000000006</v>
      </c>
      <c r="I3167">
        <v>0.28000000000000003</v>
      </c>
      <c r="J3167" t="s">
        <v>265</v>
      </c>
      <c r="K3167" t="s">
        <v>34</v>
      </c>
      <c r="L3167">
        <v>103</v>
      </c>
      <c r="M3167">
        <v>2.71</v>
      </c>
      <c r="N3167">
        <v>187.41</v>
      </c>
      <c r="O3167">
        <v>0.28999999999999998</v>
      </c>
      <c r="P3167">
        <v>6</v>
      </c>
      <c r="Q3167">
        <v>0.79</v>
      </c>
      <c r="R3167">
        <v>463</v>
      </c>
      <c r="S3167">
        <v>2.3199999999999998</v>
      </c>
      <c r="T3167">
        <v>0.46</v>
      </c>
      <c r="U3167" s="1">
        <v>45541</v>
      </c>
      <c r="V3167">
        <v>235.57</v>
      </c>
      <c r="W3167">
        <v>0.53200000000000003</v>
      </c>
      <c r="X3167" t="str">
        <f>IF(WarehouseData[[#This Row],[stock_level]]&lt;=WarehouseData[[#This Row],[reorder_point]],"Low Stock","Sufficient Stock")</f>
        <v>Sufficient Stock</v>
      </c>
      <c r="Y3167">
        <f>WarehouseData[[#This Row],[daily_demand]]*WarehouseData[[#This Row],[lead_time_days]]</f>
        <v>253.36</v>
      </c>
      <c r="Z3167" t="str">
        <f>IF(WarehouseData[[#This Row],[stock_level]]&lt;=WarehouseData[[#This Row],[Demand During Lead Time]],"At Risk","Safe")</f>
        <v>At Risk</v>
      </c>
      <c r="AA3167">
        <f>WarehouseData[[#This Row],[stock_level]]/WarehouseData[[#This Row],[daily_demand]]</f>
        <v>7.1360909377960207</v>
      </c>
      <c r="AB3167">
        <f>WarehouseData[[#This Row],[stock_level]]*WarehouseData[[#This Row],[unit_price]]</f>
        <v>42354.659999999996</v>
      </c>
      <c r="AC3167">
        <f>WarehouseData[[#This Row],[stock_level]]*WarehouseData[[#This Row],[holding_cost_per_unit_day]]*30</f>
        <v>1966.1999999999998</v>
      </c>
      <c r="AD3167" t="str">
        <f>IF(WarehouseData[[#This Row],[order_fulfillment_rate]]&gt;=0.9,"Strong",IF(WarehouseData[[#This Row],[order_fulfillment_rate]]&gt;=0.8,"Moderate","Needs Attention"))</f>
        <v>Needs Attention</v>
      </c>
      <c r="AE3167" t="str">
        <f>IF(WarehouseData[[#This Row],[picking_time_seconds]]&gt;120,"Slow",IF(WarehouseData[[#This Row],[picking_time_seconds]]&gt;=60,"Average","Fast"))</f>
        <v>Average</v>
      </c>
    </row>
    <row r="3168" spans="1:31" x14ac:dyDescent="0.25">
      <c r="A3168" t="s">
        <v>3306</v>
      </c>
      <c r="B3168" t="s">
        <v>73</v>
      </c>
      <c r="C3168">
        <v>498</v>
      </c>
      <c r="D3168">
        <v>52</v>
      </c>
      <c r="E3168">
        <v>4</v>
      </c>
      <c r="F3168">
        <v>9</v>
      </c>
      <c r="G3168">
        <v>41.07</v>
      </c>
      <c r="H3168">
        <v>9.44</v>
      </c>
      <c r="I3168">
        <v>0.23</v>
      </c>
      <c r="J3168" t="s">
        <v>126</v>
      </c>
      <c r="K3168" t="s">
        <v>38</v>
      </c>
      <c r="L3168">
        <v>177</v>
      </c>
      <c r="M3168">
        <v>4.7699999999999996</v>
      </c>
      <c r="N3168">
        <v>62.09</v>
      </c>
      <c r="O3168">
        <v>0.64</v>
      </c>
      <c r="P3168">
        <v>8</v>
      </c>
      <c r="Q3168">
        <v>0.98</v>
      </c>
      <c r="R3168">
        <v>867</v>
      </c>
      <c r="S3168">
        <v>8.5399999999999991</v>
      </c>
      <c r="T3168">
        <v>0.56999999999999995</v>
      </c>
      <c r="U3168" s="1">
        <v>45445</v>
      </c>
      <c r="V3168">
        <v>299.73</v>
      </c>
      <c r="W3168">
        <v>0.6</v>
      </c>
      <c r="X3168" t="str">
        <f>IF(WarehouseData[[#This Row],[stock_level]]&lt;=WarehouseData[[#This Row],[reorder_point]],"Low Stock","Sufficient Stock")</f>
        <v>Sufficient Stock</v>
      </c>
      <c r="Y3168">
        <f>WarehouseData[[#This Row],[daily_demand]]*WarehouseData[[#This Row],[lead_time_days]]</f>
        <v>369.63</v>
      </c>
      <c r="Z3168" t="str">
        <f>IF(WarehouseData[[#This Row],[stock_level]]&lt;=WarehouseData[[#This Row],[Demand During Lead Time]],"At Risk","Safe")</f>
        <v>Safe</v>
      </c>
      <c r="AA3168">
        <f>WarehouseData[[#This Row],[stock_level]]/WarehouseData[[#This Row],[daily_demand]]</f>
        <v>12.12563915266618</v>
      </c>
      <c r="AB3168">
        <f>WarehouseData[[#This Row],[stock_level]]*WarehouseData[[#This Row],[unit_price]]</f>
        <v>30920.820000000003</v>
      </c>
      <c r="AC3168">
        <f>WarehouseData[[#This Row],[stock_level]]*WarehouseData[[#This Row],[holding_cost_per_unit_day]]*30</f>
        <v>9561.6</v>
      </c>
      <c r="AD3168" t="str">
        <f>IF(WarehouseData[[#This Row],[order_fulfillment_rate]]&gt;=0.9,"Strong",IF(WarehouseData[[#This Row],[order_fulfillment_rate]]&gt;=0.8,"Moderate","Needs Attention"))</f>
        <v>Strong</v>
      </c>
      <c r="AE3168" t="str">
        <f>IF(WarehouseData[[#This Row],[picking_time_seconds]]&gt;120,"Slow",IF(WarehouseData[[#This Row],[picking_time_seconds]]&gt;=60,"Average","Fast"))</f>
        <v>Slow</v>
      </c>
    </row>
    <row r="3169" spans="1:31" x14ac:dyDescent="0.25">
      <c r="A3169" t="s">
        <v>3307</v>
      </c>
      <c r="B3169" t="s">
        <v>40</v>
      </c>
      <c r="C3169">
        <v>458</v>
      </c>
      <c r="D3169">
        <v>48</v>
      </c>
      <c r="E3169">
        <v>11</v>
      </c>
      <c r="F3169">
        <v>2</v>
      </c>
      <c r="G3169">
        <v>23.32</v>
      </c>
      <c r="H3169">
        <v>5.91</v>
      </c>
      <c r="I3169">
        <v>0.4</v>
      </c>
      <c r="J3169" t="s">
        <v>190</v>
      </c>
      <c r="K3169" t="s">
        <v>52</v>
      </c>
      <c r="L3169">
        <v>105</v>
      </c>
      <c r="M3169">
        <v>3.79</v>
      </c>
      <c r="N3169">
        <v>59.44</v>
      </c>
      <c r="O3169">
        <v>0.37</v>
      </c>
      <c r="P3169">
        <v>0</v>
      </c>
      <c r="Q3169">
        <v>0.98</v>
      </c>
      <c r="R3169">
        <v>165</v>
      </c>
      <c r="S3169">
        <v>13.39</v>
      </c>
      <c r="T3169">
        <v>0.38</v>
      </c>
      <c r="U3169" s="1">
        <v>45420</v>
      </c>
      <c r="V3169">
        <v>54.97</v>
      </c>
      <c r="W3169">
        <v>0.81399999999999995</v>
      </c>
      <c r="X3169" t="str">
        <f>IF(WarehouseData[[#This Row],[stock_level]]&lt;=WarehouseData[[#This Row],[reorder_point]],"Low Stock","Sufficient Stock")</f>
        <v>Sufficient Stock</v>
      </c>
      <c r="Y3169">
        <f>WarehouseData[[#This Row],[daily_demand]]*WarehouseData[[#This Row],[lead_time_days]]</f>
        <v>46.64</v>
      </c>
      <c r="Z3169" t="str">
        <f>IF(WarehouseData[[#This Row],[stock_level]]&lt;=WarehouseData[[#This Row],[Demand During Lead Time]],"At Risk","Safe")</f>
        <v>Safe</v>
      </c>
      <c r="AA3169">
        <f>WarehouseData[[#This Row],[stock_level]]/WarehouseData[[#This Row],[daily_demand]]</f>
        <v>19.639794168096056</v>
      </c>
      <c r="AB3169">
        <f>WarehouseData[[#This Row],[stock_level]]*WarehouseData[[#This Row],[unit_price]]</f>
        <v>27223.52</v>
      </c>
      <c r="AC3169">
        <f>WarehouseData[[#This Row],[stock_level]]*WarehouseData[[#This Row],[holding_cost_per_unit_day]]*30</f>
        <v>5083.8</v>
      </c>
      <c r="AD3169" t="str">
        <f>IF(WarehouseData[[#This Row],[order_fulfillment_rate]]&gt;=0.9,"Strong",IF(WarehouseData[[#This Row],[order_fulfillment_rate]]&gt;=0.8,"Moderate","Needs Attention"))</f>
        <v>Strong</v>
      </c>
      <c r="AE3169" t="str">
        <f>IF(WarehouseData[[#This Row],[picking_time_seconds]]&gt;120,"Slow",IF(WarehouseData[[#This Row],[picking_time_seconds]]&gt;=60,"Average","Fast"))</f>
        <v>Average</v>
      </c>
    </row>
    <row r="3170" spans="1:31" x14ac:dyDescent="0.25">
      <c r="A3170" t="s">
        <v>3308</v>
      </c>
      <c r="B3170" t="s">
        <v>36</v>
      </c>
      <c r="C3170">
        <v>481</v>
      </c>
      <c r="D3170">
        <v>58</v>
      </c>
      <c r="E3170">
        <v>6</v>
      </c>
      <c r="F3170">
        <v>6</v>
      </c>
      <c r="G3170">
        <v>40.19</v>
      </c>
      <c r="H3170">
        <v>5.26</v>
      </c>
      <c r="I3170">
        <v>0.62</v>
      </c>
      <c r="J3170" t="s">
        <v>183</v>
      </c>
      <c r="K3170" t="s">
        <v>46</v>
      </c>
      <c r="L3170">
        <v>117</v>
      </c>
      <c r="M3170">
        <v>3.82</v>
      </c>
      <c r="N3170">
        <v>69.77</v>
      </c>
      <c r="O3170">
        <v>0.36</v>
      </c>
      <c r="P3170">
        <v>7</v>
      </c>
      <c r="Q3170">
        <v>0.79</v>
      </c>
      <c r="R3170">
        <v>224</v>
      </c>
      <c r="S3170">
        <v>9.18</v>
      </c>
      <c r="T3170">
        <v>0.47</v>
      </c>
      <c r="U3170" s="1">
        <v>45579</v>
      </c>
      <c r="V3170">
        <v>232.69</v>
      </c>
      <c r="W3170">
        <v>0.59799999999999998</v>
      </c>
      <c r="X3170" t="str">
        <f>IF(WarehouseData[[#This Row],[stock_level]]&lt;=WarehouseData[[#This Row],[reorder_point]],"Low Stock","Sufficient Stock")</f>
        <v>Sufficient Stock</v>
      </c>
      <c r="Y3170">
        <f>WarehouseData[[#This Row],[daily_demand]]*WarehouseData[[#This Row],[lead_time_days]]</f>
        <v>241.14</v>
      </c>
      <c r="Z3170" t="str">
        <f>IF(WarehouseData[[#This Row],[stock_level]]&lt;=WarehouseData[[#This Row],[Demand During Lead Time]],"At Risk","Safe")</f>
        <v>Safe</v>
      </c>
      <c r="AA3170">
        <f>WarehouseData[[#This Row],[stock_level]]/WarehouseData[[#This Row],[daily_demand]]</f>
        <v>11.968151281413288</v>
      </c>
      <c r="AB3170">
        <f>WarehouseData[[#This Row],[stock_level]]*WarehouseData[[#This Row],[unit_price]]</f>
        <v>33559.369999999995</v>
      </c>
      <c r="AC3170">
        <f>WarehouseData[[#This Row],[stock_level]]*WarehouseData[[#This Row],[holding_cost_per_unit_day]]*30</f>
        <v>5194.8</v>
      </c>
      <c r="AD3170" t="str">
        <f>IF(WarehouseData[[#This Row],[order_fulfillment_rate]]&gt;=0.9,"Strong",IF(WarehouseData[[#This Row],[order_fulfillment_rate]]&gt;=0.8,"Moderate","Needs Attention"))</f>
        <v>Needs Attention</v>
      </c>
      <c r="AE3170" t="str">
        <f>IF(WarehouseData[[#This Row],[picking_time_seconds]]&gt;120,"Slow",IF(WarehouseData[[#This Row],[picking_time_seconds]]&gt;=60,"Average","Fast"))</f>
        <v>Average</v>
      </c>
    </row>
    <row r="3171" spans="1:31" x14ac:dyDescent="0.25">
      <c r="A3171" t="s">
        <v>3309</v>
      </c>
      <c r="B3171" t="s">
        <v>40</v>
      </c>
      <c r="C3171">
        <v>286</v>
      </c>
      <c r="D3171">
        <v>21</v>
      </c>
      <c r="E3171">
        <v>6</v>
      </c>
      <c r="F3171">
        <v>2</v>
      </c>
      <c r="G3171">
        <v>32.729999999999997</v>
      </c>
      <c r="H3171">
        <v>6.25</v>
      </c>
      <c r="I3171">
        <v>0.64</v>
      </c>
      <c r="J3171" t="s">
        <v>120</v>
      </c>
      <c r="K3171" t="s">
        <v>34</v>
      </c>
      <c r="L3171">
        <v>108</v>
      </c>
      <c r="M3171">
        <v>3.91</v>
      </c>
      <c r="N3171">
        <v>97.87</v>
      </c>
      <c r="O3171">
        <v>0.24</v>
      </c>
      <c r="P3171">
        <v>7</v>
      </c>
      <c r="Q3171">
        <v>0.95</v>
      </c>
      <c r="R3171">
        <v>782</v>
      </c>
      <c r="S3171">
        <v>12.1</v>
      </c>
      <c r="T3171">
        <v>0.24</v>
      </c>
      <c r="U3171" s="1">
        <v>45582</v>
      </c>
      <c r="V3171">
        <v>52.65</v>
      </c>
      <c r="W3171">
        <v>0.63500000000000001</v>
      </c>
      <c r="X3171" t="str">
        <f>IF(WarehouseData[[#This Row],[stock_level]]&lt;=WarehouseData[[#This Row],[reorder_point]],"Low Stock","Sufficient Stock")</f>
        <v>Sufficient Stock</v>
      </c>
      <c r="Y3171">
        <f>WarehouseData[[#This Row],[daily_demand]]*WarehouseData[[#This Row],[lead_time_days]]</f>
        <v>65.459999999999994</v>
      </c>
      <c r="Z3171" t="str">
        <f>IF(WarehouseData[[#This Row],[stock_level]]&lt;=WarehouseData[[#This Row],[Demand During Lead Time]],"At Risk","Safe")</f>
        <v>Safe</v>
      </c>
      <c r="AA3171">
        <f>WarehouseData[[#This Row],[stock_level]]/WarehouseData[[#This Row],[daily_demand]]</f>
        <v>8.7381607088298203</v>
      </c>
      <c r="AB3171">
        <f>WarehouseData[[#This Row],[stock_level]]*WarehouseData[[#This Row],[unit_price]]</f>
        <v>27990.82</v>
      </c>
      <c r="AC3171">
        <f>WarehouseData[[#This Row],[stock_level]]*WarehouseData[[#This Row],[holding_cost_per_unit_day]]*30</f>
        <v>2059.1999999999998</v>
      </c>
      <c r="AD3171" t="str">
        <f>IF(WarehouseData[[#This Row],[order_fulfillment_rate]]&gt;=0.9,"Strong",IF(WarehouseData[[#This Row],[order_fulfillment_rate]]&gt;=0.8,"Moderate","Needs Attention"))</f>
        <v>Strong</v>
      </c>
      <c r="AE3171" t="str">
        <f>IF(WarehouseData[[#This Row],[picking_time_seconds]]&gt;120,"Slow",IF(WarehouseData[[#This Row],[picking_time_seconds]]&gt;=60,"Average","Fast"))</f>
        <v>Average</v>
      </c>
    </row>
    <row r="3172" spans="1:31" x14ac:dyDescent="0.25">
      <c r="A3172" t="s">
        <v>3310</v>
      </c>
      <c r="B3172" t="s">
        <v>48</v>
      </c>
      <c r="C3172">
        <v>173</v>
      </c>
      <c r="D3172">
        <v>19</v>
      </c>
      <c r="E3172">
        <v>9</v>
      </c>
      <c r="F3172">
        <v>4</v>
      </c>
      <c r="G3172">
        <v>1.18</v>
      </c>
      <c r="H3172">
        <v>6.35</v>
      </c>
      <c r="I3172">
        <v>0.63</v>
      </c>
      <c r="J3172" t="s">
        <v>281</v>
      </c>
      <c r="K3172" t="s">
        <v>34</v>
      </c>
      <c r="L3172">
        <v>104</v>
      </c>
      <c r="M3172">
        <v>3.85</v>
      </c>
      <c r="N3172">
        <v>13.52</v>
      </c>
      <c r="O3172">
        <v>0.7</v>
      </c>
      <c r="P3172">
        <v>6</v>
      </c>
      <c r="Q3172">
        <v>0.83</v>
      </c>
      <c r="R3172">
        <v>473</v>
      </c>
      <c r="S3172">
        <v>1.77</v>
      </c>
      <c r="T3172">
        <v>0.96</v>
      </c>
      <c r="U3172" s="1">
        <v>45316</v>
      </c>
      <c r="V3172">
        <v>285.57</v>
      </c>
      <c r="W3172">
        <v>0.59199999999999997</v>
      </c>
      <c r="X3172" t="str">
        <f>IF(WarehouseData[[#This Row],[stock_level]]&lt;=WarehouseData[[#This Row],[reorder_point]],"Low Stock","Sufficient Stock")</f>
        <v>Sufficient Stock</v>
      </c>
      <c r="Y3172">
        <f>WarehouseData[[#This Row],[daily_demand]]*WarehouseData[[#This Row],[lead_time_days]]</f>
        <v>4.72</v>
      </c>
      <c r="Z3172" t="str">
        <f>IF(WarehouseData[[#This Row],[stock_level]]&lt;=WarehouseData[[#This Row],[Demand During Lead Time]],"At Risk","Safe")</f>
        <v>Safe</v>
      </c>
      <c r="AA3172">
        <f>WarehouseData[[#This Row],[stock_level]]/WarehouseData[[#This Row],[daily_demand]]</f>
        <v>146.61016949152543</v>
      </c>
      <c r="AB3172">
        <f>WarehouseData[[#This Row],[stock_level]]*WarehouseData[[#This Row],[unit_price]]</f>
        <v>2338.96</v>
      </c>
      <c r="AC3172">
        <f>WarehouseData[[#This Row],[stock_level]]*WarehouseData[[#This Row],[holding_cost_per_unit_day]]*30</f>
        <v>3633</v>
      </c>
      <c r="AD3172" t="str">
        <f>IF(WarehouseData[[#This Row],[order_fulfillment_rate]]&gt;=0.9,"Strong",IF(WarehouseData[[#This Row],[order_fulfillment_rate]]&gt;=0.8,"Moderate","Needs Attention"))</f>
        <v>Moderate</v>
      </c>
      <c r="AE3172" t="str">
        <f>IF(WarehouseData[[#This Row],[picking_time_seconds]]&gt;120,"Slow",IF(WarehouseData[[#This Row],[picking_time_seconds]]&gt;=60,"Average","Fast"))</f>
        <v>Average</v>
      </c>
    </row>
    <row r="3173" spans="1:31" x14ac:dyDescent="0.25">
      <c r="A3173" t="s">
        <v>3311</v>
      </c>
      <c r="B3173" t="s">
        <v>32</v>
      </c>
      <c r="C3173">
        <v>61</v>
      </c>
      <c r="D3173">
        <v>80</v>
      </c>
      <c r="E3173">
        <v>12</v>
      </c>
      <c r="F3173">
        <v>7</v>
      </c>
      <c r="G3173">
        <v>13.43</v>
      </c>
      <c r="H3173">
        <v>2.12</v>
      </c>
      <c r="I3173">
        <v>0.21</v>
      </c>
      <c r="J3173" t="s">
        <v>221</v>
      </c>
      <c r="K3173" t="s">
        <v>34</v>
      </c>
      <c r="L3173">
        <v>109</v>
      </c>
      <c r="M3173">
        <v>0.59</v>
      </c>
      <c r="N3173">
        <v>123.59</v>
      </c>
      <c r="O3173">
        <v>0.9</v>
      </c>
      <c r="P3173">
        <v>5</v>
      </c>
      <c r="Q3173">
        <v>0.9</v>
      </c>
      <c r="R3173">
        <v>177</v>
      </c>
      <c r="S3173">
        <v>10.43</v>
      </c>
      <c r="T3173">
        <v>0.61</v>
      </c>
      <c r="U3173" s="1">
        <v>45495</v>
      </c>
      <c r="V3173">
        <v>129.19</v>
      </c>
      <c r="W3173">
        <v>0.65100000000000002</v>
      </c>
      <c r="X3173" t="str">
        <f>IF(WarehouseData[[#This Row],[stock_level]]&lt;=WarehouseData[[#This Row],[reorder_point]],"Low Stock","Sufficient Stock")</f>
        <v>Low Stock</v>
      </c>
      <c r="Y3173">
        <f>WarehouseData[[#This Row],[daily_demand]]*WarehouseData[[#This Row],[lead_time_days]]</f>
        <v>94.009999999999991</v>
      </c>
      <c r="Z3173" t="str">
        <f>IF(WarehouseData[[#This Row],[stock_level]]&lt;=WarehouseData[[#This Row],[Demand During Lead Time]],"At Risk","Safe")</f>
        <v>At Risk</v>
      </c>
      <c r="AA3173">
        <f>WarehouseData[[#This Row],[stock_level]]/WarehouseData[[#This Row],[daily_demand]]</f>
        <v>4.5420699925539836</v>
      </c>
      <c r="AB3173">
        <f>WarehouseData[[#This Row],[stock_level]]*WarehouseData[[#This Row],[unit_price]]</f>
        <v>7538.99</v>
      </c>
      <c r="AC3173">
        <f>WarehouseData[[#This Row],[stock_level]]*WarehouseData[[#This Row],[holding_cost_per_unit_day]]*30</f>
        <v>1647</v>
      </c>
      <c r="AD3173" t="str">
        <f>IF(WarehouseData[[#This Row],[order_fulfillment_rate]]&gt;=0.9,"Strong",IF(WarehouseData[[#This Row],[order_fulfillment_rate]]&gt;=0.8,"Moderate","Needs Attention"))</f>
        <v>Strong</v>
      </c>
      <c r="AE3173" t="str">
        <f>IF(WarehouseData[[#This Row],[picking_time_seconds]]&gt;120,"Slow",IF(WarehouseData[[#This Row],[picking_time_seconds]]&gt;=60,"Average","Fast"))</f>
        <v>Average</v>
      </c>
    </row>
    <row r="3174" spans="1:31" x14ac:dyDescent="0.25">
      <c r="A3174" t="s">
        <v>3312</v>
      </c>
      <c r="B3174" t="s">
        <v>40</v>
      </c>
      <c r="C3174">
        <v>430</v>
      </c>
      <c r="D3174">
        <v>64</v>
      </c>
      <c r="E3174">
        <v>12</v>
      </c>
      <c r="F3174">
        <v>5</v>
      </c>
      <c r="G3174">
        <v>25.2</v>
      </c>
      <c r="H3174">
        <v>7.02</v>
      </c>
      <c r="I3174">
        <v>0.64</v>
      </c>
      <c r="J3174" t="s">
        <v>92</v>
      </c>
      <c r="K3174" t="s">
        <v>46</v>
      </c>
      <c r="L3174">
        <v>100</v>
      </c>
      <c r="M3174">
        <v>4.66</v>
      </c>
      <c r="N3174">
        <v>16.02</v>
      </c>
      <c r="O3174">
        <v>0.98</v>
      </c>
      <c r="P3174">
        <v>0</v>
      </c>
      <c r="Q3174">
        <v>0.8</v>
      </c>
      <c r="R3174">
        <v>538</v>
      </c>
      <c r="S3174">
        <v>2.11</v>
      </c>
      <c r="T3174">
        <v>0.79</v>
      </c>
      <c r="U3174" s="1">
        <v>45342</v>
      </c>
      <c r="V3174">
        <v>294.18</v>
      </c>
      <c r="W3174">
        <v>0.64800000000000002</v>
      </c>
      <c r="X3174" t="str">
        <f>IF(WarehouseData[[#This Row],[stock_level]]&lt;=WarehouseData[[#This Row],[reorder_point]],"Low Stock","Sufficient Stock")</f>
        <v>Sufficient Stock</v>
      </c>
      <c r="Y3174">
        <f>WarehouseData[[#This Row],[daily_demand]]*WarehouseData[[#This Row],[lead_time_days]]</f>
        <v>126</v>
      </c>
      <c r="Z3174" t="str">
        <f>IF(WarehouseData[[#This Row],[stock_level]]&lt;=WarehouseData[[#This Row],[Demand During Lead Time]],"At Risk","Safe")</f>
        <v>Safe</v>
      </c>
      <c r="AA3174">
        <f>WarehouseData[[#This Row],[stock_level]]/WarehouseData[[#This Row],[daily_demand]]</f>
        <v>17.063492063492063</v>
      </c>
      <c r="AB3174">
        <f>WarehouseData[[#This Row],[stock_level]]*WarehouseData[[#This Row],[unit_price]]</f>
        <v>6888.5999999999995</v>
      </c>
      <c r="AC3174">
        <f>WarehouseData[[#This Row],[stock_level]]*WarehouseData[[#This Row],[holding_cost_per_unit_day]]*30</f>
        <v>12642</v>
      </c>
      <c r="AD3174" t="str">
        <f>IF(WarehouseData[[#This Row],[order_fulfillment_rate]]&gt;=0.9,"Strong",IF(WarehouseData[[#This Row],[order_fulfillment_rate]]&gt;=0.8,"Moderate","Needs Attention"))</f>
        <v>Moderate</v>
      </c>
      <c r="AE3174" t="str">
        <f>IF(WarehouseData[[#This Row],[picking_time_seconds]]&gt;120,"Slow",IF(WarehouseData[[#This Row],[picking_time_seconds]]&gt;=60,"Average","Fast"))</f>
        <v>Average</v>
      </c>
    </row>
    <row r="3175" spans="1:31" x14ac:dyDescent="0.25">
      <c r="A3175" t="s">
        <v>3313</v>
      </c>
      <c r="B3175" t="s">
        <v>32</v>
      </c>
      <c r="C3175">
        <v>30</v>
      </c>
      <c r="D3175">
        <v>10</v>
      </c>
      <c r="E3175">
        <v>4</v>
      </c>
      <c r="F3175">
        <v>4</v>
      </c>
      <c r="G3175">
        <v>31.32</v>
      </c>
      <c r="H3175">
        <v>4.8</v>
      </c>
      <c r="I3175">
        <v>0.47</v>
      </c>
      <c r="J3175" t="s">
        <v>95</v>
      </c>
      <c r="K3175" t="s">
        <v>38</v>
      </c>
      <c r="L3175">
        <v>53</v>
      </c>
      <c r="M3175">
        <v>4.24</v>
      </c>
      <c r="N3175">
        <v>112.45</v>
      </c>
      <c r="O3175">
        <v>0.94</v>
      </c>
      <c r="P3175">
        <v>9</v>
      </c>
      <c r="Q3175">
        <v>0.85</v>
      </c>
      <c r="R3175">
        <v>54</v>
      </c>
      <c r="S3175">
        <v>8.7899999999999991</v>
      </c>
      <c r="T3175">
        <v>0.61</v>
      </c>
      <c r="U3175" s="1">
        <v>45645</v>
      </c>
      <c r="V3175">
        <v>29.7</v>
      </c>
      <c r="W3175">
        <v>0.53500000000000003</v>
      </c>
      <c r="X3175" t="str">
        <f>IF(WarehouseData[[#This Row],[stock_level]]&lt;=WarehouseData[[#This Row],[reorder_point]],"Low Stock","Sufficient Stock")</f>
        <v>Sufficient Stock</v>
      </c>
      <c r="Y3175">
        <f>WarehouseData[[#This Row],[daily_demand]]*WarehouseData[[#This Row],[lead_time_days]]</f>
        <v>125.28</v>
      </c>
      <c r="Z3175" t="str">
        <f>IF(WarehouseData[[#This Row],[stock_level]]&lt;=WarehouseData[[#This Row],[Demand During Lead Time]],"At Risk","Safe")</f>
        <v>At Risk</v>
      </c>
      <c r="AA3175">
        <f>WarehouseData[[#This Row],[stock_level]]/WarehouseData[[#This Row],[daily_demand]]</f>
        <v>0.95785440613026818</v>
      </c>
      <c r="AB3175">
        <f>WarehouseData[[#This Row],[stock_level]]*WarehouseData[[#This Row],[unit_price]]</f>
        <v>3373.5</v>
      </c>
      <c r="AC3175">
        <f>WarehouseData[[#This Row],[stock_level]]*WarehouseData[[#This Row],[holding_cost_per_unit_day]]*30</f>
        <v>846</v>
      </c>
      <c r="AD3175" t="str">
        <f>IF(WarehouseData[[#This Row],[order_fulfillment_rate]]&gt;=0.9,"Strong",IF(WarehouseData[[#This Row],[order_fulfillment_rate]]&gt;=0.8,"Moderate","Needs Attention"))</f>
        <v>Moderate</v>
      </c>
      <c r="AE3175" t="str">
        <f>IF(WarehouseData[[#This Row],[picking_time_seconds]]&gt;120,"Slow",IF(WarehouseData[[#This Row],[picking_time_seconds]]&gt;=60,"Average","Fast"))</f>
        <v>Fast</v>
      </c>
    </row>
    <row r="3176" spans="1:31" x14ac:dyDescent="0.25">
      <c r="A3176" t="s">
        <v>3314</v>
      </c>
      <c r="B3176" t="s">
        <v>36</v>
      </c>
      <c r="C3176">
        <v>313</v>
      </c>
      <c r="D3176">
        <v>58</v>
      </c>
      <c r="E3176">
        <v>5</v>
      </c>
      <c r="F3176">
        <v>5</v>
      </c>
      <c r="G3176">
        <v>4.21</v>
      </c>
      <c r="H3176">
        <v>5.42</v>
      </c>
      <c r="I3176">
        <v>0.91</v>
      </c>
      <c r="J3176" t="s">
        <v>418</v>
      </c>
      <c r="K3176" t="s">
        <v>46</v>
      </c>
      <c r="L3176">
        <v>137</v>
      </c>
      <c r="M3176">
        <v>1.74</v>
      </c>
      <c r="N3176">
        <v>97</v>
      </c>
      <c r="O3176">
        <v>1.1000000000000001</v>
      </c>
      <c r="P3176">
        <v>7</v>
      </c>
      <c r="Q3176">
        <v>0.79</v>
      </c>
      <c r="R3176">
        <v>375</v>
      </c>
      <c r="S3176">
        <v>7.97</v>
      </c>
      <c r="T3176">
        <v>0.82</v>
      </c>
      <c r="U3176" s="1">
        <v>45375</v>
      </c>
      <c r="V3176">
        <v>239.38</v>
      </c>
      <c r="W3176">
        <v>0.57799999999999996</v>
      </c>
      <c r="X3176" t="str">
        <f>IF(WarehouseData[[#This Row],[stock_level]]&lt;=WarehouseData[[#This Row],[reorder_point]],"Low Stock","Sufficient Stock")</f>
        <v>Sufficient Stock</v>
      </c>
      <c r="Y3176">
        <f>WarehouseData[[#This Row],[daily_demand]]*WarehouseData[[#This Row],[lead_time_days]]</f>
        <v>21.05</v>
      </c>
      <c r="Z3176" t="str">
        <f>IF(WarehouseData[[#This Row],[stock_level]]&lt;=WarehouseData[[#This Row],[Demand During Lead Time]],"At Risk","Safe")</f>
        <v>Safe</v>
      </c>
      <c r="AA3176">
        <f>WarehouseData[[#This Row],[stock_level]]/WarehouseData[[#This Row],[daily_demand]]</f>
        <v>74.346793349168649</v>
      </c>
      <c r="AB3176">
        <f>WarehouseData[[#This Row],[stock_level]]*WarehouseData[[#This Row],[unit_price]]</f>
        <v>30361</v>
      </c>
      <c r="AC3176">
        <f>WarehouseData[[#This Row],[stock_level]]*WarehouseData[[#This Row],[holding_cost_per_unit_day]]*30</f>
        <v>10329</v>
      </c>
      <c r="AD3176" t="str">
        <f>IF(WarehouseData[[#This Row],[order_fulfillment_rate]]&gt;=0.9,"Strong",IF(WarehouseData[[#This Row],[order_fulfillment_rate]]&gt;=0.8,"Moderate","Needs Attention"))</f>
        <v>Needs Attention</v>
      </c>
      <c r="AE3176" t="str">
        <f>IF(WarehouseData[[#This Row],[picking_time_seconds]]&gt;120,"Slow",IF(WarehouseData[[#This Row],[picking_time_seconds]]&gt;=60,"Average","Fast"))</f>
        <v>Slow</v>
      </c>
    </row>
    <row r="3177" spans="1:31" x14ac:dyDescent="0.25">
      <c r="A3177" t="s">
        <v>3315</v>
      </c>
      <c r="B3177" t="s">
        <v>40</v>
      </c>
      <c r="C3177">
        <v>117</v>
      </c>
      <c r="D3177">
        <v>45</v>
      </c>
      <c r="E3177">
        <v>5</v>
      </c>
      <c r="F3177">
        <v>8</v>
      </c>
      <c r="G3177">
        <v>35.549999999999997</v>
      </c>
      <c r="H3177">
        <v>0.79</v>
      </c>
      <c r="I3177">
        <v>0.92</v>
      </c>
      <c r="J3177" t="s">
        <v>113</v>
      </c>
      <c r="K3177" t="s">
        <v>46</v>
      </c>
      <c r="L3177">
        <v>32</v>
      </c>
      <c r="M3177">
        <v>2.99</v>
      </c>
      <c r="N3177">
        <v>56.08</v>
      </c>
      <c r="O3177">
        <v>1.73</v>
      </c>
      <c r="P3177">
        <v>4</v>
      </c>
      <c r="Q3177">
        <v>0.72</v>
      </c>
      <c r="R3177">
        <v>747</v>
      </c>
      <c r="S3177">
        <v>14.24</v>
      </c>
      <c r="T3177">
        <v>0.63</v>
      </c>
      <c r="U3177" s="1">
        <v>45322</v>
      </c>
      <c r="V3177">
        <v>147.28</v>
      </c>
      <c r="W3177">
        <v>0.60699999999999998</v>
      </c>
      <c r="X3177" t="str">
        <f>IF(WarehouseData[[#This Row],[stock_level]]&lt;=WarehouseData[[#This Row],[reorder_point]],"Low Stock","Sufficient Stock")</f>
        <v>Sufficient Stock</v>
      </c>
      <c r="Y3177">
        <f>WarehouseData[[#This Row],[daily_demand]]*WarehouseData[[#This Row],[lead_time_days]]</f>
        <v>284.39999999999998</v>
      </c>
      <c r="Z3177" t="str">
        <f>IF(WarehouseData[[#This Row],[stock_level]]&lt;=WarehouseData[[#This Row],[Demand During Lead Time]],"At Risk","Safe")</f>
        <v>At Risk</v>
      </c>
      <c r="AA3177">
        <f>WarehouseData[[#This Row],[stock_level]]/WarehouseData[[#This Row],[daily_demand]]</f>
        <v>3.2911392405063293</v>
      </c>
      <c r="AB3177">
        <f>WarehouseData[[#This Row],[stock_level]]*WarehouseData[[#This Row],[unit_price]]</f>
        <v>6561.36</v>
      </c>
      <c r="AC3177">
        <f>WarehouseData[[#This Row],[stock_level]]*WarehouseData[[#This Row],[holding_cost_per_unit_day]]*30</f>
        <v>6072.3</v>
      </c>
      <c r="AD3177" t="str">
        <f>IF(WarehouseData[[#This Row],[order_fulfillment_rate]]&gt;=0.9,"Strong",IF(WarehouseData[[#This Row],[order_fulfillment_rate]]&gt;=0.8,"Moderate","Needs Attention"))</f>
        <v>Needs Attention</v>
      </c>
      <c r="AE3177" t="str">
        <f>IF(WarehouseData[[#This Row],[picking_time_seconds]]&gt;120,"Slow",IF(WarehouseData[[#This Row],[picking_time_seconds]]&gt;=60,"Average","Fast"))</f>
        <v>Fast</v>
      </c>
    </row>
    <row r="3178" spans="1:31" x14ac:dyDescent="0.25">
      <c r="A3178" t="s">
        <v>3316</v>
      </c>
      <c r="B3178" t="s">
        <v>73</v>
      </c>
      <c r="C3178">
        <v>446</v>
      </c>
      <c r="D3178">
        <v>30</v>
      </c>
      <c r="E3178">
        <v>8</v>
      </c>
      <c r="F3178">
        <v>6</v>
      </c>
      <c r="G3178">
        <v>27.63</v>
      </c>
      <c r="H3178">
        <v>7.76</v>
      </c>
      <c r="I3178">
        <v>0.79</v>
      </c>
      <c r="J3178" t="s">
        <v>316</v>
      </c>
      <c r="K3178" t="s">
        <v>38</v>
      </c>
      <c r="L3178">
        <v>32</v>
      </c>
      <c r="M3178">
        <v>3.27</v>
      </c>
      <c r="N3178">
        <v>72.66</v>
      </c>
      <c r="O3178">
        <v>1.3</v>
      </c>
      <c r="P3178">
        <v>3</v>
      </c>
      <c r="Q3178">
        <v>0.74</v>
      </c>
      <c r="R3178">
        <v>221</v>
      </c>
      <c r="S3178">
        <v>2.85</v>
      </c>
      <c r="T3178">
        <v>0.76</v>
      </c>
      <c r="U3178" s="1">
        <v>45402</v>
      </c>
      <c r="V3178">
        <v>93.95</v>
      </c>
      <c r="W3178">
        <v>0.54800000000000004</v>
      </c>
      <c r="X3178" t="str">
        <f>IF(WarehouseData[[#This Row],[stock_level]]&lt;=WarehouseData[[#This Row],[reorder_point]],"Low Stock","Sufficient Stock")</f>
        <v>Sufficient Stock</v>
      </c>
      <c r="Y3178">
        <f>WarehouseData[[#This Row],[daily_demand]]*WarehouseData[[#This Row],[lead_time_days]]</f>
        <v>165.78</v>
      </c>
      <c r="Z3178" t="str">
        <f>IF(WarehouseData[[#This Row],[stock_level]]&lt;=WarehouseData[[#This Row],[Demand During Lead Time]],"At Risk","Safe")</f>
        <v>Safe</v>
      </c>
      <c r="AA3178">
        <f>WarehouseData[[#This Row],[stock_level]]/WarehouseData[[#This Row],[daily_demand]]</f>
        <v>16.141874773796598</v>
      </c>
      <c r="AB3178">
        <f>WarehouseData[[#This Row],[stock_level]]*WarehouseData[[#This Row],[unit_price]]</f>
        <v>32406.359999999997</v>
      </c>
      <c r="AC3178">
        <f>WarehouseData[[#This Row],[stock_level]]*WarehouseData[[#This Row],[holding_cost_per_unit_day]]*30</f>
        <v>17394.000000000004</v>
      </c>
      <c r="AD3178" t="str">
        <f>IF(WarehouseData[[#This Row],[order_fulfillment_rate]]&gt;=0.9,"Strong",IF(WarehouseData[[#This Row],[order_fulfillment_rate]]&gt;=0.8,"Moderate","Needs Attention"))</f>
        <v>Needs Attention</v>
      </c>
      <c r="AE3178" t="str">
        <f>IF(WarehouseData[[#This Row],[picking_time_seconds]]&gt;120,"Slow",IF(WarehouseData[[#This Row],[picking_time_seconds]]&gt;=60,"Average","Fast"))</f>
        <v>Fast</v>
      </c>
    </row>
    <row r="3179" spans="1:31" x14ac:dyDescent="0.25">
      <c r="A3179" t="s">
        <v>3317</v>
      </c>
      <c r="B3179" t="s">
        <v>32</v>
      </c>
      <c r="C3179">
        <v>294</v>
      </c>
      <c r="D3179">
        <v>46</v>
      </c>
      <c r="E3179">
        <v>5</v>
      </c>
      <c r="F3179">
        <v>2</v>
      </c>
      <c r="G3179">
        <v>26.76</v>
      </c>
      <c r="H3179">
        <v>8.44</v>
      </c>
      <c r="I3179">
        <v>0.73</v>
      </c>
      <c r="J3179" t="s">
        <v>120</v>
      </c>
      <c r="K3179" t="s">
        <v>38</v>
      </c>
      <c r="L3179">
        <v>64</v>
      </c>
      <c r="M3179">
        <v>1.0900000000000001</v>
      </c>
      <c r="N3179">
        <v>144.08000000000001</v>
      </c>
      <c r="O3179">
        <v>0.13</v>
      </c>
      <c r="P3179">
        <v>4</v>
      </c>
      <c r="Q3179">
        <v>0.79</v>
      </c>
      <c r="R3179">
        <v>248</v>
      </c>
      <c r="S3179">
        <v>1.1299999999999999</v>
      </c>
      <c r="T3179">
        <v>0.75</v>
      </c>
      <c r="U3179" s="1">
        <v>45422</v>
      </c>
      <c r="V3179">
        <v>226.89</v>
      </c>
      <c r="W3179">
        <v>0.63</v>
      </c>
      <c r="X3179" t="str">
        <f>IF(WarehouseData[[#This Row],[stock_level]]&lt;=WarehouseData[[#This Row],[reorder_point]],"Low Stock","Sufficient Stock")</f>
        <v>Sufficient Stock</v>
      </c>
      <c r="Y3179">
        <f>WarehouseData[[#This Row],[daily_demand]]*WarehouseData[[#This Row],[lead_time_days]]</f>
        <v>53.52</v>
      </c>
      <c r="Z3179" t="str">
        <f>IF(WarehouseData[[#This Row],[stock_level]]&lt;=WarehouseData[[#This Row],[Demand During Lead Time]],"At Risk","Safe")</f>
        <v>Safe</v>
      </c>
      <c r="AA3179">
        <f>WarehouseData[[#This Row],[stock_level]]/WarehouseData[[#This Row],[daily_demand]]</f>
        <v>10.986547085201794</v>
      </c>
      <c r="AB3179">
        <f>WarehouseData[[#This Row],[stock_level]]*WarehouseData[[#This Row],[unit_price]]</f>
        <v>42359.520000000004</v>
      </c>
      <c r="AC3179">
        <f>WarehouseData[[#This Row],[stock_level]]*WarehouseData[[#This Row],[holding_cost_per_unit_day]]*30</f>
        <v>1146.5999999999999</v>
      </c>
      <c r="AD3179" t="str">
        <f>IF(WarehouseData[[#This Row],[order_fulfillment_rate]]&gt;=0.9,"Strong",IF(WarehouseData[[#This Row],[order_fulfillment_rate]]&gt;=0.8,"Moderate","Needs Attention"))</f>
        <v>Needs Attention</v>
      </c>
      <c r="AE3179" t="str">
        <f>IF(WarehouseData[[#This Row],[picking_time_seconds]]&gt;120,"Slow",IF(WarehouseData[[#This Row],[picking_time_seconds]]&gt;=60,"Average","Fast"))</f>
        <v>Average</v>
      </c>
    </row>
    <row r="3180" spans="1:31" x14ac:dyDescent="0.25">
      <c r="A3180" t="s">
        <v>3318</v>
      </c>
      <c r="B3180" t="s">
        <v>36</v>
      </c>
      <c r="C3180">
        <v>467</v>
      </c>
      <c r="D3180">
        <v>33</v>
      </c>
      <c r="E3180">
        <v>13</v>
      </c>
      <c r="F3180">
        <v>3</v>
      </c>
      <c r="G3180">
        <v>15.31</v>
      </c>
      <c r="H3180">
        <v>6.38</v>
      </c>
      <c r="I3180">
        <v>0.2</v>
      </c>
      <c r="J3180" t="s">
        <v>447</v>
      </c>
      <c r="K3180" t="s">
        <v>46</v>
      </c>
      <c r="L3180">
        <v>170</v>
      </c>
      <c r="M3180">
        <v>1.64</v>
      </c>
      <c r="N3180">
        <v>11.82</v>
      </c>
      <c r="O3180">
        <v>0.43</v>
      </c>
      <c r="P3180">
        <v>4</v>
      </c>
      <c r="Q3180">
        <v>0.99</v>
      </c>
      <c r="R3180">
        <v>280</v>
      </c>
      <c r="S3180">
        <v>2.92</v>
      </c>
      <c r="T3180">
        <v>0.63</v>
      </c>
      <c r="U3180" s="1">
        <v>45535</v>
      </c>
      <c r="V3180">
        <v>194.25</v>
      </c>
      <c r="W3180">
        <v>0.64</v>
      </c>
      <c r="X3180" t="str">
        <f>IF(WarehouseData[[#This Row],[stock_level]]&lt;=WarehouseData[[#This Row],[reorder_point]],"Low Stock","Sufficient Stock")</f>
        <v>Sufficient Stock</v>
      </c>
      <c r="Y3180">
        <f>WarehouseData[[#This Row],[daily_demand]]*WarehouseData[[#This Row],[lead_time_days]]</f>
        <v>45.93</v>
      </c>
      <c r="Z3180" t="str">
        <f>IF(WarehouseData[[#This Row],[stock_level]]&lt;=WarehouseData[[#This Row],[Demand During Lead Time]],"At Risk","Safe")</f>
        <v>Safe</v>
      </c>
      <c r="AA3180">
        <f>WarehouseData[[#This Row],[stock_level]]/WarehouseData[[#This Row],[daily_demand]]</f>
        <v>30.502939255388632</v>
      </c>
      <c r="AB3180">
        <f>WarehouseData[[#This Row],[stock_level]]*WarehouseData[[#This Row],[unit_price]]</f>
        <v>5519.9400000000005</v>
      </c>
      <c r="AC3180">
        <f>WarehouseData[[#This Row],[stock_level]]*WarehouseData[[#This Row],[holding_cost_per_unit_day]]*30</f>
        <v>6024.3</v>
      </c>
      <c r="AD3180" t="str">
        <f>IF(WarehouseData[[#This Row],[order_fulfillment_rate]]&gt;=0.9,"Strong",IF(WarehouseData[[#This Row],[order_fulfillment_rate]]&gt;=0.8,"Moderate","Needs Attention"))</f>
        <v>Strong</v>
      </c>
      <c r="AE3180" t="str">
        <f>IF(WarehouseData[[#This Row],[picking_time_seconds]]&gt;120,"Slow",IF(WarehouseData[[#This Row],[picking_time_seconds]]&gt;=60,"Average","Fast"))</f>
        <v>Slow</v>
      </c>
    </row>
    <row r="3181" spans="1:31" x14ac:dyDescent="0.25">
      <c r="A3181" t="s">
        <v>3319</v>
      </c>
      <c r="B3181" t="s">
        <v>73</v>
      </c>
      <c r="C3181">
        <v>409</v>
      </c>
      <c r="D3181">
        <v>64</v>
      </c>
      <c r="E3181">
        <v>7</v>
      </c>
      <c r="F3181">
        <v>3</v>
      </c>
      <c r="G3181">
        <v>30.15</v>
      </c>
      <c r="H3181">
        <v>7.61</v>
      </c>
      <c r="I3181">
        <v>0.18</v>
      </c>
      <c r="J3181" t="s">
        <v>263</v>
      </c>
      <c r="K3181" t="s">
        <v>38</v>
      </c>
      <c r="L3181">
        <v>86</v>
      </c>
      <c r="M3181">
        <v>0.6</v>
      </c>
      <c r="N3181">
        <v>70.16</v>
      </c>
      <c r="O3181">
        <v>0.76</v>
      </c>
      <c r="P3181">
        <v>9</v>
      </c>
      <c r="Q3181">
        <v>0.99</v>
      </c>
      <c r="R3181">
        <v>849</v>
      </c>
      <c r="S3181">
        <v>3.39</v>
      </c>
      <c r="T3181">
        <v>0.38</v>
      </c>
      <c r="U3181" s="1">
        <v>45614</v>
      </c>
      <c r="V3181">
        <v>271.83999999999997</v>
      </c>
      <c r="W3181">
        <v>0.46300000000000002</v>
      </c>
      <c r="X3181" t="str">
        <f>IF(WarehouseData[[#This Row],[stock_level]]&lt;=WarehouseData[[#This Row],[reorder_point]],"Low Stock","Sufficient Stock")</f>
        <v>Sufficient Stock</v>
      </c>
      <c r="Y3181">
        <f>WarehouseData[[#This Row],[daily_demand]]*WarehouseData[[#This Row],[lead_time_days]]</f>
        <v>90.449999999999989</v>
      </c>
      <c r="Z3181" t="str">
        <f>IF(WarehouseData[[#This Row],[stock_level]]&lt;=WarehouseData[[#This Row],[Demand During Lead Time]],"At Risk","Safe")</f>
        <v>Safe</v>
      </c>
      <c r="AA3181">
        <f>WarehouseData[[#This Row],[stock_level]]/WarehouseData[[#This Row],[daily_demand]]</f>
        <v>13.565505804311774</v>
      </c>
      <c r="AB3181">
        <f>WarehouseData[[#This Row],[stock_level]]*WarehouseData[[#This Row],[unit_price]]</f>
        <v>28695.439999999999</v>
      </c>
      <c r="AC3181">
        <f>WarehouseData[[#This Row],[stock_level]]*WarehouseData[[#This Row],[holding_cost_per_unit_day]]*30</f>
        <v>9325.2000000000007</v>
      </c>
      <c r="AD3181" t="str">
        <f>IF(WarehouseData[[#This Row],[order_fulfillment_rate]]&gt;=0.9,"Strong",IF(WarehouseData[[#This Row],[order_fulfillment_rate]]&gt;=0.8,"Moderate","Needs Attention"))</f>
        <v>Strong</v>
      </c>
      <c r="AE3181" t="str">
        <f>IF(WarehouseData[[#This Row],[picking_time_seconds]]&gt;120,"Slow",IF(WarehouseData[[#This Row],[picking_time_seconds]]&gt;=60,"Average","Fast"))</f>
        <v>Average</v>
      </c>
    </row>
    <row r="3182" spans="1:31" x14ac:dyDescent="0.25">
      <c r="A3182" t="s">
        <v>3320</v>
      </c>
      <c r="B3182" t="s">
        <v>73</v>
      </c>
      <c r="C3182">
        <v>449</v>
      </c>
      <c r="D3182">
        <v>34</v>
      </c>
      <c r="E3182">
        <v>6</v>
      </c>
      <c r="F3182">
        <v>5</v>
      </c>
      <c r="G3182">
        <v>2.35</v>
      </c>
      <c r="H3182">
        <v>5.47</v>
      </c>
      <c r="I3182">
        <v>0.86</v>
      </c>
      <c r="J3182" t="s">
        <v>137</v>
      </c>
      <c r="K3182" t="s">
        <v>34</v>
      </c>
      <c r="L3182">
        <v>72</v>
      </c>
      <c r="M3182">
        <v>4.3899999999999997</v>
      </c>
      <c r="N3182">
        <v>139.26</v>
      </c>
      <c r="O3182">
        <v>1.9</v>
      </c>
      <c r="P3182">
        <v>2</v>
      </c>
      <c r="Q3182">
        <v>0.95</v>
      </c>
      <c r="R3182">
        <v>896</v>
      </c>
      <c r="S3182">
        <v>4.51</v>
      </c>
      <c r="T3182">
        <v>0.37</v>
      </c>
      <c r="U3182" s="1">
        <v>45341</v>
      </c>
      <c r="V3182">
        <v>82.15</v>
      </c>
      <c r="W3182">
        <v>0.49399999999999999</v>
      </c>
      <c r="X3182" t="str">
        <f>IF(WarehouseData[[#This Row],[stock_level]]&lt;=WarehouseData[[#This Row],[reorder_point]],"Low Stock","Sufficient Stock")</f>
        <v>Sufficient Stock</v>
      </c>
      <c r="Y3182">
        <f>WarehouseData[[#This Row],[daily_demand]]*WarehouseData[[#This Row],[lead_time_days]]</f>
        <v>11.75</v>
      </c>
      <c r="Z3182" t="str">
        <f>IF(WarehouseData[[#This Row],[stock_level]]&lt;=WarehouseData[[#This Row],[Demand During Lead Time]],"At Risk","Safe")</f>
        <v>Safe</v>
      </c>
      <c r="AA3182">
        <f>WarehouseData[[#This Row],[stock_level]]/WarehouseData[[#This Row],[daily_demand]]</f>
        <v>191.06382978723403</v>
      </c>
      <c r="AB3182">
        <f>WarehouseData[[#This Row],[stock_level]]*WarehouseData[[#This Row],[unit_price]]</f>
        <v>62527.74</v>
      </c>
      <c r="AC3182">
        <f>WarehouseData[[#This Row],[stock_level]]*WarehouseData[[#This Row],[holding_cost_per_unit_day]]*30</f>
        <v>25592.999999999996</v>
      </c>
      <c r="AD3182" t="str">
        <f>IF(WarehouseData[[#This Row],[order_fulfillment_rate]]&gt;=0.9,"Strong",IF(WarehouseData[[#This Row],[order_fulfillment_rate]]&gt;=0.8,"Moderate","Needs Attention"))</f>
        <v>Strong</v>
      </c>
      <c r="AE3182" t="str">
        <f>IF(WarehouseData[[#This Row],[picking_time_seconds]]&gt;120,"Slow",IF(WarehouseData[[#This Row],[picking_time_seconds]]&gt;=60,"Average","Fast"))</f>
        <v>Average</v>
      </c>
    </row>
    <row r="3183" spans="1:31" x14ac:dyDescent="0.25">
      <c r="A3183" t="s">
        <v>3321</v>
      </c>
      <c r="B3183" t="s">
        <v>73</v>
      </c>
      <c r="C3183">
        <v>391</v>
      </c>
      <c r="D3183">
        <v>16</v>
      </c>
      <c r="E3183">
        <v>5</v>
      </c>
      <c r="F3183">
        <v>7</v>
      </c>
      <c r="G3183">
        <v>4.17</v>
      </c>
      <c r="H3183">
        <v>6.37</v>
      </c>
      <c r="I3183">
        <v>0.48</v>
      </c>
      <c r="J3183" t="s">
        <v>357</v>
      </c>
      <c r="K3183" t="s">
        <v>52</v>
      </c>
      <c r="L3183">
        <v>112</v>
      </c>
      <c r="M3183">
        <v>0.61</v>
      </c>
      <c r="N3183">
        <v>38.93</v>
      </c>
      <c r="O3183">
        <v>0.25</v>
      </c>
      <c r="P3183">
        <v>3</v>
      </c>
      <c r="Q3183">
        <v>0.77</v>
      </c>
      <c r="R3183">
        <v>676</v>
      </c>
      <c r="S3183">
        <v>12.41</v>
      </c>
      <c r="T3183">
        <v>0.9</v>
      </c>
      <c r="U3183" s="1">
        <v>45522</v>
      </c>
      <c r="V3183">
        <v>282.52999999999997</v>
      </c>
      <c r="W3183">
        <v>0.81399999999999995</v>
      </c>
      <c r="X3183" t="str">
        <f>IF(WarehouseData[[#This Row],[stock_level]]&lt;=WarehouseData[[#This Row],[reorder_point]],"Low Stock","Sufficient Stock")</f>
        <v>Sufficient Stock</v>
      </c>
      <c r="Y3183">
        <f>WarehouseData[[#This Row],[daily_demand]]*WarehouseData[[#This Row],[lead_time_days]]</f>
        <v>29.189999999999998</v>
      </c>
      <c r="Z3183" t="str">
        <f>IF(WarehouseData[[#This Row],[stock_level]]&lt;=WarehouseData[[#This Row],[Demand During Lead Time]],"At Risk","Safe")</f>
        <v>Safe</v>
      </c>
      <c r="AA3183">
        <f>WarehouseData[[#This Row],[stock_level]]/WarehouseData[[#This Row],[daily_demand]]</f>
        <v>93.764988009592329</v>
      </c>
      <c r="AB3183">
        <f>WarehouseData[[#This Row],[stock_level]]*WarehouseData[[#This Row],[unit_price]]</f>
        <v>15221.63</v>
      </c>
      <c r="AC3183">
        <f>WarehouseData[[#This Row],[stock_level]]*WarehouseData[[#This Row],[holding_cost_per_unit_day]]*30</f>
        <v>2932.5</v>
      </c>
      <c r="AD3183" t="str">
        <f>IF(WarehouseData[[#This Row],[order_fulfillment_rate]]&gt;=0.9,"Strong",IF(WarehouseData[[#This Row],[order_fulfillment_rate]]&gt;=0.8,"Moderate","Needs Attention"))</f>
        <v>Needs Attention</v>
      </c>
      <c r="AE3183" t="str">
        <f>IF(WarehouseData[[#This Row],[picking_time_seconds]]&gt;120,"Slow",IF(WarehouseData[[#This Row],[picking_time_seconds]]&gt;=60,"Average","Fast"))</f>
        <v>Average</v>
      </c>
    </row>
    <row r="3184" spans="1:31" x14ac:dyDescent="0.25">
      <c r="A3184" t="s">
        <v>3322</v>
      </c>
      <c r="B3184" t="s">
        <v>73</v>
      </c>
      <c r="C3184">
        <v>249</v>
      </c>
      <c r="D3184">
        <v>90</v>
      </c>
      <c r="E3184">
        <v>10</v>
      </c>
      <c r="F3184">
        <v>7</v>
      </c>
      <c r="G3184">
        <v>36.96</v>
      </c>
      <c r="H3184">
        <v>4.25</v>
      </c>
      <c r="I3184">
        <v>0.51</v>
      </c>
      <c r="J3184" t="s">
        <v>340</v>
      </c>
      <c r="K3184" t="s">
        <v>38</v>
      </c>
      <c r="L3184">
        <v>69</v>
      </c>
      <c r="M3184">
        <v>1.93</v>
      </c>
      <c r="N3184">
        <v>116.47</v>
      </c>
      <c r="O3184">
        <v>1.45</v>
      </c>
      <c r="P3184">
        <v>3</v>
      </c>
      <c r="Q3184">
        <v>0.83</v>
      </c>
      <c r="R3184">
        <v>382</v>
      </c>
      <c r="S3184">
        <v>6.28</v>
      </c>
      <c r="T3184">
        <v>0.3</v>
      </c>
      <c r="U3184" s="1">
        <v>45463</v>
      </c>
      <c r="V3184">
        <v>196.14</v>
      </c>
      <c r="W3184">
        <v>0.505</v>
      </c>
      <c r="X3184" t="str">
        <f>IF(WarehouseData[[#This Row],[stock_level]]&lt;=WarehouseData[[#This Row],[reorder_point]],"Low Stock","Sufficient Stock")</f>
        <v>Sufficient Stock</v>
      </c>
      <c r="Y3184">
        <f>WarehouseData[[#This Row],[daily_demand]]*WarehouseData[[#This Row],[lead_time_days]]</f>
        <v>258.72000000000003</v>
      </c>
      <c r="Z3184" t="str">
        <f>IF(WarehouseData[[#This Row],[stock_level]]&lt;=WarehouseData[[#This Row],[Demand During Lead Time]],"At Risk","Safe")</f>
        <v>At Risk</v>
      </c>
      <c r="AA3184">
        <f>WarehouseData[[#This Row],[stock_level]]/WarehouseData[[#This Row],[daily_demand]]</f>
        <v>6.7370129870129869</v>
      </c>
      <c r="AB3184">
        <f>WarehouseData[[#This Row],[stock_level]]*WarehouseData[[#This Row],[unit_price]]</f>
        <v>29001.03</v>
      </c>
      <c r="AC3184">
        <f>WarehouseData[[#This Row],[stock_level]]*WarehouseData[[#This Row],[holding_cost_per_unit_day]]*30</f>
        <v>10831.5</v>
      </c>
      <c r="AD3184" t="str">
        <f>IF(WarehouseData[[#This Row],[order_fulfillment_rate]]&gt;=0.9,"Strong",IF(WarehouseData[[#This Row],[order_fulfillment_rate]]&gt;=0.8,"Moderate","Needs Attention"))</f>
        <v>Moderate</v>
      </c>
      <c r="AE3184" t="str">
        <f>IF(WarehouseData[[#This Row],[picking_time_seconds]]&gt;120,"Slow",IF(WarehouseData[[#This Row],[picking_time_seconds]]&gt;=60,"Average","Fast"))</f>
        <v>Average</v>
      </c>
    </row>
    <row r="3185" spans="1:31" x14ac:dyDescent="0.25">
      <c r="A3185" t="s">
        <v>3323</v>
      </c>
      <c r="B3185" t="s">
        <v>40</v>
      </c>
      <c r="C3185">
        <v>388</v>
      </c>
      <c r="D3185">
        <v>80</v>
      </c>
      <c r="E3185">
        <v>12</v>
      </c>
      <c r="F3185">
        <v>5</v>
      </c>
      <c r="G3185">
        <v>16.77</v>
      </c>
      <c r="H3185">
        <v>8.02</v>
      </c>
      <c r="I3185">
        <v>0.86</v>
      </c>
      <c r="J3185" t="s">
        <v>51</v>
      </c>
      <c r="K3185" t="s">
        <v>52</v>
      </c>
      <c r="L3185">
        <v>89</v>
      </c>
      <c r="M3185">
        <v>0.85</v>
      </c>
      <c r="N3185">
        <v>42.1</v>
      </c>
      <c r="O3185">
        <v>0.16</v>
      </c>
      <c r="P3185">
        <v>7</v>
      </c>
      <c r="Q3185">
        <v>0.83</v>
      </c>
      <c r="R3185">
        <v>515</v>
      </c>
      <c r="S3185">
        <v>12.77</v>
      </c>
      <c r="T3185">
        <v>0.65</v>
      </c>
      <c r="U3185" s="1">
        <v>45425</v>
      </c>
      <c r="V3185">
        <v>140.63</v>
      </c>
      <c r="W3185">
        <v>0.71</v>
      </c>
      <c r="X3185" t="str">
        <f>IF(WarehouseData[[#This Row],[stock_level]]&lt;=WarehouseData[[#This Row],[reorder_point]],"Low Stock","Sufficient Stock")</f>
        <v>Sufficient Stock</v>
      </c>
      <c r="Y3185">
        <f>WarehouseData[[#This Row],[daily_demand]]*WarehouseData[[#This Row],[lead_time_days]]</f>
        <v>83.85</v>
      </c>
      <c r="Z3185" t="str">
        <f>IF(WarehouseData[[#This Row],[stock_level]]&lt;=WarehouseData[[#This Row],[Demand During Lead Time]],"At Risk","Safe")</f>
        <v>Safe</v>
      </c>
      <c r="AA3185">
        <f>WarehouseData[[#This Row],[stock_level]]/WarehouseData[[#This Row],[daily_demand]]</f>
        <v>23.13655336911151</v>
      </c>
      <c r="AB3185">
        <f>WarehouseData[[#This Row],[stock_level]]*WarehouseData[[#This Row],[unit_price]]</f>
        <v>16334.800000000001</v>
      </c>
      <c r="AC3185">
        <f>WarehouseData[[#This Row],[stock_level]]*WarehouseData[[#This Row],[holding_cost_per_unit_day]]*30</f>
        <v>1862.3999999999999</v>
      </c>
      <c r="AD3185" t="str">
        <f>IF(WarehouseData[[#This Row],[order_fulfillment_rate]]&gt;=0.9,"Strong",IF(WarehouseData[[#This Row],[order_fulfillment_rate]]&gt;=0.8,"Moderate","Needs Attention"))</f>
        <v>Moderate</v>
      </c>
      <c r="AE3185" t="str">
        <f>IF(WarehouseData[[#This Row],[picking_time_seconds]]&gt;120,"Slow",IF(WarehouseData[[#This Row],[picking_time_seconds]]&gt;=60,"Average","Fast"))</f>
        <v>Average</v>
      </c>
    </row>
    <row r="3186" spans="1:31" x14ac:dyDescent="0.25">
      <c r="A3186" t="s">
        <v>3324</v>
      </c>
      <c r="B3186" t="s">
        <v>40</v>
      </c>
      <c r="C3186">
        <v>445</v>
      </c>
      <c r="D3186">
        <v>80</v>
      </c>
      <c r="E3186">
        <v>5</v>
      </c>
      <c r="F3186">
        <v>4</v>
      </c>
      <c r="G3186">
        <v>18</v>
      </c>
      <c r="H3186">
        <v>4.95</v>
      </c>
      <c r="I3186">
        <v>0.66</v>
      </c>
      <c r="J3186" t="s">
        <v>316</v>
      </c>
      <c r="K3186" t="s">
        <v>34</v>
      </c>
      <c r="L3186">
        <v>104</v>
      </c>
      <c r="M3186">
        <v>4.0199999999999996</v>
      </c>
      <c r="N3186">
        <v>39.4</v>
      </c>
      <c r="O3186">
        <v>0.79</v>
      </c>
      <c r="P3186">
        <v>4</v>
      </c>
      <c r="Q3186">
        <v>0.82</v>
      </c>
      <c r="R3186">
        <v>891</v>
      </c>
      <c r="S3186">
        <v>4.8099999999999996</v>
      </c>
      <c r="T3186">
        <v>0.6</v>
      </c>
      <c r="U3186" s="1">
        <v>45476</v>
      </c>
      <c r="V3186">
        <v>25.41</v>
      </c>
      <c r="W3186">
        <v>0.58899999999999997</v>
      </c>
      <c r="X3186" t="str">
        <f>IF(WarehouseData[[#This Row],[stock_level]]&lt;=WarehouseData[[#This Row],[reorder_point]],"Low Stock","Sufficient Stock")</f>
        <v>Sufficient Stock</v>
      </c>
      <c r="Y3186">
        <f>WarehouseData[[#This Row],[daily_demand]]*WarehouseData[[#This Row],[lead_time_days]]</f>
        <v>72</v>
      </c>
      <c r="Z3186" t="str">
        <f>IF(WarehouseData[[#This Row],[stock_level]]&lt;=WarehouseData[[#This Row],[Demand During Lead Time]],"At Risk","Safe")</f>
        <v>Safe</v>
      </c>
      <c r="AA3186">
        <f>WarehouseData[[#This Row],[stock_level]]/WarehouseData[[#This Row],[daily_demand]]</f>
        <v>24.722222222222221</v>
      </c>
      <c r="AB3186">
        <f>WarehouseData[[#This Row],[stock_level]]*WarehouseData[[#This Row],[unit_price]]</f>
        <v>17533</v>
      </c>
      <c r="AC3186">
        <f>WarehouseData[[#This Row],[stock_level]]*WarehouseData[[#This Row],[holding_cost_per_unit_day]]*30</f>
        <v>10546.5</v>
      </c>
      <c r="AD3186" t="str">
        <f>IF(WarehouseData[[#This Row],[order_fulfillment_rate]]&gt;=0.9,"Strong",IF(WarehouseData[[#This Row],[order_fulfillment_rate]]&gt;=0.8,"Moderate","Needs Attention"))</f>
        <v>Moderate</v>
      </c>
      <c r="AE3186" t="str">
        <f>IF(WarehouseData[[#This Row],[picking_time_seconds]]&gt;120,"Slow",IF(WarehouseData[[#This Row],[picking_time_seconds]]&gt;=60,"Average","Fast"))</f>
        <v>Average</v>
      </c>
    </row>
    <row r="3187" spans="1:31" x14ac:dyDescent="0.25">
      <c r="A3187" t="s">
        <v>3325</v>
      </c>
      <c r="B3187" t="s">
        <v>40</v>
      </c>
      <c r="C3187">
        <v>239</v>
      </c>
      <c r="D3187">
        <v>33</v>
      </c>
      <c r="E3187">
        <v>8</v>
      </c>
      <c r="F3187">
        <v>3</v>
      </c>
      <c r="G3187">
        <v>11.21</v>
      </c>
      <c r="H3187">
        <v>6.96</v>
      </c>
      <c r="I3187">
        <v>0.26</v>
      </c>
      <c r="J3187" t="s">
        <v>158</v>
      </c>
      <c r="K3187" t="s">
        <v>38</v>
      </c>
      <c r="L3187">
        <v>78</v>
      </c>
      <c r="M3187">
        <v>4.66</v>
      </c>
      <c r="N3187">
        <v>156.72999999999999</v>
      </c>
      <c r="O3187">
        <v>1.56</v>
      </c>
      <c r="P3187">
        <v>5</v>
      </c>
      <c r="Q3187">
        <v>0.71</v>
      </c>
      <c r="R3187">
        <v>473</v>
      </c>
      <c r="S3187">
        <v>13.05</v>
      </c>
      <c r="T3187">
        <v>0.84</v>
      </c>
      <c r="U3187" s="1">
        <v>45476</v>
      </c>
      <c r="V3187">
        <v>231.9</v>
      </c>
      <c r="W3187">
        <v>0.628</v>
      </c>
      <c r="X3187" t="str">
        <f>IF(WarehouseData[[#This Row],[stock_level]]&lt;=WarehouseData[[#This Row],[reorder_point]],"Low Stock","Sufficient Stock")</f>
        <v>Sufficient Stock</v>
      </c>
      <c r="Y3187">
        <f>WarehouseData[[#This Row],[daily_demand]]*WarehouseData[[#This Row],[lead_time_days]]</f>
        <v>33.630000000000003</v>
      </c>
      <c r="Z3187" t="str">
        <f>IF(WarehouseData[[#This Row],[stock_level]]&lt;=WarehouseData[[#This Row],[Demand During Lead Time]],"At Risk","Safe")</f>
        <v>Safe</v>
      </c>
      <c r="AA3187">
        <f>WarehouseData[[#This Row],[stock_level]]/WarehouseData[[#This Row],[daily_demand]]</f>
        <v>21.320249776984834</v>
      </c>
      <c r="AB3187">
        <f>WarehouseData[[#This Row],[stock_level]]*WarehouseData[[#This Row],[unit_price]]</f>
        <v>37458.47</v>
      </c>
      <c r="AC3187">
        <f>WarehouseData[[#This Row],[stock_level]]*WarehouseData[[#This Row],[holding_cost_per_unit_day]]*30</f>
        <v>11185.2</v>
      </c>
      <c r="AD3187" t="str">
        <f>IF(WarehouseData[[#This Row],[order_fulfillment_rate]]&gt;=0.9,"Strong",IF(WarehouseData[[#This Row],[order_fulfillment_rate]]&gt;=0.8,"Moderate","Needs Attention"))</f>
        <v>Needs Attention</v>
      </c>
      <c r="AE3187" t="str">
        <f>IF(WarehouseData[[#This Row],[picking_time_seconds]]&gt;120,"Slow",IF(WarehouseData[[#This Row],[picking_time_seconds]]&gt;=60,"Average","Fast"))</f>
        <v>Average</v>
      </c>
    </row>
    <row r="3188" spans="1:31" x14ac:dyDescent="0.25">
      <c r="A3188" t="s">
        <v>3326</v>
      </c>
      <c r="B3188" t="s">
        <v>36</v>
      </c>
      <c r="C3188">
        <v>84</v>
      </c>
      <c r="D3188">
        <v>20</v>
      </c>
      <c r="E3188">
        <v>9</v>
      </c>
      <c r="F3188">
        <v>4</v>
      </c>
      <c r="G3188">
        <v>22.84</v>
      </c>
      <c r="H3188">
        <v>6.4</v>
      </c>
      <c r="I3188">
        <v>0.28999999999999998</v>
      </c>
      <c r="J3188" t="s">
        <v>240</v>
      </c>
      <c r="K3188" t="s">
        <v>46</v>
      </c>
      <c r="L3188">
        <v>123</v>
      </c>
      <c r="M3188">
        <v>3.03</v>
      </c>
      <c r="N3188">
        <v>60.64</v>
      </c>
      <c r="O3188">
        <v>0.75</v>
      </c>
      <c r="P3188">
        <v>9</v>
      </c>
      <c r="Q3188">
        <v>0.86</v>
      </c>
      <c r="R3188">
        <v>362</v>
      </c>
      <c r="S3188">
        <v>1.1100000000000001</v>
      </c>
      <c r="T3188">
        <v>0.31</v>
      </c>
      <c r="U3188" s="1">
        <v>45578</v>
      </c>
      <c r="V3188">
        <v>258.94</v>
      </c>
      <c r="W3188">
        <v>0.39400000000000002</v>
      </c>
      <c r="X3188" t="str">
        <f>IF(WarehouseData[[#This Row],[stock_level]]&lt;=WarehouseData[[#This Row],[reorder_point]],"Low Stock","Sufficient Stock")</f>
        <v>Sufficient Stock</v>
      </c>
      <c r="Y3188">
        <f>WarehouseData[[#This Row],[daily_demand]]*WarehouseData[[#This Row],[lead_time_days]]</f>
        <v>91.36</v>
      </c>
      <c r="Z3188" t="str">
        <f>IF(WarehouseData[[#This Row],[stock_level]]&lt;=WarehouseData[[#This Row],[Demand During Lead Time]],"At Risk","Safe")</f>
        <v>At Risk</v>
      </c>
      <c r="AA3188">
        <f>WarehouseData[[#This Row],[stock_level]]/WarehouseData[[#This Row],[daily_demand]]</f>
        <v>3.6777583187390541</v>
      </c>
      <c r="AB3188">
        <f>WarehouseData[[#This Row],[stock_level]]*WarehouseData[[#This Row],[unit_price]]</f>
        <v>5093.76</v>
      </c>
      <c r="AC3188">
        <f>WarehouseData[[#This Row],[stock_level]]*WarehouseData[[#This Row],[holding_cost_per_unit_day]]*30</f>
        <v>1890</v>
      </c>
      <c r="AD3188" t="str">
        <f>IF(WarehouseData[[#This Row],[order_fulfillment_rate]]&gt;=0.9,"Strong",IF(WarehouseData[[#This Row],[order_fulfillment_rate]]&gt;=0.8,"Moderate","Needs Attention"))</f>
        <v>Moderate</v>
      </c>
      <c r="AE3188" t="str">
        <f>IF(WarehouseData[[#This Row],[picking_time_seconds]]&gt;120,"Slow",IF(WarehouseData[[#This Row],[picking_time_seconds]]&gt;=60,"Average","Fast"))</f>
        <v>Slow</v>
      </c>
    </row>
    <row r="3189" spans="1:31" x14ac:dyDescent="0.25">
      <c r="A3189" t="s">
        <v>3327</v>
      </c>
      <c r="B3189" t="s">
        <v>36</v>
      </c>
      <c r="C3189">
        <v>374</v>
      </c>
      <c r="D3189">
        <v>82</v>
      </c>
      <c r="E3189">
        <v>9</v>
      </c>
      <c r="F3189">
        <v>6</v>
      </c>
      <c r="G3189">
        <v>3.55</v>
      </c>
      <c r="H3189">
        <v>7.17</v>
      </c>
      <c r="I3189">
        <v>0.11</v>
      </c>
      <c r="J3189" t="s">
        <v>202</v>
      </c>
      <c r="K3189" t="s">
        <v>46</v>
      </c>
      <c r="L3189">
        <v>113</v>
      </c>
      <c r="M3189">
        <v>1.1299999999999999</v>
      </c>
      <c r="N3189">
        <v>81.400000000000006</v>
      </c>
      <c r="O3189">
        <v>0.92</v>
      </c>
      <c r="P3189">
        <v>1</v>
      </c>
      <c r="Q3189">
        <v>0.72</v>
      </c>
      <c r="R3189">
        <v>572</v>
      </c>
      <c r="S3189">
        <v>14.08</v>
      </c>
      <c r="T3189">
        <v>0.75</v>
      </c>
      <c r="U3189" s="1">
        <v>45577</v>
      </c>
      <c r="V3189">
        <v>244.78</v>
      </c>
      <c r="W3189">
        <v>0.77</v>
      </c>
      <c r="X3189" t="str">
        <f>IF(WarehouseData[[#This Row],[stock_level]]&lt;=WarehouseData[[#This Row],[reorder_point]],"Low Stock","Sufficient Stock")</f>
        <v>Sufficient Stock</v>
      </c>
      <c r="Y3189">
        <f>WarehouseData[[#This Row],[daily_demand]]*WarehouseData[[#This Row],[lead_time_days]]</f>
        <v>21.299999999999997</v>
      </c>
      <c r="Z3189" t="str">
        <f>IF(WarehouseData[[#This Row],[stock_level]]&lt;=WarehouseData[[#This Row],[Demand During Lead Time]],"At Risk","Safe")</f>
        <v>Safe</v>
      </c>
      <c r="AA3189">
        <f>WarehouseData[[#This Row],[stock_level]]/WarehouseData[[#This Row],[daily_demand]]</f>
        <v>105.35211267605634</v>
      </c>
      <c r="AB3189">
        <f>WarehouseData[[#This Row],[stock_level]]*WarehouseData[[#This Row],[unit_price]]</f>
        <v>30443.600000000002</v>
      </c>
      <c r="AC3189">
        <f>WarehouseData[[#This Row],[stock_level]]*WarehouseData[[#This Row],[holding_cost_per_unit_day]]*30</f>
        <v>10322.400000000001</v>
      </c>
      <c r="AD3189" t="str">
        <f>IF(WarehouseData[[#This Row],[order_fulfillment_rate]]&gt;=0.9,"Strong",IF(WarehouseData[[#This Row],[order_fulfillment_rate]]&gt;=0.8,"Moderate","Needs Attention"))</f>
        <v>Needs Attention</v>
      </c>
      <c r="AE3189" t="str">
        <f>IF(WarehouseData[[#This Row],[picking_time_seconds]]&gt;120,"Slow",IF(WarehouseData[[#This Row],[picking_time_seconds]]&gt;=60,"Average","Fast"))</f>
        <v>Average</v>
      </c>
    </row>
    <row r="3190" spans="1:31" x14ac:dyDescent="0.25">
      <c r="A3190" t="s">
        <v>3328</v>
      </c>
      <c r="B3190" t="s">
        <v>36</v>
      </c>
      <c r="C3190">
        <v>251</v>
      </c>
      <c r="D3190">
        <v>21</v>
      </c>
      <c r="E3190">
        <v>4</v>
      </c>
      <c r="F3190">
        <v>3</v>
      </c>
      <c r="G3190">
        <v>15.72</v>
      </c>
      <c r="H3190">
        <v>7.96</v>
      </c>
      <c r="I3190">
        <v>0.74</v>
      </c>
      <c r="J3190" t="s">
        <v>217</v>
      </c>
      <c r="K3190" t="s">
        <v>34</v>
      </c>
      <c r="L3190">
        <v>117</v>
      </c>
      <c r="M3190">
        <v>3.01</v>
      </c>
      <c r="N3190">
        <v>148.69999999999999</v>
      </c>
      <c r="O3190">
        <v>1.82</v>
      </c>
      <c r="P3190">
        <v>8</v>
      </c>
      <c r="Q3190">
        <v>0.94</v>
      </c>
      <c r="R3190">
        <v>473</v>
      </c>
      <c r="S3190">
        <v>11.44</v>
      </c>
      <c r="T3190">
        <v>0.68</v>
      </c>
      <c r="U3190" s="1">
        <v>45423</v>
      </c>
      <c r="V3190">
        <v>223.34</v>
      </c>
      <c r="W3190">
        <v>0.53500000000000003</v>
      </c>
      <c r="X3190" t="str">
        <f>IF(WarehouseData[[#This Row],[stock_level]]&lt;=WarehouseData[[#This Row],[reorder_point]],"Low Stock","Sufficient Stock")</f>
        <v>Sufficient Stock</v>
      </c>
      <c r="Y3190">
        <f>WarehouseData[[#This Row],[daily_demand]]*WarehouseData[[#This Row],[lead_time_days]]</f>
        <v>47.160000000000004</v>
      </c>
      <c r="Z3190" t="str">
        <f>IF(WarehouseData[[#This Row],[stock_level]]&lt;=WarehouseData[[#This Row],[Demand During Lead Time]],"At Risk","Safe")</f>
        <v>Safe</v>
      </c>
      <c r="AA3190">
        <f>WarehouseData[[#This Row],[stock_level]]/WarehouseData[[#This Row],[daily_demand]]</f>
        <v>15.966921119592875</v>
      </c>
      <c r="AB3190">
        <f>WarehouseData[[#This Row],[stock_level]]*WarehouseData[[#This Row],[unit_price]]</f>
        <v>37323.699999999997</v>
      </c>
      <c r="AC3190">
        <f>WarehouseData[[#This Row],[stock_level]]*WarehouseData[[#This Row],[holding_cost_per_unit_day]]*30</f>
        <v>13704.6</v>
      </c>
      <c r="AD3190" t="str">
        <f>IF(WarehouseData[[#This Row],[order_fulfillment_rate]]&gt;=0.9,"Strong",IF(WarehouseData[[#This Row],[order_fulfillment_rate]]&gt;=0.8,"Moderate","Needs Attention"))</f>
        <v>Strong</v>
      </c>
      <c r="AE3190" t="str">
        <f>IF(WarehouseData[[#This Row],[picking_time_seconds]]&gt;120,"Slow",IF(WarehouseData[[#This Row],[picking_time_seconds]]&gt;=60,"Average","Fast"))</f>
        <v>Average</v>
      </c>
    </row>
    <row r="3191" spans="1:31" x14ac:dyDescent="0.25">
      <c r="A3191" t="s">
        <v>3329</v>
      </c>
      <c r="B3191" t="s">
        <v>48</v>
      </c>
      <c r="C3191">
        <v>347</v>
      </c>
      <c r="D3191">
        <v>44</v>
      </c>
      <c r="E3191">
        <v>5</v>
      </c>
      <c r="F3191">
        <v>6</v>
      </c>
      <c r="G3191">
        <v>26.83</v>
      </c>
      <c r="H3191">
        <v>5.37</v>
      </c>
      <c r="I3191">
        <v>0.54</v>
      </c>
      <c r="J3191" t="s">
        <v>84</v>
      </c>
      <c r="K3191" t="s">
        <v>38</v>
      </c>
      <c r="L3191">
        <v>98</v>
      </c>
      <c r="M3191">
        <v>3.97</v>
      </c>
      <c r="N3191">
        <v>44.11</v>
      </c>
      <c r="O3191">
        <v>0.23</v>
      </c>
      <c r="P3191">
        <v>7</v>
      </c>
      <c r="Q3191">
        <v>0.91</v>
      </c>
      <c r="R3191">
        <v>665</v>
      </c>
      <c r="S3191">
        <v>6.78</v>
      </c>
      <c r="T3191">
        <v>0.76</v>
      </c>
      <c r="U3191" s="1">
        <v>45468</v>
      </c>
      <c r="V3191">
        <v>291.13</v>
      </c>
      <c r="W3191">
        <v>0.66100000000000003</v>
      </c>
      <c r="X3191" t="str">
        <f>IF(WarehouseData[[#This Row],[stock_level]]&lt;=WarehouseData[[#This Row],[reorder_point]],"Low Stock","Sufficient Stock")</f>
        <v>Sufficient Stock</v>
      </c>
      <c r="Y3191">
        <f>WarehouseData[[#This Row],[daily_demand]]*WarehouseData[[#This Row],[lead_time_days]]</f>
        <v>160.97999999999999</v>
      </c>
      <c r="Z3191" t="str">
        <f>IF(WarehouseData[[#This Row],[stock_level]]&lt;=WarehouseData[[#This Row],[Demand During Lead Time]],"At Risk","Safe")</f>
        <v>Safe</v>
      </c>
      <c r="AA3191">
        <f>WarehouseData[[#This Row],[stock_level]]/WarehouseData[[#This Row],[daily_demand]]</f>
        <v>12.933283637718972</v>
      </c>
      <c r="AB3191">
        <f>WarehouseData[[#This Row],[stock_level]]*WarehouseData[[#This Row],[unit_price]]</f>
        <v>15306.17</v>
      </c>
      <c r="AC3191">
        <f>WarehouseData[[#This Row],[stock_level]]*WarehouseData[[#This Row],[holding_cost_per_unit_day]]*30</f>
        <v>2394.3000000000002</v>
      </c>
      <c r="AD3191" t="str">
        <f>IF(WarehouseData[[#This Row],[order_fulfillment_rate]]&gt;=0.9,"Strong",IF(WarehouseData[[#This Row],[order_fulfillment_rate]]&gt;=0.8,"Moderate","Needs Attention"))</f>
        <v>Strong</v>
      </c>
      <c r="AE3191" t="str">
        <f>IF(WarehouseData[[#This Row],[picking_time_seconds]]&gt;120,"Slow",IF(WarehouseData[[#This Row],[picking_time_seconds]]&gt;=60,"Average","Fast"))</f>
        <v>Average</v>
      </c>
    </row>
    <row r="3192" spans="1:31" x14ac:dyDescent="0.25">
      <c r="A3192" t="s">
        <v>3330</v>
      </c>
      <c r="B3192" t="s">
        <v>36</v>
      </c>
      <c r="C3192">
        <v>462</v>
      </c>
      <c r="D3192">
        <v>72</v>
      </c>
      <c r="E3192">
        <v>14</v>
      </c>
      <c r="F3192">
        <v>2</v>
      </c>
      <c r="G3192">
        <v>23.82</v>
      </c>
      <c r="H3192">
        <v>8.2200000000000006</v>
      </c>
      <c r="I3192">
        <v>0.95</v>
      </c>
      <c r="J3192" t="s">
        <v>418</v>
      </c>
      <c r="K3192" t="s">
        <v>46</v>
      </c>
      <c r="L3192">
        <v>30</v>
      </c>
      <c r="M3192">
        <v>3.73</v>
      </c>
      <c r="N3192">
        <v>111.03</v>
      </c>
      <c r="O3192">
        <v>1.1000000000000001</v>
      </c>
      <c r="P3192">
        <v>7</v>
      </c>
      <c r="Q3192">
        <v>0.81</v>
      </c>
      <c r="R3192">
        <v>224</v>
      </c>
      <c r="S3192">
        <v>9.08</v>
      </c>
      <c r="T3192">
        <v>0.7</v>
      </c>
      <c r="U3192" s="1">
        <v>45302</v>
      </c>
      <c r="V3192">
        <v>256.24</v>
      </c>
      <c r="W3192">
        <v>0.57299999999999995</v>
      </c>
      <c r="X3192" t="str">
        <f>IF(WarehouseData[[#This Row],[stock_level]]&lt;=WarehouseData[[#This Row],[reorder_point]],"Low Stock","Sufficient Stock")</f>
        <v>Sufficient Stock</v>
      </c>
      <c r="Y3192">
        <f>WarehouseData[[#This Row],[daily_demand]]*WarehouseData[[#This Row],[lead_time_days]]</f>
        <v>47.64</v>
      </c>
      <c r="Z3192" t="str">
        <f>IF(WarehouseData[[#This Row],[stock_level]]&lt;=WarehouseData[[#This Row],[Demand During Lead Time]],"At Risk","Safe")</f>
        <v>Safe</v>
      </c>
      <c r="AA3192">
        <f>WarehouseData[[#This Row],[stock_level]]/WarehouseData[[#This Row],[daily_demand]]</f>
        <v>19.395465994962215</v>
      </c>
      <c r="AB3192">
        <f>WarehouseData[[#This Row],[stock_level]]*WarehouseData[[#This Row],[unit_price]]</f>
        <v>51295.86</v>
      </c>
      <c r="AC3192">
        <f>WarehouseData[[#This Row],[stock_level]]*WarehouseData[[#This Row],[holding_cost_per_unit_day]]*30</f>
        <v>15246.000000000002</v>
      </c>
      <c r="AD3192" t="str">
        <f>IF(WarehouseData[[#This Row],[order_fulfillment_rate]]&gt;=0.9,"Strong",IF(WarehouseData[[#This Row],[order_fulfillment_rate]]&gt;=0.8,"Moderate","Needs Attention"))</f>
        <v>Moderate</v>
      </c>
      <c r="AE3192" t="str">
        <f>IF(WarehouseData[[#This Row],[picking_time_seconds]]&gt;120,"Slow",IF(WarehouseData[[#This Row],[picking_time_seconds]]&gt;=60,"Average","Fast"))</f>
        <v>Fast</v>
      </c>
    </row>
    <row r="3193" spans="1:31" x14ac:dyDescent="0.25">
      <c r="A3193" t="s">
        <v>3331</v>
      </c>
      <c r="B3193" t="s">
        <v>40</v>
      </c>
      <c r="C3193">
        <v>71</v>
      </c>
      <c r="D3193">
        <v>77</v>
      </c>
      <c r="E3193">
        <v>12</v>
      </c>
      <c r="F3193">
        <v>4</v>
      </c>
      <c r="G3193">
        <v>49.98</v>
      </c>
      <c r="H3193">
        <v>5.22</v>
      </c>
      <c r="I3193">
        <v>0.74</v>
      </c>
      <c r="J3193" t="s">
        <v>95</v>
      </c>
      <c r="K3193" t="s">
        <v>38</v>
      </c>
      <c r="L3193">
        <v>140</v>
      </c>
      <c r="M3193">
        <v>3.84</v>
      </c>
      <c r="N3193">
        <v>184.39</v>
      </c>
      <c r="O3193">
        <v>0.8</v>
      </c>
      <c r="P3193">
        <v>9</v>
      </c>
      <c r="Q3193">
        <v>0.89</v>
      </c>
      <c r="R3193">
        <v>947</v>
      </c>
      <c r="S3193">
        <v>14.06</v>
      </c>
      <c r="T3193">
        <v>0.65</v>
      </c>
      <c r="U3193" s="1">
        <v>45502</v>
      </c>
      <c r="V3193">
        <v>279.08</v>
      </c>
      <c r="W3193">
        <v>0.63500000000000001</v>
      </c>
      <c r="X3193" t="str">
        <f>IF(WarehouseData[[#This Row],[stock_level]]&lt;=WarehouseData[[#This Row],[reorder_point]],"Low Stock","Sufficient Stock")</f>
        <v>Low Stock</v>
      </c>
      <c r="Y3193">
        <f>WarehouseData[[#This Row],[daily_demand]]*WarehouseData[[#This Row],[lead_time_days]]</f>
        <v>199.92</v>
      </c>
      <c r="Z3193" t="str">
        <f>IF(WarehouseData[[#This Row],[stock_level]]&lt;=WarehouseData[[#This Row],[Demand During Lead Time]],"At Risk","Safe")</f>
        <v>At Risk</v>
      </c>
      <c r="AA3193">
        <f>WarehouseData[[#This Row],[stock_level]]/WarehouseData[[#This Row],[daily_demand]]</f>
        <v>1.4205682272909164</v>
      </c>
      <c r="AB3193">
        <f>WarehouseData[[#This Row],[stock_level]]*WarehouseData[[#This Row],[unit_price]]</f>
        <v>13091.689999999999</v>
      </c>
      <c r="AC3193">
        <f>WarehouseData[[#This Row],[stock_level]]*WarehouseData[[#This Row],[holding_cost_per_unit_day]]*30</f>
        <v>1704.0000000000002</v>
      </c>
      <c r="AD3193" t="str">
        <f>IF(WarehouseData[[#This Row],[order_fulfillment_rate]]&gt;=0.9,"Strong",IF(WarehouseData[[#This Row],[order_fulfillment_rate]]&gt;=0.8,"Moderate","Needs Attention"))</f>
        <v>Moderate</v>
      </c>
      <c r="AE3193" t="str">
        <f>IF(WarehouseData[[#This Row],[picking_time_seconds]]&gt;120,"Slow",IF(WarehouseData[[#This Row],[picking_time_seconds]]&gt;=60,"Average","Fast"))</f>
        <v>Slow</v>
      </c>
    </row>
    <row r="3194" spans="1:31" x14ac:dyDescent="0.25">
      <c r="A3194" t="s">
        <v>3332</v>
      </c>
      <c r="B3194" t="s">
        <v>40</v>
      </c>
      <c r="C3194">
        <v>393</v>
      </c>
      <c r="D3194">
        <v>66</v>
      </c>
      <c r="E3194">
        <v>12</v>
      </c>
      <c r="F3194">
        <v>5</v>
      </c>
      <c r="G3194">
        <v>20.05</v>
      </c>
      <c r="H3194">
        <v>9.59</v>
      </c>
      <c r="I3194">
        <v>0.19</v>
      </c>
      <c r="J3194" t="s">
        <v>84</v>
      </c>
      <c r="K3194" t="s">
        <v>52</v>
      </c>
      <c r="L3194">
        <v>19</v>
      </c>
      <c r="M3194">
        <v>1.76</v>
      </c>
      <c r="N3194">
        <v>115.23</v>
      </c>
      <c r="O3194">
        <v>1.93</v>
      </c>
      <c r="P3194">
        <v>4</v>
      </c>
      <c r="Q3194">
        <v>0.77</v>
      </c>
      <c r="R3194">
        <v>997</v>
      </c>
      <c r="S3194">
        <v>9.16</v>
      </c>
      <c r="T3194">
        <v>0.94</v>
      </c>
      <c r="U3194" s="1">
        <v>45354</v>
      </c>
      <c r="V3194">
        <v>221.84</v>
      </c>
      <c r="W3194">
        <v>0.59099999999999997</v>
      </c>
      <c r="X3194" t="str">
        <f>IF(WarehouseData[[#This Row],[stock_level]]&lt;=WarehouseData[[#This Row],[reorder_point]],"Low Stock","Sufficient Stock")</f>
        <v>Sufficient Stock</v>
      </c>
      <c r="Y3194">
        <f>WarehouseData[[#This Row],[daily_demand]]*WarehouseData[[#This Row],[lead_time_days]]</f>
        <v>100.25</v>
      </c>
      <c r="Z3194" t="str">
        <f>IF(WarehouseData[[#This Row],[stock_level]]&lt;=WarehouseData[[#This Row],[Demand During Lead Time]],"At Risk","Safe")</f>
        <v>Safe</v>
      </c>
      <c r="AA3194">
        <f>WarehouseData[[#This Row],[stock_level]]/WarehouseData[[#This Row],[daily_demand]]</f>
        <v>19.600997506234414</v>
      </c>
      <c r="AB3194">
        <f>WarehouseData[[#This Row],[stock_level]]*WarehouseData[[#This Row],[unit_price]]</f>
        <v>45285.39</v>
      </c>
      <c r="AC3194">
        <f>WarehouseData[[#This Row],[stock_level]]*WarehouseData[[#This Row],[holding_cost_per_unit_day]]*30</f>
        <v>22754.7</v>
      </c>
      <c r="AD3194" t="str">
        <f>IF(WarehouseData[[#This Row],[order_fulfillment_rate]]&gt;=0.9,"Strong",IF(WarehouseData[[#This Row],[order_fulfillment_rate]]&gt;=0.8,"Moderate","Needs Attention"))</f>
        <v>Needs Attention</v>
      </c>
      <c r="AE3194" t="str">
        <f>IF(WarehouseData[[#This Row],[picking_time_seconds]]&gt;120,"Slow",IF(WarehouseData[[#This Row],[picking_time_seconds]]&gt;=60,"Average","Fast"))</f>
        <v>Fast</v>
      </c>
    </row>
    <row r="3195" spans="1:31" x14ac:dyDescent="0.25">
      <c r="A3195" t="s">
        <v>3333</v>
      </c>
      <c r="B3195" t="s">
        <v>48</v>
      </c>
      <c r="C3195">
        <v>450</v>
      </c>
      <c r="D3195">
        <v>22</v>
      </c>
      <c r="E3195">
        <v>6</v>
      </c>
      <c r="F3195">
        <v>3</v>
      </c>
      <c r="G3195">
        <v>19.96</v>
      </c>
      <c r="H3195">
        <v>7.65</v>
      </c>
      <c r="I3195">
        <v>0.25</v>
      </c>
      <c r="J3195" t="s">
        <v>281</v>
      </c>
      <c r="K3195" t="s">
        <v>46</v>
      </c>
      <c r="L3195">
        <v>96</v>
      </c>
      <c r="M3195">
        <v>0.83</v>
      </c>
      <c r="N3195">
        <v>19.28</v>
      </c>
      <c r="O3195">
        <v>1.61</v>
      </c>
      <c r="P3195">
        <v>4</v>
      </c>
      <c r="Q3195">
        <v>0.78</v>
      </c>
      <c r="R3195">
        <v>423</v>
      </c>
      <c r="S3195">
        <v>4.2</v>
      </c>
      <c r="T3195">
        <v>0.48</v>
      </c>
      <c r="U3195" s="1">
        <v>45471</v>
      </c>
      <c r="V3195">
        <v>247.86</v>
      </c>
      <c r="W3195">
        <v>0.46700000000000003</v>
      </c>
      <c r="X3195" t="str">
        <f>IF(WarehouseData[[#This Row],[stock_level]]&lt;=WarehouseData[[#This Row],[reorder_point]],"Low Stock","Sufficient Stock")</f>
        <v>Sufficient Stock</v>
      </c>
      <c r="Y3195">
        <f>WarehouseData[[#This Row],[daily_demand]]*WarehouseData[[#This Row],[lead_time_days]]</f>
        <v>59.88</v>
      </c>
      <c r="Z3195" t="str">
        <f>IF(WarehouseData[[#This Row],[stock_level]]&lt;=WarehouseData[[#This Row],[Demand During Lead Time]],"At Risk","Safe")</f>
        <v>Safe</v>
      </c>
      <c r="AA3195">
        <f>WarehouseData[[#This Row],[stock_level]]/WarehouseData[[#This Row],[daily_demand]]</f>
        <v>22.54509018036072</v>
      </c>
      <c r="AB3195">
        <f>WarehouseData[[#This Row],[stock_level]]*WarehouseData[[#This Row],[unit_price]]</f>
        <v>8676</v>
      </c>
      <c r="AC3195">
        <f>WarehouseData[[#This Row],[stock_level]]*WarehouseData[[#This Row],[holding_cost_per_unit_day]]*30</f>
        <v>21735</v>
      </c>
      <c r="AD3195" t="str">
        <f>IF(WarehouseData[[#This Row],[order_fulfillment_rate]]&gt;=0.9,"Strong",IF(WarehouseData[[#This Row],[order_fulfillment_rate]]&gt;=0.8,"Moderate","Needs Attention"))</f>
        <v>Needs Attention</v>
      </c>
      <c r="AE3195" t="str">
        <f>IF(WarehouseData[[#This Row],[picking_time_seconds]]&gt;120,"Slow",IF(WarehouseData[[#This Row],[picking_time_seconds]]&gt;=60,"Average","Fast"))</f>
        <v>Average</v>
      </c>
    </row>
    <row r="3196" spans="1:31" x14ac:dyDescent="0.25">
      <c r="A3196" t="s">
        <v>3334</v>
      </c>
      <c r="B3196" t="s">
        <v>48</v>
      </c>
      <c r="C3196">
        <v>395</v>
      </c>
      <c r="D3196">
        <v>32</v>
      </c>
      <c r="E3196">
        <v>9</v>
      </c>
      <c r="F3196">
        <v>4</v>
      </c>
      <c r="G3196">
        <v>25.68</v>
      </c>
      <c r="H3196">
        <v>2.13</v>
      </c>
      <c r="I3196">
        <v>0.55000000000000004</v>
      </c>
      <c r="J3196" t="s">
        <v>54</v>
      </c>
      <c r="K3196" t="s">
        <v>34</v>
      </c>
      <c r="L3196">
        <v>179</v>
      </c>
      <c r="M3196">
        <v>1.17</v>
      </c>
      <c r="N3196">
        <v>122.04</v>
      </c>
      <c r="O3196">
        <v>0.33</v>
      </c>
      <c r="P3196">
        <v>2</v>
      </c>
      <c r="Q3196">
        <v>0.79</v>
      </c>
      <c r="R3196">
        <v>681</v>
      </c>
      <c r="S3196">
        <v>9.02</v>
      </c>
      <c r="T3196">
        <v>0.35</v>
      </c>
      <c r="U3196" s="1">
        <v>45639</v>
      </c>
      <c r="V3196">
        <v>93.86</v>
      </c>
      <c r="W3196">
        <v>0.67500000000000004</v>
      </c>
      <c r="X3196" t="str">
        <f>IF(WarehouseData[[#This Row],[stock_level]]&lt;=WarehouseData[[#This Row],[reorder_point]],"Low Stock","Sufficient Stock")</f>
        <v>Sufficient Stock</v>
      </c>
      <c r="Y3196">
        <f>WarehouseData[[#This Row],[daily_demand]]*WarehouseData[[#This Row],[lead_time_days]]</f>
        <v>102.72</v>
      </c>
      <c r="Z3196" t="str">
        <f>IF(WarehouseData[[#This Row],[stock_level]]&lt;=WarehouseData[[#This Row],[Demand During Lead Time]],"At Risk","Safe")</f>
        <v>Safe</v>
      </c>
      <c r="AA3196">
        <f>WarehouseData[[#This Row],[stock_level]]/WarehouseData[[#This Row],[daily_demand]]</f>
        <v>15.381619937694705</v>
      </c>
      <c r="AB3196">
        <f>WarehouseData[[#This Row],[stock_level]]*WarehouseData[[#This Row],[unit_price]]</f>
        <v>48205.8</v>
      </c>
      <c r="AC3196">
        <f>WarehouseData[[#This Row],[stock_level]]*WarehouseData[[#This Row],[holding_cost_per_unit_day]]*30</f>
        <v>3910.5</v>
      </c>
      <c r="AD3196" t="str">
        <f>IF(WarehouseData[[#This Row],[order_fulfillment_rate]]&gt;=0.9,"Strong",IF(WarehouseData[[#This Row],[order_fulfillment_rate]]&gt;=0.8,"Moderate","Needs Attention"))</f>
        <v>Needs Attention</v>
      </c>
      <c r="AE3196" t="str">
        <f>IF(WarehouseData[[#This Row],[picking_time_seconds]]&gt;120,"Slow",IF(WarehouseData[[#This Row],[picking_time_seconds]]&gt;=60,"Average","Fast"))</f>
        <v>Slow</v>
      </c>
    </row>
    <row r="3197" spans="1:31" x14ac:dyDescent="0.25">
      <c r="A3197" t="s">
        <v>3335</v>
      </c>
      <c r="B3197" t="s">
        <v>36</v>
      </c>
      <c r="C3197">
        <v>282</v>
      </c>
      <c r="D3197">
        <v>92</v>
      </c>
      <c r="E3197">
        <v>4</v>
      </c>
      <c r="F3197">
        <v>5</v>
      </c>
      <c r="G3197">
        <v>10.32</v>
      </c>
      <c r="H3197">
        <v>8.3800000000000008</v>
      </c>
      <c r="I3197">
        <v>0.93</v>
      </c>
      <c r="J3197" t="s">
        <v>276</v>
      </c>
      <c r="K3197" t="s">
        <v>46</v>
      </c>
      <c r="L3197">
        <v>100</v>
      </c>
      <c r="M3197">
        <v>4.8</v>
      </c>
      <c r="N3197">
        <v>27.13</v>
      </c>
      <c r="O3197">
        <v>1.86</v>
      </c>
      <c r="P3197">
        <v>1</v>
      </c>
      <c r="Q3197">
        <v>0.94</v>
      </c>
      <c r="R3197">
        <v>286</v>
      </c>
      <c r="S3197">
        <v>13.2</v>
      </c>
      <c r="T3197">
        <v>0.84</v>
      </c>
      <c r="U3197" s="1">
        <v>45602</v>
      </c>
      <c r="V3197">
        <v>203.98</v>
      </c>
      <c r="W3197">
        <v>0.72599999999999998</v>
      </c>
      <c r="X3197" t="str">
        <f>IF(WarehouseData[[#This Row],[stock_level]]&lt;=WarehouseData[[#This Row],[reorder_point]],"Low Stock","Sufficient Stock")</f>
        <v>Sufficient Stock</v>
      </c>
      <c r="Y3197">
        <f>WarehouseData[[#This Row],[daily_demand]]*WarehouseData[[#This Row],[lead_time_days]]</f>
        <v>51.6</v>
      </c>
      <c r="Z3197" t="str">
        <f>IF(WarehouseData[[#This Row],[stock_level]]&lt;=WarehouseData[[#This Row],[Demand During Lead Time]],"At Risk","Safe")</f>
        <v>Safe</v>
      </c>
      <c r="AA3197">
        <f>WarehouseData[[#This Row],[stock_level]]/WarehouseData[[#This Row],[daily_demand]]</f>
        <v>27.325581395348838</v>
      </c>
      <c r="AB3197">
        <f>WarehouseData[[#This Row],[stock_level]]*WarehouseData[[#This Row],[unit_price]]</f>
        <v>7650.66</v>
      </c>
      <c r="AC3197">
        <f>WarehouseData[[#This Row],[stock_level]]*WarehouseData[[#This Row],[holding_cost_per_unit_day]]*30</f>
        <v>15735.599999999999</v>
      </c>
      <c r="AD3197" t="str">
        <f>IF(WarehouseData[[#This Row],[order_fulfillment_rate]]&gt;=0.9,"Strong",IF(WarehouseData[[#This Row],[order_fulfillment_rate]]&gt;=0.8,"Moderate","Needs Attention"))</f>
        <v>Strong</v>
      </c>
      <c r="AE3197" t="str">
        <f>IF(WarehouseData[[#This Row],[picking_time_seconds]]&gt;120,"Slow",IF(WarehouseData[[#This Row],[picking_time_seconds]]&gt;=60,"Average","Fast"))</f>
        <v>Average</v>
      </c>
    </row>
    <row r="3198" spans="1:31" x14ac:dyDescent="0.25">
      <c r="A3198" t="s">
        <v>3336</v>
      </c>
      <c r="B3198" t="s">
        <v>32</v>
      </c>
      <c r="C3198">
        <v>286</v>
      </c>
      <c r="D3198">
        <v>48</v>
      </c>
      <c r="E3198">
        <v>5</v>
      </c>
      <c r="F3198">
        <v>2</v>
      </c>
      <c r="G3198">
        <v>43.94</v>
      </c>
      <c r="H3198">
        <v>5.74</v>
      </c>
      <c r="I3198">
        <v>0.32</v>
      </c>
      <c r="J3198" t="s">
        <v>49</v>
      </c>
      <c r="K3198" t="s">
        <v>34</v>
      </c>
      <c r="L3198">
        <v>146</v>
      </c>
      <c r="M3198">
        <v>3.26</v>
      </c>
      <c r="N3198">
        <v>63.6</v>
      </c>
      <c r="O3198">
        <v>0.5</v>
      </c>
      <c r="P3198">
        <v>8</v>
      </c>
      <c r="Q3198">
        <v>0.76</v>
      </c>
      <c r="R3198">
        <v>797</v>
      </c>
      <c r="S3198">
        <v>14.82</v>
      </c>
      <c r="T3198">
        <v>0.3</v>
      </c>
      <c r="U3198" s="1">
        <v>45393</v>
      </c>
      <c r="V3198">
        <v>69.61</v>
      </c>
      <c r="W3198">
        <v>0.6</v>
      </c>
      <c r="X3198" t="str">
        <f>IF(WarehouseData[[#This Row],[stock_level]]&lt;=WarehouseData[[#This Row],[reorder_point]],"Low Stock","Sufficient Stock")</f>
        <v>Sufficient Stock</v>
      </c>
      <c r="Y3198">
        <f>WarehouseData[[#This Row],[daily_demand]]*WarehouseData[[#This Row],[lead_time_days]]</f>
        <v>87.88</v>
      </c>
      <c r="Z3198" t="str">
        <f>IF(WarehouseData[[#This Row],[stock_level]]&lt;=WarehouseData[[#This Row],[Demand During Lead Time]],"At Risk","Safe")</f>
        <v>Safe</v>
      </c>
      <c r="AA3198">
        <f>WarehouseData[[#This Row],[stock_level]]/WarehouseData[[#This Row],[daily_demand]]</f>
        <v>6.5088757396449708</v>
      </c>
      <c r="AB3198">
        <f>WarehouseData[[#This Row],[stock_level]]*WarehouseData[[#This Row],[unit_price]]</f>
        <v>18189.600000000002</v>
      </c>
      <c r="AC3198">
        <f>WarehouseData[[#This Row],[stock_level]]*WarehouseData[[#This Row],[holding_cost_per_unit_day]]*30</f>
        <v>4290</v>
      </c>
      <c r="AD3198" t="str">
        <f>IF(WarehouseData[[#This Row],[order_fulfillment_rate]]&gt;=0.9,"Strong",IF(WarehouseData[[#This Row],[order_fulfillment_rate]]&gt;=0.8,"Moderate","Needs Attention"))</f>
        <v>Needs Attention</v>
      </c>
      <c r="AE3198" t="str">
        <f>IF(WarehouseData[[#This Row],[picking_time_seconds]]&gt;120,"Slow",IF(WarehouseData[[#This Row],[picking_time_seconds]]&gt;=60,"Average","Fast"))</f>
        <v>Slow</v>
      </c>
    </row>
    <row r="3199" spans="1:31" x14ac:dyDescent="0.25">
      <c r="A3199" t="s">
        <v>3337</v>
      </c>
      <c r="B3199" t="s">
        <v>48</v>
      </c>
      <c r="C3199">
        <v>378</v>
      </c>
      <c r="D3199">
        <v>97</v>
      </c>
      <c r="E3199">
        <v>9</v>
      </c>
      <c r="F3199">
        <v>3</v>
      </c>
      <c r="G3199">
        <v>29.04</v>
      </c>
      <c r="H3199">
        <v>9.85</v>
      </c>
      <c r="I3199">
        <v>0.84</v>
      </c>
      <c r="J3199" t="s">
        <v>283</v>
      </c>
      <c r="K3199" t="s">
        <v>34</v>
      </c>
      <c r="L3199">
        <v>132</v>
      </c>
      <c r="M3199">
        <v>3.78</v>
      </c>
      <c r="N3199">
        <v>171.44</v>
      </c>
      <c r="O3199">
        <v>0.26</v>
      </c>
      <c r="P3199">
        <v>5</v>
      </c>
      <c r="Q3199">
        <v>0.87</v>
      </c>
      <c r="R3199">
        <v>866</v>
      </c>
      <c r="S3199">
        <v>9.18</v>
      </c>
      <c r="T3199">
        <v>0.74</v>
      </c>
      <c r="U3199" s="1">
        <v>45587</v>
      </c>
      <c r="V3199">
        <v>30.09</v>
      </c>
      <c r="W3199">
        <v>0.71799999999999997</v>
      </c>
      <c r="X3199" t="str">
        <f>IF(WarehouseData[[#This Row],[stock_level]]&lt;=WarehouseData[[#This Row],[reorder_point]],"Low Stock","Sufficient Stock")</f>
        <v>Sufficient Stock</v>
      </c>
      <c r="Y3199">
        <f>WarehouseData[[#This Row],[daily_demand]]*WarehouseData[[#This Row],[lead_time_days]]</f>
        <v>87.12</v>
      </c>
      <c r="Z3199" t="str">
        <f>IF(WarehouseData[[#This Row],[stock_level]]&lt;=WarehouseData[[#This Row],[Demand During Lead Time]],"At Risk","Safe")</f>
        <v>Safe</v>
      </c>
      <c r="AA3199">
        <f>WarehouseData[[#This Row],[stock_level]]/WarehouseData[[#This Row],[daily_demand]]</f>
        <v>13.016528925619834</v>
      </c>
      <c r="AB3199">
        <f>WarehouseData[[#This Row],[stock_level]]*WarehouseData[[#This Row],[unit_price]]</f>
        <v>64804.32</v>
      </c>
      <c r="AC3199">
        <f>WarehouseData[[#This Row],[stock_level]]*WarehouseData[[#This Row],[holding_cost_per_unit_day]]*30</f>
        <v>2948.4</v>
      </c>
      <c r="AD3199" t="str">
        <f>IF(WarehouseData[[#This Row],[order_fulfillment_rate]]&gt;=0.9,"Strong",IF(WarehouseData[[#This Row],[order_fulfillment_rate]]&gt;=0.8,"Moderate","Needs Attention"))</f>
        <v>Moderate</v>
      </c>
      <c r="AE3199" t="str">
        <f>IF(WarehouseData[[#This Row],[picking_time_seconds]]&gt;120,"Slow",IF(WarehouseData[[#This Row],[picking_time_seconds]]&gt;=60,"Average","Fast"))</f>
        <v>Slow</v>
      </c>
    </row>
    <row r="3200" spans="1:31" x14ac:dyDescent="0.25">
      <c r="A3200" t="s">
        <v>3338</v>
      </c>
      <c r="B3200" t="s">
        <v>73</v>
      </c>
      <c r="C3200">
        <v>336</v>
      </c>
      <c r="D3200">
        <v>89</v>
      </c>
      <c r="E3200">
        <v>9</v>
      </c>
      <c r="F3200">
        <v>6</v>
      </c>
      <c r="G3200">
        <v>10.41</v>
      </c>
      <c r="H3200">
        <v>7.33</v>
      </c>
      <c r="I3200">
        <v>0.38</v>
      </c>
      <c r="J3200" t="s">
        <v>181</v>
      </c>
      <c r="K3200" t="s">
        <v>52</v>
      </c>
      <c r="L3200">
        <v>13</v>
      </c>
      <c r="M3200">
        <v>4.55</v>
      </c>
      <c r="N3200">
        <v>12.1</v>
      </c>
      <c r="O3200">
        <v>1.1299999999999999</v>
      </c>
      <c r="P3200">
        <v>7</v>
      </c>
      <c r="Q3200">
        <v>0.76</v>
      </c>
      <c r="R3200">
        <v>492</v>
      </c>
      <c r="S3200">
        <v>3.18</v>
      </c>
      <c r="T3200">
        <v>0.64</v>
      </c>
      <c r="U3200" s="1">
        <v>45586</v>
      </c>
      <c r="V3200">
        <v>177.98</v>
      </c>
      <c r="W3200">
        <v>0.46899999999999997</v>
      </c>
      <c r="X3200" t="str">
        <f>IF(WarehouseData[[#This Row],[stock_level]]&lt;=WarehouseData[[#This Row],[reorder_point]],"Low Stock","Sufficient Stock")</f>
        <v>Sufficient Stock</v>
      </c>
      <c r="Y3200">
        <f>WarehouseData[[#This Row],[daily_demand]]*WarehouseData[[#This Row],[lead_time_days]]</f>
        <v>62.46</v>
      </c>
      <c r="Z3200" t="str">
        <f>IF(WarehouseData[[#This Row],[stock_level]]&lt;=WarehouseData[[#This Row],[Demand During Lead Time]],"At Risk","Safe")</f>
        <v>Safe</v>
      </c>
      <c r="AA3200">
        <f>WarehouseData[[#This Row],[stock_level]]/WarehouseData[[#This Row],[daily_demand]]</f>
        <v>32.27665706051873</v>
      </c>
      <c r="AB3200">
        <f>WarehouseData[[#This Row],[stock_level]]*WarehouseData[[#This Row],[unit_price]]</f>
        <v>4065.6</v>
      </c>
      <c r="AC3200">
        <f>WarehouseData[[#This Row],[stock_level]]*WarehouseData[[#This Row],[holding_cost_per_unit_day]]*30</f>
        <v>11390.399999999998</v>
      </c>
      <c r="AD3200" t="str">
        <f>IF(WarehouseData[[#This Row],[order_fulfillment_rate]]&gt;=0.9,"Strong",IF(WarehouseData[[#This Row],[order_fulfillment_rate]]&gt;=0.8,"Moderate","Needs Attention"))</f>
        <v>Needs Attention</v>
      </c>
      <c r="AE3200" t="str">
        <f>IF(WarehouseData[[#This Row],[picking_time_seconds]]&gt;120,"Slow",IF(WarehouseData[[#This Row],[picking_time_seconds]]&gt;=60,"Average","Fast"))</f>
        <v>Fast</v>
      </c>
    </row>
    <row r="3201" spans="1:31" x14ac:dyDescent="0.25">
      <c r="A3201" t="s">
        <v>3339</v>
      </c>
      <c r="B3201" t="s">
        <v>40</v>
      </c>
      <c r="C3201">
        <v>343</v>
      </c>
      <c r="D3201">
        <v>21</v>
      </c>
      <c r="E3201">
        <v>12</v>
      </c>
      <c r="F3201">
        <v>2</v>
      </c>
      <c r="G3201">
        <v>39.880000000000003</v>
      </c>
      <c r="H3201">
        <v>1.3</v>
      </c>
      <c r="I3201">
        <v>0.34</v>
      </c>
      <c r="J3201" t="s">
        <v>401</v>
      </c>
      <c r="K3201" t="s">
        <v>52</v>
      </c>
      <c r="L3201">
        <v>99</v>
      </c>
      <c r="M3201">
        <v>4.34</v>
      </c>
      <c r="N3201">
        <v>24.63</v>
      </c>
      <c r="O3201">
        <v>1.5</v>
      </c>
      <c r="P3201">
        <v>3</v>
      </c>
      <c r="Q3201">
        <v>0.79</v>
      </c>
      <c r="R3201">
        <v>87</v>
      </c>
      <c r="S3201">
        <v>11.8</v>
      </c>
      <c r="T3201">
        <v>0.2</v>
      </c>
      <c r="U3201" s="1">
        <v>45624</v>
      </c>
      <c r="V3201">
        <v>237.04</v>
      </c>
      <c r="W3201">
        <v>0.54500000000000004</v>
      </c>
      <c r="X3201" t="str">
        <f>IF(WarehouseData[[#This Row],[stock_level]]&lt;=WarehouseData[[#This Row],[reorder_point]],"Low Stock","Sufficient Stock")</f>
        <v>Sufficient Stock</v>
      </c>
      <c r="Y3201">
        <f>WarehouseData[[#This Row],[daily_demand]]*WarehouseData[[#This Row],[lead_time_days]]</f>
        <v>79.760000000000005</v>
      </c>
      <c r="Z3201" t="str">
        <f>IF(WarehouseData[[#This Row],[stock_level]]&lt;=WarehouseData[[#This Row],[Demand During Lead Time]],"At Risk","Safe")</f>
        <v>Safe</v>
      </c>
      <c r="AA3201">
        <f>WarehouseData[[#This Row],[stock_level]]/WarehouseData[[#This Row],[daily_demand]]</f>
        <v>8.6008024072216642</v>
      </c>
      <c r="AB3201">
        <f>WarehouseData[[#This Row],[stock_level]]*WarehouseData[[#This Row],[unit_price]]</f>
        <v>8448.09</v>
      </c>
      <c r="AC3201">
        <f>WarehouseData[[#This Row],[stock_level]]*WarehouseData[[#This Row],[holding_cost_per_unit_day]]*30</f>
        <v>15435</v>
      </c>
      <c r="AD3201" t="str">
        <f>IF(WarehouseData[[#This Row],[order_fulfillment_rate]]&gt;=0.9,"Strong",IF(WarehouseData[[#This Row],[order_fulfillment_rate]]&gt;=0.8,"Moderate","Needs Attention"))</f>
        <v>Needs Attention</v>
      </c>
      <c r="AE3201" t="str">
        <f>IF(WarehouseData[[#This Row],[picking_time_seconds]]&gt;120,"Slow",IF(WarehouseData[[#This Row],[picking_time_seconds]]&gt;=60,"Average","Fast"))</f>
        <v>Average</v>
      </c>
    </row>
    <row r="3202" spans="1:31" x14ac:dyDescent="0.25">
      <c r="A3202" t="s">
        <v>3340</v>
      </c>
      <c r="B3202" t="s">
        <v>73</v>
      </c>
      <c r="C3202">
        <v>428</v>
      </c>
      <c r="D3202">
        <v>43</v>
      </c>
      <c r="E3202">
        <v>5</v>
      </c>
      <c r="F3202">
        <v>7</v>
      </c>
      <c r="G3202">
        <v>2.68</v>
      </c>
      <c r="H3202">
        <v>4.25</v>
      </c>
      <c r="I3202">
        <v>0.91</v>
      </c>
      <c r="J3202" t="s">
        <v>190</v>
      </c>
      <c r="K3202" t="s">
        <v>34</v>
      </c>
      <c r="L3202">
        <v>105</v>
      </c>
      <c r="M3202">
        <v>1.48</v>
      </c>
      <c r="N3202">
        <v>79.040000000000006</v>
      </c>
      <c r="O3202">
        <v>1.46</v>
      </c>
      <c r="P3202">
        <v>4</v>
      </c>
      <c r="Q3202">
        <v>0.77</v>
      </c>
      <c r="R3202">
        <v>833</v>
      </c>
      <c r="S3202">
        <v>14.96</v>
      </c>
      <c r="T3202">
        <v>0.39</v>
      </c>
      <c r="U3202" s="1">
        <v>45624</v>
      </c>
      <c r="V3202">
        <v>34</v>
      </c>
      <c r="W3202">
        <v>0.60499999999999998</v>
      </c>
      <c r="X3202" t="str">
        <f>IF(WarehouseData[[#This Row],[stock_level]]&lt;=WarehouseData[[#This Row],[reorder_point]],"Low Stock","Sufficient Stock")</f>
        <v>Sufficient Stock</v>
      </c>
      <c r="Y3202">
        <f>WarehouseData[[#This Row],[daily_demand]]*WarehouseData[[#This Row],[lead_time_days]]</f>
        <v>18.760000000000002</v>
      </c>
      <c r="Z3202" t="str">
        <f>IF(WarehouseData[[#This Row],[stock_level]]&lt;=WarehouseData[[#This Row],[Demand During Lead Time]],"At Risk","Safe")</f>
        <v>Safe</v>
      </c>
      <c r="AA3202">
        <f>WarehouseData[[#This Row],[stock_level]]/WarehouseData[[#This Row],[daily_demand]]</f>
        <v>159.70149253731341</v>
      </c>
      <c r="AB3202">
        <f>WarehouseData[[#This Row],[stock_level]]*WarehouseData[[#This Row],[unit_price]]</f>
        <v>33829.120000000003</v>
      </c>
      <c r="AC3202">
        <f>WarehouseData[[#This Row],[stock_level]]*WarehouseData[[#This Row],[holding_cost_per_unit_day]]*30</f>
        <v>18746.400000000001</v>
      </c>
      <c r="AD3202" t="str">
        <f>IF(WarehouseData[[#This Row],[order_fulfillment_rate]]&gt;=0.9,"Strong",IF(WarehouseData[[#This Row],[order_fulfillment_rate]]&gt;=0.8,"Moderate","Needs Attention"))</f>
        <v>Needs Attention</v>
      </c>
      <c r="AE3202" t="str">
        <f>IF(WarehouseData[[#This Row],[picking_time_seconds]]&gt;120,"Slow",IF(WarehouseData[[#This Row],[picking_time_seconds]]&gt;=60,"Average","Fast"))</f>
        <v>Average</v>
      </c>
    </row>
    <row r="3203" spans="1:31" x14ac:dyDescent="0.25">
      <c r="A3203" t="s">
        <v>3341</v>
      </c>
      <c r="B3203" t="s">
        <v>40</v>
      </c>
      <c r="C3203">
        <v>415</v>
      </c>
      <c r="D3203">
        <v>80</v>
      </c>
      <c r="E3203">
        <v>14</v>
      </c>
      <c r="F3203">
        <v>5</v>
      </c>
      <c r="G3203">
        <v>49.15</v>
      </c>
      <c r="H3203">
        <v>5.41</v>
      </c>
      <c r="I3203">
        <v>0.14000000000000001</v>
      </c>
      <c r="J3203" t="s">
        <v>142</v>
      </c>
      <c r="K3203" t="s">
        <v>46</v>
      </c>
      <c r="L3203">
        <v>38</v>
      </c>
      <c r="M3203">
        <v>0.76</v>
      </c>
      <c r="N3203">
        <v>199.89</v>
      </c>
      <c r="O3203">
        <v>1.1100000000000001</v>
      </c>
      <c r="P3203">
        <v>9</v>
      </c>
      <c r="Q3203">
        <v>0.89</v>
      </c>
      <c r="R3203">
        <v>937</v>
      </c>
      <c r="S3203">
        <v>7.63</v>
      </c>
      <c r="T3203">
        <v>0.6</v>
      </c>
      <c r="U3203" s="1">
        <v>45567</v>
      </c>
      <c r="V3203">
        <v>62.57</v>
      </c>
      <c r="W3203">
        <v>0.50900000000000001</v>
      </c>
      <c r="X3203" t="str">
        <f>IF(WarehouseData[[#This Row],[stock_level]]&lt;=WarehouseData[[#This Row],[reorder_point]],"Low Stock","Sufficient Stock")</f>
        <v>Sufficient Stock</v>
      </c>
      <c r="Y3203">
        <f>WarehouseData[[#This Row],[daily_demand]]*WarehouseData[[#This Row],[lead_time_days]]</f>
        <v>245.75</v>
      </c>
      <c r="Z3203" t="str">
        <f>IF(WarehouseData[[#This Row],[stock_level]]&lt;=WarehouseData[[#This Row],[Demand During Lead Time]],"At Risk","Safe")</f>
        <v>Safe</v>
      </c>
      <c r="AA3203">
        <f>WarehouseData[[#This Row],[stock_level]]/WarehouseData[[#This Row],[daily_demand]]</f>
        <v>8.4435401831129191</v>
      </c>
      <c r="AB3203">
        <f>WarehouseData[[#This Row],[stock_level]]*WarehouseData[[#This Row],[unit_price]]</f>
        <v>82954.349999999991</v>
      </c>
      <c r="AC3203">
        <f>WarehouseData[[#This Row],[stock_level]]*WarehouseData[[#This Row],[holding_cost_per_unit_day]]*30</f>
        <v>13819.500000000002</v>
      </c>
      <c r="AD3203" t="str">
        <f>IF(WarehouseData[[#This Row],[order_fulfillment_rate]]&gt;=0.9,"Strong",IF(WarehouseData[[#This Row],[order_fulfillment_rate]]&gt;=0.8,"Moderate","Needs Attention"))</f>
        <v>Moderate</v>
      </c>
      <c r="AE3203" t="str">
        <f>IF(WarehouseData[[#This Row],[picking_time_seconds]]&gt;120,"Slow",IF(WarehouseData[[#This Row],[picking_time_seconds]]&gt;=60,"Average","Fast"))</f>
        <v>Fast</v>
      </c>
    </row>
    <row r="3204" spans="1:31" x14ac:dyDescent="0.25">
      <c r="A3204" t="s">
        <v>3342</v>
      </c>
      <c r="B3204" t="s">
        <v>40</v>
      </c>
      <c r="C3204">
        <v>173</v>
      </c>
      <c r="D3204">
        <v>84</v>
      </c>
      <c r="E3204">
        <v>3</v>
      </c>
      <c r="F3204">
        <v>9</v>
      </c>
      <c r="G3204">
        <v>43.39</v>
      </c>
      <c r="H3204">
        <v>8.4700000000000006</v>
      </c>
      <c r="I3204">
        <v>0.69</v>
      </c>
      <c r="J3204" t="s">
        <v>98</v>
      </c>
      <c r="K3204" t="s">
        <v>34</v>
      </c>
      <c r="L3204">
        <v>95</v>
      </c>
      <c r="M3204">
        <v>4.66</v>
      </c>
      <c r="N3204">
        <v>65.45</v>
      </c>
      <c r="O3204">
        <v>1.04</v>
      </c>
      <c r="P3204">
        <v>4</v>
      </c>
      <c r="Q3204">
        <v>0.86</v>
      </c>
      <c r="R3204">
        <v>905</v>
      </c>
      <c r="S3204">
        <v>6.37</v>
      </c>
      <c r="T3204">
        <v>0.46</v>
      </c>
      <c r="U3204" s="1">
        <v>45381</v>
      </c>
      <c r="V3204">
        <v>36.96</v>
      </c>
      <c r="W3204">
        <v>0.56499999999999995</v>
      </c>
      <c r="X3204" t="str">
        <f>IF(WarehouseData[[#This Row],[stock_level]]&lt;=WarehouseData[[#This Row],[reorder_point]],"Low Stock","Sufficient Stock")</f>
        <v>Sufficient Stock</v>
      </c>
      <c r="Y3204">
        <f>WarehouseData[[#This Row],[daily_demand]]*WarehouseData[[#This Row],[lead_time_days]]</f>
        <v>390.51</v>
      </c>
      <c r="Z3204" t="str">
        <f>IF(WarehouseData[[#This Row],[stock_level]]&lt;=WarehouseData[[#This Row],[Demand During Lead Time]],"At Risk","Safe")</f>
        <v>At Risk</v>
      </c>
      <c r="AA3204">
        <f>WarehouseData[[#This Row],[stock_level]]/WarehouseData[[#This Row],[daily_demand]]</f>
        <v>3.9870938004148422</v>
      </c>
      <c r="AB3204">
        <f>WarehouseData[[#This Row],[stock_level]]*WarehouseData[[#This Row],[unit_price]]</f>
        <v>11322.85</v>
      </c>
      <c r="AC3204">
        <f>WarehouseData[[#This Row],[stock_level]]*WarehouseData[[#This Row],[holding_cost_per_unit_day]]*30</f>
        <v>5397.6</v>
      </c>
      <c r="AD3204" t="str">
        <f>IF(WarehouseData[[#This Row],[order_fulfillment_rate]]&gt;=0.9,"Strong",IF(WarehouseData[[#This Row],[order_fulfillment_rate]]&gt;=0.8,"Moderate","Needs Attention"))</f>
        <v>Moderate</v>
      </c>
      <c r="AE3204" t="str">
        <f>IF(WarehouseData[[#This Row],[picking_time_seconds]]&gt;120,"Slow",IF(WarehouseData[[#This Row],[picking_time_seconds]]&gt;=60,"Average","Fast"))</f>
        <v>Average</v>
      </c>
    </row>
    <row r="3205" spans="1:31" x14ac:dyDescent="0.25">
      <c r="A3205" t="s">
        <v>3343</v>
      </c>
      <c r="B3205" t="s">
        <v>48</v>
      </c>
      <c r="C3205">
        <v>377</v>
      </c>
      <c r="D3205">
        <v>40</v>
      </c>
      <c r="E3205">
        <v>14</v>
      </c>
      <c r="F3205">
        <v>3</v>
      </c>
      <c r="G3205">
        <v>29.4</v>
      </c>
      <c r="H3205">
        <v>7.43</v>
      </c>
      <c r="I3205">
        <v>0.14000000000000001</v>
      </c>
      <c r="J3205" t="s">
        <v>178</v>
      </c>
      <c r="K3205" t="s">
        <v>38</v>
      </c>
      <c r="L3205">
        <v>56</v>
      </c>
      <c r="M3205">
        <v>4.92</v>
      </c>
      <c r="N3205">
        <v>39.880000000000003</v>
      </c>
      <c r="O3205">
        <v>1.94</v>
      </c>
      <c r="P3205">
        <v>9</v>
      </c>
      <c r="Q3205">
        <v>0.92</v>
      </c>
      <c r="R3205">
        <v>812</v>
      </c>
      <c r="S3205">
        <v>8.74</v>
      </c>
      <c r="T3205">
        <v>0.54</v>
      </c>
      <c r="U3205" s="1">
        <v>45437</v>
      </c>
      <c r="V3205">
        <v>193.91</v>
      </c>
      <c r="W3205">
        <v>0.435</v>
      </c>
      <c r="X3205" t="str">
        <f>IF(WarehouseData[[#This Row],[stock_level]]&lt;=WarehouseData[[#This Row],[reorder_point]],"Low Stock","Sufficient Stock")</f>
        <v>Sufficient Stock</v>
      </c>
      <c r="Y3205">
        <f>WarehouseData[[#This Row],[daily_demand]]*WarehouseData[[#This Row],[lead_time_days]]</f>
        <v>88.199999999999989</v>
      </c>
      <c r="Z3205" t="str">
        <f>IF(WarehouseData[[#This Row],[stock_level]]&lt;=WarehouseData[[#This Row],[Demand During Lead Time]],"At Risk","Safe")</f>
        <v>Safe</v>
      </c>
      <c r="AA3205">
        <f>WarehouseData[[#This Row],[stock_level]]/WarehouseData[[#This Row],[daily_demand]]</f>
        <v>12.823129251700681</v>
      </c>
      <c r="AB3205">
        <f>WarehouseData[[#This Row],[stock_level]]*WarehouseData[[#This Row],[unit_price]]</f>
        <v>15034.76</v>
      </c>
      <c r="AC3205">
        <f>WarehouseData[[#This Row],[stock_level]]*WarehouseData[[#This Row],[holding_cost_per_unit_day]]*30</f>
        <v>21941.4</v>
      </c>
      <c r="AD3205" t="str">
        <f>IF(WarehouseData[[#This Row],[order_fulfillment_rate]]&gt;=0.9,"Strong",IF(WarehouseData[[#This Row],[order_fulfillment_rate]]&gt;=0.8,"Moderate","Needs Attention"))</f>
        <v>Strong</v>
      </c>
      <c r="AE3205" t="str">
        <f>IF(WarehouseData[[#This Row],[picking_time_seconds]]&gt;120,"Slow",IF(WarehouseData[[#This Row],[picking_time_seconds]]&gt;=60,"Average","Fast"))</f>
        <v>Fast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0"/>
  <sheetViews>
    <sheetView topLeftCell="A37" workbookViewId="0">
      <selection activeCell="B19" sqref="B19"/>
    </sheetView>
  </sheetViews>
  <sheetFormatPr defaultRowHeight="15" x14ac:dyDescent="0.25"/>
  <cols>
    <col min="1" max="1" width="18" customWidth="1"/>
    <col min="2" max="2" width="15" customWidth="1"/>
    <col min="3" max="3" width="18" customWidth="1"/>
    <col min="4" max="4" width="20" customWidth="1"/>
    <col min="5" max="5" width="22" customWidth="1"/>
    <col min="6" max="6" width="18" customWidth="1"/>
    <col min="7" max="7" width="16" customWidth="1"/>
    <col min="8" max="8" width="18" customWidth="1"/>
    <col min="9" max="9" width="14" customWidth="1"/>
    <col min="10" max="11" width="18" customWidth="1"/>
    <col min="12" max="13" width="20" customWidth="1"/>
  </cols>
  <sheetData>
    <row r="1" spans="1:13" ht="27.95" customHeight="1" x14ac:dyDescent="0.25">
      <c r="A1" s="26" t="s">
        <v>3347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33.950000000000003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25">
      <c r="A4" s="28" t="s">
        <v>3348</v>
      </c>
      <c r="B4" s="28"/>
      <c r="C4" s="28"/>
      <c r="D4" s="28"/>
      <c r="E4" s="28"/>
      <c r="F4" s="28"/>
      <c r="G4" s="9"/>
      <c r="H4" s="28" t="s">
        <v>3349</v>
      </c>
      <c r="I4" s="28"/>
      <c r="J4" s="28"/>
      <c r="K4" s="28"/>
      <c r="L4" s="9"/>
      <c r="M4" s="9"/>
    </row>
    <row r="5" spans="1:13" ht="30" x14ac:dyDescent="0.25">
      <c r="A5" s="19" t="s">
        <v>3350</v>
      </c>
      <c r="B5" s="19" t="s">
        <v>3351</v>
      </c>
      <c r="C5" s="19" t="s">
        <v>3352</v>
      </c>
      <c r="D5" s="19" t="s">
        <v>3346</v>
      </c>
      <c r="E5" s="19" t="s">
        <v>28</v>
      </c>
      <c r="F5" s="19" t="s">
        <v>3353</v>
      </c>
      <c r="G5" s="9"/>
      <c r="H5" s="19" t="s">
        <v>3350</v>
      </c>
      <c r="I5" s="19" t="s">
        <v>3354</v>
      </c>
      <c r="J5" s="19" t="s">
        <v>3355</v>
      </c>
      <c r="K5" s="19" t="s">
        <v>3344</v>
      </c>
      <c r="L5" s="9"/>
      <c r="M5" s="9"/>
    </row>
    <row r="6" spans="1:13" x14ac:dyDescent="0.25">
      <c r="A6" s="20" t="s">
        <v>48</v>
      </c>
      <c r="B6" s="20">
        <f>COUNTIF(logistics_dataset!$B$2:$B$3205,A6)</f>
        <v>617</v>
      </c>
      <c r="C6" s="20">
        <f>SUMIF(logistics_dataset!$B$2:$B$3205,A6,logistics_dataset!$C$2:$C$3205)</f>
        <v>160416</v>
      </c>
      <c r="D6" s="21">
        <f>SUMIF(logistics_dataset!$B$2:$B$3205,A6,logistics_dataset!$AB$2:$AB$3205)</f>
        <v>16804476.350000009</v>
      </c>
      <c r="E6" s="21">
        <f>SUMIF(logistics_dataset!$B$2:$B$3205,A6,logistics_dataset!$AC$2:$AC$3205)</f>
        <v>4916496.9000000022</v>
      </c>
      <c r="F6" s="22">
        <f>AVERAGEIF(logistics_dataset!$B$2:$B$3205,A6,logistics_dataset!$Q$2:$Q$3205)</f>
        <v>0.84742301458671043</v>
      </c>
      <c r="G6" s="9"/>
      <c r="H6" s="20" t="s">
        <v>48</v>
      </c>
      <c r="I6" s="20">
        <f>COUNTIFS(logistics_dataset!$B$2:$B$3205,$H6,logistics_dataset!$Z$2:$Z$3205,I$5)</f>
        <v>156</v>
      </c>
      <c r="J6" s="20">
        <f>COUNTIFS(logistics_dataset!$B$2:$B$3205,$H6,logistics_dataset!$Z$2:$Z$3205,J$5)</f>
        <v>461</v>
      </c>
      <c r="K6" s="20">
        <f>SUM(I6:J6)</f>
        <v>617</v>
      </c>
      <c r="L6" s="9"/>
      <c r="M6" s="9"/>
    </row>
    <row r="7" spans="1:13" x14ac:dyDescent="0.25">
      <c r="A7" s="20" t="s">
        <v>36</v>
      </c>
      <c r="B7" s="20">
        <f>COUNTIF(logistics_dataset!$B$2:$B$3205,A7)</f>
        <v>658</v>
      </c>
      <c r="C7" s="20">
        <f>SUMIF(logistics_dataset!$B$2:$B$3205,A7,logistics_dataset!$C$2:$C$3205)</f>
        <v>170217</v>
      </c>
      <c r="D7" s="21">
        <f>SUMIF(logistics_dataset!$B$2:$B$3205,A7,logistics_dataset!$AB$2:$AB$3205)</f>
        <v>18042426.130000018</v>
      </c>
      <c r="E7" s="21">
        <f>SUMIF(logistics_dataset!$B$2:$B$3205,A7,logistics_dataset!$AC$2:$AC$3205)</f>
        <v>5286221.099999995</v>
      </c>
      <c r="F7" s="22">
        <f>AVERAGEIF(logistics_dataset!$B$2:$B$3205,A7,logistics_dataset!$Q$2:$Q$3205)</f>
        <v>0.85185410334346567</v>
      </c>
      <c r="G7" s="9"/>
      <c r="H7" s="20" t="s">
        <v>36</v>
      </c>
      <c r="I7" s="20">
        <f>COUNTIFS(logistics_dataset!$B$2:$B$3205,$H7,logistics_dataset!$Z$2:$Z$3205,I$5)</f>
        <v>175</v>
      </c>
      <c r="J7" s="20">
        <f>COUNTIFS(logistics_dataset!$B$2:$B$3205,$H7,logistics_dataset!$Z$2:$Z$3205,J$5)</f>
        <v>483</v>
      </c>
      <c r="K7" s="20">
        <f>SUM(I7:J7)</f>
        <v>658</v>
      </c>
      <c r="L7" s="9"/>
      <c r="M7" s="9"/>
    </row>
    <row r="8" spans="1:13" x14ac:dyDescent="0.25">
      <c r="A8" s="20" t="s">
        <v>73</v>
      </c>
      <c r="B8" s="20">
        <f>COUNTIF(logistics_dataset!$B$2:$B$3205,A8)</f>
        <v>651</v>
      </c>
      <c r="C8" s="20">
        <f>SUMIF(logistics_dataset!$B$2:$B$3205,A8,logistics_dataset!$C$2:$C$3205)</f>
        <v>172266</v>
      </c>
      <c r="D8" s="21">
        <f>SUMIF(logistics_dataset!$B$2:$B$3205,A8,logistics_dataset!$AB$2:$AB$3205)</f>
        <v>18234365.98999998</v>
      </c>
      <c r="E8" s="21">
        <f>SUMIF(logistics_dataset!$B$2:$B$3205,A8,logistics_dataset!$AC$2:$AC$3205)</f>
        <v>5396802.3000000026</v>
      </c>
      <c r="F8" s="22">
        <f>AVERAGEIF(logistics_dataset!$B$2:$B$3205,A8,logistics_dataset!$Q$2:$Q$3205)</f>
        <v>0.85132104454685242</v>
      </c>
      <c r="G8" s="9"/>
      <c r="H8" s="20" t="s">
        <v>73</v>
      </c>
      <c r="I8" s="20">
        <f>COUNTIFS(logistics_dataset!$B$2:$B$3205,$H8,logistics_dataset!$Z$2:$Z$3205,I$5)</f>
        <v>164</v>
      </c>
      <c r="J8" s="20">
        <f>COUNTIFS(logistics_dataset!$B$2:$B$3205,$H8,logistics_dataset!$Z$2:$Z$3205,J$5)</f>
        <v>487</v>
      </c>
      <c r="K8" s="20">
        <f>SUM(I8:J8)</f>
        <v>651</v>
      </c>
      <c r="L8" s="9"/>
      <c r="M8" s="9"/>
    </row>
    <row r="9" spans="1:13" x14ac:dyDescent="0.25">
      <c r="A9" s="20" t="s">
        <v>40</v>
      </c>
      <c r="B9" s="20">
        <f>COUNTIF(logistics_dataset!$B$2:$B$3205,A9)</f>
        <v>618</v>
      </c>
      <c r="C9" s="20">
        <f>SUMIF(logistics_dataset!$B$2:$B$3205,A9,logistics_dataset!$C$2:$C$3205)</f>
        <v>162997</v>
      </c>
      <c r="D9" s="21">
        <f>SUMIF(logistics_dataset!$B$2:$B$3205,A9,logistics_dataset!$AB$2:$AB$3205)</f>
        <v>17342651.879999995</v>
      </c>
      <c r="E9" s="21">
        <f>SUMIF(logistics_dataset!$B$2:$B$3205,A9,logistics_dataset!$AC$2:$AC$3205)</f>
        <v>5334802.8000000026</v>
      </c>
      <c r="F9" s="22">
        <f>AVERAGEIF(logistics_dataset!$B$2:$B$3205,A9,logistics_dataset!$Q$2:$Q$3205)</f>
        <v>0.84768608414239588</v>
      </c>
      <c r="G9" s="9"/>
      <c r="H9" s="20" t="s">
        <v>40</v>
      </c>
      <c r="I9" s="20">
        <f>COUNTIFS(logistics_dataset!$B$2:$B$3205,$H9,logistics_dataset!$Z$2:$Z$3205,I$5)</f>
        <v>168</v>
      </c>
      <c r="J9" s="20">
        <f>COUNTIFS(logistics_dataset!$B$2:$B$3205,$H9,logistics_dataset!$Z$2:$Z$3205,J$5)</f>
        <v>450</v>
      </c>
      <c r="K9" s="20">
        <f>SUM(I9:J9)</f>
        <v>618</v>
      </c>
      <c r="L9" s="9"/>
      <c r="M9" s="9"/>
    </row>
    <row r="10" spans="1:13" x14ac:dyDescent="0.25">
      <c r="A10" s="20" t="s">
        <v>32</v>
      </c>
      <c r="B10" s="20">
        <f>COUNTIF(logistics_dataset!$B$2:$B$3205,A10)</f>
        <v>660</v>
      </c>
      <c r="C10" s="20">
        <f>SUMIF(logistics_dataset!$B$2:$B$3205,A10,logistics_dataset!$C$2:$C$3205)</f>
        <v>178331</v>
      </c>
      <c r="D10" s="21">
        <f>SUMIF(logistics_dataset!$B$2:$B$3205,A10,logistics_dataset!$AB$2:$AB$3205)</f>
        <v>19142268.690000013</v>
      </c>
      <c r="E10" s="21">
        <f>SUMIF(logistics_dataset!$B$2:$B$3205,A10,logistics_dataset!$AC$2:$AC$3205)</f>
        <v>5512060.1999999993</v>
      </c>
      <c r="F10" s="22">
        <f>AVERAGEIF(logistics_dataset!$B$2:$B$3205,A10,logistics_dataset!$Q$2:$Q$3205)</f>
        <v>0.85015151515151521</v>
      </c>
      <c r="G10" s="9"/>
      <c r="H10" s="20" t="s">
        <v>32</v>
      </c>
      <c r="I10" s="20">
        <f>COUNTIFS(logistics_dataset!$B$2:$B$3205,$H10,logistics_dataset!$Z$2:$Z$3205,I$5)</f>
        <v>155</v>
      </c>
      <c r="J10" s="20">
        <f>COUNTIFS(logistics_dataset!$B$2:$B$3205,$H10,logistics_dataset!$Z$2:$Z$3205,J$5)</f>
        <v>505</v>
      </c>
      <c r="K10" s="20">
        <f>SUM(I10:J10)</f>
        <v>660</v>
      </c>
      <c r="L10" s="9"/>
      <c r="M10" s="9"/>
    </row>
    <row r="11" spans="1:13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x14ac:dyDescent="0.25">
      <c r="A13" s="28" t="s">
        <v>3356</v>
      </c>
      <c r="B13" s="28"/>
      <c r="C13" s="28"/>
      <c r="D13" s="28"/>
      <c r="E13" s="9"/>
      <c r="F13" s="9"/>
      <c r="G13" s="9"/>
      <c r="H13" s="28" t="s">
        <v>3357</v>
      </c>
      <c r="I13" s="28"/>
      <c r="J13" s="28"/>
      <c r="K13" s="28"/>
      <c r="L13" s="28"/>
      <c r="M13" s="28"/>
    </row>
    <row r="14" spans="1:13" ht="30" x14ac:dyDescent="0.25">
      <c r="A14" s="19" t="s">
        <v>3350</v>
      </c>
      <c r="B14" s="19" t="s">
        <v>3358</v>
      </c>
      <c r="C14" s="19" t="s">
        <v>3359</v>
      </c>
      <c r="D14" s="19" t="s">
        <v>3344</v>
      </c>
      <c r="E14" s="9"/>
      <c r="F14" s="9"/>
      <c r="G14" s="9"/>
      <c r="H14" s="19" t="s">
        <v>3360</v>
      </c>
      <c r="I14" s="19" t="s">
        <v>3361</v>
      </c>
      <c r="J14" s="19" t="s">
        <v>3362</v>
      </c>
      <c r="K14" s="19" t="s">
        <v>3363</v>
      </c>
      <c r="L14" s="19" t="s">
        <v>3364</v>
      </c>
      <c r="M14" s="19" t="s">
        <v>3353</v>
      </c>
    </row>
    <row r="15" spans="1:13" x14ac:dyDescent="0.25">
      <c r="A15" s="20" t="s">
        <v>48</v>
      </c>
      <c r="B15" s="20">
        <f>COUNTIFS(logistics_dataset!$B$2:$B$3205,$A15,logistics_dataset!$X$2:$X$3205,B$14)</f>
        <v>47</v>
      </c>
      <c r="C15" s="20">
        <f>COUNTIFS(logistics_dataset!$B$2:$B$3205,$A15,logistics_dataset!$X$2:$X$3205,C$14)</f>
        <v>570</v>
      </c>
      <c r="D15" s="20">
        <f>SUM(B15:C15)</f>
        <v>617</v>
      </c>
      <c r="E15" s="9"/>
      <c r="F15" s="9"/>
      <c r="G15" s="9"/>
      <c r="H15" s="20" t="s">
        <v>38</v>
      </c>
      <c r="I15" s="23">
        <f>COUNTIF(logistics_dataset!$K$2:$K$3205,H15)</f>
        <v>812</v>
      </c>
      <c r="J15" s="24">
        <f>AVERAGEIF(logistics_dataset!$K$2:$K$3205,H15,logistics_dataset!$L$2:$L$3205)</f>
        <v>93.814039408866989</v>
      </c>
      <c r="K15" s="24">
        <f>AVERAGEIF(logistics_dataset!$K$2:$K$3205,H15,logistics_dataset!$T$2:$T$3205)</f>
        <v>0.60248768472906378</v>
      </c>
      <c r="L15" s="24">
        <f>AVERAGEIF(logistics_dataset!$K$2:$K$3205,H15,logistics_dataset!$W$2:$W$3205)</f>
        <v>0.60563300492610883</v>
      </c>
      <c r="M15" s="22">
        <f>AVERAGEIF(logistics_dataset!$K$2:$K$3205,H15,logistics_dataset!$Q$2:$Q$3205)</f>
        <v>0.84899014778325221</v>
      </c>
    </row>
    <row r="16" spans="1:13" x14ac:dyDescent="0.25">
      <c r="A16" s="20" t="s">
        <v>36</v>
      </c>
      <c r="B16" s="20">
        <f>COUNTIFS(logistics_dataset!$B$2:$B$3205,$A16,logistics_dataset!$X$2:$X$3205,B$14)</f>
        <v>54</v>
      </c>
      <c r="C16" s="20">
        <f>COUNTIFS(logistics_dataset!$B$2:$B$3205,$A16,logistics_dataset!$X$2:$X$3205,C$14)</f>
        <v>604</v>
      </c>
      <c r="D16" s="20">
        <f>SUM(B16:C16)</f>
        <v>658</v>
      </c>
      <c r="E16" s="9"/>
      <c r="F16" s="9"/>
      <c r="G16" s="9"/>
      <c r="H16" s="20" t="s">
        <v>34</v>
      </c>
      <c r="I16" s="23">
        <f>COUNTIF(logistics_dataset!$K$2:$K$3205,H16)</f>
        <v>784</v>
      </c>
      <c r="J16" s="24">
        <f>AVERAGEIF(logistics_dataset!$K$2:$K$3205,H16,logistics_dataset!$L$2:$L$3205)</f>
        <v>95.859693877551024</v>
      </c>
      <c r="K16" s="24">
        <f>AVERAGEIF(logistics_dataset!$K$2:$K$3205,H16,logistics_dataset!$T$2:$T$3205)</f>
        <v>0.60822704081632661</v>
      </c>
      <c r="L16" s="24">
        <f>AVERAGEIF(logistics_dataset!$K$2:$K$3205,H16,logistics_dataset!$W$2:$W$3205)</f>
        <v>0.59768750000000048</v>
      </c>
      <c r="M16" s="22">
        <f>AVERAGEIF(logistics_dataset!$K$2:$K$3205,H16,logistics_dataset!$Q$2:$Q$3205)</f>
        <v>0.84454081632653211</v>
      </c>
    </row>
    <row r="17" spans="1:13" x14ac:dyDescent="0.25">
      <c r="A17" s="20" t="s">
        <v>73</v>
      </c>
      <c r="B17" s="20">
        <f>COUNTIFS(logistics_dataset!$B$2:$B$3205,$A17,logistics_dataset!$X$2:$X$3205,B$14)</f>
        <v>46</v>
      </c>
      <c r="C17" s="20">
        <f>COUNTIFS(logistics_dataset!$B$2:$B$3205,$A17,logistics_dataset!$X$2:$X$3205,C$14)</f>
        <v>605</v>
      </c>
      <c r="D17" s="20">
        <f>SUM(B17:C17)</f>
        <v>651</v>
      </c>
      <c r="E17" s="9"/>
      <c r="F17" s="9"/>
      <c r="G17" s="9"/>
      <c r="H17" s="20" t="s">
        <v>52</v>
      </c>
      <c r="I17" s="23">
        <f>COUNTIF(logistics_dataset!$K$2:$K$3205,H17)</f>
        <v>775</v>
      </c>
      <c r="J17" s="24">
        <f>AVERAGEIF(logistics_dataset!$K$2:$K$3205,H17,logistics_dataset!$L$2:$L$3205)</f>
        <v>96.732903225806453</v>
      </c>
      <c r="K17" s="24">
        <f>AVERAGEIF(logistics_dataset!$K$2:$K$3205,H17,logistics_dataset!$T$2:$T$3205)</f>
        <v>0.59579354838709697</v>
      </c>
      <c r="L17" s="24">
        <f>AVERAGEIF(logistics_dataset!$K$2:$K$3205,H17,logistics_dataset!$W$2:$W$3205)</f>
        <v>0.59941548387096877</v>
      </c>
      <c r="M17" s="22">
        <f>AVERAGEIF(logistics_dataset!$K$2:$K$3205,H17,logistics_dataset!$Q$2:$Q$3205)</f>
        <v>0.85227096774193756</v>
      </c>
    </row>
    <row r="18" spans="1:13" x14ac:dyDescent="0.25">
      <c r="A18" s="20" t="s">
        <v>40</v>
      </c>
      <c r="B18" s="20">
        <f>COUNTIFS(logistics_dataset!$B$2:$B$3205,$A18,logistics_dataset!$X$2:$X$3205,B$14)</f>
        <v>47</v>
      </c>
      <c r="C18" s="20">
        <f>COUNTIFS(logistics_dataset!$B$2:$B$3205,$A18,logistics_dataset!$X$2:$X$3205,C$14)</f>
        <v>571</v>
      </c>
      <c r="D18" s="20">
        <f>SUM(B18:C18)</f>
        <v>618</v>
      </c>
      <c r="E18" s="9"/>
      <c r="F18" s="9"/>
      <c r="G18" s="9"/>
      <c r="H18" s="20" t="s">
        <v>46</v>
      </c>
      <c r="I18" s="23">
        <f>COUNTIF(logistics_dataset!$K$2:$K$3205,H18)</f>
        <v>833</v>
      </c>
      <c r="J18" s="24">
        <f>AVERAGEIF(logistics_dataset!$K$2:$K$3205,H18,logistics_dataset!$L$2:$L$3205)</f>
        <v>96.067226890756302</v>
      </c>
      <c r="K18" s="24">
        <f>AVERAGEIF(logistics_dataset!$K$2:$K$3205,H18,logistics_dataset!$T$2:$T$3205)</f>
        <v>0.59597839135654262</v>
      </c>
      <c r="L18" s="24">
        <f>AVERAGEIF(logistics_dataset!$K$2:$K$3205,H18,logistics_dataset!$W$2:$W$3205)</f>
        <v>0.60390876350540212</v>
      </c>
      <c r="M18" s="22">
        <f>AVERAGEIF(logistics_dataset!$K$2:$K$3205,H18,logistics_dataset!$Q$2:$Q$3205)</f>
        <v>0.85300120048019246</v>
      </c>
    </row>
    <row r="19" spans="1:13" x14ac:dyDescent="0.25">
      <c r="A19" s="20" t="s">
        <v>32</v>
      </c>
      <c r="B19" s="20">
        <f>COUNTIFS(logistics_dataset!$B$2:$B$3205,$A19,logistics_dataset!$X$2:$X$3205,B$14)</f>
        <v>46</v>
      </c>
      <c r="C19" s="20">
        <f>COUNTIFS(logistics_dataset!$B$2:$B$3205,$A19,logistics_dataset!$X$2:$X$3205,C$14)</f>
        <v>614</v>
      </c>
      <c r="D19" s="20">
        <f>SUM(B19:C19)</f>
        <v>660</v>
      </c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28" t="s">
        <v>3365</v>
      </c>
      <c r="B22" s="28"/>
      <c r="C22" s="28"/>
      <c r="D22" s="28"/>
      <c r="E22" s="28"/>
      <c r="F22" s="28"/>
      <c r="G22" s="28"/>
      <c r="H22" s="28"/>
      <c r="I22" s="9"/>
      <c r="J22" s="28" t="s">
        <v>3366</v>
      </c>
      <c r="K22" s="28"/>
      <c r="L22" s="28"/>
      <c r="M22" s="28"/>
    </row>
    <row r="23" spans="1:13" ht="30" x14ac:dyDescent="0.25">
      <c r="A23" s="19" t="s">
        <v>3367</v>
      </c>
      <c r="B23" s="19" t="s">
        <v>3368</v>
      </c>
      <c r="C23" s="19" t="s">
        <v>3350</v>
      </c>
      <c r="D23" s="19" t="s">
        <v>3360</v>
      </c>
      <c r="E23" s="19" t="s">
        <v>3369</v>
      </c>
      <c r="F23" s="19" t="s">
        <v>3370</v>
      </c>
      <c r="G23" s="19" t="s">
        <v>3371</v>
      </c>
      <c r="H23" s="19" t="s">
        <v>3372</v>
      </c>
      <c r="I23" s="9"/>
      <c r="J23" s="19" t="s">
        <v>3350</v>
      </c>
      <c r="K23" s="19" t="s">
        <v>3373</v>
      </c>
      <c r="L23" s="19" t="s">
        <v>3374</v>
      </c>
      <c r="M23" s="19" t="s">
        <v>3375</v>
      </c>
    </row>
    <row r="24" spans="1:13" x14ac:dyDescent="0.25">
      <c r="A24" s="20">
        <f>Reorder_Priority!A2</f>
        <v>1</v>
      </c>
      <c r="B24" s="20" t="str">
        <f>Reorder_Priority!B2</f>
        <v>ITM12375</v>
      </c>
      <c r="C24" s="20" t="str">
        <f>Reorder_Priority!C2</f>
        <v>Automotive</v>
      </c>
      <c r="D24" s="20" t="str">
        <f>Reorder_Priority!D2</f>
        <v>C</v>
      </c>
      <c r="E24" s="23">
        <f>Reorder_Priority!F2</f>
        <v>21</v>
      </c>
      <c r="F24" s="23">
        <f>Reorder_Priority!G2</f>
        <v>21</v>
      </c>
      <c r="G24" s="24">
        <f>Reorder_Priority!J2</f>
        <v>0.49528301886792453</v>
      </c>
      <c r="H24" s="20" t="str">
        <f>Reorder_Priority!R2</f>
        <v>Immediate reorder</v>
      </c>
      <c r="I24" s="9"/>
      <c r="J24" s="20" t="s">
        <v>48</v>
      </c>
      <c r="K24" s="23">
        <f>COUNTIFS(logistics_dataset!$B$2:$B$3205,$J24,logistics_dataset!$AD$2:$AD$3205,K$23)</f>
        <v>193</v>
      </c>
      <c r="L24" s="23">
        <f>COUNTIFS(logistics_dataset!$B$2:$B$3205,$J24,logistics_dataset!$AD$2:$AD$3205,L$23)</f>
        <v>224</v>
      </c>
      <c r="M24" s="23">
        <f>COUNTIFS(logistics_dataset!$B$2:$B$3205,$J24,logistics_dataset!$AD$2:$AD$3205,M$23)</f>
        <v>200</v>
      </c>
    </row>
    <row r="25" spans="1:13" x14ac:dyDescent="0.25">
      <c r="A25" s="20">
        <f>Reorder_Priority!A3</f>
        <v>2</v>
      </c>
      <c r="B25" s="20" t="str">
        <f>Reorder_Priority!B3</f>
        <v>ITM13191</v>
      </c>
      <c r="C25" s="20" t="str">
        <f>Reorder_Priority!C3</f>
        <v>Groceries</v>
      </c>
      <c r="D25" s="20" t="str">
        <f>Reorder_Priority!D3</f>
        <v>A</v>
      </c>
      <c r="E25" s="23">
        <f>Reorder_Priority!F3</f>
        <v>71</v>
      </c>
      <c r="F25" s="23">
        <f>Reorder_Priority!G3</f>
        <v>77</v>
      </c>
      <c r="G25" s="24">
        <f>Reorder_Priority!J3</f>
        <v>1.4205682272909164</v>
      </c>
      <c r="H25" s="20" t="str">
        <f>Reorder_Priority!R3</f>
        <v>Immediate reorder</v>
      </c>
      <c r="I25" s="9"/>
      <c r="J25" s="20" t="s">
        <v>36</v>
      </c>
      <c r="K25" s="23">
        <f>COUNTIFS(logistics_dataset!$B$2:$B$3205,$J25,logistics_dataset!$AD$2:$AD$3205,K$23)</f>
        <v>236</v>
      </c>
      <c r="L25" s="23">
        <f>COUNTIFS(logistics_dataset!$B$2:$B$3205,$J25,logistics_dataset!$AD$2:$AD$3205,L$23)</f>
        <v>218</v>
      </c>
      <c r="M25" s="23">
        <f>COUNTIFS(logistics_dataset!$B$2:$B$3205,$J25,logistics_dataset!$AD$2:$AD$3205,M$23)</f>
        <v>204</v>
      </c>
    </row>
    <row r="26" spans="1:13" x14ac:dyDescent="0.25">
      <c r="A26" s="20">
        <f>Reorder_Priority!A4</f>
        <v>3</v>
      </c>
      <c r="B26" s="20" t="str">
        <f>Reorder_Priority!B4</f>
        <v>ITM10756</v>
      </c>
      <c r="C26" s="20" t="str">
        <f>Reorder_Priority!C4</f>
        <v>Automotive</v>
      </c>
      <c r="D26" s="20" t="str">
        <f>Reorder_Priority!D4</f>
        <v>C</v>
      </c>
      <c r="E26" s="23">
        <f>Reorder_Priority!F4</f>
        <v>41</v>
      </c>
      <c r="F26" s="23">
        <f>Reorder_Priority!G4</f>
        <v>47</v>
      </c>
      <c r="G26" s="24">
        <f>Reorder_Priority!J4</f>
        <v>1.2856694888679836</v>
      </c>
      <c r="H26" s="20" t="str">
        <f>Reorder_Priority!R4</f>
        <v>Immediate reorder</v>
      </c>
      <c r="I26" s="9"/>
      <c r="J26" s="20" t="s">
        <v>73</v>
      </c>
      <c r="K26" s="23">
        <f>COUNTIFS(logistics_dataset!$B$2:$B$3205,$J26,logistics_dataset!$AD$2:$AD$3205,K$23)</f>
        <v>230</v>
      </c>
      <c r="L26" s="23">
        <f>COUNTIFS(logistics_dataset!$B$2:$B$3205,$J26,logistics_dataset!$AD$2:$AD$3205,L$23)</f>
        <v>218</v>
      </c>
      <c r="M26" s="23">
        <f>COUNTIFS(logistics_dataset!$B$2:$B$3205,$J26,logistics_dataset!$AD$2:$AD$3205,M$23)</f>
        <v>203</v>
      </c>
    </row>
    <row r="27" spans="1:13" x14ac:dyDescent="0.25">
      <c r="A27" s="20">
        <f>Reorder_Priority!A5</f>
        <v>4</v>
      </c>
      <c r="B27" s="20" t="str">
        <f>Reorder_Priority!B5</f>
        <v>ITM13095</v>
      </c>
      <c r="C27" s="20" t="str">
        <f>Reorder_Priority!C5</f>
        <v>Groceries</v>
      </c>
      <c r="D27" s="20" t="str">
        <f>Reorder_Priority!D5</f>
        <v>D</v>
      </c>
      <c r="E27" s="23">
        <f>Reorder_Priority!F5</f>
        <v>39</v>
      </c>
      <c r="F27" s="23">
        <f>Reorder_Priority!G5</f>
        <v>68</v>
      </c>
      <c r="G27" s="24">
        <f>Reorder_Priority!J5</f>
        <v>0.96320079031859718</v>
      </c>
      <c r="H27" s="20" t="str">
        <f>Reorder_Priority!R5</f>
        <v>Immediate reorder</v>
      </c>
      <c r="I27" s="9"/>
      <c r="J27" s="20" t="s">
        <v>40</v>
      </c>
      <c r="K27" s="23">
        <f>COUNTIFS(logistics_dataset!$B$2:$B$3205,$J27,logistics_dataset!$AD$2:$AD$3205,K$23)</f>
        <v>208</v>
      </c>
      <c r="L27" s="23">
        <f>COUNTIFS(logistics_dataset!$B$2:$B$3205,$J27,logistics_dataset!$AD$2:$AD$3205,L$23)</f>
        <v>204</v>
      </c>
      <c r="M27" s="23">
        <f>COUNTIFS(logistics_dataset!$B$2:$B$3205,$J27,logistics_dataset!$AD$2:$AD$3205,M$23)</f>
        <v>206</v>
      </c>
    </row>
    <row r="28" spans="1:13" x14ac:dyDescent="0.25">
      <c r="A28" s="20">
        <f>Reorder_Priority!A6</f>
        <v>5</v>
      </c>
      <c r="B28" s="20" t="str">
        <f>Reorder_Priority!B6</f>
        <v>ITM10245</v>
      </c>
      <c r="C28" s="20" t="str">
        <f>Reorder_Priority!C6</f>
        <v>Groceries</v>
      </c>
      <c r="D28" s="20" t="str">
        <f>Reorder_Priority!D6</f>
        <v>A</v>
      </c>
      <c r="E28" s="23">
        <f>Reorder_Priority!F6</f>
        <v>50</v>
      </c>
      <c r="F28" s="23">
        <f>Reorder_Priority!G6</f>
        <v>78</v>
      </c>
      <c r="G28" s="24">
        <f>Reorder_Priority!J6</f>
        <v>1.1528706479133042</v>
      </c>
      <c r="H28" s="20" t="str">
        <f>Reorder_Priority!R6</f>
        <v>Immediate reorder</v>
      </c>
      <c r="I28" s="9"/>
      <c r="J28" s="20" t="s">
        <v>32</v>
      </c>
      <c r="K28" s="23">
        <f>COUNTIFS(logistics_dataset!$B$2:$B$3205,$J28,logistics_dataset!$AD$2:$AD$3205,K$23)</f>
        <v>236</v>
      </c>
      <c r="L28" s="23">
        <f>COUNTIFS(logistics_dataset!$B$2:$B$3205,$J28,logistics_dataset!$AD$2:$AD$3205,L$23)</f>
        <v>213</v>
      </c>
      <c r="M28" s="23">
        <f>COUNTIFS(logistics_dataset!$B$2:$B$3205,$J28,logistics_dataset!$AD$2:$AD$3205,M$23)</f>
        <v>211</v>
      </c>
    </row>
    <row r="29" spans="1:13" x14ac:dyDescent="0.25">
      <c r="A29" s="20">
        <f>Reorder_Priority!A7</f>
        <v>6</v>
      </c>
      <c r="B29" s="20" t="str">
        <f>Reorder_Priority!B7</f>
        <v>ITM11606</v>
      </c>
      <c r="C29" s="20" t="str">
        <f>Reorder_Priority!C7</f>
        <v>Electronics</v>
      </c>
      <c r="D29" s="20" t="str">
        <f>Reorder_Priority!D7</f>
        <v>B</v>
      </c>
      <c r="E29" s="23">
        <f>Reorder_Priority!F7</f>
        <v>41</v>
      </c>
      <c r="F29" s="23">
        <f>Reorder_Priority!G7</f>
        <v>82</v>
      </c>
      <c r="G29" s="24">
        <f>Reorder_Priority!J7</f>
        <v>0.85452271779908295</v>
      </c>
      <c r="H29" s="20" t="str">
        <f>Reorder_Priority!R7</f>
        <v>Immediate reorder</v>
      </c>
      <c r="I29" s="9"/>
      <c r="J29" s="9"/>
      <c r="K29" s="9"/>
      <c r="L29" s="9"/>
      <c r="M29" s="9"/>
    </row>
    <row r="30" spans="1:13" x14ac:dyDescent="0.25">
      <c r="A30" s="20">
        <f>Reorder_Priority!A8</f>
        <v>7</v>
      </c>
      <c r="B30" s="20" t="str">
        <f>Reorder_Priority!B8</f>
        <v>ITM12591</v>
      </c>
      <c r="C30" s="20" t="str">
        <f>Reorder_Priority!C8</f>
        <v>Apparel</v>
      </c>
      <c r="D30" s="20" t="str">
        <f>Reorder_Priority!D8</f>
        <v>B</v>
      </c>
      <c r="E30" s="23">
        <f>Reorder_Priority!F8</f>
        <v>25</v>
      </c>
      <c r="F30" s="23">
        <f>Reorder_Priority!G8</f>
        <v>67</v>
      </c>
      <c r="G30" s="24">
        <f>Reorder_Priority!J8</f>
        <v>0.88401697312588401</v>
      </c>
      <c r="H30" s="20" t="str">
        <f>Reorder_Priority!R8</f>
        <v>Immediate reorder</v>
      </c>
      <c r="I30" s="9"/>
      <c r="J30" s="9"/>
      <c r="K30" s="9"/>
      <c r="L30" s="9"/>
      <c r="M30" s="9"/>
    </row>
    <row r="31" spans="1:13" x14ac:dyDescent="0.25">
      <c r="A31" s="20">
        <f>Reorder_Priority!A9</f>
        <v>8</v>
      </c>
      <c r="B31" s="20" t="str">
        <f>Reorder_Priority!B9</f>
        <v>ITM10772</v>
      </c>
      <c r="C31" s="20" t="str">
        <f>Reorder_Priority!C9</f>
        <v>Pharma</v>
      </c>
      <c r="D31" s="20" t="str">
        <f>Reorder_Priority!D9</f>
        <v>C</v>
      </c>
      <c r="E31" s="23">
        <f>Reorder_Priority!F9</f>
        <v>28</v>
      </c>
      <c r="F31" s="23">
        <f>Reorder_Priority!G9</f>
        <v>84</v>
      </c>
      <c r="G31" s="24">
        <f>Reorder_Priority!J9</f>
        <v>0.64471563435413304</v>
      </c>
      <c r="H31" s="20" t="str">
        <f>Reorder_Priority!R9</f>
        <v>Immediate reorder</v>
      </c>
      <c r="I31" s="9"/>
      <c r="J31" s="28" t="s">
        <v>3376</v>
      </c>
      <c r="K31" s="28"/>
      <c r="L31" s="28"/>
      <c r="M31" s="28"/>
    </row>
    <row r="32" spans="1:13" ht="60" x14ac:dyDescent="0.25">
      <c r="A32" s="20">
        <f>Reorder_Priority!A10</f>
        <v>9</v>
      </c>
      <c r="B32" s="20" t="str">
        <f>Reorder_Priority!B10</f>
        <v>ITM11324</v>
      </c>
      <c r="C32" s="20" t="str">
        <f>Reorder_Priority!C10</f>
        <v>Apparel</v>
      </c>
      <c r="D32" s="20" t="str">
        <f>Reorder_Priority!D10</f>
        <v>A</v>
      </c>
      <c r="E32" s="23">
        <f>Reorder_Priority!F10</f>
        <v>66</v>
      </c>
      <c r="F32" s="23">
        <f>Reorder_Priority!G10</f>
        <v>79</v>
      </c>
      <c r="G32" s="24">
        <f>Reorder_Priority!J10</f>
        <v>1.4775016789791806</v>
      </c>
      <c r="H32" s="20" t="str">
        <f>Reorder_Priority!R10</f>
        <v>Immediate reorder</v>
      </c>
      <c r="I32" s="9"/>
      <c r="J32" s="25" t="s">
        <v>3377</v>
      </c>
      <c r="K32" s="20" t="s">
        <v>3378</v>
      </c>
      <c r="L32" s="20"/>
      <c r="M32" s="20"/>
    </row>
    <row r="33" spans="1:13" ht="75" x14ac:dyDescent="0.25">
      <c r="A33" s="20">
        <f>Reorder_Priority!A11</f>
        <v>10</v>
      </c>
      <c r="B33" s="20" t="str">
        <f>Reorder_Priority!B11</f>
        <v>ITM12039</v>
      </c>
      <c r="C33" s="20" t="str">
        <f>Reorder_Priority!C11</f>
        <v>Automotive</v>
      </c>
      <c r="D33" s="20" t="str">
        <f>Reorder_Priority!D11</f>
        <v>C</v>
      </c>
      <c r="E33" s="23">
        <f>Reorder_Priority!F11</f>
        <v>25</v>
      </c>
      <c r="F33" s="23">
        <f>Reorder_Priority!G11</f>
        <v>96</v>
      </c>
      <c r="G33" s="24">
        <f>Reorder_Priority!J11</f>
        <v>0.55791118054005795</v>
      </c>
      <c r="H33" s="20" t="str">
        <f>Reorder_Priority!R11</f>
        <v>Immediate reorder</v>
      </c>
      <c r="I33" s="9"/>
      <c r="J33" s="25" t="s">
        <v>3379</v>
      </c>
      <c r="K33" s="20" t="s">
        <v>3380</v>
      </c>
      <c r="L33" s="20"/>
      <c r="M33" s="20"/>
    </row>
    <row r="34" spans="1:13" ht="75" x14ac:dyDescent="0.25">
      <c r="A34" s="20">
        <f>Reorder_Priority!A12</f>
        <v>11</v>
      </c>
      <c r="B34" s="20" t="str">
        <f>Reorder_Priority!B12</f>
        <v>ITM10505</v>
      </c>
      <c r="C34" s="20" t="str">
        <f>Reorder_Priority!C12</f>
        <v>Electronics</v>
      </c>
      <c r="D34" s="20" t="str">
        <f>Reorder_Priority!D12</f>
        <v>D</v>
      </c>
      <c r="E34" s="23">
        <f>Reorder_Priority!F12</f>
        <v>38</v>
      </c>
      <c r="F34" s="23">
        <f>Reorder_Priority!G12</f>
        <v>68</v>
      </c>
      <c r="G34" s="24">
        <f>Reorder_Priority!J12</f>
        <v>1.1875</v>
      </c>
      <c r="H34" s="20" t="str">
        <f>Reorder_Priority!R12</f>
        <v>Immediate reorder</v>
      </c>
      <c r="I34" s="9"/>
      <c r="J34" s="25" t="s">
        <v>3381</v>
      </c>
      <c r="K34" s="20" t="s">
        <v>3382</v>
      </c>
      <c r="L34" s="20"/>
      <c r="M34" s="20"/>
    </row>
    <row r="35" spans="1:13" ht="60" x14ac:dyDescent="0.25">
      <c r="A35" s="20">
        <f>Reorder_Priority!A13</f>
        <v>12</v>
      </c>
      <c r="B35" s="20" t="str">
        <f>Reorder_Priority!B13</f>
        <v>ITM12728</v>
      </c>
      <c r="C35" s="20" t="str">
        <f>Reorder_Priority!C13</f>
        <v>Apparel</v>
      </c>
      <c r="D35" s="20" t="str">
        <f>Reorder_Priority!D13</f>
        <v>A</v>
      </c>
      <c r="E35" s="23">
        <f>Reorder_Priority!F13</f>
        <v>27</v>
      </c>
      <c r="F35" s="23">
        <f>Reorder_Priority!G13</f>
        <v>48</v>
      </c>
      <c r="G35" s="24">
        <f>Reorder_Priority!J13</f>
        <v>0.54282267792521111</v>
      </c>
      <c r="H35" s="20" t="str">
        <f>Reorder_Priority!R13</f>
        <v>Immediate reorder</v>
      </c>
      <c r="I35" s="9"/>
      <c r="J35" s="25" t="s">
        <v>3383</v>
      </c>
      <c r="K35" s="20" t="s">
        <v>3384</v>
      </c>
      <c r="L35" s="20"/>
      <c r="M35" s="20"/>
    </row>
    <row r="36" spans="1:13" ht="60" x14ac:dyDescent="0.25">
      <c r="A36" s="20">
        <f>Reorder_Priority!A14</f>
        <v>13</v>
      </c>
      <c r="B36" s="20" t="str">
        <f>Reorder_Priority!B14</f>
        <v>ITM12990</v>
      </c>
      <c r="C36" s="20" t="str">
        <f>Reorder_Priority!C14</f>
        <v>Automotive</v>
      </c>
      <c r="D36" s="20" t="str">
        <f>Reorder_Priority!D14</f>
        <v>C</v>
      </c>
      <c r="E36" s="23">
        <f>Reorder_Priority!F14</f>
        <v>41</v>
      </c>
      <c r="F36" s="23">
        <f>Reorder_Priority!G14</f>
        <v>73</v>
      </c>
      <c r="G36" s="24">
        <f>Reorder_Priority!J14</f>
        <v>1.263482280431433</v>
      </c>
      <c r="H36" s="20" t="str">
        <f>Reorder_Priority!R14</f>
        <v>Immediate reorder</v>
      </c>
      <c r="I36" s="9"/>
      <c r="J36" s="25" t="s">
        <v>3385</v>
      </c>
      <c r="K36" s="20" t="s">
        <v>3386</v>
      </c>
      <c r="L36" s="20"/>
      <c r="M36" s="20"/>
    </row>
    <row r="37" spans="1:13" ht="75" x14ac:dyDescent="0.25">
      <c r="A37" s="20">
        <f>Reorder_Priority!A15</f>
        <v>14</v>
      </c>
      <c r="B37" s="20" t="str">
        <f>Reorder_Priority!B15</f>
        <v>ITM12273</v>
      </c>
      <c r="C37" s="20" t="str">
        <f>Reorder_Priority!C15</f>
        <v>Pharma</v>
      </c>
      <c r="D37" s="20" t="str">
        <f>Reorder_Priority!D15</f>
        <v>D</v>
      </c>
      <c r="E37" s="23">
        <f>Reorder_Priority!F15</f>
        <v>29</v>
      </c>
      <c r="F37" s="23">
        <f>Reorder_Priority!G15</f>
        <v>76</v>
      </c>
      <c r="G37" s="24">
        <f>Reorder_Priority!J15</f>
        <v>0.58479532163742687</v>
      </c>
      <c r="H37" s="20" t="str">
        <f>Reorder_Priority!R15</f>
        <v>Immediate reorder</v>
      </c>
      <c r="I37" s="9"/>
      <c r="J37" s="25" t="s">
        <v>3387</v>
      </c>
      <c r="K37" s="20" t="s">
        <v>3388</v>
      </c>
      <c r="L37" s="20"/>
      <c r="M37" s="20"/>
    </row>
    <row r="38" spans="1:13" ht="60" x14ac:dyDescent="0.25">
      <c r="A38" s="20">
        <f>Reorder_Priority!A16</f>
        <v>15</v>
      </c>
      <c r="B38" s="20" t="str">
        <f>Reorder_Priority!B16</f>
        <v>ITM10120</v>
      </c>
      <c r="C38" s="20" t="str">
        <f>Reorder_Priority!C16</f>
        <v>Apparel</v>
      </c>
      <c r="D38" s="20" t="str">
        <f>Reorder_Priority!D16</f>
        <v>A</v>
      </c>
      <c r="E38" s="23">
        <f>Reorder_Priority!F16</f>
        <v>41</v>
      </c>
      <c r="F38" s="23">
        <f>Reorder_Priority!G16</f>
        <v>53</v>
      </c>
      <c r="G38" s="24">
        <f>Reorder_Priority!J16</f>
        <v>0.8455351618890492</v>
      </c>
      <c r="H38" s="20" t="str">
        <f>Reorder_Priority!R16</f>
        <v>Immediate reorder</v>
      </c>
      <c r="I38" s="9"/>
      <c r="J38" s="25" t="s">
        <v>3389</v>
      </c>
      <c r="K38" s="20" t="s">
        <v>3390</v>
      </c>
      <c r="L38" s="20"/>
      <c r="M38" s="20"/>
    </row>
    <row r="39" spans="1:13" x14ac:dyDescent="0.25">
      <c r="A39" s="20">
        <f>Reorder_Priority!A17</f>
        <v>16</v>
      </c>
      <c r="B39" s="20" t="str">
        <f>Reorder_Priority!B17</f>
        <v>ITM11103</v>
      </c>
      <c r="C39" s="20" t="str">
        <f>Reorder_Priority!C17</f>
        <v>Groceries</v>
      </c>
      <c r="D39" s="20" t="str">
        <f>Reorder_Priority!D17</f>
        <v>D</v>
      </c>
      <c r="E39" s="23">
        <f>Reorder_Priority!F17</f>
        <v>58</v>
      </c>
      <c r="F39" s="23">
        <f>Reorder_Priority!G17</f>
        <v>68</v>
      </c>
      <c r="G39" s="24">
        <f>Reorder_Priority!J17</f>
        <v>1.5886058614078336</v>
      </c>
      <c r="H39" s="20" t="str">
        <f>Reorder_Priority!R17</f>
        <v>Immediate reorder</v>
      </c>
      <c r="I39" s="9"/>
      <c r="J39" s="9"/>
      <c r="K39" s="9"/>
      <c r="L39" s="9"/>
      <c r="M39" s="9"/>
    </row>
    <row r="40" spans="1:13" x14ac:dyDescent="0.25">
      <c r="A40" s="20">
        <f>Reorder_Priority!A18</f>
        <v>17</v>
      </c>
      <c r="B40" s="20" t="str">
        <f>Reorder_Priority!B18</f>
        <v>ITM12650</v>
      </c>
      <c r="C40" s="20" t="str">
        <f>Reorder_Priority!C18</f>
        <v>Electronics</v>
      </c>
      <c r="D40" s="20" t="str">
        <f>Reorder_Priority!D18</f>
        <v>B</v>
      </c>
      <c r="E40" s="23">
        <f>Reorder_Priority!F18</f>
        <v>44</v>
      </c>
      <c r="F40" s="23">
        <f>Reorder_Priority!G18</f>
        <v>64</v>
      </c>
      <c r="G40" s="24">
        <f>Reorder_Priority!J18</f>
        <v>0.99570038470242139</v>
      </c>
      <c r="H40" s="20" t="str">
        <f>Reorder_Priority!R18</f>
        <v>Immediate reorder</v>
      </c>
      <c r="I40" s="9"/>
      <c r="J40" s="9"/>
      <c r="K40" s="9"/>
      <c r="L40" s="9"/>
      <c r="M40" s="9"/>
    </row>
    <row r="41" spans="1:13" x14ac:dyDescent="0.25">
      <c r="A41" s="20">
        <f>Reorder_Priority!A19</f>
        <v>18</v>
      </c>
      <c r="B41" s="20" t="str">
        <f>Reorder_Priority!B19</f>
        <v>ITM12721</v>
      </c>
      <c r="C41" s="20" t="str">
        <f>Reorder_Priority!C19</f>
        <v>Electronics</v>
      </c>
      <c r="D41" s="20" t="str">
        <f>Reorder_Priority!D19</f>
        <v>D</v>
      </c>
      <c r="E41" s="23">
        <f>Reorder_Priority!F19</f>
        <v>36</v>
      </c>
      <c r="F41" s="23">
        <f>Reorder_Priority!G19</f>
        <v>83</v>
      </c>
      <c r="G41" s="24">
        <f>Reorder_Priority!J19</f>
        <v>0.90702947845804993</v>
      </c>
      <c r="H41" s="20" t="str">
        <f>Reorder_Priority!R19</f>
        <v>Immediate reorder</v>
      </c>
      <c r="I41" s="9"/>
      <c r="J41" s="9"/>
      <c r="K41" s="9"/>
      <c r="L41" s="9"/>
      <c r="M41" s="9"/>
    </row>
    <row r="42" spans="1:13" x14ac:dyDescent="0.25">
      <c r="A42" s="20">
        <f>Reorder_Priority!A20</f>
        <v>19</v>
      </c>
      <c r="B42" s="20" t="str">
        <f>Reorder_Priority!B20</f>
        <v>ITM10966</v>
      </c>
      <c r="C42" s="20" t="str">
        <f>Reorder_Priority!C20</f>
        <v>Electronics</v>
      </c>
      <c r="D42" s="20" t="str">
        <f>Reorder_Priority!D20</f>
        <v>A</v>
      </c>
      <c r="E42" s="23">
        <f>Reorder_Priority!F20</f>
        <v>25</v>
      </c>
      <c r="F42" s="23">
        <f>Reorder_Priority!G20</f>
        <v>54</v>
      </c>
      <c r="G42" s="24">
        <f>Reorder_Priority!J20</f>
        <v>0.51888750518887505</v>
      </c>
      <c r="H42" s="20" t="str">
        <f>Reorder_Priority!R20</f>
        <v>Immediate reorder</v>
      </c>
      <c r="I42" s="9"/>
      <c r="J42" s="9"/>
      <c r="K42" s="9"/>
      <c r="L42" s="9"/>
      <c r="M42" s="9"/>
    </row>
    <row r="43" spans="1:13" x14ac:dyDescent="0.25">
      <c r="A43" s="20">
        <f>Reorder_Priority!A21</f>
        <v>20</v>
      </c>
      <c r="B43" s="20" t="str">
        <f>Reorder_Priority!B21</f>
        <v>ITM13031</v>
      </c>
      <c r="C43" s="20" t="str">
        <f>Reorder_Priority!C21</f>
        <v>Pharma</v>
      </c>
      <c r="D43" s="20" t="str">
        <f>Reorder_Priority!D21</f>
        <v>D</v>
      </c>
      <c r="E43" s="23">
        <f>Reorder_Priority!F21</f>
        <v>34</v>
      </c>
      <c r="F43" s="23">
        <f>Reorder_Priority!G21</f>
        <v>80</v>
      </c>
      <c r="G43" s="24">
        <f>Reorder_Priority!J21</f>
        <v>0.90353441403135792</v>
      </c>
      <c r="H43" s="20" t="str">
        <f>Reorder_Priority!R21</f>
        <v>Immediate reorder</v>
      </c>
      <c r="I43" s="9"/>
      <c r="J43" s="9"/>
      <c r="K43" s="9"/>
      <c r="L43" s="9"/>
      <c r="M43" s="9"/>
    </row>
    <row r="44" spans="1:13" x14ac:dyDescent="0.25">
      <c r="A44" s="20">
        <f>Reorder_Priority!A22</f>
        <v>21</v>
      </c>
      <c r="B44" s="20" t="str">
        <f>Reorder_Priority!B22</f>
        <v>ITM10007</v>
      </c>
      <c r="C44" s="20" t="str">
        <f>Reorder_Priority!C22</f>
        <v>Groceries</v>
      </c>
      <c r="D44" s="20" t="str">
        <f>Reorder_Priority!D22</f>
        <v>D</v>
      </c>
      <c r="E44" s="23">
        <f>Reorder_Priority!F22</f>
        <v>84</v>
      </c>
      <c r="F44" s="23">
        <f>Reorder_Priority!G22</f>
        <v>89</v>
      </c>
      <c r="G44" s="24">
        <f>Reorder_Priority!J22</f>
        <v>1.7565872020075282</v>
      </c>
      <c r="H44" s="20" t="str">
        <f>Reorder_Priority!R22</f>
        <v>Immediate reorder</v>
      </c>
      <c r="I44" s="9"/>
      <c r="J44" s="9"/>
      <c r="K44" s="9"/>
      <c r="L44" s="9"/>
      <c r="M44" s="9"/>
    </row>
    <row r="45" spans="1:13" x14ac:dyDescent="0.25">
      <c r="A45" s="20">
        <f>Reorder_Priority!A23</f>
        <v>22</v>
      </c>
      <c r="B45" s="20" t="str">
        <f>Reorder_Priority!B23</f>
        <v>ITM12457</v>
      </c>
      <c r="C45" s="20" t="str">
        <f>Reorder_Priority!C23</f>
        <v>Electronics</v>
      </c>
      <c r="D45" s="20" t="str">
        <f>Reorder_Priority!D23</f>
        <v>C</v>
      </c>
      <c r="E45" s="23">
        <f>Reorder_Priority!F23</f>
        <v>25</v>
      </c>
      <c r="F45" s="23">
        <f>Reorder_Priority!G23</f>
        <v>99</v>
      </c>
      <c r="G45" s="24">
        <f>Reorder_Priority!J23</f>
        <v>0.52532044547173773</v>
      </c>
      <c r="H45" s="20" t="str">
        <f>Reorder_Priority!R23</f>
        <v>Immediate reorder</v>
      </c>
      <c r="I45" s="9"/>
      <c r="J45" s="9"/>
      <c r="K45" s="9"/>
      <c r="L45" s="9"/>
      <c r="M45" s="9"/>
    </row>
    <row r="46" spans="1:13" x14ac:dyDescent="0.25">
      <c r="A46" s="20">
        <f>Reorder_Priority!A24</f>
        <v>23</v>
      </c>
      <c r="B46" s="20" t="str">
        <f>Reorder_Priority!B24</f>
        <v>ITM11373</v>
      </c>
      <c r="C46" s="20" t="str">
        <f>Reorder_Priority!C24</f>
        <v>Groceries</v>
      </c>
      <c r="D46" s="20" t="str">
        <f>Reorder_Priority!D24</f>
        <v>D</v>
      </c>
      <c r="E46" s="23">
        <f>Reorder_Priority!F24</f>
        <v>26</v>
      </c>
      <c r="F46" s="23">
        <f>Reorder_Priority!G24</f>
        <v>92</v>
      </c>
      <c r="G46" s="24">
        <f>Reorder_Priority!J24</f>
        <v>0.67814293166405837</v>
      </c>
      <c r="H46" s="20" t="str">
        <f>Reorder_Priority!R24</f>
        <v>Immediate reorder</v>
      </c>
      <c r="I46" s="9"/>
      <c r="J46" s="9"/>
      <c r="K46" s="9"/>
      <c r="L46" s="9"/>
      <c r="M46" s="9"/>
    </row>
    <row r="47" spans="1:13" x14ac:dyDescent="0.25">
      <c r="A47" s="20">
        <f>Reorder_Priority!A25</f>
        <v>24</v>
      </c>
      <c r="B47" s="20" t="str">
        <f>Reorder_Priority!B25</f>
        <v>ITM12966</v>
      </c>
      <c r="C47" s="20" t="str">
        <f>Reorder_Priority!C25</f>
        <v>Groceries</v>
      </c>
      <c r="D47" s="20" t="str">
        <f>Reorder_Priority!D25</f>
        <v>B</v>
      </c>
      <c r="E47" s="23">
        <f>Reorder_Priority!F25</f>
        <v>31</v>
      </c>
      <c r="F47" s="23">
        <f>Reorder_Priority!G25</f>
        <v>45</v>
      </c>
      <c r="G47" s="24">
        <f>Reorder_Priority!J25</f>
        <v>0.96875</v>
      </c>
      <c r="H47" s="20" t="str">
        <f>Reorder_Priority!R25</f>
        <v>Immediate reorder</v>
      </c>
      <c r="I47" s="9"/>
      <c r="J47" s="9"/>
      <c r="K47" s="9"/>
      <c r="L47" s="9"/>
      <c r="M47" s="9"/>
    </row>
    <row r="48" spans="1:13" x14ac:dyDescent="0.25">
      <c r="A48" s="20">
        <f>Reorder_Priority!A26</f>
        <v>25</v>
      </c>
      <c r="B48" s="20" t="str">
        <f>Reorder_Priority!B26</f>
        <v>ITM12804</v>
      </c>
      <c r="C48" s="20" t="str">
        <f>Reorder_Priority!C26</f>
        <v>Electronics</v>
      </c>
      <c r="D48" s="20" t="str">
        <f>Reorder_Priority!D26</f>
        <v>C</v>
      </c>
      <c r="E48" s="23">
        <f>Reorder_Priority!F26</f>
        <v>28</v>
      </c>
      <c r="F48" s="23">
        <f>Reorder_Priority!G26</f>
        <v>44</v>
      </c>
      <c r="G48" s="24">
        <f>Reorder_Priority!J26</f>
        <v>0.67698259187620891</v>
      </c>
      <c r="H48" s="20" t="str">
        <f>Reorder_Priority!R26</f>
        <v>Immediate reorder</v>
      </c>
      <c r="I48" s="9"/>
      <c r="J48" s="9"/>
      <c r="K48" s="9"/>
      <c r="L48" s="9"/>
      <c r="M48" s="9"/>
    </row>
    <row r="49" spans="1:13" x14ac:dyDescent="0.25">
      <c r="A49" s="20">
        <f>Reorder_Priority!A27</f>
        <v>26</v>
      </c>
      <c r="B49" s="20" t="str">
        <f>Reorder_Priority!B27</f>
        <v>ITM12406</v>
      </c>
      <c r="C49" s="20" t="str">
        <f>Reorder_Priority!C27</f>
        <v>Electronics</v>
      </c>
      <c r="D49" s="20" t="str">
        <f>Reorder_Priority!D27</f>
        <v>C</v>
      </c>
      <c r="E49" s="23">
        <f>Reorder_Priority!F27</f>
        <v>50</v>
      </c>
      <c r="F49" s="23">
        <f>Reorder_Priority!G27</f>
        <v>82</v>
      </c>
      <c r="G49" s="24">
        <f>Reorder_Priority!J27</f>
        <v>1.598976654940838</v>
      </c>
      <c r="H49" s="20" t="str">
        <f>Reorder_Priority!R27</f>
        <v>Immediate reorder</v>
      </c>
      <c r="I49" s="9"/>
      <c r="J49" s="9"/>
      <c r="K49" s="9"/>
      <c r="L49" s="9"/>
      <c r="M49" s="9"/>
    </row>
    <row r="50" spans="1:13" x14ac:dyDescent="0.25">
      <c r="A50" s="20">
        <f>Reorder_Priority!A28</f>
        <v>27</v>
      </c>
      <c r="B50" s="20" t="str">
        <f>Reorder_Priority!B28</f>
        <v>ITM12987</v>
      </c>
      <c r="C50" s="20" t="str">
        <f>Reorder_Priority!C28</f>
        <v>Electronics</v>
      </c>
      <c r="D50" s="20" t="str">
        <f>Reorder_Priority!D28</f>
        <v>C</v>
      </c>
      <c r="E50" s="23">
        <f>Reorder_Priority!F28</f>
        <v>55</v>
      </c>
      <c r="F50" s="23">
        <f>Reorder_Priority!G28</f>
        <v>84</v>
      </c>
      <c r="G50" s="24">
        <f>Reorder_Priority!J28</f>
        <v>1.9920318725099602</v>
      </c>
      <c r="H50" s="20" t="str">
        <f>Reorder_Priority!R28</f>
        <v>Immediate reorder</v>
      </c>
      <c r="I50" s="9"/>
      <c r="J50" s="9"/>
      <c r="K50" s="9"/>
      <c r="L50" s="9"/>
      <c r="M50" s="9"/>
    </row>
    <row r="51" spans="1:13" x14ac:dyDescent="0.25">
      <c r="A51" s="20">
        <f>Reorder_Priority!A29</f>
        <v>28</v>
      </c>
      <c r="B51" s="20" t="str">
        <f>Reorder_Priority!B29</f>
        <v>ITM12277</v>
      </c>
      <c r="C51" s="20" t="str">
        <f>Reorder_Priority!C29</f>
        <v>Electronics</v>
      </c>
      <c r="D51" s="20" t="str">
        <f>Reorder_Priority!D29</f>
        <v>B</v>
      </c>
      <c r="E51" s="23">
        <f>Reorder_Priority!F29</f>
        <v>24</v>
      </c>
      <c r="F51" s="23">
        <f>Reorder_Priority!G29</f>
        <v>66</v>
      </c>
      <c r="G51" s="24">
        <f>Reorder_Priority!J29</f>
        <v>0.60805675196351661</v>
      </c>
      <c r="H51" s="20" t="str">
        <f>Reorder_Priority!R29</f>
        <v>Immediate reorder</v>
      </c>
      <c r="I51" s="9"/>
      <c r="J51" s="9"/>
      <c r="K51" s="9"/>
      <c r="L51" s="9"/>
      <c r="M51" s="9"/>
    </row>
    <row r="52" spans="1:13" x14ac:dyDescent="0.25">
      <c r="A52" s="20">
        <f>Reorder_Priority!A30</f>
        <v>29</v>
      </c>
      <c r="B52" s="20" t="str">
        <f>Reorder_Priority!B30</f>
        <v>ITM11001</v>
      </c>
      <c r="C52" s="20" t="str">
        <f>Reorder_Priority!C30</f>
        <v>Pharma</v>
      </c>
      <c r="D52" s="20" t="str">
        <f>Reorder_Priority!D30</f>
        <v>D</v>
      </c>
      <c r="E52" s="23">
        <f>Reorder_Priority!F30</f>
        <v>39</v>
      </c>
      <c r="F52" s="23">
        <f>Reorder_Priority!G30</f>
        <v>65</v>
      </c>
      <c r="G52" s="24">
        <f>Reorder_Priority!J30</f>
        <v>1.1136493432324386</v>
      </c>
      <c r="H52" s="20" t="str">
        <f>Reorder_Priority!R30</f>
        <v>Immediate reorder</v>
      </c>
      <c r="I52" s="9"/>
      <c r="J52" s="9"/>
      <c r="K52" s="9"/>
      <c r="L52" s="9"/>
      <c r="M52" s="9"/>
    </row>
    <row r="53" spans="1:13" x14ac:dyDescent="0.25">
      <c r="A53" s="20">
        <f>Reorder_Priority!A31</f>
        <v>30</v>
      </c>
      <c r="B53" s="20" t="str">
        <f>Reorder_Priority!B31</f>
        <v>ITM10308</v>
      </c>
      <c r="C53" s="20" t="str">
        <f>Reorder_Priority!C31</f>
        <v>Automotive</v>
      </c>
      <c r="D53" s="20" t="str">
        <f>Reorder_Priority!D31</f>
        <v>D</v>
      </c>
      <c r="E53" s="23">
        <f>Reorder_Priority!F31</f>
        <v>36</v>
      </c>
      <c r="F53" s="23">
        <f>Reorder_Priority!G31</f>
        <v>69</v>
      </c>
      <c r="G53" s="24">
        <f>Reorder_Priority!J31</f>
        <v>0.81799591002044991</v>
      </c>
      <c r="H53" s="20" t="str">
        <f>Reorder_Priority!R31</f>
        <v>Immediate reorder</v>
      </c>
      <c r="I53" s="9"/>
      <c r="J53" s="9"/>
      <c r="K53" s="9"/>
      <c r="L53" s="9"/>
      <c r="M53" s="9"/>
    </row>
    <row r="54" spans="1:13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1:13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1:13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spans="1:13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1:13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</sheetData>
  <mergeCells count="9">
    <mergeCell ref="A22:H22"/>
    <mergeCell ref="J22:M22"/>
    <mergeCell ref="J31:M31"/>
    <mergeCell ref="A1:M1"/>
    <mergeCell ref="A2:M2"/>
    <mergeCell ref="A4:F4"/>
    <mergeCell ref="H4:K4"/>
    <mergeCell ref="A13:D13"/>
    <mergeCell ref="H13:M13"/>
  </mergeCells>
  <conditionalFormatting sqref="B15:B19">
    <cfRule type="dataBar" priority="2">
      <dataBar>
        <cfvo type="min"/>
        <cfvo type="max"/>
        <color rgb="FFC00000"/>
      </dataBar>
    </cfRule>
    <cfRule type="dataBar" priority="5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{AF13A3FE-9EF9-19FA-1B21-2BDA80076BD4}</x14:id>
        </ext>
      </extLst>
    </cfRule>
  </conditionalFormatting>
  <conditionalFormatting sqref="G24:G53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I6:I10">
    <cfRule type="dataBar" priority="1">
      <dataBar>
        <cfvo type="min"/>
        <cfvo type="max"/>
        <color rgb="FFC00000"/>
      </dataBar>
    </cfRule>
    <cfRule type="dataBar" priority="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{E277A82E-D52F-A3B2-01C1-74EDD42B5E6C}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13A3FE-9EF9-19FA-1B21-2BDA80076BD4}">
            <x14:dataBar>
              <x14:cfvo type="min"/>
              <x14:cfvo type="max"/>
              <x14:negativeFillColor auto="1"/>
              <x14:axisColor auto="1"/>
            </x14:dataBar>
          </x14:cfRule>
          <xm:sqref>B15:B19</xm:sqref>
        </x14:conditionalFormatting>
        <x14:conditionalFormatting xmlns:xm="http://schemas.microsoft.com/office/excel/2006/main">
          <x14:cfRule type="dataBar" id="{E277A82E-D52F-A3B2-01C1-74EDD42B5E6C}">
            <x14:dataBar>
              <x14:cfvo type="min"/>
              <x14:cfvo type="max"/>
              <x14:negativeFillColor auto="1"/>
              <x14:axisColor auto="1"/>
            </x14:dataBar>
          </x14:cfRule>
          <xm:sqref>I6:I10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topLeftCell="A7" workbookViewId="0"/>
  </sheetViews>
  <sheetFormatPr defaultRowHeight="15" x14ac:dyDescent="0.25"/>
  <cols>
    <col min="1" max="1" width="19.28515625" customWidth="1"/>
    <col min="2" max="2" width="12.85546875" customWidth="1"/>
    <col min="3" max="3" width="4.85546875" customWidth="1"/>
    <col min="4" max="4" width="13.28515625" customWidth="1"/>
    <col min="5" max="5" width="10" customWidth="1"/>
    <col min="6" max="6" width="7.42578125" customWidth="1"/>
    <col min="7" max="7" width="16.42578125" customWidth="1"/>
    <col min="8" max="8" width="17.85546875" customWidth="1"/>
    <col min="9" max="9" width="12.85546875" customWidth="1"/>
    <col min="10" max="10" width="17.5703125" customWidth="1"/>
    <col min="11" max="11" width="10.85546875" customWidth="1"/>
  </cols>
  <sheetData>
    <row r="1" spans="1:11" ht="75" x14ac:dyDescent="0.25">
      <c r="A1" s="2" t="s">
        <v>3350</v>
      </c>
      <c r="B1" s="2" t="s">
        <v>3361</v>
      </c>
      <c r="C1" s="2" t="s">
        <v>3345</v>
      </c>
      <c r="D1" s="2" t="s">
        <v>3391</v>
      </c>
      <c r="E1" s="2" t="s">
        <v>3392</v>
      </c>
      <c r="F1" s="2" t="s">
        <v>3393</v>
      </c>
      <c r="G1" s="2" t="s">
        <v>3353</v>
      </c>
      <c r="H1" s="2" t="s">
        <v>3394</v>
      </c>
      <c r="I1" s="2" t="s">
        <v>27</v>
      </c>
      <c r="J1" s="2" t="s">
        <v>28</v>
      </c>
      <c r="K1" s="2" t="s">
        <v>3364</v>
      </c>
    </row>
    <row r="2" spans="1:11" x14ac:dyDescent="0.25">
      <c r="A2" s="3" t="s">
        <v>48</v>
      </c>
      <c r="B2" s="3">
        <v>617</v>
      </c>
      <c r="C2" s="3">
        <v>47</v>
      </c>
      <c r="D2" s="3">
        <v>156</v>
      </c>
      <c r="E2" s="4">
        <v>7.6175040518638576E-2</v>
      </c>
      <c r="F2" s="4">
        <v>0.25283630470016205</v>
      </c>
      <c r="G2" s="4">
        <v>0.84742301458670988</v>
      </c>
      <c r="H2" s="5">
        <v>97.081037277147487</v>
      </c>
      <c r="I2" s="6">
        <v>16804476.350000001</v>
      </c>
      <c r="J2" s="6">
        <v>4916496.8999999994</v>
      </c>
      <c r="K2" s="7">
        <v>0.60337439222042133</v>
      </c>
    </row>
    <row r="3" spans="1:11" x14ac:dyDescent="0.25">
      <c r="A3" s="3" t="s">
        <v>36</v>
      </c>
      <c r="B3" s="3">
        <v>658</v>
      </c>
      <c r="C3" s="3">
        <v>54</v>
      </c>
      <c r="D3" s="3">
        <v>175</v>
      </c>
      <c r="E3" s="4">
        <v>8.2066869300911852E-2</v>
      </c>
      <c r="F3" s="4">
        <v>0.26595744680851063</v>
      </c>
      <c r="G3" s="4">
        <v>0.85185410334346501</v>
      </c>
      <c r="H3" s="5">
        <v>95.49088145896657</v>
      </c>
      <c r="I3" s="6">
        <v>18042426.129999999</v>
      </c>
      <c r="J3" s="6">
        <v>5286221.0999999996</v>
      </c>
      <c r="K3" s="7">
        <v>0.5997765957446809</v>
      </c>
    </row>
    <row r="4" spans="1:11" x14ac:dyDescent="0.25">
      <c r="A4" s="3" t="s">
        <v>73</v>
      </c>
      <c r="B4" s="3">
        <v>651</v>
      </c>
      <c r="C4" s="3">
        <v>46</v>
      </c>
      <c r="D4" s="3">
        <v>164</v>
      </c>
      <c r="E4" s="4">
        <v>7.0660522273425494E-2</v>
      </c>
      <c r="F4" s="4">
        <v>0.25192012288786481</v>
      </c>
      <c r="G4" s="4">
        <v>0.85132104454685109</v>
      </c>
      <c r="H4" s="5">
        <v>96.225806451612897</v>
      </c>
      <c r="I4" s="6">
        <v>18234365.990000002</v>
      </c>
      <c r="J4" s="6">
        <v>5396802.2999999998</v>
      </c>
      <c r="K4" s="7">
        <v>0.6016497695852534</v>
      </c>
    </row>
    <row r="5" spans="1:11" x14ac:dyDescent="0.25">
      <c r="A5" s="3" t="s">
        <v>40</v>
      </c>
      <c r="B5" s="3">
        <v>618</v>
      </c>
      <c r="C5" s="3">
        <v>47</v>
      </c>
      <c r="D5" s="3">
        <v>168</v>
      </c>
      <c r="E5" s="4">
        <v>7.605177993527508E-2</v>
      </c>
      <c r="F5" s="4">
        <v>0.27184466019417475</v>
      </c>
      <c r="G5" s="4">
        <v>0.84768608414239488</v>
      </c>
      <c r="H5" s="5">
        <v>94.370550161812304</v>
      </c>
      <c r="I5" s="6">
        <v>17342651.879999999</v>
      </c>
      <c r="J5" s="6">
        <v>5334802.8</v>
      </c>
      <c r="K5" s="7">
        <v>0.5962734627831715</v>
      </c>
    </row>
    <row r="6" spans="1:11" x14ac:dyDescent="0.25">
      <c r="A6" s="3" t="s">
        <v>32</v>
      </c>
      <c r="B6" s="3">
        <v>660</v>
      </c>
      <c r="C6" s="3">
        <v>46</v>
      </c>
      <c r="D6" s="3">
        <v>155</v>
      </c>
      <c r="E6" s="4">
        <v>6.9696969696969702E-2</v>
      </c>
      <c r="F6" s="4">
        <v>0.23484848484848486</v>
      </c>
      <c r="G6" s="4">
        <v>0.85015151515151521</v>
      </c>
      <c r="H6" s="5">
        <v>94.889393939393941</v>
      </c>
      <c r="I6" s="6">
        <v>19142268.690000001</v>
      </c>
      <c r="J6" s="6">
        <v>5512060.2000000002</v>
      </c>
      <c r="K6" s="7">
        <v>0.60736060606060605</v>
      </c>
    </row>
    <row r="10" spans="1:11" x14ac:dyDescent="0.25">
      <c r="A10" s="29" t="s">
        <v>3395</v>
      </c>
      <c r="B10" s="30"/>
      <c r="C10" s="30"/>
      <c r="D10" s="30"/>
    </row>
    <row r="11" spans="1:11" ht="30" x14ac:dyDescent="0.25">
      <c r="A11" s="2" t="s">
        <v>3396</v>
      </c>
      <c r="B11" s="2" t="s">
        <v>3397</v>
      </c>
      <c r="C11" s="2" t="s">
        <v>3398</v>
      </c>
      <c r="D11" s="2" t="s">
        <v>3399</v>
      </c>
    </row>
    <row r="12" spans="1:11" x14ac:dyDescent="0.25">
      <c r="A12" t="s">
        <v>29</v>
      </c>
      <c r="B12" t="s">
        <v>3373</v>
      </c>
      <c r="C12">
        <v>1103</v>
      </c>
      <c r="D12" s="8">
        <v>0.34425717852684146</v>
      </c>
    </row>
    <row r="13" spans="1:11" x14ac:dyDescent="0.25">
      <c r="A13" t="s">
        <v>29</v>
      </c>
      <c r="B13" t="s">
        <v>3374</v>
      </c>
      <c r="C13">
        <v>1077</v>
      </c>
      <c r="D13" s="8">
        <v>0.33614232209737827</v>
      </c>
    </row>
    <row r="14" spans="1:11" x14ac:dyDescent="0.25">
      <c r="A14" t="s">
        <v>29</v>
      </c>
      <c r="B14" t="s">
        <v>3375</v>
      </c>
      <c r="C14">
        <v>1024</v>
      </c>
      <c r="D14" s="8">
        <v>0.31960049937578028</v>
      </c>
    </row>
    <row r="15" spans="1:11" x14ac:dyDescent="0.25">
      <c r="A15" t="s">
        <v>30</v>
      </c>
      <c r="B15" t="s">
        <v>3400</v>
      </c>
      <c r="C15">
        <v>932</v>
      </c>
      <c r="D15" s="8">
        <v>0.2908863920099875</v>
      </c>
    </row>
    <row r="16" spans="1:11" x14ac:dyDescent="0.25">
      <c r="A16" t="s">
        <v>30</v>
      </c>
      <c r="B16" t="s">
        <v>3401</v>
      </c>
      <c r="C16">
        <v>1141</v>
      </c>
      <c r="D16" s="8">
        <v>0.35611735330836453</v>
      </c>
    </row>
    <row r="17" spans="1:4" x14ac:dyDescent="0.25">
      <c r="A17" t="s">
        <v>30</v>
      </c>
      <c r="B17" t="s">
        <v>3402</v>
      </c>
      <c r="C17">
        <v>1131</v>
      </c>
      <c r="D17" s="8">
        <v>0.35299625468164791</v>
      </c>
    </row>
    <row r="18" spans="1:4" x14ac:dyDescent="0.25">
      <c r="A18" t="s">
        <v>23</v>
      </c>
      <c r="B18" t="s">
        <v>3358</v>
      </c>
      <c r="C18">
        <v>240</v>
      </c>
      <c r="D18" s="8">
        <v>7.4906367041198504E-2</v>
      </c>
    </row>
    <row r="19" spans="1:4" x14ac:dyDescent="0.25">
      <c r="A19" t="s">
        <v>23</v>
      </c>
      <c r="B19" t="s">
        <v>3359</v>
      </c>
      <c r="C19">
        <v>2964</v>
      </c>
      <c r="D19" s="8">
        <v>0.92509363295880154</v>
      </c>
    </row>
    <row r="20" spans="1:4" x14ac:dyDescent="0.25">
      <c r="A20" t="s">
        <v>25</v>
      </c>
      <c r="B20" t="s">
        <v>3354</v>
      </c>
      <c r="C20">
        <v>818</v>
      </c>
      <c r="D20" s="8">
        <v>0.25530586766541824</v>
      </c>
    </row>
    <row r="21" spans="1:4" x14ac:dyDescent="0.25">
      <c r="A21" t="s">
        <v>25</v>
      </c>
      <c r="B21" t="s">
        <v>3355</v>
      </c>
      <c r="C21">
        <v>2386</v>
      </c>
      <c r="D21" s="8">
        <v>0.74469413233458182</v>
      </c>
    </row>
  </sheetData>
  <mergeCells count="1">
    <mergeCell ref="A10:D10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5" x14ac:dyDescent="0.25"/>
  <cols>
    <col min="1" max="1" width="3.85546875" customWidth="1"/>
    <col min="2" max="2" width="9" customWidth="1"/>
    <col min="3" max="3" width="13.140625" customWidth="1"/>
    <col min="4" max="4" width="10.42578125" customWidth="1"/>
    <col min="5" max="5" width="17.85546875" customWidth="1"/>
    <col min="6" max="6" width="17" customWidth="1"/>
    <col min="7" max="7" width="16.42578125" customWidth="1"/>
    <col min="8" max="8" width="12.85546875" customWidth="1"/>
    <col min="9" max="9" width="10.85546875" customWidth="1"/>
  </cols>
  <sheetData>
    <row r="1" spans="1:9" ht="30" x14ac:dyDescent="0.25">
      <c r="A1" s="2" t="s">
        <v>3360</v>
      </c>
      <c r="B1" s="2" t="s">
        <v>3361</v>
      </c>
      <c r="C1" s="2" t="s">
        <v>3345</v>
      </c>
      <c r="D1" s="2" t="s">
        <v>3391</v>
      </c>
      <c r="E1" s="2" t="s">
        <v>3394</v>
      </c>
      <c r="F1" s="2" t="s">
        <v>3363</v>
      </c>
      <c r="G1" s="2" t="s">
        <v>3353</v>
      </c>
      <c r="H1" s="2" t="s">
        <v>27</v>
      </c>
      <c r="I1" s="2" t="s">
        <v>3364</v>
      </c>
    </row>
    <row r="2" spans="1:9" x14ac:dyDescent="0.25">
      <c r="A2" s="3" t="s">
        <v>38</v>
      </c>
      <c r="B2" s="3">
        <v>812</v>
      </c>
      <c r="C2" s="3">
        <v>60</v>
      </c>
      <c r="D2" s="3">
        <v>210</v>
      </c>
      <c r="E2" s="3">
        <v>93.814039408866989</v>
      </c>
      <c r="F2" s="4">
        <v>0.60248768472906411</v>
      </c>
      <c r="G2" s="4">
        <v>0.84899014778325121</v>
      </c>
      <c r="H2" s="6">
        <v>23101995.489999998</v>
      </c>
      <c r="I2" s="7">
        <v>0.60563300492610839</v>
      </c>
    </row>
    <row r="3" spans="1:9" x14ac:dyDescent="0.25">
      <c r="A3" s="3" t="s">
        <v>34</v>
      </c>
      <c r="B3" s="3">
        <v>784</v>
      </c>
      <c r="C3" s="3">
        <v>63</v>
      </c>
      <c r="D3" s="3">
        <v>193</v>
      </c>
      <c r="E3" s="3">
        <v>95.859693877551024</v>
      </c>
      <c r="F3" s="4">
        <v>0.60822704081632661</v>
      </c>
      <c r="G3" s="4">
        <v>0.84454081632653066</v>
      </c>
      <c r="H3" s="6">
        <v>21499318.050000001</v>
      </c>
      <c r="I3" s="7">
        <v>0.59768750000000004</v>
      </c>
    </row>
    <row r="4" spans="1:9" x14ac:dyDescent="0.25">
      <c r="A4" s="3" t="s">
        <v>52</v>
      </c>
      <c r="B4" s="3">
        <v>775</v>
      </c>
      <c r="C4" s="3">
        <v>61</v>
      </c>
      <c r="D4" s="3">
        <v>192</v>
      </c>
      <c r="E4" s="3">
        <v>96.732903225806453</v>
      </c>
      <c r="F4" s="4">
        <v>0.59579354838709675</v>
      </c>
      <c r="G4" s="4">
        <v>0.85227096774193545</v>
      </c>
      <c r="H4" s="6">
        <v>21237976.719999999</v>
      </c>
      <c r="I4" s="7">
        <v>0.59941548387096777</v>
      </c>
    </row>
    <row r="5" spans="1:9" x14ac:dyDescent="0.25">
      <c r="A5" s="3" t="s">
        <v>46</v>
      </c>
      <c r="B5" s="3">
        <v>833</v>
      </c>
      <c r="C5" s="3">
        <v>56</v>
      </c>
      <c r="D5" s="3">
        <v>223</v>
      </c>
      <c r="E5" s="3">
        <v>96.067226890756302</v>
      </c>
      <c r="F5" s="4">
        <v>0.59597839135654262</v>
      </c>
      <c r="G5" s="4">
        <v>0.85300120048019201</v>
      </c>
      <c r="H5" s="6">
        <v>23726898.780000001</v>
      </c>
      <c r="I5" s="7">
        <v>0.60390876350540212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1"/>
  <sheetViews>
    <sheetView workbookViewId="0"/>
  </sheetViews>
  <sheetFormatPr defaultRowHeight="15" x14ac:dyDescent="0.25"/>
  <cols>
    <col min="1" max="1" width="4" customWidth="1"/>
    <col min="2" max="2" width="12" customWidth="1"/>
    <col min="3" max="3" width="9.42578125" customWidth="1"/>
    <col min="4" max="4" width="3.85546875" customWidth="1"/>
    <col min="5" max="5" width="6.85546875" customWidth="1"/>
    <col min="6" max="6" width="9" customWidth="1"/>
    <col min="7" max="7" width="11.140625" customWidth="1"/>
    <col min="8" max="8" width="11.42578125" customWidth="1"/>
    <col min="9" max="9" width="21.5703125" customWidth="1"/>
    <col min="10" max="10" width="15.5703125" customWidth="1"/>
    <col min="11" max="11" width="9.85546875" customWidth="1"/>
    <col min="12" max="12" width="10.85546875" customWidth="1"/>
    <col min="13" max="13" width="17.5703125" customWidth="1"/>
    <col min="14" max="14" width="15.140625" customWidth="1"/>
    <col min="15" max="15" width="16.7109375" customWidth="1"/>
    <col min="16" max="16" width="22.7109375" customWidth="1"/>
    <col min="17" max="17" width="10.85546875" customWidth="1"/>
    <col min="18" max="18" width="22" customWidth="1"/>
  </cols>
  <sheetData>
    <row r="1" spans="1:18" ht="30" x14ac:dyDescent="0.25">
      <c r="A1" s="2" t="s">
        <v>3367</v>
      </c>
      <c r="B1" s="2" t="s">
        <v>3368</v>
      </c>
      <c r="C1" s="2" t="s">
        <v>3350</v>
      </c>
      <c r="D1" s="2" t="s">
        <v>3360</v>
      </c>
      <c r="E1" s="2" t="s">
        <v>3403</v>
      </c>
      <c r="F1" s="2" t="s">
        <v>3369</v>
      </c>
      <c r="G1" s="2" t="s">
        <v>3370</v>
      </c>
      <c r="H1" s="2" t="s">
        <v>3404</v>
      </c>
      <c r="I1" s="2" t="s">
        <v>24</v>
      </c>
      <c r="J1" s="2" t="s">
        <v>3371</v>
      </c>
      <c r="K1" s="2" t="s">
        <v>23</v>
      </c>
      <c r="L1" s="2" t="s">
        <v>25</v>
      </c>
      <c r="M1" s="2" t="s">
        <v>3405</v>
      </c>
      <c r="N1" s="2" t="s">
        <v>3406</v>
      </c>
      <c r="O1" s="2" t="s">
        <v>3407</v>
      </c>
      <c r="P1" s="2" t="s">
        <v>3408</v>
      </c>
      <c r="Q1" s="2" t="s">
        <v>3409</v>
      </c>
      <c r="R1" s="2" t="s">
        <v>3372</v>
      </c>
    </row>
    <row r="2" spans="1:18" ht="30" x14ac:dyDescent="0.25">
      <c r="A2" s="10">
        <v>1</v>
      </c>
      <c r="B2" s="10" t="s">
        <v>2515</v>
      </c>
      <c r="C2" s="10" t="s">
        <v>36</v>
      </c>
      <c r="D2" s="10" t="s">
        <v>52</v>
      </c>
      <c r="E2" s="10" t="s">
        <v>228</v>
      </c>
      <c r="F2" s="10">
        <v>21</v>
      </c>
      <c r="G2" s="10">
        <v>21</v>
      </c>
      <c r="H2" s="11">
        <v>42.4</v>
      </c>
      <c r="I2" s="11">
        <v>296.8</v>
      </c>
      <c r="J2" s="11">
        <v>0.49528301886792453</v>
      </c>
      <c r="K2" s="10" t="s">
        <v>3358</v>
      </c>
      <c r="L2" s="10" t="s">
        <v>3354</v>
      </c>
      <c r="M2" s="10">
        <v>9</v>
      </c>
      <c r="N2" s="10">
        <v>802</v>
      </c>
      <c r="O2" s="11">
        <v>260.14</v>
      </c>
      <c r="P2" s="12">
        <v>536</v>
      </c>
      <c r="Q2" s="11">
        <v>127.73</v>
      </c>
      <c r="R2" s="10" t="s">
        <v>3410</v>
      </c>
    </row>
    <row r="3" spans="1:18" x14ac:dyDescent="0.25">
      <c r="A3" s="10">
        <v>2</v>
      </c>
      <c r="B3" s="10" t="s">
        <v>3331</v>
      </c>
      <c r="C3" s="10" t="s">
        <v>40</v>
      </c>
      <c r="D3" s="10" t="s">
        <v>38</v>
      </c>
      <c r="E3" s="10" t="s">
        <v>95</v>
      </c>
      <c r="F3" s="10">
        <v>71</v>
      </c>
      <c r="G3" s="10">
        <v>77</v>
      </c>
      <c r="H3" s="11">
        <v>49.98</v>
      </c>
      <c r="I3" s="11">
        <v>199.92</v>
      </c>
      <c r="J3" s="11">
        <v>1.4205682272909164</v>
      </c>
      <c r="K3" s="10" t="s">
        <v>3358</v>
      </c>
      <c r="L3" s="10" t="s">
        <v>3354</v>
      </c>
      <c r="M3" s="10">
        <v>9</v>
      </c>
      <c r="N3" s="10">
        <v>947</v>
      </c>
      <c r="O3" s="11">
        <v>279.08</v>
      </c>
      <c r="P3" s="12">
        <v>408</v>
      </c>
      <c r="Q3" s="11">
        <v>126.15</v>
      </c>
      <c r="R3" s="10" t="s">
        <v>3410</v>
      </c>
    </row>
    <row r="4" spans="1:18" ht="30" x14ac:dyDescent="0.25">
      <c r="A4" s="10">
        <v>3</v>
      </c>
      <c r="B4" s="10" t="s">
        <v>896</v>
      </c>
      <c r="C4" s="10" t="s">
        <v>36</v>
      </c>
      <c r="D4" s="10" t="s">
        <v>52</v>
      </c>
      <c r="E4" s="10" t="s">
        <v>137</v>
      </c>
      <c r="F4" s="10">
        <v>41</v>
      </c>
      <c r="G4" s="10">
        <v>47</v>
      </c>
      <c r="H4" s="11">
        <v>31.89</v>
      </c>
      <c r="I4" s="11">
        <v>287.01</v>
      </c>
      <c r="J4" s="11">
        <v>1.2856694888679836</v>
      </c>
      <c r="K4" s="10" t="s">
        <v>3358</v>
      </c>
      <c r="L4" s="10" t="s">
        <v>3354</v>
      </c>
      <c r="M4" s="10">
        <v>9</v>
      </c>
      <c r="N4" s="10">
        <v>964</v>
      </c>
      <c r="O4" s="11">
        <v>217.1</v>
      </c>
      <c r="P4" s="12">
        <v>464</v>
      </c>
      <c r="Q4" s="11">
        <v>124.8</v>
      </c>
      <c r="R4" s="10" t="s">
        <v>3410</v>
      </c>
    </row>
    <row r="5" spans="1:18" x14ac:dyDescent="0.25">
      <c r="A5" s="10">
        <v>4</v>
      </c>
      <c r="B5" s="10" t="s">
        <v>3235</v>
      </c>
      <c r="C5" s="10" t="s">
        <v>40</v>
      </c>
      <c r="D5" s="10" t="s">
        <v>46</v>
      </c>
      <c r="E5" s="10" t="s">
        <v>120</v>
      </c>
      <c r="F5" s="10">
        <v>39</v>
      </c>
      <c r="G5" s="10">
        <v>68</v>
      </c>
      <c r="H5" s="11">
        <v>40.49</v>
      </c>
      <c r="I5" s="11">
        <v>80.98</v>
      </c>
      <c r="J5" s="11">
        <v>0.96320079031859718</v>
      </c>
      <c r="K5" s="10" t="s">
        <v>3358</v>
      </c>
      <c r="L5" s="10" t="s">
        <v>3354</v>
      </c>
      <c r="M5" s="10">
        <v>8</v>
      </c>
      <c r="N5" s="10">
        <v>805</v>
      </c>
      <c r="O5" s="11">
        <v>195.15</v>
      </c>
      <c r="P5" s="12">
        <v>238</v>
      </c>
      <c r="Q5" s="11">
        <v>124.64</v>
      </c>
      <c r="R5" s="10" t="s">
        <v>3410</v>
      </c>
    </row>
    <row r="6" spans="1:18" x14ac:dyDescent="0.25">
      <c r="A6" s="10">
        <v>5</v>
      </c>
      <c r="B6" s="10" t="s">
        <v>378</v>
      </c>
      <c r="C6" s="10" t="s">
        <v>40</v>
      </c>
      <c r="D6" s="10" t="s">
        <v>38</v>
      </c>
      <c r="E6" s="10" t="s">
        <v>379</v>
      </c>
      <c r="F6" s="10">
        <v>50</v>
      </c>
      <c r="G6" s="10">
        <v>78</v>
      </c>
      <c r="H6" s="11">
        <v>43.37</v>
      </c>
      <c r="I6" s="11">
        <v>390.33</v>
      </c>
      <c r="J6" s="11">
        <v>1.1528706479133042</v>
      </c>
      <c r="K6" s="10" t="s">
        <v>3358</v>
      </c>
      <c r="L6" s="10" t="s">
        <v>3354</v>
      </c>
      <c r="M6" s="10">
        <v>9</v>
      </c>
      <c r="N6" s="10">
        <v>293</v>
      </c>
      <c r="O6" s="11">
        <v>254.33</v>
      </c>
      <c r="P6" s="12">
        <v>595</v>
      </c>
      <c r="Q6" s="11">
        <v>124.49</v>
      </c>
      <c r="R6" s="10" t="s">
        <v>3410</v>
      </c>
    </row>
    <row r="7" spans="1:18" ht="30" x14ac:dyDescent="0.25">
      <c r="A7" s="10">
        <v>6</v>
      </c>
      <c r="B7" s="10" t="s">
        <v>1746</v>
      </c>
      <c r="C7" s="10" t="s">
        <v>73</v>
      </c>
      <c r="D7" s="10" t="s">
        <v>34</v>
      </c>
      <c r="E7" s="10" t="s">
        <v>353</v>
      </c>
      <c r="F7" s="10">
        <v>41</v>
      </c>
      <c r="G7" s="10">
        <v>82</v>
      </c>
      <c r="H7" s="11">
        <v>47.98</v>
      </c>
      <c r="I7" s="11">
        <v>239.89999999999998</v>
      </c>
      <c r="J7" s="11">
        <v>0.85452271779908295</v>
      </c>
      <c r="K7" s="10" t="s">
        <v>3358</v>
      </c>
      <c r="L7" s="10" t="s">
        <v>3354</v>
      </c>
      <c r="M7" s="10">
        <v>9</v>
      </c>
      <c r="N7" s="10">
        <v>116</v>
      </c>
      <c r="O7" s="11">
        <v>272.37</v>
      </c>
      <c r="P7" s="12">
        <v>472</v>
      </c>
      <c r="Q7" s="11">
        <v>124.36</v>
      </c>
      <c r="R7" s="10" t="s">
        <v>3410</v>
      </c>
    </row>
    <row r="8" spans="1:18" x14ac:dyDescent="0.25">
      <c r="A8" s="10">
        <v>7</v>
      </c>
      <c r="B8" s="10" t="s">
        <v>2731</v>
      </c>
      <c r="C8" s="10" t="s">
        <v>48</v>
      </c>
      <c r="D8" s="10" t="s">
        <v>34</v>
      </c>
      <c r="E8" s="10" t="s">
        <v>95</v>
      </c>
      <c r="F8" s="10">
        <v>25</v>
      </c>
      <c r="G8" s="10">
        <v>67</v>
      </c>
      <c r="H8" s="11">
        <v>28.28</v>
      </c>
      <c r="I8" s="11">
        <v>169.68</v>
      </c>
      <c r="J8" s="11">
        <v>0.88401697312588401</v>
      </c>
      <c r="K8" s="10" t="s">
        <v>3358</v>
      </c>
      <c r="L8" s="10" t="s">
        <v>3354</v>
      </c>
      <c r="M8" s="10">
        <v>8</v>
      </c>
      <c r="N8" s="10">
        <v>908</v>
      </c>
      <c r="O8" s="11">
        <v>199.28</v>
      </c>
      <c r="P8" s="12">
        <v>344</v>
      </c>
      <c r="Q8" s="11">
        <v>124.17</v>
      </c>
      <c r="R8" s="10" t="s">
        <v>3410</v>
      </c>
    </row>
    <row r="9" spans="1:18" x14ac:dyDescent="0.25">
      <c r="A9" s="10">
        <v>8</v>
      </c>
      <c r="B9" s="10" t="s">
        <v>912</v>
      </c>
      <c r="C9" s="10" t="s">
        <v>32</v>
      </c>
      <c r="D9" s="10" t="s">
        <v>52</v>
      </c>
      <c r="E9" s="10" t="s">
        <v>223</v>
      </c>
      <c r="F9" s="10">
        <v>28</v>
      </c>
      <c r="G9" s="10">
        <v>84</v>
      </c>
      <c r="H9" s="11">
        <v>43.43</v>
      </c>
      <c r="I9" s="11">
        <v>390.87</v>
      </c>
      <c r="J9" s="11">
        <v>0.64471563435413304</v>
      </c>
      <c r="K9" s="10" t="s">
        <v>3358</v>
      </c>
      <c r="L9" s="10" t="s">
        <v>3354</v>
      </c>
      <c r="M9" s="10">
        <v>9</v>
      </c>
      <c r="N9" s="10">
        <v>122</v>
      </c>
      <c r="O9" s="11">
        <v>198.16</v>
      </c>
      <c r="P9" s="12">
        <v>562</v>
      </c>
      <c r="Q9" s="11">
        <v>123.74</v>
      </c>
      <c r="R9" s="10" t="s">
        <v>3410</v>
      </c>
    </row>
    <row r="10" spans="1:18" x14ac:dyDescent="0.25">
      <c r="A10" s="10">
        <v>9</v>
      </c>
      <c r="B10" s="10" t="s">
        <v>1464</v>
      </c>
      <c r="C10" s="10" t="s">
        <v>48</v>
      </c>
      <c r="D10" s="10" t="s">
        <v>38</v>
      </c>
      <c r="E10" s="10" t="s">
        <v>59</v>
      </c>
      <c r="F10" s="10">
        <v>66</v>
      </c>
      <c r="G10" s="10">
        <v>79</v>
      </c>
      <c r="H10" s="11">
        <v>44.67</v>
      </c>
      <c r="I10" s="11">
        <v>402.03000000000003</v>
      </c>
      <c r="J10" s="11">
        <v>1.4775016789791806</v>
      </c>
      <c r="K10" s="10" t="s">
        <v>3358</v>
      </c>
      <c r="L10" s="10" t="s">
        <v>3354</v>
      </c>
      <c r="M10" s="10">
        <v>9</v>
      </c>
      <c r="N10" s="10">
        <v>756</v>
      </c>
      <c r="O10" s="11">
        <v>183.66</v>
      </c>
      <c r="P10" s="12">
        <v>520</v>
      </c>
      <c r="Q10" s="11">
        <v>123.22</v>
      </c>
      <c r="R10" s="10" t="s">
        <v>3410</v>
      </c>
    </row>
    <row r="11" spans="1:18" ht="30" x14ac:dyDescent="0.25">
      <c r="A11" s="10">
        <v>10</v>
      </c>
      <c r="B11" s="10" t="s">
        <v>2179</v>
      </c>
      <c r="C11" s="10" t="s">
        <v>36</v>
      </c>
      <c r="D11" s="10" t="s">
        <v>52</v>
      </c>
      <c r="E11" s="10" t="s">
        <v>353</v>
      </c>
      <c r="F11" s="10">
        <v>25</v>
      </c>
      <c r="G11" s="10">
        <v>96</v>
      </c>
      <c r="H11" s="11">
        <v>44.81</v>
      </c>
      <c r="I11" s="11">
        <v>179.24</v>
      </c>
      <c r="J11" s="11">
        <v>0.55791118054005795</v>
      </c>
      <c r="K11" s="10" t="s">
        <v>3358</v>
      </c>
      <c r="L11" s="10" t="s">
        <v>3354</v>
      </c>
      <c r="M11" s="10">
        <v>8</v>
      </c>
      <c r="N11" s="10">
        <v>122</v>
      </c>
      <c r="O11" s="11">
        <v>275.89</v>
      </c>
      <c r="P11" s="12">
        <v>431</v>
      </c>
      <c r="Q11" s="11">
        <v>123.15</v>
      </c>
      <c r="R11" s="10" t="s">
        <v>3410</v>
      </c>
    </row>
    <row r="12" spans="1:18" ht="30" x14ac:dyDescent="0.25">
      <c r="A12" s="10">
        <v>11</v>
      </c>
      <c r="B12" s="10" t="s">
        <v>645</v>
      </c>
      <c r="C12" s="10" t="s">
        <v>73</v>
      </c>
      <c r="D12" s="10" t="s">
        <v>46</v>
      </c>
      <c r="E12" s="10" t="s">
        <v>311</v>
      </c>
      <c r="F12" s="10">
        <v>38</v>
      </c>
      <c r="G12" s="10">
        <v>68</v>
      </c>
      <c r="H12" s="11">
        <v>32</v>
      </c>
      <c r="I12" s="11">
        <v>160</v>
      </c>
      <c r="J12" s="11">
        <v>1.1875</v>
      </c>
      <c r="K12" s="10" t="s">
        <v>3358</v>
      </c>
      <c r="L12" s="10" t="s">
        <v>3354</v>
      </c>
      <c r="M12" s="10">
        <v>8</v>
      </c>
      <c r="N12" s="10">
        <v>226</v>
      </c>
      <c r="O12" s="11">
        <v>295.31</v>
      </c>
      <c r="P12" s="12">
        <v>418</v>
      </c>
      <c r="Q12" s="11">
        <v>123.07</v>
      </c>
      <c r="R12" s="10" t="s">
        <v>3410</v>
      </c>
    </row>
    <row r="13" spans="1:18" x14ac:dyDescent="0.25">
      <c r="A13" s="10">
        <v>12</v>
      </c>
      <c r="B13" s="10" t="s">
        <v>2868</v>
      </c>
      <c r="C13" s="10" t="s">
        <v>48</v>
      </c>
      <c r="D13" s="10" t="s">
        <v>38</v>
      </c>
      <c r="E13" s="10" t="s">
        <v>289</v>
      </c>
      <c r="F13" s="10">
        <v>27</v>
      </c>
      <c r="G13" s="10">
        <v>48</v>
      </c>
      <c r="H13" s="11">
        <v>49.74</v>
      </c>
      <c r="I13" s="11">
        <v>348.18</v>
      </c>
      <c r="J13" s="11">
        <v>0.54282267792521111</v>
      </c>
      <c r="K13" s="10" t="s">
        <v>3358</v>
      </c>
      <c r="L13" s="10" t="s">
        <v>3354</v>
      </c>
      <c r="M13" s="10">
        <v>9</v>
      </c>
      <c r="N13" s="10">
        <v>418</v>
      </c>
      <c r="O13" s="11">
        <v>89.8</v>
      </c>
      <c r="P13" s="12">
        <v>411</v>
      </c>
      <c r="Q13" s="11">
        <v>122.96</v>
      </c>
      <c r="R13" s="10" t="s">
        <v>3410</v>
      </c>
    </row>
    <row r="14" spans="1:18" ht="30" x14ac:dyDescent="0.25">
      <c r="A14" s="10">
        <v>13</v>
      </c>
      <c r="B14" s="10" t="s">
        <v>3130</v>
      </c>
      <c r="C14" s="10" t="s">
        <v>36</v>
      </c>
      <c r="D14" s="10" t="s">
        <v>52</v>
      </c>
      <c r="E14" s="10" t="s">
        <v>104</v>
      </c>
      <c r="F14" s="10">
        <v>41</v>
      </c>
      <c r="G14" s="10">
        <v>73</v>
      </c>
      <c r="H14" s="11">
        <v>32.450000000000003</v>
      </c>
      <c r="I14" s="11">
        <v>227.15000000000003</v>
      </c>
      <c r="J14" s="11">
        <v>1.263482280431433</v>
      </c>
      <c r="K14" s="10" t="s">
        <v>3358</v>
      </c>
      <c r="L14" s="10" t="s">
        <v>3354</v>
      </c>
      <c r="M14" s="10">
        <v>9</v>
      </c>
      <c r="N14" s="10">
        <v>757</v>
      </c>
      <c r="O14" s="11">
        <v>123.89</v>
      </c>
      <c r="P14" s="12">
        <v>311</v>
      </c>
      <c r="Q14" s="11">
        <v>122.87</v>
      </c>
      <c r="R14" s="10" t="s">
        <v>3410</v>
      </c>
    </row>
    <row r="15" spans="1:18" x14ac:dyDescent="0.25">
      <c r="A15" s="10">
        <v>14</v>
      </c>
      <c r="B15" s="10" t="s">
        <v>2413</v>
      </c>
      <c r="C15" s="10" t="s">
        <v>32</v>
      </c>
      <c r="D15" s="10" t="s">
        <v>46</v>
      </c>
      <c r="E15" s="10" t="s">
        <v>148</v>
      </c>
      <c r="F15" s="10">
        <v>29</v>
      </c>
      <c r="G15" s="10">
        <v>76</v>
      </c>
      <c r="H15" s="11">
        <v>49.59</v>
      </c>
      <c r="I15" s="11">
        <v>396.72</v>
      </c>
      <c r="J15" s="11">
        <v>0.58479532163742687</v>
      </c>
      <c r="K15" s="10" t="s">
        <v>3358</v>
      </c>
      <c r="L15" s="10" t="s">
        <v>3354</v>
      </c>
      <c r="M15" s="10">
        <v>9</v>
      </c>
      <c r="N15" s="10">
        <v>349</v>
      </c>
      <c r="O15" s="11">
        <v>79.62</v>
      </c>
      <c r="P15" s="12">
        <v>448</v>
      </c>
      <c r="Q15" s="11">
        <v>122.58</v>
      </c>
      <c r="R15" s="10" t="s">
        <v>3410</v>
      </c>
    </row>
    <row r="16" spans="1:18" x14ac:dyDescent="0.25">
      <c r="A16" s="10">
        <v>15</v>
      </c>
      <c r="B16" s="10" t="s">
        <v>229</v>
      </c>
      <c r="C16" s="10" t="s">
        <v>48</v>
      </c>
      <c r="D16" s="10" t="s">
        <v>38</v>
      </c>
      <c r="E16" s="10" t="s">
        <v>88</v>
      </c>
      <c r="F16" s="10">
        <v>41</v>
      </c>
      <c r="G16" s="10">
        <v>53</v>
      </c>
      <c r="H16" s="11">
        <v>48.49</v>
      </c>
      <c r="I16" s="11">
        <v>290.94</v>
      </c>
      <c r="J16" s="11">
        <v>0.8455351618890492</v>
      </c>
      <c r="K16" s="10" t="s">
        <v>3358</v>
      </c>
      <c r="L16" s="10" t="s">
        <v>3354</v>
      </c>
      <c r="M16" s="10">
        <v>8</v>
      </c>
      <c r="N16" s="10">
        <v>773</v>
      </c>
      <c r="O16" s="11">
        <v>136.97999999999999</v>
      </c>
      <c r="P16" s="12">
        <v>387</v>
      </c>
      <c r="Q16" s="11">
        <v>122.57</v>
      </c>
      <c r="R16" s="10" t="s">
        <v>3410</v>
      </c>
    </row>
    <row r="17" spans="1:18" x14ac:dyDescent="0.25">
      <c r="A17" s="10">
        <v>16</v>
      </c>
      <c r="B17" s="10" t="s">
        <v>1243</v>
      </c>
      <c r="C17" s="10" t="s">
        <v>40</v>
      </c>
      <c r="D17" s="10" t="s">
        <v>46</v>
      </c>
      <c r="E17" s="10" t="s">
        <v>62</v>
      </c>
      <c r="F17" s="10">
        <v>58</v>
      </c>
      <c r="G17" s="10">
        <v>68</v>
      </c>
      <c r="H17" s="11">
        <v>36.51</v>
      </c>
      <c r="I17" s="11">
        <v>109.53</v>
      </c>
      <c r="J17" s="11">
        <v>1.5886058614078336</v>
      </c>
      <c r="K17" s="10" t="s">
        <v>3358</v>
      </c>
      <c r="L17" s="10" t="s">
        <v>3354</v>
      </c>
      <c r="M17" s="10">
        <v>9</v>
      </c>
      <c r="N17" s="10">
        <v>404</v>
      </c>
      <c r="O17" s="11">
        <v>200.7</v>
      </c>
      <c r="P17" s="12">
        <v>253</v>
      </c>
      <c r="Q17" s="11">
        <v>122.07</v>
      </c>
      <c r="R17" s="10" t="s">
        <v>3410</v>
      </c>
    </row>
    <row r="18" spans="1:18" ht="30" x14ac:dyDescent="0.25">
      <c r="A18" s="10">
        <v>17</v>
      </c>
      <c r="B18" s="10" t="s">
        <v>2790</v>
      </c>
      <c r="C18" s="10" t="s">
        <v>73</v>
      </c>
      <c r="D18" s="10" t="s">
        <v>34</v>
      </c>
      <c r="E18" s="10" t="s">
        <v>144</v>
      </c>
      <c r="F18" s="10">
        <v>44</v>
      </c>
      <c r="G18" s="10">
        <v>64</v>
      </c>
      <c r="H18" s="11">
        <v>44.19</v>
      </c>
      <c r="I18" s="11">
        <v>176.76</v>
      </c>
      <c r="J18" s="11">
        <v>0.99570038470242139</v>
      </c>
      <c r="K18" s="10" t="s">
        <v>3358</v>
      </c>
      <c r="L18" s="10" t="s">
        <v>3354</v>
      </c>
      <c r="M18" s="10">
        <v>9</v>
      </c>
      <c r="N18" s="10">
        <v>573</v>
      </c>
      <c r="O18" s="11">
        <v>111.41</v>
      </c>
      <c r="P18" s="12">
        <v>245</v>
      </c>
      <c r="Q18" s="11">
        <v>122.01</v>
      </c>
      <c r="R18" s="10" t="s">
        <v>3410</v>
      </c>
    </row>
    <row r="19" spans="1:18" ht="30" x14ac:dyDescent="0.25">
      <c r="A19" s="10">
        <v>18</v>
      </c>
      <c r="B19" s="10" t="s">
        <v>2861</v>
      </c>
      <c r="C19" s="10" t="s">
        <v>73</v>
      </c>
      <c r="D19" s="10" t="s">
        <v>46</v>
      </c>
      <c r="E19" s="10" t="s">
        <v>289</v>
      </c>
      <c r="F19" s="10">
        <v>36</v>
      </c>
      <c r="G19" s="10">
        <v>83</v>
      </c>
      <c r="H19" s="11">
        <v>39.69</v>
      </c>
      <c r="I19" s="11">
        <v>357.21</v>
      </c>
      <c r="J19" s="11">
        <v>0.90702947845804993</v>
      </c>
      <c r="K19" s="10" t="s">
        <v>3358</v>
      </c>
      <c r="L19" s="10" t="s">
        <v>3354</v>
      </c>
      <c r="M19" s="10">
        <v>9</v>
      </c>
      <c r="N19" s="10">
        <v>258</v>
      </c>
      <c r="O19" s="11">
        <v>76.98</v>
      </c>
      <c r="P19" s="12">
        <v>399</v>
      </c>
      <c r="Q19" s="11">
        <v>121.91</v>
      </c>
      <c r="R19" s="10" t="s">
        <v>3410</v>
      </c>
    </row>
    <row r="20" spans="1:18" ht="30" x14ac:dyDescent="0.25">
      <c r="A20" s="10">
        <v>19</v>
      </c>
      <c r="B20" s="10" t="s">
        <v>1106</v>
      </c>
      <c r="C20" s="10" t="s">
        <v>73</v>
      </c>
      <c r="D20" s="10" t="s">
        <v>38</v>
      </c>
      <c r="E20" s="10" t="s">
        <v>401</v>
      </c>
      <c r="F20" s="10">
        <v>25</v>
      </c>
      <c r="G20" s="10">
        <v>54</v>
      </c>
      <c r="H20" s="11">
        <v>48.18</v>
      </c>
      <c r="I20" s="11">
        <v>337.26</v>
      </c>
      <c r="J20" s="11">
        <v>0.51888750518887505</v>
      </c>
      <c r="K20" s="10" t="s">
        <v>3358</v>
      </c>
      <c r="L20" s="10" t="s">
        <v>3354</v>
      </c>
      <c r="M20" s="10">
        <v>8</v>
      </c>
      <c r="N20" s="10">
        <v>277</v>
      </c>
      <c r="O20" s="11">
        <v>165.47</v>
      </c>
      <c r="P20" s="12">
        <v>478</v>
      </c>
      <c r="Q20" s="11">
        <v>121.24</v>
      </c>
      <c r="R20" s="10" t="s">
        <v>3410</v>
      </c>
    </row>
    <row r="21" spans="1:18" x14ac:dyDescent="0.25">
      <c r="A21" s="10">
        <v>20</v>
      </c>
      <c r="B21" s="10" t="s">
        <v>3171</v>
      </c>
      <c r="C21" s="10" t="s">
        <v>32</v>
      </c>
      <c r="D21" s="10" t="s">
        <v>46</v>
      </c>
      <c r="E21" s="10" t="s">
        <v>217</v>
      </c>
      <c r="F21" s="10">
        <v>34</v>
      </c>
      <c r="G21" s="10">
        <v>80</v>
      </c>
      <c r="H21" s="11">
        <v>37.630000000000003</v>
      </c>
      <c r="I21" s="11">
        <v>338.67</v>
      </c>
      <c r="J21" s="11">
        <v>0.90353441403135792</v>
      </c>
      <c r="K21" s="10" t="s">
        <v>3358</v>
      </c>
      <c r="L21" s="10" t="s">
        <v>3354</v>
      </c>
      <c r="M21" s="10">
        <v>7</v>
      </c>
      <c r="N21" s="10">
        <v>924</v>
      </c>
      <c r="O21" s="11">
        <v>140.24</v>
      </c>
      <c r="P21" s="12">
        <v>445</v>
      </c>
      <c r="Q21" s="11">
        <v>121.11</v>
      </c>
      <c r="R21" s="10" t="s">
        <v>3410</v>
      </c>
    </row>
    <row r="22" spans="1:18" x14ac:dyDescent="0.25">
      <c r="A22" s="10">
        <v>21</v>
      </c>
      <c r="B22" s="10" t="s">
        <v>53</v>
      </c>
      <c r="C22" s="10" t="s">
        <v>40</v>
      </c>
      <c r="D22" s="10" t="s">
        <v>46</v>
      </c>
      <c r="E22" s="10" t="s">
        <v>54</v>
      </c>
      <c r="F22" s="10">
        <v>84</v>
      </c>
      <c r="G22" s="10">
        <v>89</v>
      </c>
      <c r="H22" s="11">
        <v>47.82</v>
      </c>
      <c r="I22" s="11">
        <v>191.28</v>
      </c>
      <c r="J22" s="11">
        <v>1.7565872020075282</v>
      </c>
      <c r="K22" s="10" t="s">
        <v>3358</v>
      </c>
      <c r="L22" s="10" t="s">
        <v>3354</v>
      </c>
      <c r="M22" s="10">
        <v>7</v>
      </c>
      <c r="N22" s="10">
        <v>958</v>
      </c>
      <c r="O22" s="11">
        <v>195.75</v>
      </c>
      <c r="P22" s="12">
        <v>304</v>
      </c>
      <c r="Q22" s="11">
        <v>121.04</v>
      </c>
      <c r="R22" s="10" t="s">
        <v>3410</v>
      </c>
    </row>
    <row r="23" spans="1:18" ht="30" x14ac:dyDescent="0.25">
      <c r="A23" s="10">
        <v>22</v>
      </c>
      <c r="B23" s="10" t="s">
        <v>2597</v>
      </c>
      <c r="C23" s="10" t="s">
        <v>73</v>
      </c>
      <c r="D23" s="10" t="s">
        <v>52</v>
      </c>
      <c r="E23" s="10" t="s">
        <v>160</v>
      </c>
      <c r="F23" s="10">
        <v>25</v>
      </c>
      <c r="G23" s="10">
        <v>99</v>
      </c>
      <c r="H23" s="11">
        <v>47.59</v>
      </c>
      <c r="I23" s="11">
        <v>333.13</v>
      </c>
      <c r="J23" s="11">
        <v>0.52532044547173773</v>
      </c>
      <c r="K23" s="10" t="s">
        <v>3358</v>
      </c>
      <c r="L23" s="10" t="s">
        <v>3354</v>
      </c>
      <c r="M23" s="10">
        <v>7</v>
      </c>
      <c r="N23" s="10">
        <v>222</v>
      </c>
      <c r="O23" s="11">
        <v>251.41</v>
      </c>
      <c r="P23" s="12">
        <v>560</v>
      </c>
      <c r="Q23" s="11">
        <v>120.96</v>
      </c>
      <c r="R23" s="10" t="s">
        <v>3410</v>
      </c>
    </row>
    <row r="24" spans="1:18" x14ac:dyDescent="0.25">
      <c r="A24" s="10">
        <v>23</v>
      </c>
      <c r="B24" s="10" t="s">
        <v>1513</v>
      </c>
      <c r="C24" s="10" t="s">
        <v>40</v>
      </c>
      <c r="D24" s="10" t="s">
        <v>46</v>
      </c>
      <c r="E24" s="10" t="s">
        <v>150</v>
      </c>
      <c r="F24" s="10">
        <v>26</v>
      </c>
      <c r="G24" s="10">
        <v>92</v>
      </c>
      <c r="H24" s="11">
        <v>38.340000000000003</v>
      </c>
      <c r="I24" s="11">
        <v>153.36000000000001</v>
      </c>
      <c r="J24" s="11">
        <v>0.67814293166405837</v>
      </c>
      <c r="K24" s="10" t="s">
        <v>3358</v>
      </c>
      <c r="L24" s="10" t="s">
        <v>3354</v>
      </c>
      <c r="M24" s="10">
        <v>9</v>
      </c>
      <c r="N24" s="10">
        <v>415</v>
      </c>
      <c r="O24" s="11">
        <v>61.73</v>
      </c>
      <c r="P24" s="12">
        <v>190</v>
      </c>
      <c r="Q24" s="11">
        <v>120.78</v>
      </c>
      <c r="R24" s="10" t="s">
        <v>3410</v>
      </c>
    </row>
    <row r="25" spans="1:18" x14ac:dyDescent="0.25">
      <c r="A25" s="10">
        <v>24</v>
      </c>
      <c r="B25" s="10" t="s">
        <v>3106</v>
      </c>
      <c r="C25" s="10" t="s">
        <v>40</v>
      </c>
      <c r="D25" s="10" t="s">
        <v>34</v>
      </c>
      <c r="E25" s="10" t="s">
        <v>338</v>
      </c>
      <c r="F25" s="10">
        <v>31</v>
      </c>
      <c r="G25" s="10">
        <v>45</v>
      </c>
      <c r="H25" s="11">
        <v>32</v>
      </c>
      <c r="I25" s="11">
        <v>96</v>
      </c>
      <c r="J25" s="11">
        <v>0.96875</v>
      </c>
      <c r="K25" s="10" t="s">
        <v>3358</v>
      </c>
      <c r="L25" s="10" t="s">
        <v>3354</v>
      </c>
      <c r="M25" s="10">
        <v>7</v>
      </c>
      <c r="N25" s="10">
        <v>167</v>
      </c>
      <c r="O25" s="11">
        <v>277.51</v>
      </c>
      <c r="P25" s="12">
        <v>343</v>
      </c>
      <c r="Q25" s="11">
        <v>120.58</v>
      </c>
      <c r="R25" s="10" t="s">
        <v>3410</v>
      </c>
    </row>
    <row r="26" spans="1:18" ht="30" x14ac:dyDescent="0.25">
      <c r="A26" s="10">
        <v>25</v>
      </c>
      <c r="B26" s="10" t="s">
        <v>2944</v>
      </c>
      <c r="C26" s="10" t="s">
        <v>73</v>
      </c>
      <c r="D26" s="10" t="s">
        <v>52</v>
      </c>
      <c r="E26" s="10" t="s">
        <v>154</v>
      </c>
      <c r="F26" s="10">
        <v>28</v>
      </c>
      <c r="G26" s="10">
        <v>44</v>
      </c>
      <c r="H26" s="11">
        <v>41.36</v>
      </c>
      <c r="I26" s="11">
        <v>372.24</v>
      </c>
      <c r="J26" s="11">
        <v>0.67698259187620891</v>
      </c>
      <c r="K26" s="10" t="s">
        <v>3358</v>
      </c>
      <c r="L26" s="10" t="s">
        <v>3354</v>
      </c>
      <c r="M26" s="10">
        <v>6</v>
      </c>
      <c r="N26" s="10">
        <v>540</v>
      </c>
      <c r="O26" s="11">
        <v>284.77999999999997</v>
      </c>
      <c r="P26" s="12">
        <v>630</v>
      </c>
      <c r="Q26" s="11">
        <v>120.56</v>
      </c>
      <c r="R26" s="10" t="s">
        <v>3410</v>
      </c>
    </row>
    <row r="27" spans="1:18" ht="30" x14ac:dyDescent="0.25">
      <c r="A27" s="10">
        <v>26</v>
      </c>
      <c r="B27" s="10" t="s">
        <v>2546</v>
      </c>
      <c r="C27" s="10" t="s">
        <v>73</v>
      </c>
      <c r="D27" s="10" t="s">
        <v>52</v>
      </c>
      <c r="E27" s="10" t="s">
        <v>129</v>
      </c>
      <c r="F27" s="10">
        <v>50</v>
      </c>
      <c r="G27" s="10">
        <v>82</v>
      </c>
      <c r="H27" s="11">
        <v>31.27</v>
      </c>
      <c r="I27" s="11">
        <v>218.89</v>
      </c>
      <c r="J27" s="11">
        <v>1.598976654940838</v>
      </c>
      <c r="K27" s="10" t="s">
        <v>3358</v>
      </c>
      <c r="L27" s="10" t="s">
        <v>3354</v>
      </c>
      <c r="M27" s="10">
        <v>8</v>
      </c>
      <c r="N27" s="10">
        <v>690</v>
      </c>
      <c r="O27" s="11">
        <v>239.84</v>
      </c>
      <c r="P27" s="12">
        <v>409</v>
      </c>
      <c r="Q27" s="11">
        <v>120.55</v>
      </c>
      <c r="R27" s="10" t="s">
        <v>3410</v>
      </c>
    </row>
    <row r="28" spans="1:18" ht="30" x14ac:dyDescent="0.25">
      <c r="A28" s="10">
        <v>27</v>
      </c>
      <c r="B28" s="10" t="s">
        <v>3127</v>
      </c>
      <c r="C28" s="10" t="s">
        <v>73</v>
      </c>
      <c r="D28" s="10" t="s">
        <v>52</v>
      </c>
      <c r="E28" s="10" t="s">
        <v>137</v>
      </c>
      <c r="F28" s="10">
        <v>55</v>
      </c>
      <c r="G28" s="10">
        <v>84</v>
      </c>
      <c r="H28" s="11">
        <v>27.61</v>
      </c>
      <c r="I28" s="11">
        <v>55.22</v>
      </c>
      <c r="J28" s="11">
        <v>1.9920318725099602</v>
      </c>
      <c r="K28" s="10" t="s">
        <v>3358</v>
      </c>
      <c r="L28" s="10" t="s">
        <v>3354</v>
      </c>
      <c r="M28" s="10">
        <v>8</v>
      </c>
      <c r="N28" s="10">
        <v>812</v>
      </c>
      <c r="O28" s="11">
        <v>248.12</v>
      </c>
      <c r="P28" s="12">
        <v>249</v>
      </c>
      <c r="Q28" s="11">
        <v>120.25</v>
      </c>
      <c r="R28" s="10" t="s">
        <v>3410</v>
      </c>
    </row>
    <row r="29" spans="1:18" ht="30" x14ac:dyDescent="0.25">
      <c r="A29" s="10">
        <v>28</v>
      </c>
      <c r="B29" s="10" t="s">
        <v>2417</v>
      </c>
      <c r="C29" s="10" t="s">
        <v>73</v>
      </c>
      <c r="D29" s="10" t="s">
        <v>34</v>
      </c>
      <c r="E29" s="10" t="s">
        <v>88</v>
      </c>
      <c r="F29" s="10">
        <v>24</v>
      </c>
      <c r="G29" s="10">
        <v>66</v>
      </c>
      <c r="H29" s="11">
        <v>39.47</v>
      </c>
      <c r="I29" s="11">
        <v>157.88</v>
      </c>
      <c r="J29" s="11">
        <v>0.60805675196351661</v>
      </c>
      <c r="K29" s="10" t="s">
        <v>3358</v>
      </c>
      <c r="L29" s="10" t="s">
        <v>3354</v>
      </c>
      <c r="M29" s="10">
        <v>8</v>
      </c>
      <c r="N29" s="10">
        <v>398</v>
      </c>
      <c r="O29" s="11">
        <v>120.14</v>
      </c>
      <c r="P29" s="12">
        <v>255</v>
      </c>
      <c r="Q29" s="11">
        <v>119.97</v>
      </c>
      <c r="R29" s="10" t="s">
        <v>3410</v>
      </c>
    </row>
    <row r="30" spans="1:18" x14ac:dyDescent="0.25">
      <c r="A30" s="10">
        <v>29</v>
      </c>
      <c r="B30" s="10" t="s">
        <v>1141</v>
      </c>
      <c r="C30" s="10" t="s">
        <v>32</v>
      </c>
      <c r="D30" s="10" t="s">
        <v>46</v>
      </c>
      <c r="E30" s="10" t="s">
        <v>316</v>
      </c>
      <c r="F30" s="10">
        <v>39</v>
      </c>
      <c r="G30" s="10">
        <v>65</v>
      </c>
      <c r="H30" s="11">
        <v>35.020000000000003</v>
      </c>
      <c r="I30" s="11">
        <v>315.18</v>
      </c>
      <c r="J30" s="11">
        <v>1.1136493432324386</v>
      </c>
      <c r="K30" s="10" t="s">
        <v>3358</v>
      </c>
      <c r="L30" s="10" t="s">
        <v>3354</v>
      </c>
      <c r="M30" s="10">
        <v>8</v>
      </c>
      <c r="N30" s="10">
        <v>601</v>
      </c>
      <c r="O30" s="11">
        <v>70.09</v>
      </c>
      <c r="P30" s="12">
        <v>347</v>
      </c>
      <c r="Q30" s="11">
        <v>119.97</v>
      </c>
      <c r="R30" s="10" t="s">
        <v>3410</v>
      </c>
    </row>
    <row r="31" spans="1:18" ht="30" x14ac:dyDescent="0.25">
      <c r="A31" s="10">
        <v>30</v>
      </c>
      <c r="B31" s="10" t="s">
        <v>444</v>
      </c>
      <c r="C31" s="10" t="s">
        <v>36</v>
      </c>
      <c r="D31" s="10" t="s">
        <v>46</v>
      </c>
      <c r="E31" s="10" t="s">
        <v>54</v>
      </c>
      <c r="F31" s="10">
        <v>36</v>
      </c>
      <c r="G31" s="10">
        <v>69</v>
      </c>
      <c r="H31" s="11">
        <v>44.01</v>
      </c>
      <c r="I31" s="11">
        <v>308.07</v>
      </c>
      <c r="J31" s="11">
        <v>0.81799591002044991</v>
      </c>
      <c r="K31" s="10" t="s">
        <v>3358</v>
      </c>
      <c r="L31" s="10" t="s">
        <v>3354</v>
      </c>
      <c r="M31" s="10">
        <v>9</v>
      </c>
      <c r="N31" s="10">
        <v>388</v>
      </c>
      <c r="O31" s="11">
        <v>59.88</v>
      </c>
      <c r="P31" s="12">
        <v>332</v>
      </c>
      <c r="Q31" s="11">
        <v>119.78</v>
      </c>
      <c r="R31" s="10" t="s">
        <v>3410</v>
      </c>
    </row>
  </sheetData>
  <conditionalFormatting sqref="A2:R31">
    <cfRule type="expression" dxfId="2" priority="1">
      <formula>$R2="Immediate reorder"</formula>
    </cfRule>
    <cfRule type="expression" dxfId="1" priority="2">
      <formula>$R2="Review within 24-48 hrs"</formula>
    </cfRule>
    <cfRule type="expression" dxfId="0" priority="3">
      <formula>$R2="Reorder soon"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topLeftCell="A42" workbookViewId="0">
      <selection sqref="A1:H1"/>
    </sheetView>
  </sheetViews>
  <sheetFormatPr defaultRowHeight="15" x14ac:dyDescent="0.25"/>
  <cols>
    <col min="1" max="1" width="18" customWidth="1"/>
    <col min="2" max="2" width="20" customWidth="1"/>
    <col min="3" max="11" width="16" customWidth="1"/>
  </cols>
  <sheetData>
    <row r="1" spans="1:11" ht="21" x14ac:dyDescent="0.25">
      <c r="A1" s="31" t="s">
        <v>3411</v>
      </c>
      <c r="B1" s="30"/>
      <c r="C1" s="30"/>
      <c r="D1" s="30"/>
      <c r="E1" s="30"/>
      <c r="F1" s="30"/>
      <c r="G1" s="30"/>
      <c r="H1" s="30"/>
    </row>
    <row r="2" spans="1:11" x14ac:dyDescent="0.25">
      <c r="A2" s="32" t="s">
        <v>3412</v>
      </c>
      <c r="B2" s="30"/>
      <c r="C2" s="30"/>
      <c r="D2" s="30"/>
      <c r="E2" s="30"/>
      <c r="F2" s="30"/>
      <c r="G2" s="30"/>
      <c r="H2" s="30"/>
    </row>
    <row r="4" spans="1:11" ht="30" x14ac:dyDescent="0.25">
      <c r="A4" s="13" t="s">
        <v>3344</v>
      </c>
      <c r="B4" s="13">
        <v>3204</v>
      </c>
      <c r="C4" s="13" t="s">
        <v>3345</v>
      </c>
      <c r="D4" s="13">
        <v>240</v>
      </c>
      <c r="E4" s="13" t="s">
        <v>3413</v>
      </c>
      <c r="F4" s="13">
        <v>818</v>
      </c>
      <c r="G4" s="13" t="s">
        <v>3414</v>
      </c>
      <c r="H4" s="13">
        <v>279</v>
      </c>
    </row>
    <row r="5" spans="1:11" ht="30" x14ac:dyDescent="0.25">
      <c r="A5" s="14" t="s">
        <v>3353</v>
      </c>
      <c r="B5" s="15">
        <v>0.84973782771535578</v>
      </c>
      <c r="C5" s="14" t="s">
        <v>3362</v>
      </c>
      <c r="D5" s="16">
        <v>95.60642946317104</v>
      </c>
      <c r="E5" s="14" t="s">
        <v>3346</v>
      </c>
      <c r="F5" s="17">
        <v>89566189.040000007</v>
      </c>
      <c r="G5" s="17" t="s">
        <v>28</v>
      </c>
      <c r="H5" s="17">
        <v>26446383.300000001</v>
      </c>
    </row>
    <row r="8" spans="1:11" x14ac:dyDescent="0.25">
      <c r="A8" s="2" t="s">
        <v>3350</v>
      </c>
      <c r="B8" s="2" t="s">
        <v>3361</v>
      </c>
      <c r="C8" s="2" t="s">
        <v>3358</v>
      </c>
      <c r="D8" s="2" t="s">
        <v>3354</v>
      </c>
      <c r="E8" s="2" t="s">
        <v>27</v>
      </c>
      <c r="G8" s="2" t="s">
        <v>3360</v>
      </c>
      <c r="H8" s="2" t="s">
        <v>3361</v>
      </c>
      <c r="I8" s="2" t="s">
        <v>3358</v>
      </c>
      <c r="J8" s="2" t="s">
        <v>3354</v>
      </c>
      <c r="K8" s="2" t="s">
        <v>3362</v>
      </c>
    </row>
    <row r="9" spans="1:11" x14ac:dyDescent="0.25">
      <c r="A9" s="3" t="s">
        <v>48</v>
      </c>
      <c r="B9" s="3">
        <v>617</v>
      </c>
      <c r="C9" s="3">
        <v>47</v>
      </c>
      <c r="D9" s="3">
        <v>156</v>
      </c>
      <c r="E9" s="6">
        <v>16804476.350000001</v>
      </c>
      <c r="G9" s="3" t="s">
        <v>38</v>
      </c>
      <c r="H9" s="3">
        <v>812</v>
      </c>
      <c r="I9" s="3">
        <v>60</v>
      </c>
      <c r="J9" s="3">
        <v>210</v>
      </c>
      <c r="K9" s="5">
        <v>93.814039408866989</v>
      </c>
    </row>
    <row r="10" spans="1:11" x14ac:dyDescent="0.25">
      <c r="A10" s="3" t="s">
        <v>36</v>
      </c>
      <c r="B10" s="3">
        <v>658</v>
      </c>
      <c r="C10" s="3">
        <v>54</v>
      </c>
      <c r="D10" s="3">
        <v>175</v>
      </c>
      <c r="E10" s="6">
        <v>18042426.129999999</v>
      </c>
      <c r="G10" s="3" t="s">
        <v>34</v>
      </c>
      <c r="H10" s="3">
        <v>784</v>
      </c>
      <c r="I10" s="3">
        <v>63</v>
      </c>
      <c r="J10" s="3">
        <v>193</v>
      </c>
      <c r="K10" s="5">
        <v>95.859693877551024</v>
      </c>
    </row>
    <row r="11" spans="1:11" x14ac:dyDescent="0.25">
      <c r="A11" s="3" t="s">
        <v>73</v>
      </c>
      <c r="B11" s="3">
        <v>651</v>
      </c>
      <c r="C11" s="3">
        <v>46</v>
      </c>
      <c r="D11" s="3">
        <v>164</v>
      </c>
      <c r="E11" s="6">
        <v>18234365.990000002</v>
      </c>
      <c r="G11" s="3" t="s">
        <v>52</v>
      </c>
      <c r="H11" s="3">
        <v>775</v>
      </c>
      <c r="I11" s="3">
        <v>61</v>
      </c>
      <c r="J11" s="3">
        <v>192</v>
      </c>
      <c r="K11" s="5">
        <v>96.732903225806453</v>
      </c>
    </row>
    <row r="12" spans="1:11" x14ac:dyDescent="0.25">
      <c r="A12" s="3" t="s">
        <v>40</v>
      </c>
      <c r="B12" s="3">
        <v>618</v>
      </c>
      <c r="C12" s="3">
        <v>47</v>
      </c>
      <c r="D12" s="3">
        <v>168</v>
      </c>
      <c r="E12" s="6">
        <v>17342651.879999999</v>
      </c>
      <c r="G12" s="3" t="s">
        <v>46</v>
      </c>
      <c r="H12" s="3">
        <v>833</v>
      </c>
      <c r="I12" s="3">
        <v>56</v>
      </c>
      <c r="J12" s="3">
        <v>223</v>
      </c>
      <c r="K12" s="5">
        <v>96.067226890756302</v>
      </c>
    </row>
    <row r="13" spans="1:11" x14ac:dyDescent="0.25">
      <c r="A13" s="3" t="s">
        <v>32</v>
      </c>
      <c r="B13" s="3">
        <v>660</v>
      </c>
      <c r="C13" s="3">
        <v>46</v>
      </c>
      <c r="D13" s="3">
        <v>155</v>
      </c>
      <c r="E13" s="6">
        <v>19142268.690000001</v>
      </c>
    </row>
    <row r="16" spans="1:11" x14ac:dyDescent="0.25">
      <c r="A16" s="2" t="s">
        <v>3415</v>
      </c>
      <c r="B16" s="2" t="s">
        <v>3416</v>
      </c>
    </row>
    <row r="17" spans="1:8" ht="45" x14ac:dyDescent="0.25">
      <c r="A17" s="18" t="s">
        <v>3417</v>
      </c>
      <c r="B17" s="9" t="s">
        <v>3418</v>
      </c>
      <c r="C17" s="9"/>
      <c r="D17" s="9"/>
      <c r="E17" s="9"/>
      <c r="F17" s="9"/>
      <c r="G17" s="9"/>
      <c r="H17" s="9"/>
    </row>
    <row r="18" spans="1:8" ht="45" x14ac:dyDescent="0.25">
      <c r="A18" s="18" t="s">
        <v>3419</v>
      </c>
      <c r="B18" s="9" t="s">
        <v>3420</v>
      </c>
      <c r="C18" s="9"/>
      <c r="D18" s="9"/>
      <c r="E18" s="9"/>
      <c r="F18" s="9"/>
      <c r="G18" s="9"/>
      <c r="H18" s="9"/>
    </row>
    <row r="19" spans="1:8" ht="60" x14ac:dyDescent="0.25">
      <c r="A19" s="18" t="s">
        <v>3421</v>
      </c>
      <c r="B19" s="9" t="s">
        <v>3422</v>
      </c>
      <c r="C19" s="9"/>
      <c r="D19" s="9"/>
      <c r="E19" s="9"/>
      <c r="F19" s="9"/>
      <c r="G19" s="9"/>
      <c r="H19" s="9"/>
    </row>
    <row r="20" spans="1:8" ht="90" x14ac:dyDescent="0.25">
      <c r="A20" s="18" t="s">
        <v>3423</v>
      </c>
      <c r="B20" s="9" t="s">
        <v>3424</v>
      </c>
      <c r="C20" s="9"/>
      <c r="D20" s="9"/>
      <c r="E20" s="9"/>
      <c r="F20" s="9"/>
      <c r="G20" s="9"/>
      <c r="H20" s="9"/>
    </row>
  </sheetData>
  <mergeCells count="2">
    <mergeCell ref="A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logistics_dataset</vt:lpstr>
      <vt:lpstr>Pivot_Tables</vt:lpstr>
      <vt:lpstr>Category_Analysis</vt:lpstr>
      <vt:lpstr>Zone_Analysis</vt:lpstr>
      <vt:lpstr>Reorder_Priority</vt:lpstr>
      <vt:lpstr>Dashboard_v2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Manjot Tatla</dc:creator>
  <cp:lastModifiedBy>. Harnoor Singh</cp:lastModifiedBy>
  <dcterms:created xsi:type="dcterms:W3CDTF">2026-05-07T19:11:23Z</dcterms:created>
  <dcterms:modified xsi:type="dcterms:W3CDTF">2026-05-07T19:14:10Z</dcterms:modified>
</cp:coreProperties>
</file>